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S" sheetId="2" r:id="rId5"/>
    <sheet state="visible" name="clean sheet" sheetId="3" r:id="rId6"/>
  </sheets>
  <definedNames>
    <definedName hidden="1" localSheetId="2" name="_xlnm._FilterDatabase">'clean sheet'!$A$1:$X$80</definedName>
  </definedNames>
  <calcPr/>
  <extLst>
    <ext uri="GoogleSheetsCustomDataVersion2">
      <go:sheetsCustomData xmlns:go="http://customooxmlschemas.google.com/" r:id="rId7" roundtripDataChecksum="EkUFgmHiwTthBFvrc24kFW/1D6CPAAnT9zm9+mIdyCc="/>
    </ext>
  </extLst>
</workbook>
</file>

<file path=xl/sharedStrings.xml><?xml version="1.0" encoding="utf-8"?>
<sst xmlns="http://schemas.openxmlformats.org/spreadsheetml/2006/main" count="2673" uniqueCount="404">
  <si>
    <t>MUTUAL OF OMAHA</t>
  </si>
  <si>
    <t>SUMMARY COMPENSATION STATEMENT</t>
  </si>
  <si>
    <t>For Period Ending 08/19/2025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</si>
  <si>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</si>
  <si>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</si>
  <si>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</si>
  <si>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</si>
  <si>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</si>
  <si>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</si>
  <si>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</si>
  <si>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</si>
  <si>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</si>
  <si>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</si>
  <si>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</si>
  <si>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</si>
  <si>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</si>
  <si>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</si>
  <si>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</si>
  <si>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</si>
  <si>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</si>
  <si>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</si>
  <si>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</si>
  <si>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</si>
  <si>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</si>
  <si>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</si>
  <si>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</si>
  <si>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</si>
  <si>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</si>
  <si>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</si>
  <si>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</si>
  <si>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</si>
  <si>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</si>
  <si>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</si>
  <si>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</si>
  <si>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</si>
  <si>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</si>
  <si>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</si>
  <si>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</si>
  <si>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</si>
  <si>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</si>
  <si>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</si>
  <si>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</si>
  <si>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</si>
  <si>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</si>
  <si>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</si>
  <si>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</si>
  <si>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</si>
  <si>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</si>
  <si>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</si>
  <si>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1174646</t>
  </si>
  <si>
    <t>512529-97</t>
  </si>
  <si>
    <t>MAHNKE PEGGY</t>
  </si>
  <si>
    <t>IL</t>
  </si>
  <si>
    <t>08/18/2025</t>
  </si>
  <si>
    <t>NM24HL</t>
  </si>
  <si>
    <t>01/01/2025</t>
  </si>
  <si>
    <t>09/01/2025</t>
  </si>
  <si>
    <t/>
  </si>
  <si>
    <t>M</t>
  </si>
  <si>
    <t>BSP</t>
  </si>
  <si>
    <t>001</t>
  </si>
  <si>
    <t>F</t>
  </si>
  <si>
    <t>BFY PAYMENT</t>
  </si>
  <si>
    <t>100.0%</t>
  </si>
  <si>
    <t>583853-97</t>
  </si>
  <si>
    <t>DAVIS MAURICE</t>
  </si>
  <si>
    <t>02/01/2025</t>
  </si>
  <si>
    <t>0732257</t>
  </si>
  <si>
    <t>523666-97</t>
  </si>
  <si>
    <t>MOE NELS</t>
  </si>
  <si>
    <t>08/15/2025</t>
  </si>
  <si>
    <t>0513364</t>
  </si>
  <si>
    <t>626270-97</t>
  </si>
  <si>
    <t>ETTINGER LYNN</t>
  </si>
  <si>
    <t>04/01/2025</t>
  </si>
  <si>
    <t>424116-97</t>
  </si>
  <si>
    <t>BREEN BEVERLY</t>
  </si>
  <si>
    <t>08/13/2025</t>
  </si>
  <si>
    <t>NM35HL</t>
  </si>
  <si>
    <t>10/01/2024</t>
  </si>
  <si>
    <t>0891923</t>
  </si>
  <si>
    <t>691883-97</t>
  </si>
  <si>
    <t>DUNN BARRY</t>
  </si>
  <si>
    <t>05/01/2025</t>
  </si>
  <si>
    <t>OMAHA SUPP</t>
  </si>
  <si>
    <t>0893387</t>
  </si>
  <si>
    <t>416716-97</t>
  </si>
  <si>
    <t>GOSSETT CANDY</t>
  </si>
  <si>
    <t>TN</t>
  </si>
  <si>
    <t>SM25L</t>
  </si>
  <si>
    <t>12/01/2024</t>
  </si>
  <si>
    <t>910206-96</t>
  </si>
  <si>
    <t>BARKER GREGG</t>
  </si>
  <si>
    <t>NM24HTL</t>
  </si>
  <si>
    <t>03/16/2024</t>
  </si>
  <si>
    <t>09/16/2025</t>
  </si>
  <si>
    <t>R</t>
  </si>
  <si>
    <t>RENEWAL PYMT</t>
  </si>
  <si>
    <t>910205-96</t>
  </si>
  <si>
    <t>BARKER IRENE</t>
  </si>
  <si>
    <t>UNITED</t>
  </si>
  <si>
    <t>0957310</t>
  </si>
  <si>
    <t>978415-96</t>
  </si>
  <si>
    <t>LOPEZ FRANCES</t>
  </si>
  <si>
    <t>PA</t>
  </si>
  <si>
    <t>UM35HLV</t>
  </si>
  <si>
    <t>06/01/2024</t>
  </si>
  <si>
    <t>UNITED WORLD</t>
  </si>
  <si>
    <t>0815390</t>
  </si>
  <si>
    <t>851525-96</t>
  </si>
  <si>
    <t>PARSON KIRK</t>
  </si>
  <si>
    <t>OR</t>
  </si>
  <si>
    <t>08/14/2025</t>
  </si>
  <si>
    <t>WM25HL</t>
  </si>
  <si>
    <t>02/01/2024</t>
  </si>
  <si>
    <t>10/01/2025</t>
  </si>
  <si>
    <t>INNOVATIVE FINANCIAL PARTNERS LLC</t>
  </si>
  <si>
    <t>1099222</t>
  </si>
  <si>
    <t>BU5265449</t>
  </si>
  <si>
    <t>BOYD DEMITRIYAH</t>
  </si>
  <si>
    <t>VA</t>
  </si>
  <si>
    <t>E30301</t>
  </si>
  <si>
    <t>LAPSE</t>
  </si>
  <si>
    <t>BU4953637</t>
  </si>
  <si>
    <t>RAMSEY STEPHANIE</t>
  </si>
  <si>
    <t>TX</t>
  </si>
  <si>
    <t>12/10/2024</t>
  </si>
  <si>
    <t>08/10/2025</t>
  </si>
  <si>
    <t>BFY REVERSAL</t>
  </si>
  <si>
    <t>BU4991201</t>
  </si>
  <si>
    <t>KINDRED JACQUELINE</t>
  </si>
  <si>
    <t>TE15 1</t>
  </si>
  <si>
    <t>12/14/2024</t>
  </si>
  <si>
    <t>09/14/2025</t>
  </si>
  <si>
    <t>0819525</t>
  </si>
  <si>
    <t>BU5062572</t>
  </si>
  <si>
    <t>MARSHALL JOHNNIETTE</t>
  </si>
  <si>
    <t>08/19/2025</t>
  </si>
  <si>
    <t>FEPL 1</t>
  </si>
  <si>
    <t>01/15/2025</t>
  </si>
  <si>
    <t>09/15/2025</t>
  </si>
  <si>
    <t>1149088</t>
  </si>
  <si>
    <t>BU5062401</t>
  </si>
  <si>
    <t>MUHUHU TABITHA</t>
  </si>
  <si>
    <t>MD</t>
  </si>
  <si>
    <t>FEPG 1</t>
  </si>
  <si>
    <t>01/16/2025</t>
  </si>
  <si>
    <t>BU4972941</t>
  </si>
  <si>
    <t>KINYUA JARED</t>
  </si>
  <si>
    <t>IXEXP1</t>
  </si>
  <si>
    <t>11/22/2024</t>
  </si>
  <si>
    <t>08/22/2025</t>
  </si>
  <si>
    <t>BU4980766</t>
  </si>
  <si>
    <t>HARRIS SARAH</t>
  </si>
  <si>
    <t>E20201</t>
  </si>
  <si>
    <t>12/15/2024</t>
  </si>
  <si>
    <t>BU4972734</t>
  </si>
  <si>
    <t>HENRY COLLEEN</t>
  </si>
  <si>
    <t>BU4972458</t>
  </si>
  <si>
    <t>PATEL PRIYA</t>
  </si>
  <si>
    <t>AL</t>
  </si>
  <si>
    <t>BU4965470</t>
  </si>
  <si>
    <t>AMOX TRENT</t>
  </si>
  <si>
    <t>BU4953427</t>
  </si>
  <si>
    <t>RAMSEY MICHAEL</t>
  </si>
  <si>
    <t>1093959</t>
  </si>
  <si>
    <t>BU4854427</t>
  </si>
  <si>
    <t>CURCIO KIMBERLY</t>
  </si>
  <si>
    <t>09/18/2024</t>
  </si>
  <si>
    <t>09/18/2025</t>
  </si>
  <si>
    <t>0606680</t>
  </si>
  <si>
    <t>BU5059669</t>
  </si>
  <si>
    <t>SAKO HIROYO</t>
  </si>
  <si>
    <t>FL</t>
  </si>
  <si>
    <t>01/17/2025</t>
  </si>
  <si>
    <t>09/17/2025</t>
  </si>
  <si>
    <t>BU4944276</t>
  </si>
  <si>
    <t>HARRELL TREY</t>
  </si>
  <si>
    <t>11/18/2024</t>
  </si>
  <si>
    <t>BU4823853</t>
  </si>
  <si>
    <t>CARLSON ARTHUR</t>
  </si>
  <si>
    <t>09/15/2024</t>
  </si>
  <si>
    <t>0257168</t>
  </si>
  <si>
    <t>BU5058620</t>
  </si>
  <si>
    <t>GREEN JODIE</t>
  </si>
  <si>
    <t>MO</t>
  </si>
  <si>
    <t>01/13/2025</t>
  </si>
  <si>
    <t>09/13/2025</t>
  </si>
  <si>
    <t>BU4971836</t>
  </si>
  <si>
    <t>RUSSELL JARED</t>
  </si>
  <si>
    <t>AZ</t>
  </si>
  <si>
    <t>0899216</t>
  </si>
  <si>
    <t>BU5062735</t>
  </si>
  <si>
    <t>MACKLIN LANCE</t>
  </si>
  <si>
    <t>E10101</t>
  </si>
  <si>
    <t>BU5059870</t>
  </si>
  <si>
    <t>BUSH MICHAEL</t>
  </si>
  <si>
    <t>01/14/2025</t>
  </si>
  <si>
    <t>BU5058247</t>
  </si>
  <si>
    <t>GREENWELL JADYN</t>
  </si>
  <si>
    <t>BU4920815</t>
  </si>
  <si>
    <t>NEDD ADANNA</t>
  </si>
  <si>
    <t>11/01/2024</t>
  </si>
  <si>
    <t>0894080</t>
  </si>
  <si>
    <t>BU5008620</t>
  </si>
  <si>
    <t>JONES ROBERT</t>
  </si>
  <si>
    <t>12/23/2024</t>
  </si>
  <si>
    <t>08/23/2025</t>
  </si>
  <si>
    <t>BU5305630</t>
  </si>
  <si>
    <t>QUESADA DIANA</t>
  </si>
  <si>
    <t>06/17/2025</t>
  </si>
  <si>
    <t>BU5255661</t>
  </si>
  <si>
    <t>OSBORNE DAVID</t>
  </si>
  <si>
    <t>MT</t>
  </si>
  <si>
    <t>05/15/2025</t>
  </si>
  <si>
    <t>BU5255660</t>
  </si>
  <si>
    <t>OSBORNE CARRIE</t>
  </si>
  <si>
    <t>BU5249498</t>
  </si>
  <si>
    <t>PACHECO VANESSA</t>
  </si>
  <si>
    <t>BU5249491</t>
  </si>
  <si>
    <t>ZAPATA EDGAR</t>
  </si>
  <si>
    <t>BU5238473</t>
  </si>
  <si>
    <t>WALDING LINDA</t>
  </si>
  <si>
    <t>04/16/2025</t>
  </si>
  <si>
    <t>BU5182312</t>
  </si>
  <si>
    <t>JOHNSON BRET</t>
  </si>
  <si>
    <t>BU5168071</t>
  </si>
  <si>
    <t>HEINERT JOLENE</t>
  </si>
  <si>
    <t>KS</t>
  </si>
  <si>
    <t>03/15/2025</t>
  </si>
  <si>
    <t>BU5090182</t>
  </si>
  <si>
    <t>KROM CHRIS</t>
  </si>
  <si>
    <t>IN</t>
  </si>
  <si>
    <t>01/28/2025</t>
  </si>
  <si>
    <t>09/28/2025</t>
  </si>
  <si>
    <t>BU5090017</t>
  </si>
  <si>
    <t>BERENDZEN VONDA</t>
  </si>
  <si>
    <t>02/13/2025</t>
  </si>
  <si>
    <t>BU5045360</t>
  </si>
  <si>
    <t>JOHNSON SHELLEY</t>
  </si>
  <si>
    <t>BU4974280</t>
  </si>
  <si>
    <t>FRANCA SAMUEL</t>
  </si>
  <si>
    <t>11/28/2024</t>
  </si>
  <si>
    <t>08/28/2025</t>
  </si>
  <si>
    <t>BU4963427</t>
  </si>
  <si>
    <t>GARFIAS LAUREN</t>
  </si>
  <si>
    <t>11/12/2024</t>
  </si>
  <si>
    <t>09/12/2025</t>
  </si>
  <si>
    <t>BU4911691</t>
  </si>
  <si>
    <t>GARDENER PAULA</t>
  </si>
  <si>
    <t>SD</t>
  </si>
  <si>
    <t>10/14/2024</t>
  </si>
  <si>
    <t>BU4878372</t>
  </si>
  <si>
    <t>BISH ROBERT</t>
  </si>
  <si>
    <t>10/17/2024</t>
  </si>
  <si>
    <t>BU5062646</t>
  </si>
  <si>
    <t>MARSHALL FREDDIE</t>
  </si>
  <si>
    <t>01/24/2025</t>
  </si>
  <si>
    <t>09/24/2025</t>
  </si>
  <si>
    <t>HEARTLAND FINANCIAL GROUP LLC</t>
  </si>
  <si>
    <t>0893214</t>
  </si>
  <si>
    <t>BU5501966</t>
  </si>
  <si>
    <t>FISHER KATHLEEN</t>
  </si>
  <si>
    <t>09/09/2025</t>
  </si>
  <si>
    <t>NEW COV ISS</t>
  </si>
  <si>
    <t>BU5494554</t>
  </si>
  <si>
    <t>SOAVE MARK</t>
  </si>
  <si>
    <t>NC</t>
  </si>
  <si>
    <t>BU5494629</t>
  </si>
  <si>
    <t>SOAVE PAMELA</t>
  </si>
  <si>
    <t>BU5495248</t>
  </si>
  <si>
    <t>MCCAHILL JESSICA</t>
  </si>
  <si>
    <t>BU5507525</t>
  </si>
  <si>
    <t>LONGVILLE VERNA</t>
  </si>
  <si>
    <t>BU5507630</t>
  </si>
  <si>
    <t>LONGVILLE RICHARD</t>
  </si>
  <si>
    <t>BU5510138</t>
  </si>
  <si>
    <t>PATTON JOLENE</t>
  </si>
  <si>
    <t>BU5362278</t>
  </si>
  <si>
    <t>SCOTT RANDY</t>
  </si>
  <si>
    <t>06/18/2025</t>
  </si>
  <si>
    <t>0892719</t>
  </si>
  <si>
    <t>BU5508002</t>
  </si>
  <si>
    <t>POWELL MARY</t>
  </si>
  <si>
    <t>SC</t>
  </si>
  <si>
    <t>BU5478550</t>
  </si>
  <si>
    <t>WELTER DAVID</t>
  </si>
  <si>
    <t>08/11/2025</t>
  </si>
  <si>
    <t>09/11/2025</t>
  </si>
  <si>
    <t>A</t>
  </si>
  <si>
    <t>012</t>
  </si>
  <si>
    <t>NEW ISS PYMT</t>
  </si>
  <si>
    <t>BU5308223</t>
  </si>
  <si>
    <t>TCHOUDEU ANNE</t>
  </si>
  <si>
    <t>OK</t>
  </si>
  <si>
    <t>06/01/2025</t>
  </si>
  <si>
    <t>BU5437791</t>
  </si>
  <si>
    <t>JOHNSON NICOLE</t>
  </si>
  <si>
    <t>07/17/2025</t>
  </si>
  <si>
    <t>BU5460765</t>
  </si>
  <si>
    <t>DAVIS CRYSTAL</t>
  </si>
  <si>
    <t>08/01/2025</t>
  </si>
  <si>
    <t>NEW ISS REV</t>
  </si>
  <si>
    <t>BU5476019</t>
  </si>
  <si>
    <t>TOBIN DIANA</t>
  </si>
  <si>
    <t>BU5428116</t>
  </si>
  <si>
    <t>KHAN MUHAMMAD</t>
  </si>
  <si>
    <t>07/14/2025</t>
  </si>
  <si>
    <t>1227344</t>
  </si>
  <si>
    <t>BU5477819</t>
  </si>
  <si>
    <t>FLEMING TYRELLE</t>
  </si>
  <si>
    <t>08/07/2025</t>
  </si>
  <si>
    <t>BU5428088</t>
  </si>
  <si>
    <t>GHADIALY NOORJEHAN</t>
  </si>
  <si>
    <t>1121105</t>
  </si>
  <si>
    <t>BU5346759</t>
  </si>
  <si>
    <t>MAJIGSUREN NYAMJARGAL</t>
  </si>
  <si>
    <t>06/05/2025</t>
  </si>
  <si>
    <t>09/05/2025</t>
  </si>
  <si>
    <t>MUTUAL</t>
  </si>
  <si>
    <t>818227-97</t>
  </si>
  <si>
    <t>HARRIS JAMES</t>
  </si>
  <si>
    <t>DNT2EL</t>
  </si>
  <si>
    <t>818239-97</t>
  </si>
  <si>
    <t>HARRIS KATHRYN</t>
  </si>
  <si>
    <t>757653-97</t>
  </si>
  <si>
    <t>NKEMBE FRIDA</t>
  </si>
  <si>
    <t>DNT5EL</t>
  </si>
  <si>
    <t>06/13/2025</t>
  </si>
  <si>
    <t>0816910</t>
  </si>
  <si>
    <t>360629-97</t>
  </si>
  <si>
    <t>MORGAN ROBERT</t>
  </si>
  <si>
    <t>MM35HL</t>
  </si>
  <si>
    <t>08/01/2024</t>
  </si>
  <si>
    <t>0892048</t>
  </si>
  <si>
    <t>601504-97</t>
  </si>
  <si>
    <t>BOWES WENDY</t>
  </si>
  <si>
    <t>DNT5IL</t>
  </si>
  <si>
    <t>02/02/2025</t>
  </si>
  <si>
    <t>09/02/2025</t>
  </si>
  <si>
    <t>431066-97</t>
  </si>
  <si>
    <t>ESTRADA DAIRYN</t>
  </si>
  <si>
    <t>DNT2IL</t>
  </si>
  <si>
    <t>PREM ADJ DEC</t>
  </si>
  <si>
    <t>650330-97</t>
  </si>
  <si>
    <t>MCCALL YOLANDA</t>
  </si>
  <si>
    <t>03/19/2025</t>
  </si>
  <si>
    <t>09/19/2025</t>
  </si>
  <si>
    <t>650319-97</t>
  </si>
  <si>
    <t>MCCALL HUGH</t>
  </si>
  <si>
    <t>637501-97</t>
  </si>
  <si>
    <t>ALPIZAR DANIELA</t>
  </si>
  <si>
    <t>03/07/2025</t>
  </si>
  <si>
    <t>09/07/2025</t>
  </si>
  <si>
    <t>564582-97</t>
  </si>
  <si>
    <t>SEPSEY ARACELIS</t>
  </si>
  <si>
    <t>552778-97</t>
  </si>
  <si>
    <t>ADAMS KAYLA</t>
  </si>
  <si>
    <t>421672-97</t>
  </si>
  <si>
    <t>SEPSIS DEMETRI</t>
  </si>
  <si>
    <t>579927-97</t>
  </si>
  <si>
    <t>DNT2BL</t>
  </si>
  <si>
    <t>agent</t>
  </si>
  <si>
    <t>Net Commissions</t>
  </si>
  <si>
    <t>months</t>
  </si>
  <si>
    <t>Product</t>
  </si>
  <si>
    <t>comm premium</t>
  </si>
  <si>
    <t>Paycode</t>
  </si>
  <si>
    <t>Jason Roller</t>
  </si>
  <si>
    <t>2024 Term Life Express: IXEXP1 Term Life Conversion to IUL in years 6+ of term issue date</t>
  </si>
  <si>
    <t>AE</t>
  </si>
  <si>
    <t>17425766old</t>
  </si>
  <si>
    <t>Carol Foley</t>
  </si>
  <si>
    <t>All Plans Expt Plans High Deductible F, High Deductible G, and Plan N</t>
  </si>
  <si>
    <t>Gregory Teipel</t>
  </si>
  <si>
    <t>FEX Level Ages 45-80</t>
  </si>
  <si>
    <t>Gary Portugal</t>
  </si>
  <si>
    <t>Thomas Pardue</t>
  </si>
  <si>
    <t>Final Expense: Level Product Commission Ages 81-85</t>
  </si>
  <si>
    <t>AV1</t>
  </si>
  <si>
    <t>Ronald Max</t>
  </si>
  <si>
    <t>Odmaa Enkhtur</t>
  </si>
  <si>
    <t>Jared Kinyua</t>
  </si>
  <si>
    <t>Jacob Yale</t>
  </si>
  <si>
    <t>Living Promise Graded</t>
  </si>
  <si>
    <t>Adam Richter</t>
  </si>
  <si>
    <t>MD HD F,G,N</t>
  </si>
  <si>
    <t>Dale Walenga</t>
  </si>
  <si>
    <t>Gregory Hansford</t>
  </si>
  <si>
    <t>Med Supp IL/DE/TX Ages 65-83</t>
  </si>
  <si>
    <t>Ricardo Santos</t>
  </si>
  <si>
    <t>Michael Dunavant</t>
  </si>
  <si>
    <t>Timothy Powers</t>
  </si>
  <si>
    <t>Medicare Supp- AR High Deductible Plan F&amp;G&amp;Plan N Age 65-74</t>
  </si>
  <si>
    <t>Anne Marie Kozacheck</t>
  </si>
  <si>
    <t>Medicare Supp- PA Plans High Deductible F,G,&amp;N 65+</t>
  </si>
  <si>
    <t>National Dental</t>
  </si>
  <si>
    <t>Richard Yale</t>
  </si>
  <si>
    <t>Term Life Express</t>
  </si>
  <si>
    <t>Colleen Finnigan</t>
  </si>
  <si>
    <t>Matthew Daugherty</t>
  </si>
  <si>
    <t>Ryan Caltagirone</t>
  </si>
  <si>
    <t>Term Life Express 10 Year</t>
  </si>
  <si>
    <t>Universal 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</si>
</sst>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\ \ \ \ \ \ \ \ \ \ \ \ \ \ \ \ \ \ \ "/>
    <numFmt numFmtId="165" formatCode="#,##0.00000"/>
  </numFmts>
  <fonts count="5">
    <font>
      <sz val="11.0"/>
      <color rgb="FF000000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C1F0C8"/>
        <bgColor rgb="FFC1F0C8"/>
      </patternFill>
    </fill>
    <fill>
      <patternFill patternType="solid">
        <fgColor rgb="FFA6C9EB"/>
        <bgColor rgb="FFA6C9E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right"/>
    </xf>
    <xf borderId="6" fillId="0" fontId="1" numFmtId="0" xfId="0" applyBorder="1" applyFont="1"/>
    <xf borderId="6" fillId="0" fontId="1" numFmtId="164" xfId="0" applyAlignment="1" applyBorder="1" applyFont="1" applyNumberFormat="1">
      <alignment horizontal="right"/>
    </xf>
    <xf borderId="4" fillId="0" fontId="1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4" xfId="0" applyFont="1" applyNumberFormat="1"/>
    <xf borderId="0" fillId="0" fontId="1" numFmtId="0" xfId="0" applyAlignment="1" applyFont="1">
      <alignment horizontal="right"/>
    </xf>
    <xf borderId="0" fillId="0" fontId="1" numFmtId="165" xfId="0" applyFont="1" applyNumberFormat="1"/>
    <xf borderId="0" fillId="2" fontId="1" numFmtId="0" xfId="0" applyFill="1" applyFont="1"/>
    <xf borderId="0" fillId="2" fontId="1" numFmtId="0" xfId="0" applyAlignment="1" applyFont="1">
      <alignment horizontal="left"/>
    </xf>
    <xf borderId="0" fillId="2" fontId="1" numFmtId="4" xfId="0" applyFont="1" applyNumberFormat="1"/>
    <xf borderId="0" fillId="2" fontId="1" numFmtId="0" xfId="0" applyAlignment="1" applyFont="1">
      <alignment horizontal="right"/>
    </xf>
    <xf borderId="0" fillId="2" fontId="1" numFmtId="165" xfId="0" applyFont="1" applyNumberFormat="1"/>
    <xf borderId="0" fillId="0" fontId="3" numFmtId="9" xfId="0" applyAlignment="1" applyFont="1" applyNumberFormat="1">
      <alignment horizontal="center" vertical="center"/>
    </xf>
    <xf borderId="7" fillId="2" fontId="1" numFmtId="0" xfId="0" applyBorder="1" applyFont="1"/>
    <xf borderId="7" fillId="2" fontId="1" numFmtId="4" xfId="0" applyBorder="1" applyFont="1" applyNumberFormat="1"/>
    <xf borderId="7" fillId="2" fontId="1" numFmtId="10" xfId="0" applyAlignment="1" applyBorder="1" applyFont="1" applyNumberFormat="1">
      <alignment horizontal="right"/>
    </xf>
    <xf borderId="7" fillId="2" fontId="1" numFmtId="9" xfId="0" applyBorder="1" applyFont="1" applyNumberFormat="1"/>
    <xf borderId="7" fillId="2" fontId="4" numFmtId="0" xfId="0" applyBorder="1" applyFont="1"/>
    <xf borderId="0" fillId="0" fontId="1" numFmtId="10" xfId="0" applyAlignment="1" applyFont="1" applyNumberFormat="1">
      <alignment horizontal="right"/>
    </xf>
    <xf borderId="0" fillId="0" fontId="1" numFmtId="9" xfId="0" applyFont="1" applyNumberFormat="1"/>
    <xf borderId="0" fillId="0" fontId="4" numFmtId="0" xfId="0" applyFont="1"/>
    <xf borderId="7" fillId="3" fontId="4" numFmtId="0" xfId="0" applyBorder="1" applyFill="1" applyFont="1"/>
    <xf borderId="7" fillId="4" fontId="1" numFmtId="0" xfId="0" applyBorder="1" applyFill="1" applyFont="1"/>
    <xf borderId="7" fillId="4" fontId="1" numFmtId="4" xfId="0" applyBorder="1" applyFont="1" applyNumberFormat="1"/>
    <xf borderId="7" fillId="4" fontId="1" numFmtId="10" xfId="0" applyAlignment="1" applyBorder="1" applyFont="1" applyNumberFormat="1">
      <alignment horizontal="right"/>
    </xf>
    <xf borderId="7" fillId="4" fontId="1" numFmtId="9" xfId="0" applyBorder="1" applyFont="1" applyNumberFormat="1"/>
    <xf borderId="7" fillId="4" fontId="4" numFmtId="0" xfId="0" applyBorder="1" applyFont="1"/>
    <xf borderId="7" fillId="3" fontId="1" numFmtId="0" xfId="0" applyBorder="1" applyFont="1"/>
    <xf borderId="7" fillId="3" fontId="1" numFmtId="4" xfId="0" applyBorder="1" applyFont="1" applyNumberFormat="1"/>
    <xf borderId="7" fillId="3" fontId="1" numFmtId="10" xfId="0" applyAlignment="1" applyBorder="1" applyFont="1" applyNumberFormat="1">
      <alignment horizontal="right"/>
    </xf>
    <xf borderId="7" fillId="3" fontId="1" numFmtId="9" xfId="0" applyBorder="1" applyFont="1" applyNumberFormat="1"/>
    <xf borderId="7" fillId="5" fontId="1" numFmtId="0" xfId="0" applyBorder="1" applyFill="1" applyFont="1"/>
    <xf borderId="7" fillId="5" fontId="1" numFmtId="4" xfId="0" applyBorder="1" applyFont="1" applyNumberFormat="1"/>
    <xf borderId="7" fillId="5" fontId="1" numFmtId="10" xfId="0" applyAlignment="1" applyBorder="1" applyFont="1" applyNumberFormat="1">
      <alignment horizontal="right"/>
    </xf>
    <xf borderId="7" fillId="5" fontId="1" numFmtId="9" xfId="0" applyBorder="1" applyFont="1" applyNumberFormat="1"/>
    <xf borderId="7" fillId="5" fontId="4" numFmtId="0" xfId="0" applyBorder="1" applyFont="1"/>
    <xf borderId="0" fillId="0" fontId="4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3" width="30.0"/>
    <col customWidth="1" min="4" max="6" width="9.14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"/>
      <c r="B12" s="4" t="s">
        <v>5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"/>
      <c r="B13" s="7" t="s">
        <v>6</v>
      </c>
      <c r="C13" s="7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" t="s">
        <v>8</v>
      </c>
      <c r="B14" s="8"/>
      <c r="C14" s="8">
        <v>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" t="s">
        <v>9</v>
      </c>
      <c r="B15" s="10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"/>
      <c r="B16" s="10"/>
      <c r="C16" s="1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" t="s">
        <v>10</v>
      </c>
      <c r="B17" s="10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" t="s">
        <v>11</v>
      </c>
      <c r="B18" s="10"/>
      <c r="C18" s="1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9" t="s">
        <v>12</v>
      </c>
      <c r="B19" s="10">
        <v>72.9</v>
      </c>
      <c r="C19" s="1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9" t="s">
        <v>13</v>
      </c>
      <c r="B20" s="10">
        <v>32.54</v>
      </c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/>
      <c r="B21" s="10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9" t="s">
        <v>14</v>
      </c>
      <c r="B22" s="10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9" t="s">
        <v>11</v>
      </c>
      <c r="B23" s="10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" t="s">
        <v>12</v>
      </c>
      <c r="B24" s="10">
        <v>18830.72</v>
      </c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 t="s">
        <v>13</v>
      </c>
      <c r="B25" s="10">
        <v>25.45</v>
      </c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"/>
      <c r="B26" s="10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" t="s">
        <v>15</v>
      </c>
      <c r="B27" s="10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" t="s">
        <v>11</v>
      </c>
      <c r="B28" s="10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" t="s">
        <v>13</v>
      </c>
      <c r="B29" s="10">
        <v>29.19</v>
      </c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9"/>
      <c r="B30" s="10"/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9" t="s">
        <v>16</v>
      </c>
      <c r="B31" s="10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9" t="s">
        <v>11</v>
      </c>
      <c r="B32" s="10"/>
      <c r="C32" s="1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9" t="s">
        <v>12</v>
      </c>
      <c r="B33" s="10">
        <v>23.41</v>
      </c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9" t="s">
        <v>13</v>
      </c>
      <c r="B34" s="10">
        <v>62.83</v>
      </c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9"/>
      <c r="B35" s="10"/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9" t="s">
        <v>17</v>
      </c>
      <c r="B36" s="10"/>
      <c r="C36" s="1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9" t="s">
        <v>11</v>
      </c>
      <c r="B37" s="10"/>
      <c r="C37" s="1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9" t="s">
        <v>12</v>
      </c>
      <c r="B38" s="10">
        <v>0.0</v>
      </c>
      <c r="C38" s="1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9"/>
      <c r="B39" s="10"/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9" t="s">
        <v>18</v>
      </c>
      <c r="B40" s="10"/>
      <c r="C40" s="10">
        <v>19077.04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9"/>
      <c r="B41" s="10"/>
      <c r="C41" s="1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9" t="s">
        <v>19</v>
      </c>
      <c r="B42" s="10"/>
      <c r="C42" s="1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9"/>
      <c r="B43" s="10"/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9" t="s">
        <v>10</v>
      </c>
      <c r="B44" s="10">
        <v>-105.44</v>
      </c>
      <c r="C44" s="1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9" t="s">
        <v>14</v>
      </c>
      <c r="B45" s="10">
        <v>-18856.17</v>
      </c>
      <c r="C45" s="1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9" t="s">
        <v>15</v>
      </c>
      <c r="B46" s="10">
        <v>-29.19</v>
      </c>
      <c r="C46" s="1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9" t="s">
        <v>16</v>
      </c>
      <c r="B47" s="10">
        <v>-86.24</v>
      </c>
      <c r="C47" s="1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9"/>
      <c r="B48" s="10"/>
      <c r="C48" s="1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9" t="s">
        <v>20</v>
      </c>
      <c r="B49" s="10"/>
      <c r="C49" s="10">
        <v>-19077.04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9" t="s">
        <v>21</v>
      </c>
      <c r="B50" s="10"/>
      <c r="C50" s="10">
        <v>0.0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9"/>
      <c r="B51" s="10"/>
      <c r="C51" s="1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6"/>
      <c r="B52" s="11"/>
      <c r="C52" s="1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C2"/>
    <mergeCell ref="A3:C3"/>
    <mergeCell ref="A4:C4"/>
    <mergeCell ref="B12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45.0"/>
    <col customWidth="1" min="4" max="4" width="12.0"/>
    <col customWidth="1" min="5" max="5" width="14.0"/>
    <col customWidth="1" min="6" max="6" width="30.0"/>
    <col customWidth="1" min="7" max="7" width="13.0"/>
    <col customWidth="1" min="8" max="11" width="15.0"/>
    <col customWidth="1" min="12" max="12" width="8.0"/>
    <col customWidth="1" min="13" max="13" width="10.0"/>
    <col customWidth="1" min="14" max="14" width="12.0"/>
    <col customWidth="1" min="15" max="15" width="9.0"/>
    <col customWidth="1" min="16" max="16" width="20.0"/>
    <col customWidth="1" min="17" max="17" width="18.0"/>
    <col customWidth="1" min="18" max="18" width="12.0"/>
    <col customWidth="1" min="19" max="19" width="20.0"/>
    <col customWidth="1" min="20" max="20" width="13.0"/>
    <col customWidth="1" min="21" max="23" width="15.0"/>
    <col customWidth="1" min="24" max="24" width="40.0"/>
    <col customWidth="1" min="25" max="26" width="8.71"/>
  </cols>
  <sheetData>
    <row r="1" ht="30.0" customHeight="1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  <c r="K1" s="12" t="s">
        <v>32</v>
      </c>
      <c r="L1" s="12" t="s">
        <v>33</v>
      </c>
      <c r="M1" s="12" t="s">
        <v>34</v>
      </c>
      <c r="N1" s="12" t="s">
        <v>35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40</v>
      </c>
      <c r="T1" s="12" t="s">
        <v>41</v>
      </c>
      <c r="U1" s="12" t="s">
        <v>42</v>
      </c>
      <c r="V1" s="12" t="s">
        <v>43</v>
      </c>
      <c r="W1" s="12" t="s">
        <v>44</v>
      </c>
      <c r="X1" s="12" t="s">
        <v>45</v>
      </c>
      <c r="Y1" s="1"/>
      <c r="Z1" s="1"/>
    </row>
    <row r="2" ht="14.25" customHeight="1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3" t="s">
        <v>57</v>
      </c>
      <c r="M2" s="1" t="s">
        <v>58</v>
      </c>
      <c r="N2" s="1" t="s">
        <v>59</v>
      </c>
      <c r="O2" s="1" t="s">
        <v>60</v>
      </c>
      <c r="P2" s="1">
        <v>0.0</v>
      </c>
      <c r="Q2" s="14">
        <v>146.42</v>
      </c>
      <c r="R2" s="1" t="s">
        <v>61</v>
      </c>
      <c r="S2" s="1" t="s">
        <v>62</v>
      </c>
      <c r="T2" s="15" t="s">
        <v>63</v>
      </c>
      <c r="U2" s="16">
        <v>0.23</v>
      </c>
      <c r="V2" s="14">
        <v>0.0</v>
      </c>
      <c r="W2" s="14">
        <v>-33.68</v>
      </c>
      <c r="X2" s="1" t="s">
        <v>57</v>
      </c>
      <c r="Y2" s="1"/>
      <c r="Z2" s="1"/>
    </row>
    <row r="3" ht="14.25" customHeight="1">
      <c r="A3" s="1" t="s">
        <v>46</v>
      </c>
      <c r="B3" s="1" t="s">
        <v>47</v>
      </c>
      <c r="C3" s="1" t="s">
        <v>48</v>
      </c>
      <c r="D3" s="1" t="s">
        <v>49</v>
      </c>
      <c r="E3" s="1" t="s">
        <v>64</v>
      </c>
      <c r="F3" s="1" t="s">
        <v>65</v>
      </c>
      <c r="G3" s="1" t="s">
        <v>52</v>
      </c>
      <c r="H3" s="1" t="s">
        <v>53</v>
      </c>
      <c r="I3" s="1" t="s">
        <v>54</v>
      </c>
      <c r="J3" s="1" t="s">
        <v>66</v>
      </c>
      <c r="K3" s="1" t="s">
        <v>56</v>
      </c>
      <c r="L3" s="13" t="s">
        <v>57</v>
      </c>
      <c r="M3" s="1" t="s">
        <v>58</v>
      </c>
      <c r="N3" s="1" t="s">
        <v>59</v>
      </c>
      <c r="O3" s="1" t="s">
        <v>60</v>
      </c>
      <c r="P3" s="1">
        <v>0.0</v>
      </c>
      <c r="Q3" s="14">
        <v>128.67</v>
      </c>
      <c r="R3" s="1" t="s">
        <v>61</v>
      </c>
      <c r="S3" s="1" t="s">
        <v>62</v>
      </c>
      <c r="T3" s="15" t="s">
        <v>63</v>
      </c>
      <c r="U3" s="16">
        <v>0.23</v>
      </c>
      <c r="V3" s="14">
        <v>0.0</v>
      </c>
      <c r="W3" s="14">
        <v>-29.59</v>
      </c>
      <c r="X3" s="1" t="s">
        <v>57</v>
      </c>
      <c r="Y3" s="1"/>
      <c r="Z3" s="1"/>
    </row>
    <row r="4" ht="14.25" customHeight="1">
      <c r="A4" s="1" t="s">
        <v>46</v>
      </c>
      <c r="B4" s="1" t="s">
        <v>47</v>
      </c>
      <c r="C4" s="1" t="s">
        <v>48</v>
      </c>
      <c r="D4" s="1" t="s">
        <v>67</v>
      </c>
      <c r="E4" s="1" t="s">
        <v>68</v>
      </c>
      <c r="F4" s="1" t="s">
        <v>69</v>
      </c>
      <c r="G4" s="1" t="s">
        <v>52</v>
      </c>
      <c r="H4" s="1" t="s">
        <v>70</v>
      </c>
      <c r="I4" s="1" t="s">
        <v>54</v>
      </c>
      <c r="J4" s="1" t="s">
        <v>55</v>
      </c>
      <c r="K4" s="1" t="s">
        <v>56</v>
      </c>
      <c r="L4" s="13" t="s">
        <v>57</v>
      </c>
      <c r="M4" s="1" t="s">
        <v>58</v>
      </c>
      <c r="N4" s="1" t="s">
        <v>59</v>
      </c>
      <c r="O4" s="1" t="s">
        <v>60</v>
      </c>
      <c r="P4" s="1">
        <v>0.0</v>
      </c>
      <c r="Q4" s="14">
        <v>192.36</v>
      </c>
      <c r="R4" s="1" t="s">
        <v>61</v>
      </c>
      <c r="S4" s="1" t="s">
        <v>62</v>
      </c>
      <c r="T4" s="15" t="s">
        <v>63</v>
      </c>
      <c r="U4" s="16">
        <v>0.23</v>
      </c>
      <c r="V4" s="14">
        <v>0.0</v>
      </c>
      <c r="W4" s="14">
        <v>-44.24</v>
      </c>
      <c r="X4" s="1" t="s">
        <v>57</v>
      </c>
      <c r="Y4" s="1"/>
      <c r="Z4" s="1"/>
    </row>
    <row r="5" ht="14.25" customHeight="1">
      <c r="A5" s="1" t="s">
        <v>46</v>
      </c>
      <c r="B5" s="1" t="s">
        <v>47</v>
      </c>
      <c r="C5" s="1" t="s">
        <v>48</v>
      </c>
      <c r="D5" s="1" t="s">
        <v>71</v>
      </c>
      <c r="E5" s="1" t="s">
        <v>72</v>
      </c>
      <c r="F5" s="1" t="s">
        <v>73</v>
      </c>
      <c r="G5" s="1" t="s">
        <v>52</v>
      </c>
      <c r="H5" s="1" t="s">
        <v>53</v>
      </c>
      <c r="I5" s="1" t="s">
        <v>54</v>
      </c>
      <c r="J5" s="1" t="s">
        <v>74</v>
      </c>
      <c r="K5" s="1" t="s">
        <v>56</v>
      </c>
      <c r="L5" s="13" t="s">
        <v>57</v>
      </c>
      <c r="M5" s="1" t="s">
        <v>58</v>
      </c>
      <c r="N5" s="1" t="s">
        <v>59</v>
      </c>
      <c r="O5" s="1" t="s">
        <v>60</v>
      </c>
      <c r="P5" s="1">
        <v>0.0</v>
      </c>
      <c r="Q5" s="14">
        <v>157.14</v>
      </c>
      <c r="R5" s="1" t="s">
        <v>61</v>
      </c>
      <c r="S5" s="1" t="s">
        <v>62</v>
      </c>
      <c r="T5" s="15" t="s">
        <v>63</v>
      </c>
      <c r="U5" s="16">
        <v>0.23</v>
      </c>
      <c r="V5" s="14">
        <v>0.0</v>
      </c>
      <c r="W5" s="14">
        <v>-36.14</v>
      </c>
      <c r="X5" s="1" t="s">
        <v>57</v>
      </c>
      <c r="Y5" s="1"/>
      <c r="Z5" s="1"/>
    </row>
    <row r="6" ht="14.25" customHeight="1">
      <c r="A6" s="1" t="s">
        <v>46</v>
      </c>
      <c r="B6" s="1" t="s">
        <v>47</v>
      </c>
      <c r="C6" s="1" t="s">
        <v>48</v>
      </c>
      <c r="D6" s="1" t="s">
        <v>71</v>
      </c>
      <c r="E6" s="1" t="s">
        <v>75</v>
      </c>
      <c r="F6" s="1" t="s">
        <v>76</v>
      </c>
      <c r="G6" s="1" t="s">
        <v>52</v>
      </c>
      <c r="H6" s="1" t="s">
        <v>77</v>
      </c>
      <c r="I6" s="1" t="s">
        <v>78</v>
      </c>
      <c r="J6" s="1" t="s">
        <v>79</v>
      </c>
      <c r="K6" s="1" t="s">
        <v>56</v>
      </c>
      <c r="L6" s="13" t="s">
        <v>57</v>
      </c>
      <c r="M6" s="1" t="s">
        <v>58</v>
      </c>
      <c r="N6" s="1" t="s">
        <v>59</v>
      </c>
      <c r="O6" s="1" t="s">
        <v>60</v>
      </c>
      <c r="P6" s="1">
        <v>0.0</v>
      </c>
      <c r="Q6" s="14">
        <v>86.72</v>
      </c>
      <c r="R6" s="1" t="s">
        <v>61</v>
      </c>
      <c r="S6" s="1" t="s">
        <v>62</v>
      </c>
      <c r="T6" s="15" t="s">
        <v>63</v>
      </c>
      <c r="U6" s="16">
        <v>0.27</v>
      </c>
      <c r="V6" s="14">
        <v>23.41</v>
      </c>
      <c r="W6" s="14">
        <v>0.0</v>
      </c>
      <c r="X6" s="1" t="s">
        <v>57</v>
      </c>
      <c r="Y6" s="1"/>
      <c r="Z6" s="1"/>
    </row>
    <row r="7" ht="14.25" customHeight="1">
      <c r="A7" s="1" t="s">
        <v>46</v>
      </c>
      <c r="B7" s="1" t="s">
        <v>47</v>
      </c>
      <c r="C7" s="1" t="s">
        <v>48</v>
      </c>
      <c r="D7" s="1" t="s">
        <v>80</v>
      </c>
      <c r="E7" s="1" t="s">
        <v>81</v>
      </c>
      <c r="F7" s="1" t="s">
        <v>82</v>
      </c>
      <c r="G7" s="1" t="s">
        <v>52</v>
      </c>
      <c r="H7" s="1" t="s">
        <v>70</v>
      </c>
      <c r="I7" s="1" t="s">
        <v>54</v>
      </c>
      <c r="J7" s="1" t="s">
        <v>83</v>
      </c>
      <c r="K7" s="1" t="s">
        <v>56</v>
      </c>
      <c r="L7" s="13" t="s">
        <v>57</v>
      </c>
      <c r="M7" s="1" t="s">
        <v>58</v>
      </c>
      <c r="N7" s="1" t="s">
        <v>59</v>
      </c>
      <c r="O7" s="1" t="s">
        <v>60</v>
      </c>
      <c r="P7" s="1">
        <v>0.0</v>
      </c>
      <c r="Q7" s="14">
        <v>162.27</v>
      </c>
      <c r="R7" s="1" t="s">
        <v>61</v>
      </c>
      <c r="S7" s="1" t="s">
        <v>62</v>
      </c>
      <c r="T7" s="15" t="s">
        <v>63</v>
      </c>
      <c r="U7" s="16">
        <v>0.23</v>
      </c>
      <c r="V7" s="14">
        <v>0.0</v>
      </c>
      <c r="W7" s="14">
        <v>-37.32</v>
      </c>
      <c r="X7" s="1" t="s">
        <v>57</v>
      </c>
      <c r="Y7" s="1"/>
      <c r="Z7" s="1"/>
    </row>
    <row r="8" ht="14.25" customHeight="1">
      <c r="A8" s="1" t="s">
        <v>84</v>
      </c>
      <c r="B8" s="1" t="s">
        <v>47</v>
      </c>
      <c r="C8" s="1" t="s">
        <v>48</v>
      </c>
      <c r="D8" s="1" t="s">
        <v>85</v>
      </c>
      <c r="E8" s="1" t="s">
        <v>86</v>
      </c>
      <c r="F8" s="1" t="s">
        <v>87</v>
      </c>
      <c r="G8" s="1" t="s">
        <v>88</v>
      </c>
      <c r="H8" s="1" t="s">
        <v>70</v>
      </c>
      <c r="I8" s="1" t="s">
        <v>89</v>
      </c>
      <c r="J8" s="1" t="s">
        <v>90</v>
      </c>
      <c r="K8" s="1" t="s">
        <v>56</v>
      </c>
      <c r="L8" s="13" t="s">
        <v>57</v>
      </c>
      <c r="M8" s="1" t="s">
        <v>58</v>
      </c>
      <c r="N8" s="1" t="s">
        <v>59</v>
      </c>
      <c r="O8" s="1" t="s">
        <v>60</v>
      </c>
      <c r="P8" s="1">
        <v>0.0</v>
      </c>
      <c r="Q8" s="14">
        <v>105.87</v>
      </c>
      <c r="R8" s="1" t="s">
        <v>61</v>
      </c>
      <c r="S8" s="1" t="s">
        <v>62</v>
      </c>
      <c r="T8" s="15" t="s">
        <v>63</v>
      </c>
      <c r="U8" s="16">
        <v>0.23</v>
      </c>
      <c r="V8" s="14">
        <v>0.0</v>
      </c>
      <c r="W8" s="14">
        <v>-24.35</v>
      </c>
      <c r="X8" s="1" t="s">
        <v>57</v>
      </c>
      <c r="Y8" s="1"/>
      <c r="Z8" s="1"/>
    </row>
    <row r="9" ht="14.25" customHeight="1">
      <c r="A9" s="1" t="s">
        <v>46</v>
      </c>
      <c r="B9" s="1" t="s">
        <v>47</v>
      </c>
      <c r="C9" s="1" t="s">
        <v>48</v>
      </c>
      <c r="D9" s="1" t="s">
        <v>85</v>
      </c>
      <c r="E9" s="1" t="s">
        <v>91</v>
      </c>
      <c r="F9" s="1" t="s">
        <v>92</v>
      </c>
      <c r="G9" s="1" t="s">
        <v>52</v>
      </c>
      <c r="H9" s="1" t="s">
        <v>53</v>
      </c>
      <c r="I9" s="1" t="s">
        <v>93</v>
      </c>
      <c r="J9" s="1" t="s">
        <v>94</v>
      </c>
      <c r="K9" s="1" t="s">
        <v>95</v>
      </c>
      <c r="L9" s="13" t="s">
        <v>57</v>
      </c>
      <c r="M9" s="1" t="s">
        <v>58</v>
      </c>
      <c r="N9" s="1" t="s">
        <v>59</v>
      </c>
      <c r="O9" s="1" t="s">
        <v>60</v>
      </c>
      <c r="P9" s="1">
        <v>0.0</v>
      </c>
      <c r="Q9" s="14">
        <v>160.36</v>
      </c>
      <c r="R9" s="1" t="s">
        <v>96</v>
      </c>
      <c r="S9" s="1" t="s">
        <v>97</v>
      </c>
      <c r="T9" s="15" t="s">
        <v>63</v>
      </c>
      <c r="U9" s="16">
        <v>0.23</v>
      </c>
      <c r="V9" s="14">
        <v>36.88</v>
      </c>
      <c r="W9" s="14">
        <v>0.0</v>
      </c>
      <c r="X9" s="1" t="s">
        <v>57</v>
      </c>
      <c r="Y9" s="1"/>
      <c r="Z9" s="1"/>
    </row>
    <row r="10" ht="14.25" customHeight="1">
      <c r="A10" s="1" t="s">
        <v>46</v>
      </c>
      <c r="B10" s="1" t="s">
        <v>47</v>
      </c>
      <c r="C10" s="1" t="s">
        <v>48</v>
      </c>
      <c r="D10" s="1" t="s">
        <v>85</v>
      </c>
      <c r="E10" s="1" t="s">
        <v>98</v>
      </c>
      <c r="F10" s="1" t="s">
        <v>99</v>
      </c>
      <c r="G10" s="1" t="s">
        <v>52</v>
      </c>
      <c r="H10" s="1" t="s">
        <v>53</v>
      </c>
      <c r="I10" s="1" t="s">
        <v>54</v>
      </c>
      <c r="J10" s="1" t="s">
        <v>94</v>
      </c>
      <c r="K10" s="1" t="s">
        <v>95</v>
      </c>
      <c r="L10" s="13" t="s">
        <v>57</v>
      </c>
      <c r="M10" s="1" t="s">
        <v>58</v>
      </c>
      <c r="N10" s="1" t="s">
        <v>59</v>
      </c>
      <c r="O10" s="1" t="s">
        <v>60</v>
      </c>
      <c r="P10" s="1">
        <v>0.0</v>
      </c>
      <c r="Q10" s="14">
        <v>112.82</v>
      </c>
      <c r="R10" s="1" t="s">
        <v>96</v>
      </c>
      <c r="S10" s="1" t="s">
        <v>97</v>
      </c>
      <c r="T10" s="15" t="s">
        <v>63</v>
      </c>
      <c r="U10" s="16">
        <v>0.23</v>
      </c>
      <c r="V10" s="14">
        <v>25.95</v>
      </c>
      <c r="W10" s="14">
        <v>0.0</v>
      </c>
      <c r="X10" s="1" t="s">
        <v>57</v>
      </c>
      <c r="Y10" s="1"/>
      <c r="Z10" s="1"/>
    </row>
    <row r="11" ht="14.25" customHeight="1">
      <c r="A11" s="1" t="s">
        <v>100</v>
      </c>
      <c r="B11" s="1" t="s">
        <v>47</v>
      </c>
      <c r="C11" s="1" t="s">
        <v>48</v>
      </c>
      <c r="D11" s="1" t="s">
        <v>101</v>
      </c>
      <c r="E11" s="1" t="s">
        <v>102</v>
      </c>
      <c r="F11" s="1" t="s">
        <v>103</v>
      </c>
      <c r="G11" s="1" t="s">
        <v>104</v>
      </c>
      <c r="H11" s="1" t="s">
        <v>70</v>
      </c>
      <c r="I11" s="1" t="s">
        <v>105</v>
      </c>
      <c r="J11" s="1" t="s">
        <v>106</v>
      </c>
      <c r="K11" s="1" t="s">
        <v>56</v>
      </c>
      <c r="L11" s="13" t="s">
        <v>57</v>
      </c>
      <c r="M11" s="1" t="s">
        <v>58</v>
      </c>
      <c r="N11" s="1" t="s">
        <v>59</v>
      </c>
      <c r="O11" s="1" t="s">
        <v>60</v>
      </c>
      <c r="P11" s="1">
        <v>0.0</v>
      </c>
      <c r="Q11" s="14">
        <v>99.8</v>
      </c>
      <c r="R11" s="1" t="s">
        <v>96</v>
      </c>
      <c r="S11" s="1" t="s">
        <v>97</v>
      </c>
      <c r="T11" s="15" t="s">
        <v>63</v>
      </c>
      <c r="U11" s="16">
        <v>0.255</v>
      </c>
      <c r="V11" s="14">
        <v>25.45</v>
      </c>
      <c r="W11" s="14">
        <v>0.0</v>
      </c>
      <c r="X11" s="1" t="s">
        <v>57</v>
      </c>
      <c r="Y11" s="1"/>
      <c r="Z11" s="1"/>
    </row>
    <row r="12" ht="14.25" customHeight="1">
      <c r="A12" s="1" t="s">
        <v>107</v>
      </c>
      <c r="B12" s="1" t="s">
        <v>47</v>
      </c>
      <c r="C12" s="1" t="s">
        <v>48</v>
      </c>
      <c r="D12" s="1" t="s">
        <v>108</v>
      </c>
      <c r="E12" s="1" t="s">
        <v>109</v>
      </c>
      <c r="F12" s="1" t="s">
        <v>110</v>
      </c>
      <c r="G12" s="1" t="s">
        <v>111</v>
      </c>
      <c r="H12" s="1" t="s">
        <v>112</v>
      </c>
      <c r="I12" s="1" t="s">
        <v>113</v>
      </c>
      <c r="J12" s="1" t="s">
        <v>114</v>
      </c>
      <c r="K12" s="1" t="s">
        <v>115</v>
      </c>
      <c r="L12" s="13" t="s">
        <v>57</v>
      </c>
      <c r="M12" s="1" t="s">
        <v>58</v>
      </c>
      <c r="N12" s="1" t="s">
        <v>59</v>
      </c>
      <c r="O12" s="1" t="s">
        <v>60</v>
      </c>
      <c r="P12" s="1">
        <v>0.0</v>
      </c>
      <c r="Q12" s="14">
        <v>157.77</v>
      </c>
      <c r="R12" s="1" t="s">
        <v>96</v>
      </c>
      <c r="S12" s="1" t="s">
        <v>97</v>
      </c>
      <c r="T12" s="15" t="s">
        <v>63</v>
      </c>
      <c r="U12" s="16">
        <v>0.185</v>
      </c>
      <c r="V12" s="14">
        <v>29.19</v>
      </c>
      <c r="W12" s="14">
        <v>0.0</v>
      </c>
      <c r="X12" s="1" t="s">
        <v>57</v>
      </c>
      <c r="Y12" s="1"/>
      <c r="Z12" s="1"/>
    </row>
    <row r="13" ht="14.25" customHeight="1">
      <c r="A13" s="1" t="s">
        <v>100</v>
      </c>
      <c r="B13" s="1" t="s">
        <v>47</v>
      </c>
      <c r="C13" s="1" t="s">
        <v>116</v>
      </c>
      <c r="D13" s="1" t="s">
        <v>117</v>
      </c>
      <c r="E13" s="1" t="s">
        <v>118</v>
      </c>
      <c r="F13" s="1" t="s">
        <v>119</v>
      </c>
      <c r="G13" s="1" t="s">
        <v>120</v>
      </c>
      <c r="H13" s="1" t="s">
        <v>112</v>
      </c>
      <c r="I13" s="1" t="s">
        <v>121</v>
      </c>
      <c r="J13" s="1" t="s">
        <v>83</v>
      </c>
      <c r="K13" s="1" t="s">
        <v>56</v>
      </c>
      <c r="L13" s="13">
        <v>31.0</v>
      </c>
      <c r="M13" s="1" t="s">
        <v>58</v>
      </c>
      <c r="N13" s="1" t="s">
        <v>59</v>
      </c>
      <c r="O13" s="1" t="s">
        <v>60</v>
      </c>
      <c r="P13" s="1">
        <v>300.0</v>
      </c>
      <c r="Q13" s="14">
        <v>0.0</v>
      </c>
      <c r="R13" s="1" t="s">
        <v>61</v>
      </c>
      <c r="S13" s="1" t="s">
        <v>122</v>
      </c>
      <c r="T13" s="15" t="s">
        <v>63</v>
      </c>
      <c r="U13" s="16">
        <v>0.0</v>
      </c>
      <c r="V13" s="14">
        <v>-532.65</v>
      </c>
      <c r="W13" s="14">
        <v>-532.65</v>
      </c>
      <c r="X13" s="1" t="s">
        <v>57</v>
      </c>
      <c r="Y13" s="1"/>
      <c r="Z13" s="1"/>
    </row>
    <row r="14" ht="14.25" customHeight="1">
      <c r="A14" s="1" t="s">
        <v>100</v>
      </c>
      <c r="B14" s="1" t="s">
        <v>47</v>
      </c>
      <c r="C14" s="1" t="s">
        <v>116</v>
      </c>
      <c r="D14" s="1" t="s">
        <v>117</v>
      </c>
      <c r="E14" s="1" t="s">
        <v>123</v>
      </c>
      <c r="F14" s="1" t="s">
        <v>124</v>
      </c>
      <c r="G14" s="1" t="s">
        <v>125</v>
      </c>
      <c r="H14" s="1" t="s">
        <v>112</v>
      </c>
      <c r="I14" s="1" t="s">
        <v>121</v>
      </c>
      <c r="J14" s="1" t="s">
        <v>126</v>
      </c>
      <c r="K14" s="1" t="s">
        <v>127</v>
      </c>
      <c r="L14" s="13">
        <v>43.0</v>
      </c>
      <c r="M14" s="1" t="s">
        <v>58</v>
      </c>
      <c r="N14" s="1" t="s">
        <v>59</v>
      </c>
      <c r="O14" s="1" t="s">
        <v>60</v>
      </c>
      <c r="P14" s="1">
        <v>300.0</v>
      </c>
      <c r="Q14" s="14">
        <v>-165.54</v>
      </c>
      <c r="R14" s="1" t="s">
        <v>61</v>
      </c>
      <c r="S14" s="1" t="s">
        <v>128</v>
      </c>
      <c r="T14" s="15" t="s">
        <v>63</v>
      </c>
      <c r="U14" s="16">
        <v>1.5</v>
      </c>
      <c r="V14" s="14">
        <v>-234.79</v>
      </c>
      <c r="W14" s="14">
        <v>13.52</v>
      </c>
      <c r="X14" s="1" t="s">
        <v>57</v>
      </c>
      <c r="Y14" s="1"/>
      <c r="Z14" s="1"/>
    </row>
    <row r="15" ht="14.25" customHeight="1">
      <c r="A15" s="1" t="s">
        <v>100</v>
      </c>
      <c r="B15" s="1" t="s">
        <v>47</v>
      </c>
      <c r="C15" s="1" t="s">
        <v>116</v>
      </c>
      <c r="D15" s="1" t="s">
        <v>117</v>
      </c>
      <c r="E15" s="1" t="s">
        <v>129</v>
      </c>
      <c r="F15" s="1" t="s">
        <v>130</v>
      </c>
      <c r="G15" s="1" t="s">
        <v>125</v>
      </c>
      <c r="H15" s="1" t="s">
        <v>70</v>
      </c>
      <c r="I15" s="1" t="s">
        <v>131</v>
      </c>
      <c r="J15" s="1" t="s">
        <v>132</v>
      </c>
      <c r="K15" s="1" t="s">
        <v>133</v>
      </c>
      <c r="L15" s="13">
        <v>60.0</v>
      </c>
      <c r="M15" s="1" t="s">
        <v>58</v>
      </c>
      <c r="N15" s="1" t="s">
        <v>59</v>
      </c>
      <c r="O15" s="1" t="s">
        <v>60</v>
      </c>
      <c r="P15" s="1">
        <v>180.0</v>
      </c>
      <c r="Q15" s="14">
        <v>226.9</v>
      </c>
      <c r="R15" s="1" t="s">
        <v>61</v>
      </c>
      <c r="S15" s="1" t="s">
        <v>62</v>
      </c>
      <c r="T15" s="15" t="s">
        <v>63</v>
      </c>
      <c r="U15" s="16">
        <v>1.5</v>
      </c>
      <c r="V15" s="14">
        <v>340.35</v>
      </c>
      <c r="W15" s="14">
        <v>0.0</v>
      </c>
      <c r="X15" s="1" t="s">
        <v>57</v>
      </c>
      <c r="Y15" s="1"/>
      <c r="Z15" s="1"/>
    </row>
    <row r="16" ht="14.25" customHeight="1">
      <c r="A16" s="1" t="s">
        <v>100</v>
      </c>
      <c r="B16" s="1" t="s">
        <v>47</v>
      </c>
      <c r="C16" s="1" t="s">
        <v>116</v>
      </c>
      <c r="D16" s="1" t="s">
        <v>134</v>
      </c>
      <c r="E16" s="1" t="s">
        <v>135</v>
      </c>
      <c r="F16" s="1" t="s">
        <v>136</v>
      </c>
      <c r="G16" s="1" t="s">
        <v>52</v>
      </c>
      <c r="H16" s="1" t="s">
        <v>137</v>
      </c>
      <c r="I16" s="1" t="s">
        <v>138</v>
      </c>
      <c r="J16" s="1" t="s">
        <v>139</v>
      </c>
      <c r="K16" s="1" t="s">
        <v>140</v>
      </c>
      <c r="L16" s="13">
        <v>66.0</v>
      </c>
      <c r="M16" s="1" t="s">
        <v>58</v>
      </c>
      <c r="N16" s="1" t="s">
        <v>59</v>
      </c>
      <c r="O16" s="1" t="s">
        <v>60</v>
      </c>
      <c r="P16" s="1">
        <v>12.0</v>
      </c>
      <c r="Q16" s="14">
        <v>71.62</v>
      </c>
      <c r="R16" s="1" t="s">
        <v>61</v>
      </c>
      <c r="S16" s="1" t="s">
        <v>62</v>
      </c>
      <c r="T16" s="15" t="s">
        <v>63</v>
      </c>
      <c r="U16" s="16">
        <v>1.35</v>
      </c>
      <c r="V16" s="14">
        <v>0.0</v>
      </c>
      <c r="W16" s="14">
        <v>-96.69</v>
      </c>
      <c r="X16" s="1" t="s">
        <v>57</v>
      </c>
      <c r="Y16" s="1"/>
      <c r="Z16" s="1"/>
    </row>
    <row r="17" ht="14.25" customHeight="1">
      <c r="A17" s="1" t="s">
        <v>100</v>
      </c>
      <c r="B17" s="1" t="s">
        <v>47</v>
      </c>
      <c r="C17" s="1" t="s">
        <v>116</v>
      </c>
      <c r="D17" s="1" t="s">
        <v>141</v>
      </c>
      <c r="E17" s="1" t="s">
        <v>142</v>
      </c>
      <c r="F17" s="1" t="s">
        <v>143</v>
      </c>
      <c r="G17" s="1" t="s">
        <v>144</v>
      </c>
      <c r="H17" s="1" t="s">
        <v>53</v>
      </c>
      <c r="I17" s="1" t="s">
        <v>145</v>
      </c>
      <c r="J17" s="1" t="s">
        <v>146</v>
      </c>
      <c r="K17" s="1" t="s">
        <v>95</v>
      </c>
      <c r="L17" s="13">
        <v>79.0</v>
      </c>
      <c r="M17" s="1" t="s">
        <v>58</v>
      </c>
      <c r="N17" s="1" t="s">
        <v>59</v>
      </c>
      <c r="O17" s="1" t="s">
        <v>60</v>
      </c>
      <c r="P17" s="1">
        <v>10.0</v>
      </c>
      <c r="Q17" s="14">
        <v>116.77</v>
      </c>
      <c r="R17" s="1" t="s">
        <v>61</v>
      </c>
      <c r="S17" s="1" t="s">
        <v>62</v>
      </c>
      <c r="T17" s="15" t="s">
        <v>63</v>
      </c>
      <c r="U17" s="16">
        <v>0.875</v>
      </c>
      <c r="V17" s="14">
        <v>0.0</v>
      </c>
      <c r="W17" s="14">
        <v>-102.17</v>
      </c>
      <c r="X17" s="1" t="s">
        <v>57</v>
      </c>
      <c r="Y17" s="1"/>
      <c r="Z17" s="1"/>
    </row>
    <row r="18" ht="14.25" customHeight="1">
      <c r="A18" s="1" t="s">
        <v>100</v>
      </c>
      <c r="B18" s="1" t="s">
        <v>47</v>
      </c>
      <c r="C18" s="1" t="s">
        <v>116</v>
      </c>
      <c r="D18" s="1" t="s">
        <v>141</v>
      </c>
      <c r="E18" s="1" t="s">
        <v>147</v>
      </c>
      <c r="F18" s="1" t="s">
        <v>148</v>
      </c>
      <c r="G18" s="1" t="s">
        <v>144</v>
      </c>
      <c r="H18" s="1" t="s">
        <v>112</v>
      </c>
      <c r="I18" s="1" t="s">
        <v>149</v>
      </c>
      <c r="J18" s="1" t="s">
        <v>150</v>
      </c>
      <c r="K18" s="1" t="s">
        <v>151</v>
      </c>
      <c r="L18" s="13">
        <v>31.0</v>
      </c>
      <c r="M18" s="1" t="s">
        <v>58</v>
      </c>
      <c r="N18" s="1" t="s">
        <v>59</v>
      </c>
      <c r="O18" s="1" t="s">
        <v>60</v>
      </c>
      <c r="P18" s="1">
        <v>185.0</v>
      </c>
      <c r="Q18" s="14">
        <v>89.23</v>
      </c>
      <c r="R18" s="1" t="s">
        <v>61</v>
      </c>
      <c r="S18" s="1" t="s">
        <v>62</v>
      </c>
      <c r="T18" s="15" t="s">
        <v>63</v>
      </c>
      <c r="U18" s="16">
        <v>1.35</v>
      </c>
      <c r="V18" s="14">
        <v>120.46</v>
      </c>
      <c r="W18" s="14">
        <v>0.0</v>
      </c>
      <c r="X18" s="1" t="s">
        <v>57</v>
      </c>
      <c r="Y18" s="1"/>
      <c r="Z18" s="1"/>
    </row>
    <row r="19" ht="14.25" customHeight="1">
      <c r="A19" s="1" t="s">
        <v>100</v>
      </c>
      <c r="B19" s="1" t="s">
        <v>47</v>
      </c>
      <c r="C19" s="1" t="s">
        <v>116</v>
      </c>
      <c r="D19" s="1" t="s">
        <v>117</v>
      </c>
      <c r="E19" s="1" t="s">
        <v>152</v>
      </c>
      <c r="F19" s="1" t="s">
        <v>153</v>
      </c>
      <c r="G19" s="1" t="s">
        <v>125</v>
      </c>
      <c r="H19" s="1" t="s">
        <v>53</v>
      </c>
      <c r="I19" s="1" t="s">
        <v>154</v>
      </c>
      <c r="J19" s="1" t="s">
        <v>155</v>
      </c>
      <c r="K19" s="1" t="s">
        <v>140</v>
      </c>
      <c r="L19" s="13">
        <v>54.0</v>
      </c>
      <c r="M19" s="1" t="s">
        <v>58</v>
      </c>
      <c r="N19" s="1" t="s">
        <v>59</v>
      </c>
      <c r="O19" s="1" t="s">
        <v>60</v>
      </c>
      <c r="P19" s="1">
        <v>250.0</v>
      </c>
      <c r="Q19" s="14">
        <v>282.13</v>
      </c>
      <c r="R19" s="1" t="s">
        <v>61</v>
      </c>
      <c r="S19" s="1" t="s">
        <v>62</v>
      </c>
      <c r="T19" s="15" t="s">
        <v>63</v>
      </c>
      <c r="U19" s="16">
        <v>1.5</v>
      </c>
      <c r="V19" s="14">
        <v>423.2</v>
      </c>
      <c r="W19" s="14">
        <v>0.0</v>
      </c>
      <c r="X19" s="1" t="s">
        <v>57</v>
      </c>
      <c r="Y19" s="1"/>
      <c r="Z19" s="1"/>
    </row>
    <row r="20" ht="14.25" customHeight="1">
      <c r="A20" s="1" t="s">
        <v>100</v>
      </c>
      <c r="B20" s="1" t="s">
        <v>47</v>
      </c>
      <c r="C20" s="1" t="s">
        <v>116</v>
      </c>
      <c r="D20" s="1" t="s">
        <v>117</v>
      </c>
      <c r="E20" s="1" t="s">
        <v>156</v>
      </c>
      <c r="F20" s="1" t="s">
        <v>157</v>
      </c>
      <c r="G20" s="1" t="s">
        <v>125</v>
      </c>
      <c r="H20" s="1" t="s">
        <v>53</v>
      </c>
      <c r="I20" s="1" t="s">
        <v>121</v>
      </c>
      <c r="J20" s="1" t="s">
        <v>155</v>
      </c>
      <c r="K20" s="1" t="s">
        <v>140</v>
      </c>
      <c r="L20" s="13">
        <v>39.0</v>
      </c>
      <c r="M20" s="1" t="s">
        <v>58</v>
      </c>
      <c r="N20" s="1" t="s">
        <v>59</v>
      </c>
      <c r="O20" s="1" t="s">
        <v>60</v>
      </c>
      <c r="P20" s="1">
        <v>300.0</v>
      </c>
      <c r="Q20" s="14">
        <v>142.31</v>
      </c>
      <c r="R20" s="1" t="s">
        <v>61</v>
      </c>
      <c r="S20" s="1" t="s">
        <v>62</v>
      </c>
      <c r="T20" s="15" t="s">
        <v>63</v>
      </c>
      <c r="U20" s="16">
        <v>1.5</v>
      </c>
      <c r="V20" s="14">
        <v>0.0</v>
      </c>
      <c r="W20" s="14">
        <v>-213.47</v>
      </c>
      <c r="X20" s="1" t="s">
        <v>57</v>
      </c>
      <c r="Y20" s="1"/>
      <c r="Z20" s="1"/>
    </row>
    <row r="21" ht="14.25" customHeight="1">
      <c r="A21" s="1" t="s">
        <v>100</v>
      </c>
      <c r="B21" s="1" t="s">
        <v>47</v>
      </c>
      <c r="C21" s="1" t="s">
        <v>116</v>
      </c>
      <c r="D21" s="1" t="s">
        <v>117</v>
      </c>
      <c r="E21" s="1" t="s">
        <v>158</v>
      </c>
      <c r="F21" s="1" t="s">
        <v>159</v>
      </c>
      <c r="G21" s="1" t="s">
        <v>160</v>
      </c>
      <c r="H21" s="1" t="s">
        <v>53</v>
      </c>
      <c r="I21" s="1" t="s">
        <v>121</v>
      </c>
      <c r="J21" s="1" t="s">
        <v>155</v>
      </c>
      <c r="K21" s="1" t="s">
        <v>140</v>
      </c>
      <c r="L21" s="13">
        <v>29.0</v>
      </c>
      <c r="M21" s="1" t="s">
        <v>58</v>
      </c>
      <c r="N21" s="1" t="s">
        <v>59</v>
      </c>
      <c r="O21" s="1" t="s">
        <v>60</v>
      </c>
      <c r="P21" s="1">
        <v>300.0</v>
      </c>
      <c r="Q21" s="14">
        <v>64.61</v>
      </c>
      <c r="R21" s="1" t="s">
        <v>61</v>
      </c>
      <c r="S21" s="1" t="s">
        <v>62</v>
      </c>
      <c r="T21" s="15" t="s">
        <v>63</v>
      </c>
      <c r="U21" s="16">
        <v>1.5</v>
      </c>
      <c r="V21" s="14">
        <v>0.0</v>
      </c>
      <c r="W21" s="14">
        <v>-96.92</v>
      </c>
      <c r="X21" s="1" t="s">
        <v>57</v>
      </c>
      <c r="Y21" s="1"/>
      <c r="Z21" s="1"/>
    </row>
    <row r="22" ht="14.25" customHeight="1">
      <c r="A22" s="1" t="s">
        <v>100</v>
      </c>
      <c r="B22" s="1" t="s">
        <v>47</v>
      </c>
      <c r="C22" s="1" t="s">
        <v>116</v>
      </c>
      <c r="D22" s="1" t="s">
        <v>117</v>
      </c>
      <c r="E22" s="1" t="s">
        <v>161</v>
      </c>
      <c r="F22" s="1" t="s">
        <v>162</v>
      </c>
      <c r="G22" s="1" t="s">
        <v>125</v>
      </c>
      <c r="H22" s="1" t="s">
        <v>53</v>
      </c>
      <c r="I22" s="1" t="s">
        <v>121</v>
      </c>
      <c r="J22" s="1" t="s">
        <v>155</v>
      </c>
      <c r="K22" s="1" t="s">
        <v>140</v>
      </c>
      <c r="L22" s="13">
        <v>21.0</v>
      </c>
      <c r="M22" s="1" t="s">
        <v>58</v>
      </c>
      <c r="N22" s="1" t="s">
        <v>59</v>
      </c>
      <c r="O22" s="1" t="s">
        <v>60</v>
      </c>
      <c r="P22" s="1">
        <v>300.0</v>
      </c>
      <c r="Q22" s="14">
        <v>65.5</v>
      </c>
      <c r="R22" s="1" t="s">
        <v>61</v>
      </c>
      <c r="S22" s="1" t="s">
        <v>62</v>
      </c>
      <c r="T22" s="15" t="s">
        <v>63</v>
      </c>
      <c r="U22" s="16">
        <v>1.5</v>
      </c>
      <c r="V22" s="14">
        <v>0.0</v>
      </c>
      <c r="W22" s="14">
        <v>-98.25</v>
      </c>
      <c r="X22" s="1" t="s">
        <v>57</v>
      </c>
      <c r="Y22" s="1"/>
      <c r="Z22" s="1"/>
    </row>
    <row r="23" ht="14.25" customHeight="1">
      <c r="A23" s="1" t="s">
        <v>100</v>
      </c>
      <c r="B23" s="1" t="s">
        <v>47</v>
      </c>
      <c r="C23" s="1" t="s">
        <v>116</v>
      </c>
      <c r="D23" s="1" t="s">
        <v>117</v>
      </c>
      <c r="E23" s="1" t="s">
        <v>163</v>
      </c>
      <c r="F23" s="1" t="s">
        <v>164</v>
      </c>
      <c r="G23" s="1" t="s">
        <v>125</v>
      </c>
      <c r="H23" s="1" t="s">
        <v>112</v>
      </c>
      <c r="I23" s="1" t="s">
        <v>154</v>
      </c>
      <c r="J23" s="1" t="s">
        <v>126</v>
      </c>
      <c r="K23" s="1" t="s">
        <v>127</v>
      </c>
      <c r="L23" s="13">
        <v>55.0</v>
      </c>
      <c r="M23" s="1" t="s">
        <v>58</v>
      </c>
      <c r="N23" s="1" t="s">
        <v>59</v>
      </c>
      <c r="O23" s="1" t="s">
        <v>60</v>
      </c>
      <c r="P23" s="1">
        <v>250.0</v>
      </c>
      <c r="Q23" s="14">
        <v>-555.14</v>
      </c>
      <c r="R23" s="1" t="s">
        <v>61</v>
      </c>
      <c r="S23" s="1" t="s">
        <v>128</v>
      </c>
      <c r="T23" s="15" t="s">
        <v>63</v>
      </c>
      <c r="U23" s="16">
        <v>1.5</v>
      </c>
      <c r="V23" s="14">
        <v>-832.71</v>
      </c>
      <c r="W23" s="14">
        <v>0.0</v>
      </c>
      <c r="X23" s="1" t="s">
        <v>57</v>
      </c>
      <c r="Y23" s="1"/>
      <c r="Z23" s="1"/>
    </row>
    <row r="24" ht="14.25" customHeight="1">
      <c r="A24" s="1" t="s">
        <v>100</v>
      </c>
      <c r="B24" s="1" t="s">
        <v>47</v>
      </c>
      <c r="C24" s="1" t="s">
        <v>116</v>
      </c>
      <c r="D24" s="1" t="s">
        <v>165</v>
      </c>
      <c r="E24" s="1" t="s">
        <v>166</v>
      </c>
      <c r="F24" s="1" t="s">
        <v>167</v>
      </c>
      <c r="G24" s="1" t="s">
        <v>104</v>
      </c>
      <c r="H24" s="1" t="s">
        <v>137</v>
      </c>
      <c r="I24" s="1" t="s">
        <v>138</v>
      </c>
      <c r="J24" s="1" t="s">
        <v>168</v>
      </c>
      <c r="K24" s="1" t="s">
        <v>169</v>
      </c>
      <c r="L24" s="13">
        <v>63.0</v>
      </c>
      <c r="M24" s="1" t="s">
        <v>58</v>
      </c>
      <c r="N24" s="1" t="s">
        <v>59</v>
      </c>
      <c r="O24" s="1" t="s">
        <v>60</v>
      </c>
      <c r="P24" s="1">
        <v>10.0</v>
      </c>
      <c r="Q24" s="14">
        <v>52.07</v>
      </c>
      <c r="R24" s="1" t="s">
        <v>61</v>
      </c>
      <c r="S24" s="1" t="s">
        <v>62</v>
      </c>
      <c r="T24" s="15" t="s">
        <v>63</v>
      </c>
      <c r="U24" s="16">
        <v>0.25</v>
      </c>
      <c r="V24" s="14">
        <v>13.02</v>
      </c>
      <c r="W24" s="14">
        <v>0.0</v>
      </c>
      <c r="X24" s="1" t="s">
        <v>57</v>
      </c>
      <c r="Y24" s="1"/>
      <c r="Z24" s="1"/>
    </row>
    <row r="25" ht="14.25" customHeight="1">
      <c r="A25" s="1" t="s">
        <v>100</v>
      </c>
      <c r="B25" s="1" t="s">
        <v>47</v>
      </c>
      <c r="C25" s="1" t="s">
        <v>116</v>
      </c>
      <c r="D25" s="1" t="s">
        <v>170</v>
      </c>
      <c r="E25" s="1" t="s">
        <v>171</v>
      </c>
      <c r="F25" s="1" t="s">
        <v>172</v>
      </c>
      <c r="G25" s="1" t="s">
        <v>173</v>
      </c>
      <c r="H25" s="1" t="s">
        <v>137</v>
      </c>
      <c r="I25" s="1" t="s">
        <v>149</v>
      </c>
      <c r="J25" s="1" t="s">
        <v>174</v>
      </c>
      <c r="K25" s="1" t="s">
        <v>175</v>
      </c>
      <c r="L25" s="13">
        <v>63.0</v>
      </c>
      <c r="M25" s="1" t="s">
        <v>58</v>
      </c>
      <c r="N25" s="1" t="s">
        <v>59</v>
      </c>
      <c r="O25" s="1" t="s">
        <v>60</v>
      </c>
      <c r="P25" s="1">
        <v>82.0</v>
      </c>
      <c r="Q25" s="14">
        <v>180.0</v>
      </c>
      <c r="R25" s="1" t="s">
        <v>61</v>
      </c>
      <c r="S25" s="1" t="s">
        <v>62</v>
      </c>
      <c r="T25" s="15" t="s">
        <v>63</v>
      </c>
      <c r="U25" s="16">
        <v>0.675</v>
      </c>
      <c r="V25" s="14">
        <v>0.0</v>
      </c>
      <c r="W25" s="14">
        <v>-121.5</v>
      </c>
      <c r="X25" s="1" t="s">
        <v>57</v>
      </c>
      <c r="Y25" s="1"/>
      <c r="Z25" s="1"/>
    </row>
    <row r="26" ht="14.25" customHeight="1">
      <c r="A26" s="1" t="s">
        <v>100</v>
      </c>
      <c r="B26" s="1" t="s">
        <v>47</v>
      </c>
      <c r="C26" s="1" t="s">
        <v>116</v>
      </c>
      <c r="D26" s="1" t="s">
        <v>170</v>
      </c>
      <c r="E26" s="1" t="s">
        <v>176</v>
      </c>
      <c r="F26" s="1" t="s">
        <v>177</v>
      </c>
      <c r="G26" s="1" t="s">
        <v>125</v>
      </c>
      <c r="H26" s="1" t="s">
        <v>53</v>
      </c>
      <c r="I26" s="1" t="s">
        <v>149</v>
      </c>
      <c r="J26" s="1" t="s">
        <v>178</v>
      </c>
      <c r="K26" s="1" t="s">
        <v>169</v>
      </c>
      <c r="L26" s="13">
        <v>29.0</v>
      </c>
      <c r="M26" s="1" t="s">
        <v>58</v>
      </c>
      <c r="N26" s="1" t="s">
        <v>59</v>
      </c>
      <c r="O26" s="1" t="s">
        <v>60</v>
      </c>
      <c r="P26" s="1">
        <v>275.0</v>
      </c>
      <c r="Q26" s="14">
        <v>122.68</v>
      </c>
      <c r="R26" s="1" t="s">
        <v>61</v>
      </c>
      <c r="S26" s="1" t="s">
        <v>62</v>
      </c>
      <c r="T26" s="15" t="s">
        <v>63</v>
      </c>
      <c r="U26" s="16">
        <v>0.675</v>
      </c>
      <c r="V26" s="14">
        <v>82.81</v>
      </c>
      <c r="W26" s="14">
        <v>0.0</v>
      </c>
      <c r="X26" s="1" t="s">
        <v>57</v>
      </c>
      <c r="Y26" s="1"/>
      <c r="Z26" s="1"/>
    </row>
    <row r="27" ht="14.25" customHeight="1">
      <c r="A27" s="1" t="s">
        <v>100</v>
      </c>
      <c r="B27" s="1" t="s">
        <v>47</v>
      </c>
      <c r="C27" s="1" t="s">
        <v>116</v>
      </c>
      <c r="D27" s="1" t="s">
        <v>170</v>
      </c>
      <c r="E27" s="1" t="s">
        <v>179</v>
      </c>
      <c r="F27" s="1" t="s">
        <v>180</v>
      </c>
      <c r="G27" s="1" t="s">
        <v>173</v>
      </c>
      <c r="H27" s="1" t="s">
        <v>70</v>
      </c>
      <c r="I27" s="1" t="s">
        <v>131</v>
      </c>
      <c r="J27" s="1" t="s">
        <v>181</v>
      </c>
      <c r="K27" s="1" t="s">
        <v>140</v>
      </c>
      <c r="L27" s="13">
        <v>54.0</v>
      </c>
      <c r="M27" s="1" t="s">
        <v>58</v>
      </c>
      <c r="N27" s="1" t="s">
        <v>59</v>
      </c>
      <c r="O27" s="1" t="s">
        <v>60</v>
      </c>
      <c r="P27" s="1">
        <v>175.0</v>
      </c>
      <c r="Q27" s="14">
        <v>158.13</v>
      </c>
      <c r="R27" s="1" t="s">
        <v>61</v>
      </c>
      <c r="S27" s="1" t="s">
        <v>62</v>
      </c>
      <c r="T27" s="15" t="s">
        <v>63</v>
      </c>
      <c r="U27" s="16">
        <v>1.5</v>
      </c>
      <c r="V27" s="14">
        <v>237.2</v>
      </c>
      <c r="W27" s="14">
        <v>0.0</v>
      </c>
      <c r="X27" s="1" t="s">
        <v>57</v>
      </c>
      <c r="Y27" s="1"/>
      <c r="Z27" s="1"/>
    </row>
    <row r="28" ht="14.25" customHeight="1">
      <c r="A28" s="1" t="s">
        <v>100</v>
      </c>
      <c r="B28" s="1" t="s">
        <v>47</v>
      </c>
      <c r="C28" s="1" t="s">
        <v>116</v>
      </c>
      <c r="D28" s="1" t="s">
        <v>182</v>
      </c>
      <c r="E28" s="1" t="s">
        <v>183</v>
      </c>
      <c r="F28" s="1" t="s">
        <v>184</v>
      </c>
      <c r="G28" s="1" t="s">
        <v>185</v>
      </c>
      <c r="H28" s="1" t="s">
        <v>53</v>
      </c>
      <c r="I28" s="1" t="s">
        <v>154</v>
      </c>
      <c r="J28" s="1" t="s">
        <v>186</v>
      </c>
      <c r="K28" s="1" t="s">
        <v>187</v>
      </c>
      <c r="L28" s="13">
        <v>58.0</v>
      </c>
      <c r="M28" s="1" t="s">
        <v>58</v>
      </c>
      <c r="N28" s="1" t="s">
        <v>59</v>
      </c>
      <c r="O28" s="1" t="s">
        <v>60</v>
      </c>
      <c r="P28" s="1">
        <v>40.0</v>
      </c>
      <c r="Q28" s="14">
        <v>66.22</v>
      </c>
      <c r="R28" s="1" t="s">
        <v>61</v>
      </c>
      <c r="S28" s="1" t="s">
        <v>62</v>
      </c>
      <c r="T28" s="15" t="s">
        <v>63</v>
      </c>
      <c r="U28" s="16">
        <v>1.5</v>
      </c>
      <c r="V28" s="14">
        <v>0.0</v>
      </c>
      <c r="W28" s="14">
        <v>-99.33</v>
      </c>
      <c r="X28" s="1" t="s">
        <v>57</v>
      </c>
      <c r="Y28" s="1"/>
      <c r="Z28" s="1"/>
    </row>
    <row r="29" ht="14.25" customHeight="1">
      <c r="A29" s="1" t="s">
        <v>100</v>
      </c>
      <c r="B29" s="1" t="s">
        <v>47</v>
      </c>
      <c r="C29" s="1" t="s">
        <v>116</v>
      </c>
      <c r="D29" s="1" t="s">
        <v>182</v>
      </c>
      <c r="E29" s="1" t="s">
        <v>188</v>
      </c>
      <c r="F29" s="1" t="s">
        <v>189</v>
      </c>
      <c r="G29" s="1" t="s">
        <v>190</v>
      </c>
      <c r="H29" s="1" t="s">
        <v>53</v>
      </c>
      <c r="I29" s="1" t="s">
        <v>154</v>
      </c>
      <c r="J29" s="1" t="s">
        <v>90</v>
      </c>
      <c r="K29" s="1" t="s">
        <v>56</v>
      </c>
      <c r="L29" s="13">
        <v>34.0</v>
      </c>
      <c r="M29" s="1" t="s">
        <v>58</v>
      </c>
      <c r="N29" s="1" t="s">
        <v>59</v>
      </c>
      <c r="O29" s="1" t="s">
        <v>60</v>
      </c>
      <c r="P29" s="1">
        <v>100.0</v>
      </c>
      <c r="Q29" s="14">
        <v>25.72</v>
      </c>
      <c r="R29" s="1" t="s">
        <v>61</v>
      </c>
      <c r="S29" s="1" t="s">
        <v>62</v>
      </c>
      <c r="T29" s="15" t="s">
        <v>63</v>
      </c>
      <c r="U29" s="16">
        <v>1.5</v>
      </c>
      <c r="V29" s="14">
        <v>0.0</v>
      </c>
      <c r="W29" s="14">
        <v>-38.58</v>
      </c>
      <c r="X29" s="1" t="s">
        <v>57</v>
      </c>
      <c r="Y29" s="1"/>
      <c r="Z29" s="1"/>
    </row>
    <row r="30" ht="14.25" customHeight="1">
      <c r="A30" s="1" t="s">
        <v>100</v>
      </c>
      <c r="B30" s="1" t="s">
        <v>47</v>
      </c>
      <c r="C30" s="1" t="s">
        <v>116</v>
      </c>
      <c r="D30" s="1" t="s">
        <v>191</v>
      </c>
      <c r="E30" s="1" t="s">
        <v>192</v>
      </c>
      <c r="F30" s="1" t="s">
        <v>193</v>
      </c>
      <c r="G30" s="1" t="s">
        <v>144</v>
      </c>
      <c r="H30" s="1" t="s">
        <v>53</v>
      </c>
      <c r="I30" s="1" t="s">
        <v>194</v>
      </c>
      <c r="J30" s="1" t="s">
        <v>139</v>
      </c>
      <c r="K30" s="1" t="s">
        <v>140</v>
      </c>
      <c r="L30" s="13">
        <v>53.0</v>
      </c>
      <c r="M30" s="1" t="s">
        <v>58</v>
      </c>
      <c r="N30" s="1" t="s">
        <v>59</v>
      </c>
      <c r="O30" s="1" t="s">
        <v>60</v>
      </c>
      <c r="P30" s="1">
        <v>100.0</v>
      </c>
      <c r="Q30" s="14">
        <v>161.45</v>
      </c>
      <c r="R30" s="1" t="s">
        <v>61</v>
      </c>
      <c r="S30" s="1" t="s">
        <v>62</v>
      </c>
      <c r="T30" s="15" t="s">
        <v>63</v>
      </c>
      <c r="U30" s="16">
        <v>1.3</v>
      </c>
      <c r="V30" s="14">
        <v>0.0</v>
      </c>
      <c r="W30" s="14">
        <v>-209.89</v>
      </c>
      <c r="X30" s="1" t="s">
        <v>57</v>
      </c>
      <c r="Y30" s="1"/>
      <c r="Z30" s="1"/>
    </row>
    <row r="31" ht="14.25" customHeight="1">
      <c r="A31" s="1" t="s">
        <v>100</v>
      </c>
      <c r="B31" s="1" t="s">
        <v>47</v>
      </c>
      <c r="C31" s="1" t="s">
        <v>116</v>
      </c>
      <c r="D31" s="1" t="s">
        <v>191</v>
      </c>
      <c r="E31" s="1" t="s">
        <v>195</v>
      </c>
      <c r="F31" s="1" t="s">
        <v>196</v>
      </c>
      <c r="G31" s="1" t="s">
        <v>144</v>
      </c>
      <c r="H31" s="1" t="s">
        <v>70</v>
      </c>
      <c r="I31" s="1" t="s">
        <v>194</v>
      </c>
      <c r="J31" s="1" t="s">
        <v>197</v>
      </c>
      <c r="K31" s="1" t="s">
        <v>133</v>
      </c>
      <c r="L31" s="13">
        <v>64.0</v>
      </c>
      <c r="M31" s="1" t="s">
        <v>58</v>
      </c>
      <c r="N31" s="1" t="s">
        <v>59</v>
      </c>
      <c r="O31" s="1" t="s">
        <v>60</v>
      </c>
      <c r="P31" s="1">
        <v>100.0</v>
      </c>
      <c r="Q31" s="14">
        <v>190.1</v>
      </c>
      <c r="R31" s="1" t="s">
        <v>61</v>
      </c>
      <c r="S31" s="1" t="s">
        <v>62</v>
      </c>
      <c r="T31" s="15" t="s">
        <v>63</v>
      </c>
      <c r="U31" s="16">
        <v>1.3</v>
      </c>
      <c r="V31" s="14">
        <v>0.0</v>
      </c>
      <c r="W31" s="14">
        <v>-247.13</v>
      </c>
      <c r="X31" s="1" t="s">
        <v>57</v>
      </c>
      <c r="Y31" s="1"/>
      <c r="Z31" s="1"/>
    </row>
    <row r="32" ht="14.25" customHeight="1">
      <c r="A32" s="1" t="s">
        <v>100</v>
      </c>
      <c r="B32" s="1" t="s">
        <v>47</v>
      </c>
      <c r="C32" s="1" t="s">
        <v>116</v>
      </c>
      <c r="D32" s="1" t="s">
        <v>191</v>
      </c>
      <c r="E32" s="1" t="s">
        <v>198</v>
      </c>
      <c r="F32" s="1" t="s">
        <v>199</v>
      </c>
      <c r="G32" s="1" t="s">
        <v>144</v>
      </c>
      <c r="H32" s="1" t="s">
        <v>112</v>
      </c>
      <c r="I32" s="1" t="s">
        <v>131</v>
      </c>
      <c r="J32" s="1" t="s">
        <v>197</v>
      </c>
      <c r="K32" s="1" t="s">
        <v>133</v>
      </c>
      <c r="L32" s="13">
        <v>46.0</v>
      </c>
      <c r="M32" s="1" t="s">
        <v>58</v>
      </c>
      <c r="N32" s="1" t="s">
        <v>59</v>
      </c>
      <c r="O32" s="1" t="s">
        <v>60</v>
      </c>
      <c r="P32" s="1">
        <v>125.0</v>
      </c>
      <c r="Q32" s="14">
        <v>77.83</v>
      </c>
      <c r="R32" s="1" t="s">
        <v>61</v>
      </c>
      <c r="S32" s="1" t="s">
        <v>62</v>
      </c>
      <c r="T32" s="15" t="s">
        <v>63</v>
      </c>
      <c r="U32" s="16">
        <v>1.5</v>
      </c>
      <c r="V32" s="14">
        <v>0.0</v>
      </c>
      <c r="W32" s="14">
        <v>-116.75</v>
      </c>
      <c r="X32" s="1" t="s">
        <v>57</v>
      </c>
      <c r="Y32" s="1"/>
      <c r="Z32" s="1"/>
    </row>
    <row r="33" ht="14.25" customHeight="1">
      <c r="A33" s="1" t="s">
        <v>100</v>
      </c>
      <c r="B33" s="1" t="s">
        <v>47</v>
      </c>
      <c r="C33" s="1" t="s">
        <v>116</v>
      </c>
      <c r="D33" s="1" t="s">
        <v>191</v>
      </c>
      <c r="E33" s="1" t="s">
        <v>200</v>
      </c>
      <c r="F33" s="1" t="s">
        <v>201</v>
      </c>
      <c r="G33" s="1" t="s">
        <v>144</v>
      </c>
      <c r="H33" s="1" t="s">
        <v>137</v>
      </c>
      <c r="I33" s="1" t="s">
        <v>149</v>
      </c>
      <c r="J33" s="1" t="s">
        <v>202</v>
      </c>
      <c r="K33" s="1" t="s">
        <v>56</v>
      </c>
      <c r="L33" s="13">
        <v>25.0</v>
      </c>
      <c r="M33" s="1" t="s">
        <v>58</v>
      </c>
      <c r="N33" s="1" t="s">
        <v>59</v>
      </c>
      <c r="O33" s="1" t="s">
        <v>60</v>
      </c>
      <c r="P33" s="1">
        <v>300.0</v>
      </c>
      <c r="Q33" s="14">
        <v>102.89</v>
      </c>
      <c r="R33" s="1" t="s">
        <v>61</v>
      </c>
      <c r="S33" s="1" t="s">
        <v>62</v>
      </c>
      <c r="T33" s="15" t="s">
        <v>63</v>
      </c>
      <c r="U33" s="16">
        <v>1.35</v>
      </c>
      <c r="V33" s="14">
        <v>138.89</v>
      </c>
      <c r="W33" s="14">
        <v>-0.01</v>
      </c>
      <c r="X33" s="1" t="s">
        <v>57</v>
      </c>
      <c r="Y33" s="1"/>
      <c r="Z33" s="1"/>
    </row>
    <row r="34" ht="14.25" customHeight="1">
      <c r="A34" s="1" t="s">
        <v>100</v>
      </c>
      <c r="B34" s="1" t="s">
        <v>47</v>
      </c>
      <c r="C34" s="1" t="s">
        <v>116</v>
      </c>
      <c r="D34" s="1" t="s">
        <v>203</v>
      </c>
      <c r="E34" s="1" t="s">
        <v>204</v>
      </c>
      <c r="F34" s="1" t="s">
        <v>205</v>
      </c>
      <c r="G34" s="1" t="s">
        <v>52</v>
      </c>
      <c r="H34" s="1" t="s">
        <v>53</v>
      </c>
      <c r="I34" s="1" t="s">
        <v>149</v>
      </c>
      <c r="J34" s="1" t="s">
        <v>206</v>
      </c>
      <c r="K34" s="1" t="s">
        <v>207</v>
      </c>
      <c r="L34" s="13">
        <v>61.0</v>
      </c>
      <c r="M34" s="1" t="s">
        <v>58</v>
      </c>
      <c r="N34" s="1" t="s">
        <v>59</v>
      </c>
      <c r="O34" s="1" t="s">
        <v>60</v>
      </c>
      <c r="P34" s="1">
        <v>25.0</v>
      </c>
      <c r="Q34" s="14">
        <v>65.26</v>
      </c>
      <c r="R34" s="1" t="s">
        <v>61</v>
      </c>
      <c r="S34" s="1" t="s">
        <v>62</v>
      </c>
      <c r="T34" s="15" t="s">
        <v>63</v>
      </c>
      <c r="U34" s="16">
        <v>1.35</v>
      </c>
      <c r="V34" s="14">
        <v>0.0</v>
      </c>
      <c r="W34" s="14">
        <v>-88.1</v>
      </c>
      <c r="X34" s="1" t="s">
        <v>57</v>
      </c>
      <c r="Y34" s="1"/>
      <c r="Z34" s="1"/>
    </row>
    <row r="35" ht="14.25" customHeight="1">
      <c r="A35" s="1" t="s">
        <v>100</v>
      </c>
      <c r="B35" s="1" t="s">
        <v>47</v>
      </c>
      <c r="C35" s="1" t="s">
        <v>116</v>
      </c>
      <c r="D35" s="1" t="s">
        <v>85</v>
      </c>
      <c r="E35" s="1" t="s">
        <v>208</v>
      </c>
      <c r="F35" s="1" t="s">
        <v>209</v>
      </c>
      <c r="G35" s="1" t="s">
        <v>52</v>
      </c>
      <c r="H35" s="1" t="s">
        <v>137</v>
      </c>
      <c r="I35" s="1" t="s">
        <v>149</v>
      </c>
      <c r="J35" s="1" t="s">
        <v>210</v>
      </c>
      <c r="K35" s="1" t="s">
        <v>175</v>
      </c>
      <c r="L35" s="13">
        <v>68.0</v>
      </c>
      <c r="M35" s="1" t="s">
        <v>58</v>
      </c>
      <c r="N35" s="1" t="s">
        <v>59</v>
      </c>
      <c r="O35" s="1" t="s">
        <v>60</v>
      </c>
      <c r="P35" s="1">
        <v>75.0</v>
      </c>
      <c r="Q35" s="14">
        <v>225.39</v>
      </c>
      <c r="R35" s="1" t="s">
        <v>61</v>
      </c>
      <c r="S35" s="1" t="s">
        <v>62</v>
      </c>
      <c r="T35" s="15" t="s">
        <v>63</v>
      </c>
      <c r="U35" s="16">
        <v>1.35</v>
      </c>
      <c r="V35" s="14">
        <v>0.0</v>
      </c>
      <c r="W35" s="14">
        <v>-304.28</v>
      </c>
      <c r="X35" s="1" t="s">
        <v>57</v>
      </c>
      <c r="Y35" s="1"/>
      <c r="Z35" s="1"/>
    </row>
    <row r="36" ht="14.25" customHeight="1">
      <c r="A36" s="1" t="s">
        <v>100</v>
      </c>
      <c r="B36" s="1" t="s">
        <v>47</v>
      </c>
      <c r="C36" s="1" t="s">
        <v>116</v>
      </c>
      <c r="D36" s="1" t="s">
        <v>85</v>
      </c>
      <c r="E36" s="1" t="s">
        <v>211</v>
      </c>
      <c r="F36" s="1" t="s">
        <v>212</v>
      </c>
      <c r="G36" s="1" t="s">
        <v>213</v>
      </c>
      <c r="H36" s="1" t="s">
        <v>53</v>
      </c>
      <c r="I36" s="1" t="s">
        <v>149</v>
      </c>
      <c r="J36" s="1" t="s">
        <v>214</v>
      </c>
      <c r="K36" s="1" t="s">
        <v>140</v>
      </c>
      <c r="L36" s="13">
        <v>59.0</v>
      </c>
      <c r="M36" s="1" t="s">
        <v>58</v>
      </c>
      <c r="N36" s="1" t="s">
        <v>59</v>
      </c>
      <c r="O36" s="1" t="s">
        <v>60</v>
      </c>
      <c r="P36" s="1">
        <v>75.0</v>
      </c>
      <c r="Q36" s="14">
        <v>160.63</v>
      </c>
      <c r="R36" s="1" t="s">
        <v>61</v>
      </c>
      <c r="S36" s="1" t="s">
        <v>62</v>
      </c>
      <c r="T36" s="15" t="s">
        <v>63</v>
      </c>
      <c r="U36" s="16">
        <v>0.675</v>
      </c>
      <c r="V36" s="14">
        <v>0.0</v>
      </c>
      <c r="W36" s="14">
        <v>-108.43</v>
      </c>
      <c r="X36" s="1" t="s">
        <v>57</v>
      </c>
      <c r="Y36" s="1"/>
      <c r="Z36" s="1"/>
    </row>
    <row r="37" ht="14.25" customHeight="1">
      <c r="A37" s="1" t="s">
        <v>100</v>
      </c>
      <c r="B37" s="1" t="s">
        <v>47</v>
      </c>
      <c r="C37" s="1" t="s">
        <v>116</v>
      </c>
      <c r="D37" s="1" t="s">
        <v>85</v>
      </c>
      <c r="E37" s="1" t="s">
        <v>215</v>
      </c>
      <c r="F37" s="1" t="s">
        <v>216</v>
      </c>
      <c r="G37" s="1" t="s">
        <v>213</v>
      </c>
      <c r="H37" s="1" t="s">
        <v>53</v>
      </c>
      <c r="I37" s="1" t="s">
        <v>149</v>
      </c>
      <c r="J37" s="1" t="s">
        <v>214</v>
      </c>
      <c r="K37" s="1" t="s">
        <v>140</v>
      </c>
      <c r="L37" s="13">
        <v>59.0</v>
      </c>
      <c r="M37" s="1" t="s">
        <v>58</v>
      </c>
      <c r="N37" s="1" t="s">
        <v>59</v>
      </c>
      <c r="O37" s="1" t="s">
        <v>60</v>
      </c>
      <c r="P37" s="1">
        <v>75.0</v>
      </c>
      <c r="Q37" s="14">
        <v>160.63</v>
      </c>
      <c r="R37" s="1" t="s">
        <v>61</v>
      </c>
      <c r="S37" s="1" t="s">
        <v>62</v>
      </c>
      <c r="T37" s="15" t="s">
        <v>63</v>
      </c>
      <c r="U37" s="16">
        <v>0.675</v>
      </c>
      <c r="V37" s="14">
        <v>0.0</v>
      </c>
      <c r="W37" s="14">
        <v>-108.43</v>
      </c>
      <c r="X37" s="1" t="s">
        <v>57</v>
      </c>
      <c r="Y37" s="1"/>
      <c r="Z37" s="1"/>
    </row>
    <row r="38" ht="14.25" customHeight="1">
      <c r="A38" s="1" t="s">
        <v>100</v>
      </c>
      <c r="B38" s="1" t="s">
        <v>47</v>
      </c>
      <c r="C38" s="1" t="s">
        <v>116</v>
      </c>
      <c r="D38" s="1" t="s">
        <v>85</v>
      </c>
      <c r="E38" s="1" t="s">
        <v>217</v>
      </c>
      <c r="F38" s="1" t="s">
        <v>218</v>
      </c>
      <c r="G38" s="1" t="s">
        <v>125</v>
      </c>
      <c r="H38" s="1" t="s">
        <v>53</v>
      </c>
      <c r="I38" s="1" t="s">
        <v>131</v>
      </c>
      <c r="J38" s="1" t="s">
        <v>214</v>
      </c>
      <c r="K38" s="1" t="s">
        <v>140</v>
      </c>
      <c r="L38" s="13">
        <v>40.0</v>
      </c>
      <c r="M38" s="1" t="s">
        <v>58</v>
      </c>
      <c r="N38" s="1" t="s">
        <v>59</v>
      </c>
      <c r="O38" s="1" t="s">
        <v>60</v>
      </c>
      <c r="P38" s="1">
        <v>250.0</v>
      </c>
      <c r="Q38" s="14">
        <v>66.08</v>
      </c>
      <c r="R38" s="1" t="s">
        <v>61</v>
      </c>
      <c r="S38" s="1" t="s">
        <v>62</v>
      </c>
      <c r="T38" s="15" t="s">
        <v>63</v>
      </c>
      <c r="U38" s="16">
        <v>1.5</v>
      </c>
      <c r="V38" s="14">
        <v>0.0</v>
      </c>
      <c r="W38" s="14">
        <v>-99.12</v>
      </c>
      <c r="X38" s="1" t="s">
        <v>57</v>
      </c>
      <c r="Y38" s="1"/>
      <c r="Z38" s="1"/>
    </row>
    <row r="39" ht="14.25" customHeight="1">
      <c r="A39" s="1" t="s">
        <v>100</v>
      </c>
      <c r="B39" s="1" t="s">
        <v>47</v>
      </c>
      <c r="C39" s="1" t="s">
        <v>116</v>
      </c>
      <c r="D39" s="1" t="s">
        <v>85</v>
      </c>
      <c r="E39" s="1" t="s">
        <v>219</v>
      </c>
      <c r="F39" s="1" t="s">
        <v>220</v>
      </c>
      <c r="G39" s="1" t="s">
        <v>125</v>
      </c>
      <c r="H39" s="1" t="s">
        <v>53</v>
      </c>
      <c r="I39" s="1" t="s">
        <v>131</v>
      </c>
      <c r="J39" s="1" t="s">
        <v>214</v>
      </c>
      <c r="K39" s="1" t="s">
        <v>140</v>
      </c>
      <c r="L39" s="13">
        <v>41.0</v>
      </c>
      <c r="M39" s="1" t="s">
        <v>58</v>
      </c>
      <c r="N39" s="1" t="s">
        <v>59</v>
      </c>
      <c r="O39" s="1" t="s">
        <v>60</v>
      </c>
      <c r="P39" s="1">
        <v>150.0</v>
      </c>
      <c r="Q39" s="14">
        <v>100.26</v>
      </c>
      <c r="R39" s="1" t="s">
        <v>61</v>
      </c>
      <c r="S39" s="1" t="s">
        <v>62</v>
      </c>
      <c r="T39" s="15" t="s">
        <v>63</v>
      </c>
      <c r="U39" s="16">
        <v>1.5</v>
      </c>
      <c r="V39" s="14">
        <v>0.0</v>
      </c>
      <c r="W39" s="14">
        <v>-150.39</v>
      </c>
      <c r="X39" s="1" t="s">
        <v>57</v>
      </c>
      <c r="Y39" s="1"/>
      <c r="Z39" s="1"/>
    </row>
    <row r="40" ht="14.25" customHeight="1">
      <c r="A40" s="1" t="s">
        <v>100</v>
      </c>
      <c r="B40" s="1" t="s">
        <v>47</v>
      </c>
      <c r="C40" s="1" t="s">
        <v>116</v>
      </c>
      <c r="D40" s="1" t="s">
        <v>85</v>
      </c>
      <c r="E40" s="1" t="s">
        <v>221</v>
      </c>
      <c r="F40" s="1" t="s">
        <v>222</v>
      </c>
      <c r="G40" s="1" t="s">
        <v>125</v>
      </c>
      <c r="H40" s="1" t="s">
        <v>53</v>
      </c>
      <c r="I40" s="1" t="s">
        <v>149</v>
      </c>
      <c r="J40" s="1" t="s">
        <v>223</v>
      </c>
      <c r="K40" s="1" t="s">
        <v>95</v>
      </c>
      <c r="L40" s="13">
        <v>65.0</v>
      </c>
      <c r="M40" s="1" t="s">
        <v>58</v>
      </c>
      <c r="N40" s="1" t="s">
        <v>59</v>
      </c>
      <c r="O40" s="1" t="s">
        <v>60</v>
      </c>
      <c r="P40" s="1">
        <v>55.0</v>
      </c>
      <c r="Q40" s="14">
        <v>139.53</v>
      </c>
      <c r="R40" s="1" t="s">
        <v>61</v>
      </c>
      <c r="S40" s="1" t="s">
        <v>62</v>
      </c>
      <c r="T40" s="15" t="s">
        <v>63</v>
      </c>
      <c r="U40" s="16">
        <v>1.35</v>
      </c>
      <c r="V40" s="14">
        <v>0.0</v>
      </c>
      <c r="W40" s="14">
        <v>-188.37</v>
      </c>
      <c r="X40" s="1" t="s">
        <v>57</v>
      </c>
      <c r="Y40" s="1"/>
      <c r="Z40" s="1"/>
    </row>
    <row r="41" ht="14.25" customHeight="1">
      <c r="A41" s="1" t="s">
        <v>100</v>
      </c>
      <c r="B41" s="1" t="s">
        <v>47</v>
      </c>
      <c r="C41" s="1" t="s">
        <v>116</v>
      </c>
      <c r="D41" s="1" t="s">
        <v>85</v>
      </c>
      <c r="E41" s="1" t="s">
        <v>224</v>
      </c>
      <c r="F41" s="1" t="s">
        <v>225</v>
      </c>
      <c r="G41" s="1" t="s">
        <v>213</v>
      </c>
      <c r="H41" s="1" t="s">
        <v>53</v>
      </c>
      <c r="I41" s="1" t="s">
        <v>149</v>
      </c>
      <c r="J41" s="1" t="s">
        <v>223</v>
      </c>
      <c r="K41" s="1" t="s">
        <v>95</v>
      </c>
      <c r="L41" s="13">
        <v>63.0</v>
      </c>
      <c r="M41" s="1" t="s">
        <v>58</v>
      </c>
      <c r="N41" s="1" t="s">
        <v>59</v>
      </c>
      <c r="O41" s="1" t="s">
        <v>60</v>
      </c>
      <c r="P41" s="1">
        <v>50.0</v>
      </c>
      <c r="Q41" s="14">
        <v>134.81</v>
      </c>
      <c r="R41" s="1" t="s">
        <v>61</v>
      </c>
      <c r="S41" s="1" t="s">
        <v>62</v>
      </c>
      <c r="T41" s="15" t="s">
        <v>63</v>
      </c>
      <c r="U41" s="16">
        <v>0.675</v>
      </c>
      <c r="V41" s="14">
        <v>0.0</v>
      </c>
      <c r="W41" s="14">
        <v>-91.0</v>
      </c>
      <c r="X41" s="1" t="s">
        <v>57</v>
      </c>
      <c r="Y41" s="1"/>
      <c r="Z41" s="1"/>
    </row>
    <row r="42" ht="14.25" customHeight="1">
      <c r="A42" s="1" t="s">
        <v>100</v>
      </c>
      <c r="B42" s="1" t="s">
        <v>47</v>
      </c>
      <c r="C42" s="1" t="s">
        <v>116</v>
      </c>
      <c r="D42" s="1" t="s">
        <v>85</v>
      </c>
      <c r="E42" s="1" t="s">
        <v>226</v>
      </c>
      <c r="F42" s="1" t="s">
        <v>227</v>
      </c>
      <c r="G42" s="1" t="s">
        <v>228</v>
      </c>
      <c r="H42" s="1" t="s">
        <v>53</v>
      </c>
      <c r="I42" s="1" t="s">
        <v>149</v>
      </c>
      <c r="J42" s="1" t="s">
        <v>229</v>
      </c>
      <c r="K42" s="1" t="s">
        <v>140</v>
      </c>
      <c r="L42" s="13">
        <v>67.0</v>
      </c>
      <c r="M42" s="1" t="s">
        <v>58</v>
      </c>
      <c r="N42" s="1" t="s">
        <v>59</v>
      </c>
      <c r="O42" s="1" t="s">
        <v>60</v>
      </c>
      <c r="P42" s="1">
        <v>75.0</v>
      </c>
      <c r="Q42" s="14">
        <v>208.27</v>
      </c>
      <c r="R42" s="1" t="s">
        <v>61</v>
      </c>
      <c r="S42" s="1" t="s">
        <v>62</v>
      </c>
      <c r="T42" s="15" t="s">
        <v>63</v>
      </c>
      <c r="U42" s="16">
        <v>0.675</v>
      </c>
      <c r="V42" s="14">
        <v>0.0</v>
      </c>
      <c r="W42" s="14">
        <v>-140.58</v>
      </c>
      <c r="X42" s="1" t="s">
        <v>57</v>
      </c>
      <c r="Y42" s="1"/>
      <c r="Z42" s="1"/>
    </row>
    <row r="43" ht="14.25" customHeight="1">
      <c r="A43" s="1" t="s">
        <v>100</v>
      </c>
      <c r="B43" s="1" t="s">
        <v>47</v>
      </c>
      <c r="C43" s="1" t="s">
        <v>116</v>
      </c>
      <c r="D43" s="1" t="s">
        <v>85</v>
      </c>
      <c r="E43" s="1" t="s">
        <v>230</v>
      </c>
      <c r="F43" s="1" t="s">
        <v>231</v>
      </c>
      <c r="G43" s="1" t="s">
        <v>232</v>
      </c>
      <c r="H43" s="1" t="s">
        <v>53</v>
      </c>
      <c r="I43" s="1" t="s">
        <v>145</v>
      </c>
      <c r="J43" s="1" t="s">
        <v>233</v>
      </c>
      <c r="K43" s="1" t="s">
        <v>234</v>
      </c>
      <c r="L43" s="13">
        <v>66.0</v>
      </c>
      <c r="M43" s="1" t="s">
        <v>58</v>
      </c>
      <c r="N43" s="1" t="s">
        <v>59</v>
      </c>
      <c r="O43" s="1" t="s">
        <v>60</v>
      </c>
      <c r="P43" s="1">
        <v>20.0</v>
      </c>
      <c r="Q43" s="14">
        <v>140.44</v>
      </c>
      <c r="R43" s="1" t="s">
        <v>61</v>
      </c>
      <c r="S43" s="1" t="s">
        <v>62</v>
      </c>
      <c r="T43" s="15" t="s">
        <v>63</v>
      </c>
      <c r="U43" s="16">
        <v>0.875</v>
      </c>
      <c r="V43" s="14">
        <v>0.0</v>
      </c>
      <c r="W43" s="14">
        <v>-122.89</v>
      </c>
      <c r="X43" s="1" t="s">
        <v>57</v>
      </c>
      <c r="Y43" s="1"/>
      <c r="Z43" s="1"/>
    </row>
    <row r="44" ht="14.25" customHeight="1">
      <c r="A44" s="1" t="s">
        <v>100</v>
      </c>
      <c r="B44" s="1" t="s">
        <v>47</v>
      </c>
      <c r="C44" s="1" t="s">
        <v>116</v>
      </c>
      <c r="D44" s="1" t="s">
        <v>85</v>
      </c>
      <c r="E44" s="1" t="s">
        <v>235</v>
      </c>
      <c r="F44" s="1" t="s">
        <v>236</v>
      </c>
      <c r="G44" s="1" t="s">
        <v>185</v>
      </c>
      <c r="H44" s="1" t="s">
        <v>112</v>
      </c>
      <c r="I44" s="1" t="s">
        <v>149</v>
      </c>
      <c r="J44" s="1" t="s">
        <v>237</v>
      </c>
      <c r="K44" s="1" t="s">
        <v>187</v>
      </c>
      <c r="L44" s="13">
        <v>59.0</v>
      </c>
      <c r="M44" s="1" t="s">
        <v>58</v>
      </c>
      <c r="N44" s="1" t="s">
        <v>59</v>
      </c>
      <c r="O44" s="1" t="s">
        <v>60</v>
      </c>
      <c r="P44" s="1">
        <v>70.0</v>
      </c>
      <c r="Q44" s="14">
        <v>117.19</v>
      </c>
      <c r="R44" s="1" t="s">
        <v>61</v>
      </c>
      <c r="S44" s="1" t="s">
        <v>62</v>
      </c>
      <c r="T44" s="15" t="s">
        <v>63</v>
      </c>
      <c r="U44" s="16">
        <v>1.35</v>
      </c>
      <c r="V44" s="14">
        <v>0.0</v>
      </c>
      <c r="W44" s="14">
        <v>-158.21</v>
      </c>
      <c r="X44" s="1" t="s">
        <v>57</v>
      </c>
      <c r="Y44" s="1"/>
      <c r="Z44" s="1"/>
    </row>
    <row r="45" ht="14.25" customHeight="1">
      <c r="A45" s="1" t="s">
        <v>100</v>
      </c>
      <c r="B45" s="1" t="s">
        <v>47</v>
      </c>
      <c r="C45" s="1" t="s">
        <v>116</v>
      </c>
      <c r="D45" s="1" t="s">
        <v>85</v>
      </c>
      <c r="E45" s="1" t="s">
        <v>238</v>
      </c>
      <c r="F45" s="1" t="s">
        <v>239</v>
      </c>
      <c r="G45" s="1" t="s">
        <v>160</v>
      </c>
      <c r="H45" s="1" t="s">
        <v>53</v>
      </c>
      <c r="I45" s="1" t="s">
        <v>138</v>
      </c>
      <c r="J45" s="1" t="s">
        <v>139</v>
      </c>
      <c r="K45" s="1" t="s">
        <v>140</v>
      </c>
      <c r="L45" s="13">
        <v>62.0</v>
      </c>
      <c r="M45" s="1" t="s">
        <v>58</v>
      </c>
      <c r="N45" s="1" t="s">
        <v>59</v>
      </c>
      <c r="O45" s="1" t="s">
        <v>60</v>
      </c>
      <c r="P45" s="1">
        <v>50.0</v>
      </c>
      <c r="Q45" s="14">
        <v>167.5</v>
      </c>
      <c r="R45" s="1" t="s">
        <v>61</v>
      </c>
      <c r="S45" s="1" t="s">
        <v>62</v>
      </c>
      <c r="T45" s="15" t="s">
        <v>63</v>
      </c>
      <c r="U45" s="16">
        <v>1.35</v>
      </c>
      <c r="V45" s="14">
        <v>0.0</v>
      </c>
      <c r="W45" s="14">
        <v>-226.13</v>
      </c>
      <c r="X45" s="1" t="s">
        <v>57</v>
      </c>
      <c r="Y45" s="1"/>
      <c r="Z45" s="1"/>
    </row>
    <row r="46" ht="14.25" customHeight="1">
      <c r="A46" s="1" t="s">
        <v>100</v>
      </c>
      <c r="B46" s="1" t="s">
        <v>47</v>
      </c>
      <c r="C46" s="1" t="s">
        <v>116</v>
      </c>
      <c r="D46" s="1" t="s">
        <v>85</v>
      </c>
      <c r="E46" s="1" t="s">
        <v>240</v>
      </c>
      <c r="F46" s="1" t="s">
        <v>241</v>
      </c>
      <c r="G46" s="1" t="s">
        <v>125</v>
      </c>
      <c r="H46" s="1" t="s">
        <v>77</v>
      </c>
      <c r="I46" s="1" t="s">
        <v>131</v>
      </c>
      <c r="J46" s="1" t="s">
        <v>242</v>
      </c>
      <c r="K46" s="1" t="s">
        <v>243</v>
      </c>
      <c r="L46" s="13">
        <v>54.0</v>
      </c>
      <c r="M46" s="1" t="s">
        <v>58</v>
      </c>
      <c r="N46" s="1" t="s">
        <v>59</v>
      </c>
      <c r="O46" s="1" t="s">
        <v>60</v>
      </c>
      <c r="P46" s="1">
        <v>150.0</v>
      </c>
      <c r="Q46" s="14">
        <v>136.3</v>
      </c>
      <c r="R46" s="1" t="s">
        <v>61</v>
      </c>
      <c r="S46" s="1" t="s">
        <v>62</v>
      </c>
      <c r="T46" s="15" t="s">
        <v>63</v>
      </c>
      <c r="U46" s="16">
        <v>1.5</v>
      </c>
      <c r="V46" s="14">
        <v>0.0</v>
      </c>
      <c r="W46" s="14">
        <v>-204.45</v>
      </c>
      <c r="X46" s="1" t="s">
        <v>57</v>
      </c>
      <c r="Y46" s="1"/>
      <c r="Z46" s="1"/>
    </row>
    <row r="47" ht="14.25" customHeight="1">
      <c r="A47" s="1" t="s">
        <v>100</v>
      </c>
      <c r="B47" s="1" t="s">
        <v>47</v>
      </c>
      <c r="C47" s="1" t="s">
        <v>116</v>
      </c>
      <c r="D47" s="1" t="s">
        <v>85</v>
      </c>
      <c r="E47" s="1" t="s">
        <v>244</v>
      </c>
      <c r="F47" s="1" t="s">
        <v>245</v>
      </c>
      <c r="G47" s="1" t="s">
        <v>185</v>
      </c>
      <c r="H47" s="1" t="s">
        <v>77</v>
      </c>
      <c r="I47" s="1" t="s">
        <v>131</v>
      </c>
      <c r="J47" s="1" t="s">
        <v>246</v>
      </c>
      <c r="K47" s="1" t="s">
        <v>247</v>
      </c>
      <c r="L47" s="13">
        <v>27.0</v>
      </c>
      <c r="M47" s="1" t="s">
        <v>58</v>
      </c>
      <c r="N47" s="1" t="s">
        <v>59</v>
      </c>
      <c r="O47" s="1" t="s">
        <v>60</v>
      </c>
      <c r="P47" s="1">
        <v>300.0</v>
      </c>
      <c r="Q47" s="14">
        <v>46.73</v>
      </c>
      <c r="R47" s="1" t="s">
        <v>61</v>
      </c>
      <c r="S47" s="1" t="s">
        <v>62</v>
      </c>
      <c r="T47" s="15" t="s">
        <v>63</v>
      </c>
      <c r="U47" s="16">
        <v>1.5</v>
      </c>
      <c r="V47" s="14">
        <v>70.1</v>
      </c>
      <c r="W47" s="14">
        <v>0.0</v>
      </c>
      <c r="X47" s="1" t="s">
        <v>57</v>
      </c>
      <c r="Y47" s="1"/>
      <c r="Z47" s="1"/>
    </row>
    <row r="48" ht="14.25" customHeight="1">
      <c r="A48" s="1" t="s">
        <v>100</v>
      </c>
      <c r="B48" s="1" t="s">
        <v>47</v>
      </c>
      <c r="C48" s="1" t="s">
        <v>116</v>
      </c>
      <c r="D48" s="1" t="s">
        <v>85</v>
      </c>
      <c r="E48" s="1" t="s">
        <v>248</v>
      </c>
      <c r="F48" s="1" t="s">
        <v>249</v>
      </c>
      <c r="G48" s="1" t="s">
        <v>250</v>
      </c>
      <c r="H48" s="1" t="s">
        <v>112</v>
      </c>
      <c r="I48" s="1" t="s">
        <v>131</v>
      </c>
      <c r="J48" s="1" t="s">
        <v>251</v>
      </c>
      <c r="K48" s="1" t="s">
        <v>133</v>
      </c>
      <c r="L48" s="13">
        <v>59.0</v>
      </c>
      <c r="M48" s="1" t="s">
        <v>58</v>
      </c>
      <c r="N48" s="1" t="s">
        <v>59</v>
      </c>
      <c r="O48" s="1" t="s">
        <v>60</v>
      </c>
      <c r="P48" s="1">
        <v>60.0</v>
      </c>
      <c r="Q48" s="14">
        <v>75.03</v>
      </c>
      <c r="R48" s="1" t="s">
        <v>61</v>
      </c>
      <c r="S48" s="1" t="s">
        <v>62</v>
      </c>
      <c r="T48" s="15" t="s">
        <v>63</v>
      </c>
      <c r="U48" s="16">
        <v>1.5</v>
      </c>
      <c r="V48" s="14">
        <v>112.55</v>
      </c>
      <c r="W48" s="14">
        <v>0.0</v>
      </c>
      <c r="X48" s="1" t="s">
        <v>57</v>
      </c>
      <c r="Y48" s="1"/>
      <c r="Z48" s="1"/>
    </row>
    <row r="49" ht="14.25" customHeight="1">
      <c r="A49" s="1" t="s">
        <v>100</v>
      </c>
      <c r="B49" s="1" t="s">
        <v>47</v>
      </c>
      <c r="C49" s="1" t="s">
        <v>116</v>
      </c>
      <c r="D49" s="1" t="s">
        <v>85</v>
      </c>
      <c r="E49" s="1" t="s">
        <v>252</v>
      </c>
      <c r="F49" s="1" t="s">
        <v>253</v>
      </c>
      <c r="G49" s="1" t="s">
        <v>52</v>
      </c>
      <c r="H49" s="1" t="s">
        <v>137</v>
      </c>
      <c r="I49" s="1" t="s">
        <v>149</v>
      </c>
      <c r="J49" s="1" t="s">
        <v>254</v>
      </c>
      <c r="K49" s="1" t="s">
        <v>175</v>
      </c>
      <c r="L49" s="13">
        <v>60.0</v>
      </c>
      <c r="M49" s="1" t="s">
        <v>58</v>
      </c>
      <c r="N49" s="1" t="s">
        <v>59</v>
      </c>
      <c r="O49" s="1" t="s">
        <v>60</v>
      </c>
      <c r="P49" s="1">
        <v>85.0</v>
      </c>
      <c r="Q49" s="14">
        <v>202.25</v>
      </c>
      <c r="R49" s="1" t="s">
        <v>61</v>
      </c>
      <c r="S49" s="1" t="s">
        <v>62</v>
      </c>
      <c r="T49" s="15" t="s">
        <v>63</v>
      </c>
      <c r="U49" s="16">
        <v>1.35</v>
      </c>
      <c r="V49" s="14">
        <v>273.04</v>
      </c>
      <c r="W49" s="14">
        <v>0.0</v>
      </c>
      <c r="X49" s="1" t="s">
        <v>57</v>
      </c>
      <c r="Y49" s="1"/>
      <c r="Z49" s="1"/>
    </row>
    <row r="50" ht="14.25" customHeight="1">
      <c r="A50" s="1" t="s">
        <v>100</v>
      </c>
      <c r="B50" s="1" t="s">
        <v>47</v>
      </c>
      <c r="C50" s="1" t="s">
        <v>116</v>
      </c>
      <c r="D50" s="1" t="s">
        <v>134</v>
      </c>
      <c r="E50" s="1" t="s">
        <v>255</v>
      </c>
      <c r="F50" s="1" t="s">
        <v>256</v>
      </c>
      <c r="G50" s="1" t="s">
        <v>52</v>
      </c>
      <c r="H50" s="1" t="s">
        <v>137</v>
      </c>
      <c r="I50" s="1" t="s">
        <v>138</v>
      </c>
      <c r="J50" s="1" t="s">
        <v>257</v>
      </c>
      <c r="K50" s="1" t="s">
        <v>258</v>
      </c>
      <c r="L50" s="13">
        <v>71.0</v>
      </c>
      <c r="M50" s="1" t="s">
        <v>58</v>
      </c>
      <c r="N50" s="1" t="s">
        <v>59</v>
      </c>
      <c r="O50" s="1" t="s">
        <v>60</v>
      </c>
      <c r="P50" s="1">
        <v>12.0</v>
      </c>
      <c r="Q50" s="14">
        <v>137.37</v>
      </c>
      <c r="R50" s="1" t="s">
        <v>61</v>
      </c>
      <c r="S50" s="1" t="s">
        <v>62</v>
      </c>
      <c r="T50" s="15" t="s">
        <v>63</v>
      </c>
      <c r="U50" s="16">
        <v>1.35</v>
      </c>
      <c r="V50" s="14">
        <v>0.0</v>
      </c>
      <c r="W50" s="14">
        <v>-185.45</v>
      </c>
      <c r="X50" s="1" t="s">
        <v>57</v>
      </c>
      <c r="Y50" s="1"/>
      <c r="Z50" s="1"/>
    </row>
    <row r="51" ht="14.25" customHeight="1">
      <c r="A51" s="1" t="s">
        <v>100</v>
      </c>
      <c r="B51" s="1" t="s">
        <v>47</v>
      </c>
      <c r="C51" s="1" t="s">
        <v>259</v>
      </c>
      <c r="D51" s="1" t="s">
        <v>260</v>
      </c>
      <c r="E51" s="1" t="s">
        <v>261</v>
      </c>
      <c r="F51" s="1" t="s">
        <v>262</v>
      </c>
      <c r="G51" s="1" t="s">
        <v>52</v>
      </c>
      <c r="H51" s="1" t="s">
        <v>70</v>
      </c>
      <c r="I51" s="1" t="s">
        <v>149</v>
      </c>
      <c r="J51" s="1" t="s">
        <v>263</v>
      </c>
      <c r="K51" s="1" t="s">
        <v>263</v>
      </c>
      <c r="L51" s="13">
        <v>68.0</v>
      </c>
      <c r="M51" s="1" t="s">
        <v>58</v>
      </c>
      <c r="N51" s="1" t="s">
        <v>59</v>
      </c>
      <c r="O51" s="1" t="s">
        <v>60</v>
      </c>
      <c r="P51" s="1">
        <v>50.0</v>
      </c>
      <c r="Q51" s="14">
        <v>1385.37</v>
      </c>
      <c r="R51" s="1" t="s">
        <v>61</v>
      </c>
      <c r="S51" s="1" t="s">
        <v>264</v>
      </c>
      <c r="T51" s="15" t="s">
        <v>63</v>
      </c>
      <c r="U51" s="16">
        <v>1.35</v>
      </c>
      <c r="V51" s="14">
        <v>1870.25</v>
      </c>
      <c r="W51" s="14">
        <v>1870.25</v>
      </c>
      <c r="X51" s="1" t="s">
        <v>57</v>
      </c>
      <c r="Y51" s="1"/>
      <c r="Z51" s="1"/>
    </row>
    <row r="52" ht="14.25" customHeight="1">
      <c r="A52" s="1" t="s">
        <v>100</v>
      </c>
      <c r="B52" s="1" t="s">
        <v>47</v>
      </c>
      <c r="C52" s="1" t="s">
        <v>259</v>
      </c>
      <c r="D52" s="1" t="s">
        <v>85</v>
      </c>
      <c r="E52" s="1" t="s">
        <v>265</v>
      </c>
      <c r="F52" s="1" t="s">
        <v>266</v>
      </c>
      <c r="G52" s="1" t="s">
        <v>267</v>
      </c>
      <c r="H52" s="1" t="s">
        <v>77</v>
      </c>
      <c r="I52" s="1" t="s">
        <v>149</v>
      </c>
      <c r="J52" s="1" t="s">
        <v>56</v>
      </c>
      <c r="K52" s="1" t="s">
        <v>56</v>
      </c>
      <c r="L52" s="13">
        <v>63.0</v>
      </c>
      <c r="M52" s="1" t="s">
        <v>58</v>
      </c>
      <c r="N52" s="1" t="s">
        <v>59</v>
      </c>
      <c r="O52" s="1" t="s">
        <v>60</v>
      </c>
      <c r="P52" s="1">
        <v>35.0</v>
      </c>
      <c r="Q52" s="14">
        <v>954.45</v>
      </c>
      <c r="R52" s="1" t="s">
        <v>61</v>
      </c>
      <c r="S52" s="1" t="s">
        <v>264</v>
      </c>
      <c r="T52" s="15" t="s">
        <v>63</v>
      </c>
      <c r="U52" s="16">
        <v>1.35</v>
      </c>
      <c r="V52" s="14">
        <v>1288.51</v>
      </c>
      <c r="W52" s="14">
        <v>1288.51</v>
      </c>
      <c r="X52" s="1" t="s">
        <v>57</v>
      </c>
      <c r="Y52" s="1"/>
      <c r="Z52" s="1"/>
    </row>
    <row r="53" ht="14.25" customHeight="1">
      <c r="A53" s="1" t="s">
        <v>100</v>
      </c>
      <c r="B53" s="1" t="s">
        <v>47</v>
      </c>
      <c r="C53" s="1" t="s">
        <v>259</v>
      </c>
      <c r="D53" s="1" t="s">
        <v>85</v>
      </c>
      <c r="E53" s="1" t="s">
        <v>268</v>
      </c>
      <c r="F53" s="1" t="s">
        <v>269</v>
      </c>
      <c r="G53" s="1" t="s">
        <v>267</v>
      </c>
      <c r="H53" s="1" t="s">
        <v>77</v>
      </c>
      <c r="I53" s="1" t="s">
        <v>149</v>
      </c>
      <c r="J53" s="1" t="s">
        <v>56</v>
      </c>
      <c r="K53" s="1" t="s">
        <v>56</v>
      </c>
      <c r="L53" s="13">
        <v>66.0</v>
      </c>
      <c r="M53" s="1" t="s">
        <v>58</v>
      </c>
      <c r="N53" s="1" t="s">
        <v>59</v>
      </c>
      <c r="O53" s="1" t="s">
        <v>60</v>
      </c>
      <c r="P53" s="1">
        <v>35.0</v>
      </c>
      <c r="Q53" s="14">
        <v>899.55</v>
      </c>
      <c r="R53" s="1" t="s">
        <v>61</v>
      </c>
      <c r="S53" s="1" t="s">
        <v>264</v>
      </c>
      <c r="T53" s="15" t="s">
        <v>63</v>
      </c>
      <c r="U53" s="16">
        <v>1.35</v>
      </c>
      <c r="V53" s="14">
        <v>1214.39</v>
      </c>
      <c r="W53" s="14">
        <v>1214.39</v>
      </c>
      <c r="X53" s="1" t="s">
        <v>57</v>
      </c>
      <c r="Y53" s="1"/>
      <c r="Z53" s="1"/>
    </row>
    <row r="54" ht="14.25" customHeight="1">
      <c r="A54" s="1" t="s">
        <v>100</v>
      </c>
      <c r="B54" s="1" t="s">
        <v>47</v>
      </c>
      <c r="C54" s="1" t="s">
        <v>259</v>
      </c>
      <c r="D54" s="1" t="s">
        <v>85</v>
      </c>
      <c r="E54" s="1" t="s">
        <v>270</v>
      </c>
      <c r="F54" s="1" t="s">
        <v>271</v>
      </c>
      <c r="G54" s="1" t="s">
        <v>52</v>
      </c>
      <c r="H54" s="1" t="s">
        <v>77</v>
      </c>
      <c r="I54" s="1" t="s">
        <v>131</v>
      </c>
      <c r="J54" s="1" t="s">
        <v>56</v>
      </c>
      <c r="K54" s="1" t="s">
        <v>56</v>
      </c>
      <c r="L54" s="13">
        <v>50.0</v>
      </c>
      <c r="M54" s="1" t="s">
        <v>58</v>
      </c>
      <c r="N54" s="1" t="s">
        <v>59</v>
      </c>
      <c r="O54" s="1" t="s">
        <v>60</v>
      </c>
      <c r="P54" s="1">
        <v>175.0</v>
      </c>
      <c r="Q54" s="14">
        <v>988.65</v>
      </c>
      <c r="R54" s="1" t="s">
        <v>61</v>
      </c>
      <c r="S54" s="1" t="s">
        <v>264</v>
      </c>
      <c r="T54" s="15" t="s">
        <v>63</v>
      </c>
      <c r="U54" s="16">
        <v>1.5</v>
      </c>
      <c r="V54" s="14">
        <v>1483.02</v>
      </c>
      <c r="W54" s="14">
        <v>1483.02</v>
      </c>
      <c r="X54" s="1" t="s">
        <v>57</v>
      </c>
      <c r="Y54" s="1"/>
      <c r="Z54" s="1"/>
    </row>
    <row r="55" ht="14.25" customHeight="1">
      <c r="A55" s="1" t="s">
        <v>100</v>
      </c>
      <c r="B55" s="1" t="s">
        <v>47</v>
      </c>
      <c r="C55" s="1" t="s">
        <v>259</v>
      </c>
      <c r="D55" s="1" t="s">
        <v>85</v>
      </c>
      <c r="E55" s="1" t="s">
        <v>272</v>
      </c>
      <c r="F55" s="1" t="s">
        <v>273</v>
      </c>
      <c r="G55" s="1" t="s">
        <v>250</v>
      </c>
      <c r="H55" s="1" t="s">
        <v>137</v>
      </c>
      <c r="I55" s="1" t="s">
        <v>131</v>
      </c>
      <c r="J55" s="1" t="s">
        <v>56</v>
      </c>
      <c r="K55" s="1" t="s">
        <v>56</v>
      </c>
      <c r="L55" s="13">
        <v>59.0</v>
      </c>
      <c r="M55" s="1" t="s">
        <v>58</v>
      </c>
      <c r="N55" s="1" t="s">
        <v>59</v>
      </c>
      <c r="O55" s="1" t="s">
        <v>60</v>
      </c>
      <c r="P55" s="1">
        <v>110.0</v>
      </c>
      <c r="Q55" s="14">
        <v>1197.9</v>
      </c>
      <c r="R55" s="1" t="s">
        <v>61</v>
      </c>
      <c r="S55" s="1" t="s">
        <v>264</v>
      </c>
      <c r="T55" s="15" t="s">
        <v>63</v>
      </c>
      <c r="U55" s="16">
        <v>1.5</v>
      </c>
      <c r="V55" s="14">
        <v>1796.85</v>
      </c>
      <c r="W55" s="14">
        <v>1796.85</v>
      </c>
      <c r="X55" s="1" t="s">
        <v>57</v>
      </c>
      <c r="Y55" s="1"/>
      <c r="Z55" s="1"/>
    </row>
    <row r="56" ht="14.25" customHeight="1">
      <c r="A56" s="1" t="s">
        <v>100</v>
      </c>
      <c r="B56" s="1" t="s">
        <v>47</v>
      </c>
      <c r="C56" s="1" t="s">
        <v>259</v>
      </c>
      <c r="D56" s="1" t="s">
        <v>85</v>
      </c>
      <c r="E56" s="1" t="s">
        <v>274</v>
      </c>
      <c r="F56" s="1" t="s">
        <v>275</v>
      </c>
      <c r="G56" s="1" t="s">
        <v>250</v>
      </c>
      <c r="H56" s="1" t="s">
        <v>137</v>
      </c>
      <c r="I56" s="1" t="s">
        <v>131</v>
      </c>
      <c r="J56" s="1" t="s">
        <v>56</v>
      </c>
      <c r="K56" s="1" t="s">
        <v>56</v>
      </c>
      <c r="L56" s="13">
        <v>59.0</v>
      </c>
      <c r="M56" s="1" t="s">
        <v>58</v>
      </c>
      <c r="N56" s="1" t="s">
        <v>59</v>
      </c>
      <c r="O56" s="1" t="s">
        <v>60</v>
      </c>
      <c r="P56" s="1">
        <v>110.0</v>
      </c>
      <c r="Q56" s="14">
        <v>2393.55</v>
      </c>
      <c r="R56" s="1" t="s">
        <v>61</v>
      </c>
      <c r="S56" s="1" t="s">
        <v>264</v>
      </c>
      <c r="T56" s="15" t="s">
        <v>63</v>
      </c>
      <c r="U56" s="16">
        <v>1.5</v>
      </c>
      <c r="V56" s="14">
        <v>2000.0</v>
      </c>
      <c r="W56" s="14">
        <v>2000.0</v>
      </c>
      <c r="X56" s="1" t="s">
        <v>57</v>
      </c>
      <c r="Y56" s="1"/>
      <c r="Z56" s="1"/>
    </row>
    <row r="57" ht="14.25" customHeight="1">
      <c r="A57" s="1" t="s">
        <v>100</v>
      </c>
      <c r="B57" s="1" t="s">
        <v>47</v>
      </c>
      <c r="C57" s="1" t="s">
        <v>259</v>
      </c>
      <c r="D57" s="1" t="s">
        <v>85</v>
      </c>
      <c r="E57" s="1" t="s">
        <v>276</v>
      </c>
      <c r="F57" s="1" t="s">
        <v>277</v>
      </c>
      <c r="G57" s="1" t="s">
        <v>228</v>
      </c>
      <c r="H57" s="1" t="s">
        <v>137</v>
      </c>
      <c r="I57" s="1" t="s">
        <v>149</v>
      </c>
      <c r="J57" s="1" t="s">
        <v>56</v>
      </c>
      <c r="K57" s="1" t="s">
        <v>56</v>
      </c>
      <c r="L57" s="13">
        <v>62.0</v>
      </c>
      <c r="M57" s="1" t="s">
        <v>58</v>
      </c>
      <c r="N57" s="1" t="s">
        <v>59</v>
      </c>
      <c r="O57" s="1" t="s">
        <v>60</v>
      </c>
      <c r="P57" s="1">
        <v>50.0</v>
      </c>
      <c r="Q57" s="14">
        <v>948.15</v>
      </c>
      <c r="R57" s="1" t="s">
        <v>61</v>
      </c>
      <c r="S57" s="1" t="s">
        <v>264</v>
      </c>
      <c r="T57" s="15" t="s">
        <v>63</v>
      </c>
      <c r="U57" s="16">
        <v>1.35</v>
      </c>
      <c r="V57" s="14">
        <v>1280.0</v>
      </c>
      <c r="W57" s="14">
        <v>1280.0</v>
      </c>
      <c r="X57" s="1" t="s">
        <v>57</v>
      </c>
      <c r="Y57" s="1"/>
      <c r="Z57" s="1"/>
    </row>
    <row r="58" ht="14.25" customHeight="1">
      <c r="A58" s="1" t="s">
        <v>100</v>
      </c>
      <c r="B58" s="1" t="s">
        <v>47</v>
      </c>
      <c r="C58" s="1" t="s">
        <v>259</v>
      </c>
      <c r="D58" s="1" t="s">
        <v>117</v>
      </c>
      <c r="E58" s="1" t="s">
        <v>278</v>
      </c>
      <c r="F58" s="1" t="s">
        <v>279</v>
      </c>
      <c r="G58" s="1" t="s">
        <v>125</v>
      </c>
      <c r="H58" s="1" t="s">
        <v>137</v>
      </c>
      <c r="I58" s="1" t="s">
        <v>154</v>
      </c>
      <c r="J58" s="1" t="s">
        <v>280</v>
      </c>
      <c r="K58" s="1" t="s">
        <v>169</v>
      </c>
      <c r="L58" s="13">
        <v>45.0</v>
      </c>
      <c r="M58" s="1" t="s">
        <v>58</v>
      </c>
      <c r="N58" s="1" t="s">
        <v>59</v>
      </c>
      <c r="O58" s="1" t="s">
        <v>60</v>
      </c>
      <c r="P58" s="1">
        <v>250.0</v>
      </c>
      <c r="Q58" s="14">
        <v>257.66</v>
      </c>
      <c r="R58" s="1" t="s">
        <v>61</v>
      </c>
      <c r="S58" s="1" t="s">
        <v>62</v>
      </c>
      <c r="T58" s="15" t="s">
        <v>63</v>
      </c>
      <c r="U58" s="16">
        <v>1.5</v>
      </c>
      <c r="V58" s="14">
        <v>0.0</v>
      </c>
      <c r="W58" s="14">
        <v>-386.49</v>
      </c>
      <c r="X58" s="1" t="s">
        <v>57</v>
      </c>
      <c r="Y58" s="1"/>
      <c r="Z58" s="1"/>
    </row>
    <row r="59" ht="14.25" customHeight="1">
      <c r="A59" s="1" t="s">
        <v>100</v>
      </c>
      <c r="B59" s="1" t="s">
        <v>47</v>
      </c>
      <c r="C59" s="1" t="s">
        <v>259</v>
      </c>
      <c r="D59" s="1" t="s">
        <v>281</v>
      </c>
      <c r="E59" s="1" t="s">
        <v>282</v>
      </c>
      <c r="F59" s="1" t="s">
        <v>283</v>
      </c>
      <c r="G59" s="1" t="s">
        <v>284</v>
      </c>
      <c r="H59" s="1" t="s">
        <v>137</v>
      </c>
      <c r="I59" s="1" t="s">
        <v>131</v>
      </c>
      <c r="J59" s="1" t="s">
        <v>56</v>
      </c>
      <c r="K59" s="1" t="s">
        <v>56</v>
      </c>
      <c r="L59" s="13">
        <v>62.0</v>
      </c>
      <c r="M59" s="1" t="s">
        <v>58</v>
      </c>
      <c r="N59" s="1" t="s">
        <v>59</v>
      </c>
      <c r="O59" s="1" t="s">
        <v>60</v>
      </c>
      <c r="P59" s="1">
        <v>150.0</v>
      </c>
      <c r="Q59" s="14">
        <v>2209.59</v>
      </c>
      <c r="R59" s="1" t="s">
        <v>61</v>
      </c>
      <c r="S59" s="1" t="s">
        <v>264</v>
      </c>
      <c r="T59" s="15" t="s">
        <v>63</v>
      </c>
      <c r="U59" s="16">
        <v>1.5</v>
      </c>
      <c r="V59" s="14">
        <v>2000.0</v>
      </c>
      <c r="W59" s="14">
        <v>2000.0</v>
      </c>
      <c r="X59" s="1" t="s">
        <v>57</v>
      </c>
      <c r="Y59" s="1"/>
      <c r="Z59" s="1"/>
    </row>
    <row r="60" ht="14.25" customHeight="1">
      <c r="A60" s="17" t="s">
        <v>100</v>
      </c>
      <c r="B60" s="17" t="s">
        <v>47</v>
      </c>
      <c r="C60" s="17" t="s">
        <v>259</v>
      </c>
      <c r="D60" s="17" t="s">
        <v>260</v>
      </c>
      <c r="E60" s="17" t="s">
        <v>285</v>
      </c>
      <c r="F60" s="17" t="s">
        <v>286</v>
      </c>
      <c r="G60" s="17" t="s">
        <v>52</v>
      </c>
      <c r="H60" s="17" t="s">
        <v>112</v>
      </c>
      <c r="I60" s="17" t="s">
        <v>149</v>
      </c>
      <c r="J60" s="17" t="s">
        <v>287</v>
      </c>
      <c r="K60" s="17" t="s">
        <v>288</v>
      </c>
      <c r="L60" s="18">
        <v>67.0</v>
      </c>
      <c r="M60" s="17" t="s">
        <v>289</v>
      </c>
      <c r="N60" s="17" t="s">
        <v>59</v>
      </c>
      <c r="O60" s="17" t="s">
        <v>290</v>
      </c>
      <c r="P60" s="17">
        <v>150.0</v>
      </c>
      <c r="Q60" s="19">
        <v>5890.44</v>
      </c>
      <c r="R60" s="17" t="s">
        <v>61</v>
      </c>
      <c r="S60" s="17" t="s">
        <v>291</v>
      </c>
      <c r="T60" s="20" t="s">
        <v>63</v>
      </c>
      <c r="U60" s="21">
        <v>1.35</v>
      </c>
      <c r="V60" s="19">
        <v>7952.09</v>
      </c>
      <c r="W60" s="19">
        <v>0.0</v>
      </c>
      <c r="X60" s="17" t="s">
        <v>57</v>
      </c>
      <c r="Y60" s="17"/>
      <c r="Z60" s="17"/>
    </row>
    <row r="61" ht="14.25" customHeight="1">
      <c r="A61" s="1" t="s">
        <v>100</v>
      </c>
      <c r="B61" s="1" t="s">
        <v>47</v>
      </c>
      <c r="C61" s="1" t="s">
        <v>259</v>
      </c>
      <c r="D61" s="1" t="s">
        <v>182</v>
      </c>
      <c r="E61" s="1" t="s">
        <v>292</v>
      </c>
      <c r="F61" s="1" t="s">
        <v>293</v>
      </c>
      <c r="G61" s="1" t="s">
        <v>294</v>
      </c>
      <c r="H61" s="1" t="s">
        <v>53</v>
      </c>
      <c r="I61" s="1" t="s">
        <v>138</v>
      </c>
      <c r="J61" s="1" t="s">
        <v>295</v>
      </c>
      <c r="K61" s="1" t="s">
        <v>56</v>
      </c>
      <c r="L61" s="13">
        <v>81.0</v>
      </c>
      <c r="M61" s="1" t="s">
        <v>58</v>
      </c>
      <c r="N61" s="1" t="s">
        <v>59</v>
      </c>
      <c r="O61" s="1" t="s">
        <v>60</v>
      </c>
      <c r="P61" s="1">
        <v>10.0</v>
      </c>
      <c r="Q61" s="14">
        <v>106.21</v>
      </c>
      <c r="R61" s="1" t="s">
        <v>61</v>
      </c>
      <c r="S61" s="1" t="s">
        <v>62</v>
      </c>
      <c r="T61" s="15" t="s">
        <v>63</v>
      </c>
      <c r="U61" s="16">
        <v>0.95</v>
      </c>
      <c r="V61" s="14">
        <v>0.0</v>
      </c>
      <c r="W61" s="14">
        <v>-100.9</v>
      </c>
      <c r="X61" s="1" t="s">
        <v>57</v>
      </c>
      <c r="Y61" s="1"/>
      <c r="Z61" s="1"/>
    </row>
    <row r="62" ht="14.25" customHeight="1">
      <c r="A62" s="1" t="s">
        <v>100</v>
      </c>
      <c r="B62" s="1" t="s">
        <v>47</v>
      </c>
      <c r="C62" s="1" t="s">
        <v>259</v>
      </c>
      <c r="D62" s="1" t="s">
        <v>182</v>
      </c>
      <c r="E62" s="1" t="s">
        <v>296</v>
      </c>
      <c r="F62" s="1" t="s">
        <v>297</v>
      </c>
      <c r="G62" s="1" t="s">
        <v>125</v>
      </c>
      <c r="H62" s="1" t="s">
        <v>53</v>
      </c>
      <c r="I62" s="1" t="s">
        <v>149</v>
      </c>
      <c r="J62" s="1" t="s">
        <v>298</v>
      </c>
      <c r="K62" s="1" t="s">
        <v>175</v>
      </c>
      <c r="L62" s="13">
        <v>47.0</v>
      </c>
      <c r="M62" s="1" t="s">
        <v>58</v>
      </c>
      <c r="N62" s="1" t="s">
        <v>59</v>
      </c>
      <c r="O62" s="1" t="s">
        <v>60</v>
      </c>
      <c r="P62" s="1">
        <v>250.0</v>
      </c>
      <c r="Q62" s="14">
        <v>216.36</v>
      </c>
      <c r="R62" s="1" t="s">
        <v>61</v>
      </c>
      <c r="S62" s="1" t="s">
        <v>62</v>
      </c>
      <c r="T62" s="15" t="s">
        <v>63</v>
      </c>
      <c r="U62" s="16">
        <v>1.35</v>
      </c>
      <c r="V62" s="14">
        <v>0.0</v>
      </c>
      <c r="W62" s="14">
        <v>-292.09</v>
      </c>
      <c r="X62" s="1" t="s">
        <v>57</v>
      </c>
      <c r="Y62" s="1"/>
      <c r="Z62" s="1"/>
    </row>
    <row r="63" ht="14.25" customHeight="1">
      <c r="A63" s="1" t="s">
        <v>100</v>
      </c>
      <c r="B63" s="1" t="s">
        <v>47</v>
      </c>
      <c r="C63" s="1" t="s">
        <v>259</v>
      </c>
      <c r="D63" s="1" t="s">
        <v>182</v>
      </c>
      <c r="E63" s="1" t="s">
        <v>299</v>
      </c>
      <c r="F63" s="1" t="s">
        <v>300</v>
      </c>
      <c r="G63" s="1" t="s">
        <v>125</v>
      </c>
      <c r="H63" s="1" t="s">
        <v>70</v>
      </c>
      <c r="I63" s="1" t="s">
        <v>149</v>
      </c>
      <c r="J63" s="1" t="s">
        <v>301</v>
      </c>
      <c r="K63" s="1" t="s">
        <v>56</v>
      </c>
      <c r="L63" s="13">
        <v>50.0</v>
      </c>
      <c r="M63" s="1" t="s">
        <v>58</v>
      </c>
      <c r="N63" s="1" t="s">
        <v>59</v>
      </c>
      <c r="O63" s="1" t="s">
        <v>60</v>
      </c>
      <c r="P63" s="1">
        <v>250.0</v>
      </c>
      <c r="Q63" s="14">
        <v>254.65</v>
      </c>
      <c r="R63" s="1" t="s">
        <v>61</v>
      </c>
      <c r="S63" s="1" t="s">
        <v>291</v>
      </c>
      <c r="T63" s="15" t="s">
        <v>63</v>
      </c>
      <c r="U63" s="16">
        <v>1.35</v>
      </c>
      <c r="V63" s="14">
        <v>0.0</v>
      </c>
      <c r="W63" s="14">
        <v>-343.78</v>
      </c>
      <c r="X63" s="1" t="s">
        <v>57</v>
      </c>
      <c r="Y63" s="1"/>
      <c r="Z63" s="1"/>
    </row>
    <row r="64" ht="14.25" customHeight="1">
      <c r="A64" s="1" t="s">
        <v>100</v>
      </c>
      <c r="B64" s="1" t="s">
        <v>47</v>
      </c>
      <c r="C64" s="1" t="s">
        <v>259</v>
      </c>
      <c r="D64" s="1" t="s">
        <v>182</v>
      </c>
      <c r="E64" s="1" t="s">
        <v>299</v>
      </c>
      <c r="F64" s="1" t="s">
        <v>300</v>
      </c>
      <c r="G64" s="1" t="s">
        <v>125</v>
      </c>
      <c r="H64" s="1" t="s">
        <v>53</v>
      </c>
      <c r="I64" s="1" t="s">
        <v>149</v>
      </c>
      <c r="J64" s="1" t="s">
        <v>301</v>
      </c>
      <c r="K64" s="1" t="s">
        <v>56</v>
      </c>
      <c r="L64" s="13">
        <v>50.0</v>
      </c>
      <c r="M64" s="1" t="s">
        <v>58</v>
      </c>
      <c r="N64" s="1" t="s">
        <v>59</v>
      </c>
      <c r="O64" s="1" t="s">
        <v>60</v>
      </c>
      <c r="P64" s="1">
        <v>250.0</v>
      </c>
      <c r="Q64" s="14">
        <v>-2546.5</v>
      </c>
      <c r="R64" s="1" t="s">
        <v>61</v>
      </c>
      <c r="S64" s="1" t="s">
        <v>302</v>
      </c>
      <c r="T64" s="15" t="s">
        <v>63</v>
      </c>
      <c r="U64" s="16">
        <v>1.35</v>
      </c>
      <c r="V64" s="14">
        <v>-2000.0</v>
      </c>
      <c r="W64" s="14">
        <v>-1656.22</v>
      </c>
      <c r="X64" s="1" t="s">
        <v>57</v>
      </c>
      <c r="Y64" s="1"/>
      <c r="Z64" s="1"/>
    </row>
    <row r="65" ht="14.25" customHeight="1">
      <c r="A65" s="1" t="s">
        <v>100</v>
      </c>
      <c r="B65" s="1" t="s">
        <v>47</v>
      </c>
      <c r="C65" s="1" t="s">
        <v>259</v>
      </c>
      <c r="D65" s="1" t="s">
        <v>170</v>
      </c>
      <c r="E65" s="1" t="s">
        <v>303</v>
      </c>
      <c r="F65" s="1" t="s">
        <v>304</v>
      </c>
      <c r="G65" s="1" t="s">
        <v>232</v>
      </c>
      <c r="H65" s="1" t="s">
        <v>53</v>
      </c>
      <c r="I65" s="1" t="s">
        <v>131</v>
      </c>
      <c r="J65" s="1" t="s">
        <v>70</v>
      </c>
      <c r="K65" s="1" t="s">
        <v>140</v>
      </c>
      <c r="L65" s="13">
        <v>63.0</v>
      </c>
      <c r="M65" s="1" t="s">
        <v>58</v>
      </c>
      <c r="N65" s="1" t="s">
        <v>59</v>
      </c>
      <c r="O65" s="1" t="s">
        <v>60</v>
      </c>
      <c r="P65" s="1">
        <v>30.0</v>
      </c>
      <c r="Q65" s="14">
        <v>58.85</v>
      </c>
      <c r="R65" s="1" t="s">
        <v>61</v>
      </c>
      <c r="S65" s="1" t="s">
        <v>291</v>
      </c>
      <c r="T65" s="15" t="s">
        <v>63</v>
      </c>
      <c r="U65" s="16">
        <v>1.5</v>
      </c>
      <c r="V65" s="14">
        <v>0.0</v>
      </c>
      <c r="W65" s="14">
        <v>-88.28</v>
      </c>
      <c r="X65" s="1" t="s">
        <v>57</v>
      </c>
      <c r="Y65" s="1"/>
      <c r="Z65" s="1"/>
    </row>
    <row r="66" ht="14.25" customHeight="1">
      <c r="A66" s="1" t="s">
        <v>100</v>
      </c>
      <c r="B66" s="1" t="s">
        <v>47</v>
      </c>
      <c r="C66" s="1" t="s">
        <v>259</v>
      </c>
      <c r="D66" s="1" t="s">
        <v>134</v>
      </c>
      <c r="E66" s="1" t="s">
        <v>305</v>
      </c>
      <c r="F66" s="1" t="s">
        <v>306</v>
      </c>
      <c r="G66" s="1" t="s">
        <v>52</v>
      </c>
      <c r="H66" s="1" t="s">
        <v>77</v>
      </c>
      <c r="I66" s="1" t="s">
        <v>138</v>
      </c>
      <c r="J66" s="1" t="s">
        <v>307</v>
      </c>
      <c r="K66" s="1" t="s">
        <v>133</v>
      </c>
      <c r="L66" s="13">
        <v>64.0</v>
      </c>
      <c r="M66" s="1" t="s">
        <v>58</v>
      </c>
      <c r="N66" s="1" t="s">
        <v>59</v>
      </c>
      <c r="O66" s="1" t="s">
        <v>60</v>
      </c>
      <c r="P66" s="1">
        <v>12.0</v>
      </c>
      <c r="Q66" s="14">
        <v>63.65</v>
      </c>
      <c r="R66" s="1" t="s">
        <v>61</v>
      </c>
      <c r="S66" s="1" t="s">
        <v>62</v>
      </c>
      <c r="T66" s="15" t="s">
        <v>63</v>
      </c>
      <c r="U66" s="16">
        <v>1.35</v>
      </c>
      <c r="V66" s="14">
        <v>0.0</v>
      </c>
      <c r="W66" s="14">
        <v>-85.93</v>
      </c>
      <c r="X66" s="1" t="s">
        <v>57</v>
      </c>
      <c r="Y66" s="1"/>
      <c r="Z66" s="1"/>
    </row>
    <row r="67" ht="14.25" customHeight="1">
      <c r="A67" s="1" t="s">
        <v>100</v>
      </c>
      <c r="B67" s="1" t="s">
        <v>47</v>
      </c>
      <c r="C67" s="1" t="s">
        <v>259</v>
      </c>
      <c r="D67" s="1" t="s">
        <v>308</v>
      </c>
      <c r="E67" s="1" t="s">
        <v>309</v>
      </c>
      <c r="F67" s="1" t="s">
        <v>310</v>
      </c>
      <c r="G67" s="1" t="s">
        <v>144</v>
      </c>
      <c r="H67" s="1" t="s">
        <v>112</v>
      </c>
      <c r="I67" s="1" t="s">
        <v>121</v>
      </c>
      <c r="J67" s="1" t="s">
        <v>311</v>
      </c>
      <c r="K67" s="1" t="s">
        <v>311</v>
      </c>
      <c r="L67" s="13">
        <v>37.0</v>
      </c>
      <c r="M67" s="1" t="s">
        <v>58</v>
      </c>
      <c r="N67" s="1" t="s">
        <v>59</v>
      </c>
      <c r="O67" s="1" t="s">
        <v>60</v>
      </c>
      <c r="P67" s="1">
        <v>42.0</v>
      </c>
      <c r="Q67" s="14">
        <v>-196.9</v>
      </c>
      <c r="R67" s="1" t="s">
        <v>61</v>
      </c>
      <c r="S67" s="1" t="s">
        <v>302</v>
      </c>
      <c r="T67" s="15" t="s">
        <v>63</v>
      </c>
      <c r="U67" s="16">
        <v>1.5</v>
      </c>
      <c r="V67" s="14">
        <v>-265.86</v>
      </c>
      <c r="W67" s="14">
        <v>-236.32</v>
      </c>
      <c r="X67" s="1" t="s">
        <v>57</v>
      </c>
      <c r="Y67" s="1"/>
      <c r="Z67" s="1"/>
    </row>
    <row r="68" ht="14.25" customHeight="1">
      <c r="A68" s="1" t="s">
        <v>100</v>
      </c>
      <c r="B68" s="1" t="s">
        <v>47</v>
      </c>
      <c r="C68" s="1" t="s">
        <v>259</v>
      </c>
      <c r="D68" s="1" t="s">
        <v>134</v>
      </c>
      <c r="E68" s="1" t="s">
        <v>312</v>
      </c>
      <c r="F68" s="1" t="s">
        <v>313</v>
      </c>
      <c r="G68" s="1" t="s">
        <v>52</v>
      </c>
      <c r="H68" s="1" t="s">
        <v>77</v>
      </c>
      <c r="I68" s="1" t="s">
        <v>138</v>
      </c>
      <c r="J68" s="1" t="s">
        <v>307</v>
      </c>
      <c r="K68" s="1" t="s">
        <v>133</v>
      </c>
      <c r="L68" s="13">
        <v>63.0</v>
      </c>
      <c r="M68" s="1" t="s">
        <v>58</v>
      </c>
      <c r="N68" s="1" t="s">
        <v>59</v>
      </c>
      <c r="O68" s="1" t="s">
        <v>60</v>
      </c>
      <c r="P68" s="1">
        <v>15.0</v>
      </c>
      <c r="Q68" s="14">
        <v>54.98</v>
      </c>
      <c r="R68" s="1" t="s">
        <v>61</v>
      </c>
      <c r="S68" s="1" t="s">
        <v>62</v>
      </c>
      <c r="T68" s="15" t="s">
        <v>63</v>
      </c>
      <c r="U68" s="16">
        <v>1.35</v>
      </c>
      <c r="V68" s="14">
        <v>0.0</v>
      </c>
      <c r="W68" s="14">
        <v>-74.22</v>
      </c>
      <c r="X68" s="1" t="s">
        <v>57</v>
      </c>
      <c r="Y68" s="1"/>
      <c r="Z68" s="1"/>
    </row>
    <row r="69" ht="14.25" customHeight="1">
      <c r="A69" s="1" t="s">
        <v>100</v>
      </c>
      <c r="B69" s="1" t="s">
        <v>47</v>
      </c>
      <c r="C69" s="1" t="s">
        <v>259</v>
      </c>
      <c r="D69" s="1" t="s">
        <v>314</v>
      </c>
      <c r="E69" s="1" t="s">
        <v>315</v>
      </c>
      <c r="F69" s="1" t="s">
        <v>316</v>
      </c>
      <c r="G69" s="1" t="s">
        <v>52</v>
      </c>
      <c r="H69" s="1" t="s">
        <v>53</v>
      </c>
      <c r="I69" s="1" t="s">
        <v>149</v>
      </c>
      <c r="J69" s="1" t="s">
        <v>317</v>
      </c>
      <c r="K69" s="1" t="s">
        <v>318</v>
      </c>
      <c r="L69" s="13">
        <v>47.0</v>
      </c>
      <c r="M69" s="1" t="s">
        <v>58</v>
      </c>
      <c r="N69" s="1" t="s">
        <v>59</v>
      </c>
      <c r="O69" s="1" t="s">
        <v>60</v>
      </c>
      <c r="P69" s="1">
        <v>110.0</v>
      </c>
      <c r="Q69" s="14">
        <v>100.06</v>
      </c>
      <c r="R69" s="1" t="s">
        <v>61</v>
      </c>
      <c r="S69" s="1" t="s">
        <v>62</v>
      </c>
      <c r="T69" s="15" t="s">
        <v>63</v>
      </c>
      <c r="U69" s="16">
        <v>1.35</v>
      </c>
      <c r="V69" s="14">
        <v>0.0</v>
      </c>
      <c r="W69" s="14">
        <v>-135.08</v>
      </c>
      <c r="X69" s="1" t="s">
        <v>57</v>
      </c>
      <c r="Y69" s="1"/>
      <c r="Z69" s="1"/>
    </row>
    <row r="70" ht="14.25" customHeight="1">
      <c r="A70" s="1" t="s">
        <v>319</v>
      </c>
      <c r="B70" s="1" t="s">
        <v>47</v>
      </c>
      <c r="C70" s="1" t="s">
        <v>259</v>
      </c>
      <c r="D70" s="1" t="s">
        <v>260</v>
      </c>
      <c r="E70" s="1" t="s">
        <v>320</v>
      </c>
      <c r="F70" s="1" t="s">
        <v>321</v>
      </c>
      <c r="G70" s="1" t="s">
        <v>190</v>
      </c>
      <c r="H70" s="1" t="s">
        <v>70</v>
      </c>
      <c r="I70" s="1" t="s">
        <v>322</v>
      </c>
      <c r="J70" s="1" t="s">
        <v>56</v>
      </c>
      <c r="K70" s="1" t="s">
        <v>115</v>
      </c>
      <c r="L70" s="13" t="s">
        <v>57</v>
      </c>
      <c r="M70" s="1" t="s">
        <v>58</v>
      </c>
      <c r="N70" s="1" t="s">
        <v>59</v>
      </c>
      <c r="O70" s="1" t="s">
        <v>60</v>
      </c>
      <c r="P70" s="1">
        <v>0.0</v>
      </c>
      <c r="Q70" s="14">
        <v>74.21</v>
      </c>
      <c r="R70" s="1" t="s">
        <v>61</v>
      </c>
      <c r="S70" s="1" t="s">
        <v>264</v>
      </c>
      <c r="T70" s="15" t="s">
        <v>63</v>
      </c>
      <c r="U70" s="16">
        <v>0.52</v>
      </c>
      <c r="V70" s="14">
        <v>38.59</v>
      </c>
      <c r="W70" s="14">
        <v>0.0</v>
      </c>
      <c r="X70" s="1" t="s">
        <v>57</v>
      </c>
      <c r="Y70" s="1"/>
      <c r="Z70" s="1"/>
    </row>
    <row r="71" ht="14.25" customHeight="1">
      <c r="A71" s="1" t="s">
        <v>319</v>
      </c>
      <c r="B71" s="1" t="s">
        <v>47</v>
      </c>
      <c r="C71" s="1" t="s">
        <v>259</v>
      </c>
      <c r="D71" s="1" t="s">
        <v>260</v>
      </c>
      <c r="E71" s="1" t="s">
        <v>323</v>
      </c>
      <c r="F71" s="1" t="s">
        <v>324</v>
      </c>
      <c r="G71" s="1" t="s">
        <v>190</v>
      </c>
      <c r="H71" s="1" t="s">
        <v>70</v>
      </c>
      <c r="I71" s="1" t="s">
        <v>322</v>
      </c>
      <c r="J71" s="1" t="s">
        <v>56</v>
      </c>
      <c r="K71" s="1" t="s">
        <v>115</v>
      </c>
      <c r="L71" s="13" t="s">
        <v>57</v>
      </c>
      <c r="M71" s="1" t="s">
        <v>58</v>
      </c>
      <c r="N71" s="1" t="s">
        <v>59</v>
      </c>
      <c r="O71" s="1" t="s">
        <v>60</v>
      </c>
      <c r="P71" s="1">
        <v>0.0</v>
      </c>
      <c r="Q71" s="14">
        <v>74.21</v>
      </c>
      <c r="R71" s="1" t="s">
        <v>61</v>
      </c>
      <c r="S71" s="1" t="s">
        <v>264</v>
      </c>
      <c r="T71" s="15" t="s">
        <v>63</v>
      </c>
      <c r="U71" s="16">
        <v>0.52</v>
      </c>
      <c r="V71" s="14">
        <v>38.59</v>
      </c>
      <c r="W71" s="14">
        <v>0.0</v>
      </c>
      <c r="X71" s="1" t="s">
        <v>57</v>
      </c>
      <c r="Y71" s="1"/>
      <c r="Z71" s="1"/>
    </row>
    <row r="72" ht="14.25" customHeight="1">
      <c r="A72" s="1" t="s">
        <v>319</v>
      </c>
      <c r="B72" s="1" t="s">
        <v>47</v>
      </c>
      <c r="C72" s="1" t="s">
        <v>259</v>
      </c>
      <c r="D72" s="1" t="s">
        <v>182</v>
      </c>
      <c r="E72" s="1" t="s">
        <v>325</v>
      </c>
      <c r="F72" s="1" t="s">
        <v>326</v>
      </c>
      <c r="G72" s="1" t="s">
        <v>294</v>
      </c>
      <c r="H72" s="1" t="s">
        <v>77</v>
      </c>
      <c r="I72" s="1" t="s">
        <v>327</v>
      </c>
      <c r="J72" s="1" t="s">
        <v>328</v>
      </c>
      <c r="K72" s="1" t="s">
        <v>187</v>
      </c>
      <c r="L72" s="13" t="s">
        <v>57</v>
      </c>
      <c r="M72" s="1" t="s">
        <v>58</v>
      </c>
      <c r="N72" s="1" t="s">
        <v>59</v>
      </c>
      <c r="O72" s="1" t="s">
        <v>60</v>
      </c>
      <c r="P72" s="1">
        <v>0.0</v>
      </c>
      <c r="Q72" s="14">
        <v>28.96</v>
      </c>
      <c r="R72" s="1" t="s">
        <v>61</v>
      </c>
      <c r="S72" s="1" t="s">
        <v>62</v>
      </c>
      <c r="T72" s="15" t="s">
        <v>63</v>
      </c>
      <c r="U72" s="16">
        <v>0.52</v>
      </c>
      <c r="V72" s="14">
        <v>15.06</v>
      </c>
      <c r="W72" s="14">
        <v>0.0</v>
      </c>
      <c r="X72" s="1" t="s">
        <v>57</v>
      </c>
      <c r="Y72" s="1"/>
      <c r="Z72" s="1"/>
    </row>
    <row r="73" ht="14.25" customHeight="1">
      <c r="A73" s="1" t="s">
        <v>319</v>
      </c>
      <c r="B73" s="1" t="s">
        <v>47</v>
      </c>
      <c r="C73" s="1" t="s">
        <v>48</v>
      </c>
      <c r="D73" s="1" t="s">
        <v>329</v>
      </c>
      <c r="E73" s="1" t="s">
        <v>330</v>
      </c>
      <c r="F73" s="1" t="s">
        <v>331</v>
      </c>
      <c r="G73" s="1" t="s">
        <v>144</v>
      </c>
      <c r="H73" s="1" t="s">
        <v>70</v>
      </c>
      <c r="I73" s="1" t="s">
        <v>332</v>
      </c>
      <c r="J73" s="1" t="s">
        <v>333</v>
      </c>
      <c r="K73" s="1" t="s">
        <v>56</v>
      </c>
      <c r="L73" s="13" t="s">
        <v>57</v>
      </c>
      <c r="M73" s="1" t="s">
        <v>58</v>
      </c>
      <c r="N73" s="1" t="s">
        <v>59</v>
      </c>
      <c r="O73" s="1" t="s">
        <v>60</v>
      </c>
      <c r="P73" s="1">
        <v>0.0</v>
      </c>
      <c r="Q73" s="14">
        <v>120.5</v>
      </c>
      <c r="R73" s="1" t="s">
        <v>96</v>
      </c>
      <c r="S73" s="1" t="s">
        <v>97</v>
      </c>
      <c r="T73" s="15" t="s">
        <v>63</v>
      </c>
      <c r="U73" s="16">
        <v>0.27</v>
      </c>
      <c r="V73" s="14">
        <v>32.54</v>
      </c>
      <c r="W73" s="14">
        <v>0.0</v>
      </c>
      <c r="X73" s="1" t="s">
        <v>57</v>
      </c>
      <c r="Y73" s="1"/>
      <c r="Z73" s="1"/>
    </row>
    <row r="74" ht="14.25" customHeight="1">
      <c r="A74" s="1" t="s">
        <v>319</v>
      </c>
      <c r="B74" s="1" t="s">
        <v>47</v>
      </c>
      <c r="C74" s="1" t="s">
        <v>48</v>
      </c>
      <c r="D74" s="1" t="s">
        <v>334</v>
      </c>
      <c r="E74" s="1" t="s">
        <v>335</v>
      </c>
      <c r="F74" s="1" t="s">
        <v>336</v>
      </c>
      <c r="G74" s="1" t="s">
        <v>52</v>
      </c>
      <c r="H74" s="1" t="s">
        <v>53</v>
      </c>
      <c r="I74" s="1" t="s">
        <v>337</v>
      </c>
      <c r="J74" s="1" t="s">
        <v>338</v>
      </c>
      <c r="K74" s="1" t="s">
        <v>339</v>
      </c>
      <c r="L74" s="13" t="s">
        <v>57</v>
      </c>
      <c r="M74" s="1" t="s">
        <v>58</v>
      </c>
      <c r="N74" s="1" t="s">
        <v>59</v>
      </c>
      <c r="O74" s="1" t="s">
        <v>60</v>
      </c>
      <c r="P74" s="1">
        <v>0.0</v>
      </c>
      <c r="Q74" s="14">
        <v>34.36</v>
      </c>
      <c r="R74" s="1" t="s">
        <v>61</v>
      </c>
      <c r="S74" s="1" t="s">
        <v>62</v>
      </c>
      <c r="T74" s="15" t="s">
        <v>63</v>
      </c>
      <c r="U74" s="16">
        <v>0.52</v>
      </c>
      <c r="V74" s="14">
        <v>0.0</v>
      </c>
      <c r="W74" s="14">
        <v>-17.87</v>
      </c>
      <c r="X74" s="1" t="s">
        <v>57</v>
      </c>
      <c r="Y74" s="1"/>
      <c r="Z74" s="1"/>
    </row>
    <row r="75" ht="14.25" customHeight="1">
      <c r="A75" s="1" t="s">
        <v>319</v>
      </c>
      <c r="B75" s="1" t="s">
        <v>47</v>
      </c>
      <c r="C75" s="1" t="s">
        <v>48</v>
      </c>
      <c r="D75" s="1" t="s">
        <v>334</v>
      </c>
      <c r="E75" s="1" t="s">
        <v>340</v>
      </c>
      <c r="F75" s="1" t="s">
        <v>341</v>
      </c>
      <c r="G75" s="1" t="s">
        <v>52</v>
      </c>
      <c r="H75" s="1" t="s">
        <v>77</v>
      </c>
      <c r="I75" s="1" t="s">
        <v>342</v>
      </c>
      <c r="J75" s="1" t="s">
        <v>79</v>
      </c>
      <c r="K75" s="1" t="s">
        <v>301</v>
      </c>
      <c r="L75" s="13" t="s">
        <v>57</v>
      </c>
      <c r="M75" s="1" t="s">
        <v>58</v>
      </c>
      <c r="N75" s="1" t="s">
        <v>59</v>
      </c>
      <c r="O75" s="1" t="s">
        <v>60</v>
      </c>
      <c r="P75" s="1">
        <v>0.0</v>
      </c>
      <c r="Q75" s="14">
        <v>-71.55</v>
      </c>
      <c r="R75" s="1" t="s">
        <v>61</v>
      </c>
      <c r="S75" s="1" t="s">
        <v>343</v>
      </c>
      <c r="T75" s="15" t="s">
        <v>63</v>
      </c>
      <c r="U75" s="16">
        <v>0.52</v>
      </c>
      <c r="V75" s="14">
        <v>-37.21</v>
      </c>
      <c r="W75" s="14">
        <v>0.0</v>
      </c>
      <c r="X75" s="1" t="s">
        <v>57</v>
      </c>
      <c r="Y75" s="1"/>
      <c r="Z75" s="1"/>
    </row>
    <row r="76" ht="14.25" customHeight="1">
      <c r="A76" s="1" t="s">
        <v>319</v>
      </c>
      <c r="B76" s="1" t="s">
        <v>47</v>
      </c>
      <c r="C76" s="1" t="s">
        <v>48</v>
      </c>
      <c r="D76" s="1" t="s">
        <v>71</v>
      </c>
      <c r="E76" s="1" t="s">
        <v>344</v>
      </c>
      <c r="F76" s="1" t="s">
        <v>345</v>
      </c>
      <c r="G76" s="1" t="s">
        <v>52</v>
      </c>
      <c r="H76" s="1" t="s">
        <v>137</v>
      </c>
      <c r="I76" s="1" t="s">
        <v>337</v>
      </c>
      <c r="J76" s="1" t="s">
        <v>346</v>
      </c>
      <c r="K76" s="1" t="s">
        <v>347</v>
      </c>
      <c r="L76" s="13" t="s">
        <v>57</v>
      </c>
      <c r="M76" s="1" t="s">
        <v>58</v>
      </c>
      <c r="N76" s="1" t="s">
        <v>59</v>
      </c>
      <c r="O76" s="1" t="s">
        <v>60</v>
      </c>
      <c r="P76" s="1">
        <v>0.0</v>
      </c>
      <c r="Q76" s="14">
        <v>34.36</v>
      </c>
      <c r="R76" s="1" t="s">
        <v>61</v>
      </c>
      <c r="S76" s="1" t="s">
        <v>62</v>
      </c>
      <c r="T76" s="15" t="s">
        <v>63</v>
      </c>
      <c r="U76" s="16">
        <v>0.52</v>
      </c>
      <c r="V76" s="14">
        <v>0.0</v>
      </c>
      <c r="W76" s="14">
        <v>-17.87</v>
      </c>
      <c r="X76" s="1" t="s">
        <v>57</v>
      </c>
      <c r="Y76" s="1"/>
      <c r="Z76" s="1"/>
    </row>
    <row r="77" ht="14.25" customHeight="1">
      <c r="A77" s="1" t="s">
        <v>319</v>
      </c>
      <c r="B77" s="1" t="s">
        <v>47</v>
      </c>
      <c r="C77" s="1" t="s">
        <v>48</v>
      </c>
      <c r="D77" s="1" t="s">
        <v>71</v>
      </c>
      <c r="E77" s="1" t="s">
        <v>348</v>
      </c>
      <c r="F77" s="1" t="s">
        <v>349</v>
      </c>
      <c r="G77" s="1" t="s">
        <v>52</v>
      </c>
      <c r="H77" s="1" t="s">
        <v>137</v>
      </c>
      <c r="I77" s="1" t="s">
        <v>337</v>
      </c>
      <c r="J77" s="1" t="s">
        <v>346</v>
      </c>
      <c r="K77" s="1" t="s">
        <v>347</v>
      </c>
      <c r="L77" s="13" t="s">
        <v>57</v>
      </c>
      <c r="M77" s="1" t="s">
        <v>58</v>
      </c>
      <c r="N77" s="1" t="s">
        <v>59</v>
      </c>
      <c r="O77" s="1" t="s">
        <v>60</v>
      </c>
      <c r="P77" s="1">
        <v>0.0</v>
      </c>
      <c r="Q77" s="14">
        <v>34.36</v>
      </c>
      <c r="R77" s="1" t="s">
        <v>61</v>
      </c>
      <c r="S77" s="1" t="s">
        <v>62</v>
      </c>
      <c r="T77" s="15" t="s">
        <v>63</v>
      </c>
      <c r="U77" s="16">
        <v>0.52</v>
      </c>
      <c r="V77" s="14">
        <v>0.0</v>
      </c>
      <c r="W77" s="14">
        <v>-17.87</v>
      </c>
      <c r="X77" s="1" t="s">
        <v>57</v>
      </c>
      <c r="Y77" s="1"/>
      <c r="Z77" s="1"/>
    </row>
    <row r="78" ht="14.25" customHeight="1">
      <c r="A78" s="1" t="s">
        <v>319</v>
      </c>
      <c r="B78" s="1" t="s">
        <v>47</v>
      </c>
      <c r="C78" s="1" t="s">
        <v>48</v>
      </c>
      <c r="D78" s="1" t="s">
        <v>71</v>
      </c>
      <c r="E78" s="1" t="s">
        <v>350</v>
      </c>
      <c r="F78" s="1" t="s">
        <v>351</v>
      </c>
      <c r="G78" s="1" t="s">
        <v>52</v>
      </c>
      <c r="H78" s="1" t="s">
        <v>112</v>
      </c>
      <c r="I78" s="1" t="s">
        <v>337</v>
      </c>
      <c r="J78" s="1" t="s">
        <v>352</v>
      </c>
      <c r="K78" s="1" t="s">
        <v>353</v>
      </c>
      <c r="L78" s="13" t="s">
        <v>57</v>
      </c>
      <c r="M78" s="1" t="s">
        <v>58</v>
      </c>
      <c r="N78" s="1" t="s">
        <v>59</v>
      </c>
      <c r="O78" s="1" t="s">
        <v>60</v>
      </c>
      <c r="P78" s="1">
        <v>0.0</v>
      </c>
      <c r="Q78" s="14">
        <v>34.36</v>
      </c>
      <c r="R78" s="1" t="s">
        <v>61</v>
      </c>
      <c r="S78" s="1" t="s">
        <v>62</v>
      </c>
      <c r="T78" s="15" t="s">
        <v>63</v>
      </c>
      <c r="U78" s="16">
        <v>0.52</v>
      </c>
      <c r="V78" s="14">
        <v>0.0</v>
      </c>
      <c r="W78" s="14">
        <v>-17.87</v>
      </c>
      <c r="X78" s="1" t="s">
        <v>57</v>
      </c>
      <c r="Y78" s="1"/>
      <c r="Z78" s="1"/>
    </row>
    <row r="79" ht="14.25" customHeight="1">
      <c r="A79" s="1" t="s">
        <v>319</v>
      </c>
      <c r="B79" s="1" t="s">
        <v>47</v>
      </c>
      <c r="C79" s="1" t="s">
        <v>48</v>
      </c>
      <c r="D79" s="1" t="s">
        <v>71</v>
      </c>
      <c r="E79" s="1" t="s">
        <v>354</v>
      </c>
      <c r="F79" s="1" t="s">
        <v>355</v>
      </c>
      <c r="G79" s="1" t="s">
        <v>52</v>
      </c>
      <c r="H79" s="1" t="s">
        <v>70</v>
      </c>
      <c r="I79" s="1" t="s">
        <v>337</v>
      </c>
      <c r="J79" s="1" t="s">
        <v>55</v>
      </c>
      <c r="K79" s="1" t="s">
        <v>56</v>
      </c>
      <c r="L79" s="13" t="s">
        <v>57</v>
      </c>
      <c r="M79" s="1" t="s">
        <v>58</v>
      </c>
      <c r="N79" s="1" t="s">
        <v>59</v>
      </c>
      <c r="O79" s="1" t="s">
        <v>60</v>
      </c>
      <c r="P79" s="1">
        <v>0.0</v>
      </c>
      <c r="Q79" s="14">
        <v>34.36</v>
      </c>
      <c r="R79" s="1" t="s">
        <v>61</v>
      </c>
      <c r="S79" s="1" t="s">
        <v>62</v>
      </c>
      <c r="T79" s="15" t="s">
        <v>63</v>
      </c>
      <c r="U79" s="16">
        <v>0.52</v>
      </c>
      <c r="V79" s="14">
        <v>0.0</v>
      </c>
      <c r="W79" s="14">
        <v>-17.87</v>
      </c>
      <c r="X79" s="1" t="s">
        <v>57</v>
      </c>
      <c r="Y79" s="1"/>
      <c r="Z79" s="1"/>
    </row>
    <row r="80" ht="14.25" customHeight="1">
      <c r="A80" s="1" t="s">
        <v>319</v>
      </c>
      <c r="B80" s="1" t="s">
        <v>47</v>
      </c>
      <c r="C80" s="1" t="s">
        <v>48</v>
      </c>
      <c r="D80" s="1" t="s">
        <v>71</v>
      </c>
      <c r="E80" s="1" t="s">
        <v>356</v>
      </c>
      <c r="F80" s="1" t="s">
        <v>357</v>
      </c>
      <c r="G80" s="1" t="s">
        <v>52</v>
      </c>
      <c r="H80" s="1" t="s">
        <v>137</v>
      </c>
      <c r="I80" s="1" t="s">
        <v>342</v>
      </c>
      <c r="J80" s="1" t="s">
        <v>55</v>
      </c>
      <c r="K80" s="1" t="s">
        <v>56</v>
      </c>
      <c r="L80" s="13" t="s">
        <v>57</v>
      </c>
      <c r="M80" s="1" t="s">
        <v>58</v>
      </c>
      <c r="N80" s="1" t="s">
        <v>59</v>
      </c>
      <c r="O80" s="1" t="s">
        <v>60</v>
      </c>
      <c r="P80" s="1">
        <v>0.0</v>
      </c>
      <c r="Q80" s="14">
        <v>62.05</v>
      </c>
      <c r="R80" s="1" t="s">
        <v>61</v>
      </c>
      <c r="S80" s="1" t="s">
        <v>62</v>
      </c>
      <c r="T80" s="15" t="s">
        <v>63</v>
      </c>
      <c r="U80" s="16">
        <v>0.52</v>
      </c>
      <c r="V80" s="14">
        <v>0.0</v>
      </c>
      <c r="W80" s="14">
        <v>-32.27</v>
      </c>
      <c r="X80" s="1" t="s">
        <v>57</v>
      </c>
      <c r="Y80" s="1"/>
      <c r="Z80" s="1"/>
    </row>
    <row r="81" ht="14.25" customHeight="1">
      <c r="A81" s="1" t="s">
        <v>319</v>
      </c>
      <c r="B81" s="1" t="s">
        <v>47</v>
      </c>
      <c r="C81" s="1" t="s">
        <v>48</v>
      </c>
      <c r="D81" s="1" t="s">
        <v>71</v>
      </c>
      <c r="E81" s="1" t="s">
        <v>358</v>
      </c>
      <c r="F81" s="1" t="s">
        <v>359</v>
      </c>
      <c r="G81" s="1" t="s">
        <v>52</v>
      </c>
      <c r="H81" s="1" t="s">
        <v>70</v>
      </c>
      <c r="I81" s="1" t="s">
        <v>337</v>
      </c>
      <c r="J81" s="1" t="s">
        <v>181</v>
      </c>
      <c r="K81" s="1" t="s">
        <v>140</v>
      </c>
      <c r="L81" s="13" t="s">
        <v>57</v>
      </c>
      <c r="M81" s="1" t="s">
        <v>58</v>
      </c>
      <c r="N81" s="1" t="s">
        <v>59</v>
      </c>
      <c r="O81" s="1" t="s">
        <v>60</v>
      </c>
      <c r="P81" s="1">
        <v>0.0</v>
      </c>
      <c r="Q81" s="14">
        <v>34.36</v>
      </c>
      <c r="R81" s="1" t="s">
        <v>61</v>
      </c>
      <c r="S81" s="1" t="s">
        <v>62</v>
      </c>
      <c r="T81" s="15" t="s">
        <v>63</v>
      </c>
      <c r="U81" s="16">
        <v>0.52</v>
      </c>
      <c r="V81" s="14">
        <v>17.87</v>
      </c>
      <c r="W81" s="14">
        <v>0.0</v>
      </c>
      <c r="X81" s="1" t="s">
        <v>57</v>
      </c>
      <c r="Y81" s="1"/>
      <c r="Z81" s="1"/>
    </row>
    <row r="82" ht="14.25" customHeight="1">
      <c r="A82" s="1" t="s">
        <v>319</v>
      </c>
      <c r="B82" s="1" t="s">
        <v>47</v>
      </c>
      <c r="C82" s="1" t="s">
        <v>48</v>
      </c>
      <c r="D82" s="1" t="s">
        <v>182</v>
      </c>
      <c r="E82" s="1" t="s">
        <v>360</v>
      </c>
      <c r="F82" s="1" t="s">
        <v>184</v>
      </c>
      <c r="G82" s="1" t="s">
        <v>185</v>
      </c>
      <c r="H82" s="1" t="s">
        <v>70</v>
      </c>
      <c r="I82" s="1" t="s">
        <v>361</v>
      </c>
      <c r="J82" s="1" t="s">
        <v>139</v>
      </c>
      <c r="K82" s="1" t="s">
        <v>140</v>
      </c>
      <c r="L82" s="13" t="s">
        <v>57</v>
      </c>
      <c r="M82" s="1" t="s">
        <v>58</v>
      </c>
      <c r="N82" s="1" t="s">
        <v>59</v>
      </c>
      <c r="O82" s="1" t="s">
        <v>60</v>
      </c>
      <c r="P82" s="1">
        <v>0.0</v>
      </c>
      <c r="Q82" s="14">
        <v>56.49</v>
      </c>
      <c r="R82" s="1" t="s">
        <v>61</v>
      </c>
      <c r="S82" s="1" t="s">
        <v>62</v>
      </c>
      <c r="T82" s="15" t="s">
        <v>63</v>
      </c>
      <c r="U82" s="16">
        <v>0.52</v>
      </c>
      <c r="V82" s="14">
        <v>0.0</v>
      </c>
      <c r="W82" s="14">
        <v>-29.37</v>
      </c>
      <c r="X82" s="1" t="s">
        <v>57</v>
      </c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1.43"/>
    <col customWidth="1" min="3" max="3" width="11.0"/>
    <col customWidth="1" min="4" max="4" width="22.71"/>
    <col customWidth="1" min="5" max="5" width="11.86"/>
    <col customWidth="1" min="6" max="6" width="28.71"/>
    <col customWidth="1" min="7" max="7" width="18.86"/>
    <col customWidth="1" min="8" max="8" width="12.29"/>
    <col customWidth="1" min="9" max="9" width="11.71"/>
    <col customWidth="1" min="10" max="11" width="14.14"/>
    <col customWidth="1" min="12" max="12" width="6.71"/>
    <col customWidth="1" min="13" max="13" width="9.86"/>
    <col customWidth="1" min="14" max="14" width="67.71"/>
    <col customWidth="1" min="15" max="15" width="19.71"/>
    <col customWidth="1" min="16" max="17" width="16.86"/>
    <col customWidth="1" min="18" max="18" width="5.71"/>
    <col customWidth="1" min="19" max="19" width="17.86"/>
    <col customWidth="1" min="20" max="20" width="8.71"/>
    <col customWidth="1" min="21" max="21" width="11.14"/>
    <col customWidth="1" min="22" max="22" width="11.57"/>
    <col customWidth="1" min="23" max="23" width="11.71"/>
    <col customWidth="1" min="24" max="26" width="8.71"/>
  </cols>
  <sheetData>
    <row r="1">
      <c r="A1" s="12" t="s">
        <v>22</v>
      </c>
      <c r="B1" s="12" t="s">
        <v>30</v>
      </c>
      <c r="C1" s="12" t="s">
        <v>25</v>
      </c>
      <c r="D1" s="12" t="s">
        <v>362</v>
      </c>
      <c r="E1" s="12" t="s">
        <v>26</v>
      </c>
      <c r="F1" s="12" t="s">
        <v>27</v>
      </c>
      <c r="G1" s="12" t="s">
        <v>363</v>
      </c>
      <c r="H1" s="12" t="s">
        <v>28</v>
      </c>
      <c r="I1" s="12" t="s">
        <v>31</v>
      </c>
      <c r="J1" s="12" t="s">
        <v>32</v>
      </c>
      <c r="K1" s="12" t="s">
        <v>364</v>
      </c>
      <c r="L1" s="12" t="s">
        <v>34</v>
      </c>
      <c r="M1" s="12" t="s">
        <v>35</v>
      </c>
      <c r="N1" s="12" t="s">
        <v>365</v>
      </c>
      <c r="O1" s="12" t="s">
        <v>37</v>
      </c>
      <c r="P1" s="12" t="s">
        <v>38</v>
      </c>
      <c r="Q1" s="12" t="s">
        <v>366</v>
      </c>
      <c r="R1" s="12" t="s">
        <v>39</v>
      </c>
      <c r="S1" s="12" t="s">
        <v>40</v>
      </c>
      <c r="T1" s="12" t="s">
        <v>41</v>
      </c>
      <c r="U1" s="22" t="s">
        <v>42</v>
      </c>
      <c r="V1" s="12" t="s">
        <v>43</v>
      </c>
      <c r="W1" s="12" t="s">
        <v>44</v>
      </c>
      <c r="X1" s="12" t="s">
        <v>367</v>
      </c>
    </row>
    <row r="2">
      <c r="A2" s="23" t="s">
        <v>100</v>
      </c>
      <c r="B2" s="23" t="s">
        <v>149</v>
      </c>
      <c r="C2" s="23">
        <v>1.6228684E7</v>
      </c>
      <c r="D2" s="23" t="s">
        <v>368</v>
      </c>
      <c r="E2" s="23" t="s">
        <v>285</v>
      </c>
      <c r="F2" s="23" t="s">
        <v>286</v>
      </c>
      <c r="G2" s="23">
        <v>7952.09</v>
      </c>
      <c r="H2" s="23" t="s">
        <v>52</v>
      </c>
      <c r="I2" s="23" t="s">
        <v>287</v>
      </c>
      <c r="J2" s="23" t="s">
        <v>288</v>
      </c>
      <c r="K2" s="23">
        <f t="shared" ref="K2:K80" si="1">DATEDIF(I2,J2,"M")</f>
        <v>1</v>
      </c>
      <c r="L2" s="23" t="s">
        <v>289</v>
      </c>
      <c r="M2" s="23" t="s">
        <v>59</v>
      </c>
      <c r="N2" s="23" t="s">
        <v>369</v>
      </c>
      <c r="O2" s="23">
        <v>150.0</v>
      </c>
      <c r="P2" s="24">
        <v>5890.44</v>
      </c>
      <c r="Q2" s="24"/>
      <c r="R2" s="23" t="s">
        <v>61</v>
      </c>
      <c r="S2" s="23" t="s">
        <v>291</v>
      </c>
      <c r="T2" s="25">
        <v>1.0</v>
      </c>
      <c r="U2" s="26">
        <v>1.35</v>
      </c>
      <c r="V2" s="24">
        <v>7952.09</v>
      </c>
      <c r="W2" s="24">
        <v>0.0</v>
      </c>
      <c r="X2" s="27" t="s">
        <v>370</v>
      </c>
    </row>
    <row r="3">
      <c r="A3" s="1" t="s">
        <v>107</v>
      </c>
      <c r="B3" s="1" t="s">
        <v>113</v>
      </c>
      <c r="C3" s="1" t="s">
        <v>371</v>
      </c>
      <c r="D3" s="1" t="s">
        <v>372</v>
      </c>
      <c r="E3" s="1" t="s">
        <v>109</v>
      </c>
      <c r="F3" s="1" t="s">
        <v>110</v>
      </c>
      <c r="G3" s="1">
        <v>29.19</v>
      </c>
      <c r="H3" s="1" t="s">
        <v>111</v>
      </c>
      <c r="I3" s="1" t="s">
        <v>114</v>
      </c>
      <c r="J3" s="1" t="s">
        <v>115</v>
      </c>
      <c r="K3" s="1">
        <f t="shared" si="1"/>
        <v>20</v>
      </c>
      <c r="L3" s="1" t="s">
        <v>58</v>
      </c>
      <c r="M3" s="1" t="s">
        <v>59</v>
      </c>
      <c r="N3" s="1" t="s">
        <v>373</v>
      </c>
      <c r="O3" s="1">
        <v>0.0</v>
      </c>
      <c r="P3" s="14">
        <v>157.77</v>
      </c>
      <c r="Q3" s="14"/>
      <c r="R3" s="1" t="s">
        <v>96</v>
      </c>
      <c r="S3" s="1" t="s">
        <v>97</v>
      </c>
      <c r="T3" s="28">
        <v>1.0</v>
      </c>
      <c r="U3" s="29">
        <v>0.185</v>
      </c>
      <c r="V3" s="14">
        <v>29.19</v>
      </c>
      <c r="W3" s="14">
        <v>0.0</v>
      </c>
      <c r="X3" s="30" t="s">
        <v>370</v>
      </c>
      <c r="Y3" s="31"/>
      <c r="Z3" s="31"/>
    </row>
    <row r="4">
      <c r="A4" s="1" t="s">
        <v>100</v>
      </c>
      <c r="B4" s="1" t="s">
        <v>138</v>
      </c>
      <c r="C4" s="1">
        <v>8307933.0</v>
      </c>
      <c r="D4" s="1" t="s">
        <v>374</v>
      </c>
      <c r="E4" s="1" t="s">
        <v>238</v>
      </c>
      <c r="F4" s="1" t="s">
        <v>239</v>
      </c>
      <c r="G4" s="1">
        <v>226.13</v>
      </c>
      <c r="H4" s="1" t="s">
        <v>160</v>
      </c>
      <c r="I4" s="1" t="s">
        <v>139</v>
      </c>
      <c r="J4" s="1" t="s">
        <v>140</v>
      </c>
      <c r="K4" s="1">
        <f t="shared" si="1"/>
        <v>8</v>
      </c>
      <c r="L4" s="1" t="s">
        <v>58</v>
      </c>
      <c r="M4" s="1" t="s">
        <v>59</v>
      </c>
      <c r="N4" s="1" t="s">
        <v>375</v>
      </c>
      <c r="O4" s="1">
        <v>50.0</v>
      </c>
      <c r="P4" s="14">
        <v>167.5</v>
      </c>
      <c r="Q4" s="14"/>
      <c r="R4" s="1" t="s">
        <v>61</v>
      </c>
      <c r="S4" s="1" t="s">
        <v>62</v>
      </c>
      <c r="T4" s="28">
        <v>1.0</v>
      </c>
      <c r="U4" s="29">
        <v>1.35</v>
      </c>
      <c r="V4" s="14">
        <v>0.0</v>
      </c>
      <c r="W4" s="14">
        <v>-226.13</v>
      </c>
      <c r="X4" s="30" t="s">
        <v>370</v>
      </c>
      <c r="Y4" s="31"/>
      <c r="Z4" s="31"/>
    </row>
    <row r="5">
      <c r="A5" s="1" t="s">
        <v>100</v>
      </c>
      <c r="B5" s="1" t="s">
        <v>138</v>
      </c>
      <c r="C5" s="1">
        <v>9213293.0</v>
      </c>
      <c r="D5" s="1" t="s">
        <v>376</v>
      </c>
      <c r="E5" s="1" t="s">
        <v>255</v>
      </c>
      <c r="F5" s="1" t="s">
        <v>256</v>
      </c>
      <c r="G5" s="1">
        <v>185.45</v>
      </c>
      <c r="H5" s="1" t="s">
        <v>52</v>
      </c>
      <c r="I5" s="1" t="s">
        <v>257</v>
      </c>
      <c r="J5" s="1" t="s">
        <v>258</v>
      </c>
      <c r="K5" s="1">
        <f t="shared" si="1"/>
        <v>8</v>
      </c>
      <c r="L5" s="1" t="s">
        <v>58</v>
      </c>
      <c r="M5" s="1" t="s">
        <v>59</v>
      </c>
      <c r="N5" s="1" t="s">
        <v>375</v>
      </c>
      <c r="O5" s="1">
        <v>12.0</v>
      </c>
      <c r="P5" s="14">
        <v>137.37</v>
      </c>
      <c r="Q5" s="14"/>
      <c r="R5" s="1" t="s">
        <v>61</v>
      </c>
      <c r="S5" s="1" t="s">
        <v>62</v>
      </c>
      <c r="T5" s="28">
        <v>1.0</v>
      </c>
      <c r="U5" s="29">
        <v>1.35</v>
      </c>
      <c r="V5" s="14">
        <v>0.0</v>
      </c>
      <c r="W5" s="14">
        <v>-185.45</v>
      </c>
      <c r="X5" s="30" t="s">
        <v>370</v>
      </c>
      <c r="Y5" s="31"/>
      <c r="Z5" s="31"/>
    </row>
    <row r="6">
      <c r="A6" s="1" t="s">
        <v>100</v>
      </c>
      <c r="B6" s="1" t="s">
        <v>138</v>
      </c>
      <c r="C6" s="1">
        <v>9213293.0</v>
      </c>
      <c r="D6" s="1" t="s">
        <v>376</v>
      </c>
      <c r="E6" s="1" t="s">
        <v>135</v>
      </c>
      <c r="F6" s="1" t="s">
        <v>136</v>
      </c>
      <c r="G6" s="1">
        <v>96.69</v>
      </c>
      <c r="H6" s="1" t="s">
        <v>52</v>
      </c>
      <c r="I6" s="1" t="s">
        <v>139</v>
      </c>
      <c r="J6" s="1" t="s">
        <v>140</v>
      </c>
      <c r="K6" s="1">
        <f t="shared" si="1"/>
        <v>8</v>
      </c>
      <c r="L6" s="1" t="s">
        <v>58</v>
      </c>
      <c r="M6" s="1" t="s">
        <v>59</v>
      </c>
      <c r="N6" s="1" t="s">
        <v>375</v>
      </c>
      <c r="O6" s="1">
        <v>12.0</v>
      </c>
      <c r="P6" s="14">
        <v>71.62</v>
      </c>
      <c r="Q6" s="14"/>
      <c r="R6" s="1" t="s">
        <v>61</v>
      </c>
      <c r="S6" s="1" t="s">
        <v>62</v>
      </c>
      <c r="T6" s="28">
        <v>1.0</v>
      </c>
      <c r="U6" s="29">
        <v>1.35</v>
      </c>
      <c r="V6" s="14">
        <v>0.0</v>
      </c>
      <c r="W6" s="14">
        <v>-96.69</v>
      </c>
      <c r="X6" s="30" t="s">
        <v>370</v>
      </c>
      <c r="Y6" s="31"/>
      <c r="Z6" s="31"/>
    </row>
    <row r="7">
      <c r="A7" s="1" t="s">
        <v>100</v>
      </c>
      <c r="B7" s="1" t="s">
        <v>138</v>
      </c>
      <c r="C7" s="1">
        <v>9213293.0</v>
      </c>
      <c r="D7" s="1" t="s">
        <v>376</v>
      </c>
      <c r="E7" s="1" t="s">
        <v>305</v>
      </c>
      <c r="F7" s="1" t="s">
        <v>306</v>
      </c>
      <c r="G7" s="1">
        <v>85.93</v>
      </c>
      <c r="H7" s="1" t="s">
        <v>52</v>
      </c>
      <c r="I7" s="1" t="s">
        <v>307</v>
      </c>
      <c r="J7" s="1" t="s">
        <v>133</v>
      </c>
      <c r="K7" s="1">
        <f t="shared" si="1"/>
        <v>2</v>
      </c>
      <c r="L7" s="1" t="s">
        <v>58</v>
      </c>
      <c r="M7" s="1" t="s">
        <v>59</v>
      </c>
      <c r="N7" s="1" t="s">
        <v>375</v>
      </c>
      <c r="O7" s="1">
        <v>12.0</v>
      </c>
      <c r="P7" s="14">
        <v>63.65</v>
      </c>
      <c r="Q7" s="14"/>
      <c r="R7" s="1" t="s">
        <v>61</v>
      </c>
      <c r="S7" s="1" t="s">
        <v>62</v>
      </c>
      <c r="T7" s="28">
        <v>1.0</v>
      </c>
      <c r="U7" s="29">
        <v>1.35</v>
      </c>
      <c r="V7" s="14">
        <v>0.0</v>
      </c>
      <c r="W7" s="14">
        <v>-85.93</v>
      </c>
      <c r="X7" s="30" t="s">
        <v>370</v>
      </c>
      <c r="Y7" s="31"/>
      <c r="Z7" s="31"/>
    </row>
    <row r="8">
      <c r="A8" s="1" t="s">
        <v>100</v>
      </c>
      <c r="B8" s="1" t="s">
        <v>138</v>
      </c>
      <c r="C8" s="1">
        <v>9213293.0</v>
      </c>
      <c r="D8" s="1" t="s">
        <v>376</v>
      </c>
      <c r="E8" s="1" t="s">
        <v>312</v>
      </c>
      <c r="F8" s="1" t="s">
        <v>313</v>
      </c>
      <c r="G8" s="1">
        <v>74.22</v>
      </c>
      <c r="H8" s="1" t="s">
        <v>52</v>
      </c>
      <c r="I8" s="1" t="s">
        <v>307</v>
      </c>
      <c r="J8" s="1" t="s">
        <v>133</v>
      </c>
      <c r="K8" s="1">
        <f t="shared" si="1"/>
        <v>2</v>
      </c>
      <c r="L8" s="1" t="s">
        <v>58</v>
      </c>
      <c r="M8" s="1" t="s">
        <v>59</v>
      </c>
      <c r="N8" s="1" t="s">
        <v>375</v>
      </c>
      <c r="O8" s="1">
        <v>15.0</v>
      </c>
      <c r="P8" s="14">
        <v>54.98</v>
      </c>
      <c r="Q8" s="14"/>
      <c r="R8" s="1" t="s">
        <v>61</v>
      </c>
      <c r="S8" s="1" t="s">
        <v>62</v>
      </c>
      <c r="T8" s="28">
        <v>1.0</v>
      </c>
      <c r="U8" s="29">
        <v>1.35</v>
      </c>
      <c r="V8" s="14">
        <v>0.0</v>
      </c>
      <c r="W8" s="14">
        <v>-74.22</v>
      </c>
      <c r="X8" s="30" t="s">
        <v>370</v>
      </c>
      <c r="Y8" s="31"/>
      <c r="Z8" s="31"/>
    </row>
    <row r="9">
      <c r="A9" s="32" t="s">
        <v>100</v>
      </c>
      <c r="B9" s="32" t="s">
        <v>138</v>
      </c>
      <c r="C9" s="32">
        <v>371819.0</v>
      </c>
      <c r="D9" s="32" t="s">
        <v>377</v>
      </c>
      <c r="E9" s="32" t="s">
        <v>292</v>
      </c>
      <c r="F9" s="32" t="s">
        <v>293</v>
      </c>
      <c r="G9" s="32">
        <v>100.9</v>
      </c>
      <c r="H9" s="32" t="s">
        <v>294</v>
      </c>
      <c r="I9" s="32" t="s">
        <v>295</v>
      </c>
      <c r="J9" s="32" t="s">
        <v>56</v>
      </c>
      <c r="K9" s="32">
        <f t="shared" si="1"/>
        <v>3</v>
      </c>
      <c r="L9" s="32" t="s">
        <v>58</v>
      </c>
      <c r="M9" s="32" t="s">
        <v>59</v>
      </c>
      <c r="N9" s="32" t="s">
        <v>378</v>
      </c>
      <c r="O9" s="32">
        <v>10.0</v>
      </c>
      <c r="P9" s="33">
        <v>106.21</v>
      </c>
      <c r="Q9" s="33"/>
      <c r="R9" s="32" t="s">
        <v>61</v>
      </c>
      <c r="S9" s="32" t="s">
        <v>62</v>
      </c>
      <c r="T9" s="34">
        <v>1.0</v>
      </c>
      <c r="U9" s="35">
        <v>0.95</v>
      </c>
      <c r="V9" s="33">
        <v>0.0</v>
      </c>
      <c r="W9" s="33">
        <v>-100.9</v>
      </c>
      <c r="X9" s="36" t="s">
        <v>379</v>
      </c>
      <c r="Y9" s="31"/>
      <c r="Z9" s="31"/>
    </row>
    <row r="10">
      <c r="A10" s="37" t="s">
        <v>100</v>
      </c>
      <c r="B10" s="37" t="s">
        <v>149</v>
      </c>
      <c r="C10" s="37">
        <v>1.6228684E7</v>
      </c>
      <c r="D10" s="37" t="s">
        <v>368</v>
      </c>
      <c r="E10" s="37" t="s">
        <v>261</v>
      </c>
      <c r="F10" s="37" t="s">
        <v>262</v>
      </c>
      <c r="G10" s="37">
        <f t="shared" ref="G10:G13" si="2">SUM(Q10*U10)</f>
        <v>207.8055</v>
      </c>
      <c r="H10" s="37" t="s">
        <v>52</v>
      </c>
      <c r="I10" s="37" t="s">
        <v>263</v>
      </c>
      <c r="J10" s="37" t="s">
        <v>263</v>
      </c>
      <c r="K10" s="37">
        <f t="shared" si="1"/>
        <v>0</v>
      </c>
      <c r="L10" s="37" t="s">
        <v>58</v>
      </c>
      <c r="M10" s="37" t="s">
        <v>59</v>
      </c>
      <c r="N10" s="37" t="s">
        <v>369</v>
      </c>
      <c r="O10" s="37">
        <v>50.0</v>
      </c>
      <c r="P10" s="38">
        <v>1385.37</v>
      </c>
      <c r="Q10" s="38">
        <f t="shared" ref="Q10:Q13" si="3">SUM(P10/9)</f>
        <v>153.93</v>
      </c>
      <c r="R10" s="37" t="s">
        <v>61</v>
      </c>
      <c r="S10" s="37" t="s">
        <v>264</v>
      </c>
      <c r="T10" s="39">
        <v>1.0</v>
      </c>
      <c r="U10" s="40">
        <v>1.35</v>
      </c>
      <c r="V10" s="38">
        <v>1870.25</v>
      </c>
      <c r="W10" s="38">
        <v>1870.25</v>
      </c>
      <c r="X10" s="31" t="s">
        <v>370</v>
      </c>
      <c r="Y10" s="31"/>
      <c r="Z10" s="31"/>
    </row>
    <row r="11">
      <c r="A11" s="37" t="s">
        <v>100</v>
      </c>
      <c r="B11" s="37" t="s">
        <v>149</v>
      </c>
      <c r="C11" s="37">
        <v>8307933.0</v>
      </c>
      <c r="D11" s="37" t="s">
        <v>374</v>
      </c>
      <c r="E11" s="37" t="s">
        <v>265</v>
      </c>
      <c r="F11" s="37" t="s">
        <v>266</v>
      </c>
      <c r="G11" s="37">
        <f t="shared" si="2"/>
        <v>143.1675</v>
      </c>
      <c r="H11" s="37" t="s">
        <v>267</v>
      </c>
      <c r="I11" s="37" t="s">
        <v>56</v>
      </c>
      <c r="J11" s="37" t="s">
        <v>56</v>
      </c>
      <c r="K11" s="37">
        <f t="shared" si="1"/>
        <v>0</v>
      </c>
      <c r="L11" s="37" t="s">
        <v>58</v>
      </c>
      <c r="M11" s="37" t="s">
        <v>59</v>
      </c>
      <c r="N11" s="37" t="s">
        <v>369</v>
      </c>
      <c r="O11" s="37">
        <v>35.0</v>
      </c>
      <c r="P11" s="38">
        <v>954.45</v>
      </c>
      <c r="Q11" s="38">
        <f t="shared" si="3"/>
        <v>106.05</v>
      </c>
      <c r="R11" s="37" t="s">
        <v>61</v>
      </c>
      <c r="S11" s="37" t="s">
        <v>264</v>
      </c>
      <c r="T11" s="39">
        <v>1.0</v>
      </c>
      <c r="U11" s="40">
        <v>1.35</v>
      </c>
      <c r="V11" s="38">
        <v>1288.51</v>
      </c>
      <c r="W11" s="38">
        <v>1288.51</v>
      </c>
      <c r="X11" s="31" t="s">
        <v>370</v>
      </c>
    </row>
    <row r="12">
      <c r="A12" s="37" t="s">
        <v>100</v>
      </c>
      <c r="B12" s="37" t="s">
        <v>149</v>
      </c>
      <c r="C12" s="37">
        <v>8307933.0</v>
      </c>
      <c r="D12" s="37" t="s">
        <v>374</v>
      </c>
      <c r="E12" s="37" t="s">
        <v>276</v>
      </c>
      <c r="F12" s="37" t="s">
        <v>277</v>
      </c>
      <c r="G12" s="37">
        <f t="shared" si="2"/>
        <v>142.2225</v>
      </c>
      <c r="H12" s="37" t="s">
        <v>228</v>
      </c>
      <c r="I12" s="37" t="s">
        <v>56</v>
      </c>
      <c r="J12" s="37" t="s">
        <v>56</v>
      </c>
      <c r="K12" s="37">
        <f t="shared" si="1"/>
        <v>0</v>
      </c>
      <c r="L12" s="37" t="s">
        <v>58</v>
      </c>
      <c r="M12" s="37" t="s">
        <v>59</v>
      </c>
      <c r="N12" s="37" t="s">
        <v>369</v>
      </c>
      <c r="O12" s="37">
        <v>50.0</v>
      </c>
      <c r="P12" s="38">
        <v>948.15</v>
      </c>
      <c r="Q12" s="38">
        <f t="shared" si="3"/>
        <v>105.35</v>
      </c>
      <c r="R12" s="37" t="s">
        <v>61</v>
      </c>
      <c r="S12" s="37" t="s">
        <v>264</v>
      </c>
      <c r="T12" s="39">
        <v>1.0</v>
      </c>
      <c r="U12" s="40">
        <v>1.35</v>
      </c>
      <c r="V12" s="38">
        <v>1280.0</v>
      </c>
      <c r="W12" s="38">
        <v>1280.0</v>
      </c>
      <c r="X12" s="31" t="s">
        <v>370</v>
      </c>
    </row>
    <row r="13">
      <c r="A13" s="37" t="s">
        <v>100</v>
      </c>
      <c r="B13" s="37" t="s">
        <v>149</v>
      </c>
      <c r="C13" s="37">
        <v>8307933.0</v>
      </c>
      <c r="D13" s="37" t="s">
        <v>374</v>
      </c>
      <c r="E13" s="37" t="s">
        <v>268</v>
      </c>
      <c r="F13" s="37" t="s">
        <v>269</v>
      </c>
      <c r="G13" s="37">
        <f t="shared" si="2"/>
        <v>134.9325</v>
      </c>
      <c r="H13" s="37" t="s">
        <v>267</v>
      </c>
      <c r="I13" s="37" t="s">
        <v>56</v>
      </c>
      <c r="J13" s="37" t="s">
        <v>56</v>
      </c>
      <c r="K13" s="37">
        <f t="shared" si="1"/>
        <v>0</v>
      </c>
      <c r="L13" s="37" t="s">
        <v>58</v>
      </c>
      <c r="M13" s="37" t="s">
        <v>59</v>
      </c>
      <c r="N13" s="37" t="s">
        <v>369</v>
      </c>
      <c r="O13" s="37">
        <v>35.0</v>
      </c>
      <c r="P13" s="38">
        <v>899.55</v>
      </c>
      <c r="Q13" s="38">
        <f t="shared" si="3"/>
        <v>99.95</v>
      </c>
      <c r="R13" s="37" t="s">
        <v>61</v>
      </c>
      <c r="S13" s="37" t="s">
        <v>264</v>
      </c>
      <c r="T13" s="39">
        <v>1.0</v>
      </c>
      <c r="U13" s="40">
        <v>1.35</v>
      </c>
      <c r="V13" s="38">
        <v>1214.39</v>
      </c>
      <c r="W13" s="38">
        <v>1214.39</v>
      </c>
      <c r="X13" s="31" t="s">
        <v>370</v>
      </c>
    </row>
    <row r="14">
      <c r="A14" s="32" t="s">
        <v>100</v>
      </c>
      <c r="B14" s="32" t="s">
        <v>149</v>
      </c>
      <c r="C14" s="32">
        <v>371819.0</v>
      </c>
      <c r="D14" s="32" t="s">
        <v>377</v>
      </c>
      <c r="E14" s="32" t="s">
        <v>299</v>
      </c>
      <c r="F14" s="32" t="s">
        <v>300</v>
      </c>
      <c r="G14" s="32">
        <v>343.78</v>
      </c>
      <c r="H14" s="32" t="s">
        <v>125</v>
      </c>
      <c r="I14" s="32" t="s">
        <v>301</v>
      </c>
      <c r="J14" s="32" t="s">
        <v>56</v>
      </c>
      <c r="K14" s="32">
        <f t="shared" si="1"/>
        <v>1</v>
      </c>
      <c r="L14" s="32" t="s">
        <v>58</v>
      </c>
      <c r="M14" s="32" t="s">
        <v>59</v>
      </c>
      <c r="N14" s="32" t="s">
        <v>369</v>
      </c>
      <c r="O14" s="32">
        <v>250.0</v>
      </c>
      <c r="P14" s="33">
        <v>254.65</v>
      </c>
      <c r="Q14" s="33"/>
      <c r="R14" s="32" t="s">
        <v>61</v>
      </c>
      <c r="S14" s="32" t="s">
        <v>291</v>
      </c>
      <c r="T14" s="34">
        <v>1.0</v>
      </c>
      <c r="U14" s="35">
        <v>1.35</v>
      </c>
      <c r="V14" s="33">
        <v>0.0</v>
      </c>
      <c r="W14" s="33">
        <v>-343.78</v>
      </c>
      <c r="X14" s="36" t="s">
        <v>379</v>
      </c>
    </row>
    <row r="15">
      <c r="A15" s="1" t="s">
        <v>100</v>
      </c>
      <c r="B15" s="1" t="s">
        <v>149</v>
      </c>
      <c r="C15" s="1">
        <v>8307933.0</v>
      </c>
      <c r="D15" s="1" t="s">
        <v>374</v>
      </c>
      <c r="E15" s="1" t="s">
        <v>208</v>
      </c>
      <c r="F15" s="1" t="s">
        <v>209</v>
      </c>
      <c r="G15" s="1">
        <v>304.28</v>
      </c>
      <c r="H15" s="1" t="s">
        <v>52</v>
      </c>
      <c r="I15" s="1" t="s">
        <v>210</v>
      </c>
      <c r="J15" s="1" t="s">
        <v>175</v>
      </c>
      <c r="K15" s="1">
        <f t="shared" si="1"/>
        <v>3</v>
      </c>
      <c r="L15" s="1" t="s">
        <v>58</v>
      </c>
      <c r="M15" s="1" t="s">
        <v>59</v>
      </c>
      <c r="N15" s="1" t="s">
        <v>369</v>
      </c>
      <c r="O15" s="1">
        <v>75.0</v>
      </c>
      <c r="P15" s="14">
        <v>225.39</v>
      </c>
      <c r="Q15" s="14"/>
      <c r="R15" s="1" t="s">
        <v>61</v>
      </c>
      <c r="S15" s="1" t="s">
        <v>62</v>
      </c>
      <c r="T15" s="28">
        <v>1.0</v>
      </c>
      <c r="U15" s="29">
        <v>1.35</v>
      </c>
      <c r="V15" s="14">
        <v>0.0</v>
      </c>
      <c r="W15" s="14">
        <v>-304.28</v>
      </c>
      <c r="X15" s="30" t="s">
        <v>370</v>
      </c>
    </row>
    <row r="16">
      <c r="A16" s="32" t="s">
        <v>100</v>
      </c>
      <c r="B16" s="32" t="s">
        <v>149</v>
      </c>
      <c r="C16" s="32">
        <v>371819.0</v>
      </c>
      <c r="D16" s="32" t="s">
        <v>377</v>
      </c>
      <c r="E16" s="32" t="s">
        <v>296</v>
      </c>
      <c r="F16" s="32" t="s">
        <v>297</v>
      </c>
      <c r="G16" s="32">
        <v>292.09</v>
      </c>
      <c r="H16" s="32" t="s">
        <v>125</v>
      </c>
      <c r="I16" s="32" t="s">
        <v>298</v>
      </c>
      <c r="J16" s="32" t="s">
        <v>175</v>
      </c>
      <c r="K16" s="32">
        <f t="shared" si="1"/>
        <v>2</v>
      </c>
      <c r="L16" s="32" t="s">
        <v>58</v>
      </c>
      <c r="M16" s="32" t="s">
        <v>59</v>
      </c>
      <c r="N16" s="32" t="s">
        <v>369</v>
      </c>
      <c r="O16" s="32">
        <v>250.0</v>
      </c>
      <c r="P16" s="33">
        <v>216.36</v>
      </c>
      <c r="Q16" s="33"/>
      <c r="R16" s="32" t="s">
        <v>61</v>
      </c>
      <c r="S16" s="32" t="s">
        <v>62</v>
      </c>
      <c r="T16" s="34">
        <v>1.0</v>
      </c>
      <c r="U16" s="35">
        <v>1.35</v>
      </c>
      <c r="V16" s="33">
        <v>0.0</v>
      </c>
      <c r="W16" s="33">
        <v>-292.09</v>
      </c>
      <c r="X16" s="36" t="s">
        <v>379</v>
      </c>
    </row>
    <row r="17">
      <c r="A17" s="1" t="s">
        <v>100</v>
      </c>
      <c r="B17" s="1" t="s">
        <v>149</v>
      </c>
      <c r="C17" s="1">
        <v>8307933.0</v>
      </c>
      <c r="D17" s="1" t="s">
        <v>374</v>
      </c>
      <c r="E17" s="1" t="s">
        <v>252</v>
      </c>
      <c r="F17" s="1" t="s">
        <v>253</v>
      </c>
      <c r="G17" s="1">
        <v>273.04</v>
      </c>
      <c r="H17" s="1" t="s">
        <v>52</v>
      </c>
      <c r="I17" s="1" t="s">
        <v>254</v>
      </c>
      <c r="J17" s="1" t="s">
        <v>175</v>
      </c>
      <c r="K17" s="1">
        <f t="shared" si="1"/>
        <v>11</v>
      </c>
      <c r="L17" s="1" t="s">
        <v>58</v>
      </c>
      <c r="M17" s="1" t="s">
        <v>59</v>
      </c>
      <c r="N17" s="1" t="s">
        <v>369</v>
      </c>
      <c r="O17" s="1">
        <v>85.0</v>
      </c>
      <c r="P17" s="14">
        <v>202.25</v>
      </c>
      <c r="Q17" s="14"/>
      <c r="R17" s="1" t="s">
        <v>61</v>
      </c>
      <c r="S17" s="1" t="s">
        <v>62</v>
      </c>
      <c r="T17" s="28">
        <v>1.0</v>
      </c>
      <c r="U17" s="29">
        <v>1.35</v>
      </c>
      <c r="V17" s="14">
        <v>273.04</v>
      </c>
      <c r="W17" s="14">
        <v>0.0</v>
      </c>
      <c r="X17" s="30" t="s">
        <v>370</v>
      </c>
    </row>
    <row r="18">
      <c r="A18" s="1" t="s">
        <v>100</v>
      </c>
      <c r="B18" s="1" t="s">
        <v>149</v>
      </c>
      <c r="C18" s="1">
        <v>8307933.0</v>
      </c>
      <c r="D18" s="1" t="s">
        <v>374</v>
      </c>
      <c r="E18" s="1" t="s">
        <v>221</v>
      </c>
      <c r="F18" s="1" t="s">
        <v>222</v>
      </c>
      <c r="G18" s="1">
        <v>188.37</v>
      </c>
      <c r="H18" s="1" t="s">
        <v>125</v>
      </c>
      <c r="I18" s="1" t="s">
        <v>223</v>
      </c>
      <c r="J18" s="1" t="s">
        <v>95</v>
      </c>
      <c r="K18" s="1">
        <f t="shared" si="1"/>
        <v>5</v>
      </c>
      <c r="L18" s="1" t="s">
        <v>58</v>
      </c>
      <c r="M18" s="1" t="s">
        <v>59</v>
      </c>
      <c r="N18" s="1" t="s">
        <v>369</v>
      </c>
      <c r="O18" s="1">
        <v>55.0</v>
      </c>
      <c r="P18" s="14">
        <v>139.53</v>
      </c>
      <c r="Q18" s="14"/>
      <c r="R18" s="1" t="s">
        <v>61</v>
      </c>
      <c r="S18" s="1" t="s">
        <v>62</v>
      </c>
      <c r="T18" s="28">
        <v>1.0</v>
      </c>
      <c r="U18" s="29">
        <v>1.35</v>
      </c>
      <c r="V18" s="14">
        <v>0.0</v>
      </c>
      <c r="W18" s="14">
        <v>-188.37</v>
      </c>
      <c r="X18" s="30" t="s">
        <v>370</v>
      </c>
    </row>
    <row r="19">
      <c r="A19" s="1" t="s">
        <v>100</v>
      </c>
      <c r="B19" s="1" t="s">
        <v>149</v>
      </c>
      <c r="C19" s="1">
        <v>8307933.0</v>
      </c>
      <c r="D19" s="1" t="s">
        <v>374</v>
      </c>
      <c r="E19" s="1" t="s">
        <v>235</v>
      </c>
      <c r="F19" s="1" t="s">
        <v>236</v>
      </c>
      <c r="G19" s="1">
        <v>158.21</v>
      </c>
      <c r="H19" s="1" t="s">
        <v>185</v>
      </c>
      <c r="I19" s="1" t="s">
        <v>237</v>
      </c>
      <c r="J19" s="1" t="s">
        <v>187</v>
      </c>
      <c r="K19" s="1">
        <f t="shared" si="1"/>
        <v>7</v>
      </c>
      <c r="L19" s="1" t="s">
        <v>58</v>
      </c>
      <c r="M19" s="1" t="s">
        <v>59</v>
      </c>
      <c r="N19" s="1" t="s">
        <v>369</v>
      </c>
      <c r="O19" s="1">
        <v>70.0</v>
      </c>
      <c r="P19" s="14">
        <v>117.19</v>
      </c>
      <c r="Q19" s="14"/>
      <c r="R19" s="1" t="s">
        <v>61</v>
      </c>
      <c r="S19" s="1" t="s">
        <v>62</v>
      </c>
      <c r="T19" s="28">
        <v>1.0</v>
      </c>
      <c r="U19" s="29">
        <v>1.35</v>
      </c>
      <c r="V19" s="14">
        <v>0.0</v>
      </c>
      <c r="W19" s="14">
        <v>-158.21</v>
      </c>
      <c r="X19" s="30" t="s">
        <v>370</v>
      </c>
    </row>
    <row r="20">
      <c r="A20" s="1" t="s">
        <v>100</v>
      </c>
      <c r="B20" s="1" t="s">
        <v>149</v>
      </c>
      <c r="C20" s="1">
        <v>5442438.0</v>
      </c>
      <c r="D20" s="1" t="s">
        <v>380</v>
      </c>
      <c r="E20" s="1" t="s">
        <v>200</v>
      </c>
      <c r="F20" s="1" t="s">
        <v>201</v>
      </c>
      <c r="G20" s="1">
        <v>138.89</v>
      </c>
      <c r="H20" s="1" t="s">
        <v>144</v>
      </c>
      <c r="I20" s="1" t="s">
        <v>202</v>
      </c>
      <c r="J20" s="1" t="s">
        <v>56</v>
      </c>
      <c r="K20" s="1">
        <f t="shared" si="1"/>
        <v>10</v>
      </c>
      <c r="L20" s="1" t="s">
        <v>58</v>
      </c>
      <c r="M20" s="1" t="s">
        <v>59</v>
      </c>
      <c r="N20" s="1" t="s">
        <v>369</v>
      </c>
      <c r="O20" s="1">
        <v>300.0</v>
      </c>
      <c r="P20" s="14">
        <v>102.89</v>
      </c>
      <c r="Q20" s="14"/>
      <c r="R20" s="1" t="s">
        <v>61</v>
      </c>
      <c r="S20" s="1" t="s">
        <v>62</v>
      </c>
      <c r="T20" s="28">
        <v>1.0</v>
      </c>
      <c r="U20" s="29">
        <v>1.35</v>
      </c>
      <c r="V20" s="14">
        <v>138.89</v>
      </c>
      <c r="W20" s="14">
        <v>-0.01</v>
      </c>
      <c r="X20" s="30" t="s">
        <v>370</v>
      </c>
    </row>
    <row r="21" ht="15.75" customHeight="1">
      <c r="A21" s="32" t="s">
        <v>100</v>
      </c>
      <c r="B21" s="32" t="s">
        <v>149</v>
      </c>
      <c r="C21" s="32">
        <v>2.0999157E7</v>
      </c>
      <c r="D21" s="32" t="s">
        <v>381</v>
      </c>
      <c r="E21" s="32" t="s">
        <v>315</v>
      </c>
      <c r="F21" s="32" t="s">
        <v>316</v>
      </c>
      <c r="G21" s="32">
        <v>135.08</v>
      </c>
      <c r="H21" s="32" t="s">
        <v>52</v>
      </c>
      <c r="I21" s="32" t="s">
        <v>317</v>
      </c>
      <c r="J21" s="32" t="s">
        <v>318</v>
      </c>
      <c r="K21" s="32">
        <f t="shared" si="1"/>
        <v>3</v>
      </c>
      <c r="L21" s="32" t="s">
        <v>58</v>
      </c>
      <c r="M21" s="32" t="s">
        <v>59</v>
      </c>
      <c r="N21" s="32" t="s">
        <v>369</v>
      </c>
      <c r="O21" s="32">
        <v>110.0</v>
      </c>
      <c r="P21" s="33">
        <v>100.06</v>
      </c>
      <c r="Q21" s="33"/>
      <c r="R21" s="32" t="s">
        <v>61</v>
      </c>
      <c r="S21" s="32" t="s">
        <v>62</v>
      </c>
      <c r="T21" s="34">
        <v>1.0</v>
      </c>
      <c r="U21" s="35">
        <v>1.35</v>
      </c>
      <c r="V21" s="33">
        <v>0.0</v>
      </c>
      <c r="W21" s="33">
        <v>-135.08</v>
      </c>
      <c r="X21" s="36" t="s">
        <v>379</v>
      </c>
    </row>
    <row r="22" ht="15.75" customHeight="1">
      <c r="A22" s="1" t="s">
        <v>100</v>
      </c>
      <c r="B22" s="1" t="s">
        <v>149</v>
      </c>
      <c r="C22" s="1">
        <v>1.9279958E7</v>
      </c>
      <c r="D22" s="1" t="s">
        <v>382</v>
      </c>
      <c r="E22" s="1" t="s">
        <v>147</v>
      </c>
      <c r="F22" s="1" t="s">
        <v>148</v>
      </c>
      <c r="G22" s="1">
        <v>120.46</v>
      </c>
      <c r="H22" s="1" t="s">
        <v>144</v>
      </c>
      <c r="I22" s="1" t="s">
        <v>150</v>
      </c>
      <c r="J22" s="1" t="s">
        <v>151</v>
      </c>
      <c r="K22" s="1">
        <f t="shared" si="1"/>
        <v>9</v>
      </c>
      <c r="L22" s="1" t="s">
        <v>58</v>
      </c>
      <c r="M22" s="1" t="s">
        <v>59</v>
      </c>
      <c r="N22" s="1" t="s">
        <v>369</v>
      </c>
      <c r="O22" s="1">
        <v>185.0</v>
      </c>
      <c r="P22" s="14">
        <v>89.23</v>
      </c>
      <c r="Q22" s="14"/>
      <c r="R22" s="1" t="s">
        <v>61</v>
      </c>
      <c r="S22" s="1" t="s">
        <v>62</v>
      </c>
      <c r="T22" s="28">
        <v>1.0</v>
      </c>
      <c r="U22" s="29">
        <v>1.35</v>
      </c>
      <c r="V22" s="14">
        <v>120.46</v>
      </c>
      <c r="W22" s="14">
        <v>0.0</v>
      </c>
      <c r="X22" s="30" t="s">
        <v>370</v>
      </c>
    </row>
    <row r="23" ht="15.75" customHeight="1">
      <c r="A23" s="1" t="s">
        <v>100</v>
      </c>
      <c r="B23" s="1" t="s">
        <v>149</v>
      </c>
      <c r="C23" s="1">
        <v>1.8754354E7</v>
      </c>
      <c r="D23" s="1" t="s">
        <v>383</v>
      </c>
      <c r="E23" s="1" t="s">
        <v>204</v>
      </c>
      <c r="F23" s="1" t="s">
        <v>205</v>
      </c>
      <c r="G23" s="1">
        <v>88.1</v>
      </c>
      <c r="H23" s="1" t="s">
        <v>52</v>
      </c>
      <c r="I23" s="1" t="s">
        <v>206</v>
      </c>
      <c r="J23" s="1" t="s">
        <v>207</v>
      </c>
      <c r="K23" s="1">
        <f t="shared" si="1"/>
        <v>8</v>
      </c>
      <c r="L23" s="1" t="s">
        <v>58</v>
      </c>
      <c r="M23" s="1" t="s">
        <v>59</v>
      </c>
      <c r="N23" s="1" t="s">
        <v>369</v>
      </c>
      <c r="O23" s="1">
        <v>25.0</v>
      </c>
      <c r="P23" s="14">
        <v>65.26</v>
      </c>
      <c r="Q23" s="14"/>
      <c r="R23" s="1" t="s">
        <v>61</v>
      </c>
      <c r="S23" s="1" t="s">
        <v>62</v>
      </c>
      <c r="T23" s="28">
        <v>1.0</v>
      </c>
      <c r="U23" s="29">
        <v>1.35</v>
      </c>
      <c r="V23" s="14">
        <v>0.0</v>
      </c>
      <c r="W23" s="14">
        <v>-88.1</v>
      </c>
      <c r="X23" s="30" t="s">
        <v>370</v>
      </c>
    </row>
    <row r="24" ht="15.75" customHeight="1">
      <c r="A24" s="1" t="s">
        <v>100</v>
      </c>
      <c r="B24" s="1" t="s">
        <v>145</v>
      </c>
      <c r="C24" s="1">
        <v>8307933.0</v>
      </c>
      <c r="D24" s="1" t="s">
        <v>374</v>
      </c>
      <c r="E24" s="1" t="s">
        <v>230</v>
      </c>
      <c r="F24" s="1" t="s">
        <v>231</v>
      </c>
      <c r="G24" s="1">
        <v>122.89</v>
      </c>
      <c r="H24" s="1" t="s">
        <v>232</v>
      </c>
      <c r="I24" s="1" t="s">
        <v>233</v>
      </c>
      <c r="J24" s="1" t="s">
        <v>234</v>
      </c>
      <c r="K24" s="1">
        <f t="shared" si="1"/>
        <v>8</v>
      </c>
      <c r="L24" s="1" t="s">
        <v>58</v>
      </c>
      <c r="M24" s="1" t="s">
        <v>59</v>
      </c>
      <c r="N24" s="1" t="s">
        <v>384</v>
      </c>
      <c r="O24" s="1">
        <v>20.0</v>
      </c>
      <c r="P24" s="14">
        <v>140.44</v>
      </c>
      <c r="Q24" s="14"/>
      <c r="R24" s="1" t="s">
        <v>61</v>
      </c>
      <c r="S24" s="1" t="s">
        <v>62</v>
      </c>
      <c r="T24" s="28">
        <v>1.0</v>
      </c>
      <c r="U24" s="29">
        <v>0.875</v>
      </c>
      <c r="V24" s="14">
        <v>0.0</v>
      </c>
      <c r="W24" s="14">
        <v>-122.89</v>
      </c>
      <c r="X24" s="30" t="s">
        <v>370</v>
      </c>
    </row>
    <row r="25" ht="15.75" customHeight="1">
      <c r="A25" s="1" t="s">
        <v>100</v>
      </c>
      <c r="B25" s="1" t="s">
        <v>145</v>
      </c>
      <c r="C25" s="1">
        <v>1.9279958E7</v>
      </c>
      <c r="D25" s="1" t="s">
        <v>382</v>
      </c>
      <c r="E25" s="1" t="s">
        <v>142</v>
      </c>
      <c r="F25" s="1" t="s">
        <v>143</v>
      </c>
      <c r="G25" s="1">
        <v>102.17</v>
      </c>
      <c r="H25" s="1" t="s">
        <v>144</v>
      </c>
      <c r="I25" s="1" t="s">
        <v>146</v>
      </c>
      <c r="J25" s="1" t="s">
        <v>95</v>
      </c>
      <c r="K25" s="1">
        <f t="shared" si="1"/>
        <v>8</v>
      </c>
      <c r="L25" s="1" t="s">
        <v>58</v>
      </c>
      <c r="M25" s="1" t="s">
        <v>59</v>
      </c>
      <c r="N25" s="1" t="s">
        <v>384</v>
      </c>
      <c r="O25" s="1">
        <v>10.0</v>
      </c>
      <c r="P25" s="14">
        <v>116.77</v>
      </c>
      <c r="Q25" s="14"/>
      <c r="R25" s="1" t="s">
        <v>61</v>
      </c>
      <c r="S25" s="1" t="s">
        <v>62</v>
      </c>
      <c r="T25" s="28">
        <v>1.0</v>
      </c>
      <c r="U25" s="29">
        <v>0.875</v>
      </c>
      <c r="V25" s="14">
        <v>0.0</v>
      </c>
      <c r="W25" s="14">
        <v>-102.17</v>
      </c>
      <c r="X25" s="30" t="s">
        <v>370</v>
      </c>
    </row>
    <row r="26" ht="15.75" customHeight="1">
      <c r="A26" s="1" t="s">
        <v>319</v>
      </c>
      <c r="B26" s="1" t="s">
        <v>332</v>
      </c>
      <c r="C26" s="1">
        <v>9079571.0</v>
      </c>
      <c r="D26" s="1" t="s">
        <v>385</v>
      </c>
      <c r="E26" s="1" t="s">
        <v>330</v>
      </c>
      <c r="F26" s="1" t="s">
        <v>331</v>
      </c>
      <c r="G26" s="1">
        <v>32.54</v>
      </c>
      <c r="H26" s="1" t="s">
        <v>144</v>
      </c>
      <c r="I26" s="1" t="s">
        <v>333</v>
      </c>
      <c r="J26" s="1" t="s">
        <v>56</v>
      </c>
      <c r="K26" s="1">
        <f t="shared" si="1"/>
        <v>13</v>
      </c>
      <c r="L26" s="1" t="s">
        <v>58</v>
      </c>
      <c r="M26" s="1" t="s">
        <v>59</v>
      </c>
      <c r="N26" s="1" t="s">
        <v>386</v>
      </c>
      <c r="O26" s="1">
        <v>0.0</v>
      </c>
      <c r="P26" s="14">
        <v>120.5</v>
      </c>
      <c r="Q26" s="14"/>
      <c r="R26" s="1" t="s">
        <v>96</v>
      </c>
      <c r="S26" s="1" t="s">
        <v>97</v>
      </c>
      <c r="T26" s="28">
        <v>1.0</v>
      </c>
      <c r="U26" s="29">
        <v>0.27</v>
      </c>
      <c r="V26" s="14">
        <v>32.54</v>
      </c>
      <c r="W26" s="14">
        <v>0.0</v>
      </c>
      <c r="X26" s="30" t="s">
        <v>370</v>
      </c>
    </row>
    <row r="27" ht="15.75" customHeight="1">
      <c r="A27" s="1" t="s">
        <v>46</v>
      </c>
      <c r="B27" s="1" t="s">
        <v>78</v>
      </c>
      <c r="C27" s="1">
        <v>8325282.0</v>
      </c>
      <c r="D27" s="1" t="s">
        <v>387</v>
      </c>
      <c r="E27" s="1" t="s">
        <v>75</v>
      </c>
      <c r="F27" s="1" t="s">
        <v>76</v>
      </c>
      <c r="G27" s="1">
        <v>23.41</v>
      </c>
      <c r="H27" s="1" t="s">
        <v>52</v>
      </c>
      <c r="I27" s="1" t="s">
        <v>79</v>
      </c>
      <c r="J27" s="1" t="s">
        <v>56</v>
      </c>
      <c r="K27" s="1">
        <f t="shared" si="1"/>
        <v>11</v>
      </c>
      <c r="L27" s="1" t="s">
        <v>58</v>
      </c>
      <c r="M27" s="1" t="s">
        <v>59</v>
      </c>
      <c r="N27" s="1" t="s">
        <v>386</v>
      </c>
      <c r="O27" s="1">
        <v>0.0</v>
      </c>
      <c r="P27" s="14">
        <v>86.72</v>
      </c>
      <c r="Q27" s="14"/>
      <c r="R27" s="1" t="s">
        <v>61</v>
      </c>
      <c r="S27" s="1" t="s">
        <v>62</v>
      </c>
      <c r="T27" s="28">
        <v>1.0</v>
      </c>
      <c r="U27" s="29">
        <v>0.27</v>
      </c>
      <c r="V27" s="14">
        <v>23.41</v>
      </c>
      <c r="W27" s="14">
        <v>0.0</v>
      </c>
      <c r="X27" s="30" t="s">
        <v>370</v>
      </c>
    </row>
    <row r="28" ht="15.75" customHeight="1">
      <c r="A28" s="32" t="s">
        <v>46</v>
      </c>
      <c r="B28" s="32" t="s">
        <v>54</v>
      </c>
      <c r="C28" s="32">
        <v>1.7094718E7</v>
      </c>
      <c r="D28" s="32" t="s">
        <v>388</v>
      </c>
      <c r="E28" s="32" t="s">
        <v>68</v>
      </c>
      <c r="F28" s="32" t="s">
        <v>69</v>
      </c>
      <c r="G28" s="32">
        <v>44.24</v>
      </c>
      <c r="H28" s="32" t="s">
        <v>52</v>
      </c>
      <c r="I28" s="32" t="s">
        <v>55</v>
      </c>
      <c r="J28" s="32" t="s">
        <v>56</v>
      </c>
      <c r="K28" s="32">
        <f t="shared" si="1"/>
        <v>8</v>
      </c>
      <c r="L28" s="32" t="s">
        <v>58</v>
      </c>
      <c r="M28" s="32" t="s">
        <v>59</v>
      </c>
      <c r="N28" s="32" t="s">
        <v>389</v>
      </c>
      <c r="O28" s="32">
        <v>0.0</v>
      </c>
      <c r="P28" s="33">
        <v>192.36</v>
      </c>
      <c r="Q28" s="33"/>
      <c r="R28" s="32" t="s">
        <v>61</v>
      </c>
      <c r="S28" s="32" t="s">
        <v>62</v>
      </c>
      <c r="T28" s="34">
        <v>1.0</v>
      </c>
      <c r="U28" s="35">
        <v>0.23</v>
      </c>
      <c r="V28" s="33">
        <v>0.0</v>
      </c>
      <c r="W28" s="33">
        <v>-44.24</v>
      </c>
      <c r="X28" s="36" t="s">
        <v>379</v>
      </c>
    </row>
    <row r="29" ht="15.75" customHeight="1">
      <c r="A29" s="32" t="s">
        <v>46</v>
      </c>
      <c r="B29" s="32" t="s">
        <v>54</v>
      </c>
      <c r="C29" s="32">
        <v>1.9200754E7</v>
      </c>
      <c r="D29" s="32" t="s">
        <v>390</v>
      </c>
      <c r="E29" s="32" t="s">
        <v>81</v>
      </c>
      <c r="F29" s="32" t="s">
        <v>82</v>
      </c>
      <c r="G29" s="32">
        <v>37.32</v>
      </c>
      <c r="H29" s="32" t="s">
        <v>52</v>
      </c>
      <c r="I29" s="32" t="s">
        <v>83</v>
      </c>
      <c r="J29" s="32" t="s">
        <v>56</v>
      </c>
      <c r="K29" s="32">
        <f t="shared" si="1"/>
        <v>4</v>
      </c>
      <c r="L29" s="32" t="s">
        <v>58</v>
      </c>
      <c r="M29" s="32" t="s">
        <v>59</v>
      </c>
      <c r="N29" s="32" t="s">
        <v>389</v>
      </c>
      <c r="O29" s="32">
        <v>0.0</v>
      </c>
      <c r="P29" s="33">
        <v>162.27</v>
      </c>
      <c r="Q29" s="33"/>
      <c r="R29" s="32" t="s">
        <v>61</v>
      </c>
      <c r="S29" s="32" t="s">
        <v>62</v>
      </c>
      <c r="T29" s="34">
        <v>1.0</v>
      </c>
      <c r="U29" s="35">
        <v>0.23</v>
      </c>
      <c r="V29" s="33">
        <v>0.0</v>
      </c>
      <c r="W29" s="33">
        <v>-37.32</v>
      </c>
      <c r="X29" s="36" t="s">
        <v>379</v>
      </c>
    </row>
    <row r="30" ht="15.75" customHeight="1">
      <c r="A30" s="1" t="s">
        <v>46</v>
      </c>
      <c r="B30" s="1" t="s">
        <v>93</v>
      </c>
      <c r="C30" s="1">
        <v>8307933.0</v>
      </c>
      <c r="D30" s="1" t="s">
        <v>374</v>
      </c>
      <c r="E30" s="1" t="s">
        <v>91</v>
      </c>
      <c r="F30" s="1" t="s">
        <v>92</v>
      </c>
      <c r="G30" s="1">
        <v>36.88</v>
      </c>
      <c r="H30" s="1" t="s">
        <v>52</v>
      </c>
      <c r="I30" s="1" t="s">
        <v>94</v>
      </c>
      <c r="J30" s="1" t="s">
        <v>95</v>
      </c>
      <c r="K30" s="1">
        <f t="shared" si="1"/>
        <v>18</v>
      </c>
      <c r="L30" s="1" t="s">
        <v>58</v>
      </c>
      <c r="M30" s="1" t="s">
        <v>59</v>
      </c>
      <c r="N30" s="1" t="s">
        <v>389</v>
      </c>
      <c r="O30" s="1">
        <v>0.0</v>
      </c>
      <c r="P30" s="14">
        <v>160.36</v>
      </c>
      <c r="Q30" s="14"/>
      <c r="R30" s="1" t="s">
        <v>96</v>
      </c>
      <c r="S30" s="1" t="s">
        <v>97</v>
      </c>
      <c r="T30" s="28">
        <v>1.0</v>
      </c>
      <c r="U30" s="29">
        <v>0.23</v>
      </c>
      <c r="V30" s="14">
        <v>36.88</v>
      </c>
      <c r="W30" s="14">
        <v>0.0</v>
      </c>
      <c r="X30" s="30" t="s">
        <v>370</v>
      </c>
    </row>
    <row r="31" ht="15.75" customHeight="1">
      <c r="A31" s="32" t="s">
        <v>46</v>
      </c>
      <c r="B31" s="32" t="s">
        <v>54</v>
      </c>
      <c r="C31" s="32">
        <v>8325282.0</v>
      </c>
      <c r="D31" s="32" t="s">
        <v>387</v>
      </c>
      <c r="E31" s="32" t="s">
        <v>72</v>
      </c>
      <c r="F31" s="32" t="s">
        <v>73</v>
      </c>
      <c r="G31" s="32">
        <v>36.14</v>
      </c>
      <c r="H31" s="32" t="s">
        <v>52</v>
      </c>
      <c r="I31" s="32" t="s">
        <v>74</v>
      </c>
      <c r="J31" s="32" t="s">
        <v>56</v>
      </c>
      <c r="K31" s="32">
        <f t="shared" si="1"/>
        <v>5</v>
      </c>
      <c r="L31" s="32" t="s">
        <v>58</v>
      </c>
      <c r="M31" s="32" t="s">
        <v>59</v>
      </c>
      <c r="N31" s="32" t="s">
        <v>389</v>
      </c>
      <c r="O31" s="32">
        <v>0.0</v>
      </c>
      <c r="P31" s="33">
        <v>157.14</v>
      </c>
      <c r="Q31" s="33"/>
      <c r="R31" s="32" t="s">
        <v>61</v>
      </c>
      <c r="S31" s="32" t="s">
        <v>62</v>
      </c>
      <c r="T31" s="34">
        <v>1.0</v>
      </c>
      <c r="U31" s="35">
        <v>0.23</v>
      </c>
      <c r="V31" s="33">
        <v>0.0</v>
      </c>
      <c r="W31" s="33">
        <v>-36.14</v>
      </c>
      <c r="X31" s="36" t="s">
        <v>379</v>
      </c>
    </row>
    <row r="32" ht="15.75" customHeight="1">
      <c r="A32" s="32" t="s">
        <v>46</v>
      </c>
      <c r="B32" s="32" t="s">
        <v>54</v>
      </c>
      <c r="C32" s="32">
        <v>1.8828278E7</v>
      </c>
      <c r="D32" s="32" t="s">
        <v>391</v>
      </c>
      <c r="E32" s="32" t="s">
        <v>50</v>
      </c>
      <c r="F32" s="32" t="s">
        <v>51</v>
      </c>
      <c r="G32" s="32">
        <v>33.68</v>
      </c>
      <c r="H32" s="32" t="s">
        <v>52</v>
      </c>
      <c r="I32" s="32" t="s">
        <v>55</v>
      </c>
      <c r="J32" s="32" t="s">
        <v>56</v>
      </c>
      <c r="K32" s="32">
        <f t="shared" si="1"/>
        <v>8</v>
      </c>
      <c r="L32" s="32" t="s">
        <v>58</v>
      </c>
      <c r="M32" s="32" t="s">
        <v>59</v>
      </c>
      <c r="N32" s="32" t="s">
        <v>389</v>
      </c>
      <c r="O32" s="32">
        <v>0.0</v>
      </c>
      <c r="P32" s="33">
        <v>146.42</v>
      </c>
      <c r="Q32" s="33"/>
      <c r="R32" s="32" t="s">
        <v>61</v>
      </c>
      <c r="S32" s="32" t="s">
        <v>62</v>
      </c>
      <c r="T32" s="34">
        <v>1.0</v>
      </c>
      <c r="U32" s="35">
        <v>0.23</v>
      </c>
      <c r="V32" s="33">
        <v>0.0</v>
      </c>
      <c r="W32" s="33">
        <v>-33.68</v>
      </c>
      <c r="X32" s="36" t="s">
        <v>379</v>
      </c>
    </row>
    <row r="33" ht="15.75" customHeight="1">
      <c r="A33" s="32" t="s">
        <v>46</v>
      </c>
      <c r="B33" s="32" t="s">
        <v>54</v>
      </c>
      <c r="C33" s="32">
        <v>1.8828278E7</v>
      </c>
      <c r="D33" s="32" t="s">
        <v>391</v>
      </c>
      <c r="E33" s="32" t="s">
        <v>64</v>
      </c>
      <c r="F33" s="32" t="s">
        <v>65</v>
      </c>
      <c r="G33" s="32">
        <v>29.59</v>
      </c>
      <c r="H33" s="32" t="s">
        <v>52</v>
      </c>
      <c r="I33" s="32" t="s">
        <v>66</v>
      </c>
      <c r="J33" s="32" t="s">
        <v>56</v>
      </c>
      <c r="K33" s="32">
        <f t="shared" si="1"/>
        <v>7</v>
      </c>
      <c r="L33" s="32" t="s">
        <v>58</v>
      </c>
      <c r="M33" s="32" t="s">
        <v>59</v>
      </c>
      <c r="N33" s="32" t="s">
        <v>389</v>
      </c>
      <c r="O33" s="32">
        <v>0.0</v>
      </c>
      <c r="P33" s="33">
        <v>128.67</v>
      </c>
      <c r="Q33" s="33"/>
      <c r="R33" s="32" t="s">
        <v>61</v>
      </c>
      <c r="S33" s="32" t="s">
        <v>62</v>
      </c>
      <c r="T33" s="34">
        <v>1.0</v>
      </c>
      <c r="U33" s="35">
        <v>0.23</v>
      </c>
      <c r="V33" s="33">
        <v>0.0</v>
      </c>
      <c r="W33" s="33">
        <v>-29.59</v>
      </c>
      <c r="X33" s="36" t="s">
        <v>379</v>
      </c>
    </row>
    <row r="34" ht="15.75" customHeight="1">
      <c r="A34" s="1" t="s">
        <v>46</v>
      </c>
      <c r="B34" s="1" t="s">
        <v>54</v>
      </c>
      <c r="C34" s="1">
        <v>8307933.0</v>
      </c>
      <c r="D34" s="1" t="s">
        <v>374</v>
      </c>
      <c r="E34" s="1" t="s">
        <v>98</v>
      </c>
      <c r="F34" s="1" t="s">
        <v>99</v>
      </c>
      <c r="G34" s="1">
        <v>25.95</v>
      </c>
      <c r="H34" s="1" t="s">
        <v>52</v>
      </c>
      <c r="I34" s="1" t="s">
        <v>94</v>
      </c>
      <c r="J34" s="1" t="s">
        <v>95</v>
      </c>
      <c r="K34" s="1">
        <f t="shared" si="1"/>
        <v>18</v>
      </c>
      <c r="L34" s="1" t="s">
        <v>58</v>
      </c>
      <c r="M34" s="1" t="s">
        <v>59</v>
      </c>
      <c r="N34" s="1" t="s">
        <v>389</v>
      </c>
      <c r="O34" s="1">
        <v>0.0</v>
      </c>
      <c r="P34" s="14">
        <v>112.82</v>
      </c>
      <c r="Q34" s="14"/>
      <c r="R34" s="1" t="s">
        <v>96</v>
      </c>
      <c r="S34" s="1" t="s">
        <v>97</v>
      </c>
      <c r="T34" s="28">
        <v>1.0</v>
      </c>
      <c r="U34" s="29">
        <v>0.23</v>
      </c>
      <c r="V34" s="14">
        <v>25.95</v>
      </c>
      <c r="W34" s="14">
        <v>0.0</v>
      </c>
      <c r="X34" s="30" t="s">
        <v>370</v>
      </c>
    </row>
    <row r="35" ht="15.75" customHeight="1">
      <c r="A35" s="1" t="s">
        <v>84</v>
      </c>
      <c r="B35" s="1" t="s">
        <v>89</v>
      </c>
      <c r="C35" s="1">
        <v>8307933.0</v>
      </c>
      <c r="D35" s="1" t="s">
        <v>374</v>
      </c>
      <c r="E35" s="1" t="s">
        <v>86</v>
      </c>
      <c r="F35" s="1" t="s">
        <v>87</v>
      </c>
      <c r="G35" s="1">
        <v>24.35</v>
      </c>
      <c r="H35" s="1" t="s">
        <v>88</v>
      </c>
      <c r="I35" s="1" t="s">
        <v>90</v>
      </c>
      <c r="J35" s="1" t="s">
        <v>56</v>
      </c>
      <c r="K35" s="1">
        <f t="shared" si="1"/>
        <v>9</v>
      </c>
      <c r="L35" s="1" t="s">
        <v>58</v>
      </c>
      <c r="M35" s="1" t="s">
        <v>59</v>
      </c>
      <c r="N35" s="1" t="s">
        <v>389</v>
      </c>
      <c r="O35" s="1">
        <v>0.0</v>
      </c>
      <c r="P35" s="14">
        <v>105.87</v>
      </c>
      <c r="Q35" s="14"/>
      <c r="R35" s="1" t="s">
        <v>61</v>
      </c>
      <c r="S35" s="1" t="s">
        <v>62</v>
      </c>
      <c r="T35" s="28">
        <v>1.0</v>
      </c>
      <c r="U35" s="29">
        <v>0.23</v>
      </c>
      <c r="V35" s="14">
        <v>0.0</v>
      </c>
      <c r="W35" s="14">
        <v>-24.35</v>
      </c>
      <c r="X35" s="30" t="s">
        <v>370</v>
      </c>
    </row>
    <row r="36" ht="15.75" customHeight="1">
      <c r="A36" s="1" t="s">
        <v>100</v>
      </c>
      <c r="B36" s="1" t="s">
        <v>138</v>
      </c>
      <c r="C36" s="1">
        <v>1.7886092E7</v>
      </c>
      <c r="D36" s="1" t="s">
        <v>392</v>
      </c>
      <c r="E36" s="1" t="s">
        <v>166</v>
      </c>
      <c r="F36" s="1" t="s">
        <v>167</v>
      </c>
      <c r="G36" s="1">
        <v>13.02</v>
      </c>
      <c r="H36" s="1" t="s">
        <v>104</v>
      </c>
      <c r="I36" s="1" t="s">
        <v>168</v>
      </c>
      <c r="J36" s="1" t="s">
        <v>169</v>
      </c>
      <c r="K36" s="1">
        <f t="shared" si="1"/>
        <v>12</v>
      </c>
      <c r="L36" s="1" t="s">
        <v>58</v>
      </c>
      <c r="M36" s="1" t="s">
        <v>59</v>
      </c>
      <c r="N36" s="1" t="s">
        <v>393</v>
      </c>
      <c r="O36" s="1">
        <v>10.0</v>
      </c>
      <c r="P36" s="14">
        <v>52.07</v>
      </c>
      <c r="Q36" s="14"/>
      <c r="R36" s="1" t="s">
        <v>61</v>
      </c>
      <c r="S36" s="1" t="s">
        <v>62</v>
      </c>
      <c r="T36" s="28">
        <v>1.0</v>
      </c>
      <c r="U36" s="29">
        <v>0.25</v>
      </c>
      <c r="V36" s="14">
        <v>13.02</v>
      </c>
      <c r="W36" s="14">
        <v>0.0</v>
      </c>
      <c r="X36" s="30" t="s">
        <v>370</v>
      </c>
    </row>
    <row r="37" ht="15.75" customHeight="1">
      <c r="A37" s="1" t="s">
        <v>100</v>
      </c>
      <c r="B37" s="1" t="s">
        <v>105</v>
      </c>
      <c r="C37" s="1">
        <v>1.927837E7</v>
      </c>
      <c r="D37" s="1" t="s">
        <v>394</v>
      </c>
      <c r="E37" s="1" t="s">
        <v>102</v>
      </c>
      <c r="F37" s="1" t="s">
        <v>103</v>
      </c>
      <c r="G37" s="1">
        <v>25.45</v>
      </c>
      <c r="H37" s="1" t="s">
        <v>104</v>
      </c>
      <c r="I37" s="1" t="s">
        <v>106</v>
      </c>
      <c r="J37" s="1" t="s">
        <v>56</v>
      </c>
      <c r="K37" s="1">
        <f t="shared" si="1"/>
        <v>15</v>
      </c>
      <c r="L37" s="1" t="s">
        <v>58</v>
      </c>
      <c r="M37" s="1" t="s">
        <v>59</v>
      </c>
      <c r="N37" s="1" t="s">
        <v>395</v>
      </c>
      <c r="O37" s="1">
        <v>0.0</v>
      </c>
      <c r="P37" s="14">
        <v>99.8</v>
      </c>
      <c r="Q37" s="14"/>
      <c r="R37" s="1" t="s">
        <v>96</v>
      </c>
      <c r="S37" s="1" t="s">
        <v>97</v>
      </c>
      <c r="T37" s="28">
        <v>1.0</v>
      </c>
      <c r="U37" s="29">
        <v>0.255</v>
      </c>
      <c r="V37" s="14">
        <v>25.45</v>
      </c>
      <c r="W37" s="14">
        <v>0.0</v>
      </c>
      <c r="X37" s="30" t="s">
        <v>370</v>
      </c>
    </row>
    <row r="38" ht="15.75" customHeight="1">
      <c r="A38" s="41" t="s">
        <v>319</v>
      </c>
      <c r="B38" s="41" t="s">
        <v>322</v>
      </c>
      <c r="C38" s="41">
        <v>1.6228684E7</v>
      </c>
      <c r="D38" s="41" t="s">
        <v>368</v>
      </c>
      <c r="E38" s="41" t="s">
        <v>320</v>
      </c>
      <c r="F38" s="41" t="s">
        <v>321</v>
      </c>
      <c r="G38" s="41">
        <v>38.59</v>
      </c>
      <c r="H38" s="41" t="s">
        <v>190</v>
      </c>
      <c r="I38" s="41" t="s">
        <v>56</v>
      </c>
      <c r="J38" s="41" t="s">
        <v>115</v>
      </c>
      <c r="K38" s="41">
        <f t="shared" si="1"/>
        <v>1</v>
      </c>
      <c r="L38" s="41" t="s">
        <v>58</v>
      </c>
      <c r="M38" s="41" t="s">
        <v>59</v>
      </c>
      <c r="N38" s="41" t="s">
        <v>396</v>
      </c>
      <c r="O38" s="41">
        <v>0.0</v>
      </c>
      <c r="P38" s="42">
        <v>74.21</v>
      </c>
      <c r="Q38" s="42"/>
      <c r="R38" s="41" t="s">
        <v>61</v>
      </c>
      <c r="S38" s="41" t="s">
        <v>264</v>
      </c>
      <c r="T38" s="43">
        <v>1.0</v>
      </c>
      <c r="U38" s="44">
        <v>0.52</v>
      </c>
      <c r="V38" s="42">
        <v>38.59</v>
      </c>
      <c r="W38" s="42">
        <v>0.0</v>
      </c>
      <c r="X38" s="45" t="s">
        <v>370</v>
      </c>
    </row>
    <row r="39" ht="15.75" customHeight="1">
      <c r="A39" s="41" t="s">
        <v>319</v>
      </c>
      <c r="B39" s="41" t="s">
        <v>322</v>
      </c>
      <c r="C39" s="41">
        <v>1.6228684E7</v>
      </c>
      <c r="D39" s="41" t="s">
        <v>368</v>
      </c>
      <c r="E39" s="41" t="s">
        <v>323</v>
      </c>
      <c r="F39" s="41" t="s">
        <v>324</v>
      </c>
      <c r="G39" s="41">
        <v>38.59</v>
      </c>
      <c r="H39" s="41" t="s">
        <v>190</v>
      </c>
      <c r="I39" s="41" t="s">
        <v>56</v>
      </c>
      <c r="J39" s="41" t="s">
        <v>115</v>
      </c>
      <c r="K39" s="41">
        <f t="shared" si="1"/>
        <v>1</v>
      </c>
      <c r="L39" s="41" t="s">
        <v>58</v>
      </c>
      <c r="M39" s="41" t="s">
        <v>59</v>
      </c>
      <c r="N39" s="41" t="s">
        <v>396</v>
      </c>
      <c r="O39" s="41">
        <v>0.0</v>
      </c>
      <c r="P39" s="42">
        <v>74.21</v>
      </c>
      <c r="Q39" s="42"/>
      <c r="R39" s="41" t="s">
        <v>61</v>
      </c>
      <c r="S39" s="41" t="s">
        <v>264</v>
      </c>
      <c r="T39" s="43">
        <v>1.0</v>
      </c>
      <c r="U39" s="44">
        <v>0.52</v>
      </c>
      <c r="V39" s="42">
        <v>38.59</v>
      </c>
      <c r="W39" s="42">
        <v>0.0</v>
      </c>
      <c r="X39" s="45" t="s">
        <v>370</v>
      </c>
    </row>
    <row r="40" ht="15.75" customHeight="1">
      <c r="A40" s="1" t="s">
        <v>319</v>
      </c>
      <c r="B40" s="1" t="s">
        <v>342</v>
      </c>
      <c r="C40" s="1">
        <v>1.6633294E7</v>
      </c>
      <c r="D40" s="1" t="s">
        <v>397</v>
      </c>
      <c r="E40" s="1" t="s">
        <v>340</v>
      </c>
      <c r="F40" s="1" t="s">
        <v>341</v>
      </c>
      <c r="G40" s="1">
        <v>37.21</v>
      </c>
      <c r="H40" s="1" t="s">
        <v>52</v>
      </c>
      <c r="I40" s="1" t="s">
        <v>79</v>
      </c>
      <c r="J40" s="1" t="s">
        <v>301</v>
      </c>
      <c r="K40" s="1">
        <f t="shared" si="1"/>
        <v>10</v>
      </c>
      <c r="L40" s="1" t="s">
        <v>58</v>
      </c>
      <c r="M40" s="1" t="s">
        <v>59</v>
      </c>
      <c r="N40" s="1" t="s">
        <v>396</v>
      </c>
      <c r="O40" s="1">
        <v>0.0</v>
      </c>
      <c r="P40" s="14">
        <v>71.55</v>
      </c>
      <c r="Q40" s="14"/>
      <c r="R40" s="1" t="s">
        <v>61</v>
      </c>
      <c r="S40" s="1" t="s">
        <v>343</v>
      </c>
      <c r="T40" s="28">
        <v>1.0</v>
      </c>
      <c r="U40" s="29">
        <v>0.52</v>
      </c>
      <c r="V40" s="14">
        <v>-37.21</v>
      </c>
      <c r="W40" s="14">
        <v>0.0</v>
      </c>
      <c r="X40" s="30" t="s">
        <v>370</v>
      </c>
    </row>
    <row r="41" ht="15.75" customHeight="1">
      <c r="A41" s="32" t="s">
        <v>319</v>
      </c>
      <c r="B41" s="32" t="s">
        <v>342</v>
      </c>
      <c r="C41" s="32">
        <v>8325282.0</v>
      </c>
      <c r="D41" s="32" t="s">
        <v>387</v>
      </c>
      <c r="E41" s="32" t="s">
        <v>356</v>
      </c>
      <c r="F41" s="32" t="s">
        <v>357</v>
      </c>
      <c r="G41" s="32">
        <v>32.27</v>
      </c>
      <c r="H41" s="32" t="s">
        <v>52</v>
      </c>
      <c r="I41" s="32" t="s">
        <v>55</v>
      </c>
      <c r="J41" s="32" t="s">
        <v>56</v>
      </c>
      <c r="K41" s="32">
        <f t="shared" si="1"/>
        <v>8</v>
      </c>
      <c r="L41" s="32" t="s">
        <v>58</v>
      </c>
      <c r="M41" s="32" t="s">
        <v>59</v>
      </c>
      <c r="N41" s="32" t="s">
        <v>396</v>
      </c>
      <c r="O41" s="32">
        <v>0.0</v>
      </c>
      <c r="P41" s="33">
        <v>62.05</v>
      </c>
      <c r="Q41" s="33"/>
      <c r="R41" s="32" t="s">
        <v>61</v>
      </c>
      <c r="S41" s="32" t="s">
        <v>62</v>
      </c>
      <c r="T41" s="34">
        <v>1.0</v>
      </c>
      <c r="U41" s="35">
        <v>0.52</v>
      </c>
      <c r="V41" s="33">
        <v>0.0</v>
      </c>
      <c r="W41" s="33">
        <v>-32.27</v>
      </c>
      <c r="X41" s="36" t="s">
        <v>379</v>
      </c>
    </row>
    <row r="42" ht="15.75" customHeight="1">
      <c r="A42" s="32" t="s">
        <v>319</v>
      </c>
      <c r="B42" s="32" t="s">
        <v>361</v>
      </c>
      <c r="C42" s="32">
        <v>371819.0</v>
      </c>
      <c r="D42" s="32" t="s">
        <v>377</v>
      </c>
      <c r="E42" s="32" t="s">
        <v>360</v>
      </c>
      <c r="F42" s="32" t="s">
        <v>184</v>
      </c>
      <c r="G42" s="32">
        <v>29.37</v>
      </c>
      <c r="H42" s="32" t="s">
        <v>185</v>
      </c>
      <c r="I42" s="32" t="s">
        <v>139</v>
      </c>
      <c r="J42" s="32" t="s">
        <v>140</v>
      </c>
      <c r="K42" s="32">
        <f t="shared" si="1"/>
        <v>8</v>
      </c>
      <c r="L42" s="32" t="s">
        <v>58</v>
      </c>
      <c r="M42" s="32" t="s">
        <v>59</v>
      </c>
      <c r="N42" s="32" t="s">
        <v>396</v>
      </c>
      <c r="O42" s="32">
        <v>0.0</v>
      </c>
      <c r="P42" s="33">
        <v>56.49</v>
      </c>
      <c r="Q42" s="33"/>
      <c r="R42" s="32" t="s">
        <v>61</v>
      </c>
      <c r="S42" s="32" t="s">
        <v>62</v>
      </c>
      <c r="T42" s="34">
        <v>1.0</v>
      </c>
      <c r="U42" s="35">
        <v>0.52</v>
      </c>
      <c r="V42" s="33">
        <v>0.0</v>
      </c>
      <c r="W42" s="33">
        <v>-29.37</v>
      </c>
      <c r="X42" s="36" t="s">
        <v>379</v>
      </c>
    </row>
    <row r="43" ht="15.75" customHeight="1">
      <c r="A43" s="32" t="s">
        <v>319</v>
      </c>
      <c r="B43" s="32" t="s">
        <v>337</v>
      </c>
      <c r="C43" s="32">
        <v>8325282.0</v>
      </c>
      <c r="D43" s="32" t="s">
        <v>387</v>
      </c>
      <c r="E43" s="32" t="s">
        <v>344</v>
      </c>
      <c r="F43" s="32" t="s">
        <v>345</v>
      </c>
      <c r="G43" s="32">
        <v>17.87</v>
      </c>
      <c r="H43" s="32" t="s">
        <v>52</v>
      </c>
      <c r="I43" s="32" t="s">
        <v>346</v>
      </c>
      <c r="J43" s="32" t="s">
        <v>347</v>
      </c>
      <c r="K43" s="32">
        <f t="shared" si="1"/>
        <v>6</v>
      </c>
      <c r="L43" s="32" t="s">
        <v>58</v>
      </c>
      <c r="M43" s="32" t="s">
        <v>59</v>
      </c>
      <c r="N43" s="32" t="s">
        <v>396</v>
      </c>
      <c r="O43" s="32">
        <v>0.0</v>
      </c>
      <c r="P43" s="33">
        <v>34.36</v>
      </c>
      <c r="Q43" s="33"/>
      <c r="R43" s="32" t="s">
        <v>61</v>
      </c>
      <c r="S43" s="32" t="s">
        <v>62</v>
      </c>
      <c r="T43" s="34">
        <v>1.0</v>
      </c>
      <c r="U43" s="35">
        <v>0.52</v>
      </c>
      <c r="V43" s="33">
        <v>0.0</v>
      </c>
      <c r="W43" s="33">
        <v>-17.87</v>
      </c>
      <c r="X43" s="36" t="s">
        <v>379</v>
      </c>
    </row>
    <row r="44" ht="15.75" customHeight="1">
      <c r="A44" s="32" t="s">
        <v>319</v>
      </c>
      <c r="B44" s="32" t="s">
        <v>337</v>
      </c>
      <c r="C44" s="32">
        <v>8325282.0</v>
      </c>
      <c r="D44" s="32" t="s">
        <v>387</v>
      </c>
      <c r="E44" s="32" t="s">
        <v>348</v>
      </c>
      <c r="F44" s="32" t="s">
        <v>349</v>
      </c>
      <c r="G44" s="32">
        <v>17.87</v>
      </c>
      <c r="H44" s="32" t="s">
        <v>52</v>
      </c>
      <c r="I44" s="32" t="s">
        <v>346</v>
      </c>
      <c r="J44" s="32" t="s">
        <v>347</v>
      </c>
      <c r="K44" s="32">
        <f t="shared" si="1"/>
        <v>6</v>
      </c>
      <c r="L44" s="32" t="s">
        <v>58</v>
      </c>
      <c r="M44" s="32" t="s">
        <v>59</v>
      </c>
      <c r="N44" s="32" t="s">
        <v>396</v>
      </c>
      <c r="O44" s="32">
        <v>0.0</v>
      </c>
      <c r="P44" s="33">
        <v>34.36</v>
      </c>
      <c r="Q44" s="33"/>
      <c r="R44" s="32" t="s">
        <v>61</v>
      </c>
      <c r="S44" s="32" t="s">
        <v>62</v>
      </c>
      <c r="T44" s="34">
        <v>1.0</v>
      </c>
      <c r="U44" s="35">
        <v>0.52</v>
      </c>
      <c r="V44" s="33">
        <v>0.0</v>
      </c>
      <c r="W44" s="33">
        <v>-17.87</v>
      </c>
      <c r="X44" s="36" t="s">
        <v>379</v>
      </c>
    </row>
    <row r="45" ht="15.75" customHeight="1">
      <c r="A45" s="32" t="s">
        <v>319</v>
      </c>
      <c r="B45" s="32" t="s">
        <v>337</v>
      </c>
      <c r="C45" s="32">
        <v>8325282.0</v>
      </c>
      <c r="D45" s="32" t="s">
        <v>387</v>
      </c>
      <c r="E45" s="32" t="s">
        <v>350</v>
      </c>
      <c r="F45" s="32" t="s">
        <v>351</v>
      </c>
      <c r="G45" s="32">
        <v>17.87</v>
      </c>
      <c r="H45" s="32" t="s">
        <v>52</v>
      </c>
      <c r="I45" s="32" t="s">
        <v>352</v>
      </c>
      <c r="J45" s="32" t="s">
        <v>353</v>
      </c>
      <c r="K45" s="32">
        <f t="shared" si="1"/>
        <v>6</v>
      </c>
      <c r="L45" s="32" t="s">
        <v>58</v>
      </c>
      <c r="M45" s="32" t="s">
        <v>59</v>
      </c>
      <c r="N45" s="32" t="s">
        <v>396</v>
      </c>
      <c r="O45" s="32">
        <v>0.0</v>
      </c>
      <c r="P45" s="33">
        <v>34.36</v>
      </c>
      <c r="Q45" s="33"/>
      <c r="R45" s="32" t="s">
        <v>61</v>
      </c>
      <c r="S45" s="32" t="s">
        <v>62</v>
      </c>
      <c r="T45" s="34">
        <v>1.0</v>
      </c>
      <c r="U45" s="35">
        <v>0.52</v>
      </c>
      <c r="V45" s="33">
        <v>0.0</v>
      </c>
      <c r="W45" s="33">
        <v>-17.87</v>
      </c>
      <c r="X45" s="36" t="s">
        <v>379</v>
      </c>
    </row>
    <row r="46" ht="15.75" customHeight="1">
      <c r="A46" s="32" t="s">
        <v>319</v>
      </c>
      <c r="B46" s="32" t="s">
        <v>337</v>
      </c>
      <c r="C46" s="32">
        <v>8325282.0</v>
      </c>
      <c r="D46" s="32" t="s">
        <v>387</v>
      </c>
      <c r="E46" s="32" t="s">
        <v>354</v>
      </c>
      <c r="F46" s="32" t="s">
        <v>355</v>
      </c>
      <c r="G46" s="32">
        <v>17.87</v>
      </c>
      <c r="H46" s="32" t="s">
        <v>52</v>
      </c>
      <c r="I46" s="32" t="s">
        <v>55</v>
      </c>
      <c r="J46" s="32" t="s">
        <v>56</v>
      </c>
      <c r="K46" s="32">
        <f t="shared" si="1"/>
        <v>8</v>
      </c>
      <c r="L46" s="32" t="s">
        <v>58</v>
      </c>
      <c r="M46" s="32" t="s">
        <v>59</v>
      </c>
      <c r="N46" s="32" t="s">
        <v>396</v>
      </c>
      <c r="O46" s="32">
        <v>0.0</v>
      </c>
      <c r="P46" s="33">
        <v>34.36</v>
      </c>
      <c r="Q46" s="33"/>
      <c r="R46" s="32" t="s">
        <v>61</v>
      </c>
      <c r="S46" s="32" t="s">
        <v>62</v>
      </c>
      <c r="T46" s="34">
        <v>1.0</v>
      </c>
      <c r="U46" s="35">
        <v>0.52</v>
      </c>
      <c r="V46" s="33">
        <v>0.0</v>
      </c>
      <c r="W46" s="33">
        <v>-17.87</v>
      </c>
      <c r="X46" s="36" t="s">
        <v>379</v>
      </c>
    </row>
    <row r="47" ht="15.75" customHeight="1">
      <c r="A47" s="1" t="s">
        <v>319</v>
      </c>
      <c r="B47" s="1" t="s">
        <v>337</v>
      </c>
      <c r="C47" s="1">
        <v>8325282.0</v>
      </c>
      <c r="D47" s="1" t="s">
        <v>387</v>
      </c>
      <c r="E47" s="1" t="s">
        <v>358</v>
      </c>
      <c r="F47" s="1" t="s">
        <v>359</v>
      </c>
      <c r="G47" s="1">
        <v>17.87</v>
      </c>
      <c r="H47" s="1" t="s">
        <v>52</v>
      </c>
      <c r="I47" s="1" t="s">
        <v>181</v>
      </c>
      <c r="J47" s="1" t="s">
        <v>140</v>
      </c>
      <c r="K47" s="1">
        <f t="shared" si="1"/>
        <v>12</v>
      </c>
      <c r="L47" s="1" t="s">
        <v>58</v>
      </c>
      <c r="M47" s="1" t="s">
        <v>59</v>
      </c>
      <c r="N47" s="1" t="s">
        <v>396</v>
      </c>
      <c r="O47" s="1">
        <v>0.0</v>
      </c>
      <c r="P47" s="14">
        <v>34.36</v>
      </c>
      <c r="Q47" s="14"/>
      <c r="R47" s="1" t="s">
        <v>61</v>
      </c>
      <c r="S47" s="1" t="s">
        <v>62</v>
      </c>
      <c r="T47" s="28">
        <v>1.0</v>
      </c>
      <c r="U47" s="29">
        <v>0.52</v>
      </c>
      <c r="V47" s="14">
        <v>17.87</v>
      </c>
      <c r="W47" s="14">
        <v>0.0</v>
      </c>
      <c r="X47" s="30" t="s">
        <v>370</v>
      </c>
    </row>
    <row r="48" ht="15.75" customHeight="1">
      <c r="A48" s="32" t="s">
        <v>319</v>
      </c>
      <c r="B48" s="32" t="s">
        <v>337</v>
      </c>
      <c r="C48" s="32">
        <v>1.6633294E7</v>
      </c>
      <c r="D48" s="32" t="s">
        <v>397</v>
      </c>
      <c r="E48" s="32" t="s">
        <v>335</v>
      </c>
      <c r="F48" s="32" t="s">
        <v>336</v>
      </c>
      <c r="G48" s="32">
        <v>17.87</v>
      </c>
      <c r="H48" s="32" t="s">
        <v>52</v>
      </c>
      <c r="I48" s="32" t="s">
        <v>338</v>
      </c>
      <c r="J48" s="32" t="s">
        <v>339</v>
      </c>
      <c r="K48" s="32">
        <f t="shared" si="1"/>
        <v>7</v>
      </c>
      <c r="L48" s="32" t="s">
        <v>58</v>
      </c>
      <c r="M48" s="32" t="s">
        <v>59</v>
      </c>
      <c r="N48" s="32" t="s">
        <v>396</v>
      </c>
      <c r="O48" s="32">
        <v>0.0</v>
      </c>
      <c r="P48" s="33">
        <v>34.36</v>
      </c>
      <c r="Q48" s="33"/>
      <c r="R48" s="32" t="s">
        <v>61</v>
      </c>
      <c r="S48" s="32" t="s">
        <v>62</v>
      </c>
      <c r="T48" s="34">
        <v>1.0</v>
      </c>
      <c r="U48" s="35">
        <v>0.52</v>
      </c>
      <c r="V48" s="33">
        <v>0.0</v>
      </c>
      <c r="W48" s="33">
        <v>-17.87</v>
      </c>
      <c r="X48" s="36" t="s">
        <v>379</v>
      </c>
    </row>
    <row r="49" ht="15.75" customHeight="1">
      <c r="A49" s="41" t="s">
        <v>319</v>
      </c>
      <c r="B49" s="41" t="s">
        <v>327</v>
      </c>
      <c r="C49" s="41">
        <v>371819.0</v>
      </c>
      <c r="D49" s="41" t="s">
        <v>377</v>
      </c>
      <c r="E49" s="41" t="s">
        <v>325</v>
      </c>
      <c r="F49" s="41" t="s">
        <v>326</v>
      </c>
      <c r="G49" s="41">
        <v>15.06</v>
      </c>
      <c r="H49" s="41" t="s">
        <v>294</v>
      </c>
      <c r="I49" s="41" t="s">
        <v>328</v>
      </c>
      <c r="J49" s="41" t="s">
        <v>187</v>
      </c>
      <c r="K49" s="41">
        <f t="shared" si="1"/>
        <v>3</v>
      </c>
      <c r="L49" s="41" t="s">
        <v>58</v>
      </c>
      <c r="M49" s="41" t="s">
        <v>59</v>
      </c>
      <c r="N49" s="41" t="s">
        <v>396</v>
      </c>
      <c r="O49" s="41">
        <v>0.0</v>
      </c>
      <c r="P49" s="42">
        <v>28.96</v>
      </c>
      <c r="Q49" s="42"/>
      <c r="R49" s="41" t="s">
        <v>61</v>
      </c>
      <c r="S49" s="41" t="s">
        <v>62</v>
      </c>
      <c r="T49" s="43">
        <v>1.0</v>
      </c>
      <c r="U49" s="44">
        <v>0.52</v>
      </c>
      <c r="V49" s="42">
        <v>15.06</v>
      </c>
      <c r="W49" s="42">
        <v>0.0</v>
      </c>
      <c r="X49" s="45" t="s">
        <v>370</v>
      </c>
    </row>
    <row r="50" ht="15.75" customHeight="1">
      <c r="A50" s="37" t="s">
        <v>100</v>
      </c>
      <c r="B50" s="37" t="s">
        <v>131</v>
      </c>
      <c r="C50" s="37">
        <v>8307933.0</v>
      </c>
      <c r="D50" s="37" t="s">
        <v>374</v>
      </c>
      <c r="E50" s="37" t="s">
        <v>274</v>
      </c>
      <c r="F50" s="37" t="s">
        <v>275</v>
      </c>
      <c r="G50" s="37">
        <f t="shared" ref="G50:G53" si="4">SUM(Q50*U50)</f>
        <v>398.925</v>
      </c>
      <c r="H50" s="37" t="s">
        <v>250</v>
      </c>
      <c r="I50" s="37" t="s">
        <v>56</v>
      </c>
      <c r="J50" s="37" t="s">
        <v>56</v>
      </c>
      <c r="K50" s="37">
        <f t="shared" si="1"/>
        <v>0</v>
      </c>
      <c r="L50" s="37" t="s">
        <v>58</v>
      </c>
      <c r="M50" s="37" t="s">
        <v>59</v>
      </c>
      <c r="N50" s="37" t="s">
        <v>398</v>
      </c>
      <c r="O50" s="37">
        <v>110.0</v>
      </c>
      <c r="P50" s="38">
        <v>2393.55</v>
      </c>
      <c r="Q50" s="38">
        <f t="shared" ref="Q50:Q53" si="5">SUM(P50/9)</f>
        <v>265.95</v>
      </c>
      <c r="R50" s="37" t="s">
        <v>61</v>
      </c>
      <c r="S50" s="37" t="s">
        <v>264</v>
      </c>
      <c r="T50" s="39">
        <v>1.0</v>
      </c>
      <c r="U50" s="40">
        <v>1.5</v>
      </c>
      <c r="V50" s="38">
        <v>2000.0</v>
      </c>
      <c r="W50" s="38">
        <v>2000.0</v>
      </c>
      <c r="X50" s="31" t="s">
        <v>370</v>
      </c>
    </row>
    <row r="51" ht="15.75" customHeight="1">
      <c r="A51" s="37" t="s">
        <v>100</v>
      </c>
      <c r="B51" s="37" t="s">
        <v>131</v>
      </c>
      <c r="C51" s="37">
        <v>1.743782E7</v>
      </c>
      <c r="D51" s="37" t="s">
        <v>399</v>
      </c>
      <c r="E51" s="37" t="s">
        <v>282</v>
      </c>
      <c r="F51" s="37" t="s">
        <v>283</v>
      </c>
      <c r="G51" s="37">
        <f t="shared" si="4"/>
        <v>368.265</v>
      </c>
      <c r="H51" s="37" t="s">
        <v>284</v>
      </c>
      <c r="I51" s="37" t="s">
        <v>56</v>
      </c>
      <c r="J51" s="37" t="s">
        <v>56</v>
      </c>
      <c r="K51" s="37">
        <f t="shared" si="1"/>
        <v>0</v>
      </c>
      <c r="L51" s="37" t="s">
        <v>58</v>
      </c>
      <c r="M51" s="37" t="s">
        <v>59</v>
      </c>
      <c r="N51" s="37" t="s">
        <v>398</v>
      </c>
      <c r="O51" s="37">
        <v>150.0</v>
      </c>
      <c r="P51" s="38">
        <v>2209.59</v>
      </c>
      <c r="Q51" s="38">
        <f t="shared" si="5"/>
        <v>245.51</v>
      </c>
      <c r="R51" s="37" t="s">
        <v>61</v>
      </c>
      <c r="S51" s="37" t="s">
        <v>264</v>
      </c>
      <c r="T51" s="39">
        <v>1.0</v>
      </c>
      <c r="U51" s="40">
        <v>1.5</v>
      </c>
      <c r="V51" s="38">
        <v>2000.0</v>
      </c>
      <c r="W51" s="38">
        <v>2000.0</v>
      </c>
      <c r="X51" s="31" t="s">
        <v>370</v>
      </c>
    </row>
    <row r="52" ht="15.75" customHeight="1">
      <c r="A52" s="37" t="s">
        <v>100</v>
      </c>
      <c r="B52" s="37" t="s">
        <v>131</v>
      </c>
      <c r="C52" s="37">
        <v>8307933.0</v>
      </c>
      <c r="D52" s="37" t="s">
        <v>374</v>
      </c>
      <c r="E52" s="37" t="s">
        <v>272</v>
      </c>
      <c r="F52" s="37" t="s">
        <v>273</v>
      </c>
      <c r="G52" s="37">
        <f t="shared" si="4"/>
        <v>199.65</v>
      </c>
      <c r="H52" s="37" t="s">
        <v>250</v>
      </c>
      <c r="I52" s="37" t="s">
        <v>56</v>
      </c>
      <c r="J52" s="37" t="s">
        <v>56</v>
      </c>
      <c r="K52" s="37">
        <f t="shared" si="1"/>
        <v>0</v>
      </c>
      <c r="L52" s="37" t="s">
        <v>58</v>
      </c>
      <c r="M52" s="37" t="s">
        <v>59</v>
      </c>
      <c r="N52" s="37" t="s">
        <v>398</v>
      </c>
      <c r="O52" s="37">
        <v>110.0</v>
      </c>
      <c r="P52" s="38">
        <v>1197.9</v>
      </c>
      <c r="Q52" s="38">
        <f t="shared" si="5"/>
        <v>133.1</v>
      </c>
      <c r="R52" s="37" t="s">
        <v>61</v>
      </c>
      <c r="S52" s="37" t="s">
        <v>264</v>
      </c>
      <c r="T52" s="39">
        <v>1.0</v>
      </c>
      <c r="U52" s="40">
        <v>1.5</v>
      </c>
      <c r="V52" s="38">
        <v>1796.85</v>
      </c>
      <c r="W52" s="38">
        <v>1796.85</v>
      </c>
      <c r="X52" s="31" t="s">
        <v>370</v>
      </c>
    </row>
    <row r="53" ht="15.75" customHeight="1">
      <c r="A53" s="37" t="s">
        <v>100</v>
      </c>
      <c r="B53" s="37" t="s">
        <v>131</v>
      </c>
      <c r="C53" s="37">
        <v>8307933.0</v>
      </c>
      <c r="D53" s="37" t="s">
        <v>374</v>
      </c>
      <c r="E53" s="37" t="s">
        <v>270</v>
      </c>
      <c r="F53" s="37" t="s">
        <v>271</v>
      </c>
      <c r="G53" s="37">
        <f t="shared" si="4"/>
        <v>164.775</v>
      </c>
      <c r="H53" s="37" t="s">
        <v>52</v>
      </c>
      <c r="I53" s="37" t="s">
        <v>56</v>
      </c>
      <c r="J53" s="37" t="s">
        <v>56</v>
      </c>
      <c r="K53" s="37">
        <f t="shared" si="1"/>
        <v>0</v>
      </c>
      <c r="L53" s="37" t="s">
        <v>58</v>
      </c>
      <c r="M53" s="37" t="s">
        <v>59</v>
      </c>
      <c r="N53" s="37" t="s">
        <v>398</v>
      </c>
      <c r="O53" s="37">
        <v>175.0</v>
      </c>
      <c r="P53" s="38">
        <v>988.65</v>
      </c>
      <c r="Q53" s="38">
        <f t="shared" si="5"/>
        <v>109.85</v>
      </c>
      <c r="R53" s="37" t="s">
        <v>61</v>
      </c>
      <c r="S53" s="37" t="s">
        <v>264</v>
      </c>
      <c r="T53" s="39">
        <v>1.0</v>
      </c>
      <c r="U53" s="40">
        <v>1.5</v>
      </c>
      <c r="V53" s="38">
        <v>1483.02</v>
      </c>
      <c r="W53" s="38">
        <v>1483.02</v>
      </c>
      <c r="X53" s="31" t="s">
        <v>370</v>
      </c>
    </row>
    <row r="54" ht="15.75" customHeight="1">
      <c r="A54" s="1" t="s">
        <v>100</v>
      </c>
      <c r="B54" s="1" t="s">
        <v>154</v>
      </c>
      <c r="C54" s="1">
        <v>1706194.0</v>
      </c>
      <c r="D54" s="1" t="s">
        <v>400</v>
      </c>
      <c r="E54" s="1" t="s">
        <v>152</v>
      </c>
      <c r="F54" s="1" t="s">
        <v>153</v>
      </c>
      <c r="G54" s="1">
        <v>423.2</v>
      </c>
      <c r="H54" s="1" t="s">
        <v>125</v>
      </c>
      <c r="I54" s="1" t="s">
        <v>155</v>
      </c>
      <c r="J54" s="1" t="s">
        <v>140</v>
      </c>
      <c r="K54" s="1">
        <f t="shared" si="1"/>
        <v>9</v>
      </c>
      <c r="L54" s="1" t="s">
        <v>58</v>
      </c>
      <c r="M54" s="1" t="s">
        <v>59</v>
      </c>
      <c r="N54" s="1" t="s">
        <v>398</v>
      </c>
      <c r="O54" s="1">
        <v>250.0</v>
      </c>
      <c r="P54" s="14">
        <v>282.13</v>
      </c>
      <c r="Q54" s="14"/>
      <c r="R54" s="1" t="s">
        <v>61</v>
      </c>
      <c r="S54" s="1" t="s">
        <v>62</v>
      </c>
      <c r="T54" s="28">
        <v>1.0</v>
      </c>
      <c r="U54" s="29">
        <v>1.5</v>
      </c>
      <c r="V54" s="14">
        <v>423.2</v>
      </c>
      <c r="W54" s="14">
        <v>0.0</v>
      </c>
      <c r="X54" s="30" t="s">
        <v>370</v>
      </c>
    </row>
    <row r="55" ht="15.75" customHeight="1">
      <c r="A55" s="1" t="s">
        <v>100</v>
      </c>
      <c r="B55" s="1" t="s">
        <v>154</v>
      </c>
      <c r="C55" s="1">
        <v>1706194.0</v>
      </c>
      <c r="D55" s="1" t="s">
        <v>400</v>
      </c>
      <c r="E55" s="1" t="s">
        <v>278</v>
      </c>
      <c r="F55" s="1" t="s">
        <v>279</v>
      </c>
      <c r="G55" s="1">
        <v>386.49</v>
      </c>
      <c r="H55" s="1" t="s">
        <v>125</v>
      </c>
      <c r="I55" s="1" t="s">
        <v>280</v>
      </c>
      <c r="J55" s="1" t="s">
        <v>169</v>
      </c>
      <c r="K55" s="1">
        <f t="shared" si="1"/>
        <v>3</v>
      </c>
      <c r="L55" s="1" t="s">
        <v>58</v>
      </c>
      <c r="M55" s="1" t="s">
        <v>59</v>
      </c>
      <c r="N55" s="1" t="s">
        <v>398</v>
      </c>
      <c r="O55" s="1">
        <v>250.0</v>
      </c>
      <c r="P55" s="14">
        <v>257.66</v>
      </c>
      <c r="Q55" s="14"/>
      <c r="R55" s="1" t="s">
        <v>61</v>
      </c>
      <c r="S55" s="1" t="s">
        <v>62</v>
      </c>
      <c r="T55" s="28">
        <v>1.0</v>
      </c>
      <c r="U55" s="29">
        <v>1.5</v>
      </c>
      <c r="V55" s="14">
        <v>0.0</v>
      </c>
      <c r="W55" s="14">
        <v>-386.49</v>
      </c>
      <c r="X55" s="30" t="s">
        <v>370</v>
      </c>
    </row>
    <row r="56" ht="15.75" customHeight="1">
      <c r="A56" s="1" t="s">
        <v>100</v>
      </c>
      <c r="B56" s="1" t="s">
        <v>131</v>
      </c>
      <c r="C56" s="1">
        <v>1706194.0</v>
      </c>
      <c r="D56" s="1" t="s">
        <v>400</v>
      </c>
      <c r="E56" s="1" t="s">
        <v>129</v>
      </c>
      <c r="F56" s="1" t="s">
        <v>130</v>
      </c>
      <c r="G56" s="1">
        <v>340.35</v>
      </c>
      <c r="H56" s="1" t="s">
        <v>125</v>
      </c>
      <c r="I56" s="1" t="s">
        <v>132</v>
      </c>
      <c r="J56" s="1" t="s">
        <v>133</v>
      </c>
      <c r="K56" s="1">
        <f t="shared" si="1"/>
        <v>9</v>
      </c>
      <c r="L56" s="1" t="s">
        <v>58</v>
      </c>
      <c r="M56" s="1" t="s">
        <v>59</v>
      </c>
      <c r="N56" s="1" t="s">
        <v>398</v>
      </c>
      <c r="O56" s="1">
        <v>180.0</v>
      </c>
      <c r="P56" s="14">
        <v>226.9</v>
      </c>
      <c r="Q56" s="14"/>
      <c r="R56" s="1" t="s">
        <v>61</v>
      </c>
      <c r="S56" s="1" t="s">
        <v>62</v>
      </c>
      <c r="T56" s="28">
        <v>1.0</v>
      </c>
      <c r="U56" s="29">
        <v>1.5</v>
      </c>
      <c r="V56" s="14">
        <v>340.35</v>
      </c>
      <c r="W56" s="14">
        <v>0.0</v>
      </c>
      <c r="X56" s="30" t="s">
        <v>370</v>
      </c>
    </row>
    <row r="57" ht="15.75" customHeight="1">
      <c r="A57" s="1" t="s">
        <v>100</v>
      </c>
      <c r="B57" s="1" t="s">
        <v>131</v>
      </c>
      <c r="C57" s="1">
        <v>8977234.0</v>
      </c>
      <c r="D57" s="1" t="s">
        <v>401</v>
      </c>
      <c r="E57" s="1" t="s">
        <v>179</v>
      </c>
      <c r="F57" s="1" t="s">
        <v>180</v>
      </c>
      <c r="G57" s="1">
        <v>237.2</v>
      </c>
      <c r="H57" s="1" t="s">
        <v>173</v>
      </c>
      <c r="I57" s="1" t="s">
        <v>181</v>
      </c>
      <c r="J57" s="1" t="s">
        <v>140</v>
      </c>
      <c r="K57" s="1">
        <f t="shared" si="1"/>
        <v>12</v>
      </c>
      <c r="L57" s="1" t="s">
        <v>58</v>
      </c>
      <c r="M57" s="1" t="s">
        <v>59</v>
      </c>
      <c r="N57" s="1" t="s">
        <v>398</v>
      </c>
      <c r="O57" s="1">
        <v>175.0</v>
      </c>
      <c r="P57" s="14">
        <v>158.13</v>
      </c>
      <c r="Q57" s="14"/>
      <c r="R57" s="1" t="s">
        <v>61</v>
      </c>
      <c r="S57" s="1" t="s">
        <v>62</v>
      </c>
      <c r="T57" s="28">
        <v>1.0</v>
      </c>
      <c r="U57" s="29">
        <v>1.5</v>
      </c>
      <c r="V57" s="14">
        <v>237.2</v>
      </c>
      <c r="W57" s="14">
        <v>0.0</v>
      </c>
      <c r="X57" s="30" t="s">
        <v>370</v>
      </c>
    </row>
    <row r="58" ht="15.75" customHeight="1">
      <c r="A58" s="1" t="s">
        <v>100</v>
      </c>
      <c r="B58" s="1" t="s">
        <v>121</v>
      </c>
      <c r="C58" s="1">
        <v>1706194.0</v>
      </c>
      <c r="D58" s="1" t="s">
        <v>400</v>
      </c>
      <c r="E58" s="1" t="s">
        <v>156</v>
      </c>
      <c r="F58" s="1" t="s">
        <v>157</v>
      </c>
      <c r="G58" s="1">
        <v>213.47</v>
      </c>
      <c r="H58" s="1" t="s">
        <v>125</v>
      </c>
      <c r="I58" s="1" t="s">
        <v>155</v>
      </c>
      <c r="J58" s="1" t="s">
        <v>140</v>
      </c>
      <c r="K58" s="1">
        <f t="shared" si="1"/>
        <v>9</v>
      </c>
      <c r="L58" s="1" t="s">
        <v>58</v>
      </c>
      <c r="M58" s="1" t="s">
        <v>59</v>
      </c>
      <c r="N58" s="1" t="s">
        <v>398</v>
      </c>
      <c r="O58" s="1">
        <v>300.0</v>
      </c>
      <c r="P58" s="14">
        <v>142.31</v>
      </c>
      <c r="Q58" s="14"/>
      <c r="R58" s="1" t="s">
        <v>61</v>
      </c>
      <c r="S58" s="1" t="s">
        <v>62</v>
      </c>
      <c r="T58" s="28">
        <v>1.0</v>
      </c>
      <c r="U58" s="29">
        <v>1.5</v>
      </c>
      <c r="V58" s="14">
        <v>0.0</v>
      </c>
      <c r="W58" s="14">
        <v>-213.47</v>
      </c>
      <c r="X58" s="30" t="s">
        <v>370</v>
      </c>
    </row>
    <row r="59" ht="15.75" customHeight="1">
      <c r="A59" s="1" t="s">
        <v>100</v>
      </c>
      <c r="B59" s="1" t="s">
        <v>131</v>
      </c>
      <c r="C59" s="1">
        <v>8307933.0</v>
      </c>
      <c r="D59" s="1" t="s">
        <v>374</v>
      </c>
      <c r="E59" s="1" t="s">
        <v>240</v>
      </c>
      <c r="F59" s="1" t="s">
        <v>241</v>
      </c>
      <c r="G59" s="1">
        <v>204.45</v>
      </c>
      <c r="H59" s="1" t="s">
        <v>125</v>
      </c>
      <c r="I59" s="1" t="s">
        <v>242</v>
      </c>
      <c r="J59" s="1" t="s">
        <v>243</v>
      </c>
      <c r="K59" s="1">
        <f t="shared" si="1"/>
        <v>9</v>
      </c>
      <c r="L59" s="1" t="s">
        <v>58</v>
      </c>
      <c r="M59" s="1" t="s">
        <v>59</v>
      </c>
      <c r="N59" s="1" t="s">
        <v>398</v>
      </c>
      <c r="O59" s="1">
        <v>150.0</v>
      </c>
      <c r="P59" s="14">
        <v>136.3</v>
      </c>
      <c r="Q59" s="14"/>
      <c r="R59" s="1" t="s">
        <v>61</v>
      </c>
      <c r="S59" s="1" t="s">
        <v>62</v>
      </c>
      <c r="T59" s="28">
        <v>1.0</v>
      </c>
      <c r="U59" s="29">
        <v>1.5</v>
      </c>
      <c r="V59" s="14">
        <v>0.0</v>
      </c>
      <c r="W59" s="14">
        <v>-204.45</v>
      </c>
      <c r="X59" s="30" t="s">
        <v>370</v>
      </c>
    </row>
    <row r="60" ht="15.75" customHeight="1">
      <c r="A60" s="1" t="s">
        <v>100</v>
      </c>
      <c r="B60" s="1" t="s">
        <v>131</v>
      </c>
      <c r="C60" s="1">
        <v>8307933.0</v>
      </c>
      <c r="D60" s="1" t="s">
        <v>374</v>
      </c>
      <c r="E60" s="1" t="s">
        <v>219</v>
      </c>
      <c r="F60" s="1" t="s">
        <v>220</v>
      </c>
      <c r="G60" s="1">
        <v>150.39</v>
      </c>
      <c r="H60" s="1" t="s">
        <v>125</v>
      </c>
      <c r="I60" s="1" t="s">
        <v>214</v>
      </c>
      <c r="J60" s="1" t="s">
        <v>140</v>
      </c>
      <c r="K60" s="1">
        <f t="shared" si="1"/>
        <v>4</v>
      </c>
      <c r="L60" s="1" t="s">
        <v>58</v>
      </c>
      <c r="M60" s="1" t="s">
        <v>59</v>
      </c>
      <c r="N60" s="1" t="s">
        <v>398</v>
      </c>
      <c r="O60" s="1">
        <v>150.0</v>
      </c>
      <c r="P60" s="14">
        <v>100.26</v>
      </c>
      <c r="Q60" s="14"/>
      <c r="R60" s="1" t="s">
        <v>61</v>
      </c>
      <c r="S60" s="1" t="s">
        <v>62</v>
      </c>
      <c r="T60" s="28">
        <v>1.0</v>
      </c>
      <c r="U60" s="29">
        <v>1.5</v>
      </c>
      <c r="V60" s="14">
        <v>0.0</v>
      </c>
      <c r="W60" s="14">
        <v>-150.39</v>
      </c>
      <c r="X60" s="30" t="s">
        <v>370</v>
      </c>
    </row>
    <row r="61" ht="15.75" customHeight="1">
      <c r="A61" s="1" t="s">
        <v>100</v>
      </c>
      <c r="B61" s="1" t="s">
        <v>131</v>
      </c>
      <c r="C61" s="1">
        <v>5442438.0</v>
      </c>
      <c r="D61" s="1" t="s">
        <v>380</v>
      </c>
      <c r="E61" s="1" t="s">
        <v>198</v>
      </c>
      <c r="F61" s="1" t="s">
        <v>199</v>
      </c>
      <c r="G61" s="1">
        <v>116.75</v>
      </c>
      <c r="H61" s="1" t="s">
        <v>144</v>
      </c>
      <c r="I61" s="1" t="s">
        <v>197</v>
      </c>
      <c r="J61" s="1" t="s">
        <v>133</v>
      </c>
      <c r="K61" s="1">
        <f t="shared" si="1"/>
        <v>8</v>
      </c>
      <c r="L61" s="1" t="s">
        <v>58</v>
      </c>
      <c r="M61" s="1" t="s">
        <v>59</v>
      </c>
      <c r="N61" s="1" t="s">
        <v>398</v>
      </c>
      <c r="O61" s="1">
        <v>125.0</v>
      </c>
      <c r="P61" s="14">
        <v>77.83</v>
      </c>
      <c r="Q61" s="14"/>
      <c r="R61" s="1" t="s">
        <v>61</v>
      </c>
      <c r="S61" s="1" t="s">
        <v>62</v>
      </c>
      <c r="T61" s="28">
        <v>1.0</v>
      </c>
      <c r="U61" s="29">
        <v>1.5</v>
      </c>
      <c r="V61" s="14">
        <v>0.0</v>
      </c>
      <c r="W61" s="14">
        <v>-116.75</v>
      </c>
      <c r="X61" s="30" t="s">
        <v>370</v>
      </c>
    </row>
    <row r="62" ht="15.75" customHeight="1">
      <c r="A62" s="1" t="s">
        <v>100</v>
      </c>
      <c r="B62" s="1" t="s">
        <v>131</v>
      </c>
      <c r="C62" s="1">
        <v>8307933.0</v>
      </c>
      <c r="D62" s="1" t="s">
        <v>374</v>
      </c>
      <c r="E62" s="1" t="s">
        <v>248</v>
      </c>
      <c r="F62" s="1" t="s">
        <v>249</v>
      </c>
      <c r="G62" s="1">
        <v>112.55</v>
      </c>
      <c r="H62" s="1" t="s">
        <v>250</v>
      </c>
      <c r="I62" s="1" t="s">
        <v>251</v>
      </c>
      <c r="J62" s="1" t="s">
        <v>133</v>
      </c>
      <c r="K62" s="1">
        <f t="shared" si="1"/>
        <v>11</v>
      </c>
      <c r="L62" s="1" t="s">
        <v>58</v>
      </c>
      <c r="M62" s="1" t="s">
        <v>59</v>
      </c>
      <c r="N62" s="1" t="s">
        <v>398</v>
      </c>
      <c r="O62" s="1">
        <v>60.0</v>
      </c>
      <c r="P62" s="14">
        <v>75.03</v>
      </c>
      <c r="Q62" s="14"/>
      <c r="R62" s="1" t="s">
        <v>61</v>
      </c>
      <c r="S62" s="1" t="s">
        <v>62</v>
      </c>
      <c r="T62" s="28">
        <v>1.0</v>
      </c>
      <c r="U62" s="29">
        <v>1.5</v>
      </c>
      <c r="V62" s="14">
        <v>112.55</v>
      </c>
      <c r="W62" s="14">
        <v>0.0</v>
      </c>
      <c r="X62" s="30" t="s">
        <v>370</v>
      </c>
    </row>
    <row r="63" ht="15.75" customHeight="1">
      <c r="A63" s="32" t="s">
        <v>100</v>
      </c>
      <c r="B63" s="32" t="s">
        <v>154</v>
      </c>
      <c r="C63" s="32">
        <v>371819.0</v>
      </c>
      <c r="D63" s="32" t="s">
        <v>377</v>
      </c>
      <c r="E63" s="32" t="s">
        <v>183</v>
      </c>
      <c r="F63" s="32" t="s">
        <v>184</v>
      </c>
      <c r="G63" s="32">
        <v>99.33</v>
      </c>
      <c r="H63" s="32" t="s">
        <v>185</v>
      </c>
      <c r="I63" s="32" t="s">
        <v>186</v>
      </c>
      <c r="J63" s="32" t="s">
        <v>187</v>
      </c>
      <c r="K63" s="32">
        <f t="shared" si="1"/>
        <v>8</v>
      </c>
      <c r="L63" s="32" t="s">
        <v>58</v>
      </c>
      <c r="M63" s="32" t="s">
        <v>59</v>
      </c>
      <c r="N63" s="32" t="s">
        <v>398</v>
      </c>
      <c r="O63" s="32">
        <v>40.0</v>
      </c>
      <c r="P63" s="33">
        <v>66.22</v>
      </c>
      <c r="Q63" s="33"/>
      <c r="R63" s="32" t="s">
        <v>61</v>
      </c>
      <c r="S63" s="32" t="s">
        <v>62</v>
      </c>
      <c r="T63" s="34">
        <v>1.0</v>
      </c>
      <c r="U63" s="35">
        <v>1.5</v>
      </c>
      <c r="V63" s="33">
        <v>0.0</v>
      </c>
      <c r="W63" s="33">
        <v>-99.33</v>
      </c>
      <c r="X63" s="36" t="s">
        <v>379</v>
      </c>
    </row>
    <row r="64" ht="15.75" customHeight="1">
      <c r="A64" s="1" t="s">
        <v>100</v>
      </c>
      <c r="B64" s="1" t="s">
        <v>131</v>
      </c>
      <c r="C64" s="1">
        <v>8307933.0</v>
      </c>
      <c r="D64" s="1" t="s">
        <v>374</v>
      </c>
      <c r="E64" s="1" t="s">
        <v>217</v>
      </c>
      <c r="F64" s="1" t="s">
        <v>218</v>
      </c>
      <c r="G64" s="1">
        <v>99.12</v>
      </c>
      <c r="H64" s="1" t="s">
        <v>125</v>
      </c>
      <c r="I64" s="1" t="s">
        <v>214</v>
      </c>
      <c r="J64" s="1" t="s">
        <v>140</v>
      </c>
      <c r="K64" s="1">
        <f t="shared" si="1"/>
        <v>4</v>
      </c>
      <c r="L64" s="1" t="s">
        <v>58</v>
      </c>
      <c r="M64" s="1" t="s">
        <v>59</v>
      </c>
      <c r="N64" s="1" t="s">
        <v>398</v>
      </c>
      <c r="O64" s="1">
        <v>250.0</v>
      </c>
      <c r="P64" s="14">
        <v>66.08</v>
      </c>
      <c r="Q64" s="14"/>
      <c r="R64" s="1" t="s">
        <v>61</v>
      </c>
      <c r="S64" s="1" t="s">
        <v>62</v>
      </c>
      <c r="T64" s="28">
        <v>1.0</v>
      </c>
      <c r="U64" s="29">
        <v>1.5</v>
      </c>
      <c r="V64" s="14">
        <v>0.0</v>
      </c>
      <c r="W64" s="14">
        <v>-99.12</v>
      </c>
      <c r="X64" s="30" t="s">
        <v>370</v>
      </c>
    </row>
    <row r="65" ht="15.75" customHeight="1">
      <c r="A65" s="1" t="s">
        <v>100</v>
      </c>
      <c r="B65" s="1" t="s">
        <v>121</v>
      </c>
      <c r="C65" s="1">
        <v>1706194.0</v>
      </c>
      <c r="D65" s="1" t="s">
        <v>400</v>
      </c>
      <c r="E65" s="1" t="s">
        <v>161</v>
      </c>
      <c r="F65" s="1" t="s">
        <v>162</v>
      </c>
      <c r="G65" s="1">
        <v>98.25</v>
      </c>
      <c r="H65" s="1" t="s">
        <v>125</v>
      </c>
      <c r="I65" s="1" t="s">
        <v>155</v>
      </c>
      <c r="J65" s="1" t="s">
        <v>140</v>
      </c>
      <c r="K65" s="1">
        <f t="shared" si="1"/>
        <v>9</v>
      </c>
      <c r="L65" s="1" t="s">
        <v>58</v>
      </c>
      <c r="M65" s="1" t="s">
        <v>59</v>
      </c>
      <c r="N65" s="1" t="s">
        <v>398</v>
      </c>
      <c r="O65" s="1">
        <v>300.0</v>
      </c>
      <c r="P65" s="14">
        <v>65.5</v>
      </c>
      <c r="Q65" s="14"/>
      <c r="R65" s="1" t="s">
        <v>61</v>
      </c>
      <c r="S65" s="1" t="s">
        <v>62</v>
      </c>
      <c r="T65" s="28">
        <v>1.0</v>
      </c>
      <c r="U65" s="29">
        <v>1.5</v>
      </c>
      <c r="V65" s="14">
        <v>0.0</v>
      </c>
      <c r="W65" s="14">
        <v>-98.25</v>
      </c>
      <c r="X65" s="30" t="s">
        <v>370</v>
      </c>
    </row>
    <row r="66" ht="15.75" customHeight="1">
      <c r="A66" s="1" t="s">
        <v>100</v>
      </c>
      <c r="B66" s="1" t="s">
        <v>121</v>
      </c>
      <c r="C66" s="1">
        <v>1706194.0</v>
      </c>
      <c r="D66" s="1" t="s">
        <v>400</v>
      </c>
      <c r="E66" s="1" t="s">
        <v>158</v>
      </c>
      <c r="F66" s="1" t="s">
        <v>159</v>
      </c>
      <c r="G66" s="1">
        <v>96.92</v>
      </c>
      <c r="H66" s="1" t="s">
        <v>160</v>
      </c>
      <c r="I66" s="1" t="s">
        <v>155</v>
      </c>
      <c r="J66" s="1" t="s">
        <v>140</v>
      </c>
      <c r="K66" s="1">
        <f t="shared" si="1"/>
        <v>9</v>
      </c>
      <c r="L66" s="1" t="s">
        <v>58</v>
      </c>
      <c r="M66" s="1" t="s">
        <v>59</v>
      </c>
      <c r="N66" s="1" t="s">
        <v>398</v>
      </c>
      <c r="O66" s="1">
        <v>300.0</v>
      </c>
      <c r="P66" s="14">
        <v>64.61</v>
      </c>
      <c r="Q66" s="14"/>
      <c r="R66" s="1" t="s">
        <v>61</v>
      </c>
      <c r="S66" s="1" t="s">
        <v>62</v>
      </c>
      <c r="T66" s="28">
        <v>1.0</v>
      </c>
      <c r="U66" s="29">
        <v>1.5</v>
      </c>
      <c r="V66" s="14">
        <v>0.0</v>
      </c>
      <c r="W66" s="14">
        <v>-96.92</v>
      </c>
      <c r="X66" s="30" t="s">
        <v>370</v>
      </c>
    </row>
    <row r="67" ht="15.75" customHeight="1">
      <c r="A67" s="1" t="s">
        <v>100</v>
      </c>
      <c r="B67" s="1" t="s">
        <v>131</v>
      </c>
      <c r="C67" s="1">
        <v>8977234.0</v>
      </c>
      <c r="D67" s="1" t="s">
        <v>401</v>
      </c>
      <c r="E67" s="1" t="s">
        <v>303</v>
      </c>
      <c r="F67" s="1" t="s">
        <v>304</v>
      </c>
      <c r="G67" s="1">
        <v>88.28</v>
      </c>
      <c r="H67" s="1" t="s">
        <v>232</v>
      </c>
      <c r="I67" s="1" t="s">
        <v>70</v>
      </c>
      <c r="J67" s="1" t="s">
        <v>140</v>
      </c>
      <c r="K67" s="1">
        <f t="shared" si="1"/>
        <v>1</v>
      </c>
      <c r="L67" s="1" t="s">
        <v>58</v>
      </c>
      <c r="M67" s="1" t="s">
        <v>59</v>
      </c>
      <c r="N67" s="1" t="s">
        <v>398</v>
      </c>
      <c r="O67" s="1">
        <v>30.0</v>
      </c>
      <c r="P67" s="14">
        <v>58.85</v>
      </c>
      <c r="Q67" s="14"/>
      <c r="R67" s="1" t="s">
        <v>61</v>
      </c>
      <c r="S67" s="1" t="s">
        <v>291</v>
      </c>
      <c r="T67" s="28">
        <v>1.0</v>
      </c>
      <c r="U67" s="29">
        <v>1.5</v>
      </c>
      <c r="V67" s="14">
        <v>0.0</v>
      </c>
      <c r="W67" s="14">
        <v>-88.28</v>
      </c>
      <c r="X67" s="30" t="s">
        <v>370</v>
      </c>
    </row>
    <row r="68" ht="15.75" customHeight="1">
      <c r="A68" s="1" t="s">
        <v>100</v>
      </c>
      <c r="B68" s="1" t="s">
        <v>131</v>
      </c>
      <c r="C68" s="1">
        <v>8307933.0</v>
      </c>
      <c r="D68" s="1" t="s">
        <v>374</v>
      </c>
      <c r="E68" s="1" t="s">
        <v>244</v>
      </c>
      <c r="F68" s="1" t="s">
        <v>245</v>
      </c>
      <c r="G68" s="1">
        <v>70.1</v>
      </c>
      <c r="H68" s="1" t="s">
        <v>185</v>
      </c>
      <c r="I68" s="1" t="s">
        <v>246</v>
      </c>
      <c r="J68" s="1" t="s">
        <v>247</v>
      </c>
      <c r="K68" s="1">
        <f t="shared" si="1"/>
        <v>10</v>
      </c>
      <c r="L68" s="1" t="s">
        <v>58</v>
      </c>
      <c r="M68" s="1" t="s">
        <v>59</v>
      </c>
      <c r="N68" s="1" t="s">
        <v>398</v>
      </c>
      <c r="O68" s="1">
        <v>300.0</v>
      </c>
      <c r="P68" s="14">
        <v>46.73</v>
      </c>
      <c r="Q68" s="14"/>
      <c r="R68" s="1" t="s">
        <v>61</v>
      </c>
      <c r="S68" s="1" t="s">
        <v>62</v>
      </c>
      <c r="T68" s="28">
        <v>1.0</v>
      </c>
      <c r="U68" s="29">
        <v>1.5</v>
      </c>
      <c r="V68" s="14">
        <v>70.1</v>
      </c>
      <c r="W68" s="14">
        <v>0.0</v>
      </c>
      <c r="X68" s="30" t="s">
        <v>370</v>
      </c>
    </row>
    <row r="69" ht="15.75" customHeight="1">
      <c r="A69" s="32" t="s">
        <v>100</v>
      </c>
      <c r="B69" s="32" t="s">
        <v>154</v>
      </c>
      <c r="C69" s="32">
        <v>371819.0</v>
      </c>
      <c r="D69" s="32" t="s">
        <v>377</v>
      </c>
      <c r="E69" s="32" t="s">
        <v>188</v>
      </c>
      <c r="F69" s="32" t="s">
        <v>189</v>
      </c>
      <c r="G69" s="32">
        <v>38.58</v>
      </c>
      <c r="H69" s="32" t="s">
        <v>190</v>
      </c>
      <c r="I69" s="32" t="s">
        <v>90</v>
      </c>
      <c r="J69" s="32" t="s">
        <v>56</v>
      </c>
      <c r="K69" s="32">
        <f t="shared" si="1"/>
        <v>9</v>
      </c>
      <c r="L69" s="32" t="s">
        <v>58</v>
      </c>
      <c r="M69" s="32" t="s">
        <v>59</v>
      </c>
      <c r="N69" s="32" t="s">
        <v>398</v>
      </c>
      <c r="O69" s="32">
        <v>100.0</v>
      </c>
      <c r="P69" s="33">
        <v>25.72</v>
      </c>
      <c r="Q69" s="33"/>
      <c r="R69" s="32" t="s">
        <v>61</v>
      </c>
      <c r="S69" s="32" t="s">
        <v>62</v>
      </c>
      <c r="T69" s="34">
        <v>1.0</v>
      </c>
      <c r="U69" s="35">
        <v>1.5</v>
      </c>
      <c r="V69" s="33">
        <v>0.0</v>
      </c>
      <c r="W69" s="33">
        <v>-38.58</v>
      </c>
      <c r="X69" s="36" t="s">
        <v>379</v>
      </c>
    </row>
    <row r="70" ht="15.75" customHeight="1">
      <c r="A70" s="1" t="s">
        <v>100</v>
      </c>
      <c r="B70" s="1" t="s">
        <v>121</v>
      </c>
      <c r="C70" s="1">
        <v>1706194.0</v>
      </c>
      <c r="D70" s="1" t="s">
        <v>400</v>
      </c>
      <c r="E70" s="1" t="s">
        <v>118</v>
      </c>
      <c r="F70" s="1" t="s">
        <v>119</v>
      </c>
      <c r="G70" s="1">
        <v>-532.65</v>
      </c>
      <c r="H70" s="1" t="s">
        <v>120</v>
      </c>
      <c r="I70" s="1" t="s">
        <v>83</v>
      </c>
      <c r="J70" s="1" t="s">
        <v>56</v>
      </c>
      <c r="K70" s="1">
        <f t="shared" si="1"/>
        <v>4</v>
      </c>
      <c r="L70" s="1" t="s">
        <v>58</v>
      </c>
      <c r="M70" s="1" t="s">
        <v>59</v>
      </c>
      <c r="N70" s="1" t="s">
        <v>398</v>
      </c>
      <c r="O70" s="1">
        <v>300.0</v>
      </c>
      <c r="P70" s="14">
        <v>0.0</v>
      </c>
      <c r="Q70" s="14"/>
      <c r="R70" s="1" t="s">
        <v>61</v>
      </c>
      <c r="S70" s="1" t="s">
        <v>122</v>
      </c>
      <c r="T70" s="28">
        <v>1.0</v>
      </c>
      <c r="U70" s="29">
        <v>0.0</v>
      </c>
      <c r="V70" s="14">
        <v>-532.65</v>
      </c>
      <c r="W70" s="14">
        <v>-532.65</v>
      </c>
      <c r="X70" s="30" t="s">
        <v>370</v>
      </c>
    </row>
    <row r="71" ht="15.75" customHeight="1">
      <c r="A71" s="1" t="s">
        <v>100</v>
      </c>
      <c r="B71" s="1" t="s">
        <v>121</v>
      </c>
      <c r="C71" s="1">
        <v>1706194.0</v>
      </c>
      <c r="D71" s="1" t="s">
        <v>400</v>
      </c>
      <c r="E71" s="1" t="s">
        <v>123</v>
      </c>
      <c r="F71" s="1" t="s">
        <v>124</v>
      </c>
      <c r="G71" s="1">
        <v>-234.79</v>
      </c>
      <c r="H71" s="1" t="s">
        <v>125</v>
      </c>
      <c r="I71" s="1" t="s">
        <v>126</v>
      </c>
      <c r="J71" s="1" t="s">
        <v>127</v>
      </c>
      <c r="K71" s="1">
        <f t="shared" si="1"/>
        <v>8</v>
      </c>
      <c r="L71" s="1" t="s">
        <v>58</v>
      </c>
      <c r="M71" s="1" t="s">
        <v>59</v>
      </c>
      <c r="N71" s="1" t="s">
        <v>398</v>
      </c>
      <c r="O71" s="1">
        <v>300.0</v>
      </c>
      <c r="P71" s="14">
        <v>-165.54</v>
      </c>
      <c r="Q71" s="14"/>
      <c r="R71" s="1" t="s">
        <v>61</v>
      </c>
      <c r="S71" s="1" t="s">
        <v>128</v>
      </c>
      <c r="T71" s="28">
        <v>1.0</v>
      </c>
      <c r="U71" s="29">
        <v>1.5</v>
      </c>
      <c r="V71" s="14">
        <v>-234.79</v>
      </c>
      <c r="W71" s="14">
        <v>13.52</v>
      </c>
      <c r="X71" s="30" t="s">
        <v>370</v>
      </c>
    </row>
    <row r="72" ht="15.75" customHeight="1">
      <c r="A72" s="1" t="s">
        <v>100</v>
      </c>
      <c r="B72" s="1" t="s">
        <v>154</v>
      </c>
      <c r="C72" s="1">
        <v>1706194.0</v>
      </c>
      <c r="D72" s="1" t="s">
        <v>400</v>
      </c>
      <c r="E72" s="1" t="s">
        <v>163</v>
      </c>
      <c r="F72" s="1" t="s">
        <v>164</v>
      </c>
      <c r="G72" s="1">
        <v>-832.71</v>
      </c>
      <c r="H72" s="1" t="s">
        <v>125</v>
      </c>
      <c r="I72" s="1" t="s">
        <v>126</v>
      </c>
      <c r="J72" s="1" t="s">
        <v>127</v>
      </c>
      <c r="K72" s="1">
        <f t="shared" si="1"/>
        <v>8</v>
      </c>
      <c r="L72" s="1" t="s">
        <v>58</v>
      </c>
      <c r="M72" s="1" t="s">
        <v>59</v>
      </c>
      <c r="N72" s="1" t="s">
        <v>398</v>
      </c>
      <c r="O72" s="1">
        <v>250.0</v>
      </c>
      <c r="P72" s="14">
        <v>-555.14</v>
      </c>
      <c r="Q72" s="14"/>
      <c r="R72" s="1" t="s">
        <v>61</v>
      </c>
      <c r="S72" s="1" t="s">
        <v>128</v>
      </c>
      <c r="T72" s="28">
        <v>1.0</v>
      </c>
      <c r="U72" s="29">
        <v>1.5</v>
      </c>
      <c r="V72" s="14">
        <v>-832.71</v>
      </c>
      <c r="W72" s="14">
        <v>0.0</v>
      </c>
      <c r="X72" s="30" t="s">
        <v>370</v>
      </c>
    </row>
    <row r="73" ht="15.75" customHeight="1">
      <c r="A73" s="1" t="s">
        <v>100</v>
      </c>
      <c r="B73" s="1" t="s">
        <v>194</v>
      </c>
      <c r="C73" s="1">
        <v>5442438.0</v>
      </c>
      <c r="D73" s="1" t="s">
        <v>380</v>
      </c>
      <c r="E73" s="1" t="s">
        <v>195</v>
      </c>
      <c r="F73" s="1" t="s">
        <v>196</v>
      </c>
      <c r="G73" s="1">
        <v>247.13</v>
      </c>
      <c r="H73" s="1" t="s">
        <v>144</v>
      </c>
      <c r="I73" s="1" t="s">
        <v>197</v>
      </c>
      <c r="J73" s="1" t="s">
        <v>133</v>
      </c>
      <c r="K73" s="1">
        <f t="shared" si="1"/>
        <v>8</v>
      </c>
      <c r="L73" s="1" t="s">
        <v>58</v>
      </c>
      <c r="M73" s="1" t="s">
        <v>59</v>
      </c>
      <c r="N73" s="1" t="s">
        <v>402</v>
      </c>
      <c r="O73" s="1">
        <v>100.0</v>
      </c>
      <c r="P73" s="14">
        <v>190.1</v>
      </c>
      <c r="Q73" s="14"/>
      <c r="R73" s="1" t="s">
        <v>61</v>
      </c>
      <c r="S73" s="1" t="s">
        <v>62</v>
      </c>
      <c r="T73" s="28">
        <v>1.0</v>
      </c>
      <c r="U73" s="29">
        <v>1.3</v>
      </c>
      <c r="V73" s="14">
        <v>0.0</v>
      </c>
      <c r="W73" s="14">
        <v>-247.13</v>
      </c>
      <c r="X73" s="30" t="s">
        <v>370</v>
      </c>
    </row>
    <row r="74" ht="15.75" customHeight="1">
      <c r="A74" s="1" t="s">
        <v>100</v>
      </c>
      <c r="B74" s="1" t="s">
        <v>194</v>
      </c>
      <c r="C74" s="1">
        <v>5442438.0</v>
      </c>
      <c r="D74" s="1" t="s">
        <v>380</v>
      </c>
      <c r="E74" s="1" t="s">
        <v>192</v>
      </c>
      <c r="F74" s="1" t="s">
        <v>193</v>
      </c>
      <c r="G74" s="1">
        <v>209.89</v>
      </c>
      <c r="H74" s="1" t="s">
        <v>144</v>
      </c>
      <c r="I74" s="1" t="s">
        <v>139</v>
      </c>
      <c r="J74" s="1" t="s">
        <v>140</v>
      </c>
      <c r="K74" s="1">
        <f t="shared" si="1"/>
        <v>8</v>
      </c>
      <c r="L74" s="1" t="s">
        <v>58</v>
      </c>
      <c r="M74" s="1" t="s">
        <v>59</v>
      </c>
      <c r="N74" s="1" t="s">
        <v>402</v>
      </c>
      <c r="O74" s="1">
        <v>100.0</v>
      </c>
      <c r="P74" s="14">
        <v>161.45</v>
      </c>
      <c r="Q74" s="14"/>
      <c r="R74" s="1" t="s">
        <v>61</v>
      </c>
      <c r="S74" s="1" t="s">
        <v>62</v>
      </c>
      <c r="T74" s="28">
        <v>1.0</v>
      </c>
      <c r="U74" s="29">
        <v>1.3</v>
      </c>
      <c r="V74" s="14">
        <v>0.0</v>
      </c>
      <c r="W74" s="14">
        <v>-209.89</v>
      </c>
      <c r="X74" s="30" t="s">
        <v>370</v>
      </c>
    </row>
    <row r="75" ht="15.75" customHeight="1">
      <c r="A75" s="1" t="s">
        <v>100</v>
      </c>
      <c r="B75" s="1" t="s">
        <v>149</v>
      </c>
      <c r="C75" s="1">
        <v>8307933.0</v>
      </c>
      <c r="D75" s="1" t="s">
        <v>374</v>
      </c>
      <c r="E75" s="1" t="s">
        <v>226</v>
      </c>
      <c r="F75" s="1" t="s">
        <v>227</v>
      </c>
      <c r="G75" s="1">
        <v>140.58</v>
      </c>
      <c r="H75" s="1" t="s">
        <v>228</v>
      </c>
      <c r="I75" s="1" t="s">
        <v>229</v>
      </c>
      <c r="J75" s="1" t="s">
        <v>140</v>
      </c>
      <c r="K75" s="1">
        <f t="shared" si="1"/>
        <v>6</v>
      </c>
      <c r="L75" s="1" t="s">
        <v>58</v>
      </c>
      <c r="M75" s="1" t="s">
        <v>59</v>
      </c>
      <c r="N75" s="1" t="s">
        <v>403</v>
      </c>
      <c r="O75" s="1">
        <v>75.0</v>
      </c>
      <c r="P75" s="14">
        <v>208.27</v>
      </c>
      <c r="Q75" s="14"/>
      <c r="R75" s="1" t="s">
        <v>61</v>
      </c>
      <c r="S75" s="1" t="s">
        <v>62</v>
      </c>
      <c r="T75" s="28">
        <v>1.0</v>
      </c>
      <c r="U75" s="29">
        <v>0.675</v>
      </c>
      <c r="V75" s="14">
        <v>0.0</v>
      </c>
      <c r="W75" s="14">
        <v>-140.58</v>
      </c>
      <c r="X75" s="30" t="s">
        <v>370</v>
      </c>
    </row>
    <row r="76" ht="15.75" customHeight="1">
      <c r="A76" s="1" t="s">
        <v>100</v>
      </c>
      <c r="B76" s="1" t="s">
        <v>149</v>
      </c>
      <c r="C76" s="1">
        <v>8977234.0</v>
      </c>
      <c r="D76" s="1" t="s">
        <v>401</v>
      </c>
      <c r="E76" s="1" t="s">
        <v>171</v>
      </c>
      <c r="F76" s="1" t="s">
        <v>172</v>
      </c>
      <c r="G76" s="1">
        <v>121.5</v>
      </c>
      <c r="H76" s="1" t="s">
        <v>173</v>
      </c>
      <c r="I76" s="1" t="s">
        <v>174</v>
      </c>
      <c r="J76" s="1" t="s">
        <v>175</v>
      </c>
      <c r="K76" s="1">
        <f t="shared" si="1"/>
        <v>8</v>
      </c>
      <c r="L76" s="1" t="s">
        <v>58</v>
      </c>
      <c r="M76" s="1" t="s">
        <v>59</v>
      </c>
      <c r="N76" s="1" t="s">
        <v>403</v>
      </c>
      <c r="O76" s="1">
        <v>82.0</v>
      </c>
      <c r="P76" s="14">
        <v>180.0</v>
      </c>
      <c r="Q76" s="14"/>
      <c r="R76" s="1" t="s">
        <v>61</v>
      </c>
      <c r="S76" s="1" t="s">
        <v>62</v>
      </c>
      <c r="T76" s="28">
        <v>1.0</v>
      </c>
      <c r="U76" s="29">
        <v>0.675</v>
      </c>
      <c r="V76" s="14">
        <v>0.0</v>
      </c>
      <c r="W76" s="14">
        <v>-121.5</v>
      </c>
      <c r="X76" s="30" t="s">
        <v>370</v>
      </c>
    </row>
    <row r="77" ht="15.75" customHeight="1">
      <c r="A77" s="1" t="s">
        <v>100</v>
      </c>
      <c r="B77" s="1" t="s">
        <v>149</v>
      </c>
      <c r="C77" s="1">
        <v>8307933.0</v>
      </c>
      <c r="D77" s="1" t="s">
        <v>374</v>
      </c>
      <c r="E77" s="1" t="s">
        <v>211</v>
      </c>
      <c r="F77" s="1" t="s">
        <v>212</v>
      </c>
      <c r="G77" s="1">
        <v>108.43</v>
      </c>
      <c r="H77" s="1" t="s">
        <v>213</v>
      </c>
      <c r="I77" s="1" t="s">
        <v>214</v>
      </c>
      <c r="J77" s="1" t="s">
        <v>140</v>
      </c>
      <c r="K77" s="1">
        <f t="shared" si="1"/>
        <v>4</v>
      </c>
      <c r="L77" s="1" t="s">
        <v>58</v>
      </c>
      <c r="M77" s="1" t="s">
        <v>59</v>
      </c>
      <c r="N77" s="1" t="s">
        <v>403</v>
      </c>
      <c r="O77" s="1">
        <v>75.0</v>
      </c>
      <c r="P77" s="14">
        <v>160.63</v>
      </c>
      <c r="Q77" s="14"/>
      <c r="R77" s="1" t="s">
        <v>61</v>
      </c>
      <c r="S77" s="1" t="s">
        <v>62</v>
      </c>
      <c r="T77" s="28">
        <v>1.0</v>
      </c>
      <c r="U77" s="29">
        <v>0.675</v>
      </c>
      <c r="V77" s="14">
        <v>0.0</v>
      </c>
      <c r="W77" s="14">
        <v>-108.43</v>
      </c>
      <c r="X77" s="30" t="s">
        <v>370</v>
      </c>
    </row>
    <row r="78" ht="15.75" customHeight="1">
      <c r="A78" s="1" t="s">
        <v>100</v>
      </c>
      <c r="B78" s="1" t="s">
        <v>149</v>
      </c>
      <c r="C78" s="1">
        <v>8307933.0</v>
      </c>
      <c r="D78" s="1" t="s">
        <v>374</v>
      </c>
      <c r="E78" s="1" t="s">
        <v>215</v>
      </c>
      <c r="F78" s="1" t="s">
        <v>216</v>
      </c>
      <c r="G78" s="1">
        <v>108.43</v>
      </c>
      <c r="H78" s="1" t="s">
        <v>213</v>
      </c>
      <c r="I78" s="1" t="s">
        <v>214</v>
      </c>
      <c r="J78" s="1" t="s">
        <v>140</v>
      </c>
      <c r="K78" s="1">
        <f t="shared" si="1"/>
        <v>4</v>
      </c>
      <c r="L78" s="1" t="s">
        <v>58</v>
      </c>
      <c r="M78" s="1" t="s">
        <v>59</v>
      </c>
      <c r="N78" s="1" t="s">
        <v>403</v>
      </c>
      <c r="O78" s="1">
        <v>75.0</v>
      </c>
      <c r="P78" s="14">
        <v>160.63</v>
      </c>
      <c r="Q78" s="14"/>
      <c r="R78" s="1" t="s">
        <v>61</v>
      </c>
      <c r="S78" s="1" t="s">
        <v>62</v>
      </c>
      <c r="T78" s="28">
        <v>1.0</v>
      </c>
      <c r="U78" s="29">
        <v>0.675</v>
      </c>
      <c r="V78" s="14">
        <v>0.0</v>
      </c>
      <c r="W78" s="14">
        <v>-108.43</v>
      </c>
      <c r="X78" s="30" t="s">
        <v>370</v>
      </c>
    </row>
    <row r="79" ht="15.75" customHeight="1">
      <c r="A79" s="1" t="s">
        <v>100</v>
      </c>
      <c r="B79" s="1" t="s">
        <v>149</v>
      </c>
      <c r="C79" s="1">
        <v>8307933.0</v>
      </c>
      <c r="D79" s="1" t="s">
        <v>374</v>
      </c>
      <c r="E79" s="1" t="s">
        <v>224</v>
      </c>
      <c r="F79" s="1" t="s">
        <v>225</v>
      </c>
      <c r="G79" s="1">
        <v>91.0</v>
      </c>
      <c r="H79" s="1" t="s">
        <v>213</v>
      </c>
      <c r="I79" s="1" t="s">
        <v>223</v>
      </c>
      <c r="J79" s="1" t="s">
        <v>95</v>
      </c>
      <c r="K79" s="1">
        <f t="shared" si="1"/>
        <v>5</v>
      </c>
      <c r="L79" s="1" t="s">
        <v>58</v>
      </c>
      <c r="M79" s="1" t="s">
        <v>59</v>
      </c>
      <c r="N79" s="1" t="s">
        <v>403</v>
      </c>
      <c r="O79" s="1">
        <v>50.0</v>
      </c>
      <c r="P79" s="14">
        <v>134.81</v>
      </c>
      <c r="Q79" s="14"/>
      <c r="R79" s="1" t="s">
        <v>61</v>
      </c>
      <c r="S79" s="1" t="s">
        <v>62</v>
      </c>
      <c r="T79" s="28">
        <v>1.0</v>
      </c>
      <c r="U79" s="29">
        <v>0.675</v>
      </c>
      <c r="V79" s="14">
        <v>0.0</v>
      </c>
      <c r="W79" s="14">
        <v>-91.0</v>
      </c>
      <c r="X79" s="30" t="s">
        <v>370</v>
      </c>
    </row>
    <row r="80" ht="15.75" customHeight="1">
      <c r="A80" s="1" t="s">
        <v>100</v>
      </c>
      <c r="B80" s="1" t="s">
        <v>149</v>
      </c>
      <c r="C80" s="1">
        <v>8977234.0</v>
      </c>
      <c r="D80" s="1" t="s">
        <v>401</v>
      </c>
      <c r="E80" s="1" t="s">
        <v>176</v>
      </c>
      <c r="F80" s="1" t="s">
        <v>177</v>
      </c>
      <c r="G80" s="1">
        <v>82.81</v>
      </c>
      <c r="H80" s="1" t="s">
        <v>125</v>
      </c>
      <c r="I80" s="1" t="s">
        <v>178</v>
      </c>
      <c r="J80" s="1" t="s">
        <v>169</v>
      </c>
      <c r="K80" s="1">
        <f t="shared" si="1"/>
        <v>10</v>
      </c>
      <c r="L80" s="1" t="s">
        <v>58</v>
      </c>
      <c r="M80" s="1" t="s">
        <v>59</v>
      </c>
      <c r="N80" s="1" t="s">
        <v>403</v>
      </c>
      <c r="O80" s="1">
        <v>275.0</v>
      </c>
      <c r="P80" s="14">
        <v>122.68</v>
      </c>
      <c r="Q80" s="14"/>
      <c r="R80" s="1" t="s">
        <v>61</v>
      </c>
      <c r="S80" s="1" t="s">
        <v>62</v>
      </c>
      <c r="T80" s="28">
        <v>1.0</v>
      </c>
      <c r="U80" s="29">
        <v>0.675</v>
      </c>
      <c r="V80" s="14">
        <v>82.81</v>
      </c>
      <c r="W80" s="14">
        <v>0.0</v>
      </c>
      <c r="X80" s="30" t="s">
        <v>370</v>
      </c>
    </row>
    <row r="81" ht="15.75" customHeight="1">
      <c r="U81" s="46"/>
    </row>
    <row r="82" ht="15.75" customHeight="1">
      <c r="U82" s="46"/>
    </row>
    <row r="83" ht="15.75" customHeight="1">
      <c r="U83" s="46"/>
    </row>
    <row r="84" ht="15.75" customHeight="1">
      <c r="U84" s="46"/>
    </row>
    <row r="85" ht="15.75" customHeight="1">
      <c r="U85" s="46"/>
    </row>
    <row r="86" ht="15.75" customHeight="1">
      <c r="U86" s="46"/>
    </row>
    <row r="87" ht="15.75" customHeight="1">
      <c r="U87" s="46"/>
    </row>
    <row r="88" ht="15.75" customHeight="1">
      <c r="U88" s="46"/>
    </row>
    <row r="89" ht="15.75" customHeight="1">
      <c r="U89" s="46"/>
    </row>
    <row r="90" ht="15.75" customHeight="1">
      <c r="U90" s="46"/>
    </row>
    <row r="91" ht="15.75" customHeight="1">
      <c r="U91" s="46"/>
    </row>
    <row r="92" ht="15.75" customHeight="1">
      <c r="U92" s="46"/>
    </row>
    <row r="93" ht="15.75" customHeight="1">
      <c r="U93" s="46"/>
    </row>
    <row r="94" ht="15.75" customHeight="1">
      <c r="U94" s="46"/>
    </row>
    <row r="95" ht="15.75" customHeight="1">
      <c r="U95" s="46"/>
    </row>
    <row r="96" ht="15.75" customHeight="1">
      <c r="U96" s="46"/>
    </row>
    <row r="97" ht="15.75" customHeight="1">
      <c r="U97" s="46"/>
    </row>
    <row r="98" ht="15.75" customHeight="1">
      <c r="U98" s="46"/>
    </row>
    <row r="99" ht="15.75" customHeight="1">
      <c r="U99" s="46"/>
    </row>
    <row r="100" ht="15.75" customHeight="1">
      <c r="U100" s="46"/>
    </row>
    <row r="101" ht="15.75" customHeight="1">
      <c r="U101" s="46"/>
    </row>
    <row r="102" ht="15.75" customHeight="1">
      <c r="U102" s="46"/>
    </row>
    <row r="103" ht="15.75" customHeight="1">
      <c r="U103" s="46"/>
    </row>
    <row r="104" ht="15.75" customHeight="1">
      <c r="U104" s="46"/>
    </row>
    <row r="105" ht="15.75" customHeight="1">
      <c r="U105" s="46"/>
    </row>
    <row r="106" ht="15.75" customHeight="1">
      <c r="U106" s="46"/>
    </row>
    <row r="107" ht="15.75" customHeight="1">
      <c r="U107" s="46"/>
    </row>
    <row r="108" ht="15.75" customHeight="1">
      <c r="U108" s="46"/>
    </row>
    <row r="109" ht="15.75" customHeight="1">
      <c r="U109" s="46"/>
    </row>
    <row r="110" ht="15.75" customHeight="1">
      <c r="U110" s="46"/>
    </row>
    <row r="111" ht="15.75" customHeight="1">
      <c r="U111" s="46"/>
    </row>
    <row r="112" ht="15.75" customHeight="1">
      <c r="U112" s="46"/>
    </row>
    <row r="113" ht="15.75" customHeight="1">
      <c r="U113" s="46"/>
    </row>
    <row r="114" ht="15.75" customHeight="1">
      <c r="U114" s="46"/>
    </row>
    <row r="115" ht="15.75" customHeight="1">
      <c r="U115" s="46"/>
    </row>
    <row r="116" ht="15.75" customHeight="1">
      <c r="U116" s="46"/>
    </row>
    <row r="117" ht="15.75" customHeight="1">
      <c r="U117" s="46"/>
    </row>
    <row r="118" ht="15.75" customHeight="1">
      <c r="U118" s="46"/>
    </row>
    <row r="119" ht="15.75" customHeight="1">
      <c r="U119" s="46"/>
    </row>
    <row r="120" ht="15.75" customHeight="1">
      <c r="U120" s="46"/>
    </row>
    <row r="121" ht="15.75" customHeight="1">
      <c r="U121" s="46"/>
    </row>
    <row r="122" ht="15.75" customHeight="1">
      <c r="U122" s="46"/>
    </row>
    <row r="123" ht="15.75" customHeight="1">
      <c r="U123" s="46"/>
    </row>
    <row r="124" ht="15.75" customHeight="1">
      <c r="U124" s="46"/>
    </row>
    <row r="125" ht="15.75" customHeight="1">
      <c r="U125" s="46"/>
    </row>
    <row r="126" ht="15.75" customHeight="1">
      <c r="U126" s="46"/>
    </row>
    <row r="127" ht="15.75" customHeight="1">
      <c r="U127" s="46"/>
    </row>
    <row r="128" ht="15.75" customHeight="1">
      <c r="U128" s="46"/>
    </row>
    <row r="129" ht="15.75" customHeight="1">
      <c r="U129" s="46"/>
    </row>
    <row r="130" ht="15.75" customHeight="1">
      <c r="U130" s="46"/>
    </row>
    <row r="131" ht="15.75" customHeight="1">
      <c r="U131" s="46"/>
    </row>
    <row r="132" ht="15.75" customHeight="1">
      <c r="U132" s="46"/>
    </row>
    <row r="133" ht="15.75" customHeight="1">
      <c r="U133" s="46"/>
    </row>
    <row r="134" ht="15.75" customHeight="1">
      <c r="U134" s="46"/>
    </row>
    <row r="135" ht="15.75" customHeight="1">
      <c r="U135" s="46"/>
    </row>
    <row r="136" ht="15.75" customHeight="1">
      <c r="U136" s="46"/>
    </row>
    <row r="137" ht="15.75" customHeight="1">
      <c r="U137" s="46"/>
    </row>
    <row r="138" ht="15.75" customHeight="1">
      <c r="U138" s="46"/>
    </row>
    <row r="139" ht="15.75" customHeight="1">
      <c r="U139" s="46"/>
    </row>
    <row r="140" ht="15.75" customHeight="1">
      <c r="U140" s="46"/>
    </row>
    <row r="141" ht="15.75" customHeight="1">
      <c r="U141" s="46"/>
    </row>
    <row r="142" ht="15.75" customHeight="1">
      <c r="U142" s="46"/>
    </row>
    <row r="143" ht="15.75" customHeight="1">
      <c r="U143" s="46"/>
    </row>
    <row r="144" ht="15.75" customHeight="1">
      <c r="U144" s="46"/>
    </row>
    <row r="145" ht="15.75" customHeight="1">
      <c r="U145" s="46"/>
    </row>
    <row r="146" ht="15.75" customHeight="1">
      <c r="U146" s="46"/>
    </row>
    <row r="147" ht="15.75" customHeight="1">
      <c r="U147" s="46"/>
    </row>
    <row r="148" ht="15.75" customHeight="1">
      <c r="U148" s="46"/>
    </row>
    <row r="149" ht="15.75" customHeight="1">
      <c r="U149" s="46"/>
    </row>
    <row r="150" ht="15.75" customHeight="1">
      <c r="U150" s="46"/>
    </row>
    <row r="151" ht="15.75" customHeight="1">
      <c r="U151" s="46"/>
    </row>
    <row r="152" ht="15.75" customHeight="1">
      <c r="U152" s="46"/>
    </row>
    <row r="153" ht="15.75" customHeight="1">
      <c r="U153" s="46"/>
    </row>
    <row r="154" ht="15.75" customHeight="1">
      <c r="U154" s="46"/>
    </row>
    <row r="155" ht="15.75" customHeight="1">
      <c r="U155" s="46"/>
    </row>
    <row r="156" ht="15.75" customHeight="1">
      <c r="U156" s="46"/>
    </row>
    <row r="157" ht="15.75" customHeight="1">
      <c r="U157" s="46"/>
    </row>
    <row r="158" ht="15.75" customHeight="1">
      <c r="U158" s="46"/>
    </row>
    <row r="159" ht="15.75" customHeight="1">
      <c r="U159" s="46"/>
    </row>
    <row r="160" ht="15.75" customHeight="1">
      <c r="U160" s="46"/>
    </row>
    <row r="161" ht="15.75" customHeight="1">
      <c r="U161" s="46"/>
    </row>
    <row r="162" ht="15.75" customHeight="1">
      <c r="U162" s="46"/>
    </row>
    <row r="163" ht="15.75" customHeight="1">
      <c r="U163" s="46"/>
    </row>
    <row r="164" ht="15.75" customHeight="1">
      <c r="U164" s="46"/>
    </row>
    <row r="165" ht="15.75" customHeight="1">
      <c r="U165" s="46"/>
    </row>
    <row r="166" ht="15.75" customHeight="1">
      <c r="U166" s="46"/>
    </row>
    <row r="167" ht="15.75" customHeight="1">
      <c r="U167" s="46"/>
    </row>
    <row r="168" ht="15.75" customHeight="1">
      <c r="U168" s="46"/>
    </row>
    <row r="169" ht="15.75" customHeight="1">
      <c r="U169" s="46"/>
    </row>
    <row r="170" ht="15.75" customHeight="1">
      <c r="U170" s="46"/>
    </row>
    <row r="171" ht="15.75" customHeight="1">
      <c r="U171" s="46"/>
    </row>
    <row r="172" ht="15.75" customHeight="1">
      <c r="U172" s="46"/>
    </row>
    <row r="173" ht="15.75" customHeight="1">
      <c r="U173" s="46"/>
    </row>
    <row r="174" ht="15.75" customHeight="1">
      <c r="U174" s="46"/>
    </row>
    <row r="175" ht="15.75" customHeight="1">
      <c r="U175" s="46"/>
    </row>
    <row r="176" ht="15.75" customHeight="1">
      <c r="U176" s="46"/>
    </row>
    <row r="177" ht="15.75" customHeight="1">
      <c r="U177" s="46"/>
    </row>
    <row r="178" ht="15.75" customHeight="1">
      <c r="U178" s="46"/>
    </row>
    <row r="179" ht="15.75" customHeight="1">
      <c r="U179" s="46"/>
    </row>
    <row r="180" ht="15.75" customHeight="1">
      <c r="U180" s="46"/>
    </row>
    <row r="181" ht="15.75" customHeight="1">
      <c r="U181" s="46"/>
    </row>
    <row r="182" ht="15.75" customHeight="1">
      <c r="U182" s="46"/>
    </row>
    <row r="183" ht="15.75" customHeight="1">
      <c r="U183" s="46"/>
    </row>
    <row r="184" ht="15.75" customHeight="1">
      <c r="U184" s="46"/>
    </row>
    <row r="185" ht="15.75" customHeight="1">
      <c r="U185" s="46"/>
    </row>
    <row r="186" ht="15.75" customHeight="1">
      <c r="U186" s="46"/>
    </row>
    <row r="187" ht="15.75" customHeight="1">
      <c r="U187" s="46"/>
    </row>
    <row r="188" ht="15.75" customHeight="1">
      <c r="U188" s="46"/>
    </row>
    <row r="189" ht="15.75" customHeight="1">
      <c r="U189" s="46"/>
    </row>
    <row r="190" ht="15.75" customHeight="1">
      <c r="U190" s="46"/>
    </row>
    <row r="191" ht="15.75" customHeight="1">
      <c r="U191" s="46"/>
    </row>
    <row r="192" ht="15.75" customHeight="1">
      <c r="U192" s="46"/>
    </row>
    <row r="193" ht="15.75" customHeight="1">
      <c r="U193" s="46"/>
    </row>
    <row r="194" ht="15.75" customHeight="1">
      <c r="U194" s="46"/>
    </row>
    <row r="195" ht="15.75" customHeight="1">
      <c r="U195" s="46"/>
    </row>
    <row r="196" ht="15.75" customHeight="1">
      <c r="U196" s="46"/>
    </row>
    <row r="197" ht="15.75" customHeight="1">
      <c r="U197" s="46"/>
    </row>
    <row r="198" ht="15.75" customHeight="1">
      <c r="U198" s="46"/>
    </row>
    <row r="199" ht="15.75" customHeight="1">
      <c r="U199" s="46"/>
    </row>
    <row r="200" ht="15.75" customHeight="1">
      <c r="U200" s="46"/>
    </row>
    <row r="201" ht="15.75" customHeight="1">
      <c r="U201" s="46"/>
    </row>
    <row r="202" ht="15.75" customHeight="1">
      <c r="U202" s="46"/>
    </row>
    <row r="203" ht="15.75" customHeight="1">
      <c r="U203" s="46"/>
    </row>
    <row r="204" ht="15.75" customHeight="1">
      <c r="U204" s="46"/>
    </row>
    <row r="205" ht="15.75" customHeight="1">
      <c r="U205" s="46"/>
    </row>
    <row r="206" ht="15.75" customHeight="1">
      <c r="U206" s="46"/>
    </row>
    <row r="207" ht="15.75" customHeight="1">
      <c r="U207" s="46"/>
    </row>
    <row r="208" ht="15.75" customHeight="1">
      <c r="U208" s="46"/>
    </row>
    <row r="209" ht="15.75" customHeight="1">
      <c r="U209" s="46"/>
    </row>
    <row r="210" ht="15.75" customHeight="1">
      <c r="U210" s="46"/>
    </row>
    <row r="211" ht="15.75" customHeight="1">
      <c r="U211" s="46"/>
    </row>
    <row r="212" ht="15.75" customHeight="1">
      <c r="U212" s="46"/>
    </row>
    <row r="213" ht="15.75" customHeight="1">
      <c r="U213" s="46"/>
    </row>
    <row r="214" ht="15.75" customHeight="1">
      <c r="U214" s="46"/>
    </row>
    <row r="215" ht="15.75" customHeight="1">
      <c r="U215" s="46"/>
    </row>
    <row r="216" ht="15.75" customHeight="1">
      <c r="U216" s="46"/>
    </row>
    <row r="217" ht="15.75" customHeight="1">
      <c r="U217" s="46"/>
    </row>
    <row r="218" ht="15.75" customHeight="1">
      <c r="U218" s="46"/>
    </row>
    <row r="219" ht="15.75" customHeight="1">
      <c r="U219" s="46"/>
    </row>
    <row r="220" ht="15.75" customHeight="1">
      <c r="U220" s="46"/>
    </row>
    <row r="221" ht="15.75" customHeight="1">
      <c r="U221" s="46"/>
    </row>
    <row r="222" ht="15.75" customHeight="1">
      <c r="U222" s="46"/>
    </row>
    <row r="223" ht="15.75" customHeight="1">
      <c r="U223" s="46"/>
    </row>
    <row r="224" ht="15.75" customHeight="1">
      <c r="U224" s="46"/>
    </row>
    <row r="225" ht="15.75" customHeight="1">
      <c r="U225" s="46"/>
    </row>
    <row r="226" ht="15.75" customHeight="1">
      <c r="U226" s="46"/>
    </row>
    <row r="227" ht="15.75" customHeight="1">
      <c r="U227" s="46"/>
    </row>
    <row r="228" ht="15.75" customHeight="1">
      <c r="U228" s="46"/>
    </row>
    <row r="229" ht="15.75" customHeight="1">
      <c r="U229" s="46"/>
    </row>
    <row r="230" ht="15.75" customHeight="1">
      <c r="U230" s="46"/>
    </row>
    <row r="231" ht="15.75" customHeight="1">
      <c r="U231" s="46"/>
    </row>
    <row r="232" ht="15.75" customHeight="1">
      <c r="U232" s="46"/>
    </row>
    <row r="233" ht="15.75" customHeight="1">
      <c r="U233" s="46"/>
    </row>
    <row r="234" ht="15.75" customHeight="1">
      <c r="U234" s="46"/>
    </row>
    <row r="235" ht="15.75" customHeight="1">
      <c r="U235" s="46"/>
    </row>
    <row r="236" ht="15.75" customHeight="1">
      <c r="U236" s="46"/>
    </row>
    <row r="237" ht="15.75" customHeight="1">
      <c r="U237" s="46"/>
    </row>
    <row r="238" ht="15.75" customHeight="1">
      <c r="U238" s="46"/>
    </row>
    <row r="239" ht="15.75" customHeight="1">
      <c r="U239" s="46"/>
    </row>
    <row r="240" ht="15.75" customHeight="1">
      <c r="U240" s="46"/>
    </row>
    <row r="241" ht="15.75" customHeight="1">
      <c r="U241" s="46"/>
    </row>
    <row r="242" ht="15.75" customHeight="1">
      <c r="U242" s="46"/>
    </row>
    <row r="243" ht="15.75" customHeight="1">
      <c r="U243" s="46"/>
    </row>
    <row r="244" ht="15.75" customHeight="1">
      <c r="U244" s="46"/>
    </row>
    <row r="245" ht="15.75" customHeight="1">
      <c r="U245" s="46"/>
    </row>
    <row r="246" ht="15.75" customHeight="1">
      <c r="U246" s="46"/>
    </row>
    <row r="247" ht="15.75" customHeight="1">
      <c r="U247" s="46"/>
    </row>
    <row r="248" ht="15.75" customHeight="1">
      <c r="U248" s="46"/>
    </row>
    <row r="249" ht="15.75" customHeight="1">
      <c r="U249" s="46"/>
    </row>
    <row r="250" ht="15.75" customHeight="1">
      <c r="U250" s="46"/>
    </row>
    <row r="251" ht="15.75" customHeight="1">
      <c r="U251" s="46"/>
    </row>
    <row r="252" ht="15.75" customHeight="1">
      <c r="U252" s="46"/>
    </row>
    <row r="253" ht="15.75" customHeight="1">
      <c r="U253" s="46"/>
    </row>
    <row r="254" ht="15.75" customHeight="1">
      <c r="U254" s="46"/>
    </row>
    <row r="255" ht="15.75" customHeight="1">
      <c r="U255" s="46"/>
    </row>
    <row r="256" ht="15.75" customHeight="1">
      <c r="U256" s="46"/>
    </row>
    <row r="257" ht="15.75" customHeight="1">
      <c r="U257" s="46"/>
    </row>
    <row r="258" ht="15.75" customHeight="1">
      <c r="U258" s="46"/>
    </row>
    <row r="259" ht="15.75" customHeight="1">
      <c r="U259" s="46"/>
    </row>
    <row r="260" ht="15.75" customHeight="1">
      <c r="U260" s="46"/>
    </row>
    <row r="261" ht="15.75" customHeight="1">
      <c r="U261" s="46"/>
    </row>
    <row r="262" ht="15.75" customHeight="1">
      <c r="U262" s="46"/>
    </row>
    <row r="263" ht="15.75" customHeight="1">
      <c r="U263" s="46"/>
    </row>
    <row r="264" ht="15.75" customHeight="1">
      <c r="U264" s="46"/>
    </row>
    <row r="265" ht="15.75" customHeight="1">
      <c r="U265" s="46"/>
    </row>
    <row r="266" ht="15.75" customHeight="1">
      <c r="U266" s="46"/>
    </row>
    <row r="267" ht="15.75" customHeight="1">
      <c r="U267" s="46"/>
    </row>
    <row r="268" ht="15.75" customHeight="1">
      <c r="U268" s="46"/>
    </row>
    <row r="269" ht="15.75" customHeight="1">
      <c r="U269" s="46"/>
    </row>
    <row r="270" ht="15.75" customHeight="1">
      <c r="U270" s="46"/>
    </row>
    <row r="271" ht="15.75" customHeight="1">
      <c r="U271" s="46"/>
    </row>
    <row r="272" ht="15.75" customHeight="1">
      <c r="U272" s="46"/>
    </row>
    <row r="273" ht="15.75" customHeight="1">
      <c r="U273" s="46"/>
    </row>
    <row r="274" ht="15.75" customHeight="1">
      <c r="U274" s="46"/>
    </row>
    <row r="275" ht="15.75" customHeight="1">
      <c r="U275" s="46"/>
    </row>
    <row r="276" ht="15.75" customHeight="1">
      <c r="U276" s="46"/>
    </row>
    <row r="277" ht="15.75" customHeight="1">
      <c r="U277" s="46"/>
    </row>
    <row r="278" ht="15.75" customHeight="1">
      <c r="U278" s="46"/>
    </row>
    <row r="279" ht="15.75" customHeight="1">
      <c r="U279" s="46"/>
    </row>
    <row r="280" ht="15.75" customHeight="1">
      <c r="U280" s="46"/>
    </row>
    <row r="281" ht="15.75" customHeight="1">
      <c r="U281" s="46"/>
    </row>
    <row r="282" ht="15.75" customHeight="1">
      <c r="U282" s="46"/>
    </row>
    <row r="283" ht="15.75" customHeight="1">
      <c r="U283" s="46"/>
    </row>
    <row r="284" ht="15.75" customHeight="1">
      <c r="U284" s="46"/>
    </row>
    <row r="285" ht="15.75" customHeight="1">
      <c r="U285" s="46"/>
    </row>
    <row r="286" ht="15.75" customHeight="1">
      <c r="U286" s="46"/>
    </row>
    <row r="287" ht="15.75" customHeight="1">
      <c r="U287" s="46"/>
    </row>
    <row r="288" ht="15.75" customHeight="1">
      <c r="U288" s="46"/>
    </row>
    <row r="289" ht="15.75" customHeight="1">
      <c r="U289" s="46"/>
    </row>
    <row r="290" ht="15.75" customHeight="1">
      <c r="U290" s="46"/>
    </row>
    <row r="291" ht="15.75" customHeight="1">
      <c r="U291" s="46"/>
    </row>
    <row r="292" ht="15.75" customHeight="1">
      <c r="U292" s="46"/>
    </row>
    <row r="293" ht="15.75" customHeight="1">
      <c r="U293" s="46"/>
    </row>
    <row r="294" ht="15.75" customHeight="1">
      <c r="U294" s="46"/>
    </row>
    <row r="295" ht="15.75" customHeight="1">
      <c r="U295" s="46"/>
    </row>
    <row r="296" ht="15.75" customHeight="1">
      <c r="U296" s="46"/>
    </row>
    <row r="297" ht="15.75" customHeight="1">
      <c r="U297" s="46"/>
    </row>
    <row r="298" ht="15.75" customHeight="1">
      <c r="U298" s="46"/>
    </row>
    <row r="299" ht="15.75" customHeight="1">
      <c r="U299" s="46"/>
    </row>
    <row r="300" ht="15.75" customHeight="1">
      <c r="U300" s="46"/>
    </row>
    <row r="301" ht="15.75" customHeight="1">
      <c r="U301" s="46"/>
    </row>
    <row r="302" ht="15.75" customHeight="1">
      <c r="U302" s="46"/>
    </row>
    <row r="303" ht="15.75" customHeight="1">
      <c r="U303" s="46"/>
    </row>
    <row r="304" ht="15.75" customHeight="1">
      <c r="U304" s="46"/>
    </row>
    <row r="305" ht="15.75" customHeight="1">
      <c r="U305" s="46"/>
    </row>
    <row r="306" ht="15.75" customHeight="1">
      <c r="U306" s="46"/>
    </row>
    <row r="307" ht="15.75" customHeight="1">
      <c r="U307" s="46"/>
    </row>
    <row r="308" ht="15.75" customHeight="1">
      <c r="U308" s="46"/>
    </row>
    <row r="309" ht="15.75" customHeight="1">
      <c r="U309" s="46"/>
    </row>
    <row r="310" ht="15.75" customHeight="1">
      <c r="U310" s="46"/>
    </row>
    <row r="311" ht="15.75" customHeight="1">
      <c r="U311" s="46"/>
    </row>
    <row r="312" ht="15.75" customHeight="1">
      <c r="U312" s="46"/>
    </row>
    <row r="313" ht="15.75" customHeight="1">
      <c r="U313" s="46"/>
    </row>
    <row r="314" ht="15.75" customHeight="1">
      <c r="U314" s="46"/>
    </row>
    <row r="315" ht="15.75" customHeight="1">
      <c r="U315" s="46"/>
    </row>
    <row r="316" ht="15.75" customHeight="1">
      <c r="U316" s="46"/>
    </row>
    <row r="317" ht="15.75" customHeight="1">
      <c r="U317" s="46"/>
    </row>
    <row r="318" ht="15.75" customHeight="1">
      <c r="U318" s="46"/>
    </row>
    <row r="319" ht="15.75" customHeight="1">
      <c r="U319" s="46"/>
    </row>
    <row r="320" ht="15.75" customHeight="1">
      <c r="U320" s="46"/>
    </row>
    <row r="321" ht="15.75" customHeight="1">
      <c r="U321" s="46"/>
    </row>
    <row r="322" ht="15.75" customHeight="1">
      <c r="U322" s="46"/>
    </row>
    <row r="323" ht="15.75" customHeight="1">
      <c r="U323" s="46"/>
    </row>
    <row r="324" ht="15.75" customHeight="1">
      <c r="U324" s="46"/>
    </row>
    <row r="325" ht="15.75" customHeight="1">
      <c r="U325" s="46"/>
    </row>
    <row r="326" ht="15.75" customHeight="1">
      <c r="U326" s="46"/>
    </row>
    <row r="327" ht="15.75" customHeight="1">
      <c r="U327" s="46"/>
    </row>
    <row r="328" ht="15.75" customHeight="1">
      <c r="U328" s="46"/>
    </row>
    <row r="329" ht="15.75" customHeight="1">
      <c r="U329" s="46"/>
    </row>
    <row r="330" ht="15.75" customHeight="1">
      <c r="U330" s="46"/>
    </row>
    <row r="331" ht="15.75" customHeight="1">
      <c r="U331" s="46"/>
    </row>
    <row r="332" ht="15.75" customHeight="1">
      <c r="U332" s="46"/>
    </row>
    <row r="333" ht="15.75" customHeight="1">
      <c r="U333" s="46"/>
    </row>
    <row r="334" ht="15.75" customHeight="1">
      <c r="U334" s="46"/>
    </row>
    <row r="335" ht="15.75" customHeight="1">
      <c r="U335" s="46"/>
    </row>
    <row r="336" ht="15.75" customHeight="1">
      <c r="U336" s="46"/>
    </row>
    <row r="337" ht="15.75" customHeight="1">
      <c r="U337" s="46"/>
    </row>
    <row r="338" ht="15.75" customHeight="1">
      <c r="U338" s="46"/>
    </row>
    <row r="339" ht="15.75" customHeight="1">
      <c r="U339" s="46"/>
    </row>
    <row r="340" ht="15.75" customHeight="1">
      <c r="U340" s="46"/>
    </row>
    <row r="341" ht="15.75" customHeight="1">
      <c r="U341" s="46"/>
    </row>
    <row r="342" ht="15.75" customHeight="1">
      <c r="U342" s="46"/>
    </row>
    <row r="343" ht="15.75" customHeight="1">
      <c r="U343" s="46"/>
    </row>
    <row r="344" ht="15.75" customHeight="1">
      <c r="U344" s="46"/>
    </row>
    <row r="345" ht="15.75" customHeight="1">
      <c r="U345" s="46"/>
    </row>
    <row r="346" ht="15.75" customHeight="1">
      <c r="U346" s="46"/>
    </row>
    <row r="347" ht="15.75" customHeight="1">
      <c r="U347" s="46"/>
    </row>
    <row r="348" ht="15.75" customHeight="1">
      <c r="U348" s="46"/>
    </row>
    <row r="349" ht="15.75" customHeight="1">
      <c r="U349" s="46"/>
    </row>
    <row r="350" ht="15.75" customHeight="1">
      <c r="U350" s="46"/>
    </row>
    <row r="351" ht="15.75" customHeight="1">
      <c r="U351" s="46"/>
    </row>
    <row r="352" ht="15.75" customHeight="1">
      <c r="U352" s="46"/>
    </row>
    <row r="353" ht="15.75" customHeight="1">
      <c r="U353" s="46"/>
    </row>
    <row r="354" ht="15.75" customHeight="1">
      <c r="U354" s="46"/>
    </row>
    <row r="355" ht="15.75" customHeight="1">
      <c r="U355" s="46"/>
    </row>
    <row r="356" ht="15.75" customHeight="1">
      <c r="U356" s="46"/>
    </row>
    <row r="357" ht="15.75" customHeight="1">
      <c r="U357" s="46"/>
    </row>
    <row r="358" ht="15.75" customHeight="1">
      <c r="U358" s="46"/>
    </row>
    <row r="359" ht="15.75" customHeight="1">
      <c r="U359" s="46"/>
    </row>
    <row r="360" ht="15.75" customHeight="1">
      <c r="U360" s="46"/>
    </row>
    <row r="361" ht="15.75" customHeight="1">
      <c r="U361" s="46"/>
    </row>
    <row r="362" ht="15.75" customHeight="1">
      <c r="U362" s="46"/>
    </row>
    <row r="363" ht="15.75" customHeight="1">
      <c r="U363" s="46"/>
    </row>
    <row r="364" ht="15.75" customHeight="1">
      <c r="U364" s="46"/>
    </row>
    <row r="365" ht="15.75" customHeight="1">
      <c r="U365" s="46"/>
    </row>
    <row r="366" ht="15.75" customHeight="1">
      <c r="U366" s="46"/>
    </row>
    <row r="367" ht="15.75" customHeight="1">
      <c r="U367" s="46"/>
    </row>
    <row r="368" ht="15.75" customHeight="1">
      <c r="U368" s="46"/>
    </row>
    <row r="369" ht="15.75" customHeight="1">
      <c r="U369" s="46"/>
    </row>
    <row r="370" ht="15.75" customHeight="1">
      <c r="U370" s="46"/>
    </row>
    <row r="371" ht="15.75" customHeight="1">
      <c r="U371" s="46"/>
    </row>
    <row r="372" ht="15.75" customHeight="1">
      <c r="U372" s="46"/>
    </row>
    <row r="373" ht="15.75" customHeight="1">
      <c r="U373" s="46"/>
    </row>
    <row r="374" ht="15.75" customHeight="1">
      <c r="U374" s="46"/>
    </row>
    <row r="375" ht="15.75" customHeight="1">
      <c r="U375" s="46"/>
    </row>
    <row r="376" ht="15.75" customHeight="1">
      <c r="U376" s="46"/>
    </row>
    <row r="377" ht="15.75" customHeight="1">
      <c r="U377" s="46"/>
    </row>
    <row r="378" ht="15.75" customHeight="1">
      <c r="U378" s="46"/>
    </row>
    <row r="379" ht="15.75" customHeight="1">
      <c r="U379" s="46"/>
    </row>
    <row r="380" ht="15.75" customHeight="1">
      <c r="U380" s="46"/>
    </row>
    <row r="381" ht="15.75" customHeight="1">
      <c r="U381" s="46"/>
    </row>
    <row r="382" ht="15.75" customHeight="1">
      <c r="U382" s="46"/>
    </row>
    <row r="383" ht="15.75" customHeight="1">
      <c r="U383" s="46"/>
    </row>
    <row r="384" ht="15.75" customHeight="1">
      <c r="U384" s="46"/>
    </row>
    <row r="385" ht="15.75" customHeight="1">
      <c r="U385" s="46"/>
    </row>
    <row r="386" ht="15.75" customHeight="1">
      <c r="U386" s="46"/>
    </row>
    <row r="387" ht="15.75" customHeight="1">
      <c r="U387" s="46"/>
    </row>
    <row r="388" ht="15.75" customHeight="1">
      <c r="U388" s="46"/>
    </row>
    <row r="389" ht="15.75" customHeight="1">
      <c r="U389" s="46"/>
    </row>
    <row r="390" ht="15.75" customHeight="1">
      <c r="U390" s="46"/>
    </row>
    <row r="391" ht="15.75" customHeight="1">
      <c r="U391" s="46"/>
    </row>
    <row r="392" ht="15.75" customHeight="1">
      <c r="U392" s="46"/>
    </row>
    <row r="393" ht="15.75" customHeight="1">
      <c r="U393" s="46"/>
    </row>
    <row r="394" ht="15.75" customHeight="1">
      <c r="U394" s="46"/>
    </row>
    <row r="395" ht="15.75" customHeight="1">
      <c r="U395" s="46"/>
    </row>
    <row r="396" ht="15.75" customHeight="1">
      <c r="U396" s="46"/>
    </row>
    <row r="397" ht="15.75" customHeight="1">
      <c r="U397" s="46"/>
    </row>
    <row r="398" ht="15.75" customHeight="1">
      <c r="U398" s="46"/>
    </row>
    <row r="399" ht="15.75" customHeight="1">
      <c r="U399" s="46"/>
    </row>
    <row r="400" ht="15.75" customHeight="1">
      <c r="U400" s="46"/>
    </row>
    <row r="401" ht="15.75" customHeight="1">
      <c r="U401" s="46"/>
    </row>
    <row r="402" ht="15.75" customHeight="1">
      <c r="U402" s="46"/>
    </row>
    <row r="403" ht="15.75" customHeight="1">
      <c r="U403" s="46"/>
    </row>
    <row r="404" ht="15.75" customHeight="1">
      <c r="U404" s="46"/>
    </row>
    <row r="405" ht="15.75" customHeight="1">
      <c r="U405" s="46"/>
    </row>
    <row r="406" ht="15.75" customHeight="1">
      <c r="U406" s="46"/>
    </row>
    <row r="407" ht="15.75" customHeight="1">
      <c r="U407" s="46"/>
    </row>
    <row r="408" ht="15.75" customHeight="1">
      <c r="U408" s="46"/>
    </row>
    <row r="409" ht="15.75" customHeight="1">
      <c r="U409" s="46"/>
    </row>
    <row r="410" ht="15.75" customHeight="1">
      <c r="U410" s="46"/>
    </row>
    <row r="411" ht="15.75" customHeight="1">
      <c r="U411" s="46"/>
    </row>
    <row r="412" ht="15.75" customHeight="1">
      <c r="U412" s="46"/>
    </row>
    <row r="413" ht="15.75" customHeight="1">
      <c r="U413" s="46"/>
    </row>
    <row r="414" ht="15.75" customHeight="1">
      <c r="U414" s="46"/>
    </row>
    <row r="415" ht="15.75" customHeight="1">
      <c r="U415" s="46"/>
    </row>
    <row r="416" ht="15.75" customHeight="1">
      <c r="U416" s="46"/>
    </row>
    <row r="417" ht="15.75" customHeight="1">
      <c r="U417" s="46"/>
    </row>
    <row r="418" ht="15.75" customHeight="1">
      <c r="U418" s="46"/>
    </row>
    <row r="419" ht="15.75" customHeight="1">
      <c r="U419" s="46"/>
    </row>
    <row r="420" ht="15.75" customHeight="1">
      <c r="U420" s="46"/>
    </row>
    <row r="421" ht="15.75" customHeight="1">
      <c r="U421" s="46"/>
    </row>
    <row r="422" ht="15.75" customHeight="1">
      <c r="U422" s="46"/>
    </row>
    <row r="423" ht="15.75" customHeight="1">
      <c r="U423" s="46"/>
    </row>
    <row r="424" ht="15.75" customHeight="1">
      <c r="U424" s="46"/>
    </row>
    <row r="425" ht="15.75" customHeight="1">
      <c r="U425" s="46"/>
    </row>
    <row r="426" ht="15.75" customHeight="1">
      <c r="U426" s="46"/>
    </row>
    <row r="427" ht="15.75" customHeight="1">
      <c r="U427" s="46"/>
    </row>
    <row r="428" ht="15.75" customHeight="1">
      <c r="U428" s="46"/>
    </row>
    <row r="429" ht="15.75" customHeight="1">
      <c r="U429" s="46"/>
    </row>
    <row r="430" ht="15.75" customHeight="1">
      <c r="U430" s="46"/>
    </row>
    <row r="431" ht="15.75" customHeight="1">
      <c r="U431" s="46"/>
    </row>
    <row r="432" ht="15.75" customHeight="1">
      <c r="U432" s="46"/>
    </row>
    <row r="433" ht="15.75" customHeight="1">
      <c r="U433" s="46"/>
    </row>
    <row r="434" ht="15.75" customHeight="1">
      <c r="U434" s="46"/>
    </row>
    <row r="435" ht="15.75" customHeight="1">
      <c r="U435" s="46"/>
    </row>
    <row r="436" ht="15.75" customHeight="1">
      <c r="U436" s="46"/>
    </row>
    <row r="437" ht="15.75" customHeight="1">
      <c r="U437" s="46"/>
    </row>
    <row r="438" ht="15.75" customHeight="1">
      <c r="U438" s="46"/>
    </row>
    <row r="439" ht="15.75" customHeight="1">
      <c r="U439" s="46"/>
    </row>
    <row r="440" ht="15.75" customHeight="1">
      <c r="U440" s="46"/>
    </row>
    <row r="441" ht="15.75" customHeight="1">
      <c r="U441" s="46"/>
    </row>
    <row r="442" ht="15.75" customHeight="1">
      <c r="U442" s="46"/>
    </row>
    <row r="443" ht="15.75" customHeight="1">
      <c r="U443" s="46"/>
    </row>
    <row r="444" ht="15.75" customHeight="1">
      <c r="U444" s="46"/>
    </row>
    <row r="445" ht="15.75" customHeight="1">
      <c r="U445" s="46"/>
    </row>
    <row r="446" ht="15.75" customHeight="1">
      <c r="U446" s="46"/>
    </row>
    <row r="447" ht="15.75" customHeight="1">
      <c r="U447" s="46"/>
    </row>
    <row r="448" ht="15.75" customHeight="1">
      <c r="U448" s="46"/>
    </row>
    <row r="449" ht="15.75" customHeight="1">
      <c r="U449" s="46"/>
    </row>
    <row r="450" ht="15.75" customHeight="1">
      <c r="U450" s="46"/>
    </row>
    <row r="451" ht="15.75" customHeight="1">
      <c r="U451" s="46"/>
    </row>
    <row r="452" ht="15.75" customHeight="1">
      <c r="U452" s="46"/>
    </row>
    <row r="453" ht="15.75" customHeight="1">
      <c r="U453" s="46"/>
    </row>
    <row r="454" ht="15.75" customHeight="1">
      <c r="U454" s="46"/>
    </row>
    <row r="455" ht="15.75" customHeight="1">
      <c r="U455" s="46"/>
    </row>
    <row r="456" ht="15.75" customHeight="1">
      <c r="U456" s="46"/>
    </row>
    <row r="457" ht="15.75" customHeight="1">
      <c r="U457" s="46"/>
    </row>
    <row r="458" ht="15.75" customHeight="1">
      <c r="U458" s="46"/>
    </row>
    <row r="459" ht="15.75" customHeight="1">
      <c r="U459" s="46"/>
    </row>
    <row r="460" ht="15.75" customHeight="1">
      <c r="U460" s="46"/>
    </row>
    <row r="461" ht="15.75" customHeight="1">
      <c r="U461" s="46"/>
    </row>
    <row r="462" ht="15.75" customHeight="1">
      <c r="U462" s="46"/>
    </row>
    <row r="463" ht="15.75" customHeight="1">
      <c r="U463" s="46"/>
    </row>
    <row r="464" ht="15.75" customHeight="1">
      <c r="U464" s="46"/>
    </row>
    <row r="465" ht="15.75" customHeight="1">
      <c r="U465" s="46"/>
    </row>
    <row r="466" ht="15.75" customHeight="1">
      <c r="U466" s="46"/>
    </row>
    <row r="467" ht="15.75" customHeight="1">
      <c r="U467" s="46"/>
    </row>
    <row r="468" ht="15.75" customHeight="1">
      <c r="U468" s="46"/>
    </row>
    <row r="469" ht="15.75" customHeight="1">
      <c r="U469" s="46"/>
    </row>
    <row r="470" ht="15.75" customHeight="1">
      <c r="U470" s="46"/>
    </row>
    <row r="471" ht="15.75" customHeight="1">
      <c r="U471" s="46"/>
    </row>
    <row r="472" ht="15.75" customHeight="1">
      <c r="U472" s="46"/>
    </row>
    <row r="473" ht="15.75" customHeight="1">
      <c r="U473" s="46"/>
    </row>
    <row r="474" ht="15.75" customHeight="1">
      <c r="U474" s="46"/>
    </row>
    <row r="475" ht="15.75" customHeight="1">
      <c r="U475" s="46"/>
    </row>
    <row r="476" ht="15.75" customHeight="1">
      <c r="U476" s="46"/>
    </row>
    <row r="477" ht="15.75" customHeight="1">
      <c r="U477" s="46"/>
    </row>
    <row r="478" ht="15.75" customHeight="1">
      <c r="U478" s="46"/>
    </row>
    <row r="479" ht="15.75" customHeight="1">
      <c r="U479" s="46"/>
    </row>
    <row r="480" ht="15.75" customHeight="1">
      <c r="U480" s="46"/>
    </row>
    <row r="481" ht="15.75" customHeight="1">
      <c r="U481" s="46"/>
    </row>
    <row r="482" ht="15.75" customHeight="1">
      <c r="U482" s="46"/>
    </row>
    <row r="483" ht="15.75" customHeight="1">
      <c r="U483" s="46"/>
    </row>
    <row r="484" ht="15.75" customHeight="1">
      <c r="U484" s="46"/>
    </row>
    <row r="485" ht="15.75" customHeight="1">
      <c r="U485" s="46"/>
    </row>
    <row r="486" ht="15.75" customHeight="1">
      <c r="U486" s="46"/>
    </row>
    <row r="487" ht="15.75" customHeight="1">
      <c r="U487" s="46"/>
    </row>
    <row r="488" ht="15.75" customHeight="1">
      <c r="U488" s="46"/>
    </row>
    <row r="489" ht="15.75" customHeight="1">
      <c r="U489" s="46"/>
    </row>
    <row r="490" ht="15.75" customHeight="1">
      <c r="U490" s="46"/>
    </row>
    <row r="491" ht="15.75" customHeight="1">
      <c r="U491" s="46"/>
    </row>
    <row r="492" ht="15.75" customHeight="1">
      <c r="U492" s="46"/>
    </row>
    <row r="493" ht="15.75" customHeight="1">
      <c r="U493" s="46"/>
    </row>
    <row r="494" ht="15.75" customHeight="1">
      <c r="U494" s="46"/>
    </row>
    <row r="495" ht="15.75" customHeight="1">
      <c r="U495" s="46"/>
    </row>
    <row r="496" ht="15.75" customHeight="1">
      <c r="U496" s="46"/>
    </row>
    <row r="497" ht="15.75" customHeight="1">
      <c r="U497" s="46"/>
    </row>
    <row r="498" ht="15.75" customHeight="1">
      <c r="U498" s="46"/>
    </row>
    <row r="499" ht="15.75" customHeight="1">
      <c r="U499" s="46"/>
    </row>
    <row r="500" ht="15.75" customHeight="1">
      <c r="U500" s="46"/>
    </row>
    <row r="501" ht="15.75" customHeight="1">
      <c r="U501" s="46"/>
    </row>
    <row r="502" ht="15.75" customHeight="1">
      <c r="U502" s="46"/>
    </row>
    <row r="503" ht="15.75" customHeight="1">
      <c r="U503" s="46"/>
    </row>
    <row r="504" ht="15.75" customHeight="1">
      <c r="U504" s="46"/>
    </row>
    <row r="505" ht="15.75" customHeight="1">
      <c r="U505" s="46"/>
    </row>
    <row r="506" ht="15.75" customHeight="1">
      <c r="U506" s="46"/>
    </row>
    <row r="507" ht="15.75" customHeight="1">
      <c r="U507" s="46"/>
    </row>
    <row r="508" ht="15.75" customHeight="1">
      <c r="U508" s="46"/>
    </row>
    <row r="509" ht="15.75" customHeight="1">
      <c r="U509" s="46"/>
    </row>
    <row r="510" ht="15.75" customHeight="1">
      <c r="U510" s="46"/>
    </row>
    <row r="511" ht="15.75" customHeight="1">
      <c r="U511" s="46"/>
    </row>
    <row r="512" ht="15.75" customHeight="1">
      <c r="U512" s="46"/>
    </row>
    <row r="513" ht="15.75" customHeight="1">
      <c r="U513" s="46"/>
    </row>
    <row r="514" ht="15.75" customHeight="1">
      <c r="U514" s="46"/>
    </row>
    <row r="515" ht="15.75" customHeight="1">
      <c r="U515" s="46"/>
    </row>
    <row r="516" ht="15.75" customHeight="1">
      <c r="U516" s="46"/>
    </row>
    <row r="517" ht="15.75" customHeight="1">
      <c r="U517" s="46"/>
    </row>
    <row r="518" ht="15.75" customHeight="1">
      <c r="U518" s="46"/>
    </row>
    <row r="519" ht="15.75" customHeight="1">
      <c r="U519" s="46"/>
    </row>
    <row r="520" ht="15.75" customHeight="1">
      <c r="U520" s="46"/>
    </row>
    <row r="521" ht="15.75" customHeight="1">
      <c r="U521" s="46"/>
    </row>
    <row r="522" ht="15.75" customHeight="1">
      <c r="U522" s="46"/>
    </row>
    <row r="523" ht="15.75" customHeight="1">
      <c r="U523" s="46"/>
    </row>
    <row r="524" ht="15.75" customHeight="1">
      <c r="U524" s="46"/>
    </row>
    <row r="525" ht="15.75" customHeight="1">
      <c r="U525" s="46"/>
    </row>
    <row r="526" ht="15.75" customHeight="1">
      <c r="U526" s="46"/>
    </row>
    <row r="527" ht="15.75" customHeight="1">
      <c r="U527" s="46"/>
    </row>
    <row r="528" ht="15.75" customHeight="1">
      <c r="U528" s="46"/>
    </row>
    <row r="529" ht="15.75" customHeight="1">
      <c r="U529" s="46"/>
    </row>
    <row r="530" ht="15.75" customHeight="1">
      <c r="U530" s="46"/>
    </row>
    <row r="531" ht="15.75" customHeight="1">
      <c r="U531" s="46"/>
    </row>
    <row r="532" ht="15.75" customHeight="1">
      <c r="U532" s="46"/>
    </row>
    <row r="533" ht="15.75" customHeight="1">
      <c r="U533" s="46"/>
    </row>
    <row r="534" ht="15.75" customHeight="1">
      <c r="U534" s="46"/>
    </row>
    <row r="535" ht="15.75" customHeight="1">
      <c r="U535" s="46"/>
    </row>
    <row r="536" ht="15.75" customHeight="1">
      <c r="U536" s="46"/>
    </row>
    <row r="537" ht="15.75" customHeight="1">
      <c r="U537" s="46"/>
    </row>
    <row r="538" ht="15.75" customHeight="1">
      <c r="U538" s="46"/>
    </row>
    <row r="539" ht="15.75" customHeight="1">
      <c r="U539" s="46"/>
    </row>
    <row r="540" ht="15.75" customHeight="1">
      <c r="U540" s="46"/>
    </row>
    <row r="541" ht="15.75" customHeight="1">
      <c r="U541" s="46"/>
    </row>
    <row r="542" ht="15.75" customHeight="1">
      <c r="U542" s="46"/>
    </row>
    <row r="543" ht="15.75" customHeight="1">
      <c r="U543" s="46"/>
    </row>
    <row r="544" ht="15.75" customHeight="1">
      <c r="U544" s="46"/>
    </row>
    <row r="545" ht="15.75" customHeight="1">
      <c r="U545" s="46"/>
    </row>
    <row r="546" ht="15.75" customHeight="1">
      <c r="U546" s="46"/>
    </row>
    <row r="547" ht="15.75" customHeight="1">
      <c r="U547" s="46"/>
    </row>
    <row r="548" ht="15.75" customHeight="1">
      <c r="U548" s="46"/>
    </row>
    <row r="549" ht="15.75" customHeight="1">
      <c r="U549" s="46"/>
    </row>
    <row r="550" ht="15.75" customHeight="1">
      <c r="U550" s="46"/>
    </row>
    <row r="551" ht="15.75" customHeight="1">
      <c r="U551" s="46"/>
    </row>
    <row r="552" ht="15.75" customHeight="1">
      <c r="U552" s="46"/>
    </row>
    <row r="553" ht="15.75" customHeight="1">
      <c r="U553" s="46"/>
    </row>
    <row r="554" ht="15.75" customHeight="1">
      <c r="U554" s="46"/>
    </row>
    <row r="555" ht="15.75" customHeight="1">
      <c r="U555" s="46"/>
    </row>
    <row r="556" ht="15.75" customHeight="1">
      <c r="U556" s="46"/>
    </row>
    <row r="557" ht="15.75" customHeight="1">
      <c r="U557" s="46"/>
    </row>
    <row r="558" ht="15.75" customHeight="1">
      <c r="U558" s="46"/>
    </row>
    <row r="559" ht="15.75" customHeight="1">
      <c r="U559" s="46"/>
    </row>
    <row r="560" ht="15.75" customHeight="1">
      <c r="U560" s="46"/>
    </row>
    <row r="561" ht="15.75" customHeight="1">
      <c r="U561" s="46"/>
    </row>
    <row r="562" ht="15.75" customHeight="1">
      <c r="U562" s="46"/>
    </row>
    <row r="563" ht="15.75" customHeight="1">
      <c r="U563" s="46"/>
    </row>
    <row r="564" ht="15.75" customHeight="1">
      <c r="U564" s="46"/>
    </row>
    <row r="565" ht="15.75" customHeight="1">
      <c r="U565" s="46"/>
    </row>
    <row r="566" ht="15.75" customHeight="1">
      <c r="U566" s="46"/>
    </row>
    <row r="567" ht="15.75" customHeight="1">
      <c r="U567" s="46"/>
    </row>
    <row r="568" ht="15.75" customHeight="1">
      <c r="U568" s="46"/>
    </row>
    <row r="569" ht="15.75" customHeight="1">
      <c r="U569" s="46"/>
    </row>
    <row r="570" ht="15.75" customHeight="1">
      <c r="U570" s="46"/>
    </row>
    <row r="571" ht="15.75" customHeight="1">
      <c r="U571" s="46"/>
    </row>
    <row r="572" ht="15.75" customHeight="1">
      <c r="U572" s="46"/>
    </row>
    <row r="573" ht="15.75" customHeight="1">
      <c r="U573" s="46"/>
    </row>
    <row r="574" ht="15.75" customHeight="1">
      <c r="U574" s="46"/>
    </row>
    <row r="575" ht="15.75" customHeight="1">
      <c r="U575" s="46"/>
    </row>
    <row r="576" ht="15.75" customHeight="1">
      <c r="U576" s="46"/>
    </row>
    <row r="577" ht="15.75" customHeight="1">
      <c r="U577" s="46"/>
    </row>
    <row r="578" ht="15.75" customHeight="1">
      <c r="U578" s="46"/>
    </row>
    <row r="579" ht="15.75" customHeight="1">
      <c r="U579" s="46"/>
    </row>
    <row r="580" ht="15.75" customHeight="1">
      <c r="U580" s="46"/>
    </row>
    <row r="581" ht="15.75" customHeight="1">
      <c r="U581" s="46"/>
    </row>
    <row r="582" ht="15.75" customHeight="1">
      <c r="U582" s="46"/>
    </row>
    <row r="583" ht="15.75" customHeight="1">
      <c r="U583" s="46"/>
    </row>
    <row r="584" ht="15.75" customHeight="1">
      <c r="U584" s="46"/>
    </row>
    <row r="585" ht="15.75" customHeight="1">
      <c r="U585" s="46"/>
    </row>
    <row r="586" ht="15.75" customHeight="1">
      <c r="U586" s="46"/>
    </row>
    <row r="587" ht="15.75" customHeight="1">
      <c r="U587" s="46"/>
    </row>
    <row r="588" ht="15.75" customHeight="1">
      <c r="U588" s="46"/>
    </row>
    <row r="589" ht="15.75" customHeight="1">
      <c r="U589" s="46"/>
    </row>
    <row r="590" ht="15.75" customHeight="1">
      <c r="U590" s="46"/>
    </row>
    <row r="591" ht="15.75" customHeight="1">
      <c r="U591" s="46"/>
    </row>
    <row r="592" ht="15.75" customHeight="1">
      <c r="U592" s="46"/>
    </row>
    <row r="593" ht="15.75" customHeight="1">
      <c r="U593" s="46"/>
    </row>
    <row r="594" ht="15.75" customHeight="1">
      <c r="U594" s="46"/>
    </row>
    <row r="595" ht="15.75" customHeight="1">
      <c r="U595" s="46"/>
    </row>
    <row r="596" ht="15.75" customHeight="1">
      <c r="U596" s="46"/>
    </row>
    <row r="597" ht="15.75" customHeight="1">
      <c r="U597" s="46"/>
    </row>
    <row r="598" ht="15.75" customHeight="1">
      <c r="U598" s="46"/>
    </row>
    <row r="599" ht="15.75" customHeight="1">
      <c r="U599" s="46"/>
    </row>
    <row r="600" ht="15.75" customHeight="1">
      <c r="U600" s="46"/>
    </row>
    <row r="601" ht="15.75" customHeight="1">
      <c r="U601" s="46"/>
    </row>
    <row r="602" ht="15.75" customHeight="1">
      <c r="U602" s="46"/>
    </row>
    <row r="603" ht="15.75" customHeight="1">
      <c r="U603" s="46"/>
    </row>
    <row r="604" ht="15.75" customHeight="1">
      <c r="U604" s="46"/>
    </row>
    <row r="605" ht="15.75" customHeight="1">
      <c r="U605" s="46"/>
    </row>
    <row r="606" ht="15.75" customHeight="1">
      <c r="U606" s="46"/>
    </row>
    <row r="607" ht="15.75" customHeight="1">
      <c r="U607" s="46"/>
    </row>
    <row r="608" ht="15.75" customHeight="1">
      <c r="U608" s="46"/>
    </row>
    <row r="609" ht="15.75" customHeight="1">
      <c r="U609" s="46"/>
    </row>
    <row r="610" ht="15.75" customHeight="1">
      <c r="U610" s="46"/>
    </row>
    <row r="611" ht="15.75" customHeight="1">
      <c r="U611" s="46"/>
    </row>
    <row r="612" ht="15.75" customHeight="1">
      <c r="U612" s="46"/>
    </row>
    <row r="613" ht="15.75" customHeight="1">
      <c r="U613" s="46"/>
    </row>
    <row r="614" ht="15.75" customHeight="1">
      <c r="U614" s="46"/>
    </row>
    <row r="615" ht="15.75" customHeight="1">
      <c r="U615" s="46"/>
    </row>
    <row r="616" ht="15.75" customHeight="1">
      <c r="U616" s="46"/>
    </row>
    <row r="617" ht="15.75" customHeight="1">
      <c r="U617" s="46"/>
    </row>
    <row r="618" ht="15.75" customHeight="1">
      <c r="U618" s="46"/>
    </row>
    <row r="619" ht="15.75" customHeight="1">
      <c r="U619" s="46"/>
    </row>
    <row r="620" ht="15.75" customHeight="1">
      <c r="U620" s="46"/>
    </row>
    <row r="621" ht="15.75" customHeight="1">
      <c r="U621" s="46"/>
    </row>
    <row r="622" ht="15.75" customHeight="1">
      <c r="U622" s="46"/>
    </row>
    <row r="623" ht="15.75" customHeight="1">
      <c r="U623" s="46"/>
    </row>
    <row r="624" ht="15.75" customHeight="1">
      <c r="U624" s="46"/>
    </row>
    <row r="625" ht="15.75" customHeight="1">
      <c r="U625" s="46"/>
    </row>
    <row r="626" ht="15.75" customHeight="1">
      <c r="U626" s="46"/>
    </row>
    <row r="627" ht="15.75" customHeight="1">
      <c r="U627" s="46"/>
    </row>
    <row r="628" ht="15.75" customHeight="1">
      <c r="U628" s="46"/>
    </row>
    <row r="629" ht="15.75" customHeight="1">
      <c r="U629" s="46"/>
    </row>
    <row r="630" ht="15.75" customHeight="1">
      <c r="U630" s="46"/>
    </row>
    <row r="631" ht="15.75" customHeight="1">
      <c r="U631" s="46"/>
    </row>
    <row r="632" ht="15.75" customHeight="1">
      <c r="U632" s="46"/>
    </row>
    <row r="633" ht="15.75" customHeight="1">
      <c r="U633" s="46"/>
    </row>
    <row r="634" ht="15.75" customHeight="1">
      <c r="U634" s="46"/>
    </row>
    <row r="635" ht="15.75" customHeight="1">
      <c r="U635" s="46"/>
    </row>
    <row r="636" ht="15.75" customHeight="1">
      <c r="U636" s="46"/>
    </row>
    <row r="637" ht="15.75" customHeight="1">
      <c r="U637" s="46"/>
    </row>
    <row r="638" ht="15.75" customHeight="1">
      <c r="U638" s="46"/>
    </row>
    <row r="639" ht="15.75" customHeight="1">
      <c r="U639" s="46"/>
    </row>
    <row r="640" ht="15.75" customHeight="1">
      <c r="U640" s="46"/>
    </row>
    <row r="641" ht="15.75" customHeight="1">
      <c r="U641" s="46"/>
    </row>
    <row r="642" ht="15.75" customHeight="1">
      <c r="U642" s="46"/>
    </row>
    <row r="643" ht="15.75" customHeight="1">
      <c r="U643" s="46"/>
    </row>
    <row r="644" ht="15.75" customHeight="1">
      <c r="U644" s="46"/>
    </row>
    <row r="645" ht="15.75" customHeight="1">
      <c r="U645" s="46"/>
    </row>
    <row r="646" ht="15.75" customHeight="1">
      <c r="U646" s="46"/>
    </row>
    <row r="647" ht="15.75" customHeight="1">
      <c r="U647" s="46"/>
    </row>
    <row r="648" ht="15.75" customHeight="1">
      <c r="U648" s="46"/>
    </row>
    <row r="649" ht="15.75" customHeight="1">
      <c r="U649" s="46"/>
    </row>
    <row r="650" ht="15.75" customHeight="1">
      <c r="U650" s="46"/>
    </row>
    <row r="651" ht="15.75" customHeight="1">
      <c r="U651" s="46"/>
    </row>
    <row r="652" ht="15.75" customHeight="1">
      <c r="U652" s="46"/>
    </row>
    <row r="653" ht="15.75" customHeight="1">
      <c r="U653" s="46"/>
    </row>
    <row r="654" ht="15.75" customHeight="1">
      <c r="U654" s="46"/>
    </row>
    <row r="655" ht="15.75" customHeight="1">
      <c r="U655" s="46"/>
    </row>
    <row r="656" ht="15.75" customHeight="1">
      <c r="U656" s="46"/>
    </row>
    <row r="657" ht="15.75" customHeight="1">
      <c r="U657" s="46"/>
    </row>
    <row r="658" ht="15.75" customHeight="1">
      <c r="U658" s="46"/>
    </row>
    <row r="659" ht="15.75" customHeight="1">
      <c r="U659" s="46"/>
    </row>
    <row r="660" ht="15.75" customHeight="1">
      <c r="U660" s="46"/>
    </row>
    <row r="661" ht="15.75" customHeight="1">
      <c r="U661" s="46"/>
    </row>
    <row r="662" ht="15.75" customHeight="1">
      <c r="U662" s="46"/>
    </row>
    <row r="663" ht="15.75" customHeight="1">
      <c r="U663" s="46"/>
    </row>
    <row r="664" ht="15.75" customHeight="1">
      <c r="U664" s="46"/>
    </row>
    <row r="665" ht="15.75" customHeight="1">
      <c r="U665" s="46"/>
    </row>
    <row r="666" ht="15.75" customHeight="1">
      <c r="U666" s="46"/>
    </row>
    <row r="667" ht="15.75" customHeight="1">
      <c r="U667" s="46"/>
    </row>
    <row r="668" ht="15.75" customHeight="1">
      <c r="U668" s="46"/>
    </row>
    <row r="669" ht="15.75" customHeight="1">
      <c r="U669" s="46"/>
    </row>
    <row r="670" ht="15.75" customHeight="1">
      <c r="U670" s="46"/>
    </row>
    <row r="671" ht="15.75" customHeight="1">
      <c r="U671" s="46"/>
    </row>
    <row r="672" ht="15.75" customHeight="1">
      <c r="U672" s="46"/>
    </row>
    <row r="673" ht="15.75" customHeight="1">
      <c r="U673" s="46"/>
    </row>
    <row r="674" ht="15.75" customHeight="1">
      <c r="U674" s="46"/>
    </row>
    <row r="675" ht="15.75" customHeight="1">
      <c r="U675" s="46"/>
    </row>
    <row r="676" ht="15.75" customHeight="1">
      <c r="U676" s="46"/>
    </row>
    <row r="677" ht="15.75" customHeight="1">
      <c r="U677" s="46"/>
    </row>
    <row r="678" ht="15.75" customHeight="1">
      <c r="U678" s="46"/>
    </row>
    <row r="679" ht="15.75" customHeight="1">
      <c r="U679" s="46"/>
    </row>
    <row r="680" ht="15.75" customHeight="1">
      <c r="U680" s="46"/>
    </row>
    <row r="681" ht="15.75" customHeight="1">
      <c r="U681" s="46"/>
    </row>
    <row r="682" ht="15.75" customHeight="1">
      <c r="U682" s="46"/>
    </row>
    <row r="683" ht="15.75" customHeight="1">
      <c r="U683" s="46"/>
    </row>
    <row r="684" ht="15.75" customHeight="1">
      <c r="U684" s="46"/>
    </row>
    <row r="685" ht="15.75" customHeight="1">
      <c r="U685" s="46"/>
    </row>
    <row r="686" ht="15.75" customHeight="1">
      <c r="U686" s="46"/>
    </row>
    <row r="687" ht="15.75" customHeight="1">
      <c r="U687" s="46"/>
    </row>
    <row r="688" ht="15.75" customHeight="1">
      <c r="U688" s="46"/>
    </row>
    <row r="689" ht="15.75" customHeight="1">
      <c r="U689" s="46"/>
    </row>
    <row r="690" ht="15.75" customHeight="1">
      <c r="U690" s="46"/>
    </row>
    <row r="691" ht="15.75" customHeight="1">
      <c r="U691" s="46"/>
    </row>
    <row r="692" ht="15.75" customHeight="1">
      <c r="U692" s="46"/>
    </row>
    <row r="693" ht="15.75" customHeight="1">
      <c r="U693" s="46"/>
    </row>
    <row r="694" ht="15.75" customHeight="1">
      <c r="U694" s="46"/>
    </row>
    <row r="695" ht="15.75" customHeight="1">
      <c r="U695" s="46"/>
    </row>
    <row r="696" ht="15.75" customHeight="1">
      <c r="U696" s="46"/>
    </row>
    <row r="697" ht="15.75" customHeight="1">
      <c r="U697" s="46"/>
    </row>
    <row r="698" ht="15.75" customHeight="1">
      <c r="U698" s="46"/>
    </row>
    <row r="699" ht="15.75" customHeight="1">
      <c r="U699" s="46"/>
    </row>
    <row r="700" ht="15.75" customHeight="1">
      <c r="U700" s="46"/>
    </row>
    <row r="701" ht="15.75" customHeight="1">
      <c r="U701" s="46"/>
    </row>
    <row r="702" ht="15.75" customHeight="1">
      <c r="U702" s="46"/>
    </row>
    <row r="703" ht="15.75" customHeight="1">
      <c r="U703" s="46"/>
    </row>
    <row r="704" ht="15.75" customHeight="1">
      <c r="U704" s="46"/>
    </row>
    <row r="705" ht="15.75" customHeight="1">
      <c r="U705" s="46"/>
    </row>
    <row r="706" ht="15.75" customHeight="1">
      <c r="U706" s="46"/>
    </row>
    <row r="707" ht="15.75" customHeight="1">
      <c r="U707" s="46"/>
    </row>
    <row r="708" ht="15.75" customHeight="1">
      <c r="U708" s="46"/>
    </row>
    <row r="709" ht="15.75" customHeight="1">
      <c r="U709" s="46"/>
    </row>
    <row r="710" ht="15.75" customHeight="1">
      <c r="U710" s="46"/>
    </row>
    <row r="711" ht="15.75" customHeight="1">
      <c r="U711" s="46"/>
    </row>
    <row r="712" ht="15.75" customHeight="1">
      <c r="U712" s="46"/>
    </row>
    <row r="713" ht="15.75" customHeight="1">
      <c r="U713" s="46"/>
    </row>
    <row r="714" ht="15.75" customHeight="1">
      <c r="U714" s="46"/>
    </row>
    <row r="715" ht="15.75" customHeight="1">
      <c r="U715" s="46"/>
    </row>
    <row r="716" ht="15.75" customHeight="1">
      <c r="U716" s="46"/>
    </row>
    <row r="717" ht="15.75" customHeight="1">
      <c r="U717" s="46"/>
    </row>
    <row r="718" ht="15.75" customHeight="1">
      <c r="U718" s="46"/>
    </row>
    <row r="719" ht="15.75" customHeight="1">
      <c r="U719" s="46"/>
    </row>
    <row r="720" ht="15.75" customHeight="1">
      <c r="U720" s="46"/>
    </row>
    <row r="721" ht="15.75" customHeight="1">
      <c r="U721" s="46"/>
    </row>
    <row r="722" ht="15.75" customHeight="1">
      <c r="U722" s="46"/>
    </row>
    <row r="723" ht="15.75" customHeight="1">
      <c r="U723" s="46"/>
    </row>
    <row r="724" ht="15.75" customHeight="1">
      <c r="U724" s="46"/>
    </row>
    <row r="725" ht="15.75" customHeight="1">
      <c r="U725" s="46"/>
    </row>
    <row r="726" ht="15.75" customHeight="1">
      <c r="U726" s="46"/>
    </row>
    <row r="727" ht="15.75" customHeight="1">
      <c r="U727" s="46"/>
    </row>
    <row r="728" ht="15.75" customHeight="1">
      <c r="U728" s="46"/>
    </row>
    <row r="729" ht="15.75" customHeight="1">
      <c r="U729" s="46"/>
    </row>
    <row r="730" ht="15.75" customHeight="1">
      <c r="U730" s="46"/>
    </row>
    <row r="731" ht="15.75" customHeight="1">
      <c r="U731" s="46"/>
    </row>
    <row r="732" ht="15.75" customHeight="1">
      <c r="U732" s="46"/>
    </row>
    <row r="733" ht="15.75" customHeight="1">
      <c r="U733" s="46"/>
    </row>
    <row r="734" ht="15.75" customHeight="1">
      <c r="U734" s="46"/>
    </row>
    <row r="735" ht="15.75" customHeight="1">
      <c r="U735" s="46"/>
    </row>
    <row r="736" ht="15.75" customHeight="1">
      <c r="U736" s="46"/>
    </row>
    <row r="737" ht="15.75" customHeight="1">
      <c r="U737" s="46"/>
    </row>
    <row r="738" ht="15.75" customHeight="1">
      <c r="U738" s="46"/>
    </row>
    <row r="739" ht="15.75" customHeight="1">
      <c r="U739" s="46"/>
    </row>
    <row r="740" ht="15.75" customHeight="1">
      <c r="U740" s="46"/>
    </row>
    <row r="741" ht="15.75" customHeight="1">
      <c r="U741" s="46"/>
    </row>
    <row r="742" ht="15.75" customHeight="1">
      <c r="U742" s="46"/>
    </row>
    <row r="743" ht="15.75" customHeight="1">
      <c r="U743" s="46"/>
    </row>
    <row r="744" ht="15.75" customHeight="1">
      <c r="U744" s="46"/>
    </row>
    <row r="745" ht="15.75" customHeight="1">
      <c r="U745" s="46"/>
    </row>
    <row r="746" ht="15.75" customHeight="1">
      <c r="U746" s="46"/>
    </row>
    <row r="747" ht="15.75" customHeight="1">
      <c r="U747" s="46"/>
    </row>
    <row r="748" ht="15.75" customHeight="1">
      <c r="U748" s="46"/>
    </row>
    <row r="749" ht="15.75" customHeight="1">
      <c r="U749" s="46"/>
    </row>
    <row r="750" ht="15.75" customHeight="1">
      <c r="U750" s="46"/>
    </row>
    <row r="751" ht="15.75" customHeight="1">
      <c r="U751" s="46"/>
    </row>
    <row r="752" ht="15.75" customHeight="1">
      <c r="U752" s="46"/>
    </row>
    <row r="753" ht="15.75" customHeight="1">
      <c r="U753" s="46"/>
    </row>
    <row r="754" ht="15.75" customHeight="1">
      <c r="U754" s="46"/>
    </row>
    <row r="755" ht="15.75" customHeight="1">
      <c r="U755" s="46"/>
    </row>
    <row r="756" ht="15.75" customHeight="1">
      <c r="U756" s="46"/>
    </row>
    <row r="757" ht="15.75" customHeight="1">
      <c r="U757" s="46"/>
    </row>
    <row r="758" ht="15.75" customHeight="1">
      <c r="U758" s="46"/>
    </row>
    <row r="759" ht="15.75" customHeight="1">
      <c r="U759" s="46"/>
    </row>
    <row r="760" ht="15.75" customHeight="1">
      <c r="U760" s="46"/>
    </row>
    <row r="761" ht="15.75" customHeight="1">
      <c r="U761" s="46"/>
    </row>
    <row r="762" ht="15.75" customHeight="1">
      <c r="U762" s="46"/>
    </row>
    <row r="763" ht="15.75" customHeight="1">
      <c r="U763" s="46"/>
    </row>
    <row r="764" ht="15.75" customHeight="1">
      <c r="U764" s="46"/>
    </row>
    <row r="765" ht="15.75" customHeight="1">
      <c r="U765" s="46"/>
    </row>
    <row r="766" ht="15.75" customHeight="1">
      <c r="U766" s="46"/>
    </row>
    <row r="767" ht="15.75" customHeight="1">
      <c r="U767" s="46"/>
    </row>
    <row r="768" ht="15.75" customHeight="1">
      <c r="U768" s="46"/>
    </row>
    <row r="769" ht="15.75" customHeight="1">
      <c r="U769" s="46"/>
    </row>
    <row r="770" ht="15.75" customHeight="1">
      <c r="U770" s="46"/>
    </row>
    <row r="771" ht="15.75" customHeight="1">
      <c r="U771" s="46"/>
    </row>
    <row r="772" ht="15.75" customHeight="1">
      <c r="U772" s="46"/>
    </row>
    <row r="773" ht="15.75" customHeight="1">
      <c r="U773" s="46"/>
    </row>
    <row r="774" ht="15.75" customHeight="1">
      <c r="U774" s="46"/>
    </row>
    <row r="775" ht="15.75" customHeight="1">
      <c r="U775" s="46"/>
    </row>
    <row r="776" ht="15.75" customHeight="1">
      <c r="U776" s="46"/>
    </row>
    <row r="777" ht="15.75" customHeight="1">
      <c r="U777" s="46"/>
    </row>
    <row r="778" ht="15.75" customHeight="1">
      <c r="U778" s="46"/>
    </row>
    <row r="779" ht="15.75" customHeight="1">
      <c r="U779" s="46"/>
    </row>
    <row r="780" ht="15.75" customHeight="1">
      <c r="U780" s="46"/>
    </row>
    <row r="781" ht="15.75" customHeight="1">
      <c r="U781" s="46"/>
    </row>
    <row r="782" ht="15.75" customHeight="1">
      <c r="U782" s="46"/>
    </row>
    <row r="783" ht="15.75" customHeight="1">
      <c r="U783" s="46"/>
    </row>
    <row r="784" ht="15.75" customHeight="1">
      <c r="U784" s="46"/>
    </row>
    <row r="785" ht="15.75" customHeight="1">
      <c r="U785" s="46"/>
    </row>
    <row r="786" ht="15.75" customHeight="1">
      <c r="U786" s="46"/>
    </row>
    <row r="787" ht="15.75" customHeight="1">
      <c r="U787" s="46"/>
    </row>
    <row r="788" ht="15.75" customHeight="1">
      <c r="U788" s="46"/>
    </row>
    <row r="789" ht="15.75" customHeight="1">
      <c r="U789" s="46"/>
    </row>
    <row r="790" ht="15.75" customHeight="1">
      <c r="U790" s="46"/>
    </row>
    <row r="791" ht="15.75" customHeight="1">
      <c r="U791" s="46"/>
    </row>
    <row r="792" ht="15.75" customHeight="1">
      <c r="U792" s="46"/>
    </row>
    <row r="793" ht="15.75" customHeight="1">
      <c r="U793" s="46"/>
    </row>
    <row r="794" ht="15.75" customHeight="1">
      <c r="U794" s="46"/>
    </row>
    <row r="795" ht="15.75" customHeight="1">
      <c r="U795" s="46"/>
    </row>
    <row r="796" ht="15.75" customHeight="1">
      <c r="U796" s="46"/>
    </row>
    <row r="797" ht="15.75" customHeight="1">
      <c r="U797" s="46"/>
    </row>
    <row r="798" ht="15.75" customHeight="1">
      <c r="U798" s="46"/>
    </row>
    <row r="799" ht="15.75" customHeight="1">
      <c r="U799" s="46"/>
    </row>
    <row r="800" ht="15.75" customHeight="1">
      <c r="U800" s="46"/>
    </row>
    <row r="801" ht="15.75" customHeight="1">
      <c r="U801" s="46"/>
    </row>
    <row r="802" ht="15.75" customHeight="1">
      <c r="U802" s="46"/>
    </row>
    <row r="803" ht="15.75" customHeight="1">
      <c r="U803" s="46"/>
    </row>
    <row r="804" ht="15.75" customHeight="1">
      <c r="U804" s="46"/>
    </row>
    <row r="805" ht="15.75" customHeight="1">
      <c r="U805" s="46"/>
    </row>
    <row r="806" ht="15.75" customHeight="1">
      <c r="U806" s="46"/>
    </row>
    <row r="807" ht="15.75" customHeight="1">
      <c r="U807" s="46"/>
    </row>
    <row r="808" ht="15.75" customHeight="1">
      <c r="U808" s="46"/>
    </row>
    <row r="809" ht="15.75" customHeight="1">
      <c r="U809" s="46"/>
    </row>
    <row r="810" ht="15.75" customHeight="1">
      <c r="U810" s="46"/>
    </row>
    <row r="811" ht="15.75" customHeight="1">
      <c r="U811" s="46"/>
    </row>
    <row r="812" ht="15.75" customHeight="1">
      <c r="U812" s="46"/>
    </row>
    <row r="813" ht="15.75" customHeight="1">
      <c r="U813" s="46"/>
    </row>
    <row r="814" ht="15.75" customHeight="1">
      <c r="U814" s="46"/>
    </row>
    <row r="815" ht="15.75" customHeight="1">
      <c r="U815" s="46"/>
    </row>
    <row r="816" ht="15.75" customHeight="1">
      <c r="U816" s="46"/>
    </row>
    <row r="817" ht="15.75" customHeight="1">
      <c r="U817" s="46"/>
    </row>
    <row r="818" ht="15.75" customHeight="1">
      <c r="U818" s="46"/>
    </row>
    <row r="819" ht="15.75" customHeight="1">
      <c r="U819" s="46"/>
    </row>
    <row r="820" ht="15.75" customHeight="1">
      <c r="U820" s="46"/>
    </row>
    <row r="821" ht="15.75" customHeight="1">
      <c r="U821" s="46"/>
    </row>
    <row r="822" ht="15.75" customHeight="1">
      <c r="U822" s="46"/>
    </row>
    <row r="823" ht="15.75" customHeight="1">
      <c r="U823" s="46"/>
    </row>
    <row r="824" ht="15.75" customHeight="1">
      <c r="U824" s="46"/>
    </row>
    <row r="825" ht="15.75" customHeight="1">
      <c r="U825" s="46"/>
    </row>
    <row r="826" ht="15.75" customHeight="1">
      <c r="U826" s="46"/>
    </row>
    <row r="827" ht="15.75" customHeight="1">
      <c r="U827" s="46"/>
    </row>
    <row r="828" ht="15.75" customHeight="1">
      <c r="U828" s="46"/>
    </row>
    <row r="829" ht="15.75" customHeight="1">
      <c r="U829" s="46"/>
    </row>
    <row r="830" ht="15.75" customHeight="1">
      <c r="U830" s="46"/>
    </row>
    <row r="831" ht="15.75" customHeight="1">
      <c r="U831" s="46"/>
    </row>
    <row r="832" ht="15.75" customHeight="1">
      <c r="U832" s="46"/>
    </row>
    <row r="833" ht="15.75" customHeight="1">
      <c r="U833" s="46"/>
    </row>
    <row r="834" ht="15.75" customHeight="1">
      <c r="U834" s="46"/>
    </row>
    <row r="835" ht="15.75" customHeight="1">
      <c r="U835" s="46"/>
    </row>
    <row r="836" ht="15.75" customHeight="1">
      <c r="U836" s="46"/>
    </row>
    <row r="837" ht="15.75" customHeight="1">
      <c r="U837" s="46"/>
    </row>
    <row r="838" ht="15.75" customHeight="1">
      <c r="U838" s="46"/>
    </row>
    <row r="839" ht="15.75" customHeight="1">
      <c r="U839" s="46"/>
    </row>
    <row r="840" ht="15.75" customHeight="1">
      <c r="U840" s="46"/>
    </row>
    <row r="841" ht="15.75" customHeight="1">
      <c r="U841" s="46"/>
    </row>
    <row r="842" ht="15.75" customHeight="1">
      <c r="U842" s="46"/>
    </row>
    <row r="843" ht="15.75" customHeight="1">
      <c r="U843" s="46"/>
    </row>
    <row r="844" ht="15.75" customHeight="1">
      <c r="U844" s="46"/>
    </row>
    <row r="845" ht="15.75" customHeight="1">
      <c r="U845" s="46"/>
    </row>
    <row r="846" ht="15.75" customHeight="1">
      <c r="U846" s="46"/>
    </row>
    <row r="847" ht="15.75" customHeight="1">
      <c r="U847" s="46"/>
    </row>
    <row r="848" ht="15.75" customHeight="1">
      <c r="U848" s="46"/>
    </row>
    <row r="849" ht="15.75" customHeight="1">
      <c r="U849" s="46"/>
    </row>
    <row r="850" ht="15.75" customHeight="1">
      <c r="U850" s="46"/>
    </row>
    <row r="851" ht="15.75" customHeight="1">
      <c r="U851" s="46"/>
    </row>
    <row r="852" ht="15.75" customHeight="1">
      <c r="U852" s="46"/>
    </row>
    <row r="853" ht="15.75" customHeight="1">
      <c r="U853" s="46"/>
    </row>
    <row r="854" ht="15.75" customHeight="1">
      <c r="U854" s="46"/>
    </row>
    <row r="855" ht="15.75" customHeight="1">
      <c r="U855" s="46"/>
    </row>
    <row r="856" ht="15.75" customHeight="1">
      <c r="U856" s="46"/>
    </row>
    <row r="857" ht="15.75" customHeight="1">
      <c r="U857" s="46"/>
    </row>
    <row r="858" ht="15.75" customHeight="1">
      <c r="U858" s="46"/>
    </row>
    <row r="859" ht="15.75" customHeight="1">
      <c r="U859" s="46"/>
    </row>
    <row r="860" ht="15.75" customHeight="1">
      <c r="U860" s="46"/>
    </row>
    <row r="861" ht="15.75" customHeight="1">
      <c r="U861" s="46"/>
    </row>
    <row r="862" ht="15.75" customHeight="1">
      <c r="U862" s="46"/>
    </row>
    <row r="863" ht="15.75" customHeight="1">
      <c r="U863" s="46"/>
    </row>
    <row r="864" ht="15.75" customHeight="1">
      <c r="U864" s="46"/>
    </row>
    <row r="865" ht="15.75" customHeight="1">
      <c r="U865" s="46"/>
    </row>
    <row r="866" ht="15.75" customHeight="1">
      <c r="U866" s="46"/>
    </row>
    <row r="867" ht="15.75" customHeight="1">
      <c r="U867" s="46"/>
    </row>
    <row r="868" ht="15.75" customHeight="1">
      <c r="U868" s="46"/>
    </row>
    <row r="869" ht="15.75" customHeight="1">
      <c r="U869" s="46"/>
    </row>
    <row r="870" ht="15.75" customHeight="1">
      <c r="U870" s="46"/>
    </row>
    <row r="871" ht="15.75" customHeight="1">
      <c r="U871" s="46"/>
    </row>
    <row r="872" ht="15.75" customHeight="1">
      <c r="U872" s="46"/>
    </row>
    <row r="873" ht="15.75" customHeight="1">
      <c r="U873" s="46"/>
    </row>
    <row r="874" ht="15.75" customHeight="1">
      <c r="U874" s="46"/>
    </row>
    <row r="875" ht="15.75" customHeight="1">
      <c r="U875" s="46"/>
    </row>
    <row r="876" ht="15.75" customHeight="1">
      <c r="U876" s="46"/>
    </row>
    <row r="877" ht="15.75" customHeight="1">
      <c r="U877" s="46"/>
    </row>
    <row r="878" ht="15.75" customHeight="1">
      <c r="U878" s="46"/>
    </row>
    <row r="879" ht="15.75" customHeight="1">
      <c r="U879" s="46"/>
    </row>
    <row r="880" ht="15.75" customHeight="1">
      <c r="U880" s="46"/>
    </row>
    <row r="881" ht="15.75" customHeight="1">
      <c r="U881" s="46"/>
    </row>
    <row r="882" ht="15.75" customHeight="1">
      <c r="U882" s="46"/>
    </row>
    <row r="883" ht="15.75" customHeight="1">
      <c r="U883" s="46"/>
    </row>
    <row r="884" ht="15.75" customHeight="1">
      <c r="U884" s="46"/>
    </row>
    <row r="885" ht="15.75" customHeight="1">
      <c r="U885" s="46"/>
    </row>
    <row r="886" ht="15.75" customHeight="1">
      <c r="U886" s="46"/>
    </row>
    <row r="887" ht="15.75" customHeight="1">
      <c r="U887" s="46"/>
    </row>
    <row r="888" ht="15.75" customHeight="1">
      <c r="U888" s="46"/>
    </row>
    <row r="889" ht="15.75" customHeight="1">
      <c r="U889" s="46"/>
    </row>
    <row r="890" ht="15.75" customHeight="1">
      <c r="U890" s="46"/>
    </row>
    <row r="891" ht="15.75" customHeight="1">
      <c r="U891" s="46"/>
    </row>
    <row r="892" ht="15.75" customHeight="1">
      <c r="U892" s="46"/>
    </row>
    <row r="893" ht="15.75" customHeight="1">
      <c r="U893" s="46"/>
    </row>
    <row r="894" ht="15.75" customHeight="1">
      <c r="U894" s="46"/>
    </row>
    <row r="895" ht="15.75" customHeight="1">
      <c r="U895" s="46"/>
    </row>
    <row r="896" ht="15.75" customHeight="1">
      <c r="U896" s="46"/>
    </row>
    <row r="897" ht="15.75" customHeight="1">
      <c r="U897" s="46"/>
    </row>
    <row r="898" ht="15.75" customHeight="1">
      <c r="U898" s="46"/>
    </row>
    <row r="899" ht="15.75" customHeight="1">
      <c r="U899" s="46"/>
    </row>
    <row r="900" ht="15.75" customHeight="1">
      <c r="U900" s="46"/>
    </row>
    <row r="901" ht="15.75" customHeight="1">
      <c r="U901" s="46"/>
    </row>
    <row r="902" ht="15.75" customHeight="1">
      <c r="U902" s="46"/>
    </row>
    <row r="903" ht="15.75" customHeight="1">
      <c r="U903" s="46"/>
    </row>
    <row r="904" ht="15.75" customHeight="1">
      <c r="U904" s="46"/>
    </row>
    <row r="905" ht="15.75" customHeight="1">
      <c r="U905" s="46"/>
    </row>
    <row r="906" ht="15.75" customHeight="1">
      <c r="U906" s="46"/>
    </row>
    <row r="907" ht="15.75" customHeight="1">
      <c r="U907" s="46"/>
    </row>
    <row r="908" ht="15.75" customHeight="1">
      <c r="U908" s="46"/>
    </row>
    <row r="909" ht="15.75" customHeight="1">
      <c r="U909" s="46"/>
    </row>
    <row r="910" ht="15.75" customHeight="1">
      <c r="U910" s="46"/>
    </row>
    <row r="911" ht="15.75" customHeight="1">
      <c r="U911" s="46"/>
    </row>
    <row r="912" ht="15.75" customHeight="1">
      <c r="U912" s="46"/>
    </row>
    <row r="913" ht="15.75" customHeight="1">
      <c r="U913" s="46"/>
    </row>
    <row r="914" ht="15.75" customHeight="1">
      <c r="U914" s="46"/>
    </row>
    <row r="915" ht="15.75" customHeight="1">
      <c r="U915" s="46"/>
    </row>
    <row r="916" ht="15.75" customHeight="1">
      <c r="U916" s="46"/>
    </row>
    <row r="917" ht="15.75" customHeight="1">
      <c r="U917" s="46"/>
    </row>
    <row r="918" ht="15.75" customHeight="1">
      <c r="U918" s="46"/>
    </row>
    <row r="919" ht="15.75" customHeight="1">
      <c r="U919" s="46"/>
    </row>
    <row r="920" ht="15.75" customHeight="1">
      <c r="U920" s="46"/>
    </row>
    <row r="921" ht="15.75" customHeight="1">
      <c r="U921" s="46"/>
    </row>
    <row r="922" ht="15.75" customHeight="1">
      <c r="U922" s="46"/>
    </row>
    <row r="923" ht="15.75" customHeight="1">
      <c r="U923" s="46"/>
    </row>
    <row r="924" ht="15.75" customHeight="1">
      <c r="U924" s="46"/>
    </row>
    <row r="925" ht="15.75" customHeight="1">
      <c r="U925" s="46"/>
    </row>
    <row r="926" ht="15.75" customHeight="1">
      <c r="U926" s="46"/>
    </row>
    <row r="927" ht="15.75" customHeight="1">
      <c r="U927" s="46"/>
    </row>
    <row r="928" ht="15.75" customHeight="1">
      <c r="U928" s="46"/>
    </row>
    <row r="929" ht="15.75" customHeight="1">
      <c r="U929" s="46"/>
    </row>
    <row r="930" ht="15.75" customHeight="1">
      <c r="U930" s="46"/>
    </row>
    <row r="931" ht="15.75" customHeight="1">
      <c r="U931" s="46"/>
    </row>
    <row r="932" ht="15.75" customHeight="1">
      <c r="U932" s="46"/>
    </row>
    <row r="933" ht="15.75" customHeight="1">
      <c r="U933" s="46"/>
    </row>
    <row r="934" ht="15.75" customHeight="1">
      <c r="U934" s="46"/>
    </row>
    <row r="935" ht="15.75" customHeight="1">
      <c r="U935" s="46"/>
    </row>
    <row r="936" ht="15.75" customHeight="1">
      <c r="U936" s="46"/>
    </row>
    <row r="937" ht="15.75" customHeight="1">
      <c r="U937" s="46"/>
    </row>
    <row r="938" ht="15.75" customHeight="1">
      <c r="U938" s="46"/>
    </row>
    <row r="939" ht="15.75" customHeight="1">
      <c r="U939" s="46"/>
    </row>
    <row r="940" ht="15.75" customHeight="1">
      <c r="U940" s="46"/>
    </row>
    <row r="941" ht="15.75" customHeight="1">
      <c r="U941" s="46"/>
    </row>
    <row r="942" ht="15.75" customHeight="1">
      <c r="U942" s="46"/>
    </row>
    <row r="943" ht="15.75" customHeight="1">
      <c r="U943" s="46"/>
    </row>
    <row r="944" ht="15.75" customHeight="1">
      <c r="U944" s="46"/>
    </row>
    <row r="945" ht="15.75" customHeight="1">
      <c r="U945" s="46"/>
    </row>
    <row r="946" ht="15.75" customHeight="1">
      <c r="U946" s="46"/>
    </row>
    <row r="947" ht="15.75" customHeight="1">
      <c r="U947" s="46"/>
    </row>
    <row r="948" ht="15.75" customHeight="1">
      <c r="U948" s="46"/>
    </row>
    <row r="949" ht="15.75" customHeight="1">
      <c r="U949" s="46"/>
    </row>
    <row r="950" ht="15.75" customHeight="1">
      <c r="U950" s="46"/>
    </row>
    <row r="951" ht="15.75" customHeight="1">
      <c r="U951" s="46"/>
    </row>
    <row r="952" ht="15.75" customHeight="1">
      <c r="U952" s="46"/>
    </row>
    <row r="953" ht="15.75" customHeight="1">
      <c r="U953" s="46"/>
    </row>
    <row r="954" ht="15.75" customHeight="1">
      <c r="U954" s="46"/>
    </row>
    <row r="955" ht="15.75" customHeight="1">
      <c r="U955" s="46"/>
    </row>
    <row r="956" ht="15.75" customHeight="1">
      <c r="U956" s="46"/>
    </row>
    <row r="957" ht="15.75" customHeight="1">
      <c r="U957" s="46"/>
    </row>
    <row r="958" ht="15.75" customHeight="1">
      <c r="U958" s="46"/>
    </row>
    <row r="959" ht="15.75" customHeight="1">
      <c r="U959" s="46"/>
    </row>
    <row r="960" ht="15.75" customHeight="1">
      <c r="U960" s="46"/>
    </row>
    <row r="961" ht="15.75" customHeight="1">
      <c r="U961" s="46"/>
    </row>
    <row r="962" ht="15.75" customHeight="1">
      <c r="U962" s="46"/>
    </row>
    <row r="963" ht="15.75" customHeight="1">
      <c r="U963" s="46"/>
    </row>
    <row r="964" ht="15.75" customHeight="1">
      <c r="U964" s="46"/>
    </row>
    <row r="965" ht="15.75" customHeight="1">
      <c r="U965" s="46"/>
    </row>
    <row r="966" ht="15.75" customHeight="1">
      <c r="U966" s="46"/>
    </row>
    <row r="967" ht="15.75" customHeight="1">
      <c r="U967" s="46"/>
    </row>
    <row r="968" ht="15.75" customHeight="1">
      <c r="U968" s="46"/>
    </row>
    <row r="969" ht="15.75" customHeight="1">
      <c r="U969" s="46"/>
    </row>
    <row r="970" ht="15.75" customHeight="1">
      <c r="U970" s="46"/>
    </row>
    <row r="971" ht="15.75" customHeight="1">
      <c r="U971" s="46"/>
    </row>
    <row r="972" ht="15.75" customHeight="1">
      <c r="U972" s="46"/>
    </row>
    <row r="973" ht="15.75" customHeight="1">
      <c r="U973" s="46"/>
    </row>
    <row r="974" ht="15.75" customHeight="1">
      <c r="U974" s="46"/>
    </row>
    <row r="975" ht="15.75" customHeight="1">
      <c r="U975" s="46"/>
    </row>
    <row r="976" ht="15.75" customHeight="1">
      <c r="U976" s="46"/>
    </row>
    <row r="977" ht="15.75" customHeight="1">
      <c r="U977" s="46"/>
    </row>
    <row r="978" ht="15.75" customHeight="1">
      <c r="U978" s="46"/>
    </row>
    <row r="979" ht="15.75" customHeight="1">
      <c r="U979" s="46"/>
    </row>
    <row r="980" ht="15.75" customHeight="1">
      <c r="U980" s="46"/>
    </row>
    <row r="981" ht="15.75" customHeight="1">
      <c r="U981" s="46"/>
    </row>
    <row r="982" ht="15.75" customHeight="1">
      <c r="U982" s="46"/>
    </row>
    <row r="983" ht="15.75" customHeight="1">
      <c r="U983" s="46"/>
    </row>
    <row r="984" ht="15.75" customHeight="1">
      <c r="U984" s="46"/>
    </row>
    <row r="985" ht="15.75" customHeight="1">
      <c r="U985" s="46"/>
    </row>
    <row r="986" ht="15.75" customHeight="1">
      <c r="U986" s="46"/>
    </row>
    <row r="987" ht="15.75" customHeight="1">
      <c r="U987" s="46"/>
    </row>
    <row r="988" ht="15.75" customHeight="1">
      <c r="U988" s="46"/>
    </row>
    <row r="989" ht="15.75" customHeight="1">
      <c r="U989" s="46"/>
    </row>
    <row r="990" ht="15.75" customHeight="1">
      <c r="U990" s="46"/>
    </row>
    <row r="991" ht="15.75" customHeight="1">
      <c r="U991" s="46"/>
    </row>
    <row r="992" ht="15.75" customHeight="1">
      <c r="U992" s="46"/>
    </row>
    <row r="993" ht="15.75" customHeight="1">
      <c r="U993" s="46"/>
    </row>
    <row r="994" ht="15.75" customHeight="1">
      <c r="U994" s="46"/>
    </row>
    <row r="995" ht="15.75" customHeight="1">
      <c r="U995" s="46"/>
    </row>
    <row r="996" ht="15.75" customHeight="1">
      <c r="U996" s="46"/>
    </row>
    <row r="997" ht="15.75" customHeight="1">
      <c r="U997" s="46"/>
    </row>
    <row r="998" ht="15.75" customHeight="1">
      <c r="U998" s="46"/>
    </row>
    <row r="999" ht="15.75" customHeight="1">
      <c r="U999" s="46"/>
    </row>
    <row r="1000" ht="15.75" customHeight="1">
      <c r="U1000" s="46"/>
    </row>
  </sheetData>
  <autoFilter ref="$A$1:$X$80">
    <sortState ref="A1:X80">
      <sortCondition ref="N1:N80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2025-08-24T00:47:57Z</dcterms:created>
  <dc:creator>Mutual of Omaha - IS IFS Distribution Support - Cameron Gaines</dc:creator>
</cp:coreProperties>
</file>