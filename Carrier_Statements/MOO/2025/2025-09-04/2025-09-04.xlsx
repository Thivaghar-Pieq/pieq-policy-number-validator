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9-4-25\"/>
    </mc:Choice>
  </mc:AlternateContent>
  <xr:revisionPtr revIDLastSave="0" documentId="13_ncr:1_{A33C1367-FF7F-4C34-9042-987BEBFC9ED1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  <sheet name="Sheet1" sheetId="4" r:id="rId4"/>
  </sheets>
  <definedNames>
    <definedName name="_xlnm._FilterDatabase" localSheetId="2" hidden="1">'clean sheet'!$A$1:$W$143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9" i="3"/>
  <c r="K10" i="3"/>
  <c r="K2" i="3"/>
  <c r="L10" i="3"/>
  <c r="L9" i="3"/>
  <c r="L7" i="3"/>
  <c r="L3" i="3"/>
  <c r="L4" i="3"/>
  <c r="L5" i="3"/>
  <c r="L6" i="3"/>
  <c r="L2" i="3"/>
  <c r="T87" i="3"/>
  <c r="T89" i="3"/>
  <c r="T86" i="3"/>
  <c r="T126" i="3"/>
  <c r="T22" i="3"/>
  <c r="T83" i="3"/>
  <c r="T39" i="3"/>
  <c r="T50" i="3"/>
  <c r="T40" i="3"/>
  <c r="T121" i="3"/>
  <c r="T69" i="3"/>
  <c r="T11" i="3"/>
  <c r="T10" i="3"/>
  <c r="T26" i="3"/>
  <c r="T9" i="3"/>
  <c r="T3" i="3"/>
  <c r="T142" i="3"/>
  <c r="T14" i="3"/>
  <c r="T12" i="3"/>
  <c r="T13" i="3"/>
  <c r="T6" i="3"/>
  <c r="T7" i="3"/>
  <c r="T8" i="3"/>
  <c r="T4" i="3"/>
  <c r="T2" i="3"/>
  <c r="T19" i="3"/>
  <c r="T5" i="3"/>
  <c r="T128" i="3"/>
  <c r="T21" i="3"/>
  <c r="T130" i="3"/>
  <c r="T125" i="3"/>
  <c r="T122" i="3"/>
  <c r="T127" i="3"/>
  <c r="T124" i="3"/>
  <c r="T133" i="3"/>
  <c r="T131" i="3"/>
  <c r="T132" i="3"/>
  <c r="T134" i="3"/>
  <c r="T105" i="3"/>
  <c r="T123" i="3"/>
  <c r="T138" i="3"/>
  <c r="T43" i="3"/>
  <c r="T137" i="3"/>
  <c r="T96" i="3"/>
  <c r="T97" i="3"/>
  <c r="T98" i="3"/>
  <c r="T81" i="3"/>
  <c r="T109" i="3"/>
  <c r="T141" i="3"/>
  <c r="T30" i="3"/>
  <c r="T82" i="3"/>
  <c r="T120" i="3"/>
  <c r="T139" i="3"/>
  <c r="T140" i="3"/>
  <c r="T16" i="3"/>
  <c r="T129" i="3"/>
  <c r="T115" i="3"/>
  <c r="T56" i="3"/>
  <c r="T51" i="3"/>
  <c r="T90" i="3"/>
  <c r="T23" i="3"/>
  <c r="T34" i="3"/>
  <c r="T35" i="3"/>
  <c r="T37" i="3"/>
  <c r="T15" i="3"/>
  <c r="T66" i="3"/>
  <c r="T85" i="3"/>
  <c r="T112" i="3"/>
  <c r="T113" i="3"/>
  <c r="T110" i="3"/>
  <c r="T101" i="3"/>
  <c r="T102" i="3"/>
  <c r="T100" i="3"/>
  <c r="T32" i="3"/>
  <c r="T36" i="3"/>
  <c r="T38" i="3"/>
  <c r="T46" i="3"/>
  <c r="T45" i="3"/>
  <c r="T47" i="3"/>
  <c r="T65" i="3"/>
  <c r="T74" i="3"/>
  <c r="T75" i="3"/>
  <c r="T76" i="3"/>
  <c r="T108" i="3"/>
  <c r="T27" i="3"/>
  <c r="T29" i="3"/>
  <c r="T28" i="3"/>
  <c r="T41" i="3"/>
  <c r="T42" i="3"/>
  <c r="T59" i="3"/>
  <c r="T61" i="3"/>
  <c r="T62" i="3"/>
  <c r="T63" i="3"/>
  <c r="T60" i="3"/>
  <c r="T53" i="3"/>
  <c r="T55" i="3"/>
  <c r="T77" i="3"/>
  <c r="T78" i="3"/>
  <c r="T93" i="3"/>
  <c r="T68" i="3"/>
  <c r="T79" i="3"/>
  <c r="T99" i="3"/>
  <c r="T64" i="3"/>
  <c r="T33" i="3"/>
  <c r="T111" i="3"/>
  <c r="T57" i="3"/>
  <c r="T92" i="3"/>
  <c r="T91" i="3"/>
  <c r="T52" i="3"/>
  <c r="T58" i="3"/>
  <c r="T54" i="3"/>
  <c r="T31" i="3"/>
  <c r="T49" i="3"/>
  <c r="T106" i="3"/>
  <c r="T136" i="3"/>
  <c r="T104" i="3"/>
  <c r="T94" i="3"/>
  <c r="T119" i="3"/>
  <c r="T70" i="3"/>
  <c r="T135" i="3"/>
  <c r="T118" i="3"/>
  <c r="T44" i="3"/>
  <c r="T114" i="3"/>
  <c r="T20" i="3"/>
  <c r="T95" i="3"/>
  <c r="T107" i="3"/>
  <c r="T80" i="3"/>
  <c r="T25" i="3"/>
  <c r="T48" i="3"/>
  <c r="T84" i="3"/>
  <c r="T116" i="3"/>
  <c r="T117" i="3"/>
  <c r="T24" i="3"/>
  <c r="T103" i="3"/>
  <c r="T73" i="3"/>
  <c r="T71" i="3"/>
  <c r="T72" i="3"/>
  <c r="T67" i="3"/>
  <c r="T143" i="3"/>
  <c r="T17" i="3"/>
  <c r="T18" i="3"/>
  <c r="T88" i="3"/>
</calcChain>
</file>

<file path=xl/sharedStrings.xml><?xml version="1.0" encoding="utf-8"?>
<sst xmlns="http://schemas.openxmlformats.org/spreadsheetml/2006/main" count="5065" uniqueCount="814">
  <si>
    <t>MUTUAL OF OMAHA</t>
  </si>
  <si>
    <t>SUMMARY COMPENSATION STATEMENT</t>
  </si>
  <si>
    <t>For Period Ending 09/02/2025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</si>
  <si>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</si>
  <si>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</si>
  <si>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</si>
  <si>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</si>
  <si>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</si>
  <si>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</si>
  <si>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</si>
  <si>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</si>
  <si>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</si>
  <si>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</si>
  <si>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</si>
  <si>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</si>
  <si>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</si>
  <si>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</si>
  <si>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</si>
  <si>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</si>
  <si>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</si>
  <si>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</si>
  <si>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</si>
  <si>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</si>
  <si>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</si>
  <si>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</si>
  <si>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</si>
  <si>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</si>
  <si>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</si>
  <si>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</si>
  <si>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</si>
  <si>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</si>
  <si>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</si>
  <si>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</si>
  <si>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</si>
  <si>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</si>
  <si>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</si>
  <si>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</si>
  <si>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</si>
  <si>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</si>
  <si>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</si>
  <si>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</si>
  <si>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</si>
  <si>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</si>
  <si>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</si>
  <si>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</si>
  <si>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</si>
  <si>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</si>
  <si>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</si>
  <si>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</si>
  <si>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1174646</t>
  </si>
  <si>
    <t>569267-97</t>
  </si>
  <si>
    <t>BHASKAR SUNIL</t>
  </si>
  <si>
    <t>IL</t>
  </si>
  <si>
    <t>09/02/2025</t>
  </si>
  <si>
    <t>NM24HL</t>
  </si>
  <si>
    <t>01/03/2025</t>
  </si>
  <si>
    <t>10/03/2025</t>
  </si>
  <si>
    <t/>
  </si>
  <si>
    <t>M</t>
  </si>
  <si>
    <t>BSP</t>
  </si>
  <si>
    <t>001</t>
  </si>
  <si>
    <t>F</t>
  </si>
  <si>
    <t>BFY PAYMENT</t>
  </si>
  <si>
    <t>100.0%</t>
  </si>
  <si>
    <t>494640-97</t>
  </si>
  <si>
    <t>MORRISON JANICE</t>
  </si>
  <si>
    <t>01/01/2025</t>
  </si>
  <si>
    <t>10/01/2025</t>
  </si>
  <si>
    <t>494592-97</t>
  </si>
  <si>
    <t>MORRISON DAVID</t>
  </si>
  <si>
    <t>480530-97</t>
  </si>
  <si>
    <t>SOLEM KENNETH</t>
  </si>
  <si>
    <t>OMAHA SUPP</t>
  </si>
  <si>
    <t>0815390</t>
  </si>
  <si>
    <t>931240-96</t>
  </si>
  <si>
    <t>FALZONE WENDY</t>
  </si>
  <si>
    <t>OH</t>
  </si>
  <si>
    <t>SM24L</t>
  </si>
  <si>
    <t>05/01/2024</t>
  </si>
  <si>
    <t>R</t>
  </si>
  <si>
    <t>RENEWAL PYMT</t>
  </si>
  <si>
    <t>0893387</t>
  </si>
  <si>
    <t>672702-97</t>
  </si>
  <si>
    <t>LUTTMER KATHLEEN</t>
  </si>
  <si>
    <t>06/01/2025</t>
  </si>
  <si>
    <t>548688-97</t>
  </si>
  <si>
    <t>WAGNER JOHN</t>
  </si>
  <si>
    <t>642060-97</t>
  </si>
  <si>
    <t>COLLINS JIM</t>
  </si>
  <si>
    <t>08/28/2025</t>
  </si>
  <si>
    <t>04/01/2025</t>
  </si>
  <si>
    <t>09/01/2025</t>
  </si>
  <si>
    <t>630114-97</t>
  </si>
  <si>
    <t>KATH ANITA</t>
  </si>
  <si>
    <t>03/01/2025</t>
  </si>
  <si>
    <t>655858-97</t>
  </si>
  <si>
    <t>KINGDON RANDALL</t>
  </si>
  <si>
    <t>957939-96</t>
  </si>
  <si>
    <t>BIORDI JR JOHN</t>
  </si>
  <si>
    <t>08/27/2025</t>
  </si>
  <si>
    <t>06/01/2024</t>
  </si>
  <si>
    <t>0513364</t>
  </si>
  <si>
    <t>557317-97</t>
  </si>
  <si>
    <t>RCOM LUONG</t>
  </si>
  <si>
    <t>HEARTLAND FINANCIAL GROUP LLC</t>
  </si>
  <si>
    <t>835037-97</t>
  </si>
  <si>
    <t>MARTIN DENISE</t>
  </si>
  <si>
    <t>NM35HL</t>
  </si>
  <si>
    <t>11/01/2025</t>
  </si>
  <si>
    <t>NEW COV ISS</t>
  </si>
  <si>
    <t>UNITED</t>
  </si>
  <si>
    <t>1099222</t>
  </si>
  <si>
    <t>BU5532529</t>
  </si>
  <si>
    <t>ADAMS WESTON</t>
  </si>
  <si>
    <t>TX</t>
  </si>
  <si>
    <t>E30301</t>
  </si>
  <si>
    <t>0606680</t>
  </si>
  <si>
    <t>BU5332383</t>
  </si>
  <si>
    <t>KILROY MICHAEL</t>
  </si>
  <si>
    <t>IXEXP1</t>
  </si>
  <si>
    <t>BU5522548</t>
  </si>
  <si>
    <t>ZAVERI RAJIV</t>
  </si>
  <si>
    <t>AL</t>
  </si>
  <si>
    <t>TE15 1</t>
  </si>
  <si>
    <t>BU5539523</t>
  </si>
  <si>
    <t>KEMPKER ROSANN</t>
  </si>
  <si>
    <t>MO</t>
  </si>
  <si>
    <t>563542-96</t>
  </si>
  <si>
    <t>TAYLOR MARK</t>
  </si>
  <si>
    <t>PA</t>
  </si>
  <si>
    <t>UM24HLV</t>
  </si>
  <si>
    <t>06/01/2023</t>
  </si>
  <si>
    <t>BU5451962</t>
  </si>
  <si>
    <t>GUGLIELMO MICHAEL</t>
  </si>
  <si>
    <t>SC</t>
  </si>
  <si>
    <t>09/27/2025</t>
  </si>
  <si>
    <t>NEW ISS PYMT</t>
  </si>
  <si>
    <t>0468247</t>
  </si>
  <si>
    <t>BU5516597</t>
  </si>
  <si>
    <t>PURALEWSKI AMARA</t>
  </si>
  <si>
    <t>08/29/2025</t>
  </si>
  <si>
    <t>JVWL 1</t>
  </si>
  <si>
    <t>08/26/2025</t>
  </si>
  <si>
    <t>09/26/2025</t>
  </si>
  <si>
    <t>BU5516561</t>
  </si>
  <si>
    <t>PURALEWSKI GIANNA</t>
  </si>
  <si>
    <t>08/25/2025</t>
  </si>
  <si>
    <t>09/25/2025</t>
  </si>
  <si>
    <t>BU5533904</t>
  </si>
  <si>
    <t>BINNS CONNIE</t>
  </si>
  <si>
    <t>BU5528666</t>
  </si>
  <si>
    <t>RODECK JEANNE</t>
  </si>
  <si>
    <t>FL</t>
  </si>
  <si>
    <t>0892719</t>
  </si>
  <si>
    <t>BU5466392</t>
  </si>
  <si>
    <t>BRITT LANDON</t>
  </si>
  <si>
    <t>TN</t>
  </si>
  <si>
    <t>09/28/2025</t>
  </si>
  <si>
    <t>BU5539063</t>
  </si>
  <si>
    <t>RUSS MONICA</t>
  </si>
  <si>
    <t>09/05/2025</t>
  </si>
  <si>
    <t>BU5538494</t>
  </si>
  <si>
    <t>OZAN STEPHEN</t>
  </si>
  <si>
    <t>09/03/2025</t>
  </si>
  <si>
    <t>BU5336528</t>
  </si>
  <si>
    <t>MIGLIO SALVATORE</t>
  </si>
  <si>
    <t>MI</t>
  </si>
  <si>
    <t>06/28/2025</t>
  </si>
  <si>
    <t>0893214</t>
  </si>
  <si>
    <t>BU5539645</t>
  </si>
  <si>
    <t>BRADLEY JOSEPHINE</t>
  </si>
  <si>
    <t>09/15/2025</t>
  </si>
  <si>
    <t>0648177</t>
  </si>
  <si>
    <t>752443-96</t>
  </si>
  <si>
    <t>DULIN DONA</t>
  </si>
  <si>
    <t>UM35HLV</t>
  </si>
  <si>
    <t>01/01/2024</t>
  </si>
  <si>
    <t>UNITED WORLD</t>
  </si>
  <si>
    <t>722082-97</t>
  </si>
  <si>
    <t>PINTO LYNNETTE</t>
  </si>
  <si>
    <t>WM25L</t>
  </si>
  <si>
    <t>796010-96</t>
  </si>
  <si>
    <t>RURAN RIVA</t>
  </si>
  <si>
    <t>940059-96</t>
  </si>
  <si>
    <t>MOONEY CHARLES</t>
  </si>
  <si>
    <t>915616-96</t>
  </si>
  <si>
    <t>KAHN LISA</t>
  </si>
  <si>
    <t>889496-96</t>
  </si>
  <si>
    <t>MORRIS JOSEPH</t>
  </si>
  <si>
    <t>03/01/2024</t>
  </si>
  <si>
    <t>885051-96</t>
  </si>
  <si>
    <t>SHELTON LISA</t>
  </si>
  <si>
    <t>805439-96</t>
  </si>
  <si>
    <t>COTUMACCIO JOSEPH</t>
  </si>
  <si>
    <t>779094-96</t>
  </si>
  <si>
    <t>GUSHUE MICHAEL</t>
  </si>
  <si>
    <t>763531-96</t>
  </si>
  <si>
    <t>KAHN PERRY</t>
  </si>
  <si>
    <t>753142-96</t>
  </si>
  <si>
    <t>RAU SCOTT</t>
  </si>
  <si>
    <t>12/01/2023</t>
  </si>
  <si>
    <t>0980022</t>
  </si>
  <si>
    <t>485056-97</t>
  </si>
  <si>
    <t>ACOSTA KAREN</t>
  </si>
  <si>
    <t>12/01/2024</t>
  </si>
  <si>
    <t>0957310</t>
  </si>
  <si>
    <t>914561-96</t>
  </si>
  <si>
    <t>MCKEE KELLY</t>
  </si>
  <si>
    <t>655850-96</t>
  </si>
  <si>
    <t>NALEVANKO MICHAEL</t>
  </si>
  <si>
    <t>10/01/2023</t>
  </si>
  <si>
    <t>656528-97</t>
  </si>
  <si>
    <t>CARR WILLIAM</t>
  </si>
  <si>
    <t>723891-96</t>
  </si>
  <si>
    <t>MASTERSON LOIS</t>
  </si>
  <si>
    <t>11/01/2023</t>
  </si>
  <si>
    <t>490431-97</t>
  </si>
  <si>
    <t>PERSICHETTI ARTHUR</t>
  </si>
  <si>
    <t>478395-97</t>
  </si>
  <si>
    <t>MEYERSON PAMELA</t>
  </si>
  <si>
    <t>478190-97</t>
  </si>
  <si>
    <t>MEYERSON JACK</t>
  </si>
  <si>
    <t>458129-97</t>
  </si>
  <si>
    <t>MCFARLAND MELISSA</t>
  </si>
  <si>
    <t>416250-97</t>
  </si>
  <si>
    <t>JACOBS DANIEL</t>
  </si>
  <si>
    <t>10/01/2024</t>
  </si>
  <si>
    <t>613903-96</t>
  </si>
  <si>
    <t>BESIER KLAUS</t>
  </si>
  <si>
    <t>08/01/2023</t>
  </si>
  <si>
    <t>617655-97</t>
  </si>
  <si>
    <t>PROTESTO BARBARA</t>
  </si>
  <si>
    <t>05/01/2025</t>
  </si>
  <si>
    <t>535347-97</t>
  </si>
  <si>
    <t>SHAH PRAGNA</t>
  </si>
  <si>
    <t>DE</t>
  </si>
  <si>
    <t>UM23LV</t>
  </si>
  <si>
    <t>350609-97</t>
  </si>
  <si>
    <t>WOLF SCHATZ ANN MARIE</t>
  </si>
  <si>
    <t>07/01/2024</t>
  </si>
  <si>
    <t>691951-96</t>
  </si>
  <si>
    <t>MCDEVITT PAUL</t>
  </si>
  <si>
    <t>12/01/2025</t>
  </si>
  <si>
    <t>Q</t>
  </si>
  <si>
    <t>REG</t>
  </si>
  <si>
    <t>003</t>
  </si>
  <si>
    <t>756078-97</t>
  </si>
  <si>
    <t>JOHNSON GWENDOLYN</t>
  </si>
  <si>
    <t>07/01/2025</t>
  </si>
  <si>
    <t>830900-96</t>
  </si>
  <si>
    <t>BARFORD ANNE MARIE</t>
  </si>
  <si>
    <t>INNOVATIVE FINANCIAL PARTNERS LLC</t>
  </si>
  <si>
    <t>BU4935778</t>
  </si>
  <si>
    <t>MICHALEC QUINTIN</t>
  </si>
  <si>
    <t>BU5159761</t>
  </si>
  <si>
    <t>ZIMMERMAN SANDRA</t>
  </si>
  <si>
    <t>BU5199683</t>
  </si>
  <si>
    <t>MORGAN KASSANDRA</t>
  </si>
  <si>
    <t>1075176</t>
  </si>
  <si>
    <t>BU5005421</t>
  </si>
  <si>
    <t>WOJTASIK TYLER</t>
  </si>
  <si>
    <t>12/10/2024</t>
  </si>
  <si>
    <t>09/10/2025</t>
  </si>
  <si>
    <t>BU5273530</t>
  </si>
  <si>
    <t>CASSENS DAVID</t>
  </si>
  <si>
    <t>05/28/2025</t>
  </si>
  <si>
    <t>BU5268999</t>
  </si>
  <si>
    <t>REAVER TERECIA</t>
  </si>
  <si>
    <t>SD</t>
  </si>
  <si>
    <t>04/28/2025</t>
  </si>
  <si>
    <t>BU5260136</t>
  </si>
  <si>
    <t>HARRELL REBECCA</t>
  </si>
  <si>
    <t>BU5260130</t>
  </si>
  <si>
    <t>SCHUETZ STEVEN</t>
  </si>
  <si>
    <t>KS</t>
  </si>
  <si>
    <t>1149088</t>
  </si>
  <si>
    <t>BU5139678</t>
  </si>
  <si>
    <t>AVERY RUFUS</t>
  </si>
  <si>
    <t>MD</t>
  </si>
  <si>
    <t>IXUL11</t>
  </si>
  <si>
    <t>07/05/2025</t>
  </si>
  <si>
    <t>1121105</t>
  </si>
  <si>
    <t>BU5107747</t>
  </si>
  <si>
    <t>BALDAN OYUNTUYA</t>
  </si>
  <si>
    <t>02/07/2025</t>
  </si>
  <si>
    <t>09/07/2025</t>
  </si>
  <si>
    <t>BU4984976</t>
  </si>
  <si>
    <t>NICHOLSON CALEB</t>
  </si>
  <si>
    <t>NC</t>
  </si>
  <si>
    <t>12/28/2024</t>
  </si>
  <si>
    <t>BU4857940</t>
  </si>
  <si>
    <t>PRITCHARD KEVIN</t>
  </si>
  <si>
    <t>09/26/2024</t>
  </si>
  <si>
    <t>BU4857901</t>
  </si>
  <si>
    <t>PRITCHARD JILL</t>
  </si>
  <si>
    <t>BU4855146</t>
  </si>
  <si>
    <t>PATEL SHOBHNA</t>
  </si>
  <si>
    <t>BU4974280</t>
  </si>
  <si>
    <t>FRANCA SAMUEL</t>
  </si>
  <si>
    <t>11/28/2024</t>
  </si>
  <si>
    <t>BU4951122</t>
  </si>
  <si>
    <t>MOORE JERRY</t>
  </si>
  <si>
    <t>OK</t>
  </si>
  <si>
    <t>BU4950306</t>
  </si>
  <si>
    <t>PAYNE EUGENE</t>
  </si>
  <si>
    <t>BU5238226</t>
  </si>
  <si>
    <t>JEFFERSON CYNTHIA</t>
  </si>
  <si>
    <t>BU5238225</t>
  </si>
  <si>
    <t>JEFFERSON ROBERT</t>
  </si>
  <si>
    <t>BU5238222</t>
  </si>
  <si>
    <t>SANDERS JULIA</t>
  </si>
  <si>
    <t>BU5173015</t>
  </si>
  <si>
    <t>DUGOSH ALAN</t>
  </si>
  <si>
    <t>03/28/2025</t>
  </si>
  <si>
    <t>BU5173014</t>
  </si>
  <si>
    <t>DUGOSH SUZANNE</t>
  </si>
  <si>
    <t>BU5167150</t>
  </si>
  <si>
    <t>CLARKE ROBERT</t>
  </si>
  <si>
    <t>03/26/2025</t>
  </si>
  <si>
    <t>BU5085406</t>
  </si>
  <si>
    <t>RAY JESSE</t>
  </si>
  <si>
    <t>02/26/2025</t>
  </si>
  <si>
    <t>BU5073265</t>
  </si>
  <si>
    <t>WALDING LINDA</t>
  </si>
  <si>
    <t>01/28/2025</t>
  </si>
  <si>
    <t>BU5039629</t>
  </si>
  <si>
    <t>NEW JAMIE</t>
  </si>
  <si>
    <t>E20201</t>
  </si>
  <si>
    <t>01/07/2025</t>
  </si>
  <si>
    <t>BFY REVERSAL</t>
  </si>
  <si>
    <t>0815797</t>
  </si>
  <si>
    <t>BU4900152</t>
  </si>
  <si>
    <t>VOGELSBERGER MARK</t>
  </si>
  <si>
    <t>FEPG 1</t>
  </si>
  <si>
    <t>10/09/2024</t>
  </si>
  <si>
    <t>09/09/2025</t>
  </si>
  <si>
    <t>BU5263398</t>
  </si>
  <si>
    <t>DANOW LEVI</t>
  </si>
  <si>
    <t>IN</t>
  </si>
  <si>
    <t>BU5261431</t>
  </si>
  <si>
    <t>DITTLINGER CORRINE</t>
  </si>
  <si>
    <t>05/27/2025</t>
  </si>
  <si>
    <t>BU5204472</t>
  </si>
  <si>
    <t>HUMPHRIES KATHLEEN</t>
  </si>
  <si>
    <t>BU5203803</t>
  </si>
  <si>
    <t>GARZA YOLANDA</t>
  </si>
  <si>
    <t>AZ</t>
  </si>
  <si>
    <t>04/27/2025</t>
  </si>
  <si>
    <t>BU5200391</t>
  </si>
  <si>
    <t>GOLD JULIE</t>
  </si>
  <si>
    <t>BU5188561</t>
  </si>
  <si>
    <t>BEYDOUN DANNY</t>
  </si>
  <si>
    <t>03/27/2025</t>
  </si>
  <si>
    <t>BU5186068</t>
  </si>
  <si>
    <t>MAYER LORI</t>
  </si>
  <si>
    <t>BU5185200</t>
  </si>
  <si>
    <t>SHARP DIANE</t>
  </si>
  <si>
    <t>BU5174297</t>
  </si>
  <si>
    <t>LIGHTBOURNE SHARLENE</t>
  </si>
  <si>
    <t>BU5174035</t>
  </si>
  <si>
    <t>CLINKSCALE KAREN</t>
  </si>
  <si>
    <t>BU5164017</t>
  </si>
  <si>
    <t>WUTHRICH LORI</t>
  </si>
  <si>
    <t>BU5164016</t>
  </si>
  <si>
    <t>WUTHRICH TERRY</t>
  </si>
  <si>
    <t>BU5016016</t>
  </si>
  <si>
    <t>CASS NATALIE</t>
  </si>
  <si>
    <t>BU4994500</t>
  </si>
  <si>
    <t>WOFFORD AUSTIN</t>
  </si>
  <si>
    <t>BU4980670</t>
  </si>
  <si>
    <t>PRESCARO KIMBERLY</t>
  </si>
  <si>
    <t>12/26/2024</t>
  </si>
  <si>
    <t>0257168</t>
  </si>
  <si>
    <t>BU5131276</t>
  </si>
  <si>
    <t>SMITH NANCY</t>
  </si>
  <si>
    <t>AR</t>
  </si>
  <si>
    <t>02/20/2025</t>
  </si>
  <si>
    <t>09/20/2025</t>
  </si>
  <si>
    <t>BU5065764</t>
  </si>
  <si>
    <t>WOODWARD OLIBUEL</t>
  </si>
  <si>
    <t>01/23/2025</t>
  </si>
  <si>
    <t>09/23/2025</t>
  </si>
  <si>
    <t>BU4950354</t>
  </si>
  <si>
    <t>PAYNE ELIZABETH</t>
  </si>
  <si>
    <t>BU5085343</t>
  </si>
  <si>
    <t>RAY CATHERINE</t>
  </si>
  <si>
    <t>BU5238232</t>
  </si>
  <si>
    <t>LAUDERDALE CATHERINE</t>
  </si>
  <si>
    <t>BU4855055</t>
  </si>
  <si>
    <t>PATEL SUNILKAMAR</t>
  </si>
  <si>
    <t>BU5159760</t>
  </si>
  <si>
    <t>ZIMMERMAN CHARLES</t>
  </si>
  <si>
    <t>BU5081505</t>
  </si>
  <si>
    <t>ESTRADA MANUELA</t>
  </si>
  <si>
    <t>BU5081502</t>
  </si>
  <si>
    <t>ESTRADA MIGUEL</t>
  </si>
  <si>
    <t>BU5190535</t>
  </si>
  <si>
    <t>STOCKDALE CAROLINE</t>
  </si>
  <si>
    <t>BU5199706</t>
  </si>
  <si>
    <t>MEECE DEBRA</t>
  </si>
  <si>
    <t>VA</t>
  </si>
  <si>
    <t>BU5199695</t>
  </si>
  <si>
    <t>RIEGER RONALD</t>
  </si>
  <si>
    <t>BU5269972</t>
  </si>
  <si>
    <t>RICE MILTON</t>
  </si>
  <si>
    <t>1093959</t>
  </si>
  <si>
    <t>BU5200825</t>
  </si>
  <si>
    <t>NUNN CONNER</t>
  </si>
  <si>
    <t>MUTUAL</t>
  </si>
  <si>
    <t>0892048</t>
  </si>
  <si>
    <t>477486-97</t>
  </si>
  <si>
    <t>NEWLING ELIZABETH</t>
  </si>
  <si>
    <t>DNT2IL</t>
  </si>
  <si>
    <t>759136-96</t>
  </si>
  <si>
    <t>MANCHESTER DAVID</t>
  </si>
  <si>
    <t>CP4CI</t>
  </si>
  <si>
    <t>11/06/2023</t>
  </si>
  <si>
    <t>10/06/2025</t>
  </si>
  <si>
    <t>0496849</t>
  </si>
  <si>
    <t>523649-97</t>
  </si>
  <si>
    <t>DUMPER ROBERT</t>
  </si>
  <si>
    <t>556550-97</t>
  </si>
  <si>
    <t>BOX ROBYN</t>
  </si>
  <si>
    <t>DNT5BL</t>
  </si>
  <si>
    <t>385102-97</t>
  </si>
  <si>
    <t>LINGIS ANTANAS</t>
  </si>
  <si>
    <t>08/01/2024</t>
  </si>
  <si>
    <t>596168-97</t>
  </si>
  <si>
    <t>WALSDORF MARY K</t>
  </si>
  <si>
    <t>DNT5IL</t>
  </si>
  <si>
    <t>02/01/2025</t>
  </si>
  <si>
    <t>732899-96</t>
  </si>
  <si>
    <t>SEGERMEISTER MITCHELL</t>
  </si>
  <si>
    <t>MM25HL</t>
  </si>
  <si>
    <t>362409-97</t>
  </si>
  <si>
    <t>HENDERSON ETTA</t>
  </si>
  <si>
    <t>GA</t>
  </si>
  <si>
    <t>MM35HL</t>
  </si>
  <si>
    <t>0806149</t>
  </si>
  <si>
    <t>674149-97</t>
  </si>
  <si>
    <t>CHAMORRO LEONARDO</t>
  </si>
  <si>
    <t>50AD1</t>
  </si>
  <si>
    <t>04/10/2025</t>
  </si>
  <si>
    <t>10/10/2025</t>
  </si>
  <si>
    <t>442454-97</t>
  </si>
  <si>
    <t>HILL SARAH</t>
  </si>
  <si>
    <t>10/07/2024</t>
  </si>
  <si>
    <t>10/07/2025</t>
  </si>
  <si>
    <t>0891882</t>
  </si>
  <si>
    <t>636252-97</t>
  </si>
  <si>
    <t>BOGARDUS THOMAS</t>
  </si>
  <si>
    <t>0816910</t>
  </si>
  <si>
    <t>412741-97</t>
  </si>
  <si>
    <t>HUBER KEVIN</t>
  </si>
  <si>
    <t>WV</t>
  </si>
  <si>
    <t>412731-97</t>
  </si>
  <si>
    <t>HUBER PAULA</t>
  </si>
  <si>
    <t>11/01/2024</t>
  </si>
  <si>
    <t>551649-97</t>
  </si>
  <si>
    <t>HAGEN EDMUND</t>
  </si>
  <si>
    <t>0894080</t>
  </si>
  <si>
    <t>708548-97</t>
  </si>
  <si>
    <t>LUDIN DEBORAH</t>
  </si>
  <si>
    <t>WI</t>
  </si>
  <si>
    <t>DNT2BL</t>
  </si>
  <si>
    <t>671885-97</t>
  </si>
  <si>
    <t>SMITH PEGGY</t>
  </si>
  <si>
    <t>04/09/2025</t>
  </si>
  <si>
    <t>10/09/2025</t>
  </si>
  <si>
    <t>548895-97</t>
  </si>
  <si>
    <t>ROTHENBERG BENJAMIN</t>
  </si>
  <si>
    <t>397594-97</t>
  </si>
  <si>
    <t>LASKY DALE</t>
  </si>
  <si>
    <t>09/01/2024</t>
  </si>
  <si>
    <t>397584-97</t>
  </si>
  <si>
    <t>LASKY FRANCINE</t>
  </si>
  <si>
    <t>578272-97</t>
  </si>
  <si>
    <t>PINK MITCHELL</t>
  </si>
  <si>
    <t>93 DAY LAPSE</t>
  </si>
  <si>
    <t>546135-97</t>
  </si>
  <si>
    <t>SKAGGS JOHN</t>
  </si>
  <si>
    <t>528412-97</t>
  </si>
  <si>
    <t>TACKETT MIKEL</t>
  </si>
  <si>
    <t>12/04/2024</t>
  </si>
  <si>
    <t>TERM-OTHER</t>
  </si>
  <si>
    <t>528408-97</t>
  </si>
  <si>
    <t>TACKETT JENNIFER</t>
  </si>
  <si>
    <t>522176-97</t>
  </si>
  <si>
    <t>OSTALA BARBARA</t>
  </si>
  <si>
    <t>557316-97</t>
  </si>
  <si>
    <t>488722-97</t>
  </si>
  <si>
    <t>POWERS THOMAS</t>
  </si>
  <si>
    <t>488716-97</t>
  </si>
  <si>
    <t>POWERS APRIL</t>
  </si>
  <si>
    <t>1093252</t>
  </si>
  <si>
    <t>803161-97</t>
  </si>
  <si>
    <t>WALKER SCOTT</t>
  </si>
  <si>
    <t>CO</t>
  </si>
  <si>
    <t>08/01/2025</t>
  </si>
  <si>
    <t>03/01/2026</t>
  </si>
  <si>
    <t>SA</t>
  </si>
  <si>
    <t>006</t>
  </si>
  <si>
    <t>796368-97</t>
  </si>
  <si>
    <t>ROMYN DESARAE</t>
  </si>
  <si>
    <t>UT</t>
  </si>
  <si>
    <t>DNT2EL</t>
  </si>
  <si>
    <t>07/23/2025</t>
  </si>
  <si>
    <t>CANC EFF ISS</t>
  </si>
  <si>
    <t>513338-96</t>
  </si>
  <si>
    <t>WOODS BOYCE</t>
  </si>
  <si>
    <t>MM36L</t>
  </si>
  <si>
    <t>03/01/2023</t>
  </si>
  <si>
    <t>0938286</t>
  </si>
  <si>
    <t>760299-97</t>
  </si>
  <si>
    <t>THORNE MARY</t>
  </si>
  <si>
    <t>760293-97</t>
  </si>
  <si>
    <t>THORNE DANA</t>
  </si>
  <si>
    <t>Comm %</t>
  </si>
  <si>
    <t>Michael Dunavant</t>
  </si>
  <si>
    <t>Gregory Teipel</t>
  </si>
  <si>
    <t>Dale Walenga</t>
  </si>
  <si>
    <t>Ryan Caltagirone</t>
  </si>
  <si>
    <t>Paul Berk</t>
  </si>
  <si>
    <t>Anne Marie Kozacheck</t>
  </si>
  <si>
    <t>Carol Foley</t>
  </si>
  <si>
    <t>Nasandelger Zana</t>
  </si>
  <si>
    <t>Jared Kinyua</t>
  </si>
  <si>
    <t>Odmaa Enkhtur</t>
  </si>
  <si>
    <t>Matthew Daugherty</t>
  </si>
  <si>
    <t>Deborah Inskipt</t>
  </si>
  <si>
    <t>Thomas Pardue</t>
  </si>
  <si>
    <t>Colleen Finnigan</t>
  </si>
  <si>
    <t>Matthew Powers</t>
  </si>
  <si>
    <t>Richard Yale</t>
  </si>
  <si>
    <t>Jeffrey Horn</t>
  </si>
  <si>
    <t>Chad Bender</t>
  </si>
  <si>
    <t>Andrew Choi</t>
  </si>
  <si>
    <t>Adam Richter</t>
  </si>
  <si>
    <t>Jacob Yale</t>
  </si>
  <si>
    <t>Robert Shapiro</t>
  </si>
  <si>
    <t>Christian Taugner</t>
  </si>
  <si>
    <t>Jason Roller</t>
  </si>
  <si>
    <t>Pamela Deaton</t>
  </si>
  <si>
    <t>Jason Hoffmann</t>
  </si>
  <si>
    <t>agent</t>
  </si>
  <si>
    <t>writing id</t>
  </si>
  <si>
    <t>National Dental</t>
  </si>
  <si>
    <t>Product</t>
  </si>
  <si>
    <t>Medicare Supp- PA All Plans Except H.D F, H.D G, and Plan N New Business</t>
  </si>
  <si>
    <t>CHAS CI, MD, MA, NJ, NY, SD WA</t>
  </si>
  <si>
    <t>Mutual of Omaha OVR</t>
  </si>
  <si>
    <t>Medicare Supp- AR High Deductible Plan F&amp;G&amp;Plan N Age 65-74</t>
  </si>
  <si>
    <t>Term Life Express</t>
  </si>
  <si>
    <t>FEX Level Ages 45-80</t>
  </si>
  <si>
    <t>Medicare Supp- PA Plans High Deductible F,G,&amp;N 65+</t>
  </si>
  <si>
    <t>ACCUM UL TP</t>
  </si>
  <si>
    <t>MS MD Ages 65-83</t>
  </si>
  <si>
    <t>Living Promise Graded</t>
  </si>
  <si>
    <t>Medicare Supp- PA All Plans</t>
  </si>
  <si>
    <t>Med Supp MD/NJ/TN/VA/WY Ages 65-83</t>
  </si>
  <si>
    <t>FL All Plans Exc HD F,G,N</t>
  </si>
  <si>
    <t>FL All Plans Except High Deductible F, 19%</t>
  </si>
  <si>
    <t>OH All Plans Except F, G, and N NB, Internal &amp; External Replacements. Renewal</t>
  </si>
  <si>
    <t>MD HD F,G,N</t>
  </si>
  <si>
    <t>Universal Life</t>
  </si>
  <si>
    <t>AE</t>
  </si>
  <si>
    <t>AV1</t>
  </si>
  <si>
    <t>Monthlyode</t>
  </si>
  <si>
    <t>Monthly</t>
  </si>
  <si>
    <t>SEMI-ANNUALLY</t>
  </si>
  <si>
    <t>QUARTERLY</t>
  </si>
  <si>
    <t>MLB PEMIUM*</t>
  </si>
  <si>
    <t>MLB total comm*</t>
  </si>
  <si>
    <t>OZAN</t>
  </si>
  <si>
    <t>STEPHEN</t>
  </si>
  <si>
    <t>KEMPKER</t>
  </si>
  <si>
    <t>ROSANN</t>
  </si>
  <si>
    <t>RUSS</t>
  </si>
  <si>
    <t>MONICA</t>
  </si>
  <si>
    <t>BRADLEY</t>
  </si>
  <si>
    <t>JOSEPHINE</t>
  </si>
  <si>
    <t>BINNS</t>
  </si>
  <si>
    <t>CONNIE</t>
  </si>
  <si>
    <t>RODECK</t>
  </si>
  <si>
    <t>JEANNE</t>
  </si>
  <si>
    <t>BRITT</t>
  </si>
  <si>
    <t>LANDON</t>
  </si>
  <si>
    <t>ZAVERI</t>
  </si>
  <si>
    <t>RAJIV</t>
  </si>
  <si>
    <t>ADAMS</t>
  </si>
  <si>
    <t>WESTON</t>
  </si>
  <si>
    <t>MARTIN</t>
  </si>
  <si>
    <t>DENISE</t>
  </si>
  <si>
    <t>PURALEWSKI</t>
  </si>
  <si>
    <t>AMARA</t>
  </si>
  <si>
    <t>GIANNA</t>
  </si>
  <si>
    <t>GUGLIELMO</t>
  </si>
  <si>
    <t>MICHAEL</t>
  </si>
  <si>
    <t>AVERY</t>
  </si>
  <si>
    <t>RUFUS</t>
  </si>
  <si>
    <t>JOHNSON</t>
  </si>
  <si>
    <t>GWENDOLYN</t>
  </si>
  <si>
    <t>THORNE</t>
  </si>
  <si>
    <t>MARY</t>
  </si>
  <si>
    <t>DANA</t>
  </si>
  <si>
    <t>MIGLIO</t>
  </si>
  <si>
    <t>SALVATORE</t>
  </si>
  <si>
    <t>BOGARDUS</t>
  </si>
  <si>
    <t>THOMAS</t>
  </si>
  <si>
    <t>PINTO</t>
  </si>
  <si>
    <t>LYNNETTE</t>
  </si>
  <si>
    <t>LUTTMER</t>
  </si>
  <si>
    <t>KATHLEEN</t>
  </si>
  <si>
    <t>CASSENS</t>
  </si>
  <si>
    <t>DAVID</t>
  </si>
  <si>
    <t>PINK</t>
  </si>
  <si>
    <t>MITCHELL</t>
  </si>
  <si>
    <t>LUDIN</t>
  </si>
  <si>
    <t>DEBORAH</t>
  </si>
  <si>
    <t>KILROY</t>
  </si>
  <si>
    <t>DANOW</t>
  </si>
  <si>
    <t>LEVI</t>
  </si>
  <si>
    <t>HUMPHRIES</t>
  </si>
  <si>
    <t>DITTLINGER</t>
  </si>
  <si>
    <t>CORRINE</t>
  </si>
  <si>
    <t>PROTESTO</t>
  </si>
  <si>
    <t>BARBARA</t>
  </si>
  <si>
    <t>RICE</t>
  </si>
  <si>
    <t>MILTON</t>
  </si>
  <si>
    <t>JEFFERSON</t>
  </si>
  <si>
    <t>CYNTHIA</t>
  </si>
  <si>
    <t>LAUDERDALE</t>
  </si>
  <si>
    <t>CATHERINE</t>
  </si>
  <si>
    <t>REAVER</t>
  </si>
  <si>
    <t>TERECIA</t>
  </si>
  <si>
    <t>HARRELL</t>
  </si>
  <si>
    <t>REBECCA</t>
  </si>
  <si>
    <t>ROBERT</t>
  </si>
  <si>
    <t>SCHUETZ</t>
  </si>
  <si>
    <t>STEVEN</t>
  </si>
  <si>
    <t>SANDERS</t>
  </si>
  <si>
    <t>JULIA</t>
  </si>
  <si>
    <t>COLLINS</t>
  </si>
  <si>
    <t>JIM</t>
  </si>
  <si>
    <t>KINGDON</t>
  </si>
  <si>
    <t>RANDALL</t>
  </si>
  <si>
    <t>GARZA</t>
  </si>
  <si>
    <t>YOLANDA</t>
  </si>
  <si>
    <t>GOLD</t>
  </si>
  <si>
    <t>JULIE</t>
  </si>
  <si>
    <t>CARR</t>
  </si>
  <si>
    <t>WILLIAM</t>
  </si>
  <si>
    <t>CHAMORRO</t>
  </si>
  <si>
    <t>LEONARDO</t>
  </si>
  <si>
    <t>DUGOSH</t>
  </si>
  <si>
    <t>SUZANNE</t>
  </si>
  <si>
    <t>ALAN</t>
  </si>
  <si>
    <t>CLARKE</t>
  </si>
  <si>
    <t>SMITH</t>
  </si>
  <si>
    <t>PEGGY</t>
  </si>
  <si>
    <t>NUNN</t>
  </si>
  <si>
    <t>CONNER</t>
  </si>
  <si>
    <t>KATH</t>
  </si>
  <si>
    <t>ANITA</t>
  </si>
  <si>
    <t>MORGAN</t>
  </si>
  <si>
    <t>KASSANDRA</t>
  </si>
  <si>
    <t>STOCKDALE</t>
  </si>
  <si>
    <t>CAROLINE</t>
  </si>
  <si>
    <t>WUTHRICH</t>
  </si>
  <si>
    <t>LORI</t>
  </si>
  <si>
    <t>RIEGER</t>
  </si>
  <si>
    <t>RONALD</t>
  </si>
  <si>
    <t>TERRY</t>
  </si>
  <si>
    <t>ZIMMERMAN</t>
  </si>
  <si>
    <t>SANDRA</t>
  </si>
  <si>
    <t>CHARLES</t>
  </si>
  <si>
    <t>MEECE</t>
  </si>
  <si>
    <t>DEBRA</t>
  </si>
  <si>
    <t>BEYDOUN</t>
  </si>
  <si>
    <t>DANNY</t>
  </si>
  <si>
    <t>CLINKSCALE</t>
  </si>
  <si>
    <t>KAREN</t>
  </si>
  <si>
    <t>MAYER</t>
  </si>
  <si>
    <t>SHARP</t>
  </si>
  <si>
    <t>DIANE</t>
  </si>
  <si>
    <t>LIGHTBOURNE</t>
  </si>
  <si>
    <t>SHARLENE</t>
  </si>
  <si>
    <t>RAY</t>
  </si>
  <si>
    <t>JESSE</t>
  </si>
  <si>
    <t>BALDAN</t>
  </si>
  <si>
    <t>OYUNTUYA</t>
  </si>
  <si>
    <t>WALKER</t>
  </si>
  <si>
    <t>SCOTT</t>
  </si>
  <si>
    <t>NANCY</t>
  </si>
  <si>
    <t>RCOM</t>
  </si>
  <si>
    <t>LUONG</t>
  </si>
  <si>
    <t>WALSDORF</t>
  </si>
  <si>
    <t>K</t>
  </si>
  <si>
    <t>POWERS</t>
  </si>
  <si>
    <t>APRIL</t>
  </si>
  <si>
    <t>WALDING</t>
  </si>
  <si>
    <t>LINDA</t>
  </si>
  <si>
    <t>NEW</t>
  </si>
  <si>
    <t>JAMIE</t>
  </si>
  <si>
    <t>CASS</t>
  </si>
  <si>
    <t>NATALIE</t>
  </si>
  <si>
    <t>WOFFORD</t>
  </si>
  <si>
    <t>AUSTIN</t>
  </si>
  <si>
    <t>WOODWARD</t>
  </si>
  <si>
    <t>OLIBUEL</t>
  </si>
  <si>
    <t>HAGEN</t>
  </si>
  <si>
    <t>EDMUND</t>
  </si>
  <si>
    <t>MCFARLAND</t>
  </si>
  <si>
    <t>MELISSA</t>
  </si>
  <si>
    <t>SHAH</t>
  </si>
  <si>
    <t>PRAGNA</t>
  </si>
  <si>
    <t>WAGNER</t>
  </si>
  <si>
    <t>JOHN</t>
  </si>
  <si>
    <t>ROTHENBERG</t>
  </si>
  <si>
    <t>BENJAMIN</t>
  </si>
  <si>
    <t>NICHOLSON</t>
  </si>
  <si>
    <t>CALEB</t>
  </si>
  <si>
    <t>SOLEM</t>
  </si>
  <si>
    <t>KENNETH</t>
  </si>
  <si>
    <t>MORRISON</t>
  </si>
  <si>
    <t>JANICE</t>
  </si>
  <si>
    <t>BHASKAR</t>
  </si>
  <si>
    <t>SUNIL</t>
  </si>
  <si>
    <t>WOJTASIK</t>
  </si>
  <si>
    <t>TYLER</t>
  </si>
  <si>
    <t>ESTRADA</t>
  </si>
  <si>
    <t>MIGUEL</t>
  </si>
  <si>
    <t>MANUELA</t>
  </si>
  <si>
    <t>PRESCARO</t>
  </si>
  <si>
    <t>KIMBERLY</t>
  </si>
  <si>
    <t>BOX</t>
  </si>
  <si>
    <t>ROBYN</t>
  </si>
  <si>
    <t>HUBER</t>
  </si>
  <si>
    <t>KEVIN</t>
  </si>
  <si>
    <t>PERSICHETTI</t>
  </si>
  <si>
    <t>ARTHUR</t>
  </si>
  <si>
    <t>MEYERSON</t>
  </si>
  <si>
    <t>PAMELA</t>
  </si>
  <si>
    <t>JACK</t>
  </si>
  <si>
    <t>PAYNE</t>
  </si>
  <si>
    <t>ELIZABETH</t>
  </si>
  <si>
    <t>EUGENE</t>
  </si>
  <si>
    <t>FRANCA</t>
  </si>
  <si>
    <t>SAMUEL</t>
  </si>
  <si>
    <t>MOORE</t>
  </si>
  <si>
    <t>JERRY</t>
  </si>
  <si>
    <t>OSTALA</t>
  </si>
  <si>
    <t>DUMPER</t>
  </si>
  <si>
    <t>ACOSTA</t>
  </si>
  <si>
    <t>NEWLING</t>
  </si>
  <si>
    <t>PAULA</t>
  </si>
  <si>
    <t>VOGELSBERGER</t>
  </si>
  <si>
    <t>MARK</t>
  </si>
  <si>
    <t>JACOBS</t>
  </si>
  <si>
    <t>DANIEL</t>
  </si>
  <si>
    <t>PATEL</t>
  </si>
  <si>
    <t>SHOBHNA</t>
  </si>
  <si>
    <t>SUNILKAMAR</t>
  </si>
  <si>
    <t>PRITCHARD</t>
  </si>
  <si>
    <t>JILL</t>
  </si>
  <si>
    <t>HILL</t>
  </si>
  <si>
    <t>SARAH</t>
  </si>
  <si>
    <t>MICHALEC</t>
  </si>
  <si>
    <t>QUINTIN</t>
  </si>
  <si>
    <t>LASKY</t>
  </si>
  <si>
    <t>DALE</t>
  </si>
  <si>
    <t>FRANCINE</t>
  </si>
  <si>
    <t>HENDERSON</t>
  </si>
  <si>
    <t>ETTA</t>
  </si>
  <si>
    <t>LINGIS</t>
  </si>
  <si>
    <t>ANTANAS</t>
  </si>
  <si>
    <t>WOLF</t>
  </si>
  <si>
    <t>SCHATZ</t>
  </si>
  <si>
    <t>ANN</t>
  </si>
  <si>
    <t>MARIE</t>
  </si>
  <si>
    <t>BIORDI</t>
  </si>
  <si>
    <t>JR</t>
  </si>
  <si>
    <t>KAHN</t>
  </si>
  <si>
    <t>LISA</t>
  </si>
  <si>
    <t>MCKEE</t>
  </si>
  <si>
    <t>KELLY</t>
  </si>
  <si>
    <t>SHELTON</t>
  </si>
  <si>
    <t>MOONEY</t>
  </si>
  <si>
    <t>FALZONE</t>
  </si>
  <si>
    <t>WENDY</t>
  </si>
  <si>
    <t>MORRIS</t>
  </si>
  <si>
    <t>JOSEPH</t>
  </si>
  <si>
    <t>DULIN</t>
  </si>
  <si>
    <t>DONA</t>
  </si>
  <si>
    <t>BARFORD</t>
  </si>
  <si>
    <t>ANNE</t>
  </si>
  <si>
    <t>RURAN</t>
  </si>
  <si>
    <t>RIVA</t>
  </si>
  <si>
    <t>GUSHUE</t>
  </si>
  <si>
    <t>PERRY</t>
  </si>
  <si>
    <t>COTUMACCIO</t>
  </si>
  <si>
    <t>RAU</t>
  </si>
  <si>
    <t>SEGERMEISTER</t>
  </si>
  <si>
    <t>MANCHESTER</t>
  </si>
  <si>
    <t>MASTERSON</t>
  </si>
  <si>
    <t>LOIS</t>
  </si>
  <si>
    <t>NALEVANKO</t>
  </si>
  <si>
    <t>MCDEVITT</t>
  </si>
  <si>
    <t>PAUL</t>
  </si>
  <si>
    <t>BESIER</t>
  </si>
  <si>
    <t>KLAUS</t>
  </si>
  <si>
    <t>TAYLOR</t>
  </si>
  <si>
    <t>WOODS</t>
  </si>
  <si>
    <t>BOYCE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</si>
</sst>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3" x14ac:knownFonts="1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4" fontId="1" fillId="0" borderId="0" xfId="0" applyNumberFormat="1" applyFont="1" applyAlignment="1">
      <alignment horizontal="left"/>
    </xf>
    <xf numFmtId="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4" fontId="1" fillId="5" borderId="0" xfId="0" applyNumberFormat="1" applyFont="1" applyFill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4"/>
  <sheetViews>
    <sheetView showGridLines="0" topLeftCell="A7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25" t="s">
        <v>0</v>
      </c>
      <c r="B2" s="26"/>
      <c r="C2" s="26"/>
    </row>
    <row r="3" spans="1:3" x14ac:dyDescent="0.2">
      <c r="A3" s="25" t="s">
        <v>1</v>
      </c>
      <c r="B3" s="26"/>
      <c r="C3" s="26"/>
    </row>
    <row r="4" spans="1:3" x14ac:dyDescent="0.2">
      <c r="A4" s="25" t="s">
        <v>2</v>
      </c>
      <c r="B4" s="26"/>
      <c r="C4" s="26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23" t="s">
        <v>5</v>
      </c>
      <c r="C12" s="24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162.69</v>
      </c>
      <c r="C19" s="8"/>
    </row>
    <row r="20" spans="1:3" x14ac:dyDescent="0.2">
      <c r="A20" s="2" t="s">
        <v>13</v>
      </c>
      <c r="B20" s="8">
        <v>84.33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14898.05</v>
      </c>
      <c r="C24" s="8"/>
    </row>
    <row r="25" spans="1:3" x14ac:dyDescent="0.2">
      <c r="A25" s="2" t="s">
        <v>13</v>
      </c>
      <c r="B25" s="8">
        <v>609.96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0</v>
      </c>
      <c r="C29" s="8"/>
    </row>
    <row r="30" spans="1:3" x14ac:dyDescent="0.2">
      <c r="A30" s="2" t="s">
        <v>13</v>
      </c>
      <c r="B30" s="8">
        <v>30.29</v>
      </c>
      <c r="C30" s="8"/>
    </row>
    <row r="31" spans="1:3" x14ac:dyDescent="0.2">
      <c r="A31" s="2"/>
      <c r="B31" s="8"/>
      <c r="C31" s="8"/>
    </row>
    <row r="32" spans="1:3" x14ac:dyDescent="0.2">
      <c r="A32" s="2" t="s">
        <v>16</v>
      </c>
      <c r="B32" s="8"/>
      <c r="C32" s="8"/>
    </row>
    <row r="33" spans="1:3" x14ac:dyDescent="0.2">
      <c r="A33" s="2" t="s">
        <v>11</v>
      </c>
      <c r="B33" s="8"/>
      <c r="C33" s="8"/>
    </row>
    <row r="34" spans="1:3" x14ac:dyDescent="0.2">
      <c r="A34" s="2" t="s">
        <v>12</v>
      </c>
      <c r="B34" s="8">
        <v>29.54</v>
      </c>
      <c r="C34" s="8"/>
    </row>
    <row r="35" spans="1:3" x14ac:dyDescent="0.2">
      <c r="A35" s="2" t="s">
        <v>13</v>
      </c>
      <c r="B35" s="8">
        <v>37.32</v>
      </c>
      <c r="C35" s="8"/>
    </row>
    <row r="36" spans="1:3" x14ac:dyDescent="0.2">
      <c r="A36" s="2"/>
      <c r="B36" s="8"/>
      <c r="C36" s="8"/>
    </row>
    <row r="37" spans="1:3" x14ac:dyDescent="0.2">
      <c r="A37" s="2" t="s">
        <v>17</v>
      </c>
      <c r="B37" s="8"/>
      <c r="C37" s="8"/>
    </row>
    <row r="38" spans="1:3" x14ac:dyDescent="0.2">
      <c r="A38" s="2" t="s">
        <v>11</v>
      </c>
      <c r="B38" s="8"/>
      <c r="C38" s="8"/>
    </row>
    <row r="39" spans="1:3" x14ac:dyDescent="0.2">
      <c r="A39" s="2" t="s">
        <v>13</v>
      </c>
      <c r="B39" s="8">
        <v>36.229999999999997</v>
      </c>
      <c r="C39" s="8"/>
    </row>
    <row r="40" spans="1:3" x14ac:dyDescent="0.2">
      <c r="A40" s="2"/>
      <c r="B40" s="8"/>
      <c r="C40" s="8"/>
    </row>
    <row r="41" spans="1:3" x14ac:dyDescent="0.2">
      <c r="A41" s="2" t="s">
        <v>18</v>
      </c>
      <c r="B41" s="8"/>
      <c r="C41" s="8">
        <v>15888.41</v>
      </c>
    </row>
    <row r="42" spans="1:3" x14ac:dyDescent="0.2">
      <c r="A42" s="2"/>
      <c r="B42" s="8"/>
      <c r="C42" s="8"/>
    </row>
    <row r="43" spans="1:3" x14ac:dyDescent="0.2">
      <c r="A43" s="2" t="s">
        <v>19</v>
      </c>
      <c r="B43" s="8"/>
      <c r="C43" s="8"/>
    </row>
    <row r="44" spans="1:3" x14ac:dyDescent="0.2">
      <c r="A44" s="2"/>
      <c r="B44" s="8"/>
      <c r="C44" s="8"/>
    </row>
    <row r="45" spans="1:3" x14ac:dyDescent="0.2">
      <c r="A45" s="2" t="s">
        <v>10</v>
      </c>
      <c r="B45" s="8">
        <v>-247.02</v>
      </c>
      <c r="C45" s="8"/>
    </row>
    <row r="46" spans="1:3" x14ac:dyDescent="0.2">
      <c r="A46" s="2" t="s">
        <v>14</v>
      </c>
      <c r="B46" s="8">
        <v>-15508.01</v>
      </c>
      <c r="C46" s="8"/>
    </row>
    <row r="47" spans="1:3" x14ac:dyDescent="0.2">
      <c r="A47" s="2" t="s">
        <v>15</v>
      </c>
      <c r="B47" s="8">
        <v>-30.29</v>
      </c>
      <c r="C47" s="8"/>
    </row>
    <row r="48" spans="1:3" x14ac:dyDescent="0.2">
      <c r="A48" s="2" t="s">
        <v>16</v>
      </c>
      <c r="B48" s="8">
        <v>-66.86</v>
      </c>
      <c r="C48" s="8"/>
    </row>
    <row r="49" spans="1:3" x14ac:dyDescent="0.2">
      <c r="A49" s="2" t="s">
        <v>17</v>
      </c>
      <c r="B49" s="8">
        <v>-36.229999999999997</v>
      </c>
      <c r="C49" s="8"/>
    </row>
    <row r="50" spans="1:3" x14ac:dyDescent="0.2">
      <c r="A50" s="2"/>
      <c r="B50" s="8"/>
      <c r="C50" s="8"/>
    </row>
    <row r="51" spans="1:3" x14ac:dyDescent="0.2">
      <c r="A51" s="2" t="s">
        <v>20</v>
      </c>
      <c r="B51" s="8"/>
      <c r="C51" s="8">
        <v>-15888.41</v>
      </c>
    </row>
    <row r="52" spans="1:3" x14ac:dyDescent="0.2">
      <c r="A52" s="2" t="s">
        <v>21</v>
      </c>
      <c r="B52" s="8"/>
      <c r="C52" s="8">
        <v>0</v>
      </c>
    </row>
    <row r="53" spans="1:3" x14ac:dyDescent="0.2">
      <c r="A53" s="2"/>
      <c r="B53" s="8"/>
      <c r="C53" s="8"/>
    </row>
    <row r="54" spans="1:3" x14ac:dyDescent="0.2">
      <c r="A54" s="4"/>
      <c r="B54" s="9"/>
      <c r="C54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7"/>
  <sheetViews>
    <sheetView workbookViewId="0">
      <pane ySplit="1" topLeftCell="A37" activePane="bottomLeft" state="frozen"/>
      <selection pane="bottomLeft" activeCell="E54" sqref="E54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</row>
    <row r="2" spans="1:24" x14ac:dyDescent="0.2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1" t="s">
        <v>57</v>
      </c>
      <c r="M2" s="1" t="s">
        <v>58</v>
      </c>
      <c r="N2" s="1" t="s">
        <v>59</v>
      </c>
      <c r="O2" s="1" t="s">
        <v>60</v>
      </c>
      <c r="P2" s="1">
        <v>0</v>
      </c>
      <c r="Q2" s="12">
        <v>142.80000000000001</v>
      </c>
      <c r="R2" s="1" t="s">
        <v>61</v>
      </c>
      <c r="S2" s="1" t="s">
        <v>62</v>
      </c>
      <c r="T2" s="6" t="s">
        <v>63</v>
      </c>
      <c r="U2" s="13">
        <v>0.23</v>
      </c>
      <c r="V2" s="12">
        <v>0</v>
      </c>
      <c r="W2" s="12">
        <v>-32.840000000000003</v>
      </c>
      <c r="X2" s="1" t="s">
        <v>57</v>
      </c>
    </row>
    <row r="3" spans="1:24" x14ac:dyDescent="0.2">
      <c r="A3" s="1" t="s">
        <v>46</v>
      </c>
      <c r="B3" s="1" t="s">
        <v>47</v>
      </c>
      <c r="C3" s="1" t="s">
        <v>48</v>
      </c>
      <c r="D3" s="1" t="s">
        <v>49</v>
      </c>
      <c r="E3" s="1" t="s">
        <v>64</v>
      </c>
      <c r="F3" s="1" t="s">
        <v>65</v>
      </c>
      <c r="G3" s="1" t="s">
        <v>52</v>
      </c>
      <c r="H3" s="1" t="s">
        <v>53</v>
      </c>
      <c r="I3" s="1" t="s">
        <v>54</v>
      </c>
      <c r="J3" s="1" t="s">
        <v>66</v>
      </c>
      <c r="K3" s="1" t="s">
        <v>67</v>
      </c>
      <c r="L3" s="11" t="s">
        <v>57</v>
      </c>
      <c r="M3" s="1" t="s">
        <v>58</v>
      </c>
      <c r="N3" s="1" t="s">
        <v>59</v>
      </c>
      <c r="O3" s="1" t="s">
        <v>60</v>
      </c>
      <c r="P3" s="1">
        <v>0</v>
      </c>
      <c r="Q3" s="12">
        <v>141.6</v>
      </c>
      <c r="R3" s="1" t="s">
        <v>61</v>
      </c>
      <c r="S3" s="1" t="s">
        <v>62</v>
      </c>
      <c r="T3" s="6" t="s">
        <v>63</v>
      </c>
      <c r="U3" s="13">
        <v>0.23</v>
      </c>
      <c r="V3" s="12">
        <v>0</v>
      </c>
      <c r="W3" s="12">
        <v>-32.57</v>
      </c>
      <c r="X3" s="1" t="s">
        <v>57</v>
      </c>
    </row>
    <row r="4" spans="1:24" x14ac:dyDescent="0.2">
      <c r="A4" s="1" t="s">
        <v>46</v>
      </c>
      <c r="B4" s="1" t="s">
        <v>47</v>
      </c>
      <c r="C4" s="1" t="s">
        <v>48</v>
      </c>
      <c r="D4" s="1" t="s">
        <v>49</v>
      </c>
      <c r="E4" s="1" t="s">
        <v>68</v>
      </c>
      <c r="F4" s="1" t="s">
        <v>69</v>
      </c>
      <c r="G4" s="1" t="s">
        <v>52</v>
      </c>
      <c r="H4" s="1" t="s">
        <v>53</v>
      </c>
      <c r="I4" s="1" t="s">
        <v>54</v>
      </c>
      <c r="J4" s="1" t="s">
        <v>66</v>
      </c>
      <c r="K4" s="1" t="s">
        <v>67</v>
      </c>
      <c r="L4" s="11" t="s">
        <v>57</v>
      </c>
      <c r="M4" s="1" t="s">
        <v>58</v>
      </c>
      <c r="N4" s="1" t="s">
        <v>59</v>
      </c>
      <c r="O4" s="1" t="s">
        <v>60</v>
      </c>
      <c r="P4" s="1">
        <v>0</v>
      </c>
      <c r="Q4" s="12">
        <v>193.35</v>
      </c>
      <c r="R4" s="1" t="s">
        <v>61</v>
      </c>
      <c r="S4" s="1" t="s">
        <v>62</v>
      </c>
      <c r="T4" s="6" t="s">
        <v>63</v>
      </c>
      <c r="U4" s="13">
        <v>0.23</v>
      </c>
      <c r="V4" s="12">
        <v>0</v>
      </c>
      <c r="W4" s="12">
        <v>-44.47</v>
      </c>
      <c r="X4" s="1" t="s">
        <v>57</v>
      </c>
    </row>
    <row r="5" spans="1:24" x14ac:dyDescent="0.2">
      <c r="A5" s="1" t="s">
        <v>46</v>
      </c>
      <c r="B5" s="1" t="s">
        <v>47</v>
      </c>
      <c r="C5" s="1" t="s">
        <v>48</v>
      </c>
      <c r="D5" s="1" t="s">
        <v>49</v>
      </c>
      <c r="E5" s="1" t="s">
        <v>70</v>
      </c>
      <c r="F5" s="1" t="s">
        <v>71</v>
      </c>
      <c r="G5" s="1" t="s">
        <v>52</v>
      </c>
      <c r="H5" s="1" t="s">
        <v>53</v>
      </c>
      <c r="I5" s="1" t="s">
        <v>54</v>
      </c>
      <c r="J5" s="1" t="s">
        <v>66</v>
      </c>
      <c r="K5" s="1" t="s">
        <v>67</v>
      </c>
      <c r="L5" s="11" t="s">
        <v>57</v>
      </c>
      <c r="M5" s="1" t="s">
        <v>58</v>
      </c>
      <c r="N5" s="1" t="s">
        <v>59</v>
      </c>
      <c r="O5" s="1" t="s">
        <v>60</v>
      </c>
      <c r="P5" s="1">
        <v>0</v>
      </c>
      <c r="Q5" s="12">
        <v>133.56</v>
      </c>
      <c r="R5" s="1" t="s">
        <v>61</v>
      </c>
      <c r="S5" s="1" t="s">
        <v>62</v>
      </c>
      <c r="T5" s="6" t="s">
        <v>63</v>
      </c>
      <c r="U5" s="13">
        <v>0.23</v>
      </c>
      <c r="V5" s="12">
        <v>0</v>
      </c>
      <c r="W5" s="12">
        <v>-30.72</v>
      </c>
      <c r="X5" s="1" t="s">
        <v>57</v>
      </c>
    </row>
    <row r="6" spans="1:24" x14ac:dyDescent="0.2">
      <c r="A6" s="1" t="s">
        <v>72</v>
      </c>
      <c r="B6" s="1" t="s">
        <v>47</v>
      </c>
      <c r="C6" s="1" t="s">
        <v>48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53</v>
      </c>
      <c r="I6" s="1" t="s">
        <v>77</v>
      </c>
      <c r="J6" s="1" t="s">
        <v>78</v>
      </c>
      <c r="K6" s="1" t="s">
        <v>67</v>
      </c>
      <c r="L6" s="11" t="s">
        <v>57</v>
      </c>
      <c r="M6" s="1" t="s">
        <v>58</v>
      </c>
      <c r="N6" s="1" t="s">
        <v>59</v>
      </c>
      <c r="O6" s="1" t="s">
        <v>60</v>
      </c>
      <c r="P6" s="1">
        <v>0</v>
      </c>
      <c r="Q6" s="12">
        <v>164.7</v>
      </c>
      <c r="R6" s="1" t="s">
        <v>79</v>
      </c>
      <c r="S6" s="1" t="s">
        <v>80</v>
      </c>
      <c r="T6" s="6" t="s">
        <v>63</v>
      </c>
      <c r="U6" s="13">
        <v>0.22</v>
      </c>
      <c r="V6" s="12">
        <v>36.229999999999997</v>
      </c>
      <c r="W6" s="12">
        <v>0</v>
      </c>
      <c r="X6" s="1" t="s">
        <v>57</v>
      </c>
    </row>
    <row r="7" spans="1:24" x14ac:dyDescent="0.2">
      <c r="A7" s="1" t="s">
        <v>46</v>
      </c>
      <c r="B7" s="1" t="s">
        <v>47</v>
      </c>
      <c r="C7" s="1" t="s">
        <v>48</v>
      </c>
      <c r="D7" s="1" t="s">
        <v>81</v>
      </c>
      <c r="E7" s="1" t="s">
        <v>82</v>
      </c>
      <c r="F7" s="1" t="s">
        <v>83</v>
      </c>
      <c r="G7" s="1" t="s">
        <v>52</v>
      </c>
      <c r="H7" s="1" t="s">
        <v>53</v>
      </c>
      <c r="I7" s="1" t="s">
        <v>54</v>
      </c>
      <c r="J7" s="1" t="s">
        <v>84</v>
      </c>
      <c r="K7" s="1" t="s">
        <v>67</v>
      </c>
      <c r="L7" s="11" t="s">
        <v>57</v>
      </c>
      <c r="M7" s="1" t="s">
        <v>58</v>
      </c>
      <c r="N7" s="1" t="s">
        <v>59</v>
      </c>
      <c r="O7" s="1" t="s">
        <v>60</v>
      </c>
      <c r="P7" s="1">
        <v>0</v>
      </c>
      <c r="Q7" s="12">
        <v>143.59</v>
      </c>
      <c r="R7" s="1" t="s">
        <v>61</v>
      </c>
      <c r="S7" s="1" t="s">
        <v>62</v>
      </c>
      <c r="T7" s="6" t="s">
        <v>63</v>
      </c>
      <c r="U7" s="13">
        <v>0.23</v>
      </c>
      <c r="V7" s="12">
        <v>0</v>
      </c>
      <c r="W7" s="12">
        <v>-33.03</v>
      </c>
      <c r="X7" s="1" t="s">
        <v>57</v>
      </c>
    </row>
    <row r="8" spans="1:24" x14ac:dyDescent="0.2">
      <c r="A8" s="1" t="s">
        <v>46</v>
      </c>
      <c r="B8" s="1" t="s">
        <v>47</v>
      </c>
      <c r="C8" s="1" t="s">
        <v>48</v>
      </c>
      <c r="D8" s="1" t="s">
        <v>81</v>
      </c>
      <c r="E8" s="1" t="s">
        <v>85</v>
      </c>
      <c r="F8" s="1" t="s">
        <v>86</v>
      </c>
      <c r="G8" s="1" t="s">
        <v>52</v>
      </c>
      <c r="H8" s="1" t="s">
        <v>53</v>
      </c>
      <c r="I8" s="1" t="s">
        <v>54</v>
      </c>
      <c r="J8" s="1" t="s">
        <v>66</v>
      </c>
      <c r="K8" s="1" t="s">
        <v>67</v>
      </c>
      <c r="L8" s="11" t="s">
        <v>57</v>
      </c>
      <c r="M8" s="1" t="s">
        <v>58</v>
      </c>
      <c r="N8" s="1" t="s">
        <v>59</v>
      </c>
      <c r="O8" s="1" t="s">
        <v>60</v>
      </c>
      <c r="P8" s="1">
        <v>0</v>
      </c>
      <c r="Q8" s="12">
        <v>142.80000000000001</v>
      </c>
      <c r="R8" s="1" t="s">
        <v>61</v>
      </c>
      <c r="S8" s="1" t="s">
        <v>62</v>
      </c>
      <c r="T8" s="6" t="s">
        <v>63</v>
      </c>
      <c r="U8" s="13">
        <v>0.23</v>
      </c>
      <c r="V8" s="12">
        <v>0</v>
      </c>
      <c r="W8" s="12">
        <v>-32.840000000000003</v>
      </c>
      <c r="X8" s="1" t="s">
        <v>57</v>
      </c>
    </row>
    <row r="9" spans="1:24" x14ac:dyDescent="0.2">
      <c r="A9" s="1" t="s">
        <v>46</v>
      </c>
      <c r="B9" s="1" t="s">
        <v>47</v>
      </c>
      <c r="C9" s="1" t="s">
        <v>48</v>
      </c>
      <c r="D9" s="1" t="s">
        <v>49</v>
      </c>
      <c r="E9" s="1" t="s">
        <v>87</v>
      </c>
      <c r="F9" s="1" t="s">
        <v>88</v>
      </c>
      <c r="G9" s="1" t="s">
        <v>52</v>
      </c>
      <c r="H9" s="1" t="s">
        <v>89</v>
      </c>
      <c r="I9" s="1" t="s">
        <v>54</v>
      </c>
      <c r="J9" s="1" t="s">
        <v>90</v>
      </c>
      <c r="K9" s="1" t="s">
        <v>91</v>
      </c>
      <c r="L9" s="11" t="s">
        <v>57</v>
      </c>
      <c r="M9" s="1" t="s">
        <v>58</v>
      </c>
      <c r="N9" s="1" t="s">
        <v>59</v>
      </c>
      <c r="O9" s="1" t="s">
        <v>60</v>
      </c>
      <c r="P9" s="1">
        <v>0</v>
      </c>
      <c r="Q9" s="12">
        <v>128.66999999999999</v>
      </c>
      <c r="R9" s="1" t="s">
        <v>61</v>
      </c>
      <c r="S9" s="1" t="s">
        <v>62</v>
      </c>
      <c r="T9" s="6" t="s">
        <v>63</v>
      </c>
      <c r="U9" s="13">
        <v>0.23</v>
      </c>
      <c r="V9" s="12">
        <v>0</v>
      </c>
      <c r="W9" s="12">
        <v>-29.59</v>
      </c>
      <c r="X9" s="1" t="s">
        <v>57</v>
      </c>
    </row>
    <row r="10" spans="1:24" x14ac:dyDescent="0.2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92</v>
      </c>
      <c r="F10" s="1" t="s">
        <v>93</v>
      </c>
      <c r="G10" s="1" t="s">
        <v>52</v>
      </c>
      <c r="H10" s="1" t="s">
        <v>89</v>
      </c>
      <c r="I10" s="1" t="s">
        <v>54</v>
      </c>
      <c r="J10" s="1" t="s">
        <v>94</v>
      </c>
      <c r="K10" s="1" t="s">
        <v>91</v>
      </c>
      <c r="L10" s="11" t="s">
        <v>57</v>
      </c>
      <c r="M10" s="1" t="s">
        <v>58</v>
      </c>
      <c r="N10" s="1" t="s">
        <v>59</v>
      </c>
      <c r="O10" s="1" t="s">
        <v>60</v>
      </c>
      <c r="P10" s="1">
        <v>0</v>
      </c>
      <c r="Q10" s="12">
        <v>129.38999999999999</v>
      </c>
      <c r="R10" s="1" t="s">
        <v>61</v>
      </c>
      <c r="S10" s="1" t="s">
        <v>62</v>
      </c>
      <c r="T10" s="6" t="s">
        <v>63</v>
      </c>
      <c r="U10" s="13">
        <v>0.23</v>
      </c>
      <c r="V10" s="12">
        <v>0</v>
      </c>
      <c r="W10" s="12">
        <v>-29.76</v>
      </c>
      <c r="X10" s="1" t="s">
        <v>57</v>
      </c>
    </row>
    <row r="11" spans="1:24" x14ac:dyDescent="0.2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95</v>
      </c>
      <c r="F11" s="1" t="s">
        <v>96</v>
      </c>
      <c r="G11" s="1" t="s">
        <v>52</v>
      </c>
      <c r="H11" s="1" t="s">
        <v>89</v>
      </c>
      <c r="I11" s="1" t="s">
        <v>54</v>
      </c>
      <c r="J11" s="1" t="s">
        <v>90</v>
      </c>
      <c r="K11" s="1" t="s">
        <v>91</v>
      </c>
      <c r="L11" s="11" t="s">
        <v>57</v>
      </c>
      <c r="M11" s="1" t="s">
        <v>58</v>
      </c>
      <c r="N11" s="1" t="s">
        <v>59</v>
      </c>
      <c r="O11" s="1" t="s">
        <v>60</v>
      </c>
      <c r="P11" s="1">
        <v>0</v>
      </c>
      <c r="Q11" s="12">
        <v>150.41</v>
      </c>
      <c r="R11" s="1" t="s">
        <v>61</v>
      </c>
      <c r="S11" s="1" t="s">
        <v>62</v>
      </c>
      <c r="T11" s="6" t="s">
        <v>63</v>
      </c>
      <c r="U11" s="13">
        <v>0.23</v>
      </c>
      <c r="V11" s="12">
        <v>0</v>
      </c>
      <c r="W11" s="12">
        <v>-34.590000000000003</v>
      </c>
      <c r="X11" s="1" t="s">
        <v>57</v>
      </c>
    </row>
    <row r="12" spans="1:24" x14ac:dyDescent="0.2">
      <c r="A12" s="1" t="s">
        <v>46</v>
      </c>
      <c r="B12" s="1" t="s">
        <v>47</v>
      </c>
      <c r="C12" s="1" t="s">
        <v>48</v>
      </c>
      <c r="D12" s="1" t="s">
        <v>81</v>
      </c>
      <c r="E12" s="1" t="s">
        <v>97</v>
      </c>
      <c r="F12" s="1" t="s">
        <v>98</v>
      </c>
      <c r="G12" s="1" t="s">
        <v>52</v>
      </c>
      <c r="H12" s="1" t="s">
        <v>99</v>
      </c>
      <c r="I12" s="1" t="s">
        <v>54</v>
      </c>
      <c r="J12" s="1" t="s">
        <v>100</v>
      </c>
      <c r="K12" s="1" t="s">
        <v>91</v>
      </c>
      <c r="L12" s="11" t="s">
        <v>57</v>
      </c>
      <c r="M12" s="1" t="s">
        <v>58</v>
      </c>
      <c r="N12" s="1" t="s">
        <v>59</v>
      </c>
      <c r="O12" s="1" t="s">
        <v>60</v>
      </c>
      <c r="P12" s="1">
        <v>0</v>
      </c>
      <c r="Q12" s="12">
        <v>162.27000000000001</v>
      </c>
      <c r="R12" s="1" t="s">
        <v>79</v>
      </c>
      <c r="S12" s="1" t="s">
        <v>80</v>
      </c>
      <c r="T12" s="6" t="s">
        <v>63</v>
      </c>
      <c r="U12" s="13">
        <v>0.23</v>
      </c>
      <c r="V12" s="12">
        <v>37.32</v>
      </c>
      <c r="W12" s="12">
        <v>0</v>
      </c>
      <c r="X12" s="1" t="s">
        <v>57</v>
      </c>
    </row>
    <row r="13" spans="1:24" x14ac:dyDescent="0.2">
      <c r="A13" s="1" t="s">
        <v>46</v>
      </c>
      <c r="B13" s="1" t="s">
        <v>47</v>
      </c>
      <c r="C13" s="1" t="s">
        <v>48</v>
      </c>
      <c r="D13" s="1" t="s">
        <v>101</v>
      </c>
      <c r="E13" s="1" t="s">
        <v>102</v>
      </c>
      <c r="F13" s="1" t="s">
        <v>103</v>
      </c>
      <c r="G13" s="1" t="s">
        <v>52</v>
      </c>
      <c r="H13" s="1" t="s">
        <v>89</v>
      </c>
      <c r="I13" s="1" t="s">
        <v>54</v>
      </c>
      <c r="J13" s="1" t="s">
        <v>66</v>
      </c>
      <c r="K13" s="1" t="s">
        <v>91</v>
      </c>
      <c r="L13" s="11" t="s">
        <v>57</v>
      </c>
      <c r="M13" s="1" t="s">
        <v>58</v>
      </c>
      <c r="N13" s="1" t="s">
        <v>59</v>
      </c>
      <c r="O13" s="1" t="s">
        <v>60</v>
      </c>
      <c r="P13" s="1">
        <v>0</v>
      </c>
      <c r="Q13" s="12">
        <v>148.22</v>
      </c>
      <c r="R13" s="1" t="s">
        <v>61</v>
      </c>
      <c r="S13" s="1" t="s">
        <v>62</v>
      </c>
      <c r="T13" s="6" t="s">
        <v>63</v>
      </c>
      <c r="U13" s="13">
        <v>0.23</v>
      </c>
      <c r="V13" s="12">
        <v>0</v>
      </c>
      <c r="W13" s="12">
        <v>-34.090000000000003</v>
      </c>
      <c r="X13" s="1" t="s">
        <v>57</v>
      </c>
    </row>
    <row r="14" spans="1:24" x14ac:dyDescent="0.2">
      <c r="A14" s="1" t="s">
        <v>46</v>
      </c>
      <c r="B14" s="1" t="s">
        <v>47</v>
      </c>
      <c r="C14" s="1" t="s">
        <v>104</v>
      </c>
      <c r="D14" s="1" t="s">
        <v>49</v>
      </c>
      <c r="E14" s="1" t="s">
        <v>105</v>
      </c>
      <c r="F14" s="1" t="s">
        <v>106</v>
      </c>
      <c r="G14" s="1" t="s">
        <v>52</v>
      </c>
      <c r="H14" s="1" t="s">
        <v>53</v>
      </c>
      <c r="I14" s="1" t="s">
        <v>107</v>
      </c>
      <c r="J14" s="1" t="s">
        <v>67</v>
      </c>
      <c r="K14" s="1" t="s">
        <v>108</v>
      </c>
      <c r="L14" s="11" t="s">
        <v>57</v>
      </c>
      <c r="M14" s="1" t="s">
        <v>58</v>
      </c>
      <c r="N14" s="1" t="s">
        <v>59</v>
      </c>
      <c r="O14" s="1" t="s">
        <v>60</v>
      </c>
      <c r="P14" s="1">
        <v>0</v>
      </c>
      <c r="Q14" s="12">
        <v>109.4</v>
      </c>
      <c r="R14" s="1" t="s">
        <v>61</v>
      </c>
      <c r="S14" s="1" t="s">
        <v>109</v>
      </c>
      <c r="T14" s="6" t="s">
        <v>63</v>
      </c>
      <c r="U14" s="13">
        <v>0.27</v>
      </c>
      <c r="V14" s="12">
        <v>29.54</v>
      </c>
      <c r="W14" s="12">
        <v>0</v>
      </c>
      <c r="X14" s="1" t="s">
        <v>57</v>
      </c>
    </row>
    <row r="15" spans="1:24" x14ac:dyDescent="0.2">
      <c r="A15" s="1" t="s">
        <v>110</v>
      </c>
      <c r="B15" s="1" t="s">
        <v>47</v>
      </c>
      <c r="C15" s="1" t="s">
        <v>104</v>
      </c>
      <c r="D15" s="1" t="s">
        <v>111</v>
      </c>
      <c r="E15" s="1" t="s">
        <v>112</v>
      </c>
      <c r="F15" s="1" t="s">
        <v>113</v>
      </c>
      <c r="G15" s="1" t="s">
        <v>114</v>
      </c>
      <c r="H15" s="1" t="s">
        <v>89</v>
      </c>
      <c r="I15" s="1" t="s">
        <v>115</v>
      </c>
      <c r="J15" s="1" t="s">
        <v>91</v>
      </c>
      <c r="K15" s="1" t="s">
        <v>67</v>
      </c>
      <c r="L15" s="11">
        <v>32</v>
      </c>
      <c r="M15" s="1" t="s">
        <v>58</v>
      </c>
      <c r="N15" s="1" t="s">
        <v>59</v>
      </c>
      <c r="O15" s="1" t="s">
        <v>60</v>
      </c>
      <c r="P15" s="1">
        <v>300</v>
      </c>
      <c r="Q15" s="12">
        <v>711.27</v>
      </c>
      <c r="R15" s="1" t="s">
        <v>61</v>
      </c>
      <c r="S15" s="1" t="s">
        <v>109</v>
      </c>
      <c r="T15" s="6" t="s">
        <v>63</v>
      </c>
      <c r="U15" s="13">
        <v>1.5</v>
      </c>
      <c r="V15" s="12">
        <v>1066.95</v>
      </c>
      <c r="W15" s="12">
        <v>1066.95</v>
      </c>
      <c r="X15" s="1" t="s">
        <v>57</v>
      </c>
    </row>
    <row r="16" spans="1:24" x14ac:dyDescent="0.2">
      <c r="A16" s="1" t="s">
        <v>110</v>
      </c>
      <c r="B16" s="1" t="s">
        <v>47</v>
      </c>
      <c r="C16" s="1" t="s">
        <v>104</v>
      </c>
      <c r="D16" s="1" t="s">
        <v>116</v>
      </c>
      <c r="E16" s="1" t="s">
        <v>117</v>
      </c>
      <c r="F16" s="1" t="s">
        <v>118</v>
      </c>
      <c r="G16" s="1" t="s">
        <v>52</v>
      </c>
      <c r="H16" s="1" t="s">
        <v>89</v>
      </c>
      <c r="I16" s="1" t="s">
        <v>119</v>
      </c>
      <c r="J16" s="1" t="s">
        <v>84</v>
      </c>
      <c r="K16" s="1" t="s">
        <v>67</v>
      </c>
      <c r="L16" s="11">
        <v>62</v>
      </c>
      <c r="M16" s="1" t="s">
        <v>58</v>
      </c>
      <c r="N16" s="1" t="s">
        <v>59</v>
      </c>
      <c r="O16" s="1" t="s">
        <v>60</v>
      </c>
      <c r="P16" s="1">
        <v>75</v>
      </c>
      <c r="Q16" s="12">
        <v>197.05</v>
      </c>
      <c r="R16" s="1" t="s">
        <v>61</v>
      </c>
      <c r="S16" s="1" t="s">
        <v>62</v>
      </c>
      <c r="T16" s="6" t="s">
        <v>63</v>
      </c>
      <c r="U16" s="13">
        <v>0.67500000000000004</v>
      </c>
      <c r="V16" s="12">
        <v>0</v>
      </c>
      <c r="W16" s="12">
        <v>-133.01</v>
      </c>
      <c r="X16" s="1" t="s">
        <v>57</v>
      </c>
    </row>
    <row r="17" spans="1:24" x14ac:dyDescent="0.2">
      <c r="A17" s="1" t="s">
        <v>110</v>
      </c>
      <c r="B17" s="1" t="s">
        <v>47</v>
      </c>
      <c r="C17" s="1" t="s">
        <v>104</v>
      </c>
      <c r="D17" s="1" t="s">
        <v>81</v>
      </c>
      <c r="E17" s="1" t="s">
        <v>120</v>
      </c>
      <c r="F17" s="1" t="s">
        <v>121</v>
      </c>
      <c r="G17" s="1" t="s">
        <v>122</v>
      </c>
      <c r="H17" s="1" t="s">
        <v>99</v>
      </c>
      <c r="I17" s="1" t="s">
        <v>123</v>
      </c>
      <c r="J17" s="1" t="s">
        <v>91</v>
      </c>
      <c r="K17" s="1" t="s">
        <v>67</v>
      </c>
      <c r="L17" s="11">
        <v>57</v>
      </c>
      <c r="M17" s="1" t="s">
        <v>58</v>
      </c>
      <c r="N17" s="1" t="s">
        <v>59</v>
      </c>
      <c r="O17" s="1" t="s">
        <v>60</v>
      </c>
      <c r="P17" s="1">
        <v>150</v>
      </c>
      <c r="Q17" s="12">
        <v>1522.26</v>
      </c>
      <c r="R17" s="1" t="s">
        <v>61</v>
      </c>
      <c r="S17" s="1" t="s">
        <v>109</v>
      </c>
      <c r="T17" s="6" t="s">
        <v>63</v>
      </c>
      <c r="U17" s="13">
        <v>1.5</v>
      </c>
      <c r="V17" s="12">
        <v>2000</v>
      </c>
      <c r="W17" s="12">
        <v>2000</v>
      </c>
      <c r="X17" s="1" t="s">
        <v>57</v>
      </c>
    </row>
    <row r="18" spans="1:24" x14ac:dyDescent="0.2">
      <c r="A18" s="1" t="s">
        <v>110</v>
      </c>
      <c r="B18" s="1" t="s">
        <v>47</v>
      </c>
      <c r="C18" s="1" t="s">
        <v>104</v>
      </c>
      <c r="D18" s="1" t="s">
        <v>81</v>
      </c>
      <c r="E18" s="1" t="s">
        <v>124</v>
      </c>
      <c r="F18" s="1" t="s">
        <v>125</v>
      </c>
      <c r="G18" s="1" t="s">
        <v>126</v>
      </c>
      <c r="H18" s="1" t="s">
        <v>53</v>
      </c>
      <c r="I18" s="1" t="s">
        <v>123</v>
      </c>
      <c r="J18" s="1" t="s">
        <v>67</v>
      </c>
      <c r="K18" s="1" t="s">
        <v>67</v>
      </c>
      <c r="L18" s="11">
        <v>62</v>
      </c>
      <c r="M18" s="1" t="s">
        <v>58</v>
      </c>
      <c r="N18" s="1" t="s">
        <v>59</v>
      </c>
      <c r="O18" s="1" t="s">
        <v>60</v>
      </c>
      <c r="P18" s="1">
        <v>150</v>
      </c>
      <c r="Q18" s="12">
        <v>2209.59</v>
      </c>
      <c r="R18" s="1" t="s">
        <v>61</v>
      </c>
      <c r="S18" s="1" t="s">
        <v>109</v>
      </c>
      <c r="T18" s="6" t="s">
        <v>63</v>
      </c>
      <c r="U18" s="13">
        <v>1.5</v>
      </c>
      <c r="V18" s="12">
        <v>2000</v>
      </c>
      <c r="W18" s="12">
        <v>2000</v>
      </c>
      <c r="X18" s="1" t="s">
        <v>57</v>
      </c>
    </row>
    <row r="19" spans="1:24" x14ac:dyDescent="0.2">
      <c r="A19" s="1" t="s">
        <v>110</v>
      </c>
      <c r="B19" s="1" t="s">
        <v>47</v>
      </c>
      <c r="C19" s="1" t="s">
        <v>104</v>
      </c>
      <c r="D19" s="1" t="s">
        <v>73</v>
      </c>
      <c r="E19" s="1" t="s">
        <v>127</v>
      </c>
      <c r="F19" s="1" t="s">
        <v>128</v>
      </c>
      <c r="G19" s="1" t="s">
        <v>129</v>
      </c>
      <c r="H19" s="1" t="s">
        <v>53</v>
      </c>
      <c r="I19" s="1" t="s">
        <v>130</v>
      </c>
      <c r="J19" s="1" t="s">
        <v>131</v>
      </c>
      <c r="K19" s="1" t="s">
        <v>67</v>
      </c>
      <c r="L19" s="11" t="s">
        <v>57</v>
      </c>
      <c r="M19" s="1" t="s">
        <v>58</v>
      </c>
      <c r="N19" s="1" t="s">
        <v>59</v>
      </c>
      <c r="O19" s="1" t="s">
        <v>60</v>
      </c>
      <c r="P19" s="1">
        <v>0</v>
      </c>
      <c r="Q19" s="12">
        <v>155.51</v>
      </c>
      <c r="R19" s="1" t="s">
        <v>79</v>
      </c>
      <c r="S19" s="1" t="s">
        <v>80</v>
      </c>
      <c r="T19" s="6" t="s">
        <v>63</v>
      </c>
      <c r="U19" s="13">
        <v>0.215</v>
      </c>
      <c r="V19" s="12">
        <v>33.43</v>
      </c>
      <c r="W19" s="12">
        <v>0</v>
      </c>
      <c r="X19" s="1" t="s">
        <v>57</v>
      </c>
    </row>
    <row r="20" spans="1:24" x14ac:dyDescent="0.2">
      <c r="A20" s="1" t="s">
        <v>110</v>
      </c>
      <c r="B20" s="1" t="s">
        <v>47</v>
      </c>
      <c r="C20" s="1" t="s">
        <v>104</v>
      </c>
      <c r="D20" s="1" t="s">
        <v>116</v>
      </c>
      <c r="E20" s="1" t="s">
        <v>132</v>
      </c>
      <c r="F20" s="1" t="s">
        <v>133</v>
      </c>
      <c r="G20" s="1" t="s">
        <v>134</v>
      </c>
      <c r="H20" s="1" t="s">
        <v>89</v>
      </c>
      <c r="I20" s="1" t="s">
        <v>123</v>
      </c>
      <c r="J20" s="1" t="s">
        <v>99</v>
      </c>
      <c r="K20" s="1" t="s">
        <v>135</v>
      </c>
      <c r="L20" s="11">
        <v>59</v>
      </c>
      <c r="M20" s="1" t="s">
        <v>58</v>
      </c>
      <c r="N20" s="1" t="s">
        <v>59</v>
      </c>
      <c r="O20" s="1" t="s">
        <v>60</v>
      </c>
      <c r="P20" s="1">
        <v>95</v>
      </c>
      <c r="Q20" s="12">
        <v>123.96</v>
      </c>
      <c r="R20" s="1" t="s">
        <v>61</v>
      </c>
      <c r="S20" s="1" t="s">
        <v>136</v>
      </c>
      <c r="T20" s="6" t="s">
        <v>63</v>
      </c>
      <c r="U20" s="13">
        <v>1.5</v>
      </c>
      <c r="V20" s="12">
        <v>0</v>
      </c>
      <c r="W20" s="12">
        <v>-185.94</v>
      </c>
      <c r="X20" s="1" t="s">
        <v>57</v>
      </c>
    </row>
    <row r="21" spans="1:24" x14ac:dyDescent="0.2">
      <c r="A21" s="1" t="s">
        <v>110</v>
      </c>
      <c r="B21" s="1" t="s">
        <v>47</v>
      </c>
      <c r="C21" s="1" t="s">
        <v>104</v>
      </c>
      <c r="D21" s="1" t="s">
        <v>137</v>
      </c>
      <c r="E21" s="1" t="s">
        <v>138</v>
      </c>
      <c r="F21" s="1" t="s">
        <v>139</v>
      </c>
      <c r="G21" s="1" t="s">
        <v>52</v>
      </c>
      <c r="H21" s="1" t="s">
        <v>140</v>
      </c>
      <c r="I21" s="1" t="s">
        <v>141</v>
      </c>
      <c r="J21" s="1" t="s">
        <v>142</v>
      </c>
      <c r="K21" s="1" t="s">
        <v>143</v>
      </c>
      <c r="L21" s="11">
        <v>0</v>
      </c>
      <c r="M21" s="1" t="s">
        <v>58</v>
      </c>
      <c r="N21" s="1" t="s">
        <v>59</v>
      </c>
      <c r="O21" s="1" t="s">
        <v>60</v>
      </c>
      <c r="P21" s="1">
        <v>50</v>
      </c>
      <c r="Q21" s="12">
        <v>19.04</v>
      </c>
      <c r="R21" s="1" t="s">
        <v>61</v>
      </c>
      <c r="S21" s="1" t="s">
        <v>136</v>
      </c>
      <c r="T21" s="6" t="s">
        <v>63</v>
      </c>
      <c r="U21" s="13">
        <v>1.1499999999999999</v>
      </c>
      <c r="V21" s="12">
        <v>0</v>
      </c>
      <c r="W21" s="12">
        <v>-21.9</v>
      </c>
      <c r="X21" s="1" t="s">
        <v>57</v>
      </c>
    </row>
    <row r="22" spans="1:24" x14ac:dyDescent="0.2">
      <c r="A22" s="1" t="s">
        <v>110</v>
      </c>
      <c r="B22" s="1" t="s">
        <v>47</v>
      </c>
      <c r="C22" s="1" t="s">
        <v>104</v>
      </c>
      <c r="D22" s="1" t="s">
        <v>137</v>
      </c>
      <c r="E22" s="1" t="s">
        <v>144</v>
      </c>
      <c r="F22" s="1" t="s">
        <v>145</v>
      </c>
      <c r="G22" s="1" t="s">
        <v>52</v>
      </c>
      <c r="H22" s="1" t="s">
        <v>89</v>
      </c>
      <c r="I22" s="1" t="s">
        <v>141</v>
      </c>
      <c r="J22" s="1" t="s">
        <v>146</v>
      </c>
      <c r="K22" s="1" t="s">
        <v>147</v>
      </c>
      <c r="L22" s="11">
        <v>0</v>
      </c>
      <c r="M22" s="1" t="s">
        <v>58</v>
      </c>
      <c r="N22" s="1" t="s">
        <v>59</v>
      </c>
      <c r="O22" s="1" t="s">
        <v>60</v>
      </c>
      <c r="P22" s="1">
        <v>50</v>
      </c>
      <c r="Q22" s="12">
        <v>19.04</v>
      </c>
      <c r="R22" s="1" t="s">
        <v>61</v>
      </c>
      <c r="S22" s="1" t="s">
        <v>136</v>
      </c>
      <c r="T22" s="6" t="s">
        <v>63</v>
      </c>
      <c r="U22" s="13">
        <v>1.1499999999999999</v>
      </c>
      <c r="V22" s="12">
        <v>0</v>
      </c>
      <c r="W22" s="12">
        <v>-21.9</v>
      </c>
      <c r="X22" s="1" t="s">
        <v>57</v>
      </c>
    </row>
    <row r="23" spans="1:24" x14ac:dyDescent="0.2">
      <c r="A23" s="1" t="s">
        <v>110</v>
      </c>
      <c r="B23" s="1" t="s">
        <v>47</v>
      </c>
      <c r="C23" s="1" t="s">
        <v>104</v>
      </c>
      <c r="D23" s="1" t="s">
        <v>116</v>
      </c>
      <c r="E23" s="1" t="s">
        <v>148</v>
      </c>
      <c r="F23" s="1" t="s">
        <v>149</v>
      </c>
      <c r="G23" s="1" t="s">
        <v>76</v>
      </c>
      <c r="H23" s="1" t="s">
        <v>140</v>
      </c>
      <c r="I23" s="1" t="s">
        <v>119</v>
      </c>
      <c r="J23" s="1" t="s">
        <v>147</v>
      </c>
      <c r="K23" s="1" t="s">
        <v>147</v>
      </c>
      <c r="L23" s="11">
        <v>60</v>
      </c>
      <c r="M23" s="1" t="s">
        <v>58</v>
      </c>
      <c r="N23" s="1" t="s">
        <v>59</v>
      </c>
      <c r="O23" s="1" t="s">
        <v>60</v>
      </c>
      <c r="P23" s="1">
        <v>81</v>
      </c>
      <c r="Q23" s="12">
        <v>1231.3800000000001</v>
      </c>
      <c r="R23" s="1" t="s">
        <v>61</v>
      </c>
      <c r="S23" s="1" t="s">
        <v>109</v>
      </c>
      <c r="T23" s="6" t="s">
        <v>63</v>
      </c>
      <c r="U23" s="13">
        <v>1.35</v>
      </c>
      <c r="V23" s="12">
        <v>1662.36</v>
      </c>
      <c r="W23" s="12">
        <v>1662.36</v>
      </c>
      <c r="X23" s="1" t="s">
        <v>57</v>
      </c>
    </row>
    <row r="24" spans="1:24" x14ac:dyDescent="0.2">
      <c r="A24" s="1" t="s">
        <v>110</v>
      </c>
      <c r="B24" s="1" t="s">
        <v>47</v>
      </c>
      <c r="C24" s="1" t="s">
        <v>104</v>
      </c>
      <c r="D24" s="1" t="s">
        <v>116</v>
      </c>
      <c r="E24" s="1" t="s">
        <v>150</v>
      </c>
      <c r="F24" s="1" t="s">
        <v>151</v>
      </c>
      <c r="G24" s="1" t="s">
        <v>152</v>
      </c>
      <c r="H24" s="1" t="s">
        <v>99</v>
      </c>
      <c r="I24" s="1" t="s">
        <v>123</v>
      </c>
      <c r="J24" s="1" t="s">
        <v>147</v>
      </c>
      <c r="K24" s="1" t="s">
        <v>147</v>
      </c>
      <c r="L24" s="11">
        <v>65</v>
      </c>
      <c r="M24" s="1" t="s">
        <v>58</v>
      </c>
      <c r="N24" s="1" t="s">
        <v>59</v>
      </c>
      <c r="O24" s="1" t="s">
        <v>60</v>
      </c>
      <c r="P24" s="1">
        <v>43</v>
      </c>
      <c r="Q24" s="12">
        <v>880.92</v>
      </c>
      <c r="R24" s="1" t="s">
        <v>61</v>
      </c>
      <c r="S24" s="1" t="s">
        <v>109</v>
      </c>
      <c r="T24" s="6" t="s">
        <v>63</v>
      </c>
      <c r="U24" s="13">
        <v>1.5</v>
      </c>
      <c r="V24" s="12">
        <v>1321.38</v>
      </c>
      <c r="W24" s="12">
        <v>1321.38</v>
      </c>
      <c r="X24" s="1" t="s">
        <v>57</v>
      </c>
    </row>
    <row r="25" spans="1:24" x14ac:dyDescent="0.2">
      <c r="A25" s="1" t="s">
        <v>110</v>
      </c>
      <c r="B25" s="1" t="s">
        <v>47</v>
      </c>
      <c r="C25" s="1" t="s">
        <v>104</v>
      </c>
      <c r="D25" s="1" t="s">
        <v>153</v>
      </c>
      <c r="E25" s="1" t="s">
        <v>154</v>
      </c>
      <c r="F25" s="1" t="s">
        <v>155</v>
      </c>
      <c r="G25" s="1" t="s">
        <v>156</v>
      </c>
      <c r="H25" s="1" t="s">
        <v>140</v>
      </c>
      <c r="I25" s="1" t="s">
        <v>119</v>
      </c>
      <c r="J25" s="1" t="s">
        <v>89</v>
      </c>
      <c r="K25" s="1" t="s">
        <v>157</v>
      </c>
      <c r="L25" s="11">
        <v>56</v>
      </c>
      <c r="M25" s="1" t="s">
        <v>58</v>
      </c>
      <c r="N25" s="1" t="s">
        <v>59</v>
      </c>
      <c r="O25" s="1" t="s">
        <v>60</v>
      </c>
      <c r="P25" s="1">
        <v>91</v>
      </c>
      <c r="Q25" s="12">
        <v>175</v>
      </c>
      <c r="R25" s="1" t="s">
        <v>61</v>
      </c>
      <c r="S25" s="1" t="s">
        <v>136</v>
      </c>
      <c r="T25" s="6" t="s">
        <v>63</v>
      </c>
      <c r="U25" s="13">
        <v>0.67500000000000004</v>
      </c>
      <c r="V25" s="12">
        <v>0</v>
      </c>
      <c r="W25" s="12">
        <v>-118.13</v>
      </c>
      <c r="X25" s="1" t="s">
        <v>57</v>
      </c>
    </row>
    <row r="26" spans="1:24" x14ac:dyDescent="0.2">
      <c r="A26" s="1" t="s">
        <v>110</v>
      </c>
      <c r="B26" s="1" t="s">
        <v>47</v>
      </c>
      <c r="C26" s="1" t="s">
        <v>104</v>
      </c>
      <c r="D26" s="1" t="s">
        <v>81</v>
      </c>
      <c r="E26" s="1" t="s">
        <v>158</v>
      </c>
      <c r="F26" s="1" t="s">
        <v>159</v>
      </c>
      <c r="G26" s="1" t="s">
        <v>114</v>
      </c>
      <c r="H26" s="1" t="s">
        <v>53</v>
      </c>
      <c r="I26" s="1" t="s">
        <v>123</v>
      </c>
      <c r="J26" s="1" t="s">
        <v>160</v>
      </c>
      <c r="K26" s="1" t="s">
        <v>160</v>
      </c>
      <c r="L26" s="11">
        <v>64</v>
      </c>
      <c r="M26" s="1" t="s">
        <v>58</v>
      </c>
      <c r="N26" s="1" t="s">
        <v>59</v>
      </c>
      <c r="O26" s="1" t="s">
        <v>60</v>
      </c>
      <c r="P26" s="1">
        <v>125</v>
      </c>
      <c r="Q26" s="12">
        <v>2261.79</v>
      </c>
      <c r="R26" s="1" t="s">
        <v>61</v>
      </c>
      <c r="S26" s="1" t="s">
        <v>109</v>
      </c>
      <c r="T26" s="6" t="s">
        <v>63</v>
      </c>
      <c r="U26" s="13">
        <v>1.5</v>
      </c>
      <c r="V26" s="12">
        <v>2000</v>
      </c>
      <c r="W26" s="12">
        <v>2000</v>
      </c>
      <c r="X26" s="1" t="s">
        <v>57</v>
      </c>
    </row>
    <row r="27" spans="1:24" x14ac:dyDescent="0.2">
      <c r="A27" s="1" t="s">
        <v>110</v>
      </c>
      <c r="B27" s="1" t="s">
        <v>47</v>
      </c>
      <c r="C27" s="1" t="s">
        <v>104</v>
      </c>
      <c r="D27" s="1" t="s">
        <v>81</v>
      </c>
      <c r="E27" s="1" t="s">
        <v>161</v>
      </c>
      <c r="F27" s="1" t="s">
        <v>162</v>
      </c>
      <c r="G27" s="1" t="s">
        <v>114</v>
      </c>
      <c r="H27" s="1" t="s">
        <v>53</v>
      </c>
      <c r="I27" s="1" t="s">
        <v>119</v>
      </c>
      <c r="J27" s="1" t="s">
        <v>163</v>
      </c>
      <c r="K27" s="1" t="s">
        <v>163</v>
      </c>
      <c r="L27" s="11">
        <v>65</v>
      </c>
      <c r="M27" s="1" t="s">
        <v>58</v>
      </c>
      <c r="N27" s="1" t="s">
        <v>59</v>
      </c>
      <c r="O27" s="1" t="s">
        <v>60</v>
      </c>
      <c r="P27" s="1">
        <v>25</v>
      </c>
      <c r="Q27" s="12">
        <v>756.72</v>
      </c>
      <c r="R27" s="1" t="s">
        <v>61</v>
      </c>
      <c r="S27" s="1" t="s">
        <v>109</v>
      </c>
      <c r="T27" s="6" t="s">
        <v>63</v>
      </c>
      <c r="U27" s="13">
        <v>1.35</v>
      </c>
      <c r="V27" s="12">
        <v>1021.57</v>
      </c>
      <c r="W27" s="12">
        <v>1021.57</v>
      </c>
      <c r="X27" s="1" t="s">
        <v>57</v>
      </c>
    </row>
    <row r="28" spans="1:24" x14ac:dyDescent="0.2">
      <c r="A28" s="1" t="s">
        <v>110</v>
      </c>
      <c r="B28" s="1" t="s">
        <v>47</v>
      </c>
      <c r="C28" s="1" t="s">
        <v>104</v>
      </c>
      <c r="D28" s="1" t="s">
        <v>81</v>
      </c>
      <c r="E28" s="1" t="s">
        <v>164</v>
      </c>
      <c r="F28" s="1" t="s">
        <v>165</v>
      </c>
      <c r="G28" s="1" t="s">
        <v>166</v>
      </c>
      <c r="H28" s="1" t="s">
        <v>140</v>
      </c>
      <c r="I28" s="1" t="s">
        <v>119</v>
      </c>
      <c r="J28" s="1" t="s">
        <v>167</v>
      </c>
      <c r="K28" s="1" t="s">
        <v>157</v>
      </c>
      <c r="L28" s="11">
        <v>53</v>
      </c>
      <c r="M28" s="1" t="s">
        <v>58</v>
      </c>
      <c r="N28" s="1" t="s">
        <v>59</v>
      </c>
      <c r="O28" s="1" t="s">
        <v>60</v>
      </c>
      <c r="P28" s="1">
        <v>200</v>
      </c>
      <c r="Q28" s="12">
        <v>309.85000000000002</v>
      </c>
      <c r="R28" s="1" t="s">
        <v>61</v>
      </c>
      <c r="S28" s="1" t="s">
        <v>62</v>
      </c>
      <c r="T28" s="6" t="s">
        <v>63</v>
      </c>
      <c r="U28" s="13">
        <v>0.67500000000000004</v>
      </c>
      <c r="V28" s="12">
        <v>0</v>
      </c>
      <c r="W28" s="12">
        <v>-209.15</v>
      </c>
      <c r="X28" s="1" t="s">
        <v>57</v>
      </c>
    </row>
    <row r="29" spans="1:24" x14ac:dyDescent="0.2">
      <c r="A29" s="1" t="s">
        <v>110</v>
      </c>
      <c r="B29" s="1" t="s">
        <v>47</v>
      </c>
      <c r="C29" s="1" t="s">
        <v>104</v>
      </c>
      <c r="D29" s="1" t="s">
        <v>168</v>
      </c>
      <c r="E29" s="1" t="s">
        <v>169</v>
      </c>
      <c r="F29" s="1" t="s">
        <v>170</v>
      </c>
      <c r="G29" s="1" t="s">
        <v>52</v>
      </c>
      <c r="H29" s="1" t="s">
        <v>53</v>
      </c>
      <c r="I29" s="1" t="s">
        <v>119</v>
      </c>
      <c r="J29" s="1" t="s">
        <v>171</v>
      </c>
      <c r="K29" s="1" t="s">
        <v>171</v>
      </c>
      <c r="L29" s="11">
        <v>65</v>
      </c>
      <c r="M29" s="1" t="s">
        <v>58</v>
      </c>
      <c r="N29" s="1" t="s">
        <v>59</v>
      </c>
      <c r="O29" s="1" t="s">
        <v>60</v>
      </c>
      <c r="P29" s="1">
        <v>50</v>
      </c>
      <c r="Q29" s="12">
        <v>1158.75</v>
      </c>
      <c r="R29" s="1" t="s">
        <v>61</v>
      </c>
      <c r="S29" s="1" t="s">
        <v>109</v>
      </c>
      <c r="T29" s="6" t="s">
        <v>63</v>
      </c>
      <c r="U29" s="13">
        <v>1.35</v>
      </c>
      <c r="V29" s="12">
        <v>1564.31</v>
      </c>
      <c r="W29" s="12">
        <v>1564.31</v>
      </c>
      <c r="X29" s="1" t="s">
        <v>57</v>
      </c>
    </row>
    <row r="30" spans="1:24" x14ac:dyDescent="0.2">
      <c r="A30" s="1" t="s">
        <v>110</v>
      </c>
      <c r="B30" s="1" t="s">
        <v>47</v>
      </c>
      <c r="C30" s="1" t="s">
        <v>48</v>
      </c>
      <c r="D30" s="1" t="s">
        <v>172</v>
      </c>
      <c r="E30" s="1" t="s">
        <v>173</v>
      </c>
      <c r="F30" s="1" t="s">
        <v>174</v>
      </c>
      <c r="G30" s="1" t="s">
        <v>129</v>
      </c>
      <c r="H30" s="1" t="s">
        <v>89</v>
      </c>
      <c r="I30" s="1" t="s">
        <v>175</v>
      </c>
      <c r="J30" s="1" t="s">
        <v>176</v>
      </c>
      <c r="K30" s="1" t="s">
        <v>91</v>
      </c>
      <c r="L30" s="11" t="s">
        <v>57</v>
      </c>
      <c r="M30" s="1" t="s">
        <v>58</v>
      </c>
      <c r="N30" s="1" t="s">
        <v>59</v>
      </c>
      <c r="O30" s="1" t="s">
        <v>60</v>
      </c>
      <c r="P30" s="1">
        <v>0</v>
      </c>
      <c r="Q30" s="12">
        <v>143.49</v>
      </c>
      <c r="R30" s="1" t="s">
        <v>79</v>
      </c>
      <c r="S30" s="1" t="s">
        <v>80</v>
      </c>
      <c r="T30" s="6" t="s">
        <v>63</v>
      </c>
      <c r="U30" s="13">
        <v>0.255</v>
      </c>
      <c r="V30" s="12">
        <v>36.590000000000003</v>
      </c>
      <c r="W30" s="12">
        <v>0</v>
      </c>
      <c r="X30" s="1" t="s">
        <v>57</v>
      </c>
    </row>
    <row r="31" spans="1:24" x14ac:dyDescent="0.2">
      <c r="A31" s="1" t="s">
        <v>177</v>
      </c>
      <c r="B31" s="1" t="s">
        <v>47</v>
      </c>
      <c r="C31" s="1" t="s">
        <v>48</v>
      </c>
      <c r="D31" s="1" t="s">
        <v>81</v>
      </c>
      <c r="E31" s="1" t="s">
        <v>178</v>
      </c>
      <c r="F31" s="1" t="s">
        <v>179</v>
      </c>
      <c r="G31" s="1" t="s">
        <v>152</v>
      </c>
      <c r="H31" s="1" t="s">
        <v>53</v>
      </c>
      <c r="I31" s="1" t="s">
        <v>180</v>
      </c>
      <c r="J31" s="1" t="s">
        <v>84</v>
      </c>
      <c r="K31" s="1" t="s">
        <v>67</v>
      </c>
      <c r="L31" s="11" t="s">
        <v>57</v>
      </c>
      <c r="M31" s="1" t="s">
        <v>58</v>
      </c>
      <c r="N31" s="1" t="s">
        <v>59</v>
      </c>
      <c r="O31" s="1" t="s">
        <v>60</v>
      </c>
      <c r="P31" s="1">
        <v>0</v>
      </c>
      <c r="Q31" s="12">
        <v>197.61</v>
      </c>
      <c r="R31" s="1" t="s">
        <v>61</v>
      </c>
      <c r="S31" s="1" t="s">
        <v>62</v>
      </c>
      <c r="T31" s="6" t="s">
        <v>63</v>
      </c>
      <c r="U31" s="13">
        <v>0.19</v>
      </c>
      <c r="V31" s="12">
        <v>0</v>
      </c>
      <c r="W31" s="12">
        <v>-37.549999999999997</v>
      </c>
      <c r="X31" s="1" t="s">
        <v>57</v>
      </c>
    </row>
    <row r="32" spans="1:24" x14ac:dyDescent="0.2">
      <c r="A32" s="1" t="s">
        <v>177</v>
      </c>
      <c r="B32" s="1" t="s">
        <v>47</v>
      </c>
      <c r="C32" s="1" t="s">
        <v>48</v>
      </c>
      <c r="D32" s="1" t="s">
        <v>73</v>
      </c>
      <c r="E32" s="1" t="s">
        <v>181</v>
      </c>
      <c r="F32" s="1" t="s">
        <v>182</v>
      </c>
      <c r="G32" s="1" t="s">
        <v>152</v>
      </c>
      <c r="H32" s="1" t="s">
        <v>53</v>
      </c>
      <c r="I32" s="1" t="s">
        <v>180</v>
      </c>
      <c r="J32" s="1" t="s">
        <v>176</v>
      </c>
      <c r="K32" s="1" t="s">
        <v>67</v>
      </c>
      <c r="L32" s="11" t="s">
        <v>57</v>
      </c>
      <c r="M32" s="1" t="s">
        <v>58</v>
      </c>
      <c r="N32" s="1" t="s">
        <v>59</v>
      </c>
      <c r="O32" s="1" t="s">
        <v>60</v>
      </c>
      <c r="P32" s="1">
        <v>0</v>
      </c>
      <c r="Q32" s="12">
        <v>288.56</v>
      </c>
      <c r="R32" s="1" t="s">
        <v>79</v>
      </c>
      <c r="S32" s="1" t="s">
        <v>80</v>
      </c>
      <c r="T32" s="6" t="s">
        <v>63</v>
      </c>
      <c r="U32" s="13">
        <v>0.10496999999999999</v>
      </c>
      <c r="V32" s="12">
        <v>30.29</v>
      </c>
      <c r="W32" s="12">
        <v>0</v>
      </c>
      <c r="X32" s="1" t="s">
        <v>57</v>
      </c>
    </row>
    <row r="33" spans="1:24" x14ac:dyDescent="0.2">
      <c r="A33" s="1" t="s">
        <v>110</v>
      </c>
      <c r="B33" s="1" t="s">
        <v>47</v>
      </c>
      <c r="C33" s="1" t="s">
        <v>48</v>
      </c>
      <c r="D33" s="1" t="s">
        <v>73</v>
      </c>
      <c r="E33" s="1" t="s">
        <v>183</v>
      </c>
      <c r="F33" s="1" t="s">
        <v>184</v>
      </c>
      <c r="G33" s="1" t="s">
        <v>129</v>
      </c>
      <c r="H33" s="1" t="s">
        <v>53</v>
      </c>
      <c r="I33" s="1" t="s">
        <v>130</v>
      </c>
      <c r="J33" s="1" t="s">
        <v>78</v>
      </c>
      <c r="K33" s="1" t="s">
        <v>67</v>
      </c>
      <c r="L33" s="11" t="s">
        <v>57</v>
      </c>
      <c r="M33" s="1" t="s">
        <v>58</v>
      </c>
      <c r="N33" s="1" t="s">
        <v>59</v>
      </c>
      <c r="O33" s="1" t="s">
        <v>60</v>
      </c>
      <c r="P33" s="1">
        <v>0</v>
      </c>
      <c r="Q33" s="12">
        <v>158.4</v>
      </c>
      <c r="R33" s="1" t="s">
        <v>79</v>
      </c>
      <c r="S33" s="1" t="s">
        <v>80</v>
      </c>
      <c r="T33" s="6" t="s">
        <v>63</v>
      </c>
      <c r="U33" s="13">
        <v>0.215</v>
      </c>
      <c r="V33" s="12">
        <v>34.06</v>
      </c>
      <c r="W33" s="12">
        <v>0</v>
      </c>
      <c r="X33" s="1" t="s">
        <v>57</v>
      </c>
    </row>
    <row r="34" spans="1:24" x14ac:dyDescent="0.2">
      <c r="A34" s="1" t="s">
        <v>110</v>
      </c>
      <c r="B34" s="1" t="s">
        <v>47</v>
      </c>
      <c r="C34" s="1" t="s">
        <v>48</v>
      </c>
      <c r="D34" s="1" t="s">
        <v>73</v>
      </c>
      <c r="E34" s="1" t="s">
        <v>185</v>
      </c>
      <c r="F34" s="1" t="s">
        <v>186</v>
      </c>
      <c r="G34" s="1" t="s">
        <v>129</v>
      </c>
      <c r="H34" s="1" t="s">
        <v>53</v>
      </c>
      <c r="I34" s="1" t="s">
        <v>130</v>
      </c>
      <c r="J34" s="1" t="s">
        <v>100</v>
      </c>
      <c r="K34" s="1" t="s">
        <v>67</v>
      </c>
      <c r="L34" s="11" t="s">
        <v>57</v>
      </c>
      <c r="M34" s="1" t="s">
        <v>58</v>
      </c>
      <c r="N34" s="1" t="s">
        <v>59</v>
      </c>
      <c r="O34" s="1" t="s">
        <v>60</v>
      </c>
      <c r="P34" s="1">
        <v>0</v>
      </c>
      <c r="Q34" s="12">
        <v>137.74</v>
      </c>
      <c r="R34" s="1" t="s">
        <v>79</v>
      </c>
      <c r="S34" s="1" t="s">
        <v>80</v>
      </c>
      <c r="T34" s="6" t="s">
        <v>63</v>
      </c>
      <c r="U34" s="13">
        <v>0.215</v>
      </c>
      <c r="V34" s="12">
        <v>29.61</v>
      </c>
      <c r="W34" s="12">
        <v>0</v>
      </c>
      <c r="X34" s="1" t="s">
        <v>57</v>
      </c>
    </row>
    <row r="35" spans="1:24" x14ac:dyDescent="0.2">
      <c r="A35" s="1" t="s">
        <v>110</v>
      </c>
      <c r="B35" s="1" t="s">
        <v>47</v>
      </c>
      <c r="C35" s="1" t="s">
        <v>48</v>
      </c>
      <c r="D35" s="1" t="s">
        <v>73</v>
      </c>
      <c r="E35" s="1" t="s">
        <v>187</v>
      </c>
      <c r="F35" s="1" t="s">
        <v>188</v>
      </c>
      <c r="G35" s="1" t="s">
        <v>129</v>
      </c>
      <c r="H35" s="1" t="s">
        <v>53</v>
      </c>
      <c r="I35" s="1" t="s">
        <v>130</v>
      </c>
      <c r="J35" s="1" t="s">
        <v>189</v>
      </c>
      <c r="K35" s="1" t="s">
        <v>67</v>
      </c>
      <c r="L35" s="11" t="s">
        <v>57</v>
      </c>
      <c r="M35" s="1" t="s">
        <v>58</v>
      </c>
      <c r="N35" s="1" t="s">
        <v>59</v>
      </c>
      <c r="O35" s="1" t="s">
        <v>60</v>
      </c>
      <c r="P35" s="1">
        <v>0</v>
      </c>
      <c r="Q35" s="12">
        <v>158.4</v>
      </c>
      <c r="R35" s="1" t="s">
        <v>79</v>
      </c>
      <c r="S35" s="1" t="s">
        <v>80</v>
      </c>
      <c r="T35" s="6" t="s">
        <v>63</v>
      </c>
      <c r="U35" s="13">
        <v>1.2500000000000001E-2</v>
      </c>
      <c r="V35" s="12">
        <v>1.98</v>
      </c>
      <c r="W35" s="12">
        <v>0</v>
      </c>
      <c r="X35" s="1" t="s">
        <v>57</v>
      </c>
    </row>
    <row r="36" spans="1:24" x14ac:dyDescent="0.2">
      <c r="A36" s="1" t="s">
        <v>110</v>
      </c>
      <c r="B36" s="1" t="s">
        <v>47</v>
      </c>
      <c r="C36" s="1" t="s">
        <v>48</v>
      </c>
      <c r="D36" s="1" t="s">
        <v>73</v>
      </c>
      <c r="E36" s="1" t="s">
        <v>190</v>
      </c>
      <c r="F36" s="1" t="s">
        <v>191</v>
      </c>
      <c r="G36" s="1" t="s">
        <v>129</v>
      </c>
      <c r="H36" s="1" t="s">
        <v>53</v>
      </c>
      <c r="I36" s="1" t="s">
        <v>130</v>
      </c>
      <c r="J36" s="1" t="s">
        <v>78</v>
      </c>
      <c r="K36" s="1" t="s">
        <v>67</v>
      </c>
      <c r="L36" s="11" t="s">
        <v>57</v>
      </c>
      <c r="M36" s="1" t="s">
        <v>58</v>
      </c>
      <c r="N36" s="1" t="s">
        <v>59</v>
      </c>
      <c r="O36" s="1" t="s">
        <v>60</v>
      </c>
      <c r="P36" s="1">
        <v>0</v>
      </c>
      <c r="Q36" s="12">
        <v>137.74</v>
      </c>
      <c r="R36" s="1" t="s">
        <v>79</v>
      </c>
      <c r="S36" s="1" t="s">
        <v>80</v>
      </c>
      <c r="T36" s="6" t="s">
        <v>63</v>
      </c>
      <c r="U36" s="13">
        <v>0.215</v>
      </c>
      <c r="V36" s="12">
        <v>29.61</v>
      </c>
      <c r="W36" s="12">
        <v>0</v>
      </c>
      <c r="X36" s="1" t="s">
        <v>57</v>
      </c>
    </row>
    <row r="37" spans="1:24" x14ac:dyDescent="0.2">
      <c r="A37" s="1" t="s">
        <v>110</v>
      </c>
      <c r="B37" s="1" t="s">
        <v>47</v>
      </c>
      <c r="C37" s="1" t="s">
        <v>48</v>
      </c>
      <c r="D37" s="1" t="s">
        <v>73</v>
      </c>
      <c r="E37" s="1" t="s">
        <v>192</v>
      </c>
      <c r="F37" s="1" t="s">
        <v>193</v>
      </c>
      <c r="G37" s="1" t="s">
        <v>129</v>
      </c>
      <c r="H37" s="1" t="s">
        <v>53</v>
      </c>
      <c r="I37" s="1" t="s">
        <v>175</v>
      </c>
      <c r="J37" s="1" t="s">
        <v>176</v>
      </c>
      <c r="K37" s="1" t="s">
        <v>67</v>
      </c>
      <c r="L37" s="11" t="s">
        <v>57</v>
      </c>
      <c r="M37" s="1" t="s">
        <v>58</v>
      </c>
      <c r="N37" s="1" t="s">
        <v>59</v>
      </c>
      <c r="O37" s="1" t="s">
        <v>60</v>
      </c>
      <c r="P37" s="1">
        <v>0</v>
      </c>
      <c r="Q37" s="12">
        <v>119.67</v>
      </c>
      <c r="R37" s="1" t="s">
        <v>79</v>
      </c>
      <c r="S37" s="1" t="s">
        <v>80</v>
      </c>
      <c r="T37" s="6" t="s">
        <v>63</v>
      </c>
      <c r="U37" s="13">
        <v>0.255</v>
      </c>
      <c r="V37" s="12">
        <v>30.52</v>
      </c>
      <c r="W37" s="12">
        <v>0</v>
      </c>
      <c r="X37" s="1" t="s">
        <v>57</v>
      </c>
    </row>
    <row r="38" spans="1:24" x14ac:dyDescent="0.2">
      <c r="A38" s="1" t="s">
        <v>110</v>
      </c>
      <c r="B38" s="1" t="s">
        <v>47</v>
      </c>
      <c r="C38" s="1" t="s">
        <v>48</v>
      </c>
      <c r="D38" s="1" t="s">
        <v>73</v>
      </c>
      <c r="E38" s="1" t="s">
        <v>194</v>
      </c>
      <c r="F38" s="1" t="s">
        <v>195</v>
      </c>
      <c r="G38" s="1" t="s">
        <v>129</v>
      </c>
      <c r="H38" s="1" t="s">
        <v>53</v>
      </c>
      <c r="I38" s="1" t="s">
        <v>130</v>
      </c>
      <c r="J38" s="1" t="s">
        <v>176</v>
      </c>
      <c r="K38" s="1" t="s">
        <v>67</v>
      </c>
      <c r="L38" s="11" t="s">
        <v>57</v>
      </c>
      <c r="M38" s="1" t="s">
        <v>58</v>
      </c>
      <c r="N38" s="1" t="s">
        <v>59</v>
      </c>
      <c r="O38" s="1" t="s">
        <v>60</v>
      </c>
      <c r="P38" s="1">
        <v>0</v>
      </c>
      <c r="Q38" s="12">
        <v>163.28</v>
      </c>
      <c r="R38" s="1" t="s">
        <v>79</v>
      </c>
      <c r="S38" s="1" t="s">
        <v>80</v>
      </c>
      <c r="T38" s="6" t="s">
        <v>63</v>
      </c>
      <c r="U38" s="13">
        <v>0.215</v>
      </c>
      <c r="V38" s="12">
        <v>35.11</v>
      </c>
      <c r="W38" s="12">
        <v>0</v>
      </c>
      <c r="X38" s="1" t="s">
        <v>57</v>
      </c>
    </row>
    <row r="39" spans="1:24" x14ac:dyDescent="0.2">
      <c r="A39" s="1" t="s">
        <v>110</v>
      </c>
      <c r="B39" s="1" t="s">
        <v>47</v>
      </c>
      <c r="C39" s="1" t="s">
        <v>48</v>
      </c>
      <c r="D39" s="1" t="s">
        <v>73</v>
      </c>
      <c r="E39" s="1" t="s">
        <v>196</v>
      </c>
      <c r="F39" s="1" t="s">
        <v>197</v>
      </c>
      <c r="G39" s="1" t="s">
        <v>129</v>
      </c>
      <c r="H39" s="1" t="s">
        <v>53</v>
      </c>
      <c r="I39" s="1" t="s">
        <v>130</v>
      </c>
      <c r="J39" s="1" t="s">
        <v>176</v>
      </c>
      <c r="K39" s="1" t="s">
        <v>67</v>
      </c>
      <c r="L39" s="11" t="s">
        <v>57</v>
      </c>
      <c r="M39" s="1" t="s">
        <v>58</v>
      </c>
      <c r="N39" s="1" t="s">
        <v>59</v>
      </c>
      <c r="O39" s="1" t="s">
        <v>60</v>
      </c>
      <c r="P39" s="1">
        <v>0</v>
      </c>
      <c r="Q39" s="12">
        <v>163.28</v>
      </c>
      <c r="R39" s="1" t="s">
        <v>79</v>
      </c>
      <c r="S39" s="1" t="s">
        <v>80</v>
      </c>
      <c r="T39" s="6" t="s">
        <v>63</v>
      </c>
      <c r="U39" s="13">
        <v>0.215</v>
      </c>
      <c r="V39" s="12">
        <v>35.11</v>
      </c>
      <c r="W39" s="12">
        <v>0</v>
      </c>
      <c r="X39" s="1" t="s">
        <v>57</v>
      </c>
    </row>
    <row r="40" spans="1:24" x14ac:dyDescent="0.2">
      <c r="A40" s="1" t="s">
        <v>110</v>
      </c>
      <c r="B40" s="1" t="s">
        <v>47</v>
      </c>
      <c r="C40" s="1" t="s">
        <v>48</v>
      </c>
      <c r="D40" s="1" t="s">
        <v>73</v>
      </c>
      <c r="E40" s="1" t="s">
        <v>198</v>
      </c>
      <c r="F40" s="1" t="s">
        <v>199</v>
      </c>
      <c r="G40" s="1" t="s">
        <v>129</v>
      </c>
      <c r="H40" s="1" t="s">
        <v>53</v>
      </c>
      <c r="I40" s="1" t="s">
        <v>130</v>
      </c>
      <c r="J40" s="1" t="s">
        <v>200</v>
      </c>
      <c r="K40" s="1" t="s">
        <v>67</v>
      </c>
      <c r="L40" s="11" t="s">
        <v>57</v>
      </c>
      <c r="M40" s="1" t="s">
        <v>58</v>
      </c>
      <c r="N40" s="1" t="s">
        <v>59</v>
      </c>
      <c r="O40" s="1" t="s">
        <v>60</v>
      </c>
      <c r="P40" s="1">
        <v>0</v>
      </c>
      <c r="Q40" s="12">
        <v>158.4</v>
      </c>
      <c r="R40" s="1" t="s">
        <v>79</v>
      </c>
      <c r="S40" s="1" t="s">
        <v>80</v>
      </c>
      <c r="T40" s="6" t="s">
        <v>63</v>
      </c>
      <c r="U40" s="13">
        <v>0.215</v>
      </c>
      <c r="V40" s="12">
        <v>34.06</v>
      </c>
      <c r="W40" s="12">
        <v>0</v>
      </c>
      <c r="X40" s="1" t="s">
        <v>57</v>
      </c>
    </row>
    <row r="41" spans="1:24" x14ac:dyDescent="0.2">
      <c r="A41" s="1" t="s">
        <v>110</v>
      </c>
      <c r="B41" s="1" t="s">
        <v>47</v>
      </c>
      <c r="C41" s="1" t="s">
        <v>48</v>
      </c>
      <c r="D41" s="1" t="s">
        <v>201</v>
      </c>
      <c r="E41" s="1" t="s">
        <v>202</v>
      </c>
      <c r="F41" s="1" t="s">
        <v>203</v>
      </c>
      <c r="G41" s="1" t="s">
        <v>129</v>
      </c>
      <c r="H41" s="1" t="s">
        <v>53</v>
      </c>
      <c r="I41" s="1" t="s">
        <v>175</v>
      </c>
      <c r="J41" s="1" t="s">
        <v>204</v>
      </c>
      <c r="K41" s="1" t="s">
        <v>67</v>
      </c>
      <c r="L41" s="11" t="s">
        <v>57</v>
      </c>
      <c r="M41" s="1" t="s">
        <v>58</v>
      </c>
      <c r="N41" s="1" t="s">
        <v>59</v>
      </c>
      <c r="O41" s="1" t="s">
        <v>60</v>
      </c>
      <c r="P41" s="1">
        <v>0</v>
      </c>
      <c r="Q41" s="12">
        <v>80.03</v>
      </c>
      <c r="R41" s="1" t="s">
        <v>61</v>
      </c>
      <c r="S41" s="1" t="s">
        <v>62</v>
      </c>
      <c r="T41" s="6" t="s">
        <v>63</v>
      </c>
      <c r="U41" s="13">
        <v>0.255</v>
      </c>
      <c r="V41" s="12">
        <v>20.41</v>
      </c>
      <c r="W41" s="12">
        <v>0</v>
      </c>
      <c r="X41" s="1" t="s">
        <v>57</v>
      </c>
    </row>
    <row r="42" spans="1:24" x14ac:dyDescent="0.2">
      <c r="A42" s="1" t="s">
        <v>110</v>
      </c>
      <c r="B42" s="1" t="s">
        <v>47</v>
      </c>
      <c r="C42" s="1" t="s">
        <v>48</v>
      </c>
      <c r="D42" s="1" t="s">
        <v>205</v>
      </c>
      <c r="E42" s="1" t="s">
        <v>206</v>
      </c>
      <c r="F42" s="1" t="s">
        <v>207</v>
      </c>
      <c r="G42" s="1" t="s">
        <v>129</v>
      </c>
      <c r="H42" s="1" t="s">
        <v>53</v>
      </c>
      <c r="I42" s="1" t="s">
        <v>130</v>
      </c>
      <c r="J42" s="1" t="s">
        <v>78</v>
      </c>
      <c r="K42" s="1" t="s">
        <v>67</v>
      </c>
      <c r="L42" s="11" t="s">
        <v>57</v>
      </c>
      <c r="M42" s="1" t="s">
        <v>58</v>
      </c>
      <c r="N42" s="1" t="s">
        <v>59</v>
      </c>
      <c r="O42" s="1" t="s">
        <v>60</v>
      </c>
      <c r="P42" s="1">
        <v>0</v>
      </c>
      <c r="Q42" s="12">
        <v>137.74</v>
      </c>
      <c r="R42" s="1" t="s">
        <v>79</v>
      </c>
      <c r="S42" s="1" t="s">
        <v>80</v>
      </c>
      <c r="T42" s="6" t="s">
        <v>63</v>
      </c>
      <c r="U42" s="13">
        <v>0.215</v>
      </c>
      <c r="V42" s="12">
        <v>29.61</v>
      </c>
      <c r="W42" s="12">
        <v>0</v>
      </c>
      <c r="X42" s="1" t="s">
        <v>57</v>
      </c>
    </row>
    <row r="43" spans="1:24" x14ac:dyDescent="0.2">
      <c r="A43" s="1" t="s">
        <v>110</v>
      </c>
      <c r="B43" s="1" t="s">
        <v>47</v>
      </c>
      <c r="C43" s="1" t="s">
        <v>48</v>
      </c>
      <c r="D43" s="1" t="s">
        <v>205</v>
      </c>
      <c r="E43" s="1" t="s">
        <v>208</v>
      </c>
      <c r="F43" s="1" t="s">
        <v>209</v>
      </c>
      <c r="G43" s="1" t="s">
        <v>129</v>
      </c>
      <c r="H43" s="1" t="s">
        <v>53</v>
      </c>
      <c r="I43" s="1" t="s">
        <v>130</v>
      </c>
      <c r="J43" s="1" t="s">
        <v>210</v>
      </c>
      <c r="K43" s="1" t="s">
        <v>67</v>
      </c>
      <c r="L43" s="11" t="s">
        <v>57</v>
      </c>
      <c r="M43" s="1" t="s">
        <v>58</v>
      </c>
      <c r="N43" s="1" t="s">
        <v>59</v>
      </c>
      <c r="O43" s="1" t="s">
        <v>60</v>
      </c>
      <c r="P43" s="1">
        <v>0</v>
      </c>
      <c r="Q43" s="12">
        <v>249.9</v>
      </c>
      <c r="R43" s="1" t="s">
        <v>79</v>
      </c>
      <c r="S43" s="1" t="s">
        <v>80</v>
      </c>
      <c r="T43" s="6" t="s">
        <v>63</v>
      </c>
      <c r="U43" s="13">
        <v>0.215</v>
      </c>
      <c r="V43" s="12">
        <v>53.73</v>
      </c>
      <c r="W43" s="12">
        <v>0</v>
      </c>
      <c r="X43" s="1" t="s">
        <v>57</v>
      </c>
    </row>
    <row r="44" spans="1:24" x14ac:dyDescent="0.2">
      <c r="A44" s="1" t="s">
        <v>110</v>
      </c>
      <c r="B44" s="1" t="s">
        <v>47</v>
      </c>
      <c r="C44" s="1" t="s">
        <v>48</v>
      </c>
      <c r="D44" s="1" t="s">
        <v>205</v>
      </c>
      <c r="E44" s="1" t="s">
        <v>211</v>
      </c>
      <c r="F44" s="1" t="s">
        <v>212</v>
      </c>
      <c r="G44" s="1" t="s">
        <v>129</v>
      </c>
      <c r="H44" s="1" t="s">
        <v>53</v>
      </c>
      <c r="I44" s="1" t="s">
        <v>130</v>
      </c>
      <c r="J44" s="1" t="s">
        <v>90</v>
      </c>
      <c r="K44" s="1" t="s">
        <v>67</v>
      </c>
      <c r="L44" s="11" t="s">
        <v>57</v>
      </c>
      <c r="M44" s="1" t="s">
        <v>58</v>
      </c>
      <c r="N44" s="1" t="s">
        <v>59</v>
      </c>
      <c r="O44" s="1" t="s">
        <v>60</v>
      </c>
      <c r="P44" s="1">
        <v>0</v>
      </c>
      <c r="Q44" s="12">
        <v>185.59</v>
      </c>
      <c r="R44" s="1" t="s">
        <v>61</v>
      </c>
      <c r="S44" s="1" t="s">
        <v>62</v>
      </c>
      <c r="T44" s="6" t="s">
        <v>63</v>
      </c>
      <c r="U44" s="13">
        <v>0.215</v>
      </c>
      <c r="V44" s="12">
        <v>0</v>
      </c>
      <c r="W44" s="12">
        <v>-39.9</v>
      </c>
      <c r="X44" s="1" t="s">
        <v>57</v>
      </c>
    </row>
    <row r="45" spans="1:24" x14ac:dyDescent="0.2">
      <c r="A45" s="1" t="s">
        <v>110</v>
      </c>
      <c r="B45" s="1" t="s">
        <v>47</v>
      </c>
      <c r="C45" s="1" t="s">
        <v>48</v>
      </c>
      <c r="D45" s="1" t="s">
        <v>172</v>
      </c>
      <c r="E45" s="1" t="s">
        <v>213</v>
      </c>
      <c r="F45" s="1" t="s">
        <v>214</v>
      </c>
      <c r="G45" s="1" t="s">
        <v>129</v>
      </c>
      <c r="H45" s="1" t="s">
        <v>53</v>
      </c>
      <c r="I45" s="1" t="s">
        <v>130</v>
      </c>
      <c r="J45" s="1" t="s">
        <v>215</v>
      </c>
      <c r="K45" s="1" t="s">
        <v>67</v>
      </c>
      <c r="L45" s="11" t="s">
        <v>57</v>
      </c>
      <c r="M45" s="1" t="s">
        <v>58</v>
      </c>
      <c r="N45" s="1" t="s">
        <v>59</v>
      </c>
      <c r="O45" s="1" t="s">
        <v>60</v>
      </c>
      <c r="P45" s="1">
        <v>0</v>
      </c>
      <c r="Q45" s="12">
        <v>136.37</v>
      </c>
      <c r="R45" s="1" t="s">
        <v>79</v>
      </c>
      <c r="S45" s="1" t="s">
        <v>80</v>
      </c>
      <c r="T45" s="6" t="s">
        <v>63</v>
      </c>
      <c r="U45" s="13">
        <v>0.215</v>
      </c>
      <c r="V45" s="12">
        <v>29.32</v>
      </c>
      <c r="W45" s="12">
        <v>0</v>
      </c>
      <c r="X45" s="1" t="s">
        <v>57</v>
      </c>
    </row>
    <row r="46" spans="1:24" x14ac:dyDescent="0.2">
      <c r="A46" s="1" t="s">
        <v>110</v>
      </c>
      <c r="B46" s="1" t="s">
        <v>47</v>
      </c>
      <c r="C46" s="1" t="s">
        <v>48</v>
      </c>
      <c r="D46" s="1" t="s">
        <v>73</v>
      </c>
      <c r="E46" s="1" t="s">
        <v>216</v>
      </c>
      <c r="F46" s="1" t="s">
        <v>217</v>
      </c>
      <c r="G46" s="1" t="s">
        <v>129</v>
      </c>
      <c r="H46" s="1" t="s">
        <v>53</v>
      </c>
      <c r="I46" s="1" t="s">
        <v>130</v>
      </c>
      <c r="J46" s="1" t="s">
        <v>204</v>
      </c>
      <c r="K46" s="1" t="s">
        <v>67</v>
      </c>
      <c r="L46" s="11" t="s">
        <v>57</v>
      </c>
      <c r="M46" s="1" t="s">
        <v>58</v>
      </c>
      <c r="N46" s="1" t="s">
        <v>59</v>
      </c>
      <c r="O46" s="1" t="s">
        <v>60</v>
      </c>
      <c r="P46" s="1">
        <v>0</v>
      </c>
      <c r="Q46" s="12">
        <v>177.4</v>
      </c>
      <c r="R46" s="1" t="s">
        <v>61</v>
      </c>
      <c r="S46" s="1" t="s">
        <v>62</v>
      </c>
      <c r="T46" s="6" t="s">
        <v>63</v>
      </c>
      <c r="U46" s="13">
        <v>0.215</v>
      </c>
      <c r="V46" s="12">
        <v>38.14</v>
      </c>
      <c r="W46" s="12">
        <v>0</v>
      </c>
      <c r="X46" s="1" t="s">
        <v>57</v>
      </c>
    </row>
    <row r="47" spans="1:24" x14ac:dyDescent="0.2">
      <c r="A47" s="1" t="s">
        <v>110</v>
      </c>
      <c r="B47" s="1" t="s">
        <v>47</v>
      </c>
      <c r="C47" s="1" t="s">
        <v>48</v>
      </c>
      <c r="D47" s="1" t="s">
        <v>73</v>
      </c>
      <c r="E47" s="1" t="s">
        <v>218</v>
      </c>
      <c r="F47" s="1" t="s">
        <v>219</v>
      </c>
      <c r="G47" s="1" t="s">
        <v>129</v>
      </c>
      <c r="H47" s="1" t="s">
        <v>53</v>
      </c>
      <c r="I47" s="1" t="s">
        <v>130</v>
      </c>
      <c r="J47" s="1" t="s">
        <v>204</v>
      </c>
      <c r="K47" s="1" t="s">
        <v>67</v>
      </c>
      <c r="L47" s="11" t="s">
        <v>57</v>
      </c>
      <c r="M47" s="1" t="s">
        <v>58</v>
      </c>
      <c r="N47" s="1" t="s">
        <v>59</v>
      </c>
      <c r="O47" s="1" t="s">
        <v>60</v>
      </c>
      <c r="P47" s="1">
        <v>0</v>
      </c>
      <c r="Q47" s="12">
        <v>189.08</v>
      </c>
      <c r="R47" s="1" t="s">
        <v>61</v>
      </c>
      <c r="S47" s="1" t="s">
        <v>62</v>
      </c>
      <c r="T47" s="6" t="s">
        <v>63</v>
      </c>
      <c r="U47" s="13">
        <v>0.215</v>
      </c>
      <c r="V47" s="12">
        <v>40.65</v>
      </c>
      <c r="W47" s="12">
        <v>0</v>
      </c>
      <c r="X47" s="1" t="s">
        <v>57</v>
      </c>
    </row>
    <row r="48" spans="1:24" x14ac:dyDescent="0.2">
      <c r="A48" s="1" t="s">
        <v>110</v>
      </c>
      <c r="B48" s="1" t="s">
        <v>47</v>
      </c>
      <c r="C48" s="1" t="s">
        <v>48</v>
      </c>
      <c r="D48" s="1" t="s">
        <v>73</v>
      </c>
      <c r="E48" s="1" t="s">
        <v>220</v>
      </c>
      <c r="F48" s="1" t="s">
        <v>221</v>
      </c>
      <c r="G48" s="1" t="s">
        <v>129</v>
      </c>
      <c r="H48" s="1" t="s">
        <v>53</v>
      </c>
      <c r="I48" s="1" t="s">
        <v>130</v>
      </c>
      <c r="J48" s="1" t="s">
        <v>204</v>
      </c>
      <c r="K48" s="1" t="s">
        <v>67</v>
      </c>
      <c r="L48" s="11" t="s">
        <v>57</v>
      </c>
      <c r="M48" s="1" t="s">
        <v>58</v>
      </c>
      <c r="N48" s="1" t="s">
        <v>59</v>
      </c>
      <c r="O48" s="1" t="s">
        <v>60</v>
      </c>
      <c r="P48" s="1">
        <v>0</v>
      </c>
      <c r="Q48" s="12">
        <v>235.01</v>
      </c>
      <c r="R48" s="1" t="s">
        <v>61</v>
      </c>
      <c r="S48" s="1" t="s">
        <v>62</v>
      </c>
      <c r="T48" s="6" t="s">
        <v>63</v>
      </c>
      <c r="U48" s="13">
        <v>0.215</v>
      </c>
      <c r="V48" s="12">
        <v>50.53</v>
      </c>
      <c r="W48" s="12">
        <v>0</v>
      </c>
      <c r="X48" s="1" t="s">
        <v>57</v>
      </c>
    </row>
    <row r="49" spans="1:24" x14ac:dyDescent="0.2">
      <c r="A49" s="1" t="s">
        <v>110</v>
      </c>
      <c r="B49" s="1" t="s">
        <v>47</v>
      </c>
      <c r="C49" s="1" t="s">
        <v>48</v>
      </c>
      <c r="D49" s="1" t="s">
        <v>73</v>
      </c>
      <c r="E49" s="1" t="s">
        <v>222</v>
      </c>
      <c r="F49" s="1" t="s">
        <v>223</v>
      </c>
      <c r="G49" s="1" t="s">
        <v>129</v>
      </c>
      <c r="H49" s="1" t="s">
        <v>53</v>
      </c>
      <c r="I49" s="1" t="s">
        <v>130</v>
      </c>
      <c r="J49" s="1" t="s">
        <v>66</v>
      </c>
      <c r="K49" s="1" t="s">
        <v>67</v>
      </c>
      <c r="L49" s="11" t="s">
        <v>57</v>
      </c>
      <c r="M49" s="1" t="s">
        <v>58</v>
      </c>
      <c r="N49" s="1" t="s">
        <v>59</v>
      </c>
      <c r="O49" s="1" t="s">
        <v>60</v>
      </c>
      <c r="P49" s="1">
        <v>0</v>
      </c>
      <c r="Q49" s="12">
        <v>154.27000000000001</v>
      </c>
      <c r="R49" s="1" t="s">
        <v>61</v>
      </c>
      <c r="S49" s="1" t="s">
        <v>62</v>
      </c>
      <c r="T49" s="6" t="s">
        <v>63</v>
      </c>
      <c r="U49" s="13">
        <v>0.215</v>
      </c>
      <c r="V49" s="12">
        <v>0</v>
      </c>
      <c r="W49" s="12">
        <v>-33.17</v>
      </c>
      <c r="X49" s="1" t="s">
        <v>57</v>
      </c>
    </row>
    <row r="50" spans="1:24" x14ac:dyDescent="0.2">
      <c r="A50" s="1" t="s">
        <v>110</v>
      </c>
      <c r="B50" s="1" t="s">
        <v>47</v>
      </c>
      <c r="C50" s="1" t="s">
        <v>48</v>
      </c>
      <c r="D50" s="1" t="s">
        <v>73</v>
      </c>
      <c r="E50" s="1" t="s">
        <v>224</v>
      </c>
      <c r="F50" s="1" t="s">
        <v>225</v>
      </c>
      <c r="G50" s="1" t="s">
        <v>129</v>
      </c>
      <c r="H50" s="1" t="s">
        <v>53</v>
      </c>
      <c r="I50" s="1" t="s">
        <v>130</v>
      </c>
      <c r="J50" s="1" t="s">
        <v>226</v>
      </c>
      <c r="K50" s="1" t="s">
        <v>67</v>
      </c>
      <c r="L50" s="11" t="s">
        <v>57</v>
      </c>
      <c r="M50" s="1" t="s">
        <v>58</v>
      </c>
      <c r="N50" s="1" t="s">
        <v>59</v>
      </c>
      <c r="O50" s="1" t="s">
        <v>60</v>
      </c>
      <c r="P50" s="1">
        <v>0</v>
      </c>
      <c r="Q50" s="12">
        <v>142.26</v>
      </c>
      <c r="R50" s="1" t="s">
        <v>61</v>
      </c>
      <c r="S50" s="1" t="s">
        <v>62</v>
      </c>
      <c r="T50" s="6" t="s">
        <v>63</v>
      </c>
      <c r="U50" s="13">
        <v>0.215</v>
      </c>
      <c r="V50" s="12">
        <v>30.59</v>
      </c>
      <c r="W50" s="12">
        <v>0</v>
      </c>
      <c r="X50" s="1" t="s">
        <v>57</v>
      </c>
    </row>
    <row r="51" spans="1:24" x14ac:dyDescent="0.2">
      <c r="A51" s="1" t="s">
        <v>110</v>
      </c>
      <c r="B51" s="1" t="s">
        <v>47</v>
      </c>
      <c r="C51" s="1" t="s">
        <v>48</v>
      </c>
      <c r="D51" s="1" t="s">
        <v>172</v>
      </c>
      <c r="E51" s="1" t="s">
        <v>227</v>
      </c>
      <c r="F51" s="1" t="s">
        <v>228</v>
      </c>
      <c r="G51" s="1" t="s">
        <v>129</v>
      </c>
      <c r="H51" s="1" t="s">
        <v>53</v>
      </c>
      <c r="I51" s="1" t="s">
        <v>175</v>
      </c>
      <c r="J51" s="1" t="s">
        <v>229</v>
      </c>
      <c r="K51" s="1" t="s">
        <v>67</v>
      </c>
      <c r="L51" s="11" t="s">
        <v>57</v>
      </c>
      <c r="M51" s="1" t="s">
        <v>58</v>
      </c>
      <c r="N51" s="1" t="s">
        <v>59</v>
      </c>
      <c r="O51" s="1" t="s">
        <v>60</v>
      </c>
      <c r="P51" s="1">
        <v>0</v>
      </c>
      <c r="Q51" s="12">
        <v>126.05</v>
      </c>
      <c r="R51" s="1" t="s">
        <v>79</v>
      </c>
      <c r="S51" s="1" t="s">
        <v>80</v>
      </c>
      <c r="T51" s="6" t="s">
        <v>63</v>
      </c>
      <c r="U51" s="13">
        <v>0.255</v>
      </c>
      <c r="V51" s="12">
        <v>32.14</v>
      </c>
      <c r="W51" s="12">
        <v>0</v>
      </c>
      <c r="X51" s="1" t="s">
        <v>57</v>
      </c>
    </row>
    <row r="52" spans="1:24" x14ac:dyDescent="0.2">
      <c r="A52" s="1" t="s">
        <v>110</v>
      </c>
      <c r="B52" s="1" t="s">
        <v>47</v>
      </c>
      <c r="C52" s="1" t="s">
        <v>48</v>
      </c>
      <c r="D52" s="1" t="s">
        <v>73</v>
      </c>
      <c r="E52" s="1" t="s">
        <v>230</v>
      </c>
      <c r="F52" s="1" t="s">
        <v>231</v>
      </c>
      <c r="G52" s="1" t="s">
        <v>129</v>
      </c>
      <c r="H52" s="1" t="s">
        <v>53</v>
      </c>
      <c r="I52" s="1" t="s">
        <v>130</v>
      </c>
      <c r="J52" s="1" t="s">
        <v>232</v>
      </c>
      <c r="K52" s="1" t="s">
        <v>67</v>
      </c>
      <c r="L52" s="11" t="s">
        <v>57</v>
      </c>
      <c r="M52" s="1" t="s">
        <v>58</v>
      </c>
      <c r="N52" s="1" t="s">
        <v>59</v>
      </c>
      <c r="O52" s="1" t="s">
        <v>60</v>
      </c>
      <c r="P52" s="1">
        <v>0</v>
      </c>
      <c r="Q52" s="12">
        <v>154.27000000000001</v>
      </c>
      <c r="R52" s="1" t="s">
        <v>61</v>
      </c>
      <c r="S52" s="1" t="s">
        <v>62</v>
      </c>
      <c r="T52" s="6" t="s">
        <v>63</v>
      </c>
      <c r="U52" s="13">
        <v>0.215</v>
      </c>
      <c r="V52" s="12">
        <v>0</v>
      </c>
      <c r="W52" s="12">
        <v>-33.17</v>
      </c>
      <c r="X52" s="1" t="s">
        <v>57</v>
      </c>
    </row>
    <row r="53" spans="1:24" x14ac:dyDescent="0.2">
      <c r="A53" s="1" t="s">
        <v>110</v>
      </c>
      <c r="B53" s="1" t="s">
        <v>47</v>
      </c>
      <c r="C53" s="1" t="s">
        <v>48</v>
      </c>
      <c r="D53" s="1" t="s">
        <v>73</v>
      </c>
      <c r="E53" s="1" t="s">
        <v>233</v>
      </c>
      <c r="F53" s="1" t="s">
        <v>234</v>
      </c>
      <c r="G53" s="1" t="s">
        <v>235</v>
      </c>
      <c r="H53" s="1" t="s">
        <v>53</v>
      </c>
      <c r="I53" s="1" t="s">
        <v>236</v>
      </c>
      <c r="J53" s="1" t="s">
        <v>66</v>
      </c>
      <c r="K53" s="1" t="s">
        <v>67</v>
      </c>
      <c r="L53" s="11" t="s">
        <v>57</v>
      </c>
      <c r="M53" s="1" t="s">
        <v>58</v>
      </c>
      <c r="N53" s="1" t="s">
        <v>59</v>
      </c>
      <c r="O53" s="1" t="s">
        <v>60</v>
      </c>
      <c r="P53" s="1">
        <v>0</v>
      </c>
      <c r="Q53" s="12">
        <v>198.25</v>
      </c>
      <c r="R53" s="1" t="s">
        <v>61</v>
      </c>
      <c r="S53" s="1" t="s">
        <v>62</v>
      </c>
      <c r="T53" s="6" t="s">
        <v>63</v>
      </c>
      <c r="U53" s="13">
        <v>0.23</v>
      </c>
      <c r="V53" s="12">
        <v>0</v>
      </c>
      <c r="W53" s="12">
        <v>-45.6</v>
      </c>
      <c r="X53" s="1" t="s">
        <v>57</v>
      </c>
    </row>
    <row r="54" spans="1:24" x14ac:dyDescent="0.2">
      <c r="A54" s="1" t="s">
        <v>110</v>
      </c>
      <c r="B54" s="1" t="s">
        <v>47</v>
      </c>
      <c r="C54" s="1" t="s">
        <v>48</v>
      </c>
      <c r="D54" s="1" t="s">
        <v>73</v>
      </c>
      <c r="E54" s="1" t="s">
        <v>237</v>
      </c>
      <c r="F54" s="1" t="s">
        <v>238</v>
      </c>
      <c r="G54" s="1" t="s">
        <v>129</v>
      </c>
      <c r="H54" s="1" t="s">
        <v>53</v>
      </c>
      <c r="I54" s="1" t="s">
        <v>130</v>
      </c>
      <c r="J54" s="1" t="s">
        <v>239</v>
      </c>
      <c r="K54" s="1" t="s">
        <v>67</v>
      </c>
      <c r="L54" s="11" t="s">
        <v>57</v>
      </c>
      <c r="M54" s="1" t="s">
        <v>58</v>
      </c>
      <c r="N54" s="1" t="s">
        <v>59</v>
      </c>
      <c r="O54" s="1" t="s">
        <v>60</v>
      </c>
      <c r="P54" s="1">
        <v>0</v>
      </c>
      <c r="Q54" s="12">
        <v>163.77000000000001</v>
      </c>
      <c r="R54" s="1" t="s">
        <v>79</v>
      </c>
      <c r="S54" s="1" t="s">
        <v>80</v>
      </c>
      <c r="T54" s="6" t="s">
        <v>63</v>
      </c>
      <c r="U54" s="13">
        <v>0.215</v>
      </c>
      <c r="V54" s="12">
        <v>35.21</v>
      </c>
      <c r="W54" s="12">
        <v>0</v>
      </c>
      <c r="X54" s="1" t="s">
        <v>57</v>
      </c>
    </row>
    <row r="55" spans="1:24" x14ac:dyDescent="0.2">
      <c r="A55" s="1" t="s">
        <v>110</v>
      </c>
      <c r="B55" s="1" t="s">
        <v>47</v>
      </c>
      <c r="C55" s="1" t="s">
        <v>48</v>
      </c>
      <c r="D55" s="1" t="s">
        <v>172</v>
      </c>
      <c r="E55" s="1" t="s">
        <v>240</v>
      </c>
      <c r="F55" s="1" t="s">
        <v>241</v>
      </c>
      <c r="G55" s="1" t="s">
        <v>129</v>
      </c>
      <c r="H55" s="1" t="s">
        <v>140</v>
      </c>
      <c r="I55" s="1" t="s">
        <v>175</v>
      </c>
      <c r="J55" s="1" t="s">
        <v>215</v>
      </c>
      <c r="K55" s="1" t="s">
        <v>242</v>
      </c>
      <c r="L55" s="11" t="s">
        <v>57</v>
      </c>
      <c r="M55" s="1" t="s">
        <v>243</v>
      </c>
      <c r="N55" s="1" t="s">
        <v>244</v>
      </c>
      <c r="O55" s="1" t="s">
        <v>245</v>
      </c>
      <c r="P55" s="1">
        <v>0</v>
      </c>
      <c r="Q55" s="12">
        <v>115.84</v>
      </c>
      <c r="R55" s="1" t="s">
        <v>79</v>
      </c>
      <c r="S55" s="1" t="s">
        <v>80</v>
      </c>
      <c r="T55" s="6" t="s">
        <v>63</v>
      </c>
      <c r="U55" s="13">
        <v>0.255</v>
      </c>
      <c r="V55" s="12">
        <v>29.54</v>
      </c>
      <c r="W55" s="12">
        <v>0</v>
      </c>
      <c r="X55" s="1" t="s">
        <v>57</v>
      </c>
    </row>
    <row r="56" spans="1:24" x14ac:dyDescent="0.2">
      <c r="A56" s="1" t="s">
        <v>110</v>
      </c>
      <c r="B56" s="1" t="s">
        <v>47</v>
      </c>
      <c r="C56" s="1" t="s">
        <v>48</v>
      </c>
      <c r="D56" s="1" t="s">
        <v>172</v>
      </c>
      <c r="E56" s="1" t="s">
        <v>240</v>
      </c>
      <c r="F56" s="1" t="s">
        <v>241</v>
      </c>
      <c r="G56" s="1" t="s">
        <v>129</v>
      </c>
      <c r="H56" s="1" t="s">
        <v>140</v>
      </c>
      <c r="I56" s="1" t="s">
        <v>175</v>
      </c>
      <c r="J56" s="1" t="s">
        <v>215</v>
      </c>
      <c r="K56" s="1" t="s">
        <v>242</v>
      </c>
      <c r="L56" s="11" t="s">
        <v>57</v>
      </c>
      <c r="M56" s="1" t="s">
        <v>243</v>
      </c>
      <c r="N56" s="1" t="s">
        <v>244</v>
      </c>
      <c r="O56" s="1" t="s">
        <v>245</v>
      </c>
      <c r="P56" s="1">
        <v>0</v>
      </c>
      <c r="Q56" s="12">
        <v>231.68</v>
      </c>
      <c r="R56" s="1" t="s">
        <v>79</v>
      </c>
      <c r="S56" s="1" t="s">
        <v>80</v>
      </c>
      <c r="T56" s="6" t="s">
        <v>63</v>
      </c>
      <c r="U56" s="13">
        <v>0.255</v>
      </c>
      <c r="V56" s="12">
        <v>59.08</v>
      </c>
      <c r="W56" s="12">
        <v>0</v>
      </c>
      <c r="X56" s="1" t="s">
        <v>57</v>
      </c>
    </row>
    <row r="57" spans="1:24" x14ac:dyDescent="0.2">
      <c r="A57" s="1" t="s">
        <v>110</v>
      </c>
      <c r="B57" s="1" t="s">
        <v>47</v>
      </c>
      <c r="C57" s="1" t="s">
        <v>48</v>
      </c>
      <c r="D57" s="1" t="s">
        <v>205</v>
      </c>
      <c r="E57" s="1" t="s">
        <v>246</v>
      </c>
      <c r="F57" s="1" t="s">
        <v>247</v>
      </c>
      <c r="G57" s="1" t="s">
        <v>129</v>
      </c>
      <c r="H57" s="1" t="s">
        <v>53</v>
      </c>
      <c r="I57" s="1" t="s">
        <v>175</v>
      </c>
      <c r="J57" s="1" t="s">
        <v>248</v>
      </c>
      <c r="K57" s="1" t="s">
        <v>67</v>
      </c>
      <c r="L57" s="11" t="s">
        <v>57</v>
      </c>
      <c r="M57" s="1" t="s">
        <v>58</v>
      </c>
      <c r="N57" s="1" t="s">
        <v>59</v>
      </c>
      <c r="O57" s="1" t="s">
        <v>60</v>
      </c>
      <c r="P57" s="1">
        <v>0</v>
      </c>
      <c r="Q57" s="12">
        <v>118.77</v>
      </c>
      <c r="R57" s="1" t="s">
        <v>61</v>
      </c>
      <c r="S57" s="1" t="s">
        <v>62</v>
      </c>
      <c r="T57" s="6" t="s">
        <v>63</v>
      </c>
      <c r="U57" s="13">
        <v>0.255</v>
      </c>
      <c r="V57" s="12">
        <v>0</v>
      </c>
      <c r="W57" s="12">
        <v>-30.29</v>
      </c>
      <c r="X57" s="1" t="s">
        <v>57</v>
      </c>
    </row>
    <row r="58" spans="1:24" x14ac:dyDescent="0.2">
      <c r="A58" s="1" t="s">
        <v>110</v>
      </c>
      <c r="B58" s="1" t="s">
        <v>47</v>
      </c>
      <c r="C58" s="1" t="s">
        <v>48</v>
      </c>
      <c r="D58" s="1" t="s">
        <v>205</v>
      </c>
      <c r="E58" s="1" t="s">
        <v>249</v>
      </c>
      <c r="F58" s="1" t="s">
        <v>250</v>
      </c>
      <c r="G58" s="1" t="s">
        <v>129</v>
      </c>
      <c r="H58" s="1" t="s">
        <v>53</v>
      </c>
      <c r="I58" s="1" t="s">
        <v>130</v>
      </c>
      <c r="J58" s="1" t="s">
        <v>176</v>
      </c>
      <c r="K58" s="1" t="s">
        <v>67</v>
      </c>
      <c r="L58" s="11" t="s">
        <v>57</v>
      </c>
      <c r="M58" s="1" t="s">
        <v>58</v>
      </c>
      <c r="N58" s="1" t="s">
        <v>59</v>
      </c>
      <c r="O58" s="1" t="s">
        <v>60</v>
      </c>
      <c r="P58" s="1">
        <v>0</v>
      </c>
      <c r="Q58" s="12">
        <v>191.85</v>
      </c>
      <c r="R58" s="1" t="s">
        <v>79</v>
      </c>
      <c r="S58" s="1" t="s">
        <v>80</v>
      </c>
      <c r="T58" s="6" t="s">
        <v>63</v>
      </c>
      <c r="U58" s="13">
        <v>0.215</v>
      </c>
      <c r="V58" s="12">
        <v>41.25</v>
      </c>
      <c r="W58" s="12">
        <v>0</v>
      </c>
      <c r="X58" s="1" t="s">
        <v>57</v>
      </c>
    </row>
    <row r="59" spans="1:24" x14ac:dyDescent="0.2">
      <c r="A59" s="1" t="s">
        <v>110</v>
      </c>
      <c r="B59" s="1" t="s">
        <v>47</v>
      </c>
      <c r="C59" s="1" t="s">
        <v>251</v>
      </c>
      <c r="D59" s="1" t="s">
        <v>116</v>
      </c>
      <c r="E59" s="1" t="s">
        <v>252</v>
      </c>
      <c r="F59" s="1" t="s">
        <v>253</v>
      </c>
      <c r="G59" s="1" t="s">
        <v>114</v>
      </c>
      <c r="H59" s="1" t="s">
        <v>99</v>
      </c>
      <c r="I59" s="1" t="s">
        <v>119</v>
      </c>
      <c r="J59" s="1" t="s">
        <v>226</v>
      </c>
      <c r="K59" s="1" t="s">
        <v>67</v>
      </c>
      <c r="L59" s="11">
        <v>58</v>
      </c>
      <c r="M59" s="1" t="s">
        <v>58</v>
      </c>
      <c r="N59" s="1" t="s">
        <v>59</v>
      </c>
      <c r="O59" s="1" t="s">
        <v>60</v>
      </c>
      <c r="P59" s="1">
        <v>90</v>
      </c>
      <c r="Q59" s="12">
        <v>191.82</v>
      </c>
      <c r="R59" s="1" t="s">
        <v>61</v>
      </c>
      <c r="S59" s="1" t="s">
        <v>62</v>
      </c>
      <c r="T59" s="6" t="s">
        <v>63</v>
      </c>
      <c r="U59" s="13">
        <v>0.67500000000000004</v>
      </c>
      <c r="V59" s="12">
        <v>129.47999999999999</v>
      </c>
      <c r="W59" s="12">
        <v>0</v>
      </c>
      <c r="X59" s="1" t="s">
        <v>57</v>
      </c>
    </row>
    <row r="60" spans="1:24" x14ac:dyDescent="0.2">
      <c r="A60" s="1" t="s">
        <v>110</v>
      </c>
      <c r="B60" s="1" t="s">
        <v>47</v>
      </c>
      <c r="C60" s="1" t="s">
        <v>251</v>
      </c>
      <c r="D60" s="1" t="s">
        <v>116</v>
      </c>
      <c r="E60" s="1" t="s">
        <v>254</v>
      </c>
      <c r="F60" s="1" t="s">
        <v>255</v>
      </c>
      <c r="G60" s="1" t="s">
        <v>52</v>
      </c>
      <c r="H60" s="1" t="s">
        <v>89</v>
      </c>
      <c r="I60" s="1" t="s">
        <v>119</v>
      </c>
      <c r="J60" s="1" t="s">
        <v>90</v>
      </c>
      <c r="K60" s="1" t="s">
        <v>67</v>
      </c>
      <c r="L60" s="11">
        <v>69</v>
      </c>
      <c r="M60" s="1" t="s">
        <v>58</v>
      </c>
      <c r="N60" s="1" t="s">
        <v>59</v>
      </c>
      <c r="O60" s="1" t="s">
        <v>60</v>
      </c>
      <c r="P60" s="1">
        <v>60</v>
      </c>
      <c r="Q60" s="12">
        <v>252.77</v>
      </c>
      <c r="R60" s="1" t="s">
        <v>61</v>
      </c>
      <c r="S60" s="1" t="s">
        <v>62</v>
      </c>
      <c r="T60" s="6" t="s">
        <v>63</v>
      </c>
      <c r="U60" s="13">
        <v>0.67500000000000004</v>
      </c>
      <c r="V60" s="12">
        <v>0</v>
      </c>
      <c r="W60" s="12">
        <v>-170.62</v>
      </c>
      <c r="X60" s="1" t="s">
        <v>57</v>
      </c>
    </row>
    <row r="61" spans="1:24" x14ac:dyDescent="0.2">
      <c r="A61" s="1" t="s">
        <v>110</v>
      </c>
      <c r="B61" s="1" t="s">
        <v>47</v>
      </c>
      <c r="C61" s="1" t="s">
        <v>251</v>
      </c>
      <c r="D61" s="1" t="s">
        <v>116</v>
      </c>
      <c r="E61" s="1" t="s">
        <v>256</v>
      </c>
      <c r="F61" s="1" t="s">
        <v>257</v>
      </c>
      <c r="G61" s="1" t="s">
        <v>76</v>
      </c>
      <c r="H61" s="1" t="s">
        <v>99</v>
      </c>
      <c r="I61" s="1" t="s">
        <v>119</v>
      </c>
      <c r="J61" s="1" t="s">
        <v>90</v>
      </c>
      <c r="K61" s="1" t="s">
        <v>67</v>
      </c>
      <c r="L61" s="11">
        <v>28</v>
      </c>
      <c r="M61" s="1" t="s">
        <v>58</v>
      </c>
      <c r="N61" s="1" t="s">
        <v>59</v>
      </c>
      <c r="O61" s="1" t="s">
        <v>60</v>
      </c>
      <c r="P61" s="1">
        <v>260</v>
      </c>
      <c r="Q61" s="12">
        <v>76.150000000000006</v>
      </c>
      <c r="R61" s="1" t="s">
        <v>61</v>
      </c>
      <c r="S61" s="1" t="s">
        <v>62</v>
      </c>
      <c r="T61" s="6" t="s">
        <v>63</v>
      </c>
      <c r="U61" s="13">
        <v>0.67500000000000004</v>
      </c>
      <c r="V61" s="12">
        <v>0</v>
      </c>
      <c r="W61" s="12">
        <v>-51.4</v>
      </c>
      <c r="X61" s="1" t="s">
        <v>57</v>
      </c>
    </row>
    <row r="62" spans="1:24" x14ac:dyDescent="0.2">
      <c r="A62" s="1" t="s">
        <v>110</v>
      </c>
      <c r="B62" s="1" t="s">
        <v>47</v>
      </c>
      <c r="C62" s="1" t="s">
        <v>251</v>
      </c>
      <c r="D62" s="1" t="s">
        <v>258</v>
      </c>
      <c r="E62" s="1" t="s">
        <v>259</v>
      </c>
      <c r="F62" s="1" t="s">
        <v>260</v>
      </c>
      <c r="G62" s="1" t="s">
        <v>52</v>
      </c>
      <c r="H62" s="1" t="s">
        <v>140</v>
      </c>
      <c r="I62" s="1" t="s">
        <v>119</v>
      </c>
      <c r="J62" s="1" t="s">
        <v>261</v>
      </c>
      <c r="K62" s="1" t="s">
        <v>262</v>
      </c>
      <c r="L62" s="11">
        <v>24</v>
      </c>
      <c r="M62" s="1" t="s">
        <v>58</v>
      </c>
      <c r="N62" s="1" t="s">
        <v>59</v>
      </c>
      <c r="O62" s="1" t="s">
        <v>60</v>
      </c>
      <c r="P62" s="1">
        <v>290</v>
      </c>
      <c r="Q62" s="12">
        <v>99.3</v>
      </c>
      <c r="R62" s="1" t="s">
        <v>61</v>
      </c>
      <c r="S62" s="1" t="s">
        <v>62</v>
      </c>
      <c r="T62" s="6" t="s">
        <v>63</v>
      </c>
      <c r="U62" s="13">
        <v>1.35</v>
      </c>
      <c r="V62" s="12">
        <v>134.06</v>
      </c>
      <c r="W62" s="12">
        <v>0</v>
      </c>
      <c r="X62" s="1" t="s">
        <v>57</v>
      </c>
    </row>
    <row r="63" spans="1:24" x14ac:dyDescent="0.2">
      <c r="A63" s="1" t="s">
        <v>110</v>
      </c>
      <c r="B63" s="1" t="s">
        <v>47</v>
      </c>
      <c r="C63" s="1" t="s">
        <v>251</v>
      </c>
      <c r="D63" s="1" t="s">
        <v>81</v>
      </c>
      <c r="E63" s="1" t="s">
        <v>263</v>
      </c>
      <c r="F63" s="1" t="s">
        <v>264</v>
      </c>
      <c r="G63" s="1" t="s">
        <v>52</v>
      </c>
      <c r="H63" s="1" t="s">
        <v>140</v>
      </c>
      <c r="I63" s="1" t="s">
        <v>119</v>
      </c>
      <c r="J63" s="1" t="s">
        <v>265</v>
      </c>
      <c r="K63" s="1" t="s">
        <v>157</v>
      </c>
      <c r="L63" s="11">
        <v>64</v>
      </c>
      <c r="M63" s="1" t="s">
        <v>58</v>
      </c>
      <c r="N63" s="1" t="s">
        <v>59</v>
      </c>
      <c r="O63" s="1" t="s">
        <v>60</v>
      </c>
      <c r="P63" s="1">
        <v>90</v>
      </c>
      <c r="Q63" s="12">
        <v>265.12</v>
      </c>
      <c r="R63" s="1" t="s">
        <v>61</v>
      </c>
      <c r="S63" s="1" t="s">
        <v>62</v>
      </c>
      <c r="T63" s="6" t="s">
        <v>63</v>
      </c>
      <c r="U63" s="13">
        <v>0.67500000000000004</v>
      </c>
      <c r="V63" s="12">
        <v>0</v>
      </c>
      <c r="W63" s="12">
        <v>-178.96</v>
      </c>
      <c r="X63" s="1" t="s">
        <v>57</v>
      </c>
    </row>
    <row r="64" spans="1:24" x14ac:dyDescent="0.2">
      <c r="A64" s="1" t="s">
        <v>110</v>
      </c>
      <c r="B64" s="1" t="s">
        <v>47</v>
      </c>
      <c r="C64" s="1" t="s">
        <v>251</v>
      </c>
      <c r="D64" s="1" t="s">
        <v>81</v>
      </c>
      <c r="E64" s="1" t="s">
        <v>266</v>
      </c>
      <c r="F64" s="1" t="s">
        <v>267</v>
      </c>
      <c r="G64" s="1" t="s">
        <v>268</v>
      </c>
      <c r="H64" s="1" t="s">
        <v>140</v>
      </c>
      <c r="I64" s="1" t="s">
        <v>119</v>
      </c>
      <c r="J64" s="1" t="s">
        <v>269</v>
      </c>
      <c r="K64" s="1" t="s">
        <v>157</v>
      </c>
      <c r="L64" s="11">
        <v>57</v>
      </c>
      <c r="M64" s="1" t="s">
        <v>58</v>
      </c>
      <c r="N64" s="1" t="s">
        <v>59</v>
      </c>
      <c r="O64" s="1" t="s">
        <v>60</v>
      </c>
      <c r="P64" s="1">
        <v>135</v>
      </c>
      <c r="Q64" s="12">
        <v>193.43</v>
      </c>
      <c r="R64" s="1" t="s">
        <v>61</v>
      </c>
      <c r="S64" s="1" t="s">
        <v>62</v>
      </c>
      <c r="T64" s="6" t="s">
        <v>63</v>
      </c>
      <c r="U64" s="13">
        <v>0.67500000000000004</v>
      </c>
      <c r="V64" s="12">
        <v>0</v>
      </c>
      <c r="W64" s="12">
        <v>-130.57</v>
      </c>
      <c r="X64" s="1" t="s">
        <v>57</v>
      </c>
    </row>
    <row r="65" spans="1:24" x14ac:dyDescent="0.2">
      <c r="A65" s="1" t="s">
        <v>110</v>
      </c>
      <c r="B65" s="1" t="s">
        <v>47</v>
      </c>
      <c r="C65" s="1" t="s">
        <v>251</v>
      </c>
      <c r="D65" s="1" t="s">
        <v>81</v>
      </c>
      <c r="E65" s="1" t="s">
        <v>270</v>
      </c>
      <c r="F65" s="1" t="s">
        <v>271</v>
      </c>
      <c r="G65" s="1" t="s">
        <v>114</v>
      </c>
      <c r="H65" s="1" t="s">
        <v>140</v>
      </c>
      <c r="I65" s="1" t="s">
        <v>119</v>
      </c>
      <c r="J65" s="1" t="s">
        <v>269</v>
      </c>
      <c r="K65" s="1" t="s">
        <v>157</v>
      </c>
      <c r="L65" s="11">
        <v>60</v>
      </c>
      <c r="M65" s="1" t="s">
        <v>58</v>
      </c>
      <c r="N65" s="1" t="s">
        <v>59</v>
      </c>
      <c r="O65" s="1" t="s">
        <v>60</v>
      </c>
      <c r="P65" s="1">
        <v>125</v>
      </c>
      <c r="Q65" s="12">
        <v>205.2</v>
      </c>
      <c r="R65" s="1" t="s">
        <v>61</v>
      </c>
      <c r="S65" s="1" t="s">
        <v>62</v>
      </c>
      <c r="T65" s="6" t="s">
        <v>63</v>
      </c>
      <c r="U65" s="13">
        <v>0.67500000000000004</v>
      </c>
      <c r="V65" s="12">
        <v>0</v>
      </c>
      <c r="W65" s="12">
        <v>-138.51</v>
      </c>
      <c r="X65" s="1" t="s">
        <v>57</v>
      </c>
    </row>
    <row r="66" spans="1:24" x14ac:dyDescent="0.2">
      <c r="A66" s="1" t="s">
        <v>110</v>
      </c>
      <c r="B66" s="1" t="s">
        <v>47</v>
      </c>
      <c r="C66" s="1" t="s">
        <v>251</v>
      </c>
      <c r="D66" s="1" t="s">
        <v>81</v>
      </c>
      <c r="E66" s="1" t="s">
        <v>272</v>
      </c>
      <c r="F66" s="1" t="s">
        <v>273</v>
      </c>
      <c r="G66" s="1" t="s">
        <v>274</v>
      </c>
      <c r="H66" s="1" t="s">
        <v>140</v>
      </c>
      <c r="I66" s="1" t="s">
        <v>119</v>
      </c>
      <c r="J66" s="1" t="s">
        <v>269</v>
      </c>
      <c r="K66" s="1" t="s">
        <v>157</v>
      </c>
      <c r="L66" s="11">
        <v>63</v>
      </c>
      <c r="M66" s="1" t="s">
        <v>58</v>
      </c>
      <c r="N66" s="1" t="s">
        <v>59</v>
      </c>
      <c r="O66" s="1" t="s">
        <v>60</v>
      </c>
      <c r="P66" s="1">
        <v>100</v>
      </c>
      <c r="Q66" s="12">
        <v>276.29000000000002</v>
      </c>
      <c r="R66" s="1" t="s">
        <v>61</v>
      </c>
      <c r="S66" s="1" t="s">
        <v>62</v>
      </c>
      <c r="T66" s="6" t="s">
        <v>63</v>
      </c>
      <c r="U66" s="13">
        <v>0.67500000000000004</v>
      </c>
      <c r="V66" s="12">
        <v>0</v>
      </c>
      <c r="W66" s="12">
        <v>-186.5</v>
      </c>
      <c r="X66" s="1" t="s">
        <v>57</v>
      </c>
    </row>
    <row r="67" spans="1:24" x14ac:dyDescent="0.2">
      <c r="A67" s="1" t="s">
        <v>110</v>
      </c>
      <c r="B67" s="1" t="s">
        <v>47</v>
      </c>
      <c r="C67" s="1" t="s">
        <v>251</v>
      </c>
      <c r="D67" s="1" t="s">
        <v>275</v>
      </c>
      <c r="E67" s="1" t="s">
        <v>276</v>
      </c>
      <c r="F67" s="1" t="s">
        <v>277</v>
      </c>
      <c r="G67" s="1" t="s">
        <v>278</v>
      </c>
      <c r="H67" s="1" t="s">
        <v>140</v>
      </c>
      <c r="I67" s="1" t="s">
        <v>279</v>
      </c>
      <c r="J67" s="1" t="s">
        <v>280</v>
      </c>
      <c r="K67" s="1" t="s">
        <v>160</v>
      </c>
      <c r="L67" s="11">
        <v>44</v>
      </c>
      <c r="M67" s="1" t="s">
        <v>58</v>
      </c>
      <c r="N67" s="1" t="s">
        <v>59</v>
      </c>
      <c r="O67" s="1" t="s">
        <v>60</v>
      </c>
      <c r="P67" s="1">
        <v>100</v>
      </c>
      <c r="Q67" s="12">
        <v>141.25</v>
      </c>
      <c r="R67" s="1" t="s">
        <v>61</v>
      </c>
      <c r="S67" s="1" t="s">
        <v>62</v>
      </c>
      <c r="T67" s="6" t="s">
        <v>63</v>
      </c>
      <c r="U67" s="13">
        <v>1.3</v>
      </c>
      <c r="V67" s="12">
        <v>0</v>
      </c>
      <c r="W67" s="12">
        <v>-183.63</v>
      </c>
      <c r="X67" s="1" t="s">
        <v>57</v>
      </c>
    </row>
    <row r="68" spans="1:24" x14ac:dyDescent="0.2">
      <c r="A68" s="1" t="s">
        <v>110</v>
      </c>
      <c r="B68" s="1" t="s">
        <v>47</v>
      </c>
      <c r="C68" s="1" t="s">
        <v>251</v>
      </c>
      <c r="D68" s="1" t="s">
        <v>281</v>
      </c>
      <c r="E68" s="1" t="s">
        <v>282</v>
      </c>
      <c r="F68" s="1" t="s">
        <v>283</v>
      </c>
      <c r="G68" s="1" t="s">
        <v>52</v>
      </c>
      <c r="H68" s="1" t="s">
        <v>99</v>
      </c>
      <c r="I68" s="1" t="s">
        <v>119</v>
      </c>
      <c r="J68" s="1" t="s">
        <v>284</v>
      </c>
      <c r="K68" s="1" t="s">
        <v>285</v>
      </c>
      <c r="L68" s="11">
        <v>55</v>
      </c>
      <c r="M68" s="1" t="s">
        <v>58</v>
      </c>
      <c r="N68" s="1" t="s">
        <v>59</v>
      </c>
      <c r="O68" s="1" t="s">
        <v>60</v>
      </c>
      <c r="P68" s="1">
        <v>80</v>
      </c>
      <c r="Q68" s="12">
        <v>102.95</v>
      </c>
      <c r="R68" s="1" t="s">
        <v>61</v>
      </c>
      <c r="S68" s="1" t="s">
        <v>62</v>
      </c>
      <c r="T68" s="6" t="s">
        <v>63</v>
      </c>
      <c r="U68" s="13">
        <v>1.35</v>
      </c>
      <c r="V68" s="12">
        <v>138.97999999999999</v>
      </c>
      <c r="W68" s="12">
        <v>0</v>
      </c>
      <c r="X68" s="1" t="s">
        <v>57</v>
      </c>
    </row>
    <row r="69" spans="1:24" x14ac:dyDescent="0.2">
      <c r="A69" s="1" t="s">
        <v>110</v>
      </c>
      <c r="B69" s="1" t="s">
        <v>47</v>
      </c>
      <c r="C69" s="1" t="s">
        <v>251</v>
      </c>
      <c r="D69" s="1" t="s">
        <v>111</v>
      </c>
      <c r="E69" s="1" t="s">
        <v>286</v>
      </c>
      <c r="F69" s="1" t="s">
        <v>287</v>
      </c>
      <c r="G69" s="1" t="s">
        <v>288</v>
      </c>
      <c r="H69" s="1" t="s">
        <v>140</v>
      </c>
      <c r="I69" s="1" t="s">
        <v>115</v>
      </c>
      <c r="J69" s="1" t="s">
        <v>289</v>
      </c>
      <c r="K69" s="1" t="s">
        <v>157</v>
      </c>
      <c r="L69" s="11">
        <v>21</v>
      </c>
      <c r="M69" s="1" t="s">
        <v>58</v>
      </c>
      <c r="N69" s="1" t="s">
        <v>59</v>
      </c>
      <c r="O69" s="1" t="s">
        <v>60</v>
      </c>
      <c r="P69" s="1">
        <v>300</v>
      </c>
      <c r="Q69" s="12">
        <v>65.5</v>
      </c>
      <c r="R69" s="1" t="s">
        <v>61</v>
      </c>
      <c r="S69" s="1" t="s">
        <v>62</v>
      </c>
      <c r="T69" s="6" t="s">
        <v>63</v>
      </c>
      <c r="U69" s="13">
        <v>1.5</v>
      </c>
      <c r="V69" s="12">
        <v>0</v>
      </c>
      <c r="W69" s="12">
        <v>-98.25</v>
      </c>
      <c r="X69" s="1" t="s">
        <v>57</v>
      </c>
    </row>
    <row r="70" spans="1:24" x14ac:dyDescent="0.2">
      <c r="A70" s="1" t="s">
        <v>110</v>
      </c>
      <c r="B70" s="1" t="s">
        <v>47</v>
      </c>
      <c r="C70" s="1" t="s">
        <v>251</v>
      </c>
      <c r="D70" s="1" t="s">
        <v>81</v>
      </c>
      <c r="E70" s="1" t="s">
        <v>290</v>
      </c>
      <c r="F70" s="1" t="s">
        <v>291</v>
      </c>
      <c r="G70" s="1" t="s">
        <v>52</v>
      </c>
      <c r="H70" s="1" t="s">
        <v>99</v>
      </c>
      <c r="I70" s="1" t="s">
        <v>123</v>
      </c>
      <c r="J70" s="1" t="s">
        <v>292</v>
      </c>
      <c r="K70" s="1" t="s">
        <v>143</v>
      </c>
      <c r="L70" s="11">
        <v>54</v>
      </c>
      <c r="M70" s="1" t="s">
        <v>58</v>
      </c>
      <c r="N70" s="1" t="s">
        <v>59</v>
      </c>
      <c r="O70" s="1" t="s">
        <v>60</v>
      </c>
      <c r="P70" s="1">
        <v>125</v>
      </c>
      <c r="Q70" s="12">
        <v>114.48</v>
      </c>
      <c r="R70" s="1" t="s">
        <v>61</v>
      </c>
      <c r="S70" s="1" t="s">
        <v>62</v>
      </c>
      <c r="T70" s="6" t="s">
        <v>63</v>
      </c>
      <c r="U70" s="13">
        <v>1.5</v>
      </c>
      <c r="V70" s="12">
        <v>171.72</v>
      </c>
      <c r="W70" s="12">
        <v>0</v>
      </c>
      <c r="X70" s="1" t="s">
        <v>57</v>
      </c>
    </row>
    <row r="71" spans="1:24" x14ac:dyDescent="0.2">
      <c r="A71" s="1" t="s">
        <v>110</v>
      </c>
      <c r="B71" s="1" t="s">
        <v>47</v>
      </c>
      <c r="C71" s="1" t="s">
        <v>251</v>
      </c>
      <c r="D71" s="1" t="s">
        <v>81</v>
      </c>
      <c r="E71" s="1" t="s">
        <v>293</v>
      </c>
      <c r="F71" s="1" t="s">
        <v>294</v>
      </c>
      <c r="G71" s="1" t="s">
        <v>52</v>
      </c>
      <c r="H71" s="1" t="s">
        <v>99</v>
      </c>
      <c r="I71" s="1" t="s">
        <v>123</v>
      </c>
      <c r="J71" s="1" t="s">
        <v>292</v>
      </c>
      <c r="K71" s="1" t="s">
        <v>143</v>
      </c>
      <c r="L71" s="11">
        <v>56</v>
      </c>
      <c r="M71" s="1" t="s">
        <v>58</v>
      </c>
      <c r="N71" s="1" t="s">
        <v>59</v>
      </c>
      <c r="O71" s="1" t="s">
        <v>60</v>
      </c>
      <c r="P71" s="1">
        <v>125</v>
      </c>
      <c r="Q71" s="12">
        <v>124.71</v>
      </c>
      <c r="R71" s="1" t="s">
        <v>61</v>
      </c>
      <c r="S71" s="1" t="s">
        <v>62</v>
      </c>
      <c r="T71" s="6" t="s">
        <v>63</v>
      </c>
      <c r="U71" s="13">
        <v>1.5</v>
      </c>
      <c r="V71" s="12">
        <v>187.07</v>
      </c>
      <c r="W71" s="12">
        <v>0</v>
      </c>
      <c r="X71" s="1" t="s">
        <v>57</v>
      </c>
    </row>
    <row r="72" spans="1:24" x14ac:dyDescent="0.2">
      <c r="A72" s="1" t="s">
        <v>110</v>
      </c>
      <c r="B72" s="1" t="s">
        <v>47</v>
      </c>
      <c r="C72" s="1" t="s">
        <v>251</v>
      </c>
      <c r="D72" s="1" t="s">
        <v>81</v>
      </c>
      <c r="E72" s="1" t="s">
        <v>295</v>
      </c>
      <c r="F72" s="1" t="s">
        <v>296</v>
      </c>
      <c r="G72" s="1" t="s">
        <v>52</v>
      </c>
      <c r="H72" s="1" t="s">
        <v>99</v>
      </c>
      <c r="I72" s="1" t="s">
        <v>123</v>
      </c>
      <c r="J72" s="1" t="s">
        <v>292</v>
      </c>
      <c r="K72" s="1" t="s">
        <v>143</v>
      </c>
      <c r="L72" s="11">
        <v>51</v>
      </c>
      <c r="M72" s="1" t="s">
        <v>58</v>
      </c>
      <c r="N72" s="1" t="s">
        <v>59</v>
      </c>
      <c r="O72" s="1" t="s">
        <v>60</v>
      </c>
      <c r="P72" s="1">
        <v>100</v>
      </c>
      <c r="Q72" s="12">
        <v>70.84</v>
      </c>
      <c r="R72" s="1" t="s">
        <v>61</v>
      </c>
      <c r="S72" s="1" t="s">
        <v>62</v>
      </c>
      <c r="T72" s="6" t="s">
        <v>63</v>
      </c>
      <c r="U72" s="13">
        <v>1.5</v>
      </c>
      <c r="V72" s="12">
        <v>106.26</v>
      </c>
      <c r="W72" s="12">
        <v>0</v>
      </c>
      <c r="X72" s="1" t="s">
        <v>57</v>
      </c>
    </row>
    <row r="73" spans="1:24" x14ac:dyDescent="0.2">
      <c r="A73" s="1" t="s">
        <v>110</v>
      </c>
      <c r="B73" s="1" t="s">
        <v>47</v>
      </c>
      <c r="C73" s="1" t="s">
        <v>251</v>
      </c>
      <c r="D73" s="1" t="s">
        <v>81</v>
      </c>
      <c r="E73" s="1" t="s">
        <v>297</v>
      </c>
      <c r="F73" s="1" t="s">
        <v>298</v>
      </c>
      <c r="G73" s="1" t="s">
        <v>114</v>
      </c>
      <c r="H73" s="1" t="s">
        <v>140</v>
      </c>
      <c r="I73" s="1" t="s">
        <v>123</v>
      </c>
      <c r="J73" s="1" t="s">
        <v>299</v>
      </c>
      <c r="K73" s="1" t="s">
        <v>157</v>
      </c>
      <c r="L73" s="11">
        <v>54</v>
      </c>
      <c r="M73" s="1" t="s">
        <v>58</v>
      </c>
      <c r="N73" s="1" t="s">
        <v>59</v>
      </c>
      <c r="O73" s="1" t="s">
        <v>60</v>
      </c>
      <c r="P73" s="1">
        <v>150</v>
      </c>
      <c r="Q73" s="12">
        <v>136.30000000000001</v>
      </c>
      <c r="R73" s="1" t="s">
        <v>61</v>
      </c>
      <c r="S73" s="1" t="s">
        <v>62</v>
      </c>
      <c r="T73" s="6" t="s">
        <v>63</v>
      </c>
      <c r="U73" s="13">
        <v>1.5</v>
      </c>
      <c r="V73" s="12">
        <v>204.45</v>
      </c>
      <c r="W73" s="12">
        <v>0</v>
      </c>
      <c r="X73" s="1" t="s">
        <v>57</v>
      </c>
    </row>
    <row r="74" spans="1:24" x14ac:dyDescent="0.2">
      <c r="A74" s="1" t="s">
        <v>110</v>
      </c>
      <c r="B74" s="1" t="s">
        <v>47</v>
      </c>
      <c r="C74" s="1" t="s">
        <v>251</v>
      </c>
      <c r="D74" s="1" t="s">
        <v>81</v>
      </c>
      <c r="E74" s="1" t="s">
        <v>300</v>
      </c>
      <c r="F74" s="1" t="s">
        <v>301</v>
      </c>
      <c r="G74" s="1" t="s">
        <v>302</v>
      </c>
      <c r="H74" s="1" t="s">
        <v>140</v>
      </c>
      <c r="I74" s="1" t="s">
        <v>123</v>
      </c>
      <c r="J74" s="1" t="s">
        <v>299</v>
      </c>
      <c r="K74" s="1" t="s">
        <v>157</v>
      </c>
      <c r="L74" s="11">
        <v>60</v>
      </c>
      <c r="M74" s="1" t="s">
        <v>58</v>
      </c>
      <c r="N74" s="1" t="s">
        <v>59</v>
      </c>
      <c r="O74" s="1" t="s">
        <v>60</v>
      </c>
      <c r="P74" s="1">
        <v>125</v>
      </c>
      <c r="Q74" s="12">
        <v>171.66</v>
      </c>
      <c r="R74" s="1" t="s">
        <v>61</v>
      </c>
      <c r="S74" s="1" t="s">
        <v>62</v>
      </c>
      <c r="T74" s="6" t="s">
        <v>63</v>
      </c>
      <c r="U74" s="13">
        <v>1.5</v>
      </c>
      <c r="V74" s="12">
        <v>257.49</v>
      </c>
      <c r="W74" s="12">
        <v>0</v>
      </c>
      <c r="X74" s="1" t="s">
        <v>57</v>
      </c>
    </row>
    <row r="75" spans="1:24" x14ac:dyDescent="0.2">
      <c r="A75" s="1" t="s">
        <v>110</v>
      </c>
      <c r="B75" s="1" t="s">
        <v>47</v>
      </c>
      <c r="C75" s="1" t="s">
        <v>251</v>
      </c>
      <c r="D75" s="1" t="s">
        <v>81</v>
      </c>
      <c r="E75" s="1" t="s">
        <v>303</v>
      </c>
      <c r="F75" s="1" t="s">
        <v>304</v>
      </c>
      <c r="G75" s="1" t="s">
        <v>52</v>
      </c>
      <c r="H75" s="1" t="s">
        <v>140</v>
      </c>
      <c r="I75" s="1" t="s">
        <v>123</v>
      </c>
      <c r="J75" s="1" t="s">
        <v>299</v>
      </c>
      <c r="K75" s="1" t="s">
        <v>157</v>
      </c>
      <c r="L75" s="11">
        <v>65</v>
      </c>
      <c r="M75" s="1" t="s">
        <v>58</v>
      </c>
      <c r="N75" s="1" t="s">
        <v>59</v>
      </c>
      <c r="O75" s="1" t="s">
        <v>60</v>
      </c>
      <c r="P75" s="1">
        <v>40</v>
      </c>
      <c r="Q75" s="12">
        <v>94.95</v>
      </c>
      <c r="R75" s="1" t="s">
        <v>61</v>
      </c>
      <c r="S75" s="1" t="s">
        <v>62</v>
      </c>
      <c r="T75" s="6" t="s">
        <v>63</v>
      </c>
      <c r="U75" s="13">
        <v>1.5</v>
      </c>
      <c r="V75" s="12">
        <v>142.43</v>
      </c>
      <c r="W75" s="12">
        <v>0</v>
      </c>
      <c r="X75" s="1" t="s">
        <v>57</v>
      </c>
    </row>
    <row r="76" spans="1:24" x14ac:dyDescent="0.2">
      <c r="A76" s="1" t="s">
        <v>110</v>
      </c>
      <c r="B76" s="1" t="s">
        <v>47</v>
      </c>
      <c r="C76" s="1" t="s">
        <v>251</v>
      </c>
      <c r="D76" s="1" t="s">
        <v>81</v>
      </c>
      <c r="E76" s="1" t="s">
        <v>305</v>
      </c>
      <c r="F76" s="1" t="s">
        <v>306</v>
      </c>
      <c r="G76" s="1" t="s">
        <v>302</v>
      </c>
      <c r="H76" s="1" t="s">
        <v>140</v>
      </c>
      <c r="I76" s="1" t="s">
        <v>119</v>
      </c>
      <c r="J76" s="1" t="s">
        <v>269</v>
      </c>
      <c r="K76" s="1" t="s">
        <v>157</v>
      </c>
      <c r="L76" s="11">
        <v>61</v>
      </c>
      <c r="M76" s="1" t="s">
        <v>58</v>
      </c>
      <c r="N76" s="1" t="s">
        <v>59</v>
      </c>
      <c r="O76" s="1" t="s">
        <v>60</v>
      </c>
      <c r="P76" s="1">
        <v>80</v>
      </c>
      <c r="Q76" s="12">
        <v>152.47999999999999</v>
      </c>
      <c r="R76" s="1" t="s">
        <v>61</v>
      </c>
      <c r="S76" s="1" t="s">
        <v>62</v>
      </c>
      <c r="T76" s="6" t="s">
        <v>63</v>
      </c>
      <c r="U76" s="13">
        <v>0.67500000000000004</v>
      </c>
      <c r="V76" s="12">
        <v>0</v>
      </c>
      <c r="W76" s="12">
        <v>-102.92</v>
      </c>
      <c r="X76" s="1" t="s">
        <v>57</v>
      </c>
    </row>
    <row r="77" spans="1:24" x14ac:dyDescent="0.2">
      <c r="A77" s="1" t="s">
        <v>110</v>
      </c>
      <c r="B77" s="1" t="s">
        <v>47</v>
      </c>
      <c r="C77" s="1" t="s">
        <v>251</v>
      </c>
      <c r="D77" s="1" t="s">
        <v>81</v>
      </c>
      <c r="E77" s="1" t="s">
        <v>307</v>
      </c>
      <c r="F77" s="1" t="s">
        <v>308</v>
      </c>
      <c r="G77" s="1" t="s">
        <v>302</v>
      </c>
      <c r="H77" s="1" t="s">
        <v>140</v>
      </c>
      <c r="I77" s="1" t="s">
        <v>119</v>
      </c>
      <c r="J77" s="1" t="s">
        <v>269</v>
      </c>
      <c r="K77" s="1" t="s">
        <v>157</v>
      </c>
      <c r="L77" s="11">
        <v>62</v>
      </c>
      <c r="M77" s="1" t="s">
        <v>58</v>
      </c>
      <c r="N77" s="1" t="s">
        <v>59</v>
      </c>
      <c r="O77" s="1" t="s">
        <v>60</v>
      </c>
      <c r="P77" s="1">
        <v>80</v>
      </c>
      <c r="Q77" s="12">
        <v>210.19</v>
      </c>
      <c r="R77" s="1" t="s">
        <v>61</v>
      </c>
      <c r="S77" s="1" t="s">
        <v>62</v>
      </c>
      <c r="T77" s="6" t="s">
        <v>63</v>
      </c>
      <c r="U77" s="13">
        <v>0.67500000000000004</v>
      </c>
      <c r="V77" s="12">
        <v>0</v>
      </c>
      <c r="W77" s="12">
        <v>-141.88</v>
      </c>
      <c r="X77" s="1" t="s">
        <v>57</v>
      </c>
    </row>
    <row r="78" spans="1:24" x14ac:dyDescent="0.2">
      <c r="A78" s="1" t="s">
        <v>110</v>
      </c>
      <c r="B78" s="1" t="s">
        <v>47</v>
      </c>
      <c r="C78" s="1" t="s">
        <v>251</v>
      </c>
      <c r="D78" s="1" t="s">
        <v>81</v>
      </c>
      <c r="E78" s="1" t="s">
        <v>309</v>
      </c>
      <c r="F78" s="1" t="s">
        <v>310</v>
      </c>
      <c r="G78" s="1" t="s">
        <v>114</v>
      </c>
      <c r="H78" s="1" t="s">
        <v>140</v>
      </c>
      <c r="I78" s="1" t="s">
        <v>119</v>
      </c>
      <c r="J78" s="1" t="s">
        <v>269</v>
      </c>
      <c r="K78" s="1" t="s">
        <v>157</v>
      </c>
      <c r="L78" s="11">
        <v>59</v>
      </c>
      <c r="M78" s="1" t="s">
        <v>58</v>
      </c>
      <c r="N78" s="1" t="s">
        <v>59</v>
      </c>
      <c r="O78" s="1" t="s">
        <v>60</v>
      </c>
      <c r="P78" s="1">
        <v>200</v>
      </c>
      <c r="Q78" s="12">
        <v>318.74</v>
      </c>
      <c r="R78" s="1" t="s">
        <v>61</v>
      </c>
      <c r="S78" s="1" t="s">
        <v>62</v>
      </c>
      <c r="T78" s="6" t="s">
        <v>63</v>
      </c>
      <c r="U78" s="13">
        <v>0.67500000000000004</v>
      </c>
      <c r="V78" s="12">
        <v>0</v>
      </c>
      <c r="W78" s="12">
        <v>-215.15</v>
      </c>
      <c r="X78" s="1" t="s">
        <v>57</v>
      </c>
    </row>
    <row r="79" spans="1:24" x14ac:dyDescent="0.2">
      <c r="A79" s="1" t="s">
        <v>110</v>
      </c>
      <c r="B79" s="1" t="s">
        <v>47</v>
      </c>
      <c r="C79" s="1" t="s">
        <v>251</v>
      </c>
      <c r="D79" s="1" t="s">
        <v>81</v>
      </c>
      <c r="E79" s="1" t="s">
        <v>311</v>
      </c>
      <c r="F79" s="1" t="s">
        <v>312</v>
      </c>
      <c r="G79" s="1" t="s">
        <v>52</v>
      </c>
      <c r="H79" s="1" t="s">
        <v>140</v>
      </c>
      <c r="I79" s="1" t="s">
        <v>119</v>
      </c>
      <c r="J79" s="1" t="s">
        <v>313</v>
      </c>
      <c r="K79" s="1" t="s">
        <v>157</v>
      </c>
      <c r="L79" s="11">
        <v>64</v>
      </c>
      <c r="M79" s="1" t="s">
        <v>58</v>
      </c>
      <c r="N79" s="1" t="s">
        <v>59</v>
      </c>
      <c r="O79" s="1" t="s">
        <v>60</v>
      </c>
      <c r="P79" s="1">
        <v>75</v>
      </c>
      <c r="Q79" s="12">
        <v>220.93</v>
      </c>
      <c r="R79" s="1" t="s">
        <v>61</v>
      </c>
      <c r="S79" s="1" t="s">
        <v>62</v>
      </c>
      <c r="T79" s="6" t="s">
        <v>63</v>
      </c>
      <c r="U79" s="13">
        <v>0.67500000000000004</v>
      </c>
      <c r="V79" s="12">
        <v>0</v>
      </c>
      <c r="W79" s="12">
        <v>-149.13</v>
      </c>
      <c r="X79" s="1" t="s">
        <v>57</v>
      </c>
    </row>
    <row r="80" spans="1:24" x14ac:dyDescent="0.2">
      <c r="A80" s="1" t="s">
        <v>110</v>
      </c>
      <c r="B80" s="1" t="s">
        <v>47</v>
      </c>
      <c r="C80" s="1" t="s">
        <v>251</v>
      </c>
      <c r="D80" s="1" t="s">
        <v>81</v>
      </c>
      <c r="E80" s="1" t="s">
        <v>314</v>
      </c>
      <c r="F80" s="1" t="s">
        <v>315</v>
      </c>
      <c r="G80" s="1" t="s">
        <v>52</v>
      </c>
      <c r="H80" s="1" t="s">
        <v>140</v>
      </c>
      <c r="I80" s="1" t="s">
        <v>119</v>
      </c>
      <c r="J80" s="1" t="s">
        <v>313</v>
      </c>
      <c r="K80" s="1" t="s">
        <v>157</v>
      </c>
      <c r="L80" s="11">
        <v>56</v>
      </c>
      <c r="M80" s="1" t="s">
        <v>58</v>
      </c>
      <c r="N80" s="1" t="s">
        <v>59</v>
      </c>
      <c r="O80" s="1" t="s">
        <v>60</v>
      </c>
      <c r="P80" s="1">
        <v>75</v>
      </c>
      <c r="Q80" s="12">
        <v>103.09</v>
      </c>
      <c r="R80" s="1" t="s">
        <v>61</v>
      </c>
      <c r="S80" s="1" t="s">
        <v>62</v>
      </c>
      <c r="T80" s="6" t="s">
        <v>63</v>
      </c>
      <c r="U80" s="13">
        <v>0.67500000000000004</v>
      </c>
      <c r="V80" s="12">
        <v>0</v>
      </c>
      <c r="W80" s="12">
        <v>-69.59</v>
      </c>
      <c r="X80" s="1" t="s">
        <v>57</v>
      </c>
    </row>
    <row r="81" spans="1:24" x14ac:dyDescent="0.2">
      <c r="A81" s="1" t="s">
        <v>110</v>
      </c>
      <c r="B81" s="1" t="s">
        <v>47</v>
      </c>
      <c r="C81" s="1" t="s">
        <v>251</v>
      </c>
      <c r="D81" s="1" t="s">
        <v>81</v>
      </c>
      <c r="E81" s="1" t="s">
        <v>316</v>
      </c>
      <c r="F81" s="1" t="s">
        <v>317</v>
      </c>
      <c r="G81" s="1" t="s">
        <v>122</v>
      </c>
      <c r="H81" s="1" t="s">
        <v>99</v>
      </c>
      <c r="I81" s="1" t="s">
        <v>123</v>
      </c>
      <c r="J81" s="1" t="s">
        <v>318</v>
      </c>
      <c r="K81" s="1" t="s">
        <v>143</v>
      </c>
      <c r="L81" s="11">
        <v>60</v>
      </c>
      <c r="M81" s="1" t="s">
        <v>58</v>
      </c>
      <c r="N81" s="1" t="s">
        <v>59</v>
      </c>
      <c r="O81" s="1" t="s">
        <v>60</v>
      </c>
      <c r="P81" s="1">
        <v>78</v>
      </c>
      <c r="Q81" s="12">
        <v>204.92</v>
      </c>
      <c r="R81" s="1" t="s">
        <v>61</v>
      </c>
      <c r="S81" s="1" t="s">
        <v>62</v>
      </c>
      <c r="T81" s="6" t="s">
        <v>63</v>
      </c>
      <c r="U81" s="13">
        <v>1.5</v>
      </c>
      <c r="V81" s="12">
        <v>0</v>
      </c>
      <c r="W81" s="12">
        <v>-307.38</v>
      </c>
      <c r="X81" s="1" t="s">
        <v>57</v>
      </c>
    </row>
    <row r="82" spans="1:24" x14ac:dyDescent="0.2">
      <c r="A82" s="1" t="s">
        <v>110</v>
      </c>
      <c r="B82" s="1" t="s">
        <v>47</v>
      </c>
      <c r="C82" s="1" t="s">
        <v>251</v>
      </c>
      <c r="D82" s="1" t="s">
        <v>81</v>
      </c>
      <c r="E82" s="1" t="s">
        <v>319</v>
      </c>
      <c r="F82" s="1" t="s">
        <v>320</v>
      </c>
      <c r="G82" s="1" t="s">
        <v>122</v>
      </c>
      <c r="H82" s="1" t="s">
        <v>99</v>
      </c>
      <c r="I82" s="1" t="s">
        <v>123</v>
      </c>
      <c r="J82" s="1" t="s">
        <v>321</v>
      </c>
      <c r="K82" s="1" t="s">
        <v>143</v>
      </c>
      <c r="L82" s="11">
        <v>32</v>
      </c>
      <c r="M82" s="1" t="s">
        <v>58</v>
      </c>
      <c r="N82" s="1" t="s">
        <v>59</v>
      </c>
      <c r="O82" s="1" t="s">
        <v>60</v>
      </c>
      <c r="P82" s="1">
        <v>200</v>
      </c>
      <c r="Q82" s="12">
        <v>67.64</v>
      </c>
      <c r="R82" s="1" t="s">
        <v>61</v>
      </c>
      <c r="S82" s="1" t="s">
        <v>62</v>
      </c>
      <c r="T82" s="6" t="s">
        <v>63</v>
      </c>
      <c r="U82" s="13">
        <v>1.5</v>
      </c>
      <c r="V82" s="12">
        <v>0</v>
      </c>
      <c r="W82" s="12">
        <v>-101.46</v>
      </c>
      <c r="X82" s="1" t="s">
        <v>57</v>
      </c>
    </row>
    <row r="83" spans="1:24" x14ac:dyDescent="0.2">
      <c r="A83" s="1" t="s">
        <v>110</v>
      </c>
      <c r="B83" s="1" t="s">
        <v>47</v>
      </c>
      <c r="C83" s="1" t="s">
        <v>251</v>
      </c>
      <c r="D83" s="1" t="s">
        <v>81</v>
      </c>
      <c r="E83" s="1" t="s">
        <v>322</v>
      </c>
      <c r="F83" s="1" t="s">
        <v>323</v>
      </c>
      <c r="G83" s="1" t="s">
        <v>114</v>
      </c>
      <c r="H83" s="1" t="s">
        <v>140</v>
      </c>
      <c r="I83" s="1" t="s">
        <v>119</v>
      </c>
      <c r="J83" s="1" t="s">
        <v>324</v>
      </c>
      <c r="K83" s="1" t="s">
        <v>157</v>
      </c>
      <c r="L83" s="11">
        <v>65</v>
      </c>
      <c r="M83" s="1" t="s">
        <v>58</v>
      </c>
      <c r="N83" s="1" t="s">
        <v>59</v>
      </c>
      <c r="O83" s="1" t="s">
        <v>60</v>
      </c>
      <c r="P83" s="1">
        <v>25</v>
      </c>
      <c r="Q83" s="12">
        <v>99.83</v>
      </c>
      <c r="R83" s="1" t="s">
        <v>61</v>
      </c>
      <c r="S83" s="1" t="s">
        <v>62</v>
      </c>
      <c r="T83" s="6" t="s">
        <v>63</v>
      </c>
      <c r="U83" s="13">
        <v>0.67500000000000004</v>
      </c>
      <c r="V83" s="12">
        <v>67.39</v>
      </c>
      <c r="W83" s="12">
        <v>0</v>
      </c>
      <c r="X83" s="1" t="s">
        <v>57</v>
      </c>
    </row>
    <row r="84" spans="1:24" x14ac:dyDescent="0.2">
      <c r="A84" s="1" t="s">
        <v>110</v>
      </c>
      <c r="B84" s="1" t="s">
        <v>47</v>
      </c>
      <c r="C84" s="1" t="s">
        <v>251</v>
      </c>
      <c r="D84" s="1" t="s">
        <v>81</v>
      </c>
      <c r="E84" s="1" t="s">
        <v>325</v>
      </c>
      <c r="F84" s="1" t="s">
        <v>326</v>
      </c>
      <c r="G84" s="1" t="s">
        <v>122</v>
      </c>
      <c r="H84" s="1" t="s">
        <v>53</v>
      </c>
      <c r="I84" s="1" t="s">
        <v>327</v>
      </c>
      <c r="J84" s="1" t="s">
        <v>328</v>
      </c>
      <c r="K84" s="1" t="s">
        <v>285</v>
      </c>
      <c r="L84" s="11">
        <v>27</v>
      </c>
      <c r="M84" s="1" t="s">
        <v>58</v>
      </c>
      <c r="N84" s="1" t="s">
        <v>59</v>
      </c>
      <c r="O84" s="1" t="s">
        <v>60</v>
      </c>
      <c r="P84" s="1">
        <v>300</v>
      </c>
      <c r="Q84" s="12">
        <v>46.99</v>
      </c>
      <c r="R84" s="1" t="s">
        <v>61</v>
      </c>
      <c r="S84" s="1" t="s">
        <v>62</v>
      </c>
      <c r="T84" s="6" t="s">
        <v>63</v>
      </c>
      <c r="U84" s="13">
        <v>1.5</v>
      </c>
      <c r="V84" s="12">
        <v>0</v>
      </c>
      <c r="W84" s="12">
        <v>-70.489999999999995</v>
      </c>
      <c r="X84" s="1" t="s">
        <v>57</v>
      </c>
    </row>
    <row r="85" spans="1:24" x14ac:dyDescent="0.2">
      <c r="A85" s="1" t="s">
        <v>110</v>
      </c>
      <c r="B85" s="1" t="s">
        <v>47</v>
      </c>
      <c r="C85" s="1" t="s">
        <v>251</v>
      </c>
      <c r="D85" s="1" t="s">
        <v>81</v>
      </c>
      <c r="E85" s="1" t="s">
        <v>325</v>
      </c>
      <c r="F85" s="1" t="s">
        <v>326</v>
      </c>
      <c r="G85" s="1" t="s">
        <v>122</v>
      </c>
      <c r="H85" s="1" t="s">
        <v>99</v>
      </c>
      <c r="I85" s="1" t="s">
        <v>327</v>
      </c>
      <c r="J85" s="1" t="s">
        <v>328</v>
      </c>
      <c r="K85" s="1" t="s">
        <v>285</v>
      </c>
      <c r="L85" s="11">
        <v>27</v>
      </c>
      <c r="M85" s="1" t="s">
        <v>58</v>
      </c>
      <c r="N85" s="1" t="s">
        <v>59</v>
      </c>
      <c r="O85" s="1" t="s">
        <v>60</v>
      </c>
      <c r="P85" s="1">
        <v>300</v>
      </c>
      <c r="Q85" s="12">
        <v>-46.99</v>
      </c>
      <c r="R85" s="1" t="s">
        <v>61</v>
      </c>
      <c r="S85" s="1" t="s">
        <v>329</v>
      </c>
      <c r="T85" s="6" t="s">
        <v>63</v>
      </c>
      <c r="U85" s="13">
        <v>1.5</v>
      </c>
      <c r="V85" s="12">
        <v>0</v>
      </c>
      <c r="W85" s="12">
        <v>70.489999999999995</v>
      </c>
      <c r="X85" s="1" t="s">
        <v>57</v>
      </c>
    </row>
    <row r="86" spans="1:24" x14ac:dyDescent="0.2">
      <c r="A86" s="1" t="s">
        <v>110</v>
      </c>
      <c r="B86" s="1" t="s">
        <v>47</v>
      </c>
      <c r="C86" s="1" t="s">
        <v>251</v>
      </c>
      <c r="D86" s="1" t="s">
        <v>330</v>
      </c>
      <c r="E86" s="1" t="s">
        <v>331</v>
      </c>
      <c r="F86" s="1" t="s">
        <v>332</v>
      </c>
      <c r="G86" s="1" t="s">
        <v>129</v>
      </c>
      <c r="H86" s="1" t="s">
        <v>140</v>
      </c>
      <c r="I86" s="1" t="s">
        <v>333</v>
      </c>
      <c r="J86" s="1" t="s">
        <v>334</v>
      </c>
      <c r="K86" s="1" t="s">
        <v>335</v>
      </c>
      <c r="L86" s="11">
        <v>64</v>
      </c>
      <c r="M86" s="1" t="s">
        <v>58</v>
      </c>
      <c r="N86" s="1" t="s">
        <v>59</v>
      </c>
      <c r="O86" s="1" t="s">
        <v>60</v>
      </c>
      <c r="P86" s="1">
        <v>10</v>
      </c>
      <c r="Q86" s="12">
        <v>65.900000000000006</v>
      </c>
      <c r="R86" s="1" t="s">
        <v>61</v>
      </c>
      <c r="S86" s="1" t="s">
        <v>62</v>
      </c>
      <c r="T86" s="6" t="s">
        <v>63</v>
      </c>
      <c r="U86" s="13">
        <v>0.875</v>
      </c>
      <c r="V86" s="12">
        <v>57.66</v>
      </c>
      <c r="W86" s="12">
        <v>0</v>
      </c>
      <c r="X86" s="1" t="s">
        <v>57</v>
      </c>
    </row>
    <row r="87" spans="1:24" x14ac:dyDescent="0.2">
      <c r="A87" s="1" t="s">
        <v>110</v>
      </c>
      <c r="B87" s="1" t="s">
        <v>47</v>
      </c>
      <c r="C87" s="1" t="s">
        <v>251</v>
      </c>
      <c r="D87" s="1" t="s">
        <v>116</v>
      </c>
      <c r="E87" s="1" t="s">
        <v>336</v>
      </c>
      <c r="F87" s="1" t="s">
        <v>337</v>
      </c>
      <c r="G87" s="1" t="s">
        <v>338</v>
      </c>
      <c r="H87" s="1" t="s">
        <v>89</v>
      </c>
      <c r="I87" s="1" t="s">
        <v>115</v>
      </c>
      <c r="J87" s="1" t="s">
        <v>265</v>
      </c>
      <c r="K87" s="1" t="s">
        <v>157</v>
      </c>
      <c r="L87" s="11">
        <v>27</v>
      </c>
      <c r="M87" s="1" t="s">
        <v>58</v>
      </c>
      <c r="N87" s="1" t="s">
        <v>59</v>
      </c>
      <c r="O87" s="1" t="s">
        <v>60</v>
      </c>
      <c r="P87" s="1">
        <v>300</v>
      </c>
      <c r="Q87" s="12">
        <v>62.21</v>
      </c>
      <c r="R87" s="1" t="s">
        <v>61</v>
      </c>
      <c r="S87" s="1" t="s">
        <v>62</v>
      </c>
      <c r="T87" s="6" t="s">
        <v>63</v>
      </c>
      <c r="U87" s="13">
        <v>1.5</v>
      </c>
      <c r="V87" s="12">
        <v>0</v>
      </c>
      <c r="W87" s="12">
        <v>-93.32</v>
      </c>
      <c r="X87" s="1" t="s">
        <v>57</v>
      </c>
    </row>
    <row r="88" spans="1:24" x14ac:dyDescent="0.2">
      <c r="A88" s="1" t="s">
        <v>110</v>
      </c>
      <c r="B88" s="1" t="s">
        <v>47</v>
      </c>
      <c r="C88" s="1" t="s">
        <v>251</v>
      </c>
      <c r="D88" s="1" t="s">
        <v>116</v>
      </c>
      <c r="E88" s="1" t="s">
        <v>339</v>
      </c>
      <c r="F88" s="1" t="s">
        <v>340</v>
      </c>
      <c r="G88" s="1" t="s">
        <v>338</v>
      </c>
      <c r="H88" s="1" t="s">
        <v>99</v>
      </c>
      <c r="I88" s="1" t="s">
        <v>123</v>
      </c>
      <c r="J88" s="1" t="s">
        <v>341</v>
      </c>
      <c r="K88" s="1" t="s">
        <v>135</v>
      </c>
      <c r="L88" s="11">
        <v>63</v>
      </c>
      <c r="M88" s="1" t="s">
        <v>58</v>
      </c>
      <c r="N88" s="1" t="s">
        <v>59</v>
      </c>
      <c r="O88" s="1" t="s">
        <v>60</v>
      </c>
      <c r="P88" s="1">
        <v>70</v>
      </c>
      <c r="Q88" s="12">
        <v>130.19</v>
      </c>
      <c r="R88" s="1" t="s">
        <v>61</v>
      </c>
      <c r="S88" s="1" t="s">
        <v>62</v>
      </c>
      <c r="T88" s="6" t="s">
        <v>63</v>
      </c>
      <c r="U88" s="13">
        <v>1.5</v>
      </c>
      <c r="V88" s="12">
        <v>0</v>
      </c>
      <c r="W88" s="12">
        <v>-195.29</v>
      </c>
      <c r="X88" s="1" t="s">
        <v>57</v>
      </c>
    </row>
    <row r="89" spans="1:24" x14ac:dyDescent="0.2">
      <c r="A89" s="1" t="s">
        <v>110</v>
      </c>
      <c r="B89" s="1" t="s">
        <v>47</v>
      </c>
      <c r="C89" s="1" t="s">
        <v>251</v>
      </c>
      <c r="D89" s="1" t="s">
        <v>116</v>
      </c>
      <c r="E89" s="1" t="s">
        <v>342</v>
      </c>
      <c r="F89" s="1" t="s">
        <v>343</v>
      </c>
      <c r="G89" s="1" t="s">
        <v>134</v>
      </c>
      <c r="H89" s="1" t="s">
        <v>140</v>
      </c>
      <c r="I89" s="1" t="s">
        <v>123</v>
      </c>
      <c r="J89" s="1" t="s">
        <v>232</v>
      </c>
      <c r="K89" s="1" t="s">
        <v>91</v>
      </c>
      <c r="L89" s="11">
        <v>60</v>
      </c>
      <c r="M89" s="1" t="s">
        <v>58</v>
      </c>
      <c r="N89" s="1" t="s">
        <v>59</v>
      </c>
      <c r="O89" s="1" t="s">
        <v>60</v>
      </c>
      <c r="P89" s="1">
        <v>80</v>
      </c>
      <c r="Q89" s="12">
        <v>103.81</v>
      </c>
      <c r="R89" s="1" t="s">
        <v>61</v>
      </c>
      <c r="S89" s="1" t="s">
        <v>62</v>
      </c>
      <c r="T89" s="6" t="s">
        <v>63</v>
      </c>
      <c r="U89" s="13">
        <v>1.5</v>
      </c>
      <c r="V89" s="12">
        <v>0</v>
      </c>
      <c r="W89" s="12">
        <v>-155.72</v>
      </c>
      <c r="X89" s="1" t="s">
        <v>57</v>
      </c>
    </row>
    <row r="90" spans="1:24" x14ac:dyDescent="0.2">
      <c r="A90" s="1" t="s">
        <v>110</v>
      </c>
      <c r="B90" s="1" t="s">
        <v>47</v>
      </c>
      <c r="C90" s="1" t="s">
        <v>251</v>
      </c>
      <c r="D90" s="1" t="s">
        <v>116</v>
      </c>
      <c r="E90" s="1" t="s">
        <v>344</v>
      </c>
      <c r="F90" s="1" t="s">
        <v>345</v>
      </c>
      <c r="G90" s="1" t="s">
        <v>346</v>
      </c>
      <c r="H90" s="1" t="s">
        <v>99</v>
      </c>
      <c r="I90" s="1" t="s">
        <v>119</v>
      </c>
      <c r="J90" s="1" t="s">
        <v>347</v>
      </c>
      <c r="K90" s="1" t="s">
        <v>135</v>
      </c>
      <c r="L90" s="11">
        <v>63</v>
      </c>
      <c r="M90" s="1" t="s">
        <v>58</v>
      </c>
      <c r="N90" s="1" t="s">
        <v>59</v>
      </c>
      <c r="O90" s="1" t="s">
        <v>60</v>
      </c>
      <c r="P90" s="1">
        <v>44</v>
      </c>
      <c r="Q90" s="12">
        <v>103.44</v>
      </c>
      <c r="R90" s="1" t="s">
        <v>61</v>
      </c>
      <c r="S90" s="1" t="s">
        <v>62</v>
      </c>
      <c r="T90" s="6" t="s">
        <v>63</v>
      </c>
      <c r="U90" s="13">
        <v>0.67500000000000004</v>
      </c>
      <c r="V90" s="12">
        <v>0</v>
      </c>
      <c r="W90" s="12">
        <v>-69.819999999999993</v>
      </c>
      <c r="X90" s="1" t="s">
        <v>57</v>
      </c>
    </row>
    <row r="91" spans="1:24" x14ac:dyDescent="0.2">
      <c r="A91" s="1" t="s">
        <v>110</v>
      </c>
      <c r="B91" s="1" t="s">
        <v>47</v>
      </c>
      <c r="C91" s="1" t="s">
        <v>251</v>
      </c>
      <c r="D91" s="1" t="s">
        <v>116</v>
      </c>
      <c r="E91" s="1" t="s">
        <v>348</v>
      </c>
      <c r="F91" s="1" t="s">
        <v>349</v>
      </c>
      <c r="G91" s="1" t="s">
        <v>52</v>
      </c>
      <c r="H91" s="1" t="s">
        <v>140</v>
      </c>
      <c r="I91" s="1" t="s">
        <v>123</v>
      </c>
      <c r="J91" s="1" t="s">
        <v>269</v>
      </c>
      <c r="K91" s="1" t="s">
        <v>157</v>
      </c>
      <c r="L91" s="11">
        <v>63</v>
      </c>
      <c r="M91" s="1" t="s">
        <v>58</v>
      </c>
      <c r="N91" s="1" t="s">
        <v>59</v>
      </c>
      <c r="O91" s="1" t="s">
        <v>60</v>
      </c>
      <c r="P91" s="1">
        <v>40</v>
      </c>
      <c r="Q91" s="12">
        <v>76.680000000000007</v>
      </c>
      <c r="R91" s="1" t="s">
        <v>61</v>
      </c>
      <c r="S91" s="1" t="s">
        <v>62</v>
      </c>
      <c r="T91" s="6" t="s">
        <v>63</v>
      </c>
      <c r="U91" s="13">
        <v>1.5</v>
      </c>
      <c r="V91" s="12">
        <v>0</v>
      </c>
      <c r="W91" s="12">
        <v>-115.02</v>
      </c>
      <c r="X91" s="1" t="s">
        <v>57</v>
      </c>
    </row>
    <row r="92" spans="1:24" x14ac:dyDescent="0.2">
      <c r="A92" s="1" t="s">
        <v>110</v>
      </c>
      <c r="B92" s="1" t="s">
        <v>47</v>
      </c>
      <c r="C92" s="1" t="s">
        <v>251</v>
      </c>
      <c r="D92" s="1" t="s">
        <v>116</v>
      </c>
      <c r="E92" s="1" t="s">
        <v>350</v>
      </c>
      <c r="F92" s="1" t="s">
        <v>351</v>
      </c>
      <c r="G92" s="1" t="s">
        <v>166</v>
      </c>
      <c r="H92" s="1" t="s">
        <v>89</v>
      </c>
      <c r="I92" s="1" t="s">
        <v>123</v>
      </c>
      <c r="J92" s="1" t="s">
        <v>352</v>
      </c>
      <c r="K92" s="1" t="s">
        <v>135</v>
      </c>
      <c r="L92" s="11">
        <v>54</v>
      </c>
      <c r="M92" s="1" t="s">
        <v>58</v>
      </c>
      <c r="N92" s="1" t="s">
        <v>59</v>
      </c>
      <c r="O92" s="1" t="s">
        <v>60</v>
      </c>
      <c r="P92" s="1">
        <v>80</v>
      </c>
      <c r="Q92" s="12">
        <v>75.19</v>
      </c>
      <c r="R92" s="1" t="s">
        <v>61</v>
      </c>
      <c r="S92" s="1" t="s">
        <v>62</v>
      </c>
      <c r="T92" s="6" t="s">
        <v>63</v>
      </c>
      <c r="U92" s="13">
        <v>1.5</v>
      </c>
      <c r="V92" s="12">
        <v>0</v>
      </c>
      <c r="W92" s="12">
        <v>-112.79</v>
      </c>
      <c r="X92" s="1" t="s">
        <v>57</v>
      </c>
    </row>
    <row r="93" spans="1:24" x14ac:dyDescent="0.2">
      <c r="A93" s="1" t="s">
        <v>110</v>
      </c>
      <c r="B93" s="1" t="s">
        <v>47</v>
      </c>
      <c r="C93" s="1" t="s">
        <v>251</v>
      </c>
      <c r="D93" s="1" t="s">
        <v>116</v>
      </c>
      <c r="E93" s="1" t="s">
        <v>353</v>
      </c>
      <c r="F93" s="1" t="s">
        <v>354</v>
      </c>
      <c r="G93" s="1" t="s">
        <v>166</v>
      </c>
      <c r="H93" s="1" t="s">
        <v>89</v>
      </c>
      <c r="I93" s="1" t="s">
        <v>123</v>
      </c>
      <c r="J93" s="1" t="s">
        <v>352</v>
      </c>
      <c r="K93" s="1" t="s">
        <v>135</v>
      </c>
      <c r="L93" s="11">
        <v>62</v>
      </c>
      <c r="M93" s="1" t="s">
        <v>58</v>
      </c>
      <c r="N93" s="1" t="s">
        <v>59</v>
      </c>
      <c r="O93" s="1" t="s">
        <v>60</v>
      </c>
      <c r="P93" s="1">
        <v>90</v>
      </c>
      <c r="Q93" s="12">
        <v>149.44</v>
      </c>
      <c r="R93" s="1" t="s">
        <v>61</v>
      </c>
      <c r="S93" s="1" t="s">
        <v>62</v>
      </c>
      <c r="T93" s="6" t="s">
        <v>63</v>
      </c>
      <c r="U93" s="13">
        <v>1.5</v>
      </c>
      <c r="V93" s="12">
        <v>0</v>
      </c>
      <c r="W93" s="12">
        <v>-224.16</v>
      </c>
      <c r="X93" s="1" t="s">
        <v>57</v>
      </c>
    </row>
    <row r="94" spans="1:24" x14ac:dyDescent="0.2">
      <c r="A94" s="1" t="s">
        <v>110</v>
      </c>
      <c r="B94" s="1" t="s">
        <v>47</v>
      </c>
      <c r="C94" s="1" t="s">
        <v>251</v>
      </c>
      <c r="D94" s="1" t="s">
        <v>116</v>
      </c>
      <c r="E94" s="1" t="s">
        <v>355</v>
      </c>
      <c r="F94" s="1" t="s">
        <v>356</v>
      </c>
      <c r="G94" s="1" t="s">
        <v>152</v>
      </c>
      <c r="H94" s="1" t="s">
        <v>89</v>
      </c>
      <c r="I94" s="1" t="s">
        <v>123</v>
      </c>
      <c r="J94" s="1" t="s">
        <v>352</v>
      </c>
      <c r="K94" s="1" t="s">
        <v>135</v>
      </c>
      <c r="L94" s="11">
        <v>62</v>
      </c>
      <c r="M94" s="1" t="s">
        <v>58</v>
      </c>
      <c r="N94" s="1" t="s">
        <v>59</v>
      </c>
      <c r="O94" s="1" t="s">
        <v>60</v>
      </c>
      <c r="P94" s="1">
        <v>125</v>
      </c>
      <c r="Q94" s="12">
        <v>205.48</v>
      </c>
      <c r="R94" s="1" t="s">
        <v>61</v>
      </c>
      <c r="S94" s="1" t="s">
        <v>62</v>
      </c>
      <c r="T94" s="6" t="s">
        <v>63</v>
      </c>
      <c r="U94" s="13">
        <v>1.5</v>
      </c>
      <c r="V94" s="12">
        <v>0</v>
      </c>
      <c r="W94" s="12">
        <v>-308.22000000000003</v>
      </c>
      <c r="X94" s="1" t="s">
        <v>57</v>
      </c>
    </row>
    <row r="95" spans="1:24" x14ac:dyDescent="0.2">
      <c r="A95" s="1" t="s">
        <v>110</v>
      </c>
      <c r="B95" s="1" t="s">
        <v>47</v>
      </c>
      <c r="C95" s="1" t="s">
        <v>251</v>
      </c>
      <c r="D95" s="1" t="s">
        <v>116</v>
      </c>
      <c r="E95" s="1" t="s">
        <v>357</v>
      </c>
      <c r="F95" s="1" t="s">
        <v>358</v>
      </c>
      <c r="G95" s="1" t="s">
        <v>152</v>
      </c>
      <c r="H95" s="1" t="s">
        <v>99</v>
      </c>
      <c r="I95" s="1" t="s">
        <v>123</v>
      </c>
      <c r="J95" s="1" t="s">
        <v>352</v>
      </c>
      <c r="K95" s="1" t="s">
        <v>135</v>
      </c>
      <c r="L95" s="11">
        <v>62</v>
      </c>
      <c r="M95" s="1" t="s">
        <v>58</v>
      </c>
      <c r="N95" s="1" t="s">
        <v>59</v>
      </c>
      <c r="O95" s="1" t="s">
        <v>60</v>
      </c>
      <c r="P95" s="1">
        <v>135</v>
      </c>
      <c r="Q95" s="12">
        <v>221.49</v>
      </c>
      <c r="R95" s="1" t="s">
        <v>61</v>
      </c>
      <c r="S95" s="1" t="s">
        <v>62</v>
      </c>
      <c r="T95" s="6" t="s">
        <v>63</v>
      </c>
      <c r="U95" s="13">
        <v>1.5</v>
      </c>
      <c r="V95" s="12">
        <v>0</v>
      </c>
      <c r="W95" s="12">
        <v>-332.24</v>
      </c>
      <c r="X95" s="1" t="s">
        <v>57</v>
      </c>
    </row>
    <row r="96" spans="1:24" x14ac:dyDescent="0.2">
      <c r="A96" s="1" t="s">
        <v>110</v>
      </c>
      <c r="B96" s="1" t="s">
        <v>47</v>
      </c>
      <c r="C96" s="1" t="s">
        <v>251</v>
      </c>
      <c r="D96" s="1" t="s">
        <v>116</v>
      </c>
      <c r="E96" s="1" t="s">
        <v>359</v>
      </c>
      <c r="F96" s="1" t="s">
        <v>360</v>
      </c>
      <c r="G96" s="1" t="s">
        <v>166</v>
      </c>
      <c r="H96" s="1" t="s">
        <v>99</v>
      </c>
      <c r="I96" s="1" t="s">
        <v>123</v>
      </c>
      <c r="J96" s="1" t="s">
        <v>352</v>
      </c>
      <c r="K96" s="1" t="s">
        <v>135</v>
      </c>
      <c r="L96" s="11">
        <v>59</v>
      </c>
      <c r="M96" s="1" t="s">
        <v>58</v>
      </c>
      <c r="N96" s="1" t="s">
        <v>59</v>
      </c>
      <c r="O96" s="1" t="s">
        <v>60</v>
      </c>
      <c r="P96" s="1">
        <v>110</v>
      </c>
      <c r="Q96" s="12">
        <v>133.1</v>
      </c>
      <c r="R96" s="1" t="s">
        <v>61</v>
      </c>
      <c r="S96" s="1" t="s">
        <v>62</v>
      </c>
      <c r="T96" s="6" t="s">
        <v>63</v>
      </c>
      <c r="U96" s="13">
        <v>1.5</v>
      </c>
      <c r="V96" s="12">
        <v>0</v>
      </c>
      <c r="W96" s="12">
        <v>-199.65</v>
      </c>
      <c r="X96" s="1" t="s">
        <v>57</v>
      </c>
    </row>
    <row r="97" spans="1:24" x14ac:dyDescent="0.2">
      <c r="A97" s="1" t="s">
        <v>110</v>
      </c>
      <c r="B97" s="1" t="s">
        <v>47</v>
      </c>
      <c r="C97" s="1" t="s">
        <v>251</v>
      </c>
      <c r="D97" s="1" t="s">
        <v>116</v>
      </c>
      <c r="E97" s="1" t="s">
        <v>361</v>
      </c>
      <c r="F97" s="1" t="s">
        <v>362</v>
      </c>
      <c r="G97" s="1" t="s">
        <v>338</v>
      </c>
      <c r="H97" s="1" t="s">
        <v>89</v>
      </c>
      <c r="I97" s="1" t="s">
        <v>119</v>
      </c>
      <c r="J97" s="1" t="s">
        <v>352</v>
      </c>
      <c r="K97" s="1" t="s">
        <v>135</v>
      </c>
      <c r="L97" s="11">
        <v>63</v>
      </c>
      <c r="M97" s="1" t="s">
        <v>58</v>
      </c>
      <c r="N97" s="1" t="s">
        <v>59</v>
      </c>
      <c r="O97" s="1" t="s">
        <v>60</v>
      </c>
      <c r="P97" s="1">
        <v>75</v>
      </c>
      <c r="Q97" s="12">
        <v>163.63999999999999</v>
      </c>
      <c r="R97" s="1" t="s">
        <v>61</v>
      </c>
      <c r="S97" s="1" t="s">
        <v>62</v>
      </c>
      <c r="T97" s="6" t="s">
        <v>63</v>
      </c>
      <c r="U97" s="13">
        <v>0.67500000000000004</v>
      </c>
      <c r="V97" s="12">
        <v>0</v>
      </c>
      <c r="W97" s="12">
        <v>-110.46</v>
      </c>
      <c r="X97" s="1" t="s">
        <v>57</v>
      </c>
    </row>
    <row r="98" spans="1:24" x14ac:dyDescent="0.2">
      <c r="A98" s="1" t="s">
        <v>110</v>
      </c>
      <c r="B98" s="1" t="s">
        <v>47</v>
      </c>
      <c r="C98" s="1" t="s">
        <v>251</v>
      </c>
      <c r="D98" s="1" t="s">
        <v>116</v>
      </c>
      <c r="E98" s="1" t="s">
        <v>363</v>
      </c>
      <c r="F98" s="1" t="s">
        <v>364</v>
      </c>
      <c r="G98" s="1" t="s">
        <v>338</v>
      </c>
      <c r="H98" s="1" t="s">
        <v>89</v>
      </c>
      <c r="I98" s="1" t="s">
        <v>119</v>
      </c>
      <c r="J98" s="1" t="s">
        <v>352</v>
      </c>
      <c r="K98" s="1" t="s">
        <v>135</v>
      </c>
      <c r="L98" s="11">
        <v>62</v>
      </c>
      <c r="M98" s="1" t="s">
        <v>58</v>
      </c>
      <c r="N98" s="1" t="s">
        <v>59</v>
      </c>
      <c r="O98" s="1" t="s">
        <v>60</v>
      </c>
      <c r="P98" s="1">
        <v>75</v>
      </c>
      <c r="Q98" s="12">
        <v>197.05</v>
      </c>
      <c r="R98" s="1" t="s">
        <v>61</v>
      </c>
      <c r="S98" s="1" t="s">
        <v>62</v>
      </c>
      <c r="T98" s="6" t="s">
        <v>63</v>
      </c>
      <c r="U98" s="13">
        <v>0.67500000000000004</v>
      </c>
      <c r="V98" s="12">
        <v>0</v>
      </c>
      <c r="W98" s="12">
        <v>-133.01</v>
      </c>
      <c r="X98" s="1" t="s">
        <v>57</v>
      </c>
    </row>
    <row r="99" spans="1:24" x14ac:dyDescent="0.2">
      <c r="A99" s="1" t="s">
        <v>110</v>
      </c>
      <c r="B99" s="1" t="s">
        <v>47</v>
      </c>
      <c r="C99" s="1" t="s">
        <v>251</v>
      </c>
      <c r="D99" s="1" t="s">
        <v>116</v>
      </c>
      <c r="E99" s="1" t="s">
        <v>365</v>
      </c>
      <c r="F99" s="1" t="s">
        <v>366</v>
      </c>
      <c r="G99" s="1" t="s">
        <v>152</v>
      </c>
      <c r="H99" s="1" t="s">
        <v>140</v>
      </c>
      <c r="I99" s="1" t="s">
        <v>123</v>
      </c>
      <c r="J99" s="1" t="s">
        <v>66</v>
      </c>
      <c r="K99" s="1" t="s">
        <v>91</v>
      </c>
      <c r="L99" s="11">
        <v>61</v>
      </c>
      <c r="M99" s="1" t="s">
        <v>58</v>
      </c>
      <c r="N99" s="1" t="s">
        <v>59</v>
      </c>
      <c r="O99" s="1" t="s">
        <v>60</v>
      </c>
      <c r="P99" s="1">
        <v>35</v>
      </c>
      <c r="Q99" s="12">
        <v>54.93</v>
      </c>
      <c r="R99" s="1" t="s">
        <v>61</v>
      </c>
      <c r="S99" s="1" t="s">
        <v>62</v>
      </c>
      <c r="T99" s="6" t="s">
        <v>63</v>
      </c>
      <c r="U99" s="13">
        <v>1.5</v>
      </c>
      <c r="V99" s="12">
        <v>0</v>
      </c>
      <c r="W99" s="12">
        <v>-82.4</v>
      </c>
      <c r="X99" s="1" t="s">
        <v>57</v>
      </c>
    </row>
    <row r="100" spans="1:24" x14ac:dyDescent="0.2">
      <c r="A100" s="1" t="s">
        <v>110</v>
      </c>
      <c r="B100" s="1" t="s">
        <v>47</v>
      </c>
      <c r="C100" s="1" t="s">
        <v>251</v>
      </c>
      <c r="D100" s="1" t="s">
        <v>116</v>
      </c>
      <c r="E100" s="1" t="s">
        <v>367</v>
      </c>
      <c r="F100" s="1" t="s">
        <v>368</v>
      </c>
      <c r="G100" s="1" t="s">
        <v>346</v>
      </c>
      <c r="H100" s="1" t="s">
        <v>140</v>
      </c>
      <c r="I100" s="1" t="s">
        <v>115</v>
      </c>
      <c r="J100" s="1" t="s">
        <v>66</v>
      </c>
      <c r="K100" s="1" t="s">
        <v>91</v>
      </c>
      <c r="L100" s="11">
        <v>31</v>
      </c>
      <c r="M100" s="1" t="s">
        <v>58</v>
      </c>
      <c r="N100" s="1" t="s">
        <v>59</v>
      </c>
      <c r="O100" s="1" t="s">
        <v>60</v>
      </c>
      <c r="P100" s="1">
        <v>300</v>
      </c>
      <c r="Q100" s="12">
        <v>75.290000000000006</v>
      </c>
      <c r="R100" s="1" t="s">
        <v>61</v>
      </c>
      <c r="S100" s="1" t="s">
        <v>62</v>
      </c>
      <c r="T100" s="6" t="s">
        <v>63</v>
      </c>
      <c r="U100" s="13">
        <v>1.5</v>
      </c>
      <c r="V100" s="12">
        <v>0</v>
      </c>
      <c r="W100" s="12">
        <v>-112.94</v>
      </c>
      <c r="X100" s="1" t="s">
        <v>57</v>
      </c>
    </row>
    <row r="101" spans="1:24" x14ac:dyDescent="0.2">
      <c r="A101" s="1" t="s">
        <v>110</v>
      </c>
      <c r="B101" s="1" t="s">
        <v>47</v>
      </c>
      <c r="C101" s="1" t="s">
        <v>251</v>
      </c>
      <c r="D101" s="1" t="s">
        <v>116</v>
      </c>
      <c r="E101" s="1" t="s">
        <v>369</v>
      </c>
      <c r="F101" s="1" t="s">
        <v>370</v>
      </c>
      <c r="G101" s="1" t="s">
        <v>338</v>
      </c>
      <c r="H101" s="1" t="s">
        <v>99</v>
      </c>
      <c r="I101" s="1" t="s">
        <v>123</v>
      </c>
      <c r="J101" s="1" t="s">
        <v>371</v>
      </c>
      <c r="K101" s="1" t="s">
        <v>143</v>
      </c>
      <c r="L101" s="11">
        <v>63</v>
      </c>
      <c r="M101" s="1" t="s">
        <v>58</v>
      </c>
      <c r="N101" s="1" t="s">
        <v>59</v>
      </c>
      <c r="O101" s="1" t="s">
        <v>60</v>
      </c>
      <c r="P101" s="1">
        <v>90</v>
      </c>
      <c r="Q101" s="12">
        <v>165.86</v>
      </c>
      <c r="R101" s="1" t="s">
        <v>61</v>
      </c>
      <c r="S101" s="1" t="s">
        <v>62</v>
      </c>
      <c r="T101" s="6" t="s">
        <v>63</v>
      </c>
      <c r="U101" s="13">
        <v>1.5</v>
      </c>
      <c r="V101" s="12">
        <v>239.11</v>
      </c>
      <c r="W101" s="12">
        <v>-9.68</v>
      </c>
      <c r="X101" s="1" t="s">
        <v>57</v>
      </c>
    </row>
    <row r="102" spans="1:24" x14ac:dyDescent="0.2">
      <c r="A102" s="1" t="s">
        <v>110</v>
      </c>
      <c r="B102" s="1" t="s">
        <v>47</v>
      </c>
      <c r="C102" s="1" t="s">
        <v>251</v>
      </c>
      <c r="D102" s="1" t="s">
        <v>372</v>
      </c>
      <c r="E102" s="1" t="s">
        <v>373</v>
      </c>
      <c r="F102" s="1" t="s">
        <v>374</v>
      </c>
      <c r="G102" s="1" t="s">
        <v>375</v>
      </c>
      <c r="H102" s="1" t="s">
        <v>89</v>
      </c>
      <c r="I102" s="1" t="s">
        <v>333</v>
      </c>
      <c r="J102" s="1" t="s">
        <v>376</v>
      </c>
      <c r="K102" s="1" t="s">
        <v>377</v>
      </c>
      <c r="L102" s="11">
        <v>64</v>
      </c>
      <c r="M102" s="1" t="s">
        <v>58</v>
      </c>
      <c r="N102" s="1" t="s">
        <v>59</v>
      </c>
      <c r="O102" s="1" t="s">
        <v>60</v>
      </c>
      <c r="P102" s="1">
        <v>7</v>
      </c>
      <c r="Q102" s="12">
        <v>36.31</v>
      </c>
      <c r="R102" s="1" t="s">
        <v>61</v>
      </c>
      <c r="S102" s="1" t="s">
        <v>62</v>
      </c>
      <c r="T102" s="6" t="s">
        <v>63</v>
      </c>
      <c r="U102" s="13">
        <v>0.875</v>
      </c>
      <c r="V102" s="12">
        <v>0</v>
      </c>
      <c r="W102" s="12">
        <v>-31.77</v>
      </c>
      <c r="X102" s="1" t="s">
        <v>57</v>
      </c>
    </row>
    <row r="103" spans="1:24" x14ac:dyDescent="0.2">
      <c r="A103" s="1" t="s">
        <v>110</v>
      </c>
      <c r="B103" s="1" t="s">
        <v>47</v>
      </c>
      <c r="C103" s="1" t="s">
        <v>251</v>
      </c>
      <c r="D103" s="1" t="s">
        <v>372</v>
      </c>
      <c r="E103" s="1" t="s">
        <v>378</v>
      </c>
      <c r="F103" s="1" t="s">
        <v>379</v>
      </c>
      <c r="G103" s="1" t="s">
        <v>156</v>
      </c>
      <c r="H103" s="1" t="s">
        <v>89</v>
      </c>
      <c r="I103" s="1" t="s">
        <v>333</v>
      </c>
      <c r="J103" s="1" t="s">
        <v>380</v>
      </c>
      <c r="K103" s="1" t="s">
        <v>381</v>
      </c>
      <c r="L103" s="11">
        <v>63</v>
      </c>
      <c r="M103" s="1" t="s">
        <v>58</v>
      </c>
      <c r="N103" s="1" t="s">
        <v>59</v>
      </c>
      <c r="O103" s="1" t="s">
        <v>60</v>
      </c>
      <c r="P103" s="1">
        <v>5</v>
      </c>
      <c r="Q103" s="12">
        <v>32.49</v>
      </c>
      <c r="R103" s="1" t="s">
        <v>61</v>
      </c>
      <c r="S103" s="1" t="s">
        <v>62</v>
      </c>
      <c r="T103" s="6" t="s">
        <v>63</v>
      </c>
      <c r="U103" s="13">
        <v>0.875</v>
      </c>
      <c r="V103" s="12">
        <v>0</v>
      </c>
      <c r="W103" s="12">
        <v>-28.43</v>
      </c>
      <c r="X103" s="1" t="s">
        <v>57</v>
      </c>
    </row>
    <row r="104" spans="1:24" x14ac:dyDescent="0.2">
      <c r="A104" s="1" t="s">
        <v>110</v>
      </c>
      <c r="B104" s="1" t="s">
        <v>47</v>
      </c>
      <c r="C104" s="1" t="s">
        <v>251</v>
      </c>
      <c r="D104" s="1" t="s">
        <v>81</v>
      </c>
      <c r="E104" s="1" t="s">
        <v>382</v>
      </c>
      <c r="F104" s="1" t="s">
        <v>383</v>
      </c>
      <c r="G104" s="1" t="s">
        <v>52</v>
      </c>
      <c r="H104" s="1" t="s">
        <v>140</v>
      </c>
      <c r="I104" s="1" t="s">
        <v>123</v>
      </c>
      <c r="J104" s="1" t="s">
        <v>299</v>
      </c>
      <c r="K104" s="1" t="s">
        <v>157</v>
      </c>
      <c r="L104" s="11">
        <v>63</v>
      </c>
      <c r="M104" s="1" t="s">
        <v>58</v>
      </c>
      <c r="N104" s="1" t="s">
        <v>59</v>
      </c>
      <c r="O104" s="1" t="s">
        <v>60</v>
      </c>
      <c r="P104" s="1">
        <v>40</v>
      </c>
      <c r="Q104" s="12">
        <v>76.680000000000007</v>
      </c>
      <c r="R104" s="1" t="s">
        <v>61</v>
      </c>
      <c r="S104" s="1" t="s">
        <v>62</v>
      </c>
      <c r="T104" s="6" t="s">
        <v>63</v>
      </c>
      <c r="U104" s="13">
        <v>1.5</v>
      </c>
      <c r="V104" s="12">
        <v>115.02</v>
      </c>
      <c r="W104" s="12">
        <v>0</v>
      </c>
      <c r="X104" s="1" t="s">
        <v>57</v>
      </c>
    </row>
    <row r="105" spans="1:24" x14ac:dyDescent="0.2">
      <c r="A105" s="1" t="s">
        <v>110</v>
      </c>
      <c r="B105" s="1" t="s">
        <v>47</v>
      </c>
      <c r="C105" s="1" t="s">
        <v>251</v>
      </c>
      <c r="D105" s="1" t="s">
        <v>81</v>
      </c>
      <c r="E105" s="1" t="s">
        <v>384</v>
      </c>
      <c r="F105" s="1" t="s">
        <v>385</v>
      </c>
      <c r="G105" s="1" t="s">
        <v>122</v>
      </c>
      <c r="H105" s="1" t="s">
        <v>99</v>
      </c>
      <c r="I105" s="1" t="s">
        <v>123</v>
      </c>
      <c r="J105" s="1" t="s">
        <v>321</v>
      </c>
      <c r="K105" s="1" t="s">
        <v>143</v>
      </c>
      <c r="L105" s="11">
        <v>26</v>
      </c>
      <c r="M105" s="1" t="s">
        <v>58</v>
      </c>
      <c r="N105" s="1" t="s">
        <v>59</v>
      </c>
      <c r="O105" s="1" t="s">
        <v>60</v>
      </c>
      <c r="P105" s="1">
        <v>200</v>
      </c>
      <c r="Q105" s="12">
        <v>31.51</v>
      </c>
      <c r="R105" s="1" t="s">
        <v>61</v>
      </c>
      <c r="S105" s="1" t="s">
        <v>62</v>
      </c>
      <c r="T105" s="6" t="s">
        <v>63</v>
      </c>
      <c r="U105" s="13">
        <v>1.5</v>
      </c>
      <c r="V105" s="12">
        <v>0</v>
      </c>
      <c r="W105" s="12">
        <v>-47.27</v>
      </c>
      <c r="X105" s="1" t="s">
        <v>57</v>
      </c>
    </row>
    <row r="106" spans="1:24" x14ac:dyDescent="0.2">
      <c r="A106" s="1" t="s">
        <v>110</v>
      </c>
      <c r="B106" s="1" t="s">
        <v>47</v>
      </c>
      <c r="C106" s="1" t="s">
        <v>251</v>
      </c>
      <c r="D106" s="1" t="s">
        <v>81</v>
      </c>
      <c r="E106" s="1" t="s">
        <v>386</v>
      </c>
      <c r="F106" s="1" t="s">
        <v>387</v>
      </c>
      <c r="G106" s="1" t="s">
        <v>126</v>
      </c>
      <c r="H106" s="1" t="s">
        <v>140</v>
      </c>
      <c r="I106" s="1" t="s">
        <v>119</v>
      </c>
      <c r="J106" s="1" t="s">
        <v>269</v>
      </c>
      <c r="K106" s="1" t="s">
        <v>157</v>
      </c>
      <c r="L106" s="11">
        <v>65</v>
      </c>
      <c r="M106" s="1" t="s">
        <v>58</v>
      </c>
      <c r="N106" s="1" t="s">
        <v>59</v>
      </c>
      <c r="O106" s="1" t="s">
        <v>60</v>
      </c>
      <c r="P106" s="1">
        <v>75</v>
      </c>
      <c r="Q106" s="12">
        <v>187.59</v>
      </c>
      <c r="R106" s="1" t="s">
        <v>61</v>
      </c>
      <c r="S106" s="1" t="s">
        <v>62</v>
      </c>
      <c r="T106" s="6" t="s">
        <v>63</v>
      </c>
      <c r="U106" s="13">
        <v>0.67500000000000004</v>
      </c>
      <c r="V106" s="12">
        <v>0</v>
      </c>
      <c r="W106" s="12">
        <v>-126.62</v>
      </c>
      <c r="X106" s="1" t="s">
        <v>57</v>
      </c>
    </row>
    <row r="107" spans="1:24" x14ac:dyDescent="0.2">
      <c r="A107" s="1" t="s">
        <v>110</v>
      </c>
      <c r="B107" s="1" t="s">
        <v>47</v>
      </c>
      <c r="C107" s="1" t="s">
        <v>251</v>
      </c>
      <c r="D107" s="1" t="s">
        <v>81</v>
      </c>
      <c r="E107" s="1" t="s">
        <v>388</v>
      </c>
      <c r="F107" s="1" t="s">
        <v>389</v>
      </c>
      <c r="G107" s="1" t="s">
        <v>52</v>
      </c>
      <c r="H107" s="1" t="s">
        <v>99</v>
      </c>
      <c r="I107" s="1" t="s">
        <v>123</v>
      </c>
      <c r="J107" s="1" t="s">
        <v>292</v>
      </c>
      <c r="K107" s="1" t="s">
        <v>143</v>
      </c>
      <c r="L107" s="11">
        <v>53</v>
      </c>
      <c r="M107" s="1" t="s">
        <v>58</v>
      </c>
      <c r="N107" s="1" t="s">
        <v>59</v>
      </c>
      <c r="O107" s="1" t="s">
        <v>60</v>
      </c>
      <c r="P107" s="1">
        <v>100</v>
      </c>
      <c r="Q107" s="12">
        <v>86.69</v>
      </c>
      <c r="R107" s="1" t="s">
        <v>61</v>
      </c>
      <c r="S107" s="1" t="s">
        <v>62</v>
      </c>
      <c r="T107" s="6" t="s">
        <v>63</v>
      </c>
      <c r="U107" s="13">
        <v>1.5</v>
      </c>
      <c r="V107" s="12">
        <v>130.04</v>
      </c>
      <c r="W107" s="12">
        <v>0</v>
      </c>
      <c r="X107" s="1" t="s">
        <v>57</v>
      </c>
    </row>
    <row r="108" spans="1:24" x14ac:dyDescent="0.2">
      <c r="A108" s="1" t="s">
        <v>110</v>
      </c>
      <c r="B108" s="1" t="s">
        <v>47</v>
      </c>
      <c r="C108" s="1" t="s">
        <v>251</v>
      </c>
      <c r="D108" s="1" t="s">
        <v>116</v>
      </c>
      <c r="E108" s="1" t="s">
        <v>390</v>
      </c>
      <c r="F108" s="1" t="s">
        <v>391</v>
      </c>
      <c r="G108" s="1" t="s">
        <v>52</v>
      </c>
      <c r="H108" s="1" t="s">
        <v>89</v>
      </c>
      <c r="I108" s="1" t="s">
        <v>119</v>
      </c>
      <c r="J108" s="1" t="s">
        <v>90</v>
      </c>
      <c r="K108" s="1" t="s">
        <v>67</v>
      </c>
      <c r="L108" s="11">
        <v>67</v>
      </c>
      <c r="M108" s="1" t="s">
        <v>58</v>
      </c>
      <c r="N108" s="1" t="s">
        <v>59</v>
      </c>
      <c r="O108" s="1" t="s">
        <v>60</v>
      </c>
      <c r="P108" s="1">
        <v>60</v>
      </c>
      <c r="Q108" s="12">
        <v>265.86</v>
      </c>
      <c r="R108" s="1" t="s">
        <v>61</v>
      </c>
      <c r="S108" s="1" t="s">
        <v>62</v>
      </c>
      <c r="T108" s="6" t="s">
        <v>63</v>
      </c>
      <c r="U108" s="13">
        <v>0.67500000000000004</v>
      </c>
      <c r="V108" s="12">
        <v>0</v>
      </c>
      <c r="W108" s="12">
        <v>-179.46</v>
      </c>
      <c r="X108" s="1" t="s">
        <v>57</v>
      </c>
    </row>
    <row r="109" spans="1:24" x14ac:dyDescent="0.2">
      <c r="A109" s="1" t="s">
        <v>110</v>
      </c>
      <c r="B109" s="1" t="s">
        <v>47</v>
      </c>
      <c r="C109" s="1" t="s">
        <v>251</v>
      </c>
      <c r="D109" s="1" t="s">
        <v>116</v>
      </c>
      <c r="E109" s="1" t="s">
        <v>392</v>
      </c>
      <c r="F109" s="1" t="s">
        <v>393</v>
      </c>
      <c r="G109" s="1" t="s">
        <v>52</v>
      </c>
      <c r="H109" s="1" t="s">
        <v>140</v>
      </c>
      <c r="I109" s="1" t="s">
        <v>119</v>
      </c>
      <c r="J109" s="1" t="s">
        <v>66</v>
      </c>
      <c r="K109" s="1" t="s">
        <v>67</v>
      </c>
      <c r="L109" s="11">
        <v>65</v>
      </c>
      <c r="M109" s="1" t="s">
        <v>58</v>
      </c>
      <c r="N109" s="1" t="s">
        <v>59</v>
      </c>
      <c r="O109" s="1" t="s">
        <v>60</v>
      </c>
      <c r="P109" s="1">
        <v>47</v>
      </c>
      <c r="Q109" s="12">
        <v>124.25</v>
      </c>
      <c r="R109" s="1" t="s">
        <v>61</v>
      </c>
      <c r="S109" s="1" t="s">
        <v>62</v>
      </c>
      <c r="T109" s="6" t="s">
        <v>63</v>
      </c>
      <c r="U109" s="13">
        <v>0.67500000000000004</v>
      </c>
      <c r="V109" s="12">
        <v>0</v>
      </c>
      <c r="W109" s="12">
        <v>-83.87</v>
      </c>
      <c r="X109" s="1" t="s">
        <v>57</v>
      </c>
    </row>
    <row r="110" spans="1:24" x14ac:dyDescent="0.2">
      <c r="A110" s="1" t="s">
        <v>110</v>
      </c>
      <c r="B110" s="1" t="s">
        <v>47</v>
      </c>
      <c r="C110" s="1" t="s">
        <v>251</v>
      </c>
      <c r="D110" s="1" t="s">
        <v>116</v>
      </c>
      <c r="E110" s="1" t="s">
        <v>394</v>
      </c>
      <c r="F110" s="1" t="s">
        <v>395</v>
      </c>
      <c r="G110" s="1" t="s">
        <v>52</v>
      </c>
      <c r="H110" s="1" t="s">
        <v>140</v>
      </c>
      <c r="I110" s="1" t="s">
        <v>119</v>
      </c>
      <c r="J110" s="1" t="s">
        <v>66</v>
      </c>
      <c r="K110" s="1" t="s">
        <v>67</v>
      </c>
      <c r="L110" s="11">
        <v>61</v>
      </c>
      <c r="M110" s="1" t="s">
        <v>58</v>
      </c>
      <c r="N110" s="1" t="s">
        <v>59</v>
      </c>
      <c r="O110" s="1" t="s">
        <v>60</v>
      </c>
      <c r="P110" s="1">
        <v>47</v>
      </c>
      <c r="Q110" s="12">
        <v>122.69</v>
      </c>
      <c r="R110" s="1" t="s">
        <v>61</v>
      </c>
      <c r="S110" s="1" t="s">
        <v>62</v>
      </c>
      <c r="T110" s="6" t="s">
        <v>63</v>
      </c>
      <c r="U110" s="13">
        <v>0.67500000000000004</v>
      </c>
      <c r="V110" s="12">
        <v>0</v>
      </c>
      <c r="W110" s="12">
        <v>-82.82</v>
      </c>
      <c r="X110" s="1" t="s">
        <v>57</v>
      </c>
    </row>
    <row r="111" spans="1:24" x14ac:dyDescent="0.2">
      <c r="A111" s="1" t="s">
        <v>110</v>
      </c>
      <c r="B111" s="1" t="s">
        <v>47</v>
      </c>
      <c r="C111" s="1" t="s">
        <v>251</v>
      </c>
      <c r="D111" s="1" t="s">
        <v>116</v>
      </c>
      <c r="E111" s="1" t="s">
        <v>396</v>
      </c>
      <c r="F111" s="1" t="s">
        <v>397</v>
      </c>
      <c r="G111" s="1" t="s">
        <v>134</v>
      </c>
      <c r="H111" s="1" t="s">
        <v>89</v>
      </c>
      <c r="I111" s="1" t="s">
        <v>119</v>
      </c>
      <c r="J111" s="1" t="s">
        <v>90</v>
      </c>
      <c r="K111" s="1" t="s">
        <v>67</v>
      </c>
      <c r="L111" s="11">
        <v>65</v>
      </c>
      <c r="M111" s="1" t="s">
        <v>58</v>
      </c>
      <c r="N111" s="1" t="s">
        <v>59</v>
      </c>
      <c r="O111" s="1" t="s">
        <v>60</v>
      </c>
      <c r="P111" s="1">
        <v>61</v>
      </c>
      <c r="Q111" s="12">
        <v>154.76</v>
      </c>
      <c r="R111" s="1" t="s">
        <v>61</v>
      </c>
      <c r="S111" s="1" t="s">
        <v>62</v>
      </c>
      <c r="T111" s="6" t="s">
        <v>63</v>
      </c>
      <c r="U111" s="13">
        <v>0.67500000000000004</v>
      </c>
      <c r="V111" s="12">
        <v>0</v>
      </c>
      <c r="W111" s="12">
        <v>-104.46</v>
      </c>
      <c r="X111" s="1" t="s">
        <v>57</v>
      </c>
    </row>
    <row r="112" spans="1:24" x14ac:dyDescent="0.2">
      <c r="A112" s="1" t="s">
        <v>110</v>
      </c>
      <c r="B112" s="1" t="s">
        <v>47</v>
      </c>
      <c r="C112" s="1" t="s">
        <v>251</v>
      </c>
      <c r="D112" s="1" t="s">
        <v>116</v>
      </c>
      <c r="E112" s="1" t="s">
        <v>398</v>
      </c>
      <c r="F112" s="1" t="s">
        <v>399</v>
      </c>
      <c r="G112" s="1" t="s">
        <v>400</v>
      </c>
      <c r="H112" s="1" t="s">
        <v>89</v>
      </c>
      <c r="I112" s="1" t="s">
        <v>119</v>
      </c>
      <c r="J112" s="1" t="s">
        <v>90</v>
      </c>
      <c r="K112" s="1" t="s">
        <v>67</v>
      </c>
      <c r="L112" s="11">
        <v>65</v>
      </c>
      <c r="M112" s="1" t="s">
        <v>58</v>
      </c>
      <c r="N112" s="1" t="s">
        <v>59</v>
      </c>
      <c r="O112" s="1" t="s">
        <v>60</v>
      </c>
      <c r="P112" s="1">
        <v>60</v>
      </c>
      <c r="Q112" s="12">
        <v>207.73</v>
      </c>
      <c r="R112" s="1" t="s">
        <v>61</v>
      </c>
      <c r="S112" s="1" t="s">
        <v>62</v>
      </c>
      <c r="T112" s="6" t="s">
        <v>63</v>
      </c>
      <c r="U112" s="13">
        <v>1.35</v>
      </c>
      <c r="V112" s="12">
        <v>0</v>
      </c>
      <c r="W112" s="12">
        <v>-280.44</v>
      </c>
      <c r="X112" s="1" t="s">
        <v>57</v>
      </c>
    </row>
    <row r="113" spans="1:24" x14ac:dyDescent="0.2">
      <c r="A113" s="1" t="s">
        <v>110</v>
      </c>
      <c r="B113" s="1" t="s">
        <v>47</v>
      </c>
      <c r="C113" s="1" t="s">
        <v>251</v>
      </c>
      <c r="D113" s="1" t="s">
        <v>116</v>
      </c>
      <c r="E113" s="1" t="s">
        <v>401</v>
      </c>
      <c r="F113" s="1" t="s">
        <v>402</v>
      </c>
      <c r="G113" s="1" t="s">
        <v>52</v>
      </c>
      <c r="H113" s="1" t="s">
        <v>89</v>
      </c>
      <c r="I113" s="1" t="s">
        <v>119</v>
      </c>
      <c r="J113" s="1" t="s">
        <v>90</v>
      </c>
      <c r="K113" s="1" t="s">
        <v>67</v>
      </c>
      <c r="L113" s="11">
        <v>64</v>
      </c>
      <c r="M113" s="1" t="s">
        <v>58</v>
      </c>
      <c r="N113" s="1" t="s">
        <v>59</v>
      </c>
      <c r="O113" s="1" t="s">
        <v>60</v>
      </c>
      <c r="P113" s="1">
        <v>43</v>
      </c>
      <c r="Q113" s="12">
        <v>174.77</v>
      </c>
      <c r="R113" s="1" t="s">
        <v>61</v>
      </c>
      <c r="S113" s="1" t="s">
        <v>62</v>
      </c>
      <c r="T113" s="6" t="s">
        <v>63</v>
      </c>
      <c r="U113" s="13">
        <v>0.67500000000000004</v>
      </c>
      <c r="V113" s="12">
        <v>0</v>
      </c>
      <c r="W113" s="12">
        <v>-117.97</v>
      </c>
      <c r="X113" s="1" t="s">
        <v>57</v>
      </c>
    </row>
    <row r="114" spans="1:24" x14ac:dyDescent="0.2">
      <c r="A114" s="1" t="s">
        <v>110</v>
      </c>
      <c r="B114" s="1" t="s">
        <v>47</v>
      </c>
      <c r="C114" s="1" t="s">
        <v>251</v>
      </c>
      <c r="D114" s="1" t="s">
        <v>153</v>
      </c>
      <c r="E114" s="1" t="s">
        <v>403</v>
      </c>
      <c r="F114" s="1" t="s">
        <v>404</v>
      </c>
      <c r="G114" s="1" t="s">
        <v>114</v>
      </c>
      <c r="H114" s="1" t="s">
        <v>140</v>
      </c>
      <c r="I114" s="1" t="s">
        <v>119</v>
      </c>
      <c r="J114" s="1" t="s">
        <v>232</v>
      </c>
      <c r="K114" s="1" t="s">
        <v>67</v>
      </c>
      <c r="L114" s="11">
        <v>62</v>
      </c>
      <c r="M114" s="1" t="s">
        <v>58</v>
      </c>
      <c r="N114" s="1" t="s">
        <v>59</v>
      </c>
      <c r="O114" s="1" t="s">
        <v>60</v>
      </c>
      <c r="P114" s="1">
        <v>28</v>
      </c>
      <c r="Q114" s="12">
        <v>80</v>
      </c>
      <c r="R114" s="1" t="s">
        <v>61</v>
      </c>
      <c r="S114" s="1" t="s">
        <v>62</v>
      </c>
      <c r="T114" s="6" t="s">
        <v>63</v>
      </c>
      <c r="U114" s="13">
        <v>1.35</v>
      </c>
      <c r="V114" s="12">
        <v>0</v>
      </c>
      <c r="W114" s="12">
        <v>-108</v>
      </c>
      <c r="X114" s="1" t="s">
        <v>57</v>
      </c>
    </row>
    <row r="115" spans="1:24" x14ac:dyDescent="0.2">
      <c r="A115" s="1" t="s">
        <v>110</v>
      </c>
      <c r="B115" s="1" t="s">
        <v>47</v>
      </c>
      <c r="C115" s="1" t="s">
        <v>251</v>
      </c>
      <c r="D115" s="1" t="s">
        <v>405</v>
      </c>
      <c r="E115" s="1" t="s">
        <v>406</v>
      </c>
      <c r="F115" s="1" t="s">
        <v>407</v>
      </c>
      <c r="G115" s="1" t="s">
        <v>302</v>
      </c>
      <c r="H115" s="1" t="s">
        <v>99</v>
      </c>
      <c r="I115" s="1" t="s">
        <v>119</v>
      </c>
      <c r="J115" s="1" t="s">
        <v>90</v>
      </c>
      <c r="K115" s="1" t="s">
        <v>67</v>
      </c>
      <c r="L115" s="11">
        <v>20</v>
      </c>
      <c r="M115" s="1" t="s">
        <v>58</v>
      </c>
      <c r="N115" s="1" t="s">
        <v>59</v>
      </c>
      <c r="O115" s="1" t="s">
        <v>60</v>
      </c>
      <c r="P115" s="1">
        <v>100</v>
      </c>
      <c r="Q115" s="12">
        <v>33.44</v>
      </c>
      <c r="R115" s="1" t="s">
        <v>61</v>
      </c>
      <c r="S115" s="1" t="s">
        <v>62</v>
      </c>
      <c r="T115" s="6" t="s">
        <v>63</v>
      </c>
      <c r="U115" s="13">
        <v>0.25</v>
      </c>
      <c r="V115" s="12">
        <v>0</v>
      </c>
      <c r="W115" s="12">
        <v>-8.36</v>
      </c>
      <c r="X115" s="1" t="s">
        <v>57</v>
      </c>
    </row>
    <row r="116" spans="1:24" x14ac:dyDescent="0.2">
      <c r="A116" s="1" t="s">
        <v>408</v>
      </c>
      <c r="B116" s="1" t="s">
        <v>47</v>
      </c>
      <c r="C116" s="1" t="s">
        <v>48</v>
      </c>
      <c r="D116" s="1" t="s">
        <v>409</v>
      </c>
      <c r="E116" s="1" t="s">
        <v>410</v>
      </c>
      <c r="F116" s="1" t="s">
        <v>411</v>
      </c>
      <c r="G116" s="1" t="s">
        <v>52</v>
      </c>
      <c r="H116" s="1" t="s">
        <v>53</v>
      </c>
      <c r="I116" s="1" t="s">
        <v>412</v>
      </c>
      <c r="J116" s="1" t="s">
        <v>204</v>
      </c>
      <c r="K116" s="1" t="s">
        <v>67</v>
      </c>
      <c r="L116" s="11" t="s">
        <v>57</v>
      </c>
      <c r="M116" s="1" t="s">
        <v>58</v>
      </c>
      <c r="N116" s="1" t="s">
        <v>59</v>
      </c>
      <c r="O116" s="1" t="s">
        <v>60</v>
      </c>
      <c r="P116" s="1">
        <v>0</v>
      </c>
      <c r="Q116" s="12">
        <v>71.55</v>
      </c>
      <c r="R116" s="1" t="s">
        <v>61</v>
      </c>
      <c r="S116" s="1" t="s">
        <v>62</v>
      </c>
      <c r="T116" s="6" t="s">
        <v>63</v>
      </c>
      <c r="U116" s="13">
        <v>0.52</v>
      </c>
      <c r="V116" s="12">
        <v>37.21</v>
      </c>
      <c r="W116" s="12">
        <v>0</v>
      </c>
      <c r="X116" s="1" t="s">
        <v>57</v>
      </c>
    </row>
    <row r="117" spans="1:24" x14ac:dyDescent="0.2">
      <c r="A117" s="1" t="s">
        <v>408</v>
      </c>
      <c r="B117" s="1" t="s">
        <v>47</v>
      </c>
      <c r="C117" s="1" t="s">
        <v>48</v>
      </c>
      <c r="D117" s="1" t="s">
        <v>172</v>
      </c>
      <c r="E117" s="1" t="s">
        <v>413</v>
      </c>
      <c r="F117" s="1" t="s">
        <v>414</v>
      </c>
      <c r="G117" s="1" t="s">
        <v>278</v>
      </c>
      <c r="H117" s="1" t="s">
        <v>53</v>
      </c>
      <c r="I117" s="1" t="s">
        <v>415</v>
      </c>
      <c r="J117" s="1" t="s">
        <v>416</v>
      </c>
      <c r="K117" s="1" t="s">
        <v>417</v>
      </c>
      <c r="L117" s="11" t="s">
        <v>57</v>
      </c>
      <c r="M117" s="1" t="s">
        <v>58</v>
      </c>
      <c r="N117" s="1" t="s">
        <v>59</v>
      </c>
      <c r="O117" s="1" t="s">
        <v>60</v>
      </c>
      <c r="P117" s="1">
        <v>0</v>
      </c>
      <c r="Q117" s="12">
        <v>84</v>
      </c>
      <c r="R117" s="1" t="s">
        <v>79</v>
      </c>
      <c r="S117" s="1" t="s">
        <v>80</v>
      </c>
      <c r="T117" s="6" t="s">
        <v>63</v>
      </c>
      <c r="U117" s="13">
        <v>0.04</v>
      </c>
      <c r="V117" s="12">
        <v>3.36</v>
      </c>
      <c r="W117" s="12">
        <v>0</v>
      </c>
      <c r="X117" s="1" t="s">
        <v>57</v>
      </c>
    </row>
    <row r="118" spans="1:24" x14ac:dyDescent="0.2">
      <c r="A118" s="1" t="s">
        <v>408</v>
      </c>
      <c r="B118" s="1" t="s">
        <v>47</v>
      </c>
      <c r="C118" s="1" t="s">
        <v>48</v>
      </c>
      <c r="D118" s="1" t="s">
        <v>418</v>
      </c>
      <c r="E118" s="1" t="s">
        <v>419</v>
      </c>
      <c r="F118" s="1" t="s">
        <v>420</v>
      </c>
      <c r="G118" s="1" t="s">
        <v>52</v>
      </c>
      <c r="H118" s="1" t="s">
        <v>53</v>
      </c>
      <c r="I118" s="1" t="s">
        <v>412</v>
      </c>
      <c r="J118" s="1" t="s">
        <v>204</v>
      </c>
      <c r="K118" s="1" t="s">
        <v>67</v>
      </c>
      <c r="L118" s="11" t="s">
        <v>57</v>
      </c>
      <c r="M118" s="1" t="s">
        <v>58</v>
      </c>
      <c r="N118" s="1" t="s">
        <v>59</v>
      </c>
      <c r="O118" s="1" t="s">
        <v>60</v>
      </c>
      <c r="P118" s="1">
        <v>0</v>
      </c>
      <c r="Q118" s="12">
        <v>79.83</v>
      </c>
      <c r="R118" s="1" t="s">
        <v>61</v>
      </c>
      <c r="S118" s="1" t="s">
        <v>62</v>
      </c>
      <c r="T118" s="6" t="s">
        <v>63</v>
      </c>
      <c r="U118" s="13">
        <v>0.52</v>
      </c>
      <c r="V118" s="12">
        <v>41.51</v>
      </c>
      <c r="W118" s="12">
        <v>0</v>
      </c>
      <c r="X118" s="1" t="s">
        <v>57</v>
      </c>
    </row>
    <row r="119" spans="1:24" x14ac:dyDescent="0.2">
      <c r="A119" s="1" t="s">
        <v>408</v>
      </c>
      <c r="B119" s="1" t="s">
        <v>47</v>
      </c>
      <c r="C119" s="1" t="s">
        <v>48</v>
      </c>
      <c r="D119" s="1" t="s">
        <v>372</v>
      </c>
      <c r="E119" s="1" t="s">
        <v>421</v>
      </c>
      <c r="F119" s="1" t="s">
        <v>422</v>
      </c>
      <c r="G119" s="1" t="s">
        <v>114</v>
      </c>
      <c r="H119" s="1" t="s">
        <v>53</v>
      </c>
      <c r="I119" s="1" t="s">
        <v>423</v>
      </c>
      <c r="J119" s="1" t="s">
        <v>66</v>
      </c>
      <c r="K119" s="1" t="s">
        <v>67</v>
      </c>
      <c r="L119" s="11" t="s">
        <v>57</v>
      </c>
      <c r="M119" s="1" t="s">
        <v>58</v>
      </c>
      <c r="N119" s="1" t="s">
        <v>59</v>
      </c>
      <c r="O119" s="1" t="s">
        <v>60</v>
      </c>
      <c r="P119" s="1">
        <v>0</v>
      </c>
      <c r="Q119" s="12">
        <v>29.91</v>
      </c>
      <c r="R119" s="1" t="s">
        <v>61</v>
      </c>
      <c r="S119" s="1" t="s">
        <v>62</v>
      </c>
      <c r="T119" s="6" t="s">
        <v>63</v>
      </c>
      <c r="U119" s="13">
        <v>0.52</v>
      </c>
      <c r="V119" s="12">
        <v>0</v>
      </c>
      <c r="W119" s="12">
        <v>-15.55</v>
      </c>
      <c r="X119" s="1" t="s">
        <v>57</v>
      </c>
    </row>
    <row r="120" spans="1:24" x14ac:dyDescent="0.2">
      <c r="A120" s="1" t="s">
        <v>408</v>
      </c>
      <c r="B120" s="1" t="s">
        <v>47</v>
      </c>
      <c r="C120" s="1" t="s">
        <v>48</v>
      </c>
      <c r="D120" s="1" t="s">
        <v>101</v>
      </c>
      <c r="E120" s="1" t="s">
        <v>424</v>
      </c>
      <c r="F120" s="1" t="s">
        <v>425</v>
      </c>
      <c r="G120" s="1" t="s">
        <v>52</v>
      </c>
      <c r="H120" s="1" t="s">
        <v>53</v>
      </c>
      <c r="I120" s="1" t="s">
        <v>412</v>
      </c>
      <c r="J120" s="1" t="s">
        <v>426</v>
      </c>
      <c r="K120" s="1" t="s">
        <v>67</v>
      </c>
      <c r="L120" s="11" t="s">
        <v>57</v>
      </c>
      <c r="M120" s="1" t="s">
        <v>58</v>
      </c>
      <c r="N120" s="1" t="s">
        <v>59</v>
      </c>
      <c r="O120" s="1" t="s">
        <v>60</v>
      </c>
      <c r="P120" s="1">
        <v>0</v>
      </c>
      <c r="Q120" s="12">
        <v>79.28</v>
      </c>
      <c r="R120" s="1" t="s">
        <v>79</v>
      </c>
      <c r="S120" s="1" t="s">
        <v>80</v>
      </c>
      <c r="T120" s="6" t="s">
        <v>63</v>
      </c>
      <c r="U120" s="13">
        <v>0.03</v>
      </c>
      <c r="V120" s="12">
        <v>2.38</v>
      </c>
      <c r="W120" s="12">
        <v>0</v>
      </c>
      <c r="X120" s="1" t="s">
        <v>57</v>
      </c>
    </row>
    <row r="121" spans="1:24" x14ac:dyDescent="0.2">
      <c r="A121" s="1" t="s">
        <v>408</v>
      </c>
      <c r="B121" s="1" t="s">
        <v>47</v>
      </c>
      <c r="C121" s="1" t="s">
        <v>48</v>
      </c>
      <c r="D121" s="1" t="s">
        <v>101</v>
      </c>
      <c r="E121" s="1" t="s">
        <v>427</v>
      </c>
      <c r="F121" s="1" t="s">
        <v>428</v>
      </c>
      <c r="G121" s="1" t="s">
        <v>52</v>
      </c>
      <c r="H121" s="1" t="s">
        <v>53</v>
      </c>
      <c r="I121" s="1" t="s">
        <v>429</v>
      </c>
      <c r="J121" s="1" t="s">
        <v>430</v>
      </c>
      <c r="K121" s="1" t="s">
        <v>67</v>
      </c>
      <c r="L121" s="11" t="s">
        <v>57</v>
      </c>
      <c r="M121" s="1" t="s">
        <v>58</v>
      </c>
      <c r="N121" s="1" t="s">
        <v>59</v>
      </c>
      <c r="O121" s="1" t="s">
        <v>60</v>
      </c>
      <c r="P121" s="1">
        <v>0</v>
      </c>
      <c r="Q121" s="12">
        <v>34.36</v>
      </c>
      <c r="R121" s="1" t="s">
        <v>61</v>
      </c>
      <c r="S121" s="1" t="s">
        <v>62</v>
      </c>
      <c r="T121" s="6" t="s">
        <v>63</v>
      </c>
      <c r="U121" s="13">
        <v>0.52</v>
      </c>
      <c r="V121" s="12">
        <v>0</v>
      </c>
      <c r="W121" s="12">
        <v>-17.87</v>
      </c>
      <c r="X121" s="1" t="s">
        <v>57</v>
      </c>
    </row>
    <row r="122" spans="1:24" x14ac:dyDescent="0.2">
      <c r="A122" s="1" t="s">
        <v>408</v>
      </c>
      <c r="B122" s="1" t="s">
        <v>47</v>
      </c>
      <c r="C122" s="1" t="s">
        <v>48</v>
      </c>
      <c r="D122" s="1" t="s">
        <v>73</v>
      </c>
      <c r="E122" s="1" t="s">
        <v>431</v>
      </c>
      <c r="F122" s="1" t="s">
        <v>432</v>
      </c>
      <c r="G122" s="1" t="s">
        <v>400</v>
      </c>
      <c r="H122" s="1" t="s">
        <v>53</v>
      </c>
      <c r="I122" s="1" t="s">
        <v>433</v>
      </c>
      <c r="J122" s="1" t="s">
        <v>215</v>
      </c>
      <c r="K122" s="1" t="s">
        <v>67</v>
      </c>
      <c r="L122" s="11" t="s">
        <v>57</v>
      </c>
      <c r="M122" s="1" t="s">
        <v>58</v>
      </c>
      <c r="N122" s="1" t="s">
        <v>59</v>
      </c>
      <c r="O122" s="1" t="s">
        <v>60</v>
      </c>
      <c r="P122" s="1">
        <v>0</v>
      </c>
      <c r="Q122" s="12">
        <v>159.22</v>
      </c>
      <c r="R122" s="1" t="s">
        <v>79</v>
      </c>
      <c r="S122" s="1" t="s">
        <v>80</v>
      </c>
      <c r="T122" s="6" t="s">
        <v>63</v>
      </c>
      <c r="U122" s="13">
        <v>0.23</v>
      </c>
      <c r="V122" s="12">
        <v>36.619999999999997</v>
      </c>
      <c r="W122" s="12">
        <v>0</v>
      </c>
      <c r="X122" s="1" t="s">
        <v>57</v>
      </c>
    </row>
    <row r="123" spans="1:24" x14ac:dyDescent="0.2">
      <c r="A123" s="1" t="s">
        <v>408</v>
      </c>
      <c r="B123" s="1" t="s">
        <v>47</v>
      </c>
      <c r="C123" s="1" t="s">
        <v>48</v>
      </c>
      <c r="D123" s="1" t="s">
        <v>73</v>
      </c>
      <c r="E123" s="1" t="s">
        <v>434</v>
      </c>
      <c r="F123" s="1" t="s">
        <v>435</v>
      </c>
      <c r="G123" s="1" t="s">
        <v>436</v>
      </c>
      <c r="H123" s="1" t="s">
        <v>53</v>
      </c>
      <c r="I123" s="1" t="s">
        <v>437</v>
      </c>
      <c r="J123" s="1" t="s">
        <v>426</v>
      </c>
      <c r="K123" s="1" t="s">
        <v>67</v>
      </c>
      <c r="L123" s="11" t="s">
        <v>57</v>
      </c>
      <c r="M123" s="1" t="s">
        <v>58</v>
      </c>
      <c r="N123" s="1" t="s">
        <v>59</v>
      </c>
      <c r="O123" s="1" t="s">
        <v>60</v>
      </c>
      <c r="P123" s="1">
        <v>0</v>
      </c>
      <c r="Q123" s="12">
        <v>91.47</v>
      </c>
      <c r="R123" s="1" t="s">
        <v>79</v>
      </c>
      <c r="S123" s="1" t="s">
        <v>80</v>
      </c>
      <c r="T123" s="6" t="s">
        <v>63</v>
      </c>
      <c r="U123" s="13">
        <v>0.27</v>
      </c>
      <c r="V123" s="12">
        <v>24.7</v>
      </c>
      <c r="W123" s="12">
        <v>0</v>
      </c>
      <c r="X123" s="1" t="s">
        <v>57</v>
      </c>
    </row>
    <row r="124" spans="1:24" x14ac:dyDescent="0.2">
      <c r="A124" s="1" t="s">
        <v>408</v>
      </c>
      <c r="B124" s="1" t="s">
        <v>47</v>
      </c>
      <c r="C124" s="1" t="s">
        <v>48</v>
      </c>
      <c r="D124" s="1" t="s">
        <v>438</v>
      </c>
      <c r="E124" s="1" t="s">
        <v>439</v>
      </c>
      <c r="F124" s="1" t="s">
        <v>440</v>
      </c>
      <c r="G124" s="1" t="s">
        <v>129</v>
      </c>
      <c r="H124" s="1" t="s">
        <v>53</v>
      </c>
      <c r="I124" s="1" t="s">
        <v>441</v>
      </c>
      <c r="J124" s="1" t="s">
        <v>442</v>
      </c>
      <c r="K124" s="1" t="s">
        <v>443</v>
      </c>
      <c r="L124" s="11" t="s">
        <v>57</v>
      </c>
      <c r="M124" s="1" t="s">
        <v>58</v>
      </c>
      <c r="N124" s="1" t="s">
        <v>59</v>
      </c>
      <c r="O124" s="1" t="s">
        <v>60</v>
      </c>
      <c r="P124" s="1">
        <v>0</v>
      </c>
      <c r="Q124" s="12">
        <v>33.909999999999997</v>
      </c>
      <c r="R124" s="1" t="s">
        <v>61</v>
      </c>
      <c r="S124" s="1" t="s">
        <v>62</v>
      </c>
      <c r="T124" s="6" t="s">
        <v>63</v>
      </c>
      <c r="U124" s="13">
        <v>0.2</v>
      </c>
      <c r="V124" s="12">
        <v>0</v>
      </c>
      <c r="W124" s="12">
        <v>-6.78</v>
      </c>
      <c r="X124" s="1" t="s">
        <v>57</v>
      </c>
    </row>
    <row r="125" spans="1:24" x14ac:dyDescent="0.2">
      <c r="A125" s="1" t="s">
        <v>408</v>
      </c>
      <c r="B125" s="1" t="s">
        <v>47</v>
      </c>
      <c r="C125" s="1" t="s">
        <v>48</v>
      </c>
      <c r="D125" s="1" t="s">
        <v>409</v>
      </c>
      <c r="E125" s="1" t="s">
        <v>444</v>
      </c>
      <c r="F125" s="1" t="s">
        <v>445</v>
      </c>
      <c r="G125" s="1" t="s">
        <v>52</v>
      </c>
      <c r="H125" s="1" t="s">
        <v>53</v>
      </c>
      <c r="I125" s="1" t="s">
        <v>423</v>
      </c>
      <c r="J125" s="1" t="s">
        <v>446</v>
      </c>
      <c r="K125" s="1" t="s">
        <v>447</v>
      </c>
      <c r="L125" s="11" t="s">
        <v>57</v>
      </c>
      <c r="M125" s="1" t="s">
        <v>58</v>
      </c>
      <c r="N125" s="1" t="s">
        <v>59</v>
      </c>
      <c r="O125" s="1" t="s">
        <v>60</v>
      </c>
      <c r="P125" s="1">
        <v>0</v>
      </c>
      <c r="Q125" s="12">
        <v>32.82</v>
      </c>
      <c r="R125" s="1" t="s">
        <v>61</v>
      </c>
      <c r="S125" s="1" t="s">
        <v>62</v>
      </c>
      <c r="T125" s="6" t="s">
        <v>63</v>
      </c>
      <c r="U125" s="13">
        <v>0.52</v>
      </c>
      <c r="V125" s="12">
        <v>17.07</v>
      </c>
      <c r="W125" s="12">
        <v>0</v>
      </c>
      <c r="X125" s="1" t="s">
        <v>57</v>
      </c>
    </row>
    <row r="126" spans="1:24" x14ac:dyDescent="0.2">
      <c r="A126" s="1" t="s">
        <v>408</v>
      </c>
      <c r="B126" s="1" t="s">
        <v>47</v>
      </c>
      <c r="C126" s="1" t="s">
        <v>48</v>
      </c>
      <c r="D126" s="1" t="s">
        <v>448</v>
      </c>
      <c r="E126" s="1" t="s">
        <v>449</v>
      </c>
      <c r="F126" s="1" t="s">
        <v>450</v>
      </c>
      <c r="G126" s="1" t="s">
        <v>346</v>
      </c>
      <c r="H126" s="1" t="s">
        <v>53</v>
      </c>
      <c r="I126" s="1" t="s">
        <v>433</v>
      </c>
      <c r="J126" s="1" t="s">
        <v>84</v>
      </c>
      <c r="K126" s="1" t="s">
        <v>67</v>
      </c>
      <c r="L126" s="11" t="s">
        <v>57</v>
      </c>
      <c r="M126" s="1" t="s">
        <v>58</v>
      </c>
      <c r="N126" s="1" t="s">
        <v>59</v>
      </c>
      <c r="O126" s="1" t="s">
        <v>60</v>
      </c>
      <c r="P126" s="1">
        <v>0</v>
      </c>
      <c r="Q126" s="12">
        <v>223.71</v>
      </c>
      <c r="R126" s="1" t="s">
        <v>61</v>
      </c>
      <c r="S126" s="1" t="s">
        <v>62</v>
      </c>
      <c r="T126" s="6" t="s">
        <v>63</v>
      </c>
      <c r="U126" s="13">
        <v>0.23</v>
      </c>
      <c r="V126" s="12">
        <v>0</v>
      </c>
      <c r="W126" s="12">
        <v>-51.45</v>
      </c>
      <c r="X126" s="1" t="s">
        <v>57</v>
      </c>
    </row>
    <row r="127" spans="1:24" x14ac:dyDescent="0.2">
      <c r="A127" s="1" t="s">
        <v>408</v>
      </c>
      <c r="B127" s="1" t="s">
        <v>47</v>
      </c>
      <c r="C127" s="1" t="s">
        <v>48</v>
      </c>
      <c r="D127" s="1" t="s">
        <v>451</v>
      </c>
      <c r="E127" s="1" t="s">
        <v>452</v>
      </c>
      <c r="F127" s="1" t="s">
        <v>453</v>
      </c>
      <c r="G127" s="1" t="s">
        <v>454</v>
      </c>
      <c r="H127" s="1" t="s">
        <v>53</v>
      </c>
      <c r="I127" s="1" t="s">
        <v>433</v>
      </c>
      <c r="J127" s="1" t="s">
        <v>204</v>
      </c>
      <c r="K127" s="1" t="s">
        <v>67</v>
      </c>
      <c r="L127" s="11" t="s">
        <v>57</v>
      </c>
      <c r="M127" s="1" t="s">
        <v>58</v>
      </c>
      <c r="N127" s="1" t="s">
        <v>59</v>
      </c>
      <c r="O127" s="1" t="s">
        <v>60</v>
      </c>
      <c r="P127" s="1">
        <v>0</v>
      </c>
      <c r="Q127" s="12">
        <v>125.12</v>
      </c>
      <c r="R127" s="1" t="s">
        <v>61</v>
      </c>
      <c r="S127" s="1" t="s">
        <v>62</v>
      </c>
      <c r="T127" s="6" t="s">
        <v>63</v>
      </c>
      <c r="U127" s="13">
        <v>0.23</v>
      </c>
      <c r="V127" s="12">
        <v>28.78</v>
      </c>
      <c r="W127" s="12">
        <v>0</v>
      </c>
      <c r="X127" s="1" t="s">
        <v>57</v>
      </c>
    </row>
    <row r="128" spans="1:24" x14ac:dyDescent="0.2">
      <c r="A128" s="1" t="s">
        <v>408</v>
      </c>
      <c r="B128" s="1" t="s">
        <v>47</v>
      </c>
      <c r="C128" s="1" t="s">
        <v>48</v>
      </c>
      <c r="D128" s="1" t="s">
        <v>451</v>
      </c>
      <c r="E128" s="1" t="s">
        <v>455</v>
      </c>
      <c r="F128" s="1" t="s">
        <v>456</v>
      </c>
      <c r="G128" s="1" t="s">
        <v>454</v>
      </c>
      <c r="H128" s="1" t="s">
        <v>53</v>
      </c>
      <c r="I128" s="1" t="s">
        <v>433</v>
      </c>
      <c r="J128" s="1" t="s">
        <v>457</v>
      </c>
      <c r="K128" s="1" t="s">
        <v>67</v>
      </c>
      <c r="L128" s="11" t="s">
        <v>57</v>
      </c>
      <c r="M128" s="1" t="s">
        <v>58</v>
      </c>
      <c r="N128" s="1" t="s">
        <v>59</v>
      </c>
      <c r="O128" s="1" t="s">
        <v>60</v>
      </c>
      <c r="P128" s="1">
        <v>0</v>
      </c>
      <c r="Q128" s="12">
        <v>108.79</v>
      </c>
      <c r="R128" s="1" t="s">
        <v>61</v>
      </c>
      <c r="S128" s="1" t="s">
        <v>62</v>
      </c>
      <c r="T128" s="6" t="s">
        <v>63</v>
      </c>
      <c r="U128" s="13">
        <v>0.23</v>
      </c>
      <c r="V128" s="12">
        <v>25.02</v>
      </c>
      <c r="W128" s="12">
        <v>0</v>
      </c>
      <c r="X128" s="1" t="s">
        <v>57</v>
      </c>
    </row>
    <row r="129" spans="1:24" x14ac:dyDescent="0.2">
      <c r="A129" s="1" t="s">
        <v>408</v>
      </c>
      <c r="B129" s="1" t="s">
        <v>47</v>
      </c>
      <c r="C129" s="1" t="s">
        <v>48</v>
      </c>
      <c r="D129" s="1" t="s">
        <v>205</v>
      </c>
      <c r="E129" s="1" t="s">
        <v>458</v>
      </c>
      <c r="F129" s="1" t="s">
        <v>459</v>
      </c>
      <c r="G129" s="1" t="s">
        <v>278</v>
      </c>
      <c r="H129" s="1" t="s">
        <v>53</v>
      </c>
      <c r="I129" s="1" t="s">
        <v>437</v>
      </c>
      <c r="J129" s="1" t="s">
        <v>66</v>
      </c>
      <c r="K129" s="1" t="s">
        <v>67</v>
      </c>
      <c r="L129" s="11" t="s">
        <v>57</v>
      </c>
      <c r="M129" s="1" t="s">
        <v>58</v>
      </c>
      <c r="N129" s="1" t="s">
        <v>59</v>
      </c>
      <c r="O129" s="1" t="s">
        <v>60</v>
      </c>
      <c r="P129" s="1">
        <v>0</v>
      </c>
      <c r="Q129" s="12">
        <v>158.75</v>
      </c>
      <c r="R129" s="1" t="s">
        <v>61</v>
      </c>
      <c r="S129" s="1" t="s">
        <v>62</v>
      </c>
      <c r="T129" s="6" t="s">
        <v>63</v>
      </c>
      <c r="U129" s="13">
        <v>0.27</v>
      </c>
      <c r="V129" s="12">
        <v>0</v>
      </c>
      <c r="W129" s="12">
        <v>-42.86</v>
      </c>
      <c r="X129" s="1" t="s">
        <v>57</v>
      </c>
    </row>
    <row r="130" spans="1:24" x14ac:dyDescent="0.2">
      <c r="A130" s="1" t="s">
        <v>408</v>
      </c>
      <c r="B130" s="1" t="s">
        <v>47</v>
      </c>
      <c r="C130" s="1" t="s">
        <v>48</v>
      </c>
      <c r="D130" s="1" t="s">
        <v>460</v>
      </c>
      <c r="E130" s="1" t="s">
        <v>461</v>
      </c>
      <c r="F130" s="1" t="s">
        <v>462</v>
      </c>
      <c r="G130" s="1" t="s">
        <v>463</v>
      </c>
      <c r="H130" s="1" t="s">
        <v>53</v>
      </c>
      <c r="I130" s="1" t="s">
        <v>464</v>
      </c>
      <c r="J130" s="1" t="s">
        <v>84</v>
      </c>
      <c r="K130" s="1" t="s">
        <v>67</v>
      </c>
      <c r="L130" s="11" t="s">
        <v>57</v>
      </c>
      <c r="M130" s="1" t="s">
        <v>58</v>
      </c>
      <c r="N130" s="1" t="s">
        <v>59</v>
      </c>
      <c r="O130" s="1" t="s">
        <v>60</v>
      </c>
      <c r="P130" s="1">
        <v>0</v>
      </c>
      <c r="Q130" s="12">
        <v>57.22</v>
      </c>
      <c r="R130" s="1" t="s">
        <v>61</v>
      </c>
      <c r="S130" s="1" t="s">
        <v>62</v>
      </c>
      <c r="T130" s="6" t="s">
        <v>63</v>
      </c>
      <c r="U130" s="13">
        <v>0.52</v>
      </c>
      <c r="V130" s="12">
        <v>0</v>
      </c>
      <c r="W130" s="12">
        <v>-29.75</v>
      </c>
      <c r="X130" s="1" t="s">
        <v>57</v>
      </c>
    </row>
    <row r="131" spans="1:24" x14ac:dyDescent="0.2">
      <c r="A131" s="1" t="s">
        <v>408</v>
      </c>
      <c r="B131" s="1" t="s">
        <v>47</v>
      </c>
      <c r="C131" s="1" t="s">
        <v>48</v>
      </c>
      <c r="D131" s="1" t="s">
        <v>460</v>
      </c>
      <c r="E131" s="1" t="s">
        <v>465</v>
      </c>
      <c r="F131" s="1" t="s">
        <v>466</v>
      </c>
      <c r="G131" s="1" t="s">
        <v>436</v>
      </c>
      <c r="H131" s="1" t="s">
        <v>53</v>
      </c>
      <c r="I131" s="1" t="s">
        <v>412</v>
      </c>
      <c r="J131" s="1" t="s">
        <v>467</v>
      </c>
      <c r="K131" s="1" t="s">
        <v>468</v>
      </c>
      <c r="L131" s="11" t="s">
        <v>57</v>
      </c>
      <c r="M131" s="1" t="s">
        <v>58</v>
      </c>
      <c r="N131" s="1" t="s">
        <v>59</v>
      </c>
      <c r="O131" s="1" t="s">
        <v>60</v>
      </c>
      <c r="P131" s="1">
        <v>0</v>
      </c>
      <c r="Q131" s="12">
        <v>63.32</v>
      </c>
      <c r="R131" s="1" t="s">
        <v>61</v>
      </c>
      <c r="S131" s="1" t="s">
        <v>62</v>
      </c>
      <c r="T131" s="6" t="s">
        <v>63</v>
      </c>
      <c r="U131" s="13">
        <v>0.52</v>
      </c>
      <c r="V131" s="12">
        <v>0</v>
      </c>
      <c r="W131" s="12">
        <v>-32.93</v>
      </c>
      <c r="X131" s="1" t="s">
        <v>57</v>
      </c>
    </row>
    <row r="132" spans="1:24" x14ac:dyDescent="0.2">
      <c r="A132" s="1" t="s">
        <v>408</v>
      </c>
      <c r="B132" s="1" t="s">
        <v>47</v>
      </c>
      <c r="C132" s="1" t="s">
        <v>48</v>
      </c>
      <c r="D132" s="1" t="s">
        <v>460</v>
      </c>
      <c r="E132" s="1" t="s">
        <v>469</v>
      </c>
      <c r="F132" s="1" t="s">
        <v>470</v>
      </c>
      <c r="G132" s="1" t="s">
        <v>52</v>
      </c>
      <c r="H132" s="1" t="s">
        <v>53</v>
      </c>
      <c r="I132" s="1" t="s">
        <v>423</v>
      </c>
      <c r="J132" s="1" t="s">
        <v>66</v>
      </c>
      <c r="K132" s="1" t="s">
        <v>67</v>
      </c>
      <c r="L132" s="11" t="s">
        <v>57</v>
      </c>
      <c r="M132" s="1" t="s">
        <v>58</v>
      </c>
      <c r="N132" s="1" t="s">
        <v>59</v>
      </c>
      <c r="O132" s="1" t="s">
        <v>60</v>
      </c>
      <c r="P132" s="1">
        <v>0</v>
      </c>
      <c r="Q132" s="12">
        <v>32.82</v>
      </c>
      <c r="R132" s="1" t="s">
        <v>61</v>
      </c>
      <c r="S132" s="1" t="s">
        <v>62</v>
      </c>
      <c r="T132" s="6" t="s">
        <v>63</v>
      </c>
      <c r="U132" s="13">
        <v>0.52</v>
      </c>
      <c r="V132" s="12">
        <v>0</v>
      </c>
      <c r="W132" s="12">
        <v>-17.07</v>
      </c>
      <c r="X132" s="1" t="s">
        <v>57</v>
      </c>
    </row>
    <row r="133" spans="1:24" x14ac:dyDescent="0.2">
      <c r="A133" s="1" t="s">
        <v>408</v>
      </c>
      <c r="B133" s="1" t="s">
        <v>47</v>
      </c>
      <c r="C133" s="1" t="s">
        <v>48</v>
      </c>
      <c r="D133" s="1" t="s">
        <v>409</v>
      </c>
      <c r="E133" s="1" t="s">
        <v>471</v>
      </c>
      <c r="F133" s="1" t="s">
        <v>472</v>
      </c>
      <c r="G133" s="1" t="s">
        <v>52</v>
      </c>
      <c r="H133" s="1" t="s">
        <v>53</v>
      </c>
      <c r="I133" s="1" t="s">
        <v>412</v>
      </c>
      <c r="J133" s="1" t="s">
        <v>473</v>
      </c>
      <c r="K133" s="1" t="s">
        <v>67</v>
      </c>
      <c r="L133" s="11" t="s">
        <v>57</v>
      </c>
      <c r="M133" s="1" t="s">
        <v>58</v>
      </c>
      <c r="N133" s="1" t="s">
        <v>59</v>
      </c>
      <c r="O133" s="1" t="s">
        <v>60</v>
      </c>
      <c r="P133" s="1">
        <v>0</v>
      </c>
      <c r="Q133" s="12">
        <v>87.56</v>
      </c>
      <c r="R133" s="1" t="s">
        <v>79</v>
      </c>
      <c r="S133" s="1" t="s">
        <v>80</v>
      </c>
      <c r="T133" s="6" t="s">
        <v>63</v>
      </c>
      <c r="U133" s="13">
        <v>0.03</v>
      </c>
      <c r="V133" s="12">
        <v>2.63</v>
      </c>
      <c r="W133" s="12">
        <v>0</v>
      </c>
      <c r="X133" s="1" t="s">
        <v>57</v>
      </c>
    </row>
    <row r="134" spans="1:24" x14ac:dyDescent="0.2">
      <c r="A134" s="1" t="s">
        <v>408</v>
      </c>
      <c r="B134" s="1" t="s">
        <v>47</v>
      </c>
      <c r="C134" s="1" t="s">
        <v>48</v>
      </c>
      <c r="D134" s="1" t="s">
        <v>409</v>
      </c>
      <c r="E134" s="1" t="s">
        <v>474</v>
      </c>
      <c r="F134" s="1" t="s">
        <v>475</v>
      </c>
      <c r="G134" s="1" t="s">
        <v>52</v>
      </c>
      <c r="H134" s="1" t="s">
        <v>53</v>
      </c>
      <c r="I134" s="1" t="s">
        <v>412</v>
      </c>
      <c r="J134" s="1" t="s">
        <v>473</v>
      </c>
      <c r="K134" s="1" t="s">
        <v>67</v>
      </c>
      <c r="L134" s="11" t="s">
        <v>57</v>
      </c>
      <c r="M134" s="1" t="s">
        <v>58</v>
      </c>
      <c r="N134" s="1" t="s">
        <v>59</v>
      </c>
      <c r="O134" s="1" t="s">
        <v>60</v>
      </c>
      <c r="P134" s="1">
        <v>0</v>
      </c>
      <c r="Q134" s="12">
        <v>87.56</v>
      </c>
      <c r="R134" s="1" t="s">
        <v>79</v>
      </c>
      <c r="S134" s="1" t="s">
        <v>80</v>
      </c>
      <c r="T134" s="6" t="s">
        <v>63</v>
      </c>
      <c r="U134" s="13">
        <v>0.03</v>
      </c>
      <c r="V134" s="12">
        <v>2.63</v>
      </c>
      <c r="W134" s="12">
        <v>0</v>
      </c>
      <c r="X134" s="1" t="s">
        <v>57</v>
      </c>
    </row>
    <row r="135" spans="1:24" x14ac:dyDescent="0.2">
      <c r="A135" s="1" t="s">
        <v>408</v>
      </c>
      <c r="B135" s="1" t="s">
        <v>47</v>
      </c>
      <c r="C135" s="1" t="s">
        <v>48</v>
      </c>
      <c r="D135" s="1" t="s">
        <v>460</v>
      </c>
      <c r="E135" s="1" t="s">
        <v>476</v>
      </c>
      <c r="F135" s="1" t="s">
        <v>477</v>
      </c>
      <c r="G135" s="1" t="s">
        <v>52</v>
      </c>
      <c r="H135" s="1" t="s">
        <v>53</v>
      </c>
      <c r="I135" s="1" t="s">
        <v>464</v>
      </c>
      <c r="J135" s="1" t="s">
        <v>430</v>
      </c>
      <c r="K135" s="1" t="s">
        <v>84</v>
      </c>
      <c r="L135" s="11" t="s">
        <v>57</v>
      </c>
      <c r="M135" s="1" t="s">
        <v>58</v>
      </c>
      <c r="N135" s="1" t="s">
        <v>59</v>
      </c>
      <c r="O135" s="1" t="s">
        <v>60</v>
      </c>
      <c r="P135" s="1">
        <v>0</v>
      </c>
      <c r="Q135" s="12">
        <v>0</v>
      </c>
      <c r="R135" s="1" t="s">
        <v>61</v>
      </c>
      <c r="S135" s="1" t="s">
        <v>478</v>
      </c>
      <c r="T135" s="6" t="s">
        <v>63</v>
      </c>
      <c r="U135" s="13">
        <v>0</v>
      </c>
      <c r="V135" s="12">
        <v>-177.2</v>
      </c>
      <c r="W135" s="12">
        <v>-177.2</v>
      </c>
      <c r="X135" s="1" t="s">
        <v>57</v>
      </c>
    </row>
    <row r="136" spans="1:24" x14ac:dyDescent="0.2">
      <c r="A136" s="1" t="s">
        <v>408</v>
      </c>
      <c r="B136" s="1" t="s">
        <v>47</v>
      </c>
      <c r="C136" s="1" t="s">
        <v>48</v>
      </c>
      <c r="D136" s="1" t="s">
        <v>409</v>
      </c>
      <c r="E136" s="1" t="s">
        <v>479</v>
      </c>
      <c r="F136" s="1" t="s">
        <v>480</v>
      </c>
      <c r="G136" s="1" t="s">
        <v>52</v>
      </c>
      <c r="H136" s="1" t="s">
        <v>53</v>
      </c>
      <c r="I136" s="1" t="s">
        <v>412</v>
      </c>
      <c r="J136" s="1" t="s">
        <v>66</v>
      </c>
      <c r="K136" s="1" t="s">
        <v>84</v>
      </c>
      <c r="L136" s="11" t="s">
        <v>57</v>
      </c>
      <c r="M136" s="1" t="s">
        <v>58</v>
      </c>
      <c r="N136" s="1" t="s">
        <v>59</v>
      </c>
      <c r="O136" s="1" t="s">
        <v>60</v>
      </c>
      <c r="P136" s="1">
        <v>0</v>
      </c>
      <c r="Q136" s="12">
        <v>0</v>
      </c>
      <c r="R136" s="1" t="s">
        <v>61</v>
      </c>
      <c r="S136" s="1" t="s">
        <v>478</v>
      </c>
      <c r="T136" s="6" t="s">
        <v>63</v>
      </c>
      <c r="U136" s="13">
        <v>0</v>
      </c>
      <c r="V136" s="12">
        <v>-148.84</v>
      </c>
      <c r="W136" s="12">
        <v>-148.84</v>
      </c>
      <c r="X136" s="1" t="s">
        <v>57</v>
      </c>
    </row>
    <row r="137" spans="1:24" x14ac:dyDescent="0.2">
      <c r="A137" s="1" t="s">
        <v>408</v>
      </c>
      <c r="B137" s="1" t="s">
        <v>47</v>
      </c>
      <c r="C137" s="1" t="s">
        <v>48</v>
      </c>
      <c r="D137" s="1" t="s">
        <v>409</v>
      </c>
      <c r="E137" s="1" t="s">
        <v>481</v>
      </c>
      <c r="F137" s="1" t="s">
        <v>482</v>
      </c>
      <c r="G137" s="1" t="s">
        <v>152</v>
      </c>
      <c r="H137" s="1" t="s">
        <v>53</v>
      </c>
      <c r="I137" s="1" t="s">
        <v>429</v>
      </c>
      <c r="J137" s="1" t="s">
        <v>483</v>
      </c>
      <c r="K137" s="1" t="s">
        <v>140</v>
      </c>
      <c r="L137" s="11" t="s">
        <v>57</v>
      </c>
      <c r="M137" s="1" t="s">
        <v>58</v>
      </c>
      <c r="N137" s="1" t="s">
        <v>59</v>
      </c>
      <c r="O137" s="1" t="s">
        <v>60</v>
      </c>
      <c r="P137" s="1">
        <v>0</v>
      </c>
      <c r="Q137" s="12">
        <v>-5.8</v>
      </c>
      <c r="R137" s="1" t="s">
        <v>61</v>
      </c>
      <c r="S137" s="1" t="s">
        <v>484</v>
      </c>
      <c r="T137" s="6" t="s">
        <v>63</v>
      </c>
      <c r="U137" s="13">
        <v>0.52</v>
      </c>
      <c r="V137" s="12">
        <v>-3.02</v>
      </c>
      <c r="W137" s="12">
        <v>0</v>
      </c>
      <c r="X137" s="1" t="s">
        <v>57</v>
      </c>
    </row>
    <row r="138" spans="1:24" x14ac:dyDescent="0.2">
      <c r="A138" s="1" t="s">
        <v>408</v>
      </c>
      <c r="B138" s="1" t="s">
        <v>47</v>
      </c>
      <c r="C138" s="1" t="s">
        <v>48</v>
      </c>
      <c r="D138" s="1" t="s">
        <v>409</v>
      </c>
      <c r="E138" s="1" t="s">
        <v>485</v>
      </c>
      <c r="F138" s="1" t="s">
        <v>486</v>
      </c>
      <c r="G138" s="1" t="s">
        <v>152</v>
      </c>
      <c r="H138" s="1" t="s">
        <v>53</v>
      </c>
      <c r="I138" s="1" t="s">
        <v>429</v>
      </c>
      <c r="J138" s="1" t="s">
        <v>483</v>
      </c>
      <c r="K138" s="1" t="s">
        <v>140</v>
      </c>
      <c r="L138" s="11" t="s">
        <v>57</v>
      </c>
      <c r="M138" s="1" t="s">
        <v>58</v>
      </c>
      <c r="N138" s="1" t="s">
        <v>59</v>
      </c>
      <c r="O138" s="1" t="s">
        <v>60</v>
      </c>
      <c r="P138" s="1">
        <v>0</v>
      </c>
      <c r="Q138" s="12">
        <v>-5.8</v>
      </c>
      <c r="R138" s="1" t="s">
        <v>61</v>
      </c>
      <c r="S138" s="1" t="s">
        <v>484</v>
      </c>
      <c r="T138" s="6" t="s">
        <v>63</v>
      </c>
      <c r="U138" s="13">
        <v>0.52</v>
      </c>
      <c r="V138" s="12">
        <v>-3.02</v>
      </c>
      <c r="W138" s="12">
        <v>0</v>
      </c>
      <c r="X138" s="1" t="s">
        <v>57</v>
      </c>
    </row>
    <row r="139" spans="1:24" x14ac:dyDescent="0.2">
      <c r="A139" s="1" t="s">
        <v>408</v>
      </c>
      <c r="B139" s="1" t="s">
        <v>47</v>
      </c>
      <c r="C139" s="1" t="s">
        <v>48</v>
      </c>
      <c r="D139" s="1" t="s">
        <v>460</v>
      </c>
      <c r="E139" s="1" t="s">
        <v>487</v>
      </c>
      <c r="F139" s="1" t="s">
        <v>488</v>
      </c>
      <c r="G139" s="1" t="s">
        <v>52</v>
      </c>
      <c r="H139" s="1" t="s">
        <v>89</v>
      </c>
      <c r="I139" s="1" t="s">
        <v>412</v>
      </c>
      <c r="J139" s="1" t="s">
        <v>299</v>
      </c>
      <c r="K139" s="1" t="s">
        <v>157</v>
      </c>
      <c r="L139" s="11" t="s">
        <v>57</v>
      </c>
      <c r="M139" s="1" t="s">
        <v>58</v>
      </c>
      <c r="N139" s="1" t="s">
        <v>59</v>
      </c>
      <c r="O139" s="1" t="s">
        <v>60</v>
      </c>
      <c r="P139" s="1">
        <v>0</v>
      </c>
      <c r="Q139" s="12">
        <v>71.55</v>
      </c>
      <c r="R139" s="1" t="s">
        <v>61</v>
      </c>
      <c r="S139" s="1" t="s">
        <v>62</v>
      </c>
      <c r="T139" s="6" t="s">
        <v>63</v>
      </c>
      <c r="U139" s="13">
        <v>0.52</v>
      </c>
      <c r="V139" s="12">
        <v>37.21</v>
      </c>
      <c r="W139" s="12">
        <v>0</v>
      </c>
      <c r="X139" s="1" t="s">
        <v>57</v>
      </c>
    </row>
    <row r="140" spans="1:24" x14ac:dyDescent="0.2">
      <c r="A140" s="1" t="s">
        <v>408</v>
      </c>
      <c r="B140" s="1" t="s">
        <v>47</v>
      </c>
      <c r="C140" s="1" t="s">
        <v>48</v>
      </c>
      <c r="D140" s="1" t="s">
        <v>101</v>
      </c>
      <c r="E140" s="1" t="s">
        <v>489</v>
      </c>
      <c r="F140" s="1" t="s">
        <v>103</v>
      </c>
      <c r="G140" s="1" t="s">
        <v>52</v>
      </c>
      <c r="H140" s="1" t="s">
        <v>89</v>
      </c>
      <c r="I140" s="1" t="s">
        <v>429</v>
      </c>
      <c r="J140" s="1" t="s">
        <v>66</v>
      </c>
      <c r="K140" s="1" t="s">
        <v>91</v>
      </c>
      <c r="L140" s="11" t="s">
        <v>57</v>
      </c>
      <c r="M140" s="1" t="s">
        <v>58</v>
      </c>
      <c r="N140" s="1" t="s">
        <v>59</v>
      </c>
      <c r="O140" s="1" t="s">
        <v>60</v>
      </c>
      <c r="P140" s="1">
        <v>0</v>
      </c>
      <c r="Q140" s="12">
        <v>37.49</v>
      </c>
      <c r="R140" s="1" t="s">
        <v>61</v>
      </c>
      <c r="S140" s="1" t="s">
        <v>62</v>
      </c>
      <c r="T140" s="6" t="s">
        <v>63</v>
      </c>
      <c r="U140" s="13">
        <v>0.52</v>
      </c>
      <c r="V140" s="12">
        <v>0</v>
      </c>
      <c r="W140" s="12">
        <v>-19.489999999999998</v>
      </c>
      <c r="X140" s="1" t="s">
        <v>57</v>
      </c>
    </row>
    <row r="141" spans="1:24" x14ac:dyDescent="0.2">
      <c r="A141" s="1" t="s">
        <v>408</v>
      </c>
      <c r="B141" s="1" t="s">
        <v>47</v>
      </c>
      <c r="C141" s="1" t="s">
        <v>48</v>
      </c>
      <c r="D141" s="1" t="s">
        <v>101</v>
      </c>
      <c r="E141" s="1" t="s">
        <v>490</v>
      </c>
      <c r="F141" s="1" t="s">
        <v>491</v>
      </c>
      <c r="G141" s="1" t="s">
        <v>52</v>
      </c>
      <c r="H141" s="1" t="s">
        <v>89</v>
      </c>
      <c r="I141" s="1" t="s">
        <v>429</v>
      </c>
      <c r="J141" s="1" t="s">
        <v>66</v>
      </c>
      <c r="K141" s="1" t="s">
        <v>91</v>
      </c>
      <c r="L141" s="11" t="s">
        <v>57</v>
      </c>
      <c r="M141" s="1" t="s">
        <v>58</v>
      </c>
      <c r="N141" s="1" t="s">
        <v>59</v>
      </c>
      <c r="O141" s="1" t="s">
        <v>60</v>
      </c>
      <c r="P141" s="1">
        <v>0</v>
      </c>
      <c r="Q141" s="12">
        <v>34.36</v>
      </c>
      <c r="R141" s="1" t="s">
        <v>61</v>
      </c>
      <c r="S141" s="1" t="s">
        <v>62</v>
      </c>
      <c r="T141" s="6" t="s">
        <v>63</v>
      </c>
      <c r="U141" s="13">
        <v>0.52</v>
      </c>
      <c r="V141" s="12">
        <v>0</v>
      </c>
      <c r="W141" s="12">
        <v>-17.87</v>
      </c>
      <c r="X141" s="1" t="s">
        <v>57</v>
      </c>
    </row>
    <row r="142" spans="1:24" x14ac:dyDescent="0.2">
      <c r="A142" s="1" t="s">
        <v>408</v>
      </c>
      <c r="B142" s="1" t="s">
        <v>47</v>
      </c>
      <c r="C142" s="1" t="s">
        <v>48</v>
      </c>
      <c r="D142" s="1" t="s">
        <v>101</v>
      </c>
      <c r="E142" s="1" t="s">
        <v>492</v>
      </c>
      <c r="F142" s="1" t="s">
        <v>493</v>
      </c>
      <c r="G142" s="1" t="s">
        <v>52</v>
      </c>
      <c r="H142" s="1" t="s">
        <v>89</v>
      </c>
      <c r="I142" s="1" t="s">
        <v>429</v>
      </c>
      <c r="J142" s="1" t="s">
        <v>66</v>
      </c>
      <c r="K142" s="1" t="s">
        <v>91</v>
      </c>
      <c r="L142" s="11" t="s">
        <v>57</v>
      </c>
      <c r="M142" s="1" t="s">
        <v>58</v>
      </c>
      <c r="N142" s="1" t="s">
        <v>59</v>
      </c>
      <c r="O142" s="1" t="s">
        <v>60</v>
      </c>
      <c r="P142" s="1">
        <v>0</v>
      </c>
      <c r="Q142" s="12">
        <v>34.36</v>
      </c>
      <c r="R142" s="1" t="s">
        <v>61</v>
      </c>
      <c r="S142" s="1" t="s">
        <v>62</v>
      </c>
      <c r="T142" s="6" t="s">
        <v>63</v>
      </c>
      <c r="U142" s="13">
        <v>0.52</v>
      </c>
      <c r="V142" s="12">
        <v>0</v>
      </c>
      <c r="W142" s="12">
        <v>-17.87</v>
      </c>
      <c r="X142" s="1" t="s">
        <v>57</v>
      </c>
    </row>
    <row r="143" spans="1:24" x14ac:dyDescent="0.2">
      <c r="A143" s="1" t="s">
        <v>408</v>
      </c>
      <c r="B143" s="1" t="s">
        <v>47</v>
      </c>
      <c r="C143" s="1" t="s">
        <v>104</v>
      </c>
      <c r="D143" s="1" t="s">
        <v>494</v>
      </c>
      <c r="E143" s="1" t="s">
        <v>495</v>
      </c>
      <c r="F143" s="1" t="s">
        <v>496</v>
      </c>
      <c r="G143" s="1" t="s">
        <v>497</v>
      </c>
      <c r="H143" s="1" t="s">
        <v>53</v>
      </c>
      <c r="I143" s="1" t="s">
        <v>412</v>
      </c>
      <c r="J143" s="1" t="s">
        <v>498</v>
      </c>
      <c r="K143" s="1" t="s">
        <v>499</v>
      </c>
      <c r="L143" s="11" t="s">
        <v>57</v>
      </c>
      <c r="M143" s="1" t="s">
        <v>500</v>
      </c>
      <c r="N143" s="1" t="s">
        <v>244</v>
      </c>
      <c r="O143" s="1" t="s">
        <v>501</v>
      </c>
      <c r="P143" s="1">
        <v>0</v>
      </c>
      <c r="Q143" s="12">
        <v>528.6</v>
      </c>
      <c r="R143" s="1" t="s">
        <v>61</v>
      </c>
      <c r="S143" s="1" t="s">
        <v>62</v>
      </c>
      <c r="T143" s="6" t="s">
        <v>63</v>
      </c>
      <c r="U143" s="13">
        <v>0.52</v>
      </c>
      <c r="V143" s="12">
        <v>274.86</v>
      </c>
      <c r="W143" s="12">
        <v>0</v>
      </c>
      <c r="X143" s="1" t="s">
        <v>57</v>
      </c>
    </row>
    <row r="144" spans="1:24" x14ac:dyDescent="0.2">
      <c r="A144" s="1" t="s">
        <v>408</v>
      </c>
      <c r="B144" s="1" t="s">
        <v>47</v>
      </c>
      <c r="C144" s="1" t="s">
        <v>104</v>
      </c>
      <c r="D144" s="1" t="s">
        <v>372</v>
      </c>
      <c r="E144" s="1" t="s">
        <v>502</v>
      </c>
      <c r="F144" s="1" t="s">
        <v>503</v>
      </c>
      <c r="G144" s="1" t="s">
        <v>504</v>
      </c>
      <c r="H144" s="1" t="s">
        <v>89</v>
      </c>
      <c r="I144" s="1" t="s">
        <v>505</v>
      </c>
      <c r="J144" s="1" t="s">
        <v>506</v>
      </c>
      <c r="K144" s="1" t="s">
        <v>506</v>
      </c>
      <c r="L144" s="11" t="s">
        <v>57</v>
      </c>
      <c r="M144" s="1" t="s">
        <v>58</v>
      </c>
      <c r="N144" s="1" t="s">
        <v>59</v>
      </c>
      <c r="O144" s="1" t="s">
        <v>60</v>
      </c>
      <c r="P144" s="1">
        <v>0</v>
      </c>
      <c r="Q144" s="12">
        <v>-66.25</v>
      </c>
      <c r="R144" s="1" t="s">
        <v>61</v>
      </c>
      <c r="S144" s="1" t="s">
        <v>507</v>
      </c>
      <c r="T144" s="6" t="s">
        <v>63</v>
      </c>
      <c r="U144" s="13">
        <v>0.52</v>
      </c>
      <c r="V144" s="12">
        <v>-34.450000000000003</v>
      </c>
      <c r="W144" s="12">
        <v>0</v>
      </c>
      <c r="X144" s="1" t="s">
        <v>57</v>
      </c>
    </row>
    <row r="145" spans="1:24" x14ac:dyDescent="0.2">
      <c r="A145" s="1" t="s">
        <v>408</v>
      </c>
      <c r="B145" s="1" t="s">
        <v>47</v>
      </c>
      <c r="C145" s="1" t="s">
        <v>104</v>
      </c>
      <c r="D145" s="1" t="s">
        <v>81</v>
      </c>
      <c r="E145" s="1" t="s">
        <v>508</v>
      </c>
      <c r="F145" s="1" t="s">
        <v>509</v>
      </c>
      <c r="G145" s="1" t="s">
        <v>114</v>
      </c>
      <c r="H145" s="1" t="s">
        <v>53</v>
      </c>
      <c r="I145" s="1" t="s">
        <v>510</v>
      </c>
      <c r="J145" s="1" t="s">
        <v>511</v>
      </c>
      <c r="K145" s="1" t="s">
        <v>67</v>
      </c>
      <c r="L145" s="11" t="s">
        <v>57</v>
      </c>
      <c r="M145" s="1" t="s">
        <v>58</v>
      </c>
      <c r="N145" s="1" t="s">
        <v>59</v>
      </c>
      <c r="O145" s="1" t="s">
        <v>60</v>
      </c>
      <c r="P145" s="1">
        <v>0</v>
      </c>
      <c r="Q145" s="12">
        <v>44.91</v>
      </c>
      <c r="R145" s="1" t="s">
        <v>79</v>
      </c>
      <c r="S145" s="1" t="s">
        <v>80</v>
      </c>
      <c r="T145" s="6" t="s">
        <v>63</v>
      </c>
      <c r="U145" s="13">
        <v>0.26750000000000002</v>
      </c>
      <c r="V145" s="12">
        <v>12.01</v>
      </c>
      <c r="W145" s="12">
        <v>0</v>
      </c>
      <c r="X145" s="1" t="s">
        <v>57</v>
      </c>
    </row>
    <row r="146" spans="1:24" x14ac:dyDescent="0.2">
      <c r="A146" s="1" t="s">
        <v>408</v>
      </c>
      <c r="B146" s="1" t="s">
        <v>47</v>
      </c>
      <c r="C146" s="1" t="s">
        <v>104</v>
      </c>
      <c r="D146" s="1" t="s">
        <v>512</v>
      </c>
      <c r="E146" s="1" t="s">
        <v>513</v>
      </c>
      <c r="F146" s="1" t="s">
        <v>514</v>
      </c>
      <c r="G146" s="1" t="s">
        <v>152</v>
      </c>
      <c r="H146" s="1" t="s">
        <v>53</v>
      </c>
      <c r="I146" s="1" t="s">
        <v>412</v>
      </c>
      <c r="J146" s="1" t="s">
        <v>248</v>
      </c>
      <c r="K146" s="1" t="s">
        <v>67</v>
      </c>
      <c r="L146" s="11" t="s">
        <v>57</v>
      </c>
      <c r="M146" s="1" t="s">
        <v>58</v>
      </c>
      <c r="N146" s="1" t="s">
        <v>59</v>
      </c>
      <c r="O146" s="1" t="s">
        <v>60</v>
      </c>
      <c r="P146" s="1">
        <v>0</v>
      </c>
      <c r="Q146" s="12">
        <v>64.959999999999994</v>
      </c>
      <c r="R146" s="1" t="s">
        <v>61</v>
      </c>
      <c r="S146" s="1" t="s">
        <v>62</v>
      </c>
      <c r="T146" s="6" t="s">
        <v>63</v>
      </c>
      <c r="U146" s="13">
        <v>0.52</v>
      </c>
      <c r="V146" s="12">
        <v>33.78</v>
      </c>
      <c r="W146" s="12">
        <v>0</v>
      </c>
      <c r="X146" s="1" t="s">
        <v>57</v>
      </c>
    </row>
    <row r="147" spans="1:24" x14ac:dyDescent="0.2">
      <c r="A147" s="1" t="s">
        <v>408</v>
      </c>
      <c r="B147" s="1" t="s">
        <v>47</v>
      </c>
      <c r="C147" s="1" t="s">
        <v>104</v>
      </c>
      <c r="D147" s="1" t="s">
        <v>512</v>
      </c>
      <c r="E147" s="1" t="s">
        <v>515</v>
      </c>
      <c r="F147" s="1" t="s">
        <v>516</v>
      </c>
      <c r="G147" s="1" t="s">
        <v>152</v>
      </c>
      <c r="H147" s="1" t="s">
        <v>53</v>
      </c>
      <c r="I147" s="1" t="s">
        <v>412</v>
      </c>
      <c r="J147" s="1" t="s">
        <v>248</v>
      </c>
      <c r="K147" s="1" t="s">
        <v>67</v>
      </c>
      <c r="L147" s="11" t="s">
        <v>57</v>
      </c>
      <c r="M147" s="1" t="s">
        <v>58</v>
      </c>
      <c r="N147" s="1" t="s">
        <v>59</v>
      </c>
      <c r="O147" s="1" t="s">
        <v>60</v>
      </c>
      <c r="P147" s="1">
        <v>0</v>
      </c>
      <c r="Q147" s="12">
        <v>64.959999999999994</v>
      </c>
      <c r="R147" s="1" t="s">
        <v>61</v>
      </c>
      <c r="S147" s="1" t="s">
        <v>62</v>
      </c>
      <c r="T147" s="6" t="s">
        <v>63</v>
      </c>
      <c r="U147" s="13">
        <v>0.52</v>
      </c>
      <c r="V147" s="12">
        <v>33.78</v>
      </c>
      <c r="W147" s="12">
        <v>0</v>
      </c>
      <c r="X147" s="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8CE1-35F3-4C43-AA25-4CD381500570}">
  <dimension ref="A1:W143"/>
  <sheetViews>
    <sheetView tabSelected="1" topLeftCell="C101" workbookViewId="0">
      <selection activeCell="C115" sqref="C115"/>
    </sheetView>
  </sheetViews>
  <sheetFormatPr defaultRowHeight="14.25" x14ac:dyDescent="0.2"/>
  <cols>
    <col min="1" max="1" width="68.85546875" style="11" customWidth="1"/>
    <col min="2" max="2" width="12" style="11" customWidth="1"/>
    <col min="3" max="3" width="14" style="11" customWidth="1"/>
    <col min="4" max="4" width="22.7109375" style="11" bestFit="1" customWidth="1"/>
    <col min="5" max="5" width="22.7109375" style="11" customWidth="1"/>
    <col min="6" max="6" width="30" style="11" customWidth="1"/>
    <col min="7" max="9" width="15" style="11" customWidth="1"/>
    <col min="10" max="11" width="18" style="11" customWidth="1"/>
    <col min="12" max="12" width="20.42578125" style="11" customWidth="1"/>
    <col min="13" max="13" width="13" style="11" customWidth="1"/>
    <col min="14" max="17" width="15" style="11" customWidth="1"/>
    <col min="18" max="18" width="8" style="11" customWidth="1"/>
    <col min="19" max="19" width="10" style="11" customWidth="1"/>
    <col min="20" max="20" width="9" style="11" customWidth="1"/>
    <col min="21" max="21" width="20" style="11" customWidth="1"/>
    <col min="22" max="22" width="12" style="11" customWidth="1"/>
    <col min="23" max="23" width="20" style="11" customWidth="1"/>
    <col min="24" max="16384" width="9.140625" style="11"/>
  </cols>
  <sheetData>
    <row r="1" spans="1:23" ht="30" customHeight="1" x14ac:dyDescent="0.25">
      <c r="A1" s="15" t="s">
        <v>547</v>
      </c>
      <c r="B1" s="15" t="s">
        <v>25</v>
      </c>
      <c r="C1" s="15" t="s">
        <v>26</v>
      </c>
      <c r="D1" s="16" t="s">
        <v>544</v>
      </c>
      <c r="E1" s="16" t="s">
        <v>545</v>
      </c>
      <c r="F1" s="15" t="s">
        <v>27</v>
      </c>
      <c r="G1" s="15" t="s">
        <v>517</v>
      </c>
      <c r="H1" s="15" t="s">
        <v>43</v>
      </c>
      <c r="I1" s="15" t="s">
        <v>44</v>
      </c>
      <c r="J1" s="15" t="s">
        <v>38</v>
      </c>
      <c r="K1" s="15" t="s">
        <v>571</v>
      </c>
      <c r="L1" s="15" t="s">
        <v>572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  <c r="S1" s="15" t="s">
        <v>567</v>
      </c>
      <c r="T1" s="15" t="s">
        <v>36</v>
      </c>
      <c r="U1" s="15" t="s">
        <v>37</v>
      </c>
      <c r="V1" s="15" t="s">
        <v>39</v>
      </c>
      <c r="W1" s="15" t="s">
        <v>40</v>
      </c>
    </row>
    <row r="2" spans="1:23" x14ac:dyDescent="0.2">
      <c r="A2" s="11" t="s">
        <v>553</v>
      </c>
      <c r="B2" s="11">
        <v>893387</v>
      </c>
      <c r="C2" s="11" t="s">
        <v>161</v>
      </c>
      <c r="D2" s="11" t="s">
        <v>519</v>
      </c>
      <c r="E2" s="11">
        <v>8307933</v>
      </c>
      <c r="F2" s="11" t="s">
        <v>162</v>
      </c>
      <c r="G2" s="17">
        <v>135</v>
      </c>
      <c r="H2" s="17">
        <v>1021.57</v>
      </c>
      <c r="I2" s="17">
        <v>1021.57</v>
      </c>
      <c r="J2" s="17">
        <v>756.72</v>
      </c>
      <c r="K2" s="17">
        <f>SUM(J2/12)</f>
        <v>63.06</v>
      </c>
      <c r="L2" s="17">
        <f>SUM(H2/12)</f>
        <v>85.130833333333342</v>
      </c>
      <c r="M2" s="11" t="s">
        <v>114</v>
      </c>
      <c r="N2" s="11" t="s">
        <v>53</v>
      </c>
      <c r="O2" s="11" t="s">
        <v>119</v>
      </c>
      <c r="P2" s="11" t="s">
        <v>163</v>
      </c>
      <c r="Q2" s="11" t="s">
        <v>163</v>
      </c>
      <c r="R2" s="11" t="s">
        <v>565</v>
      </c>
      <c r="S2" s="11" t="s">
        <v>568</v>
      </c>
      <c r="T2" s="11">
        <f t="shared" ref="T2:T33" si="0">DATEDIF(P2,Q2,"M")</f>
        <v>0</v>
      </c>
      <c r="U2" s="11">
        <v>25</v>
      </c>
      <c r="V2" s="11" t="s">
        <v>61</v>
      </c>
      <c r="W2" s="11" t="s">
        <v>109</v>
      </c>
    </row>
    <row r="3" spans="1:23" s="19" customFormat="1" x14ac:dyDescent="0.2">
      <c r="A3" s="11" t="s">
        <v>552</v>
      </c>
      <c r="B3" s="11">
        <v>893387</v>
      </c>
      <c r="C3" s="11" t="s">
        <v>124</v>
      </c>
      <c r="D3" s="11" t="s">
        <v>519</v>
      </c>
      <c r="E3" s="11">
        <v>8307933</v>
      </c>
      <c r="F3" s="11" t="s">
        <v>125</v>
      </c>
      <c r="G3" s="17">
        <v>150</v>
      </c>
      <c r="H3" s="17">
        <v>2000</v>
      </c>
      <c r="I3" s="17">
        <v>2000</v>
      </c>
      <c r="J3" s="17">
        <v>2209.59</v>
      </c>
      <c r="K3" s="17">
        <f t="shared" ref="K3:K10" si="1">SUM(J3/12)</f>
        <v>184.13250000000002</v>
      </c>
      <c r="L3" s="17">
        <f t="shared" ref="L3:L6" si="2">SUM(H3/12)</f>
        <v>166.66666666666666</v>
      </c>
      <c r="M3" s="11" t="s">
        <v>126</v>
      </c>
      <c r="N3" s="11" t="s">
        <v>53</v>
      </c>
      <c r="O3" s="11" t="s">
        <v>123</v>
      </c>
      <c r="P3" s="11" t="s">
        <v>67</v>
      </c>
      <c r="Q3" s="11" t="s">
        <v>67</v>
      </c>
      <c r="R3" s="11" t="s">
        <v>565</v>
      </c>
      <c r="S3" s="11" t="s">
        <v>568</v>
      </c>
      <c r="T3" s="11">
        <f t="shared" si="0"/>
        <v>0</v>
      </c>
      <c r="U3" s="11">
        <v>150</v>
      </c>
      <c r="V3" s="11" t="s">
        <v>61</v>
      </c>
      <c r="W3" s="11" t="s">
        <v>109</v>
      </c>
    </row>
    <row r="4" spans="1:23" s="19" customFormat="1" x14ac:dyDescent="0.2">
      <c r="A4" s="11" t="s">
        <v>552</v>
      </c>
      <c r="B4" s="11">
        <v>893387</v>
      </c>
      <c r="C4" s="11" t="s">
        <v>158</v>
      </c>
      <c r="D4" s="11" t="s">
        <v>519</v>
      </c>
      <c r="E4" s="11">
        <v>8307933</v>
      </c>
      <c r="F4" s="11" t="s">
        <v>159</v>
      </c>
      <c r="G4" s="17">
        <v>150</v>
      </c>
      <c r="H4" s="17">
        <v>2000</v>
      </c>
      <c r="I4" s="17">
        <v>2000</v>
      </c>
      <c r="J4" s="17">
        <v>2261.79</v>
      </c>
      <c r="K4" s="17">
        <f t="shared" si="1"/>
        <v>188.48249999999999</v>
      </c>
      <c r="L4" s="17">
        <f t="shared" si="2"/>
        <v>166.66666666666666</v>
      </c>
      <c r="M4" s="11" t="s">
        <v>114</v>
      </c>
      <c r="N4" s="11" t="s">
        <v>53</v>
      </c>
      <c r="O4" s="11" t="s">
        <v>123</v>
      </c>
      <c r="P4" s="11" t="s">
        <v>160</v>
      </c>
      <c r="Q4" s="11" t="s">
        <v>160</v>
      </c>
      <c r="R4" s="11" t="s">
        <v>565</v>
      </c>
      <c r="S4" s="11" t="s">
        <v>568</v>
      </c>
      <c r="T4" s="11">
        <f t="shared" si="0"/>
        <v>0</v>
      </c>
      <c r="U4" s="11">
        <v>125</v>
      </c>
      <c r="V4" s="11" t="s">
        <v>61</v>
      </c>
      <c r="W4" s="11" t="s">
        <v>109</v>
      </c>
    </row>
    <row r="5" spans="1:23" x14ac:dyDescent="0.2">
      <c r="A5" s="11" t="s">
        <v>553</v>
      </c>
      <c r="B5" s="11">
        <v>893214</v>
      </c>
      <c r="C5" s="11" t="s">
        <v>169</v>
      </c>
      <c r="D5" s="11" t="s">
        <v>541</v>
      </c>
      <c r="E5" s="11">
        <v>16228684</v>
      </c>
      <c r="F5" s="11" t="s">
        <v>170</v>
      </c>
      <c r="G5" s="17">
        <v>135</v>
      </c>
      <c r="H5" s="17">
        <v>1564.31</v>
      </c>
      <c r="I5" s="17">
        <v>1564.31</v>
      </c>
      <c r="J5" s="17">
        <v>1158.75</v>
      </c>
      <c r="K5" s="17">
        <f t="shared" si="1"/>
        <v>96.5625</v>
      </c>
      <c r="L5" s="17">
        <f t="shared" si="2"/>
        <v>130.35916666666665</v>
      </c>
      <c r="M5" s="11" t="s">
        <v>52</v>
      </c>
      <c r="N5" s="11" t="s">
        <v>53</v>
      </c>
      <c r="O5" s="11" t="s">
        <v>119</v>
      </c>
      <c r="P5" s="11" t="s">
        <v>171</v>
      </c>
      <c r="Q5" s="11" t="s">
        <v>171</v>
      </c>
      <c r="R5" s="11" t="s">
        <v>565</v>
      </c>
      <c r="S5" s="11" t="s">
        <v>568</v>
      </c>
      <c r="T5" s="11">
        <f t="shared" si="0"/>
        <v>0</v>
      </c>
      <c r="U5" s="11">
        <v>50</v>
      </c>
      <c r="V5" s="11" t="s">
        <v>61</v>
      </c>
      <c r="W5" s="11" t="s">
        <v>109</v>
      </c>
    </row>
    <row r="6" spans="1:23" x14ac:dyDescent="0.2">
      <c r="A6" s="11" t="s">
        <v>553</v>
      </c>
      <c r="B6" s="11">
        <v>606680</v>
      </c>
      <c r="C6" s="11" t="s">
        <v>148</v>
      </c>
      <c r="D6" s="11" t="s">
        <v>521</v>
      </c>
      <c r="E6" s="11">
        <v>8977234</v>
      </c>
      <c r="F6" s="11" t="s">
        <v>149</v>
      </c>
      <c r="G6" s="17">
        <v>135</v>
      </c>
      <c r="H6" s="17">
        <v>1662.36</v>
      </c>
      <c r="I6" s="17">
        <v>1662.36</v>
      </c>
      <c r="J6" s="17">
        <v>1231.3800000000001</v>
      </c>
      <c r="K6" s="17">
        <f t="shared" si="1"/>
        <v>102.61500000000001</v>
      </c>
      <c r="L6" s="17">
        <f t="shared" si="2"/>
        <v>138.53</v>
      </c>
      <c r="M6" s="11" t="s">
        <v>76</v>
      </c>
      <c r="N6" s="11" t="s">
        <v>140</v>
      </c>
      <c r="O6" s="11" t="s">
        <v>119</v>
      </c>
      <c r="P6" s="11" t="s">
        <v>147</v>
      </c>
      <c r="Q6" s="11" t="s">
        <v>147</v>
      </c>
      <c r="R6" s="11" t="s">
        <v>565</v>
      </c>
      <c r="S6" s="11" t="s">
        <v>568</v>
      </c>
      <c r="T6" s="11">
        <f t="shared" si="0"/>
        <v>0</v>
      </c>
      <c r="U6" s="11">
        <v>81</v>
      </c>
      <c r="V6" s="11" t="s">
        <v>61</v>
      </c>
      <c r="W6" s="11" t="s">
        <v>109</v>
      </c>
    </row>
    <row r="7" spans="1:23" x14ac:dyDescent="0.2">
      <c r="A7" s="11" t="s">
        <v>552</v>
      </c>
      <c r="B7" s="11">
        <v>606680</v>
      </c>
      <c r="C7" s="11" t="s">
        <v>150</v>
      </c>
      <c r="D7" s="11" t="s">
        <v>521</v>
      </c>
      <c r="E7" s="11">
        <v>8977234</v>
      </c>
      <c r="F7" s="11" t="s">
        <v>151</v>
      </c>
      <c r="G7" s="17">
        <v>150</v>
      </c>
      <c r="H7" s="17">
        <v>1321.38</v>
      </c>
      <c r="I7" s="17">
        <v>1321.38</v>
      </c>
      <c r="J7" s="17">
        <v>880.92</v>
      </c>
      <c r="K7" s="17">
        <f t="shared" si="1"/>
        <v>73.41</v>
      </c>
      <c r="L7" s="17">
        <f>SUM(H7/12)</f>
        <v>110.11500000000001</v>
      </c>
      <c r="M7" s="11" t="s">
        <v>152</v>
      </c>
      <c r="N7" s="11" t="s">
        <v>99</v>
      </c>
      <c r="O7" s="11" t="s">
        <v>123</v>
      </c>
      <c r="P7" s="11" t="s">
        <v>147</v>
      </c>
      <c r="Q7" s="11" t="s">
        <v>147</v>
      </c>
      <c r="R7" s="11" t="s">
        <v>565</v>
      </c>
      <c r="S7" s="11" t="s">
        <v>568</v>
      </c>
      <c r="T7" s="11">
        <f t="shared" si="0"/>
        <v>0</v>
      </c>
      <c r="U7" s="11">
        <v>43</v>
      </c>
      <c r="V7" s="11" t="s">
        <v>61</v>
      </c>
      <c r="W7" s="11" t="s">
        <v>109</v>
      </c>
    </row>
    <row r="8" spans="1:23" x14ac:dyDescent="0.2">
      <c r="A8" s="11" t="s">
        <v>564</v>
      </c>
      <c r="B8" s="11">
        <v>892719</v>
      </c>
      <c r="C8" s="11" t="s">
        <v>154</v>
      </c>
      <c r="D8" s="11" t="s">
        <v>531</v>
      </c>
      <c r="E8" s="11">
        <v>17437820</v>
      </c>
      <c r="F8" s="11" t="s">
        <v>155</v>
      </c>
      <c r="G8" s="17">
        <v>67.5</v>
      </c>
      <c r="H8" s="17">
        <v>0</v>
      </c>
      <c r="I8" s="17">
        <v>-118.13</v>
      </c>
      <c r="J8" s="17">
        <v>175</v>
      </c>
      <c r="K8" s="17">
        <v>175</v>
      </c>
      <c r="L8" s="17">
        <v>118.13</v>
      </c>
      <c r="M8" s="11" t="s">
        <v>156</v>
      </c>
      <c r="N8" s="11" t="s">
        <v>140</v>
      </c>
      <c r="O8" s="11" t="s">
        <v>119</v>
      </c>
      <c r="P8" s="11" t="s">
        <v>89</v>
      </c>
      <c r="Q8" s="11" t="s">
        <v>157</v>
      </c>
      <c r="R8" s="11" t="s">
        <v>565</v>
      </c>
      <c r="S8" s="11" t="s">
        <v>568</v>
      </c>
      <c r="T8" s="11">
        <f t="shared" si="0"/>
        <v>1</v>
      </c>
      <c r="U8" s="11">
        <v>91</v>
      </c>
      <c r="V8" s="11" t="s">
        <v>61</v>
      </c>
      <c r="W8" s="11" t="s">
        <v>136</v>
      </c>
    </row>
    <row r="9" spans="1:23" x14ac:dyDescent="0.2">
      <c r="A9" s="11" t="s">
        <v>552</v>
      </c>
      <c r="B9" s="11">
        <v>893387</v>
      </c>
      <c r="C9" s="11" t="s">
        <v>120</v>
      </c>
      <c r="D9" s="11" t="s">
        <v>519</v>
      </c>
      <c r="E9" s="11">
        <v>8307933</v>
      </c>
      <c r="F9" s="11" t="s">
        <v>121</v>
      </c>
      <c r="G9" s="17">
        <v>150</v>
      </c>
      <c r="H9" s="17">
        <v>2000</v>
      </c>
      <c r="I9" s="17">
        <v>2000</v>
      </c>
      <c r="J9" s="17">
        <v>1522.26</v>
      </c>
      <c r="K9" s="17">
        <f t="shared" si="1"/>
        <v>126.855</v>
      </c>
      <c r="L9" s="17">
        <f>SUM(H9/12)</f>
        <v>166.66666666666666</v>
      </c>
      <c r="M9" s="11" t="s">
        <v>122</v>
      </c>
      <c r="N9" s="11" t="s">
        <v>99</v>
      </c>
      <c r="O9" s="11" t="s">
        <v>123</v>
      </c>
      <c r="P9" s="11" t="s">
        <v>91</v>
      </c>
      <c r="Q9" s="11" t="s">
        <v>67</v>
      </c>
      <c r="R9" s="11" t="s">
        <v>565</v>
      </c>
      <c r="S9" s="11" t="s">
        <v>568</v>
      </c>
      <c r="T9" s="11">
        <f t="shared" si="0"/>
        <v>1</v>
      </c>
      <c r="U9" s="11">
        <v>150</v>
      </c>
      <c r="V9" s="11" t="s">
        <v>61</v>
      </c>
      <c r="W9" s="11" t="s">
        <v>109</v>
      </c>
    </row>
    <row r="10" spans="1:23" x14ac:dyDescent="0.2">
      <c r="A10" s="11" t="s">
        <v>552</v>
      </c>
      <c r="B10" s="11">
        <v>1099222</v>
      </c>
      <c r="C10" s="11" t="s">
        <v>112</v>
      </c>
      <c r="D10" s="11" t="s">
        <v>528</v>
      </c>
      <c r="E10" s="11">
        <v>1706194</v>
      </c>
      <c r="F10" s="11" t="s">
        <v>113</v>
      </c>
      <c r="G10" s="17">
        <v>150</v>
      </c>
      <c r="H10" s="17">
        <v>1066.95</v>
      </c>
      <c r="I10" s="17">
        <v>1066.95</v>
      </c>
      <c r="J10" s="17">
        <v>711.27</v>
      </c>
      <c r="K10" s="17">
        <f t="shared" si="1"/>
        <v>59.272500000000001</v>
      </c>
      <c r="L10" s="17">
        <f>SUM(H10/12)</f>
        <v>88.912500000000009</v>
      </c>
      <c r="M10" s="11" t="s">
        <v>114</v>
      </c>
      <c r="N10" s="11" t="s">
        <v>89</v>
      </c>
      <c r="O10" s="11" t="s">
        <v>115</v>
      </c>
      <c r="P10" s="11" t="s">
        <v>91</v>
      </c>
      <c r="Q10" s="11" t="s">
        <v>67</v>
      </c>
      <c r="R10" s="11" t="s">
        <v>565</v>
      </c>
      <c r="S10" s="11" t="s">
        <v>568</v>
      </c>
      <c r="T10" s="11">
        <f t="shared" si="0"/>
        <v>1</v>
      </c>
      <c r="U10" s="11">
        <v>300</v>
      </c>
      <c r="V10" s="11" t="s">
        <v>61</v>
      </c>
      <c r="W10" s="11" t="s">
        <v>109</v>
      </c>
    </row>
    <row r="11" spans="1:23" x14ac:dyDescent="0.2">
      <c r="A11" s="14" t="s">
        <v>563</v>
      </c>
      <c r="B11" s="14">
        <v>1174646</v>
      </c>
      <c r="C11" s="14" t="s">
        <v>105</v>
      </c>
      <c r="D11" s="14" t="s">
        <v>518</v>
      </c>
      <c r="E11" s="14">
        <v>18828278</v>
      </c>
      <c r="F11" s="14" t="s">
        <v>106</v>
      </c>
      <c r="G11" s="18">
        <v>27</v>
      </c>
      <c r="H11" s="18">
        <v>29.54</v>
      </c>
      <c r="I11" s="18">
        <v>0</v>
      </c>
      <c r="J11" s="18">
        <v>109.4</v>
      </c>
      <c r="K11" s="18">
        <v>109.4</v>
      </c>
      <c r="L11" s="18">
        <v>29.54</v>
      </c>
      <c r="M11" s="14" t="s">
        <v>52</v>
      </c>
      <c r="N11" s="14" t="s">
        <v>53</v>
      </c>
      <c r="O11" s="14" t="s">
        <v>107</v>
      </c>
      <c r="P11" s="14" t="s">
        <v>67</v>
      </c>
      <c r="Q11" s="14" t="s">
        <v>108</v>
      </c>
      <c r="R11" s="14" t="s">
        <v>566</v>
      </c>
      <c r="S11" s="14" t="s">
        <v>568</v>
      </c>
      <c r="T11" s="14">
        <f t="shared" si="0"/>
        <v>1</v>
      </c>
      <c r="U11" s="14">
        <v>0</v>
      </c>
      <c r="V11" s="14" t="s">
        <v>61</v>
      </c>
      <c r="W11" s="14" t="s">
        <v>109</v>
      </c>
    </row>
    <row r="12" spans="1:23" x14ac:dyDescent="0.2">
      <c r="A12" s="14" t="s">
        <v>555</v>
      </c>
      <c r="B12" s="14">
        <v>468247</v>
      </c>
      <c r="C12" s="14" t="s">
        <v>138</v>
      </c>
      <c r="D12" s="14" t="s">
        <v>542</v>
      </c>
      <c r="E12" s="14">
        <v>8244481</v>
      </c>
      <c r="F12" s="14" t="s">
        <v>139</v>
      </c>
      <c r="G12" s="18">
        <v>114.99999999999999</v>
      </c>
      <c r="H12" s="18">
        <v>0</v>
      </c>
      <c r="I12" s="18">
        <v>-21.9</v>
      </c>
      <c r="J12" s="18">
        <v>19.04</v>
      </c>
      <c r="K12" s="18">
        <v>19.04</v>
      </c>
      <c r="L12" s="18">
        <v>21.9</v>
      </c>
      <c r="M12" s="14" t="s">
        <v>52</v>
      </c>
      <c r="N12" s="14" t="s">
        <v>140</v>
      </c>
      <c r="O12" s="14" t="s">
        <v>141</v>
      </c>
      <c r="P12" s="14" t="s">
        <v>142</v>
      </c>
      <c r="Q12" s="14" t="s">
        <v>143</v>
      </c>
      <c r="R12" s="14" t="s">
        <v>566</v>
      </c>
      <c r="S12" s="14" t="s">
        <v>568</v>
      </c>
      <c r="T12" s="14">
        <f t="shared" si="0"/>
        <v>1</v>
      </c>
      <c r="U12" s="14">
        <v>50</v>
      </c>
      <c r="V12" s="14" t="s">
        <v>61</v>
      </c>
      <c r="W12" s="14" t="s">
        <v>136</v>
      </c>
    </row>
    <row r="13" spans="1:23" x14ac:dyDescent="0.2">
      <c r="A13" s="14" t="s">
        <v>555</v>
      </c>
      <c r="B13" s="14">
        <v>468247</v>
      </c>
      <c r="C13" s="14" t="s">
        <v>144</v>
      </c>
      <c r="D13" s="14" t="s">
        <v>542</v>
      </c>
      <c r="E13" s="14">
        <v>8244481</v>
      </c>
      <c r="F13" s="14" t="s">
        <v>145</v>
      </c>
      <c r="G13" s="18">
        <v>114.99999999999999</v>
      </c>
      <c r="H13" s="18">
        <v>0</v>
      </c>
      <c r="I13" s="18">
        <v>-21.9</v>
      </c>
      <c r="J13" s="18">
        <v>19.04</v>
      </c>
      <c r="K13" s="18">
        <v>19.04</v>
      </c>
      <c r="L13" s="18">
        <v>21.9</v>
      </c>
      <c r="M13" s="14" t="s">
        <v>52</v>
      </c>
      <c r="N13" s="14" t="s">
        <v>89</v>
      </c>
      <c r="O13" s="14" t="s">
        <v>141</v>
      </c>
      <c r="P13" s="14" t="s">
        <v>146</v>
      </c>
      <c r="Q13" s="14" t="s">
        <v>147</v>
      </c>
      <c r="R13" s="14" t="s">
        <v>566</v>
      </c>
      <c r="S13" s="14" t="s">
        <v>568</v>
      </c>
      <c r="T13" s="14">
        <f t="shared" si="0"/>
        <v>1</v>
      </c>
      <c r="U13" s="14">
        <v>50</v>
      </c>
      <c r="V13" s="14" t="s">
        <v>61</v>
      </c>
      <c r="W13" s="14" t="s">
        <v>136</v>
      </c>
    </row>
    <row r="14" spans="1:23" x14ac:dyDescent="0.2">
      <c r="A14" s="11" t="s">
        <v>552</v>
      </c>
      <c r="B14" s="11">
        <v>606680</v>
      </c>
      <c r="C14" s="11" t="s">
        <v>132</v>
      </c>
      <c r="D14" s="11" t="s">
        <v>521</v>
      </c>
      <c r="E14" s="11">
        <v>8977234</v>
      </c>
      <c r="F14" s="11" t="s">
        <v>133</v>
      </c>
      <c r="G14" s="17">
        <v>150</v>
      </c>
      <c r="H14" s="17">
        <v>0</v>
      </c>
      <c r="I14" s="17">
        <v>-185.94</v>
      </c>
      <c r="J14" s="17">
        <v>123.96</v>
      </c>
      <c r="K14" s="17">
        <v>123.96</v>
      </c>
      <c r="L14" s="17">
        <v>185.94</v>
      </c>
      <c r="M14" s="11" t="s">
        <v>134</v>
      </c>
      <c r="N14" s="11" t="s">
        <v>89</v>
      </c>
      <c r="O14" s="11" t="s">
        <v>123</v>
      </c>
      <c r="P14" s="11" t="s">
        <v>99</v>
      </c>
      <c r="Q14" s="11" t="s">
        <v>135</v>
      </c>
      <c r="R14" s="11" t="s">
        <v>565</v>
      </c>
      <c r="S14" s="11" t="s">
        <v>568</v>
      </c>
      <c r="T14" s="11">
        <f t="shared" si="0"/>
        <v>1</v>
      </c>
      <c r="U14" s="11">
        <v>95</v>
      </c>
      <c r="V14" s="11" t="s">
        <v>61</v>
      </c>
      <c r="W14" s="11" t="s">
        <v>136</v>
      </c>
    </row>
    <row r="15" spans="1:23" x14ac:dyDescent="0.2">
      <c r="A15" s="11" t="s">
        <v>553</v>
      </c>
      <c r="B15" s="11">
        <v>1149088</v>
      </c>
      <c r="C15" s="11" t="s">
        <v>276</v>
      </c>
      <c r="D15" s="11" t="s">
        <v>526</v>
      </c>
      <c r="E15" s="11">
        <v>19279958</v>
      </c>
      <c r="F15" s="11" t="s">
        <v>277</v>
      </c>
      <c r="G15" s="17">
        <v>130</v>
      </c>
      <c r="H15" s="17">
        <v>0</v>
      </c>
      <c r="I15" s="17">
        <v>-183.63</v>
      </c>
      <c r="J15" s="17">
        <v>141.25</v>
      </c>
      <c r="K15" s="17">
        <v>141.25</v>
      </c>
      <c r="L15" s="17">
        <v>183.63</v>
      </c>
      <c r="M15" s="11" t="s">
        <v>278</v>
      </c>
      <c r="N15" s="11" t="s">
        <v>140</v>
      </c>
      <c r="O15" s="11" t="s">
        <v>279</v>
      </c>
      <c r="P15" s="11" t="s">
        <v>280</v>
      </c>
      <c r="Q15" s="11" t="s">
        <v>160</v>
      </c>
      <c r="R15" s="11" t="s">
        <v>565</v>
      </c>
      <c r="S15" s="11" t="s">
        <v>568</v>
      </c>
      <c r="T15" s="11">
        <f t="shared" si="0"/>
        <v>2</v>
      </c>
      <c r="U15" s="11">
        <v>100</v>
      </c>
      <c r="V15" s="11" t="s">
        <v>61</v>
      </c>
      <c r="W15" s="11" t="s">
        <v>62</v>
      </c>
    </row>
    <row r="16" spans="1:23" x14ac:dyDescent="0.2">
      <c r="A16" s="11" t="s">
        <v>554</v>
      </c>
      <c r="B16" s="11">
        <v>957310</v>
      </c>
      <c r="C16" s="11" t="s">
        <v>246</v>
      </c>
      <c r="D16" s="11" t="s">
        <v>523</v>
      </c>
      <c r="E16" s="11">
        <v>19278370</v>
      </c>
      <c r="F16" s="11" t="s">
        <v>247</v>
      </c>
      <c r="G16" s="17">
        <v>25.5</v>
      </c>
      <c r="H16" s="17">
        <v>0</v>
      </c>
      <c r="I16" s="17">
        <v>-30.29</v>
      </c>
      <c r="J16" s="17">
        <v>118.77</v>
      </c>
      <c r="K16" s="17">
        <v>118.77</v>
      </c>
      <c r="L16" s="17">
        <v>30.29</v>
      </c>
      <c r="M16" s="11" t="s">
        <v>129</v>
      </c>
      <c r="N16" s="11" t="s">
        <v>53</v>
      </c>
      <c r="O16" s="11" t="s">
        <v>175</v>
      </c>
      <c r="P16" s="11" t="s">
        <v>248</v>
      </c>
      <c r="Q16" s="11" t="s">
        <v>67</v>
      </c>
      <c r="R16" s="11" t="s">
        <v>565</v>
      </c>
      <c r="S16" s="11" t="s">
        <v>568</v>
      </c>
      <c r="T16" s="11">
        <f t="shared" si="0"/>
        <v>3</v>
      </c>
      <c r="U16" s="11">
        <v>0</v>
      </c>
      <c r="V16" s="11" t="s">
        <v>61</v>
      </c>
      <c r="W16" s="11" t="s">
        <v>62</v>
      </c>
    </row>
    <row r="17" spans="1:23" x14ac:dyDescent="0.2">
      <c r="A17" s="14" t="s">
        <v>546</v>
      </c>
      <c r="B17" s="14">
        <v>938286</v>
      </c>
      <c r="C17" s="14" t="s">
        <v>513</v>
      </c>
      <c r="D17" s="14" t="s">
        <v>540</v>
      </c>
      <c r="E17" s="14">
        <v>19681796</v>
      </c>
      <c r="F17" s="14" t="s">
        <v>514</v>
      </c>
      <c r="G17" s="18">
        <v>52</v>
      </c>
      <c r="H17" s="18">
        <v>33.78</v>
      </c>
      <c r="I17" s="18">
        <v>0</v>
      </c>
      <c r="J17" s="18">
        <v>64.959999999999994</v>
      </c>
      <c r="K17" s="18">
        <v>64.959999999999994</v>
      </c>
      <c r="L17" s="18">
        <v>33.78</v>
      </c>
      <c r="M17" s="14" t="s">
        <v>152</v>
      </c>
      <c r="N17" s="14" t="s">
        <v>53</v>
      </c>
      <c r="O17" s="14" t="s">
        <v>412</v>
      </c>
      <c r="P17" s="14" t="s">
        <v>248</v>
      </c>
      <c r="Q17" s="14" t="s">
        <v>67</v>
      </c>
      <c r="R17" s="14" t="s">
        <v>566</v>
      </c>
      <c r="S17" s="14" t="s">
        <v>568</v>
      </c>
      <c r="T17" s="14">
        <f t="shared" si="0"/>
        <v>3</v>
      </c>
      <c r="U17" s="14">
        <v>0</v>
      </c>
      <c r="V17" s="14" t="s">
        <v>61</v>
      </c>
      <c r="W17" s="14" t="s">
        <v>62</v>
      </c>
    </row>
    <row r="18" spans="1:23" x14ac:dyDescent="0.2">
      <c r="A18" s="14" t="s">
        <v>546</v>
      </c>
      <c r="B18" s="14">
        <v>938286</v>
      </c>
      <c r="C18" s="14" t="s">
        <v>515</v>
      </c>
      <c r="D18" s="14" t="s">
        <v>540</v>
      </c>
      <c r="E18" s="14">
        <v>19681796</v>
      </c>
      <c r="F18" s="14" t="s">
        <v>516</v>
      </c>
      <c r="G18" s="18">
        <v>52</v>
      </c>
      <c r="H18" s="18">
        <v>33.78</v>
      </c>
      <c r="I18" s="18">
        <v>0</v>
      </c>
      <c r="J18" s="18">
        <v>64.959999999999994</v>
      </c>
      <c r="K18" s="18">
        <v>64.959999999999994</v>
      </c>
      <c r="L18" s="18">
        <v>33.78</v>
      </c>
      <c r="M18" s="14" t="s">
        <v>152</v>
      </c>
      <c r="N18" s="14" t="s">
        <v>53</v>
      </c>
      <c r="O18" s="14" t="s">
        <v>412</v>
      </c>
      <c r="P18" s="14" t="s">
        <v>248</v>
      </c>
      <c r="Q18" s="14" t="s">
        <v>67</v>
      </c>
      <c r="R18" s="14" t="s">
        <v>566</v>
      </c>
      <c r="S18" s="14" t="s">
        <v>568</v>
      </c>
      <c r="T18" s="14">
        <f t="shared" si="0"/>
        <v>3</v>
      </c>
      <c r="U18" s="14">
        <v>0</v>
      </c>
      <c r="V18" s="14" t="s">
        <v>61</v>
      </c>
      <c r="W18" s="14" t="s">
        <v>62</v>
      </c>
    </row>
    <row r="19" spans="1:23" x14ac:dyDescent="0.2">
      <c r="A19" s="11" t="s">
        <v>564</v>
      </c>
      <c r="B19" s="11">
        <v>893387</v>
      </c>
      <c r="C19" s="11" t="s">
        <v>164</v>
      </c>
      <c r="D19" s="11" t="s">
        <v>519</v>
      </c>
      <c r="E19" s="11">
        <v>8307933</v>
      </c>
      <c r="F19" s="11" t="s">
        <v>165</v>
      </c>
      <c r="G19" s="17">
        <v>67.5</v>
      </c>
      <c r="H19" s="17">
        <v>0</v>
      </c>
      <c r="I19" s="17">
        <v>-209.15</v>
      </c>
      <c r="J19" s="17">
        <v>309.85000000000002</v>
      </c>
      <c r="K19" s="17">
        <v>309.85000000000002</v>
      </c>
      <c r="L19" s="17">
        <v>209.15</v>
      </c>
      <c r="M19" s="11" t="s">
        <v>166</v>
      </c>
      <c r="N19" s="11" t="s">
        <v>140</v>
      </c>
      <c r="O19" s="11" t="s">
        <v>119</v>
      </c>
      <c r="P19" s="11" t="s">
        <v>167</v>
      </c>
      <c r="Q19" s="11" t="s">
        <v>157</v>
      </c>
      <c r="R19" s="11" t="s">
        <v>565</v>
      </c>
      <c r="S19" s="11" t="s">
        <v>568</v>
      </c>
      <c r="T19" s="11">
        <f t="shared" si="0"/>
        <v>3</v>
      </c>
      <c r="U19" s="11">
        <v>200</v>
      </c>
      <c r="V19" s="11" t="s">
        <v>61</v>
      </c>
      <c r="W19" s="11" t="s">
        <v>62</v>
      </c>
    </row>
    <row r="20" spans="1:23" x14ac:dyDescent="0.2">
      <c r="A20" s="11" t="s">
        <v>559</v>
      </c>
      <c r="B20" s="11">
        <v>891882</v>
      </c>
      <c r="C20" s="11" t="s">
        <v>449</v>
      </c>
      <c r="D20" s="11" t="s">
        <v>536</v>
      </c>
      <c r="E20" s="11">
        <v>7470776</v>
      </c>
      <c r="F20" s="11" t="s">
        <v>450</v>
      </c>
      <c r="G20" s="17">
        <v>23</v>
      </c>
      <c r="H20" s="17">
        <v>0</v>
      </c>
      <c r="I20" s="17">
        <v>-51.45</v>
      </c>
      <c r="J20" s="17">
        <v>223.71</v>
      </c>
      <c r="K20" s="17">
        <v>223.71</v>
      </c>
      <c r="L20" s="17">
        <v>51.45</v>
      </c>
      <c r="M20" s="11" t="s">
        <v>346</v>
      </c>
      <c r="N20" s="11" t="s">
        <v>53</v>
      </c>
      <c r="O20" s="11" t="s">
        <v>433</v>
      </c>
      <c r="P20" s="11" t="s">
        <v>84</v>
      </c>
      <c r="Q20" s="11" t="s">
        <v>67</v>
      </c>
      <c r="R20" s="11" t="s">
        <v>565</v>
      </c>
      <c r="S20" s="11" t="s">
        <v>568</v>
      </c>
      <c r="T20" s="11">
        <f t="shared" si="0"/>
        <v>4</v>
      </c>
      <c r="U20" s="11">
        <v>0</v>
      </c>
      <c r="V20" s="11" t="s">
        <v>61</v>
      </c>
      <c r="W20" s="11" t="s">
        <v>62</v>
      </c>
    </row>
    <row r="21" spans="1:23" x14ac:dyDescent="0.2">
      <c r="A21" s="11" t="s">
        <v>561</v>
      </c>
      <c r="B21" s="11">
        <v>893387</v>
      </c>
      <c r="C21" s="11" t="s">
        <v>178</v>
      </c>
      <c r="D21" s="11" t="s">
        <v>519</v>
      </c>
      <c r="E21" s="11">
        <v>8307933</v>
      </c>
      <c r="F21" s="11" t="s">
        <v>179</v>
      </c>
      <c r="G21" s="17">
        <v>19</v>
      </c>
      <c r="H21" s="17">
        <v>0</v>
      </c>
      <c r="I21" s="17">
        <v>-37.549999999999997</v>
      </c>
      <c r="J21" s="17">
        <v>197.61</v>
      </c>
      <c r="K21" s="17">
        <v>197.61</v>
      </c>
      <c r="L21" s="17">
        <v>37.549999999999997</v>
      </c>
      <c r="M21" s="11" t="s">
        <v>152</v>
      </c>
      <c r="N21" s="11" t="s">
        <v>53</v>
      </c>
      <c r="O21" s="11" t="s">
        <v>180</v>
      </c>
      <c r="P21" s="11" t="s">
        <v>84</v>
      </c>
      <c r="Q21" s="11" t="s">
        <v>67</v>
      </c>
      <c r="R21" s="11" t="s">
        <v>565</v>
      </c>
      <c r="S21" s="11" t="s">
        <v>568</v>
      </c>
      <c r="T21" s="11">
        <f t="shared" si="0"/>
        <v>4</v>
      </c>
      <c r="U21" s="11">
        <v>0</v>
      </c>
      <c r="V21" s="11" t="s">
        <v>61</v>
      </c>
      <c r="W21" s="11" t="s">
        <v>62</v>
      </c>
    </row>
    <row r="22" spans="1:23" x14ac:dyDescent="0.2">
      <c r="A22" s="11" t="s">
        <v>559</v>
      </c>
      <c r="B22" s="11">
        <v>893387</v>
      </c>
      <c r="C22" s="11" t="s">
        <v>82</v>
      </c>
      <c r="D22" s="11" t="s">
        <v>519</v>
      </c>
      <c r="E22" s="11">
        <v>8307933</v>
      </c>
      <c r="F22" s="11" t="s">
        <v>83</v>
      </c>
      <c r="G22" s="17">
        <v>23</v>
      </c>
      <c r="H22" s="17">
        <v>0</v>
      </c>
      <c r="I22" s="17">
        <v>-33.03</v>
      </c>
      <c r="J22" s="17">
        <v>143.59</v>
      </c>
      <c r="K22" s="17">
        <v>143.59</v>
      </c>
      <c r="L22" s="17">
        <v>33.03</v>
      </c>
      <c r="M22" s="11" t="s">
        <v>52</v>
      </c>
      <c r="N22" s="11" t="s">
        <v>53</v>
      </c>
      <c r="O22" s="11" t="s">
        <v>54</v>
      </c>
      <c r="P22" s="11" t="s">
        <v>84</v>
      </c>
      <c r="Q22" s="11" t="s">
        <v>67</v>
      </c>
      <c r="R22" s="11" t="s">
        <v>565</v>
      </c>
      <c r="S22" s="11" t="s">
        <v>568</v>
      </c>
      <c r="T22" s="11">
        <f t="shared" si="0"/>
        <v>4</v>
      </c>
      <c r="U22" s="11">
        <v>0</v>
      </c>
      <c r="V22" s="11" t="s">
        <v>61</v>
      </c>
      <c r="W22" s="11" t="s">
        <v>62</v>
      </c>
    </row>
    <row r="23" spans="1:23" x14ac:dyDescent="0.2">
      <c r="A23" s="11" t="s">
        <v>564</v>
      </c>
      <c r="B23" s="11">
        <v>893387</v>
      </c>
      <c r="C23" s="11" t="s">
        <v>263</v>
      </c>
      <c r="D23" s="11" t="s">
        <v>519</v>
      </c>
      <c r="E23" s="11">
        <v>8307933</v>
      </c>
      <c r="F23" s="11" t="s">
        <v>264</v>
      </c>
      <c r="G23" s="17">
        <v>67.5</v>
      </c>
      <c r="H23" s="17">
        <v>0</v>
      </c>
      <c r="I23" s="17">
        <v>-178.96</v>
      </c>
      <c r="J23" s="17">
        <v>265.12</v>
      </c>
      <c r="K23" s="17">
        <v>265.12</v>
      </c>
      <c r="L23" s="17">
        <v>178.96</v>
      </c>
      <c r="M23" s="11" t="s">
        <v>52</v>
      </c>
      <c r="N23" s="11" t="s">
        <v>140</v>
      </c>
      <c r="O23" s="11" t="s">
        <v>119</v>
      </c>
      <c r="P23" s="11" t="s">
        <v>265</v>
      </c>
      <c r="Q23" s="11" t="s">
        <v>157</v>
      </c>
      <c r="R23" s="11" t="s">
        <v>565</v>
      </c>
      <c r="S23" s="11" t="s">
        <v>568</v>
      </c>
      <c r="T23" s="11">
        <f t="shared" si="0"/>
        <v>4</v>
      </c>
      <c r="U23" s="11">
        <v>90</v>
      </c>
      <c r="V23" s="11" t="s">
        <v>61</v>
      </c>
      <c r="W23" s="11" t="s">
        <v>62</v>
      </c>
    </row>
    <row r="24" spans="1:23" s="20" customFormat="1" x14ac:dyDescent="0.2">
      <c r="A24" s="11" t="s">
        <v>546</v>
      </c>
      <c r="B24" s="11">
        <v>894080</v>
      </c>
      <c r="C24" s="11" t="s">
        <v>476</v>
      </c>
      <c r="D24" s="11" t="s">
        <v>538</v>
      </c>
      <c r="E24" s="11">
        <v>18754354</v>
      </c>
      <c r="F24" s="11" t="s">
        <v>477</v>
      </c>
      <c r="G24" s="17">
        <v>0</v>
      </c>
      <c r="H24" s="17">
        <v>-177.2</v>
      </c>
      <c r="I24" s="17">
        <v>-177.2</v>
      </c>
      <c r="J24" s="17">
        <v>-340.9</v>
      </c>
      <c r="K24" s="17">
        <v>0</v>
      </c>
      <c r="L24" s="17">
        <v>-177.2</v>
      </c>
      <c r="M24" s="11" t="s">
        <v>52</v>
      </c>
      <c r="N24" s="11" t="s">
        <v>53</v>
      </c>
      <c r="O24" s="11" t="s">
        <v>464</v>
      </c>
      <c r="P24" s="11" t="s">
        <v>430</v>
      </c>
      <c r="Q24" s="11" t="s">
        <v>84</v>
      </c>
      <c r="R24" s="11" t="s">
        <v>565</v>
      </c>
      <c r="S24" s="11" t="s">
        <v>568</v>
      </c>
      <c r="T24" s="11">
        <f t="shared" si="0"/>
        <v>4</v>
      </c>
      <c r="U24" s="11">
        <v>0</v>
      </c>
      <c r="V24" s="11" t="s">
        <v>61</v>
      </c>
      <c r="W24" s="11" t="s">
        <v>478</v>
      </c>
    </row>
    <row r="25" spans="1:23" x14ac:dyDescent="0.2">
      <c r="A25" s="11" t="s">
        <v>546</v>
      </c>
      <c r="B25" s="11">
        <v>894080</v>
      </c>
      <c r="C25" s="11" t="s">
        <v>461</v>
      </c>
      <c r="D25" s="11" t="s">
        <v>538</v>
      </c>
      <c r="E25" s="11">
        <v>18754354</v>
      </c>
      <c r="F25" s="11" t="s">
        <v>462</v>
      </c>
      <c r="G25" s="17">
        <v>52</v>
      </c>
      <c r="H25" s="17">
        <v>0</v>
      </c>
      <c r="I25" s="17">
        <v>-29.75</v>
      </c>
      <c r="J25" s="17">
        <v>57.22</v>
      </c>
      <c r="K25" s="17">
        <v>57.22</v>
      </c>
      <c r="L25" s="17">
        <v>29.75</v>
      </c>
      <c r="M25" s="11" t="s">
        <v>463</v>
      </c>
      <c r="N25" s="11" t="s">
        <v>53</v>
      </c>
      <c r="O25" s="11" t="s">
        <v>464</v>
      </c>
      <c r="P25" s="11" t="s">
        <v>84</v>
      </c>
      <c r="Q25" s="11" t="s">
        <v>67</v>
      </c>
      <c r="R25" s="11" t="s">
        <v>565</v>
      </c>
      <c r="S25" s="11" t="s">
        <v>568</v>
      </c>
      <c r="T25" s="11">
        <f t="shared" si="0"/>
        <v>4</v>
      </c>
      <c r="U25" s="11">
        <v>0</v>
      </c>
      <c r="V25" s="11" t="s">
        <v>61</v>
      </c>
      <c r="W25" s="11" t="s">
        <v>62</v>
      </c>
    </row>
    <row r="26" spans="1:23" x14ac:dyDescent="0.2">
      <c r="A26" s="11" t="s">
        <v>564</v>
      </c>
      <c r="B26" s="11">
        <v>606680</v>
      </c>
      <c r="C26" s="11" t="s">
        <v>117</v>
      </c>
      <c r="D26" s="11" t="s">
        <v>521</v>
      </c>
      <c r="E26" s="11">
        <v>8977234</v>
      </c>
      <c r="F26" s="11" t="s">
        <v>118</v>
      </c>
      <c r="G26" s="17">
        <v>67.5</v>
      </c>
      <c r="H26" s="17">
        <v>0</v>
      </c>
      <c r="I26" s="17">
        <v>-133.01</v>
      </c>
      <c r="J26" s="17">
        <v>197.05</v>
      </c>
      <c r="K26" s="17">
        <v>197.05</v>
      </c>
      <c r="L26" s="17">
        <v>133.01</v>
      </c>
      <c r="M26" s="11" t="s">
        <v>52</v>
      </c>
      <c r="N26" s="11" t="s">
        <v>89</v>
      </c>
      <c r="O26" s="11" t="s">
        <v>119</v>
      </c>
      <c r="P26" s="11" t="s">
        <v>84</v>
      </c>
      <c r="Q26" s="11" t="s">
        <v>67</v>
      </c>
      <c r="R26" s="11" t="s">
        <v>565</v>
      </c>
      <c r="S26" s="11" t="s">
        <v>568</v>
      </c>
      <c r="T26" s="11">
        <f t="shared" si="0"/>
        <v>4</v>
      </c>
      <c r="U26" s="11">
        <v>75</v>
      </c>
      <c r="V26" s="11" t="s">
        <v>61</v>
      </c>
      <c r="W26" s="11" t="s">
        <v>62</v>
      </c>
    </row>
    <row r="27" spans="1:23" x14ac:dyDescent="0.2">
      <c r="A27" s="11" t="s">
        <v>552</v>
      </c>
      <c r="B27" s="11">
        <v>606680</v>
      </c>
      <c r="C27" s="11" t="s">
        <v>336</v>
      </c>
      <c r="D27" s="11" t="s">
        <v>521</v>
      </c>
      <c r="E27" s="11">
        <v>8977234</v>
      </c>
      <c r="F27" s="11" t="s">
        <v>337</v>
      </c>
      <c r="G27" s="17">
        <v>150</v>
      </c>
      <c r="H27" s="17">
        <v>0</v>
      </c>
      <c r="I27" s="17">
        <v>-93.32</v>
      </c>
      <c r="J27" s="17">
        <v>62.21</v>
      </c>
      <c r="K27" s="17">
        <v>62.21</v>
      </c>
      <c r="L27" s="17">
        <v>93.32</v>
      </c>
      <c r="M27" s="11" t="s">
        <v>338</v>
      </c>
      <c r="N27" s="11" t="s">
        <v>89</v>
      </c>
      <c r="O27" s="11" t="s">
        <v>115</v>
      </c>
      <c r="P27" s="11" t="s">
        <v>265</v>
      </c>
      <c r="Q27" s="11" t="s">
        <v>157</v>
      </c>
      <c r="R27" s="11" t="s">
        <v>565</v>
      </c>
      <c r="S27" s="11" t="s">
        <v>568</v>
      </c>
      <c r="T27" s="11">
        <f t="shared" si="0"/>
        <v>4</v>
      </c>
      <c r="U27" s="11">
        <v>300</v>
      </c>
      <c r="V27" s="11" t="s">
        <v>61</v>
      </c>
      <c r="W27" s="11" t="s">
        <v>62</v>
      </c>
    </row>
    <row r="28" spans="1:23" x14ac:dyDescent="0.2">
      <c r="A28" s="11" t="s">
        <v>552</v>
      </c>
      <c r="B28" s="11">
        <v>606680</v>
      </c>
      <c r="C28" s="11" t="s">
        <v>342</v>
      </c>
      <c r="D28" s="11" t="s">
        <v>521</v>
      </c>
      <c r="E28" s="11">
        <v>8977234</v>
      </c>
      <c r="F28" s="11" t="s">
        <v>343</v>
      </c>
      <c r="G28" s="17">
        <v>150</v>
      </c>
      <c r="H28" s="17">
        <v>0</v>
      </c>
      <c r="I28" s="17">
        <v>-155.72</v>
      </c>
      <c r="J28" s="17">
        <v>103.81</v>
      </c>
      <c r="K28" s="17">
        <v>103.81</v>
      </c>
      <c r="L28" s="17">
        <v>155.72</v>
      </c>
      <c r="M28" s="11" t="s">
        <v>134</v>
      </c>
      <c r="N28" s="11" t="s">
        <v>140</v>
      </c>
      <c r="O28" s="11" t="s">
        <v>123</v>
      </c>
      <c r="P28" s="11" t="s">
        <v>232</v>
      </c>
      <c r="Q28" s="11" t="s">
        <v>91</v>
      </c>
      <c r="R28" s="11" t="s">
        <v>565</v>
      </c>
      <c r="S28" s="11" t="s">
        <v>568</v>
      </c>
      <c r="T28" s="11">
        <f t="shared" si="0"/>
        <v>4</v>
      </c>
      <c r="U28" s="11">
        <v>80</v>
      </c>
      <c r="V28" s="11" t="s">
        <v>61</v>
      </c>
      <c r="W28" s="11" t="s">
        <v>62</v>
      </c>
    </row>
    <row r="29" spans="1:23" x14ac:dyDescent="0.2">
      <c r="A29" s="11" t="s">
        <v>552</v>
      </c>
      <c r="B29" s="11">
        <v>606680</v>
      </c>
      <c r="C29" s="11" t="s">
        <v>339</v>
      </c>
      <c r="D29" s="11" t="s">
        <v>521</v>
      </c>
      <c r="E29" s="11">
        <v>8977234</v>
      </c>
      <c r="F29" s="11" t="s">
        <v>340</v>
      </c>
      <c r="G29" s="17">
        <v>150</v>
      </c>
      <c r="H29" s="17">
        <v>0</v>
      </c>
      <c r="I29" s="17">
        <v>-195.29</v>
      </c>
      <c r="J29" s="17">
        <v>130.19</v>
      </c>
      <c r="K29" s="17">
        <v>130.19</v>
      </c>
      <c r="L29" s="17">
        <v>195.29</v>
      </c>
      <c r="M29" s="11" t="s">
        <v>338</v>
      </c>
      <c r="N29" s="11" t="s">
        <v>99</v>
      </c>
      <c r="O29" s="11" t="s">
        <v>123</v>
      </c>
      <c r="P29" s="11" t="s">
        <v>341</v>
      </c>
      <c r="Q29" s="11" t="s">
        <v>135</v>
      </c>
      <c r="R29" s="11" t="s">
        <v>565</v>
      </c>
      <c r="S29" s="11" t="s">
        <v>568</v>
      </c>
      <c r="T29" s="11">
        <f t="shared" si="0"/>
        <v>4</v>
      </c>
      <c r="U29" s="11">
        <v>70</v>
      </c>
      <c r="V29" s="11" t="s">
        <v>61</v>
      </c>
      <c r="W29" s="11" t="s">
        <v>62</v>
      </c>
    </row>
    <row r="30" spans="1:23" x14ac:dyDescent="0.2">
      <c r="A30" s="11" t="s">
        <v>558</v>
      </c>
      <c r="B30" s="11">
        <v>815390</v>
      </c>
      <c r="C30" s="11" t="s">
        <v>230</v>
      </c>
      <c r="D30" s="11" t="s">
        <v>524</v>
      </c>
      <c r="E30" s="11">
        <v>17425766</v>
      </c>
      <c r="F30" s="11" t="s">
        <v>231</v>
      </c>
      <c r="G30" s="17">
        <v>21.5</v>
      </c>
      <c r="H30" s="17">
        <v>0</v>
      </c>
      <c r="I30" s="17">
        <v>-33.17</v>
      </c>
      <c r="J30" s="17">
        <v>154.27000000000001</v>
      </c>
      <c r="K30" s="17">
        <v>154.27000000000001</v>
      </c>
      <c r="L30" s="17">
        <v>33.17</v>
      </c>
      <c r="M30" s="11" t="s">
        <v>129</v>
      </c>
      <c r="N30" s="11" t="s">
        <v>53</v>
      </c>
      <c r="O30" s="11" t="s">
        <v>130</v>
      </c>
      <c r="P30" s="11" t="s">
        <v>232</v>
      </c>
      <c r="Q30" s="11" t="s">
        <v>67</v>
      </c>
      <c r="R30" s="11" t="s">
        <v>565</v>
      </c>
      <c r="S30" s="11" t="s">
        <v>568</v>
      </c>
      <c r="T30" s="11">
        <f t="shared" si="0"/>
        <v>5</v>
      </c>
      <c r="U30" s="11">
        <v>0</v>
      </c>
      <c r="V30" s="11" t="s">
        <v>61</v>
      </c>
      <c r="W30" s="11" t="s">
        <v>62</v>
      </c>
    </row>
    <row r="31" spans="1:23" x14ac:dyDescent="0.2">
      <c r="A31" s="11" t="s">
        <v>553</v>
      </c>
      <c r="B31" s="11">
        <v>892719</v>
      </c>
      <c r="C31" s="11" t="s">
        <v>403</v>
      </c>
      <c r="D31" s="11" t="s">
        <v>531</v>
      </c>
      <c r="E31" s="11">
        <v>17437820</v>
      </c>
      <c r="F31" s="11" t="s">
        <v>404</v>
      </c>
      <c r="G31" s="17">
        <v>135</v>
      </c>
      <c r="H31" s="17">
        <v>0</v>
      </c>
      <c r="I31" s="17">
        <v>-108</v>
      </c>
      <c r="J31" s="17">
        <v>80</v>
      </c>
      <c r="K31" s="17">
        <v>80</v>
      </c>
      <c r="L31" s="17">
        <v>108</v>
      </c>
      <c r="M31" s="11" t="s">
        <v>114</v>
      </c>
      <c r="N31" s="11" t="s">
        <v>140</v>
      </c>
      <c r="O31" s="11" t="s">
        <v>119</v>
      </c>
      <c r="P31" s="11" t="s">
        <v>232</v>
      </c>
      <c r="Q31" s="11" t="s">
        <v>67</v>
      </c>
      <c r="R31" s="11" t="s">
        <v>565</v>
      </c>
      <c r="S31" s="11" t="s">
        <v>568</v>
      </c>
      <c r="T31" s="11">
        <f t="shared" si="0"/>
        <v>5</v>
      </c>
      <c r="U31" s="11">
        <v>28</v>
      </c>
      <c r="V31" s="11" t="s">
        <v>61</v>
      </c>
      <c r="W31" s="11" t="s">
        <v>62</v>
      </c>
    </row>
    <row r="32" spans="1:23" x14ac:dyDescent="0.2">
      <c r="A32" s="11" t="s">
        <v>564</v>
      </c>
      <c r="B32" s="11">
        <v>893387</v>
      </c>
      <c r="C32" s="11" t="s">
        <v>305</v>
      </c>
      <c r="D32" s="11" t="s">
        <v>519</v>
      </c>
      <c r="E32" s="11">
        <v>8307933</v>
      </c>
      <c r="F32" s="11" t="s">
        <v>306</v>
      </c>
      <c r="G32" s="17">
        <v>67.5</v>
      </c>
      <c r="H32" s="17">
        <v>0</v>
      </c>
      <c r="I32" s="17">
        <v>-102.92</v>
      </c>
      <c r="J32" s="17">
        <v>152.47999999999999</v>
      </c>
      <c r="K32" s="17">
        <v>152.47999999999999</v>
      </c>
      <c r="L32" s="17">
        <v>102.92</v>
      </c>
      <c r="M32" s="11" t="s">
        <v>302</v>
      </c>
      <c r="N32" s="11" t="s">
        <v>140</v>
      </c>
      <c r="O32" s="11" t="s">
        <v>119</v>
      </c>
      <c r="P32" s="11" t="s">
        <v>269</v>
      </c>
      <c r="Q32" s="11" t="s">
        <v>157</v>
      </c>
      <c r="R32" s="11" t="s">
        <v>565</v>
      </c>
      <c r="S32" s="11" t="s">
        <v>568</v>
      </c>
      <c r="T32" s="11">
        <f t="shared" si="0"/>
        <v>5</v>
      </c>
      <c r="U32" s="11">
        <v>80</v>
      </c>
      <c r="V32" s="11" t="s">
        <v>61</v>
      </c>
      <c r="W32" s="11" t="s">
        <v>62</v>
      </c>
    </row>
    <row r="33" spans="1:23" s="14" customFormat="1" x14ac:dyDescent="0.2">
      <c r="A33" s="11" t="s">
        <v>564</v>
      </c>
      <c r="B33" s="11">
        <v>893387</v>
      </c>
      <c r="C33" s="11" t="s">
        <v>386</v>
      </c>
      <c r="D33" s="11" t="s">
        <v>519</v>
      </c>
      <c r="E33" s="11">
        <v>8307933</v>
      </c>
      <c r="F33" s="11" t="s">
        <v>387</v>
      </c>
      <c r="G33" s="17">
        <v>67.5</v>
      </c>
      <c r="H33" s="17">
        <v>0</v>
      </c>
      <c r="I33" s="17">
        <v>-126.62</v>
      </c>
      <c r="J33" s="17">
        <v>187.59</v>
      </c>
      <c r="K33" s="17">
        <v>187.59</v>
      </c>
      <c r="L33" s="17">
        <v>126.62</v>
      </c>
      <c r="M33" s="11" t="s">
        <v>126</v>
      </c>
      <c r="N33" s="11" t="s">
        <v>140</v>
      </c>
      <c r="O33" s="11" t="s">
        <v>119</v>
      </c>
      <c r="P33" s="11" t="s">
        <v>269</v>
      </c>
      <c r="Q33" s="11" t="s">
        <v>157</v>
      </c>
      <c r="R33" s="11" t="s">
        <v>565</v>
      </c>
      <c r="S33" s="11" t="s">
        <v>568</v>
      </c>
      <c r="T33" s="11">
        <f t="shared" si="0"/>
        <v>5</v>
      </c>
      <c r="U33" s="11">
        <v>75</v>
      </c>
      <c r="V33" s="11" t="s">
        <v>61</v>
      </c>
      <c r="W33" s="11" t="s">
        <v>62</v>
      </c>
    </row>
    <row r="34" spans="1:23" s="14" customFormat="1" x14ac:dyDescent="0.2">
      <c r="A34" s="11" t="s">
        <v>564</v>
      </c>
      <c r="B34" s="11">
        <v>893387</v>
      </c>
      <c r="C34" s="11" t="s">
        <v>266</v>
      </c>
      <c r="D34" s="11" t="s">
        <v>519</v>
      </c>
      <c r="E34" s="11">
        <v>8307933</v>
      </c>
      <c r="F34" s="11" t="s">
        <v>267</v>
      </c>
      <c r="G34" s="17">
        <v>67.5</v>
      </c>
      <c r="H34" s="17">
        <v>0</v>
      </c>
      <c r="I34" s="17">
        <v>-130.57</v>
      </c>
      <c r="J34" s="17">
        <v>193.43</v>
      </c>
      <c r="K34" s="17">
        <v>193.43</v>
      </c>
      <c r="L34" s="17">
        <v>130.57</v>
      </c>
      <c r="M34" s="11" t="s">
        <v>268</v>
      </c>
      <c r="N34" s="11" t="s">
        <v>140</v>
      </c>
      <c r="O34" s="11" t="s">
        <v>119</v>
      </c>
      <c r="P34" s="11" t="s">
        <v>269</v>
      </c>
      <c r="Q34" s="11" t="s">
        <v>157</v>
      </c>
      <c r="R34" s="11" t="s">
        <v>565</v>
      </c>
      <c r="S34" s="11" t="s">
        <v>568</v>
      </c>
      <c r="T34" s="11">
        <f t="shared" ref="T34:T65" si="3">DATEDIF(P34,Q34,"M")</f>
        <v>5</v>
      </c>
      <c r="U34" s="11">
        <v>135</v>
      </c>
      <c r="V34" s="11" t="s">
        <v>61</v>
      </c>
      <c r="W34" s="11" t="s">
        <v>62</v>
      </c>
    </row>
    <row r="35" spans="1:23" x14ac:dyDescent="0.2">
      <c r="A35" s="11" t="s">
        <v>564</v>
      </c>
      <c r="B35" s="11">
        <v>893387</v>
      </c>
      <c r="C35" s="11" t="s">
        <v>270</v>
      </c>
      <c r="D35" s="11" t="s">
        <v>519</v>
      </c>
      <c r="E35" s="11">
        <v>8307933</v>
      </c>
      <c r="F35" s="11" t="s">
        <v>271</v>
      </c>
      <c r="G35" s="17">
        <v>67.5</v>
      </c>
      <c r="H35" s="17">
        <v>0</v>
      </c>
      <c r="I35" s="17">
        <v>-138.51</v>
      </c>
      <c r="J35" s="17">
        <v>205.2</v>
      </c>
      <c r="K35" s="17">
        <v>205.2</v>
      </c>
      <c r="L35" s="17">
        <v>138.51</v>
      </c>
      <c r="M35" s="11" t="s">
        <v>114</v>
      </c>
      <c r="N35" s="11" t="s">
        <v>140</v>
      </c>
      <c r="O35" s="11" t="s">
        <v>119</v>
      </c>
      <c r="P35" s="11" t="s">
        <v>269</v>
      </c>
      <c r="Q35" s="11" t="s">
        <v>157</v>
      </c>
      <c r="R35" s="11" t="s">
        <v>565</v>
      </c>
      <c r="S35" s="11" t="s">
        <v>568</v>
      </c>
      <c r="T35" s="11">
        <f t="shared" si="3"/>
        <v>5</v>
      </c>
      <c r="U35" s="11">
        <v>125</v>
      </c>
      <c r="V35" s="11" t="s">
        <v>61</v>
      </c>
      <c r="W35" s="11" t="s">
        <v>62</v>
      </c>
    </row>
    <row r="36" spans="1:23" x14ac:dyDescent="0.2">
      <c r="A36" s="11" t="s">
        <v>564</v>
      </c>
      <c r="B36" s="11">
        <v>893387</v>
      </c>
      <c r="C36" s="11" t="s">
        <v>307</v>
      </c>
      <c r="D36" s="11" t="s">
        <v>519</v>
      </c>
      <c r="E36" s="11">
        <v>8307933</v>
      </c>
      <c r="F36" s="11" t="s">
        <v>308</v>
      </c>
      <c r="G36" s="17">
        <v>67.5</v>
      </c>
      <c r="H36" s="17">
        <v>0</v>
      </c>
      <c r="I36" s="17">
        <v>-141.88</v>
      </c>
      <c r="J36" s="17">
        <v>210.19</v>
      </c>
      <c r="K36" s="17">
        <v>210.19</v>
      </c>
      <c r="L36" s="17">
        <v>141.88</v>
      </c>
      <c r="M36" s="11" t="s">
        <v>302</v>
      </c>
      <c r="N36" s="11" t="s">
        <v>140</v>
      </c>
      <c r="O36" s="11" t="s">
        <v>119</v>
      </c>
      <c r="P36" s="11" t="s">
        <v>269</v>
      </c>
      <c r="Q36" s="11" t="s">
        <v>157</v>
      </c>
      <c r="R36" s="11" t="s">
        <v>565</v>
      </c>
      <c r="S36" s="11" t="s">
        <v>568</v>
      </c>
      <c r="T36" s="11">
        <f t="shared" si="3"/>
        <v>5</v>
      </c>
      <c r="U36" s="11">
        <v>80</v>
      </c>
      <c r="V36" s="11" t="s">
        <v>61</v>
      </c>
      <c r="W36" s="11" t="s">
        <v>62</v>
      </c>
    </row>
    <row r="37" spans="1:23" s="14" customFormat="1" x14ac:dyDescent="0.2">
      <c r="A37" s="11" t="s">
        <v>564</v>
      </c>
      <c r="B37" s="11">
        <v>893387</v>
      </c>
      <c r="C37" s="11" t="s">
        <v>272</v>
      </c>
      <c r="D37" s="11" t="s">
        <v>519</v>
      </c>
      <c r="E37" s="11">
        <v>8307933</v>
      </c>
      <c r="F37" s="11" t="s">
        <v>273</v>
      </c>
      <c r="G37" s="17">
        <v>67.5</v>
      </c>
      <c r="H37" s="17">
        <v>0</v>
      </c>
      <c r="I37" s="17">
        <v>-186.5</v>
      </c>
      <c r="J37" s="17">
        <v>276.29000000000002</v>
      </c>
      <c r="K37" s="17">
        <v>276.29000000000002</v>
      </c>
      <c r="L37" s="17">
        <v>186.5</v>
      </c>
      <c r="M37" s="11" t="s">
        <v>274</v>
      </c>
      <c r="N37" s="11" t="s">
        <v>140</v>
      </c>
      <c r="O37" s="11" t="s">
        <v>119</v>
      </c>
      <c r="P37" s="11" t="s">
        <v>269</v>
      </c>
      <c r="Q37" s="11" t="s">
        <v>157</v>
      </c>
      <c r="R37" s="11" t="s">
        <v>565</v>
      </c>
      <c r="S37" s="11" t="s">
        <v>568</v>
      </c>
      <c r="T37" s="11">
        <f t="shared" si="3"/>
        <v>5</v>
      </c>
      <c r="U37" s="11">
        <v>100</v>
      </c>
      <c r="V37" s="11" t="s">
        <v>61</v>
      </c>
      <c r="W37" s="11" t="s">
        <v>62</v>
      </c>
    </row>
    <row r="38" spans="1:23" s="14" customFormat="1" x14ac:dyDescent="0.2">
      <c r="A38" s="11" t="s">
        <v>564</v>
      </c>
      <c r="B38" s="11">
        <v>893387</v>
      </c>
      <c r="C38" s="11" t="s">
        <v>309</v>
      </c>
      <c r="D38" s="11" t="s">
        <v>519</v>
      </c>
      <c r="E38" s="11">
        <v>8307933</v>
      </c>
      <c r="F38" s="11" t="s">
        <v>310</v>
      </c>
      <c r="G38" s="17">
        <v>67.5</v>
      </c>
      <c r="H38" s="17">
        <v>0</v>
      </c>
      <c r="I38" s="17">
        <v>-215.15</v>
      </c>
      <c r="J38" s="17">
        <v>318.74</v>
      </c>
      <c r="K38" s="17">
        <v>318.74</v>
      </c>
      <c r="L38" s="17">
        <v>215.15</v>
      </c>
      <c r="M38" s="11" t="s">
        <v>114</v>
      </c>
      <c r="N38" s="11" t="s">
        <v>140</v>
      </c>
      <c r="O38" s="11" t="s">
        <v>119</v>
      </c>
      <c r="P38" s="11" t="s">
        <v>269</v>
      </c>
      <c r="Q38" s="11" t="s">
        <v>157</v>
      </c>
      <c r="R38" s="11" t="s">
        <v>565</v>
      </c>
      <c r="S38" s="11" t="s">
        <v>568</v>
      </c>
      <c r="T38" s="11">
        <f t="shared" si="3"/>
        <v>5</v>
      </c>
      <c r="U38" s="11">
        <v>200</v>
      </c>
      <c r="V38" s="11" t="s">
        <v>61</v>
      </c>
      <c r="W38" s="11" t="s">
        <v>62</v>
      </c>
    </row>
    <row r="39" spans="1:23" s="14" customFormat="1" x14ac:dyDescent="0.2">
      <c r="A39" s="14" t="s">
        <v>559</v>
      </c>
      <c r="B39" s="14">
        <v>1174646</v>
      </c>
      <c r="C39" s="14" t="s">
        <v>87</v>
      </c>
      <c r="D39" s="14" t="s">
        <v>518</v>
      </c>
      <c r="E39" s="14">
        <v>18828278</v>
      </c>
      <c r="F39" s="14" t="s">
        <v>88</v>
      </c>
      <c r="G39" s="18">
        <v>23</v>
      </c>
      <c r="H39" s="18">
        <v>0</v>
      </c>
      <c r="I39" s="18">
        <v>-29.59</v>
      </c>
      <c r="J39" s="18">
        <v>128.66999999999999</v>
      </c>
      <c r="K39" s="18">
        <v>128.66999999999999</v>
      </c>
      <c r="L39" s="18">
        <v>29.59</v>
      </c>
      <c r="M39" s="14" t="s">
        <v>52</v>
      </c>
      <c r="N39" s="14" t="s">
        <v>89</v>
      </c>
      <c r="O39" s="14" t="s">
        <v>54</v>
      </c>
      <c r="P39" s="14" t="s">
        <v>90</v>
      </c>
      <c r="Q39" s="14" t="s">
        <v>91</v>
      </c>
      <c r="R39" s="14" t="s">
        <v>566</v>
      </c>
      <c r="S39" s="14" t="s">
        <v>568</v>
      </c>
      <c r="T39" s="14">
        <f t="shared" si="3"/>
        <v>5</v>
      </c>
      <c r="U39" s="14">
        <v>0</v>
      </c>
      <c r="V39" s="14" t="s">
        <v>61</v>
      </c>
      <c r="W39" s="14" t="s">
        <v>62</v>
      </c>
    </row>
    <row r="40" spans="1:23" s="14" customFormat="1" x14ac:dyDescent="0.2">
      <c r="A40" s="14" t="s">
        <v>559</v>
      </c>
      <c r="B40" s="14">
        <v>1174646</v>
      </c>
      <c r="C40" s="14" t="s">
        <v>95</v>
      </c>
      <c r="D40" s="14" t="s">
        <v>518</v>
      </c>
      <c r="E40" s="14">
        <v>18828278</v>
      </c>
      <c r="F40" s="14" t="s">
        <v>96</v>
      </c>
      <c r="G40" s="18">
        <v>23</v>
      </c>
      <c r="H40" s="18">
        <v>0</v>
      </c>
      <c r="I40" s="18">
        <v>-34.590000000000003</v>
      </c>
      <c r="J40" s="18">
        <v>150.41</v>
      </c>
      <c r="K40" s="18">
        <v>150.41</v>
      </c>
      <c r="L40" s="18">
        <v>34.590000000000003</v>
      </c>
      <c r="M40" s="14" t="s">
        <v>52</v>
      </c>
      <c r="N40" s="14" t="s">
        <v>89</v>
      </c>
      <c r="O40" s="14" t="s">
        <v>54</v>
      </c>
      <c r="P40" s="14" t="s">
        <v>90</v>
      </c>
      <c r="Q40" s="14" t="s">
        <v>91</v>
      </c>
      <c r="R40" s="14" t="s">
        <v>566</v>
      </c>
      <c r="S40" s="14" t="s">
        <v>568</v>
      </c>
      <c r="T40" s="14">
        <f t="shared" si="3"/>
        <v>5</v>
      </c>
      <c r="U40" s="14">
        <v>0</v>
      </c>
      <c r="V40" s="14" t="s">
        <v>61</v>
      </c>
      <c r="W40" s="14" t="s">
        <v>62</v>
      </c>
    </row>
    <row r="41" spans="1:23" s="14" customFormat="1" x14ac:dyDescent="0.2">
      <c r="A41" s="11" t="s">
        <v>564</v>
      </c>
      <c r="B41" s="11">
        <v>606680</v>
      </c>
      <c r="C41" s="11" t="s">
        <v>344</v>
      </c>
      <c r="D41" s="11" t="s">
        <v>521</v>
      </c>
      <c r="E41" s="11">
        <v>8977234</v>
      </c>
      <c r="F41" s="11" t="s">
        <v>345</v>
      </c>
      <c r="G41" s="17">
        <v>67.5</v>
      </c>
      <c r="H41" s="17">
        <v>0</v>
      </c>
      <c r="I41" s="17">
        <v>-69.819999999999993</v>
      </c>
      <c r="J41" s="17">
        <v>103.44</v>
      </c>
      <c r="K41" s="17">
        <v>103.44</v>
      </c>
      <c r="L41" s="17">
        <v>69.819999999999993</v>
      </c>
      <c r="M41" s="11" t="s">
        <v>346</v>
      </c>
      <c r="N41" s="11" t="s">
        <v>99</v>
      </c>
      <c r="O41" s="11" t="s">
        <v>119</v>
      </c>
      <c r="P41" s="11" t="s">
        <v>347</v>
      </c>
      <c r="Q41" s="11" t="s">
        <v>135</v>
      </c>
      <c r="R41" s="11" t="s">
        <v>565</v>
      </c>
      <c r="S41" s="11" t="s">
        <v>568</v>
      </c>
      <c r="T41" s="11">
        <f t="shared" si="3"/>
        <v>5</v>
      </c>
      <c r="U41" s="11">
        <v>44</v>
      </c>
      <c r="V41" s="11" t="s">
        <v>61</v>
      </c>
      <c r="W41" s="11" t="s">
        <v>62</v>
      </c>
    </row>
    <row r="42" spans="1:23" s="14" customFormat="1" x14ac:dyDescent="0.2">
      <c r="A42" s="11" t="s">
        <v>552</v>
      </c>
      <c r="B42" s="11">
        <v>606680</v>
      </c>
      <c r="C42" s="11" t="s">
        <v>348</v>
      </c>
      <c r="D42" s="11" t="s">
        <v>521</v>
      </c>
      <c r="E42" s="11">
        <v>8977234</v>
      </c>
      <c r="F42" s="11" t="s">
        <v>349</v>
      </c>
      <c r="G42" s="17">
        <v>150</v>
      </c>
      <c r="H42" s="17">
        <v>0</v>
      </c>
      <c r="I42" s="17">
        <v>-115.02</v>
      </c>
      <c r="J42" s="17">
        <v>76.680000000000007</v>
      </c>
      <c r="K42" s="17">
        <v>76.680000000000007</v>
      </c>
      <c r="L42" s="17">
        <v>115.02</v>
      </c>
      <c r="M42" s="11" t="s">
        <v>52</v>
      </c>
      <c r="N42" s="11" t="s">
        <v>140</v>
      </c>
      <c r="O42" s="11" t="s">
        <v>123</v>
      </c>
      <c r="P42" s="11" t="s">
        <v>269</v>
      </c>
      <c r="Q42" s="11" t="s">
        <v>157</v>
      </c>
      <c r="R42" s="11" t="s">
        <v>565</v>
      </c>
      <c r="S42" s="11" t="s">
        <v>568</v>
      </c>
      <c r="T42" s="11">
        <f t="shared" si="3"/>
        <v>5</v>
      </c>
      <c r="U42" s="11">
        <v>40</v>
      </c>
      <c r="V42" s="11" t="s">
        <v>61</v>
      </c>
      <c r="W42" s="11" t="s">
        <v>62</v>
      </c>
    </row>
    <row r="43" spans="1:23" x14ac:dyDescent="0.2">
      <c r="A43" s="11" t="s">
        <v>558</v>
      </c>
      <c r="B43" s="11">
        <v>957310</v>
      </c>
      <c r="C43" s="11" t="s">
        <v>211</v>
      </c>
      <c r="D43" s="11" t="s">
        <v>523</v>
      </c>
      <c r="E43" s="11">
        <v>19278370</v>
      </c>
      <c r="F43" s="11" t="s">
        <v>212</v>
      </c>
      <c r="G43" s="17">
        <v>21.5</v>
      </c>
      <c r="H43" s="17">
        <v>0</v>
      </c>
      <c r="I43" s="17">
        <v>-39.9</v>
      </c>
      <c r="J43" s="17">
        <v>185.59</v>
      </c>
      <c r="K43" s="17">
        <v>185.59</v>
      </c>
      <c r="L43" s="17">
        <v>39.9</v>
      </c>
      <c r="M43" s="11" t="s">
        <v>129</v>
      </c>
      <c r="N43" s="11" t="s">
        <v>53</v>
      </c>
      <c r="O43" s="11" t="s">
        <v>130</v>
      </c>
      <c r="P43" s="11" t="s">
        <v>90</v>
      </c>
      <c r="Q43" s="11" t="s">
        <v>67</v>
      </c>
      <c r="R43" s="11" t="s">
        <v>565</v>
      </c>
      <c r="S43" s="11" t="s">
        <v>568</v>
      </c>
      <c r="T43" s="11">
        <f t="shared" si="3"/>
        <v>6</v>
      </c>
      <c r="U43" s="11">
        <v>0</v>
      </c>
      <c r="V43" s="11" t="s">
        <v>61</v>
      </c>
      <c r="W43" s="11" t="s">
        <v>62</v>
      </c>
    </row>
    <row r="44" spans="1:23" x14ac:dyDescent="0.2">
      <c r="A44" s="11" t="s">
        <v>550</v>
      </c>
      <c r="B44" s="11">
        <v>806149</v>
      </c>
      <c r="C44" s="11" t="s">
        <v>439</v>
      </c>
      <c r="D44" s="11" t="s">
        <v>535</v>
      </c>
      <c r="E44" s="11">
        <v>18598357</v>
      </c>
      <c r="F44" s="11" t="s">
        <v>440</v>
      </c>
      <c r="G44" s="17">
        <v>20</v>
      </c>
      <c r="H44" s="17">
        <v>0</v>
      </c>
      <c r="I44" s="17">
        <v>-6.78</v>
      </c>
      <c r="J44" s="17">
        <v>33.909999999999997</v>
      </c>
      <c r="K44" s="17">
        <v>33.909999999999997</v>
      </c>
      <c r="L44" s="17">
        <v>6.78</v>
      </c>
      <c r="M44" s="11" t="s">
        <v>129</v>
      </c>
      <c r="N44" s="11" t="s">
        <v>53</v>
      </c>
      <c r="O44" s="11" t="s">
        <v>441</v>
      </c>
      <c r="P44" s="11" t="s">
        <v>442</v>
      </c>
      <c r="Q44" s="11" t="s">
        <v>443</v>
      </c>
      <c r="R44" s="11" t="s">
        <v>565</v>
      </c>
      <c r="S44" s="11" t="s">
        <v>568</v>
      </c>
      <c r="T44" s="11">
        <f t="shared" si="3"/>
        <v>6</v>
      </c>
      <c r="U44" s="11">
        <v>0</v>
      </c>
      <c r="V44" s="11" t="s">
        <v>61</v>
      </c>
      <c r="W44" s="11" t="s">
        <v>62</v>
      </c>
    </row>
    <row r="45" spans="1:23" x14ac:dyDescent="0.2">
      <c r="A45" s="11" t="s">
        <v>564</v>
      </c>
      <c r="B45" s="11">
        <v>893387</v>
      </c>
      <c r="C45" s="11" t="s">
        <v>314</v>
      </c>
      <c r="D45" s="11" t="s">
        <v>519</v>
      </c>
      <c r="E45" s="11">
        <v>8307933</v>
      </c>
      <c r="F45" s="11" t="s">
        <v>315</v>
      </c>
      <c r="G45" s="17">
        <v>67.5</v>
      </c>
      <c r="H45" s="17">
        <v>0</v>
      </c>
      <c r="I45" s="17">
        <v>-69.59</v>
      </c>
      <c r="J45" s="17">
        <v>103.09</v>
      </c>
      <c r="K45" s="17">
        <v>103.09</v>
      </c>
      <c r="L45" s="17">
        <v>69.59</v>
      </c>
      <c r="M45" s="11" t="s">
        <v>52</v>
      </c>
      <c r="N45" s="11" t="s">
        <v>140</v>
      </c>
      <c r="O45" s="11" t="s">
        <v>119</v>
      </c>
      <c r="P45" s="11" t="s">
        <v>313</v>
      </c>
      <c r="Q45" s="11" t="s">
        <v>157</v>
      </c>
      <c r="R45" s="11" t="s">
        <v>565</v>
      </c>
      <c r="S45" s="11" t="s">
        <v>568</v>
      </c>
      <c r="T45" s="11">
        <f t="shared" si="3"/>
        <v>6</v>
      </c>
      <c r="U45" s="11">
        <v>75</v>
      </c>
      <c r="V45" s="11" t="s">
        <v>61</v>
      </c>
      <c r="W45" s="11" t="s">
        <v>62</v>
      </c>
    </row>
    <row r="46" spans="1:23" x14ac:dyDescent="0.2">
      <c r="A46" s="11" t="s">
        <v>564</v>
      </c>
      <c r="B46" s="11">
        <v>893387</v>
      </c>
      <c r="C46" s="11" t="s">
        <v>311</v>
      </c>
      <c r="D46" s="11" t="s">
        <v>519</v>
      </c>
      <c r="E46" s="11">
        <v>8307933</v>
      </c>
      <c r="F46" s="11" t="s">
        <v>312</v>
      </c>
      <c r="G46" s="17">
        <v>67.5</v>
      </c>
      <c r="H46" s="17">
        <v>0</v>
      </c>
      <c r="I46" s="17">
        <v>-149.13</v>
      </c>
      <c r="J46" s="17">
        <v>220.93</v>
      </c>
      <c r="K46" s="17">
        <v>220.93</v>
      </c>
      <c r="L46" s="17">
        <v>149.13</v>
      </c>
      <c r="M46" s="11" t="s">
        <v>52</v>
      </c>
      <c r="N46" s="11" t="s">
        <v>140</v>
      </c>
      <c r="O46" s="11" t="s">
        <v>119</v>
      </c>
      <c r="P46" s="11" t="s">
        <v>313</v>
      </c>
      <c r="Q46" s="11" t="s">
        <v>157</v>
      </c>
      <c r="R46" s="11" t="s">
        <v>565</v>
      </c>
      <c r="S46" s="11" t="s">
        <v>568</v>
      </c>
      <c r="T46" s="11">
        <f t="shared" si="3"/>
        <v>6</v>
      </c>
      <c r="U46" s="11">
        <v>75</v>
      </c>
      <c r="V46" s="11" t="s">
        <v>61</v>
      </c>
      <c r="W46" s="11" t="s">
        <v>62</v>
      </c>
    </row>
    <row r="47" spans="1:23" x14ac:dyDescent="0.2">
      <c r="A47" s="11" t="s">
        <v>552</v>
      </c>
      <c r="B47" s="11">
        <v>893387</v>
      </c>
      <c r="C47" s="11" t="s">
        <v>316</v>
      </c>
      <c r="D47" s="11" t="s">
        <v>519</v>
      </c>
      <c r="E47" s="11">
        <v>8307933</v>
      </c>
      <c r="F47" s="11" t="s">
        <v>317</v>
      </c>
      <c r="G47" s="17">
        <v>150</v>
      </c>
      <c r="H47" s="17">
        <v>0</v>
      </c>
      <c r="I47" s="17">
        <v>-307.38</v>
      </c>
      <c r="J47" s="17">
        <v>204.92</v>
      </c>
      <c r="K47" s="17">
        <v>204.92</v>
      </c>
      <c r="L47" s="17">
        <v>307.38</v>
      </c>
      <c r="M47" s="11" t="s">
        <v>122</v>
      </c>
      <c r="N47" s="11" t="s">
        <v>99</v>
      </c>
      <c r="O47" s="11" t="s">
        <v>123</v>
      </c>
      <c r="P47" s="11" t="s">
        <v>318</v>
      </c>
      <c r="Q47" s="11" t="s">
        <v>143</v>
      </c>
      <c r="R47" s="11" t="s">
        <v>565</v>
      </c>
      <c r="S47" s="11" t="s">
        <v>568</v>
      </c>
      <c r="T47" s="11">
        <f t="shared" si="3"/>
        <v>6</v>
      </c>
      <c r="U47" s="11">
        <v>78</v>
      </c>
      <c r="V47" s="11" t="s">
        <v>61</v>
      </c>
      <c r="W47" s="11" t="s">
        <v>62</v>
      </c>
    </row>
    <row r="48" spans="1:23" x14ac:dyDescent="0.2">
      <c r="A48" s="11" t="s">
        <v>546</v>
      </c>
      <c r="B48" s="11">
        <v>894080</v>
      </c>
      <c r="C48" s="11" t="s">
        <v>465</v>
      </c>
      <c r="D48" s="11" t="s">
        <v>538</v>
      </c>
      <c r="E48" s="11">
        <v>18754354</v>
      </c>
      <c r="F48" s="11" t="s">
        <v>466</v>
      </c>
      <c r="G48" s="17">
        <v>52</v>
      </c>
      <c r="H48" s="17">
        <v>0</v>
      </c>
      <c r="I48" s="17">
        <v>-32.93</v>
      </c>
      <c r="J48" s="17">
        <v>63.32</v>
      </c>
      <c r="K48" s="17">
        <v>63.32</v>
      </c>
      <c r="L48" s="17">
        <v>32.93</v>
      </c>
      <c r="M48" s="11" t="s">
        <v>436</v>
      </c>
      <c r="N48" s="11" t="s">
        <v>53</v>
      </c>
      <c r="O48" s="11" t="s">
        <v>412</v>
      </c>
      <c r="P48" s="11" t="s">
        <v>467</v>
      </c>
      <c r="Q48" s="11" t="s">
        <v>468</v>
      </c>
      <c r="R48" s="11" t="s">
        <v>565</v>
      </c>
      <c r="S48" s="11" t="s">
        <v>568</v>
      </c>
      <c r="T48" s="11">
        <f t="shared" si="3"/>
        <v>6</v>
      </c>
      <c r="U48" s="11">
        <v>0</v>
      </c>
      <c r="V48" s="11" t="s">
        <v>61</v>
      </c>
      <c r="W48" s="11" t="s">
        <v>62</v>
      </c>
    </row>
    <row r="49" spans="1:23" x14ac:dyDescent="0.2">
      <c r="A49" s="11" t="s">
        <v>551</v>
      </c>
      <c r="B49" s="11">
        <v>1093959</v>
      </c>
      <c r="C49" s="11" t="s">
        <v>406</v>
      </c>
      <c r="D49" s="11" t="s">
        <v>532</v>
      </c>
      <c r="E49" s="11">
        <v>21345012</v>
      </c>
      <c r="F49" s="11" t="s">
        <v>407</v>
      </c>
      <c r="G49" s="17">
        <v>25</v>
      </c>
      <c r="H49" s="17">
        <v>0</v>
      </c>
      <c r="I49" s="17">
        <v>-8.36</v>
      </c>
      <c r="J49" s="17">
        <v>33.44</v>
      </c>
      <c r="K49" s="17">
        <v>33.44</v>
      </c>
      <c r="L49" s="17">
        <v>8.36</v>
      </c>
      <c r="M49" s="11" t="s">
        <v>302</v>
      </c>
      <c r="N49" s="11" t="s">
        <v>99</v>
      </c>
      <c r="O49" s="11" t="s">
        <v>119</v>
      </c>
      <c r="P49" s="11" t="s">
        <v>90</v>
      </c>
      <c r="Q49" s="11" t="s">
        <v>67</v>
      </c>
      <c r="R49" s="11" t="s">
        <v>565</v>
      </c>
      <c r="S49" s="11" t="s">
        <v>568</v>
      </c>
      <c r="T49" s="11">
        <f t="shared" si="3"/>
        <v>6</v>
      </c>
      <c r="U49" s="11">
        <v>100</v>
      </c>
      <c r="V49" s="11" t="s">
        <v>61</v>
      </c>
      <c r="W49" s="11" t="s">
        <v>62</v>
      </c>
    </row>
    <row r="50" spans="1:23" x14ac:dyDescent="0.2">
      <c r="A50" s="14" t="s">
        <v>559</v>
      </c>
      <c r="B50" s="14">
        <v>1174646</v>
      </c>
      <c r="C50" s="14" t="s">
        <v>92</v>
      </c>
      <c r="D50" s="14" t="s">
        <v>518</v>
      </c>
      <c r="E50" s="14">
        <v>18828278</v>
      </c>
      <c r="F50" s="14" t="s">
        <v>93</v>
      </c>
      <c r="G50" s="18">
        <v>23</v>
      </c>
      <c r="H50" s="18">
        <v>0</v>
      </c>
      <c r="I50" s="18">
        <v>-29.76</v>
      </c>
      <c r="J50" s="18">
        <v>129.38999999999999</v>
      </c>
      <c r="K50" s="18">
        <v>129.38999999999999</v>
      </c>
      <c r="L50" s="18">
        <v>29.76</v>
      </c>
      <c r="M50" s="14" t="s">
        <v>52</v>
      </c>
      <c r="N50" s="14" t="s">
        <v>89</v>
      </c>
      <c r="O50" s="14" t="s">
        <v>54</v>
      </c>
      <c r="P50" s="14" t="s">
        <v>94</v>
      </c>
      <c r="Q50" s="14" t="s">
        <v>91</v>
      </c>
      <c r="R50" s="14" t="s">
        <v>566</v>
      </c>
      <c r="S50" s="14" t="s">
        <v>568</v>
      </c>
      <c r="T50" s="14">
        <f t="shared" si="3"/>
        <v>6</v>
      </c>
      <c r="U50" s="14">
        <v>0</v>
      </c>
      <c r="V50" s="14" t="s">
        <v>61</v>
      </c>
      <c r="W50" s="14" t="s">
        <v>62</v>
      </c>
    </row>
    <row r="51" spans="1:23" x14ac:dyDescent="0.2">
      <c r="A51" s="11" t="s">
        <v>564</v>
      </c>
      <c r="B51" s="11">
        <v>606680</v>
      </c>
      <c r="C51" s="11" t="s">
        <v>256</v>
      </c>
      <c r="D51" s="11" t="s">
        <v>521</v>
      </c>
      <c r="E51" s="11">
        <v>8977234</v>
      </c>
      <c r="F51" s="11" t="s">
        <v>257</v>
      </c>
      <c r="G51" s="17">
        <v>67.5</v>
      </c>
      <c r="H51" s="17">
        <v>0</v>
      </c>
      <c r="I51" s="17">
        <v>-51.4</v>
      </c>
      <c r="J51" s="17">
        <v>76.150000000000006</v>
      </c>
      <c r="K51" s="17">
        <v>76.150000000000006</v>
      </c>
      <c r="L51" s="17">
        <v>51.4</v>
      </c>
      <c r="M51" s="11" t="s">
        <v>76</v>
      </c>
      <c r="N51" s="11" t="s">
        <v>99</v>
      </c>
      <c r="O51" s="11" t="s">
        <v>119</v>
      </c>
      <c r="P51" s="11" t="s">
        <v>90</v>
      </c>
      <c r="Q51" s="11" t="s">
        <v>67</v>
      </c>
      <c r="R51" s="11" t="s">
        <v>565</v>
      </c>
      <c r="S51" s="11" t="s">
        <v>568</v>
      </c>
      <c r="T51" s="11">
        <f t="shared" si="3"/>
        <v>6</v>
      </c>
      <c r="U51" s="11">
        <v>260</v>
      </c>
      <c r="V51" s="11" t="s">
        <v>61</v>
      </c>
      <c r="W51" s="11" t="s">
        <v>62</v>
      </c>
    </row>
    <row r="52" spans="1:23" x14ac:dyDescent="0.2">
      <c r="A52" s="11" t="s">
        <v>564</v>
      </c>
      <c r="B52" s="11">
        <v>606680</v>
      </c>
      <c r="C52" s="11" t="s">
        <v>396</v>
      </c>
      <c r="D52" s="11" t="s">
        <v>521</v>
      </c>
      <c r="E52" s="11">
        <v>8977234</v>
      </c>
      <c r="F52" s="11" t="s">
        <v>397</v>
      </c>
      <c r="G52" s="17">
        <v>67.5</v>
      </c>
      <c r="H52" s="17">
        <v>0</v>
      </c>
      <c r="I52" s="17">
        <v>-104.46</v>
      </c>
      <c r="J52" s="17">
        <v>154.76</v>
      </c>
      <c r="K52" s="17">
        <v>154.76</v>
      </c>
      <c r="L52" s="17">
        <v>104.46</v>
      </c>
      <c r="M52" s="11" t="s">
        <v>134</v>
      </c>
      <c r="N52" s="11" t="s">
        <v>89</v>
      </c>
      <c r="O52" s="11" t="s">
        <v>119</v>
      </c>
      <c r="P52" s="11" t="s">
        <v>90</v>
      </c>
      <c r="Q52" s="11" t="s">
        <v>67</v>
      </c>
      <c r="R52" s="11" t="s">
        <v>565</v>
      </c>
      <c r="S52" s="11" t="s">
        <v>568</v>
      </c>
      <c r="T52" s="11">
        <f t="shared" si="3"/>
        <v>6</v>
      </c>
      <c r="U52" s="11">
        <v>61</v>
      </c>
      <c r="V52" s="11" t="s">
        <v>61</v>
      </c>
      <c r="W52" s="11" t="s">
        <v>62</v>
      </c>
    </row>
    <row r="53" spans="1:23" x14ac:dyDescent="0.2">
      <c r="A53" s="11" t="s">
        <v>564</v>
      </c>
      <c r="B53" s="11">
        <v>606680</v>
      </c>
      <c r="C53" s="11" t="s">
        <v>361</v>
      </c>
      <c r="D53" s="11" t="s">
        <v>521</v>
      </c>
      <c r="E53" s="11">
        <v>8977234</v>
      </c>
      <c r="F53" s="11" t="s">
        <v>362</v>
      </c>
      <c r="G53" s="17">
        <v>67.5</v>
      </c>
      <c r="H53" s="17">
        <v>0</v>
      </c>
      <c r="I53" s="17">
        <v>-110.46</v>
      </c>
      <c r="J53" s="17">
        <v>163.63999999999999</v>
      </c>
      <c r="K53" s="17">
        <v>163.63999999999999</v>
      </c>
      <c r="L53" s="17">
        <v>110.46</v>
      </c>
      <c r="M53" s="11" t="s">
        <v>338</v>
      </c>
      <c r="N53" s="11" t="s">
        <v>89</v>
      </c>
      <c r="O53" s="11" t="s">
        <v>119</v>
      </c>
      <c r="P53" s="11" t="s">
        <v>352</v>
      </c>
      <c r="Q53" s="11" t="s">
        <v>135</v>
      </c>
      <c r="R53" s="11" t="s">
        <v>565</v>
      </c>
      <c r="S53" s="11" t="s">
        <v>568</v>
      </c>
      <c r="T53" s="11">
        <f t="shared" si="3"/>
        <v>6</v>
      </c>
      <c r="U53" s="11">
        <v>75</v>
      </c>
      <c r="V53" s="11" t="s">
        <v>61</v>
      </c>
      <c r="W53" s="11" t="s">
        <v>62</v>
      </c>
    </row>
    <row r="54" spans="1:23" x14ac:dyDescent="0.2">
      <c r="A54" s="11" t="s">
        <v>564</v>
      </c>
      <c r="B54" s="11">
        <v>606680</v>
      </c>
      <c r="C54" s="11" t="s">
        <v>401</v>
      </c>
      <c r="D54" s="11" t="s">
        <v>521</v>
      </c>
      <c r="E54" s="11">
        <v>8977234</v>
      </c>
      <c r="F54" s="11" t="s">
        <v>402</v>
      </c>
      <c r="G54" s="17">
        <v>67.5</v>
      </c>
      <c r="H54" s="17">
        <v>0</v>
      </c>
      <c r="I54" s="17">
        <v>-117.97</v>
      </c>
      <c r="J54" s="17">
        <v>174.77</v>
      </c>
      <c r="K54" s="17">
        <v>174.77</v>
      </c>
      <c r="L54" s="17">
        <v>117.97</v>
      </c>
      <c r="M54" s="11" t="s">
        <v>52</v>
      </c>
      <c r="N54" s="11" t="s">
        <v>89</v>
      </c>
      <c r="O54" s="11" t="s">
        <v>119</v>
      </c>
      <c r="P54" s="11" t="s">
        <v>90</v>
      </c>
      <c r="Q54" s="11" t="s">
        <v>67</v>
      </c>
      <c r="R54" s="11" t="s">
        <v>565</v>
      </c>
      <c r="S54" s="11" t="s">
        <v>568</v>
      </c>
      <c r="T54" s="11">
        <f t="shared" si="3"/>
        <v>6</v>
      </c>
      <c r="U54" s="11">
        <v>43</v>
      </c>
      <c r="V54" s="11" t="s">
        <v>61</v>
      </c>
      <c r="W54" s="11" t="s">
        <v>62</v>
      </c>
    </row>
    <row r="55" spans="1:23" x14ac:dyDescent="0.2">
      <c r="A55" s="11" t="s">
        <v>564</v>
      </c>
      <c r="B55" s="11">
        <v>606680</v>
      </c>
      <c r="C55" s="11" t="s">
        <v>363</v>
      </c>
      <c r="D55" s="11" t="s">
        <v>521</v>
      </c>
      <c r="E55" s="11">
        <v>8977234</v>
      </c>
      <c r="F55" s="11" t="s">
        <v>364</v>
      </c>
      <c r="G55" s="17">
        <v>67.5</v>
      </c>
      <c r="H55" s="17">
        <v>0</v>
      </c>
      <c r="I55" s="17">
        <v>-133.01</v>
      </c>
      <c r="J55" s="17">
        <v>197.05</v>
      </c>
      <c r="K55" s="17">
        <v>197.05</v>
      </c>
      <c r="L55" s="17">
        <v>133.01</v>
      </c>
      <c r="M55" s="11" t="s">
        <v>338</v>
      </c>
      <c r="N55" s="11" t="s">
        <v>89</v>
      </c>
      <c r="O55" s="11" t="s">
        <v>119</v>
      </c>
      <c r="P55" s="11" t="s">
        <v>352</v>
      </c>
      <c r="Q55" s="11" t="s">
        <v>135</v>
      </c>
      <c r="R55" s="11" t="s">
        <v>565</v>
      </c>
      <c r="S55" s="11" t="s">
        <v>568</v>
      </c>
      <c r="T55" s="11">
        <f t="shared" si="3"/>
        <v>6</v>
      </c>
      <c r="U55" s="11">
        <v>75</v>
      </c>
      <c r="V55" s="11" t="s">
        <v>61</v>
      </c>
      <c r="W55" s="11" t="s">
        <v>62</v>
      </c>
    </row>
    <row r="56" spans="1:23" x14ac:dyDescent="0.2">
      <c r="A56" s="11" t="s">
        <v>564</v>
      </c>
      <c r="B56" s="11">
        <v>606680</v>
      </c>
      <c r="C56" s="11" t="s">
        <v>254</v>
      </c>
      <c r="D56" s="11" t="s">
        <v>521</v>
      </c>
      <c r="E56" s="11">
        <v>8977234</v>
      </c>
      <c r="F56" s="11" t="s">
        <v>255</v>
      </c>
      <c r="G56" s="17">
        <v>67.5</v>
      </c>
      <c r="H56" s="17">
        <v>0</v>
      </c>
      <c r="I56" s="17">
        <v>-170.62</v>
      </c>
      <c r="J56" s="17">
        <v>252.77</v>
      </c>
      <c r="K56" s="17">
        <v>252.77</v>
      </c>
      <c r="L56" s="17">
        <v>170.62</v>
      </c>
      <c r="M56" s="11" t="s">
        <v>52</v>
      </c>
      <c r="N56" s="11" t="s">
        <v>89</v>
      </c>
      <c r="O56" s="11" t="s">
        <v>119</v>
      </c>
      <c r="P56" s="11" t="s">
        <v>90</v>
      </c>
      <c r="Q56" s="11" t="s">
        <v>67</v>
      </c>
      <c r="R56" s="11" t="s">
        <v>565</v>
      </c>
      <c r="S56" s="11" t="s">
        <v>568</v>
      </c>
      <c r="T56" s="11">
        <f t="shared" si="3"/>
        <v>6</v>
      </c>
      <c r="U56" s="11">
        <v>60</v>
      </c>
      <c r="V56" s="11" t="s">
        <v>61</v>
      </c>
      <c r="W56" s="11" t="s">
        <v>62</v>
      </c>
    </row>
    <row r="57" spans="1:23" x14ac:dyDescent="0.2">
      <c r="A57" s="11" t="s">
        <v>564</v>
      </c>
      <c r="B57" s="11">
        <v>606680</v>
      </c>
      <c r="C57" s="11" t="s">
        <v>390</v>
      </c>
      <c r="D57" s="11" t="s">
        <v>521</v>
      </c>
      <c r="E57" s="11">
        <v>8977234</v>
      </c>
      <c r="F57" s="11" t="s">
        <v>391</v>
      </c>
      <c r="G57" s="17">
        <v>67.5</v>
      </c>
      <c r="H57" s="17">
        <v>0</v>
      </c>
      <c r="I57" s="17">
        <v>-179.46</v>
      </c>
      <c r="J57" s="17">
        <v>265.86</v>
      </c>
      <c r="K57" s="17">
        <v>265.86</v>
      </c>
      <c r="L57" s="17">
        <v>179.46</v>
      </c>
      <c r="M57" s="11" t="s">
        <v>52</v>
      </c>
      <c r="N57" s="11" t="s">
        <v>89</v>
      </c>
      <c r="O57" s="11" t="s">
        <v>119</v>
      </c>
      <c r="P57" s="11" t="s">
        <v>90</v>
      </c>
      <c r="Q57" s="11" t="s">
        <v>67</v>
      </c>
      <c r="R57" s="11" t="s">
        <v>565</v>
      </c>
      <c r="S57" s="11" t="s">
        <v>568</v>
      </c>
      <c r="T57" s="11">
        <f t="shared" si="3"/>
        <v>6</v>
      </c>
      <c r="U57" s="11">
        <v>60</v>
      </c>
      <c r="V57" s="11" t="s">
        <v>61</v>
      </c>
      <c r="W57" s="11" t="s">
        <v>62</v>
      </c>
    </row>
    <row r="58" spans="1:23" x14ac:dyDescent="0.2">
      <c r="A58" s="11" t="s">
        <v>553</v>
      </c>
      <c r="B58" s="11">
        <v>606680</v>
      </c>
      <c r="C58" s="11" t="s">
        <v>398</v>
      </c>
      <c r="D58" s="11" t="s">
        <v>521</v>
      </c>
      <c r="E58" s="11">
        <v>8977234</v>
      </c>
      <c r="F58" s="11" t="s">
        <v>399</v>
      </c>
      <c r="G58" s="17">
        <v>135</v>
      </c>
      <c r="H58" s="17">
        <v>0</v>
      </c>
      <c r="I58" s="17">
        <v>-280.44</v>
      </c>
      <c r="J58" s="17">
        <v>207.73</v>
      </c>
      <c r="K58" s="17">
        <v>207.73</v>
      </c>
      <c r="L58" s="17">
        <v>280.44</v>
      </c>
      <c r="M58" s="11" t="s">
        <v>400</v>
      </c>
      <c r="N58" s="11" t="s">
        <v>89</v>
      </c>
      <c r="O58" s="11" t="s">
        <v>119</v>
      </c>
      <c r="P58" s="11" t="s">
        <v>90</v>
      </c>
      <c r="Q58" s="11" t="s">
        <v>67</v>
      </c>
      <c r="R58" s="11" t="s">
        <v>565</v>
      </c>
      <c r="S58" s="11" t="s">
        <v>568</v>
      </c>
      <c r="T58" s="11">
        <f t="shared" si="3"/>
        <v>6</v>
      </c>
      <c r="U58" s="11">
        <v>60</v>
      </c>
      <c r="V58" s="11" t="s">
        <v>61</v>
      </c>
      <c r="W58" s="11" t="s">
        <v>62</v>
      </c>
    </row>
    <row r="59" spans="1:23" x14ac:dyDescent="0.2">
      <c r="A59" s="11" t="s">
        <v>552</v>
      </c>
      <c r="B59" s="11">
        <v>606680</v>
      </c>
      <c r="C59" s="11" t="s">
        <v>350</v>
      </c>
      <c r="D59" s="11" t="s">
        <v>521</v>
      </c>
      <c r="E59" s="11">
        <v>8977234</v>
      </c>
      <c r="F59" s="11" t="s">
        <v>351</v>
      </c>
      <c r="G59" s="17">
        <v>150</v>
      </c>
      <c r="H59" s="17">
        <v>0</v>
      </c>
      <c r="I59" s="17">
        <v>-112.79</v>
      </c>
      <c r="J59" s="17">
        <v>75.19</v>
      </c>
      <c r="K59" s="17">
        <v>75.19</v>
      </c>
      <c r="L59" s="17">
        <v>112.79</v>
      </c>
      <c r="M59" s="11" t="s">
        <v>166</v>
      </c>
      <c r="N59" s="11" t="s">
        <v>89</v>
      </c>
      <c r="O59" s="11" t="s">
        <v>123</v>
      </c>
      <c r="P59" s="11" t="s">
        <v>352</v>
      </c>
      <c r="Q59" s="11" t="s">
        <v>135</v>
      </c>
      <c r="R59" s="11" t="s">
        <v>565</v>
      </c>
      <c r="S59" s="11" t="s">
        <v>568</v>
      </c>
      <c r="T59" s="11">
        <f t="shared" si="3"/>
        <v>6</v>
      </c>
      <c r="U59" s="11">
        <v>80</v>
      </c>
      <c r="V59" s="11" t="s">
        <v>61</v>
      </c>
      <c r="W59" s="11" t="s">
        <v>62</v>
      </c>
    </row>
    <row r="60" spans="1:23" x14ac:dyDescent="0.2">
      <c r="A60" s="11" t="s">
        <v>552</v>
      </c>
      <c r="B60" s="11">
        <v>606680</v>
      </c>
      <c r="C60" s="11" t="s">
        <v>359</v>
      </c>
      <c r="D60" s="11" t="s">
        <v>521</v>
      </c>
      <c r="E60" s="11">
        <v>8977234</v>
      </c>
      <c r="F60" s="11" t="s">
        <v>360</v>
      </c>
      <c r="G60" s="17">
        <v>150</v>
      </c>
      <c r="H60" s="17">
        <v>0</v>
      </c>
      <c r="I60" s="17">
        <v>-199.65</v>
      </c>
      <c r="J60" s="17">
        <v>133.1</v>
      </c>
      <c r="K60" s="17">
        <v>133.1</v>
      </c>
      <c r="L60" s="17">
        <v>199.65</v>
      </c>
      <c r="M60" s="11" t="s">
        <v>166</v>
      </c>
      <c r="N60" s="11" t="s">
        <v>99</v>
      </c>
      <c r="O60" s="11" t="s">
        <v>123</v>
      </c>
      <c r="P60" s="11" t="s">
        <v>352</v>
      </c>
      <c r="Q60" s="11" t="s">
        <v>135</v>
      </c>
      <c r="R60" s="11" t="s">
        <v>565</v>
      </c>
      <c r="S60" s="11" t="s">
        <v>568</v>
      </c>
      <c r="T60" s="11">
        <f t="shared" si="3"/>
        <v>6</v>
      </c>
      <c r="U60" s="11">
        <v>110</v>
      </c>
      <c r="V60" s="11" t="s">
        <v>61</v>
      </c>
      <c r="W60" s="11" t="s">
        <v>62</v>
      </c>
    </row>
    <row r="61" spans="1:23" x14ac:dyDescent="0.2">
      <c r="A61" s="11" t="s">
        <v>552</v>
      </c>
      <c r="B61" s="11">
        <v>606680</v>
      </c>
      <c r="C61" s="11" t="s">
        <v>353</v>
      </c>
      <c r="D61" s="11" t="s">
        <v>521</v>
      </c>
      <c r="E61" s="11">
        <v>8977234</v>
      </c>
      <c r="F61" s="11" t="s">
        <v>354</v>
      </c>
      <c r="G61" s="17">
        <v>150</v>
      </c>
      <c r="H61" s="17">
        <v>0</v>
      </c>
      <c r="I61" s="17">
        <v>-224.16</v>
      </c>
      <c r="J61" s="17">
        <v>149.44</v>
      </c>
      <c r="K61" s="17">
        <v>149.44</v>
      </c>
      <c r="L61" s="17">
        <v>224.16</v>
      </c>
      <c r="M61" s="11" t="s">
        <v>166</v>
      </c>
      <c r="N61" s="11" t="s">
        <v>89</v>
      </c>
      <c r="O61" s="11" t="s">
        <v>123</v>
      </c>
      <c r="P61" s="11" t="s">
        <v>352</v>
      </c>
      <c r="Q61" s="11" t="s">
        <v>135</v>
      </c>
      <c r="R61" s="11" t="s">
        <v>565</v>
      </c>
      <c r="S61" s="11" t="s">
        <v>568</v>
      </c>
      <c r="T61" s="11">
        <f t="shared" si="3"/>
        <v>6</v>
      </c>
      <c r="U61" s="11">
        <v>90</v>
      </c>
      <c r="V61" s="11" t="s">
        <v>61</v>
      </c>
      <c r="W61" s="11" t="s">
        <v>62</v>
      </c>
    </row>
    <row r="62" spans="1:23" x14ac:dyDescent="0.2">
      <c r="A62" s="11" t="s">
        <v>552</v>
      </c>
      <c r="B62" s="11">
        <v>606680</v>
      </c>
      <c r="C62" s="11" t="s">
        <v>355</v>
      </c>
      <c r="D62" s="11" t="s">
        <v>521</v>
      </c>
      <c r="E62" s="11">
        <v>8977234</v>
      </c>
      <c r="F62" s="11" t="s">
        <v>356</v>
      </c>
      <c r="G62" s="17">
        <v>150</v>
      </c>
      <c r="H62" s="17">
        <v>0</v>
      </c>
      <c r="I62" s="17">
        <v>-308.22000000000003</v>
      </c>
      <c r="J62" s="17">
        <v>205.48</v>
      </c>
      <c r="K62" s="17">
        <v>205.48</v>
      </c>
      <c r="L62" s="17">
        <v>308.22000000000003</v>
      </c>
      <c r="M62" s="11" t="s">
        <v>152</v>
      </c>
      <c r="N62" s="11" t="s">
        <v>89</v>
      </c>
      <c r="O62" s="11" t="s">
        <v>123</v>
      </c>
      <c r="P62" s="11" t="s">
        <v>352</v>
      </c>
      <c r="Q62" s="11" t="s">
        <v>135</v>
      </c>
      <c r="R62" s="11" t="s">
        <v>565</v>
      </c>
      <c r="S62" s="11" t="s">
        <v>568</v>
      </c>
      <c r="T62" s="11">
        <f t="shared" si="3"/>
        <v>6</v>
      </c>
      <c r="U62" s="11">
        <v>125</v>
      </c>
      <c r="V62" s="11" t="s">
        <v>61</v>
      </c>
      <c r="W62" s="11" t="s">
        <v>62</v>
      </c>
    </row>
    <row r="63" spans="1:23" x14ac:dyDescent="0.2">
      <c r="A63" s="11" t="s">
        <v>552</v>
      </c>
      <c r="B63" s="11">
        <v>606680</v>
      </c>
      <c r="C63" s="11" t="s">
        <v>357</v>
      </c>
      <c r="D63" s="11" t="s">
        <v>521</v>
      </c>
      <c r="E63" s="11">
        <v>8977234</v>
      </c>
      <c r="F63" s="11" t="s">
        <v>358</v>
      </c>
      <c r="G63" s="17">
        <v>150</v>
      </c>
      <c r="H63" s="17">
        <v>0</v>
      </c>
      <c r="I63" s="17">
        <v>-332.24</v>
      </c>
      <c r="J63" s="17">
        <v>221.49</v>
      </c>
      <c r="K63" s="17">
        <v>221.49</v>
      </c>
      <c r="L63" s="17">
        <v>332.24</v>
      </c>
      <c r="M63" s="11" t="s">
        <v>152</v>
      </c>
      <c r="N63" s="11" t="s">
        <v>99</v>
      </c>
      <c r="O63" s="11" t="s">
        <v>123</v>
      </c>
      <c r="P63" s="11" t="s">
        <v>352</v>
      </c>
      <c r="Q63" s="11" t="s">
        <v>135</v>
      </c>
      <c r="R63" s="11" t="s">
        <v>565</v>
      </c>
      <c r="S63" s="11" t="s">
        <v>568</v>
      </c>
      <c r="T63" s="11">
        <f t="shared" si="3"/>
        <v>6</v>
      </c>
      <c r="U63" s="11">
        <v>135</v>
      </c>
      <c r="V63" s="11" t="s">
        <v>61</v>
      </c>
      <c r="W63" s="11" t="s">
        <v>62</v>
      </c>
    </row>
    <row r="64" spans="1:23" x14ac:dyDescent="0.2">
      <c r="A64" s="11" t="s">
        <v>552</v>
      </c>
      <c r="B64" s="11">
        <v>893387</v>
      </c>
      <c r="C64" s="11" t="s">
        <v>384</v>
      </c>
      <c r="D64" s="11" t="s">
        <v>519</v>
      </c>
      <c r="E64" s="11">
        <v>8307933</v>
      </c>
      <c r="F64" s="11" t="s">
        <v>385</v>
      </c>
      <c r="G64" s="17">
        <v>150</v>
      </c>
      <c r="H64" s="17">
        <v>0</v>
      </c>
      <c r="I64" s="17">
        <v>-47.27</v>
      </c>
      <c r="J64" s="17">
        <v>31.51</v>
      </c>
      <c r="K64" s="17">
        <v>31.51</v>
      </c>
      <c r="L64" s="17">
        <v>47.27</v>
      </c>
      <c r="M64" s="11" t="s">
        <v>122</v>
      </c>
      <c r="N64" s="11" t="s">
        <v>99</v>
      </c>
      <c r="O64" s="11" t="s">
        <v>123</v>
      </c>
      <c r="P64" s="11" t="s">
        <v>321</v>
      </c>
      <c r="Q64" s="11" t="s">
        <v>143</v>
      </c>
      <c r="R64" s="11" t="s">
        <v>565</v>
      </c>
      <c r="S64" s="11" t="s">
        <v>568</v>
      </c>
      <c r="T64" s="11">
        <f t="shared" si="3"/>
        <v>7</v>
      </c>
      <c r="U64" s="11">
        <v>200</v>
      </c>
      <c r="V64" s="11" t="s">
        <v>61</v>
      </c>
      <c r="W64" s="11" t="s">
        <v>62</v>
      </c>
    </row>
    <row r="65" spans="1:23" x14ac:dyDescent="0.2">
      <c r="A65" s="11" t="s">
        <v>552</v>
      </c>
      <c r="B65" s="11">
        <v>893387</v>
      </c>
      <c r="C65" s="11" t="s">
        <v>319</v>
      </c>
      <c r="D65" s="11" t="s">
        <v>519</v>
      </c>
      <c r="E65" s="11">
        <v>8307933</v>
      </c>
      <c r="F65" s="11" t="s">
        <v>320</v>
      </c>
      <c r="G65" s="17">
        <v>150</v>
      </c>
      <c r="H65" s="17">
        <v>0</v>
      </c>
      <c r="I65" s="17">
        <v>-101.46</v>
      </c>
      <c r="J65" s="17">
        <v>67.64</v>
      </c>
      <c r="K65" s="17">
        <v>67.64</v>
      </c>
      <c r="L65" s="17">
        <v>101.46</v>
      </c>
      <c r="M65" s="11" t="s">
        <v>122</v>
      </c>
      <c r="N65" s="11" t="s">
        <v>99</v>
      </c>
      <c r="O65" s="11" t="s">
        <v>123</v>
      </c>
      <c r="P65" s="11" t="s">
        <v>321</v>
      </c>
      <c r="Q65" s="11" t="s">
        <v>143</v>
      </c>
      <c r="R65" s="11" t="s">
        <v>565</v>
      </c>
      <c r="S65" s="11" t="s">
        <v>568</v>
      </c>
      <c r="T65" s="11">
        <f t="shared" si="3"/>
        <v>7</v>
      </c>
      <c r="U65" s="11">
        <v>200</v>
      </c>
      <c r="V65" s="11" t="s">
        <v>61</v>
      </c>
      <c r="W65" s="11" t="s">
        <v>62</v>
      </c>
    </row>
    <row r="66" spans="1:23" x14ac:dyDescent="0.2">
      <c r="A66" s="14" t="s">
        <v>553</v>
      </c>
      <c r="B66" s="14">
        <v>1121105</v>
      </c>
      <c r="C66" s="14" t="s">
        <v>282</v>
      </c>
      <c r="D66" s="14" t="s">
        <v>527</v>
      </c>
      <c r="E66" s="14">
        <v>20999157</v>
      </c>
      <c r="F66" s="14" t="s">
        <v>283</v>
      </c>
      <c r="G66" s="18">
        <v>135</v>
      </c>
      <c r="H66" s="18">
        <v>138.97999999999999</v>
      </c>
      <c r="I66" s="18">
        <v>0</v>
      </c>
      <c r="J66" s="18">
        <v>102.95</v>
      </c>
      <c r="K66" s="18">
        <v>102.95</v>
      </c>
      <c r="L66" s="18">
        <v>138.97999999999999</v>
      </c>
      <c r="M66" s="14" t="s">
        <v>52</v>
      </c>
      <c r="N66" s="14" t="s">
        <v>99</v>
      </c>
      <c r="O66" s="14" t="s">
        <v>119</v>
      </c>
      <c r="P66" s="14" t="s">
        <v>284</v>
      </c>
      <c r="Q66" s="14" t="s">
        <v>285</v>
      </c>
      <c r="R66" s="14" t="s">
        <v>566</v>
      </c>
      <c r="S66" s="14" t="s">
        <v>568</v>
      </c>
      <c r="T66" s="14">
        <f t="shared" ref="T66:T97" si="4">DATEDIF(P66,Q66,"M")</f>
        <v>7</v>
      </c>
      <c r="U66" s="14">
        <v>80</v>
      </c>
      <c r="V66" s="14" t="s">
        <v>61</v>
      </c>
      <c r="W66" s="14" t="s">
        <v>62</v>
      </c>
    </row>
    <row r="67" spans="1:23" x14ac:dyDescent="0.2">
      <c r="A67" s="21" t="s">
        <v>546</v>
      </c>
      <c r="B67" s="21">
        <v>1093252</v>
      </c>
      <c r="C67" s="21" t="s">
        <v>495</v>
      </c>
      <c r="D67" s="21" t="s">
        <v>539</v>
      </c>
      <c r="E67" s="21">
        <v>7565575</v>
      </c>
      <c r="F67" s="21" t="s">
        <v>496</v>
      </c>
      <c r="G67" s="22">
        <v>52</v>
      </c>
      <c r="H67" s="22">
        <v>274.86</v>
      </c>
      <c r="I67" s="22">
        <v>0</v>
      </c>
      <c r="J67" s="22">
        <v>528.6</v>
      </c>
      <c r="K67" s="22">
        <v>528.6</v>
      </c>
      <c r="L67" s="22">
        <v>274.86</v>
      </c>
      <c r="M67" s="21" t="s">
        <v>497</v>
      </c>
      <c r="N67" s="21" t="s">
        <v>53</v>
      </c>
      <c r="O67" s="21" t="s">
        <v>412</v>
      </c>
      <c r="P67" s="21" t="s">
        <v>498</v>
      </c>
      <c r="Q67" s="21" t="s">
        <v>499</v>
      </c>
      <c r="R67" s="21" t="s">
        <v>565</v>
      </c>
      <c r="S67" s="21" t="s">
        <v>569</v>
      </c>
      <c r="T67" s="21">
        <f t="shared" si="4"/>
        <v>7</v>
      </c>
      <c r="U67" s="21">
        <v>0</v>
      </c>
      <c r="V67" s="21" t="s">
        <v>61</v>
      </c>
      <c r="W67" s="21" t="s">
        <v>62</v>
      </c>
    </row>
    <row r="68" spans="1:23" x14ac:dyDescent="0.2">
      <c r="A68" s="14" t="s">
        <v>557</v>
      </c>
      <c r="B68" s="14">
        <v>257168</v>
      </c>
      <c r="C68" s="14" t="s">
        <v>373</v>
      </c>
      <c r="D68" s="14" t="s">
        <v>530</v>
      </c>
      <c r="E68" s="14">
        <v>371819</v>
      </c>
      <c r="F68" s="14" t="s">
        <v>374</v>
      </c>
      <c r="G68" s="18">
        <v>87.5</v>
      </c>
      <c r="H68" s="18">
        <v>0</v>
      </c>
      <c r="I68" s="18">
        <v>-31.77</v>
      </c>
      <c r="J68" s="18">
        <v>36.31</v>
      </c>
      <c r="K68" s="18">
        <v>36.31</v>
      </c>
      <c r="L68" s="18">
        <v>31.77</v>
      </c>
      <c r="M68" s="14" t="s">
        <v>375</v>
      </c>
      <c r="N68" s="14" t="s">
        <v>89</v>
      </c>
      <c r="O68" s="14" t="s">
        <v>333</v>
      </c>
      <c r="P68" s="14" t="s">
        <v>376</v>
      </c>
      <c r="Q68" s="14" t="s">
        <v>377</v>
      </c>
      <c r="R68" s="14" t="s">
        <v>566</v>
      </c>
      <c r="S68" s="14" t="s">
        <v>568</v>
      </c>
      <c r="T68" s="14">
        <f t="shared" si="4"/>
        <v>7</v>
      </c>
      <c r="U68" s="14">
        <v>7</v>
      </c>
      <c r="V68" s="14" t="s">
        <v>61</v>
      </c>
      <c r="W68" s="14" t="s">
        <v>62</v>
      </c>
    </row>
    <row r="69" spans="1:23" x14ac:dyDescent="0.2">
      <c r="A69" s="14" t="s">
        <v>559</v>
      </c>
      <c r="B69" s="14">
        <v>513364</v>
      </c>
      <c r="C69" s="14" t="s">
        <v>102</v>
      </c>
      <c r="D69" s="14" t="s">
        <v>520</v>
      </c>
      <c r="E69" s="14">
        <v>8325282</v>
      </c>
      <c r="F69" s="14" t="s">
        <v>103</v>
      </c>
      <c r="G69" s="18">
        <v>23</v>
      </c>
      <c r="H69" s="18">
        <v>0</v>
      </c>
      <c r="I69" s="18">
        <v>-34.090000000000003</v>
      </c>
      <c r="J69" s="18">
        <v>148.22</v>
      </c>
      <c r="K69" s="18">
        <v>148.22</v>
      </c>
      <c r="L69" s="18">
        <v>34.090000000000003</v>
      </c>
      <c r="M69" s="14" t="s">
        <v>52</v>
      </c>
      <c r="N69" s="14" t="s">
        <v>89</v>
      </c>
      <c r="O69" s="14" t="s">
        <v>54</v>
      </c>
      <c r="P69" s="14" t="s">
        <v>66</v>
      </c>
      <c r="Q69" s="14" t="s">
        <v>91</v>
      </c>
      <c r="R69" s="14" t="s">
        <v>566</v>
      </c>
      <c r="S69" s="14" t="s">
        <v>568</v>
      </c>
      <c r="T69" s="14">
        <f t="shared" si="4"/>
        <v>8</v>
      </c>
      <c r="U69" s="14">
        <v>0</v>
      </c>
      <c r="V69" s="14" t="s">
        <v>61</v>
      </c>
      <c r="W69" s="14" t="s">
        <v>62</v>
      </c>
    </row>
    <row r="70" spans="1:23" x14ac:dyDescent="0.2">
      <c r="A70" s="14" t="s">
        <v>546</v>
      </c>
      <c r="B70" s="14">
        <v>513364</v>
      </c>
      <c r="C70" s="14" t="s">
        <v>427</v>
      </c>
      <c r="D70" s="14" t="s">
        <v>520</v>
      </c>
      <c r="E70" s="14">
        <v>8325282</v>
      </c>
      <c r="F70" s="14" t="s">
        <v>428</v>
      </c>
      <c r="G70" s="18">
        <v>52</v>
      </c>
      <c r="H70" s="18">
        <v>0</v>
      </c>
      <c r="I70" s="18">
        <v>-17.87</v>
      </c>
      <c r="J70" s="18">
        <v>34.36</v>
      </c>
      <c r="K70" s="18">
        <v>34.36</v>
      </c>
      <c r="L70" s="18">
        <v>17.87</v>
      </c>
      <c r="M70" s="14" t="s">
        <v>52</v>
      </c>
      <c r="N70" s="14" t="s">
        <v>53</v>
      </c>
      <c r="O70" s="14" t="s">
        <v>429</v>
      </c>
      <c r="P70" s="14" t="s">
        <v>430</v>
      </c>
      <c r="Q70" s="14" t="s">
        <v>67</v>
      </c>
      <c r="R70" s="14" t="s">
        <v>566</v>
      </c>
      <c r="S70" s="14" t="s">
        <v>568</v>
      </c>
      <c r="T70" s="14">
        <f t="shared" si="4"/>
        <v>8</v>
      </c>
      <c r="U70" s="14">
        <v>0</v>
      </c>
      <c r="V70" s="14" t="s">
        <v>61</v>
      </c>
      <c r="W70" s="14" t="s">
        <v>62</v>
      </c>
    </row>
    <row r="71" spans="1:23" x14ac:dyDescent="0.2">
      <c r="A71" s="14" t="s">
        <v>546</v>
      </c>
      <c r="B71" s="14">
        <v>513364</v>
      </c>
      <c r="C71" s="14" t="s">
        <v>490</v>
      </c>
      <c r="D71" s="14" t="s">
        <v>520</v>
      </c>
      <c r="E71" s="14">
        <v>8325282</v>
      </c>
      <c r="F71" s="14" t="s">
        <v>491</v>
      </c>
      <c r="G71" s="18">
        <v>52</v>
      </c>
      <c r="H71" s="18">
        <v>0</v>
      </c>
      <c r="I71" s="18">
        <v>-17.87</v>
      </c>
      <c r="J71" s="18">
        <v>34.36</v>
      </c>
      <c r="K71" s="18">
        <v>34.36</v>
      </c>
      <c r="L71" s="18">
        <v>17.87</v>
      </c>
      <c r="M71" s="14" t="s">
        <v>52</v>
      </c>
      <c r="N71" s="14" t="s">
        <v>89</v>
      </c>
      <c r="O71" s="14" t="s">
        <v>429</v>
      </c>
      <c r="P71" s="14" t="s">
        <v>66</v>
      </c>
      <c r="Q71" s="14" t="s">
        <v>91</v>
      </c>
      <c r="R71" s="14" t="s">
        <v>566</v>
      </c>
      <c r="S71" s="14" t="s">
        <v>568</v>
      </c>
      <c r="T71" s="14">
        <f t="shared" si="4"/>
        <v>8</v>
      </c>
      <c r="U71" s="14">
        <v>0</v>
      </c>
      <c r="V71" s="14" t="s">
        <v>61</v>
      </c>
      <c r="W71" s="14" t="s">
        <v>62</v>
      </c>
    </row>
    <row r="72" spans="1:23" x14ac:dyDescent="0.2">
      <c r="A72" s="14" t="s">
        <v>546</v>
      </c>
      <c r="B72" s="14">
        <v>513364</v>
      </c>
      <c r="C72" s="14" t="s">
        <v>492</v>
      </c>
      <c r="D72" s="14" t="s">
        <v>520</v>
      </c>
      <c r="E72" s="14">
        <v>8325282</v>
      </c>
      <c r="F72" s="14" t="s">
        <v>493</v>
      </c>
      <c r="G72" s="18">
        <v>52</v>
      </c>
      <c r="H72" s="18">
        <v>0</v>
      </c>
      <c r="I72" s="18">
        <v>-17.87</v>
      </c>
      <c r="J72" s="18">
        <v>34.36</v>
      </c>
      <c r="K72" s="18">
        <v>34.36</v>
      </c>
      <c r="L72" s="18">
        <v>17.87</v>
      </c>
      <c r="M72" s="14" t="s">
        <v>52</v>
      </c>
      <c r="N72" s="14" t="s">
        <v>89</v>
      </c>
      <c r="O72" s="14" t="s">
        <v>429</v>
      </c>
      <c r="P72" s="14" t="s">
        <v>66</v>
      </c>
      <c r="Q72" s="14" t="s">
        <v>91</v>
      </c>
      <c r="R72" s="14" t="s">
        <v>566</v>
      </c>
      <c r="S72" s="14" t="s">
        <v>568</v>
      </c>
      <c r="T72" s="14">
        <f t="shared" si="4"/>
        <v>8</v>
      </c>
      <c r="U72" s="14">
        <v>0</v>
      </c>
      <c r="V72" s="14" t="s">
        <v>61</v>
      </c>
      <c r="W72" s="14" t="s">
        <v>62</v>
      </c>
    </row>
    <row r="73" spans="1:23" x14ac:dyDescent="0.2">
      <c r="A73" s="14" t="s">
        <v>546</v>
      </c>
      <c r="B73" s="14">
        <v>513364</v>
      </c>
      <c r="C73" s="14" t="s">
        <v>489</v>
      </c>
      <c r="D73" s="14" t="s">
        <v>520</v>
      </c>
      <c r="E73" s="14">
        <v>8325282</v>
      </c>
      <c r="F73" s="14" t="s">
        <v>103</v>
      </c>
      <c r="G73" s="18">
        <v>52</v>
      </c>
      <c r="H73" s="18">
        <v>0</v>
      </c>
      <c r="I73" s="18">
        <v>-19.489999999999998</v>
      </c>
      <c r="J73" s="18">
        <v>37.49</v>
      </c>
      <c r="K73" s="18">
        <v>37.49</v>
      </c>
      <c r="L73" s="18">
        <v>19.489999999999998</v>
      </c>
      <c r="M73" s="14" t="s">
        <v>52</v>
      </c>
      <c r="N73" s="14" t="s">
        <v>89</v>
      </c>
      <c r="O73" s="14" t="s">
        <v>429</v>
      </c>
      <c r="P73" s="14" t="s">
        <v>66</v>
      </c>
      <c r="Q73" s="14" t="s">
        <v>91</v>
      </c>
      <c r="R73" s="14" t="s">
        <v>566</v>
      </c>
      <c r="S73" s="14" t="s">
        <v>568</v>
      </c>
      <c r="T73" s="14">
        <f t="shared" si="4"/>
        <v>8</v>
      </c>
      <c r="U73" s="14">
        <v>0</v>
      </c>
      <c r="V73" s="14" t="s">
        <v>61</v>
      </c>
      <c r="W73" s="14" t="s">
        <v>62</v>
      </c>
    </row>
    <row r="74" spans="1:23" x14ac:dyDescent="0.2">
      <c r="A74" s="11" t="s">
        <v>564</v>
      </c>
      <c r="B74" s="11">
        <v>893387</v>
      </c>
      <c r="C74" s="11" t="s">
        <v>322</v>
      </c>
      <c r="D74" s="11" t="s">
        <v>519</v>
      </c>
      <c r="E74" s="11">
        <v>8307933</v>
      </c>
      <c r="F74" s="11" t="s">
        <v>323</v>
      </c>
      <c r="G74" s="17">
        <v>67.5</v>
      </c>
      <c r="H74" s="17">
        <v>67.39</v>
      </c>
      <c r="I74" s="17">
        <v>0</v>
      </c>
      <c r="J74" s="17">
        <v>99.83</v>
      </c>
      <c r="K74" s="17">
        <v>99.83</v>
      </c>
      <c r="L74" s="17">
        <v>67.39</v>
      </c>
      <c r="M74" s="11" t="s">
        <v>114</v>
      </c>
      <c r="N74" s="11" t="s">
        <v>140</v>
      </c>
      <c r="O74" s="11" t="s">
        <v>119</v>
      </c>
      <c r="P74" s="11" t="s">
        <v>324</v>
      </c>
      <c r="Q74" s="11" t="s">
        <v>157</v>
      </c>
      <c r="R74" s="11" t="s">
        <v>565</v>
      </c>
      <c r="S74" s="11" t="s">
        <v>568</v>
      </c>
      <c r="T74" s="11">
        <f t="shared" si="4"/>
        <v>8</v>
      </c>
      <c r="U74" s="11">
        <v>25</v>
      </c>
      <c r="V74" s="11" t="s">
        <v>61</v>
      </c>
      <c r="W74" s="11" t="s">
        <v>62</v>
      </c>
    </row>
    <row r="75" spans="1:23" x14ac:dyDescent="0.2">
      <c r="A75" s="11" t="s">
        <v>552</v>
      </c>
      <c r="B75" s="11">
        <v>893387</v>
      </c>
      <c r="C75" s="11" t="s">
        <v>325</v>
      </c>
      <c r="D75" s="11" t="s">
        <v>519</v>
      </c>
      <c r="E75" s="11">
        <v>8307933</v>
      </c>
      <c r="F75" s="11" t="s">
        <v>326</v>
      </c>
      <c r="G75" s="17">
        <v>150</v>
      </c>
      <c r="H75" s="17">
        <v>0</v>
      </c>
      <c r="I75" s="17">
        <v>-70.489999999999995</v>
      </c>
      <c r="J75" s="17">
        <v>46.99</v>
      </c>
      <c r="K75" s="17">
        <v>46.99</v>
      </c>
      <c r="L75" s="17">
        <v>70.489999999999995</v>
      </c>
      <c r="M75" s="11" t="s">
        <v>122</v>
      </c>
      <c r="N75" s="11" t="s">
        <v>53</v>
      </c>
      <c r="O75" s="11" t="s">
        <v>327</v>
      </c>
      <c r="P75" s="11" t="s">
        <v>328</v>
      </c>
      <c r="Q75" s="11" t="s">
        <v>285</v>
      </c>
      <c r="R75" s="11" t="s">
        <v>565</v>
      </c>
      <c r="S75" s="11" t="s">
        <v>568</v>
      </c>
      <c r="T75" s="11">
        <f t="shared" si="4"/>
        <v>8</v>
      </c>
      <c r="U75" s="11">
        <v>300</v>
      </c>
      <c r="V75" s="11" t="s">
        <v>61</v>
      </c>
      <c r="W75" s="11" t="s">
        <v>62</v>
      </c>
    </row>
    <row r="76" spans="1:23" x14ac:dyDescent="0.2">
      <c r="A76" s="11" t="s">
        <v>552</v>
      </c>
      <c r="B76" s="11">
        <v>893387</v>
      </c>
      <c r="C76" s="11" t="s">
        <v>325</v>
      </c>
      <c r="D76" s="11" t="s">
        <v>519</v>
      </c>
      <c r="E76" s="11">
        <v>8307933</v>
      </c>
      <c r="F76" s="11" t="s">
        <v>326</v>
      </c>
      <c r="G76" s="17">
        <v>150</v>
      </c>
      <c r="H76" s="17">
        <v>0</v>
      </c>
      <c r="I76" s="17">
        <v>70.489999999999995</v>
      </c>
      <c r="J76" s="17">
        <v>-46.99</v>
      </c>
      <c r="K76" s="17">
        <v>-46.99</v>
      </c>
      <c r="L76" s="17">
        <v>70.489999999999995</v>
      </c>
      <c r="M76" s="11" t="s">
        <v>122</v>
      </c>
      <c r="N76" s="11" t="s">
        <v>99</v>
      </c>
      <c r="O76" s="11" t="s">
        <v>327</v>
      </c>
      <c r="P76" s="11" t="s">
        <v>328</v>
      </c>
      <c r="Q76" s="11" t="s">
        <v>285</v>
      </c>
      <c r="R76" s="11" t="s">
        <v>565</v>
      </c>
      <c r="S76" s="11" t="s">
        <v>568</v>
      </c>
      <c r="T76" s="11">
        <f t="shared" si="4"/>
        <v>8</v>
      </c>
      <c r="U76" s="11">
        <v>300</v>
      </c>
      <c r="V76" s="11" t="s">
        <v>61</v>
      </c>
      <c r="W76" s="11" t="s">
        <v>329</v>
      </c>
    </row>
    <row r="77" spans="1:23" x14ac:dyDescent="0.2">
      <c r="A77" s="11" t="s">
        <v>552</v>
      </c>
      <c r="B77" s="11">
        <v>606680</v>
      </c>
      <c r="C77" s="11" t="s">
        <v>365</v>
      </c>
      <c r="D77" s="11" t="s">
        <v>521</v>
      </c>
      <c r="E77" s="11">
        <v>8977234</v>
      </c>
      <c r="F77" s="11" t="s">
        <v>366</v>
      </c>
      <c r="G77" s="17">
        <v>150</v>
      </c>
      <c r="H77" s="17">
        <v>0</v>
      </c>
      <c r="I77" s="17">
        <v>-82.4</v>
      </c>
      <c r="J77" s="17">
        <v>54.93</v>
      </c>
      <c r="K77" s="17">
        <v>54.93</v>
      </c>
      <c r="L77" s="17">
        <v>82.4</v>
      </c>
      <c r="M77" s="11" t="s">
        <v>152</v>
      </c>
      <c r="N77" s="11" t="s">
        <v>140</v>
      </c>
      <c r="O77" s="11" t="s">
        <v>123</v>
      </c>
      <c r="P77" s="11" t="s">
        <v>66</v>
      </c>
      <c r="Q77" s="11" t="s">
        <v>91</v>
      </c>
      <c r="R77" s="11" t="s">
        <v>565</v>
      </c>
      <c r="S77" s="11" t="s">
        <v>568</v>
      </c>
      <c r="T77" s="11">
        <f t="shared" si="4"/>
        <v>8</v>
      </c>
      <c r="U77" s="11">
        <v>35</v>
      </c>
      <c r="V77" s="11" t="s">
        <v>61</v>
      </c>
      <c r="W77" s="11" t="s">
        <v>62</v>
      </c>
    </row>
    <row r="78" spans="1:23" x14ac:dyDescent="0.2">
      <c r="A78" s="11" t="s">
        <v>552</v>
      </c>
      <c r="B78" s="11">
        <v>606680</v>
      </c>
      <c r="C78" s="11" t="s">
        <v>367</v>
      </c>
      <c r="D78" s="11" t="s">
        <v>521</v>
      </c>
      <c r="E78" s="11">
        <v>8977234</v>
      </c>
      <c r="F78" s="11" t="s">
        <v>368</v>
      </c>
      <c r="G78" s="17">
        <v>150</v>
      </c>
      <c r="H78" s="17">
        <v>0</v>
      </c>
      <c r="I78" s="17">
        <v>-112.94</v>
      </c>
      <c r="J78" s="17">
        <v>75.290000000000006</v>
      </c>
      <c r="K78" s="17">
        <v>75.290000000000006</v>
      </c>
      <c r="L78" s="17">
        <v>112.94</v>
      </c>
      <c r="M78" s="11" t="s">
        <v>346</v>
      </c>
      <c r="N78" s="11" t="s">
        <v>140</v>
      </c>
      <c r="O78" s="11" t="s">
        <v>115</v>
      </c>
      <c r="P78" s="11" t="s">
        <v>66</v>
      </c>
      <c r="Q78" s="11" t="s">
        <v>91</v>
      </c>
      <c r="R78" s="11" t="s">
        <v>565</v>
      </c>
      <c r="S78" s="11" t="s">
        <v>568</v>
      </c>
      <c r="T78" s="11">
        <f t="shared" si="4"/>
        <v>8</v>
      </c>
      <c r="U78" s="11">
        <v>300</v>
      </c>
      <c r="V78" s="11" t="s">
        <v>61</v>
      </c>
      <c r="W78" s="11" t="s">
        <v>62</v>
      </c>
    </row>
    <row r="79" spans="1:23" x14ac:dyDescent="0.2">
      <c r="A79" s="14" t="s">
        <v>557</v>
      </c>
      <c r="B79" s="14">
        <v>257168</v>
      </c>
      <c r="C79" s="14" t="s">
        <v>378</v>
      </c>
      <c r="D79" s="14" t="s">
        <v>530</v>
      </c>
      <c r="E79" s="14">
        <v>371819</v>
      </c>
      <c r="F79" s="14" t="s">
        <v>379</v>
      </c>
      <c r="G79" s="18">
        <v>87.5</v>
      </c>
      <c r="H79" s="18">
        <v>0</v>
      </c>
      <c r="I79" s="18">
        <v>-28.43</v>
      </c>
      <c r="J79" s="18">
        <v>32.49</v>
      </c>
      <c r="K79" s="18">
        <v>32.49</v>
      </c>
      <c r="L79" s="18">
        <v>28.43</v>
      </c>
      <c r="M79" s="14" t="s">
        <v>156</v>
      </c>
      <c r="N79" s="14" t="s">
        <v>89</v>
      </c>
      <c r="O79" s="14" t="s">
        <v>333</v>
      </c>
      <c r="P79" s="14" t="s">
        <v>380</v>
      </c>
      <c r="Q79" s="14" t="s">
        <v>381</v>
      </c>
      <c r="R79" s="14" t="s">
        <v>566</v>
      </c>
      <c r="S79" s="14" t="s">
        <v>568</v>
      </c>
      <c r="T79" s="14">
        <f t="shared" si="4"/>
        <v>8</v>
      </c>
      <c r="U79" s="14">
        <v>5</v>
      </c>
      <c r="V79" s="14" t="s">
        <v>61</v>
      </c>
      <c r="W79" s="14" t="s">
        <v>62</v>
      </c>
    </row>
    <row r="80" spans="1:23" x14ac:dyDescent="0.2">
      <c r="A80" s="11" t="s">
        <v>563</v>
      </c>
      <c r="B80" s="11">
        <v>957310</v>
      </c>
      <c r="C80" s="11" t="s">
        <v>458</v>
      </c>
      <c r="D80" s="11" t="s">
        <v>523</v>
      </c>
      <c r="E80" s="11">
        <v>19278370</v>
      </c>
      <c r="F80" s="11" t="s">
        <v>459</v>
      </c>
      <c r="G80" s="17">
        <v>27</v>
      </c>
      <c r="H80" s="17">
        <v>0</v>
      </c>
      <c r="I80" s="17">
        <v>-42.86</v>
      </c>
      <c r="J80" s="17">
        <v>158.75</v>
      </c>
      <c r="K80" s="17">
        <v>158.75</v>
      </c>
      <c r="L80" s="17">
        <v>42.86</v>
      </c>
      <c r="M80" s="11" t="s">
        <v>278</v>
      </c>
      <c r="N80" s="11" t="s">
        <v>53</v>
      </c>
      <c r="O80" s="11" t="s">
        <v>437</v>
      </c>
      <c r="P80" s="11" t="s">
        <v>66</v>
      </c>
      <c r="Q80" s="11" t="s">
        <v>67</v>
      </c>
      <c r="R80" s="11" t="s">
        <v>565</v>
      </c>
      <c r="S80" s="11" t="s">
        <v>568</v>
      </c>
      <c r="T80" s="11">
        <f t="shared" si="4"/>
        <v>9</v>
      </c>
      <c r="U80" s="11">
        <v>0</v>
      </c>
      <c r="V80" s="11" t="s">
        <v>61</v>
      </c>
      <c r="W80" s="11" t="s">
        <v>62</v>
      </c>
    </row>
    <row r="81" spans="1:23" x14ac:dyDescent="0.2">
      <c r="A81" s="11" t="s">
        <v>558</v>
      </c>
      <c r="B81" s="11">
        <v>815390</v>
      </c>
      <c r="C81" s="11" t="s">
        <v>222</v>
      </c>
      <c r="D81" s="11" t="s">
        <v>524</v>
      </c>
      <c r="E81" s="11">
        <v>17425766</v>
      </c>
      <c r="F81" s="11" t="s">
        <v>223</v>
      </c>
      <c r="G81" s="17">
        <v>21.5</v>
      </c>
      <c r="H81" s="17">
        <v>0</v>
      </c>
      <c r="I81" s="17">
        <v>-33.17</v>
      </c>
      <c r="J81" s="17">
        <v>154.27000000000001</v>
      </c>
      <c r="K81" s="17">
        <v>154.27000000000001</v>
      </c>
      <c r="L81" s="17">
        <v>33.17</v>
      </c>
      <c r="M81" s="11" t="s">
        <v>129</v>
      </c>
      <c r="N81" s="11" t="s">
        <v>53</v>
      </c>
      <c r="O81" s="11" t="s">
        <v>130</v>
      </c>
      <c r="P81" s="11" t="s">
        <v>66</v>
      </c>
      <c r="Q81" s="11" t="s">
        <v>67</v>
      </c>
      <c r="R81" s="11" t="s">
        <v>565</v>
      </c>
      <c r="S81" s="11" t="s">
        <v>568</v>
      </c>
      <c r="T81" s="11">
        <f t="shared" si="4"/>
        <v>9</v>
      </c>
      <c r="U81" s="11">
        <v>0</v>
      </c>
      <c r="V81" s="11" t="s">
        <v>61</v>
      </c>
      <c r="W81" s="11" t="s">
        <v>62</v>
      </c>
    </row>
    <row r="82" spans="1:23" x14ac:dyDescent="0.2">
      <c r="A82" s="11" t="s">
        <v>559</v>
      </c>
      <c r="B82" s="11">
        <v>815390</v>
      </c>
      <c r="C82" s="11" t="s">
        <v>233</v>
      </c>
      <c r="D82" s="11" t="s">
        <v>524</v>
      </c>
      <c r="E82" s="11">
        <v>17425766</v>
      </c>
      <c r="F82" s="11" t="s">
        <v>234</v>
      </c>
      <c r="G82" s="17">
        <v>23</v>
      </c>
      <c r="H82" s="17">
        <v>0</v>
      </c>
      <c r="I82" s="17">
        <v>-45.6</v>
      </c>
      <c r="J82" s="17">
        <v>198.25</v>
      </c>
      <c r="K82" s="17">
        <v>198.25</v>
      </c>
      <c r="L82" s="17">
        <v>45.6</v>
      </c>
      <c r="M82" s="11" t="s">
        <v>235</v>
      </c>
      <c r="N82" s="11" t="s">
        <v>53</v>
      </c>
      <c r="O82" s="11" t="s">
        <v>236</v>
      </c>
      <c r="P82" s="11" t="s">
        <v>66</v>
      </c>
      <c r="Q82" s="11" t="s">
        <v>67</v>
      </c>
      <c r="R82" s="11" t="s">
        <v>565</v>
      </c>
      <c r="S82" s="11" t="s">
        <v>568</v>
      </c>
      <c r="T82" s="11">
        <f t="shared" si="4"/>
        <v>9</v>
      </c>
      <c r="U82" s="11">
        <v>0</v>
      </c>
      <c r="V82" s="11" t="s">
        <v>61</v>
      </c>
      <c r="W82" s="11" t="s">
        <v>62</v>
      </c>
    </row>
    <row r="83" spans="1:23" x14ac:dyDescent="0.2">
      <c r="A83" s="11" t="s">
        <v>559</v>
      </c>
      <c r="B83" s="11">
        <v>893387</v>
      </c>
      <c r="C83" s="11" t="s">
        <v>85</v>
      </c>
      <c r="D83" s="11" t="s">
        <v>519</v>
      </c>
      <c r="E83" s="11">
        <v>8307933</v>
      </c>
      <c r="F83" s="11" t="s">
        <v>86</v>
      </c>
      <c r="G83" s="17">
        <v>23</v>
      </c>
      <c r="H83" s="17">
        <v>0</v>
      </c>
      <c r="I83" s="17">
        <v>-32.840000000000003</v>
      </c>
      <c r="J83" s="17">
        <v>142.80000000000001</v>
      </c>
      <c r="K83" s="17">
        <v>142.80000000000001</v>
      </c>
      <c r="L83" s="17">
        <v>32.840000000000003</v>
      </c>
      <c r="M83" s="11" t="s">
        <v>52</v>
      </c>
      <c r="N83" s="11" t="s">
        <v>53</v>
      </c>
      <c r="O83" s="11" t="s">
        <v>54</v>
      </c>
      <c r="P83" s="11" t="s">
        <v>66</v>
      </c>
      <c r="Q83" s="11" t="s">
        <v>67</v>
      </c>
      <c r="R83" s="11" t="s">
        <v>565</v>
      </c>
      <c r="S83" s="11" t="s">
        <v>568</v>
      </c>
      <c r="T83" s="11">
        <f t="shared" si="4"/>
        <v>9</v>
      </c>
      <c r="U83" s="11">
        <v>0</v>
      </c>
      <c r="V83" s="11" t="s">
        <v>61</v>
      </c>
      <c r="W83" s="11" t="s">
        <v>62</v>
      </c>
    </row>
    <row r="84" spans="1:23" x14ac:dyDescent="0.2">
      <c r="A84" s="11" t="s">
        <v>546</v>
      </c>
      <c r="B84" s="11">
        <v>894080</v>
      </c>
      <c r="C84" s="11" t="s">
        <v>469</v>
      </c>
      <c r="D84" s="11" t="s">
        <v>538</v>
      </c>
      <c r="E84" s="11">
        <v>18754354</v>
      </c>
      <c r="F84" s="11" t="s">
        <v>470</v>
      </c>
      <c r="G84" s="17">
        <v>52</v>
      </c>
      <c r="H84" s="17">
        <v>0</v>
      </c>
      <c r="I84" s="17">
        <v>-17.07</v>
      </c>
      <c r="J84" s="17">
        <v>32.82</v>
      </c>
      <c r="K84" s="17">
        <v>32.82</v>
      </c>
      <c r="L84" s="17">
        <v>17.07</v>
      </c>
      <c r="M84" s="11" t="s">
        <v>52</v>
      </c>
      <c r="N84" s="11" t="s">
        <v>53</v>
      </c>
      <c r="O84" s="11" t="s">
        <v>423</v>
      </c>
      <c r="P84" s="11" t="s">
        <v>66</v>
      </c>
      <c r="Q84" s="11" t="s">
        <v>67</v>
      </c>
      <c r="R84" s="11" t="s">
        <v>565</v>
      </c>
      <c r="S84" s="11" t="s">
        <v>568</v>
      </c>
      <c r="T84" s="11">
        <f t="shared" si="4"/>
        <v>9</v>
      </c>
      <c r="U84" s="11">
        <v>0</v>
      </c>
      <c r="V84" s="11" t="s">
        <v>61</v>
      </c>
      <c r="W84" s="11" t="s">
        <v>62</v>
      </c>
    </row>
    <row r="85" spans="1:23" x14ac:dyDescent="0.2">
      <c r="A85" s="11" t="s">
        <v>552</v>
      </c>
      <c r="B85" s="11">
        <v>1099222</v>
      </c>
      <c r="C85" s="11" t="s">
        <v>286</v>
      </c>
      <c r="D85" s="11" t="s">
        <v>528</v>
      </c>
      <c r="E85" s="11">
        <v>1706194</v>
      </c>
      <c r="F85" s="11" t="s">
        <v>287</v>
      </c>
      <c r="G85" s="17">
        <v>150</v>
      </c>
      <c r="H85" s="17">
        <v>0</v>
      </c>
      <c r="I85" s="17">
        <v>-98.25</v>
      </c>
      <c r="J85" s="17">
        <v>65.5</v>
      </c>
      <c r="K85" s="17">
        <v>65.5</v>
      </c>
      <c r="L85" s="17">
        <v>98.25</v>
      </c>
      <c r="M85" s="11" t="s">
        <v>288</v>
      </c>
      <c r="N85" s="11" t="s">
        <v>140</v>
      </c>
      <c r="O85" s="11" t="s">
        <v>115</v>
      </c>
      <c r="P85" s="11" t="s">
        <v>289</v>
      </c>
      <c r="Q85" s="11" t="s">
        <v>157</v>
      </c>
      <c r="R85" s="11" t="s">
        <v>565</v>
      </c>
      <c r="S85" s="11" t="s">
        <v>568</v>
      </c>
      <c r="T85" s="11">
        <f t="shared" si="4"/>
        <v>9</v>
      </c>
      <c r="U85" s="11">
        <v>300</v>
      </c>
      <c r="V85" s="11" t="s">
        <v>61</v>
      </c>
      <c r="W85" s="11" t="s">
        <v>62</v>
      </c>
    </row>
    <row r="86" spans="1:23" s="21" customFormat="1" x14ac:dyDescent="0.2">
      <c r="A86" s="14" t="s">
        <v>559</v>
      </c>
      <c r="B86" s="14">
        <v>1174646</v>
      </c>
      <c r="C86" s="14" t="s">
        <v>70</v>
      </c>
      <c r="D86" s="14" t="s">
        <v>518</v>
      </c>
      <c r="E86" s="14">
        <v>18828278</v>
      </c>
      <c r="F86" s="14" t="s">
        <v>71</v>
      </c>
      <c r="G86" s="18">
        <v>23</v>
      </c>
      <c r="H86" s="18">
        <v>0</v>
      </c>
      <c r="I86" s="18">
        <v>-30.72</v>
      </c>
      <c r="J86" s="18">
        <v>133.56</v>
      </c>
      <c r="K86" s="18">
        <v>133.56</v>
      </c>
      <c r="L86" s="14">
        <v>30.72</v>
      </c>
      <c r="M86" s="14" t="s">
        <v>52</v>
      </c>
      <c r="N86" s="14" t="s">
        <v>53</v>
      </c>
      <c r="O86" s="14" t="s">
        <v>54</v>
      </c>
      <c r="P86" s="14" t="s">
        <v>66</v>
      </c>
      <c r="Q86" s="14" t="s">
        <v>67</v>
      </c>
      <c r="R86" s="14" t="s">
        <v>566</v>
      </c>
      <c r="S86" s="14" t="s">
        <v>568</v>
      </c>
      <c r="T86" s="14">
        <f t="shared" si="4"/>
        <v>9</v>
      </c>
      <c r="U86" s="14">
        <v>0</v>
      </c>
      <c r="V86" s="14" t="s">
        <v>61</v>
      </c>
      <c r="W86" s="14" t="s">
        <v>62</v>
      </c>
    </row>
    <row r="87" spans="1:23" x14ac:dyDescent="0.2">
      <c r="A87" s="14" t="s">
        <v>559</v>
      </c>
      <c r="B87" s="14">
        <v>1174646</v>
      </c>
      <c r="C87" s="14" t="s">
        <v>64</v>
      </c>
      <c r="D87" s="14" t="s">
        <v>518</v>
      </c>
      <c r="E87" s="14">
        <v>18828278</v>
      </c>
      <c r="F87" s="14" t="s">
        <v>65</v>
      </c>
      <c r="G87" s="18">
        <v>23</v>
      </c>
      <c r="H87" s="18">
        <v>0</v>
      </c>
      <c r="I87" s="18">
        <v>-32.57</v>
      </c>
      <c r="J87" s="18">
        <v>141.6</v>
      </c>
      <c r="K87" s="18">
        <v>141.6</v>
      </c>
      <c r="L87" s="14">
        <v>32.57</v>
      </c>
      <c r="M87" s="14" t="s">
        <v>52</v>
      </c>
      <c r="N87" s="14" t="s">
        <v>53</v>
      </c>
      <c r="O87" s="14" t="s">
        <v>54</v>
      </c>
      <c r="P87" s="14" t="s">
        <v>66</v>
      </c>
      <c r="Q87" s="14" t="s">
        <v>67</v>
      </c>
      <c r="R87" s="14" t="s">
        <v>566</v>
      </c>
      <c r="S87" s="14" t="s">
        <v>568</v>
      </c>
      <c r="T87" s="14">
        <f t="shared" si="4"/>
        <v>9</v>
      </c>
      <c r="U87" s="14">
        <v>0</v>
      </c>
      <c r="V87" s="14" t="s">
        <v>61</v>
      </c>
      <c r="W87" s="14" t="s">
        <v>62</v>
      </c>
    </row>
    <row r="88" spans="1:23" x14ac:dyDescent="0.2">
      <c r="A88" s="14" t="s">
        <v>559</v>
      </c>
      <c r="B88" s="14">
        <v>1174646</v>
      </c>
      <c r="C88" s="14" t="s">
        <v>50</v>
      </c>
      <c r="D88" s="14" t="s">
        <v>518</v>
      </c>
      <c r="E88" s="14">
        <v>18828278</v>
      </c>
      <c r="F88" s="14" t="s">
        <v>51</v>
      </c>
      <c r="G88" s="18">
        <v>23</v>
      </c>
      <c r="H88" s="18">
        <v>0</v>
      </c>
      <c r="I88" s="18">
        <v>-32.840000000000003</v>
      </c>
      <c r="J88" s="18">
        <v>142.80000000000001</v>
      </c>
      <c r="K88" s="18">
        <v>142.80000000000001</v>
      </c>
      <c r="L88" s="14">
        <v>32.840000000000003</v>
      </c>
      <c r="M88" s="14" t="s">
        <v>52</v>
      </c>
      <c r="N88" s="14" t="s">
        <v>53</v>
      </c>
      <c r="O88" s="14" t="s">
        <v>54</v>
      </c>
      <c r="P88" s="14" t="s">
        <v>55</v>
      </c>
      <c r="Q88" s="14" t="s">
        <v>56</v>
      </c>
      <c r="R88" s="14" t="s">
        <v>566</v>
      </c>
      <c r="S88" s="14" t="s">
        <v>568</v>
      </c>
      <c r="T88" s="14">
        <f t="shared" si="4"/>
        <v>9</v>
      </c>
      <c r="U88" s="14">
        <v>0</v>
      </c>
      <c r="V88" s="14" t="s">
        <v>61</v>
      </c>
      <c r="W88" s="14" t="s">
        <v>62</v>
      </c>
    </row>
    <row r="89" spans="1:23" s="21" customFormat="1" x14ac:dyDescent="0.2">
      <c r="A89" s="14" t="s">
        <v>559</v>
      </c>
      <c r="B89" s="14">
        <v>1174646</v>
      </c>
      <c r="C89" s="14" t="s">
        <v>68</v>
      </c>
      <c r="D89" s="14" t="s">
        <v>518</v>
      </c>
      <c r="E89" s="14">
        <v>18828278</v>
      </c>
      <c r="F89" s="14" t="s">
        <v>69</v>
      </c>
      <c r="G89" s="18">
        <v>23</v>
      </c>
      <c r="H89" s="18">
        <v>0</v>
      </c>
      <c r="I89" s="18">
        <v>-44.47</v>
      </c>
      <c r="J89" s="18">
        <v>193.35</v>
      </c>
      <c r="K89" s="18">
        <v>193.35</v>
      </c>
      <c r="L89" s="14">
        <v>44.47</v>
      </c>
      <c r="M89" s="14" t="s">
        <v>52</v>
      </c>
      <c r="N89" s="14" t="s">
        <v>53</v>
      </c>
      <c r="O89" s="14" t="s">
        <v>54</v>
      </c>
      <c r="P89" s="14" t="s">
        <v>66</v>
      </c>
      <c r="Q89" s="14" t="s">
        <v>67</v>
      </c>
      <c r="R89" s="14" t="s">
        <v>566</v>
      </c>
      <c r="S89" s="14" t="s">
        <v>568</v>
      </c>
      <c r="T89" s="14">
        <f t="shared" si="4"/>
        <v>9</v>
      </c>
      <c r="U89" s="14">
        <v>0</v>
      </c>
      <c r="V89" s="14" t="s">
        <v>61</v>
      </c>
      <c r="W89" s="14" t="s">
        <v>62</v>
      </c>
    </row>
    <row r="90" spans="1:23" x14ac:dyDescent="0.2">
      <c r="A90" s="14" t="s">
        <v>553</v>
      </c>
      <c r="B90" s="14">
        <v>1075176</v>
      </c>
      <c r="C90" s="14" t="s">
        <v>259</v>
      </c>
      <c r="D90" s="14" t="s">
        <v>525</v>
      </c>
      <c r="E90" s="14">
        <v>20220688</v>
      </c>
      <c r="F90" s="14" t="s">
        <v>260</v>
      </c>
      <c r="G90" s="18">
        <v>135</v>
      </c>
      <c r="H90" s="18">
        <v>134.06</v>
      </c>
      <c r="I90" s="18">
        <v>0</v>
      </c>
      <c r="J90" s="18">
        <v>99.3</v>
      </c>
      <c r="K90" s="18">
        <v>99.3</v>
      </c>
      <c r="L90" s="18">
        <v>134.06</v>
      </c>
      <c r="M90" s="14" t="s">
        <v>52</v>
      </c>
      <c r="N90" s="14" t="s">
        <v>140</v>
      </c>
      <c r="O90" s="14" t="s">
        <v>119</v>
      </c>
      <c r="P90" s="14" t="s">
        <v>261</v>
      </c>
      <c r="Q90" s="14" t="s">
        <v>262</v>
      </c>
      <c r="R90" s="14" t="s">
        <v>566</v>
      </c>
      <c r="S90" s="14" t="s">
        <v>568</v>
      </c>
      <c r="T90" s="14">
        <f t="shared" si="4"/>
        <v>9</v>
      </c>
      <c r="U90" s="14">
        <v>290</v>
      </c>
      <c r="V90" s="14" t="s">
        <v>61</v>
      </c>
      <c r="W90" s="14" t="s">
        <v>62</v>
      </c>
    </row>
    <row r="91" spans="1:23" x14ac:dyDescent="0.2">
      <c r="A91" s="11" t="s">
        <v>564</v>
      </c>
      <c r="B91" s="11">
        <v>606680</v>
      </c>
      <c r="C91" s="11" t="s">
        <v>394</v>
      </c>
      <c r="D91" s="11" t="s">
        <v>521</v>
      </c>
      <c r="E91" s="11">
        <v>8977234</v>
      </c>
      <c r="F91" s="11" t="s">
        <v>395</v>
      </c>
      <c r="G91" s="17">
        <v>67.5</v>
      </c>
      <c r="H91" s="17">
        <v>0</v>
      </c>
      <c r="I91" s="17">
        <v>-82.82</v>
      </c>
      <c r="J91" s="17">
        <v>122.69</v>
      </c>
      <c r="K91" s="17">
        <v>122.69</v>
      </c>
      <c r="L91" s="17">
        <v>82.82</v>
      </c>
      <c r="M91" s="11" t="s">
        <v>52</v>
      </c>
      <c r="N91" s="11" t="s">
        <v>140</v>
      </c>
      <c r="O91" s="11" t="s">
        <v>119</v>
      </c>
      <c r="P91" s="11" t="s">
        <v>66</v>
      </c>
      <c r="Q91" s="11" t="s">
        <v>67</v>
      </c>
      <c r="R91" s="11" t="s">
        <v>565</v>
      </c>
      <c r="S91" s="11" t="s">
        <v>568</v>
      </c>
      <c r="T91" s="11">
        <f t="shared" si="4"/>
        <v>9</v>
      </c>
      <c r="U91" s="11">
        <v>47</v>
      </c>
      <c r="V91" s="11" t="s">
        <v>61</v>
      </c>
      <c r="W91" s="11" t="s">
        <v>62</v>
      </c>
    </row>
    <row r="92" spans="1:23" x14ac:dyDescent="0.2">
      <c r="A92" s="11" t="s">
        <v>564</v>
      </c>
      <c r="B92" s="11">
        <v>606680</v>
      </c>
      <c r="C92" s="11" t="s">
        <v>392</v>
      </c>
      <c r="D92" s="11" t="s">
        <v>521</v>
      </c>
      <c r="E92" s="11">
        <v>8977234</v>
      </c>
      <c r="F92" s="11" t="s">
        <v>393</v>
      </c>
      <c r="G92" s="17">
        <v>67.5</v>
      </c>
      <c r="H92" s="17">
        <v>0</v>
      </c>
      <c r="I92" s="17">
        <v>-83.87</v>
      </c>
      <c r="J92" s="17">
        <v>124.25</v>
      </c>
      <c r="K92" s="17">
        <v>124.25</v>
      </c>
      <c r="L92" s="17">
        <v>83.87</v>
      </c>
      <c r="M92" s="11" t="s">
        <v>52</v>
      </c>
      <c r="N92" s="11" t="s">
        <v>140</v>
      </c>
      <c r="O92" s="11" t="s">
        <v>119</v>
      </c>
      <c r="P92" s="11" t="s">
        <v>66</v>
      </c>
      <c r="Q92" s="11" t="s">
        <v>67</v>
      </c>
      <c r="R92" s="11" t="s">
        <v>565</v>
      </c>
      <c r="S92" s="11" t="s">
        <v>568</v>
      </c>
      <c r="T92" s="11">
        <f t="shared" si="4"/>
        <v>9</v>
      </c>
      <c r="U92" s="11">
        <v>47</v>
      </c>
      <c r="V92" s="11" t="s">
        <v>61</v>
      </c>
      <c r="W92" s="11" t="s">
        <v>62</v>
      </c>
    </row>
    <row r="93" spans="1:23" x14ac:dyDescent="0.2">
      <c r="A93" s="11" t="s">
        <v>552</v>
      </c>
      <c r="B93" s="11">
        <v>606680</v>
      </c>
      <c r="C93" s="11" t="s">
        <v>369</v>
      </c>
      <c r="D93" s="11" t="s">
        <v>521</v>
      </c>
      <c r="E93" s="11">
        <v>8977234</v>
      </c>
      <c r="F93" s="11" t="s">
        <v>370</v>
      </c>
      <c r="G93" s="17">
        <v>150</v>
      </c>
      <c r="H93" s="17">
        <v>239.11</v>
      </c>
      <c r="I93" s="17">
        <v>-9.68</v>
      </c>
      <c r="J93" s="17">
        <v>165.86</v>
      </c>
      <c r="K93" s="17">
        <v>165.86</v>
      </c>
      <c r="L93" s="17">
        <v>9.68</v>
      </c>
      <c r="M93" s="11" t="s">
        <v>338</v>
      </c>
      <c r="N93" s="11" t="s">
        <v>99</v>
      </c>
      <c r="O93" s="11" t="s">
        <v>123</v>
      </c>
      <c r="P93" s="11" t="s">
        <v>371</v>
      </c>
      <c r="Q93" s="11" t="s">
        <v>143</v>
      </c>
      <c r="R93" s="11" t="s">
        <v>565</v>
      </c>
      <c r="S93" s="11" t="s">
        <v>568</v>
      </c>
      <c r="T93" s="11">
        <f t="shared" si="4"/>
        <v>9</v>
      </c>
      <c r="U93" s="11">
        <v>90</v>
      </c>
      <c r="V93" s="11" t="s">
        <v>61</v>
      </c>
      <c r="W93" s="11" t="s">
        <v>62</v>
      </c>
    </row>
    <row r="94" spans="1:23" x14ac:dyDescent="0.2">
      <c r="A94" s="14" t="s">
        <v>546</v>
      </c>
      <c r="B94" s="14">
        <v>257168</v>
      </c>
      <c r="C94" s="14" t="s">
        <v>421</v>
      </c>
      <c r="D94" s="14" t="s">
        <v>530</v>
      </c>
      <c r="E94" s="14">
        <v>371819</v>
      </c>
      <c r="F94" s="14" t="s">
        <v>422</v>
      </c>
      <c r="G94" s="18">
        <v>52</v>
      </c>
      <c r="H94" s="18">
        <v>0</v>
      </c>
      <c r="I94" s="18">
        <v>-15.55</v>
      </c>
      <c r="J94" s="18">
        <v>29.91</v>
      </c>
      <c r="K94" s="18">
        <v>29.91</v>
      </c>
      <c r="L94" s="18">
        <v>15.55</v>
      </c>
      <c r="M94" s="14" t="s">
        <v>114</v>
      </c>
      <c r="N94" s="14" t="s">
        <v>53</v>
      </c>
      <c r="O94" s="14" t="s">
        <v>423</v>
      </c>
      <c r="P94" s="14" t="s">
        <v>66</v>
      </c>
      <c r="Q94" s="14" t="s">
        <v>67</v>
      </c>
      <c r="R94" s="14" t="s">
        <v>566</v>
      </c>
      <c r="S94" s="14" t="s">
        <v>568</v>
      </c>
      <c r="T94" s="14">
        <f t="shared" si="4"/>
        <v>9</v>
      </c>
      <c r="U94" s="14">
        <v>0</v>
      </c>
      <c r="V94" s="14" t="s">
        <v>61</v>
      </c>
      <c r="W94" s="14" t="s">
        <v>62</v>
      </c>
    </row>
    <row r="95" spans="1:23" s="14" customFormat="1" x14ac:dyDescent="0.2">
      <c r="A95" s="11" t="s">
        <v>556</v>
      </c>
      <c r="B95" s="11">
        <v>816910</v>
      </c>
      <c r="C95" s="11" t="s">
        <v>452</v>
      </c>
      <c r="D95" s="11" t="s">
        <v>537</v>
      </c>
      <c r="E95" s="11">
        <v>9079571</v>
      </c>
      <c r="F95" s="11" t="s">
        <v>453</v>
      </c>
      <c r="G95" s="17">
        <v>23</v>
      </c>
      <c r="H95" s="17">
        <v>28.78</v>
      </c>
      <c r="I95" s="17">
        <v>0</v>
      </c>
      <c r="J95" s="17">
        <v>125.12</v>
      </c>
      <c r="K95" s="17">
        <v>125.12</v>
      </c>
      <c r="L95" s="17">
        <v>28.78</v>
      </c>
      <c r="M95" s="11" t="s">
        <v>454</v>
      </c>
      <c r="N95" s="11" t="s">
        <v>53</v>
      </c>
      <c r="O95" s="11" t="s">
        <v>433</v>
      </c>
      <c r="P95" s="11" t="s">
        <v>204</v>
      </c>
      <c r="Q95" s="11" t="s">
        <v>67</v>
      </c>
      <c r="R95" s="11" t="s">
        <v>565</v>
      </c>
      <c r="S95" s="11" t="s">
        <v>568</v>
      </c>
      <c r="T95" s="11">
        <f t="shared" si="4"/>
        <v>10</v>
      </c>
      <c r="U95" s="11">
        <v>0</v>
      </c>
      <c r="V95" s="11" t="s">
        <v>61</v>
      </c>
      <c r="W95" s="11" t="s">
        <v>62</v>
      </c>
    </row>
    <row r="96" spans="1:23" s="14" customFormat="1" x14ac:dyDescent="0.2">
      <c r="A96" s="11" t="s">
        <v>558</v>
      </c>
      <c r="B96" s="11">
        <v>815390</v>
      </c>
      <c r="C96" s="11" t="s">
        <v>216</v>
      </c>
      <c r="D96" s="11" t="s">
        <v>524</v>
      </c>
      <c r="E96" s="11">
        <v>17425766</v>
      </c>
      <c r="F96" s="11" t="s">
        <v>217</v>
      </c>
      <c r="G96" s="17">
        <v>21.5</v>
      </c>
      <c r="H96" s="17">
        <v>38.14</v>
      </c>
      <c r="I96" s="17">
        <v>0</v>
      </c>
      <c r="J96" s="17">
        <v>177.4</v>
      </c>
      <c r="K96" s="17">
        <v>177.4</v>
      </c>
      <c r="L96" s="17">
        <v>38.14</v>
      </c>
      <c r="M96" s="11" t="s">
        <v>129</v>
      </c>
      <c r="N96" s="11" t="s">
        <v>53</v>
      </c>
      <c r="O96" s="11" t="s">
        <v>130</v>
      </c>
      <c r="P96" s="11" t="s">
        <v>204</v>
      </c>
      <c r="Q96" s="11" t="s">
        <v>67</v>
      </c>
      <c r="R96" s="11" t="s">
        <v>565</v>
      </c>
      <c r="S96" s="11" t="s">
        <v>568</v>
      </c>
      <c r="T96" s="11">
        <f t="shared" si="4"/>
        <v>10</v>
      </c>
      <c r="U96" s="11">
        <v>0</v>
      </c>
      <c r="V96" s="11" t="s">
        <v>61</v>
      </c>
      <c r="W96" s="11" t="s">
        <v>62</v>
      </c>
    </row>
    <row r="97" spans="1:23" s="14" customFormat="1" x14ac:dyDescent="0.2">
      <c r="A97" s="11" t="s">
        <v>558</v>
      </c>
      <c r="B97" s="11">
        <v>815390</v>
      </c>
      <c r="C97" s="11" t="s">
        <v>218</v>
      </c>
      <c r="D97" s="11" t="s">
        <v>524</v>
      </c>
      <c r="E97" s="11">
        <v>17425766</v>
      </c>
      <c r="F97" s="11" t="s">
        <v>219</v>
      </c>
      <c r="G97" s="17">
        <v>21.5</v>
      </c>
      <c r="H97" s="17">
        <v>40.65</v>
      </c>
      <c r="I97" s="17">
        <v>0</v>
      </c>
      <c r="J97" s="17">
        <v>189.08</v>
      </c>
      <c r="K97" s="17">
        <v>189.08</v>
      </c>
      <c r="L97" s="17">
        <v>40.65</v>
      </c>
      <c r="M97" s="11" t="s">
        <v>129</v>
      </c>
      <c r="N97" s="11" t="s">
        <v>53</v>
      </c>
      <c r="O97" s="11" t="s">
        <v>130</v>
      </c>
      <c r="P97" s="11" t="s">
        <v>204</v>
      </c>
      <c r="Q97" s="11" t="s">
        <v>67</v>
      </c>
      <c r="R97" s="11" t="s">
        <v>565</v>
      </c>
      <c r="S97" s="11" t="s">
        <v>568</v>
      </c>
      <c r="T97" s="11">
        <f t="shared" si="4"/>
        <v>10</v>
      </c>
      <c r="U97" s="11">
        <v>0</v>
      </c>
      <c r="V97" s="11" t="s">
        <v>61</v>
      </c>
      <c r="W97" s="11" t="s">
        <v>62</v>
      </c>
    </row>
    <row r="98" spans="1:23" s="14" customFormat="1" x14ac:dyDescent="0.2">
      <c r="A98" s="11" t="s">
        <v>558</v>
      </c>
      <c r="B98" s="11">
        <v>815390</v>
      </c>
      <c r="C98" s="11" t="s">
        <v>220</v>
      </c>
      <c r="D98" s="11" t="s">
        <v>524</v>
      </c>
      <c r="E98" s="11">
        <v>17425766</v>
      </c>
      <c r="F98" s="11" t="s">
        <v>221</v>
      </c>
      <c r="G98" s="17">
        <v>21.5</v>
      </c>
      <c r="H98" s="17">
        <v>50.53</v>
      </c>
      <c r="I98" s="17">
        <v>0</v>
      </c>
      <c r="J98" s="17">
        <v>235.01</v>
      </c>
      <c r="K98" s="17">
        <v>235.01</v>
      </c>
      <c r="L98" s="17">
        <v>50.53</v>
      </c>
      <c r="M98" s="11" t="s">
        <v>129</v>
      </c>
      <c r="N98" s="11" t="s">
        <v>53</v>
      </c>
      <c r="O98" s="11" t="s">
        <v>130</v>
      </c>
      <c r="P98" s="11" t="s">
        <v>204</v>
      </c>
      <c r="Q98" s="11" t="s">
        <v>67</v>
      </c>
      <c r="R98" s="11" t="s">
        <v>565</v>
      </c>
      <c r="S98" s="11" t="s">
        <v>568</v>
      </c>
      <c r="T98" s="11">
        <f t="shared" ref="T98:T129" si="5">DATEDIF(P98,Q98,"M")</f>
        <v>10</v>
      </c>
      <c r="U98" s="11">
        <v>0</v>
      </c>
      <c r="V98" s="11" t="s">
        <v>61</v>
      </c>
      <c r="W98" s="11" t="s">
        <v>62</v>
      </c>
    </row>
    <row r="99" spans="1:23" s="14" customFormat="1" x14ac:dyDescent="0.2">
      <c r="A99" s="11" t="s">
        <v>552</v>
      </c>
      <c r="B99" s="11">
        <v>893387</v>
      </c>
      <c r="C99" s="11" t="s">
        <v>382</v>
      </c>
      <c r="D99" s="11" t="s">
        <v>519</v>
      </c>
      <c r="E99" s="11">
        <v>8307933</v>
      </c>
      <c r="F99" s="11" t="s">
        <v>383</v>
      </c>
      <c r="G99" s="17">
        <v>150</v>
      </c>
      <c r="H99" s="17">
        <v>115.02</v>
      </c>
      <c r="I99" s="17">
        <v>0</v>
      </c>
      <c r="J99" s="17">
        <v>76.680000000000007</v>
      </c>
      <c r="K99" s="17">
        <v>76.680000000000007</v>
      </c>
      <c r="L99" s="17">
        <v>115.02</v>
      </c>
      <c r="M99" s="11" t="s">
        <v>52</v>
      </c>
      <c r="N99" s="11" t="s">
        <v>140</v>
      </c>
      <c r="O99" s="11" t="s">
        <v>123</v>
      </c>
      <c r="P99" s="11" t="s">
        <v>299</v>
      </c>
      <c r="Q99" s="11" t="s">
        <v>157</v>
      </c>
      <c r="R99" s="11" t="s">
        <v>565</v>
      </c>
      <c r="S99" s="11" t="s">
        <v>568</v>
      </c>
      <c r="T99" s="11">
        <f t="shared" si="5"/>
        <v>10</v>
      </c>
      <c r="U99" s="11">
        <v>40</v>
      </c>
      <c r="V99" s="11" t="s">
        <v>61</v>
      </c>
      <c r="W99" s="11" t="s">
        <v>62</v>
      </c>
    </row>
    <row r="100" spans="1:23" s="14" customFormat="1" x14ac:dyDescent="0.2">
      <c r="A100" s="11" t="s">
        <v>552</v>
      </c>
      <c r="B100" s="11">
        <v>893387</v>
      </c>
      <c r="C100" s="11" t="s">
        <v>303</v>
      </c>
      <c r="D100" s="11" t="s">
        <v>519</v>
      </c>
      <c r="E100" s="11">
        <v>8307933</v>
      </c>
      <c r="F100" s="11" t="s">
        <v>304</v>
      </c>
      <c r="G100" s="17">
        <v>150</v>
      </c>
      <c r="H100" s="17">
        <v>142.43</v>
      </c>
      <c r="I100" s="17">
        <v>0</v>
      </c>
      <c r="J100" s="17">
        <v>94.95</v>
      </c>
      <c r="K100" s="17">
        <v>94.95</v>
      </c>
      <c r="L100" s="17">
        <v>142.43</v>
      </c>
      <c r="M100" s="11" t="s">
        <v>52</v>
      </c>
      <c r="N100" s="11" t="s">
        <v>140</v>
      </c>
      <c r="O100" s="11" t="s">
        <v>123</v>
      </c>
      <c r="P100" s="11" t="s">
        <v>299</v>
      </c>
      <c r="Q100" s="11" t="s">
        <v>157</v>
      </c>
      <c r="R100" s="11" t="s">
        <v>565</v>
      </c>
      <c r="S100" s="11" t="s">
        <v>568</v>
      </c>
      <c r="T100" s="11">
        <f t="shared" si="5"/>
        <v>10</v>
      </c>
      <c r="U100" s="11">
        <v>40</v>
      </c>
      <c r="V100" s="11" t="s">
        <v>61</v>
      </c>
      <c r="W100" s="11" t="s">
        <v>62</v>
      </c>
    </row>
    <row r="101" spans="1:23" s="14" customFormat="1" x14ac:dyDescent="0.2">
      <c r="A101" s="11" t="s">
        <v>552</v>
      </c>
      <c r="B101" s="11">
        <v>893387</v>
      </c>
      <c r="C101" s="11" t="s">
        <v>297</v>
      </c>
      <c r="D101" s="11" t="s">
        <v>519</v>
      </c>
      <c r="E101" s="11">
        <v>8307933</v>
      </c>
      <c r="F101" s="11" t="s">
        <v>298</v>
      </c>
      <c r="G101" s="17">
        <v>150</v>
      </c>
      <c r="H101" s="17">
        <v>204.45</v>
      </c>
      <c r="I101" s="17">
        <v>0</v>
      </c>
      <c r="J101" s="17">
        <v>136.30000000000001</v>
      </c>
      <c r="K101" s="17">
        <v>136.30000000000001</v>
      </c>
      <c r="L101" s="17">
        <v>204.45</v>
      </c>
      <c r="M101" s="11" t="s">
        <v>114</v>
      </c>
      <c r="N101" s="11" t="s">
        <v>140</v>
      </c>
      <c r="O101" s="11" t="s">
        <v>123</v>
      </c>
      <c r="P101" s="11" t="s">
        <v>299</v>
      </c>
      <c r="Q101" s="11" t="s">
        <v>157</v>
      </c>
      <c r="R101" s="11" t="s">
        <v>565</v>
      </c>
      <c r="S101" s="11" t="s">
        <v>568</v>
      </c>
      <c r="T101" s="11">
        <f t="shared" si="5"/>
        <v>10</v>
      </c>
      <c r="U101" s="11">
        <v>150</v>
      </c>
      <c r="V101" s="11" t="s">
        <v>61</v>
      </c>
      <c r="W101" s="11" t="s">
        <v>62</v>
      </c>
    </row>
    <row r="102" spans="1:23" s="14" customFormat="1" x14ac:dyDescent="0.2">
      <c r="A102" s="11" t="s">
        <v>552</v>
      </c>
      <c r="B102" s="11">
        <v>893387</v>
      </c>
      <c r="C102" s="11" t="s">
        <v>300</v>
      </c>
      <c r="D102" s="11" t="s">
        <v>519</v>
      </c>
      <c r="E102" s="11">
        <v>8307933</v>
      </c>
      <c r="F102" s="11" t="s">
        <v>301</v>
      </c>
      <c r="G102" s="17">
        <v>150</v>
      </c>
      <c r="H102" s="17">
        <v>257.49</v>
      </c>
      <c r="I102" s="17">
        <v>0</v>
      </c>
      <c r="J102" s="17">
        <v>171.66</v>
      </c>
      <c r="K102" s="17">
        <v>171.66</v>
      </c>
      <c r="L102" s="17">
        <v>257.49</v>
      </c>
      <c r="M102" s="11" t="s">
        <v>302</v>
      </c>
      <c r="N102" s="11" t="s">
        <v>140</v>
      </c>
      <c r="O102" s="11" t="s">
        <v>123</v>
      </c>
      <c r="P102" s="11" t="s">
        <v>299</v>
      </c>
      <c r="Q102" s="11" t="s">
        <v>157</v>
      </c>
      <c r="R102" s="11" t="s">
        <v>565</v>
      </c>
      <c r="S102" s="11" t="s">
        <v>568</v>
      </c>
      <c r="T102" s="11">
        <f t="shared" si="5"/>
        <v>10</v>
      </c>
      <c r="U102" s="11">
        <v>125</v>
      </c>
      <c r="V102" s="11" t="s">
        <v>61</v>
      </c>
      <c r="W102" s="11" t="s">
        <v>62</v>
      </c>
    </row>
    <row r="103" spans="1:23" s="14" customFormat="1" x14ac:dyDescent="0.2">
      <c r="A103" s="11" t="s">
        <v>546</v>
      </c>
      <c r="B103" s="11">
        <v>894080</v>
      </c>
      <c r="C103" s="11" t="s">
        <v>487</v>
      </c>
      <c r="D103" s="11" t="s">
        <v>538</v>
      </c>
      <c r="E103" s="11">
        <v>18754354</v>
      </c>
      <c r="F103" s="11" t="s">
        <v>488</v>
      </c>
      <c r="G103" s="17">
        <v>52</v>
      </c>
      <c r="H103" s="17">
        <v>37.21</v>
      </c>
      <c r="I103" s="17">
        <v>0</v>
      </c>
      <c r="J103" s="17">
        <v>71.55</v>
      </c>
      <c r="K103" s="17">
        <v>71.55</v>
      </c>
      <c r="L103" s="17">
        <v>37.21</v>
      </c>
      <c r="M103" s="11" t="s">
        <v>52</v>
      </c>
      <c r="N103" s="11" t="s">
        <v>89</v>
      </c>
      <c r="O103" s="11" t="s">
        <v>412</v>
      </c>
      <c r="P103" s="11" t="s">
        <v>299</v>
      </c>
      <c r="Q103" s="11" t="s">
        <v>157</v>
      </c>
      <c r="R103" s="11" t="s">
        <v>565</v>
      </c>
      <c r="S103" s="11" t="s">
        <v>568</v>
      </c>
      <c r="T103" s="11">
        <f t="shared" si="5"/>
        <v>10</v>
      </c>
      <c r="U103" s="11">
        <v>0</v>
      </c>
      <c r="V103" s="11" t="s">
        <v>61</v>
      </c>
      <c r="W103" s="11" t="s">
        <v>62</v>
      </c>
    </row>
    <row r="104" spans="1:23" s="14" customFormat="1" x14ac:dyDescent="0.2">
      <c r="A104" s="11" t="s">
        <v>546</v>
      </c>
      <c r="B104" s="11">
        <v>496849</v>
      </c>
      <c r="C104" s="11" t="s">
        <v>419</v>
      </c>
      <c r="D104" s="11" t="s">
        <v>534</v>
      </c>
      <c r="E104" s="11">
        <v>2158366</v>
      </c>
      <c r="F104" s="11" t="s">
        <v>420</v>
      </c>
      <c r="G104" s="17">
        <v>52</v>
      </c>
      <c r="H104" s="17">
        <v>41.51</v>
      </c>
      <c r="I104" s="17">
        <v>0</v>
      </c>
      <c r="J104" s="17">
        <v>79.83</v>
      </c>
      <c r="K104" s="17">
        <v>79.83</v>
      </c>
      <c r="L104" s="17">
        <v>41.51</v>
      </c>
      <c r="M104" s="11" t="s">
        <v>52</v>
      </c>
      <c r="N104" s="11" t="s">
        <v>53</v>
      </c>
      <c r="O104" s="11" t="s">
        <v>412</v>
      </c>
      <c r="P104" s="11" t="s">
        <v>204</v>
      </c>
      <c r="Q104" s="11" t="s">
        <v>67</v>
      </c>
      <c r="R104" s="11" t="s">
        <v>565</v>
      </c>
      <c r="S104" s="11" t="s">
        <v>568</v>
      </c>
      <c r="T104" s="11">
        <f t="shared" si="5"/>
        <v>10</v>
      </c>
      <c r="U104" s="11">
        <v>0</v>
      </c>
      <c r="V104" s="11" t="s">
        <v>61</v>
      </c>
      <c r="W104" s="11" t="s">
        <v>62</v>
      </c>
    </row>
    <row r="105" spans="1:23" s="14" customFormat="1" x14ac:dyDescent="0.2">
      <c r="A105" s="11" t="s">
        <v>554</v>
      </c>
      <c r="B105" s="11">
        <v>980022</v>
      </c>
      <c r="C105" s="11" t="s">
        <v>202</v>
      </c>
      <c r="D105" s="11" t="s">
        <v>522</v>
      </c>
      <c r="E105" s="11">
        <v>2048099</v>
      </c>
      <c r="F105" s="11" t="s">
        <v>203</v>
      </c>
      <c r="G105" s="17">
        <v>25.5</v>
      </c>
      <c r="H105" s="17">
        <v>20.41</v>
      </c>
      <c r="I105" s="17">
        <v>0</v>
      </c>
      <c r="J105" s="17">
        <v>80.03</v>
      </c>
      <c r="K105" s="17">
        <v>80.03</v>
      </c>
      <c r="L105" s="17">
        <v>20.41</v>
      </c>
      <c r="M105" s="11" t="s">
        <v>129</v>
      </c>
      <c r="N105" s="11" t="s">
        <v>53</v>
      </c>
      <c r="O105" s="11" t="s">
        <v>175</v>
      </c>
      <c r="P105" s="11" t="s">
        <v>204</v>
      </c>
      <c r="Q105" s="11" t="s">
        <v>67</v>
      </c>
      <c r="R105" s="11" t="s">
        <v>565</v>
      </c>
      <c r="S105" s="11" t="s">
        <v>568</v>
      </c>
      <c r="T105" s="11">
        <f t="shared" si="5"/>
        <v>10</v>
      </c>
      <c r="U105" s="11">
        <v>0</v>
      </c>
      <c r="V105" s="11" t="s">
        <v>61</v>
      </c>
      <c r="W105" s="11" t="s">
        <v>62</v>
      </c>
    </row>
    <row r="106" spans="1:23" x14ac:dyDescent="0.2">
      <c r="A106" s="11" t="s">
        <v>546</v>
      </c>
      <c r="B106" s="11">
        <v>892048</v>
      </c>
      <c r="C106" s="11" t="s">
        <v>410</v>
      </c>
      <c r="D106" s="11" t="s">
        <v>533</v>
      </c>
      <c r="E106" s="11">
        <v>16633294</v>
      </c>
      <c r="F106" s="11" t="s">
        <v>411</v>
      </c>
      <c r="G106" s="17">
        <v>52</v>
      </c>
      <c r="H106" s="17">
        <v>37.21</v>
      </c>
      <c r="I106" s="17">
        <v>0</v>
      </c>
      <c r="J106" s="17">
        <v>71.55</v>
      </c>
      <c r="K106" s="17">
        <v>71.55</v>
      </c>
      <c r="L106" s="17">
        <v>37.21</v>
      </c>
      <c r="M106" s="11" t="s">
        <v>52</v>
      </c>
      <c r="N106" s="11" t="s">
        <v>53</v>
      </c>
      <c r="O106" s="11" t="s">
        <v>412</v>
      </c>
      <c r="P106" s="11" t="s">
        <v>204</v>
      </c>
      <c r="Q106" s="11" t="s">
        <v>67</v>
      </c>
      <c r="R106" s="11" t="s">
        <v>565</v>
      </c>
      <c r="S106" s="11" t="s">
        <v>568</v>
      </c>
      <c r="T106" s="11">
        <f t="shared" si="5"/>
        <v>10</v>
      </c>
      <c r="U106" s="11">
        <v>0</v>
      </c>
      <c r="V106" s="11" t="s">
        <v>61</v>
      </c>
      <c r="W106" s="11" t="s">
        <v>62</v>
      </c>
    </row>
    <row r="107" spans="1:23" x14ac:dyDescent="0.2">
      <c r="A107" s="11" t="s">
        <v>556</v>
      </c>
      <c r="B107" s="11">
        <v>816910</v>
      </c>
      <c r="C107" s="11" t="s">
        <v>455</v>
      </c>
      <c r="D107" s="11" t="s">
        <v>537</v>
      </c>
      <c r="E107" s="11">
        <v>9079571</v>
      </c>
      <c r="F107" s="11" t="s">
        <v>456</v>
      </c>
      <c r="G107" s="17">
        <v>23</v>
      </c>
      <c r="H107" s="17">
        <v>25.02</v>
      </c>
      <c r="I107" s="17">
        <v>0</v>
      </c>
      <c r="J107" s="17">
        <v>108.79</v>
      </c>
      <c r="K107" s="17">
        <v>108.79</v>
      </c>
      <c r="L107" s="17">
        <v>25.02</v>
      </c>
      <c r="M107" s="11" t="s">
        <v>454</v>
      </c>
      <c r="N107" s="11" t="s">
        <v>53</v>
      </c>
      <c r="O107" s="11" t="s">
        <v>433</v>
      </c>
      <c r="P107" s="11" t="s">
        <v>457</v>
      </c>
      <c r="Q107" s="11" t="s">
        <v>67</v>
      </c>
      <c r="R107" s="11" t="s">
        <v>565</v>
      </c>
      <c r="S107" s="11" t="s">
        <v>568</v>
      </c>
      <c r="T107" s="11">
        <f t="shared" si="5"/>
        <v>11</v>
      </c>
      <c r="U107" s="11">
        <v>0</v>
      </c>
      <c r="V107" s="11" t="s">
        <v>61</v>
      </c>
      <c r="W107" s="11" t="s">
        <v>62</v>
      </c>
    </row>
    <row r="108" spans="1:23" x14ac:dyDescent="0.2">
      <c r="A108" s="11" t="s">
        <v>557</v>
      </c>
      <c r="B108" s="11">
        <v>815797</v>
      </c>
      <c r="C108" s="11" t="s">
        <v>331</v>
      </c>
      <c r="D108" s="11" t="s">
        <v>529</v>
      </c>
      <c r="E108" s="11">
        <v>17528908</v>
      </c>
      <c r="F108" s="11" t="s">
        <v>332</v>
      </c>
      <c r="G108" s="17">
        <v>87.5</v>
      </c>
      <c r="H108" s="17">
        <v>57.66</v>
      </c>
      <c r="I108" s="17">
        <v>0</v>
      </c>
      <c r="J108" s="17">
        <v>65.900000000000006</v>
      </c>
      <c r="K108" s="17">
        <v>65.900000000000006</v>
      </c>
      <c r="L108" s="17">
        <v>57.66</v>
      </c>
      <c r="M108" s="11" t="s">
        <v>129</v>
      </c>
      <c r="N108" s="11" t="s">
        <v>140</v>
      </c>
      <c r="O108" s="11" t="s">
        <v>333</v>
      </c>
      <c r="P108" s="11" t="s">
        <v>334</v>
      </c>
      <c r="Q108" s="11" t="s">
        <v>335</v>
      </c>
      <c r="R108" s="11" t="s">
        <v>565</v>
      </c>
      <c r="S108" s="11" t="s">
        <v>568</v>
      </c>
      <c r="T108" s="11">
        <f t="shared" si="5"/>
        <v>11</v>
      </c>
      <c r="U108" s="11">
        <v>10</v>
      </c>
      <c r="V108" s="11" t="s">
        <v>61</v>
      </c>
      <c r="W108" s="11" t="s">
        <v>62</v>
      </c>
    </row>
    <row r="109" spans="1:23" x14ac:dyDescent="0.2">
      <c r="A109" s="11" t="s">
        <v>558</v>
      </c>
      <c r="B109" s="11">
        <v>815390</v>
      </c>
      <c r="C109" s="11" t="s">
        <v>224</v>
      </c>
      <c r="D109" s="11" t="s">
        <v>524</v>
      </c>
      <c r="E109" s="11">
        <v>17425766</v>
      </c>
      <c r="F109" s="11" t="s">
        <v>225</v>
      </c>
      <c r="G109" s="17">
        <v>21.5</v>
      </c>
      <c r="H109" s="17">
        <v>30.59</v>
      </c>
      <c r="I109" s="17">
        <v>0</v>
      </c>
      <c r="J109" s="17">
        <v>142.26</v>
      </c>
      <c r="K109" s="17">
        <v>142.26</v>
      </c>
      <c r="L109" s="17">
        <v>30.59</v>
      </c>
      <c r="M109" s="11" t="s">
        <v>129</v>
      </c>
      <c r="N109" s="11" t="s">
        <v>53</v>
      </c>
      <c r="O109" s="11" t="s">
        <v>130</v>
      </c>
      <c r="P109" s="11" t="s">
        <v>226</v>
      </c>
      <c r="Q109" s="11" t="s">
        <v>67</v>
      </c>
      <c r="R109" s="11" t="s">
        <v>565</v>
      </c>
      <c r="S109" s="11" t="s">
        <v>568</v>
      </c>
      <c r="T109" s="11">
        <f t="shared" si="5"/>
        <v>12</v>
      </c>
      <c r="U109" s="11">
        <v>0</v>
      </c>
      <c r="V109" s="11" t="s">
        <v>61</v>
      </c>
      <c r="W109" s="11" t="s">
        <v>62</v>
      </c>
    </row>
    <row r="110" spans="1:23" x14ac:dyDescent="0.2">
      <c r="A110" s="11" t="s">
        <v>552</v>
      </c>
      <c r="B110" s="11">
        <v>893387</v>
      </c>
      <c r="C110" s="11" t="s">
        <v>295</v>
      </c>
      <c r="D110" s="11" t="s">
        <v>519</v>
      </c>
      <c r="E110" s="11">
        <v>8307933</v>
      </c>
      <c r="F110" s="11" t="s">
        <v>296</v>
      </c>
      <c r="G110" s="17">
        <v>150</v>
      </c>
      <c r="H110" s="17">
        <v>106.26</v>
      </c>
      <c r="I110" s="17">
        <v>0</v>
      </c>
      <c r="J110" s="17">
        <v>70.84</v>
      </c>
      <c r="K110" s="17">
        <v>70.84</v>
      </c>
      <c r="L110" s="17">
        <v>106.26</v>
      </c>
      <c r="M110" s="11" t="s">
        <v>52</v>
      </c>
      <c r="N110" s="11" t="s">
        <v>99</v>
      </c>
      <c r="O110" s="11" t="s">
        <v>123</v>
      </c>
      <c r="P110" s="11" t="s">
        <v>292</v>
      </c>
      <c r="Q110" s="11" t="s">
        <v>143</v>
      </c>
      <c r="R110" s="11" t="s">
        <v>565</v>
      </c>
      <c r="S110" s="11" t="s">
        <v>568</v>
      </c>
      <c r="T110" s="11">
        <f t="shared" si="5"/>
        <v>12</v>
      </c>
      <c r="U110" s="11">
        <v>100</v>
      </c>
      <c r="V110" s="11" t="s">
        <v>61</v>
      </c>
      <c r="W110" s="11" t="s">
        <v>62</v>
      </c>
    </row>
    <row r="111" spans="1:23" x14ac:dyDescent="0.2">
      <c r="A111" s="11" t="s">
        <v>552</v>
      </c>
      <c r="B111" s="11">
        <v>893387</v>
      </c>
      <c r="C111" s="11" t="s">
        <v>388</v>
      </c>
      <c r="D111" s="11" t="s">
        <v>519</v>
      </c>
      <c r="E111" s="11">
        <v>8307933</v>
      </c>
      <c r="F111" s="11" t="s">
        <v>389</v>
      </c>
      <c r="G111" s="17">
        <v>150</v>
      </c>
      <c r="H111" s="17">
        <v>130.04</v>
      </c>
      <c r="I111" s="17">
        <v>0</v>
      </c>
      <c r="J111" s="17">
        <v>86.69</v>
      </c>
      <c r="K111" s="17">
        <v>86.69</v>
      </c>
      <c r="L111" s="17">
        <v>130.04</v>
      </c>
      <c r="M111" s="11" t="s">
        <v>52</v>
      </c>
      <c r="N111" s="11" t="s">
        <v>99</v>
      </c>
      <c r="O111" s="11" t="s">
        <v>123</v>
      </c>
      <c r="P111" s="11" t="s">
        <v>292</v>
      </c>
      <c r="Q111" s="11" t="s">
        <v>143</v>
      </c>
      <c r="R111" s="11" t="s">
        <v>565</v>
      </c>
      <c r="S111" s="11" t="s">
        <v>568</v>
      </c>
      <c r="T111" s="11">
        <f t="shared" si="5"/>
        <v>12</v>
      </c>
      <c r="U111" s="11">
        <v>100</v>
      </c>
      <c r="V111" s="11" t="s">
        <v>61</v>
      </c>
      <c r="W111" s="11" t="s">
        <v>62</v>
      </c>
    </row>
    <row r="112" spans="1:23" x14ac:dyDescent="0.2">
      <c r="A112" s="11" t="s">
        <v>552</v>
      </c>
      <c r="B112" s="11">
        <v>893387</v>
      </c>
      <c r="C112" s="11" t="s">
        <v>290</v>
      </c>
      <c r="D112" s="11" t="s">
        <v>519</v>
      </c>
      <c r="E112" s="11">
        <v>8307933</v>
      </c>
      <c r="F112" s="11" t="s">
        <v>291</v>
      </c>
      <c r="G112" s="17">
        <v>150</v>
      </c>
      <c r="H112" s="17">
        <v>171.72</v>
      </c>
      <c r="I112" s="17">
        <v>0</v>
      </c>
      <c r="J112" s="17">
        <v>114.48</v>
      </c>
      <c r="K112" s="17">
        <v>114.48</v>
      </c>
      <c r="L112" s="17">
        <v>171.72</v>
      </c>
      <c r="M112" s="11" t="s">
        <v>52</v>
      </c>
      <c r="N112" s="11" t="s">
        <v>99</v>
      </c>
      <c r="O112" s="11" t="s">
        <v>123</v>
      </c>
      <c r="P112" s="11" t="s">
        <v>292</v>
      </c>
      <c r="Q112" s="11" t="s">
        <v>143</v>
      </c>
      <c r="R112" s="11" t="s">
        <v>565</v>
      </c>
      <c r="S112" s="11" t="s">
        <v>568</v>
      </c>
      <c r="T112" s="11">
        <f t="shared" si="5"/>
        <v>12</v>
      </c>
      <c r="U112" s="11">
        <v>125</v>
      </c>
      <c r="V112" s="11" t="s">
        <v>61</v>
      </c>
      <c r="W112" s="11" t="s">
        <v>62</v>
      </c>
    </row>
    <row r="113" spans="1:23" x14ac:dyDescent="0.2">
      <c r="A113" s="11" t="s">
        <v>552</v>
      </c>
      <c r="B113" s="11">
        <v>893387</v>
      </c>
      <c r="C113" s="11" t="s">
        <v>293</v>
      </c>
      <c r="D113" s="11" t="s">
        <v>519</v>
      </c>
      <c r="E113" s="11">
        <v>8307933</v>
      </c>
      <c r="F113" s="11" t="s">
        <v>294</v>
      </c>
      <c r="G113" s="17">
        <v>150</v>
      </c>
      <c r="H113" s="17">
        <v>187.07</v>
      </c>
      <c r="I113" s="17">
        <v>0</v>
      </c>
      <c r="J113" s="17">
        <v>124.71</v>
      </c>
      <c r="K113" s="17">
        <v>124.71</v>
      </c>
      <c r="L113" s="17">
        <v>187.07</v>
      </c>
      <c r="M113" s="11" t="s">
        <v>52</v>
      </c>
      <c r="N113" s="11" t="s">
        <v>99</v>
      </c>
      <c r="O113" s="11" t="s">
        <v>123</v>
      </c>
      <c r="P113" s="11" t="s">
        <v>292</v>
      </c>
      <c r="Q113" s="11" t="s">
        <v>143</v>
      </c>
      <c r="R113" s="11" t="s">
        <v>565</v>
      </c>
      <c r="S113" s="11" t="s">
        <v>568</v>
      </c>
      <c r="T113" s="11">
        <f t="shared" si="5"/>
        <v>12</v>
      </c>
      <c r="U113" s="11">
        <v>125</v>
      </c>
      <c r="V113" s="11" t="s">
        <v>61</v>
      </c>
      <c r="W113" s="11" t="s">
        <v>62</v>
      </c>
    </row>
    <row r="114" spans="1:23" x14ac:dyDescent="0.2">
      <c r="A114" s="11" t="s">
        <v>546</v>
      </c>
      <c r="B114" s="11">
        <v>892048</v>
      </c>
      <c r="C114" s="11" t="s">
        <v>444</v>
      </c>
      <c r="D114" s="11" t="s">
        <v>533</v>
      </c>
      <c r="E114" s="11">
        <v>16633294</v>
      </c>
      <c r="F114" s="11" t="s">
        <v>445</v>
      </c>
      <c r="G114" s="17">
        <v>52</v>
      </c>
      <c r="H114" s="17">
        <v>17.07</v>
      </c>
      <c r="I114" s="17">
        <v>0</v>
      </c>
      <c r="J114" s="17">
        <v>32.82</v>
      </c>
      <c r="K114" s="17">
        <v>32.82</v>
      </c>
      <c r="L114" s="17">
        <v>17.07</v>
      </c>
      <c r="M114" s="11" t="s">
        <v>52</v>
      </c>
      <c r="N114" s="11" t="s">
        <v>53</v>
      </c>
      <c r="O114" s="11" t="s">
        <v>423</v>
      </c>
      <c r="P114" s="11" t="s">
        <v>446</v>
      </c>
      <c r="Q114" s="11" t="s">
        <v>447</v>
      </c>
      <c r="R114" s="11" t="s">
        <v>565</v>
      </c>
      <c r="S114" s="11" t="s">
        <v>568</v>
      </c>
      <c r="T114" s="11">
        <f t="shared" si="5"/>
        <v>12</v>
      </c>
      <c r="U114" s="11">
        <v>0</v>
      </c>
      <c r="V114" s="11" t="s">
        <v>61</v>
      </c>
      <c r="W114" s="11" t="s">
        <v>62</v>
      </c>
    </row>
    <row r="115" spans="1:23" x14ac:dyDescent="0.2">
      <c r="A115" s="11" t="s">
        <v>564</v>
      </c>
      <c r="B115" s="11">
        <v>606680</v>
      </c>
      <c r="C115" s="11" t="s">
        <v>252</v>
      </c>
      <c r="D115" s="11" t="s">
        <v>521</v>
      </c>
      <c r="E115" s="11">
        <v>8977234</v>
      </c>
      <c r="F115" s="11" t="s">
        <v>253</v>
      </c>
      <c r="G115" s="17">
        <v>67.5</v>
      </c>
      <c r="H115" s="17">
        <v>129.47999999999999</v>
      </c>
      <c r="I115" s="17">
        <v>0</v>
      </c>
      <c r="J115" s="17">
        <v>191.82</v>
      </c>
      <c r="K115" s="17">
        <v>191.82</v>
      </c>
      <c r="L115" s="17">
        <v>129.47999999999999</v>
      </c>
      <c r="M115" s="11" t="s">
        <v>114</v>
      </c>
      <c r="N115" s="11" t="s">
        <v>99</v>
      </c>
      <c r="O115" s="11" t="s">
        <v>119</v>
      </c>
      <c r="P115" s="11" t="s">
        <v>226</v>
      </c>
      <c r="Q115" s="11" t="s">
        <v>67</v>
      </c>
      <c r="R115" s="11" t="s">
        <v>565</v>
      </c>
      <c r="S115" s="11" t="s">
        <v>568</v>
      </c>
      <c r="T115" s="11">
        <f t="shared" si="5"/>
        <v>12</v>
      </c>
      <c r="U115" s="11">
        <v>90</v>
      </c>
      <c r="V115" s="11" t="s">
        <v>61</v>
      </c>
      <c r="W115" s="11" t="s">
        <v>62</v>
      </c>
    </row>
    <row r="116" spans="1:23" x14ac:dyDescent="0.2">
      <c r="A116" s="11" t="s">
        <v>546</v>
      </c>
      <c r="B116" s="11">
        <v>892048</v>
      </c>
      <c r="C116" s="11" t="s">
        <v>471</v>
      </c>
      <c r="D116" s="11" t="s">
        <v>533</v>
      </c>
      <c r="E116" s="11">
        <v>16633294</v>
      </c>
      <c r="F116" s="11" t="s">
        <v>472</v>
      </c>
      <c r="G116" s="17">
        <v>3</v>
      </c>
      <c r="H116" s="17">
        <v>2.63</v>
      </c>
      <c r="I116" s="17">
        <v>0</v>
      </c>
      <c r="J116" s="17">
        <v>87.56</v>
      </c>
      <c r="K116" s="17">
        <v>87.56</v>
      </c>
      <c r="L116" s="17">
        <v>2.63</v>
      </c>
      <c r="M116" s="11" t="s">
        <v>52</v>
      </c>
      <c r="N116" s="11" t="s">
        <v>53</v>
      </c>
      <c r="O116" s="11" t="s">
        <v>412</v>
      </c>
      <c r="P116" s="11" t="s">
        <v>473</v>
      </c>
      <c r="Q116" s="11" t="s">
        <v>67</v>
      </c>
      <c r="R116" s="11" t="s">
        <v>565</v>
      </c>
      <c r="S116" s="11" t="s">
        <v>568</v>
      </c>
      <c r="T116" s="11">
        <f t="shared" si="5"/>
        <v>13</v>
      </c>
      <c r="U116" s="11">
        <v>0</v>
      </c>
      <c r="V116" s="11" t="s">
        <v>79</v>
      </c>
      <c r="W116" s="11" t="s">
        <v>80</v>
      </c>
    </row>
    <row r="117" spans="1:23" x14ac:dyDescent="0.2">
      <c r="A117" s="11" t="s">
        <v>546</v>
      </c>
      <c r="B117" s="11">
        <v>892048</v>
      </c>
      <c r="C117" s="11" t="s">
        <v>474</v>
      </c>
      <c r="D117" s="11" t="s">
        <v>533</v>
      </c>
      <c r="E117" s="11">
        <v>16633294</v>
      </c>
      <c r="F117" s="11" t="s">
        <v>475</v>
      </c>
      <c r="G117" s="17">
        <v>3</v>
      </c>
      <c r="H117" s="17">
        <v>2.63</v>
      </c>
      <c r="I117" s="17">
        <v>0</v>
      </c>
      <c r="J117" s="17">
        <v>87.56</v>
      </c>
      <c r="K117" s="17">
        <v>87.56</v>
      </c>
      <c r="L117" s="17">
        <v>2.63</v>
      </c>
      <c r="M117" s="11" t="s">
        <v>52</v>
      </c>
      <c r="N117" s="11" t="s">
        <v>53</v>
      </c>
      <c r="O117" s="11" t="s">
        <v>412</v>
      </c>
      <c r="P117" s="11" t="s">
        <v>473</v>
      </c>
      <c r="Q117" s="11" t="s">
        <v>67</v>
      </c>
      <c r="R117" s="11" t="s">
        <v>565</v>
      </c>
      <c r="S117" s="11" t="s">
        <v>568</v>
      </c>
      <c r="T117" s="11">
        <f t="shared" si="5"/>
        <v>13</v>
      </c>
      <c r="U117" s="11">
        <v>0</v>
      </c>
      <c r="V117" s="11" t="s">
        <v>79</v>
      </c>
      <c r="W117" s="11" t="s">
        <v>80</v>
      </c>
    </row>
    <row r="118" spans="1:23" x14ac:dyDescent="0.2">
      <c r="A118" s="11" t="s">
        <v>563</v>
      </c>
      <c r="B118" s="11">
        <v>815390</v>
      </c>
      <c r="C118" s="11" t="s">
        <v>434</v>
      </c>
      <c r="D118" s="11" t="s">
        <v>524</v>
      </c>
      <c r="E118" s="11">
        <v>17425766</v>
      </c>
      <c r="F118" s="11" t="s">
        <v>435</v>
      </c>
      <c r="G118" s="17">
        <v>27</v>
      </c>
      <c r="H118" s="17">
        <v>24.7</v>
      </c>
      <c r="I118" s="17">
        <v>0</v>
      </c>
      <c r="J118" s="17">
        <v>91.47</v>
      </c>
      <c r="K118" s="17">
        <v>91.47</v>
      </c>
      <c r="L118" s="17">
        <v>24.7</v>
      </c>
      <c r="M118" s="11" t="s">
        <v>436</v>
      </c>
      <c r="N118" s="11" t="s">
        <v>53</v>
      </c>
      <c r="O118" s="11" t="s">
        <v>437</v>
      </c>
      <c r="P118" s="11" t="s">
        <v>426</v>
      </c>
      <c r="Q118" s="11" t="s">
        <v>67</v>
      </c>
      <c r="R118" s="11" t="s">
        <v>565</v>
      </c>
      <c r="S118" s="11" t="s">
        <v>568</v>
      </c>
      <c r="T118" s="11">
        <f t="shared" si="5"/>
        <v>14</v>
      </c>
      <c r="U118" s="11">
        <v>0</v>
      </c>
      <c r="V118" s="11" t="s">
        <v>79</v>
      </c>
      <c r="W118" s="11" t="s">
        <v>80</v>
      </c>
    </row>
    <row r="119" spans="1:23" x14ac:dyDescent="0.2">
      <c r="A119" s="11" t="s">
        <v>546</v>
      </c>
      <c r="B119" s="11">
        <v>513364</v>
      </c>
      <c r="C119" s="11" t="s">
        <v>424</v>
      </c>
      <c r="D119" s="11" t="s">
        <v>520</v>
      </c>
      <c r="E119" s="11">
        <v>8325282</v>
      </c>
      <c r="F119" s="11" t="s">
        <v>425</v>
      </c>
      <c r="G119" s="17">
        <v>3</v>
      </c>
      <c r="H119" s="17">
        <v>2.38</v>
      </c>
      <c r="I119" s="17">
        <v>0</v>
      </c>
      <c r="J119" s="17">
        <v>79.28</v>
      </c>
      <c r="K119" s="17">
        <v>79.28</v>
      </c>
      <c r="L119" s="17">
        <v>2.38</v>
      </c>
      <c r="M119" s="11" t="s">
        <v>52</v>
      </c>
      <c r="N119" s="11" t="s">
        <v>53</v>
      </c>
      <c r="O119" s="11" t="s">
        <v>412</v>
      </c>
      <c r="P119" s="11" t="s">
        <v>426</v>
      </c>
      <c r="Q119" s="11" t="s">
        <v>67</v>
      </c>
      <c r="R119" s="11" t="s">
        <v>565</v>
      </c>
      <c r="S119" s="11" t="s">
        <v>568</v>
      </c>
      <c r="T119" s="11">
        <f t="shared" si="5"/>
        <v>14</v>
      </c>
      <c r="U119" s="11">
        <v>0</v>
      </c>
      <c r="V119" s="11" t="s">
        <v>79</v>
      </c>
      <c r="W119" s="11" t="s">
        <v>80</v>
      </c>
    </row>
    <row r="120" spans="1:23" x14ac:dyDescent="0.2">
      <c r="A120" s="11" t="s">
        <v>558</v>
      </c>
      <c r="B120" s="11">
        <v>815390</v>
      </c>
      <c r="C120" s="11" t="s">
        <v>237</v>
      </c>
      <c r="D120" s="11" t="s">
        <v>524</v>
      </c>
      <c r="E120" s="11">
        <v>17425766</v>
      </c>
      <c r="F120" s="11" t="s">
        <v>238</v>
      </c>
      <c r="G120" s="17">
        <v>21.5</v>
      </c>
      <c r="H120" s="17">
        <v>35.21</v>
      </c>
      <c r="I120" s="17">
        <v>0</v>
      </c>
      <c r="J120" s="17">
        <v>163.77000000000001</v>
      </c>
      <c r="K120" s="17">
        <v>163.77000000000001</v>
      </c>
      <c r="L120" s="17">
        <v>35.21</v>
      </c>
      <c r="M120" s="11" t="s">
        <v>129</v>
      </c>
      <c r="N120" s="11" t="s">
        <v>53</v>
      </c>
      <c r="O120" s="11" t="s">
        <v>130</v>
      </c>
      <c r="P120" s="11" t="s">
        <v>239</v>
      </c>
      <c r="Q120" s="11" t="s">
        <v>67</v>
      </c>
      <c r="R120" s="11" t="s">
        <v>565</v>
      </c>
      <c r="S120" s="11" t="s">
        <v>568</v>
      </c>
      <c r="T120" s="11">
        <f t="shared" si="5"/>
        <v>15</v>
      </c>
      <c r="U120" s="11">
        <v>0</v>
      </c>
      <c r="V120" s="11" t="s">
        <v>79</v>
      </c>
      <c r="W120" s="11" t="s">
        <v>80</v>
      </c>
    </row>
    <row r="121" spans="1:23" x14ac:dyDescent="0.2">
      <c r="A121" s="11" t="s">
        <v>559</v>
      </c>
      <c r="B121" s="11">
        <v>893387</v>
      </c>
      <c r="C121" s="11" t="s">
        <v>97</v>
      </c>
      <c r="D121" s="11" t="s">
        <v>519</v>
      </c>
      <c r="E121" s="11">
        <v>8307933</v>
      </c>
      <c r="F121" s="11" t="s">
        <v>98</v>
      </c>
      <c r="G121" s="17">
        <v>23</v>
      </c>
      <c r="H121" s="17">
        <v>37.32</v>
      </c>
      <c r="I121" s="17">
        <v>0</v>
      </c>
      <c r="J121" s="17">
        <v>162.27000000000001</v>
      </c>
      <c r="K121" s="17">
        <v>162.27000000000001</v>
      </c>
      <c r="L121" s="17">
        <v>37.32</v>
      </c>
      <c r="M121" s="11" t="s">
        <v>52</v>
      </c>
      <c r="N121" s="11" t="s">
        <v>99</v>
      </c>
      <c r="O121" s="11" t="s">
        <v>54</v>
      </c>
      <c r="P121" s="11" t="s">
        <v>100</v>
      </c>
      <c r="Q121" s="11" t="s">
        <v>91</v>
      </c>
      <c r="R121" s="11" t="s">
        <v>565</v>
      </c>
      <c r="S121" s="11" t="s">
        <v>568</v>
      </c>
      <c r="T121" s="11">
        <f t="shared" si="5"/>
        <v>15</v>
      </c>
      <c r="U121" s="11">
        <v>0</v>
      </c>
      <c r="V121" s="11" t="s">
        <v>79</v>
      </c>
      <c r="W121" s="11" t="s">
        <v>80</v>
      </c>
    </row>
    <row r="122" spans="1:23" x14ac:dyDescent="0.2">
      <c r="A122" s="11" t="s">
        <v>558</v>
      </c>
      <c r="B122" s="11">
        <v>815390</v>
      </c>
      <c r="C122" s="11" t="s">
        <v>185</v>
      </c>
      <c r="D122" s="11" t="s">
        <v>524</v>
      </c>
      <c r="E122" s="11">
        <v>17425766</v>
      </c>
      <c r="F122" s="11" t="s">
        <v>186</v>
      </c>
      <c r="G122" s="17">
        <v>21.5</v>
      </c>
      <c r="H122" s="17">
        <v>29.61</v>
      </c>
      <c r="I122" s="17">
        <v>0</v>
      </c>
      <c r="J122" s="17">
        <v>137.74</v>
      </c>
      <c r="K122" s="17">
        <v>137.74</v>
      </c>
      <c r="L122" s="17">
        <v>29.61</v>
      </c>
      <c r="M122" s="11" t="s">
        <v>129</v>
      </c>
      <c r="N122" s="11" t="s">
        <v>53</v>
      </c>
      <c r="O122" s="11" t="s">
        <v>130</v>
      </c>
      <c r="P122" s="11" t="s">
        <v>100</v>
      </c>
      <c r="Q122" s="11" t="s">
        <v>67</v>
      </c>
      <c r="R122" s="11" t="s">
        <v>565</v>
      </c>
      <c r="S122" s="11" t="s">
        <v>568</v>
      </c>
      <c r="T122" s="11">
        <f t="shared" si="5"/>
        <v>16</v>
      </c>
      <c r="U122" s="11">
        <v>0</v>
      </c>
      <c r="V122" s="11" t="s">
        <v>79</v>
      </c>
      <c r="W122" s="11" t="s">
        <v>80</v>
      </c>
    </row>
    <row r="123" spans="1:23" x14ac:dyDescent="0.2">
      <c r="A123" s="11" t="s">
        <v>558</v>
      </c>
      <c r="B123" s="11">
        <v>957310</v>
      </c>
      <c r="C123" s="11" t="s">
        <v>206</v>
      </c>
      <c r="D123" s="11" t="s">
        <v>523</v>
      </c>
      <c r="E123" s="11">
        <v>19278370</v>
      </c>
      <c r="F123" s="11" t="s">
        <v>207</v>
      </c>
      <c r="G123" s="17">
        <v>21.5</v>
      </c>
      <c r="H123" s="17">
        <v>29.61</v>
      </c>
      <c r="I123" s="17">
        <v>0</v>
      </c>
      <c r="J123" s="17">
        <v>137.74</v>
      </c>
      <c r="K123" s="17">
        <v>137.74</v>
      </c>
      <c r="L123" s="17">
        <v>29.61</v>
      </c>
      <c r="M123" s="11" t="s">
        <v>129</v>
      </c>
      <c r="N123" s="11" t="s">
        <v>53</v>
      </c>
      <c r="O123" s="11" t="s">
        <v>130</v>
      </c>
      <c r="P123" s="11" t="s">
        <v>78</v>
      </c>
      <c r="Q123" s="11" t="s">
        <v>67</v>
      </c>
      <c r="R123" s="11" t="s">
        <v>565</v>
      </c>
      <c r="S123" s="11" t="s">
        <v>568</v>
      </c>
      <c r="T123" s="11">
        <f t="shared" si="5"/>
        <v>17</v>
      </c>
      <c r="U123" s="11">
        <v>0</v>
      </c>
      <c r="V123" s="11" t="s">
        <v>79</v>
      </c>
      <c r="W123" s="11" t="s">
        <v>80</v>
      </c>
    </row>
    <row r="124" spans="1:23" x14ac:dyDescent="0.2">
      <c r="A124" s="11" t="s">
        <v>558</v>
      </c>
      <c r="B124" s="11">
        <v>815390</v>
      </c>
      <c r="C124" s="11" t="s">
        <v>190</v>
      </c>
      <c r="D124" s="11" t="s">
        <v>524</v>
      </c>
      <c r="E124" s="11">
        <v>17425766</v>
      </c>
      <c r="F124" s="11" t="s">
        <v>191</v>
      </c>
      <c r="G124" s="17">
        <v>21.5</v>
      </c>
      <c r="H124" s="17">
        <v>29.61</v>
      </c>
      <c r="I124" s="17">
        <v>0</v>
      </c>
      <c r="J124" s="17">
        <v>137.74</v>
      </c>
      <c r="K124" s="17">
        <v>137.74</v>
      </c>
      <c r="L124" s="17">
        <v>29.61</v>
      </c>
      <c r="M124" s="11" t="s">
        <v>129</v>
      </c>
      <c r="N124" s="11" t="s">
        <v>53</v>
      </c>
      <c r="O124" s="11" t="s">
        <v>130</v>
      </c>
      <c r="P124" s="11" t="s">
        <v>78</v>
      </c>
      <c r="Q124" s="11" t="s">
        <v>67</v>
      </c>
      <c r="R124" s="11" t="s">
        <v>565</v>
      </c>
      <c r="S124" s="11" t="s">
        <v>568</v>
      </c>
      <c r="T124" s="11">
        <f t="shared" si="5"/>
        <v>17</v>
      </c>
      <c r="U124" s="11">
        <v>0</v>
      </c>
      <c r="V124" s="11" t="s">
        <v>79</v>
      </c>
      <c r="W124" s="11" t="s">
        <v>80</v>
      </c>
    </row>
    <row r="125" spans="1:23" x14ac:dyDescent="0.2">
      <c r="A125" s="11" t="s">
        <v>558</v>
      </c>
      <c r="B125" s="11">
        <v>815390</v>
      </c>
      <c r="C125" s="11" t="s">
        <v>183</v>
      </c>
      <c r="D125" s="11" t="s">
        <v>524</v>
      </c>
      <c r="E125" s="11">
        <v>17425766</v>
      </c>
      <c r="F125" s="11" t="s">
        <v>184</v>
      </c>
      <c r="G125" s="17">
        <v>21.5</v>
      </c>
      <c r="H125" s="17">
        <v>34.06</v>
      </c>
      <c r="I125" s="17">
        <v>0</v>
      </c>
      <c r="J125" s="17">
        <v>158.4</v>
      </c>
      <c r="K125" s="17">
        <v>158.4</v>
      </c>
      <c r="L125" s="17">
        <v>34.06</v>
      </c>
      <c r="M125" s="11" t="s">
        <v>129</v>
      </c>
      <c r="N125" s="11" t="s">
        <v>53</v>
      </c>
      <c r="O125" s="11" t="s">
        <v>130</v>
      </c>
      <c r="P125" s="11" t="s">
        <v>78</v>
      </c>
      <c r="Q125" s="11" t="s">
        <v>67</v>
      </c>
      <c r="R125" s="11" t="s">
        <v>565</v>
      </c>
      <c r="S125" s="11" t="s">
        <v>568</v>
      </c>
      <c r="T125" s="11">
        <f t="shared" si="5"/>
        <v>17</v>
      </c>
      <c r="U125" s="11">
        <v>0</v>
      </c>
      <c r="V125" s="11" t="s">
        <v>79</v>
      </c>
      <c r="W125" s="11" t="s">
        <v>80</v>
      </c>
    </row>
    <row r="126" spans="1:23" x14ac:dyDescent="0.2">
      <c r="A126" s="11" t="s">
        <v>562</v>
      </c>
      <c r="B126" s="11">
        <v>815390</v>
      </c>
      <c r="C126" s="11" t="s">
        <v>74</v>
      </c>
      <c r="D126" s="11" t="s">
        <v>524</v>
      </c>
      <c r="E126" s="11">
        <v>17425766</v>
      </c>
      <c r="F126" s="11" t="s">
        <v>75</v>
      </c>
      <c r="G126" s="17">
        <v>22</v>
      </c>
      <c r="H126" s="17">
        <v>36.229999999999997</v>
      </c>
      <c r="I126" s="17">
        <v>0</v>
      </c>
      <c r="J126" s="17">
        <v>164.7</v>
      </c>
      <c r="K126" s="17">
        <v>164.7</v>
      </c>
      <c r="L126" s="11">
        <v>36.229999999999997</v>
      </c>
      <c r="M126" s="11" t="s">
        <v>76</v>
      </c>
      <c r="N126" s="11" t="s">
        <v>53</v>
      </c>
      <c r="O126" s="11" t="s">
        <v>77</v>
      </c>
      <c r="P126" s="11" t="s">
        <v>78</v>
      </c>
      <c r="Q126" s="11" t="s">
        <v>67</v>
      </c>
      <c r="R126" s="11" t="s">
        <v>565</v>
      </c>
      <c r="S126" s="11" t="s">
        <v>568</v>
      </c>
      <c r="T126" s="11">
        <f t="shared" si="5"/>
        <v>17</v>
      </c>
      <c r="U126" s="11">
        <v>0</v>
      </c>
      <c r="V126" s="11" t="s">
        <v>79</v>
      </c>
      <c r="W126" s="11" t="s">
        <v>80</v>
      </c>
    </row>
    <row r="127" spans="1:23" x14ac:dyDescent="0.2">
      <c r="A127" s="11" t="s">
        <v>548</v>
      </c>
      <c r="B127" s="11">
        <v>815390</v>
      </c>
      <c r="C127" s="11" t="s">
        <v>187</v>
      </c>
      <c r="D127" s="11" t="s">
        <v>524</v>
      </c>
      <c r="E127" s="11">
        <v>17425766</v>
      </c>
      <c r="F127" s="11" t="s">
        <v>188</v>
      </c>
      <c r="G127" s="17">
        <v>1.25</v>
      </c>
      <c r="H127" s="17">
        <v>1.98</v>
      </c>
      <c r="I127" s="17">
        <v>0</v>
      </c>
      <c r="J127" s="17">
        <v>158.4</v>
      </c>
      <c r="K127" s="17">
        <v>158.4</v>
      </c>
      <c r="L127" s="17">
        <v>1.98</v>
      </c>
      <c r="M127" s="11" t="s">
        <v>129</v>
      </c>
      <c r="N127" s="11" t="s">
        <v>53</v>
      </c>
      <c r="O127" s="11" t="s">
        <v>130</v>
      </c>
      <c r="P127" s="11" t="s">
        <v>189</v>
      </c>
      <c r="Q127" s="11" t="s">
        <v>67</v>
      </c>
      <c r="R127" s="11" t="s">
        <v>565</v>
      </c>
      <c r="S127" s="11" t="s">
        <v>568</v>
      </c>
      <c r="T127" s="11">
        <f t="shared" si="5"/>
        <v>19</v>
      </c>
      <c r="U127" s="11">
        <v>0</v>
      </c>
      <c r="V127" s="11" t="s">
        <v>79</v>
      </c>
      <c r="W127" s="11" t="s">
        <v>80</v>
      </c>
    </row>
    <row r="128" spans="1:23" x14ac:dyDescent="0.2">
      <c r="A128" s="11" t="s">
        <v>554</v>
      </c>
      <c r="B128" s="11">
        <v>648177</v>
      </c>
      <c r="C128" s="11" t="s">
        <v>173</v>
      </c>
      <c r="D128" s="11" t="s">
        <v>543</v>
      </c>
      <c r="E128" s="11">
        <v>15278437</v>
      </c>
      <c r="F128" s="11" t="s">
        <v>174</v>
      </c>
      <c r="G128" s="17">
        <v>25.5</v>
      </c>
      <c r="H128" s="17">
        <v>36.590000000000003</v>
      </c>
      <c r="I128" s="17">
        <v>0</v>
      </c>
      <c r="J128" s="17">
        <v>143.49</v>
      </c>
      <c r="K128" s="17">
        <v>143.49</v>
      </c>
      <c r="L128" s="17">
        <v>36.590000000000003</v>
      </c>
      <c r="M128" s="11" t="s">
        <v>129</v>
      </c>
      <c r="N128" s="11" t="s">
        <v>89</v>
      </c>
      <c r="O128" s="11" t="s">
        <v>175</v>
      </c>
      <c r="P128" s="11" t="s">
        <v>176</v>
      </c>
      <c r="Q128" s="11" t="s">
        <v>91</v>
      </c>
      <c r="R128" s="11" t="s">
        <v>565</v>
      </c>
      <c r="S128" s="11" t="s">
        <v>568</v>
      </c>
      <c r="T128" s="11">
        <f t="shared" si="5"/>
        <v>20</v>
      </c>
      <c r="U128" s="11">
        <v>0</v>
      </c>
      <c r="V128" s="11" t="s">
        <v>79</v>
      </c>
      <c r="W128" s="11" t="s">
        <v>80</v>
      </c>
    </row>
    <row r="129" spans="1:23" x14ac:dyDescent="0.2">
      <c r="A129" s="11" t="s">
        <v>558</v>
      </c>
      <c r="B129" s="11">
        <v>957310</v>
      </c>
      <c r="C129" s="11" t="s">
        <v>249</v>
      </c>
      <c r="D129" s="11" t="s">
        <v>523</v>
      </c>
      <c r="E129" s="11">
        <v>19278370</v>
      </c>
      <c r="F129" s="11" t="s">
        <v>250</v>
      </c>
      <c r="G129" s="17">
        <v>21.5</v>
      </c>
      <c r="H129" s="17">
        <v>41.25</v>
      </c>
      <c r="I129" s="17">
        <v>0</v>
      </c>
      <c r="J129" s="17">
        <v>191.85</v>
      </c>
      <c r="K129" s="17">
        <v>191.85</v>
      </c>
      <c r="L129" s="17">
        <v>41.25</v>
      </c>
      <c r="M129" s="11" t="s">
        <v>129</v>
      </c>
      <c r="N129" s="11" t="s">
        <v>53</v>
      </c>
      <c r="O129" s="11" t="s">
        <v>130</v>
      </c>
      <c r="P129" s="11" t="s">
        <v>176</v>
      </c>
      <c r="Q129" s="11" t="s">
        <v>67</v>
      </c>
      <c r="R129" s="11" t="s">
        <v>565</v>
      </c>
      <c r="S129" s="11" t="s">
        <v>568</v>
      </c>
      <c r="T129" s="11">
        <f t="shared" si="5"/>
        <v>21</v>
      </c>
      <c r="U129" s="11">
        <v>0</v>
      </c>
      <c r="V129" s="11" t="s">
        <v>79</v>
      </c>
      <c r="W129" s="11" t="s">
        <v>80</v>
      </c>
    </row>
    <row r="130" spans="1:23" x14ac:dyDescent="0.2">
      <c r="A130" s="11" t="s">
        <v>560</v>
      </c>
      <c r="B130" s="11">
        <v>815390</v>
      </c>
      <c r="C130" s="11" t="s">
        <v>181</v>
      </c>
      <c r="D130" s="11" t="s">
        <v>524</v>
      </c>
      <c r="E130" s="11">
        <v>17425766</v>
      </c>
      <c r="F130" s="11" t="s">
        <v>182</v>
      </c>
      <c r="G130" s="17">
        <v>10.497</v>
      </c>
      <c r="H130" s="17">
        <v>30.29</v>
      </c>
      <c r="I130" s="17">
        <v>0</v>
      </c>
      <c r="J130" s="17">
        <v>288.56</v>
      </c>
      <c r="K130" s="17">
        <v>288.56</v>
      </c>
      <c r="L130" s="17">
        <v>30.29</v>
      </c>
      <c r="M130" s="11" t="s">
        <v>152</v>
      </c>
      <c r="N130" s="11" t="s">
        <v>53</v>
      </c>
      <c r="O130" s="11" t="s">
        <v>180</v>
      </c>
      <c r="P130" s="11" t="s">
        <v>176</v>
      </c>
      <c r="Q130" s="11" t="s">
        <v>67</v>
      </c>
      <c r="R130" s="11" t="s">
        <v>565</v>
      </c>
      <c r="S130" s="11" t="s">
        <v>568</v>
      </c>
      <c r="T130" s="11">
        <f t="shared" ref="T130:T143" si="6">DATEDIF(P130,Q130,"M")</f>
        <v>21</v>
      </c>
      <c r="U130" s="11">
        <v>0</v>
      </c>
      <c r="V130" s="11" t="s">
        <v>79</v>
      </c>
      <c r="W130" s="11" t="s">
        <v>80</v>
      </c>
    </row>
    <row r="131" spans="1:23" x14ac:dyDescent="0.2">
      <c r="A131" s="11" t="s">
        <v>558</v>
      </c>
      <c r="B131" s="11">
        <v>815390</v>
      </c>
      <c r="C131" s="11" t="s">
        <v>194</v>
      </c>
      <c r="D131" s="11" t="s">
        <v>524</v>
      </c>
      <c r="E131" s="11">
        <v>17425766</v>
      </c>
      <c r="F131" s="11" t="s">
        <v>195</v>
      </c>
      <c r="G131" s="17">
        <v>21.5</v>
      </c>
      <c r="H131" s="17">
        <v>35.11</v>
      </c>
      <c r="I131" s="17">
        <v>0</v>
      </c>
      <c r="J131" s="17">
        <v>163.28</v>
      </c>
      <c r="K131" s="17">
        <v>163.28</v>
      </c>
      <c r="L131" s="17">
        <v>35.11</v>
      </c>
      <c r="M131" s="11" t="s">
        <v>129</v>
      </c>
      <c r="N131" s="11" t="s">
        <v>53</v>
      </c>
      <c r="O131" s="11" t="s">
        <v>130</v>
      </c>
      <c r="P131" s="11" t="s">
        <v>176</v>
      </c>
      <c r="Q131" s="11" t="s">
        <v>67</v>
      </c>
      <c r="R131" s="11" t="s">
        <v>565</v>
      </c>
      <c r="S131" s="11" t="s">
        <v>568</v>
      </c>
      <c r="T131" s="11">
        <f t="shared" si="6"/>
        <v>21</v>
      </c>
      <c r="U131" s="11">
        <v>0</v>
      </c>
      <c r="V131" s="11" t="s">
        <v>79</v>
      </c>
      <c r="W131" s="11" t="s">
        <v>80</v>
      </c>
    </row>
    <row r="132" spans="1:23" s="14" customFormat="1" x14ac:dyDescent="0.2">
      <c r="A132" s="11" t="s">
        <v>558</v>
      </c>
      <c r="B132" s="11">
        <v>815390</v>
      </c>
      <c r="C132" s="11" t="s">
        <v>196</v>
      </c>
      <c r="D132" s="11" t="s">
        <v>524</v>
      </c>
      <c r="E132" s="11">
        <v>17425766</v>
      </c>
      <c r="F132" s="11" t="s">
        <v>197</v>
      </c>
      <c r="G132" s="17">
        <v>21.5</v>
      </c>
      <c r="H132" s="17">
        <v>35.11</v>
      </c>
      <c r="I132" s="17">
        <v>0</v>
      </c>
      <c r="J132" s="17">
        <v>163.28</v>
      </c>
      <c r="K132" s="17">
        <v>163.28</v>
      </c>
      <c r="L132" s="17">
        <v>35.11</v>
      </c>
      <c r="M132" s="11" t="s">
        <v>129</v>
      </c>
      <c r="N132" s="11" t="s">
        <v>53</v>
      </c>
      <c r="O132" s="11" t="s">
        <v>130</v>
      </c>
      <c r="P132" s="11" t="s">
        <v>176</v>
      </c>
      <c r="Q132" s="11" t="s">
        <v>67</v>
      </c>
      <c r="R132" s="11" t="s">
        <v>565</v>
      </c>
      <c r="S132" s="11" t="s">
        <v>568</v>
      </c>
      <c r="T132" s="11">
        <f t="shared" si="6"/>
        <v>21</v>
      </c>
      <c r="U132" s="11">
        <v>0</v>
      </c>
      <c r="V132" s="11" t="s">
        <v>79</v>
      </c>
      <c r="W132" s="11" t="s">
        <v>80</v>
      </c>
    </row>
    <row r="133" spans="1:23" s="14" customFormat="1" x14ac:dyDescent="0.2">
      <c r="A133" s="11" t="s">
        <v>554</v>
      </c>
      <c r="B133" s="11">
        <v>815390</v>
      </c>
      <c r="C133" s="11" t="s">
        <v>192</v>
      </c>
      <c r="D133" s="11" t="s">
        <v>524</v>
      </c>
      <c r="E133" s="11">
        <v>17425766</v>
      </c>
      <c r="F133" s="11" t="s">
        <v>193</v>
      </c>
      <c r="G133" s="17">
        <v>25.5</v>
      </c>
      <c r="H133" s="17">
        <v>30.52</v>
      </c>
      <c r="I133" s="17">
        <v>0</v>
      </c>
      <c r="J133" s="17">
        <v>119.67</v>
      </c>
      <c r="K133" s="17">
        <v>119.67</v>
      </c>
      <c r="L133" s="17">
        <v>30.52</v>
      </c>
      <c r="M133" s="11" t="s">
        <v>129</v>
      </c>
      <c r="N133" s="11" t="s">
        <v>53</v>
      </c>
      <c r="O133" s="11" t="s">
        <v>175</v>
      </c>
      <c r="P133" s="11" t="s">
        <v>176</v>
      </c>
      <c r="Q133" s="11" t="s">
        <v>67</v>
      </c>
      <c r="R133" s="11" t="s">
        <v>565</v>
      </c>
      <c r="S133" s="11" t="s">
        <v>568</v>
      </c>
      <c r="T133" s="11">
        <f t="shared" si="6"/>
        <v>21</v>
      </c>
      <c r="U133" s="11">
        <v>0</v>
      </c>
      <c r="V133" s="11" t="s">
        <v>79</v>
      </c>
      <c r="W133" s="11" t="s">
        <v>80</v>
      </c>
    </row>
    <row r="134" spans="1:23" x14ac:dyDescent="0.2">
      <c r="A134" s="11" t="s">
        <v>558</v>
      </c>
      <c r="B134" s="11">
        <v>815390</v>
      </c>
      <c r="C134" s="11" t="s">
        <v>198</v>
      </c>
      <c r="D134" s="11" t="s">
        <v>524</v>
      </c>
      <c r="E134" s="11">
        <v>17425766</v>
      </c>
      <c r="F134" s="11" t="s">
        <v>199</v>
      </c>
      <c r="G134" s="17">
        <v>21.5</v>
      </c>
      <c r="H134" s="17">
        <v>34.06</v>
      </c>
      <c r="I134" s="17">
        <v>0</v>
      </c>
      <c r="J134" s="17">
        <v>158.4</v>
      </c>
      <c r="K134" s="17">
        <v>158.4</v>
      </c>
      <c r="L134" s="17">
        <v>34.06</v>
      </c>
      <c r="M134" s="11" t="s">
        <v>129</v>
      </c>
      <c r="N134" s="11" t="s">
        <v>53</v>
      </c>
      <c r="O134" s="11" t="s">
        <v>130</v>
      </c>
      <c r="P134" s="11" t="s">
        <v>200</v>
      </c>
      <c r="Q134" s="11" t="s">
        <v>67</v>
      </c>
      <c r="R134" s="11" t="s">
        <v>565</v>
      </c>
      <c r="S134" s="11" t="s">
        <v>568</v>
      </c>
      <c r="T134" s="11">
        <f t="shared" si="6"/>
        <v>22</v>
      </c>
      <c r="U134" s="11">
        <v>0</v>
      </c>
      <c r="V134" s="11" t="s">
        <v>79</v>
      </c>
      <c r="W134" s="11" t="s">
        <v>80</v>
      </c>
    </row>
    <row r="135" spans="1:23" x14ac:dyDescent="0.2">
      <c r="A135" s="11" t="s">
        <v>559</v>
      </c>
      <c r="B135" s="11">
        <v>815390</v>
      </c>
      <c r="C135" s="11" t="s">
        <v>431</v>
      </c>
      <c r="D135" s="11" t="s">
        <v>524</v>
      </c>
      <c r="E135" s="11">
        <v>17425766</v>
      </c>
      <c r="F135" s="11" t="s">
        <v>432</v>
      </c>
      <c r="G135" s="17">
        <v>23</v>
      </c>
      <c r="H135" s="17">
        <v>36.619999999999997</v>
      </c>
      <c r="I135" s="17">
        <v>0</v>
      </c>
      <c r="J135" s="17">
        <v>159.22</v>
      </c>
      <c r="K135" s="17">
        <v>159.22</v>
      </c>
      <c r="L135" s="17">
        <v>36.619999999999997</v>
      </c>
      <c r="M135" s="11" t="s">
        <v>400</v>
      </c>
      <c r="N135" s="11" t="s">
        <v>53</v>
      </c>
      <c r="O135" s="11" t="s">
        <v>433</v>
      </c>
      <c r="P135" s="11" t="s">
        <v>215</v>
      </c>
      <c r="Q135" s="11" t="s">
        <v>67</v>
      </c>
      <c r="R135" s="11" t="s">
        <v>565</v>
      </c>
      <c r="S135" s="11" t="s">
        <v>568</v>
      </c>
      <c r="T135" s="11">
        <f t="shared" si="6"/>
        <v>23</v>
      </c>
      <c r="U135" s="11">
        <v>0</v>
      </c>
      <c r="V135" s="11" t="s">
        <v>79</v>
      </c>
      <c r="W135" s="11" t="s">
        <v>80</v>
      </c>
    </row>
    <row r="136" spans="1:23" x14ac:dyDescent="0.2">
      <c r="A136" s="11" t="s">
        <v>549</v>
      </c>
      <c r="B136" s="11">
        <v>648177</v>
      </c>
      <c r="C136" s="11" t="s">
        <v>413</v>
      </c>
      <c r="D136" s="11" t="s">
        <v>543</v>
      </c>
      <c r="E136" s="11">
        <v>15278437</v>
      </c>
      <c r="F136" s="11" t="s">
        <v>414</v>
      </c>
      <c r="G136" s="17">
        <v>4</v>
      </c>
      <c r="H136" s="17">
        <v>3.36</v>
      </c>
      <c r="I136" s="17">
        <v>0</v>
      </c>
      <c r="J136" s="17">
        <v>84</v>
      </c>
      <c r="K136" s="17">
        <v>84</v>
      </c>
      <c r="L136" s="17">
        <v>3.36</v>
      </c>
      <c r="M136" s="11" t="s">
        <v>278</v>
      </c>
      <c r="N136" s="11" t="s">
        <v>53</v>
      </c>
      <c r="O136" s="11" t="s">
        <v>415</v>
      </c>
      <c r="P136" s="11" t="s">
        <v>416</v>
      </c>
      <c r="Q136" s="11" t="s">
        <v>417</v>
      </c>
      <c r="R136" s="11" t="s">
        <v>565</v>
      </c>
      <c r="S136" s="11" t="s">
        <v>568</v>
      </c>
      <c r="T136" s="11">
        <f t="shared" si="6"/>
        <v>23</v>
      </c>
      <c r="U136" s="11">
        <v>0</v>
      </c>
      <c r="V136" s="11" t="s">
        <v>79</v>
      </c>
      <c r="W136" s="11" t="s">
        <v>80</v>
      </c>
    </row>
    <row r="137" spans="1:23" x14ac:dyDescent="0.2">
      <c r="A137" s="11" t="s">
        <v>558</v>
      </c>
      <c r="B137" s="11">
        <v>648177</v>
      </c>
      <c r="C137" s="11" t="s">
        <v>213</v>
      </c>
      <c r="D137" s="11" t="s">
        <v>543</v>
      </c>
      <c r="E137" s="11">
        <v>15278437</v>
      </c>
      <c r="F137" s="11" t="s">
        <v>214</v>
      </c>
      <c r="G137" s="17">
        <v>21.5</v>
      </c>
      <c r="H137" s="17">
        <v>29.32</v>
      </c>
      <c r="I137" s="17">
        <v>0</v>
      </c>
      <c r="J137" s="17">
        <v>136.37</v>
      </c>
      <c r="K137" s="17">
        <v>136.37</v>
      </c>
      <c r="L137" s="17">
        <v>29.32</v>
      </c>
      <c r="M137" s="11" t="s">
        <v>129</v>
      </c>
      <c r="N137" s="11" t="s">
        <v>53</v>
      </c>
      <c r="O137" s="11" t="s">
        <v>130</v>
      </c>
      <c r="P137" s="11" t="s">
        <v>215</v>
      </c>
      <c r="Q137" s="11" t="s">
        <v>67</v>
      </c>
      <c r="R137" s="11" t="s">
        <v>565</v>
      </c>
      <c r="S137" s="11" t="s">
        <v>568</v>
      </c>
      <c r="T137" s="11">
        <f t="shared" si="6"/>
        <v>23</v>
      </c>
      <c r="U137" s="11">
        <v>0</v>
      </c>
      <c r="V137" s="11" t="s">
        <v>79</v>
      </c>
      <c r="W137" s="11" t="s">
        <v>80</v>
      </c>
    </row>
    <row r="138" spans="1:23" x14ac:dyDescent="0.2">
      <c r="A138" s="11" t="s">
        <v>558</v>
      </c>
      <c r="B138" s="11">
        <v>957310</v>
      </c>
      <c r="C138" s="11" t="s">
        <v>208</v>
      </c>
      <c r="D138" s="11" t="s">
        <v>523</v>
      </c>
      <c r="E138" s="11">
        <v>19278370</v>
      </c>
      <c r="F138" s="11" t="s">
        <v>209</v>
      </c>
      <c r="G138" s="17">
        <v>21.5</v>
      </c>
      <c r="H138" s="17">
        <v>53.73</v>
      </c>
      <c r="I138" s="17">
        <v>0</v>
      </c>
      <c r="J138" s="17">
        <v>249.9</v>
      </c>
      <c r="K138" s="17">
        <v>249.9</v>
      </c>
      <c r="L138" s="17">
        <v>53.73</v>
      </c>
      <c r="M138" s="11" t="s">
        <v>129</v>
      </c>
      <c r="N138" s="11" t="s">
        <v>53</v>
      </c>
      <c r="O138" s="11" t="s">
        <v>130</v>
      </c>
      <c r="P138" s="11" t="s">
        <v>210</v>
      </c>
      <c r="Q138" s="11" t="s">
        <v>67</v>
      </c>
      <c r="R138" s="11" t="s">
        <v>565</v>
      </c>
      <c r="S138" s="11" t="s">
        <v>568</v>
      </c>
      <c r="T138" s="11">
        <f t="shared" si="6"/>
        <v>24</v>
      </c>
      <c r="U138" s="11">
        <v>0</v>
      </c>
      <c r="V138" s="11" t="s">
        <v>79</v>
      </c>
      <c r="W138" s="11" t="s">
        <v>80</v>
      </c>
    </row>
    <row r="139" spans="1:23" x14ac:dyDescent="0.2">
      <c r="A139" s="21" t="s">
        <v>554</v>
      </c>
      <c r="B139" s="21">
        <v>648177</v>
      </c>
      <c r="C139" s="21" t="s">
        <v>240</v>
      </c>
      <c r="D139" s="21" t="s">
        <v>543</v>
      </c>
      <c r="E139" s="21">
        <v>15278437</v>
      </c>
      <c r="F139" s="21" t="s">
        <v>241</v>
      </c>
      <c r="G139" s="22">
        <v>25.5</v>
      </c>
      <c r="H139" s="22">
        <v>29.54</v>
      </c>
      <c r="I139" s="22">
        <v>0</v>
      </c>
      <c r="J139" s="22">
        <v>115.84</v>
      </c>
      <c r="K139" s="22">
        <v>115.84</v>
      </c>
      <c r="L139" s="22">
        <v>29.54</v>
      </c>
      <c r="M139" s="21" t="s">
        <v>129</v>
      </c>
      <c r="N139" s="21" t="s">
        <v>140</v>
      </c>
      <c r="O139" s="21" t="s">
        <v>175</v>
      </c>
      <c r="P139" s="21" t="s">
        <v>215</v>
      </c>
      <c r="Q139" s="21" t="s">
        <v>242</v>
      </c>
      <c r="R139" s="21" t="s">
        <v>565</v>
      </c>
      <c r="S139" s="21" t="s">
        <v>570</v>
      </c>
      <c r="T139" s="21">
        <f t="shared" si="6"/>
        <v>25</v>
      </c>
      <c r="U139" s="21">
        <v>0</v>
      </c>
      <c r="V139" s="21" t="s">
        <v>79</v>
      </c>
      <c r="W139" s="21" t="s">
        <v>80</v>
      </c>
    </row>
    <row r="140" spans="1:23" x14ac:dyDescent="0.2">
      <c r="A140" s="21" t="s">
        <v>554</v>
      </c>
      <c r="B140" s="21">
        <v>648177</v>
      </c>
      <c r="C140" s="21" t="s">
        <v>240</v>
      </c>
      <c r="D140" s="21" t="s">
        <v>543</v>
      </c>
      <c r="E140" s="21">
        <v>15278437</v>
      </c>
      <c r="F140" s="21" t="s">
        <v>241</v>
      </c>
      <c r="G140" s="22">
        <v>25.5</v>
      </c>
      <c r="H140" s="22">
        <v>59.08</v>
      </c>
      <c r="I140" s="22">
        <v>0</v>
      </c>
      <c r="J140" s="22">
        <v>231.68</v>
      </c>
      <c r="K140" s="22">
        <v>231.68</v>
      </c>
      <c r="L140" s="22">
        <v>59.08</v>
      </c>
      <c r="M140" s="21" t="s">
        <v>129</v>
      </c>
      <c r="N140" s="21" t="s">
        <v>140</v>
      </c>
      <c r="O140" s="21" t="s">
        <v>175</v>
      </c>
      <c r="P140" s="21" t="s">
        <v>215</v>
      </c>
      <c r="Q140" s="21" t="s">
        <v>242</v>
      </c>
      <c r="R140" s="21" t="s">
        <v>565</v>
      </c>
      <c r="S140" s="21" t="s">
        <v>570</v>
      </c>
      <c r="T140" s="21">
        <f t="shared" si="6"/>
        <v>25</v>
      </c>
      <c r="U140" s="21">
        <v>0</v>
      </c>
      <c r="V140" s="21" t="s">
        <v>79</v>
      </c>
      <c r="W140" s="21" t="s">
        <v>80</v>
      </c>
    </row>
    <row r="141" spans="1:23" s="14" customFormat="1" x14ac:dyDescent="0.2">
      <c r="A141" s="11" t="s">
        <v>554</v>
      </c>
      <c r="B141" s="11">
        <v>648177</v>
      </c>
      <c r="C141" s="11" t="s">
        <v>227</v>
      </c>
      <c r="D141" s="11" t="s">
        <v>543</v>
      </c>
      <c r="E141" s="11">
        <v>15278437</v>
      </c>
      <c r="F141" s="11" t="s">
        <v>228</v>
      </c>
      <c r="G141" s="17">
        <v>25.5</v>
      </c>
      <c r="H141" s="17">
        <v>32.14</v>
      </c>
      <c r="I141" s="17">
        <v>0</v>
      </c>
      <c r="J141" s="17">
        <v>126.05</v>
      </c>
      <c r="K141" s="17">
        <v>126.05</v>
      </c>
      <c r="L141" s="17">
        <v>32.14</v>
      </c>
      <c r="M141" s="11" t="s">
        <v>129</v>
      </c>
      <c r="N141" s="11" t="s">
        <v>53</v>
      </c>
      <c r="O141" s="11" t="s">
        <v>175</v>
      </c>
      <c r="P141" s="11" t="s">
        <v>229</v>
      </c>
      <c r="Q141" s="11" t="s">
        <v>67</v>
      </c>
      <c r="R141" s="11" t="s">
        <v>565</v>
      </c>
      <c r="S141" s="11" t="s">
        <v>568</v>
      </c>
      <c r="T141" s="11">
        <f t="shared" si="6"/>
        <v>26</v>
      </c>
      <c r="U141" s="11">
        <v>0</v>
      </c>
      <c r="V141" s="11" t="s">
        <v>79</v>
      </c>
      <c r="W141" s="11" t="s">
        <v>80</v>
      </c>
    </row>
    <row r="142" spans="1:23" s="14" customFormat="1" x14ac:dyDescent="0.2">
      <c r="A142" s="11" t="s">
        <v>558</v>
      </c>
      <c r="B142" s="11">
        <v>815390</v>
      </c>
      <c r="C142" s="11" t="s">
        <v>127</v>
      </c>
      <c r="D142" s="11" t="s">
        <v>524</v>
      </c>
      <c r="E142" s="11">
        <v>17425766</v>
      </c>
      <c r="F142" s="11" t="s">
        <v>128</v>
      </c>
      <c r="G142" s="17">
        <v>21.5</v>
      </c>
      <c r="H142" s="17">
        <v>33.43</v>
      </c>
      <c r="I142" s="17">
        <v>0</v>
      </c>
      <c r="J142" s="17">
        <v>155.51</v>
      </c>
      <c r="K142" s="17">
        <v>155.51</v>
      </c>
      <c r="L142" s="17">
        <v>33.43</v>
      </c>
      <c r="M142" s="11" t="s">
        <v>129</v>
      </c>
      <c r="N142" s="11" t="s">
        <v>53</v>
      </c>
      <c r="O142" s="11" t="s">
        <v>130</v>
      </c>
      <c r="P142" s="11" t="s">
        <v>131</v>
      </c>
      <c r="Q142" s="11" t="s">
        <v>67</v>
      </c>
      <c r="R142" s="11" t="s">
        <v>565</v>
      </c>
      <c r="S142" s="11" t="s">
        <v>568</v>
      </c>
      <c r="T142" s="11">
        <f t="shared" si="6"/>
        <v>28</v>
      </c>
      <c r="U142" s="11">
        <v>0</v>
      </c>
      <c r="V142" s="11" t="s">
        <v>79</v>
      </c>
      <c r="W142" s="11" t="s">
        <v>80</v>
      </c>
    </row>
    <row r="143" spans="1:23" s="14" customFormat="1" x14ac:dyDescent="0.2">
      <c r="A143" s="11" t="s">
        <v>553</v>
      </c>
      <c r="B143" s="11">
        <v>893387</v>
      </c>
      <c r="C143" s="11" t="s">
        <v>508</v>
      </c>
      <c r="D143" s="11" t="s">
        <v>519</v>
      </c>
      <c r="E143" s="11">
        <v>8307933</v>
      </c>
      <c r="F143" s="11" t="s">
        <v>509</v>
      </c>
      <c r="G143" s="17">
        <v>26.75</v>
      </c>
      <c r="H143" s="17">
        <v>12.01</v>
      </c>
      <c r="I143" s="17">
        <v>0</v>
      </c>
      <c r="J143" s="17">
        <v>44.91</v>
      </c>
      <c r="K143" s="17">
        <v>44.91</v>
      </c>
      <c r="L143" s="17">
        <v>12.01</v>
      </c>
      <c r="M143" s="11" t="s">
        <v>114</v>
      </c>
      <c r="N143" s="11" t="s">
        <v>53</v>
      </c>
      <c r="O143" s="11" t="s">
        <v>510</v>
      </c>
      <c r="P143" s="11" t="s">
        <v>511</v>
      </c>
      <c r="Q143" s="11" t="s">
        <v>67</v>
      </c>
      <c r="R143" s="11" t="s">
        <v>565</v>
      </c>
      <c r="S143" s="11" t="s">
        <v>568</v>
      </c>
      <c r="T143" s="11">
        <f t="shared" si="6"/>
        <v>31</v>
      </c>
      <c r="U143" s="11">
        <v>0</v>
      </c>
      <c r="V143" s="11" t="s">
        <v>79</v>
      </c>
      <c r="W143" s="11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0FBD-F1E2-4E39-84BB-32043A295CE7}">
  <dimension ref="A1:F142"/>
  <sheetViews>
    <sheetView topLeftCell="A114" workbookViewId="0">
      <selection activeCell="F119" sqref="F119"/>
    </sheetView>
  </sheetViews>
  <sheetFormatPr defaultRowHeight="15" x14ac:dyDescent="0.25"/>
  <cols>
    <col min="2" max="2" width="12.7109375" bestFit="1" customWidth="1"/>
  </cols>
  <sheetData>
    <row r="1" spans="1:6" x14ac:dyDescent="0.25">
      <c r="A1" t="s">
        <v>573</v>
      </c>
      <c r="B1" t="s">
        <v>574</v>
      </c>
      <c r="F1" t="s">
        <v>161</v>
      </c>
    </row>
    <row r="2" spans="1:6" x14ac:dyDescent="0.25">
      <c r="A2" t="s">
        <v>575</v>
      </c>
      <c r="B2" t="s">
        <v>576</v>
      </c>
      <c r="F2" t="s">
        <v>124</v>
      </c>
    </row>
    <row r="3" spans="1:6" x14ac:dyDescent="0.25">
      <c r="A3" t="s">
        <v>577</v>
      </c>
      <c r="B3" t="s">
        <v>578</v>
      </c>
      <c r="F3" t="s">
        <v>158</v>
      </c>
    </row>
    <row r="4" spans="1:6" x14ac:dyDescent="0.25">
      <c r="A4" t="s">
        <v>579</v>
      </c>
      <c r="B4" t="s">
        <v>580</v>
      </c>
      <c r="F4" t="s">
        <v>169</v>
      </c>
    </row>
    <row r="5" spans="1:6" x14ac:dyDescent="0.25">
      <c r="A5" t="s">
        <v>581</v>
      </c>
      <c r="B5" t="s">
        <v>582</v>
      </c>
      <c r="F5" t="s">
        <v>148</v>
      </c>
    </row>
    <row r="6" spans="1:6" x14ac:dyDescent="0.25">
      <c r="A6" t="s">
        <v>583</v>
      </c>
      <c r="B6" t="s">
        <v>584</v>
      </c>
      <c r="F6" t="s">
        <v>150</v>
      </c>
    </row>
    <row r="7" spans="1:6" x14ac:dyDescent="0.25">
      <c r="A7" t="s">
        <v>585</v>
      </c>
      <c r="B7" t="s">
        <v>586</v>
      </c>
      <c r="F7" t="s">
        <v>154</v>
      </c>
    </row>
    <row r="8" spans="1:6" x14ac:dyDescent="0.25">
      <c r="A8" t="s">
        <v>587</v>
      </c>
      <c r="B8" t="s">
        <v>588</v>
      </c>
      <c r="F8" t="s">
        <v>120</v>
      </c>
    </row>
    <row r="9" spans="1:6" x14ac:dyDescent="0.25">
      <c r="A9" t="s">
        <v>589</v>
      </c>
      <c r="B9" t="s">
        <v>590</v>
      </c>
      <c r="F9" t="s">
        <v>112</v>
      </c>
    </row>
    <row r="10" spans="1:6" x14ac:dyDescent="0.25">
      <c r="A10" t="s">
        <v>591</v>
      </c>
      <c r="B10" t="s">
        <v>592</v>
      </c>
      <c r="F10" t="s">
        <v>105</v>
      </c>
    </row>
    <row r="11" spans="1:6" x14ac:dyDescent="0.25">
      <c r="A11" t="s">
        <v>593</v>
      </c>
      <c r="B11" t="s">
        <v>594</v>
      </c>
      <c r="F11" t="s">
        <v>138</v>
      </c>
    </row>
    <row r="12" spans="1:6" x14ac:dyDescent="0.25">
      <c r="A12" t="s">
        <v>593</v>
      </c>
      <c r="B12" t="s">
        <v>595</v>
      </c>
      <c r="F12" t="s">
        <v>144</v>
      </c>
    </row>
    <row r="13" spans="1:6" x14ac:dyDescent="0.25">
      <c r="A13" t="s">
        <v>596</v>
      </c>
      <c r="B13" t="s">
        <v>597</v>
      </c>
      <c r="F13" t="s">
        <v>132</v>
      </c>
    </row>
    <row r="14" spans="1:6" x14ac:dyDescent="0.25">
      <c r="A14" t="s">
        <v>598</v>
      </c>
      <c r="B14" t="s">
        <v>599</v>
      </c>
      <c r="F14" t="s">
        <v>276</v>
      </c>
    </row>
    <row r="15" spans="1:6" x14ac:dyDescent="0.25">
      <c r="A15" t="s">
        <v>600</v>
      </c>
      <c r="B15" t="s">
        <v>601</v>
      </c>
      <c r="F15" t="s">
        <v>246</v>
      </c>
    </row>
    <row r="16" spans="1:6" x14ac:dyDescent="0.25">
      <c r="A16" t="s">
        <v>602</v>
      </c>
      <c r="B16" t="s">
        <v>603</v>
      </c>
      <c r="F16" t="s">
        <v>513</v>
      </c>
    </row>
    <row r="17" spans="1:6" x14ac:dyDescent="0.25">
      <c r="A17" t="s">
        <v>602</v>
      </c>
      <c r="B17" t="s">
        <v>604</v>
      </c>
      <c r="F17" t="s">
        <v>515</v>
      </c>
    </row>
    <row r="18" spans="1:6" x14ac:dyDescent="0.25">
      <c r="A18" t="s">
        <v>605</v>
      </c>
      <c r="B18" t="s">
        <v>606</v>
      </c>
      <c r="F18" t="s">
        <v>164</v>
      </c>
    </row>
    <row r="19" spans="1:6" x14ac:dyDescent="0.25">
      <c r="A19" t="s">
        <v>607</v>
      </c>
      <c r="B19" t="s">
        <v>608</v>
      </c>
      <c r="F19" t="s">
        <v>449</v>
      </c>
    </row>
    <row r="20" spans="1:6" x14ac:dyDescent="0.25">
      <c r="A20" t="s">
        <v>609</v>
      </c>
      <c r="B20" t="s">
        <v>610</v>
      </c>
      <c r="F20" t="s">
        <v>178</v>
      </c>
    </row>
    <row r="21" spans="1:6" x14ac:dyDescent="0.25">
      <c r="A21" t="s">
        <v>611</v>
      </c>
      <c r="B21" t="s">
        <v>612</v>
      </c>
      <c r="F21" t="s">
        <v>82</v>
      </c>
    </row>
    <row r="22" spans="1:6" x14ac:dyDescent="0.25">
      <c r="A22" t="s">
        <v>613</v>
      </c>
      <c r="B22" t="s">
        <v>614</v>
      </c>
      <c r="F22" t="s">
        <v>263</v>
      </c>
    </row>
    <row r="23" spans="1:6" x14ac:dyDescent="0.25">
      <c r="A23" t="s">
        <v>615</v>
      </c>
      <c r="B23" t="s">
        <v>616</v>
      </c>
      <c r="F23" t="s">
        <v>476</v>
      </c>
    </row>
    <row r="24" spans="1:6" x14ac:dyDescent="0.25">
      <c r="A24" t="s">
        <v>617</v>
      </c>
      <c r="B24" t="s">
        <v>618</v>
      </c>
      <c r="F24" t="s">
        <v>461</v>
      </c>
    </row>
    <row r="25" spans="1:6" x14ac:dyDescent="0.25">
      <c r="A25" t="s">
        <v>619</v>
      </c>
      <c r="B25" t="s">
        <v>597</v>
      </c>
      <c r="F25" t="s">
        <v>117</v>
      </c>
    </row>
    <row r="26" spans="1:6" x14ac:dyDescent="0.25">
      <c r="A26" t="s">
        <v>620</v>
      </c>
      <c r="B26" t="s">
        <v>621</v>
      </c>
      <c r="F26" t="s">
        <v>336</v>
      </c>
    </row>
    <row r="27" spans="1:6" x14ac:dyDescent="0.25">
      <c r="A27" t="s">
        <v>622</v>
      </c>
      <c r="B27" t="s">
        <v>612</v>
      </c>
      <c r="F27" t="s">
        <v>342</v>
      </c>
    </row>
    <row r="28" spans="1:6" x14ac:dyDescent="0.25">
      <c r="A28" t="s">
        <v>623</v>
      </c>
      <c r="B28" t="s">
        <v>624</v>
      </c>
      <c r="F28" t="s">
        <v>339</v>
      </c>
    </row>
    <row r="29" spans="1:6" x14ac:dyDescent="0.25">
      <c r="A29" t="s">
        <v>625</v>
      </c>
      <c r="B29" t="s">
        <v>626</v>
      </c>
      <c r="F29" t="s">
        <v>230</v>
      </c>
    </row>
    <row r="30" spans="1:6" x14ac:dyDescent="0.25">
      <c r="A30" t="s">
        <v>627</v>
      </c>
      <c r="B30" t="s">
        <v>628</v>
      </c>
      <c r="F30" t="s">
        <v>403</v>
      </c>
    </row>
    <row r="31" spans="1:6" x14ac:dyDescent="0.25">
      <c r="A31" t="s">
        <v>629</v>
      </c>
      <c r="B31" t="s">
        <v>630</v>
      </c>
      <c r="F31" t="s">
        <v>305</v>
      </c>
    </row>
    <row r="32" spans="1:6" x14ac:dyDescent="0.25">
      <c r="A32" t="s">
        <v>631</v>
      </c>
      <c r="B32" t="s">
        <v>632</v>
      </c>
      <c r="F32" t="s">
        <v>386</v>
      </c>
    </row>
    <row r="33" spans="1:6" x14ac:dyDescent="0.25">
      <c r="A33" t="s">
        <v>633</v>
      </c>
      <c r="B33" t="s">
        <v>634</v>
      </c>
      <c r="F33" t="s">
        <v>266</v>
      </c>
    </row>
    <row r="34" spans="1:6" x14ac:dyDescent="0.25">
      <c r="A34" t="s">
        <v>635</v>
      </c>
      <c r="B34" t="s">
        <v>636</v>
      </c>
      <c r="F34" t="s">
        <v>270</v>
      </c>
    </row>
    <row r="35" spans="1:6" x14ac:dyDescent="0.25">
      <c r="A35" t="s">
        <v>629</v>
      </c>
      <c r="B35" t="s">
        <v>637</v>
      </c>
      <c r="F35" t="s">
        <v>307</v>
      </c>
    </row>
    <row r="36" spans="1:6" x14ac:dyDescent="0.25">
      <c r="A36" t="s">
        <v>638</v>
      </c>
      <c r="B36" t="s">
        <v>639</v>
      </c>
      <c r="F36" t="s">
        <v>272</v>
      </c>
    </row>
    <row r="37" spans="1:6" x14ac:dyDescent="0.25">
      <c r="A37" t="s">
        <v>640</v>
      </c>
      <c r="B37" t="s">
        <v>641</v>
      </c>
      <c r="F37" t="s">
        <v>309</v>
      </c>
    </row>
    <row r="38" spans="1:6" x14ac:dyDescent="0.25">
      <c r="A38" t="s">
        <v>642</v>
      </c>
      <c r="B38" t="s">
        <v>643</v>
      </c>
      <c r="F38" t="s">
        <v>87</v>
      </c>
    </row>
    <row r="39" spans="1:6" x14ac:dyDescent="0.25">
      <c r="A39" t="s">
        <v>644</v>
      </c>
      <c r="B39" t="s">
        <v>645</v>
      </c>
      <c r="F39" t="s">
        <v>95</v>
      </c>
    </row>
    <row r="40" spans="1:6" x14ac:dyDescent="0.25">
      <c r="A40" t="s">
        <v>646</v>
      </c>
      <c r="B40" t="s">
        <v>647</v>
      </c>
      <c r="F40" t="s">
        <v>344</v>
      </c>
    </row>
    <row r="41" spans="1:6" x14ac:dyDescent="0.25">
      <c r="A41" t="s">
        <v>648</v>
      </c>
      <c r="B41" t="s">
        <v>649</v>
      </c>
      <c r="F41" t="s">
        <v>348</v>
      </c>
    </row>
    <row r="42" spans="1:6" x14ac:dyDescent="0.25">
      <c r="A42" t="s">
        <v>650</v>
      </c>
      <c r="B42" t="s">
        <v>651</v>
      </c>
      <c r="F42" t="s">
        <v>211</v>
      </c>
    </row>
    <row r="43" spans="1:6" x14ac:dyDescent="0.25">
      <c r="A43" t="s">
        <v>652</v>
      </c>
      <c r="B43" t="s">
        <v>653</v>
      </c>
      <c r="F43" t="s">
        <v>439</v>
      </c>
    </row>
    <row r="44" spans="1:6" x14ac:dyDescent="0.25">
      <c r="A44" t="s">
        <v>654</v>
      </c>
      <c r="B44" t="s">
        <v>655</v>
      </c>
      <c r="F44" t="s">
        <v>314</v>
      </c>
    </row>
    <row r="45" spans="1:6" x14ac:dyDescent="0.25">
      <c r="A45" t="s">
        <v>654</v>
      </c>
      <c r="B45" t="s">
        <v>656</v>
      </c>
      <c r="F45" t="s">
        <v>311</v>
      </c>
    </row>
    <row r="46" spans="1:6" x14ac:dyDescent="0.25">
      <c r="A46" t="s">
        <v>657</v>
      </c>
      <c r="B46" t="s">
        <v>637</v>
      </c>
      <c r="F46" t="s">
        <v>316</v>
      </c>
    </row>
    <row r="47" spans="1:6" x14ac:dyDescent="0.25">
      <c r="A47" t="s">
        <v>658</v>
      </c>
      <c r="B47" t="s">
        <v>659</v>
      </c>
      <c r="F47" t="s">
        <v>465</v>
      </c>
    </row>
    <row r="48" spans="1:6" x14ac:dyDescent="0.25">
      <c r="A48" t="s">
        <v>660</v>
      </c>
      <c r="B48" t="s">
        <v>661</v>
      </c>
      <c r="F48" t="s">
        <v>406</v>
      </c>
    </row>
    <row r="49" spans="1:6" x14ac:dyDescent="0.25">
      <c r="A49" t="s">
        <v>662</v>
      </c>
      <c r="B49" t="s">
        <v>663</v>
      </c>
      <c r="F49" t="s">
        <v>92</v>
      </c>
    </row>
    <row r="50" spans="1:6" x14ac:dyDescent="0.25">
      <c r="A50" t="s">
        <v>664</v>
      </c>
      <c r="B50" t="s">
        <v>665</v>
      </c>
      <c r="F50" t="s">
        <v>256</v>
      </c>
    </row>
    <row r="51" spans="1:6" x14ac:dyDescent="0.25">
      <c r="A51" t="s">
        <v>666</v>
      </c>
      <c r="B51" t="s">
        <v>667</v>
      </c>
      <c r="F51" t="s">
        <v>396</v>
      </c>
    </row>
    <row r="52" spans="1:6" x14ac:dyDescent="0.25">
      <c r="A52" t="s">
        <v>668</v>
      </c>
      <c r="B52" t="s">
        <v>669</v>
      </c>
      <c r="F52" t="s">
        <v>361</v>
      </c>
    </row>
    <row r="53" spans="1:6" x14ac:dyDescent="0.25">
      <c r="A53" t="s">
        <v>670</v>
      </c>
      <c r="B53" t="s">
        <v>671</v>
      </c>
      <c r="F53" t="s">
        <v>401</v>
      </c>
    </row>
    <row r="54" spans="1:6" x14ac:dyDescent="0.25">
      <c r="A54" t="s">
        <v>668</v>
      </c>
      <c r="B54" t="s">
        <v>672</v>
      </c>
      <c r="F54" t="s">
        <v>363</v>
      </c>
    </row>
    <row r="55" spans="1:6" x14ac:dyDescent="0.25">
      <c r="A55" t="s">
        <v>673</v>
      </c>
      <c r="B55" t="s">
        <v>674</v>
      </c>
      <c r="F55" t="s">
        <v>254</v>
      </c>
    </row>
    <row r="56" spans="1:6" x14ac:dyDescent="0.25">
      <c r="A56" t="s">
        <v>673</v>
      </c>
      <c r="B56" t="s">
        <v>675</v>
      </c>
      <c r="F56" t="s">
        <v>390</v>
      </c>
    </row>
    <row r="57" spans="1:6" x14ac:dyDescent="0.25">
      <c r="A57" t="s">
        <v>676</v>
      </c>
      <c r="B57" t="s">
        <v>677</v>
      </c>
      <c r="F57" t="s">
        <v>398</v>
      </c>
    </row>
    <row r="58" spans="1:6" x14ac:dyDescent="0.25">
      <c r="A58" t="s">
        <v>678</v>
      </c>
      <c r="B58" t="s">
        <v>679</v>
      </c>
      <c r="F58" t="s">
        <v>350</v>
      </c>
    </row>
    <row r="59" spans="1:6" x14ac:dyDescent="0.25">
      <c r="A59" t="s">
        <v>680</v>
      </c>
      <c r="B59" t="s">
        <v>681</v>
      </c>
      <c r="F59" t="s">
        <v>359</v>
      </c>
    </row>
    <row r="60" spans="1:6" x14ac:dyDescent="0.25">
      <c r="A60" t="s">
        <v>682</v>
      </c>
      <c r="B60" t="s">
        <v>669</v>
      </c>
      <c r="F60" t="s">
        <v>353</v>
      </c>
    </row>
    <row r="61" spans="1:6" x14ac:dyDescent="0.25">
      <c r="A61" t="s">
        <v>683</v>
      </c>
      <c r="B61" t="s">
        <v>684</v>
      </c>
      <c r="F61" t="s">
        <v>355</v>
      </c>
    </row>
    <row r="62" spans="1:6" x14ac:dyDescent="0.25">
      <c r="A62" t="s">
        <v>685</v>
      </c>
      <c r="B62" t="s">
        <v>686</v>
      </c>
      <c r="F62" t="s">
        <v>357</v>
      </c>
    </row>
    <row r="63" spans="1:6" x14ac:dyDescent="0.25">
      <c r="A63" t="s">
        <v>687</v>
      </c>
      <c r="B63" t="s">
        <v>632</v>
      </c>
      <c r="F63" t="s">
        <v>384</v>
      </c>
    </row>
    <row r="64" spans="1:6" x14ac:dyDescent="0.25">
      <c r="A64" t="s">
        <v>687</v>
      </c>
      <c r="B64" t="s">
        <v>688</v>
      </c>
      <c r="F64" t="s">
        <v>319</v>
      </c>
    </row>
    <row r="65" spans="1:6" x14ac:dyDescent="0.25">
      <c r="A65" t="s">
        <v>689</v>
      </c>
      <c r="B65" t="s">
        <v>690</v>
      </c>
      <c r="F65" t="s">
        <v>282</v>
      </c>
    </row>
    <row r="66" spans="1:6" x14ac:dyDescent="0.25">
      <c r="A66" t="s">
        <v>691</v>
      </c>
      <c r="B66" t="s">
        <v>692</v>
      </c>
      <c r="F66" t="s">
        <v>495</v>
      </c>
    </row>
    <row r="67" spans="1:6" x14ac:dyDescent="0.25">
      <c r="A67" t="s">
        <v>658</v>
      </c>
      <c r="B67" t="s">
        <v>693</v>
      </c>
      <c r="F67" t="s">
        <v>373</v>
      </c>
    </row>
    <row r="68" spans="1:6" x14ac:dyDescent="0.25">
      <c r="A68" t="s">
        <v>694</v>
      </c>
      <c r="B68" t="s">
        <v>695</v>
      </c>
      <c r="F68" t="s">
        <v>102</v>
      </c>
    </row>
    <row r="69" spans="1:6" x14ac:dyDescent="0.25">
      <c r="A69" t="s">
        <v>696</v>
      </c>
      <c r="B69" t="s">
        <v>603</v>
      </c>
      <c r="C69" t="s">
        <v>697</v>
      </c>
      <c r="F69" t="s">
        <v>427</v>
      </c>
    </row>
    <row r="70" spans="1:6" x14ac:dyDescent="0.25">
      <c r="A70" t="s">
        <v>698</v>
      </c>
      <c r="B70" t="s">
        <v>608</v>
      </c>
      <c r="F70" t="s">
        <v>490</v>
      </c>
    </row>
    <row r="71" spans="1:6" x14ac:dyDescent="0.25">
      <c r="A71" t="s">
        <v>698</v>
      </c>
      <c r="B71" t="s">
        <v>699</v>
      </c>
      <c r="F71" t="s">
        <v>492</v>
      </c>
    </row>
    <row r="72" spans="1:6" x14ac:dyDescent="0.25">
      <c r="A72" t="s">
        <v>694</v>
      </c>
      <c r="B72" t="s">
        <v>695</v>
      </c>
      <c r="F72" t="s">
        <v>489</v>
      </c>
    </row>
    <row r="73" spans="1:6" x14ac:dyDescent="0.25">
      <c r="A73" t="s">
        <v>700</v>
      </c>
      <c r="B73" t="s">
        <v>701</v>
      </c>
      <c r="F73" t="s">
        <v>322</v>
      </c>
    </row>
    <row r="74" spans="1:6" x14ac:dyDescent="0.25">
      <c r="A74" t="s">
        <v>702</v>
      </c>
      <c r="B74" t="s">
        <v>703</v>
      </c>
      <c r="F74" t="s">
        <v>325</v>
      </c>
    </row>
    <row r="75" spans="1:6" x14ac:dyDescent="0.25">
      <c r="A75" t="s">
        <v>702</v>
      </c>
      <c r="B75" t="s">
        <v>703</v>
      </c>
      <c r="F75" t="s">
        <v>325</v>
      </c>
    </row>
    <row r="76" spans="1:6" x14ac:dyDescent="0.25">
      <c r="A76" t="s">
        <v>704</v>
      </c>
      <c r="B76" t="s">
        <v>705</v>
      </c>
      <c r="F76" t="s">
        <v>365</v>
      </c>
    </row>
    <row r="77" spans="1:6" x14ac:dyDescent="0.25">
      <c r="A77" t="s">
        <v>706</v>
      </c>
      <c r="B77" t="s">
        <v>707</v>
      </c>
      <c r="F77" t="s">
        <v>367</v>
      </c>
    </row>
    <row r="78" spans="1:6" x14ac:dyDescent="0.25">
      <c r="A78" t="s">
        <v>708</v>
      </c>
      <c r="B78" t="s">
        <v>709</v>
      </c>
      <c r="F78" t="s">
        <v>378</v>
      </c>
    </row>
    <row r="79" spans="1:6" x14ac:dyDescent="0.25">
      <c r="A79" t="s">
        <v>710</v>
      </c>
      <c r="B79" t="s">
        <v>711</v>
      </c>
      <c r="F79" t="s">
        <v>458</v>
      </c>
    </row>
    <row r="80" spans="1:6" x14ac:dyDescent="0.25">
      <c r="A80" t="s">
        <v>712</v>
      </c>
      <c r="B80" t="s">
        <v>713</v>
      </c>
      <c r="F80" t="s">
        <v>222</v>
      </c>
    </row>
    <row r="81" spans="1:6" x14ac:dyDescent="0.25">
      <c r="A81" t="s">
        <v>714</v>
      </c>
      <c r="B81" t="s">
        <v>715</v>
      </c>
      <c r="F81" t="s">
        <v>233</v>
      </c>
    </row>
    <row r="82" spans="1:6" x14ac:dyDescent="0.25">
      <c r="A82" t="s">
        <v>716</v>
      </c>
      <c r="B82" t="s">
        <v>717</v>
      </c>
      <c r="F82" t="s">
        <v>85</v>
      </c>
    </row>
    <row r="83" spans="1:6" x14ac:dyDescent="0.25">
      <c r="A83" t="s">
        <v>718</v>
      </c>
      <c r="B83" t="s">
        <v>719</v>
      </c>
      <c r="F83" t="s">
        <v>469</v>
      </c>
    </row>
    <row r="84" spans="1:6" x14ac:dyDescent="0.25">
      <c r="A84" t="s">
        <v>720</v>
      </c>
      <c r="B84" t="s">
        <v>721</v>
      </c>
      <c r="F84" t="s">
        <v>286</v>
      </c>
    </row>
    <row r="85" spans="1:6" x14ac:dyDescent="0.25">
      <c r="A85" t="s">
        <v>722</v>
      </c>
      <c r="B85" t="s">
        <v>723</v>
      </c>
      <c r="F85" t="s">
        <v>70</v>
      </c>
    </row>
    <row r="86" spans="1:6" x14ac:dyDescent="0.25">
      <c r="A86" t="s">
        <v>724</v>
      </c>
      <c r="B86" t="s">
        <v>725</v>
      </c>
      <c r="F86" t="s">
        <v>64</v>
      </c>
    </row>
    <row r="87" spans="1:6" x14ac:dyDescent="0.25">
      <c r="A87" t="s">
        <v>726</v>
      </c>
      <c r="B87" t="s">
        <v>727</v>
      </c>
      <c r="F87" t="s">
        <v>50</v>
      </c>
    </row>
    <row r="88" spans="1:6" x14ac:dyDescent="0.25">
      <c r="A88" t="s">
        <v>724</v>
      </c>
      <c r="B88" t="s">
        <v>614</v>
      </c>
      <c r="F88" t="s">
        <v>68</v>
      </c>
    </row>
    <row r="89" spans="1:6" x14ac:dyDescent="0.25">
      <c r="A89" t="s">
        <v>728</v>
      </c>
      <c r="B89" t="s">
        <v>729</v>
      </c>
      <c r="F89" t="s">
        <v>259</v>
      </c>
    </row>
    <row r="90" spans="1:6" x14ac:dyDescent="0.25">
      <c r="A90" t="s">
        <v>730</v>
      </c>
      <c r="B90" t="s">
        <v>731</v>
      </c>
      <c r="F90" t="s">
        <v>394</v>
      </c>
    </row>
    <row r="91" spans="1:6" x14ac:dyDescent="0.25">
      <c r="A91" t="s">
        <v>730</v>
      </c>
      <c r="B91" t="s">
        <v>732</v>
      </c>
      <c r="F91" t="s">
        <v>392</v>
      </c>
    </row>
    <row r="92" spans="1:6" x14ac:dyDescent="0.25">
      <c r="A92" t="s">
        <v>733</v>
      </c>
      <c r="B92" t="s">
        <v>734</v>
      </c>
      <c r="F92" t="s">
        <v>369</v>
      </c>
    </row>
    <row r="93" spans="1:6" x14ac:dyDescent="0.25">
      <c r="A93" t="s">
        <v>735</v>
      </c>
      <c r="B93" t="s">
        <v>736</v>
      </c>
      <c r="F93" t="s">
        <v>421</v>
      </c>
    </row>
    <row r="94" spans="1:6" x14ac:dyDescent="0.25">
      <c r="A94" t="s">
        <v>737</v>
      </c>
      <c r="B94" t="s">
        <v>738</v>
      </c>
      <c r="F94" t="s">
        <v>452</v>
      </c>
    </row>
    <row r="95" spans="1:6" x14ac:dyDescent="0.25">
      <c r="A95" t="s">
        <v>739</v>
      </c>
      <c r="B95" t="s">
        <v>740</v>
      </c>
      <c r="F95" t="s">
        <v>216</v>
      </c>
    </row>
    <row r="96" spans="1:6" x14ac:dyDescent="0.25">
      <c r="A96" t="s">
        <v>741</v>
      </c>
      <c r="B96" t="s">
        <v>742</v>
      </c>
      <c r="F96" t="s">
        <v>218</v>
      </c>
    </row>
    <row r="97" spans="1:6" x14ac:dyDescent="0.25">
      <c r="A97" t="s">
        <v>741</v>
      </c>
      <c r="B97" t="s">
        <v>743</v>
      </c>
      <c r="F97" t="s">
        <v>220</v>
      </c>
    </row>
    <row r="98" spans="1:6" x14ac:dyDescent="0.25">
      <c r="A98" t="s">
        <v>744</v>
      </c>
      <c r="B98" t="s">
        <v>745</v>
      </c>
      <c r="F98" t="s">
        <v>382</v>
      </c>
    </row>
    <row r="99" spans="1:6" x14ac:dyDescent="0.25">
      <c r="A99" t="s">
        <v>744</v>
      </c>
      <c r="B99" t="s">
        <v>746</v>
      </c>
      <c r="F99" t="s">
        <v>303</v>
      </c>
    </row>
    <row r="100" spans="1:6" x14ac:dyDescent="0.25">
      <c r="A100" t="s">
        <v>747</v>
      </c>
      <c r="B100" t="s">
        <v>748</v>
      </c>
      <c r="F100" t="s">
        <v>297</v>
      </c>
    </row>
    <row r="101" spans="1:6" x14ac:dyDescent="0.25">
      <c r="A101" t="s">
        <v>749</v>
      </c>
      <c r="B101" t="s">
        <v>750</v>
      </c>
      <c r="F101" t="s">
        <v>300</v>
      </c>
    </row>
    <row r="102" spans="1:6" x14ac:dyDescent="0.25">
      <c r="A102" t="s">
        <v>751</v>
      </c>
      <c r="B102" t="s">
        <v>626</v>
      </c>
      <c r="F102" t="s">
        <v>487</v>
      </c>
    </row>
    <row r="103" spans="1:6" x14ac:dyDescent="0.25">
      <c r="A103" t="s">
        <v>752</v>
      </c>
      <c r="B103" t="s">
        <v>637</v>
      </c>
      <c r="F103" t="s">
        <v>419</v>
      </c>
    </row>
    <row r="104" spans="1:6" x14ac:dyDescent="0.25">
      <c r="A104" t="s">
        <v>753</v>
      </c>
      <c r="B104" t="s">
        <v>681</v>
      </c>
      <c r="F104" t="s">
        <v>202</v>
      </c>
    </row>
    <row r="105" spans="1:6" x14ac:dyDescent="0.25">
      <c r="A105" t="s">
        <v>754</v>
      </c>
      <c r="B105" t="s">
        <v>745</v>
      </c>
      <c r="F105" t="s">
        <v>410</v>
      </c>
    </row>
    <row r="106" spans="1:6" x14ac:dyDescent="0.25">
      <c r="A106" t="s">
        <v>737</v>
      </c>
      <c r="B106" t="s">
        <v>755</v>
      </c>
      <c r="F106" t="s">
        <v>455</v>
      </c>
    </row>
    <row r="107" spans="1:6" x14ac:dyDescent="0.25">
      <c r="A107" t="s">
        <v>756</v>
      </c>
      <c r="B107" t="s">
        <v>757</v>
      </c>
      <c r="F107" t="s">
        <v>331</v>
      </c>
    </row>
    <row r="108" spans="1:6" x14ac:dyDescent="0.25">
      <c r="A108" t="s">
        <v>758</v>
      </c>
      <c r="B108" t="s">
        <v>759</v>
      </c>
      <c r="F108" t="s">
        <v>224</v>
      </c>
    </row>
    <row r="109" spans="1:6" x14ac:dyDescent="0.25">
      <c r="A109" t="s">
        <v>760</v>
      </c>
      <c r="B109" t="s">
        <v>761</v>
      </c>
      <c r="F109" t="s">
        <v>295</v>
      </c>
    </row>
    <row r="110" spans="1:6" x14ac:dyDescent="0.25">
      <c r="A110" t="s">
        <v>760</v>
      </c>
      <c r="B110" t="s">
        <v>762</v>
      </c>
      <c r="F110" t="s">
        <v>388</v>
      </c>
    </row>
    <row r="111" spans="1:6" x14ac:dyDescent="0.25">
      <c r="A111" t="s">
        <v>763</v>
      </c>
      <c r="B111" t="s">
        <v>738</v>
      </c>
      <c r="F111" t="s">
        <v>290</v>
      </c>
    </row>
    <row r="112" spans="1:6" x14ac:dyDescent="0.25">
      <c r="A112" t="s">
        <v>763</v>
      </c>
      <c r="B112" t="s">
        <v>764</v>
      </c>
      <c r="F112" t="s">
        <v>293</v>
      </c>
    </row>
    <row r="113" spans="1:6" x14ac:dyDescent="0.25">
      <c r="A113" t="s">
        <v>765</v>
      </c>
      <c r="B113" t="s">
        <v>766</v>
      </c>
      <c r="F113" t="s">
        <v>444</v>
      </c>
    </row>
    <row r="114" spans="1:6" x14ac:dyDescent="0.25">
      <c r="A114" t="s">
        <v>767</v>
      </c>
      <c r="B114" t="s">
        <v>768</v>
      </c>
      <c r="F114" t="s">
        <v>252</v>
      </c>
    </row>
    <row r="115" spans="1:6" x14ac:dyDescent="0.25">
      <c r="A115" t="s">
        <v>769</v>
      </c>
      <c r="B115" t="s">
        <v>770</v>
      </c>
      <c r="F115" t="s">
        <v>471</v>
      </c>
    </row>
    <row r="116" spans="1:6" x14ac:dyDescent="0.25">
      <c r="A116" t="s">
        <v>769</v>
      </c>
      <c r="B116" t="s">
        <v>771</v>
      </c>
      <c r="F116" t="s">
        <v>474</v>
      </c>
    </row>
    <row r="117" spans="1:6" x14ac:dyDescent="0.25">
      <c r="A117" t="s">
        <v>772</v>
      </c>
      <c r="B117" t="s">
        <v>773</v>
      </c>
      <c r="F117" t="s">
        <v>434</v>
      </c>
    </row>
    <row r="118" spans="1:6" x14ac:dyDescent="0.25">
      <c r="A118" t="s">
        <v>774</v>
      </c>
      <c r="B118" t="s">
        <v>775</v>
      </c>
      <c r="F118" t="s">
        <v>424</v>
      </c>
    </row>
    <row r="119" spans="1:6" x14ac:dyDescent="0.25">
      <c r="A119" t="s">
        <v>776</v>
      </c>
      <c r="B119" t="s">
        <v>777</v>
      </c>
      <c r="C119" t="s">
        <v>778</v>
      </c>
      <c r="D119" t="s">
        <v>779</v>
      </c>
      <c r="F119" t="s">
        <v>237</v>
      </c>
    </row>
    <row r="120" spans="1:6" x14ac:dyDescent="0.25">
      <c r="A120" t="s">
        <v>780</v>
      </c>
      <c r="B120" t="s">
        <v>781</v>
      </c>
      <c r="C120" t="s">
        <v>717</v>
      </c>
      <c r="F120" t="s">
        <v>97</v>
      </c>
    </row>
    <row r="121" spans="1:6" x14ac:dyDescent="0.25">
      <c r="A121" t="s">
        <v>782</v>
      </c>
      <c r="B121" t="s">
        <v>783</v>
      </c>
      <c r="F121" t="s">
        <v>185</v>
      </c>
    </row>
    <row r="122" spans="1:6" x14ac:dyDescent="0.25">
      <c r="A122" t="s">
        <v>784</v>
      </c>
      <c r="B122" t="s">
        <v>785</v>
      </c>
      <c r="F122" t="s">
        <v>206</v>
      </c>
    </row>
    <row r="123" spans="1:6" x14ac:dyDescent="0.25">
      <c r="A123" t="s">
        <v>786</v>
      </c>
      <c r="B123" t="s">
        <v>783</v>
      </c>
      <c r="F123" t="s">
        <v>190</v>
      </c>
    </row>
    <row r="124" spans="1:6" x14ac:dyDescent="0.25">
      <c r="A124" t="s">
        <v>787</v>
      </c>
      <c r="B124" t="s">
        <v>675</v>
      </c>
      <c r="F124" t="s">
        <v>183</v>
      </c>
    </row>
    <row r="125" spans="1:6" x14ac:dyDescent="0.25">
      <c r="A125" t="s">
        <v>788</v>
      </c>
      <c r="B125" t="s">
        <v>789</v>
      </c>
      <c r="F125" t="s">
        <v>74</v>
      </c>
    </row>
    <row r="126" spans="1:6" x14ac:dyDescent="0.25">
      <c r="A126" t="s">
        <v>790</v>
      </c>
      <c r="B126" t="s">
        <v>791</v>
      </c>
      <c r="F126" t="s">
        <v>187</v>
      </c>
    </row>
    <row r="127" spans="1:6" x14ac:dyDescent="0.25">
      <c r="A127" t="s">
        <v>792</v>
      </c>
      <c r="B127" t="s">
        <v>793</v>
      </c>
      <c r="F127" t="s">
        <v>173</v>
      </c>
    </row>
    <row r="128" spans="1:6" x14ac:dyDescent="0.25">
      <c r="A128" t="s">
        <v>794</v>
      </c>
      <c r="B128" t="s">
        <v>795</v>
      </c>
      <c r="C128" t="s">
        <v>779</v>
      </c>
      <c r="F128" t="s">
        <v>249</v>
      </c>
    </row>
    <row r="129" spans="1:6" x14ac:dyDescent="0.25">
      <c r="A129" t="s">
        <v>796</v>
      </c>
      <c r="B129" t="s">
        <v>797</v>
      </c>
      <c r="F129" t="s">
        <v>181</v>
      </c>
    </row>
    <row r="130" spans="1:6" x14ac:dyDescent="0.25">
      <c r="A130" t="s">
        <v>798</v>
      </c>
      <c r="B130" t="s">
        <v>597</v>
      </c>
      <c r="F130" t="s">
        <v>194</v>
      </c>
    </row>
    <row r="131" spans="1:6" x14ac:dyDescent="0.25">
      <c r="A131" t="s">
        <v>782</v>
      </c>
      <c r="B131" t="s">
        <v>799</v>
      </c>
      <c r="F131" t="s">
        <v>196</v>
      </c>
    </row>
    <row r="132" spans="1:6" x14ac:dyDescent="0.25">
      <c r="A132" t="s">
        <v>800</v>
      </c>
      <c r="B132" t="s">
        <v>791</v>
      </c>
      <c r="F132" t="s">
        <v>192</v>
      </c>
    </row>
    <row r="133" spans="1:6" x14ac:dyDescent="0.25">
      <c r="A133" t="s">
        <v>801</v>
      </c>
      <c r="B133" t="s">
        <v>692</v>
      </c>
      <c r="F133" t="s">
        <v>198</v>
      </c>
    </row>
    <row r="134" spans="1:6" x14ac:dyDescent="0.25">
      <c r="A134" t="s">
        <v>802</v>
      </c>
      <c r="B134" t="s">
        <v>616</v>
      </c>
      <c r="F134" t="s">
        <v>431</v>
      </c>
    </row>
    <row r="135" spans="1:6" x14ac:dyDescent="0.25">
      <c r="A135" t="s">
        <v>803</v>
      </c>
      <c r="B135" t="s">
        <v>614</v>
      </c>
      <c r="F135" t="s">
        <v>413</v>
      </c>
    </row>
    <row r="136" spans="1:6" x14ac:dyDescent="0.25">
      <c r="A136" t="s">
        <v>804</v>
      </c>
      <c r="B136" t="s">
        <v>805</v>
      </c>
      <c r="F136" t="s">
        <v>213</v>
      </c>
    </row>
    <row r="137" spans="1:6" x14ac:dyDescent="0.25">
      <c r="A137" t="s">
        <v>806</v>
      </c>
      <c r="B137" t="s">
        <v>597</v>
      </c>
      <c r="F137" t="s">
        <v>208</v>
      </c>
    </row>
    <row r="138" spans="1:6" x14ac:dyDescent="0.25">
      <c r="A138" t="s">
        <v>807</v>
      </c>
      <c r="B138" t="s">
        <v>808</v>
      </c>
      <c r="F138" t="s">
        <v>240</v>
      </c>
    </row>
    <row r="139" spans="1:6" x14ac:dyDescent="0.25">
      <c r="A139" t="s">
        <v>807</v>
      </c>
      <c r="B139" t="s">
        <v>808</v>
      </c>
      <c r="F139" t="s">
        <v>240</v>
      </c>
    </row>
    <row r="140" spans="1:6" x14ac:dyDescent="0.25">
      <c r="A140" t="s">
        <v>809</v>
      </c>
      <c r="B140" t="s">
        <v>810</v>
      </c>
      <c r="F140" t="s">
        <v>227</v>
      </c>
    </row>
    <row r="141" spans="1:6" x14ac:dyDescent="0.25">
      <c r="A141" t="s">
        <v>811</v>
      </c>
      <c r="B141" t="s">
        <v>757</v>
      </c>
      <c r="F141" t="s">
        <v>127</v>
      </c>
    </row>
    <row r="142" spans="1:6" x14ac:dyDescent="0.25">
      <c r="A142" t="s">
        <v>812</v>
      </c>
      <c r="B142" t="s">
        <v>813</v>
      </c>
      <c r="F142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clean sheet</vt:lpstr>
      <vt:lpstr>Sheet1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2025-09-07T20:32:47Z</dcterms:created>
  <dcterms:modified xsi:type="dcterms:W3CDTF">2025-09-11T14:16:27Z</dcterms:modified>
</cp:coreProperties>
</file>