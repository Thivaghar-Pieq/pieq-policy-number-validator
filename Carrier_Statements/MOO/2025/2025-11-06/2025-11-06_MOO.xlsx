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1-06-25 11-13-25\"/>
    </mc:Choice>
  </mc:AlternateContent>
  <xr:revisionPtr revIDLastSave="0" documentId="13_ncr:1_{F69C5641-9A07-4A2A-9448-34B51F87C09D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8" sheetId="10" r:id="rId4"/>
    <sheet name="Sheet7" sheetId="9" r:id="rId5"/>
  </sheets>
  <externalReferences>
    <externalReference r:id="rId6"/>
    <externalReference r:id="rId7"/>
  </externalReferences>
  <definedNames>
    <definedName name="_xlnm._FilterDatabase" localSheetId="2" hidden="1">'clean sheet'!$A$1:$U$146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 a="1"/>
  <c r="B1" i="10" s="1"/>
  <c r="B1" i="9" a="1"/>
  <c r="B1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<sst xmlns="http://schemas.openxmlformats.org/spreadsheetml/2006/main" count="5075" uniqueCount="616">
  <si>
    <t>MUTUAL OF OMAHA</t>
  </si>
  <si>
    <t>SUMMARY COMPENSATION STATEMENT</t>
  </si>
  <si>
    <t>For Period Ending 11/11/2025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</si>
  <si>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</si>
  <si>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</si>
  <si>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</si>
  <si>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</si>
  <si>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</si>
  <si>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</si>
  <si>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</si>
  <si>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</si>
  <si>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</si>
  <si>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</si>
  <si>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</si>
  <si>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</si>
  <si>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</si>
  <si>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</si>
  <si>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</si>
  <si>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</si>
  <si>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</si>
  <si>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</si>
  <si>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</si>
  <si>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</si>
  <si>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</si>
  <si>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</si>
  <si>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</si>
  <si>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</si>
  <si>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</si>
  <si>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</si>
  <si>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</si>
  <si>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</si>
  <si>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</si>
  <si>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</si>
  <si>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</si>
  <si>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</si>
  <si>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</si>
  <si>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</si>
  <si>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</si>
  <si>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</si>
  <si>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</si>
  <si>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</si>
  <si>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</si>
  <si>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</si>
  <si>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</si>
  <si>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</si>
  <si>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</si>
  <si>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</si>
  <si>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</si>
  <si>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</si>
  <si>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</si>
  <si>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787921-97</t>
  </si>
  <si>
    <t>HARMON PAULA</t>
  </si>
  <si>
    <t>IL</t>
  </si>
  <si>
    <t>11/05/2025</t>
  </si>
  <si>
    <t>NM24HL</t>
  </si>
  <si>
    <t>08/01/2025</t>
  </si>
  <si>
    <t>12/01/2025</t>
  </si>
  <si>
    <t/>
  </si>
  <si>
    <t>M</t>
  </si>
  <si>
    <t>BSP</t>
  </si>
  <si>
    <t>001</t>
  </si>
  <si>
    <t>F</t>
  </si>
  <si>
    <t>BFY PAYMENT</t>
  </si>
  <si>
    <t>100.0%</t>
  </si>
  <si>
    <t>OMAHA SUPP</t>
  </si>
  <si>
    <t>758948-97</t>
  </si>
  <si>
    <t>VON TERSCH ALANNA</t>
  </si>
  <si>
    <t>MI</t>
  </si>
  <si>
    <t>SM25L</t>
  </si>
  <si>
    <t>GURU INSURANCE MARKETING, LLC</t>
  </si>
  <si>
    <t>1174646</t>
  </si>
  <si>
    <t>492291-97</t>
  </si>
  <si>
    <t>NEWBERY PETER</t>
  </si>
  <si>
    <t>11/07/2025</t>
  </si>
  <si>
    <t>12/01/2024</t>
  </si>
  <si>
    <t>500156-97</t>
  </si>
  <si>
    <t>KENNEDY MICHAEL</t>
  </si>
  <si>
    <t>01/01/2025</t>
  </si>
  <si>
    <t>500219-97</t>
  </si>
  <si>
    <t>KENNEDY CYNTHIA</t>
  </si>
  <si>
    <t>511676-97</t>
  </si>
  <si>
    <t>CONVIS RANDALL</t>
  </si>
  <si>
    <t>647995-97</t>
  </si>
  <si>
    <t>RICE PAMELA</t>
  </si>
  <si>
    <t>11/10/2025</t>
  </si>
  <si>
    <t>04/01/2025</t>
  </si>
  <si>
    <t>650070-97</t>
  </si>
  <si>
    <t>SMITH JEFFREY</t>
  </si>
  <si>
    <t>05/01/2025</t>
  </si>
  <si>
    <t>601712-97</t>
  </si>
  <si>
    <t>CRUTTENDEN LORI</t>
  </si>
  <si>
    <t>02/01/2025</t>
  </si>
  <si>
    <t>752514-97</t>
  </si>
  <si>
    <t>MEGARO ROBERT</t>
  </si>
  <si>
    <t>06/10/2025</t>
  </si>
  <si>
    <t>12/10/2025</t>
  </si>
  <si>
    <t>934966-96</t>
  </si>
  <si>
    <t>SCHMIDT ROBERT</t>
  </si>
  <si>
    <t>06/01/2024</t>
  </si>
  <si>
    <t>R</t>
  </si>
  <si>
    <t>RENEWAL PYMT</t>
  </si>
  <si>
    <t>491264-97</t>
  </si>
  <si>
    <t>MCDOWELL DENNIS</t>
  </si>
  <si>
    <t>0513364</t>
  </si>
  <si>
    <t>459062-97</t>
  </si>
  <si>
    <t>BREWER TAUN</t>
  </si>
  <si>
    <t>546425-97</t>
  </si>
  <si>
    <t>WIDMARK LISA</t>
  </si>
  <si>
    <t>UNITED</t>
  </si>
  <si>
    <t>0648177</t>
  </si>
  <si>
    <t>620585-96</t>
  </si>
  <si>
    <t>SHEFTEL ELLIOT</t>
  </si>
  <si>
    <t>PA</t>
  </si>
  <si>
    <t>UM24HLV</t>
  </si>
  <si>
    <t>08/01/2023</t>
  </si>
  <si>
    <t>0957310</t>
  </si>
  <si>
    <t>821308-96</t>
  </si>
  <si>
    <t>DIMIDIO LEONARD</t>
  </si>
  <si>
    <t>01/01/2024</t>
  </si>
  <si>
    <t>610516-97</t>
  </si>
  <si>
    <t>FAUST GARY</t>
  </si>
  <si>
    <t>UM35HLV</t>
  </si>
  <si>
    <t>03/01/2025</t>
  </si>
  <si>
    <t>821212-96</t>
  </si>
  <si>
    <t>DIMIDIO REGINA</t>
  </si>
  <si>
    <t>UNITED WORLD</t>
  </si>
  <si>
    <t>0821331</t>
  </si>
  <si>
    <t>599869-97</t>
  </si>
  <si>
    <t>CONNOR Deborah</t>
  </si>
  <si>
    <t>NJ</t>
  </si>
  <si>
    <t>WM35NL</t>
  </si>
  <si>
    <t>372782-97</t>
  </si>
  <si>
    <t>CARLIN DENNIS</t>
  </si>
  <si>
    <t>WM25GL</t>
  </si>
  <si>
    <t>08/01/2024</t>
  </si>
  <si>
    <t>868160-96</t>
  </si>
  <si>
    <t>SCHWARTZ RICHARD</t>
  </si>
  <si>
    <t>02/01/2024</t>
  </si>
  <si>
    <t>0815390</t>
  </si>
  <si>
    <t>458537-97</t>
  </si>
  <si>
    <t>SEELEY JAMES</t>
  </si>
  <si>
    <t>11/06/2025</t>
  </si>
  <si>
    <t>WM24FL</t>
  </si>
  <si>
    <t>723099-96</t>
  </si>
  <si>
    <t>PATEL RAJANIKANT</t>
  </si>
  <si>
    <t>11/01/2023</t>
  </si>
  <si>
    <t>1099222</t>
  </si>
  <si>
    <t>BU5525738</t>
  </si>
  <si>
    <t>BUEL CONNIE</t>
  </si>
  <si>
    <t>AL</t>
  </si>
  <si>
    <t>TE15 1</t>
  </si>
  <si>
    <t>09/04/2025</t>
  </si>
  <si>
    <t>12/04/2025</t>
  </si>
  <si>
    <t>BU5642719</t>
  </si>
  <si>
    <t>HOWARD TRACE</t>
  </si>
  <si>
    <t>TX</t>
  </si>
  <si>
    <t>E30301</t>
  </si>
  <si>
    <t>10/04/2025</t>
  </si>
  <si>
    <t>BU6151841</t>
  </si>
  <si>
    <t>NAVA CYNTHIA</t>
  </si>
  <si>
    <t>UT</t>
  </si>
  <si>
    <t>11/01/2025</t>
  </si>
  <si>
    <t>NEW ISS REV</t>
  </si>
  <si>
    <t>BU6198782</t>
  </si>
  <si>
    <t>YIN DEYONG</t>
  </si>
  <si>
    <t>E20201</t>
  </si>
  <si>
    <t>12/09/2025</t>
  </si>
  <si>
    <t>NEW COV ISS</t>
  </si>
  <si>
    <t>BU6198788</t>
  </si>
  <si>
    <t>LI YONGCHUN</t>
  </si>
  <si>
    <t>BU6200535</t>
  </si>
  <si>
    <t>JONES-SMITH DESTINY</t>
  </si>
  <si>
    <t>BU6203254</t>
  </si>
  <si>
    <t>OLSON MERLE</t>
  </si>
  <si>
    <t>OR</t>
  </si>
  <si>
    <t>BU6212512</t>
  </si>
  <si>
    <t>HAYNES LORI</t>
  </si>
  <si>
    <t>LA</t>
  </si>
  <si>
    <t>11/11/2025</t>
  </si>
  <si>
    <t>12/15/2025</t>
  </si>
  <si>
    <t>REWRITE ISS</t>
  </si>
  <si>
    <t>1169782</t>
  </si>
  <si>
    <t>BU5502285</t>
  </si>
  <si>
    <t>FUENTES MELISSA</t>
  </si>
  <si>
    <t>08/15/2025</t>
  </si>
  <si>
    <t>1227344</t>
  </si>
  <si>
    <t>BU5650906</t>
  </si>
  <si>
    <t>MOORE GARY</t>
  </si>
  <si>
    <t>KS</t>
  </si>
  <si>
    <t>IXEXP1</t>
  </si>
  <si>
    <t>10/10/2025</t>
  </si>
  <si>
    <t>BU6182379</t>
  </si>
  <si>
    <t>HAYES JAMES</t>
  </si>
  <si>
    <t>MD</t>
  </si>
  <si>
    <t>0257168</t>
  </si>
  <si>
    <t>BU6195162</t>
  </si>
  <si>
    <t>MORRISON DANIELLE</t>
  </si>
  <si>
    <t>MT</t>
  </si>
  <si>
    <t>11/03/2025</t>
  </si>
  <si>
    <t>12/03/2025</t>
  </si>
  <si>
    <t>NEW ISS PYMT</t>
  </si>
  <si>
    <t>0893214</t>
  </si>
  <si>
    <t>BU5501966</t>
  </si>
  <si>
    <t>FISHER KATHLEEN</t>
  </si>
  <si>
    <t>09/09/2025</t>
  </si>
  <si>
    <t>0892719</t>
  </si>
  <si>
    <t>BU6204845</t>
  </si>
  <si>
    <t>SIMMONS MONICA</t>
  </si>
  <si>
    <t>TN</t>
  </si>
  <si>
    <t>BU6209158</t>
  </si>
  <si>
    <t>GALBRAITH JEFF</t>
  </si>
  <si>
    <t>SD</t>
  </si>
  <si>
    <t>CONV NEW BUS</t>
  </si>
  <si>
    <t>BU6213731</t>
  </si>
  <si>
    <t>DITTMER JAMES</t>
  </si>
  <si>
    <t>BU6213732</t>
  </si>
  <si>
    <t>DITTMER MARIA</t>
  </si>
  <si>
    <t>BU5323945</t>
  </si>
  <si>
    <t>MATTHEWS WILLIAM</t>
  </si>
  <si>
    <t>NC</t>
  </si>
  <si>
    <t>06/01/2025</t>
  </si>
  <si>
    <t>BU5518399</t>
  </si>
  <si>
    <t>FRANKLIN ALVIN</t>
  </si>
  <si>
    <t>FEPG 1</t>
  </si>
  <si>
    <t>09/01/2025</t>
  </si>
  <si>
    <t>BU5521068</t>
  </si>
  <si>
    <t>POCHET DONNA</t>
  </si>
  <si>
    <t>09/05/2025</t>
  </si>
  <si>
    <t>12/05/2025</t>
  </si>
  <si>
    <t>BU5539063</t>
  </si>
  <si>
    <t>RUSS MONICA</t>
  </si>
  <si>
    <t>BU5592069</t>
  </si>
  <si>
    <t>SOUTHARD KARL</t>
  </si>
  <si>
    <t>10/05/2025</t>
  </si>
  <si>
    <t>BU5657901</t>
  </si>
  <si>
    <t>MOORE REBECCA</t>
  </si>
  <si>
    <t>10/19/2025</t>
  </si>
  <si>
    <t>11/19/2025</t>
  </si>
  <si>
    <t>BU6169909</t>
  </si>
  <si>
    <t>DAVIS TAMMIE</t>
  </si>
  <si>
    <t>0606680</t>
  </si>
  <si>
    <t>BU5345138</t>
  </si>
  <si>
    <t>CHRISTALDI DANIEL</t>
  </si>
  <si>
    <t>FL</t>
  </si>
  <si>
    <t>06/07/2025</t>
  </si>
  <si>
    <t>12/07/2025</t>
  </si>
  <si>
    <t>BFY REVERSAL</t>
  </si>
  <si>
    <t>BU6209153</t>
  </si>
  <si>
    <t>ROUSE JESSICA</t>
  </si>
  <si>
    <t>AZ</t>
  </si>
  <si>
    <t>11/23/2025</t>
  </si>
  <si>
    <t>BU6209154</t>
  </si>
  <si>
    <t>ROUSE CALEB</t>
  </si>
  <si>
    <t>BU6209177</t>
  </si>
  <si>
    <t>SLOTT COLLETTA</t>
  </si>
  <si>
    <t>BU4216513</t>
  </si>
  <si>
    <t>GEIBEL JOEL</t>
  </si>
  <si>
    <t>FEPL 1</t>
  </si>
  <si>
    <t>07/12/2023</t>
  </si>
  <si>
    <t>12/12/2025</t>
  </si>
  <si>
    <t>BU6217774</t>
  </si>
  <si>
    <t>BUSBY CONSTANCE</t>
  </si>
  <si>
    <t>12/13/2025</t>
  </si>
  <si>
    <t>0899216</t>
  </si>
  <si>
    <t>BU5350886</t>
  </si>
  <si>
    <t>DATTOLI STEPHANIE</t>
  </si>
  <si>
    <t>06/09/2025</t>
  </si>
  <si>
    <t>INNOVATIVE FINANCIAL PARTNERS LLC</t>
  </si>
  <si>
    <t>BU5172750</t>
  </si>
  <si>
    <t>CARROLL SUSAN</t>
  </si>
  <si>
    <t>03/11/2025</t>
  </si>
  <si>
    <t>12/11/2025</t>
  </si>
  <si>
    <t>0505582</t>
  </si>
  <si>
    <t>BU5007765</t>
  </si>
  <si>
    <t>GIBBONS JUSTIN</t>
  </si>
  <si>
    <t>CO</t>
  </si>
  <si>
    <t>12/10/2024</t>
  </si>
  <si>
    <t>BU5007793</t>
  </si>
  <si>
    <t>BOFFERDING MIRANDA</t>
  </si>
  <si>
    <t>0613147</t>
  </si>
  <si>
    <t>BU5219524</t>
  </si>
  <si>
    <t>COVACIU LAVINIA</t>
  </si>
  <si>
    <t>15GPT1</t>
  </si>
  <si>
    <t>0814837</t>
  </si>
  <si>
    <t>BU4377381</t>
  </si>
  <si>
    <t>ARRICH DONNA</t>
  </si>
  <si>
    <t>11/05/2023</t>
  </si>
  <si>
    <t>BU4377430</t>
  </si>
  <si>
    <t>ARRICH MICHAEL</t>
  </si>
  <si>
    <t>0816910</t>
  </si>
  <si>
    <t>BU4988414</t>
  </si>
  <si>
    <t>QUIGG PAMELA</t>
  </si>
  <si>
    <t>0819525</t>
  </si>
  <si>
    <t>BU4990567</t>
  </si>
  <si>
    <t>MIJAILOVIC VERONA</t>
  </si>
  <si>
    <t>0891882</t>
  </si>
  <si>
    <t>BU5169468</t>
  </si>
  <si>
    <t>GONZALEZ ANGEL</t>
  </si>
  <si>
    <t>03/10/2025</t>
  </si>
  <si>
    <t>BU5169532</t>
  </si>
  <si>
    <t>GONZALEZ LORENA</t>
  </si>
  <si>
    <t>0892054</t>
  </si>
  <si>
    <t>BU5028450</t>
  </si>
  <si>
    <t>KONG DEBRA</t>
  </si>
  <si>
    <t>01/05/2025</t>
  </si>
  <si>
    <t>BU5146814</t>
  </si>
  <si>
    <t>SUFFERN SUZANNE</t>
  </si>
  <si>
    <t>BU4975536</t>
  </si>
  <si>
    <t>MAGANA ANGELINA</t>
  </si>
  <si>
    <t>12/05/2024</t>
  </si>
  <si>
    <t>BU4998090</t>
  </si>
  <si>
    <t>STEEGE LUCIUS</t>
  </si>
  <si>
    <t>12/07/2024</t>
  </si>
  <si>
    <t>BU5039629</t>
  </si>
  <si>
    <t>NEW JAMIE</t>
  </si>
  <si>
    <t>01/07/2025</t>
  </si>
  <si>
    <t>BU5053838</t>
  </si>
  <si>
    <t>LASCELLES JEREMIAH</t>
  </si>
  <si>
    <t>02/05/2025</t>
  </si>
  <si>
    <t>BU5054688</t>
  </si>
  <si>
    <t>MUELLER JEREMY</t>
  </si>
  <si>
    <t>02/09/2025</t>
  </si>
  <si>
    <t>BU5072017</t>
  </si>
  <si>
    <t>FOSTER MARVIN</t>
  </si>
  <si>
    <t>BU5107219</t>
  </si>
  <si>
    <t>NOVICK ROBERT</t>
  </si>
  <si>
    <t>02/11/2025</t>
  </si>
  <si>
    <t>BU5168075</t>
  </si>
  <si>
    <t>HARTRY NATHAN</t>
  </si>
  <si>
    <t>04/10/2025</t>
  </si>
  <si>
    <t>1075176</t>
  </si>
  <si>
    <t>BU5150893</t>
  </si>
  <si>
    <t>ZANA MERGEN</t>
  </si>
  <si>
    <t>JVWL 1</t>
  </si>
  <si>
    <t>BU4947002</t>
  </si>
  <si>
    <t>KEMP SHELLY</t>
  </si>
  <si>
    <t>AR</t>
  </si>
  <si>
    <t>BU4947003</t>
  </si>
  <si>
    <t>KEMP JOSEPH</t>
  </si>
  <si>
    <t>BU4950526</t>
  </si>
  <si>
    <t>HINOJOSA NATHAN</t>
  </si>
  <si>
    <t>12/08/2024</t>
  </si>
  <si>
    <t>12/08/2025</t>
  </si>
  <si>
    <t>BU4952602</t>
  </si>
  <si>
    <t>STUTTS ASHLEY</t>
  </si>
  <si>
    <t>12/09/2024</t>
  </si>
  <si>
    <t>BU5061204</t>
  </si>
  <si>
    <t>GRAVES WHITNEY</t>
  </si>
  <si>
    <t>02/10/2025</t>
  </si>
  <si>
    <t>BU5284060</t>
  </si>
  <si>
    <t>DAVIS HEATHER</t>
  </si>
  <si>
    <t>06/06/2025</t>
  </si>
  <si>
    <t>12/06/2025</t>
  </si>
  <si>
    <t>1149088</t>
  </si>
  <si>
    <t>BU5028859</t>
  </si>
  <si>
    <t>STEWART PAULINE</t>
  </si>
  <si>
    <t>BU4981931</t>
  </si>
  <si>
    <t>HUFF CHERYL</t>
  </si>
  <si>
    <t>07/01/2025</t>
  </si>
  <si>
    <t>RECPT ADV CO</t>
  </si>
  <si>
    <t>MUTUAL</t>
  </si>
  <si>
    <t>353822-41</t>
  </si>
  <si>
    <t>KOSIAK CARRIE</t>
  </si>
  <si>
    <t>DNT5IL</t>
  </si>
  <si>
    <t>01/05/2026</t>
  </si>
  <si>
    <t>Q</t>
  </si>
  <si>
    <t>REG</t>
  </si>
  <si>
    <t>437672-96</t>
  </si>
  <si>
    <t>WITT MICAHEL</t>
  </si>
  <si>
    <t>MM25HL</t>
  </si>
  <si>
    <t>01/01/2023</t>
  </si>
  <si>
    <t>809235-97</t>
  </si>
  <si>
    <t>OHANIAN KEVORK</t>
  </si>
  <si>
    <t>DNT2EL</t>
  </si>
  <si>
    <t>08/04/2025</t>
  </si>
  <si>
    <t>860205-97</t>
  </si>
  <si>
    <t>BOGDANOFF DANNA</t>
  </si>
  <si>
    <t>10/01/2025</t>
  </si>
  <si>
    <t>CANC EFF ISS</t>
  </si>
  <si>
    <t>757536-97</t>
  </si>
  <si>
    <t>D ACHINO ELAINE</t>
  </si>
  <si>
    <t>MM20HL</t>
  </si>
  <si>
    <t>359165-41</t>
  </si>
  <si>
    <t>HARRIS MARK</t>
  </si>
  <si>
    <t>01/01/2026</t>
  </si>
  <si>
    <t>02/01/2026</t>
  </si>
  <si>
    <t>365700-41</t>
  </si>
  <si>
    <t>STILLWELL SUSAN</t>
  </si>
  <si>
    <t>IN</t>
  </si>
  <si>
    <t>0894080</t>
  </si>
  <si>
    <t>359735-41</t>
  </si>
  <si>
    <t>CALLERO CATHERINE</t>
  </si>
  <si>
    <t>GA</t>
  </si>
  <si>
    <t>DNT2BL</t>
  </si>
  <si>
    <t>515267-97</t>
  </si>
  <si>
    <t>LINK JEANNE</t>
  </si>
  <si>
    <t>MM36L</t>
  </si>
  <si>
    <t>523947-97</t>
  </si>
  <si>
    <t>HENDERSON JOHN</t>
  </si>
  <si>
    <t>710987-97</t>
  </si>
  <si>
    <t>WULFF PRENTICE</t>
  </si>
  <si>
    <t>367215-97</t>
  </si>
  <si>
    <t>BRADLEY MARTHA</t>
  </si>
  <si>
    <t>MM35HL</t>
  </si>
  <si>
    <t>367876-97</t>
  </si>
  <si>
    <t>ATTRIDGE JOAN</t>
  </si>
  <si>
    <t>373674-97</t>
  </si>
  <si>
    <t>SPOKUS FRANCIS</t>
  </si>
  <si>
    <t>09/01/2024</t>
  </si>
  <si>
    <t>422587-97</t>
  </si>
  <si>
    <t>ST VIL WILLAIR</t>
  </si>
  <si>
    <t>10/01/2024</t>
  </si>
  <si>
    <t>422614-97</t>
  </si>
  <si>
    <t>DAVIS ST VIL CAPRI</t>
  </si>
  <si>
    <t>433969-97</t>
  </si>
  <si>
    <t>HULL SUSAN</t>
  </si>
  <si>
    <t>433978-97</t>
  </si>
  <si>
    <t>SAMMONS PATRICE</t>
  </si>
  <si>
    <t>588575-96</t>
  </si>
  <si>
    <t>DOERING MELISSA</t>
  </si>
  <si>
    <t>06/01/2023</t>
  </si>
  <si>
    <t>588926-96</t>
  </si>
  <si>
    <t>MARSH PATRICK</t>
  </si>
  <si>
    <t>635937-96</t>
  </si>
  <si>
    <t>HARDESTER FRANK</t>
  </si>
  <si>
    <t>637121-96</t>
  </si>
  <si>
    <t>IQBAL HILDA</t>
  </si>
  <si>
    <t>660631-96</t>
  </si>
  <si>
    <t>WILKERSON DONALD</t>
  </si>
  <si>
    <t>10/01/2023</t>
  </si>
  <si>
    <t>667938-96</t>
  </si>
  <si>
    <t>RICE KEITH</t>
  </si>
  <si>
    <t>09/01/2023</t>
  </si>
  <si>
    <t>685497-96</t>
  </si>
  <si>
    <t>HADSELL NORMAN</t>
  </si>
  <si>
    <t>780733-96</t>
  </si>
  <si>
    <t>ELSOM BRYAN</t>
  </si>
  <si>
    <t>12/01/2023</t>
  </si>
  <si>
    <t>780745-96</t>
  </si>
  <si>
    <t>CARBONETTI ANGELA</t>
  </si>
  <si>
    <t>800385-96</t>
  </si>
  <si>
    <t>DONALDSON CHARLES</t>
  </si>
  <si>
    <t>805076-96</t>
  </si>
  <si>
    <t>WULFF ERIK</t>
  </si>
  <si>
    <t>809971-96</t>
  </si>
  <si>
    <t>MARGOLIS GARY</t>
  </si>
  <si>
    <t>815334-96</t>
  </si>
  <si>
    <t>SCHILLING WENDY</t>
  </si>
  <si>
    <t>03/01/2024</t>
  </si>
  <si>
    <t>870697-96</t>
  </si>
  <si>
    <t>KAEHLER BEVERLY</t>
  </si>
  <si>
    <t>MM25HTL</t>
  </si>
  <si>
    <t>870699-96</t>
  </si>
  <si>
    <t>KAEHLER JAMES</t>
  </si>
  <si>
    <t>871900-96</t>
  </si>
  <si>
    <t>BIEBERICH DAVID</t>
  </si>
  <si>
    <t>941740-96</t>
  </si>
  <si>
    <t>HEBRON ALLEN</t>
  </si>
  <si>
    <t>05/01/2024</t>
  </si>
  <si>
    <t>941769-96</t>
  </si>
  <si>
    <t>HEBRON DIANA</t>
  </si>
  <si>
    <t>952374-96</t>
  </si>
  <si>
    <t>NORRIS GEOFFREY</t>
  </si>
  <si>
    <t>961571-96</t>
  </si>
  <si>
    <t>BIEBERICH JANE</t>
  </si>
  <si>
    <t>980713-96</t>
  </si>
  <si>
    <t>AMARAL CRAIG</t>
  </si>
  <si>
    <t>07/01/2024</t>
  </si>
  <si>
    <t>986494-96</t>
  </si>
  <si>
    <t>SENSENEY JEANETTE</t>
  </si>
  <si>
    <t>986500-96</t>
  </si>
  <si>
    <t>SENSENEY EUGENE</t>
  </si>
  <si>
    <t>992897-96</t>
  </si>
  <si>
    <t>HENDERSON DIANNE</t>
  </si>
  <si>
    <t>0892048</t>
  </si>
  <si>
    <t>510182-97</t>
  </si>
  <si>
    <t>GRUBER MARY</t>
  </si>
  <si>
    <t>522991-97</t>
  </si>
  <si>
    <t>SUMMERS KRISTINA</t>
  </si>
  <si>
    <t>WI</t>
  </si>
  <si>
    <t>522993-97</t>
  </si>
  <si>
    <t>SUMMERS JOHN</t>
  </si>
  <si>
    <t>527324-97</t>
  </si>
  <si>
    <t>SUAREZ ARMANDO</t>
  </si>
  <si>
    <t>DNT2IL</t>
  </si>
  <si>
    <t>546146-97</t>
  </si>
  <si>
    <t>SKAGGS JEANNE</t>
  </si>
  <si>
    <t>552478-97</t>
  </si>
  <si>
    <t>YOUNG SCOTT</t>
  </si>
  <si>
    <t>563880-97</t>
  </si>
  <si>
    <t>KNEPPER AMY</t>
  </si>
  <si>
    <t>595201-97</t>
  </si>
  <si>
    <t>ROSENBERG LAURA</t>
  </si>
  <si>
    <t>01/28/2025</t>
  </si>
  <si>
    <t>12/28/2025</t>
  </si>
  <si>
    <t>404090-97</t>
  </si>
  <si>
    <t>MCNEELEY KENNETH</t>
  </si>
  <si>
    <t>09/25/2024</t>
  </si>
  <si>
    <t>12/25/2025</t>
  </si>
  <si>
    <t>404091-97</t>
  </si>
  <si>
    <t>MCNEELEY TRACY</t>
  </si>
  <si>
    <t>412716-97</t>
  </si>
  <si>
    <t>VAN RENS STACEY</t>
  </si>
  <si>
    <t>494514-97</t>
  </si>
  <si>
    <t>JACKSON MILDRED</t>
  </si>
  <si>
    <t>11/13/2024</t>
  </si>
  <si>
    <t>498363-97</t>
  </si>
  <si>
    <t>JACKSON DEREK</t>
  </si>
  <si>
    <t>11/14/2024</t>
  </si>
  <si>
    <t>12/14/2025</t>
  </si>
  <si>
    <t>498386-97</t>
  </si>
  <si>
    <t>JACKSON BRITTNEY</t>
  </si>
  <si>
    <t>544227-97</t>
  </si>
  <si>
    <t>MERCER MELISSA</t>
  </si>
  <si>
    <t>651670-97</t>
  </si>
  <si>
    <t>CHIN LAI PAMELA</t>
  </si>
  <si>
    <t>684329-96</t>
  </si>
  <si>
    <t>GASNER DARLENE</t>
  </si>
  <si>
    <t>WY</t>
  </si>
  <si>
    <t>900385-96</t>
  </si>
  <si>
    <t>BURTON PATRICIA</t>
  </si>
  <si>
    <t>03/07/2024</t>
  </si>
  <si>
    <t>545270-97</t>
  </si>
  <si>
    <t>VAN DORN DIANE</t>
  </si>
  <si>
    <t>0806149</t>
  </si>
  <si>
    <t>693332-97</t>
  </si>
  <si>
    <t>LYON AUDREY</t>
  </si>
  <si>
    <t>570778-97</t>
  </si>
  <si>
    <t>KOZAN KRISTIAN</t>
  </si>
  <si>
    <t>01/04/2025</t>
  </si>
  <si>
    <t>623629-97</t>
  </si>
  <si>
    <t>BRINKMEIER JEAN</t>
  </si>
  <si>
    <t>DNT5EL</t>
  </si>
  <si>
    <t>623640-97</t>
  </si>
  <si>
    <t>BRINKMEIER GREGORY</t>
  </si>
  <si>
    <t>673405-97</t>
  </si>
  <si>
    <t>ALBRECHT DANA</t>
  </si>
  <si>
    <t>485725-97</t>
  </si>
  <si>
    <t>CLOW THERESA</t>
  </si>
  <si>
    <t>11/07/2024</t>
  </si>
  <si>
    <t>mlb premium</t>
  </si>
  <si>
    <t>mlb comm</t>
  </si>
  <si>
    <t>Gregory Teipel</t>
  </si>
  <si>
    <t>Michael Dunavant</t>
  </si>
  <si>
    <t>Dale Walenga</t>
  </si>
  <si>
    <t>Jason Hoffmann</t>
  </si>
  <si>
    <t>Anne Marie Kozacheck</t>
  </si>
  <si>
    <t>Murray Sterner</t>
  </si>
  <si>
    <t>Carol Foley</t>
  </si>
  <si>
    <t>Matthew Daugherty</t>
  </si>
  <si>
    <t>Victor Fuentes</t>
  </si>
  <si>
    <t>Taliah Ferguson</t>
  </si>
  <si>
    <t>Thomas Pardue</t>
  </si>
  <si>
    <t>Jason Roller</t>
  </si>
  <si>
    <t>Ryan Caltagirone</t>
  </si>
  <si>
    <t>Ronald Max</t>
  </si>
  <si>
    <t>Joel Lee</t>
  </si>
  <si>
    <t>Andrea Petrungaro</t>
  </si>
  <si>
    <t>Thomas Kucan</t>
  </si>
  <si>
    <t>Adam Richter</t>
  </si>
  <si>
    <t>Gary Portugal</t>
  </si>
  <si>
    <t>Andrew Choi</t>
  </si>
  <si>
    <t>Frank Liskovec</t>
  </si>
  <si>
    <t>Nasandelger Zana</t>
  </si>
  <si>
    <t>Richard Yale</t>
  </si>
  <si>
    <t>Jacob Yale</t>
  </si>
  <si>
    <t>Chad Bender</t>
  </si>
  <si>
    <t>agent name</t>
  </si>
  <si>
    <t>Colleen Finnigan</t>
  </si>
  <si>
    <t>product</t>
  </si>
  <si>
    <t>Term Life Express 10 15 20 30</t>
  </si>
  <si>
    <t>Iul Express</t>
  </si>
  <si>
    <t>Medicare Supplement Plan G</t>
  </si>
  <si>
    <t xml:space="preserve">Preferred Plan (a) Dnt2b                </t>
  </si>
  <si>
    <t xml:space="preserve">Living Promise - Level  Benefit         </t>
  </si>
  <si>
    <t>Medicare Supplement Plan A</t>
  </si>
  <si>
    <t xml:space="preserve">Protection  Plan (c) Dnt5i              </t>
  </si>
  <si>
    <t xml:space="preserve">Preferred Plan (a) Dnt2i                </t>
  </si>
  <si>
    <t xml:space="preserve">Children S - Whole Life                 </t>
  </si>
  <si>
    <t>Medicare Supplement Plan N</t>
  </si>
  <si>
    <t xml:space="preserve">Preferred Plan (a) Dnt2e                </t>
  </si>
  <si>
    <t xml:space="preserve">Living Promise-graded                   </t>
  </si>
  <si>
    <t xml:space="preserve">Protection  Plan (c) Dnt5e              </t>
  </si>
  <si>
    <t>Medicare Supplement Plan F</t>
  </si>
  <si>
    <t>Term Life Answer 10 15 20 30</t>
  </si>
  <si>
    <t>Medicare Supplement Plan G High Deductible</t>
  </si>
  <si>
    <t>mlb product</t>
  </si>
  <si>
    <t>National Dental</t>
  </si>
  <si>
    <t>Term Life Express</t>
  </si>
  <si>
    <t>Universal Life</t>
  </si>
  <si>
    <t>IUL express</t>
  </si>
  <si>
    <t>2024 Term Life Express: IXEXP1 Term Life Conversion to IUL in years 6+ of term issue date</t>
  </si>
  <si>
    <t>Living Promise Graded</t>
  </si>
  <si>
    <t>MI 65-69 Association New Business, Internal and External Replacements</t>
  </si>
  <si>
    <t>MD Plan A NB, Internal &amp; External Replace (Open Enrollment, Underwritten) Ages 65-80</t>
  </si>
  <si>
    <t>Med Supp MD/NJ/TN/VA/WY Ages 65-83</t>
  </si>
  <si>
    <t>Mutual of Omaha OVR</t>
  </si>
  <si>
    <t>Term Life Answers 15 Year Term</t>
  </si>
  <si>
    <t>Children S - Whole Life</t>
  </si>
  <si>
    <t>FEX Level Ages 45-80</t>
  </si>
  <si>
    <t>Medicare Supp- PA Plans High Deductible F,G,&amp;N 65+</t>
  </si>
  <si>
    <t>MD HD F,G,N</t>
  </si>
  <si>
    <t>IUL</t>
  </si>
  <si>
    <t>Medicare Supp- PA All Plans</t>
  </si>
  <si>
    <t>OH All Plans Except F, G, and N NB, Internal &amp; External Replacements. Renewal</t>
  </si>
  <si>
    <t>2024 Final Expense: Level Product Commission Ages 45-80</t>
  </si>
  <si>
    <t>Med Supp IL/DE/TX/IN Ages 65-83</t>
  </si>
  <si>
    <t>Med Supp MD/NJ/TN/VA/WY Ages 65-83 2025</t>
  </si>
  <si>
    <t>Med Supp OR Plans H.D F, H.D G, and N All Ages NB, Internal &amp; External Replacements</t>
  </si>
  <si>
    <t>paycode</t>
  </si>
  <si>
    <t>AE</t>
  </si>
  <si>
    <t>AV1</t>
  </si>
  <si>
    <t>AV</t>
  </si>
  <si>
    <t>8325282AV9</t>
  </si>
  <si>
    <t>21561165AV9</t>
  </si>
  <si>
    <t>371819AV9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</si>
</sst>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4" borderId="0" xfId="0" applyFont="1" applyFill="1" applyAlignment="1">
      <alignment horizontal="left"/>
    </xf>
    <xf numFmtId="4" fontId="1" fillId="4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/>
    </xf>
    <xf numFmtId="4" fontId="1" fillId="3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>
            <v>18406006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 t="str">
            <v>17528908N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Portugal</v>
          </cell>
          <cell r="B52">
            <v>9213293</v>
          </cell>
        </row>
        <row r="53">
          <cell r="A53" t="str">
            <v>gregory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>
            <v>20405298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Margaret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>
            <v>18710070</v>
          </cell>
        </row>
        <row r="122">
          <cell r="A122" t="str">
            <v>Murray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Max</v>
          </cell>
          <cell r="B151">
            <v>5442438</v>
          </cell>
        </row>
        <row r="152">
          <cell r="A152" t="str">
            <v>ryan caltagirone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>
            <v>8971826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thomas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  <row r="180">
          <cell r="A180" t="str">
            <v>William Schaeffer</v>
          </cell>
          <cell r="B180">
            <v>18010408</v>
          </cell>
        </row>
        <row r="181">
          <cell r="A181" t="str">
            <v>William  Geske</v>
          </cell>
          <cell r="B181">
            <v>21313588</v>
          </cell>
        </row>
        <row r="182">
          <cell r="A182" t="str">
            <v>Zameer  Kotadia</v>
          </cell>
          <cell r="B182">
            <v>21101146</v>
          </cell>
        </row>
        <row r="183">
          <cell r="A183" t="str">
            <v>Zulfunar Yavuzkan-Rasin</v>
          </cell>
          <cell r="B183">
            <v>8692488</v>
          </cell>
        </row>
        <row r="184">
          <cell r="A184" t="str">
            <v>Bryan Krobath</v>
          </cell>
          <cell r="B184">
            <v>17429706</v>
          </cell>
        </row>
        <row r="185">
          <cell r="A185" t="str">
            <v>Main line benefits</v>
          </cell>
          <cell r="B185">
            <v>20411454</v>
          </cell>
        </row>
        <row r="186">
          <cell r="A186" t="str">
            <v>Jennifer Mixell-Hoffman</v>
          </cell>
          <cell r="B186">
            <v>4567262</v>
          </cell>
        </row>
        <row r="187">
          <cell r="A187" t="str">
            <v>Jane Zec</v>
          </cell>
          <cell r="B187">
            <v>1487750</v>
          </cell>
        </row>
        <row r="188">
          <cell r="A188" t="str">
            <v>Antennian DeCarlo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787921-97</v>
          </cell>
          <cell r="B1">
            <v>0.23</v>
          </cell>
        </row>
        <row r="2">
          <cell r="A2" t="str">
            <v>758948-97</v>
          </cell>
          <cell r="B2">
            <v>0.31</v>
          </cell>
        </row>
        <row r="3">
          <cell r="A3" t="str">
            <v>492291-97</v>
          </cell>
          <cell r="B3">
            <v>0.23</v>
          </cell>
        </row>
        <row r="4">
          <cell r="A4" t="str">
            <v>500156-97</v>
          </cell>
          <cell r="B4">
            <v>0.23</v>
          </cell>
        </row>
        <row r="5">
          <cell r="A5" t="str">
            <v>500219-97</v>
          </cell>
          <cell r="B5">
            <v>0.23</v>
          </cell>
        </row>
        <row r="6">
          <cell r="A6" t="str">
            <v>511676-97</v>
          </cell>
          <cell r="B6">
            <v>0.23</v>
          </cell>
        </row>
        <row r="7">
          <cell r="A7" t="str">
            <v>647995-97</v>
          </cell>
          <cell r="B7">
            <v>0.23</v>
          </cell>
        </row>
        <row r="8">
          <cell r="A8" t="str">
            <v>650070-97</v>
          </cell>
          <cell r="B8">
            <v>0.23</v>
          </cell>
        </row>
        <row r="9">
          <cell r="A9" t="str">
            <v>601712-97</v>
          </cell>
          <cell r="B9">
            <v>0.23</v>
          </cell>
        </row>
        <row r="10">
          <cell r="A10" t="str">
            <v>752514-97</v>
          </cell>
          <cell r="B10">
            <v>0.23</v>
          </cell>
        </row>
        <row r="11">
          <cell r="A11" t="str">
            <v>934966-96</v>
          </cell>
          <cell r="B11">
            <v>0.23</v>
          </cell>
        </row>
        <row r="12">
          <cell r="A12" t="str">
            <v>491264-97</v>
          </cell>
          <cell r="B12">
            <v>0.23</v>
          </cell>
        </row>
        <row r="13">
          <cell r="A13" t="str">
            <v>459062-97</v>
          </cell>
          <cell r="B13">
            <v>0.23</v>
          </cell>
        </row>
        <row r="14">
          <cell r="A14" t="str">
            <v>546425-97</v>
          </cell>
          <cell r="B14">
            <v>0.23</v>
          </cell>
        </row>
        <row r="15">
          <cell r="A15" t="str">
            <v>620585-96</v>
          </cell>
          <cell r="B15">
            <v>0.215</v>
          </cell>
        </row>
        <row r="16">
          <cell r="A16" t="str">
            <v>821308-96</v>
          </cell>
          <cell r="B16">
            <v>0.215</v>
          </cell>
        </row>
        <row r="17">
          <cell r="A17" t="str">
            <v>610516-97</v>
          </cell>
          <cell r="B17">
            <v>0.255</v>
          </cell>
        </row>
        <row r="18">
          <cell r="A18" t="str">
            <v>821212-96</v>
          </cell>
          <cell r="B18">
            <v>0.215</v>
          </cell>
        </row>
        <row r="19">
          <cell r="A19" t="str">
            <v>599869-97</v>
          </cell>
          <cell r="B19">
            <v>0.27</v>
          </cell>
        </row>
        <row r="20">
          <cell r="A20" t="str">
            <v>372782-97</v>
          </cell>
          <cell r="B20">
            <v>0.23</v>
          </cell>
        </row>
        <row r="21">
          <cell r="A21" t="str">
            <v>868160-96</v>
          </cell>
          <cell r="B21">
            <v>2.5000000000000001E-2</v>
          </cell>
        </row>
        <row r="22">
          <cell r="A22" t="str">
            <v>458537-97</v>
          </cell>
          <cell r="B22">
            <v>0.23</v>
          </cell>
        </row>
        <row r="23">
          <cell r="A23" t="str">
            <v>723099-96</v>
          </cell>
          <cell r="B23">
            <v>0.215</v>
          </cell>
        </row>
        <row r="24">
          <cell r="A24" t="str">
            <v>BU5525738</v>
          </cell>
          <cell r="B24">
            <v>1.5</v>
          </cell>
        </row>
        <row r="25">
          <cell r="A25" t="str">
            <v>BU5642719</v>
          </cell>
          <cell r="B25">
            <v>1.5</v>
          </cell>
        </row>
        <row r="26">
          <cell r="A26" t="str">
            <v>BU6151841</v>
          </cell>
          <cell r="B26">
            <v>1.5</v>
          </cell>
        </row>
        <row r="27">
          <cell r="A27" t="str">
            <v>BU6198782</v>
          </cell>
          <cell r="B27">
            <v>1.5</v>
          </cell>
        </row>
        <row r="28">
          <cell r="A28" t="str">
            <v>BU6198788</v>
          </cell>
          <cell r="B28">
            <v>1.5</v>
          </cell>
        </row>
        <row r="29">
          <cell r="A29" t="str">
            <v>BU6200535</v>
          </cell>
          <cell r="B29">
            <v>1.5</v>
          </cell>
        </row>
        <row r="30">
          <cell r="A30" t="str">
            <v>BU6203254</v>
          </cell>
          <cell r="B30">
            <v>1.5</v>
          </cell>
        </row>
        <row r="31">
          <cell r="A31" t="str">
            <v>BU6212512</v>
          </cell>
          <cell r="B31">
            <v>1.5</v>
          </cell>
        </row>
        <row r="32">
          <cell r="A32" t="str">
            <v>BU5502285</v>
          </cell>
          <cell r="B32">
            <v>1.5</v>
          </cell>
        </row>
        <row r="33">
          <cell r="A33" t="str">
            <v>BU5650906</v>
          </cell>
          <cell r="B33">
            <v>1.35</v>
          </cell>
        </row>
        <row r="34">
          <cell r="A34" t="str">
            <v>BU6182379</v>
          </cell>
          <cell r="B34">
            <v>1.35</v>
          </cell>
        </row>
        <row r="35">
          <cell r="A35" t="str">
            <v>BU6195162</v>
          </cell>
          <cell r="B35">
            <v>1.35</v>
          </cell>
        </row>
        <row r="36">
          <cell r="A36" t="str">
            <v>BU5501966</v>
          </cell>
          <cell r="B36">
            <v>1.35</v>
          </cell>
        </row>
        <row r="37">
          <cell r="A37" t="str">
            <v>BU6204845</v>
          </cell>
          <cell r="B37">
            <v>1.5</v>
          </cell>
        </row>
        <row r="38">
          <cell r="A38" t="str">
            <v>BU6209158</v>
          </cell>
          <cell r="B38">
            <v>0.67500000000000004</v>
          </cell>
        </row>
        <row r="39">
          <cell r="A39" t="str">
            <v>BU6213731</v>
          </cell>
          <cell r="B39">
            <v>0.67500000000000004</v>
          </cell>
        </row>
        <row r="40">
          <cell r="A40" t="str">
            <v>BU6213732</v>
          </cell>
          <cell r="B40">
            <v>0.67500000000000004</v>
          </cell>
        </row>
        <row r="41">
          <cell r="A41" t="str">
            <v>BU5323945</v>
          </cell>
          <cell r="B41">
            <v>0.67500000000000004</v>
          </cell>
        </row>
        <row r="42">
          <cell r="A42" t="str">
            <v>BU5518399</v>
          </cell>
          <cell r="B42">
            <v>0.875</v>
          </cell>
        </row>
        <row r="43">
          <cell r="A43" t="str">
            <v>BU5521068</v>
          </cell>
          <cell r="B43">
            <v>0.67500000000000004</v>
          </cell>
        </row>
        <row r="44">
          <cell r="A44" t="str">
            <v>BU5539063</v>
          </cell>
          <cell r="B44">
            <v>1.5</v>
          </cell>
        </row>
        <row r="45">
          <cell r="A45" t="str">
            <v>BU5592069</v>
          </cell>
          <cell r="B45">
            <v>1.5</v>
          </cell>
        </row>
        <row r="46">
          <cell r="A46" t="str">
            <v>BU5657901</v>
          </cell>
          <cell r="B46">
            <v>0.67500000000000004</v>
          </cell>
        </row>
        <row r="47">
          <cell r="A47" t="str">
            <v>BU5657901</v>
          </cell>
          <cell r="B47">
            <v>0.67500000000000004</v>
          </cell>
        </row>
        <row r="48">
          <cell r="A48" t="str">
            <v>BU6169909</v>
          </cell>
          <cell r="B48">
            <v>0.67500000000000004</v>
          </cell>
        </row>
        <row r="49">
          <cell r="A49" t="str">
            <v>BU5345138</v>
          </cell>
          <cell r="B49">
            <v>0.67500000000000004</v>
          </cell>
        </row>
        <row r="50">
          <cell r="A50" t="str">
            <v>BU6209153</v>
          </cell>
          <cell r="B50">
            <v>0.67500000000000004</v>
          </cell>
        </row>
        <row r="51">
          <cell r="A51" t="str">
            <v>BU6209154</v>
          </cell>
          <cell r="B51">
            <v>0.67500000000000004</v>
          </cell>
        </row>
        <row r="52">
          <cell r="A52" t="str">
            <v>BU6209177</v>
          </cell>
          <cell r="B52">
            <v>0.67500000000000004</v>
          </cell>
        </row>
        <row r="53">
          <cell r="A53" t="str">
            <v>BU4216513</v>
          </cell>
          <cell r="B53">
            <v>7.0000000000000007E-2</v>
          </cell>
        </row>
        <row r="54">
          <cell r="A54" t="str">
            <v>BU6217774</v>
          </cell>
          <cell r="B54">
            <v>0.67500000000000004</v>
          </cell>
        </row>
        <row r="55">
          <cell r="A55" t="str">
            <v>BU5350886</v>
          </cell>
          <cell r="B55">
            <v>1.5</v>
          </cell>
        </row>
        <row r="56">
          <cell r="A56" t="str">
            <v>BU5172750</v>
          </cell>
          <cell r="B56">
            <v>1.5</v>
          </cell>
        </row>
        <row r="57">
          <cell r="A57" t="str">
            <v>BU5007765</v>
          </cell>
          <cell r="B57">
            <v>1.5</v>
          </cell>
        </row>
        <row r="58">
          <cell r="A58" t="str">
            <v>BU5007793</v>
          </cell>
          <cell r="B58">
            <v>1.5</v>
          </cell>
        </row>
        <row r="59">
          <cell r="A59" t="str">
            <v>BU5219524</v>
          </cell>
          <cell r="B59">
            <v>1.1399999999999999</v>
          </cell>
        </row>
        <row r="60">
          <cell r="A60" t="str">
            <v>BU4377381</v>
          </cell>
          <cell r="B60">
            <v>7.0000000000000007E-2</v>
          </cell>
        </row>
        <row r="61">
          <cell r="A61" t="str">
            <v>BU4377430</v>
          </cell>
          <cell r="B61">
            <v>7.0000000000000007E-2</v>
          </cell>
        </row>
        <row r="62">
          <cell r="A62" t="str">
            <v>BU4988414</v>
          </cell>
          <cell r="B62">
            <v>1.5</v>
          </cell>
        </row>
        <row r="63">
          <cell r="A63" t="str">
            <v>BU4990567</v>
          </cell>
          <cell r="B63">
            <v>1.35</v>
          </cell>
        </row>
        <row r="64">
          <cell r="A64" t="str">
            <v>BU5169468</v>
          </cell>
          <cell r="B64">
            <v>1.5</v>
          </cell>
        </row>
        <row r="65">
          <cell r="A65" t="str">
            <v>BU5169532</v>
          </cell>
          <cell r="B65">
            <v>1.5</v>
          </cell>
        </row>
        <row r="66">
          <cell r="A66" t="str">
            <v>BU5028450</v>
          </cell>
          <cell r="B66">
            <v>1.35</v>
          </cell>
        </row>
        <row r="67">
          <cell r="A67" t="str">
            <v>BU5146814</v>
          </cell>
          <cell r="B67">
            <v>1.35</v>
          </cell>
        </row>
        <row r="68">
          <cell r="A68" t="str">
            <v>BU4975536</v>
          </cell>
          <cell r="B68">
            <v>1.35</v>
          </cell>
        </row>
        <row r="69">
          <cell r="A69" t="str">
            <v>BU4998090</v>
          </cell>
          <cell r="B69">
            <v>1.5</v>
          </cell>
        </row>
        <row r="70">
          <cell r="A70" t="str">
            <v>BU5039629</v>
          </cell>
          <cell r="B70">
            <v>1.5</v>
          </cell>
        </row>
        <row r="71">
          <cell r="A71" t="str">
            <v>BU5053838</v>
          </cell>
          <cell r="B71">
            <v>1.5</v>
          </cell>
        </row>
        <row r="72">
          <cell r="A72" t="str">
            <v>BU5054688</v>
          </cell>
          <cell r="B72">
            <v>1.5</v>
          </cell>
        </row>
        <row r="73">
          <cell r="A73" t="str">
            <v>BU5072017</v>
          </cell>
          <cell r="B73">
            <v>1.35</v>
          </cell>
        </row>
        <row r="74">
          <cell r="A74" t="str">
            <v>BU5107219</v>
          </cell>
          <cell r="B74">
            <v>1.5</v>
          </cell>
        </row>
        <row r="75">
          <cell r="A75" t="str">
            <v>BU5168075</v>
          </cell>
          <cell r="B75">
            <v>0.67500000000000004</v>
          </cell>
        </row>
        <row r="76">
          <cell r="A76" t="str">
            <v>BU5150893</v>
          </cell>
          <cell r="B76">
            <v>1.1499999999999999</v>
          </cell>
        </row>
        <row r="77">
          <cell r="A77" t="str">
            <v>BU4947002</v>
          </cell>
          <cell r="B77">
            <v>1.5</v>
          </cell>
        </row>
        <row r="78">
          <cell r="A78" t="str">
            <v>BU4947003</v>
          </cell>
          <cell r="B78">
            <v>1.5</v>
          </cell>
        </row>
        <row r="79">
          <cell r="A79" t="str">
            <v>BU4950526</v>
          </cell>
          <cell r="B79">
            <v>1.5</v>
          </cell>
        </row>
        <row r="80">
          <cell r="A80" t="str">
            <v>BU4952602</v>
          </cell>
          <cell r="B80">
            <v>1.5</v>
          </cell>
        </row>
        <row r="81">
          <cell r="A81" t="str">
            <v>BU5061204</v>
          </cell>
          <cell r="B81">
            <v>1.5</v>
          </cell>
        </row>
        <row r="82">
          <cell r="A82" t="str">
            <v>BU5284060</v>
          </cell>
          <cell r="B82">
            <v>1.5</v>
          </cell>
        </row>
        <row r="83">
          <cell r="A83" t="str">
            <v>BU5028859</v>
          </cell>
          <cell r="B83">
            <v>1.35</v>
          </cell>
        </row>
        <row r="84">
          <cell r="A84" t="str">
            <v>BU4981931</v>
          </cell>
          <cell r="B84">
            <v>0</v>
          </cell>
        </row>
        <row r="85">
          <cell r="A85" t="str">
            <v>353822-41</v>
          </cell>
          <cell r="B85">
            <v>0.52</v>
          </cell>
        </row>
        <row r="86">
          <cell r="A86" t="str">
            <v>437672-96</v>
          </cell>
          <cell r="B86">
            <v>0.23</v>
          </cell>
        </row>
        <row r="87">
          <cell r="A87" t="str">
            <v>809235-97</v>
          </cell>
          <cell r="B87">
            <v>0.52</v>
          </cell>
        </row>
        <row r="88">
          <cell r="A88" t="str">
            <v>860205-97</v>
          </cell>
          <cell r="B88">
            <v>0.52</v>
          </cell>
        </row>
        <row r="89">
          <cell r="A89" t="str">
            <v>757536-97</v>
          </cell>
          <cell r="B89">
            <v>2.5000000000000001E-2</v>
          </cell>
        </row>
        <row r="90">
          <cell r="A90" t="str">
            <v>359165-41</v>
          </cell>
          <cell r="B90">
            <v>0.24</v>
          </cell>
        </row>
        <row r="91">
          <cell r="A91" t="str">
            <v>365700-41</v>
          </cell>
          <cell r="B91">
            <v>0.22500000000000001</v>
          </cell>
        </row>
        <row r="92">
          <cell r="A92" t="str">
            <v>359735-41</v>
          </cell>
          <cell r="B92">
            <v>0.52</v>
          </cell>
        </row>
        <row r="93">
          <cell r="A93" t="str">
            <v>515267-97</v>
          </cell>
          <cell r="B93">
            <v>0.27</v>
          </cell>
        </row>
        <row r="94">
          <cell r="A94" t="str">
            <v>523947-97</v>
          </cell>
          <cell r="B94">
            <v>0.23</v>
          </cell>
        </row>
        <row r="95">
          <cell r="A95" t="str">
            <v>710987-97</v>
          </cell>
          <cell r="B95">
            <v>0.23</v>
          </cell>
        </row>
        <row r="96">
          <cell r="A96" t="str">
            <v>367215-97</v>
          </cell>
          <cell r="B96">
            <v>0.27</v>
          </cell>
        </row>
        <row r="97">
          <cell r="A97" t="str">
            <v>367876-97</v>
          </cell>
          <cell r="B97">
            <v>0.23</v>
          </cell>
        </row>
        <row r="98">
          <cell r="A98" t="str">
            <v>373674-97</v>
          </cell>
          <cell r="B98">
            <v>0.23</v>
          </cell>
        </row>
        <row r="99">
          <cell r="A99" t="str">
            <v>422587-97</v>
          </cell>
          <cell r="B99">
            <v>0.27</v>
          </cell>
        </row>
        <row r="100">
          <cell r="A100" t="str">
            <v>422614-97</v>
          </cell>
          <cell r="B100">
            <v>0.27</v>
          </cell>
        </row>
        <row r="101">
          <cell r="A101" t="str">
            <v>433969-97</v>
          </cell>
          <cell r="B101">
            <v>0.23</v>
          </cell>
        </row>
        <row r="102">
          <cell r="A102" t="str">
            <v>433978-97</v>
          </cell>
          <cell r="B102">
            <v>0.23</v>
          </cell>
        </row>
        <row r="103">
          <cell r="A103" t="str">
            <v>588575-96</v>
          </cell>
          <cell r="B103">
            <v>0.27</v>
          </cell>
        </row>
        <row r="104">
          <cell r="A104" t="str">
            <v>588926-96</v>
          </cell>
          <cell r="B104">
            <v>0.27</v>
          </cell>
        </row>
        <row r="105">
          <cell r="A105" t="str">
            <v>635937-96</v>
          </cell>
          <cell r="B105">
            <v>0.27</v>
          </cell>
        </row>
        <row r="106">
          <cell r="A106" t="str">
            <v>637121-96</v>
          </cell>
          <cell r="B106">
            <v>0.23</v>
          </cell>
        </row>
        <row r="107">
          <cell r="A107" t="str">
            <v>660631-96</v>
          </cell>
          <cell r="B107">
            <v>0.27</v>
          </cell>
        </row>
        <row r="108">
          <cell r="A108" t="str">
            <v>667938-96</v>
          </cell>
          <cell r="B108">
            <v>0.27</v>
          </cell>
        </row>
        <row r="109">
          <cell r="A109" t="str">
            <v>685497-96</v>
          </cell>
          <cell r="B109">
            <v>0.27</v>
          </cell>
        </row>
        <row r="110">
          <cell r="A110" t="str">
            <v>780733-96</v>
          </cell>
          <cell r="B110">
            <v>0.23</v>
          </cell>
        </row>
        <row r="111">
          <cell r="A111" t="str">
            <v>780745-96</v>
          </cell>
          <cell r="B111">
            <v>0.23</v>
          </cell>
        </row>
        <row r="112">
          <cell r="A112" t="str">
            <v>800385-96</v>
          </cell>
          <cell r="B112">
            <v>0.23</v>
          </cell>
        </row>
        <row r="113">
          <cell r="A113" t="str">
            <v>805076-96</v>
          </cell>
          <cell r="B113">
            <v>0.23</v>
          </cell>
        </row>
        <row r="114">
          <cell r="A114" t="str">
            <v>809971-96</v>
          </cell>
          <cell r="B114">
            <v>0.23</v>
          </cell>
        </row>
        <row r="115">
          <cell r="A115" t="str">
            <v>815334-96</v>
          </cell>
          <cell r="B115">
            <v>0.27</v>
          </cell>
        </row>
        <row r="116">
          <cell r="A116" t="str">
            <v>870697-96</v>
          </cell>
          <cell r="B116">
            <v>0.23</v>
          </cell>
        </row>
        <row r="117">
          <cell r="A117" t="str">
            <v>870699-96</v>
          </cell>
          <cell r="B117">
            <v>0.23</v>
          </cell>
        </row>
        <row r="118">
          <cell r="A118" t="str">
            <v>871900-96</v>
          </cell>
          <cell r="B118">
            <v>0.23</v>
          </cell>
        </row>
        <row r="119">
          <cell r="A119" t="str">
            <v>941740-96</v>
          </cell>
          <cell r="B119">
            <v>0.23</v>
          </cell>
        </row>
        <row r="120">
          <cell r="A120" t="str">
            <v>941769-96</v>
          </cell>
          <cell r="B120">
            <v>0.23</v>
          </cell>
        </row>
        <row r="121">
          <cell r="A121" t="str">
            <v>952374-96</v>
          </cell>
          <cell r="B121">
            <v>0.23</v>
          </cell>
        </row>
        <row r="122">
          <cell r="A122" t="str">
            <v>961571-96</v>
          </cell>
          <cell r="B122">
            <v>0.23</v>
          </cell>
        </row>
        <row r="123">
          <cell r="A123" t="str">
            <v>980713-96</v>
          </cell>
          <cell r="B123">
            <v>0.27</v>
          </cell>
        </row>
        <row r="124">
          <cell r="A124" t="str">
            <v>986494-96</v>
          </cell>
          <cell r="B124">
            <v>0.27</v>
          </cell>
        </row>
        <row r="125">
          <cell r="A125" t="str">
            <v>986500-96</v>
          </cell>
          <cell r="B125">
            <v>0.27</v>
          </cell>
        </row>
        <row r="126">
          <cell r="A126" t="str">
            <v>992897-96</v>
          </cell>
          <cell r="B126">
            <v>0.23</v>
          </cell>
        </row>
        <row r="127">
          <cell r="A127" t="str">
            <v>510182-97</v>
          </cell>
          <cell r="B127">
            <v>0.52</v>
          </cell>
        </row>
        <row r="128">
          <cell r="A128" t="str">
            <v>522991-97</v>
          </cell>
          <cell r="B128">
            <v>0.52</v>
          </cell>
        </row>
        <row r="129">
          <cell r="A129" t="str">
            <v>522993-97</v>
          </cell>
          <cell r="B129">
            <v>0.52</v>
          </cell>
        </row>
        <row r="130">
          <cell r="A130" t="str">
            <v>527324-97</v>
          </cell>
          <cell r="B130">
            <v>0.52</v>
          </cell>
        </row>
        <row r="131">
          <cell r="A131" t="str">
            <v>546146-97</v>
          </cell>
          <cell r="B131">
            <v>0.52</v>
          </cell>
        </row>
        <row r="132">
          <cell r="A132" t="str">
            <v>552478-97</v>
          </cell>
          <cell r="B132">
            <v>0.52</v>
          </cell>
        </row>
        <row r="133">
          <cell r="A133" t="str">
            <v>563880-97</v>
          </cell>
          <cell r="B133">
            <v>0.52</v>
          </cell>
        </row>
        <row r="134">
          <cell r="A134" t="str">
            <v>595201-97</v>
          </cell>
          <cell r="B134">
            <v>0.52</v>
          </cell>
        </row>
        <row r="135">
          <cell r="A135" t="str">
            <v>404090-97</v>
          </cell>
          <cell r="B135">
            <v>0.03</v>
          </cell>
        </row>
        <row r="136">
          <cell r="A136" t="str">
            <v>404091-97</v>
          </cell>
          <cell r="B136">
            <v>0.03</v>
          </cell>
        </row>
        <row r="137">
          <cell r="A137" t="str">
            <v>412716-97</v>
          </cell>
          <cell r="B137">
            <v>0.03</v>
          </cell>
        </row>
        <row r="138">
          <cell r="A138" t="str">
            <v>494514-97</v>
          </cell>
          <cell r="B138">
            <v>0.03</v>
          </cell>
        </row>
        <row r="139">
          <cell r="A139" t="str">
            <v>498363-97</v>
          </cell>
          <cell r="B139">
            <v>0.03</v>
          </cell>
        </row>
        <row r="140">
          <cell r="A140" t="str">
            <v>498386-97</v>
          </cell>
          <cell r="B140">
            <v>0.03</v>
          </cell>
        </row>
        <row r="141">
          <cell r="A141" t="str">
            <v>544227-97</v>
          </cell>
          <cell r="B141">
            <v>2.2499999999999999E-2</v>
          </cell>
        </row>
        <row r="142">
          <cell r="A142" t="str">
            <v>651670-97</v>
          </cell>
          <cell r="B142">
            <v>0.23</v>
          </cell>
        </row>
        <row r="143">
          <cell r="A143" t="str">
            <v>684329-96</v>
          </cell>
          <cell r="B143">
            <v>0.23</v>
          </cell>
        </row>
        <row r="144">
          <cell r="A144" t="str">
            <v>900385-96</v>
          </cell>
          <cell r="B144">
            <v>0.215</v>
          </cell>
        </row>
        <row r="145">
          <cell r="A145" t="str">
            <v>545270-97</v>
          </cell>
          <cell r="B145">
            <v>0.52</v>
          </cell>
        </row>
        <row r="146">
          <cell r="A146" t="str">
            <v>693332-97</v>
          </cell>
          <cell r="B146">
            <v>2.5000000000000001E-2</v>
          </cell>
        </row>
        <row r="147">
          <cell r="A147" t="str">
            <v>570778-97</v>
          </cell>
          <cell r="B147">
            <v>0.52</v>
          </cell>
        </row>
        <row r="148">
          <cell r="A148" t="str">
            <v>623629-97</v>
          </cell>
          <cell r="B148">
            <v>0.52</v>
          </cell>
        </row>
        <row r="149">
          <cell r="A149" t="str">
            <v>623640-97</v>
          </cell>
          <cell r="B149">
            <v>0.52</v>
          </cell>
        </row>
        <row r="150">
          <cell r="A150" t="str">
            <v>673405-97</v>
          </cell>
          <cell r="B150">
            <v>0.52</v>
          </cell>
        </row>
        <row r="151">
          <cell r="A151" t="str">
            <v>485725-97</v>
          </cell>
          <cell r="B151">
            <v>0.03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26" t="s">
        <v>0</v>
      </c>
      <c r="B2" s="27"/>
      <c r="C2" s="27"/>
    </row>
    <row r="3" spans="1:3" x14ac:dyDescent="0.2">
      <c r="A3" s="26" t="s">
        <v>1</v>
      </c>
      <c r="B3" s="27"/>
      <c r="C3" s="27"/>
    </row>
    <row r="4" spans="1:3" x14ac:dyDescent="0.2">
      <c r="A4" s="26" t="s">
        <v>2</v>
      </c>
      <c r="B4" s="27"/>
      <c r="C4" s="2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24" t="s">
        <v>5</v>
      </c>
      <c r="C12" s="2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451.64</v>
      </c>
      <c r="C19" s="8"/>
    </row>
    <row r="20" spans="1:3" x14ac:dyDescent="0.2">
      <c r="A20" s="2" t="s">
        <v>13</v>
      </c>
      <c r="B20" s="8">
        <v>1126.98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20256.310000000001</v>
      </c>
      <c r="C24" s="8"/>
    </row>
    <row r="25" spans="1:3" x14ac:dyDescent="0.2">
      <c r="A25" s="2" t="s">
        <v>13</v>
      </c>
      <c r="B25" s="8">
        <v>178.15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83.48</v>
      </c>
      <c r="C29" s="8"/>
    </row>
    <row r="30" spans="1:3" x14ac:dyDescent="0.2">
      <c r="A30" s="2" t="s">
        <v>13</v>
      </c>
      <c r="B30" s="8">
        <v>56.34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298.14999999999998</v>
      </c>
      <c r="C34" s="8"/>
    </row>
    <row r="35" spans="1:3" x14ac:dyDescent="0.2">
      <c r="A35" s="2" t="s">
        <v>13</v>
      </c>
      <c r="B35" s="8">
        <v>29.33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12</v>
      </c>
      <c r="B39" s="8">
        <v>38.1</v>
      </c>
      <c r="C39" s="8"/>
    </row>
    <row r="40" spans="1:3" x14ac:dyDescent="0.2">
      <c r="A40" s="2"/>
      <c r="B40" s="8"/>
      <c r="C40" s="8"/>
    </row>
    <row r="41" spans="1:3" x14ac:dyDescent="0.2">
      <c r="A41" s="2" t="s">
        <v>18</v>
      </c>
      <c r="B41" s="8"/>
      <c r="C41" s="8">
        <v>22518.48</v>
      </c>
    </row>
    <row r="42" spans="1:3" x14ac:dyDescent="0.2">
      <c r="A42" s="2"/>
      <c r="B42" s="8"/>
      <c r="C42" s="8"/>
    </row>
    <row r="43" spans="1:3" x14ac:dyDescent="0.2">
      <c r="A43" s="2" t="s">
        <v>19</v>
      </c>
      <c r="B43" s="8"/>
      <c r="C43" s="8"/>
    </row>
    <row r="44" spans="1:3" x14ac:dyDescent="0.2">
      <c r="A44" s="2"/>
      <c r="B44" s="8"/>
      <c r="C44" s="8"/>
    </row>
    <row r="45" spans="1:3" x14ac:dyDescent="0.2">
      <c r="A45" s="2" t="s">
        <v>10</v>
      </c>
      <c r="B45" s="8">
        <v>-1578.62</v>
      </c>
      <c r="C45" s="8"/>
    </row>
    <row r="46" spans="1:3" x14ac:dyDescent="0.2">
      <c r="A46" s="2" t="s">
        <v>14</v>
      </c>
      <c r="B46" s="8">
        <v>-20434.46</v>
      </c>
      <c r="C46" s="8"/>
    </row>
    <row r="47" spans="1:3" x14ac:dyDescent="0.2">
      <c r="A47" s="2" t="s">
        <v>15</v>
      </c>
      <c r="B47" s="8">
        <v>-139.82</v>
      </c>
      <c r="C47" s="8"/>
    </row>
    <row r="48" spans="1:3" x14ac:dyDescent="0.2">
      <c r="A48" s="2" t="s">
        <v>16</v>
      </c>
      <c r="B48" s="8">
        <v>-327.48</v>
      </c>
      <c r="C48" s="8"/>
    </row>
    <row r="49" spans="1:3" x14ac:dyDescent="0.2">
      <c r="A49" s="2" t="s">
        <v>17</v>
      </c>
      <c r="B49" s="8">
        <v>-38.1</v>
      </c>
      <c r="C49" s="8"/>
    </row>
    <row r="50" spans="1:3" x14ac:dyDescent="0.2">
      <c r="A50" s="2"/>
      <c r="B50" s="8"/>
      <c r="C50" s="8"/>
    </row>
    <row r="51" spans="1:3" x14ac:dyDescent="0.2">
      <c r="A51" s="2" t="s">
        <v>20</v>
      </c>
      <c r="B51" s="8"/>
      <c r="C51" s="8">
        <v>-22518.48</v>
      </c>
    </row>
    <row r="52" spans="1:3" x14ac:dyDescent="0.2">
      <c r="A52" s="2" t="s">
        <v>21</v>
      </c>
      <c r="B52" s="8"/>
      <c r="C52" s="8">
        <v>0</v>
      </c>
    </row>
    <row r="53" spans="1:3" x14ac:dyDescent="0.2">
      <c r="A53" s="2"/>
      <c r="B53" s="8"/>
      <c r="C53" s="8"/>
    </row>
    <row r="54" spans="1:3" x14ac:dyDescent="0.2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2"/>
  <sheetViews>
    <sheetView topLeftCell="E1" workbookViewId="0">
      <pane ySplit="1" topLeftCell="A118" activePane="bottomLeft" state="frozen"/>
      <selection pane="bottomLeft" activeCell="U2" sqref="U2:U152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176.91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40.69</v>
      </c>
      <c r="W2" s="12">
        <v>0</v>
      </c>
      <c r="X2" s="1" t="s">
        <v>57</v>
      </c>
    </row>
    <row r="3" spans="1:24" x14ac:dyDescent="0.2">
      <c r="A3" s="1" t="s">
        <v>64</v>
      </c>
      <c r="B3" s="1" t="s">
        <v>47</v>
      </c>
      <c r="C3" s="1" t="s">
        <v>48</v>
      </c>
      <c r="D3" s="1" t="s">
        <v>49</v>
      </c>
      <c r="E3" s="1" t="s">
        <v>65</v>
      </c>
      <c r="F3" s="1" t="s">
        <v>66</v>
      </c>
      <c r="G3" s="1" t="s">
        <v>67</v>
      </c>
      <c r="H3" s="1" t="s">
        <v>53</v>
      </c>
      <c r="I3" s="1" t="s">
        <v>68</v>
      </c>
      <c r="J3" s="1" t="s">
        <v>55</v>
      </c>
      <c r="K3" s="1" t="s">
        <v>56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122.9</v>
      </c>
      <c r="R3" s="1" t="s">
        <v>61</v>
      </c>
      <c r="S3" s="1" t="s">
        <v>62</v>
      </c>
      <c r="T3" s="6" t="s">
        <v>63</v>
      </c>
      <c r="U3" s="13">
        <v>0.31</v>
      </c>
      <c r="V3" s="12">
        <v>38.1</v>
      </c>
      <c r="W3" s="12">
        <v>0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52</v>
      </c>
      <c r="H4" s="1" t="s">
        <v>73</v>
      </c>
      <c r="I4" s="1" t="s">
        <v>54</v>
      </c>
      <c r="J4" s="1" t="s">
        <v>74</v>
      </c>
      <c r="K4" s="1" t="s">
        <v>56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166.67</v>
      </c>
      <c r="R4" s="1" t="s">
        <v>61</v>
      </c>
      <c r="S4" s="1" t="s">
        <v>62</v>
      </c>
      <c r="T4" s="6" t="s">
        <v>63</v>
      </c>
      <c r="U4" s="13">
        <v>0.23</v>
      </c>
      <c r="V4" s="12">
        <v>38.33</v>
      </c>
      <c r="W4" s="12">
        <v>0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69</v>
      </c>
      <c r="D5" s="1" t="s">
        <v>70</v>
      </c>
      <c r="E5" s="1" t="s">
        <v>75</v>
      </c>
      <c r="F5" s="1" t="s">
        <v>76</v>
      </c>
      <c r="G5" s="1" t="s">
        <v>52</v>
      </c>
      <c r="H5" s="1" t="s">
        <v>73</v>
      </c>
      <c r="I5" s="1" t="s">
        <v>54</v>
      </c>
      <c r="J5" s="1" t="s">
        <v>77</v>
      </c>
      <c r="K5" s="1" t="s">
        <v>56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136.01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31.28</v>
      </c>
      <c r="W5" s="12">
        <v>0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69</v>
      </c>
      <c r="D6" s="1" t="s">
        <v>70</v>
      </c>
      <c r="E6" s="1" t="s">
        <v>78</v>
      </c>
      <c r="F6" s="1" t="s">
        <v>79</v>
      </c>
      <c r="G6" s="1" t="s">
        <v>52</v>
      </c>
      <c r="H6" s="1" t="s">
        <v>73</v>
      </c>
      <c r="I6" s="1" t="s">
        <v>54</v>
      </c>
      <c r="J6" s="1" t="s">
        <v>77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118.19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27.18</v>
      </c>
      <c r="W6" s="12">
        <v>0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69</v>
      </c>
      <c r="D7" s="1" t="s">
        <v>70</v>
      </c>
      <c r="E7" s="1" t="s">
        <v>80</v>
      </c>
      <c r="F7" s="1" t="s">
        <v>81</v>
      </c>
      <c r="G7" s="1" t="s">
        <v>52</v>
      </c>
      <c r="H7" s="1" t="s">
        <v>53</v>
      </c>
      <c r="I7" s="1" t="s">
        <v>54</v>
      </c>
      <c r="J7" s="1" t="s">
        <v>77</v>
      </c>
      <c r="K7" s="1" t="s">
        <v>56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128.66999999999999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29.59</v>
      </c>
      <c r="W7" s="12">
        <v>0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69</v>
      </c>
      <c r="D8" s="1" t="s">
        <v>70</v>
      </c>
      <c r="E8" s="1" t="s">
        <v>82</v>
      </c>
      <c r="F8" s="1" t="s">
        <v>83</v>
      </c>
      <c r="G8" s="1" t="s">
        <v>52</v>
      </c>
      <c r="H8" s="1" t="s">
        <v>84</v>
      </c>
      <c r="I8" s="1" t="s">
        <v>54</v>
      </c>
      <c r="J8" s="1" t="s">
        <v>85</v>
      </c>
      <c r="K8" s="1" t="s">
        <v>56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129.38999999999999</v>
      </c>
      <c r="R8" s="1" t="s">
        <v>61</v>
      </c>
      <c r="S8" s="1" t="s">
        <v>62</v>
      </c>
      <c r="T8" s="6" t="s">
        <v>63</v>
      </c>
      <c r="U8" s="13">
        <v>0.23</v>
      </c>
      <c r="V8" s="12">
        <v>0</v>
      </c>
      <c r="W8" s="12">
        <v>-29.76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69</v>
      </c>
      <c r="D9" s="1" t="s">
        <v>70</v>
      </c>
      <c r="E9" s="1" t="s">
        <v>86</v>
      </c>
      <c r="F9" s="1" t="s">
        <v>87</v>
      </c>
      <c r="G9" s="1" t="s">
        <v>52</v>
      </c>
      <c r="H9" s="1" t="s">
        <v>53</v>
      </c>
      <c r="I9" s="1" t="s">
        <v>54</v>
      </c>
      <c r="J9" s="1" t="s">
        <v>88</v>
      </c>
      <c r="K9" s="1" t="s">
        <v>56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128.66999999999999</v>
      </c>
      <c r="R9" s="1" t="s">
        <v>61</v>
      </c>
      <c r="S9" s="1" t="s">
        <v>62</v>
      </c>
      <c r="T9" s="6" t="s">
        <v>63</v>
      </c>
      <c r="U9" s="13">
        <v>0.23</v>
      </c>
      <c r="V9" s="12">
        <v>0</v>
      </c>
      <c r="W9" s="12">
        <v>-29.59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69</v>
      </c>
      <c r="D10" s="1" t="s">
        <v>49</v>
      </c>
      <c r="E10" s="1" t="s">
        <v>89</v>
      </c>
      <c r="F10" s="1" t="s">
        <v>90</v>
      </c>
      <c r="G10" s="1" t="s">
        <v>52</v>
      </c>
      <c r="H10" s="1" t="s">
        <v>53</v>
      </c>
      <c r="I10" s="1" t="s">
        <v>54</v>
      </c>
      <c r="J10" s="1" t="s">
        <v>91</v>
      </c>
      <c r="K10" s="1" t="s">
        <v>56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151.78</v>
      </c>
      <c r="R10" s="1" t="s">
        <v>61</v>
      </c>
      <c r="S10" s="1" t="s">
        <v>62</v>
      </c>
      <c r="T10" s="6" t="s">
        <v>63</v>
      </c>
      <c r="U10" s="13">
        <v>0.23</v>
      </c>
      <c r="V10" s="12">
        <v>34.909999999999997</v>
      </c>
      <c r="W10" s="12">
        <v>0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69</v>
      </c>
      <c r="D11" s="1" t="s">
        <v>49</v>
      </c>
      <c r="E11" s="1" t="s">
        <v>92</v>
      </c>
      <c r="F11" s="1" t="s">
        <v>93</v>
      </c>
      <c r="G11" s="1" t="s">
        <v>52</v>
      </c>
      <c r="H11" s="1" t="s">
        <v>84</v>
      </c>
      <c r="I11" s="1" t="s">
        <v>54</v>
      </c>
      <c r="J11" s="1" t="s">
        <v>94</v>
      </c>
      <c r="K11" s="1" t="s">
        <v>95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199.91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0</v>
      </c>
      <c r="W11" s="12">
        <v>-45.98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69</v>
      </c>
      <c r="D12" s="1" t="s">
        <v>49</v>
      </c>
      <c r="E12" s="1" t="s">
        <v>96</v>
      </c>
      <c r="F12" s="1" t="s">
        <v>97</v>
      </c>
      <c r="G12" s="1" t="s">
        <v>52</v>
      </c>
      <c r="H12" s="1" t="s">
        <v>53</v>
      </c>
      <c r="I12" s="1" t="s">
        <v>54</v>
      </c>
      <c r="J12" s="1" t="s">
        <v>98</v>
      </c>
      <c r="K12" s="1" t="s">
        <v>56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127.5</v>
      </c>
      <c r="R12" s="1" t="s">
        <v>99</v>
      </c>
      <c r="S12" s="1" t="s">
        <v>100</v>
      </c>
      <c r="T12" s="6" t="s">
        <v>63</v>
      </c>
      <c r="U12" s="13">
        <v>0.23</v>
      </c>
      <c r="V12" s="12">
        <v>29.33</v>
      </c>
      <c r="W12" s="12">
        <v>0</v>
      </c>
      <c r="X12" s="1" t="s">
        <v>57</v>
      </c>
    </row>
    <row r="13" spans="1:24" x14ac:dyDescent="0.2">
      <c r="A13" s="1" t="s">
        <v>46</v>
      </c>
      <c r="B13" s="1" t="s">
        <v>47</v>
      </c>
      <c r="C13" s="1" t="s">
        <v>69</v>
      </c>
      <c r="D13" s="1" t="s">
        <v>70</v>
      </c>
      <c r="E13" s="1" t="s">
        <v>101</v>
      </c>
      <c r="F13" s="1" t="s">
        <v>102</v>
      </c>
      <c r="G13" s="1" t="s">
        <v>52</v>
      </c>
      <c r="H13" s="1" t="s">
        <v>73</v>
      </c>
      <c r="I13" s="1" t="s">
        <v>54</v>
      </c>
      <c r="J13" s="1" t="s">
        <v>74</v>
      </c>
      <c r="K13" s="1" t="s">
        <v>56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165.45</v>
      </c>
      <c r="R13" s="1" t="s">
        <v>61</v>
      </c>
      <c r="S13" s="1" t="s">
        <v>62</v>
      </c>
      <c r="T13" s="6" t="s">
        <v>63</v>
      </c>
      <c r="U13" s="13">
        <v>0.23</v>
      </c>
      <c r="V13" s="12">
        <v>38.049999999999997</v>
      </c>
      <c r="W13" s="12">
        <v>0</v>
      </c>
      <c r="X13" s="1" t="s">
        <v>57</v>
      </c>
    </row>
    <row r="14" spans="1:24" x14ac:dyDescent="0.2">
      <c r="A14" s="1" t="s">
        <v>46</v>
      </c>
      <c r="B14" s="1" t="s">
        <v>47</v>
      </c>
      <c r="C14" s="1" t="s">
        <v>69</v>
      </c>
      <c r="D14" s="1" t="s">
        <v>103</v>
      </c>
      <c r="E14" s="1" t="s">
        <v>104</v>
      </c>
      <c r="F14" s="1" t="s">
        <v>105</v>
      </c>
      <c r="G14" s="1" t="s">
        <v>52</v>
      </c>
      <c r="H14" s="1" t="s">
        <v>53</v>
      </c>
      <c r="I14" s="1" t="s">
        <v>54</v>
      </c>
      <c r="J14" s="1" t="s">
        <v>77</v>
      </c>
      <c r="K14" s="1" t="s">
        <v>56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126.36</v>
      </c>
      <c r="R14" s="1" t="s">
        <v>61</v>
      </c>
      <c r="S14" s="1" t="s">
        <v>62</v>
      </c>
      <c r="T14" s="6" t="s">
        <v>63</v>
      </c>
      <c r="U14" s="13">
        <v>0.23</v>
      </c>
      <c r="V14" s="12">
        <v>29.06</v>
      </c>
      <c r="W14" s="12">
        <v>0</v>
      </c>
      <c r="X14" s="1" t="s">
        <v>57</v>
      </c>
    </row>
    <row r="15" spans="1:24" x14ac:dyDescent="0.2">
      <c r="A15" s="1" t="s">
        <v>46</v>
      </c>
      <c r="B15" s="1" t="s">
        <v>47</v>
      </c>
      <c r="C15" s="1" t="s">
        <v>69</v>
      </c>
      <c r="D15" s="1" t="s">
        <v>103</v>
      </c>
      <c r="E15" s="1" t="s">
        <v>106</v>
      </c>
      <c r="F15" s="1" t="s">
        <v>107</v>
      </c>
      <c r="G15" s="1" t="s">
        <v>52</v>
      </c>
      <c r="H15" s="1" t="s">
        <v>53</v>
      </c>
      <c r="I15" s="1" t="s">
        <v>54</v>
      </c>
      <c r="J15" s="1" t="s">
        <v>77</v>
      </c>
      <c r="K15" s="1" t="s">
        <v>56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126.36</v>
      </c>
      <c r="R15" s="1" t="s">
        <v>61</v>
      </c>
      <c r="S15" s="1" t="s">
        <v>62</v>
      </c>
      <c r="T15" s="6" t="s">
        <v>63</v>
      </c>
      <c r="U15" s="13">
        <v>0.23</v>
      </c>
      <c r="V15" s="12">
        <v>29.06</v>
      </c>
      <c r="W15" s="12">
        <v>0</v>
      </c>
      <c r="X15" s="1" t="s">
        <v>57</v>
      </c>
    </row>
    <row r="16" spans="1:24" x14ac:dyDescent="0.2">
      <c r="A16" s="1" t="s">
        <v>108</v>
      </c>
      <c r="B16" s="1" t="s">
        <v>47</v>
      </c>
      <c r="C16" s="1" t="s">
        <v>69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53</v>
      </c>
      <c r="I16" s="1" t="s">
        <v>113</v>
      </c>
      <c r="J16" s="1" t="s">
        <v>114</v>
      </c>
      <c r="K16" s="1" t="s">
        <v>56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128.97999999999999</v>
      </c>
      <c r="R16" s="1" t="s">
        <v>99</v>
      </c>
      <c r="S16" s="1" t="s">
        <v>100</v>
      </c>
      <c r="T16" s="6" t="s">
        <v>63</v>
      </c>
      <c r="U16" s="13">
        <v>0.215</v>
      </c>
      <c r="V16" s="12">
        <v>27.73</v>
      </c>
      <c r="W16" s="12">
        <v>0</v>
      </c>
      <c r="X16" s="1" t="s">
        <v>57</v>
      </c>
    </row>
    <row r="17" spans="1:24" x14ac:dyDescent="0.2">
      <c r="A17" s="1" t="s">
        <v>108</v>
      </c>
      <c r="B17" s="1" t="s">
        <v>47</v>
      </c>
      <c r="C17" s="1" t="s">
        <v>69</v>
      </c>
      <c r="D17" s="1" t="s">
        <v>115</v>
      </c>
      <c r="E17" s="1" t="s">
        <v>116</v>
      </c>
      <c r="F17" s="1" t="s">
        <v>117</v>
      </c>
      <c r="G17" s="1" t="s">
        <v>112</v>
      </c>
      <c r="H17" s="1" t="s">
        <v>84</v>
      </c>
      <c r="I17" s="1" t="s">
        <v>113</v>
      </c>
      <c r="J17" s="1" t="s">
        <v>118</v>
      </c>
      <c r="K17" s="1" t="s">
        <v>56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229.97</v>
      </c>
      <c r="R17" s="1" t="s">
        <v>99</v>
      </c>
      <c r="S17" s="1" t="s">
        <v>100</v>
      </c>
      <c r="T17" s="6" t="s">
        <v>63</v>
      </c>
      <c r="U17" s="13">
        <v>0.215</v>
      </c>
      <c r="V17" s="12">
        <v>49.44</v>
      </c>
      <c r="W17" s="12">
        <v>0</v>
      </c>
      <c r="X17" s="1" t="s">
        <v>57</v>
      </c>
    </row>
    <row r="18" spans="1:24" x14ac:dyDescent="0.2">
      <c r="A18" s="1" t="s">
        <v>108</v>
      </c>
      <c r="B18" s="1" t="s">
        <v>47</v>
      </c>
      <c r="C18" s="1" t="s">
        <v>69</v>
      </c>
      <c r="D18" s="1" t="s">
        <v>115</v>
      </c>
      <c r="E18" s="1" t="s">
        <v>119</v>
      </c>
      <c r="F18" s="1" t="s">
        <v>120</v>
      </c>
      <c r="G18" s="1" t="s">
        <v>112</v>
      </c>
      <c r="H18" s="1" t="s">
        <v>53</v>
      </c>
      <c r="I18" s="1" t="s">
        <v>121</v>
      </c>
      <c r="J18" s="1" t="s">
        <v>122</v>
      </c>
      <c r="K18" s="1" t="s">
        <v>56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92.04</v>
      </c>
      <c r="R18" s="1" t="s">
        <v>61</v>
      </c>
      <c r="S18" s="1" t="s">
        <v>62</v>
      </c>
      <c r="T18" s="6" t="s">
        <v>63</v>
      </c>
      <c r="U18" s="13">
        <v>0.255</v>
      </c>
      <c r="V18" s="12">
        <v>0</v>
      </c>
      <c r="W18" s="12">
        <v>-23.47</v>
      </c>
      <c r="X18" s="1" t="s">
        <v>57</v>
      </c>
    </row>
    <row r="19" spans="1:24" x14ac:dyDescent="0.2">
      <c r="A19" s="1" t="s">
        <v>108</v>
      </c>
      <c r="B19" s="1" t="s">
        <v>47</v>
      </c>
      <c r="C19" s="1" t="s">
        <v>69</v>
      </c>
      <c r="D19" s="1" t="s">
        <v>115</v>
      </c>
      <c r="E19" s="1" t="s">
        <v>123</v>
      </c>
      <c r="F19" s="1" t="s">
        <v>124</v>
      </c>
      <c r="G19" s="1" t="s">
        <v>112</v>
      </c>
      <c r="H19" s="1" t="s">
        <v>84</v>
      </c>
      <c r="I19" s="1" t="s">
        <v>113</v>
      </c>
      <c r="J19" s="1" t="s">
        <v>118</v>
      </c>
      <c r="K19" s="1" t="s">
        <v>56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137.74</v>
      </c>
      <c r="R19" s="1" t="s">
        <v>99</v>
      </c>
      <c r="S19" s="1" t="s">
        <v>100</v>
      </c>
      <c r="T19" s="6" t="s">
        <v>63</v>
      </c>
      <c r="U19" s="13">
        <v>0.215</v>
      </c>
      <c r="V19" s="12">
        <v>29.61</v>
      </c>
      <c r="W19" s="12">
        <v>0</v>
      </c>
      <c r="X19" s="1" t="s">
        <v>57</v>
      </c>
    </row>
    <row r="20" spans="1:24" x14ac:dyDescent="0.2">
      <c r="A20" s="1" t="s">
        <v>125</v>
      </c>
      <c r="B20" s="1" t="s">
        <v>47</v>
      </c>
      <c r="C20" s="1" t="s">
        <v>69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53</v>
      </c>
      <c r="I20" s="1" t="s">
        <v>130</v>
      </c>
      <c r="J20" s="1" t="s">
        <v>91</v>
      </c>
      <c r="K20" s="1" t="s">
        <v>56</v>
      </c>
      <c r="L20" s="11" t="s">
        <v>57</v>
      </c>
      <c r="M20" s="1" t="s">
        <v>58</v>
      </c>
      <c r="N20" s="1" t="s">
        <v>59</v>
      </c>
      <c r="O20" s="1" t="s">
        <v>60</v>
      </c>
      <c r="P20" s="1">
        <v>0</v>
      </c>
      <c r="Q20" s="12">
        <v>104.7</v>
      </c>
      <c r="R20" s="1" t="s">
        <v>61</v>
      </c>
      <c r="S20" s="1" t="s">
        <v>62</v>
      </c>
      <c r="T20" s="6" t="s">
        <v>63</v>
      </c>
      <c r="U20" s="13">
        <v>0.27</v>
      </c>
      <c r="V20" s="12">
        <v>28.27</v>
      </c>
      <c r="W20" s="12">
        <v>0</v>
      </c>
      <c r="X20" s="1" t="s">
        <v>57</v>
      </c>
    </row>
    <row r="21" spans="1:24" x14ac:dyDescent="0.2">
      <c r="A21" s="1" t="s">
        <v>125</v>
      </c>
      <c r="B21" s="1" t="s">
        <v>47</v>
      </c>
      <c r="C21" s="1" t="s">
        <v>69</v>
      </c>
      <c r="D21" s="1" t="s">
        <v>126</v>
      </c>
      <c r="E21" s="1" t="s">
        <v>131</v>
      </c>
      <c r="F21" s="1" t="s">
        <v>132</v>
      </c>
      <c r="G21" s="1" t="s">
        <v>129</v>
      </c>
      <c r="H21" s="1" t="s">
        <v>53</v>
      </c>
      <c r="I21" s="1" t="s">
        <v>133</v>
      </c>
      <c r="J21" s="1" t="s">
        <v>134</v>
      </c>
      <c r="K21" s="1" t="s">
        <v>56</v>
      </c>
      <c r="L21" s="11" t="s">
        <v>57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232.72</v>
      </c>
      <c r="R21" s="1" t="s">
        <v>99</v>
      </c>
      <c r="S21" s="1" t="s">
        <v>100</v>
      </c>
      <c r="T21" s="6" t="s">
        <v>63</v>
      </c>
      <c r="U21" s="13">
        <v>0.23</v>
      </c>
      <c r="V21" s="12">
        <v>53.53</v>
      </c>
      <c r="W21" s="12">
        <v>0</v>
      </c>
      <c r="X21" s="1" t="s">
        <v>57</v>
      </c>
    </row>
    <row r="22" spans="1:24" x14ac:dyDescent="0.2">
      <c r="A22" s="1" t="s">
        <v>125</v>
      </c>
      <c r="B22" s="1" t="s">
        <v>47</v>
      </c>
      <c r="C22" s="1" t="s">
        <v>69</v>
      </c>
      <c r="D22" s="1" t="s">
        <v>126</v>
      </c>
      <c r="E22" s="1" t="s">
        <v>135</v>
      </c>
      <c r="F22" s="1" t="s">
        <v>136</v>
      </c>
      <c r="G22" s="1" t="s">
        <v>129</v>
      </c>
      <c r="H22" s="1" t="s">
        <v>53</v>
      </c>
      <c r="I22" s="1" t="s">
        <v>130</v>
      </c>
      <c r="J22" s="1" t="s">
        <v>137</v>
      </c>
      <c r="K22" s="1" t="s">
        <v>56</v>
      </c>
      <c r="L22" s="11" t="s">
        <v>57</v>
      </c>
      <c r="M22" s="1" t="s">
        <v>58</v>
      </c>
      <c r="N22" s="1" t="s">
        <v>59</v>
      </c>
      <c r="O22" s="1" t="s">
        <v>60</v>
      </c>
      <c r="P22" s="1">
        <v>0</v>
      </c>
      <c r="Q22" s="12">
        <v>112.52</v>
      </c>
      <c r="R22" s="1" t="s">
        <v>99</v>
      </c>
      <c r="S22" s="1" t="s">
        <v>100</v>
      </c>
      <c r="T22" s="6" t="s">
        <v>63</v>
      </c>
      <c r="U22" s="13">
        <v>2.5000000000000001E-2</v>
      </c>
      <c r="V22" s="12">
        <v>2.81</v>
      </c>
      <c r="W22" s="12">
        <v>0</v>
      </c>
      <c r="X22" s="1" t="s">
        <v>57</v>
      </c>
    </row>
    <row r="23" spans="1:24" x14ac:dyDescent="0.2">
      <c r="A23" s="1" t="s">
        <v>125</v>
      </c>
      <c r="B23" s="1" t="s">
        <v>47</v>
      </c>
      <c r="C23" s="1" t="s">
        <v>69</v>
      </c>
      <c r="D23" s="1" t="s">
        <v>138</v>
      </c>
      <c r="E23" s="1" t="s">
        <v>139</v>
      </c>
      <c r="F23" s="1" t="s">
        <v>140</v>
      </c>
      <c r="G23" s="1" t="s">
        <v>129</v>
      </c>
      <c r="H23" s="1" t="s">
        <v>141</v>
      </c>
      <c r="I23" s="1" t="s">
        <v>142</v>
      </c>
      <c r="J23" s="1" t="s">
        <v>77</v>
      </c>
      <c r="K23" s="1" t="s">
        <v>56</v>
      </c>
      <c r="L23" s="11" t="s">
        <v>57</v>
      </c>
      <c r="M23" s="1" t="s">
        <v>58</v>
      </c>
      <c r="N23" s="1" t="s">
        <v>59</v>
      </c>
      <c r="O23" s="1" t="s">
        <v>60</v>
      </c>
      <c r="P23" s="1">
        <v>0</v>
      </c>
      <c r="Q23" s="12">
        <v>240.03</v>
      </c>
      <c r="R23" s="1" t="s">
        <v>61</v>
      </c>
      <c r="S23" s="1" t="s">
        <v>62</v>
      </c>
      <c r="T23" s="6" t="s">
        <v>63</v>
      </c>
      <c r="U23" s="13">
        <v>0.23</v>
      </c>
      <c r="V23" s="12">
        <v>55.21</v>
      </c>
      <c r="W23" s="12">
        <v>0</v>
      </c>
      <c r="X23" s="1" t="s">
        <v>57</v>
      </c>
    </row>
    <row r="24" spans="1:24" x14ac:dyDescent="0.2">
      <c r="A24" s="1" t="s">
        <v>108</v>
      </c>
      <c r="B24" s="1" t="s">
        <v>47</v>
      </c>
      <c r="C24" s="1" t="s">
        <v>69</v>
      </c>
      <c r="D24" s="1" t="s">
        <v>109</v>
      </c>
      <c r="E24" s="1" t="s">
        <v>143</v>
      </c>
      <c r="F24" s="1" t="s">
        <v>144</v>
      </c>
      <c r="G24" s="1" t="s">
        <v>112</v>
      </c>
      <c r="H24" s="1" t="s">
        <v>53</v>
      </c>
      <c r="I24" s="1" t="s">
        <v>113</v>
      </c>
      <c r="J24" s="1" t="s">
        <v>145</v>
      </c>
      <c r="K24" s="1" t="s">
        <v>56</v>
      </c>
      <c r="L24" s="11" t="s">
        <v>57</v>
      </c>
      <c r="M24" s="1" t="s">
        <v>58</v>
      </c>
      <c r="N24" s="1" t="s">
        <v>59</v>
      </c>
      <c r="O24" s="1" t="s">
        <v>60</v>
      </c>
      <c r="P24" s="1">
        <v>0</v>
      </c>
      <c r="Q24" s="12">
        <v>194.14</v>
      </c>
      <c r="R24" s="1" t="s">
        <v>99</v>
      </c>
      <c r="S24" s="1" t="s">
        <v>100</v>
      </c>
      <c r="T24" s="6" t="s">
        <v>63</v>
      </c>
      <c r="U24" s="13">
        <v>0.215</v>
      </c>
      <c r="V24" s="12">
        <v>41.74</v>
      </c>
      <c r="W24" s="12">
        <v>0</v>
      </c>
      <c r="X24" s="1" t="s">
        <v>57</v>
      </c>
    </row>
    <row r="25" spans="1:24" x14ac:dyDescent="0.2">
      <c r="A25" s="1" t="s">
        <v>108</v>
      </c>
      <c r="B25" s="1" t="s">
        <v>47</v>
      </c>
      <c r="C25" s="1" t="s">
        <v>48</v>
      </c>
      <c r="D25" s="1" t="s">
        <v>146</v>
      </c>
      <c r="E25" s="1" t="s">
        <v>147</v>
      </c>
      <c r="F25" s="1" t="s">
        <v>148</v>
      </c>
      <c r="G25" s="1" t="s">
        <v>149</v>
      </c>
      <c r="H25" s="1" t="s">
        <v>53</v>
      </c>
      <c r="I25" s="1" t="s">
        <v>150</v>
      </c>
      <c r="J25" s="1" t="s">
        <v>151</v>
      </c>
      <c r="K25" s="1" t="s">
        <v>152</v>
      </c>
      <c r="L25" s="11">
        <v>61</v>
      </c>
      <c r="M25" s="1" t="s">
        <v>58</v>
      </c>
      <c r="N25" s="1" t="s">
        <v>59</v>
      </c>
      <c r="O25" s="1" t="s">
        <v>60</v>
      </c>
      <c r="P25" s="1">
        <v>50</v>
      </c>
      <c r="Q25" s="12">
        <v>76.180000000000007</v>
      </c>
      <c r="R25" s="1" t="s">
        <v>61</v>
      </c>
      <c r="S25" s="1" t="s">
        <v>62</v>
      </c>
      <c r="T25" s="6" t="s">
        <v>63</v>
      </c>
      <c r="U25" s="13">
        <v>1.5</v>
      </c>
      <c r="V25" s="12">
        <v>0</v>
      </c>
      <c r="W25" s="12">
        <v>-114.27</v>
      </c>
      <c r="X25" s="1" t="s">
        <v>57</v>
      </c>
    </row>
    <row r="26" spans="1:24" x14ac:dyDescent="0.2">
      <c r="A26" s="1" t="s">
        <v>108</v>
      </c>
      <c r="B26" s="1" t="s">
        <v>47</v>
      </c>
      <c r="C26" s="1" t="s">
        <v>48</v>
      </c>
      <c r="D26" s="1" t="s">
        <v>146</v>
      </c>
      <c r="E26" s="1" t="s">
        <v>153</v>
      </c>
      <c r="F26" s="1" t="s">
        <v>154</v>
      </c>
      <c r="G26" s="1" t="s">
        <v>155</v>
      </c>
      <c r="H26" s="1" t="s">
        <v>53</v>
      </c>
      <c r="I26" s="1" t="s">
        <v>156</v>
      </c>
      <c r="J26" s="1" t="s">
        <v>157</v>
      </c>
      <c r="K26" s="1" t="s">
        <v>152</v>
      </c>
      <c r="L26" s="11">
        <v>25</v>
      </c>
      <c r="M26" s="1" t="s">
        <v>58</v>
      </c>
      <c r="N26" s="1" t="s">
        <v>59</v>
      </c>
      <c r="O26" s="1" t="s">
        <v>60</v>
      </c>
      <c r="P26" s="1">
        <v>300</v>
      </c>
      <c r="Q26" s="12">
        <v>56.6</v>
      </c>
      <c r="R26" s="1" t="s">
        <v>61</v>
      </c>
      <c r="S26" s="1" t="s">
        <v>62</v>
      </c>
      <c r="T26" s="6" t="s">
        <v>63</v>
      </c>
      <c r="U26" s="13">
        <v>1.5</v>
      </c>
      <c r="V26" s="12">
        <v>0</v>
      </c>
      <c r="W26" s="12">
        <v>-84.9</v>
      </c>
      <c r="X26" s="1" t="s">
        <v>57</v>
      </c>
    </row>
    <row r="27" spans="1:24" x14ac:dyDescent="0.2">
      <c r="A27" s="1" t="s">
        <v>108</v>
      </c>
      <c r="B27" s="1" t="s">
        <v>47</v>
      </c>
      <c r="C27" s="1" t="s">
        <v>48</v>
      </c>
      <c r="D27" s="1" t="s">
        <v>146</v>
      </c>
      <c r="E27" s="1" t="s">
        <v>158</v>
      </c>
      <c r="F27" s="1" t="s">
        <v>159</v>
      </c>
      <c r="G27" s="1" t="s">
        <v>160</v>
      </c>
      <c r="H27" s="1" t="s">
        <v>84</v>
      </c>
      <c r="I27" s="1" t="s">
        <v>156</v>
      </c>
      <c r="J27" s="1" t="s">
        <v>161</v>
      </c>
      <c r="K27" s="1" t="s">
        <v>161</v>
      </c>
      <c r="L27" s="11">
        <v>28</v>
      </c>
      <c r="M27" s="1" t="s">
        <v>58</v>
      </c>
      <c r="N27" s="1" t="s">
        <v>59</v>
      </c>
      <c r="O27" s="1" t="s">
        <v>60</v>
      </c>
      <c r="P27" s="1">
        <v>300</v>
      </c>
      <c r="Q27" s="12">
        <v>-616.79999999999995</v>
      </c>
      <c r="R27" s="1" t="s">
        <v>61</v>
      </c>
      <c r="S27" s="1" t="s">
        <v>162</v>
      </c>
      <c r="T27" s="6" t="s">
        <v>63</v>
      </c>
      <c r="U27" s="13">
        <v>1.5</v>
      </c>
      <c r="V27" s="12">
        <v>-832.68</v>
      </c>
      <c r="W27" s="12">
        <v>-740.16</v>
      </c>
      <c r="X27" s="1" t="s">
        <v>57</v>
      </c>
    </row>
    <row r="28" spans="1:24" x14ac:dyDescent="0.2">
      <c r="A28" s="1" t="s">
        <v>108</v>
      </c>
      <c r="B28" s="1" t="s">
        <v>47</v>
      </c>
      <c r="C28" s="1" t="s">
        <v>48</v>
      </c>
      <c r="D28" s="1" t="s">
        <v>146</v>
      </c>
      <c r="E28" s="1" t="s">
        <v>163</v>
      </c>
      <c r="F28" s="1" t="s">
        <v>164</v>
      </c>
      <c r="G28" s="1" t="s">
        <v>155</v>
      </c>
      <c r="H28" s="1" t="s">
        <v>53</v>
      </c>
      <c r="I28" s="1" t="s">
        <v>165</v>
      </c>
      <c r="J28" s="1" t="s">
        <v>166</v>
      </c>
      <c r="K28" s="1" t="s">
        <v>166</v>
      </c>
      <c r="L28" s="11">
        <v>49</v>
      </c>
      <c r="M28" s="1" t="s">
        <v>58</v>
      </c>
      <c r="N28" s="1" t="s">
        <v>59</v>
      </c>
      <c r="O28" s="1" t="s">
        <v>60</v>
      </c>
      <c r="P28" s="1">
        <v>250</v>
      </c>
      <c r="Q28" s="12">
        <v>1487.88</v>
      </c>
      <c r="R28" s="1" t="s">
        <v>61</v>
      </c>
      <c r="S28" s="1" t="s">
        <v>167</v>
      </c>
      <c r="T28" s="6" t="s">
        <v>63</v>
      </c>
      <c r="U28" s="13">
        <v>1.5</v>
      </c>
      <c r="V28" s="12">
        <v>2000</v>
      </c>
      <c r="W28" s="12">
        <v>2000</v>
      </c>
      <c r="X28" s="1" t="s">
        <v>57</v>
      </c>
    </row>
    <row r="29" spans="1:24" x14ac:dyDescent="0.2">
      <c r="A29" s="1" t="s">
        <v>108</v>
      </c>
      <c r="B29" s="1" t="s">
        <v>47</v>
      </c>
      <c r="C29" s="1" t="s">
        <v>48</v>
      </c>
      <c r="D29" s="1" t="s">
        <v>146</v>
      </c>
      <c r="E29" s="1" t="s">
        <v>168</v>
      </c>
      <c r="F29" s="1" t="s">
        <v>169</v>
      </c>
      <c r="G29" s="1" t="s">
        <v>155</v>
      </c>
      <c r="H29" s="1" t="s">
        <v>53</v>
      </c>
      <c r="I29" s="1" t="s">
        <v>165</v>
      </c>
      <c r="J29" s="1" t="s">
        <v>166</v>
      </c>
      <c r="K29" s="1" t="s">
        <v>166</v>
      </c>
      <c r="L29" s="11">
        <v>40</v>
      </c>
      <c r="M29" s="1" t="s">
        <v>58</v>
      </c>
      <c r="N29" s="1" t="s">
        <v>59</v>
      </c>
      <c r="O29" s="1" t="s">
        <v>60</v>
      </c>
      <c r="P29" s="1">
        <v>250</v>
      </c>
      <c r="Q29" s="12">
        <v>783</v>
      </c>
      <c r="R29" s="1" t="s">
        <v>61</v>
      </c>
      <c r="S29" s="1" t="s">
        <v>167</v>
      </c>
      <c r="T29" s="6" t="s">
        <v>63</v>
      </c>
      <c r="U29" s="13">
        <v>1.5</v>
      </c>
      <c r="V29" s="12">
        <v>1174.5</v>
      </c>
      <c r="W29" s="12">
        <v>1174.5</v>
      </c>
      <c r="X29" s="1" t="s">
        <v>57</v>
      </c>
    </row>
    <row r="30" spans="1:24" x14ac:dyDescent="0.2">
      <c r="A30" s="1" t="s">
        <v>108</v>
      </c>
      <c r="B30" s="1" t="s">
        <v>47</v>
      </c>
      <c r="C30" s="1" t="s">
        <v>48</v>
      </c>
      <c r="D30" s="1" t="s">
        <v>146</v>
      </c>
      <c r="E30" s="1" t="s">
        <v>170</v>
      </c>
      <c r="F30" s="1" t="s">
        <v>171</v>
      </c>
      <c r="G30" s="1" t="s">
        <v>155</v>
      </c>
      <c r="H30" s="1" t="s">
        <v>53</v>
      </c>
      <c r="I30" s="1" t="s">
        <v>156</v>
      </c>
      <c r="J30" s="1" t="s">
        <v>56</v>
      </c>
      <c r="K30" s="1" t="s">
        <v>56</v>
      </c>
      <c r="L30" s="11">
        <v>27</v>
      </c>
      <c r="M30" s="1" t="s">
        <v>58</v>
      </c>
      <c r="N30" s="1" t="s">
        <v>59</v>
      </c>
      <c r="O30" s="1" t="s">
        <v>60</v>
      </c>
      <c r="P30" s="1">
        <v>300</v>
      </c>
      <c r="Q30" s="12">
        <v>531.09</v>
      </c>
      <c r="R30" s="1" t="s">
        <v>61</v>
      </c>
      <c r="S30" s="1" t="s">
        <v>167</v>
      </c>
      <c r="T30" s="6" t="s">
        <v>63</v>
      </c>
      <c r="U30" s="13">
        <v>1.5</v>
      </c>
      <c r="V30" s="12">
        <v>796.68</v>
      </c>
      <c r="W30" s="12">
        <v>796.68</v>
      </c>
      <c r="X30" s="1" t="s">
        <v>57</v>
      </c>
    </row>
    <row r="31" spans="1:24" x14ac:dyDescent="0.2">
      <c r="A31" s="1" t="s">
        <v>108</v>
      </c>
      <c r="B31" s="1" t="s">
        <v>47</v>
      </c>
      <c r="C31" s="1" t="s">
        <v>48</v>
      </c>
      <c r="D31" s="1" t="s">
        <v>146</v>
      </c>
      <c r="E31" s="1" t="s">
        <v>172</v>
      </c>
      <c r="F31" s="1" t="s">
        <v>173</v>
      </c>
      <c r="G31" s="1" t="s">
        <v>174</v>
      </c>
      <c r="H31" s="1" t="s">
        <v>141</v>
      </c>
      <c r="I31" s="1" t="s">
        <v>150</v>
      </c>
      <c r="J31" s="1" t="s">
        <v>56</v>
      </c>
      <c r="K31" s="1" t="s">
        <v>56</v>
      </c>
      <c r="L31" s="11">
        <v>53</v>
      </c>
      <c r="M31" s="1" t="s">
        <v>58</v>
      </c>
      <c r="N31" s="1" t="s">
        <v>59</v>
      </c>
      <c r="O31" s="1" t="s">
        <v>60</v>
      </c>
      <c r="P31" s="1">
        <v>150</v>
      </c>
      <c r="Q31" s="12">
        <v>1146.24</v>
      </c>
      <c r="R31" s="1" t="s">
        <v>61</v>
      </c>
      <c r="S31" s="1" t="s">
        <v>167</v>
      </c>
      <c r="T31" s="6" t="s">
        <v>63</v>
      </c>
      <c r="U31" s="13">
        <v>1.5</v>
      </c>
      <c r="V31" s="12">
        <v>1719.36</v>
      </c>
      <c r="W31" s="12">
        <v>1719.36</v>
      </c>
      <c r="X31" s="1" t="s">
        <v>57</v>
      </c>
    </row>
    <row r="32" spans="1:24" x14ac:dyDescent="0.2">
      <c r="A32" s="1" t="s">
        <v>108</v>
      </c>
      <c r="B32" s="1" t="s">
        <v>47</v>
      </c>
      <c r="C32" s="1" t="s">
        <v>48</v>
      </c>
      <c r="D32" s="1" t="s">
        <v>146</v>
      </c>
      <c r="E32" s="1" t="s">
        <v>175</v>
      </c>
      <c r="F32" s="1" t="s">
        <v>176</v>
      </c>
      <c r="G32" s="1" t="s">
        <v>177</v>
      </c>
      <c r="H32" s="1" t="s">
        <v>178</v>
      </c>
      <c r="I32" s="1" t="s">
        <v>150</v>
      </c>
      <c r="J32" s="1" t="s">
        <v>179</v>
      </c>
      <c r="K32" s="1" t="s">
        <v>179</v>
      </c>
      <c r="L32" s="11">
        <v>55</v>
      </c>
      <c r="M32" s="1" t="s">
        <v>58</v>
      </c>
      <c r="N32" s="1" t="s">
        <v>59</v>
      </c>
      <c r="O32" s="1" t="s">
        <v>60</v>
      </c>
      <c r="P32" s="1">
        <v>200</v>
      </c>
      <c r="Q32" s="12">
        <v>1646.82</v>
      </c>
      <c r="R32" s="1" t="s">
        <v>61</v>
      </c>
      <c r="S32" s="1" t="s">
        <v>180</v>
      </c>
      <c r="T32" s="6" t="s">
        <v>63</v>
      </c>
      <c r="U32" s="13">
        <v>1.5</v>
      </c>
      <c r="V32" s="12">
        <v>2000</v>
      </c>
      <c r="W32" s="12">
        <v>2000</v>
      </c>
      <c r="X32" s="1" t="s">
        <v>57</v>
      </c>
    </row>
    <row r="33" spans="1:24" x14ac:dyDescent="0.2">
      <c r="A33" s="1" t="s">
        <v>108</v>
      </c>
      <c r="B33" s="1" t="s">
        <v>47</v>
      </c>
      <c r="C33" s="1" t="s">
        <v>48</v>
      </c>
      <c r="D33" s="1" t="s">
        <v>181</v>
      </c>
      <c r="E33" s="1" t="s">
        <v>182</v>
      </c>
      <c r="F33" s="1" t="s">
        <v>183</v>
      </c>
      <c r="G33" s="1" t="s">
        <v>52</v>
      </c>
      <c r="H33" s="1" t="s">
        <v>141</v>
      </c>
      <c r="I33" s="1" t="s">
        <v>165</v>
      </c>
      <c r="J33" s="1" t="s">
        <v>184</v>
      </c>
      <c r="K33" s="1" t="s">
        <v>179</v>
      </c>
      <c r="L33" s="11">
        <v>34</v>
      </c>
      <c r="M33" s="1" t="s">
        <v>58</v>
      </c>
      <c r="N33" s="1" t="s">
        <v>59</v>
      </c>
      <c r="O33" s="1" t="s">
        <v>60</v>
      </c>
      <c r="P33" s="1">
        <v>300</v>
      </c>
      <c r="Q33" s="12">
        <v>61.94</v>
      </c>
      <c r="R33" s="1" t="s">
        <v>61</v>
      </c>
      <c r="S33" s="1" t="s">
        <v>62</v>
      </c>
      <c r="T33" s="6" t="s">
        <v>63</v>
      </c>
      <c r="U33" s="13">
        <v>1.5</v>
      </c>
      <c r="V33" s="12">
        <v>92.91</v>
      </c>
      <c r="W33" s="12">
        <v>0</v>
      </c>
      <c r="X33" s="1" t="s">
        <v>57</v>
      </c>
    </row>
    <row r="34" spans="1:24" x14ac:dyDescent="0.2">
      <c r="A34" s="1" t="s">
        <v>108</v>
      </c>
      <c r="B34" s="1" t="s">
        <v>47</v>
      </c>
      <c r="C34" s="1" t="s">
        <v>48</v>
      </c>
      <c r="D34" s="1" t="s">
        <v>185</v>
      </c>
      <c r="E34" s="1" t="s">
        <v>186</v>
      </c>
      <c r="F34" s="1" t="s">
        <v>187</v>
      </c>
      <c r="G34" s="1" t="s">
        <v>188</v>
      </c>
      <c r="H34" s="1" t="s">
        <v>178</v>
      </c>
      <c r="I34" s="1" t="s">
        <v>189</v>
      </c>
      <c r="J34" s="1" t="s">
        <v>190</v>
      </c>
      <c r="K34" s="1" t="s">
        <v>95</v>
      </c>
      <c r="L34" s="11">
        <v>55</v>
      </c>
      <c r="M34" s="1" t="s">
        <v>58</v>
      </c>
      <c r="N34" s="1" t="s">
        <v>59</v>
      </c>
      <c r="O34" s="1" t="s">
        <v>60</v>
      </c>
      <c r="P34" s="1">
        <v>50</v>
      </c>
      <c r="Q34" s="12">
        <v>90.66</v>
      </c>
      <c r="R34" s="1" t="s">
        <v>61</v>
      </c>
      <c r="S34" s="1" t="s">
        <v>62</v>
      </c>
      <c r="T34" s="6" t="s">
        <v>63</v>
      </c>
      <c r="U34" s="13">
        <v>1.35</v>
      </c>
      <c r="V34" s="12">
        <v>122.39</v>
      </c>
      <c r="W34" s="12">
        <v>0</v>
      </c>
      <c r="X34" s="1" t="s">
        <v>57</v>
      </c>
    </row>
    <row r="35" spans="1:24" x14ac:dyDescent="0.2">
      <c r="A35" s="1" t="s">
        <v>108</v>
      </c>
      <c r="B35" s="1" t="s">
        <v>47</v>
      </c>
      <c r="C35" s="1" t="s">
        <v>48</v>
      </c>
      <c r="D35" s="1" t="s">
        <v>185</v>
      </c>
      <c r="E35" s="1" t="s">
        <v>191</v>
      </c>
      <c r="F35" s="1" t="s">
        <v>192</v>
      </c>
      <c r="G35" s="1" t="s">
        <v>193</v>
      </c>
      <c r="H35" s="1" t="s">
        <v>73</v>
      </c>
      <c r="I35" s="1" t="s">
        <v>189</v>
      </c>
      <c r="J35" s="1" t="s">
        <v>161</v>
      </c>
      <c r="K35" s="1" t="s">
        <v>56</v>
      </c>
      <c r="L35" s="11">
        <v>52</v>
      </c>
      <c r="M35" s="1" t="s">
        <v>58</v>
      </c>
      <c r="N35" s="1" t="s">
        <v>59</v>
      </c>
      <c r="O35" s="1" t="s">
        <v>60</v>
      </c>
      <c r="P35" s="1">
        <v>100</v>
      </c>
      <c r="Q35" s="12">
        <v>1371.24</v>
      </c>
      <c r="R35" s="1" t="s">
        <v>61</v>
      </c>
      <c r="S35" s="1" t="s">
        <v>167</v>
      </c>
      <c r="T35" s="6" t="s">
        <v>63</v>
      </c>
      <c r="U35" s="13">
        <v>1.35</v>
      </c>
      <c r="V35" s="12">
        <v>1851.17</v>
      </c>
      <c r="W35" s="12">
        <v>1851.17</v>
      </c>
      <c r="X35" s="1" t="s">
        <v>57</v>
      </c>
    </row>
    <row r="36" spans="1:24" x14ac:dyDescent="0.2">
      <c r="A36" s="1" t="s">
        <v>108</v>
      </c>
      <c r="B36" s="1" t="s">
        <v>47</v>
      </c>
      <c r="C36" s="1" t="s">
        <v>48</v>
      </c>
      <c r="D36" s="1" t="s">
        <v>194</v>
      </c>
      <c r="E36" s="1" t="s">
        <v>195</v>
      </c>
      <c r="F36" s="1" t="s">
        <v>196</v>
      </c>
      <c r="G36" s="1" t="s">
        <v>197</v>
      </c>
      <c r="H36" s="1" t="s">
        <v>141</v>
      </c>
      <c r="I36" s="1" t="s">
        <v>189</v>
      </c>
      <c r="J36" s="1" t="s">
        <v>198</v>
      </c>
      <c r="K36" s="1" t="s">
        <v>199</v>
      </c>
      <c r="L36" s="11">
        <v>39</v>
      </c>
      <c r="M36" s="1" t="s">
        <v>58</v>
      </c>
      <c r="N36" s="1" t="s">
        <v>59</v>
      </c>
      <c r="O36" s="1" t="s">
        <v>60</v>
      </c>
      <c r="P36" s="1">
        <v>250</v>
      </c>
      <c r="Q36" s="12">
        <v>135.11000000000001</v>
      </c>
      <c r="R36" s="1" t="s">
        <v>61</v>
      </c>
      <c r="S36" s="1" t="s">
        <v>200</v>
      </c>
      <c r="T36" s="6" t="s">
        <v>63</v>
      </c>
      <c r="U36" s="13">
        <v>1.35</v>
      </c>
      <c r="V36" s="12">
        <v>0</v>
      </c>
      <c r="W36" s="12">
        <v>-182.4</v>
      </c>
      <c r="X36" s="1" t="s">
        <v>57</v>
      </c>
    </row>
    <row r="37" spans="1:24" x14ac:dyDescent="0.2">
      <c r="A37" s="1" t="s">
        <v>108</v>
      </c>
      <c r="B37" s="1" t="s">
        <v>47</v>
      </c>
      <c r="C37" s="1" t="s">
        <v>48</v>
      </c>
      <c r="D37" s="1" t="s">
        <v>201</v>
      </c>
      <c r="E37" s="1" t="s">
        <v>202</v>
      </c>
      <c r="F37" s="1" t="s">
        <v>203</v>
      </c>
      <c r="G37" s="1" t="s">
        <v>52</v>
      </c>
      <c r="H37" s="1" t="s">
        <v>178</v>
      </c>
      <c r="I37" s="1" t="s">
        <v>189</v>
      </c>
      <c r="J37" s="1" t="s">
        <v>204</v>
      </c>
      <c r="K37" s="1" t="s">
        <v>166</v>
      </c>
      <c r="L37" s="11">
        <v>68</v>
      </c>
      <c r="M37" s="1" t="s">
        <v>58</v>
      </c>
      <c r="N37" s="1" t="s">
        <v>59</v>
      </c>
      <c r="O37" s="1" t="s">
        <v>60</v>
      </c>
      <c r="P37" s="1">
        <v>50</v>
      </c>
      <c r="Q37" s="12">
        <v>153.93</v>
      </c>
      <c r="R37" s="1" t="s">
        <v>61</v>
      </c>
      <c r="S37" s="1" t="s">
        <v>62</v>
      </c>
      <c r="T37" s="6" t="s">
        <v>63</v>
      </c>
      <c r="U37" s="13">
        <v>1.35</v>
      </c>
      <c r="V37" s="12">
        <v>0</v>
      </c>
      <c r="W37" s="12">
        <v>-207.81</v>
      </c>
      <c r="X37" s="1" t="s">
        <v>57</v>
      </c>
    </row>
    <row r="38" spans="1:24" x14ac:dyDescent="0.2">
      <c r="A38" s="1" t="s">
        <v>108</v>
      </c>
      <c r="B38" s="1" t="s">
        <v>47</v>
      </c>
      <c r="C38" s="1" t="s">
        <v>48</v>
      </c>
      <c r="D38" s="1" t="s">
        <v>205</v>
      </c>
      <c r="E38" s="1" t="s">
        <v>206</v>
      </c>
      <c r="F38" s="1" t="s">
        <v>207</v>
      </c>
      <c r="G38" s="1" t="s">
        <v>208</v>
      </c>
      <c r="H38" s="1" t="s">
        <v>73</v>
      </c>
      <c r="I38" s="1" t="s">
        <v>150</v>
      </c>
      <c r="J38" s="1" t="s">
        <v>56</v>
      </c>
      <c r="K38" s="1" t="s">
        <v>56</v>
      </c>
      <c r="L38" s="11">
        <v>57</v>
      </c>
      <c r="M38" s="1" t="s">
        <v>58</v>
      </c>
      <c r="N38" s="1" t="s">
        <v>59</v>
      </c>
      <c r="O38" s="1" t="s">
        <v>60</v>
      </c>
      <c r="P38" s="1">
        <v>200</v>
      </c>
      <c r="Q38" s="12">
        <v>1890.36</v>
      </c>
      <c r="R38" s="1" t="s">
        <v>61</v>
      </c>
      <c r="S38" s="1" t="s">
        <v>167</v>
      </c>
      <c r="T38" s="6" t="s">
        <v>63</v>
      </c>
      <c r="U38" s="13">
        <v>1.5</v>
      </c>
      <c r="V38" s="12">
        <v>2000</v>
      </c>
      <c r="W38" s="12">
        <v>2000</v>
      </c>
      <c r="X38" s="1" t="s">
        <v>57</v>
      </c>
    </row>
    <row r="39" spans="1:24" x14ac:dyDescent="0.2">
      <c r="A39" s="1" t="s">
        <v>108</v>
      </c>
      <c r="B39" s="1" t="s">
        <v>47</v>
      </c>
      <c r="C39" s="1" t="s">
        <v>48</v>
      </c>
      <c r="D39" s="1" t="s">
        <v>49</v>
      </c>
      <c r="E39" s="1" t="s">
        <v>209</v>
      </c>
      <c r="F39" s="1" t="s">
        <v>210</v>
      </c>
      <c r="G39" s="1" t="s">
        <v>211</v>
      </c>
      <c r="H39" s="1" t="s">
        <v>141</v>
      </c>
      <c r="I39" s="1" t="s">
        <v>189</v>
      </c>
      <c r="J39" s="1" t="s">
        <v>56</v>
      </c>
      <c r="K39" s="1" t="s">
        <v>56</v>
      </c>
      <c r="L39" s="11">
        <v>57</v>
      </c>
      <c r="M39" s="1" t="s">
        <v>58</v>
      </c>
      <c r="N39" s="1" t="s">
        <v>59</v>
      </c>
      <c r="O39" s="1" t="s">
        <v>60</v>
      </c>
      <c r="P39" s="1">
        <v>150</v>
      </c>
      <c r="Q39" s="12">
        <v>2679.3</v>
      </c>
      <c r="R39" s="1" t="s">
        <v>61</v>
      </c>
      <c r="S39" s="1" t="s">
        <v>212</v>
      </c>
      <c r="T39" s="6" t="s">
        <v>63</v>
      </c>
      <c r="U39" s="13">
        <v>0.67500000000000004</v>
      </c>
      <c r="V39" s="12">
        <v>1808.53</v>
      </c>
      <c r="W39" s="12">
        <v>1808.53</v>
      </c>
      <c r="X39" s="1" t="s">
        <v>57</v>
      </c>
    </row>
    <row r="40" spans="1:24" x14ac:dyDescent="0.2">
      <c r="A40" s="1" t="s">
        <v>108</v>
      </c>
      <c r="B40" s="1" t="s">
        <v>47</v>
      </c>
      <c r="C40" s="1" t="s">
        <v>48</v>
      </c>
      <c r="D40" s="1" t="s">
        <v>49</v>
      </c>
      <c r="E40" s="1" t="s">
        <v>213</v>
      </c>
      <c r="F40" s="1" t="s">
        <v>214</v>
      </c>
      <c r="G40" s="1" t="s">
        <v>155</v>
      </c>
      <c r="H40" s="1" t="s">
        <v>178</v>
      </c>
      <c r="I40" s="1" t="s">
        <v>189</v>
      </c>
      <c r="J40" s="1" t="s">
        <v>56</v>
      </c>
      <c r="K40" s="1" t="s">
        <v>56</v>
      </c>
      <c r="L40" s="11">
        <v>64</v>
      </c>
      <c r="M40" s="1" t="s">
        <v>58</v>
      </c>
      <c r="N40" s="1" t="s">
        <v>59</v>
      </c>
      <c r="O40" s="1" t="s">
        <v>60</v>
      </c>
      <c r="P40" s="1">
        <v>80</v>
      </c>
      <c r="Q40" s="12">
        <v>2136.42</v>
      </c>
      <c r="R40" s="1" t="s">
        <v>61</v>
      </c>
      <c r="S40" s="1" t="s">
        <v>212</v>
      </c>
      <c r="T40" s="6" t="s">
        <v>63</v>
      </c>
      <c r="U40" s="13">
        <v>0.67500000000000004</v>
      </c>
      <c r="V40" s="12">
        <v>1442.08</v>
      </c>
      <c r="W40" s="12">
        <v>1442.08</v>
      </c>
      <c r="X40" s="1" t="s">
        <v>57</v>
      </c>
    </row>
    <row r="41" spans="1:24" x14ac:dyDescent="0.2">
      <c r="A41" s="1" t="s">
        <v>108</v>
      </c>
      <c r="B41" s="1" t="s">
        <v>47</v>
      </c>
      <c r="C41" s="1" t="s">
        <v>48</v>
      </c>
      <c r="D41" s="1" t="s">
        <v>49</v>
      </c>
      <c r="E41" s="1" t="s">
        <v>215</v>
      </c>
      <c r="F41" s="1" t="s">
        <v>216</v>
      </c>
      <c r="G41" s="1" t="s">
        <v>155</v>
      </c>
      <c r="H41" s="1" t="s">
        <v>84</v>
      </c>
      <c r="I41" s="1" t="s">
        <v>189</v>
      </c>
      <c r="J41" s="1" t="s">
        <v>56</v>
      </c>
      <c r="K41" s="1" t="s">
        <v>56</v>
      </c>
      <c r="L41" s="11">
        <v>59</v>
      </c>
      <c r="M41" s="1" t="s">
        <v>58</v>
      </c>
      <c r="N41" s="1" t="s">
        <v>59</v>
      </c>
      <c r="O41" s="1" t="s">
        <v>60</v>
      </c>
      <c r="P41" s="1">
        <v>100</v>
      </c>
      <c r="Q41" s="12">
        <v>1466.82</v>
      </c>
      <c r="R41" s="1" t="s">
        <v>61</v>
      </c>
      <c r="S41" s="1" t="s">
        <v>212</v>
      </c>
      <c r="T41" s="6" t="s">
        <v>63</v>
      </c>
      <c r="U41" s="13">
        <v>0.67500000000000004</v>
      </c>
      <c r="V41" s="12">
        <v>990.1</v>
      </c>
      <c r="W41" s="12">
        <v>990.1</v>
      </c>
      <c r="X41" s="1" t="s">
        <v>57</v>
      </c>
    </row>
    <row r="42" spans="1:24" x14ac:dyDescent="0.2">
      <c r="A42" s="1" t="s">
        <v>108</v>
      </c>
      <c r="B42" s="1" t="s">
        <v>47</v>
      </c>
      <c r="C42" s="1" t="s">
        <v>48</v>
      </c>
      <c r="D42" s="1" t="s">
        <v>49</v>
      </c>
      <c r="E42" s="1" t="s">
        <v>217</v>
      </c>
      <c r="F42" s="1" t="s">
        <v>218</v>
      </c>
      <c r="G42" s="1" t="s">
        <v>219</v>
      </c>
      <c r="H42" s="1" t="s">
        <v>84</v>
      </c>
      <c r="I42" s="1" t="s">
        <v>189</v>
      </c>
      <c r="J42" s="1" t="s">
        <v>220</v>
      </c>
      <c r="K42" s="1" t="s">
        <v>56</v>
      </c>
      <c r="L42" s="11">
        <v>59</v>
      </c>
      <c r="M42" s="1" t="s">
        <v>58</v>
      </c>
      <c r="N42" s="1" t="s">
        <v>59</v>
      </c>
      <c r="O42" s="1" t="s">
        <v>60</v>
      </c>
      <c r="P42" s="1">
        <v>50</v>
      </c>
      <c r="Q42" s="12">
        <v>123.4</v>
      </c>
      <c r="R42" s="1" t="s">
        <v>61</v>
      </c>
      <c r="S42" s="1" t="s">
        <v>62</v>
      </c>
      <c r="T42" s="6" t="s">
        <v>63</v>
      </c>
      <c r="U42" s="13">
        <v>0.67500000000000004</v>
      </c>
      <c r="V42" s="12">
        <v>0</v>
      </c>
      <c r="W42" s="12">
        <v>-83.3</v>
      </c>
      <c r="X42" s="1" t="s">
        <v>57</v>
      </c>
    </row>
    <row r="43" spans="1:24" x14ac:dyDescent="0.2">
      <c r="A43" s="1" t="s">
        <v>108</v>
      </c>
      <c r="B43" s="1" t="s">
        <v>47</v>
      </c>
      <c r="C43" s="1" t="s">
        <v>48</v>
      </c>
      <c r="D43" s="1" t="s">
        <v>49</v>
      </c>
      <c r="E43" s="1" t="s">
        <v>221</v>
      </c>
      <c r="F43" s="1" t="s">
        <v>222</v>
      </c>
      <c r="G43" s="1" t="s">
        <v>208</v>
      </c>
      <c r="H43" s="1" t="s">
        <v>84</v>
      </c>
      <c r="I43" s="1" t="s">
        <v>223</v>
      </c>
      <c r="J43" s="1" t="s">
        <v>224</v>
      </c>
      <c r="K43" s="1" t="s">
        <v>56</v>
      </c>
      <c r="L43" s="11">
        <v>64</v>
      </c>
      <c r="M43" s="1" t="s">
        <v>58</v>
      </c>
      <c r="N43" s="1" t="s">
        <v>59</v>
      </c>
      <c r="O43" s="1" t="s">
        <v>60</v>
      </c>
      <c r="P43" s="1">
        <v>20</v>
      </c>
      <c r="Q43" s="12">
        <v>130.72</v>
      </c>
      <c r="R43" s="1" t="s">
        <v>61</v>
      </c>
      <c r="S43" s="1" t="s">
        <v>62</v>
      </c>
      <c r="T43" s="6" t="s">
        <v>63</v>
      </c>
      <c r="U43" s="13">
        <v>0.875</v>
      </c>
      <c r="V43" s="12">
        <v>0</v>
      </c>
      <c r="W43" s="12">
        <v>-114.38</v>
      </c>
      <c r="X43" s="1" t="s">
        <v>57</v>
      </c>
    </row>
    <row r="44" spans="1:24" x14ac:dyDescent="0.2">
      <c r="A44" s="1" t="s">
        <v>108</v>
      </c>
      <c r="B44" s="1" t="s">
        <v>47</v>
      </c>
      <c r="C44" s="1" t="s">
        <v>48</v>
      </c>
      <c r="D44" s="1" t="s">
        <v>49</v>
      </c>
      <c r="E44" s="1" t="s">
        <v>225</v>
      </c>
      <c r="F44" s="1" t="s">
        <v>226</v>
      </c>
      <c r="G44" s="1" t="s">
        <v>112</v>
      </c>
      <c r="H44" s="1" t="s">
        <v>141</v>
      </c>
      <c r="I44" s="1" t="s">
        <v>189</v>
      </c>
      <c r="J44" s="1" t="s">
        <v>227</v>
      </c>
      <c r="K44" s="1" t="s">
        <v>228</v>
      </c>
      <c r="L44" s="11">
        <v>63</v>
      </c>
      <c r="M44" s="1" t="s">
        <v>58</v>
      </c>
      <c r="N44" s="1" t="s">
        <v>59</v>
      </c>
      <c r="O44" s="1" t="s">
        <v>60</v>
      </c>
      <c r="P44" s="1">
        <v>82</v>
      </c>
      <c r="Q44" s="12">
        <v>180.35</v>
      </c>
      <c r="R44" s="1" t="s">
        <v>61</v>
      </c>
      <c r="S44" s="1" t="s">
        <v>62</v>
      </c>
      <c r="T44" s="6" t="s">
        <v>63</v>
      </c>
      <c r="U44" s="13">
        <v>0.67500000000000004</v>
      </c>
      <c r="V44" s="12">
        <v>0</v>
      </c>
      <c r="W44" s="12">
        <v>-121.74</v>
      </c>
      <c r="X44" s="1" t="s">
        <v>57</v>
      </c>
    </row>
    <row r="45" spans="1:24" x14ac:dyDescent="0.2">
      <c r="A45" s="1" t="s">
        <v>108</v>
      </c>
      <c r="B45" s="1" t="s">
        <v>47</v>
      </c>
      <c r="C45" s="1" t="s">
        <v>48</v>
      </c>
      <c r="D45" s="1" t="s">
        <v>49</v>
      </c>
      <c r="E45" s="1" t="s">
        <v>229</v>
      </c>
      <c r="F45" s="1" t="s">
        <v>230</v>
      </c>
      <c r="G45" s="1" t="s">
        <v>155</v>
      </c>
      <c r="H45" s="1" t="s">
        <v>141</v>
      </c>
      <c r="I45" s="1" t="s">
        <v>150</v>
      </c>
      <c r="J45" s="1" t="s">
        <v>227</v>
      </c>
      <c r="K45" s="1" t="s">
        <v>228</v>
      </c>
      <c r="L45" s="11">
        <v>64</v>
      </c>
      <c r="M45" s="1" t="s">
        <v>58</v>
      </c>
      <c r="N45" s="1" t="s">
        <v>59</v>
      </c>
      <c r="O45" s="1" t="s">
        <v>60</v>
      </c>
      <c r="P45" s="1">
        <v>125</v>
      </c>
      <c r="Q45" s="12">
        <v>251.31</v>
      </c>
      <c r="R45" s="1" t="s">
        <v>61</v>
      </c>
      <c r="S45" s="1" t="s">
        <v>62</v>
      </c>
      <c r="T45" s="6" t="s">
        <v>63</v>
      </c>
      <c r="U45" s="13">
        <v>1.5</v>
      </c>
      <c r="V45" s="12">
        <v>0</v>
      </c>
      <c r="W45" s="12">
        <v>-376.97</v>
      </c>
      <c r="X45" s="1" t="s">
        <v>57</v>
      </c>
    </row>
    <row r="46" spans="1:24" x14ac:dyDescent="0.2">
      <c r="A46" s="1" t="s">
        <v>108</v>
      </c>
      <c r="B46" s="1" t="s">
        <v>47</v>
      </c>
      <c r="C46" s="1" t="s">
        <v>48</v>
      </c>
      <c r="D46" s="1" t="s">
        <v>49</v>
      </c>
      <c r="E46" s="1" t="s">
        <v>231</v>
      </c>
      <c r="F46" s="1" t="s">
        <v>232</v>
      </c>
      <c r="G46" s="1" t="s">
        <v>52</v>
      </c>
      <c r="H46" s="1" t="s">
        <v>141</v>
      </c>
      <c r="I46" s="1" t="s">
        <v>150</v>
      </c>
      <c r="J46" s="1" t="s">
        <v>233</v>
      </c>
      <c r="K46" s="1" t="s">
        <v>228</v>
      </c>
      <c r="L46" s="11">
        <v>57</v>
      </c>
      <c r="M46" s="1" t="s">
        <v>58</v>
      </c>
      <c r="N46" s="1" t="s">
        <v>59</v>
      </c>
      <c r="O46" s="1" t="s">
        <v>60</v>
      </c>
      <c r="P46" s="1">
        <v>250</v>
      </c>
      <c r="Q46" s="12">
        <v>278.35000000000002</v>
      </c>
      <c r="R46" s="1" t="s">
        <v>61</v>
      </c>
      <c r="S46" s="1" t="s">
        <v>62</v>
      </c>
      <c r="T46" s="6" t="s">
        <v>63</v>
      </c>
      <c r="U46" s="13">
        <v>1.5</v>
      </c>
      <c r="V46" s="12">
        <v>0</v>
      </c>
      <c r="W46" s="12">
        <v>-417.53</v>
      </c>
      <c r="X46" s="1" t="s">
        <v>57</v>
      </c>
    </row>
    <row r="47" spans="1:24" x14ac:dyDescent="0.2">
      <c r="A47" s="1" t="s">
        <v>108</v>
      </c>
      <c r="B47" s="1" t="s">
        <v>47</v>
      </c>
      <c r="C47" s="1" t="s">
        <v>48</v>
      </c>
      <c r="D47" s="1" t="s">
        <v>49</v>
      </c>
      <c r="E47" s="1" t="s">
        <v>234</v>
      </c>
      <c r="F47" s="1" t="s">
        <v>235</v>
      </c>
      <c r="G47" s="1" t="s">
        <v>188</v>
      </c>
      <c r="H47" s="1" t="s">
        <v>73</v>
      </c>
      <c r="I47" s="1" t="s">
        <v>189</v>
      </c>
      <c r="J47" s="1" t="s">
        <v>236</v>
      </c>
      <c r="K47" s="1" t="s">
        <v>237</v>
      </c>
      <c r="L47" s="11">
        <v>64</v>
      </c>
      <c r="M47" s="1" t="s">
        <v>58</v>
      </c>
      <c r="N47" s="1" t="s">
        <v>59</v>
      </c>
      <c r="O47" s="1" t="s">
        <v>60</v>
      </c>
      <c r="P47" s="1">
        <v>100</v>
      </c>
      <c r="Q47" s="12">
        <v>234.36</v>
      </c>
      <c r="R47" s="1" t="s">
        <v>61</v>
      </c>
      <c r="S47" s="1" t="s">
        <v>200</v>
      </c>
      <c r="T47" s="6" t="s">
        <v>63</v>
      </c>
      <c r="U47" s="13">
        <v>0.67500000000000004</v>
      </c>
      <c r="V47" s="12">
        <v>0</v>
      </c>
      <c r="W47" s="12">
        <v>-158.19</v>
      </c>
      <c r="X47" s="1" t="s">
        <v>57</v>
      </c>
    </row>
    <row r="48" spans="1:24" x14ac:dyDescent="0.2">
      <c r="A48" s="1" t="s">
        <v>108</v>
      </c>
      <c r="B48" s="1" t="s">
        <v>47</v>
      </c>
      <c r="C48" s="1" t="s">
        <v>48</v>
      </c>
      <c r="D48" s="1" t="s">
        <v>49</v>
      </c>
      <c r="E48" s="1" t="s">
        <v>234</v>
      </c>
      <c r="F48" s="1" t="s">
        <v>235</v>
      </c>
      <c r="G48" s="1" t="s">
        <v>188</v>
      </c>
      <c r="H48" s="1" t="s">
        <v>178</v>
      </c>
      <c r="I48" s="1" t="s">
        <v>189</v>
      </c>
      <c r="J48" s="1" t="s">
        <v>236</v>
      </c>
      <c r="K48" s="1" t="s">
        <v>237</v>
      </c>
      <c r="L48" s="11">
        <v>64</v>
      </c>
      <c r="M48" s="1" t="s">
        <v>58</v>
      </c>
      <c r="N48" s="1" t="s">
        <v>59</v>
      </c>
      <c r="O48" s="1" t="s">
        <v>60</v>
      </c>
      <c r="P48" s="1">
        <v>100</v>
      </c>
      <c r="Q48" s="12">
        <v>234.36</v>
      </c>
      <c r="R48" s="1" t="s">
        <v>61</v>
      </c>
      <c r="S48" s="1" t="s">
        <v>62</v>
      </c>
      <c r="T48" s="6" t="s">
        <v>63</v>
      </c>
      <c r="U48" s="13">
        <v>0.67500000000000004</v>
      </c>
      <c r="V48" s="12">
        <v>0</v>
      </c>
      <c r="W48" s="12">
        <v>-158.19</v>
      </c>
      <c r="X48" s="1" t="s">
        <v>57</v>
      </c>
    </row>
    <row r="49" spans="1:24" x14ac:dyDescent="0.2">
      <c r="A49" s="1" t="s">
        <v>108</v>
      </c>
      <c r="B49" s="1" t="s">
        <v>47</v>
      </c>
      <c r="C49" s="1" t="s">
        <v>48</v>
      </c>
      <c r="D49" s="1" t="s">
        <v>49</v>
      </c>
      <c r="E49" s="1" t="s">
        <v>238</v>
      </c>
      <c r="F49" s="1" t="s">
        <v>239</v>
      </c>
      <c r="G49" s="1" t="s">
        <v>155</v>
      </c>
      <c r="H49" s="1" t="s">
        <v>84</v>
      </c>
      <c r="I49" s="1" t="s">
        <v>189</v>
      </c>
      <c r="J49" s="1" t="s">
        <v>53</v>
      </c>
      <c r="K49" s="1" t="s">
        <v>228</v>
      </c>
      <c r="L49" s="11">
        <v>67</v>
      </c>
      <c r="M49" s="1" t="s">
        <v>58</v>
      </c>
      <c r="N49" s="1" t="s">
        <v>59</v>
      </c>
      <c r="O49" s="1" t="s">
        <v>60</v>
      </c>
      <c r="P49" s="1">
        <v>25</v>
      </c>
      <c r="Q49" s="12">
        <v>75.55</v>
      </c>
      <c r="R49" s="1" t="s">
        <v>61</v>
      </c>
      <c r="S49" s="1" t="s">
        <v>200</v>
      </c>
      <c r="T49" s="6" t="s">
        <v>63</v>
      </c>
      <c r="U49" s="13">
        <v>0.67500000000000004</v>
      </c>
      <c r="V49" s="12">
        <v>0</v>
      </c>
      <c r="W49" s="12">
        <v>-51</v>
      </c>
      <c r="X49" s="1" t="s">
        <v>57</v>
      </c>
    </row>
    <row r="50" spans="1:24" x14ac:dyDescent="0.2">
      <c r="A50" s="1" t="s">
        <v>108</v>
      </c>
      <c r="B50" s="1" t="s">
        <v>47</v>
      </c>
      <c r="C50" s="1" t="s">
        <v>48</v>
      </c>
      <c r="D50" s="1" t="s">
        <v>240</v>
      </c>
      <c r="E50" s="1" t="s">
        <v>241</v>
      </c>
      <c r="F50" s="1" t="s">
        <v>242</v>
      </c>
      <c r="G50" s="1" t="s">
        <v>243</v>
      </c>
      <c r="H50" s="1" t="s">
        <v>84</v>
      </c>
      <c r="I50" s="1" t="s">
        <v>189</v>
      </c>
      <c r="J50" s="1" t="s">
        <v>244</v>
      </c>
      <c r="K50" s="1" t="s">
        <v>245</v>
      </c>
      <c r="L50" s="11">
        <v>59</v>
      </c>
      <c r="M50" s="1" t="s">
        <v>58</v>
      </c>
      <c r="N50" s="1" t="s">
        <v>59</v>
      </c>
      <c r="O50" s="1" t="s">
        <v>60</v>
      </c>
      <c r="P50" s="1">
        <v>84</v>
      </c>
      <c r="Q50" s="12">
        <v>-190</v>
      </c>
      <c r="R50" s="1" t="s">
        <v>61</v>
      </c>
      <c r="S50" s="1" t="s">
        <v>246</v>
      </c>
      <c r="T50" s="6" t="s">
        <v>63</v>
      </c>
      <c r="U50" s="13">
        <v>0.67500000000000004</v>
      </c>
      <c r="V50" s="12">
        <v>0</v>
      </c>
      <c r="W50" s="12">
        <v>128.25</v>
      </c>
      <c r="X50" s="1" t="s">
        <v>57</v>
      </c>
    </row>
    <row r="51" spans="1:24" x14ac:dyDescent="0.2">
      <c r="A51" s="1" t="s">
        <v>108</v>
      </c>
      <c r="B51" s="1" t="s">
        <v>47</v>
      </c>
      <c r="C51" s="1" t="s">
        <v>48</v>
      </c>
      <c r="D51" s="1" t="s">
        <v>240</v>
      </c>
      <c r="E51" s="1" t="s">
        <v>247</v>
      </c>
      <c r="F51" s="1" t="s">
        <v>248</v>
      </c>
      <c r="G51" s="1" t="s">
        <v>249</v>
      </c>
      <c r="H51" s="1" t="s">
        <v>141</v>
      </c>
      <c r="I51" s="1" t="s">
        <v>189</v>
      </c>
      <c r="J51" s="1" t="s">
        <v>250</v>
      </c>
      <c r="K51" s="1" t="s">
        <v>250</v>
      </c>
      <c r="L51" s="11">
        <v>31</v>
      </c>
      <c r="M51" s="1" t="s">
        <v>58</v>
      </c>
      <c r="N51" s="1" t="s">
        <v>59</v>
      </c>
      <c r="O51" s="1" t="s">
        <v>60</v>
      </c>
      <c r="P51" s="1">
        <v>170</v>
      </c>
      <c r="Q51" s="12">
        <v>539.82000000000005</v>
      </c>
      <c r="R51" s="1" t="s">
        <v>61</v>
      </c>
      <c r="S51" s="1" t="s">
        <v>212</v>
      </c>
      <c r="T51" s="6" t="s">
        <v>63</v>
      </c>
      <c r="U51" s="13">
        <v>0.67500000000000004</v>
      </c>
      <c r="V51" s="12">
        <v>364.38</v>
      </c>
      <c r="W51" s="12">
        <v>364.38</v>
      </c>
      <c r="X51" s="1" t="s">
        <v>57</v>
      </c>
    </row>
    <row r="52" spans="1:24" x14ac:dyDescent="0.2">
      <c r="A52" s="1" t="s">
        <v>108</v>
      </c>
      <c r="B52" s="1" t="s">
        <v>47</v>
      </c>
      <c r="C52" s="1" t="s">
        <v>48</v>
      </c>
      <c r="D52" s="1" t="s">
        <v>240</v>
      </c>
      <c r="E52" s="1" t="s">
        <v>251</v>
      </c>
      <c r="F52" s="1" t="s">
        <v>252</v>
      </c>
      <c r="G52" s="1" t="s">
        <v>249</v>
      </c>
      <c r="H52" s="1" t="s">
        <v>141</v>
      </c>
      <c r="I52" s="1" t="s">
        <v>189</v>
      </c>
      <c r="J52" s="1" t="s">
        <v>250</v>
      </c>
      <c r="K52" s="1" t="s">
        <v>250</v>
      </c>
      <c r="L52" s="11">
        <v>29</v>
      </c>
      <c r="M52" s="1" t="s">
        <v>58</v>
      </c>
      <c r="N52" s="1" t="s">
        <v>59</v>
      </c>
      <c r="O52" s="1" t="s">
        <v>60</v>
      </c>
      <c r="P52" s="1">
        <v>120</v>
      </c>
      <c r="Q52" s="12">
        <v>537.12</v>
      </c>
      <c r="R52" s="1" t="s">
        <v>61</v>
      </c>
      <c r="S52" s="1" t="s">
        <v>212</v>
      </c>
      <c r="T52" s="6" t="s">
        <v>63</v>
      </c>
      <c r="U52" s="13">
        <v>0.67500000000000004</v>
      </c>
      <c r="V52" s="12">
        <v>362.56</v>
      </c>
      <c r="W52" s="12">
        <v>362.56</v>
      </c>
      <c r="X52" s="1" t="s">
        <v>57</v>
      </c>
    </row>
    <row r="53" spans="1:24" x14ac:dyDescent="0.2">
      <c r="A53" s="1" t="s">
        <v>108</v>
      </c>
      <c r="B53" s="1" t="s">
        <v>47</v>
      </c>
      <c r="C53" s="1" t="s">
        <v>48</v>
      </c>
      <c r="D53" s="1" t="s">
        <v>240</v>
      </c>
      <c r="E53" s="1" t="s">
        <v>253</v>
      </c>
      <c r="F53" s="1" t="s">
        <v>254</v>
      </c>
      <c r="G53" s="1" t="s">
        <v>155</v>
      </c>
      <c r="H53" s="1" t="s">
        <v>178</v>
      </c>
      <c r="I53" s="1" t="s">
        <v>189</v>
      </c>
      <c r="J53" s="1" t="s">
        <v>56</v>
      </c>
      <c r="K53" s="1" t="s">
        <v>56</v>
      </c>
      <c r="L53" s="11">
        <v>59</v>
      </c>
      <c r="M53" s="1" t="s">
        <v>58</v>
      </c>
      <c r="N53" s="1" t="s">
        <v>59</v>
      </c>
      <c r="O53" s="1" t="s">
        <v>60</v>
      </c>
      <c r="P53" s="1">
        <v>81</v>
      </c>
      <c r="Q53" s="12">
        <v>1208.97</v>
      </c>
      <c r="R53" s="1" t="s">
        <v>61</v>
      </c>
      <c r="S53" s="1" t="s">
        <v>212</v>
      </c>
      <c r="T53" s="6" t="s">
        <v>63</v>
      </c>
      <c r="U53" s="13">
        <v>0.67500000000000004</v>
      </c>
      <c r="V53" s="12">
        <v>816.05</v>
      </c>
      <c r="W53" s="12">
        <v>816.05</v>
      </c>
      <c r="X53" s="1" t="s">
        <v>57</v>
      </c>
    </row>
    <row r="54" spans="1:24" x14ac:dyDescent="0.2">
      <c r="A54" s="1" t="s">
        <v>108</v>
      </c>
      <c r="B54" s="1" t="s">
        <v>47</v>
      </c>
      <c r="C54" s="1" t="s">
        <v>48</v>
      </c>
      <c r="D54" s="1" t="s">
        <v>109</v>
      </c>
      <c r="E54" s="1" t="s">
        <v>255</v>
      </c>
      <c r="F54" s="1" t="s">
        <v>256</v>
      </c>
      <c r="G54" s="1" t="s">
        <v>112</v>
      </c>
      <c r="H54" s="1" t="s">
        <v>141</v>
      </c>
      <c r="I54" s="1" t="s">
        <v>257</v>
      </c>
      <c r="J54" s="1" t="s">
        <v>258</v>
      </c>
      <c r="K54" s="1" t="s">
        <v>259</v>
      </c>
      <c r="L54" s="11">
        <v>65</v>
      </c>
      <c r="M54" s="1" t="s">
        <v>58</v>
      </c>
      <c r="N54" s="1" t="s">
        <v>59</v>
      </c>
      <c r="O54" s="1" t="s">
        <v>60</v>
      </c>
      <c r="P54" s="1">
        <v>20</v>
      </c>
      <c r="Q54" s="12">
        <v>109.75</v>
      </c>
      <c r="R54" s="1" t="s">
        <v>99</v>
      </c>
      <c r="S54" s="1" t="s">
        <v>100</v>
      </c>
      <c r="T54" s="6" t="s">
        <v>63</v>
      </c>
      <c r="U54" s="13">
        <v>7.0000000000000007E-2</v>
      </c>
      <c r="V54" s="12">
        <v>7.68</v>
      </c>
      <c r="W54" s="12">
        <v>0</v>
      </c>
      <c r="X54" s="1" t="s">
        <v>57</v>
      </c>
    </row>
    <row r="55" spans="1:24" x14ac:dyDescent="0.2">
      <c r="A55" s="1" t="s">
        <v>108</v>
      </c>
      <c r="B55" s="1" t="s">
        <v>47</v>
      </c>
      <c r="C55" s="1" t="s">
        <v>48</v>
      </c>
      <c r="D55" s="1" t="s">
        <v>49</v>
      </c>
      <c r="E55" s="1" t="s">
        <v>260</v>
      </c>
      <c r="F55" s="1" t="s">
        <v>261</v>
      </c>
      <c r="G55" s="1" t="s">
        <v>149</v>
      </c>
      <c r="H55" s="1" t="s">
        <v>178</v>
      </c>
      <c r="I55" s="1" t="s">
        <v>189</v>
      </c>
      <c r="J55" s="1" t="s">
        <v>262</v>
      </c>
      <c r="K55" s="1" t="s">
        <v>262</v>
      </c>
      <c r="L55" s="11">
        <v>62</v>
      </c>
      <c r="M55" s="1" t="s">
        <v>58</v>
      </c>
      <c r="N55" s="1" t="s">
        <v>59</v>
      </c>
      <c r="O55" s="1" t="s">
        <v>60</v>
      </c>
      <c r="P55" s="1">
        <v>150</v>
      </c>
      <c r="Q55" s="12">
        <v>2695.14</v>
      </c>
      <c r="R55" s="1" t="s">
        <v>61</v>
      </c>
      <c r="S55" s="1" t="s">
        <v>212</v>
      </c>
      <c r="T55" s="6" t="s">
        <v>63</v>
      </c>
      <c r="U55" s="13">
        <v>0.67500000000000004</v>
      </c>
      <c r="V55" s="12">
        <v>1819.22</v>
      </c>
      <c r="W55" s="12">
        <v>1819.22</v>
      </c>
      <c r="X55" s="1" t="s">
        <v>57</v>
      </c>
    </row>
    <row r="56" spans="1:24" x14ac:dyDescent="0.2">
      <c r="A56" s="1" t="s">
        <v>108</v>
      </c>
      <c r="B56" s="1" t="s">
        <v>47</v>
      </c>
      <c r="C56" s="1" t="s">
        <v>48</v>
      </c>
      <c r="D56" s="1" t="s">
        <v>263</v>
      </c>
      <c r="E56" s="1" t="s">
        <v>264</v>
      </c>
      <c r="F56" s="1" t="s">
        <v>265</v>
      </c>
      <c r="G56" s="1" t="s">
        <v>193</v>
      </c>
      <c r="H56" s="1" t="s">
        <v>178</v>
      </c>
      <c r="I56" s="1" t="s">
        <v>150</v>
      </c>
      <c r="J56" s="1" t="s">
        <v>266</v>
      </c>
      <c r="K56" s="1" t="s">
        <v>166</v>
      </c>
      <c r="L56" s="11">
        <v>61</v>
      </c>
      <c r="M56" s="1" t="s">
        <v>58</v>
      </c>
      <c r="N56" s="1" t="s">
        <v>59</v>
      </c>
      <c r="O56" s="1" t="s">
        <v>60</v>
      </c>
      <c r="P56" s="1">
        <v>50</v>
      </c>
      <c r="Q56" s="12">
        <v>76.180000000000007</v>
      </c>
      <c r="R56" s="1" t="s">
        <v>61</v>
      </c>
      <c r="S56" s="1" t="s">
        <v>62</v>
      </c>
      <c r="T56" s="6" t="s">
        <v>63</v>
      </c>
      <c r="U56" s="13">
        <v>1.5</v>
      </c>
      <c r="V56" s="12">
        <v>0</v>
      </c>
      <c r="W56" s="12">
        <v>-114.27</v>
      </c>
      <c r="X56" s="1" t="s">
        <v>57</v>
      </c>
    </row>
    <row r="57" spans="1:24" x14ac:dyDescent="0.2">
      <c r="A57" s="1" t="s">
        <v>108</v>
      </c>
      <c r="B57" s="1" t="s">
        <v>47</v>
      </c>
      <c r="C57" s="1" t="s">
        <v>267</v>
      </c>
      <c r="D57" s="1" t="s">
        <v>194</v>
      </c>
      <c r="E57" s="1" t="s">
        <v>268</v>
      </c>
      <c r="F57" s="1" t="s">
        <v>269</v>
      </c>
      <c r="G57" s="1" t="s">
        <v>155</v>
      </c>
      <c r="H57" s="1" t="s">
        <v>178</v>
      </c>
      <c r="I57" s="1" t="s">
        <v>150</v>
      </c>
      <c r="J57" s="1" t="s">
        <v>270</v>
      </c>
      <c r="K57" s="1" t="s">
        <v>271</v>
      </c>
      <c r="L57" s="11">
        <v>36</v>
      </c>
      <c r="M57" s="1" t="s">
        <v>58</v>
      </c>
      <c r="N57" s="1" t="s">
        <v>59</v>
      </c>
      <c r="O57" s="1" t="s">
        <v>60</v>
      </c>
      <c r="P57" s="1">
        <v>300</v>
      </c>
      <c r="Q57" s="12">
        <v>65.42</v>
      </c>
      <c r="R57" s="1" t="s">
        <v>61</v>
      </c>
      <c r="S57" s="1" t="s">
        <v>62</v>
      </c>
      <c r="T57" s="6" t="s">
        <v>63</v>
      </c>
      <c r="U57" s="13">
        <v>1.5</v>
      </c>
      <c r="V57" s="12">
        <v>0</v>
      </c>
      <c r="W57" s="12">
        <v>-98.13</v>
      </c>
      <c r="X57" s="1" t="s">
        <v>57</v>
      </c>
    </row>
    <row r="58" spans="1:24" x14ac:dyDescent="0.2">
      <c r="A58" s="1" t="s">
        <v>108</v>
      </c>
      <c r="B58" s="1" t="s">
        <v>47</v>
      </c>
      <c r="C58" s="1" t="s">
        <v>267</v>
      </c>
      <c r="D58" s="1" t="s">
        <v>272</v>
      </c>
      <c r="E58" s="1" t="s">
        <v>273</v>
      </c>
      <c r="F58" s="1" t="s">
        <v>274</v>
      </c>
      <c r="G58" s="1" t="s">
        <v>275</v>
      </c>
      <c r="H58" s="1" t="s">
        <v>84</v>
      </c>
      <c r="I58" s="1" t="s">
        <v>165</v>
      </c>
      <c r="J58" s="1" t="s">
        <v>276</v>
      </c>
      <c r="K58" s="1" t="s">
        <v>95</v>
      </c>
      <c r="L58" s="11">
        <v>32</v>
      </c>
      <c r="M58" s="1" t="s">
        <v>58</v>
      </c>
      <c r="N58" s="1" t="s">
        <v>59</v>
      </c>
      <c r="O58" s="1" t="s">
        <v>60</v>
      </c>
      <c r="P58" s="1">
        <v>250</v>
      </c>
      <c r="Q58" s="12">
        <v>51.84</v>
      </c>
      <c r="R58" s="1" t="s">
        <v>61</v>
      </c>
      <c r="S58" s="1" t="s">
        <v>62</v>
      </c>
      <c r="T58" s="6" t="s">
        <v>63</v>
      </c>
      <c r="U58" s="13">
        <v>1.5</v>
      </c>
      <c r="V58" s="12">
        <v>77.760000000000005</v>
      </c>
      <c r="W58" s="12">
        <v>0</v>
      </c>
      <c r="X58" s="1" t="s">
        <v>57</v>
      </c>
    </row>
    <row r="59" spans="1:24" x14ac:dyDescent="0.2">
      <c r="A59" s="1" t="s">
        <v>108</v>
      </c>
      <c r="B59" s="1" t="s">
        <v>47</v>
      </c>
      <c r="C59" s="1" t="s">
        <v>267</v>
      </c>
      <c r="D59" s="1" t="s">
        <v>272</v>
      </c>
      <c r="E59" s="1" t="s">
        <v>277</v>
      </c>
      <c r="F59" s="1" t="s">
        <v>278</v>
      </c>
      <c r="G59" s="1" t="s">
        <v>275</v>
      </c>
      <c r="H59" s="1" t="s">
        <v>84</v>
      </c>
      <c r="I59" s="1" t="s">
        <v>165</v>
      </c>
      <c r="J59" s="1" t="s">
        <v>276</v>
      </c>
      <c r="K59" s="1" t="s">
        <v>95</v>
      </c>
      <c r="L59" s="11">
        <v>31</v>
      </c>
      <c r="M59" s="1" t="s">
        <v>58</v>
      </c>
      <c r="N59" s="1" t="s">
        <v>59</v>
      </c>
      <c r="O59" s="1" t="s">
        <v>60</v>
      </c>
      <c r="P59" s="1">
        <v>25</v>
      </c>
      <c r="Q59" s="12">
        <v>9.5</v>
      </c>
      <c r="R59" s="1" t="s">
        <v>61</v>
      </c>
      <c r="S59" s="1" t="s">
        <v>62</v>
      </c>
      <c r="T59" s="6" t="s">
        <v>63</v>
      </c>
      <c r="U59" s="13">
        <v>1.5</v>
      </c>
      <c r="V59" s="12">
        <v>14.25</v>
      </c>
      <c r="W59" s="12">
        <v>0</v>
      </c>
      <c r="X59" s="1" t="s">
        <v>57</v>
      </c>
    </row>
    <row r="60" spans="1:24" x14ac:dyDescent="0.2">
      <c r="A60" s="1" t="s">
        <v>108</v>
      </c>
      <c r="B60" s="1" t="s">
        <v>47</v>
      </c>
      <c r="C60" s="1" t="s">
        <v>267</v>
      </c>
      <c r="D60" s="1" t="s">
        <v>279</v>
      </c>
      <c r="E60" s="1" t="s">
        <v>280</v>
      </c>
      <c r="F60" s="1" t="s">
        <v>281</v>
      </c>
      <c r="G60" s="1" t="s">
        <v>52</v>
      </c>
      <c r="H60" s="1" t="s">
        <v>141</v>
      </c>
      <c r="I60" s="1" t="s">
        <v>282</v>
      </c>
      <c r="J60" s="1" t="s">
        <v>88</v>
      </c>
      <c r="K60" s="1" t="s">
        <v>56</v>
      </c>
      <c r="L60" s="11">
        <v>41</v>
      </c>
      <c r="M60" s="1" t="s">
        <v>58</v>
      </c>
      <c r="N60" s="1" t="s">
        <v>59</v>
      </c>
      <c r="O60" s="1" t="s">
        <v>60</v>
      </c>
      <c r="P60" s="1">
        <v>1000</v>
      </c>
      <c r="Q60" s="12">
        <v>42.14</v>
      </c>
      <c r="R60" s="1" t="s">
        <v>61</v>
      </c>
      <c r="S60" s="1" t="s">
        <v>62</v>
      </c>
      <c r="T60" s="6" t="s">
        <v>63</v>
      </c>
      <c r="U60" s="13">
        <v>1.1399999999999999</v>
      </c>
      <c r="V60" s="12">
        <v>0</v>
      </c>
      <c r="W60" s="12">
        <v>-48.04</v>
      </c>
      <c r="X60" s="1" t="s">
        <v>57</v>
      </c>
    </row>
    <row r="61" spans="1:24" x14ac:dyDescent="0.2">
      <c r="A61" s="1" t="s">
        <v>108</v>
      </c>
      <c r="B61" s="1" t="s">
        <v>47</v>
      </c>
      <c r="C61" s="1" t="s">
        <v>267</v>
      </c>
      <c r="D61" s="1" t="s">
        <v>283</v>
      </c>
      <c r="E61" s="1" t="s">
        <v>284</v>
      </c>
      <c r="F61" s="1" t="s">
        <v>285</v>
      </c>
      <c r="G61" s="1" t="s">
        <v>193</v>
      </c>
      <c r="H61" s="1" t="s">
        <v>141</v>
      </c>
      <c r="I61" s="1" t="s">
        <v>257</v>
      </c>
      <c r="J61" s="1" t="s">
        <v>286</v>
      </c>
      <c r="K61" s="1" t="s">
        <v>228</v>
      </c>
      <c r="L61" s="11">
        <v>54</v>
      </c>
      <c r="M61" s="1" t="s">
        <v>58</v>
      </c>
      <c r="N61" s="1" t="s">
        <v>59</v>
      </c>
      <c r="O61" s="1" t="s">
        <v>60</v>
      </c>
      <c r="P61" s="1">
        <v>50</v>
      </c>
      <c r="Q61" s="12">
        <v>122.6</v>
      </c>
      <c r="R61" s="1" t="s">
        <v>99</v>
      </c>
      <c r="S61" s="1" t="s">
        <v>100</v>
      </c>
      <c r="T61" s="6" t="s">
        <v>63</v>
      </c>
      <c r="U61" s="13">
        <v>7.0000000000000007E-2</v>
      </c>
      <c r="V61" s="12">
        <v>8.58</v>
      </c>
      <c r="W61" s="12">
        <v>0</v>
      </c>
      <c r="X61" s="1" t="s">
        <v>57</v>
      </c>
    </row>
    <row r="62" spans="1:24" x14ac:dyDescent="0.2">
      <c r="A62" s="1" t="s">
        <v>108</v>
      </c>
      <c r="B62" s="1" t="s">
        <v>47</v>
      </c>
      <c r="C62" s="1" t="s">
        <v>267</v>
      </c>
      <c r="D62" s="1" t="s">
        <v>283</v>
      </c>
      <c r="E62" s="1" t="s">
        <v>287</v>
      </c>
      <c r="F62" s="1" t="s">
        <v>288</v>
      </c>
      <c r="G62" s="1" t="s">
        <v>193</v>
      </c>
      <c r="H62" s="1" t="s">
        <v>141</v>
      </c>
      <c r="I62" s="1" t="s">
        <v>257</v>
      </c>
      <c r="J62" s="1" t="s">
        <v>286</v>
      </c>
      <c r="K62" s="1" t="s">
        <v>228</v>
      </c>
      <c r="L62" s="11">
        <v>52</v>
      </c>
      <c r="M62" s="1" t="s">
        <v>58</v>
      </c>
      <c r="N62" s="1" t="s">
        <v>59</v>
      </c>
      <c r="O62" s="1" t="s">
        <v>60</v>
      </c>
      <c r="P62" s="1">
        <v>50</v>
      </c>
      <c r="Q62" s="12">
        <v>191.04</v>
      </c>
      <c r="R62" s="1" t="s">
        <v>99</v>
      </c>
      <c r="S62" s="1" t="s">
        <v>100</v>
      </c>
      <c r="T62" s="6" t="s">
        <v>63</v>
      </c>
      <c r="U62" s="13">
        <v>7.0000000000000007E-2</v>
      </c>
      <c r="V62" s="12">
        <v>13.37</v>
      </c>
      <c r="W62" s="12">
        <v>0</v>
      </c>
      <c r="X62" s="1" t="s">
        <v>57</v>
      </c>
    </row>
    <row r="63" spans="1:24" x14ac:dyDescent="0.2">
      <c r="A63" s="1" t="s">
        <v>108</v>
      </c>
      <c r="B63" s="1" t="s">
        <v>47</v>
      </c>
      <c r="C63" s="1" t="s">
        <v>267</v>
      </c>
      <c r="D63" s="1" t="s">
        <v>289</v>
      </c>
      <c r="E63" s="1" t="s">
        <v>290</v>
      </c>
      <c r="F63" s="1" t="s">
        <v>291</v>
      </c>
      <c r="G63" s="1" t="s">
        <v>193</v>
      </c>
      <c r="H63" s="1" t="s">
        <v>141</v>
      </c>
      <c r="I63" s="1" t="s">
        <v>165</v>
      </c>
      <c r="J63" s="1" t="s">
        <v>74</v>
      </c>
      <c r="K63" s="1" t="s">
        <v>56</v>
      </c>
      <c r="L63" s="11">
        <v>60</v>
      </c>
      <c r="M63" s="1" t="s">
        <v>58</v>
      </c>
      <c r="N63" s="1" t="s">
        <v>59</v>
      </c>
      <c r="O63" s="1" t="s">
        <v>60</v>
      </c>
      <c r="P63" s="1">
        <v>40</v>
      </c>
      <c r="Q63" s="12">
        <v>82.81</v>
      </c>
      <c r="R63" s="1" t="s">
        <v>61</v>
      </c>
      <c r="S63" s="1" t="s">
        <v>62</v>
      </c>
      <c r="T63" s="6" t="s">
        <v>63</v>
      </c>
      <c r="U63" s="13">
        <v>1.5</v>
      </c>
      <c r="V63" s="12">
        <v>124.22</v>
      </c>
      <c r="W63" s="12">
        <v>0</v>
      </c>
      <c r="X63" s="1" t="s">
        <v>57</v>
      </c>
    </row>
    <row r="64" spans="1:24" x14ac:dyDescent="0.2">
      <c r="A64" s="1" t="s">
        <v>108</v>
      </c>
      <c r="B64" s="1" t="s">
        <v>47</v>
      </c>
      <c r="C64" s="1" t="s">
        <v>267</v>
      </c>
      <c r="D64" s="1" t="s">
        <v>292</v>
      </c>
      <c r="E64" s="1" t="s">
        <v>293</v>
      </c>
      <c r="F64" s="1" t="s">
        <v>294</v>
      </c>
      <c r="G64" s="1" t="s">
        <v>52</v>
      </c>
      <c r="H64" s="1" t="s">
        <v>73</v>
      </c>
      <c r="I64" s="1" t="s">
        <v>257</v>
      </c>
      <c r="J64" s="1" t="s">
        <v>74</v>
      </c>
      <c r="K64" s="1" t="s">
        <v>56</v>
      </c>
      <c r="L64" s="11">
        <v>76</v>
      </c>
      <c r="M64" s="1" t="s">
        <v>58</v>
      </c>
      <c r="N64" s="1" t="s">
        <v>59</v>
      </c>
      <c r="O64" s="1" t="s">
        <v>60</v>
      </c>
      <c r="P64" s="1">
        <v>15</v>
      </c>
      <c r="Q64" s="12">
        <v>115.77</v>
      </c>
      <c r="R64" s="1" t="s">
        <v>61</v>
      </c>
      <c r="S64" s="1" t="s">
        <v>62</v>
      </c>
      <c r="T64" s="6" t="s">
        <v>63</v>
      </c>
      <c r="U64" s="13">
        <v>1.35</v>
      </c>
      <c r="V64" s="12">
        <v>156.29</v>
      </c>
      <c r="W64" s="12">
        <v>0</v>
      </c>
      <c r="X64" s="1" t="s">
        <v>57</v>
      </c>
    </row>
    <row r="65" spans="1:24" x14ac:dyDescent="0.2">
      <c r="A65" s="1" t="s">
        <v>108</v>
      </c>
      <c r="B65" s="1" t="s">
        <v>47</v>
      </c>
      <c r="C65" s="1" t="s">
        <v>267</v>
      </c>
      <c r="D65" s="1" t="s">
        <v>295</v>
      </c>
      <c r="E65" s="1" t="s">
        <v>296</v>
      </c>
      <c r="F65" s="1" t="s">
        <v>297</v>
      </c>
      <c r="G65" s="1" t="s">
        <v>52</v>
      </c>
      <c r="H65" s="1" t="s">
        <v>178</v>
      </c>
      <c r="I65" s="1" t="s">
        <v>165</v>
      </c>
      <c r="J65" s="1" t="s">
        <v>298</v>
      </c>
      <c r="K65" s="1" t="s">
        <v>95</v>
      </c>
      <c r="L65" s="11">
        <v>45</v>
      </c>
      <c r="M65" s="1" t="s">
        <v>58</v>
      </c>
      <c r="N65" s="1" t="s">
        <v>59</v>
      </c>
      <c r="O65" s="1" t="s">
        <v>60</v>
      </c>
      <c r="P65" s="1">
        <v>300</v>
      </c>
      <c r="Q65" s="12">
        <v>152.19</v>
      </c>
      <c r="R65" s="1" t="s">
        <v>61</v>
      </c>
      <c r="S65" s="1" t="s">
        <v>62</v>
      </c>
      <c r="T65" s="6" t="s">
        <v>63</v>
      </c>
      <c r="U65" s="13">
        <v>1.5</v>
      </c>
      <c r="V65" s="12">
        <v>54.61</v>
      </c>
      <c r="W65" s="12">
        <v>-173.68</v>
      </c>
      <c r="X65" s="1" t="s">
        <v>57</v>
      </c>
    </row>
    <row r="66" spans="1:24" x14ac:dyDescent="0.2">
      <c r="A66" s="1" t="s">
        <v>108</v>
      </c>
      <c r="B66" s="1" t="s">
        <v>47</v>
      </c>
      <c r="C66" s="1" t="s">
        <v>267</v>
      </c>
      <c r="D66" s="1" t="s">
        <v>295</v>
      </c>
      <c r="E66" s="1" t="s">
        <v>299</v>
      </c>
      <c r="F66" s="1" t="s">
        <v>300</v>
      </c>
      <c r="G66" s="1" t="s">
        <v>52</v>
      </c>
      <c r="H66" s="1" t="s">
        <v>178</v>
      </c>
      <c r="I66" s="1" t="s">
        <v>165</v>
      </c>
      <c r="J66" s="1" t="s">
        <v>298</v>
      </c>
      <c r="K66" s="1" t="s">
        <v>95</v>
      </c>
      <c r="L66" s="11">
        <v>45</v>
      </c>
      <c r="M66" s="1" t="s">
        <v>58</v>
      </c>
      <c r="N66" s="1" t="s">
        <v>59</v>
      </c>
      <c r="O66" s="1" t="s">
        <v>60</v>
      </c>
      <c r="P66" s="1">
        <v>300</v>
      </c>
      <c r="Q66" s="12">
        <v>143.11000000000001</v>
      </c>
      <c r="R66" s="1" t="s">
        <v>61</v>
      </c>
      <c r="S66" s="1" t="s">
        <v>62</v>
      </c>
      <c r="T66" s="6" t="s">
        <v>63</v>
      </c>
      <c r="U66" s="13">
        <v>1.5</v>
      </c>
      <c r="V66" s="12">
        <v>0</v>
      </c>
      <c r="W66" s="12">
        <v>-214.67</v>
      </c>
      <c r="X66" s="1" t="s">
        <v>57</v>
      </c>
    </row>
    <row r="67" spans="1:24" x14ac:dyDescent="0.2">
      <c r="A67" s="1" t="s">
        <v>108</v>
      </c>
      <c r="B67" s="1" t="s">
        <v>47</v>
      </c>
      <c r="C67" s="1" t="s">
        <v>267</v>
      </c>
      <c r="D67" s="1" t="s">
        <v>301</v>
      </c>
      <c r="E67" s="1" t="s">
        <v>302</v>
      </c>
      <c r="F67" s="1" t="s">
        <v>303</v>
      </c>
      <c r="G67" s="1" t="s">
        <v>52</v>
      </c>
      <c r="H67" s="1" t="s">
        <v>141</v>
      </c>
      <c r="I67" s="1" t="s">
        <v>257</v>
      </c>
      <c r="J67" s="1" t="s">
        <v>304</v>
      </c>
      <c r="K67" s="1" t="s">
        <v>228</v>
      </c>
      <c r="L67" s="11">
        <v>63</v>
      </c>
      <c r="M67" s="1" t="s">
        <v>58</v>
      </c>
      <c r="N67" s="1" t="s">
        <v>59</v>
      </c>
      <c r="O67" s="1" t="s">
        <v>60</v>
      </c>
      <c r="P67" s="1">
        <v>50</v>
      </c>
      <c r="Q67" s="12">
        <v>175.78</v>
      </c>
      <c r="R67" s="1" t="s">
        <v>61</v>
      </c>
      <c r="S67" s="1" t="s">
        <v>62</v>
      </c>
      <c r="T67" s="6" t="s">
        <v>63</v>
      </c>
      <c r="U67" s="13">
        <v>1.35</v>
      </c>
      <c r="V67" s="12">
        <v>237.3</v>
      </c>
      <c r="W67" s="12">
        <v>0</v>
      </c>
      <c r="X67" s="1" t="s">
        <v>57</v>
      </c>
    </row>
    <row r="68" spans="1:24" x14ac:dyDescent="0.2">
      <c r="A68" s="1" t="s">
        <v>108</v>
      </c>
      <c r="B68" s="1" t="s">
        <v>47</v>
      </c>
      <c r="C68" s="1" t="s">
        <v>267</v>
      </c>
      <c r="D68" s="1" t="s">
        <v>301</v>
      </c>
      <c r="E68" s="1" t="s">
        <v>305</v>
      </c>
      <c r="F68" s="1" t="s">
        <v>306</v>
      </c>
      <c r="G68" s="1" t="s">
        <v>52</v>
      </c>
      <c r="H68" s="1" t="s">
        <v>141</v>
      </c>
      <c r="I68" s="1" t="s">
        <v>257</v>
      </c>
      <c r="J68" s="1" t="s">
        <v>122</v>
      </c>
      <c r="K68" s="1" t="s">
        <v>56</v>
      </c>
      <c r="L68" s="11">
        <v>67</v>
      </c>
      <c r="M68" s="1" t="s">
        <v>58</v>
      </c>
      <c r="N68" s="1" t="s">
        <v>59</v>
      </c>
      <c r="O68" s="1" t="s">
        <v>60</v>
      </c>
      <c r="P68" s="1">
        <v>12</v>
      </c>
      <c r="Q68" s="12">
        <v>55</v>
      </c>
      <c r="R68" s="1" t="s">
        <v>61</v>
      </c>
      <c r="S68" s="1" t="s">
        <v>62</v>
      </c>
      <c r="T68" s="6" t="s">
        <v>63</v>
      </c>
      <c r="U68" s="13">
        <v>1.35</v>
      </c>
      <c r="V68" s="12">
        <v>0</v>
      </c>
      <c r="W68" s="12">
        <v>-74.25</v>
      </c>
      <c r="X68" s="1" t="s">
        <v>57</v>
      </c>
    </row>
    <row r="69" spans="1:24" x14ac:dyDescent="0.2">
      <c r="A69" s="1" t="s">
        <v>108</v>
      </c>
      <c r="B69" s="1" t="s">
        <v>47</v>
      </c>
      <c r="C69" s="1" t="s">
        <v>267</v>
      </c>
      <c r="D69" s="1" t="s">
        <v>49</v>
      </c>
      <c r="E69" s="1" t="s">
        <v>307</v>
      </c>
      <c r="F69" s="1" t="s">
        <v>308</v>
      </c>
      <c r="G69" s="1" t="s">
        <v>188</v>
      </c>
      <c r="H69" s="1" t="s">
        <v>141</v>
      </c>
      <c r="I69" s="1" t="s">
        <v>189</v>
      </c>
      <c r="J69" s="1" t="s">
        <v>309</v>
      </c>
      <c r="K69" s="1" t="s">
        <v>228</v>
      </c>
      <c r="L69" s="11">
        <v>61</v>
      </c>
      <c r="M69" s="1" t="s">
        <v>58</v>
      </c>
      <c r="N69" s="1" t="s">
        <v>59</v>
      </c>
      <c r="O69" s="1" t="s">
        <v>60</v>
      </c>
      <c r="P69" s="1">
        <v>90</v>
      </c>
      <c r="Q69" s="12">
        <v>171.54</v>
      </c>
      <c r="R69" s="1" t="s">
        <v>61</v>
      </c>
      <c r="S69" s="1" t="s">
        <v>62</v>
      </c>
      <c r="T69" s="6" t="s">
        <v>63</v>
      </c>
      <c r="U69" s="13">
        <v>1.35</v>
      </c>
      <c r="V69" s="12">
        <v>231.58</v>
      </c>
      <c r="W69" s="12">
        <v>0</v>
      </c>
      <c r="X69" s="1" t="s">
        <v>57</v>
      </c>
    </row>
    <row r="70" spans="1:24" x14ac:dyDescent="0.2">
      <c r="A70" s="1" t="s">
        <v>108</v>
      </c>
      <c r="B70" s="1" t="s">
        <v>47</v>
      </c>
      <c r="C70" s="1" t="s">
        <v>267</v>
      </c>
      <c r="D70" s="1" t="s">
        <v>49</v>
      </c>
      <c r="E70" s="1" t="s">
        <v>310</v>
      </c>
      <c r="F70" s="1" t="s">
        <v>311</v>
      </c>
      <c r="G70" s="1" t="s">
        <v>197</v>
      </c>
      <c r="H70" s="1" t="s">
        <v>84</v>
      </c>
      <c r="I70" s="1" t="s">
        <v>150</v>
      </c>
      <c r="J70" s="1" t="s">
        <v>312</v>
      </c>
      <c r="K70" s="1" t="s">
        <v>245</v>
      </c>
      <c r="L70" s="11">
        <v>50</v>
      </c>
      <c r="M70" s="1" t="s">
        <v>58</v>
      </c>
      <c r="N70" s="1" t="s">
        <v>59</v>
      </c>
      <c r="O70" s="1" t="s">
        <v>60</v>
      </c>
      <c r="P70" s="1">
        <v>75</v>
      </c>
      <c r="Q70" s="12">
        <v>52.93</v>
      </c>
      <c r="R70" s="1" t="s">
        <v>61</v>
      </c>
      <c r="S70" s="1" t="s">
        <v>62</v>
      </c>
      <c r="T70" s="6" t="s">
        <v>63</v>
      </c>
      <c r="U70" s="13">
        <v>1.5</v>
      </c>
      <c r="V70" s="12">
        <v>79.400000000000006</v>
      </c>
      <c r="W70" s="12">
        <v>0</v>
      </c>
      <c r="X70" s="1" t="s">
        <v>57</v>
      </c>
    </row>
    <row r="71" spans="1:24" x14ac:dyDescent="0.2">
      <c r="A71" s="1" t="s">
        <v>108</v>
      </c>
      <c r="B71" s="1" t="s">
        <v>47</v>
      </c>
      <c r="C71" s="1" t="s">
        <v>267</v>
      </c>
      <c r="D71" s="1" t="s">
        <v>49</v>
      </c>
      <c r="E71" s="1" t="s">
        <v>313</v>
      </c>
      <c r="F71" s="1" t="s">
        <v>314</v>
      </c>
      <c r="G71" s="1" t="s">
        <v>149</v>
      </c>
      <c r="H71" s="1" t="s">
        <v>84</v>
      </c>
      <c r="I71" s="1" t="s">
        <v>165</v>
      </c>
      <c r="J71" s="1" t="s">
        <v>315</v>
      </c>
      <c r="K71" s="1" t="s">
        <v>245</v>
      </c>
      <c r="L71" s="11">
        <v>27</v>
      </c>
      <c r="M71" s="1" t="s">
        <v>58</v>
      </c>
      <c r="N71" s="1" t="s">
        <v>59</v>
      </c>
      <c r="O71" s="1" t="s">
        <v>60</v>
      </c>
      <c r="P71" s="1">
        <v>300</v>
      </c>
      <c r="Q71" s="12">
        <v>46.99</v>
      </c>
      <c r="R71" s="1" t="s">
        <v>61</v>
      </c>
      <c r="S71" s="1" t="s">
        <v>62</v>
      </c>
      <c r="T71" s="6" t="s">
        <v>63</v>
      </c>
      <c r="U71" s="13">
        <v>1.5</v>
      </c>
      <c r="V71" s="12">
        <v>70.489999999999995</v>
      </c>
      <c r="W71" s="12">
        <v>0</v>
      </c>
      <c r="X71" s="1" t="s">
        <v>57</v>
      </c>
    </row>
    <row r="72" spans="1:24" x14ac:dyDescent="0.2">
      <c r="A72" s="1" t="s">
        <v>108</v>
      </c>
      <c r="B72" s="1" t="s">
        <v>47</v>
      </c>
      <c r="C72" s="1" t="s">
        <v>267</v>
      </c>
      <c r="D72" s="1" t="s">
        <v>49</v>
      </c>
      <c r="E72" s="1" t="s">
        <v>316</v>
      </c>
      <c r="F72" s="1" t="s">
        <v>317</v>
      </c>
      <c r="G72" s="1" t="s">
        <v>52</v>
      </c>
      <c r="H72" s="1" t="s">
        <v>141</v>
      </c>
      <c r="I72" s="1" t="s">
        <v>150</v>
      </c>
      <c r="J72" s="1" t="s">
        <v>318</v>
      </c>
      <c r="K72" s="1" t="s">
        <v>228</v>
      </c>
      <c r="L72" s="11">
        <v>32</v>
      </c>
      <c r="M72" s="1" t="s">
        <v>58</v>
      </c>
      <c r="N72" s="1" t="s">
        <v>59</v>
      </c>
      <c r="O72" s="1" t="s">
        <v>60</v>
      </c>
      <c r="P72" s="1">
        <v>300</v>
      </c>
      <c r="Q72" s="12">
        <v>55.8</v>
      </c>
      <c r="R72" s="1" t="s">
        <v>61</v>
      </c>
      <c r="S72" s="1" t="s">
        <v>62</v>
      </c>
      <c r="T72" s="6" t="s">
        <v>63</v>
      </c>
      <c r="U72" s="13">
        <v>1.5</v>
      </c>
      <c r="V72" s="12">
        <v>83.7</v>
      </c>
      <c r="W72" s="12">
        <v>0</v>
      </c>
      <c r="X72" s="1" t="s">
        <v>57</v>
      </c>
    </row>
    <row r="73" spans="1:24" x14ac:dyDescent="0.2">
      <c r="A73" s="1" t="s">
        <v>108</v>
      </c>
      <c r="B73" s="1" t="s">
        <v>47</v>
      </c>
      <c r="C73" s="1" t="s">
        <v>267</v>
      </c>
      <c r="D73" s="1" t="s">
        <v>49</v>
      </c>
      <c r="E73" s="1" t="s">
        <v>319</v>
      </c>
      <c r="F73" s="1" t="s">
        <v>320</v>
      </c>
      <c r="G73" s="1" t="s">
        <v>52</v>
      </c>
      <c r="H73" s="1" t="s">
        <v>178</v>
      </c>
      <c r="I73" s="1" t="s">
        <v>150</v>
      </c>
      <c r="J73" s="1" t="s">
        <v>321</v>
      </c>
      <c r="K73" s="1" t="s">
        <v>166</v>
      </c>
      <c r="L73" s="11">
        <v>35</v>
      </c>
      <c r="M73" s="1" t="s">
        <v>58</v>
      </c>
      <c r="N73" s="1" t="s">
        <v>59</v>
      </c>
      <c r="O73" s="1" t="s">
        <v>60</v>
      </c>
      <c r="P73" s="1">
        <v>300</v>
      </c>
      <c r="Q73" s="12">
        <v>63.28</v>
      </c>
      <c r="R73" s="1" t="s">
        <v>61</v>
      </c>
      <c r="S73" s="1" t="s">
        <v>62</v>
      </c>
      <c r="T73" s="6" t="s">
        <v>63</v>
      </c>
      <c r="U73" s="13">
        <v>1.5</v>
      </c>
      <c r="V73" s="12">
        <v>94.92</v>
      </c>
      <c r="W73" s="12">
        <v>0</v>
      </c>
      <c r="X73" s="1" t="s">
        <v>57</v>
      </c>
    </row>
    <row r="74" spans="1:24" x14ac:dyDescent="0.2">
      <c r="A74" s="1" t="s">
        <v>108</v>
      </c>
      <c r="B74" s="1" t="s">
        <v>47</v>
      </c>
      <c r="C74" s="1" t="s">
        <v>267</v>
      </c>
      <c r="D74" s="1" t="s">
        <v>49</v>
      </c>
      <c r="E74" s="1" t="s">
        <v>322</v>
      </c>
      <c r="F74" s="1" t="s">
        <v>323</v>
      </c>
      <c r="G74" s="1" t="s">
        <v>188</v>
      </c>
      <c r="H74" s="1" t="s">
        <v>141</v>
      </c>
      <c r="I74" s="1" t="s">
        <v>257</v>
      </c>
      <c r="J74" s="1" t="s">
        <v>91</v>
      </c>
      <c r="K74" s="1" t="s">
        <v>161</v>
      </c>
      <c r="L74" s="11">
        <v>64</v>
      </c>
      <c r="M74" s="1" t="s">
        <v>58</v>
      </c>
      <c r="N74" s="1" t="s">
        <v>59</v>
      </c>
      <c r="O74" s="1" t="s">
        <v>60</v>
      </c>
      <c r="P74" s="1">
        <v>25</v>
      </c>
      <c r="Q74" s="12">
        <v>-129.13999999999999</v>
      </c>
      <c r="R74" s="1" t="s">
        <v>61</v>
      </c>
      <c r="S74" s="1" t="s">
        <v>246</v>
      </c>
      <c r="T74" s="6" t="s">
        <v>63</v>
      </c>
      <c r="U74" s="13">
        <v>1.35</v>
      </c>
      <c r="V74" s="12">
        <v>-174.34</v>
      </c>
      <c r="W74" s="12">
        <v>0</v>
      </c>
      <c r="X74" s="1" t="s">
        <v>57</v>
      </c>
    </row>
    <row r="75" spans="1:24" x14ac:dyDescent="0.2">
      <c r="A75" s="1" t="s">
        <v>108</v>
      </c>
      <c r="B75" s="1" t="s">
        <v>47</v>
      </c>
      <c r="C75" s="1" t="s">
        <v>267</v>
      </c>
      <c r="D75" s="1" t="s">
        <v>49</v>
      </c>
      <c r="E75" s="1" t="s">
        <v>324</v>
      </c>
      <c r="F75" s="1" t="s">
        <v>325</v>
      </c>
      <c r="G75" s="1" t="s">
        <v>112</v>
      </c>
      <c r="H75" s="1" t="s">
        <v>178</v>
      </c>
      <c r="I75" s="1" t="s">
        <v>150</v>
      </c>
      <c r="J75" s="1" t="s">
        <v>326</v>
      </c>
      <c r="K75" s="1" t="s">
        <v>271</v>
      </c>
      <c r="L75" s="11">
        <v>60</v>
      </c>
      <c r="M75" s="1" t="s">
        <v>58</v>
      </c>
      <c r="N75" s="1" t="s">
        <v>59</v>
      </c>
      <c r="O75" s="1" t="s">
        <v>60</v>
      </c>
      <c r="P75" s="1">
        <v>75</v>
      </c>
      <c r="Q75" s="12">
        <v>105.13</v>
      </c>
      <c r="R75" s="1" t="s">
        <v>61</v>
      </c>
      <c r="S75" s="1" t="s">
        <v>62</v>
      </c>
      <c r="T75" s="6" t="s">
        <v>63</v>
      </c>
      <c r="U75" s="13">
        <v>1.5</v>
      </c>
      <c r="V75" s="12">
        <v>157.69999999999999</v>
      </c>
      <c r="W75" s="12">
        <v>0</v>
      </c>
      <c r="X75" s="1" t="s">
        <v>57</v>
      </c>
    </row>
    <row r="76" spans="1:24" x14ac:dyDescent="0.2">
      <c r="A76" s="1" t="s">
        <v>108</v>
      </c>
      <c r="B76" s="1" t="s">
        <v>47</v>
      </c>
      <c r="C76" s="1" t="s">
        <v>267</v>
      </c>
      <c r="D76" s="1" t="s">
        <v>49</v>
      </c>
      <c r="E76" s="1" t="s">
        <v>327</v>
      </c>
      <c r="F76" s="1" t="s">
        <v>328</v>
      </c>
      <c r="G76" s="1" t="s">
        <v>52</v>
      </c>
      <c r="H76" s="1" t="s">
        <v>178</v>
      </c>
      <c r="I76" s="1" t="s">
        <v>189</v>
      </c>
      <c r="J76" s="1" t="s">
        <v>329</v>
      </c>
      <c r="K76" s="1" t="s">
        <v>95</v>
      </c>
      <c r="L76" s="11">
        <v>65</v>
      </c>
      <c r="M76" s="1" t="s">
        <v>58</v>
      </c>
      <c r="N76" s="1" t="s">
        <v>59</v>
      </c>
      <c r="O76" s="1" t="s">
        <v>60</v>
      </c>
      <c r="P76" s="1">
        <v>60</v>
      </c>
      <c r="Q76" s="12">
        <v>197.58</v>
      </c>
      <c r="R76" s="1" t="s">
        <v>61</v>
      </c>
      <c r="S76" s="1" t="s">
        <v>62</v>
      </c>
      <c r="T76" s="6" t="s">
        <v>63</v>
      </c>
      <c r="U76" s="13">
        <v>0.67500000000000004</v>
      </c>
      <c r="V76" s="12">
        <v>0</v>
      </c>
      <c r="W76" s="12">
        <v>-133.37</v>
      </c>
      <c r="X76" s="1" t="s">
        <v>57</v>
      </c>
    </row>
    <row r="77" spans="1:24" x14ac:dyDescent="0.2">
      <c r="A77" s="1" t="s">
        <v>108</v>
      </c>
      <c r="B77" s="1" t="s">
        <v>47</v>
      </c>
      <c r="C77" s="1" t="s">
        <v>267</v>
      </c>
      <c r="D77" s="1" t="s">
        <v>330</v>
      </c>
      <c r="E77" s="1" t="s">
        <v>331</v>
      </c>
      <c r="F77" s="1" t="s">
        <v>332</v>
      </c>
      <c r="G77" s="1" t="s">
        <v>52</v>
      </c>
      <c r="H77" s="1" t="s">
        <v>141</v>
      </c>
      <c r="I77" s="1" t="s">
        <v>333</v>
      </c>
      <c r="J77" s="1" t="s">
        <v>122</v>
      </c>
      <c r="K77" s="1" t="s">
        <v>56</v>
      </c>
      <c r="L77" s="11">
        <v>4</v>
      </c>
      <c r="M77" s="1" t="s">
        <v>58</v>
      </c>
      <c r="N77" s="1" t="s">
        <v>59</v>
      </c>
      <c r="O77" s="1" t="s">
        <v>60</v>
      </c>
      <c r="P77" s="1">
        <v>50</v>
      </c>
      <c r="Q77" s="12">
        <v>19.04</v>
      </c>
      <c r="R77" s="1" t="s">
        <v>61</v>
      </c>
      <c r="S77" s="1" t="s">
        <v>62</v>
      </c>
      <c r="T77" s="6" t="s">
        <v>63</v>
      </c>
      <c r="U77" s="13">
        <v>1.1499999999999999</v>
      </c>
      <c r="V77" s="12">
        <v>0</v>
      </c>
      <c r="W77" s="12">
        <v>-21.9</v>
      </c>
      <c r="X77" s="1" t="s">
        <v>57</v>
      </c>
    </row>
    <row r="78" spans="1:24" x14ac:dyDescent="0.2">
      <c r="A78" s="1" t="s">
        <v>108</v>
      </c>
      <c r="B78" s="1" t="s">
        <v>47</v>
      </c>
      <c r="C78" s="1" t="s">
        <v>267</v>
      </c>
      <c r="D78" s="1" t="s">
        <v>146</v>
      </c>
      <c r="E78" s="1" t="s">
        <v>334</v>
      </c>
      <c r="F78" s="1" t="s">
        <v>335</v>
      </c>
      <c r="G78" s="1" t="s">
        <v>336</v>
      </c>
      <c r="H78" s="1" t="s">
        <v>141</v>
      </c>
      <c r="I78" s="1" t="s">
        <v>165</v>
      </c>
      <c r="J78" s="1" t="s">
        <v>309</v>
      </c>
      <c r="K78" s="1" t="s">
        <v>228</v>
      </c>
      <c r="L78" s="11">
        <v>56</v>
      </c>
      <c r="M78" s="1" t="s">
        <v>58</v>
      </c>
      <c r="N78" s="1" t="s">
        <v>59</v>
      </c>
      <c r="O78" s="1" t="s">
        <v>60</v>
      </c>
      <c r="P78" s="1">
        <v>250</v>
      </c>
      <c r="Q78" s="12">
        <v>304.16000000000003</v>
      </c>
      <c r="R78" s="1" t="s">
        <v>61</v>
      </c>
      <c r="S78" s="1" t="s">
        <v>62</v>
      </c>
      <c r="T78" s="6" t="s">
        <v>63</v>
      </c>
      <c r="U78" s="13">
        <v>1.5</v>
      </c>
      <c r="V78" s="12">
        <v>456.24</v>
      </c>
      <c r="W78" s="12">
        <v>0</v>
      </c>
      <c r="X78" s="1" t="s">
        <v>57</v>
      </c>
    </row>
    <row r="79" spans="1:24" x14ac:dyDescent="0.2">
      <c r="A79" s="1" t="s">
        <v>108</v>
      </c>
      <c r="B79" s="1" t="s">
        <v>47</v>
      </c>
      <c r="C79" s="1" t="s">
        <v>267</v>
      </c>
      <c r="D79" s="1" t="s">
        <v>146</v>
      </c>
      <c r="E79" s="1" t="s">
        <v>337</v>
      </c>
      <c r="F79" s="1" t="s">
        <v>338</v>
      </c>
      <c r="G79" s="1" t="s">
        <v>336</v>
      </c>
      <c r="H79" s="1" t="s">
        <v>141</v>
      </c>
      <c r="I79" s="1" t="s">
        <v>150</v>
      </c>
      <c r="J79" s="1" t="s">
        <v>309</v>
      </c>
      <c r="K79" s="1" t="s">
        <v>228</v>
      </c>
      <c r="L79" s="11">
        <v>60</v>
      </c>
      <c r="M79" s="1" t="s">
        <v>58</v>
      </c>
      <c r="N79" s="1" t="s">
        <v>59</v>
      </c>
      <c r="O79" s="1" t="s">
        <v>60</v>
      </c>
      <c r="P79" s="1">
        <v>250</v>
      </c>
      <c r="Q79" s="12">
        <v>337.98</v>
      </c>
      <c r="R79" s="1" t="s">
        <v>61</v>
      </c>
      <c r="S79" s="1" t="s">
        <v>62</v>
      </c>
      <c r="T79" s="6" t="s">
        <v>63</v>
      </c>
      <c r="U79" s="13">
        <v>1.5</v>
      </c>
      <c r="V79" s="12">
        <v>506.97</v>
      </c>
      <c r="W79" s="12">
        <v>0</v>
      </c>
      <c r="X79" s="1" t="s">
        <v>57</v>
      </c>
    </row>
    <row r="80" spans="1:24" x14ac:dyDescent="0.2">
      <c r="A80" s="1" t="s">
        <v>108</v>
      </c>
      <c r="B80" s="1" t="s">
        <v>47</v>
      </c>
      <c r="C80" s="1" t="s">
        <v>267</v>
      </c>
      <c r="D80" s="1" t="s">
        <v>146</v>
      </c>
      <c r="E80" s="1" t="s">
        <v>339</v>
      </c>
      <c r="F80" s="1" t="s">
        <v>340</v>
      </c>
      <c r="G80" s="1" t="s">
        <v>155</v>
      </c>
      <c r="H80" s="1" t="s">
        <v>178</v>
      </c>
      <c r="I80" s="1" t="s">
        <v>165</v>
      </c>
      <c r="J80" s="1" t="s">
        <v>341</v>
      </c>
      <c r="K80" s="1" t="s">
        <v>342</v>
      </c>
      <c r="L80" s="11">
        <v>51</v>
      </c>
      <c r="M80" s="1" t="s">
        <v>58</v>
      </c>
      <c r="N80" s="1" t="s">
        <v>59</v>
      </c>
      <c r="O80" s="1" t="s">
        <v>60</v>
      </c>
      <c r="P80" s="1">
        <v>250</v>
      </c>
      <c r="Q80" s="12">
        <v>237.19</v>
      </c>
      <c r="R80" s="1" t="s">
        <v>61</v>
      </c>
      <c r="S80" s="1" t="s">
        <v>62</v>
      </c>
      <c r="T80" s="6" t="s">
        <v>63</v>
      </c>
      <c r="U80" s="13">
        <v>1.5</v>
      </c>
      <c r="V80" s="12">
        <v>355.79</v>
      </c>
      <c r="W80" s="12">
        <v>0</v>
      </c>
      <c r="X80" s="1" t="s">
        <v>57</v>
      </c>
    </row>
    <row r="81" spans="1:24" x14ac:dyDescent="0.2">
      <c r="A81" s="1" t="s">
        <v>108</v>
      </c>
      <c r="B81" s="1" t="s">
        <v>47</v>
      </c>
      <c r="C81" s="1" t="s">
        <v>267</v>
      </c>
      <c r="D81" s="1" t="s">
        <v>146</v>
      </c>
      <c r="E81" s="1" t="s">
        <v>343</v>
      </c>
      <c r="F81" s="1" t="s">
        <v>344</v>
      </c>
      <c r="G81" s="1" t="s">
        <v>149</v>
      </c>
      <c r="H81" s="1" t="s">
        <v>178</v>
      </c>
      <c r="I81" s="1" t="s">
        <v>156</v>
      </c>
      <c r="J81" s="1" t="s">
        <v>345</v>
      </c>
      <c r="K81" s="1" t="s">
        <v>166</v>
      </c>
      <c r="L81" s="11">
        <v>43</v>
      </c>
      <c r="M81" s="1" t="s">
        <v>58</v>
      </c>
      <c r="N81" s="1" t="s">
        <v>59</v>
      </c>
      <c r="O81" s="1" t="s">
        <v>60</v>
      </c>
      <c r="P81" s="1">
        <v>300</v>
      </c>
      <c r="Q81" s="12">
        <v>165.54</v>
      </c>
      <c r="R81" s="1" t="s">
        <v>61</v>
      </c>
      <c r="S81" s="1" t="s">
        <v>62</v>
      </c>
      <c r="T81" s="6" t="s">
        <v>63</v>
      </c>
      <c r="U81" s="13">
        <v>1.5</v>
      </c>
      <c r="V81" s="12">
        <v>248.31</v>
      </c>
      <c r="W81" s="12">
        <v>0</v>
      </c>
      <c r="X81" s="1" t="s">
        <v>57</v>
      </c>
    </row>
    <row r="82" spans="1:24" x14ac:dyDescent="0.2">
      <c r="A82" s="1" t="s">
        <v>108</v>
      </c>
      <c r="B82" s="1" t="s">
        <v>47</v>
      </c>
      <c r="C82" s="1" t="s">
        <v>267</v>
      </c>
      <c r="D82" s="1" t="s">
        <v>146</v>
      </c>
      <c r="E82" s="1" t="s">
        <v>346</v>
      </c>
      <c r="F82" s="1" t="s">
        <v>347</v>
      </c>
      <c r="G82" s="1" t="s">
        <v>155</v>
      </c>
      <c r="H82" s="1" t="s">
        <v>178</v>
      </c>
      <c r="I82" s="1" t="s">
        <v>156</v>
      </c>
      <c r="J82" s="1" t="s">
        <v>348</v>
      </c>
      <c r="K82" s="1" t="s">
        <v>95</v>
      </c>
      <c r="L82" s="11">
        <v>38</v>
      </c>
      <c r="M82" s="1" t="s">
        <v>58</v>
      </c>
      <c r="N82" s="1" t="s">
        <v>59</v>
      </c>
      <c r="O82" s="1" t="s">
        <v>60</v>
      </c>
      <c r="P82" s="1">
        <v>300</v>
      </c>
      <c r="Q82" s="12">
        <v>109.47</v>
      </c>
      <c r="R82" s="1" t="s">
        <v>61</v>
      </c>
      <c r="S82" s="1" t="s">
        <v>62</v>
      </c>
      <c r="T82" s="6" t="s">
        <v>63</v>
      </c>
      <c r="U82" s="13">
        <v>1.5</v>
      </c>
      <c r="V82" s="12">
        <v>164.21</v>
      </c>
      <c r="W82" s="12">
        <v>0</v>
      </c>
      <c r="X82" s="1" t="s">
        <v>57</v>
      </c>
    </row>
    <row r="83" spans="1:24" x14ac:dyDescent="0.2">
      <c r="A83" s="1" t="s">
        <v>108</v>
      </c>
      <c r="B83" s="1" t="s">
        <v>47</v>
      </c>
      <c r="C83" s="1" t="s">
        <v>267</v>
      </c>
      <c r="D83" s="1" t="s">
        <v>146</v>
      </c>
      <c r="E83" s="1" t="s">
        <v>349</v>
      </c>
      <c r="F83" s="1" t="s">
        <v>350</v>
      </c>
      <c r="G83" s="1" t="s">
        <v>160</v>
      </c>
      <c r="H83" s="1" t="s">
        <v>73</v>
      </c>
      <c r="I83" s="1" t="s">
        <v>150</v>
      </c>
      <c r="J83" s="1" t="s">
        <v>351</v>
      </c>
      <c r="K83" s="1" t="s">
        <v>352</v>
      </c>
      <c r="L83" s="11">
        <v>61</v>
      </c>
      <c r="M83" s="1" t="s">
        <v>58</v>
      </c>
      <c r="N83" s="1" t="s">
        <v>59</v>
      </c>
      <c r="O83" s="1" t="s">
        <v>60</v>
      </c>
      <c r="P83" s="1">
        <v>65</v>
      </c>
      <c r="Q83" s="12">
        <v>97.44</v>
      </c>
      <c r="R83" s="1" t="s">
        <v>61</v>
      </c>
      <c r="S83" s="1" t="s">
        <v>62</v>
      </c>
      <c r="T83" s="6" t="s">
        <v>63</v>
      </c>
      <c r="U83" s="13">
        <v>1.5</v>
      </c>
      <c r="V83" s="12">
        <v>0</v>
      </c>
      <c r="W83" s="12">
        <v>-146.16</v>
      </c>
      <c r="X83" s="1" t="s">
        <v>57</v>
      </c>
    </row>
    <row r="84" spans="1:24" x14ac:dyDescent="0.2">
      <c r="A84" s="1" t="s">
        <v>108</v>
      </c>
      <c r="B84" s="1" t="s">
        <v>47</v>
      </c>
      <c r="C84" s="1" t="s">
        <v>267</v>
      </c>
      <c r="D84" s="1" t="s">
        <v>353</v>
      </c>
      <c r="E84" s="1" t="s">
        <v>354</v>
      </c>
      <c r="F84" s="1" t="s">
        <v>355</v>
      </c>
      <c r="G84" s="1" t="s">
        <v>193</v>
      </c>
      <c r="H84" s="1" t="s">
        <v>84</v>
      </c>
      <c r="I84" s="1" t="s">
        <v>189</v>
      </c>
      <c r="J84" s="1" t="s">
        <v>77</v>
      </c>
      <c r="K84" s="1" t="s">
        <v>56</v>
      </c>
      <c r="L84" s="11">
        <v>67</v>
      </c>
      <c r="M84" s="1" t="s">
        <v>58</v>
      </c>
      <c r="N84" s="1" t="s">
        <v>59</v>
      </c>
      <c r="O84" s="1" t="s">
        <v>60</v>
      </c>
      <c r="P84" s="1">
        <v>34</v>
      </c>
      <c r="Q84" s="12">
        <v>-100</v>
      </c>
      <c r="R84" s="1" t="s">
        <v>61</v>
      </c>
      <c r="S84" s="1" t="s">
        <v>246</v>
      </c>
      <c r="T84" s="6" t="s">
        <v>63</v>
      </c>
      <c r="U84" s="13">
        <v>1.35</v>
      </c>
      <c r="V84" s="12">
        <v>-135</v>
      </c>
      <c r="W84" s="12">
        <v>0</v>
      </c>
      <c r="X84" s="1" t="s">
        <v>57</v>
      </c>
    </row>
    <row r="85" spans="1:24" x14ac:dyDescent="0.2">
      <c r="A85" s="1" t="s">
        <v>108</v>
      </c>
      <c r="B85" s="1" t="s">
        <v>47</v>
      </c>
      <c r="C85" s="1" t="s">
        <v>267</v>
      </c>
      <c r="D85" s="1" t="s">
        <v>263</v>
      </c>
      <c r="E85" s="1" t="s">
        <v>356</v>
      </c>
      <c r="F85" s="1" t="s">
        <v>357</v>
      </c>
      <c r="G85" s="1" t="s">
        <v>193</v>
      </c>
      <c r="H85" s="1" t="s">
        <v>53</v>
      </c>
      <c r="I85" s="1" t="s">
        <v>57</v>
      </c>
      <c r="J85" s="1" t="s">
        <v>74</v>
      </c>
      <c r="K85" s="1" t="s">
        <v>358</v>
      </c>
      <c r="L85" s="11">
        <v>0</v>
      </c>
      <c r="M85" s="1" t="s">
        <v>58</v>
      </c>
      <c r="N85" s="1" t="s">
        <v>59</v>
      </c>
      <c r="O85" s="1" t="s">
        <v>60</v>
      </c>
      <c r="P85" s="1">
        <v>0</v>
      </c>
      <c r="Q85" s="12">
        <v>0</v>
      </c>
      <c r="R85" s="1" t="s">
        <v>61</v>
      </c>
      <c r="S85" s="1" t="s">
        <v>359</v>
      </c>
      <c r="T85" s="6" t="s">
        <v>63</v>
      </c>
      <c r="U85" s="13">
        <v>0</v>
      </c>
      <c r="V85" s="12">
        <v>-1075.3399999999999</v>
      </c>
      <c r="W85" s="12">
        <v>-1075.3399999999999</v>
      </c>
      <c r="X85" s="1" t="s">
        <v>57</v>
      </c>
    </row>
    <row r="86" spans="1:24" x14ac:dyDescent="0.2">
      <c r="A86" s="1" t="s">
        <v>360</v>
      </c>
      <c r="B86" s="1" t="s">
        <v>47</v>
      </c>
      <c r="C86" s="1" t="s">
        <v>48</v>
      </c>
      <c r="D86" s="1" t="s">
        <v>103</v>
      </c>
      <c r="E86" s="1" t="s">
        <v>361</v>
      </c>
      <c r="F86" s="1" t="s">
        <v>362</v>
      </c>
      <c r="G86" s="1" t="s">
        <v>52</v>
      </c>
      <c r="H86" s="1" t="s">
        <v>53</v>
      </c>
      <c r="I86" s="1" t="s">
        <v>363</v>
      </c>
      <c r="J86" s="1" t="s">
        <v>228</v>
      </c>
      <c r="K86" s="1" t="s">
        <v>364</v>
      </c>
      <c r="L86" s="11" t="s">
        <v>57</v>
      </c>
      <c r="M86" s="1" t="s">
        <v>365</v>
      </c>
      <c r="N86" s="1" t="s">
        <v>366</v>
      </c>
      <c r="O86" s="1" t="s">
        <v>60</v>
      </c>
      <c r="P86" s="1">
        <v>0</v>
      </c>
      <c r="Q86" s="12">
        <v>36.08</v>
      </c>
      <c r="R86" s="1" t="s">
        <v>61</v>
      </c>
      <c r="S86" s="1" t="s">
        <v>167</v>
      </c>
      <c r="T86" s="6" t="s">
        <v>63</v>
      </c>
      <c r="U86" s="13">
        <v>0.52</v>
      </c>
      <c r="V86" s="12">
        <v>18.760000000000002</v>
      </c>
      <c r="W86" s="12">
        <v>0</v>
      </c>
      <c r="X86" s="1" t="s">
        <v>57</v>
      </c>
    </row>
    <row r="87" spans="1:24" x14ac:dyDescent="0.2">
      <c r="A87" s="1" t="s">
        <v>360</v>
      </c>
      <c r="B87" s="1" t="s">
        <v>47</v>
      </c>
      <c r="C87" s="1" t="s">
        <v>48</v>
      </c>
      <c r="D87" s="1" t="s">
        <v>289</v>
      </c>
      <c r="E87" s="1" t="s">
        <v>367</v>
      </c>
      <c r="F87" s="1" t="s">
        <v>368</v>
      </c>
      <c r="G87" s="1" t="s">
        <v>193</v>
      </c>
      <c r="H87" s="1" t="s">
        <v>53</v>
      </c>
      <c r="I87" s="1" t="s">
        <v>369</v>
      </c>
      <c r="J87" s="1" t="s">
        <v>370</v>
      </c>
      <c r="K87" s="1" t="s">
        <v>56</v>
      </c>
      <c r="L87" s="11" t="s">
        <v>57</v>
      </c>
      <c r="M87" s="1" t="s">
        <v>58</v>
      </c>
      <c r="N87" s="1" t="s">
        <v>59</v>
      </c>
      <c r="O87" s="1" t="s">
        <v>60</v>
      </c>
      <c r="P87" s="1">
        <v>0</v>
      </c>
      <c r="Q87" s="12">
        <v>143.33000000000001</v>
      </c>
      <c r="R87" s="1" t="s">
        <v>99</v>
      </c>
      <c r="S87" s="1" t="s">
        <v>100</v>
      </c>
      <c r="T87" s="6" t="s">
        <v>63</v>
      </c>
      <c r="U87" s="13">
        <v>0.23</v>
      </c>
      <c r="V87" s="12">
        <v>32.97</v>
      </c>
      <c r="W87" s="12">
        <v>0</v>
      </c>
      <c r="X87" s="1" t="s">
        <v>57</v>
      </c>
    </row>
    <row r="88" spans="1:24" x14ac:dyDescent="0.2">
      <c r="A88" s="1" t="s">
        <v>360</v>
      </c>
      <c r="B88" s="1" t="s">
        <v>47</v>
      </c>
      <c r="C88" s="1" t="s">
        <v>48</v>
      </c>
      <c r="D88" s="1" t="s">
        <v>201</v>
      </c>
      <c r="E88" s="1" t="s">
        <v>371</v>
      </c>
      <c r="F88" s="1" t="s">
        <v>372</v>
      </c>
      <c r="G88" s="1" t="s">
        <v>52</v>
      </c>
      <c r="H88" s="1" t="s">
        <v>53</v>
      </c>
      <c r="I88" s="1" t="s">
        <v>373</v>
      </c>
      <c r="J88" s="1" t="s">
        <v>374</v>
      </c>
      <c r="K88" s="1" t="s">
        <v>152</v>
      </c>
      <c r="L88" s="11" t="s">
        <v>57</v>
      </c>
      <c r="M88" s="1" t="s">
        <v>58</v>
      </c>
      <c r="N88" s="1" t="s">
        <v>59</v>
      </c>
      <c r="O88" s="1" t="s">
        <v>60</v>
      </c>
      <c r="P88" s="1">
        <v>0</v>
      </c>
      <c r="Q88" s="12">
        <v>72.33</v>
      </c>
      <c r="R88" s="1" t="s">
        <v>61</v>
      </c>
      <c r="S88" s="1" t="s">
        <v>62</v>
      </c>
      <c r="T88" s="6" t="s">
        <v>63</v>
      </c>
      <c r="U88" s="13">
        <v>0.52</v>
      </c>
      <c r="V88" s="12">
        <v>37.61</v>
      </c>
      <c r="W88" s="12">
        <v>0</v>
      </c>
      <c r="X88" s="1" t="s">
        <v>57</v>
      </c>
    </row>
    <row r="89" spans="1:24" x14ac:dyDescent="0.2">
      <c r="A89" s="1" t="s">
        <v>360</v>
      </c>
      <c r="B89" s="1" t="s">
        <v>47</v>
      </c>
      <c r="C89" s="1" t="s">
        <v>48</v>
      </c>
      <c r="D89" s="1" t="s">
        <v>194</v>
      </c>
      <c r="E89" s="1" t="s">
        <v>375</v>
      </c>
      <c r="F89" s="1" t="s">
        <v>376</v>
      </c>
      <c r="G89" s="1" t="s">
        <v>243</v>
      </c>
      <c r="H89" s="1" t="s">
        <v>53</v>
      </c>
      <c r="I89" s="1" t="s">
        <v>363</v>
      </c>
      <c r="J89" s="1" t="s">
        <v>377</v>
      </c>
      <c r="K89" s="1" t="s">
        <v>377</v>
      </c>
      <c r="L89" s="11" t="s">
        <v>57</v>
      </c>
      <c r="M89" s="1" t="s">
        <v>58</v>
      </c>
      <c r="N89" s="1" t="s">
        <v>59</v>
      </c>
      <c r="O89" s="1" t="s">
        <v>60</v>
      </c>
      <c r="P89" s="1">
        <v>0</v>
      </c>
      <c r="Q89" s="12">
        <v>-38.92</v>
      </c>
      <c r="R89" s="1" t="s">
        <v>61</v>
      </c>
      <c r="S89" s="1" t="s">
        <v>378</v>
      </c>
      <c r="T89" s="6" t="s">
        <v>63</v>
      </c>
      <c r="U89" s="13">
        <v>0.52</v>
      </c>
      <c r="V89" s="12">
        <v>-20.239999999999998</v>
      </c>
      <c r="W89" s="12">
        <v>0</v>
      </c>
      <c r="X89" s="1" t="s">
        <v>57</v>
      </c>
    </row>
    <row r="90" spans="1:24" x14ac:dyDescent="0.2">
      <c r="A90" s="1" t="s">
        <v>360</v>
      </c>
      <c r="B90" s="1" t="s">
        <v>47</v>
      </c>
      <c r="C90" s="1" t="s">
        <v>48</v>
      </c>
      <c r="D90" s="1" t="s">
        <v>263</v>
      </c>
      <c r="E90" s="1" t="s">
        <v>379</v>
      </c>
      <c r="F90" s="1" t="s">
        <v>380</v>
      </c>
      <c r="G90" s="1" t="s">
        <v>193</v>
      </c>
      <c r="H90" s="1" t="s">
        <v>53</v>
      </c>
      <c r="I90" s="1" t="s">
        <v>381</v>
      </c>
      <c r="J90" s="1" t="s">
        <v>358</v>
      </c>
      <c r="K90" s="1" t="s">
        <v>56</v>
      </c>
      <c r="L90" s="11" t="s">
        <v>57</v>
      </c>
      <c r="M90" s="1" t="s">
        <v>58</v>
      </c>
      <c r="N90" s="1" t="s">
        <v>59</v>
      </c>
      <c r="O90" s="1" t="s">
        <v>60</v>
      </c>
      <c r="P90" s="1">
        <v>0</v>
      </c>
      <c r="Q90" s="12">
        <v>154.37</v>
      </c>
      <c r="R90" s="1" t="s">
        <v>61</v>
      </c>
      <c r="S90" s="1" t="s">
        <v>62</v>
      </c>
      <c r="T90" s="6" t="s">
        <v>63</v>
      </c>
      <c r="U90" s="13">
        <v>2.5000000000000001E-2</v>
      </c>
      <c r="V90" s="12">
        <v>3.86</v>
      </c>
      <c r="W90" s="12">
        <v>0</v>
      </c>
      <c r="X90" s="1" t="s">
        <v>57</v>
      </c>
    </row>
    <row r="91" spans="1:24" x14ac:dyDescent="0.2">
      <c r="A91" s="1" t="s">
        <v>360</v>
      </c>
      <c r="B91" s="1" t="s">
        <v>47</v>
      </c>
      <c r="C91" s="1" t="s">
        <v>48</v>
      </c>
      <c r="D91" s="1" t="s">
        <v>49</v>
      </c>
      <c r="E91" s="1" t="s">
        <v>382</v>
      </c>
      <c r="F91" s="1" t="s">
        <v>383</v>
      </c>
      <c r="G91" s="1" t="s">
        <v>155</v>
      </c>
      <c r="H91" s="1" t="s">
        <v>73</v>
      </c>
      <c r="I91" s="1" t="s">
        <v>369</v>
      </c>
      <c r="J91" s="1" t="s">
        <v>384</v>
      </c>
      <c r="K91" s="1" t="s">
        <v>385</v>
      </c>
      <c r="L91" s="11" t="s">
        <v>57</v>
      </c>
      <c r="M91" s="1" t="s">
        <v>58</v>
      </c>
      <c r="N91" s="1" t="s">
        <v>59</v>
      </c>
      <c r="O91" s="1" t="s">
        <v>60</v>
      </c>
      <c r="P91" s="1">
        <v>0</v>
      </c>
      <c r="Q91" s="12">
        <v>162.11000000000001</v>
      </c>
      <c r="R91" s="1" t="s">
        <v>61</v>
      </c>
      <c r="S91" s="1" t="s">
        <v>167</v>
      </c>
      <c r="T91" s="6" t="s">
        <v>63</v>
      </c>
      <c r="U91" s="13">
        <v>0.24</v>
      </c>
      <c r="V91" s="12">
        <v>38.909999999999997</v>
      </c>
      <c r="W91" s="12">
        <v>0</v>
      </c>
      <c r="X91" s="1" t="s">
        <v>57</v>
      </c>
    </row>
    <row r="92" spans="1:24" x14ac:dyDescent="0.2">
      <c r="A92" s="1" t="s">
        <v>360</v>
      </c>
      <c r="B92" s="1" t="s">
        <v>47</v>
      </c>
      <c r="C92" s="1" t="s">
        <v>48</v>
      </c>
      <c r="D92" s="1" t="s">
        <v>201</v>
      </c>
      <c r="E92" s="1" t="s">
        <v>386</v>
      </c>
      <c r="F92" s="1" t="s">
        <v>387</v>
      </c>
      <c r="G92" s="1" t="s">
        <v>388</v>
      </c>
      <c r="H92" s="1" t="s">
        <v>178</v>
      </c>
      <c r="I92" s="1" t="s">
        <v>369</v>
      </c>
      <c r="J92" s="1" t="s">
        <v>384</v>
      </c>
      <c r="K92" s="1" t="s">
        <v>385</v>
      </c>
      <c r="L92" s="11" t="s">
        <v>57</v>
      </c>
      <c r="M92" s="1" t="s">
        <v>58</v>
      </c>
      <c r="N92" s="1" t="s">
        <v>59</v>
      </c>
      <c r="O92" s="1" t="s">
        <v>60</v>
      </c>
      <c r="P92" s="1">
        <v>0</v>
      </c>
      <c r="Q92" s="12">
        <v>161</v>
      </c>
      <c r="R92" s="1" t="s">
        <v>61</v>
      </c>
      <c r="S92" s="1" t="s">
        <v>167</v>
      </c>
      <c r="T92" s="6" t="s">
        <v>63</v>
      </c>
      <c r="U92" s="13">
        <v>0.22500000000000001</v>
      </c>
      <c r="V92" s="12">
        <v>36.229999999999997</v>
      </c>
      <c r="W92" s="12">
        <v>0</v>
      </c>
      <c r="X92" s="1" t="s">
        <v>57</v>
      </c>
    </row>
    <row r="93" spans="1:24" x14ac:dyDescent="0.2">
      <c r="A93" s="1" t="s">
        <v>360</v>
      </c>
      <c r="B93" s="1" t="s">
        <v>47</v>
      </c>
      <c r="C93" s="1" t="s">
        <v>48</v>
      </c>
      <c r="D93" s="1" t="s">
        <v>389</v>
      </c>
      <c r="E93" s="1" t="s">
        <v>390</v>
      </c>
      <c r="F93" s="1" t="s">
        <v>391</v>
      </c>
      <c r="G93" s="1" t="s">
        <v>392</v>
      </c>
      <c r="H93" s="1" t="s">
        <v>84</v>
      </c>
      <c r="I93" s="1" t="s">
        <v>393</v>
      </c>
      <c r="J93" s="1" t="s">
        <v>384</v>
      </c>
      <c r="K93" s="1" t="s">
        <v>385</v>
      </c>
      <c r="L93" s="11" t="s">
        <v>57</v>
      </c>
      <c r="M93" s="1" t="s">
        <v>58</v>
      </c>
      <c r="N93" s="1" t="s">
        <v>59</v>
      </c>
      <c r="O93" s="1" t="s">
        <v>60</v>
      </c>
      <c r="P93" s="1">
        <v>0</v>
      </c>
      <c r="Q93" s="12">
        <v>55.89</v>
      </c>
      <c r="R93" s="1" t="s">
        <v>61</v>
      </c>
      <c r="S93" s="1" t="s">
        <v>167</v>
      </c>
      <c r="T93" s="6" t="s">
        <v>63</v>
      </c>
      <c r="U93" s="13">
        <v>0.52</v>
      </c>
      <c r="V93" s="12">
        <v>29.06</v>
      </c>
      <c r="W93" s="12">
        <v>0</v>
      </c>
      <c r="X93" s="1" t="s">
        <v>57</v>
      </c>
    </row>
    <row r="94" spans="1:24" x14ac:dyDescent="0.2">
      <c r="A94" s="1" t="s">
        <v>360</v>
      </c>
      <c r="B94" s="1" t="s">
        <v>47</v>
      </c>
      <c r="C94" s="1" t="s">
        <v>69</v>
      </c>
      <c r="D94" s="1" t="s">
        <v>289</v>
      </c>
      <c r="E94" s="1" t="s">
        <v>394</v>
      </c>
      <c r="F94" s="1" t="s">
        <v>395</v>
      </c>
      <c r="G94" s="1" t="s">
        <v>193</v>
      </c>
      <c r="H94" s="1" t="s">
        <v>53</v>
      </c>
      <c r="I94" s="1" t="s">
        <v>396</v>
      </c>
      <c r="J94" s="1" t="s">
        <v>77</v>
      </c>
      <c r="K94" s="1" t="s">
        <v>56</v>
      </c>
      <c r="L94" s="11" t="s">
        <v>57</v>
      </c>
      <c r="M94" s="1" t="s">
        <v>58</v>
      </c>
      <c r="N94" s="1" t="s">
        <v>59</v>
      </c>
      <c r="O94" s="1" t="s">
        <v>60</v>
      </c>
      <c r="P94" s="1">
        <v>0</v>
      </c>
      <c r="Q94" s="12">
        <v>62.69</v>
      </c>
      <c r="R94" s="1" t="s">
        <v>61</v>
      </c>
      <c r="S94" s="1" t="s">
        <v>62</v>
      </c>
      <c r="T94" s="6" t="s">
        <v>63</v>
      </c>
      <c r="U94" s="13">
        <v>0.27</v>
      </c>
      <c r="V94" s="12">
        <v>16.93</v>
      </c>
      <c r="W94" s="12">
        <v>0</v>
      </c>
      <c r="X94" s="1" t="s">
        <v>57</v>
      </c>
    </row>
    <row r="95" spans="1:24" x14ac:dyDescent="0.2">
      <c r="A95" s="1" t="s">
        <v>360</v>
      </c>
      <c r="B95" s="1" t="s">
        <v>47</v>
      </c>
      <c r="C95" s="1" t="s">
        <v>69</v>
      </c>
      <c r="D95" s="1" t="s">
        <v>289</v>
      </c>
      <c r="E95" s="1" t="s">
        <v>397</v>
      </c>
      <c r="F95" s="1" t="s">
        <v>398</v>
      </c>
      <c r="G95" s="1" t="s">
        <v>193</v>
      </c>
      <c r="H95" s="1" t="s">
        <v>53</v>
      </c>
      <c r="I95" s="1" t="s">
        <v>369</v>
      </c>
      <c r="J95" s="1" t="s">
        <v>74</v>
      </c>
      <c r="K95" s="1" t="s">
        <v>56</v>
      </c>
      <c r="L95" s="11" t="s">
        <v>57</v>
      </c>
      <c r="M95" s="1" t="s">
        <v>58</v>
      </c>
      <c r="N95" s="1" t="s">
        <v>59</v>
      </c>
      <c r="O95" s="1" t="s">
        <v>60</v>
      </c>
      <c r="P95" s="1">
        <v>0</v>
      </c>
      <c r="Q95" s="12">
        <v>170.16</v>
      </c>
      <c r="R95" s="1" t="s">
        <v>61</v>
      </c>
      <c r="S95" s="1" t="s">
        <v>62</v>
      </c>
      <c r="T95" s="6" t="s">
        <v>63</v>
      </c>
      <c r="U95" s="13">
        <v>0.23</v>
      </c>
      <c r="V95" s="12">
        <v>39.14</v>
      </c>
      <c r="W95" s="12">
        <v>0</v>
      </c>
      <c r="X95" s="1" t="s">
        <v>57</v>
      </c>
    </row>
    <row r="96" spans="1:24" x14ac:dyDescent="0.2">
      <c r="A96" s="1" t="s">
        <v>360</v>
      </c>
      <c r="B96" s="1" t="s">
        <v>47</v>
      </c>
      <c r="C96" s="1" t="s">
        <v>69</v>
      </c>
      <c r="D96" s="1" t="s">
        <v>289</v>
      </c>
      <c r="E96" s="1" t="s">
        <v>399</v>
      </c>
      <c r="F96" s="1" t="s">
        <v>400</v>
      </c>
      <c r="G96" s="1" t="s">
        <v>155</v>
      </c>
      <c r="H96" s="1" t="s">
        <v>53</v>
      </c>
      <c r="I96" s="1" t="s">
        <v>369</v>
      </c>
      <c r="J96" s="1" t="s">
        <v>358</v>
      </c>
      <c r="K96" s="1" t="s">
        <v>56</v>
      </c>
      <c r="L96" s="11" t="s">
        <v>57</v>
      </c>
      <c r="M96" s="1" t="s">
        <v>58</v>
      </c>
      <c r="N96" s="1" t="s">
        <v>59</v>
      </c>
      <c r="O96" s="1" t="s">
        <v>60</v>
      </c>
      <c r="P96" s="1">
        <v>0</v>
      </c>
      <c r="Q96" s="12">
        <v>121.45</v>
      </c>
      <c r="R96" s="1" t="s">
        <v>61</v>
      </c>
      <c r="S96" s="1" t="s">
        <v>62</v>
      </c>
      <c r="T96" s="6" t="s">
        <v>63</v>
      </c>
      <c r="U96" s="13">
        <v>0.23</v>
      </c>
      <c r="V96" s="12">
        <v>0</v>
      </c>
      <c r="W96" s="12">
        <v>-27.93</v>
      </c>
      <c r="X96" s="1" t="s">
        <v>57</v>
      </c>
    </row>
    <row r="97" spans="1:24" x14ac:dyDescent="0.2">
      <c r="A97" s="1" t="s">
        <v>360</v>
      </c>
      <c r="B97" s="1" t="s">
        <v>47</v>
      </c>
      <c r="C97" s="1" t="s">
        <v>69</v>
      </c>
      <c r="D97" s="1" t="s">
        <v>289</v>
      </c>
      <c r="E97" s="1" t="s">
        <v>401</v>
      </c>
      <c r="F97" s="1" t="s">
        <v>402</v>
      </c>
      <c r="G97" s="1" t="s">
        <v>193</v>
      </c>
      <c r="H97" s="1" t="s">
        <v>53</v>
      </c>
      <c r="I97" s="1" t="s">
        <v>403</v>
      </c>
      <c r="J97" s="1" t="s">
        <v>134</v>
      </c>
      <c r="K97" s="1" t="s">
        <v>56</v>
      </c>
      <c r="L97" s="11" t="s">
        <v>57</v>
      </c>
      <c r="M97" s="1" t="s">
        <v>58</v>
      </c>
      <c r="N97" s="1" t="s">
        <v>59</v>
      </c>
      <c r="O97" s="1" t="s">
        <v>60</v>
      </c>
      <c r="P97" s="1">
        <v>0</v>
      </c>
      <c r="Q97" s="12">
        <v>119.09</v>
      </c>
      <c r="R97" s="1" t="s">
        <v>99</v>
      </c>
      <c r="S97" s="1" t="s">
        <v>100</v>
      </c>
      <c r="T97" s="6" t="s">
        <v>63</v>
      </c>
      <c r="U97" s="13">
        <v>0.27</v>
      </c>
      <c r="V97" s="12">
        <v>32.15</v>
      </c>
      <c r="W97" s="12">
        <v>0</v>
      </c>
      <c r="X97" s="1" t="s">
        <v>57</v>
      </c>
    </row>
    <row r="98" spans="1:24" x14ac:dyDescent="0.2">
      <c r="A98" s="1" t="s">
        <v>360</v>
      </c>
      <c r="B98" s="1" t="s">
        <v>47</v>
      </c>
      <c r="C98" s="1" t="s">
        <v>69</v>
      </c>
      <c r="D98" s="1" t="s">
        <v>289</v>
      </c>
      <c r="E98" s="1" t="s">
        <v>404</v>
      </c>
      <c r="F98" s="1" t="s">
        <v>405</v>
      </c>
      <c r="G98" s="1" t="s">
        <v>193</v>
      </c>
      <c r="H98" s="1" t="s">
        <v>53</v>
      </c>
      <c r="I98" s="1" t="s">
        <v>369</v>
      </c>
      <c r="J98" s="1" t="s">
        <v>134</v>
      </c>
      <c r="K98" s="1" t="s">
        <v>56</v>
      </c>
      <c r="L98" s="11" t="s">
        <v>57</v>
      </c>
      <c r="M98" s="1" t="s">
        <v>58</v>
      </c>
      <c r="N98" s="1" t="s">
        <v>59</v>
      </c>
      <c r="O98" s="1" t="s">
        <v>60</v>
      </c>
      <c r="P98" s="1">
        <v>0</v>
      </c>
      <c r="Q98" s="12">
        <v>168.14</v>
      </c>
      <c r="R98" s="1" t="s">
        <v>99</v>
      </c>
      <c r="S98" s="1" t="s">
        <v>100</v>
      </c>
      <c r="T98" s="6" t="s">
        <v>63</v>
      </c>
      <c r="U98" s="13">
        <v>0.23</v>
      </c>
      <c r="V98" s="12">
        <v>38.67</v>
      </c>
      <c r="W98" s="12">
        <v>0</v>
      </c>
      <c r="X98" s="1" t="s">
        <v>57</v>
      </c>
    </row>
    <row r="99" spans="1:24" x14ac:dyDescent="0.2">
      <c r="A99" s="1" t="s">
        <v>360</v>
      </c>
      <c r="B99" s="1" t="s">
        <v>47</v>
      </c>
      <c r="C99" s="1" t="s">
        <v>69</v>
      </c>
      <c r="D99" s="1" t="s">
        <v>289</v>
      </c>
      <c r="E99" s="1" t="s">
        <v>406</v>
      </c>
      <c r="F99" s="1" t="s">
        <v>407</v>
      </c>
      <c r="G99" s="1" t="s">
        <v>193</v>
      </c>
      <c r="H99" s="1" t="s">
        <v>53</v>
      </c>
      <c r="I99" s="1" t="s">
        <v>369</v>
      </c>
      <c r="J99" s="1" t="s">
        <v>408</v>
      </c>
      <c r="K99" s="1" t="s">
        <v>56</v>
      </c>
      <c r="L99" s="11" t="s">
        <v>57</v>
      </c>
      <c r="M99" s="1" t="s">
        <v>58</v>
      </c>
      <c r="N99" s="1" t="s">
        <v>59</v>
      </c>
      <c r="O99" s="1" t="s">
        <v>60</v>
      </c>
      <c r="P99" s="1">
        <v>0</v>
      </c>
      <c r="Q99" s="12">
        <v>170.16</v>
      </c>
      <c r="R99" s="1" t="s">
        <v>99</v>
      </c>
      <c r="S99" s="1" t="s">
        <v>100</v>
      </c>
      <c r="T99" s="6" t="s">
        <v>63</v>
      </c>
      <c r="U99" s="13">
        <v>0.23</v>
      </c>
      <c r="V99" s="12">
        <v>39.14</v>
      </c>
      <c r="W99" s="12">
        <v>0</v>
      </c>
      <c r="X99" s="1" t="s">
        <v>57</v>
      </c>
    </row>
    <row r="100" spans="1:24" x14ac:dyDescent="0.2">
      <c r="A100" s="1" t="s">
        <v>360</v>
      </c>
      <c r="B100" s="1" t="s">
        <v>47</v>
      </c>
      <c r="C100" s="1" t="s">
        <v>69</v>
      </c>
      <c r="D100" s="1" t="s">
        <v>289</v>
      </c>
      <c r="E100" s="1" t="s">
        <v>409</v>
      </c>
      <c r="F100" s="1" t="s">
        <v>410</v>
      </c>
      <c r="G100" s="1" t="s">
        <v>193</v>
      </c>
      <c r="H100" s="1" t="s">
        <v>53</v>
      </c>
      <c r="I100" s="1" t="s">
        <v>403</v>
      </c>
      <c r="J100" s="1" t="s">
        <v>411</v>
      </c>
      <c r="K100" s="1" t="s">
        <v>56</v>
      </c>
      <c r="L100" s="11" t="s">
        <v>57</v>
      </c>
      <c r="M100" s="1" t="s">
        <v>58</v>
      </c>
      <c r="N100" s="1" t="s">
        <v>59</v>
      </c>
      <c r="O100" s="1" t="s">
        <v>60</v>
      </c>
      <c r="P100" s="1">
        <v>0</v>
      </c>
      <c r="Q100" s="12">
        <v>120.5</v>
      </c>
      <c r="R100" s="1" t="s">
        <v>99</v>
      </c>
      <c r="S100" s="1" t="s">
        <v>100</v>
      </c>
      <c r="T100" s="6" t="s">
        <v>63</v>
      </c>
      <c r="U100" s="13">
        <v>0.27</v>
      </c>
      <c r="V100" s="12">
        <v>32.54</v>
      </c>
      <c r="W100" s="12">
        <v>0</v>
      </c>
      <c r="X100" s="1" t="s">
        <v>57</v>
      </c>
    </row>
    <row r="101" spans="1:24" x14ac:dyDescent="0.2">
      <c r="A101" s="1" t="s">
        <v>360</v>
      </c>
      <c r="B101" s="1" t="s">
        <v>47</v>
      </c>
      <c r="C101" s="1" t="s">
        <v>69</v>
      </c>
      <c r="D101" s="1" t="s">
        <v>289</v>
      </c>
      <c r="E101" s="1" t="s">
        <v>412</v>
      </c>
      <c r="F101" s="1" t="s">
        <v>413</v>
      </c>
      <c r="G101" s="1" t="s">
        <v>193</v>
      </c>
      <c r="H101" s="1" t="s">
        <v>53</v>
      </c>
      <c r="I101" s="1" t="s">
        <v>403</v>
      </c>
      <c r="J101" s="1" t="s">
        <v>411</v>
      </c>
      <c r="K101" s="1" t="s">
        <v>56</v>
      </c>
      <c r="L101" s="11" t="s">
        <v>57</v>
      </c>
      <c r="M101" s="1" t="s">
        <v>58</v>
      </c>
      <c r="N101" s="1" t="s">
        <v>59</v>
      </c>
      <c r="O101" s="1" t="s">
        <v>60</v>
      </c>
      <c r="P101" s="1">
        <v>0</v>
      </c>
      <c r="Q101" s="12">
        <v>104.8</v>
      </c>
      <c r="R101" s="1" t="s">
        <v>99</v>
      </c>
      <c r="S101" s="1" t="s">
        <v>100</v>
      </c>
      <c r="T101" s="6" t="s">
        <v>63</v>
      </c>
      <c r="U101" s="13">
        <v>0.27</v>
      </c>
      <c r="V101" s="12">
        <v>28.3</v>
      </c>
      <c r="W101" s="12">
        <v>0</v>
      </c>
      <c r="X101" s="1" t="s">
        <v>57</v>
      </c>
    </row>
    <row r="102" spans="1:24" x14ac:dyDescent="0.2">
      <c r="A102" s="1" t="s">
        <v>360</v>
      </c>
      <c r="B102" s="1" t="s">
        <v>47</v>
      </c>
      <c r="C102" s="1" t="s">
        <v>69</v>
      </c>
      <c r="D102" s="1" t="s">
        <v>289</v>
      </c>
      <c r="E102" s="1" t="s">
        <v>414</v>
      </c>
      <c r="F102" s="1" t="s">
        <v>415</v>
      </c>
      <c r="G102" s="1" t="s">
        <v>193</v>
      </c>
      <c r="H102" s="1" t="s">
        <v>53</v>
      </c>
      <c r="I102" s="1" t="s">
        <v>369</v>
      </c>
      <c r="J102" s="1" t="s">
        <v>411</v>
      </c>
      <c r="K102" s="1" t="s">
        <v>56</v>
      </c>
      <c r="L102" s="11" t="s">
        <v>57</v>
      </c>
      <c r="M102" s="1" t="s">
        <v>58</v>
      </c>
      <c r="N102" s="1" t="s">
        <v>59</v>
      </c>
      <c r="O102" s="1" t="s">
        <v>60</v>
      </c>
      <c r="P102" s="1">
        <v>0</v>
      </c>
      <c r="Q102" s="12">
        <v>147.96</v>
      </c>
      <c r="R102" s="1" t="s">
        <v>99</v>
      </c>
      <c r="S102" s="1" t="s">
        <v>100</v>
      </c>
      <c r="T102" s="6" t="s">
        <v>63</v>
      </c>
      <c r="U102" s="13">
        <v>0.23</v>
      </c>
      <c r="V102" s="12">
        <v>34.03</v>
      </c>
      <c r="W102" s="12">
        <v>0</v>
      </c>
      <c r="X102" s="1" t="s">
        <v>57</v>
      </c>
    </row>
    <row r="103" spans="1:24" x14ac:dyDescent="0.2">
      <c r="A103" s="1" t="s">
        <v>360</v>
      </c>
      <c r="B103" s="1" t="s">
        <v>47</v>
      </c>
      <c r="C103" s="1" t="s">
        <v>69</v>
      </c>
      <c r="D103" s="1" t="s">
        <v>289</v>
      </c>
      <c r="E103" s="1" t="s">
        <v>416</v>
      </c>
      <c r="F103" s="1" t="s">
        <v>417</v>
      </c>
      <c r="G103" s="1" t="s">
        <v>193</v>
      </c>
      <c r="H103" s="1" t="s">
        <v>53</v>
      </c>
      <c r="I103" s="1" t="s">
        <v>369</v>
      </c>
      <c r="J103" s="1" t="s">
        <v>411</v>
      </c>
      <c r="K103" s="1" t="s">
        <v>56</v>
      </c>
      <c r="L103" s="11" t="s">
        <v>57</v>
      </c>
      <c r="M103" s="1" t="s">
        <v>58</v>
      </c>
      <c r="N103" s="1" t="s">
        <v>59</v>
      </c>
      <c r="O103" s="1" t="s">
        <v>60</v>
      </c>
      <c r="P103" s="1">
        <v>0</v>
      </c>
      <c r="Q103" s="12">
        <v>147.96</v>
      </c>
      <c r="R103" s="1" t="s">
        <v>99</v>
      </c>
      <c r="S103" s="1" t="s">
        <v>100</v>
      </c>
      <c r="T103" s="6" t="s">
        <v>63</v>
      </c>
      <c r="U103" s="13">
        <v>0.23</v>
      </c>
      <c r="V103" s="12">
        <v>34.03</v>
      </c>
      <c r="W103" s="12">
        <v>0</v>
      </c>
      <c r="X103" s="1" t="s">
        <v>57</v>
      </c>
    </row>
    <row r="104" spans="1:24" x14ac:dyDescent="0.2">
      <c r="A104" s="1" t="s">
        <v>360</v>
      </c>
      <c r="B104" s="1" t="s">
        <v>47</v>
      </c>
      <c r="C104" s="1" t="s">
        <v>69</v>
      </c>
      <c r="D104" s="1" t="s">
        <v>289</v>
      </c>
      <c r="E104" s="1" t="s">
        <v>418</v>
      </c>
      <c r="F104" s="1" t="s">
        <v>419</v>
      </c>
      <c r="G104" s="1" t="s">
        <v>193</v>
      </c>
      <c r="H104" s="1" t="s">
        <v>53</v>
      </c>
      <c r="I104" s="1" t="s">
        <v>403</v>
      </c>
      <c r="J104" s="1" t="s">
        <v>420</v>
      </c>
      <c r="K104" s="1" t="s">
        <v>56</v>
      </c>
      <c r="L104" s="11" t="s">
        <v>57</v>
      </c>
      <c r="M104" s="1" t="s">
        <v>58</v>
      </c>
      <c r="N104" s="1" t="s">
        <v>59</v>
      </c>
      <c r="O104" s="1" t="s">
        <v>60</v>
      </c>
      <c r="P104" s="1">
        <v>0</v>
      </c>
      <c r="Q104" s="12">
        <v>100.3</v>
      </c>
      <c r="R104" s="1" t="s">
        <v>99</v>
      </c>
      <c r="S104" s="1" t="s">
        <v>100</v>
      </c>
      <c r="T104" s="6" t="s">
        <v>63</v>
      </c>
      <c r="U104" s="13">
        <v>0.27</v>
      </c>
      <c r="V104" s="12">
        <v>27.08</v>
      </c>
      <c r="W104" s="12">
        <v>0</v>
      </c>
      <c r="X104" s="1" t="s">
        <v>57</v>
      </c>
    </row>
    <row r="105" spans="1:24" x14ac:dyDescent="0.2">
      <c r="A105" s="1" t="s">
        <v>360</v>
      </c>
      <c r="B105" s="1" t="s">
        <v>47</v>
      </c>
      <c r="C105" s="1" t="s">
        <v>69</v>
      </c>
      <c r="D105" s="1" t="s">
        <v>289</v>
      </c>
      <c r="E105" s="1" t="s">
        <v>421</v>
      </c>
      <c r="F105" s="1" t="s">
        <v>422</v>
      </c>
      <c r="G105" s="1" t="s">
        <v>193</v>
      </c>
      <c r="H105" s="1" t="s">
        <v>53</v>
      </c>
      <c r="I105" s="1" t="s">
        <v>403</v>
      </c>
      <c r="J105" s="1" t="s">
        <v>420</v>
      </c>
      <c r="K105" s="1" t="s">
        <v>56</v>
      </c>
      <c r="L105" s="11" t="s">
        <v>57</v>
      </c>
      <c r="M105" s="1" t="s">
        <v>58</v>
      </c>
      <c r="N105" s="1" t="s">
        <v>59</v>
      </c>
      <c r="O105" s="1" t="s">
        <v>60</v>
      </c>
      <c r="P105" s="1">
        <v>0</v>
      </c>
      <c r="Q105" s="12">
        <v>115.35</v>
      </c>
      <c r="R105" s="1" t="s">
        <v>99</v>
      </c>
      <c r="S105" s="1" t="s">
        <v>100</v>
      </c>
      <c r="T105" s="6" t="s">
        <v>63</v>
      </c>
      <c r="U105" s="13">
        <v>0.27</v>
      </c>
      <c r="V105" s="12">
        <v>31.14</v>
      </c>
      <c r="W105" s="12">
        <v>0</v>
      </c>
      <c r="X105" s="1" t="s">
        <v>57</v>
      </c>
    </row>
    <row r="106" spans="1:24" x14ac:dyDescent="0.2">
      <c r="A106" s="1" t="s">
        <v>360</v>
      </c>
      <c r="B106" s="1" t="s">
        <v>47</v>
      </c>
      <c r="C106" s="1" t="s">
        <v>69</v>
      </c>
      <c r="D106" s="1" t="s">
        <v>289</v>
      </c>
      <c r="E106" s="1" t="s">
        <v>423</v>
      </c>
      <c r="F106" s="1" t="s">
        <v>424</v>
      </c>
      <c r="G106" s="1" t="s">
        <v>193</v>
      </c>
      <c r="H106" s="1" t="s">
        <v>53</v>
      </c>
      <c r="I106" s="1" t="s">
        <v>403</v>
      </c>
      <c r="J106" s="1" t="s">
        <v>114</v>
      </c>
      <c r="K106" s="1" t="s">
        <v>56</v>
      </c>
      <c r="L106" s="11" t="s">
        <v>57</v>
      </c>
      <c r="M106" s="1" t="s">
        <v>58</v>
      </c>
      <c r="N106" s="1" t="s">
        <v>59</v>
      </c>
      <c r="O106" s="1" t="s">
        <v>60</v>
      </c>
      <c r="P106" s="1">
        <v>0</v>
      </c>
      <c r="Q106" s="12">
        <v>119.27</v>
      </c>
      <c r="R106" s="1" t="s">
        <v>99</v>
      </c>
      <c r="S106" s="1" t="s">
        <v>100</v>
      </c>
      <c r="T106" s="6" t="s">
        <v>63</v>
      </c>
      <c r="U106" s="13">
        <v>0.27</v>
      </c>
      <c r="V106" s="12">
        <v>32.200000000000003</v>
      </c>
      <c r="W106" s="12">
        <v>0</v>
      </c>
      <c r="X106" s="1" t="s">
        <v>57</v>
      </c>
    </row>
    <row r="107" spans="1:24" x14ac:dyDescent="0.2">
      <c r="A107" s="1" t="s">
        <v>360</v>
      </c>
      <c r="B107" s="1" t="s">
        <v>47</v>
      </c>
      <c r="C107" s="1" t="s">
        <v>69</v>
      </c>
      <c r="D107" s="1" t="s">
        <v>289</v>
      </c>
      <c r="E107" s="1" t="s">
        <v>425</v>
      </c>
      <c r="F107" s="1" t="s">
        <v>426</v>
      </c>
      <c r="G107" s="1" t="s">
        <v>193</v>
      </c>
      <c r="H107" s="1" t="s">
        <v>53</v>
      </c>
      <c r="I107" s="1" t="s">
        <v>369</v>
      </c>
      <c r="J107" s="1" t="s">
        <v>114</v>
      </c>
      <c r="K107" s="1" t="s">
        <v>56</v>
      </c>
      <c r="L107" s="11" t="s">
        <v>57</v>
      </c>
      <c r="M107" s="1" t="s">
        <v>58</v>
      </c>
      <c r="N107" s="1" t="s">
        <v>59</v>
      </c>
      <c r="O107" s="1" t="s">
        <v>60</v>
      </c>
      <c r="P107" s="1">
        <v>0</v>
      </c>
      <c r="Q107" s="12">
        <v>141.63</v>
      </c>
      <c r="R107" s="1" t="s">
        <v>99</v>
      </c>
      <c r="S107" s="1" t="s">
        <v>100</v>
      </c>
      <c r="T107" s="6" t="s">
        <v>63</v>
      </c>
      <c r="U107" s="13">
        <v>0.23</v>
      </c>
      <c r="V107" s="12">
        <v>32.57</v>
      </c>
      <c r="W107" s="12">
        <v>0</v>
      </c>
      <c r="X107" s="1" t="s">
        <v>57</v>
      </c>
    </row>
    <row r="108" spans="1:24" x14ac:dyDescent="0.2">
      <c r="A108" s="1" t="s">
        <v>360</v>
      </c>
      <c r="B108" s="1" t="s">
        <v>47</v>
      </c>
      <c r="C108" s="1" t="s">
        <v>69</v>
      </c>
      <c r="D108" s="1" t="s">
        <v>289</v>
      </c>
      <c r="E108" s="1" t="s">
        <v>427</v>
      </c>
      <c r="F108" s="1" t="s">
        <v>428</v>
      </c>
      <c r="G108" s="1" t="s">
        <v>193</v>
      </c>
      <c r="H108" s="1" t="s">
        <v>53</v>
      </c>
      <c r="I108" s="1" t="s">
        <v>403</v>
      </c>
      <c r="J108" s="1" t="s">
        <v>429</v>
      </c>
      <c r="K108" s="1" t="s">
        <v>56</v>
      </c>
      <c r="L108" s="11" t="s">
        <v>57</v>
      </c>
      <c r="M108" s="1" t="s">
        <v>58</v>
      </c>
      <c r="N108" s="1" t="s">
        <v>59</v>
      </c>
      <c r="O108" s="1" t="s">
        <v>60</v>
      </c>
      <c r="P108" s="1">
        <v>0</v>
      </c>
      <c r="Q108" s="12">
        <v>122.27</v>
      </c>
      <c r="R108" s="1" t="s">
        <v>99</v>
      </c>
      <c r="S108" s="1" t="s">
        <v>100</v>
      </c>
      <c r="T108" s="6" t="s">
        <v>63</v>
      </c>
      <c r="U108" s="13">
        <v>0.27</v>
      </c>
      <c r="V108" s="12">
        <v>33.01</v>
      </c>
      <c r="W108" s="12">
        <v>0</v>
      </c>
      <c r="X108" s="1" t="s">
        <v>57</v>
      </c>
    </row>
    <row r="109" spans="1:24" x14ac:dyDescent="0.2">
      <c r="A109" s="1" t="s">
        <v>360</v>
      </c>
      <c r="B109" s="1" t="s">
        <v>47</v>
      </c>
      <c r="C109" s="1" t="s">
        <v>69</v>
      </c>
      <c r="D109" s="1" t="s">
        <v>289</v>
      </c>
      <c r="E109" s="1" t="s">
        <v>430</v>
      </c>
      <c r="F109" s="1" t="s">
        <v>431</v>
      </c>
      <c r="G109" s="1" t="s">
        <v>193</v>
      </c>
      <c r="H109" s="1" t="s">
        <v>53</v>
      </c>
      <c r="I109" s="1" t="s">
        <v>403</v>
      </c>
      <c r="J109" s="1" t="s">
        <v>432</v>
      </c>
      <c r="K109" s="1" t="s">
        <v>56</v>
      </c>
      <c r="L109" s="11" t="s">
        <v>57</v>
      </c>
      <c r="M109" s="1" t="s">
        <v>58</v>
      </c>
      <c r="N109" s="1" t="s">
        <v>59</v>
      </c>
      <c r="O109" s="1" t="s">
        <v>60</v>
      </c>
      <c r="P109" s="1">
        <v>0</v>
      </c>
      <c r="Q109" s="12">
        <v>122.27</v>
      </c>
      <c r="R109" s="1" t="s">
        <v>99</v>
      </c>
      <c r="S109" s="1" t="s">
        <v>100</v>
      </c>
      <c r="T109" s="6" t="s">
        <v>63</v>
      </c>
      <c r="U109" s="13">
        <v>0.27</v>
      </c>
      <c r="V109" s="12">
        <v>33.01</v>
      </c>
      <c r="W109" s="12">
        <v>0</v>
      </c>
      <c r="X109" s="1" t="s">
        <v>57</v>
      </c>
    </row>
    <row r="110" spans="1:24" x14ac:dyDescent="0.2">
      <c r="A110" s="1" t="s">
        <v>360</v>
      </c>
      <c r="B110" s="1" t="s">
        <v>47</v>
      </c>
      <c r="C110" s="1" t="s">
        <v>69</v>
      </c>
      <c r="D110" s="1" t="s">
        <v>289</v>
      </c>
      <c r="E110" s="1" t="s">
        <v>433</v>
      </c>
      <c r="F110" s="1" t="s">
        <v>434</v>
      </c>
      <c r="G110" s="1" t="s">
        <v>193</v>
      </c>
      <c r="H110" s="1" t="s">
        <v>53</v>
      </c>
      <c r="I110" s="1" t="s">
        <v>403</v>
      </c>
      <c r="J110" s="1" t="s">
        <v>429</v>
      </c>
      <c r="K110" s="1" t="s">
        <v>56</v>
      </c>
      <c r="L110" s="11" t="s">
        <v>57</v>
      </c>
      <c r="M110" s="1" t="s">
        <v>58</v>
      </c>
      <c r="N110" s="1" t="s">
        <v>59</v>
      </c>
      <c r="O110" s="1" t="s">
        <v>60</v>
      </c>
      <c r="P110" s="1">
        <v>0</v>
      </c>
      <c r="Q110" s="12">
        <v>107.59</v>
      </c>
      <c r="R110" s="1" t="s">
        <v>99</v>
      </c>
      <c r="S110" s="1" t="s">
        <v>100</v>
      </c>
      <c r="T110" s="6" t="s">
        <v>63</v>
      </c>
      <c r="U110" s="13">
        <v>0.27</v>
      </c>
      <c r="V110" s="12">
        <v>29.05</v>
      </c>
      <c r="W110" s="12">
        <v>0</v>
      </c>
      <c r="X110" s="1" t="s">
        <v>57</v>
      </c>
    </row>
    <row r="111" spans="1:24" x14ac:dyDescent="0.2">
      <c r="A111" s="1" t="s">
        <v>360</v>
      </c>
      <c r="B111" s="1" t="s">
        <v>47</v>
      </c>
      <c r="C111" s="1" t="s">
        <v>69</v>
      </c>
      <c r="D111" s="1" t="s">
        <v>289</v>
      </c>
      <c r="E111" s="1" t="s">
        <v>435</v>
      </c>
      <c r="F111" s="1" t="s">
        <v>436</v>
      </c>
      <c r="G111" s="1" t="s">
        <v>193</v>
      </c>
      <c r="H111" s="1" t="s">
        <v>53</v>
      </c>
      <c r="I111" s="1" t="s">
        <v>369</v>
      </c>
      <c r="J111" s="1" t="s">
        <v>437</v>
      </c>
      <c r="K111" s="1" t="s">
        <v>56</v>
      </c>
      <c r="L111" s="11" t="s">
        <v>57</v>
      </c>
      <c r="M111" s="1" t="s">
        <v>58</v>
      </c>
      <c r="N111" s="1" t="s">
        <v>59</v>
      </c>
      <c r="O111" s="1" t="s">
        <v>60</v>
      </c>
      <c r="P111" s="1">
        <v>0</v>
      </c>
      <c r="Q111" s="12">
        <v>173.81</v>
      </c>
      <c r="R111" s="1" t="s">
        <v>99</v>
      </c>
      <c r="S111" s="1" t="s">
        <v>100</v>
      </c>
      <c r="T111" s="6" t="s">
        <v>63</v>
      </c>
      <c r="U111" s="13">
        <v>0.23</v>
      </c>
      <c r="V111" s="12">
        <v>39.979999999999997</v>
      </c>
      <c r="W111" s="12">
        <v>0</v>
      </c>
      <c r="X111" s="1" t="s">
        <v>57</v>
      </c>
    </row>
    <row r="112" spans="1:24" x14ac:dyDescent="0.2">
      <c r="A112" s="1" t="s">
        <v>360</v>
      </c>
      <c r="B112" s="1" t="s">
        <v>47</v>
      </c>
      <c r="C112" s="1" t="s">
        <v>69</v>
      </c>
      <c r="D112" s="1" t="s">
        <v>289</v>
      </c>
      <c r="E112" s="1" t="s">
        <v>438</v>
      </c>
      <c r="F112" s="1" t="s">
        <v>439</v>
      </c>
      <c r="G112" s="1" t="s">
        <v>193</v>
      </c>
      <c r="H112" s="1" t="s">
        <v>53</v>
      </c>
      <c r="I112" s="1" t="s">
        <v>369</v>
      </c>
      <c r="J112" s="1" t="s">
        <v>437</v>
      </c>
      <c r="K112" s="1" t="s">
        <v>56</v>
      </c>
      <c r="L112" s="11" t="s">
        <v>57</v>
      </c>
      <c r="M112" s="1" t="s">
        <v>58</v>
      </c>
      <c r="N112" s="1" t="s">
        <v>59</v>
      </c>
      <c r="O112" s="1" t="s">
        <v>60</v>
      </c>
      <c r="P112" s="1">
        <v>0</v>
      </c>
      <c r="Q112" s="12">
        <v>141.63</v>
      </c>
      <c r="R112" s="1" t="s">
        <v>99</v>
      </c>
      <c r="S112" s="1" t="s">
        <v>100</v>
      </c>
      <c r="T112" s="6" t="s">
        <v>63</v>
      </c>
      <c r="U112" s="13">
        <v>0.23</v>
      </c>
      <c r="V112" s="12">
        <v>32.57</v>
      </c>
      <c r="W112" s="12">
        <v>0</v>
      </c>
      <c r="X112" s="1" t="s">
        <v>57</v>
      </c>
    </row>
    <row r="113" spans="1:24" x14ac:dyDescent="0.2">
      <c r="A113" s="1" t="s">
        <v>360</v>
      </c>
      <c r="B113" s="1" t="s">
        <v>47</v>
      </c>
      <c r="C113" s="1" t="s">
        <v>69</v>
      </c>
      <c r="D113" s="1" t="s">
        <v>289</v>
      </c>
      <c r="E113" s="1" t="s">
        <v>440</v>
      </c>
      <c r="F113" s="1" t="s">
        <v>441</v>
      </c>
      <c r="G113" s="1" t="s">
        <v>193</v>
      </c>
      <c r="H113" s="1" t="s">
        <v>53</v>
      </c>
      <c r="I113" s="1" t="s">
        <v>369</v>
      </c>
      <c r="J113" s="1" t="s">
        <v>437</v>
      </c>
      <c r="K113" s="1" t="s">
        <v>56</v>
      </c>
      <c r="L113" s="11" t="s">
        <v>57</v>
      </c>
      <c r="M113" s="1" t="s">
        <v>58</v>
      </c>
      <c r="N113" s="1" t="s">
        <v>59</v>
      </c>
      <c r="O113" s="1" t="s">
        <v>60</v>
      </c>
      <c r="P113" s="1">
        <v>0</v>
      </c>
      <c r="Q113" s="12">
        <v>151.93</v>
      </c>
      <c r="R113" s="1" t="s">
        <v>99</v>
      </c>
      <c r="S113" s="1" t="s">
        <v>100</v>
      </c>
      <c r="T113" s="6" t="s">
        <v>63</v>
      </c>
      <c r="U113" s="13">
        <v>0.23</v>
      </c>
      <c r="V113" s="12">
        <v>34.94</v>
      </c>
      <c r="W113" s="12">
        <v>0</v>
      </c>
      <c r="X113" s="1" t="s">
        <v>57</v>
      </c>
    </row>
    <row r="114" spans="1:24" x14ac:dyDescent="0.2">
      <c r="A114" s="1" t="s">
        <v>360</v>
      </c>
      <c r="B114" s="1" t="s">
        <v>47</v>
      </c>
      <c r="C114" s="1" t="s">
        <v>69</v>
      </c>
      <c r="D114" s="1" t="s">
        <v>289</v>
      </c>
      <c r="E114" s="1" t="s">
        <v>442</v>
      </c>
      <c r="F114" s="1" t="s">
        <v>443</v>
      </c>
      <c r="G114" s="1" t="s">
        <v>155</v>
      </c>
      <c r="H114" s="1" t="s">
        <v>53</v>
      </c>
      <c r="I114" s="1" t="s">
        <v>369</v>
      </c>
      <c r="J114" s="1" t="s">
        <v>118</v>
      </c>
      <c r="K114" s="1" t="s">
        <v>56</v>
      </c>
      <c r="L114" s="11" t="s">
        <v>57</v>
      </c>
      <c r="M114" s="1" t="s">
        <v>58</v>
      </c>
      <c r="N114" s="1" t="s">
        <v>59</v>
      </c>
      <c r="O114" s="1" t="s">
        <v>60</v>
      </c>
      <c r="P114" s="1">
        <v>0</v>
      </c>
      <c r="Q114" s="12">
        <v>135.43</v>
      </c>
      <c r="R114" s="1" t="s">
        <v>99</v>
      </c>
      <c r="S114" s="1" t="s">
        <v>100</v>
      </c>
      <c r="T114" s="6" t="s">
        <v>63</v>
      </c>
      <c r="U114" s="13">
        <v>0.23</v>
      </c>
      <c r="V114" s="12">
        <v>31.15</v>
      </c>
      <c r="W114" s="12">
        <v>0</v>
      </c>
      <c r="X114" s="1" t="s">
        <v>57</v>
      </c>
    </row>
    <row r="115" spans="1:24" x14ac:dyDescent="0.2">
      <c r="A115" s="1" t="s">
        <v>360</v>
      </c>
      <c r="B115" s="1" t="s">
        <v>47</v>
      </c>
      <c r="C115" s="1" t="s">
        <v>69</v>
      </c>
      <c r="D115" s="1" t="s">
        <v>289</v>
      </c>
      <c r="E115" s="1" t="s">
        <v>444</v>
      </c>
      <c r="F115" s="1" t="s">
        <v>445</v>
      </c>
      <c r="G115" s="1" t="s">
        <v>193</v>
      </c>
      <c r="H115" s="1" t="s">
        <v>53</v>
      </c>
      <c r="I115" s="1" t="s">
        <v>369</v>
      </c>
      <c r="J115" s="1" t="s">
        <v>118</v>
      </c>
      <c r="K115" s="1" t="s">
        <v>56</v>
      </c>
      <c r="L115" s="11" t="s">
        <v>57</v>
      </c>
      <c r="M115" s="1" t="s">
        <v>58</v>
      </c>
      <c r="N115" s="1" t="s">
        <v>59</v>
      </c>
      <c r="O115" s="1" t="s">
        <v>60</v>
      </c>
      <c r="P115" s="1">
        <v>0</v>
      </c>
      <c r="Q115" s="12">
        <v>167.12</v>
      </c>
      <c r="R115" s="1" t="s">
        <v>99</v>
      </c>
      <c r="S115" s="1" t="s">
        <v>100</v>
      </c>
      <c r="T115" s="6" t="s">
        <v>63</v>
      </c>
      <c r="U115" s="13">
        <v>0.23</v>
      </c>
      <c r="V115" s="12">
        <v>38.44</v>
      </c>
      <c r="W115" s="12">
        <v>0</v>
      </c>
      <c r="X115" s="1" t="s">
        <v>57</v>
      </c>
    </row>
    <row r="116" spans="1:24" x14ac:dyDescent="0.2">
      <c r="A116" s="1" t="s">
        <v>360</v>
      </c>
      <c r="B116" s="1" t="s">
        <v>47</v>
      </c>
      <c r="C116" s="1" t="s">
        <v>69</v>
      </c>
      <c r="D116" s="1" t="s">
        <v>289</v>
      </c>
      <c r="E116" s="1" t="s">
        <v>446</v>
      </c>
      <c r="F116" s="1" t="s">
        <v>447</v>
      </c>
      <c r="G116" s="1" t="s">
        <v>193</v>
      </c>
      <c r="H116" s="1" t="s">
        <v>53</v>
      </c>
      <c r="I116" s="1" t="s">
        <v>403</v>
      </c>
      <c r="J116" s="1" t="s">
        <v>448</v>
      </c>
      <c r="K116" s="1" t="s">
        <v>56</v>
      </c>
      <c r="L116" s="11" t="s">
        <v>57</v>
      </c>
      <c r="M116" s="1" t="s">
        <v>58</v>
      </c>
      <c r="N116" s="1" t="s">
        <v>59</v>
      </c>
      <c r="O116" s="1" t="s">
        <v>60</v>
      </c>
      <c r="P116" s="1">
        <v>0</v>
      </c>
      <c r="Q116" s="12">
        <v>93.57</v>
      </c>
      <c r="R116" s="1" t="s">
        <v>99</v>
      </c>
      <c r="S116" s="1" t="s">
        <v>100</v>
      </c>
      <c r="T116" s="6" t="s">
        <v>63</v>
      </c>
      <c r="U116" s="13">
        <v>0.27</v>
      </c>
      <c r="V116" s="12">
        <v>25.26</v>
      </c>
      <c r="W116" s="12">
        <v>0</v>
      </c>
      <c r="X116" s="1" t="s">
        <v>57</v>
      </c>
    </row>
    <row r="117" spans="1:24" x14ac:dyDescent="0.2">
      <c r="A117" s="1" t="s">
        <v>360</v>
      </c>
      <c r="B117" s="1" t="s">
        <v>47</v>
      </c>
      <c r="C117" s="1" t="s">
        <v>69</v>
      </c>
      <c r="D117" s="1" t="s">
        <v>289</v>
      </c>
      <c r="E117" s="1" t="s">
        <v>449</v>
      </c>
      <c r="F117" s="1" t="s">
        <v>450</v>
      </c>
      <c r="G117" s="1" t="s">
        <v>193</v>
      </c>
      <c r="H117" s="1" t="s">
        <v>53</v>
      </c>
      <c r="I117" s="1" t="s">
        <v>451</v>
      </c>
      <c r="J117" s="1" t="s">
        <v>448</v>
      </c>
      <c r="K117" s="1" t="s">
        <v>56</v>
      </c>
      <c r="L117" s="11" t="s">
        <v>57</v>
      </c>
      <c r="M117" s="1" t="s">
        <v>58</v>
      </c>
      <c r="N117" s="1" t="s">
        <v>59</v>
      </c>
      <c r="O117" s="1" t="s">
        <v>60</v>
      </c>
      <c r="P117" s="1">
        <v>0</v>
      </c>
      <c r="Q117" s="12">
        <v>151.85</v>
      </c>
      <c r="R117" s="1" t="s">
        <v>99</v>
      </c>
      <c r="S117" s="1" t="s">
        <v>100</v>
      </c>
      <c r="T117" s="6" t="s">
        <v>63</v>
      </c>
      <c r="U117" s="13">
        <v>0.23</v>
      </c>
      <c r="V117" s="12">
        <v>34.93</v>
      </c>
      <c r="W117" s="12">
        <v>0</v>
      </c>
      <c r="X117" s="1" t="s">
        <v>57</v>
      </c>
    </row>
    <row r="118" spans="1:24" x14ac:dyDescent="0.2">
      <c r="A118" s="1" t="s">
        <v>360</v>
      </c>
      <c r="B118" s="1" t="s">
        <v>47</v>
      </c>
      <c r="C118" s="1" t="s">
        <v>69</v>
      </c>
      <c r="D118" s="1" t="s">
        <v>289</v>
      </c>
      <c r="E118" s="1" t="s">
        <v>452</v>
      </c>
      <c r="F118" s="1" t="s">
        <v>453</v>
      </c>
      <c r="G118" s="1" t="s">
        <v>193</v>
      </c>
      <c r="H118" s="1" t="s">
        <v>53</v>
      </c>
      <c r="I118" s="1" t="s">
        <v>369</v>
      </c>
      <c r="J118" s="1" t="s">
        <v>448</v>
      </c>
      <c r="K118" s="1" t="s">
        <v>56</v>
      </c>
      <c r="L118" s="11" t="s">
        <v>57</v>
      </c>
      <c r="M118" s="1" t="s">
        <v>58</v>
      </c>
      <c r="N118" s="1" t="s">
        <v>59</v>
      </c>
      <c r="O118" s="1" t="s">
        <v>60</v>
      </c>
      <c r="P118" s="1">
        <v>0</v>
      </c>
      <c r="Q118" s="12">
        <v>151.93</v>
      </c>
      <c r="R118" s="1" t="s">
        <v>99</v>
      </c>
      <c r="S118" s="1" t="s">
        <v>100</v>
      </c>
      <c r="T118" s="6" t="s">
        <v>63</v>
      </c>
      <c r="U118" s="13">
        <v>0.23</v>
      </c>
      <c r="V118" s="12">
        <v>34.94</v>
      </c>
      <c r="W118" s="12">
        <v>0</v>
      </c>
      <c r="X118" s="1" t="s">
        <v>57</v>
      </c>
    </row>
    <row r="119" spans="1:24" x14ac:dyDescent="0.2">
      <c r="A119" s="1" t="s">
        <v>360</v>
      </c>
      <c r="B119" s="1" t="s">
        <v>47</v>
      </c>
      <c r="C119" s="1" t="s">
        <v>69</v>
      </c>
      <c r="D119" s="1" t="s">
        <v>289</v>
      </c>
      <c r="E119" s="1" t="s">
        <v>454</v>
      </c>
      <c r="F119" s="1" t="s">
        <v>455</v>
      </c>
      <c r="G119" s="1" t="s">
        <v>193</v>
      </c>
      <c r="H119" s="1" t="s">
        <v>178</v>
      </c>
      <c r="I119" s="1" t="s">
        <v>369</v>
      </c>
      <c r="J119" s="1" t="s">
        <v>448</v>
      </c>
      <c r="K119" s="1" t="s">
        <v>56</v>
      </c>
      <c r="L119" s="11" t="s">
        <v>57</v>
      </c>
      <c r="M119" s="1" t="s">
        <v>58</v>
      </c>
      <c r="N119" s="1" t="s">
        <v>59</v>
      </c>
      <c r="O119" s="1" t="s">
        <v>60</v>
      </c>
      <c r="P119" s="1">
        <v>0</v>
      </c>
      <c r="Q119" s="12">
        <v>151.93</v>
      </c>
      <c r="R119" s="1" t="s">
        <v>99</v>
      </c>
      <c r="S119" s="1" t="s">
        <v>100</v>
      </c>
      <c r="T119" s="6" t="s">
        <v>63</v>
      </c>
      <c r="U119" s="13">
        <v>0.23</v>
      </c>
      <c r="V119" s="12">
        <v>34.94</v>
      </c>
      <c r="W119" s="12">
        <v>0</v>
      </c>
      <c r="X119" s="1" t="s">
        <v>57</v>
      </c>
    </row>
    <row r="120" spans="1:24" x14ac:dyDescent="0.2">
      <c r="A120" s="1" t="s">
        <v>360</v>
      </c>
      <c r="B120" s="1" t="s">
        <v>47</v>
      </c>
      <c r="C120" s="1" t="s">
        <v>69</v>
      </c>
      <c r="D120" s="1" t="s">
        <v>289</v>
      </c>
      <c r="E120" s="1" t="s">
        <v>456</v>
      </c>
      <c r="F120" s="1" t="s">
        <v>457</v>
      </c>
      <c r="G120" s="1" t="s">
        <v>193</v>
      </c>
      <c r="H120" s="1" t="s">
        <v>53</v>
      </c>
      <c r="I120" s="1" t="s">
        <v>369</v>
      </c>
      <c r="J120" s="1" t="s">
        <v>458</v>
      </c>
      <c r="K120" s="1" t="s">
        <v>56</v>
      </c>
      <c r="L120" s="11" t="s">
        <v>57</v>
      </c>
      <c r="M120" s="1" t="s">
        <v>58</v>
      </c>
      <c r="N120" s="1" t="s">
        <v>59</v>
      </c>
      <c r="O120" s="1" t="s">
        <v>60</v>
      </c>
      <c r="P120" s="1">
        <v>0</v>
      </c>
      <c r="Q120" s="12">
        <v>151.93</v>
      </c>
      <c r="R120" s="1" t="s">
        <v>99</v>
      </c>
      <c r="S120" s="1" t="s">
        <v>100</v>
      </c>
      <c r="T120" s="6" t="s">
        <v>63</v>
      </c>
      <c r="U120" s="13">
        <v>0.23</v>
      </c>
      <c r="V120" s="12">
        <v>34.94</v>
      </c>
      <c r="W120" s="12">
        <v>0</v>
      </c>
      <c r="X120" s="1" t="s">
        <v>57</v>
      </c>
    </row>
    <row r="121" spans="1:24" x14ac:dyDescent="0.2">
      <c r="A121" s="1" t="s">
        <v>360</v>
      </c>
      <c r="B121" s="1" t="s">
        <v>47</v>
      </c>
      <c r="C121" s="1" t="s">
        <v>69</v>
      </c>
      <c r="D121" s="1" t="s">
        <v>289</v>
      </c>
      <c r="E121" s="1" t="s">
        <v>459</v>
      </c>
      <c r="F121" s="1" t="s">
        <v>460</v>
      </c>
      <c r="G121" s="1" t="s">
        <v>193</v>
      </c>
      <c r="H121" s="1" t="s">
        <v>53</v>
      </c>
      <c r="I121" s="1" t="s">
        <v>369</v>
      </c>
      <c r="J121" s="1" t="s">
        <v>458</v>
      </c>
      <c r="K121" s="1" t="s">
        <v>56</v>
      </c>
      <c r="L121" s="11" t="s">
        <v>57</v>
      </c>
      <c r="M121" s="1" t="s">
        <v>58</v>
      </c>
      <c r="N121" s="1" t="s">
        <v>59</v>
      </c>
      <c r="O121" s="1" t="s">
        <v>60</v>
      </c>
      <c r="P121" s="1">
        <v>0</v>
      </c>
      <c r="Q121" s="12">
        <v>132.11000000000001</v>
      </c>
      <c r="R121" s="1" t="s">
        <v>99</v>
      </c>
      <c r="S121" s="1" t="s">
        <v>100</v>
      </c>
      <c r="T121" s="6" t="s">
        <v>63</v>
      </c>
      <c r="U121" s="13">
        <v>0.23</v>
      </c>
      <c r="V121" s="12">
        <v>30.39</v>
      </c>
      <c r="W121" s="12">
        <v>0</v>
      </c>
      <c r="X121" s="1" t="s">
        <v>57</v>
      </c>
    </row>
    <row r="122" spans="1:24" x14ac:dyDescent="0.2">
      <c r="A122" s="1" t="s">
        <v>360</v>
      </c>
      <c r="B122" s="1" t="s">
        <v>47</v>
      </c>
      <c r="C122" s="1" t="s">
        <v>69</v>
      </c>
      <c r="D122" s="1" t="s">
        <v>289</v>
      </c>
      <c r="E122" s="1" t="s">
        <v>461</v>
      </c>
      <c r="F122" s="1" t="s">
        <v>462</v>
      </c>
      <c r="G122" s="1" t="s">
        <v>193</v>
      </c>
      <c r="H122" s="1" t="s">
        <v>53</v>
      </c>
      <c r="I122" s="1" t="s">
        <v>369</v>
      </c>
      <c r="J122" s="1" t="s">
        <v>458</v>
      </c>
      <c r="K122" s="1" t="s">
        <v>56</v>
      </c>
      <c r="L122" s="11" t="s">
        <v>57</v>
      </c>
      <c r="M122" s="1" t="s">
        <v>58</v>
      </c>
      <c r="N122" s="1" t="s">
        <v>59</v>
      </c>
      <c r="O122" s="1" t="s">
        <v>60</v>
      </c>
      <c r="P122" s="1">
        <v>0</v>
      </c>
      <c r="Q122" s="12">
        <v>186.81</v>
      </c>
      <c r="R122" s="1" t="s">
        <v>99</v>
      </c>
      <c r="S122" s="1" t="s">
        <v>100</v>
      </c>
      <c r="T122" s="6" t="s">
        <v>63</v>
      </c>
      <c r="U122" s="13">
        <v>0.23</v>
      </c>
      <c r="V122" s="12">
        <v>42.97</v>
      </c>
      <c r="W122" s="12">
        <v>0</v>
      </c>
      <c r="X122" s="1" t="s">
        <v>57</v>
      </c>
    </row>
    <row r="123" spans="1:24" x14ac:dyDescent="0.2">
      <c r="A123" s="1" t="s">
        <v>360</v>
      </c>
      <c r="B123" s="1" t="s">
        <v>47</v>
      </c>
      <c r="C123" s="1" t="s">
        <v>69</v>
      </c>
      <c r="D123" s="1" t="s">
        <v>289</v>
      </c>
      <c r="E123" s="1" t="s">
        <v>463</v>
      </c>
      <c r="F123" s="1" t="s">
        <v>464</v>
      </c>
      <c r="G123" s="1" t="s">
        <v>193</v>
      </c>
      <c r="H123" s="1" t="s">
        <v>178</v>
      </c>
      <c r="I123" s="1" t="s">
        <v>369</v>
      </c>
      <c r="J123" s="1" t="s">
        <v>98</v>
      </c>
      <c r="K123" s="1" t="s">
        <v>56</v>
      </c>
      <c r="L123" s="11" t="s">
        <v>57</v>
      </c>
      <c r="M123" s="1" t="s">
        <v>58</v>
      </c>
      <c r="N123" s="1" t="s">
        <v>59</v>
      </c>
      <c r="O123" s="1" t="s">
        <v>60</v>
      </c>
      <c r="P123" s="1">
        <v>0</v>
      </c>
      <c r="Q123" s="12">
        <v>132.11000000000001</v>
      </c>
      <c r="R123" s="1" t="s">
        <v>99</v>
      </c>
      <c r="S123" s="1" t="s">
        <v>100</v>
      </c>
      <c r="T123" s="6" t="s">
        <v>63</v>
      </c>
      <c r="U123" s="13">
        <v>0.23</v>
      </c>
      <c r="V123" s="12">
        <v>30.39</v>
      </c>
      <c r="W123" s="12">
        <v>0</v>
      </c>
      <c r="X123" s="1" t="s">
        <v>57</v>
      </c>
    </row>
    <row r="124" spans="1:24" x14ac:dyDescent="0.2">
      <c r="A124" s="1" t="s">
        <v>360</v>
      </c>
      <c r="B124" s="1" t="s">
        <v>47</v>
      </c>
      <c r="C124" s="1" t="s">
        <v>69</v>
      </c>
      <c r="D124" s="1" t="s">
        <v>289</v>
      </c>
      <c r="E124" s="1" t="s">
        <v>465</v>
      </c>
      <c r="F124" s="1" t="s">
        <v>466</v>
      </c>
      <c r="G124" s="1" t="s">
        <v>193</v>
      </c>
      <c r="H124" s="1" t="s">
        <v>53</v>
      </c>
      <c r="I124" s="1" t="s">
        <v>403</v>
      </c>
      <c r="J124" s="1" t="s">
        <v>467</v>
      </c>
      <c r="K124" s="1" t="s">
        <v>56</v>
      </c>
      <c r="L124" s="11" t="s">
        <v>57</v>
      </c>
      <c r="M124" s="1" t="s">
        <v>58</v>
      </c>
      <c r="N124" s="1" t="s">
        <v>59</v>
      </c>
      <c r="O124" s="1" t="s">
        <v>60</v>
      </c>
      <c r="P124" s="1">
        <v>0</v>
      </c>
      <c r="Q124" s="12">
        <v>120.5</v>
      </c>
      <c r="R124" s="1" t="s">
        <v>99</v>
      </c>
      <c r="S124" s="1" t="s">
        <v>100</v>
      </c>
      <c r="T124" s="6" t="s">
        <v>63</v>
      </c>
      <c r="U124" s="13">
        <v>0.27</v>
      </c>
      <c r="V124" s="12">
        <v>32.54</v>
      </c>
      <c r="W124" s="12">
        <v>0</v>
      </c>
      <c r="X124" s="1" t="s">
        <v>57</v>
      </c>
    </row>
    <row r="125" spans="1:24" x14ac:dyDescent="0.2">
      <c r="A125" s="1" t="s">
        <v>360</v>
      </c>
      <c r="B125" s="1" t="s">
        <v>47</v>
      </c>
      <c r="C125" s="1" t="s">
        <v>69</v>
      </c>
      <c r="D125" s="1" t="s">
        <v>289</v>
      </c>
      <c r="E125" s="1" t="s">
        <v>468</v>
      </c>
      <c r="F125" s="1" t="s">
        <v>469</v>
      </c>
      <c r="G125" s="1" t="s">
        <v>193</v>
      </c>
      <c r="H125" s="1" t="s">
        <v>53</v>
      </c>
      <c r="I125" s="1" t="s">
        <v>403</v>
      </c>
      <c r="J125" s="1" t="s">
        <v>467</v>
      </c>
      <c r="K125" s="1" t="s">
        <v>56</v>
      </c>
      <c r="L125" s="11" t="s">
        <v>57</v>
      </c>
      <c r="M125" s="1" t="s">
        <v>58</v>
      </c>
      <c r="N125" s="1" t="s">
        <v>59</v>
      </c>
      <c r="O125" s="1" t="s">
        <v>60</v>
      </c>
      <c r="P125" s="1">
        <v>0</v>
      </c>
      <c r="Q125" s="12">
        <v>104.8</v>
      </c>
      <c r="R125" s="1" t="s">
        <v>99</v>
      </c>
      <c r="S125" s="1" t="s">
        <v>100</v>
      </c>
      <c r="T125" s="6" t="s">
        <v>63</v>
      </c>
      <c r="U125" s="13">
        <v>0.27</v>
      </c>
      <c r="V125" s="12">
        <v>28.3</v>
      </c>
      <c r="W125" s="12">
        <v>0</v>
      </c>
      <c r="X125" s="1" t="s">
        <v>57</v>
      </c>
    </row>
    <row r="126" spans="1:24" x14ac:dyDescent="0.2">
      <c r="A126" s="1" t="s">
        <v>360</v>
      </c>
      <c r="B126" s="1" t="s">
        <v>47</v>
      </c>
      <c r="C126" s="1" t="s">
        <v>69</v>
      </c>
      <c r="D126" s="1" t="s">
        <v>289</v>
      </c>
      <c r="E126" s="1" t="s">
        <v>470</v>
      </c>
      <c r="F126" s="1" t="s">
        <v>471</v>
      </c>
      <c r="G126" s="1" t="s">
        <v>193</v>
      </c>
      <c r="H126" s="1" t="s">
        <v>53</v>
      </c>
      <c r="I126" s="1" t="s">
        <v>403</v>
      </c>
      <c r="J126" s="1" t="s">
        <v>467</v>
      </c>
      <c r="K126" s="1" t="s">
        <v>56</v>
      </c>
      <c r="L126" s="11" t="s">
        <v>57</v>
      </c>
      <c r="M126" s="1" t="s">
        <v>58</v>
      </c>
      <c r="N126" s="1" t="s">
        <v>59</v>
      </c>
      <c r="O126" s="1" t="s">
        <v>60</v>
      </c>
      <c r="P126" s="1">
        <v>0</v>
      </c>
      <c r="Q126" s="12">
        <v>120.5</v>
      </c>
      <c r="R126" s="1" t="s">
        <v>99</v>
      </c>
      <c r="S126" s="1" t="s">
        <v>100</v>
      </c>
      <c r="T126" s="6" t="s">
        <v>63</v>
      </c>
      <c r="U126" s="13">
        <v>0.27</v>
      </c>
      <c r="V126" s="12">
        <v>32.54</v>
      </c>
      <c r="W126" s="12">
        <v>0</v>
      </c>
      <c r="X126" s="1" t="s">
        <v>57</v>
      </c>
    </row>
    <row r="127" spans="1:24" x14ac:dyDescent="0.2">
      <c r="A127" s="1" t="s">
        <v>360</v>
      </c>
      <c r="B127" s="1" t="s">
        <v>47</v>
      </c>
      <c r="C127" s="1" t="s">
        <v>69</v>
      </c>
      <c r="D127" s="1" t="s">
        <v>289</v>
      </c>
      <c r="E127" s="1" t="s">
        <v>472</v>
      </c>
      <c r="F127" s="1" t="s">
        <v>473</v>
      </c>
      <c r="G127" s="1" t="s">
        <v>193</v>
      </c>
      <c r="H127" s="1" t="s">
        <v>53</v>
      </c>
      <c r="I127" s="1" t="s">
        <v>369</v>
      </c>
      <c r="J127" s="1" t="s">
        <v>467</v>
      </c>
      <c r="K127" s="1" t="s">
        <v>56</v>
      </c>
      <c r="L127" s="11" t="s">
        <v>57</v>
      </c>
      <c r="M127" s="1" t="s">
        <v>58</v>
      </c>
      <c r="N127" s="1" t="s">
        <v>59</v>
      </c>
      <c r="O127" s="1" t="s">
        <v>60</v>
      </c>
      <c r="P127" s="1">
        <v>0</v>
      </c>
      <c r="Q127" s="12">
        <v>147.96</v>
      </c>
      <c r="R127" s="1" t="s">
        <v>99</v>
      </c>
      <c r="S127" s="1" t="s">
        <v>100</v>
      </c>
      <c r="T127" s="6" t="s">
        <v>63</v>
      </c>
      <c r="U127" s="13">
        <v>0.23</v>
      </c>
      <c r="V127" s="12">
        <v>34.03</v>
      </c>
      <c r="W127" s="12">
        <v>0</v>
      </c>
      <c r="X127" s="1" t="s">
        <v>57</v>
      </c>
    </row>
    <row r="128" spans="1:24" x14ac:dyDescent="0.2">
      <c r="A128" s="1" t="s">
        <v>360</v>
      </c>
      <c r="B128" s="1" t="s">
        <v>47</v>
      </c>
      <c r="C128" s="1" t="s">
        <v>69</v>
      </c>
      <c r="D128" s="1" t="s">
        <v>474</v>
      </c>
      <c r="E128" s="1" t="s">
        <v>475</v>
      </c>
      <c r="F128" s="1" t="s">
        <v>476</v>
      </c>
      <c r="G128" s="1" t="s">
        <v>52</v>
      </c>
      <c r="H128" s="1" t="s">
        <v>53</v>
      </c>
      <c r="I128" s="1" t="s">
        <v>363</v>
      </c>
      <c r="J128" s="1" t="s">
        <v>77</v>
      </c>
      <c r="K128" s="1" t="s">
        <v>56</v>
      </c>
      <c r="L128" s="11" t="s">
        <v>57</v>
      </c>
      <c r="M128" s="1" t="s">
        <v>58</v>
      </c>
      <c r="N128" s="1" t="s">
        <v>59</v>
      </c>
      <c r="O128" s="1" t="s">
        <v>60</v>
      </c>
      <c r="P128" s="1">
        <v>0</v>
      </c>
      <c r="Q128" s="12">
        <v>34.36</v>
      </c>
      <c r="R128" s="1" t="s">
        <v>61</v>
      </c>
      <c r="S128" s="1" t="s">
        <v>62</v>
      </c>
      <c r="T128" s="6" t="s">
        <v>63</v>
      </c>
      <c r="U128" s="13">
        <v>0.52</v>
      </c>
      <c r="V128" s="12">
        <v>17.87</v>
      </c>
      <c r="W128" s="12">
        <v>0</v>
      </c>
      <c r="X128" s="1" t="s">
        <v>57</v>
      </c>
    </row>
    <row r="129" spans="1:24" x14ac:dyDescent="0.2">
      <c r="A129" s="1" t="s">
        <v>360</v>
      </c>
      <c r="B129" s="1" t="s">
        <v>47</v>
      </c>
      <c r="C129" s="1" t="s">
        <v>69</v>
      </c>
      <c r="D129" s="1" t="s">
        <v>474</v>
      </c>
      <c r="E129" s="1" t="s">
        <v>477</v>
      </c>
      <c r="F129" s="1" t="s">
        <v>478</v>
      </c>
      <c r="G129" s="1" t="s">
        <v>479</v>
      </c>
      <c r="H129" s="1" t="s">
        <v>53</v>
      </c>
      <c r="I129" s="1" t="s">
        <v>363</v>
      </c>
      <c r="J129" s="1" t="s">
        <v>77</v>
      </c>
      <c r="K129" s="1" t="s">
        <v>56</v>
      </c>
      <c r="L129" s="11" t="s">
        <v>57</v>
      </c>
      <c r="M129" s="1" t="s">
        <v>58</v>
      </c>
      <c r="N129" s="1" t="s">
        <v>59</v>
      </c>
      <c r="O129" s="1" t="s">
        <v>60</v>
      </c>
      <c r="P129" s="1">
        <v>0</v>
      </c>
      <c r="Q129" s="12">
        <v>34.97</v>
      </c>
      <c r="R129" s="1" t="s">
        <v>61</v>
      </c>
      <c r="S129" s="1" t="s">
        <v>62</v>
      </c>
      <c r="T129" s="6" t="s">
        <v>63</v>
      </c>
      <c r="U129" s="13">
        <v>0.52</v>
      </c>
      <c r="V129" s="12">
        <v>18.18</v>
      </c>
      <c r="W129" s="12">
        <v>0</v>
      </c>
      <c r="X129" s="1" t="s">
        <v>57</v>
      </c>
    </row>
    <row r="130" spans="1:24" x14ac:dyDescent="0.2">
      <c r="A130" s="1" t="s">
        <v>360</v>
      </c>
      <c r="B130" s="1" t="s">
        <v>47</v>
      </c>
      <c r="C130" s="1" t="s">
        <v>69</v>
      </c>
      <c r="D130" s="1" t="s">
        <v>474</v>
      </c>
      <c r="E130" s="1" t="s">
        <v>480</v>
      </c>
      <c r="F130" s="1" t="s">
        <v>481</v>
      </c>
      <c r="G130" s="1" t="s">
        <v>479</v>
      </c>
      <c r="H130" s="1" t="s">
        <v>53</v>
      </c>
      <c r="I130" s="1" t="s">
        <v>363</v>
      </c>
      <c r="J130" s="1" t="s">
        <v>77</v>
      </c>
      <c r="K130" s="1" t="s">
        <v>56</v>
      </c>
      <c r="L130" s="11" t="s">
        <v>57</v>
      </c>
      <c r="M130" s="1" t="s">
        <v>58</v>
      </c>
      <c r="N130" s="1" t="s">
        <v>59</v>
      </c>
      <c r="O130" s="1" t="s">
        <v>60</v>
      </c>
      <c r="P130" s="1">
        <v>0</v>
      </c>
      <c r="Q130" s="12">
        <v>34.97</v>
      </c>
      <c r="R130" s="1" t="s">
        <v>61</v>
      </c>
      <c r="S130" s="1" t="s">
        <v>62</v>
      </c>
      <c r="T130" s="6" t="s">
        <v>63</v>
      </c>
      <c r="U130" s="13">
        <v>0.52</v>
      </c>
      <c r="V130" s="12">
        <v>18.18</v>
      </c>
      <c r="W130" s="12">
        <v>0</v>
      </c>
      <c r="X130" s="1" t="s">
        <v>57</v>
      </c>
    </row>
    <row r="131" spans="1:24" x14ac:dyDescent="0.2">
      <c r="A131" s="1" t="s">
        <v>360</v>
      </c>
      <c r="B131" s="1" t="s">
        <v>47</v>
      </c>
      <c r="C131" s="1" t="s">
        <v>69</v>
      </c>
      <c r="D131" s="1" t="s">
        <v>474</v>
      </c>
      <c r="E131" s="1" t="s">
        <v>482</v>
      </c>
      <c r="F131" s="1" t="s">
        <v>483</v>
      </c>
      <c r="G131" s="1" t="s">
        <v>52</v>
      </c>
      <c r="H131" s="1" t="s">
        <v>53</v>
      </c>
      <c r="I131" s="1" t="s">
        <v>484</v>
      </c>
      <c r="J131" s="1" t="s">
        <v>77</v>
      </c>
      <c r="K131" s="1" t="s">
        <v>56</v>
      </c>
      <c r="L131" s="11" t="s">
        <v>57</v>
      </c>
      <c r="M131" s="1" t="s">
        <v>58</v>
      </c>
      <c r="N131" s="1" t="s">
        <v>59</v>
      </c>
      <c r="O131" s="1" t="s">
        <v>60</v>
      </c>
      <c r="P131" s="1">
        <v>0</v>
      </c>
      <c r="Q131" s="12">
        <v>71.55</v>
      </c>
      <c r="R131" s="1" t="s">
        <v>61</v>
      </c>
      <c r="S131" s="1" t="s">
        <v>62</v>
      </c>
      <c r="T131" s="6" t="s">
        <v>63</v>
      </c>
      <c r="U131" s="13">
        <v>0.52</v>
      </c>
      <c r="V131" s="12">
        <v>37.21</v>
      </c>
      <c r="W131" s="12">
        <v>0</v>
      </c>
      <c r="X131" s="1" t="s">
        <v>57</v>
      </c>
    </row>
    <row r="132" spans="1:24" x14ac:dyDescent="0.2">
      <c r="A132" s="1" t="s">
        <v>360</v>
      </c>
      <c r="B132" s="1" t="s">
        <v>47</v>
      </c>
      <c r="C132" s="1" t="s">
        <v>69</v>
      </c>
      <c r="D132" s="1" t="s">
        <v>474</v>
      </c>
      <c r="E132" s="1" t="s">
        <v>485</v>
      </c>
      <c r="F132" s="1" t="s">
        <v>486</v>
      </c>
      <c r="G132" s="1" t="s">
        <v>52</v>
      </c>
      <c r="H132" s="1" t="s">
        <v>53</v>
      </c>
      <c r="I132" s="1" t="s">
        <v>484</v>
      </c>
      <c r="J132" s="1" t="s">
        <v>77</v>
      </c>
      <c r="K132" s="1" t="s">
        <v>56</v>
      </c>
      <c r="L132" s="11" t="s">
        <v>57</v>
      </c>
      <c r="M132" s="1" t="s">
        <v>58</v>
      </c>
      <c r="N132" s="1" t="s">
        <v>59</v>
      </c>
      <c r="O132" s="1" t="s">
        <v>60</v>
      </c>
      <c r="P132" s="1">
        <v>0</v>
      </c>
      <c r="Q132" s="12">
        <v>71.55</v>
      </c>
      <c r="R132" s="1" t="s">
        <v>61</v>
      </c>
      <c r="S132" s="1" t="s">
        <v>62</v>
      </c>
      <c r="T132" s="6" t="s">
        <v>63</v>
      </c>
      <c r="U132" s="13">
        <v>0.52</v>
      </c>
      <c r="V132" s="12">
        <v>37.21</v>
      </c>
      <c r="W132" s="12">
        <v>0</v>
      </c>
      <c r="X132" s="1" t="s">
        <v>57</v>
      </c>
    </row>
    <row r="133" spans="1:24" x14ac:dyDescent="0.2">
      <c r="A133" s="1" t="s">
        <v>360</v>
      </c>
      <c r="B133" s="1" t="s">
        <v>47</v>
      </c>
      <c r="C133" s="1" t="s">
        <v>69</v>
      </c>
      <c r="D133" s="1" t="s">
        <v>474</v>
      </c>
      <c r="E133" s="1" t="s">
        <v>487</v>
      </c>
      <c r="F133" s="1" t="s">
        <v>488</v>
      </c>
      <c r="G133" s="1" t="s">
        <v>52</v>
      </c>
      <c r="H133" s="1" t="s">
        <v>53</v>
      </c>
      <c r="I133" s="1" t="s">
        <v>363</v>
      </c>
      <c r="J133" s="1" t="s">
        <v>77</v>
      </c>
      <c r="K133" s="1" t="s">
        <v>56</v>
      </c>
      <c r="L133" s="11" t="s">
        <v>57</v>
      </c>
      <c r="M133" s="1" t="s">
        <v>58</v>
      </c>
      <c r="N133" s="1" t="s">
        <v>59</v>
      </c>
      <c r="O133" s="1" t="s">
        <v>60</v>
      </c>
      <c r="P133" s="1">
        <v>0</v>
      </c>
      <c r="Q133" s="12">
        <v>34.36</v>
      </c>
      <c r="R133" s="1" t="s">
        <v>61</v>
      </c>
      <c r="S133" s="1" t="s">
        <v>62</v>
      </c>
      <c r="T133" s="6" t="s">
        <v>63</v>
      </c>
      <c r="U133" s="13">
        <v>0.52</v>
      </c>
      <c r="V133" s="12">
        <v>17.87</v>
      </c>
      <c r="W133" s="12">
        <v>0</v>
      </c>
      <c r="X133" s="1" t="s">
        <v>57</v>
      </c>
    </row>
    <row r="134" spans="1:24" x14ac:dyDescent="0.2">
      <c r="A134" s="1" t="s">
        <v>360</v>
      </c>
      <c r="B134" s="1" t="s">
        <v>47</v>
      </c>
      <c r="C134" s="1" t="s">
        <v>69</v>
      </c>
      <c r="D134" s="1" t="s">
        <v>474</v>
      </c>
      <c r="E134" s="1" t="s">
        <v>489</v>
      </c>
      <c r="F134" s="1" t="s">
        <v>490</v>
      </c>
      <c r="G134" s="1" t="s">
        <v>52</v>
      </c>
      <c r="H134" s="1" t="s">
        <v>53</v>
      </c>
      <c r="I134" s="1" t="s">
        <v>363</v>
      </c>
      <c r="J134" s="1" t="s">
        <v>77</v>
      </c>
      <c r="K134" s="1" t="s">
        <v>56</v>
      </c>
      <c r="L134" s="11" t="s">
        <v>57</v>
      </c>
      <c r="M134" s="1" t="s">
        <v>58</v>
      </c>
      <c r="N134" s="1" t="s">
        <v>59</v>
      </c>
      <c r="O134" s="1" t="s">
        <v>60</v>
      </c>
      <c r="P134" s="1">
        <v>0</v>
      </c>
      <c r="Q134" s="12">
        <v>34.36</v>
      </c>
      <c r="R134" s="1" t="s">
        <v>61</v>
      </c>
      <c r="S134" s="1" t="s">
        <v>62</v>
      </c>
      <c r="T134" s="6" t="s">
        <v>63</v>
      </c>
      <c r="U134" s="13">
        <v>0.52</v>
      </c>
      <c r="V134" s="12">
        <v>17.87</v>
      </c>
      <c r="W134" s="12">
        <v>0</v>
      </c>
      <c r="X134" s="1" t="s">
        <v>57</v>
      </c>
    </row>
    <row r="135" spans="1:24" x14ac:dyDescent="0.2">
      <c r="A135" s="1" t="s">
        <v>360</v>
      </c>
      <c r="B135" s="1" t="s">
        <v>47</v>
      </c>
      <c r="C135" s="1" t="s">
        <v>69</v>
      </c>
      <c r="D135" s="1" t="s">
        <v>474</v>
      </c>
      <c r="E135" s="1" t="s">
        <v>491</v>
      </c>
      <c r="F135" s="1" t="s">
        <v>492</v>
      </c>
      <c r="G135" s="1" t="s">
        <v>52</v>
      </c>
      <c r="H135" s="1" t="s">
        <v>53</v>
      </c>
      <c r="I135" s="1" t="s">
        <v>484</v>
      </c>
      <c r="J135" s="1" t="s">
        <v>493</v>
      </c>
      <c r="K135" s="1" t="s">
        <v>494</v>
      </c>
      <c r="L135" s="11" t="s">
        <v>57</v>
      </c>
      <c r="M135" s="1" t="s">
        <v>58</v>
      </c>
      <c r="N135" s="1" t="s">
        <v>59</v>
      </c>
      <c r="O135" s="1" t="s">
        <v>60</v>
      </c>
      <c r="P135" s="1">
        <v>0</v>
      </c>
      <c r="Q135" s="12">
        <v>71.55</v>
      </c>
      <c r="R135" s="1" t="s">
        <v>61</v>
      </c>
      <c r="S135" s="1" t="s">
        <v>62</v>
      </c>
      <c r="T135" s="6" t="s">
        <v>63</v>
      </c>
      <c r="U135" s="13">
        <v>0.52</v>
      </c>
      <c r="V135" s="12">
        <v>37.21</v>
      </c>
      <c r="W135" s="12">
        <v>0</v>
      </c>
      <c r="X135" s="1" t="s">
        <v>57</v>
      </c>
    </row>
    <row r="136" spans="1:24" x14ac:dyDescent="0.2">
      <c r="A136" s="1" t="s">
        <v>360</v>
      </c>
      <c r="B136" s="1" t="s">
        <v>47</v>
      </c>
      <c r="C136" s="1" t="s">
        <v>69</v>
      </c>
      <c r="D136" s="1" t="s">
        <v>474</v>
      </c>
      <c r="E136" s="1" t="s">
        <v>495</v>
      </c>
      <c r="F136" s="1" t="s">
        <v>496</v>
      </c>
      <c r="G136" s="1" t="s">
        <v>52</v>
      </c>
      <c r="H136" s="1" t="s">
        <v>53</v>
      </c>
      <c r="I136" s="1" t="s">
        <v>363</v>
      </c>
      <c r="J136" s="1" t="s">
        <v>497</v>
      </c>
      <c r="K136" s="1" t="s">
        <v>498</v>
      </c>
      <c r="L136" s="11" t="s">
        <v>57</v>
      </c>
      <c r="M136" s="1" t="s">
        <v>58</v>
      </c>
      <c r="N136" s="1" t="s">
        <v>59</v>
      </c>
      <c r="O136" s="1" t="s">
        <v>60</v>
      </c>
      <c r="P136" s="1">
        <v>0</v>
      </c>
      <c r="Q136" s="12">
        <v>36.08</v>
      </c>
      <c r="R136" s="1" t="s">
        <v>99</v>
      </c>
      <c r="S136" s="1" t="s">
        <v>100</v>
      </c>
      <c r="T136" s="6" t="s">
        <v>63</v>
      </c>
      <c r="U136" s="13">
        <v>0.03</v>
      </c>
      <c r="V136" s="12">
        <v>1.08</v>
      </c>
      <c r="W136" s="12">
        <v>0</v>
      </c>
      <c r="X136" s="1" t="s">
        <v>57</v>
      </c>
    </row>
    <row r="137" spans="1:24" x14ac:dyDescent="0.2">
      <c r="A137" s="1" t="s">
        <v>360</v>
      </c>
      <c r="B137" s="1" t="s">
        <v>47</v>
      </c>
      <c r="C137" s="1" t="s">
        <v>69</v>
      </c>
      <c r="D137" s="1" t="s">
        <v>474</v>
      </c>
      <c r="E137" s="1" t="s">
        <v>499</v>
      </c>
      <c r="F137" s="1" t="s">
        <v>500</v>
      </c>
      <c r="G137" s="1" t="s">
        <v>52</v>
      </c>
      <c r="H137" s="1" t="s">
        <v>53</v>
      </c>
      <c r="I137" s="1" t="s">
        <v>363</v>
      </c>
      <c r="J137" s="1" t="s">
        <v>497</v>
      </c>
      <c r="K137" s="1" t="s">
        <v>498</v>
      </c>
      <c r="L137" s="11" t="s">
        <v>57</v>
      </c>
      <c r="M137" s="1" t="s">
        <v>58</v>
      </c>
      <c r="N137" s="1" t="s">
        <v>59</v>
      </c>
      <c r="O137" s="1" t="s">
        <v>60</v>
      </c>
      <c r="P137" s="1">
        <v>0</v>
      </c>
      <c r="Q137" s="12">
        <v>36.08</v>
      </c>
      <c r="R137" s="1" t="s">
        <v>99</v>
      </c>
      <c r="S137" s="1" t="s">
        <v>100</v>
      </c>
      <c r="T137" s="6" t="s">
        <v>63</v>
      </c>
      <c r="U137" s="13">
        <v>0.03</v>
      </c>
      <c r="V137" s="12">
        <v>1.08</v>
      </c>
      <c r="W137" s="12">
        <v>0</v>
      </c>
      <c r="X137" s="1" t="s">
        <v>57</v>
      </c>
    </row>
    <row r="138" spans="1:24" x14ac:dyDescent="0.2">
      <c r="A138" s="1" t="s">
        <v>360</v>
      </c>
      <c r="B138" s="1" t="s">
        <v>47</v>
      </c>
      <c r="C138" s="1" t="s">
        <v>69</v>
      </c>
      <c r="D138" s="1" t="s">
        <v>474</v>
      </c>
      <c r="E138" s="1" t="s">
        <v>501</v>
      </c>
      <c r="F138" s="1" t="s">
        <v>502</v>
      </c>
      <c r="G138" s="1" t="s">
        <v>479</v>
      </c>
      <c r="H138" s="1" t="s">
        <v>53</v>
      </c>
      <c r="I138" s="1" t="s">
        <v>363</v>
      </c>
      <c r="J138" s="1" t="s">
        <v>411</v>
      </c>
      <c r="K138" s="1" t="s">
        <v>56</v>
      </c>
      <c r="L138" s="11" t="s">
        <v>57</v>
      </c>
      <c r="M138" s="1" t="s">
        <v>58</v>
      </c>
      <c r="N138" s="1" t="s">
        <v>59</v>
      </c>
      <c r="O138" s="1" t="s">
        <v>60</v>
      </c>
      <c r="P138" s="1">
        <v>0</v>
      </c>
      <c r="Q138" s="12">
        <v>36.72</v>
      </c>
      <c r="R138" s="1" t="s">
        <v>99</v>
      </c>
      <c r="S138" s="1" t="s">
        <v>100</v>
      </c>
      <c r="T138" s="6" t="s">
        <v>63</v>
      </c>
      <c r="U138" s="13">
        <v>0.03</v>
      </c>
      <c r="V138" s="12">
        <v>1.1000000000000001</v>
      </c>
      <c r="W138" s="12">
        <v>0</v>
      </c>
      <c r="X138" s="1" t="s">
        <v>57</v>
      </c>
    </row>
    <row r="139" spans="1:24" x14ac:dyDescent="0.2">
      <c r="A139" s="1" t="s">
        <v>360</v>
      </c>
      <c r="B139" s="1" t="s">
        <v>47</v>
      </c>
      <c r="C139" s="1" t="s">
        <v>69</v>
      </c>
      <c r="D139" s="1" t="s">
        <v>474</v>
      </c>
      <c r="E139" s="1" t="s">
        <v>503</v>
      </c>
      <c r="F139" s="1" t="s">
        <v>504</v>
      </c>
      <c r="G139" s="1" t="s">
        <v>52</v>
      </c>
      <c r="H139" s="1" t="s">
        <v>53</v>
      </c>
      <c r="I139" s="1" t="s">
        <v>484</v>
      </c>
      <c r="J139" s="1" t="s">
        <v>505</v>
      </c>
      <c r="K139" s="1" t="s">
        <v>262</v>
      </c>
      <c r="L139" s="11" t="s">
        <v>57</v>
      </c>
      <c r="M139" s="1" t="s">
        <v>58</v>
      </c>
      <c r="N139" s="1" t="s">
        <v>59</v>
      </c>
      <c r="O139" s="1" t="s">
        <v>60</v>
      </c>
      <c r="P139" s="1">
        <v>0</v>
      </c>
      <c r="Q139" s="12">
        <v>71.55</v>
      </c>
      <c r="R139" s="1" t="s">
        <v>99</v>
      </c>
      <c r="S139" s="1" t="s">
        <v>100</v>
      </c>
      <c r="T139" s="6" t="s">
        <v>63</v>
      </c>
      <c r="U139" s="13">
        <v>0.03</v>
      </c>
      <c r="V139" s="12">
        <v>2.15</v>
      </c>
      <c r="W139" s="12">
        <v>0</v>
      </c>
      <c r="X139" s="1" t="s">
        <v>57</v>
      </c>
    </row>
    <row r="140" spans="1:24" x14ac:dyDescent="0.2">
      <c r="A140" s="1" t="s">
        <v>360</v>
      </c>
      <c r="B140" s="1" t="s">
        <v>47</v>
      </c>
      <c r="C140" s="1" t="s">
        <v>69</v>
      </c>
      <c r="D140" s="1" t="s">
        <v>474</v>
      </c>
      <c r="E140" s="1" t="s">
        <v>506</v>
      </c>
      <c r="F140" s="1" t="s">
        <v>507</v>
      </c>
      <c r="G140" s="1" t="s">
        <v>52</v>
      </c>
      <c r="H140" s="1" t="s">
        <v>53</v>
      </c>
      <c r="I140" s="1" t="s">
        <v>363</v>
      </c>
      <c r="J140" s="1" t="s">
        <v>508</v>
      </c>
      <c r="K140" s="1" t="s">
        <v>509</v>
      </c>
      <c r="L140" s="11" t="s">
        <v>57</v>
      </c>
      <c r="M140" s="1" t="s">
        <v>58</v>
      </c>
      <c r="N140" s="1" t="s">
        <v>59</v>
      </c>
      <c r="O140" s="1" t="s">
        <v>60</v>
      </c>
      <c r="P140" s="1">
        <v>0</v>
      </c>
      <c r="Q140" s="12">
        <v>34.36</v>
      </c>
      <c r="R140" s="1" t="s">
        <v>99</v>
      </c>
      <c r="S140" s="1" t="s">
        <v>100</v>
      </c>
      <c r="T140" s="6" t="s">
        <v>63</v>
      </c>
      <c r="U140" s="13">
        <v>0.03</v>
      </c>
      <c r="V140" s="12">
        <v>1.03</v>
      </c>
      <c r="W140" s="12">
        <v>0</v>
      </c>
      <c r="X140" s="1" t="s">
        <v>57</v>
      </c>
    </row>
    <row r="141" spans="1:24" x14ac:dyDescent="0.2">
      <c r="A141" s="1" t="s">
        <v>360</v>
      </c>
      <c r="B141" s="1" t="s">
        <v>47</v>
      </c>
      <c r="C141" s="1" t="s">
        <v>69</v>
      </c>
      <c r="D141" s="1" t="s">
        <v>474</v>
      </c>
      <c r="E141" s="1" t="s">
        <v>510</v>
      </c>
      <c r="F141" s="1" t="s">
        <v>511</v>
      </c>
      <c r="G141" s="1" t="s">
        <v>52</v>
      </c>
      <c r="H141" s="1" t="s">
        <v>53</v>
      </c>
      <c r="I141" s="1" t="s">
        <v>363</v>
      </c>
      <c r="J141" s="1" t="s">
        <v>508</v>
      </c>
      <c r="K141" s="1" t="s">
        <v>509</v>
      </c>
      <c r="L141" s="11" t="s">
        <v>57</v>
      </c>
      <c r="M141" s="1" t="s">
        <v>58</v>
      </c>
      <c r="N141" s="1" t="s">
        <v>59</v>
      </c>
      <c r="O141" s="1" t="s">
        <v>60</v>
      </c>
      <c r="P141" s="1">
        <v>0</v>
      </c>
      <c r="Q141" s="12">
        <v>34.36</v>
      </c>
      <c r="R141" s="1" t="s">
        <v>99</v>
      </c>
      <c r="S141" s="1" t="s">
        <v>100</v>
      </c>
      <c r="T141" s="6" t="s">
        <v>63</v>
      </c>
      <c r="U141" s="13">
        <v>0.03</v>
      </c>
      <c r="V141" s="12">
        <v>1.03</v>
      </c>
      <c r="W141" s="12">
        <v>0</v>
      </c>
      <c r="X141" s="1" t="s">
        <v>57</v>
      </c>
    </row>
    <row r="142" spans="1:24" x14ac:dyDescent="0.2">
      <c r="A142" s="1" t="s">
        <v>360</v>
      </c>
      <c r="B142" s="1" t="s">
        <v>47</v>
      </c>
      <c r="C142" s="1" t="s">
        <v>69</v>
      </c>
      <c r="D142" s="1" t="s">
        <v>49</v>
      </c>
      <c r="E142" s="1" t="s">
        <v>512</v>
      </c>
      <c r="F142" s="1" t="s">
        <v>513</v>
      </c>
      <c r="G142" s="1" t="s">
        <v>155</v>
      </c>
      <c r="H142" s="1" t="s">
        <v>53</v>
      </c>
      <c r="I142" s="1" t="s">
        <v>369</v>
      </c>
      <c r="J142" s="1" t="s">
        <v>77</v>
      </c>
      <c r="K142" s="1" t="s">
        <v>56</v>
      </c>
      <c r="L142" s="11" t="s">
        <v>57</v>
      </c>
      <c r="M142" s="1" t="s">
        <v>58</v>
      </c>
      <c r="N142" s="1" t="s">
        <v>59</v>
      </c>
      <c r="O142" s="1" t="s">
        <v>60</v>
      </c>
      <c r="P142" s="1">
        <v>0</v>
      </c>
      <c r="Q142" s="12">
        <v>112.77</v>
      </c>
      <c r="R142" s="1" t="s">
        <v>61</v>
      </c>
      <c r="S142" s="1" t="s">
        <v>62</v>
      </c>
      <c r="T142" s="6" t="s">
        <v>63</v>
      </c>
      <c r="U142" s="13">
        <v>2.2499999999999999E-2</v>
      </c>
      <c r="V142" s="12">
        <v>2.54</v>
      </c>
      <c r="W142" s="12">
        <v>0</v>
      </c>
      <c r="X142" s="1" t="s">
        <v>57</v>
      </c>
    </row>
    <row r="143" spans="1:24" x14ac:dyDescent="0.2">
      <c r="A143" s="1" t="s">
        <v>360</v>
      </c>
      <c r="B143" s="1" t="s">
        <v>47</v>
      </c>
      <c r="C143" s="1" t="s">
        <v>69</v>
      </c>
      <c r="D143" s="1" t="s">
        <v>49</v>
      </c>
      <c r="E143" s="1" t="s">
        <v>514</v>
      </c>
      <c r="F143" s="1" t="s">
        <v>515</v>
      </c>
      <c r="G143" s="1" t="s">
        <v>155</v>
      </c>
      <c r="H143" s="1" t="s">
        <v>53</v>
      </c>
      <c r="I143" s="1" t="s">
        <v>369</v>
      </c>
      <c r="J143" s="1" t="s">
        <v>220</v>
      </c>
      <c r="K143" s="1" t="s">
        <v>56</v>
      </c>
      <c r="L143" s="11" t="s">
        <v>57</v>
      </c>
      <c r="M143" s="1" t="s">
        <v>58</v>
      </c>
      <c r="N143" s="1" t="s">
        <v>59</v>
      </c>
      <c r="O143" s="1" t="s">
        <v>60</v>
      </c>
      <c r="P143" s="1">
        <v>0</v>
      </c>
      <c r="Q143" s="12">
        <v>121.45</v>
      </c>
      <c r="R143" s="1" t="s">
        <v>61</v>
      </c>
      <c r="S143" s="1" t="s">
        <v>62</v>
      </c>
      <c r="T143" s="6" t="s">
        <v>63</v>
      </c>
      <c r="U143" s="13">
        <v>0.23</v>
      </c>
      <c r="V143" s="12">
        <v>0</v>
      </c>
      <c r="W143" s="12">
        <v>-27.93</v>
      </c>
      <c r="X143" s="1" t="s">
        <v>57</v>
      </c>
    </row>
    <row r="144" spans="1:24" x14ac:dyDescent="0.2">
      <c r="A144" s="1" t="s">
        <v>360</v>
      </c>
      <c r="B144" s="1" t="s">
        <v>47</v>
      </c>
      <c r="C144" s="1" t="s">
        <v>69</v>
      </c>
      <c r="D144" s="1" t="s">
        <v>49</v>
      </c>
      <c r="E144" s="1" t="s">
        <v>516</v>
      </c>
      <c r="F144" s="1" t="s">
        <v>517</v>
      </c>
      <c r="G144" s="1" t="s">
        <v>518</v>
      </c>
      <c r="H144" s="1" t="s">
        <v>53</v>
      </c>
      <c r="I144" s="1" t="s">
        <v>369</v>
      </c>
      <c r="J144" s="1" t="s">
        <v>437</v>
      </c>
      <c r="K144" s="1" t="s">
        <v>56</v>
      </c>
      <c r="L144" s="11" t="s">
        <v>57</v>
      </c>
      <c r="M144" s="1" t="s">
        <v>58</v>
      </c>
      <c r="N144" s="1" t="s">
        <v>59</v>
      </c>
      <c r="O144" s="1" t="s">
        <v>60</v>
      </c>
      <c r="P144" s="1">
        <v>0</v>
      </c>
      <c r="Q144" s="12">
        <v>120.86</v>
      </c>
      <c r="R144" s="1" t="s">
        <v>99</v>
      </c>
      <c r="S144" s="1" t="s">
        <v>100</v>
      </c>
      <c r="T144" s="6" t="s">
        <v>63</v>
      </c>
      <c r="U144" s="13">
        <v>0.23</v>
      </c>
      <c r="V144" s="12">
        <v>27.8</v>
      </c>
      <c r="W144" s="12">
        <v>0</v>
      </c>
      <c r="X144" s="1" t="s">
        <v>57</v>
      </c>
    </row>
    <row r="145" spans="1:24" x14ac:dyDescent="0.2">
      <c r="A145" s="1" t="s">
        <v>360</v>
      </c>
      <c r="B145" s="1" t="s">
        <v>47</v>
      </c>
      <c r="C145" s="1" t="s">
        <v>69</v>
      </c>
      <c r="D145" s="1" t="s">
        <v>49</v>
      </c>
      <c r="E145" s="1" t="s">
        <v>519</v>
      </c>
      <c r="F145" s="1" t="s">
        <v>520</v>
      </c>
      <c r="G145" s="1" t="s">
        <v>388</v>
      </c>
      <c r="H145" s="1" t="s">
        <v>53</v>
      </c>
      <c r="I145" s="1" t="s">
        <v>451</v>
      </c>
      <c r="J145" s="1" t="s">
        <v>521</v>
      </c>
      <c r="K145" s="1" t="s">
        <v>245</v>
      </c>
      <c r="L145" s="11" t="s">
        <v>57</v>
      </c>
      <c r="M145" s="1" t="s">
        <v>58</v>
      </c>
      <c r="N145" s="1" t="s">
        <v>59</v>
      </c>
      <c r="O145" s="1" t="s">
        <v>60</v>
      </c>
      <c r="P145" s="1">
        <v>0</v>
      </c>
      <c r="Q145" s="12">
        <v>128.09</v>
      </c>
      <c r="R145" s="1" t="s">
        <v>99</v>
      </c>
      <c r="S145" s="1" t="s">
        <v>100</v>
      </c>
      <c r="T145" s="6" t="s">
        <v>63</v>
      </c>
      <c r="U145" s="13">
        <v>0.215</v>
      </c>
      <c r="V145" s="12">
        <v>27.54</v>
      </c>
      <c r="W145" s="12">
        <v>0</v>
      </c>
      <c r="X145" s="1" t="s">
        <v>57</v>
      </c>
    </row>
    <row r="146" spans="1:24" x14ac:dyDescent="0.2">
      <c r="A146" s="1" t="s">
        <v>360</v>
      </c>
      <c r="B146" s="1" t="s">
        <v>47</v>
      </c>
      <c r="C146" s="1" t="s">
        <v>69</v>
      </c>
      <c r="D146" s="1" t="s">
        <v>389</v>
      </c>
      <c r="E146" s="1" t="s">
        <v>522</v>
      </c>
      <c r="F146" s="1" t="s">
        <v>523</v>
      </c>
      <c r="G146" s="1" t="s">
        <v>52</v>
      </c>
      <c r="H146" s="1" t="s">
        <v>53</v>
      </c>
      <c r="I146" s="1" t="s">
        <v>393</v>
      </c>
      <c r="J146" s="1" t="s">
        <v>77</v>
      </c>
      <c r="K146" s="1" t="s">
        <v>56</v>
      </c>
      <c r="L146" s="11" t="s">
        <v>57</v>
      </c>
      <c r="M146" s="1" t="s">
        <v>58</v>
      </c>
      <c r="N146" s="1" t="s">
        <v>59</v>
      </c>
      <c r="O146" s="1" t="s">
        <v>60</v>
      </c>
      <c r="P146" s="1">
        <v>0</v>
      </c>
      <c r="Q146" s="12">
        <v>56.49</v>
      </c>
      <c r="R146" s="1" t="s">
        <v>61</v>
      </c>
      <c r="S146" s="1" t="s">
        <v>62</v>
      </c>
      <c r="T146" s="6" t="s">
        <v>63</v>
      </c>
      <c r="U146" s="13">
        <v>0.52</v>
      </c>
      <c r="V146" s="12">
        <v>29.37</v>
      </c>
      <c r="W146" s="12">
        <v>0</v>
      </c>
      <c r="X146" s="1" t="s">
        <v>57</v>
      </c>
    </row>
    <row r="147" spans="1:24" x14ac:dyDescent="0.2">
      <c r="A147" s="1" t="s">
        <v>360</v>
      </c>
      <c r="B147" s="1" t="s">
        <v>47</v>
      </c>
      <c r="C147" s="1" t="s">
        <v>69</v>
      </c>
      <c r="D147" s="1" t="s">
        <v>524</v>
      </c>
      <c r="E147" s="1" t="s">
        <v>525</v>
      </c>
      <c r="F147" s="1" t="s">
        <v>526</v>
      </c>
      <c r="G147" s="1" t="s">
        <v>193</v>
      </c>
      <c r="H147" s="1" t="s">
        <v>141</v>
      </c>
      <c r="I147" s="1" t="s">
        <v>403</v>
      </c>
      <c r="J147" s="1" t="s">
        <v>88</v>
      </c>
      <c r="K147" s="1" t="s">
        <v>56</v>
      </c>
      <c r="L147" s="11" t="s">
        <v>57</v>
      </c>
      <c r="M147" s="1" t="s">
        <v>58</v>
      </c>
      <c r="N147" s="1" t="s">
        <v>59</v>
      </c>
      <c r="O147" s="1" t="s">
        <v>60</v>
      </c>
      <c r="P147" s="1">
        <v>0</v>
      </c>
      <c r="Q147" s="12">
        <v>104.8</v>
      </c>
      <c r="R147" s="1" t="s">
        <v>61</v>
      </c>
      <c r="S147" s="1" t="s">
        <v>62</v>
      </c>
      <c r="T147" s="6" t="s">
        <v>63</v>
      </c>
      <c r="U147" s="13">
        <v>2.5000000000000001E-2</v>
      </c>
      <c r="V147" s="12">
        <v>0</v>
      </c>
      <c r="W147" s="12">
        <v>-2.62</v>
      </c>
      <c r="X147" s="1" t="s">
        <v>57</v>
      </c>
    </row>
    <row r="148" spans="1:24" x14ac:dyDescent="0.2">
      <c r="A148" s="1" t="s">
        <v>360</v>
      </c>
      <c r="B148" s="1" t="s">
        <v>47</v>
      </c>
      <c r="C148" s="1" t="s">
        <v>69</v>
      </c>
      <c r="D148" s="1" t="s">
        <v>103</v>
      </c>
      <c r="E148" s="1" t="s">
        <v>527</v>
      </c>
      <c r="F148" s="1" t="s">
        <v>528</v>
      </c>
      <c r="G148" s="1" t="s">
        <v>52</v>
      </c>
      <c r="H148" s="1" t="s">
        <v>53</v>
      </c>
      <c r="I148" s="1" t="s">
        <v>363</v>
      </c>
      <c r="J148" s="1" t="s">
        <v>529</v>
      </c>
      <c r="K148" s="1" t="s">
        <v>152</v>
      </c>
      <c r="L148" s="11" t="s">
        <v>57</v>
      </c>
      <c r="M148" s="1" t="s">
        <v>58</v>
      </c>
      <c r="N148" s="1" t="s">
        <v>59</v>
      </c>
      <c r="O148" s="1" t="s">
        <v>60</v>
      </c>
      <c r="P148" s="1">
        <v>0</v>
      </c>
      <c r="Q148" s="12">
        <v>34.36</v>
      </c>
      <c r="R148" s="1" t="s">
        <v>61</v>
      </c>
      <c r="S148" s="1" t="s">
        <v>62</v>
      </c>
      <c r="T148" s="6" t="s">
        <v>63</v>
      </c>
      <c r="U148" s="13">
        <v>0.52</v>
      </c>
      <c r="V148" s="12">
        <v>17.87</v>
      </c>
      <c r="W148" s="12">
        <v>0</v>
      </c>
      <c r="X148" s="1" t="s">
        <v>57</v>
      </c>
    </row>
    <row r="149" spans="1:24" x14ac:dyDescent="0.2">
      <c r="A149" s="1" t="s">
        <v>360</v>
      </c>
      <c r="B149" s="1" t="s">
        <v>47</v>
      </c>
      <c r="C149" s="1" t="s">
        <v>69</v>
      </c>
      <c r="D149" s="1" t="s">
        <v>103</v>
      </c>
      <c r="E149" s="1" t="s">
        <v>530</v>
      </c>
      <c r="F149" s="1" t="s">
        <v>531</v>
      </c>
      <c r="G149" s="1" t="s">
        <v>52</v>
      </c>
      <c r="H149" s="1" t="s">
        <v>53</v>
      </c>
      <c r="I149" s="1" t="s">
        <v>532</v>
      </c>
      <c r="J149" s="1" t="s">
        <v>122</v>
      </c>
      <c r="K149" s="1" t="s">
        <v>56</v>
      </c>
      <c r="L149" s="11" t="s">
        <v>57</v>
      </c>
      <c r="M149" s="1" t="s">
        <v>58</v>
      </c>
      <c r="N149" s="1" t="s">
        <v>59</v>
      </c>
      <c r="O149" s="1" t="s">
        <v>60</v>
      </c>
      <c r="P149" s="1">
        <v>0</v>
      </c>
      <c r="Q149" s="12">
        <v>33.74</v>
      </c>
      <c r="R149" s="1" t="s">
        <v>61</v>
      </c>
      <c r="S149" s="1" t="s">
        <v>62</v>
      </c>
      <c r="T149" s="6" t="s">
        <v>63</v>
      </c>
      <c r="U149" s="13">
        <v>0.52</v>
      </c>
      <c r="V149" s="12">
        <v>0</v>
      </c>
      <c r="W149" s="12">
        <v>-17.54</v>
      </c>
      <c r="X149" s="1" t="s">
        <v>57</v>
      </c>
    </row>
    <row r="150" spans="1:24" x14ac:dyDescent="0.2">
      <c r="A150" s="1" t="s">
        <v>360</v>
      </c>
      <c r="B150" s="1" t="s">
        <v>47</v>
      </c>
      <c r="C150" s="1" t="s">
        <v>69</v>
      </c>
      <c r="D150" s="1" t="s">
        <v>103</v>
      </c>
      <c r="E150" s="1" t="s">
        <v>533</v>
      </c>
      <c r="F150" s="1" t="s">
        <v>534</v>
      </c>
      <c r="G150" s="1" t="s">
        <v>52</v>
      </c>
      <c r="H150" s="1" t="s">
        <v>53</v>
      </c>
      <c r="I150" s="1" t="s">
        <v>532</v>
      </c>
      <c r="J150" s="1" t="s">
        <v>122</v>
      </c>
      <c r="K150" s="1" t="s">
        <v>56</v>
      </c>
      <c r="L150" s="11" t="s">
        <v>57</v>
      </c>
      <c r="M150" s="1" t="s">
        <v>58</v>
      </c>
      <c r="N150" s="1" t="s">
        <v>59</v>
      </c>
      <c r="O150" s="1" t="s">
        <v>60</v>
      </c>
      <c r="P150" s="1">
        <v>0</v>
      </c>
      <c r="Q150" s="12">
        <v>33.74</v>
      </c>
      <c r="R150" s="1" t="s">
        <v>61</v>
      </c>
      <c r="S150" s="1" t="s">
        <v>62</v>
      </c>
      <c r="T150" s="6" t="s">
        <v>63</v>
      </c>
      <c r="U150" s="13">
        <v>0.52</v>
      </c>
      <c r="V150" s="12">
        <v>0</v>
      </c>
      <c r="W150" s="12">
        <v>-17.54</v>
      </c>
      <c r="X150" s="1" t="s">
        <v>57</v>
      </c>
    </row>
    <row r="151" spans="1:24" x14ac:dyDescent="0.2">
      <c r="A151" s="1" t="s">
        <v>360</v>
      </c>
      <c r="B151" s="1" t="s">
        <v>47</v>
      </c>
      <c r="C151" s="1" t="s">
        <v>69</v>
      </c>
      <c r="D151" s="1" t="s">
        <v>103</v>
      </c>
      <c r="E151" s="1" t="s">
        <v>535</v>
      </c>
      <c r="F151" s="1" t="s">
        <v>536</v>
      </c>
      <c r="G151" s="1" t="s">
        <v>52</v>
      </c>
      <c r="H151" s="1" t="s">
        <v>53</v>
      </c>
      <c r="I151" s="1" t="s">
        <v>373</v>
      </c>
      <c r="J151" s="1" t="s">
        <v>88</v>
      </c>
      <c r="K151" s="1" t="s">
        <v>56</v>
      </c>
      <c r="L151" s="11" t="s">
        <v>57</v>
      </c>
      <c r="M151" s="1" t="s">
        <v>58</v>
      </c>
      <c r="N151" s="1" t="s">
        <v>59</v>
      </c>
      <c r="O151" s="1" t="s">
        <v>60</v>
      </c>
      <c r="P151" s="1">
        <v>0</v>
      </c>
      <c r="Q151" s="12">
        <v>68.56</v>
      </c>
      <c r="R151" s="1" t="s">
        <v>61</v>
      </c>
      <c r="S151" s="1" t="s">
        <v>62</v>
      </c>
      <c r="T151" s="6" t="s">
        <v>63</v>
      </c>
      <c r="U151" s="13">
        <v>0.52</v>
      </c>
      <c r="V151" s="12">
        <v>0</v>
      </c>
      <c r="W151" s="12">
        <v>-35.65</v>
      </c>
      <c r="X151" s="1" t="s">
        <v>57</v>
      </c>
    </row>
    <row r="152" spans="1:24" x14ac:dyDescent="0.2">
      <c r="A152" s="1" t="s">
        <v>360</v>
      </c>
      <c r="B152" s="1" t="s">
        <v>47</v>
      </c>
      <c r="C152" s="1" t="s">
        <v>69</v>
      </c>
      <c r="D152" s="1" t="s">
        <v>103</v>
      </c>
      <c r="E152" s="1" t="s">
        <v>537</v>
      </c>
      <c r="F152" s="1" t="s">
        <v>538</v>
      </c>
      <c r="G152" s="1" t="s">
        <v>52</v>
      </c>
      <c r="H152" s="1" t="s">
        <v>73</v>
      </c>
      <c r="I152" s="1" t="s">
        <v>363</v>
      </c>
      <c r="J152" s="1" t="s">
        <v>539</v>
      </c>
      <c r="K152" s="1" t="s">
        <v>245</v>
      </c>
      <c r="L152" s="11" t="s">
        <v>57</v>
      </c>
      <c r="M152" s="1" t="s">
        <v>58</v>
      </c>
      <c r="N152" s="1" t="s">
        <v>59</v>
      </c>
      <c r="O152" s="1" t="s">
        <v>60</v>
      </c>
      <c r="P152" s="1">
        <v>0</v>
      </c>
      <c r="Q152" s="12">
        <v>34.36</v>
      </c>
      <c r="R152" s="1" t="s">
        <v>99</v>
      </c>
      <c r="S152" s="1" t="s">
        <v>100</v>
      </c>
      <c r="T152" s="6" t="s">
        <v>63</v>
      </c>
      <c r="U152" s="13">
        <v>0.03</v>
      </c>
      <c r="V152" s="12">
        <v>1.03</v>
      </c>
      <c r="W152" s="12">
        <v>0</v>
      </c>
      <c r="X152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24AF-33A1-4B21-A411-891A7A429049}">
  <dimension ref="A1:U146"/>
  <sheetViews>
    <sheetView tabSelected="1" topLeftCell="A5" workbookViewId="0">
      <selection activeCell="C4" sqref="C4"/>
    </sheetView>
  </sheetViews>
  <sheetFormatPr defaultRowHeight="14.25" x14ac:dyDescent="0.2"/>
  <cols>
    <col min="1" max="1" width="11" style="11" bestFit="1" customWidth="1"/>
    <col min="2" max="2" width="22.7109375" style="11" bestFit="1" customWidth="1"/>
    <col min="3" max="3" width="11.85546875" style="11" bestFit="1" customWidth="1"/>
    <col min="4" max="4" width="25.5703125" style="11" bestFit="1" customWidth="1"/>
    <col min="5" max="5" width="12.28515625" style="11" bestFit="1" customWidth="1"/>
    <col min="6" max="6" width="14" style="11" bestFit="1" customWidth="1"/>
    <col min="7" max="7" width="11" style="11" bestFit="1" customWidth="1"/>
    <col min="8" max="8" width="44.28515625" style="11" bestFit="1" customWidth="1"/>
    <col min="9" max="9" width="88.7109375" style="11" bestFit="1" customWidth="1"/>
    <col min="10" max="10" width="11.42578125" style="11" bestFit="1" customWidth="1"/>
    <col min="11" max="11" width="11.7109375" style="11" bestFit="1" customWidth="1"/>
    <col min="12" max="12" width="14.140625" style="11" bestFit="1" customWidth="1"/>
    <col min="13" max="13" width="6.7109375" style="11" bestFit="1" customWidth="1"/>
    <col min="14" max="14" width="6" style="11" bestFit="1" customWidth="1"/>
    <col min="15" max="15" width="9.42578125" style="11" bestFit="1" customWidth="1"/>
    <col min="16" max="16" width="16.85546875" style="11" bestFit="1" customWidth="1"/>
    <col min="17" max="17" width="5.7109375" style="11" bestFit="1" customWidth="1"/>
    <col min="18" max="18" width="17.85546875" style="11" bestFit="1" customWidth="1"/>
    <col min="19" max="19" width="11.140625" style="21" bestFit="1" customWidth="1"/>
    <col min="20" max="20" width="11.5703125" style="11" bestFit="1" customWidth="1"/>
    <col min="21" max="21" width="11.7109375" style="11" bestFit="1" customWidth="1"/>
    <col min="22" max="16384" width="9.140625" style="11"/>
  </cols>
  <sheetData>
    <row r="1" spans="1:21" s="22" customFormat="1" ht="15" x14ac:dyDescent="0.25">
      <c r="A1" s="22" t="s">
        <v>25</v>
      </c>
      <c r="B1" s="22" t="s">
        <v>567</v>
      </c>
      <c r="C1" s="22" t="s">
        <v>26</v>
      </c>
      <c r="D1" s="22" t="s">
        <v>27</v>
      </c>
      <c r="E1" s="22" t="s">
        <v>28</v>
      </c>
      <c r="F1" s="22" t="s">
        <v>540</v>
      </c>
      <c r="G1" s="22" t="s">
        <v>541</v>
      </c>
      <c r="H1" s="22" t="s">
        <v>569</v>
      </c>
      <c r="I1" s="22" t="s">
        <v>586</v>
      </c>
      <c r="J1" s="22" t="s">
        <v>30</v>
      </c>
      <c r="K1" s="22" t="s">
        <v>31</v>
      </c>
      <c r="L1" s="22" t="s">
        <v>32</v>
      </c>
      <c r="M1" s="22" t="s">
        <v>34</v>
      </c>
      <c r="N1" s="22" t="s">
        <v>36</v>
      </c>
      <c r="O1" s="22" t="s">
        <v>609</v>
      </c>
      <c r="P1" s="22" t="s">
        <v>38</v>
      </c>
      <c r="Q1" s="22" t="s">
        <v>39</v>
      </c>
      <c r="R1" s="22" t="s">
        <v>40</v>
      </c>
      <c r="S1" s="23" t="s">
        <v>42</v>
      </c>
      <c r="T1" s="22" t="s">
        <v>43</v>
      </c>
      <c r="U1" s="22" t="s">
        <v>44</v>
      </c>
    </row>
    <row r="2" spans="1:21" x14ac:dyDescent="0.2">
      <c r="A2" s="16">
        <v>5442438</v>
      </c>
      <c r="B2" s="16" t="s">
        <v>555</v>
      </c>
      <c r="C2" s="16" t="s">
        <v>356</v>
      </c>
      <c r="D2" s="16" t="s">
        <v>357</v>
      </c>
      <c r="E2" s="16" t="s">
        <v>193</v>
      </c>
      <c r="F2" s="17">
        <v>-398.28</v>
      </c>
      <c r="G2" s="17">
        <v>-537.67999999999995</v>
      </c>
      <c r="H2" s="16" t="s">
        <v>571</v>
      </c>
      <c r="I2" s="16" t="s">
        <v>605</v>
      </c>
      <c r="J2" s="16" t="s">
        <v>57</v>
      </c>
      <c r="K2" s="16" t="s">
        <v>74</v>
      </c>
      <c r="L2" s="16" t="s">
        <v>358</v>
      </c>
      <c r="M2" s="16" t="s">
        <v>58</v>
      </c>
      <c r="N2" s="16">
        <v>7</v>
      </c>
      <c r="O2" s="16" t="s">
        <v>610</v>
      </c>
      <c r="P2" s="17">
        <v>-398.28</v>
      </c>
      <c r="Q2" s="16" t="s">
        <v>61</v>
      </c>
      <c r="R2" s="16" t="s">
        <v>359</v>
      </c>
      <c r="S2" s="16">
        <v>0</v>
      </c>
      <c r="T2" s="17">
        <v>-537.67999999999995</v>
      </c>
      <c r="U2" s="17">
        <v>0</v>
      </c>
    </row>
    <row r="3" spans="1:21" x14ac:dyDescent="0.2">
      <c r="A3" s="11">
        <v>8325282</v>
      </c>
      <c r="B3" s="11" t="s">
        <v>544</v>
      </c>
      <c r="C3" s="11" t="s">
        <v>537</v>
      </c>
      <c r="D3" s="11" t="s">
        <v>538</v>
      </c>
      <c r="E3" s="11" t="s">
        <v>52</v>
      </c>
      <c r="F3" s="18">
        <v>34.36</v>
      </c>
      <c r="G3" s="18">
        <v>1.03</v>
      </c>
      <c r="H3" s="11" t="s">
        <v>576</v>
      </c>
      <c r="I3" s="11" t="s">
        <v>587</v>
      </c>
      <c r="J3" s="11" t="s">
        <v>363</v>
      </c>
      <c r="K3" s="11" t="s">
        <v>539</v>
      </c>
      <c r="L3" s="11" t="s">
        <v>245</v>
      </c>
      <c r="M3" s="11" t="s">
        <v>58</v>
      </c>
      <c r="N3" s="11">
        <v>13</v>
      </c>
      <c r="O3" s="11" t="s">
        <v>610</v>
      </c>
      <c r="P3" s="18">
        <v>34.36</v>
      </c>
      <c r="Q3" s="11" t="s">
        <v>99</v>
      </c>
      <c r="R3" s="11" t="s">
        <v>100</v>
      </c>
      <c r="S3" s="11">
        <v>3</v>
      </c>
      <c r="T3" s="18">
        <v>1.03</v>
      </c>
      <c r="U3" s="18">
        <v>0</v>
      </c>
    </row>
    <row r="4" spans="1:21" s="14" customFormat="1" x14ac:dyDescent="0.2">
      <c r="A4" s="11">
        <v>16633294</v>
      </c>
      <c r="B4" s="11" t="s">
        <v>564</v>
      </c>
      <c r="C4" s="11" t="s">
        <v>506</v>
      </c>
      <c r="D4" s="11" t="s">
        <v>507</v>
      </c>
      <c r="E4" s="11" t="s">
        <v>52</v>
      </c>
      <c r="F4" s="18">
        <v>34.36</v>
      </c>
      <c r="G4" s="18">
        <v>1.03</v>
      </c>
      <c r="H4" s="11" t="s">
        <v>576</v>
      </c>
      <c r="I4" s="11" t="s">
        <v>587</v>
      </c>
      <c r="J4" s="11" t="s">
        <v>363</v>
      </c>
      <c r="K4" s="11" t="s">
        <v>508</v>
      </c>
      <c r="L4" s="11" t="s">
        <v>509</v>
      </c>
      <c r="M4" s="11" t="s">
        <v>58</v>
      </c>
      <c r="N4" s="11">
        <v>13</v>
      </c>
      <c r="O4" s="11" t="s">
        <v>610</v>
      </c>
      <c r="P4" s="18">
        <v>34.36</v>
      </c>
      <c r="Q4" s="11" t="s">
        <v>99</v>
      </c>
      <c r="R4" s="11" t="s">
        <v>100</v>
      </c>
      <c r="S4" s="11">
        <v>3</v>
      </c>
      <c r="T4" s="18">
        <v>1.03</v>
      </c>
      <c r="U4" s="18">
        <v>0</v>
      </c>
    </row>
    <row r="5" spans="1:21" x14ac:dyDescent="0.2">
      <c r="A5" s="11">
        <v>16633294</v>
      </c>
      <c r="B5" s="11" t="s">
        <v>564</v>
      </c>
      <c r="C5" s="11" t="s">
        <v>510</v>
      </c>
      <c r="D5" s="11" t="s">
        <v>511</v>
      </c>
      <c r="E5" s="11" t="s">
        <v>52</v>
      </c>
      <c r="F5" s="18">
        <v>34.36</v>
      </c>
      <c r="G5" s="18">
        <v>1.03</v>
      </c>
      <c r="H5" s="11" t="s">
        <v>576</v>
      </c>
      <c r="I5" s="11" t="s">
        <v>587</v>
      </c>
      <c r="J5" s="11" t="s">
        <v>363</v>
      </c>
      <c r="K5" s="11" t="s">
        <v>508</v>
      </c>
      <c r="L5" s="11" t="s">
        <v>509</v>
      </c>
      <c r="M5" s="11" t="s">
        <v>58</v>
      </c>
      <c r="N5" s="11">
        <v>13</v>
      </c>
      <c r="O5" s="11" t="s">
        <v>610</v>
      </c>
      <c r="P5" s="18">
        <v>34.36</v>
      </c>
      <c r="Q5" s="11" t="s">
        <v>99</v>
      </c>
      <c r="R5" s="11" t="s">
        <v>100</v>
      </c>
      <c r="S5" s="11">
        <v>3</v>
      </c>
      <c r="T5" s="18">
        <v>1.03</v>
      </c>
      <c r="U5" s="18">
        <v>0</v>
      </c>
    </row>
    <row r="6" spans="1:21" s="14" customFormat="1" x14ac:dyDescent="0.2">
      <c r="A6" s="11">
        <v>16633294</v>
      </c>
      <c r="B6" s="11" t="s">
        <v>564</v>
      </c>
      <c r="C6" s="11" t="s">
        <v>495</v>
      </c>
      <c r="D6" s="11" t="s">
        <v>496</v>
      </c>
      <c r="E6" s="11" t="s">
        <v>52</v>
      </c>
      <c r="F6" s="18">
        <v>36.08</v>
      </c>
      <c r="G6" s="18">
        <v>1.08</v>
      </c>
      <c r="H6" s="11" t="s">
        <v>576</v>
      </c>
      <c r="I6" s="11" t="s">
        <v>587</v>
      </c>
      <c r="J6" s="11" t="s">
        <v>363</v>
      </c>
      <c r="K6" s="11" t="s">
        <v>497</v>
      </c>
      <c r="L6" s="11" t="s">
        <v>498</v>
      </c>
      <c r="M6" s="11" t="s">
        <v>58</v>
      </c>
      <c r="N6" s="11">
        <v>15</v>
      </c>
      <c r="O6" s="11" t="s">
        <v>610</v>
      </c>
      <c r="P6" s="18">
        <v>36.08</v>
      </c>
      <c r="Q6" s="11" t="s">
        <v>99</v>
      </c>
      <c r="R6" s="11" t="s">
        <v>100</v>
      </c>
      <c r="S6" s="11">
        <v>3</v>
      </c>
      <c r="T6" s="18">
        <v>1.08</v>
      </c>
      <c r="U6" s="18">
        <v>0</v>
      </c>
    </row>
    <row r="7" spans="1:21" s="14" customFormat="1" x14ac:dyDescent="0.2">
      <c r="A7" s="11">
        <v>16633294</v>
      </c>
      <c r="B7" s="11" t="s">
        <v>564</v>
      </c>
      <c r="C7" s="11" t="s">
        <v>499</v>
      </c>
      <c r="D7" s="11" t="s">
        <v>500</v>
      </c>
      <c r="E7" s="11" t="s">
        <v>52</v>
      </c>
      <c r="F7" s="18">
        <v>36.08</v>
      </c>
      <c r="G7" s="18">
        <v>1.08</v>
      </c>
      <c r="H7" s="11" t="s">
        <v>576</v>
      </c>
      <c r="I7" s="11" t="s">
        <v>587</v>
      </c>
      <c r="J7" s="11" t="s">
        <v>363</v>
      </c>
      <c r="K7" s="11" t="s">
        <v>497</v>
      </c>
      <c r="L7" s="11" t="s">
        <v>498</v>
      </c>
      <c r="M7" s="11" t="s">
        <v>58</v>
      </c>
      <c r="N7" s="11">
        <v>15</v>
      </c>
      <c r="O7" s="11" t="s">
        <v>610</v>
      </c>
      <c r="P7" s="18">
        <v>36.08</v>
      </c>
      <c r="Q7" s="11" t="s">
        <v>99</v>
      </c>
      <c r="R7" s="11" t="s">
        <v>100</v>
      </c>
      <c r="S7" s="11">
        <v>3</v>
      </c>
      <c r="T7" s="18">
        <v>1.08</v>
      </c>
      <c r="U7" s="18">
        <v>0</v>
      </c>
    </row>
    <row r="8" spans="1:21" x14ac:dyDescent="0.2">
      <c r="A8" s="11">
        <v>16633294</v>
      </c>
      <c r="B8" s="11" t="s">
        <v>564</v>
      </c>
      <c r="C8" s="11" t="s">
        <v>501</v>
      </c>
      <c r="D8" s="11" t="s">
        <v>502</v>
      </c>
      <c r="E8" s="11" t="s">
        <v>479</v>
      </c>
      <c r="F8" s="18">
        <v>36.72</v>
      </c>
      <c r="G8" s="18">
        <v>1.1000000000000001</v>
      </c>
      <c r="H8" s="11" t="s">
        <v>576</v>
      </c>
      <c r="I8" s="11" t="s">
        <v>587</v>
      </c>
      <c r="J8" s="11" t="s">
        <v>363</v>
      </c>
      <c r="K8" s="11" t="s">
        <v>411</v>
      </c>
      <c r="L8" s="11" t="s">
        <v>56</v>
      </c>
      <c r="M8" s="11" t="s">
        <v>58</v>
      </c>
      <c r="N8" s="11">
        <v>14</v>
      </c>
      <c r="O8" s="11" t="s">
        <v>610</v>
      </c>
      <c r="P8" s="18">
        <v>36.72</v>
      </c>
      <c r="Q8" s="11" t="s">
        <v>99</v>
      </c>
      <c r="R8" s="11" t="s">
        <v>100</v>
      </c>
      <c r="S8" s="11">
        <v>3</v>
      </c>
      <c r="T8" s="18">
        <v>1.1000000000000001</v>
      </c>
      <c r="U8" s="18">
        <v>0</v>
      </c>
    </row>
    <row r="9" spans="1:21" x14ac:dyDescent="0.2">
      <c r="A9" s="11">
        <v>16633294</v>
      </c>
      <c r="B9" s="11" t="s">
        <v>564</v>
      </c>
      <c r="C9" s="11" t="s">
        <v>503</v>
      </c>
      <c r="D9" s="11" t="s">
        <v>504</v>
      </c>
      <c r="E9" s="11" t="s">
        <v>52</v>
      </c>
      <c r="F9" s="18">
        <v>71.55</v>
      </c>
      <c r="G9" s="18">
        <v>2.15</v>
      </c>
      <c r="H9" s="11" t="s">
        <v>577</v>
      </c>
      <c r="I9" s="11" t="s">
        <v>587</v>
      </c>
      <c r="J9" s="11" t="s">
        <v>484</v>
      </c>
      <c r="K9" s="11" t="s">
        <v>505</v>
      </c>
      <c r="L9" s="11" t="s">
        <v>262</v>
      </c>
      <c r="M9" s="11" t="s">
        <v>58</v>
      </c>
      <c r="N9" s="11">
        <v>13</v>
      </c>
      <c r="O9" s="11" t="s">
        <v>610</v>
      </c>
      <c r="P9" s="18">
        <v>71.55</v>
      </c>
      <c r="Q9" s="11" t="s">
        <v>99</v>
      </c>
      <c r="R9" s="11" t="s">
        <v>100</v>
      </c>
      <c r="S9" s="11">
        <v>3</v>
      </c>
      <c r="T9" s="18">
        <v>2.15</v>
      </c>
      <c r="U9" s="18">
        <v>0</v>
      </c>
    </row>
    <row r="10" spans="1:21" x14ac:dyDescent="0.2">
      <c r="A10" s="11">
        <v>8307933</v>
      </c>
      <c r="B10" s="11" t="s">
        <v>542</v>
      </c>
      <c r="C10" s="11" t="s">
        <v>512</v>
      </c>
      <c r="D10" s="11" t="s">
        <v>513</v>
      </c>
      <c r="E10" s="11" t="s">
        <v>155</v>
      </c>
      <c r="F10" s="18">
        <v>112.77</v>
      </c>
      <c r="G10" s="18">
        <v>2.54</v>
      </c>
      <c r="H10" s="11" t="s">
        <v>572</v>
      </c>
      <c r="I10" s="11" t="s">
        <v>602</v>
      </c>
      <c r="J10" s="11" t="s">
        <v>369</v>
      </c>
      <c r="K10" s="11" t="s">
        <v>77</v>
      </c>
      <c r="L10" s="11" t="s">
        <v>56</v>
      </c>
      <c r="M10" s="11" t="s">
        <v>58</v>
      </c>
      <c r="N10" s="11">
        <v>11</v>
      </c>
      <c r="O10" s="11" t="s">
        <v>610</v>
      </c>
      <c r="P10" s="18">
        <v>112.77</v>
      </c>
      <c r="Q10" s="11" t="s">
        <v>61</v>
      </c>
      <c r="R10" s="11" t="s">
        <v>62</v>
      </c>
      <c r="S10" s="11">
        <v>2.25</v>
      </c>
      <c r="T10" s="18">
        <v>2.54</v>
      </c>
      <c r="U10" s="18">
        <v>0</v>
      </c>
    </row>
    <row r="11" spans="1:21" x14ac:dyDescent="0.2">
      <c r="A11" s="11">
        <v>18598357</v>
      </c>
      <c r="B11" s="11" t="s">
        <v>566</v>
      </c>
      <c r="C11" s="11" t="s">
        <v>525</v>
      </c>
      <c r="D11" s="11" t="s">
        <v>526</v>
      </c>
      <c r="E11" s="11" t="s">
        <v>193</v>
      </c>
      <c r="F11" s="18">
        <v>104.8</v>
      </c>
      <c r="G11" s="11">
        <v>2.62</v>
      </c>
      <c r="H11" s="11" t="s">
        <v>579</v>
      </c>
      <c r="I11" s="11" t="s">
        <v>596</v>
      </c>
      <c r="J11" s="11" t="s">
        <v>403</v>
      </c>
      <c r="K11" s="11" t="s">
        <v>88</v>
      </c>
      <c r="L11" s="11" t="s">
        <v>56</v>
      </c>
      <c r="M11" s="11" t="s">
        <v>58</v>
      </c>
      <c r="N11" s="11">
        <v>7</v>
      </c>
      <c r="O11" s="11" t="s">
        <v>610</v>
      </c>
      <c r="P11" s="18">
        <v>104.8</v>
      </c>
      <c r="Q11" s="11" t="s">
        <v>61</v>
      </c>
      <c r="R11" s="11" t="s">
        <v>62</v>
      </c>
      <c r="S11" s="11">
        <v>2.5</v>
      </c>
      <c r="T11" s="18">
        <v>0</v>
      </c>
      <c r="U11" s="18">
        <v>-2.62</v>
      </c>
    </row>
    <row r="12" spans="1:21" x14ac:dyDescent="0.2">
      <c r="A12" s="11">
        <v>16212649</v>
      </c>
      <c r="B12" s="11" t="s">
        <v>547</v>
      </c>
      <c r="C12" s="11" t="s">
        <v>135</v>
      </c>
      <c r="D12" s="11" t="s">
        <v>136</v>
      </c>
      <c r="E12" s="11" t="s">
        <v>129</v>
      </c>
      <c r="F12" s="18">
        <v>112.52</v>
      </c>
      <c r="G12" s="18">
        <v>2.81</v>
      </c>
      <c r="H12" s="11" t="s">
        <v>579</v>
      </c>
      <c r="I12" s="11" t="s">
        <v>594</v>
      </c>
      <c r="J12" s="11" t="s">
        <v>130</v>
      </c>
      <c r="K12" s="11" t="s">
        <v>137</v>
      </c>
      <c r="L12" s="11" t="s">
        <v>56</v>
      </c>
      <c r="M12" s="11" t="s">
        <v>58</v>
      </c>
      <c r="N12" s="11">
        <v>22</v>
      </c>
      <c r="O12" s="11" t="s">
        <v>610</v>
      </c>
      <c r="P12" s="18">
        <v>112.52</v>
      </c>
      <c r="Q12" s="11" t="s">
        <v>99</v>
      </c>
      <c r="R12" s="11" t="s">
        <v>100</v>
      </c>
      <c r="S12" s="11">
        <v>2.5</v>
      </c>
      <c r="T12" s="18">
        <v>2.81</v>
      </c>
      <c r="U12" s="18">
        <v>0</v>
      </c>
    </row>
    <row r="13" spans="1:21" x14ac:dyDescent="0.2">
      <c r="A13" s="11">
        <v>5442438</v>
      </c>
      <c r="B13" s="11" t="s">
        <v>555</v>
      </c>
      <c r="C13" s="11" t="s">
        <v>379</v>
      </c>
      <c r="D13" s="11" t="s">
        <v>380</v>
      </c>
      <c r="E13" s="11" t="s">
        <v>193</v>
      </c>
      <c r="F13" s="18">
        <v>154.37</v>
      </c>
      <c r="G13" s="18">
        <v>3.86</v>
      </c>
      <c r="H13" s="11" t="s">
        <v>575</v>
      </c>
      <c r="I13" s="11" t="s">
        <v>594</v>
      </c>
      <c r="J13" s="11" t="s">
        <v>381</v>
      </c>
      <c r="K13" s="11" t="s">
        <v>358</v>
      </c>
      <c r="L13" s="11" t="s">
        <v>56</v>
      </c>
      <c r="M13" s="11" t="s">
        <v>58</v>
      </c>
      <c r="N13" s="11">
        <v>5</v>
      </c>
      <c r="O13" s="11" t="s">
        <v>610</v>
      </c>
      <c r="P13" s="18">
        <v>154.37</v>
      </c>
      <c r="Q13" s="11" t="s">
        <v>61</v>
      </c>
      <c r="R13" s="11" t="s">
        <v>62</v>
      </c>
      <c r="S13" s="11">
        <v>2.5</v>
      </c>
      <c r="T13" s="18">
        <v>3.86</v>
      </c>
      <c r="U13" s="18">
        <v>0</v>
      </c>
    </row>
    <row r="14" spans="1:21" x14ac:dyDescent="0.2">
      <c r="A14" s="11">
        <v>15278437</v>
      </c>
      <c r="B14" s="11" t="s">
        <v>545</v>
      </c>
      <c r="C14" s="11" t="s">
        <v>255</v>
      </c>
      <c r="D14" s="11" t="s">
        <v>256</v>
      </c>
      <c r="E14" s="11" t="s">
        <v>112</v>
      </c>
      <c r="F14" s="18">
        <v>109.75</v>
      </c>
      <c r="G14" s="18">
        <v>7.68</v>
      </c>
      <c r="H14" s="11" t="s">
        <v>574</v>
      </c>
      <c r="I14" s="11" t="s">
        <v>605</v>
      </c>
      <c r="J14" s="11" t="s">
        <v>257</v>
      </c>
      <c r="K14" s="11" t="s">
        <v>258</v>
      </c>
      <c r="L14" s="11" t="s">
        <v>259</v>
      </c>
      <c r="M14" s="11" t="s">
        <v>58</v>
      </c>
      <c r="N14" s="11">
        <v>29</v>
      </c>
      <c r="O14" s="11" t="s">
        <v>610</v>
      </c>
      <c r="P14" s="18">
        <v>109.75</v>
      </c>
      <c r="Q14" s="11" t="s">
        <v>99</v>
      </c>
      <c r="R14" s="11" t="s">
        <v>100</v>
      </c>
      <c r="S14" s="11">
        <v>7.0000000000000009</v>
      </c>
      <c r="T14" s="18">
        <v>7.68</v>
      </c>
      <c r="U14" s="18">
        <v>0</v>
      </c>
    </row>
    <row r="15" spans="1:21" x14ac:dyDescent="0.2">
      <c r="A15" s="11">
        <v>16202925</v>
      </c>
      <c r="B15" s="11" t="s">
        <v>558</v>
      </c>
      <c r="C15" s="11" t="s">
        <v>284</v>
      </c>
      <c r="D15" s="11" t="s">
        <v>285</v>
      </c>
      <c r="E15" s="11" t="s">
        <v>193</v>
      </c>
      <c r="F15" s="18">
        <v>122.6</v>
      </c>
      <c r="G15" s="18">
        <v>8.58</v>
      </c>
      <c r="H15" s="11" t="s">
        <v>574</v>
      </c>
      <c r="I15" s="11" t="s">
        <v>605</v>
      </c>
      <c r="J15" s="11" t="s">
        <v>257</v>
      </c>
      <c r="K15" s="11" t="s">
        <v>286</v>
      </c>
      <c r="L15" s="11" t="s">
        <v>228</v>
      </c>
      <c r="M15" s="11" t="s">
        <v>58</v>
      </c>
      <c r="N15" s="11">
        <v>25</v>
      </c>
      <c r="O15" s="11" t="s">
        <v>610</v>
      </c>
      <c r="P15" s="18">
        <v>122.6</v>
      </c>
      <c r="Q15" s="11" t="s">
        <v>99</v>
      </c>
      <c r="R15" s="11" t="s">
        <v>100</v>
      </c>
      <c r="S15" s="11">
        <v>7.0000000000000009</v>
      </c>
      <c r="T15" s="18">
        <v>8.58</v>
      </c>
      <c r="U15" s="18">
        <v>0</v>
      </c>
    </row>
    <row r="16" spans="1:21" x14ac:dyDescent="0.2">
      <c r="A16" s="11">
        <v>16202925</v>
      </c>
      <c r="B16" s="11" t="s">
        <v>558</v>
      </c>
      <c r="C16" s="11" t="s">
        <v>287</v>
      </c>
      <c r="D16" s="11" t="s">
        <v>288</v>
      </c>
      <c r="E16" s="11" t="s">
        <v>193</v>
      </c>
      <c r="F16" s="18">
        <v>191.04</v>
      </c>
      <c r="G16" s="18">
        <v>13.37</v>
      </c>
      <c r="H16" s="11" t="s">
        <v>574</v>
      </c>
      <c r="I16" s="11" t="s">
        <v>605</v>
      </c>
      <c r="J16" s="11" t="s">
        <v>257</v>
      </c>
      <c r="K16" s="11" t="s">
        <v>286</v>
      </c>
      <c r="L16" s="11" t="s">
        <v>228</v>
      </c>
      <c r="M16" s="11" t="s">
        <v>58</v>
      </c>
      <c r="N16" s="11">
        <v>25</v>
      </c>
      <c r="O16" s="11" t="s">
        <v>610</v>
      </c>
      <c r="P16" s="18">
        <v>191.04</v>
      </c>
      <c r="Q16" s="11" t="s">
        <v>99</v>
      </c>
      <c r="R16" s="11" t="s">
        <v>100</v>
      </c>
      <c r="S16" s="11">
        <v>7.0000000000000009</v>
      </c>
      <c r="T16" s="18">
        <v>13.37</v>
      </c>
      <c r="U16" s="18">
        <v>0</v>
      </c>
    </row>
    <row r="17" spans="1:21" x14ac:dyDescent="0.2">
      <c r="A17" s="11">
        <v>6634327</v>
      </c>
      <c r="B17" s="11" t="s">
        <v>556</v>
      </c>
      <c r="C17" s="11" t="s">
        <v>277</v>
      </c>
      <c r="D17" s="11" t="s">
        <v>278</v>
      </c>
      <c r="E17" s="11" t="s">
        <v>275</v>
      </c>
      <c r="F17" s="18">
        <v>9.5</v>
      </c>
      <c r="G17" s="18">
        <v>14.25</v>
      </c>
      <c r="H17" s="11" t="s">
        <v>570</v>
      </c>
      <c r="I17" s="11" t="s">
        <v>588</v>
      </c>
      <c r="J17" s="11" t="s">
        <v>165</v>
      </c>
      <c r="K17" s="11" t="s">
        <v>276</v>
      </c>
      <c r="L17" s="11" t="s">
        <v>95</v>
      </c>
      <c r="M17" s="11" t="s">
        <v>58</v>
      </c>
      <c r="N17" s="11">
        <v>12</v>
      </c>
      <c r="O17" s="11" t="s">
        <v>610</v>
      </c>
      <c r="P17" s="18">
        <v>9.5</v>
      </c>
      <c r="Q17" s="11" t="s">
        <v>61</v>
      </c>
      <c r="R17" s="11" t="s">
        <v>62</v>
      </c>
      <c r="S17" s="11">
        <v>150</v>
      </c>
      <c r="T17" s="18">
        <v>14.25</v>
      </c>
      <c r="U17" s="18">
        <v>0</v>
      </c>
    </row>
    <row r="18" spans="1:21" x14ac:dyDescent="0.2">
      <c r="A18" s="11">
        <v>9079571</v>
      </c>
      <c r="B18" s="11" t="s">
        <v>559</v>
      </c>
      <c r="C18" s="11" t="s">
        <v>394</v>
      </c>
      <c r="D18" s="11" t="s">
        <v>395</v>
      </c>
      <c r="E18" s="11" t="s">
        <v>193</v>
      </c>
      <c r="F18" s="18">
        <v>62.69</v>
      </c>
      <c r="G18" s="18">
        <v>16.93</v>
      </c>
      <c r="H18" s="11" t="s">
        <v>585</v>
      </c>
      <c r="I18" s="11" t="s">
        <v>601</v>
      </c>
      <c r="J18" s="11" t="s">
        <v>396</v>
      </c>
      <c r="K18" s="11" t="s">
        <v>77</v>
      </c>
      <c r="L18" s="11" t="s">
        <v>56</v>
      </c>
      <c r="M18" s="11" t="s">
        <v>58</v>
      </c>
      <c r="N18" s="11">
        <v>11</v>
      </c>
      <c r="O18" s="11" t="s">
        <v>610</v>
      </c>
      <c r="P18" s="18">
        <v>62.69</v>
      </c>
      <c r="Q18" s="11" t="s">
        <v>61</v>
      </c>
      <c r="R18" s="11" t="s">
        <v>62</v>
      </c>
      <c r="S18" s="11">
        <v>27</v>
      </c>
      <c r="T18" s="18">
        <v>16.93</v>
      </c>
      <c r="U18" s="18">
        <v>0</v>
      </c>
    </row>
    <row r="19" spans="1:21" x14ac:dyDescent="0.2">
      <c r="A19" s="11">
        <v>8325282</v>
      </c>
      <c r="B19" s="11" t="s">
        <v>544</v>
      </c>
      <c r="C19" s="11" t="s">
        <v>530</v>
      </c>
      <c r="D19" s="11" t="s">
        <v>531</v>
      </c>
      <c r="E19" s="11" t="s">
        <v>52</v>
      </c>
      <c r="F19" s="18">
        <v>33.74</v>
      </c>
      <c r="G19" s="11">
        <v>17.54</v>
      </c>
      <c r="H19" s="11" t="s">
        <v>582</v>
      </c>
      <c r="I19" s="11" t="s">
        <v>587</v>
      </c>
      <c r="J19" s="11" t="s">
        <v>532</v>
      </c>
      <c r="K19" s="11" t="s">
        <v>122</v>
      </c>
      <c r="L19" s="11" t="s">
        <v>56</v>
      </c>
      <c r="M19" s="11" t="s">
        <v>58</v>
      </c>
      <c r="N19" s="11">
        <v>9</v>
      </c>
      <c r="O19" s="11" t="s">
        <v>610</v>
      </c>
      <c r="P19" s="18">
        <v>33.74</v>
      </c>
      <c r="Q19" s="11" t="s">
        <v>61</v>
      </c>
      <c r="R19" s="11" t="s">
        <v>62</v>
      </c>
      <c r="S19" s="11">
        <v>52</v>
      </c>
      <c r="T19" s="18">
        <v>0</v>
      </c>
      <c r="U19" s="18">
        <v>-17.54</v>
      </c>
    </row>
    <row r="20" spans="1:21" x14ac:dyDescent="0.2">
      <c r="A20" s="11">
        <v>8325282</v>
      </c>
      <c r="B20" s="11" t="s">
        <v>544</v>
      </c>
      <c r="C20" s="11" t="s">
        <v>533</v>
      </c>
      <c r="D20" s="11" t="s">
        <v>534</v>
      </c>
      <c r="E20" s="11" t="s">
        <v>52</v>
      </c>
      <c r="F20" s="18">
        <v>33.74</v>
      </c>
      <c r="G20" s="11">
        <v>17.54</v>
      </c>
      <c r="H20" s="11" t="s">
        <v>582</v>
      </c>
      <c r="I20" s="11" t="s">
        <v>587</v>
      </c>
      <c r="J20" s="11" t="s">
        <v>532</v>
      </c>
      <c r="K20" s="11" t="s">
        <v>122</v>
      </c>
      <c r="L20" s="11" t="s">
        <v>56</v>
      </c>
      <c r="M20" s="11" t="s">
        <v>58</v>
      </c>
      <c r="N20" s="11">
        <v>9</v>
      </c>
      <c r="O20" s="11" t="s">
        <v>610</v>
      </c>
      <c r="P20" s="18">
        <v>33.74</v>
      </c>
      <c r="Q20" s="11" t="s">
        <v>61</v>
      </c>
      <c r="R20" s="11" t="s">
        <v>62</v>
      </c>
      <c r="S20" s="11">
        <v>52</v>
      </c>
      <c r="T20" s="18">
        <v>0</v>
      </c>
      <c r="U20" s="18">
        <v>-17.54</v>
      </c>
    </row>
    <row r="21" spans="1:21" x14ac:dyDescent="0.2">
      <c r="A21" s="11">
        <v>8325282</v>
      </c>
      <c r="B21" s="11" t="s">
        <v>544</v>
      </c>
      <c r="C21" s="11" t="s">
        <v>527</v>
      </c>
      <c r="D21" s="11" t="s">
        <v>528</v>
      </c>
      <c r="E21" s="11" t="s">
        <v>52</v>
      </c>
      <c r="F21" s="18">
        <v>34.36</v>
      </c>
      <c r="G21" s="18">
        <v>17.87</v>
      </c>
      <c r="H21" s="11" t="s">
        <v>576</v>
      </c>
      <c r="I21" s="11" t="s">
        <v>587</v>
      </c>
      <c r="J21" s="11" t="s">
        <v>363</v>
      </c>
      <c r="K21" s="11" t="s">
        <v>529</v>
      </c>
      <c r="L21" s="11" t="s">
        <v>152</v>
      </c>
      <c r="M21" s="11" t="s">
        <v>58</v>
      </c>
      <c r="N21" s="11">
        <v>11</v>
      </c>
      <c r="O21" s="11" t="s">
        <v>610</v>
      </c>
      <c r="P21" s="18">
        <v>34.36</v>
      </c>
      <c r="Q21" s="11" t="s">
        <v>61</v>
      </c>
      <c r="R21" s="11" t="s">
        <v>62</v>
      </c>
      <c r="S21" s="11">
        <v>52</v>
      </c>
      <c r="T21" s="18">
        <v>17.87</v>
      </c>
      <c r="U21" s="18">
        <v>0</v>
      </c>
    </row>
    <row r="22" spans="1:21" x14ac:dyDescent="0.2">
      <c r="A22" s="11">
        <v>16633294</v>
      </c>
      <c r="B22" s="11" t="s">
        <v>564</v>
      </c>
      <c r="C22" s="11" t="s">
        <v>475</v>
      </c>
      <c r="D22" s="11" t="s">
        <v>476</v>
      </c>
      <c r="E22" s="11" t="s">
        <v>52</v>
      </c>
      <c r="F22" s="18">
        <v>34.36</v>
      </c>
      <c r="G22" s="18">
        <v>17.87</v>
      </c>
      <c r="H22" s="11" t="s">
        <v>576</v>
      </c>
      <c r="I22" s="11" t="s">
        <v>587</v>
      </c>
      <c r="J22" s="11" t="s">
        <v>363</v>
      </c>
      <c r="K22" s="11" t="s">
        <v>77</v>
      </c>
      <c r="L22" s="11" t="s">
        <v>56</v>
      </c>
      <c r="M22" s="11" t="s">
        <v>58</v>
      </c>
      <c r="N22" s="11">
        <v>11</v>
      </c>
      <c r="O22" s="11" t="s">
        <v>610</v>
      </c>
      <c r="P22" s="18">
        <v>34.36</v>
      </c>
      <c r="Q22" s="11" t="s">
        <v>61</v>
      </c>
      <c r="R22" s="11" t="s">
        <v>62</v>
      </c>
      <c r="S22" s="11">
        <v>52</v>
      </c>
      <c r="T22" s="18">
        <v>17.87</v>
      </c>
      <c r="U22" s="18">
        <v>0</v>
      </c>
    </row>
    <row r="23" spans="1:21" x14ac:dyDescent="0.2">
      <c r="A23" s="11">
        <v>16633294</v>
      </c>
      <c r="B23" s="11" t="s">
        <v>564</v>
      </c>
      <c r="C23" s="11" t="s">
        <v>487</v>
      </c>
      <c r="D23" s="11" t="s">
        <v>488</v>
      </c>
      <c r="E23" s="11" t="s">
        <v>52</v>
      </c>
      <c r="F23" s="18">
        <v>34.36</v>
      </c>
      <c r="G23" s="18">
        <v>17.87</v>
      </c>
      <c r="H23" s="11" t="s">
        <v>576</v>
      </c>
      <c r="I23" s="11" t="s">
        <v>587</v>
      </c>
      <c r="J23" s="11" t="s">
        <v>363</v>
      </c>
      <c r="K23" s="11" t="s">
        <v>77</v>
      </c>
      <c r="L23" s="11" t="s">
        <v>56</v>
      </c>
      <c r="M23" s="11" t="s">
        <v>58</v>
      </c>
      <c r="N23" s="11">
        <v>11</v>
      </c>
      <c r="O23" s="11" t="s">
        <v>610</v>
      </c>
      <c r="P23" s="18">
        <v>34.36</v>
      </c>
      <c r="Q23" s="11" t="s">
        <v>61</v>
      </c>
      <c r="R23" s="11" t="s">
        <v>62</v>
      </c>
      <c r="S23" s="11">
        <v>52</v>
      </c>
      <c r="T23" s="18">
        <v>17.87</v>
      </c>
      <c r="U23" s="18">
        <v>0</v>
      </c>
    </row>
    <row r="24" spans="1:21" x14ac:dyDescent="0.2">
      <c r="A24" s="11">
        <v>16633294</v>
      </c>
      <c r="B24" s="11" t="s">
        <v>564</v>
      </c>
      <c r="C24" s="11" t="s">
        <v>489</v>
      </c>
      <c r="D24" s="11" t="s">
        <v>490</v>
      </c>
      <c r="E24" s="11" t="s">
        <v>52</v>
      </c>
      <c r="F24" s="18">
        <v>34.36</v>
      </c>
      <c r="G24" s="18">
        <v>17.87</v>
      </c>
      <c r="H24" s="11" t="s">
        <v>576</v>
      </c>
      <c r="I24" s="11" t="s">
        <v>587</v>
      </c>
      <c r="J24" s="11" t="s">
        <v>363</v>
      </c>
      <c r="K24" s="11" t="s">
        <v>77</v>
      </c>
      <c r="L24" s="11" t="s">
        <v>56</v>
      </c>
      <c r="M24" s="11" t="s">
        <v>58</v>
      </c>
      <c r="N24" s="11">
        <v>11</v>
      </c>
      <c r="O24" s="11" t="s">
        <v>610</v>
      </c>
      <c r="P24" s="18">
        <v>34.36</v>
      </c>
      <c r="Q24" s="11" t="s">
        <v>61</v>
      </c>
      <c r="R24" s="11" t="s">
        <v>62</v>
      </c>
      <c r="S24" s="11">
        <v>52</v>
      </c>
      <c r="T24" s="18">
        <v>17.87</v>
      </c>
      <c r="U24" s="18">
        <v>0</v>
      </c>
    </row>
    <row r="25" spans="1:21" x14ac:dyDescent="0.2">
      <c r="A25" s="11">
        <v>16633294</v>
      </c>
      <c r="B25" s="11" t="s">
        <v>564</v>
      </c>
      <c r="C25" s="11" t="s">
        <v>477</v>
      </c>
      <c r="D25" s="11" t="s">
        <v>478</v>
      </c>
      <c r="E25" s="11" t="s">
        <v>479</v>
      </c>
      <c r="F25" s="18">
        <v>34.97</v>
      </c>
      <c r="G25" s="18">
        <v>18.18</v>
      </c>
      <c r="H25" s="11" t="s">
        <v>576</v>
      </c>
      <c r="I25" s="11" t="s">
        <v>587</v>
      </c>
      <c r="J25" s="11" t="s">
        <v>363</v>
      </c>
      <c r="K25" s="11" t="s">
        <v>77</v>
      </c>
      <c r="L25" s="11" t="s">
        <v>56</v>
      </c>
      <c r="M25" s="11" t="s">
        <v>58</v>
      </c>
      <c r="N25" s="11">
        <v>11</v>
      </c>
      <c r="O25" s="11" t="s">
        <v>610</v>
      </c>
      <c r="P25" s="18">
        <v>34.97</v>
      </c>
      <c r="Q25" s="11" t="s">
        <v>61</v>
      </c>
      <c r="R25" s="11" t="s">
        <v>62</v>
      </c>
      <c r="S25" s="11">
        <v>52</v>
      </c>
      <c r="T25" s="18">
        <v>18.18</v>
      </c>
      <c r="U25" s="18">
        <v>0</v>
      </c>
    </row>
    <row r="26" spans="1:21" x14ac:dyDescent="0.2">
      <c r="A26" s="11">
        <v>16633294</v>
      </c>
      <c r="B26" s="11" t="s">
        <v>564</v>
      </c>
      <c r="C26" s="11" t="s">
        <v>480</v>
      </c>
      <c r="D26" s="11" t="s">
        <v>481</v>
      </c>
      <c r="E26" s="11" t="s">
        <v>479</v>
      </c>
      <c r="F26" s="18">
        <v>34.97</v>
      </c>
      <c r="G26" s="18">
        <v>18.18</v>
      </c>
      <c r="H26" s="11" t="s">
        <v>576</v>
      </c>
      <c r="I26" s="11" t="s">
        <v>587</v>
      </c>
      <c r="J26" s="11" t="s">
        <v>363</v>
      </c>
      <c r="K26" s="11" t="s">
        <v>77</v>
      </c>
      <c r="L26" s="11" t="s">
        <v>56</v>
      </c>
      <c r="M26" s="11" t="s">
        <v>58</v>
      </c>
      <c r="N26" s="11">
        <v>11</v>
      </c>
      <c r="O26" s="11" t="s">
        <v>610</v>
      </c>
      <c r="P26" s="18">
        <v>34.97</v>
      </c>
      <c r="Q26" s="11" t="s">
        <v>61</v>
      </c>
      <c r="R26" s="11" t="s">
        <v>62</v>
      </c>
      <c r="S26" s="11">
        <v>52</v>
      </c>
      <c r="T26" s="18">
        <v>18.18</v>
      </c>
      <c r="U26" s="18">
        <v>0</v>
      </c>
    </row>
    <row r="27" spans="1:21" x14ac:dyDescent="0.2">
      <c r="A27" s="14" t="s">
        <v>613</v>
      </c>
      <c r="B27" s="14" t="s">
        <v>544</v>
      </c>
      <c r="C27" s="14" t="s">
        <v>361</v>
      </c>
      <c r="D27" s="14" t="s">
        <v>362</v>
      </c>
      <c r="E27" s="14" t="s">
        <v>52</v>
      </c>
      <c r="F27" s="15">
        <v>36.08</v>
      </c>
      <c r="G27" s="14">
        <v>18.761600000000001</v>
      </c>
      <c r="H27" s="14" t="s">
        <v>576</v>
      </c>
      <c r="I27" s="14" t="s">
        <v>587</v>
      </c>
      <c r="J27" s="14" t="s">
        <v>363</v>
      </c>
      <c r="K27" s="14" t="s">
        <v>228</v>
      </c>
      <c r="L27" s="14" t="s">
        <v>364</v>
      </c>
      <c r="M27" s="14" t="s">
        <v>58</v>
      </c>
      <c r="N27" s="14">
        <v>1</v>
      </c>
      <c r="O27" s="14" t="s">
        <v>612</v>
      </c>
      <c r="P27" s="15">
        <v>36.08</v>
      </c>
      <c r="Q27" s="14" t="s">
        <v>61</v>
      </c>
      <c r="R27" s="14" t="s">
        <v>167</v>
      </c>
      <c r="S27" s="14">
        <v>52</v>
      </c>
      <c r="T27" s="15">
        <v>18.760000000000002</v>
      </c>
      <c r="U27" s="15">
        <v>0</v>
      </c>
    </row>
    <row r="28" spans="1:21" x14ac:dyDescent="0.2">
      <c r="A28" s="14" t="s">
        <v>615</v>
      </c>
      <c r="B28" s="14" t="s">
        <v>552</v>
      </c>
      <c r="C28" s="14" t="s">
        <v>195</v>
      </c>
      <c r="D28" s="14" t="s">
        <v>196</v>
      </c>
      <c r="E28" s="14" t="s">
        <v>197</v>
      </c>
      <c r="F28" s="14">
        <v>15.012222222222224</v>
      </c>
      <c r="G28" s="14">
        <v>20.266500000000004</v>
      </c>
      <c r="H28" s="14" t="s">
        <v>571</v>
      </c>
      <c r="I28" s="14" t="s">
        <v>590</v>
      </c>
      <c r="J28" s="14" t="s">
        <v>189</v>
      </c>
      <c r="K28" s="14" t="s">
        <v>198</v>
      </c>
      <c r="L28" s="14" t="s">
        <v>199</v>
      </c>
      <c r="M28" s="14" t="s">
        <v>58</v>
      </c>
      <c r="N28" s="14">
        <v>1</v>
      </c>
      <c r="O28" s="14" t="s">
        <v>612</v>
      </c>
      <c r="P28" s="15">
        <v>135.11000000000001</v>
      </c>
      <c r="Q28" s="14" t="s">
        <v>61</v>
      </c>
      <c r="R28" s="14" t="s">
        <v>200</v>
      </c>
      <c r="S28" s="14">
        <v>135</v>
      </c>
      <c r="T28" s="15">
        <v>0</v>
      </c>
      <c r="U28" s="15">
        <v>-182.4</v>
      </c>
    </row>
    <row r="29" spans="1:21" x14ac:dyDescent="0.2">
      <c r="A29" s="11">
        <v>20220688</v>
      </c>
      <c r="B29" s="11" t="s">
        <v>563</v>
      </c>
      <c r="C29" s="11" t="s">
        <v>331</v>
      </c>
      <c r="D29" s="11" t="s">
        <v>332</v>
      </c>
      <c r="E29" s="11" t="s">
        <v>52</v>
      </c>
      <c r="F29" s="18">
        <v>19.04</v>
      </c>
      <c r="G29" s="11">
        <v>21.9</v>
      </c>
      <c r="H29" s="11" t="s">
        <v>578</v>
      </c>
      <c r="I29" s="11" t="s">
        <v>598</v>
      </c>
      <c r="J29" s="11" t="s">
        <v>333</v>
      </c>
      <c r="K29" s="11" t="s">
        <v>122</v>
      </c>
      <c r="L29" s="11" t="s">
        <v>56</v>
      </c>
      <c r="M29" s="11" t="s">
        <v>58</v>
      </c>
      <c r="N29" s="11">
        <v>9</v>
      </c>
      <c r="O29" s="11" t="s">
        <v>610</v>
      </c>
      <c r="P29" s="18">
        <v>19.04</v>
      </c>
      <c r="Q29" s="11" t="s">
        <v>61</v>
      </c>
      <c r="R29" s="11" t="s">
        <v>62</v>
      </c>
      <c r="S29" s="11">
        <v>114.99999999999999</v>
      </c>
      <c r="T29" s="18">
        <v>0</v>
      </c>
      <c r="U29" s="18">
        <v>-21.9</v>
      </c>
    </row>
    <row r="30" spans="1:21" x14ac:dyDescent="0.2">
      <c r="A30" s="11">
        <v>19278370</v>
      </c>
      <c r="B30" s="11" t="s">
        <v>546</v>
      </c>
      <c r="C30" s="11" t="s">
        <v>119</v>
      </c>
      <c r="D30" s="11" t="s">
        <v>120</v>
      </c>
      <c r="E30" s="11" t="s">
        <v>112</v>
      </c>
      <c r="F30" s="18">
        <v>92.04</v>
      </c>
      <c r="G30" s="11">
        <v>23.47</v>
      </c>
      <c r="H30" s="11" t="s">
        <v>579</v>
      </c>
      <c r="I30" s="11" t="s">
        <v>600</v>
      </c>
      <c r="J30" s="11" t="s">
        <v>121</v>
      </c>
      <c r="K30" s="11" t="s">
        <v>122</v>
      </c>
      <c r="L30" s="11" t="s">
        <v>56</v>
      </c>
      <c r="M30" s="11" t="s">
        <v>58</v>
      </c>
      <c r="N30" s="11">
        <v>9</v>
      </c>
      <c r="O30" s="11" t="s">
        <v>610</v>
      </c>
      <c r="P30" s="18">
        <v>92.04</v>
      </c>
      <c r="Q30" s="11" t="s">
        <v>61</v>
      </c>
      <c r="R30" s="11" t="s">
        <v>62</v>
      </c>
      <c r="S30" s="11">
        <v>25.5</v>
      </c>
      <c r="T30" s="18">
        <v>0</v>
      </c>
      <c r="U30" s="18">
        <v>-23.47</v>
      </c>
    </row>
    <row r="31" spans="1:21" x14ac:dyDescent="0.2">
      <c r="A31" s="11">
        <v>9079571</v>
      </c>
      <c r="B31" s="11" t="s">
        <v>559</v>
      </c>
      <c r="C31" s="11" t="s">
        <v>446</v>
      </c>
      <c r="D31" s="11" t="s">
        <v>447</v>
      </c>
      <c r="E31" s="11" t="s">
        <v>193</v>
      </c>
      <c r="F31" s="18">
        <v>93.57</v>
      </c>
      <c r="G31" s="18">
        <v>25.26</v>
      </c>
      <c r="H31" s="11" t="s">
        <v>579</v>
      </c>
      <c r="I31" s="11" t="s">
        <v>601</v>
      </c>
      <c r="J31" s="11" t="s">
        <v>403</v>
      </c>
      <c r="K31" s="11" t="s">
        <v>448</v>
      </c>
      <c r="L31" s="11" t="s">
        <v>56</v>
      </c>
      <c r="M31" s="11" t="s">
        <v>58</v>
      </c>
      <c r="N31" s="11">
        <v>21</v>
      </c>
      <c r="O31" s="11" t="s">
        <v>610</v>
      </c>
      <c r="P31" s="18">
        <v>93.57</v>
      </c>
      <c r="Q31" s="11" t="s">
        <v>99</v>
      </c>
      <c r="R31" s="11" t="s">
        <v>100</v>
      </c>
      <c r="S31" s="11">
        <v>27</v>
      </c>
      <c r="T31" s="18">
        <v>25.26</v>
      </c>
      <c r="U31" s="18">
        <v>0</v>
      </c>
    </row>
    <row r="32" spans="1:21" x14ac:dyDescent="0.2">
      <c r="A32" s="11">
        <v>9079571</v>
      </c>
      <c r="B32" s="11" t="s">
        <v>559</v>
      </c>
      <c r="C32" s="11" t="s">
        <v>418</v>
      </c>
      <c r="D32" s="11" t="s">
        <v>419</v>
      </c>
      <c r="E32" s="11" t="s">
        <v>193</v>
      </c>
      <c r="F32" s="18">
        <v>100.3</v>
      </c>
      <c r="G32" s="18">
        <v>27.08</v>
      </c>
      <c r="H32" s="11" t="s">
        <v>579</v>
      </c>
      <c r="I32" s="11" t="s">
        <v>601</v>
      </c>
      <c r="J32" s="11" t="s">
        <v>403</v>
      </c>
      <c r="K32" s="11" t="s">
        <v>420</v>
      </c>
      <c r="L32" s="11" t="s">
        <v>56</v>
      </c>
      <c r="M32" s="11" t="s">
        <v>58</v>
      </c>
      <c r="N32" s="11">
        <v>30</v>
      </c>
      <c r="O32" s="11" t="s">
        <v>610</v>
      </c>
      <c r="P32" s="18">
        <v>100.3</v>
      </c>
      <c r="Q32" s="11" t="s">
        <v>99</v>
      </c>
      <c r="R32" s="11" t="s">
        <v>100</v>
      </c>
      <c r="S32" s="11">
        <v>27</v>
      </c>
      <c r="T32" s="18">
        <v>27.08</v>
      </c>
      <c r="U32" s="18">
        <v>0</v>
      </c>
    </row>
    <row r="33" spans="1:21" x14ac:dyDescent="0.2">
      <c r="A33" s="11">
        <v>18828278</v>
      </c>
      <c r="B33" s="11" t="s">
        <v>543</v>
      </c>
      <c r="C33" s="11" t="s">
        <v>78</v>
      </c>
      <c r="D33" s="11" t="s">
        <v>79</v>
      </c>
      <c r="E33" s="11" t="s">
        <v>52</v>
      </c>
      <c r="F33" s="18">
        <v>118.19</v>
      </c>
      <c r="G33" s="18">
        <v>27.18</v>
      </c>
      <c r="H33" s="11" t="s">
        <v>572</v>
      </c>
      <c r="I33" s="11" t="s">
        <v>606</v>
      </c>
      <c r="J33" s="11" t="s">
        <v>54</v>
      </c>
      <c r="K33" s="11" t="s">
        <v>77</v>
      </c>
      <c r="L33" s="11" t="s">
        <v>56</v>
      </c>
      <c r="M33" s="11" t="s">
        <v>58</v>
      </c>
      <c r="N33" s="11">
        <v>11</v>
      </c>
      <c r="O33" s="11" t="s">
        <v>610</v>
      </c>
      <c r="P33" s="18">
        <v>118.19</v>
      </c>
      <c r="Q33" s="11" t="s">
        <v>61</v>
      </c>
      <c r="R33" s="11" t="s">
        <v>62</v>
      </c>
      <c r="S33" s="11">
        <v>23</v>
      </c>
      <c r="T33" s="18">
        <v>27.18</v>
      </c>
      <c r="U33" s="18">
        <v>0</v>
      </c>
    </row>
    <row r="34" spans="1:21" x14ac:dyDescent="0.2">
      <c r="A34" s="11">
        <v>8307933</v>
      </c>
      <c r="B34" s="11" t="s">
        <v>542</v>
      </c>
      <c r="C34" s="11" t="s">
        <v>519</v>
      </c>
      <c r="D34" s="11" t="s">
        <v>520</v>
      </c>
      <c r="E34" s="11" t="s">
        <v>388</v>
      </c>
      <c r="F34" s="18">
        <v>128.09</v>
      </c>
      <c r="G34" s="18">
        <v>27.54</v>
      </c>
      <c r="H34" s="11" t="s">
        <v>572</v>
      </c>
      <c r="I34" s="11" t="s">
        <v>603</v>
      </c>
      <c r="J34" s="11" t="s">
        <v>451</v>
      </c>
      <c r="K34" s="11" t="s">
        <v>521</v>
      </c>
      <c r="L34" s="11" t="s">
        <v>245</v>
      </c>
      <c r="M34" s="11" t="s">
        <v>58</v>
      </c>
      <c r="N34" s="11">
        <v>21</v>
      </c>
      <c r="O34" s="11" t="s">
        <v>610</v>
      </c>
      <c r="P34" s="18">
        <v>128.09</v>
      </c>
      <c r="Q34" s="11" t="s">
        <v>99</v>
      </c>
      <c r="R34" s="11" t="s">
        <v>100</v>
      </c>
      <c r="S34" s="11">
        <v>21.5</v>
      </c>
      <c r="T34" s="18">
        <v>27.54</v>
      </c>
      <c r="U34" s="18">
        <v>0</v>
      </c>
    </row>
    <row r="35" spans="1:21" x14ac:dyDescent="0.2">
      <c r="A35" s="11">
        <v>15278437</v>
      </c>
      <c r="B35" s="11" t="s">
        <v>545</v>
      </c>
      <c r="C35" s="11" t="s">
        <v>110</v>
      </c>
      <c r="D35" s="11" t="s">
        <v>111</v>
      </c>
      <c r="E35" s="11" t="s">
        <v>112</v>
      </c>
      <c r="F35" s="18">
        <v>128.97999999999999</v>
      </c>
      <c r="G35" s="18">
        <v>27.73</v>
      </c>
      <c r="H35" s="11" t="s">
        <v>572</v>
      </c>
      <c r="I35" s="11" t="s">
        <v>603</v>
      </c>
      <c r="J35" s="11" t="s">
        <v>113</v>
      </c>
      <c r="K35" s="11" t="s">
        <v>114</v>
      </c>
      <c r="L35" s="11" t="s">
        <v>56</v>
      </c>
      <c r="M35" s="11" t="s">
        <v>58</v>
      </c>
      <c r="N35" s="11">
        <v>28</v>
      </c>
      <c r="O35" s="11" t="s">
        <v>610</v>
      </c>
      <c r="P35" s="18">
        <v>128.97999999999999</v>
      </c>
      <c r="Q35" s="11" t="s">
        <v>99</v>
      </c>
      <c r="R35" s="11" t="s">
        <v>100</v>
      </c>
      <c r="S35" s="11">
        <v>21.5</v>
      </c>
      <c r="T35" s="18">
        <v>27.73</v>
      </c>
      <c r="U35" s="18">
        <v>0</v>
      </c>
    </row>
    <row r="36" spans="1:21" x14ac:dyDescent="0.2">
      <c r="A36" s="11">
        <v>8307933</v>
      </c>
      <c r="B36" s="11" t="s">
        <v>542</v>
      </c>
      <c r="C36" s="11" t="s">
        <v>516</v>
      </c>
      <c r="D36" s="11" t="s">
        <v>517</v>
      </c>
      <c r="E36" s="11" t="s">
        <v>518</v>
      </c>
      <c r="F36" s="18">
        <v>120.86</v>
      </c>
      <c r="G36" s="18">
        <v>27.8</v>
      </c>
      <c r="H36" s="11" t="s">
        <v>572</v>
      </c>
      <c r="I36" s="11" t="s">
        <v>595</v>
      </c>
      <c r="J36" s="11" t="s">
        <v>369</v>
      </c>
      <c r="K36" s="11" t="s">
        <v>437</v>
      </c>
      <c r="L36" s="11" t="s">
        <v>56</v>
      </c>
      <c r="M36" s="11" t="s">
        <v>58</v>
      </c>
      <c r="N36" s="11">
        <v>24</v>
      </c>
      <c r="O36" s="11" t="s">
        <v>610</v>
      </c>
      <c r="P36" s="18">
        <v>120.86</v>
      </c>
      <c r="Q36" s="11" t="s">
        <v>99</v>
      </c>
      <c r="R36" s="11" t="s">
        <v>100</v>
      </c>
      <c r="S36" s="11">
        <v>23</v>
      </c>
      <c r="T36" s="18">
        <v>27.8</v>
      </c>
      <c r="U36" s="18">
        <v>0</v>
      </c>
    </row>
    <row r="37" spans="1:21" x14ac:dyDescent="0.2">
      <c r="A37" s="11">
        <v>9079571</v>
      </c>
      <c r="B37" s="11" t="s">
        <v>559</v>
      </c>
      <c r="C37" s="11" t="s">
        <v>399</v>
      </c>
      <c r="D37" s="11" t="s">
        <v>400</v>
      </c>
      <c r="E37" s="11" t="s">
        <v>155</v>
      </c>
      <c r="F37" s="18">
        <v>121.45</v>
      </c>
      <c r="G37" s="11">
        <v>27.93</v>
      </c>
      <c r="H37" s="11" t="s">
        <v>572</v>
      </c>
      <c r="I37" s="11" t="s">
        <v>595</v>
      </c>
      <c r="J37" s="11" t="s">
        <v>369</v>
      </c>
      <c r="K37" s="11" t="s">
        <v>358</v>
      </c>
      <c r="L37" s="11" t="s">
        <v>56</v>
      </c>
      <c r="M37" s="11" t="s">
        <v>58</v>
      </c>
      <c r="N37" s="11">
        <v>5</v>
      </c>
      <c r="O37" s="11" t="s">
        <v>610</v>
      </c>
      <c r="P37" s="18">
        <v>121.45</v>
      </c>
      <c r="Q37" s="11" t="s">
        <v>61</v>
      </c>
      <c r="R37" s="11" t="s">
        <v>62</v>
      </c>
      <c r="S37" s="11">
        <v>23</v>
      </c>
      <c r="T37" s="18">
        <v>0</v>
      </c>
      <c r="U37" s="18">
        <v>-27.93</v>
      </c>
    </row>
    <row r="38" spans="1:21" x14ac:dyDescent="0.2">
      <c r="A38" s="11">
        <v>8307933</v>
      </c>
      <c r="B38" s="11" t="s">
        <v>542</v>
      </c>
      <c r="C38" s="11" t="s">
        <v>514</v>
      </c>
      <c r="D38" s="11" t="s">
        <v>515</v>
      </c>
      <c r="E38" s="11" t="s">
        <v>155</v>
      </c>
      <c r="F38" s="18">
        <v>121.45</v>
      </c>
      <c r="G38" s="11">
        <v>27.93</v>
      </c>
      <c r="H38" s="11" t="s">
        <v>572</v>
      </c>
      <c r="I38" s="11" t="s">
        <v>595</v>
      </c>
      <c r="J38" s="11" t="s">
        <v>369</v>
      </c>
      <c r="K38" s="11" t="s">
        <v>220</v>
      </c>
      <c r="L38" s="11" t="s">
        <v>56</v>
      </c>
      <c r="M38" s="11" t="s">
        <v>58</v>
      </c>
      <c r="N38" s="11">
        <v>6</v>
      </c>
      <c r="O38" s="11" t="s">
        <v>610</v>
      </c>
      <c r="P38" s="18">
        <v>121.45</v>
      </c>
      <c r="Q38" s="11" t="s">
        <v>61</v>
      </c>
      <c r="R38" s="11" t="s">
        <v>62</v>
      </c>
      <c r="S38" s="11">
        <v>23</v>
      </c>
      <c r="T38" s="18">
        <v>0</v>
      </c>
      <c r="U38" s="18">
        <v>-27.93</v>
      </c>
    </row>
    <row r="39" spans="1:21" s="14" customFormat="1" x14ac:dyDescent="0.2">
      <c r="A39" s="11">
        <v>16212649</v>
      </c>
      <c r="B39" s="11" t="s">
        <v>547</v>
      </c>
      <c r="C39" s="11" t="s">
        <v>127</v>
      </c>
      <c r="D39" s="11" t="s">
        <v>128</v>
      </c>
      <c r="E39" s="11" t="s">
        <v>129</v>
      </c>
      <c r="F39" s="18">
        <v>104.7</v>
      </c>
      <c r="G39" s="18">
        <v>28.27</v>
      </c>
      <c r="H39" s="11" t="s">
        <v>579</v>
      </c>
      <c r="I39" s="11" t="s">
        <v>601</v>
      </c>
      <c r="J39" s="11" t="s">
        <v>130</v>
      </c>
      <c r="K39" s="11" t="s">
        <v>91</v>
      </c>
      <c r="L39" s="11" t="s">
        <v>56</v>
      </c>
      <c r="M39" s="11" t="s">
        <v>58</v>
      </c>
      <c r="N39" s="11">
        <v>10</v>
      </c>
      <c r="O39" s="11" t="s">
        <v>610</v>
      </c>
      <c r="P39" s="18">
        <v>104.7</v>
      </c>
      <c r="Q39" s="11" t="s">
        <v>61</v>
      </c>
      <c r="R39" s="11" t="s">
        <v>62</v>
      </c>
      <c r="S39" s="11">
        <v>27</v>
      </c>
      <c r="T39" s="18">
        <v>28.27</v>
      </c>
      <c r="U39" s="18">
        <v>0</v>
      </c>
    </row>
    <row r="40" spans="1:21" x14ac:dyDescent="0.2">
      <c r="A40" s="11">
        <v>9079571</v>
      </c>
      <c r="B40" s="11" t="s">
        <v>559</v>
      </c>
      <c r="C40" s="11" t="s">
        <v>412</v>
      </c>
      <c r="D40" s="11" t="s">
        <v>413</v>
      </c>
      <c r="E40" s="11" t="s">
        <v>193</v>
      </c>
      <c r="F40" s="18">
        <v>104.8</v>
      </c>
      <c r="G40" s="18">
        <v>28.3</v>
      </c>
      <c r="H40" s="11" t="s">
        <v>579</v>
      </c>
      <c r="I40" s="11" t="s">
        <v>601</v>
      </c>
      <c r="J40" s="11" t="s">
        <v>403</v>
      </c>
      <c r="K40" s="11" t="s">
        <v>411</v>
      </c>
      <c r="L40" s="11" t="s">
        <v>56</v>
      </c>
      <c r="M40" s="11" t="s">
        <v>58</v>
      </c>
      <c r="N40" s="11">
        <v>14</v>
      </c>
      <c r="O40" s="11" t="s">
        <v>610</v>
      </c>
      <c r="P40" s="18">
        <v>104.8</v>
      </c>
      <c r="Q40" s="11" t="s">
        <v>99</v>
      </c>
      <c r="R40" s="11" t="s">
        <v>100</v>
      </c>
      <c r="S40" s="11">
        <v>27</v>
      </c>
      <c r="T40" s="18">
        <v>28.3</v>
      </c>
      <c r="U40" s="18">
        <v>0</v>
      </c>
    </row>
    <row r="41" spans="1:21" x14ac:dyDescent="0.2">
      <c r="A41" s="11">
        <v>9079571</v>
      </c>
      <c r="B41" s="11" t="s">
        <v>559</v>
      </c>
      <c r="C41" s="11" t="s">
        <v>468</v>
      </c>
      <c r="D41" s="11" t="s">
        <v>469</v>
      </c>
      <c r="E41" s="11" t="s">
        <v>193</v>
      </c>
      <c r="F41" s="18">
        <v>104.8</v>
      </c>
      <c r="G41" s="18">
        <v>28.3</v>
      </c>
      <c r="H41" s="11" t="s">
        <v>579</v>
      </c>
      <c r="I41" s="11" t="s">
        <v>601</v>
      </c>
      <c r="J41" s="11" t="s">
        <v>403</v>
      </c>
      <c r="K41" s="11" t="s">
        <v>467</v>
      </c>
      <c r="L41" s="11" t="s">
        <v>56</v>
      </c>
      <c r="M41" s="11" t="s">
        <v>58</v>
      </c>
      <c r="N41" s="11">
        <v>17</v>
      </c>
      <c r="O41" s="11" t="s">
        <v>610</v>
      </c>
      <c r="P41" s="18">
        <v>104.8</v>
      </c>
      <c r="Q41" s="11" t="s">
        <v>99</v>
      </c>
      <c r="R41" s="11" t="s">
        <v>100</v>
      </c>
      <c r="S41" s="11">
        <v>27</v>
      </c>
      <c r="T41" s="18">
        <v>28.3</v>
      </c>
      <c r="U41" s="18">
        <v>0</v>
      </c>
    </row>
    <row r="42" spans="1:21" x14ac:dyDescent="0.2">
      <c r="A42" s="11">
        <v>9079571</v>
      </c>
      <c r="B42" s="11" t="s">
        <v>559</v>
      </c>
      <c r="C42" s="11" t="s">
        <v>433</v>
      </c>
      <c r="D42" s="11" t="s">
        <v>434</v>
      </c>
      <c r="E42" s="11" t="s">
        <v>193</v>
      </c>
      <c r="F42" s="18">
        <v>107.59</v>
      </c>
      <c r="G42" s="18">
        <v>29.05</v>
      </c>
      <c r="H42" s="11" t="s">
        <v>579</v>
      </c>
      <c r="I42" s="11" t="s">
        <v>601</v>
      </c>
      <c r="J42" s="11" t="s">
        <v>403</v>
      </c>
      <c r="K42" s="11" t="s">
        <v>429</v>
      </c>
      <c r="L42" s="11" t="s">
        <v>56</v>
      </c>
      <c r="M42" s="11" t="s">
        <v>58</v>
      </c>
      <c r="N42" s="11">
        <v>26</v>
      </c>
      <c r="O42" s="11" t="s">
        <v>610</v>
      </c>
      <c r="P42" s="18">
        <v>107.59</v>
      </c>
      <c r="Q42" s="11" t="s">
        <v>99</v>
      </c>
      <c r="R42" s="11" t="s">
        <v>100</v>
      </c>
      <c r="S42" s="11">
        <v>27</v>
      </c>
      <c r="T42" s="18">
        <v>29.05</v>
      </c>
      <c r="U42" s="18">
        <v>0</v>
      </c>
    </row>
    <row r="43" spans="1:21" x14ac:dyDescent="0.2">
      <c r="A43" s="11">
        <v>8325282</v>
      </c>
      <c r="B43" s="11" t="s">
        <v>544</v>
      </c>
      <c r="C43" s="11" t="s">
        <v>104</v>
      </c>
      <c r="D43" s="11" t="s">
        <v>105</v>
      </c>
      <c r="E43" s="11" t="s">
        <v>52</v>
      </c>
      <c r="F43" s="18">
        <v>126.36</v>
      </c>
      <c r="G43" s="18">
        <v>29.06</v>
      </c>
      <c r="H43" s="11" t="s">
        <v>572</v>
      </c>
      <c r="I43" s="11" t="s">
        <v>606</v>
      </c>
      <c r="J43" s="11" t="s">
        <v>54</v>
      </c>
      <c r="K43" s="11" t="s">
        <v>77</v>
      </c>
      <c r="L43" s="11" t="s">
        <v>56</v>
      </c>
      <c r="M43" s="11" t="s">
        <v>58</v>
      </c>
      <c r="N43" s="11">
        <v>11</v>
      </c>
      <c r="O43" s="11" t="s">
        <v>610</v>
      </c>
      <c r="P43" s="18">
        <v>126.36</v>
      </c>
      <c r="Q43" s="11" t="s">
        <v>61</v>
      </c>
      <c r="R43" s="11" t="s">
        <v>62</v>
      </c>
      <c r="S43" s="11">
        <v>23</v>
      </c>
      <c r="T43" s="18">
        <v>29.06</v>
      </c>
      <c r="U43" s="18">
        <v>0</v>
      </c>
    </row>
    <row r="44" spans="1:21" x14ac:dyDescent="0.2">
      <c r="A44" s="11">
        <v>8325282</v>
      </c>
      <c r="B44" s="11" t="s">
        <v>544</v>
      </c>
      <c r="C44" s="11" t="s">
        <v>106</v>
      </c>
      <c r="D44" s="11" t="s">
        <v>107</v>
      </c>
      <c r="E44" s="11" t="s">
        <v>52</v>
      </c>
      <c r="F44" s="18">
        <v>126.36</v>
      </c>
      <c r="G44" s="18">
        <v>29.06</v>
      </c>
      <c r="H44" s="11" t="s">
        <v>572</v>
      </c>
      <c r="I44" s="11" t="s">
        <v>606</v>
      </c>
      <c r="J44" s="11" t="s">
        <v>54</v>
      </c>
      <c r="K44" s="11" t="s">
        <v>77</v>
      </c>
      <c r="L44" s="11" t="s">
        <v>56</v>
      </c>
      <c r="M44" s="11" t="s">
        <v>58</v>
      </c>
      <c r="N44" s="11">
        <v>11</v>
      </c>
      <c r="O44" s="11" t="s">
        <v>610</v>
      </c>
      <c r="P44" s="18">
        <v>126.36</v>
      </c>
      <c r="Q44" s="11" t="s">
        <v>61</v>
      </c>
      <c r="R44" s="11" t="s">
        <v>62</v>
      </c>
      <c r="S44" s="11">
        <v>23</v>
      </c>
      <c r="T44" s="18">
        <v>29.06</v>
      </c>
      <c r="U44" s="18">
        <v>0</v>
      </c>
    </row>
    <row r="45" spans="1:21" x14ac:dyDescent="0.2">
      <c r="A45" s="16">
        <v>18754354</v>
      </c>
      <c r="B45" s="16" t="s">
        <v>565</v>
      </c>
      <c r="C45" s="16" t="s">
        <v>390</v>
      </c>
      <c r="D45" s="16" t="s">
        <v>391</v>
      </c>
      <c r="E45" s="16" t="s">
        <v>392</v>
      </c>
      <c r="F45" s="17">
        <v>55.89</v>
      </c>
      <c r="G45" s="16">
        <v>29.062800000000003</v>
      </c>
      <c r="H45" s="16" t="s">
        <v>573</v>
      </c>
      <c r="I45" s="16" t="s">
        <v>587</v>
      </c>
      <c r="J45" s="16" t="s">
        <v>393</v>
      </c>
      <c r="K45" s="16" t="s">
        <v>384</v>
      </c>
      <c r="L45" s="16" t="s">
        <v>385</v>
      </c>
      <c r="M45" s="16" t="s">
        <v>58</v>
      </c>
      <c r="N45" s="16">
        <v>1</v>
      </c>
      <c r="O45" s="16" t="s">
        <v>610</v>
      </c>
      <c r="P45" s="17">
        <v>55.89</v>
      </c>
      <c r="Q45" s="16" t="s">
        <v>61</v>
      </c>
      <c r="R45" s="16" t="s">
        <v>167</v>
      </c>
      <c r="S45" s="16">
        <v>52</v>
      </c>
      <c r="T45" s="17">
        <v>29.06</v>
      </c>
      <c r="U45" s="17">
        <v>0</v>
      </c>
    </row>
    <row r="46" spans="1:21" s="14" customFormat="1" x14ac:dyDescent="0.2">
      <c r="A46" s="11">
        <v>8307933</v>
      </c>
      <c r="B46" s="11" t="s">
        <v>542</v>
      </c>
      <c r="C46" s="11" t="s">
        <v>96</v>
      </c>
      <c r="D46" s="11" t="s">
        <v>97</v>
      </c>
      <c r="E46" s="11" t="s">
        <v>52</v>
      </c>
      <c r="F46" s="18">
        <v>127.5</v>
      </c>
      <c r="G46" s="18">
        <v>29.33</v>
      </c>
      <c r="H46" s="11" t="s">
        <v>572</v>
      </c>
      <c r="I46" s="11" t="s">
        <v>606</v>
      </c>
      <c r="J46" s="11" t="s">
        <v>54</v>
      </c>
      <c r="K46" s="11" t="s">
        <v>98</v>
      </c>
      <c r="L46" s="11" t="s">
        <v>56</v>
      </c>
      <c r="M46" s="11" t="s">
        <v>58</v>
      </c>
      <c r="N46" s="11">
        <v>18</v>
      </c>
      <c r="O46" s="11" t="s">
        <v>610</v>
      </c>
      <c r="P46" s="18">
        <v>127.5</v>
      </c>
      <c r="Q46" s="11" t="s">
        <v>99</v>
      </c>
      <c r="R46" s="11" t="s">
        <v>100</v>
      </c>
      <c r="S46" s="11">
        <v>23</v>
      </c>
      <c r="T46" s="18">
        <v>29.33</v>
      </c>
      <c r="U46" s="18">
        <v>0</v>
      </c>
    </row>
    <row r="47" spans="1:21" s="14" customFormat="1" x14ac:dyDescent="0.2">
      <c r="A47" s="11">
        <v>18754354</v>
      </c>
      <c r="B47" s="11" t="s">
        <v>565</v>
      </c>
      <c r="C47" s="11" t="s">
        <v>522</v>
      </c>
      <c r="D47" s="11" t="s">
        <v>523</v>
      </c>
      <c r="E47" s="11" t="s">
        <v>52</v>
      </c>
      <c r="F47" s="18">
        <v>56.49</v>
      </c>
      <c r="G47" s="18">
        <v>29.37</v>
      </c>
      <c r="H47" s="11" t="s">
        <v>573</v>
      </c>
      <c r="I47" s="11" t="s">
        <v>587</v>
      </c>
      <c r="J47" s="11" t="s">
        <v>393</v>
      </c>
      <c r="K47" s="11" t="s">
        <v>77</v>
      </c>
      <c r="L47" s="11" t="s">
        <v>56</v>
      </c>
      <c r="M47" s="11" t="s">
        <v>58</v>
      </c>
      <c r="N47" s="11">
        <v>11</v>
      </c>
      <c r="O47" s="11" t="s">
        <v>610</v>
      </c>
      <c r="P47" s="18">
        <v>56.49</v>
      </c>
      <c r="Q47" s="11" t="s">
        <v>61</v>
      </c>
      <c r="R47" s="11" t="s">
        <v>62</v>
      </c>
      <c r="S47" s="11">
        <v>52</v>
      </c>
      <c r="T47" s="18">
        <v>29.37</v>
      </c>
      <c r="U47" s="18">
        <v>0</v>
      </c>
    </row>
    <row r="48" spans="1:21" s="14" customFormat="1" x14ac:dyDescent="0.2">
      <c r="A48" s="11">
        <v>18828278</v>
      </c>
      <c r="B48" s="11" t="s">
        <v>543</v>
      </c>
      <c r="C48" s="11" t="s">
        <v>86</v>
      </c>
      <c r="D48" s="11" t="s">
        <v>87</v>
      </c>
      <c r="E48" s="11" t="s">
        <v>52</v>
      </c>
      <c r="F48" s="18">
        <v>128.66999999999999</v>
      </c>
      <c r="G48" s="11">
        <v>29.59</v>
      </c>
      <c r="H48" s="11" t="s">
        <v>572</v>
      </c>
      <c r="I48" s="11" t="s">
        <v>606</v>
      </c>
      <c r="J48" s="11" t="s">
        <v>54</v>
      </c>
      <c r="K48" s="11" t="s">
        <v>88</v>
      </c>
      <c r="L48" s="11" t="s">
        <v>56</v>
      </c>
      <c r="M48" s="11" t="s">
        <v>58</v>
      </c>
      <c r="N48" s="11">
        <v>7</v>
      </c>
      <c r="O48" s="11" t="s">
        <v>610</v>
      </c>
      <c r="P48" s="18">
        <v>128.66999999999999</v>
      </c>
      <c r="Q48" s="11" t="s">
        <v>61</v>
      </c>
      <c r="R48" s="11" t="s">
        <v>62</v>
      </c>
      <c r="S48" s="11">
        <v>23</v>
      </c>
      <c r="T48" s="18">
        <v>0</v>
      </c>
      <c r="U48" s="18">
        <v>-29.59</v>
      </c>
    </row>
    <row r="49" spans="1:21" s="14" customFormat="1" x14ac:dyDescent="0.2">
      <c r="A49" s="11">
        <v>18828278</v>
      </c>
      <c r="B49" s="11" t="s">
        <v>543</v>
      </c>
      <c r="C49" s="11" t="s">
        <v>80</v>
      </c>
      <c r="D49" s="11" t="s">
        <v>81</v>
      </c>
      <c r="E49" s="11" t="s">
        <v>52</v>
      </c>
      <c r="F49" s="18">
        <v>128.66999999999999</v>
      </c>
      <c r="G49" s="18">
        <v>29.59</v>
      </c>
      <c r="H49" s="11" t="s">
        <v>572</v>
      </c>
      <c r="I49" s="11" t="s">
        <v>606</v>
      </c>
      <c r="J49" s="11" t="s">
        <v>54</v>
      </c>
      <c r="K49" s="11" t="s">
        <v>77</v>
      </c>
      <c r="L49" s="11" t="s">
        <v>56</v>
      </c>
      <c r="M49" s="11" t="s">
        <v>58</v>
      </c>
      <c r="N49" s="11">
        <v>11</v>
      </c>
      <c r="O49" s="11" t="s">
        <v>610</v>
      </c>
      <c r="P49" s="18">
        <v>128.66999999999999</v>
      </c>
      <c r="Q49" s="11" t="s">
        <v>61</v>
      </c>
      <c r="R49" s="11" t="s">
        <v>62</v>
      </c>
      <c r="S49" s="11">
        <v>23</v>
      </c>
      <c r="T49" s="18">
        <v>29.59</v>
      </c>
      <c r="U49" s="18">
        <v>0</v>
      </c>
    </row>
    <row r="50" spans="1:21" s="19" customFormat="1" x14ac:dyDescent="0.2">
      <c r="A50" s="11">
        <v>19278370</v>
      </c>
      <c r="B50" s="11" t="s">
        <v>546</v>
      </c>
      <c r="C50" s="11" t="s">
        <v>123</v>
      </c>
      <c r="D50" s="11" t="s">
        <v>124</v>
      </c>
      <c r="E50" s="11" t="s">
        <v>112</v>
      </c>
      <c r="F50" s="18">
        <v>137.74</v>
      </c>
      <c r="G50" s="18">
        <v>29.61</v>
      </c>
      <c r="H50" s="11" t="s">
        <v>572</v>
      </c>
      <c r="I50" s="11" t="s">
        <v>604</v>
      </c>
      <c r="J50" s="11" t="s">
        <v>113</v>
      </c>
      <c r="K50" s="11" t="s">
        <v>118</v>
      </c>
      <c r="L50" s="11" t="s">
        <v>56</v>
      </c>
      <c r="M50" s="11" t="s">
        <v>58</v>
      </c>
      <c r="N50" s="11">
        <v>23</v>
      </c>
      <c r="O50" s="11" t="s">
        <v>610</v>
      </c>
      <c r="P50" s="18">
        <v>137.74</v>
      </c>
      <c r="Q50" s="11" t="s">
        <v>99</v>
      </c>
      <c r="R50" s="11" t="s">
        <v>100</v>
      </c>
      <c r="S50" s="11">
        <v>21.5</v>
      </c>
      <c r="T50" s="18">
        <v>29.61</v>
      </c>
      <c r="U50" s="18">
        <v>0</v>
      </c>
    </row>
    <row r="51" spans="1:21" x14ac:dyDescent="0.2">
      <c r="A51" s="14">
        <v>18828278</v>
      </c>
      <c r="B51" s="14" t="s">
        <v>543</v>
      </c>
      <c r="C51" s="14" t="s">
        <v>82</v>
      </c>
      <c r="D51" s="14" t="s">
        <v>83</v>
      </c>
      <c r="E51" s="14" t="s">
        <v>52</v>
      </c>
      <c r="F51" s="15">
        <v>129.38999999999999</v>
      </c>
      <c r="G51" s="14">
        <v>29.76</v>
      </c>
      <c r="H51" s="14" t="s">
        <v>572</v>
      </c>
      <c r="I51" s="14" t="s">
        <v>606</v>
      </c>
      <c r="J51" s="14" t="s">
        <v>54</v>
      </c>
      <c r="K51" s="14" t="s">
        <v>85</v>
      </c>
      <c r="L51" s="14" t="s">
        <v>56</v>
      </c>
      <c r="M51" s="14" t="s">
        <v>58</v>
      </c>
      <c r="N51" s="14">
        <v>8</v>
      </c>
      <c r="O51" s="14" t="s">
        <v>611</v>
      </c>
      <c r="P51" s="15">
        <v>129.38999999999999</v>
      </c>
      <c r="Q51" s="14" t="s">
        <v>61</v>
      </c>
      <c r="R51" s="14" t="s">
        <v>62</v>
      </c>
      <c r="S51" s="14">
        <v>23</v>
      </c>
      <c r="T51" s="15">
        <v>0</v>
      </c>
      <c r="U51" s="15">
        <v>-29.76</v>
      </c>
    </row>
    <row r="52" spans="1:21" x14ac:dyDescent="0.2">
      <c r="A52" s="11">
        <v>9079571</v>
      </c>
      <c r="B52" s="11" t="s">
        <v>559</v>
      </c>
      <c r="C52" s="11" t="s">
        <v>463</v>
      </c>
      <c r="D52" s="11" t="s">
        <v>464</v>
      </c>
      <c r="E52" s="11" t="s">
        <v>193</v>
      </c>
      <c r="F52" s="18">
        <v>132.11000000000001</v>
      </c>
      <c r="G52" s="18">
        <v>30.39</v>
      </c>
      <c r="H52" s="11" t="s">
        <v>572</v>
      </c>
      <c r="I52" s="11" t="s">
        <v>606</v>
      </c>
      <c r="J52" s="11" t="s">
        <v>369</v>
      </c>
      <c r="K52" s="11" t="s">
        <v>98</v>
      </c>
      <c r="L52" s="11" t="s">
        <v>56</v>
      </c>
      <c r="M52" s="11" t="s">
        <v>58</v>
      </c>
      <c r="N52" s="11">
        <v>18</v>
      </c>
      <c r="O52" s="11" t="s">
        <v>610</v>
      </c>
      <c r="P52" s="18">
        <v>132.11000000000001</v>
      </c>
      <c r="Q52" s="11" t="s">
        <v>99</v>
      </c>
      <c r="R52" s="11" t="s">
        <v>100</v>
      </c>
      <c r="S52" s="11">
        <v>23</v>
      </c>
      <c r="T52" s="18">
        <v>30.39</v>
      </c>
      <c r="U52" s="18">
        <v>0</v>
      </c>
    </row>
    <row r="53" spans="1:21" x14ac:dyDescent="0.2">
      <c r="A53" s="11">
        <v>9079571</v>
      </c>
      <c r="B53" s="11" t="s">
        <v>559</v>
      </c>
      <c r="C53" s="11" t="s">
        <v>459</v>
      </c>
      <c r="D53" s="11" t="s">
        <v>460</v>
      </c>
      <c r="E53" s="11" t="s">
        <v>193</v>
      </c>
      <c r="F53" s="18">
        <v>132.11000000000001</v>
      </c>
      <c r="G53" s="18">
        <v>30.39</v>
      </c>
      <c r="H53" s="11" t="s">
        <v>572</v>
      </c>
      <c r="I53" s="11" t="s">
        <v>595</v>
      </c>
      <c r="J53" s="11" t="s">
        <v>369</v>
      </c>
      <c r="K53" s="11" t="s">
        <v>458</v>
      </c>
      <c r="L53" s="11" t="s">
        <v>56</v>
      </c>
      <c r="M53" s="11" t="s">
        <v>58</v>
      </c>
      <c r="N53" s="11">
        <v>19</v>
      </c>
      <c r="O53" s="11" t="s">
        <v>610</v>
      </c>
      <c r="P53" s="18">
        <v>132.11000000000001</v>
      </c>
      <c r="Q53" s="11" t="s">
        <v>99</v>
      </c>
      <c r="R53" s="11" t="s">
        <v>100</v>
      </c>
      <c r="S53" s="11">
        <v>23</v>
      </c>
      <c r="T53" s="18">
        <v>30.39</v>
      </c>
      <c r="U53" s="18">
        <v>0</v>
      </c>
    </row>
    <row r="54" spans="1:21" x14ac:dyDescent="0.2">
      <c r="A54" s="11">
        <v>9079571</v>
      </c>
      <c r="B54" s="11" t="s">
        <v>559</v>
      </c>
      <c r="C54" s="11" t="s">
        <v>421</v>
      </c>
      <c r="D54" s="11" t="s">
        <v>422</v>
      </c>
      <c r="E54" s="11" t="s">
        <v>193</v>
      </c>
      <c r="F54" s="18">
        <v>115.35</v>
      </c>
      <c r="G54" s="18">
        <v>31.14</v>
      </c>
      <c r="H54" s="11" t="s">
        <v>579</v>
      </c>
      <c r="I54" s="11" t="s">
        <v>601</v>
      </c>
      <c r="J54" s="11" t="s">
        <v>403</v>
      </c>
      <c r="K54" s="11" t="s">
        <v>420</v>
      </c>
      <c r="L54" s="11" t="s">
        <v>56</v>
      </c>
      <c r="M54" s="11" t="s">
        <v>58</v>
      </c>
      <c r="N54" s="11">
        <v>30</v>
      </c>
      <c r="O54" s="11" t="s">
        <v>610</v>
      </c>
      <c r="P54" s="18">
        <v>115.35</v>
      </c>
      <c r="Q54" s="11" t="s">
        <v>99</v>
      </c>
      <c r="R54" s="11" t="s">
        <v>100</v>
      </c>
      <c r="S54" s="11">
        <v>27</v>
      </c>
      <c r="T54" s="18">
        <v>31.14</v>
      </c>
      <c r="U54" s="18">
        <v>0</v>
      </c>
    </row>
    <row r="55" spans="1:21" x14ac:dyDescent="0.2">
      <c r="A55" s="11">
        <v>9079571</v>
      </c>
      <c r="B55" s="11" t="s">
        <v>559</v>
      </c>
      <c r="C55" s="11" t="s">
        <v>442</v>
      </c>
      <c r="D55" s="11" t="s">
        <v>443</v>
      </c>
      <c r="E55" s="11" t="s">
        <v>155</v>
      </c>
      <c r="F55" s="18">
        <v>135.43</v>
      </c>
      <c r="G55" s="18">
        <v>31.15</v>
      </c>
      <c r="H55" s="11" t="s">
        <v>572</v>
      </c>
      <c r="I55" s="11" t="s">
        <v>595</v>
      </c>
      <c r="J55" s="11" t="s">
        <v>369</v>
      </c>
      <c r="K55" s="11" t="s">
        <v>118</v>
      </c>
      <c r="L55" s="11" t="s">
        <v>56</v>
      </c>
      <c r="M55" s="11" t="s">
        <v>58</v>
      </c>
      <c r="N55" s="11">
        <v>23</v>
      </c>
      <c r="O55" s="11" t="s">
        <v>610</v>
      </c>
      <c r="P55" s="18">
        <v>135.43</v>
      </c>
      <c r="Q55" s="11" t="s">
        <v>99</v>
      </c>
      <c r="R55" s="11" t="s">
        <v>100</v>
      </c>
      <c r="S55" s="11">
        <v>23</v>
      </c>
      <c r="T55" s="18">
        <v>31.15</v>
      </c>
      <c r="U55" s="18">
        <v>0</v>
      </c>
    </row>
    <row r="56" spans="1:21" x14ac:dyDescent="0.2">
      <c r="A56" s="11">
        <v>18828278</v>
      </c>
      <c r="B56" s="11" t="s">
        <v>543</v>
      </c>
      <c r="C56" s="11" t="s">
        <v>75</v>
      </c>
      <c r="D56" s="11" t="s">
        <v>76</v>
      </c>
      <c r="E56" s="11" t="s">
        <v>52</v>
      </c>
      <c r="F56" s="18">
        <v>136.01</v>
      </c>
      <c r="G56" s="18">
        <v>31.28</v>
      </c>
      <c r="H56" s="11" t="s">
        <v>572</v>
      </c>
      <c r="I56" s="11" t="s">
        <v>606</v>
      </c>
      <c r="J56" s="11" t="s">
        <v>54</v>
      </c>
      <c r="K56" s="11" t="s">
        <v>77</v>
      </c>
      <c r="L56" s="11" t="s">
        <v>56</v>
      </c>
      <c r="M56" s="11" t="s">
        <v>58</v>
      </c>
      <c r="N56" s="11">
        <v>11</v>
      </c>
      <c r="O56" s="11" t="s">
        <v>610</v>
      </c>
      <c r="P56" s="18">
        <v>136.01</v>
      </c>
      <c r="Q56" s="11" t="s">
        <v>61</v>
      </c>
      <c r="R56" s="11" t="s">
        <v>62</v>
      </c>
      <c r="S56" s="11">
        <v>23</v>
      </c>
      <c r="T56" s="18">
        <v>31.28</v>
      </c>
      <c r="U56" s="18">
        <v>0</v>
      </c>
    </row>
    <row r="57" spans="1:21" x14ac:dyDescent="0.2">
      <c r="A57" s="11">
        <v>9079571</v>
      </c>
      <c r="B57" s="11" t="s">
        <v>559</v>
      </c>
      <c r="C57" s="11" t="s">
        <v>401</v>
      </c>
      <c r="D57" s="11" t="s">
        <v>402</v>
      </c>
      <c r="E57" s="11" t="s">
        <v>193</v>
      </c>
      <c r="F57" s="18">
        <v>119.09</v>
      </c>
      <c r="G57" s="18">
        <v>32.15</v>
      </c>
      <c r="H57" s="11" t="s">
        <v>579</v>
      </c>
      <c r="I57" s="11" t="s">
        <v>601</v>
      </c>
      <c r="J57" s="11" t="s">
        <v>403</v>
      </c>
      <c r="K57" s="11" t="s">
        <v>134</v>
      </c>
      <c r="L57" s="11" t="s">
        <v>56</v>
      </c>
      <c r="M57" s="11" t="s">
        <v>58</v>
      </c>
      <c r="N57" s="11">
        <v>16</v>
      </c>
      <c r="O57" s="11" t="s">
        <v>610</v>
      </c>
      <c r="P57" s="18">
        <v>119.09</v>
      </c>
      <c r="Q57" s="11" t="s">
        <v>99</v>
      </c>
      <c r="R57" s="11" t="s">
        <v>100</v>
      </c>
      <c r="S57" s="11">
        <v>27</v>
      </c>
      <c r="T57" s="18">
        <v>32.15</v>
      </c>
      <c r="U57" s="18">
        <v>0</v>
      </c>
    </row>
    <row r="58" spans="1:21" x14ac:dyDescent="0.2">
      <c r="A58" s="11">
        <v>9079571</v>
      </c>
      <c r="B58" s="11" t="s">
        <v>559</v>
      </c>
      <c r="C58" s="11" t="s">
        <v>423</v>
      </c>
      <c r="D58" s="11" t="s">
        <v>424</v>
      </c>
      <c r="E58" s="11" t="s">
        <v>193</v>
      </c>
      <c r="F58" s="18">
        <v>119.27</v>
      </c>
      <c r="G58" s="18">
        <v>32.200000000000003</v>
      </c>
      <c r="H58" s="11" t="s">
        <v>579</v>
      </c>
      <c r="I58" s="11" t="s">
        <v>601</v>
      </c>
      <c r="J58" s="11" t="s">
        <v>403</v>
      </c>
      <c r="K58" s="11" t="s">
        <v>114</v>
      </c>
      <c r="L58" s="11" t="s">
        <v>56</v>
      </c>
      <c r="M58" s="11" t="s">
        <v>58</v>
      </c>
      <c r="N58" s="11">
        <v>28</v>
      </c>
      <c r="O58" s="11" t="s">
        <v>610</v>
      </c>
      <c r="P58" s="18">
        <v>119.27</v>
      </c>
      <c r="Q58" s="11" t="s">
        <v>99</v>
      </c>
      <c r="R58" s="11" t="s">
        <v>100</v>
      </c>
      <c r="S58" s="11">
        <v>27</v>
      </c>
      <c r="T58" s="18">
        <v>32.200000000000003</v>
      </c>
      <c r="U58" s="18">
        <v>0</v>
      </c>
    </row>
    <row r="59" spans="1:21" x14ac:dyDescent="0.2">
      <c r="A59" s="11">
        <v>9079571</v>
      </c>
      <c r="B59" s="11" t="s">
        <v>559</v>
      </c>
      <c r="C59" s="11" t="s">
        <v>409</v>
      </c>
      <c r="D59" s="11" t="s">
        <v>410</v>
      </c>
      <c r="E59" s="11" t="s">
        <v>193</v>
      </c>
      <c r="F59" s="18">
        <v>120.5</v>
      </c>
      <c r="G59" s="18">
        <v>32.54</v>
      </c>
      <c r="H59" s="11" t="s">
        <v>579</v>
      </c>
      <c r="I59" s="11" t="s">
        <v>601</v>
      </c>
      <c r="J59" s="11" t="s">
        <v>403</v>
      </c>
      <c r="K59" s="11" t="s">
        <v>411</v>
      </c>
      <c r="L59" s="11" t="s">
        <v>56</v>
      </c>
      <c r="M59" s="11" t="s">
        <v>58</v>
      </c>
      <c r="N59" s="11">
        <v>14</v>
      </c>
      <c r="O59" s="11" t="s">
        <v>610</v>
      </c>
      <c r="P59" s="18">
        <v>120.5</v>
      </c>
      <c r="Q59" s="11" t="s">
        <v>99</v>
      </c>
      <c r="R59" s="11" t="s">
        <v>100</v>
      </c>
      <c r="S59" s="11">
        <v>27</v>
      </c>
      <c r="T59" s="18">
        <v>32.54</v>
      </c>
      <c r="U59" s="18">
        <v>0</v>
      </c>
    </row>
    <row r="60" spans="1:21" x14ac:dyDescent="0.2">
      <c r="A60" s="11">
        <v>9079571</v>
      </c>
      <c r="B60" s="11" t="s">
        <v>559</v>
      </c>
      <c r="C60" s="11" t="s">
        <v>465</v>
      </c>
      <c r="D60" s="11" t="s">
        <v>466</v>
      </c>
      <c r="E60" s="11" t="s">
        <v>193</v>
      </c>
      <c r="F60" s="18">
        <v>120.5</v>
      </c>
      <c r="G60" s="18">
        <v>32.54</v>
      </c>
      <c r="H60" s="11" t="s">
        <v>579</v>
      </c>
      <c r="I60" s="11" t="s">
        <v>601</v>
      </c>
      <c r="J60" s="11" t="s">
        <v>403</v>
      </c>
      <c r="K60" s="11" t="s">
        <v>467</v>
      </c>
      <c r="L60" s="11" t="s">
        <v>56</v>
      </c>
      <c r="M60" s="11" t="s">
        <v>58</v>
      </c>
      <c r="N60" s="11">
        <v>17</v>
      </c>
      <c r="O60" s="11" t="s">
        <v>610</v>
      </c>
      <c r="P60" s="18">
        <v>120.5</v>
      </c>
      <c r="Q60" s="11" t="s">
        <v>99</v>
      </c>
      <c r="R60" s="11" t="s">
        <v>100</v>
      </c>
      <c r="S60" s="11">
        <v>27</v>
      </c>
      <c r="T60" s="18">
        <v>32.54</v>
      </c>
      <c r="U60" s="18">
        <v>0</v>
      </c>
    </row>
    <row r="61" spans="1:21" x14ac:dyDescent="0.2">
      <c r="A61" s="11">
        <v>9079571</v>
      </c>
      <c r="B61" s="11" t="s">
        <v>559</v>
      </c>
      <c r="C61" s="11" t="s">
        <v>470</v>
      </c>
      <c r="D61" s="11" t="s">
        <v>471</v>
      </c>
      <c r="E61" s="11" t="s">
        <v>193</v>
      </c>
      <c r="F61" s="18">
        <v>120.5</v>
      </c>
      <c r="G61" s="18">
        <v>32.54</v>
      </c>
      <c r="H61" s="11" t="s">
        <v>579</v>
      </c>
      <c r="I61" s="11" t="s">
        <v>601</v>
      </c>
      <c r="J61" s="11" t="s">
        <v>403</v>
      </c>
      <c r="K61" s="11" t="s">
        <v>467</v>
      </c>
      <c r="L61" s="11" t="s">
        <v>56</v>
      </c>
      <c r="M61" s="11" t="s">
        <v>58</v>
      </c>
      <c r="N61" s="11">
        <v>17</v>
      </c>
      <c r="O61" s="11" t="s">
        <v>610</v>
      </c>
      <c r="P61" s="18">
        <v>120.5</v>
      </c>
      <c r="Q61" s="11" t="s">
        <v>99</v>
      </c>
      <c r="R61" s="11" t="s">
        <v>100</v>
      </c>
      <c r="S61" s="11">
        <v>27</v>
      </c>
      <c r="T61" s="18">
        <v>32.54</v>
      </c>
      <c r="U61" s="18">
        <v>0</v>
      </c>
    </row>
    <row r="62" spans="1:21" x14ac:dyDescent="0.2">
      <c r="A62" s="11">
        <v>9079571</v>
      </c>
      <c r="B62" s="11" t="s">
        <v>559</v>
      </c>
      <c r="C62" s="11" t="s">
        <v>438</v>
      </c>
      <c r="D62" s="11" t="s">
        <v>439</v>
      </c>
      <c r="E62" s="11" t="s">
        <v>193</v>
      </c>
      <c r="F62" s="18">
        <v>141.63</v>
      </c>
      <c r="G62" s="18">
        <v>32.57</v>
      </c>
      <c r="H62" s="11" t="s">
        <v>572</v>
      </c>
      <c r="I62" s="11" t="s">
        <v>595</v>
      </c>
      <c r="J62" s="11" t="s">
        <v>369</v>
      </c>
      <c r="K62" s="11" t="s">
        <v>437</v>
      </c>
      <c r="L62" s="11" t="s">
        <v>56</v>
      </c>
      <c r="M62" s="11" t="s">
        <v>58</v>
      </c>
      <c r="N62" s="11">
        <v>24</v>
      </c>
      <c r="O62" s="11" t="s">
        <v>610</v>
      </c>
      <c r="P62" s="18">
        <v>141.63</v>
      </c>
      <c r="Q62" s="11" t="s">
        <v>99</v>
      </c>
      <c r="R62" s="11" t="s">
        <v>100</v>
      </c>
      <c r="S62" s="11">
        <v>23</v>
      </c>
      <c r="T62" s="18">
        <v>32.57</v>
      </c>
      <c r="U62" s="18">
        <v>0</v>
      </c>
    </row>
    <row r="63" spans="1:21" x14ac:dyDescent="0.2">
      <c r="A63" s="11">
        <v>9079571</v>
      </c>
      <c r="B63" s="11" t="s">
        <v>559</v>
      </c>
      <c r="C63" s="11" t="s">
        <v>425</v>
      </c>
      <c r="D63" s="11" t="s">
        <v>426</v>
      </c>
      <c r="E63" s="11" t="s">
        <v>193</v>
      </c>
      <c r="F63" s="18">
        <v>141.63</v>
      </c>
      <c r="G63" s="18">
        <v>32.57</v>
      </c>
      <c r="H63" s="11" t="s">
        <v>572</v>
      </c>
      <c r="I63" s="11" t="s">
        <v>595</v>
      </c>
      <c r="J63" s="11" t="s">
        <v>369</v>
      </c>
      <c r="K63" s="11" t="s">
        <v>114</v>
      </c>
      <c r="L63" s="11" t="s">
        <v>56</v>
      </c>
      <c r="M63" s="11" t="s">
        <v>58</v>
      </c>
      <c r="N63" s="11">
        <v>28</v>
      </c>
      <c r="O63" s="11" t="s">
        <v>610</v>
      </c>
      <c r="P63" s="18">
        <v>141.63</v>
      </c>
      <c r="Q63" s="11" t="s">
        <v>99</v>
      </c>
      <c r="R63" s="11" t="s">
        <v>100</v>
      </c>
      <c r="S63" s="11">
        <v>23</v>
      </c>
      <c r="T63" s="18">
        <v>32.57</v>
      </c>
      <c r="U63" s="18">
        <v>0</v>
      </c>
    </row>
    <row r="64" spans="1:21" x14ac:dyDescent="0.2">
      <c r="A64" s="11">
        <v>9079571</v>
      </c>
      <c r="B64" s="11" t="s">
        <v>559</v>
      </c>
      <c r="C64" s="11" t="s">
        <v>367</v>
      </c>
      <c r="D64" s="11" t="s">
        <v>368</v>
      </c>
      <c r="E64" s="11" t="s">
        <v>193</v>
      </c>
      <c r="F64" s="18">
        <v>143.33000000000001</v>
      </c>
      <c r="G64" s="18">
        <v>32.97</v>
      </c>
      <c r="H64" s="11" t="s">
        <v>572</v>
      </c>
      <c r="I64" s="11" t="s">
        <v>595</v>
      </c>
      <c r="J64" s="11" t="s">
        <v>369</v>
      </c>
      <c r="K64" s="11" t="s">
        <v>370</v>
      </c>
      <c r="L64" s="11" t="s">
        <v>56</v>
      </c>
      <c r="M64" s="11" t="s">
        <v>58</v>
      </c>
      <c r="N64" s="11">
        <v>35</v>
      </c>
      <c r="O64" s="11" t="s">
        <v>610</v>
      </c>
      <c r="P64" s="18">
        <v>143.33000000000001</v>
      </c>
      <c r="Q64" s="11" t="s">
        <v>99</v>
      </c>
      <c r="R64" s="11" t="s">
        <v>100</v>
      </c>
      <c r="S64" s="11">
        <v>23</v>
      </c>
      <c r="T64" s="18">
        <v>32.97</v>
      </c>
      <c r="U64" s="18">
        <v>0</v>
      </c>
    </row>
    <row r="65" spans="1:21" x14ac:dyDescent="0.2">
      <c r="A65" s="11">
        <v>9079571</v>
      </c>
      <c r="B65" s="11" t="s">
        <v>559</v>
      </c>
      <c r="C65" s="11" t="s">
        <v>427</v>
      </c>
      <c r="D65" s="11" t="s">
        <v>428</v>
      </c>
      <c r="E65" s="11" t="s">
        <v>193</v>
      </c>
      <c r="F65" s="18">
        <v>122.27</v>
      </c>
      <c r="G65" s="18">
        <v>33.01</v>
      </c>
      <c r="H65" s="11" t="s">
        <v>579</v>
      </c>
      <c r="I65" s="11" t="s">
        <v>601</v>
      </c>
      <c r="J65" s="11" t="s">
        <v>403</v>
      </c>
      <c r="K65" s="11" t="s">
        <v>429</v>
      </c>
      <c r="L65" s="11" t="s">
        <v>56</v>
      </c>
      <c r="M65" s="11" t="s">
        <v>58</v>
      </c>
      <c r="N65" s="11">
        <v>26</v>
      </c>
      <c r="O65" s="11" t="s">
        <v>610</v>
      </c>
      <c r="P65" s="18">
        <v>122.27</v>
      </c>
      <c r="Q65" s="11" t="s">
        <v>99</v>
      </c>
      <c r="R65" s="11" t="s">
        <v>100</v>
      </c>
      <c r="S65" s="11">
        <v>27</v>
      </c>
      <c r="T65" s="18">
        <v>33.01</v>
      </c>
      <c r="U65" s="18">
        <v>0</v>
      </c>
    </row>
    <row r="66" spans="1:21" x14ac:dyDescent="0.2">
      <c r="A66" s="11">
        <v>9079571</v>
      </c>
      <c r="B66" s="11" t="s">
        <v>559</v>
      </c>
      <c r="C66" s="11" t="s">
        <v>430</v>
      </c>
      <c r="D66" s="11" t="s">
        <v>431</v>
      </c>
      <c r="E66" s="11" t="s">
        <v>193</v>
      </c>
      <c r="F66" s="18">
        <v>122.27</v>
      </c>
      <c r="G66" s="18">
        <v>33.01</v>
      </c>
      <c r="H66" s="11" t="s">
        <v>579</v>
      </c>
      <c r="I66" s="11" t="s">
        <v>601</v>
      </c>
      <c r="J66" s="11" t="s">
        <v>403</v>
      </c>
      <c r="K66" s="11" t="s">
        <v>432</v>
      </c>
      <c r="L66" s="11" t="s">
        <v>56</v>
      </c>
      <c r="M66" s="11" t="s">
        <v>58</v>
      </c>
      <c r="N66" s="11">
        <v>27</v>
      </c>
      <c r="O66" s="11" t="s">
        <v>610</v>
      </c>
      <c r="P66" s="18">
        <v>122.27</v>
      </c>
      <c r="Q66" s="11" t="s">
        <v>99</v>
      </c>
      <c r="R66" s="11" t="s">
        <v>100</v>
      </c>
      <c r="S66" s="11">
        <v>27</v>
      </c>
      <c r="T66" s="18">
        <v>33.01</v>
      </c>
      <c r="U66" s="18">
        <v>0</v>
      </c>
    </row>
    <row r="67" spans="1:21" x14ac:dyDescent="0.2">
      <c r="A67" s="11">
        <v>9079571</v>
      </c>
      <c r="B67" s="11" t="s">
        <v>559</v>
      </c>
      <c r="C67" s="11" t="s">
        <v>414</v>
      </c>
      <c r="D67" s="11" t="s">
        <v>415</v>
      </c>
      <c r="E67" s="11" t="s">
        <v>193</v>
      </c>
      <c r="F67" s="18">
        <v>147.96</v>
      </c>
      <c r="G67" s="18">
        <v>34.03</v>
      </c>
      <c r="H67" s="11" t="s">
        <v>572</v>
      </c>
      <c r="I67" s="11" t="s">
        <v>595</v>
      </c>
      <c r="J67" s="11" t="s">
        <v>369</v>
      </c>
      <c r="K67" s="11" t="s">
        <v>411</v>
      </c>
      <c r="L67" s="11" t="s">
        <v>56</v>
      </c>
      <c r="M67" s="11" t="s">
        <v>58</v>
      </c>
      <c r="N67" s="11">
        <v>14</v>
      </c>
      <c r="O67" s="11" t="s">
        <v>610</v>
      </c>
      <c r="P67" s="18">
        <v>147.96</v>
      </c>
      <c r="Q67" s="11" t="s">
        <v>99</v>
      </c>
      <c r="R67" s="11" t="s">
        <v>100</v>
      </c>
      <c r="S67" s="11">
        <v>23</v>
      </c>
      <c r="T67" s="18">
        <v>34.03</v>
      </c>
      <c r="U67" s="18">
        <v>0</v>
      </c>
    </row>
    <row r="68" spans="1:21" x14ac:dyDescent="0.2">
      <c r="A68" s="11">
        <v>9079571</v>
      </c>
      <c r="B68" s="11" t="s">
        <v>559</v>
      </c>
      <c r="C68" s="11" t="s">
        <v>416</v>
      </c>
      <c r="D68" s="11" t="s">
        <v>417</v>
      </c>
      <c r="E68" s="11" t="s">
        <v>193</v>
      </c>
      <c r="F68" s="18">
        <v>147.96</v>
      </c>
      <c r="G68" s="18">
        <v>34.03</v>
      </c>
      <c r="H68" s="11" t="s">
        <v>572</v>
      </c>
      <c r="I68" s="11" t="s">
        <v>595</v>
      </c>
      <c r="J68" s="11" t="s">
        <v>369</v>
      </c>
      <c r="K68" s="11" t="s">
        <v>411</v>
      </c>
      <c r="L68" s="11" t="s">
        <v>56</v>
      </c>
      <c r="M68" s="11" t="s">
        <v>58</v>
      </c>
      <c r="N68" s="11">
        <v>14</v>
      </c>
      <c r="O68" s="11" t="s">
        <v>610</v>
      </c>
      <c r="P68" s="18">
        <v>147.96</v>
      </c>
      <c r="Q68" s="11" t="s">
        <v>99</v>
      </c>
      <c r="R68" s="11" t="s">
        <v>100</v>
      </c>
      <c r="S68" s="11">
        <v>23</v>
      </c>
      <c r="T68" s="18">
        <v>34.03</v>
      </c>
      <c r="U68" s="18">
        <v>0</v>
      </c>
    </row>
    <row r="69" spans="1:21" x14ac:dyDescent="0.2">
      <c r="A69" s="11">
        <v>9079571</v>
      </c>
      <c r="B69" s="11" t="s">
        <v>559</v>
      </c>
      <c r="C69" s="11" t="s">
        <v>472</v>
      </c>
      <c r="D69" s="11" t="s">
        <v>473</v>
      </c>
      <c r="E69" s="11" t="s">
        <v>193</v>
      </c>
      <c r="F69" s="18">
        <v>147.96</v>
      </c>
      <c r="G69" s="18">
        <v>34.03</v>
      </c>
      <c r="H69" s="11" t="s">
        <v>572</v>
      </c>
      <c r="I69" s="11" t="s">
        <v>595</v>
      </c>
      <c r="J69" s="11" t="s">
        <v>369</v>
      </c>
      <c r="K69" s="11" t="s">
        <v>467</v>
      </c>
      <c r="L69" s="11" t="s">
        <v>56</v>
      </c>
      <c r="M69" s="11" t="s">
        <v>58</v>
      </c>
      <c r="N69" s="11">
        <v>17</v>
      </c>
      <c r="O69" s="11" t="s">
        <v>610</v>
      </c>
      <c r="P69" s="18">
        <v>147.96</v>
      </c>
      <c r="Q69" s="11" t="s">
        <v>99</v>
      </c>
      <c r="R69" s="11" t="s">
        <v>100</v>
      </c>
      <c r="S69" s="11">
        <v>23</v>
      </c>
      <c r="T69" s="18">
        <v>34.03</v>
      </c>
      <c r="U69" s="18">
        <v>0</v>
      </c>
    </row>
    <row r="70" spans="1:21" x14ac:dyDescent="0.2">
      <c r="A70" s="11">
        <v>8307933</v>
      </c>
      <c r="B70" s="11" t="s">
        <v>542</v>
      </c>
      <c r="C70" s="11" t="s">
        <v>89</v>
      </c>
      <c r="D70" s="11" t="s">
        <v>90</v>
      </c>
      <c r="E70" s="11" t="s">
        <v>52</v>
      </c>
      <c r="F70" s="18">
        <v>151.78</v>
      </c>
      <c r="G70" s="18">
        <v>34.909999999999997</v>
      </c>
      <c r="H70" s="11" t="s">
        <v>572</v>
      </c>
      <c r="I70" s="11" t="s">
        <v>606</v>
      </c>
      <c r="J70" s="11" t="s">
        <v>54</v>
      </c>
      <c r="K70" s="11" t="s">
        <v>91</v>
      </c>
      <c r="L70" s="11" t="s">
        <v>56</v>
      </c>
      <c r="M70" s="11" t="s">
        <v>58</v>
      </c>
      <c r="N70" s="11">
        <v>10</v>
      </c>
      <c r="O70" s="11" t="s">
        <v>610</v>
      </c>
      <c r="P70" s="18">
        <v>151.78</v>
      </c>
      <c r="Q70" s="11" t="s">
        <v>61</v>
      </c>
      <c r="R70" s="11" t="s">
        <v>62</v>
      </c>
      <c r="S70" s="11">
        <v>23</v>
      </c>
      <c r="T70" s="18">
        <v>34.909999999999997</v>
      </c>
      <c r="U70" s="18">
        <v>0</v>
      </c>
    </row>
    <row r="71" spans="1:21" x14ac:dyDescent="0.2">
      <c r="A71" s="11">
        <v>9079571</v>
      </c>
      <c r="B71" s="11" t="s">
        <v>559</v>
      </c>
      <c r="C71" s="11" t="s">
        <v>449</v>
      </c>
      <c r="D71" s="11" t="s">
        <v>450</v>
      </c>
      <c r="E71" s="11" t="s">
        <v>193</v>
      </c>
      <c r="F71" s="18">
        <v>151.85</v>
      </c>
      <c r="G71" s="18">
        <v>34.93</v>
      </c>
      <c r="H71" s="11" t="s">
        <v>572</v>
      </c>
      <c r="I71" s="11" t="s">
        <v>595</v>
      </c>
      <c r="J71" s="11" t="s">
        <v>451</v>
      </c>
      <c r="K71" s="11" t="s">
        <v>448</v>
      </c>
      <c r="L71" s="11" t="s">
        <v>56</v>
      </c>
      <c r="M71" s="11" t="s">
        <v>58</v>
      </c>
      <c r="N71" s="11">
        <v>21</v>
      </c>
      <c r="O71" s="11" t="s">
        <v>610</v>
      </c>
      <c r="P71" s="18">
        <v>151.85</v>
      </c>
      <c r="Q71" s="11" t="s">
        <v>99</v>
      </c>
      <c r="R71" s="11" t="s">
        <v>100</v>
      </c>
      <c r="S71" s="11">
        <v>23</v>
      </c>
      <c r="T71" s="18">
        <v>34.93</v>
      </c>
      <c r="U71" s="18">
        <v>0</v>
      </c>
    </row>
    <row r="72" spans="1:21" x14ac:dyDescent="0.2">
      <c r="A72" s="11">
        <v>9079571</v>
      </c>
      <c r="B72" s="11" t="s">
        <v>559</v>
      </c>
      <c r="C72" s="11" t="s">
        <v>456</v>
      </c>
      <c r="D72" s="11" t="s">
        <v>457</v>
      </c>
      <c r="E72" s="11" t="s">
        <v>193</v>
      </c>
      <c r="F72" s="18">
        <v>151.93</v>
      </c>
      <c r="G72" s="18">
        <v>34.94</v>
      </c>
      <c r="H72" s="11" t="s">
        <v>572</v>
      </c>
      <c r="I72" s="11" t="s">
        <v>595</v>
      </c>
      <c r="J72" s="11" t="s">
        <v>369</v>
      </c>
      <c r="K72" s="11" t="s">
        <v>458</v>
      </c>
      <c r="L72" s="11" t="s">
        <v>56</v>
      </c>
      <c r="M72" s="11" t="s">
        <v>58</v>
      </c>
      <c r="N72" s="11">
        <v>19</v>
      </c>
      <c r="O72" s="11" t="s">
        <v>610</v>
      </c>
      <c r="P72" s="18">
        <v>151.93</v>
      </c>
      <c r="Q72" s="11" t="s">
        <v>99</v>
      </c>
      <c r="R72" s="11" t="s">
        <v>100</v>
      </c>
      <c r="S72" s="11">
        <v>23</v>
      </c>
      <c r="T72" s="18">
        <v>34.94</v>
      </c>
      <c r="U72" s="18">
        <v>0</v>
      </c>
    </row>
    <row r="73" spans="1:21" x14ac:dyDescent="0.2">
      <c r="A73" s="11">
        <v>9079571</v>
      </c>
      <c r="B73" s="11" t="s">
        <v>559</v>
      </c>
      <c r="C73" s="11" t="s">
        <v>452</v>
      </c>
      <c r="D73" s="11" t="s">
        <v>453</v>
      </c>
      <c r="E73" s="11" t="s">
        <v>193</v>
      </c>
      <c r="F73" s="18">
        <v>151.93</v>
      </c>
      <c r="G73" s="18">
        <v>34.94</v>
      </c>
      <c r="H73" s="11" t="s">
        <v>572</v>
      </c>
      <c r="I73" s="11" t="s">
        <v>595</v>
      </c>
      <c r="J73" s="11" t="s">
        <v>369</v>
      </c>
      <c r="K73" s="11" t="s">
        <v>448</v>
      </c>
      <c r="L73" s="11" t="s">
        <v>56</v>
      </c>
      <c r="M73" s="11" t="s">
        <v>58</v>
      </c>
      <c r="N73" s="11">
        <v>21</v>
      </c>
      <c r="O73" s="11" t="s">
        <v>610</v>
      </c>
      <c r="P73" s="18">
        <v>151.93</v>
      </c>
      <c r="Q73" s="11" t="s">
        <v>99</v>
      </c>
      <c r="R73" s="11" t="s">
        <v>100</v>
      </c>
      <c r="S73" s="11">
        <v>23</v>
      </c>
      <c r="T73" s="18">
        <v>34.94</v>
      </c>
      <c r="U73" s="18">
        <v>0</v>
      </c>
    </row>
    <row r="74" spans="1:21" x14ac:dyDescent="0.2">
      <c r="A74" s="11">
        <v>9079571</v>
      </c>
      <c r="B74" s="11" t="s">
        <v>559</v>
      </c>
      <c r="C74" s="11" t="s">
        <v>454</v>
      </c>
      <c r="D74" s="11" t="s">
        <v>455</v>
      </c>
      <c r="E74" s="11" t="s">
        <v>193</v>
      </c>
      <c r="F74" s="18">
        <v>151.93</v>
      </c>
      <c r="G74" s="18">
        <v>34.94</v>
      </c>
      <c r="H74" s="11" t="s">
        <v>572</v>
      </c>
      <c r="I74" s="11" t="s">
        <v>606</v>
      </c>
      <c r="J74" s="11" t="s">
        <v>369</v>
      </c>
      <c r="K74" s="11" t="s">
        <v>448</v>
      </c>
      <c r="L74" s="11" t="s">
        <v>56</v>
      </c>
      <c r="M74" s="11" t="s">
        <v>58</v>
      </c>
      <c r="N74" s="11">
        <v>21</v>
      </c>
      <c r="O74" s="11" t="s">
        <v>610</v>
      </c>
      <c r="P74" s="18">
        <v>151.93</v>
      </c>
      <c r="Q74" s="11" t="s">
        <v>99</v>
      </c>
      <c r="R74" s="11" t="s">
        <v>100</v>
      </c>
      <c r="S74" s="11">
        <v>23</v>
      </c>
      <c r="T74" s="18">
        <v>34.94</v>
      </c>
      <c r="U74" s="18">
        <v>0</v>
      </c>
    </row>
    <row r="75" spans="1:21" x14ac:dyDescent="0.2">
      <c r="A75" s="11">
        <v>9079571</v>
      </c>
      <c r="B75" s="11" t="s">
        <v>559</v>
      </c>
      <c r="C75" s="11" t="s">
        <v>440</v>
      </c>
      <c r="D75" s="11" t="s">
        <v>441</v>
      </c>
      <c r="E75" s="11" t="s">
        <v>193</v>
      </c>
      <c r="F75" s="18">
        <v>151.93</v>
      </c>
      <c r="G75" s="18">
        <v>34.94</v>
      </c>
      <c r="H75" s="11" t="s">
        <v>572</v>
      </c>
      <c r="I75" s="11" t="s">
        <v>595</v>
      </c>
      <c r="J75" s="11" t="s">
        <v>369</v>
      </c>
      <c r="K75" s="11" t="s">
        <v>437</v>
      </c>
      <c r="L75" s="11" t="s">
        <v>56</v>
      </c>
      <c r="M75" s="11" t="s">
        <v>58</v>
      </c>
      <c r="N75" s="11">
        <v>24</v>
      </c>
      <c r="O75" s="11" t="s">
        <v>610</v>
      </c>
      <c r="P75" s="18">
        <v>151.93</v>
      </c>
      <c r="Q75" s="11" t="s">
        <v>99</v>
      </c>
      <c r="R75" s="11" t="s">
        <v>100</v>
      </c>
      <c r="S75" s="11">
        <v>23</v>
      </c>
      <c r="T75" s="18">
        <v>34.94</v>
      </c>
      <c r="U75" s="18">
        <v>0</v>
      </c>
    </row>
    <row r="76" spans="1:21" x14ac:dyDescent="0.2">
      <c r="A76" s="14">
        <v>8325282</v>
      </c>
      <c r="B76" s="14" t="s">
        <v>544</v>
      </c>
      <c r="C76" s="14" t="s">
        <v>535</v>
      </c>
      <c r="D76" s="14" t="s">
        <v>536</v>
      </c>
      <c r="E76" s="14" t="s">
        <v>52</v>
      </c>
      <c r="F76" s="15">
        <v>68.56</v>
      </c>
      <c r="G76" s="14">
        <v>35.65</v>
      </c>
      <c r="H76" s="14" t="s">
        <v>580</v>
      </c>
      <c r="I76" s="14" t="s">
        <v>587</v>
      </c>
      <c r="J76" s="14" t="s">
        <v>373</v>
      </c>
      <c r="K76" s="14" t="s">
        <v>88</v>
      </c>
      <c r="L76" s="14" t="s">
        <v>56</v>
      </c>
      <c r="M76" s="14" t="s">
        <v>58</v>
      </c>
      <c r="N76" s="14">
        <v>7</v>
      </c>
      <c r="O76" s="14" t="s">
        <v>611</v>
      </c>
      <c r="P76" s="15">
        <v>68.56</v>
      </c>
      <c r="Q76" s="14" t="s">
        <v>61</v>
      </c>
      <c r="R76" s="14" t="s">
        <v>62</v>
      </c>
      <c r="S76" s="14">
        <v>52</v>
      </c>
      <c r="T76" s="15">
        <v>0</v>
      </c>
      <c r="U76" s="15">
        <v>-35.65</v>
      </c>
    </row>
    <row r="77" spans="1:21" x14ac:dyDescent="0.2">
      <c r="A77" s="16">
        <v>16228684</v>
      </c>
      <c r="B77" s="16" t="s">
        <v>553</v>
      </c>
      <c r="C77" s="16" t="s">
        <v>386</v>
      </c>
      <c r="D77" s="16" t="s">
        <v>387</v>
      </c>
      <c r="E77" s="16" t="s">
        <v>388</v>
      </c>
      <c r="F77" s="17">
        <v>161</v>
      </c>
      <c r="G77" s="16">
        <v>36.225000000000001</v>
      </c>
      <c r="H77" s="16" t="s">
        <v>572</v>
      </c>
      <c r="I77" s="16" t="s">
        <v>608</v>
      </c>
      <c r="J77" s="16" t="s">
        <v>369</v>
      </c>
      <c r="K77" s="16" t="s">
        <v>384</v>
      </c>
      <c r="L77" s="16" t="s">
        <v>385</v>
      </c>
      <c r="M77" s="16" t="s">
        <v>58</v>
      </c>
      <c r="N77" s="16">
        <v>1</v>
      </c>
      <c r="O77" s="16" t="s">
        <v>610</v>
      </c>
      <c r="P77" s="17">
        <v>161</v>
      </c>
      <c r="Q77" s="16" t="s">
        <v>61</v>
      </c>
      <c r="R77" s="16" t="s">
        <v>167</v>
      </c>
      <c r="S77" s="16">
        <v>22.5</v>
      </c>
      <c r="T77" s="17">
        <v>36.229999999999997</v>
      </c>
      <c r="U77" s="17">
        <v>0</v>
      </c>
    </row>
    <row r="78" spans="1:21" x14ac:dyDescent="0.2">
      <c r="A78" s="11">
        <v>16633294</v>
      </c>
      <c r="B78" s="11" t="s">
        <v>564</v>
      </c>
      <c r="C78" s="11" t="s">
        <v>482</v>
      </c>
      <c r="D78" s="11" t="s">
        <v>483</v>
      </c>
      <c r="E78" s="11" t="s">
        <v>52</v>
      </c>
      <c r="F78" s="18">
        <v>71.55</v>
      </c>
      <c r="G78" s="18">
        <v>37.21</v>
      </c>
      <c r="H78" s="11" t="s">
        <v>577</v>
      </c>
      <c r="I78" s="11" t="s">
        <v>587</v>
      </c>
      <c r="J78" s="11" t="s">
        <v>484</v>
      </c>
      <c r="K78" s="11" t="s">
        <v>77</v>
      </c>
      <c r="L78" s="11" t="s">
        <v>56</v>
      </c>
      <c r="M78" s="11" t="s">
        <v>58</v>
      </c>
      <c r="N78" s="11">
        <v>11</v>
      </c>
      <c r="O78" s="11" t="s">
        <v>610</v>
      </c>
      <c r="P78" s="18">
        <v>71.55</v>
      </c>
      <c r="Q78" s="11" t="s">
        <v>61</v>
      </c>
      <c r="R78" s="11" t="s">
        <v>62</v>
      </c>
      <c r="S78" s="11">
        <v>52</v>
      </c>
      <c r="T78" s="18">
        <v>37.21</v>
      </c>
      <c r="U78" s="18">
        <v>0</v>
      </c>
    </row>
    <row r="79" spans="1:21" x14ac:dyDescent="0.2">
      <c r="A79" s="11">
        <v>16633294</v>
      </c>
      <c r="B79" s="11" t="s">
        <v>564</v>
      </c>
      <c r="C79" s="11" t="s">
        <v>485</v>
      </c>
      <c r="D79" s="11" t="s">
        <v>486</v>
      </c>
      <c r="E79" s="11" t="s">
        <v>52</v>
      </c>
      <c r="F79" s="18">
        <v>71.55</v>
      </c>
      <c r="G79" s="18">
        <v>37.21</v>
      </c>
      <c r="H79" s="11" t="s">
        <v>577</v>
      </c>
      <c r="I79" s="11" t="s">
        <v>587</v>
      </c>
      <c r="J79" s="11" t="s">
        <v>484</v>
      </c>
      <c r="K79" s="11" t="s">
        <v>77</v>
      </c>
      <c r="L79" s="11" t="s">
        <v>56</v>
      </c>
      <c r="M79" s="11" t="s">
        <v>58</v>
      </c>
      <c r="N79" s="11">
        <v>11</v>
      </c>
      <c r="O79" s="11" t="s">
        <v>610</v>
      </c>
      <c r="P79" s="18">
        <v>71.55</v>
      </c>
      <c r="Q79" s="11" t="s">
        <v>61</v>
      </c>
      <c r="R79" s="11" t="s">
        <v>62</v>
      </c>
      <c r="S79" s="11">
        <v>52</v>
      </c>
      <c r="T79" s="18">
        <v>37.21</v>
      </c>
      <c r="U79" s="18">
        <v>0</v>
      </c>
    </row>
    <row r="80" spans="1:21" x14ac:dyDescent="0.2">
      <c r="A80" s="11">
        <v>16633294</v>
      </c>
      <c r="B80" s="11" t="s">
        <v>564</v>
      </c>
      <c r="C80" s="11" t="s">
        <v>491</v>
      </c>
      <c r="D80" s="11" t="s">
        <v>492</v>
      </c>
      <c r="E80" s="11" t="s">
        <v>52</v>
      </c>
      <c r="F80" s="18">
        <v>71.55</v>
      </c>
      <c r="G80" s="18">
        <v>37.21</v>
      </c>
      <c r="H80" s="11" t="s">
        <v>577</v>
      </c>
      <c r="I80" s="11" t="s">
        <v>587</v>
      </c>
      <c r="J80" s="11" t="s">
        <v>484</v>
      </c>
      <c r="K80" s="11" t="s">
        <v>493</v>
      </c>
      <c r="L80" s="11" t="s">
        <v>494</v>
      </c>
      <c r="M80" s="11" t="s">
        <v>58</v>
      </c>
      <c r="N80" s="11">
        <v>11</v>
      </c>
      <c r="O80" s="11" t="s">
        <v>610</v>
      </c>
      <c r="P80" s="18">
        <v>71.55</v>
      </c>
      <c r="Q80" s="11" t="s">
        <v>61</v>
      </c>
      <c r="R80" s="11" t="s">
        <v>62</v>
      </c>
      <c r="S80" s="11">
        <v>52</v>
      </c>
      <c r="T80" s="18">
        <v>37.21</v>
      </c>
      <c r="U80" s="18">
        <v>0</v>
      </c>
    </row>
    <row r="81" spans="1:21" x14ac:dyDescent="0.2">
      <c r="A81" s="11">
        <v>16228684</v>
      </c>
      <c r="B81" s="11" t="s">
        <v>553</v>
      </c>
      <c r="C81" s="11" t="s">
        <v>371</v>
      </c>
      <c r="D81" s="11" t="s">
        <v>372</v>
      </c>
      <c r="E81" s="11" t="s">
        <v>52</v>
      </c>
      <c r="F81" s="18">
        <v>72.33</v>
      </c>
      <c r="G81" s="18">
        <v>37.61</v>
      </c>
      <c r="H81" s="11" t="s">
        <v>580</v>
      </c>
      <c r="I81" s="11" t="s">
        <v>587</v>
      </c>
      <c r="J81" s="11" t="s">
        <v>373</v>
      </c>
      <c r="K81" s="11" t="s">
        <v>374</v>
      </c>
      <c r="L81" s="11" t="s">
        <v>152</v>
      </c>
      <c r="M81" s="11" t="s">
        <v>58</v>
      </c>
      <c r="N81" s="11">
        <v>4</v>
      </c>
      <c r="O81" s="11" t="s">
        <v>610</v>
      </c>
      <c r="P81" s="18">
        <v>72.33</v>
      </c>
      <c r="Q81" s="11" t="s">
        <v>61</v>
      </c>
      <c r="R81" s="11" t="s">
        <v>62</v>
      </c>
      <c r="S81" s="11">
        <v>52</v>
      </c>
      <c r="T81" s="18">
        <v>37.61</v>
      </c>
      <c r="U81" s="18">
        <v>0</v>
      </c>
    </row>
    <row r="82" spans="1:21" x14ac:dyDescent="0.2">
      <c r="A82" s="11">
        <v>18828278</v>
      </c>
      <c r="B82" s="11" t="s">
        <v>543</v>
      </c>
      <c r="C82" s="11" t="s">
        <v>101</v>
      </c>
      <c r="D82" s="11" t="s">
        <v>102</v>
      </c>
      <c r="E82" s="11" t="s">
        <v>52</v>
      </c>
      <c r="F82" s="18">
        <v>165.45</v>
      </c>
      <c r="G82" s="18">
        <v>38.049999999999997</v>
      </c>
      <c r="H82" s="11" t="s">
        <v>572</v>
      </c>
      <c r="I82" s="11" t="s">
        <v>606</v>
      </c>
      <c r="J82" s="11" t="s">
        <v>54</v>
      </c>
      <c r="K82" s="11" t="s">
        <v>74</v>
      </c>
      <c r="L82" s="11" t="s">
        <v>56</v>
      </c>
      <c r="M82" s="11" t="s">
        <v>58</v>
      </c>
      <c r="N82" s="11">
        <v>12</v>
      </c>
      <c r="O82" s="11" t="s">
        <v>610</v>
      </c>
      <c r="P82" s="18">
        <v>165.45</v>
      </c>
      <c r="Q82" s="11" t="s">
        <v>61</v>
      </c>
      <c r="R82" s="11" t="s">
        <v>62</v>
      </c>
      <c r="S82" s="11">
        <v>23</v>
      </c>
      <c r="T82" s="18">
        <v>38.049999999999997</v>
      </c>
      <c r="U82" s="18">
        <v>0</v>
      </c>
    </row>
    <row r="83" spans="1:21" x14ac:dyDescent="0.2">
      <c r="A83" s="11">
        <v>8307933</v>
      </c>
      <c r="B83" s="11" t="s">
        <v>542</v>
      </c>
      <c r="C83" s="11" t="s">
        <v>65</v>
      </c>
      <c r="D83" s="11" t="s">
        <v>66</v>
      </c>
      <c r="E83" s="11" t="s">
        <v>67</v>
      </c>
      <c r="F83" s="18">
        <v>122.9</v>
      </c>
      <c r="G83" s="18">
        <v>38.1</v>
      </c>
      <c r="H83" s="11" t="s">
        <v>572</v>
      </c>
      <c r="I83" s="11" t="s">
        <v>593</v>
      </c>
      <c r="J83" s="11" t="s">
        <v>68</v>
      </c>
      <c r="K83" s="11" t="s">
        <v>55</v>
      </c>
      <c r="L83" s="11" t="s">
        <v>56</v>
      </c>
      <c r="M83" s="11" t="s">
        <v>58</v>
      </c>
      <c r="N83" s="11">
        <v>4</v>
      </c>
      <c r="O83" s="11" t="s">
        <v>610</v>
      </c>
      <c r="P83" s="18">
        <v>122.9</v>
      </c>
      <c r="Q83" s="11" t="s">
        <v>61</v>
      </c>
      <c r="R83" s="11" t="s">
        <v>62</v>
      </c>
      <c r="S83" s="11">
        <v>31</v>
      </c>
      <c r="T83" s="18">
        <v>38.1</v>
      </c>
      <c r="U83" s="18">
        <v>0</v>
      </c>
    </row>
    <row r="84" spans="1:21" x14ac:dyDescent="0.2">
      <c r="A84" s="11">
        <v>18828278</v>
      </c>
      <c r="B84" s="11" t="s">
        <v>543</v>
      </c>
      <c r="C84" s="11" t="s">
        <v>71</v>
      </c>
      <c r="D84" s="11" t="s">
        <v>72</v>
      </c>
      <c r="E84" s="11" t="s">
        <v>52</v>
      </c>
      <c r="F84" s="18">
        <v>166.67</v>
      </c>
      <c r="G84" s="18">
        <v>38.33</v>
      </c>
      <c r="H84" s="11" t="s">
        <v>572</v>
      </c>
      <c r="I84" s="11" t="s">
        <v>606</v>
      </c>
      <c r="J84" s="11" t="s">
        <v>54</v>
      </c>
      <c r="K84" s="11" t="s">
        <v>74</v>
      </c>
      <c r="L84" s="11" t="s">
        <v>56</v>
      </c>
      <c r="M84" s="11" t="s">
        <v>58</v>
      </c>
      <c r="N84" s="11">
        <v>12</v>
      </c>
      <c r="O84" s="11" t="s">
        <v>610</v>
      </c>
      <c r="P84" s="18">
        <v>166.67</v>
      </c>
      <c r="Q84" s="11" t="s">
        <v>61</v>
      </c>
      <c r="R84" s="11" t="s">
        <v>62</v>
      </c>
      <c r="S84" s="11">
        <v>23</v>
      </c>
      <c r="T84" s="18">
        <v>38.33</v>
      </c>
      <c r="U84" s="18">
        <v>0</v>
      </c>
    </row>
    <row r="85" spans="1:21" x14ac:dyDescent="0.2">
      <c r="A85" s="11">
        <v>9079571</v>
      </c>
      <c r="B85" s="11" t="s">
        <v>559</v>
      </c>
      <c r="C85" s="11" t="s">
        <v>444</v>
      </c>
      <c r="D85" s="11" t="s">
        <v>445</v>
      </c>
      <c r="E85" s="11" t="s">
        <v>193</v>
      </c>
      <c r="F85" s="18">
        <v>167.12</v>
      </c>
      <c r="G85" s="18">
        <v>38.44</v>
      </c>
      <c r="H85" s="11" t="s">
        <v>572</v>
      </c>
      <c r="I85" s="11" t="s">
        <v>595</v>
      </c>
      <c r="J85" s="11" t="s">
        <v>369</v>
      </c>
      <c r="K85" s="11" t="s">
        <v>118</v>
      </c>
      <c r="L85" s="11" t="s">
        <v>56</v>
      </c>
      <c r="M85" s="11" t="s">
        <v>58</v>
      </c>
      <c r="N85" s="11">
        <v>23</v>
      </c>
      <c r="O85" s="11" t="s">
        <v>610</v>
      </c>
      <c r="P85" s="18">
        <v>167.12</v>
      </c>
      <c r="Q85" s="11" t="s">
        <v>99</v>
      </c>
      <c r="R85" s="11" t="s">
        <v>100</v>
      </c>
      <c r="S85" s="11">
        <v>23</v>
      </c>
      <c r="T85" s="18">
        <v>38.44</v>
      </c>
      <c r="U85" s="18">
        <v>0</v>
      </c>
    </row>
    <row r="86" spans="1:21" x14ac:dyDescent="0.2">
      <c r="A86" s="11">
        <v>9079571</v>
      </c>
      <c r="B86" s="11" t="s">
        <v>559</v>
      </c>
      <c r="C86" s="11" t="s">
        <v>404</v>
      </c>
      <c r="D86" s="11" t="s">
        <v>405</v>
      </c>
      <c r="E86" s="11" t="s">
        <v>193</v>
      </c>
      <c r="F86" s="18">
        <v>168.14</v>
      </c>
      <c r="G86" s="18">
        <v>38.67</v>
      </c>
      <c r="H86" s="11" t="s">
        <v>572</v>
      </c>
      <c r="I86" s="11" t="s">
        <v>595</v>
      </c>
      <c r="J86" s="11" t="s">
        <v>369</v>
      </c>
      <c r="K86" s="11" t="s">
        <v>134</v>
      </c>
      <c r="L86" s="11" t="s">
        <v>56</v>
      </c>
      <c r="M86" s="11" t="s">
        <v>58</v>
      </c>
      <c r="N86" s="11">
        <v>16</v>
      </c>
      <c r="O86" s="11" t="s">
        <v>610</v>
      </c>
      <c r="P86" s="18">
        <v>168.14</v>
      </c>
      <c r="Q86" s="11" t="s">
        <v>99</v>
      </c>
      <c r="R86" s="11" t="s">
        <v>100</v>
      </c>
      <c r="S86" s="11">
        <v>23</v>
      </c>
      <c r="T86" s="18">
        <v>38.67</v>
      </c>
      <c r="U86" s="18">
        <v>0</v>
      </c>
    </row>
    <row r="87" spans="1:21" x14ac:dyDescent="0.2">
      <c r="A87" s="16">
        <v>8307933</v>
      </c>
      <c r="B87" s="16" t="s">
        <v>542</v>
      </c>
      <c r="C87" s="16" t="s">
        <v>382</v>
      </c>
      <c r="D87" s="16" t="s">
        <v>383</v>
      </c>
      <c r="E87" s="16" t="s">
        <v>155</v>
      </c>
      <c r="F87" s="17">
        <v>162.11000000000001</v>
      </c>
      <c r="G87" s="16">
        <v>38.906400000000005</v>
      </c>
      <c r="H87" s="16" t="s">
        <v>572</v>
      </c>
      <c r="I87" s="16" t="s">
        <v>607</v>
      </c>
      <c r="J87" s="16" t="s">
        <v>369</v>
      </c>
      <c r="K87" s="16" t="s">
        <v>384</v>
      </c>
      <c r="L87" s="16" t="s">
        <v>385</v>
      </c>
      <c r="M87" s="16" t="s">
        <v>58</v>
      </c>
      <c r="N87" s="16">
        <v>1</v>
      </c>
      <c r="O87" s="16" t="s">
        <v>610</v>
      </c>
      <c r="P87" s="17">
        <v>162.11000000000001</v>
      </c>
      <c r="Q87" s="16" t="s">
        <v>61</v>
      </c>
      <c r="R87" s="16" t="s">
        <v>167</v>
      </c>
      <c r="S87" s="16">
        <v>24</v>
      </c>
      <c r="T87" s="17">
        <v>38.909999999999997</v>
      </c>
      <c r="U87" s="17">
        <v>0</v>
      </c>
    </row>
    <row r="88" spans="1:21" x14ac:dyDescent="0.2">
      <c r="A88" s="11">
        <v>9079571</v>
      </c>
      <c r="B88" s="11" t="s">
        <v>559</v>
      </c>
      <c r="C88" s="11" t="s">
        <v>397</v>
      </c>
      <c r="D88" s="11" t="s">
        <v>398</v>
      </c>
      <c r="E88" s="11" t="s">
        <v>193</v>
      </c>
      <c r="F88" s="18">
        <v>170.16</v>
      </c>
      <c r="G88" s="18">
        <v>39.14</v>
      </c>
      <c r="H88" s="11" t="s">
        <v>572</v>
      </c>
      <c r="I88" s="11" t="s">
        <v>595</v>
      </c>
      <c r="J88" s="11" t="s">
        <v>369</v>
      </c>
      <c r="K88" s="11" t="s">
        <v>74</v>
      </c>
      <c r="L88" s="11" t="s">
        <v>56</v>
      </c>
      <c r="M88" s="11" t="s">
        <v>58</v>
      </c>
      <c r="N88" s="11">
        <v>12</v>
      </c>
      <c r="O88" s="11" t="s">
        <v>610</v>
      </c>
      <c r="P88" s="18">
        <v>170.16</v>
      </c>
      <c r="Q88" s="11" t="s">
        <v>61</v>
      </c>
      <c r="R88" s="11" t="s">
        <v>62</v>
      </c>
      <c r="S88" s="11">
        <v>23</v>
      </c>
      <c r="T88" s="18">
        <v>39.14</v>
      </c>
      <c r="U88" s="18">
        <v>0</v>
      </c>
    </row>
    <row r="89" spans="1:21" x14ac:dyDescent="0.2">
      <c r="A89" s="11">
        <v>9079571</v>
      </c>
      <c r="B89" s="11" t="s">
        <v>559</v>
      </c>
      <c r="C89" s="11" t="s">
        <v>406</v>
      </c>
      <c r="D89" s="11" t="s">
        <v>407</v>
      </c>
      <c r="E89" s="11" t="s">
        <v>193</v>
      </c>
      <c r="F89" s="18">
        <v>170.16</v>
      </c>
      <c r="G89" s="18">
        <v>39.14</v>
      </c>
      <c r="H89" s="11" t="s">
        <v>572</v>
      </c>
      <c r="I89" s="11" t="s">
        <v>595</v>
      </c>
      <c r="J89" s="11" t="s">
        <v>369</v>
      </c>
      <c r="K89" s="11" t="s">
        <v>408</v>
      </c>
      <c r="L89" s="11" t="s">
        <v>56</v>
      </c>
      <c r="M89" s="11" t="s">
        <v>58</v>
      </c>
      <c r="N89" s="11">
        <v>15</v>
      </c>
      <c r="O89" s="11" t="s">
        <v>610</v>
      </c>
      <c r="P89" s="18">
        <v>170.16</v>
      </c>
      <c r="Q89" s="11" t="s">
        <v>99</v>
      </c>
      <c r="R89" s="11" t="s">
        <v>100</v>
      </c>
      <c r="S89" s="11">
        <v>23</v>
      </c>
      <c r="T89" s="18">
        <v>39.14</v>
      </c>
      <c r="U89" s="18">
        <v>0</v>
      </c>
    </row>
    <row r="90" spans="1:21" x14ac:dyDescent="0.2">
      <c r="A90" s="11">
        <v>9079571</v>
      </c>
      <c r="B90" s="11" t="s">
        <v>559</v>
      </c>
      <c r="C90" s="11" t="s">
        <v>435</v>
      </c>
      <c r="D90" s="11" t="s">
        <v>436</v>
      </c>
      <c r="E90" s="11" t="s">
        <v>193</v>
      </c>
      <c r="F90" s="18">
        <v>173.81</v>
      </c>
      <c r="G90" s="18">
        <v>39.979999999999997</v>
      </c>
      <c r="H90" s="11" t="s">
        <v>572</v>
      </c>
      <c r="I90" s="11" t="s">
        <v>595</v>
      </c>
      <c r="J90" s="11" t="s">
        <v>369</v>
      </c>
      <c r="K90" s="11" t="s">
        <v>437</v>
      </c>
      <c r="L90" s="11" t="s">
        <v>56</v>
      </c>
      <c r="M90" s="11" t="s">
        <v>58</v>
      </c>
      <c r="N90" s="11">
        <v>24</v>
      </c>
      <c r="O90" s="11" t="s">
        <v>610</v>
      </c>
      <c r="P90" s="18">
        <v>173.81</v>
      </c>
      <c r="Q90" s="11" t="s">
        <v>99</v>
      </c>
      <c r="R90" s="11" t="s">
        <v>100</v>
      </c>
      <c r="S90" s="11">
        <v>23</v>
      </c>
      <c r="T90" s="18">
        <v>39.979999999999997</v>
      </c>
      <c r="U90" s="18">
        <v>0</v>
      </c>
    </row>
    <row r="91" spans="1:21" x14ac:dyDescent="0.2">
      <c r="A91" s="16">
        <v>8977234</v>
      </c>
      <c r="B91" s="16" t="s">
        <v>554</v>
      </c>
      <c r="C91" s="16" t="s">
        <v>251</v>
      </c>
      <c r="D91" s="16" t="s">
        <v>252</v>
      </c>
      <c r="E91" s="16" t="s">
        <v>249</v>
      </c>
      <c r="F91" s="16">
        <v>59.68</v>
      </c>
      <c r="G91" s="16">
        <v>40.283999999999999</v>
      </c>
      <c r="H91" s="16" t="s">
        <v>571</v>
      </c>
      <c r="I91" s="16" t="s">
        <v>589</v>
      </c>
      <c r="J91" s="16" t="s">
        <v>189</v>
      </c>
      <c r="K91" s="16" t="s">
        <v>250</v>
      </c>
      <c r="L91" s="16" t="s">
        <v>250</v>
      </c>
      <c r="M91" s="16" t="s">
        <v>58</v>
      </c>
      <c r="N91" s="16">
        <v>0</v>
      </c>
      <c r="O91" s="11" t="s">
        <v>610</v>
      </c>
      <c r="P91" s="17">
        <v>537.12</v>
      </c>
      <c r="Q91" s="16" t="s">
        <v>61</v>
      </c>
      <c r="R91" s="16" t="s">
        <v>212</v>
      </c>
      <c r="S91" s="16">
        <v>67.5</v>
      </c>
      <c r="T91" s="17">
        <v>362.56</v>
      </c>
      <c r="U91" s="17">
        <v>362.56</v>
      </c>
    </row>
    <row r="92" spans="1:21" x14ac:dyDescent="0.2">
      <c r="A92" s="16">
        <v>8977234</v>
      </c>
      <c r="B92" s="16" t="s">
        <v>554</v>
      </c>
      <c r="C92" s="16" t="s">
        <v>247</v>
      </c>
      <c r="D92" s="16" t="s">
        <v>248</v>
      </c>
      <c r="E92" s="16" t="s">
        <v>249</v>
      </c>
      <c r="F92" s="16">
        <v>59.980000000000004</v>
      </c>
      <c r="G92" s="16">
        <v>40.486500000000007</v>
      </c>
      <c r="H92" s="16" t="s">
        <v>571</v>
      </c>
      <c r="I92" s="16" t="s">
        <v>589</v>
      </c>
      <c r="J92" s="16" t="s">
        <v>189</v>
      </c>
      <c r="K92" s="16" t="s">
        <v>250</v>
      </c>
      <c r="L92" s="16" t="s">
        <v>250</v>
      </c>
      <c r="M92" s="16" t="s">
        <v>58</v>
      </c>
      <c r="N92" s="16">
        <v>0</v>
      </c>
      <c r="O92" s="11" t="s">
        <v>610</v>
      </c>
      <c r="P92" s="17">
        <v>539.82000000000005</v>
      </c>
      <c r="Q92" s="16" t="s">
        <v>61</v>
      </c>
      <c r="R92" s="16" t="s">
        <v>212</v>
      </c>
      <c r="S92" s="16">
        <v>67.5</v>
      </c>
      <c r="T92" s="17">
        <v>364.38</v>
      </c>
      <c r="U92" s="17">
        <v>364.38</v>
      </c>
    </row>
    <row r="93" spans="1:21" x14ac:dyDescent="0.2">
      <c r="A93" s="11">
        <v>8307933</v>
      </c>
      <c r="B93" s="11" t="s">
        <v>542</v>
      </c>
      <c r="C93" s="11" t="s">
        <v>50</v>
      </c>
      <c r="D93" s="11" t="s">
        <v>51</v>
      </c>
      <c r="E93" s="11" t="s">
        <v>52</v>
      </c>
      <c r="F93" s="18">
        <v>176.91</v>
      </c>
      <c r="G93" s="18">
        <v>40.69</v>
      </c>
      <c r="H93" s="11" t="s">
        <v>572</v>
      </c>
      <c r="I93" s="11" t="s">
        <v>606</v>
      </c>
      <c r="J93" s="11" t="s">
        <v>54</v>
      </c>
      <c r="K93" s="11" t="s">
        <v>55</v>
      </c>
      <c r="L93" s="11" t="s">
        <v>56</v>
      </c>
      <c r="M93" s="11" t="s">
        <v>58</v>
      </c>
      <c r="N93" s="11">
        <v>4</v>
      </c>
      <c r="O93" s="11" t="s">
        <v>610</v>
      </c>
      <c r="P93" s="18">
        <v>176.91</v>
      </c>
      <c r="Q93" s="11" t="s">
        <v>61</v>
      </c>
      <c r="R93" s="11" t="s">
        <v>62</v>
      </c>
      <c r="S93" s="11">
        <v>23</v>
      </c>
      <c r="T93" s="18">
        <v>40.69</v>
      </c>
      <c r="U93" s="18">
        <v>0</v>
      </c>
    </row>
    <row r="94" spans="1:21" x14ac:dyDescent="0.2">
      <c r="A94" s="11">
        <v>15278437</v>
      </c>
      <c r="B94" s="11" t="s">
        <v>545</v>
      </c>
      <c r="C94" s="11" t="s">
        <v>143</v>
      </c>
      <c r="D94" s="11" t="s">
        <v>144</v>
      </c>
      <c r="E94" s="11" t="s">
        <v>112</v>
      </c>
      <c r="F94" s="18">
        <v>194.14</v>
      </c>
      <c r="G94" s="18">
        <v>41.74</v>
      </c>
      <c r="H94" s="11" t="s">
        <v>572</v>
      </c>
      <c r="I94" s="11" t="s">
        <v>603</v>
      </c>
      <c r="J94" s="11" t="s">
        <v>113</v>
      </c>
      <c r="K94" s="11" t="s">
        <v>145</v>
      </c>
      <c r="L94" s="11" t="s">
        <v>56</v>
      </c>
      <c r="M94" s="11" t="s">
        <v>58</v>
      </c>
      <c r="N94" s="11">
        <v>25</v>
      </c>
      <c r="O94" s="11" t="s">
        <v>610</v>
      </c>
      <c r="P94" s="18">
        <v>194.14</v>
      </c>
      <c r="Q94" s="11" t="s">
        <v>99</v>
      </c>
      <c r="R94" s="11" t="s">
        <v>100</v>
      </c>
      <c r="S94" s="11">
        <v>21.5</v>
      </c>
      <c r="T94" s="18">
        <v>41.74</v>
      </c>
      <c r="U94" s="18">
        <v>0</v>
      </c>
    </row>
    <row r="95" spans="1:21" x14ac:dyDescent="0.2">
      <c r="A95" s="11">
        <v>9079571</v>
      </c>
      <c r="B95" s="11" t="s">
        <v>559</v>
      </c>
      <c r="C95" s="11" t="s">
        <v>461</v>
      </c>
      <c r="D95" s="11" t="s">
        <v>462</v>
      </c>
      <c r="E95" s="11" t="s">
        <v>193</v>
      </c>
      <c r="F95" s="18">
        <v>186.81</v>
      </c>
      <c r="G95" s="18">
        <v>42.97</v>
      </c>
      <c r="H95" s="11" t="s">
        <v>572</v>
      </c>
      <c r="I95" s="11" t="s">
        <v>595</v>
      </c>
      <c r="J95" s="11" t="s">
        <v>369</v>
      </c>
      <c r="K95" s="11" t="s">
        <v>458</v>
      </c>
      <c r="L95" s="11" t="s">
        <v>56</v>
      </c>
      <c r="M95" s="11" t="s">
        <v>58</v>
      </c>
      <c r="N95" s="11">
        <v>19</v>
      </c>
      <c r="O95" s="11" t="s">
        <v>610</v>
      </c>
      <c r="P95" s="18">
        <v>186.81</v>
      </c>
      <c r="Q95" s="11" t="s">
        <v>99</v>
      </c>
      <c r="R95" s="11" t="s">
        <v>100</v>
      </c>
      <c r="S95" s="11">
        <v>23</v>
      </c>
      <c r="T95" s="18">
        <v>42.97</v>
      </c>
      <c r="U95" s="18">
        <v>0</v>
      </c>
    </row>
    <row r="96" spans="1:21" x14ac:dyDescent="0.2">
      <c r="A96" s="11">
        <v>8307933</v>
      </c>
      <c r="B96" s="11" t="s">
        <v>542</v>
      </c>
      <c r="C96" s="11" t="s">
        <v>92</v>
      </c>
      <c r="D96" s="11" t="s">
        <v>93</v>
      </c>
      <c r="E96" s="11" t="s">
        <v>52</v>
      </c>
      <c r="F96" s="18">
        <v>199.91</v>
      </c>
      <c r="G96" s="11">
        <v>45.98</v>
      </c>
      <c r="H96" s="11" t="s">
        <v>572</v>
      </c>
      <c r="I96" s="11" t="s">
        <v>595</v>
      </c>
      <c r="J96" s="11" t="s">
        <v>54</v>
      </c>
      <c r="K96" s="11" t="s">
        <v>94</v>
      </c>
      <c r="L96" s="11" t="s">
        <v>95</v>
      </c>
      <c r="M96" s="11" t="s">
        <v>58</v>
      </c>
      <c r="N96" s="11">
        <v>6</v>
      </c>
      <c r="O96" s="11" t="s">
        <v>610</v>
      </c>
      <c r="P96" s="18">
        <v>199.91</v>
      </c>
      <c r="Q96" s="11" t="s">
        <v>61</v>
      </c>
      <c r="R96" s="11" t="s">
        <v>62</v>
      </c>
      <c r="S96" s="11">
        <v>23</v>
      </c>
      <c r="T96" s="18">
        <v>0</v>
      </c>
      <c r="U96" s="18">
        <v>-45.98</v>
      </c>
    </row>
    <row r="97" spans="1:21" x14ac:dyDescent="0.2">
      <c r="A97" s="14">
        <v>16912722</v>
      </c>
      <c r="B97" s="14" t="s">
        <v>557</v>
      </c>
      <c r="C97" s="14" t="s">
        <v>280</v>
      </c>
      <c r="D97" s="14" t="s">
        <v>281</v>
      </c>
      <c r="E97" s="14" t="s">
        <v>52</v>
      </c>
      <c r="F97" s="15">
        <v>42.14</v>
      </c>
      <c r="G97" s="14">
        <v>48.04</v>
      </c>
      <c r="H97" s="14" t="s">
        <v>584</v>
      </c>
      <c r="I97" s="14" t="s">
        <v>597</v>
      </c>
      <c r="J97" s="14" t="s">
        <v>282</v>
      </c>
      <c r="K97" s="14" t="s">
        <v>88</v>
      </c>
      <c r="L97" s="14" t="s">
        <v>56</v>
      </c>
      <c r="M97" s="14" t="s">
        <v>58</v>
      </c>
      <c r="N97" s="14">
        <v>7</v>
      </c>
      <c r="O97" s="14" t="s">
        <v>611</v>
      </c>
      <c r="P97" s="15">
        <v>42.14</v>
      </c>
      <c r="Q97" s="14" t="s">
        <v>61</v>
      </c>
      <c r="R97" s="14" t="s">
        <v>62</v>
      </c>
      <c r="S97" s="14">
        <v>113.99999999999999</v>
      </c>
      <c r="T97" s="15">
        <v>0</v>
      </c>
      <c r="U97" s="15">
        <v>-48.04</v>
      </c>
    </row>
    <row r="98" spans="1:21" x14ac:dyDescent="0.2">
      <c r="A98" s="11">
        <v>19278370</v>
      </c>
      <c r="B98" s="11" t="s">
        <v>546</v>
      </c>
      <c r="C98" s="11" t="s">
        <v>116</v>
      </c>
      <c r="D98" s="11" t="s">
        <v>117</v>
      </c>
      <c r="E98" s="11" t="s">
        <v>112</v>
      </c>
      <c r="F98" s="18">
        <v>229.97</v>
      </c>
      <c r="G98" s="18">
        <v>49.44</v>
      </c>
      <c r="H98" s="11" t="s">
        <v>572</v>
      </c>
      <c r="I98" s="11" t="s">
        <v>604</v>
      </c>
      <c r="J98" s="11" t="s">
        <v>113</v>
      </c>
      <c r="K98" s="11" t="s">
        <v>118</v>
      </c>
      <c r="L98" s="11" t="s">
        <v>56</v>
      </c>
      <c r="M98" s="11" t="s">
        <v>58</v>
      </c>
      <c r="N98" s="11">
        <v>23</v>
      </c>
      <c r="O98" s="11" t="s">
        <v>610</v>
      </c>
      <c r="P98" s="18">
        <v>229.97</v>
      </c>
      <c r="Q98" s="11" t="s">
        <v>99</v>
      </c>
      <c r="R98" s="11" t="s">
        <v>100</v>
      </c>
      <c r="S98" s="11">
        <v>21.5</v>
      </c>
      <c r="T98" s="18">
        <v>49.44</v>
      </c>
      <c r="U98" s="18">
        <v>0</v>
      </c>
    </row>
    <row r="99" spans="1:21" x14ac:dyDescent="0.2">
      <c r="A99" s="11">
        <v>8307933</v>
      </c>
      <c r="B99" s="11" t="s">
        <v>542</v>
      </c>
      <c r="C99" s="11" t="s">
        <v>238</v>
      </c>
      <c r="D99" s="11" t="s">
        <v>239</v>
      </c>
      <c r="E99" s="11" t="s">
        <v>155</v>
      </c>
      <c r="F99" s="18">
        <v>75.55</v>
      </c>
      <c r="G99" s="11">
        <v>51</v>
      </c>
      <c r="H99" s="11" t="s">
        <v>571</v>
      </c>
      <c r="I99" s="11" t="s">
        <v>589</v>
      </c>
      <c r="J99" s="11" t="s">
        <v>189</v>
      </c>
      <c r="K99" s="11" t="s">
        <v>53</v>
      </c>
      <c r="L99" s="11" t="s">
        <v>228</v>
      </c>
      <c r="M99" s="11" t="s">
        <v>58</v>
      </c>
      <c r="N99" s="11">
        <v>1</v>
      </c>
      <c r="O99" s="11" t="s">
        <v>610</v>
      </c>
      <c r="P99" s="18">
        <v>75.55</v>
      </c>
      <c r="Q99" s="11" t="s">
        <v>61</v>
      </c>
      <c r="R99" s="11" t="s">
        <v>200</v>
      </c>
      <c r="S99" s="11">
        <v>67.5</v>
      </c>
      <c r="T99" s="18">
        <v>0</v>
      </c>
      <c r="U99" s="18">
        <v>-51</v>
      </c>
    </row>
    <row r="100" spans="1:21" x14ac:dyDescent="0.2">
      <c r="A100" s="11">
        <v>16212649</v>
      </c>
      <c r="B100" s="11" t="s">
        <v>547</v>
      </c>
      <c r="C100" s="11" t="s">
        <v>131</v>
      </c>
      <c r="D100" s="11" t="s">
        <v>132</v>
      </c>
      <c r="E100" s="11" t="s">
        <v>129</v>
      </c>
      <c r="F100" s="18">
        <v>232.72</v>
      </c>
      <c r="G100" s="18">
        <v>53.53</v>
      </c>
      <c r="H100" s="11" t="s">
        <v>572</v>
      </c>
      <c r="I100" s="11" t="s">
        <v>595</v>
      </c>
      <c r="J100" s="11" t="s">
        <v>133</v>
      </c>
      <c r="K100" s="11" t="s">
        <v>134</v>
      </c>
      <c r="L100" s="11" t="s">
        <v>56</v>
      </c>
      <c r="M100" s="11" t="s">
        <v>58</v>
      </c>
      <c r="N100" s="11">
        <v>16</v>
      </c>
      <c r="O100" s="11" t="s">
        <v>610</v>
      </c>
      <c r="P100" s="18">
        <v>232.72</v>
      </c>
      <c r="Q100" s="11" t="s">
        <v>99</v>
      </c>
      <c r="R100" s="11" t="s">
        <v>100</v>
      </c>
      <c r="S100" s="11">
        <v>23</v>
      </c>
      <c r="T100" s="18">
        <v>53.53</v>
      </c>
      <c r="U100" s="18">
        <v>0</v>
      </c>
    </row>
    <row r="101" spans="1:21" x14ac:dyDescent="0.2">
      <c r="A101" s="11">
        <v>17425766</v>
      </c>
      <c r="B101" s="11" t="s">
        <v>548</v>
      </c>
      <c r="C101" s="11" t="s">
        <v>139</v>
      </c>
      <c r="D101" s="11" t="s">
        <v>140</v>
      </c>
      <c r="E101" s="11" t="s">
        <v>129</v>
      </c>
      <c r="F101" s="18">
        <v>240.03</v>
      </c>
      <c r="G101" s="18">
        <v>55.21</v>
      </c>
      <c r="H101" s="11" t="s">
        <v>583</v>
      </c>
      <c r="I101" s="11" t="s">
        <v>606</v>
      </c>
      <c r="J101" s="11" t="s">
        <v>142</v>
      </c>
      <c r="K101" s="11" t="s">
        <v>77</v>
      </c>
      <c r="L101" s="11" t="s">
        <v>56</v>
      </c>
      <c r="M101" s="11" t="s">
        <v>58</v>
      </c>
      <c r="N101" s="11">
        <v>11</v>
      </c>
      <c r="O101" s="11" t="s">
        <v>610</v>
      </c>
      <c r="P101" s="18">
        <v>240.03</v>
      </c>
      <c r="Q101" s="11" t="s">
        <v>61</v>
      </c>
      <c r="R101" s="11" t="s">
        <v>62</v>
      </c>
      <c r="S101" s="11">
        <v>23</v>
      </c>
      <c r="T101" s="18">
        <v>55.21</v>
      </c>
      <c r="U101" s="18">
        <v>0</v>
      </c>
    </row>
    <row r="102" spans="1:21" x14ac:dyDescent="0.2">
      <c r="A102" s="11">
        <v>8307933</v>
      </c>
      <c r="B102" s="11" t="s">
        <v>542</v>
      </c>
      <c r="C102" s="11" t="s">
        <v>313</v>
      </c>
      <c r="D102" s="11" t="s">
        <v>314</v>
      </c>
      <c r="E102" s="11" t="s">
        <v>149</v>
      </c>
      <c r="F102" s="18">
        <v>46.99</v>
      </c>
      <c r="G102" s="18">
        <v>70.489999999999995</v>
      </c>
      <c r="H102" s="11" t="s">
        <v>570</v>
      </c>
      <c r="I102" s="11" t="s">
        <v>588</v>
      </c>
      <c r="J102" s="11" t="s">
        <v>165</v>
      </c>
      <c r="K102" s="11" t="s">
        <v>315</v>
      </c>
      <c r="L102" s="11" t="s">
        <v>245</v>
      </c>
      <c r="M102" s="11" t="s">
        <v>58</v>
      </c>
      <c r="N102" s="11">
        <v>11</v>
      </c>
      <c r="O102" s="11" t="s">
        <v>610</v>
      </c>
      <c r="P102" s="18">
        <v>46.99</v>
      </c>
      <c r="Q102" s="11" t="s">
        <v>61</v>
      </c>
      <c r="R102" s="11" t="s">
        <v>62</v>
      </c>
      <c r="S102" s="11">
        <v>150</v>
      </c>
      <c r="T102" s="18">
        <v>70.489999999999995</v>
      </c>
      <c r="U102" s="18">
        <v>0</v>
      </c>
    </row>
    <row r="103" spans="1:21" x14ac:dyDescent="0.2">
      <c r="A103" s="11">
        <v>8814784</v>
      </c>
      <c r="B103" s="11" t="s">
        <v>562</v>
      </c>
      <c r="C103" s="11" t="s">
        <v>305</v>
      </c>
      <c r="D103" s="11" t="s">
        <v>306</v>
      </c>
      <c r="E103" s="11" t="s">
        <v>52</v>
      </c>
      <c r="F103" s="18">
        <v>55</v>
      </c>
      <c r="G103" s="11">
        <v>74.25</v>
      </c>
      <c r="H103" s="11" t="s">
        <v>574</v>
      </c>
      <c r="I103" s="11" t="s">
        <v>599</v>
      </c>
      <c r="J103" s="11" t="s">
        <v>257</v>
      </c>
      <c r="K103" s="11" t="s">
        <v>122</v>
      </c>
      <c r="L103" s="11" t="s">
        <v>56</v>
      </c>
      <c r="M103" s="11" t="s">
        <v>58</v>
      </c>
      <c r="N103" s="11">
        <v>9</v>
      </c>
      <c r="O103" s="11" t="s">
        <v>610</v>
      </c>
      <c r="P103" s="18">
        <v>55</v>
      </c>
      <c r="Q103" s="11" t="s">
        <v>61</v>
      </c>
      <c r="R103" s="11" t="s">
        <v>62</v>
      </c>
      <c r="S103" s="11">
        <v>135</v>
      </c>
      <c r="T103" s="18">
        <v>0</v>
      </c>
      <c r="U103" s="18">
        <v>-74.25</v>
      </c>
    </row>
    <row r="104" spans="1:21" x14ac:dyDescent="0.2">
      <c r="A104" s="11">
        <v>6634327</v>
      </c>
      <c r="B104" s="11" t="s">
        <v>556</v>
      </c>
      <c r="C104" s="11" t="s">
        <v>273</v>
      </c>
      <c r="D104" s="11" t="s">
        <v>274</v>
      </c>
      <c r="E104" s="11" t="s">
        <v>275</v>
      </c>
      <c r="F104" s="18">
        <v>51.84</v>
      </c>
      <c r="G104" s="18">
        <v>77.760000000000005</v>
      </c>
      <c r="H104" s="11" t="s">
        <v>570</v>
      </c>
      <c r="I104" s="11" t="s">
        <v>588</v>
      </c>
      <c r="J104" s="11" t="s">
        <v>165</v>
      </c>
      <c r="K104" s="11" t="s">
        <v>276</v>
      </c>
      <c r="L104" s="11" t="s">
        <v>95</v>
      </c>
      <c r="M104" s="11" t="s">
        <v>58</v>
      </c>
      <c r="N104" s="11">
        <v>12</v>
      </c>
      <c r="O104" s="11" t="s">
        <v>610</v>
      </c>
      <c r="P104" s="18">
        <v>51.84</v>
      </c>
      <c r="Q104" s="11" t="s">
        <v>61</v>
      </c>
      <c r="R104" s="11" t="s">
        <v>62</v>
      </c>
      <c r="S104" s="11">
        <v>150</v>
      </c>
      <c r="T104" s="18">
        <v>77.760000000000005</v>
      </c>
      <c r="U104" s="18">
        <v>0</v>
      </c>
    </row>
    <row r="105" spans="1:21" x14ac:dyDescent="0.2">
      <c r="A105" s="11">
        <v>8307933</v>
      </c>
      <c r="B105" s="11" t="s">
        <v>542</v>
      </c>
      <c r="C105" s="11" t="s">
        <v>310</v>
      </c>
      <c r="D105" s="11" t="s">
        <v>311</v>
      </c>
      <c r="E105" s="11" t="s">
        <v>197</v>
      </c>
      <c r="F105" s="18">
        <v>52.93</v>
      </c>
      <c r="G105" s="18">
        <v>79.400000000000006</v>
      </c>
      <c r="H105" s="11" t="s">
        <v>570</v>
      </c>
      <c r="I105" s="11" t="s">
        <v>588</v>
      </c>
      <c r="J105" s="11" t="s">
        <v>150</v>
      </c>
      <c r="K105" s="11" t="s">
        <v>312</v>
      </c>
      <c r="L105" s="11" t="s">
        <v>245</v>
      </c>
      <c r="M105" s="11" t="s">
        <v>58</v>
      </c>
      <c r="N105" s="11">
        <v>12</v>
      </c>
      <c r="O105" s="11" t="s">
        <v>610</v>
      </c>
      <c r="P105" s="18">
        <v>52.93</v>
      </c>
      <c r="Q105" s="11" t="s">
        <v>61</v>
      </c>
      <c r="R105" s="11" t="s">
        <v>62</v>
      </c>
      <c r="S105" s="11">
        <v>150</v>
      </c>
      <c r="T105" s="18">
        <v>79.400000000000006</v>
      </c>
      <c r="U105" s="18">
        <v>0</v>
      </c>
    </row>
    <row r="106" spans="1:21" x14ac:dyDescent="0.2">
      <c r="A106" s="11">
        <v>8307933</v>
      </c>
      <c r="B106" s="11" t="s">
        <v>542</v>
      </c>
      <c r="C106" s="11" t="s">
        <v>217</v>
      </c>
      <c r="D106" s="11" t="s">
        <v>218</v>
      </c>
      <c r="E106" s="11" t="s">
        <v>219</v>
      </c>
      <c r="F106" s="18">
        <v>123.4</v>
      </c>
      <c r="G106" s="11">
        <v>83.3</v>
      </c>
      <c r="H106" s="11" t="s">
        <v>571</v>
      </c>
      <c r="I106" s="11" t="s">
        <v>589</v>
      </c>
      <c r="J106" s="11" t="s">
        <v>189</v>
      </c>
      <c r="K106" s="11" t="s">
        <v>220</v>
      </c>
      <c r="L106" s="11" t="s">
        <v>56</v>
      </c>
      <c r="M106" s="11" t="s">
        <v>58</v>
      </c>
      <c r="N106" s="11">
        <v>6</v>
      </c>
      <c r="O106" s="11" t="s">
        <v>610</v>
      </c>
      <c r="P106" s="18">
        <v>123.4</v>
      </c>
      <c r="Q106" s="11" t="s">
        <v>61</v>
      </c>
      <c r="R106" s="11" t="s">
        <v>62</v>
      </c>
      <c r="S106" s="11">
        <v>67.5</v>
      </c>
      <c r="T106" s="18">
        <v>0</v>
      </c>
      <c r="U106" s="18">
        <v>-83.3</v>
      </c>
    </row>
    <row r="107" spans="1:21" x14ac:dyDescent="0.2">
      <c r="A107" s="11">
        <v>8307933</v>
      </c>
      <c r="B107" s="11" t="s">
        <v>542</v>
      </c>
      <c r="C107" s="11" t="s">
        <v>316</v>
      </c>
      <c r="D107" s="11" t="s">
        <v>317</v>
      </c>
      <c r="E107" s="11" t="s">
        <v>52</v>
      </c>
      <c r="F107" s="18">
        <v>55.8</v>
      </c>
      <c r="G107" s="18">
        <v>83.7</v>
      </c>
      <c r="H107" s="11" t="s">
        <v>570</v>
      </c>
      <c r="I107" s="11" t="s">
        <v>588</v>
      </c>
      <c r="J107" s="11" t="s">
        <v>150</v>
      </c>
      <c r="K107" s="11" t="s">
        <v>318</v>
      </c>
      <c r="L107" s="11" t="s">
        <v>228</v>
      </c>
      <c r="M107" s="11" t="s">
        <v>58</v>
      </c>
      <c r="N107" s="11">
        <v>10</v>
      </c>
      <c r="O107" s="11" t="s">
        <v>610</v>
      </c>
      <c r="P107" s="18">
        <v>55.8</v>
      </c>
      <c r="Q107" s="11" t="s">
        <v>61</v>
      </c>
      <c r="R107" s="11" t="s">
        <v>62</v>
      </c>
      <c r="S107" s="11">
        <v>150</v>
      </c>
      <c r="T107" s="18">
        <v>83.7</v>
      </c>
      <c r="U107" s="18">
        <v>0</v>
      </c>
    </row>
    <row r="108" spans="1:21" x14ac:dyDescent="0.2">
      <c r="A108" s="11">
        <v>1706194</v>
      </c>
      <c r="B108" s="11" t="s">
        <v>549</v>
      </c>
      <c r="C108" s="11" t="s">
        <v>153</v>
      </c>
      <c r="D108" s="11" t="s">
        <v>154</v>
      </c>
      <c r="E108" s="11" t="s">
        <v>155</v>
      </c>
      <c r="F108" s="18">
        <v>56.6</v>
      </c>
      <c r="G108" s="11">
        <v>84.9</v>
      </c>
      <c r="H108" s="11" t="s">
        <v>570</v>
      </c>
      <c r="I108" s="11" t="s">
        <v>588</v>
      </c>
      <c r="J108" s="11" t="s">
        <v>156</v>
      </c>
      <c r="K108" s="11" t="s">
        <v>157</v>
      </c>
      <c r="L108" s="11" t="s">
        <v>152</v>
      </c>
      <c r="M108" s="11" t="s">
        <v>58</v>
      </c>
      <c r="N108" s="11">
        <v>2</v>
      </c>
      <c r="O108" s="11" t="s">
        <v>610</v>
      </c>
      <c r="P108" s="18">
        <v>56.6</v>
      </c>
      <c r="Q108" s="11" t="s">
        <v>61</v>
      </c>
      <c r="R108" s="11" t="s">
        <v>62</v>
      </c>
      <c r="S108" s="11">
        <v>150</v>
      </c>
      <c r="T108" s="18">
        <v>0</v>
      </c>
      <c r="U108" s="18">
        <v>-84.9</v>
      </c>
    </row>
    <row r="109" spans="1:21" x14ac:dyDescent="0.2">
      <c r="A109" s="16">
        <v>1706194</v>
      </c>
      <c r="B109" s="16" t="s">
        <v>549</v>
      </c>
      <c r="C109" s="16" t="s">
        <v>170</v>
      </c>
      <c r="D109" s="16" t="s">
        <v>171</v>
      </c>
      <c r="E109" s="16" t="s">
        <v>155</v>
      </c>
      <c r="F109" s="16">
        <v>59.010000000000005</v>
      </c>
      <c r="G109" s="16">
        <v>88.515000000000015</v>
      </c>
      <c r="H109" s="16" t="s">
        <v>570</v>
      </c>
      <c r="I109" s="16" t="s">
        <v>588</v>
      </c>
      <c r="J109" s="16" t="s">
        <v>156</v>
      </c>
      <c r="K109" s="16" t="s">
        <v>56</v>
      </c>
      <c r="L109" s="16" t="s">
        <v>56</v>
      </c>
      <c r="M109" s="16" t="s">
        <v>58</v>
      </c>
      <c r="N109" s="16">
        <v>0</v>
      </c>
      <c r="O109" s="16" t="s">
        <v>610</v>
      </c>
      <c r="P109" s="17">
        <v>531.09</v>
      </c>
      <c r="Q109" s="16" t="s">
        <v>61</v>
      </c>
      <c r="R109" s="16" t="s">
        <v>167</v>
      </c>
      <c r="S109" s="16">
        <v>150</v>
      </c>
      <c r="T109" s="17">
        <v>796.68</v>
      </c>
      <c r="U109" s="17">
        <v>796.68</v>
      </c>
    </row>
    <row r="110" spans="1:21" x14ac:dyDescent="0.2">
      <c r="A110" s="16">
        <v>8977234</v>
      </c>
      <c r="B110" s="16" t="s">
        <v>554</v>
      </c>
      <c r="C110" s="16" t="s">
        <v>253</v>
      </c>
      <c r="D110" s="16" t="s">
        <v>254</v>
      </c>
      <c r="E110" s="16" t="s">
        <v>155</v>
      </c>
      <c r="F110" s="16">
        <v>134.33000000000001</v>
      </c>
      <c r="G110" s="16">
        <v>90.672750000000008</v>
      </c>
      <c r="H110" s="16" t="s">
        <v>571</v>
      </c>
      <c r="I110" s="16" t="s">
        <v>589</v>
      </c>
      <c r="J110" s="16" t="s">
        <v>189</v>
      </c>
      <c r="K110" s="16" t="s">
        <v>56</v>
      </c>
      <c r="L110" s="16" t="s">
        <v>56</v>
      </c>
      <c r="M110" s="16" t="s">
        <v>58</v>
      </c>
      <c r="N110" s="16">
        <v>0</v>
      </c>
      <c r="O110" s="11" t="s">
        <v>610</v>
      </c>
      <c r="P110" s="17">
        <v>1208.97</v>
      </c>
      <c r="Q110" s="16" t="s">
        <v>61</v>
      </c>
      <c r="R110" s="16" t="s">
        <v>212</v>
      </c>
      <c r="S110" s="16">
        <v>67.5</v>
      </c>
      <c r="T110" s="17">
        <v>816.05</v>
      </c>
      <c r="U110" s="17">
        <v>816.05</v>
      </c>
    </row>
    <row r="111" spans="1:21" x14ac:dyDescent="0.2">
      <c r="A111" s="14">
        <v>21283956</v>
      </c>
      <c r="B111" s="14" t="s">
        <v>550</v>
      </c>
      <c r="C111" s="14" t="s">
        <v>182</v>
      </c>
      <c r="D111" s="14" t="s">
        <v>183</v>
      </c>
      <c r="E111" s="14" t="s">
        <v>52</v>
      </c>
      <c r="F111" s="15">
        <v>61.94</v>
      </c>
      <c r="G111" s="15">
        <v>92.91</v>
      </c>
      <c r="H111" s="14" t="s">
        <v>570</v>
      </c>
      <c r="I111" s="14" t="s">
        <v>588</v>
      </c>
      <c r="J111" s="14" t="s">
        <v>165</v>
      </c>
      <c r="K111" s="14" t="s">
        <v>184</v>
      </c>
      <c r="L111" s="14" t="s">
        <v>179</v>
      </c>
      <c r="M111" s="14" t="s">
        <v>58</v>
      </c>
      <c r="N111" s="14">
        <v>4</v>
      </c>
      <c r="O111" s="14" t="s">
        <v>611</v>
      </c>
      <c r="P111" s="15">
        <v>61.94</v>
      </c>
      <c r="Q111" s="14" t="s">
        <v>61</v>
      </c>
      <c r="R111" s="14" t="s">
        <v>62</v>
      </c>
      <c r="S111" s="14">
        <v>150</v>
      </c>
      <c r="T111" s="15">
        <v>92.91</v>
      </c>
      <c r="U111" s="15">
        <v>0</v>
      </c>
    </row>
    <row r="112" spans="1:21" x14ac:dyDescent="0.2">
      <c r="A112" s="11">
        <v>8307933</v>
      </c>
      <c r="B112" s="11" t="s">
        <v>542</v>
      </c>
      <c r="C112" s="11" t="s">
        <v>319</v>
      </c>
      <c r="D112" s="11" t="s">
        <v>320</v>
      </c>
      <c r="E112" s="11" t="s">
        <v>52</v>
      </c>
      <c r="F112" s="18">
        <v>63.28</v>
      </c>
      <c r="G112" s="18">
        <v>94.92</v>
      </c>
      <c r="H112" s="11" t="s">
        <v>570</v>
      </c>
      <c r="I112" s="11" t="s">
        <v>588</v>
      </c>
      <c r="J112" s="11" t="s">
        <v>150</v>
      </c>
      <c r="K112" s="11" t="s">
        <v>321</v>
      </c>
      <c r="L112" s="11" t="s">
        <v>166</v>
      </c>
      <c r="M112" s="11" t="s">
        <v>58</v>
      </c>
      <c r="N112" s="11">
        <v>10</v>
      </c>
      <c r="O112" s="11" t="s">
        <v>610</v>
      </c>
      <c r="P112" s="18">
        <v>63.28</v>
      </c>
      <c r="Q112" s="11" t="s">
        <v>61</v>
      </c>
      <c r="R112" s="11" t="s">
        <v>62</v>
      </c>
      <c r="S112" s="11">
        <v>150</v>
      </c>
      <c r="T112" s="18">
        <v>94.92</v>
      </c>
      <c r="U112" s="18">
        <v>0</v>
      </c>
    </row>
    <row r="113" spans="1:21" x14ac:dyDescent="0.2">
      <c r="A113" s="11">
        <v>371819</v>
      </c>
      <c r="B113" s="11" t="s">
        <v>552</v>
      </c>
      <c r="C113" s="11" t="s">
        <v>268</v>
      </c>
      <c r="D113" s="11" t="s">
        <v>269</v>
      </c>
      <c r="E113" s="11" t="s">
        <v>155</v>
      </c>
      <c r="F113" s="18">
        <v>65.42</v>
      </c>
      <c r="G113" s="11">
        <v>98.13</v>
      </c>
      <c r="H113" s="11" t="s">
        <v>570</v>
      </c>
      <c r="I113" s="11" t="s">
        <v>588</v>
      </c>
      <c r="J113" s="11" t="s">
        <v>150</v>
      </c>
      <c r="K113" s="11" t="s">
        <v>270</v>
      </c>
      <c r="L113" s="11" t="s">
        <v>271</v>
      </c>
      <c r="M113" s="11" t="s">
        <v>58</v>
      </c>
      <c r="N113" s="11">
        <v>9</v>
      </c>
      <c r="O113" s="11" t="s">
        <v>610</v>
      </c>
      <c r="P113" s="18">
        <v>65.42</v>
      </c>
      <c r="Q113" s="11" t="s">
        <v>61</v>
      </c>
      <c r="R113" s="11" t="s">
        <v>62</v>
      </c>
      <c r="S113" s="11">
        <v>150</v>
      </c>
      <c r="T113" s="18">
        <v>0</v>
      </c>
      <c r="U113" s="18">
        <v>-98.13</v>
      </c>
    </row>
    <row r="114" spans="1:21" x14ac:dyDescent="0.2">
      <c r="A114" s="16">
        <v>8307933</v>
      </c>
      <c r="B114" s="16" t="s">
        <v>542</v>
      </c>
      <c r="C114" s="16" t="s">
        <v>215</v>
      </c>
      <c r="D114" s="16" t="s">
        <v>216</v>
      </c>
      <c r="E114" s="16" t="s">
        <v>155</v>
      </c>
      <c r="F114" s="16">
        <v>162.97999999999999</v>
      </c>
      <c r="G114" s="16">
        <v>110.0115</v>
      </c>
      <c r="H114" s="16" t="s">
        <v>571</v>
      </c>
      <c r="I114" s="16" t="s">
        <v>589</v>
      </c>
      <c r="J114" s="16" t="s">
        <v>189</v>
      </c>
      <c r="K114" s="16" t="s">
        <v>56</v>
      </c>
      <c r="L114" s="16" t="s">
        <v>56</v>
      </c>
      <c r="M114" s="16" t="s">
        <v>58</v>
      </c>
      <c r="N114" s="16">
        <v>0</v>
      </c>
      <c r="O114" s="16" t="s">
        <v>610</v>
      </c>
      <c r="P114" s="17">
        <v>1466.82</v>
      </c>
      <c r="Q114" s="16" t="s">
        <v>61</v>
      </c>
      <c r="R114" s="16" t="s">
        <v>212</v>
      </c>
      <c r="S114" s="16">
        <v>67.5</v>
      </c>
      <c r="T114" s="17">
        <v>990.1</v>
      </c>
      <c r="U114" s="17">
        <v>990.1</v>
      </c>
    </row>
    <row r="115" spans="1:21" x14ac:dyDescent="0.2">
      <c r="A115" s="11">
        <v>1706194</v>
      </c>
      <c r="B115" s="11" t="s">
        <v>549</v>
      </c>
      <c r="C115" s="11" t="s">
        <v>147</v>
      </c>
      <c r="D115" s="11" t="s">
        <v>148</v>
      </c>
      <c r="E115" s="11" t="s">
        <v>149</v>
      </c>
      <c r="F115" s="18">
        <v>76.180000000000007</v>
      </c>
      <c r="G115" s="11">
        <v>114.27</v>
      </c>
      <c r="H115" s="11" t="s">
        <v>570</v>
      </c>
      <c r="I115" s="11" t="s">
        <v>588</v>
      </c>
      <c r="J115" s="11" t="s">
        <v>150</v>
      </c>
      <c r="K115" s="11" t="s">
        <v>151</v>
      </c>
      <c r="L115" s="11" t="s">
        <v>152</v>
      </c>
      <c r="M115" s="11" t="s">
        <v>58</v>
      </c>
      <c r="N115" s="11">
        <v>3</v>
      </c>
      <c r="O115" s="11" t="s">
        <v>610</v>
      </c>
      <c r="P115" s="18">
        <v>76.180000000000007</v>
      </c>
      <c r="Q115" s="11" t="s">
        <v>61</v>
      </c>
      <c r="R115" s="11" t="s">
        <v>62</v>
      </c>
      <c r="S115" s="11">
        <v>150</v>
      </c>
      <c r="T115" s="18">
        <v>0</v>
      </c>
      <c r="U115" s="18">
        <v>-114.27</v>
      </c>
    </row>
    <row r="116" spans="1:21" x14ac:dyDescent="0.2">
      <c r="A116" s="11">
        <v>5442438</v>
      </c>
      <c r="B116" s="11" t="s">
        <v>555</v>
      </c>
      <c r="C116" s="11" t="s">
        <v>264</v>
      </c>
      <c r="D116" s="11" t="s">
        <v>265</v>
      </c>
      <c r="E116" s="11" t="s">
        <v>193</v>
      </c>
      <c r="F116" s="18">
        <v>76.180000000000007</v>
      </c>
      <c r="G116" s="11">
        <v>114.27</v>
      </c>
      <c r="H116" s="11" t="s">
        <v>570</v>
      </c>
      <c r="I116" s="11" t="s">
        <v>588</v>
      </c>
      <c r="J116" s="11" t="s">
        <v>150</v>
      </c>
      <c r="K116" s="11" t="s">
        <v>266</v>
      </c>
      <c r="L116" s="11" t="s">
        <v>166</v>
      </c>
      <c r="M116" s="11" t="s">
        <v>58</v>
      </c>
      <c r="N116" s="11">
        <v>6</v>
      </c>
      <c r="O116" s="11" t="s">
        <v>610</v>
      </c>
      <c r="P116" s="18">
        <v>76.180000000000007</v>
      </c>
      <c r="Q116" s="11" t="s">
        <v>61</v>
      </c>
      <c r="R116" s="11" t="s">
        <v>62</v>
      </c>
      <c r="S116" s="11">
        <v>150</v>
      </c>
      <c r="T116" s="18">
        <v>0</v>
      </c>
      <c r="U116" s="18">
        <v>-114.27</v>
      </c>
    </row>
    <row r="117" spans="1:21" x14ac:dyDescent="0.2">
      <c r="A117" s="11">
        <v>8307933</v>
      </c>
      <c r="B117" s="11" t="s">
        <v>542</v>
      </c>
      <c r="C117" s="11" t="s">
        <v>221</v>
      </c>
      <c r="D117" s="11" t="s">
        <v>222</v>
      </c>
      <c r="E117" s="11" t="s">
        <v>208</v>
      </c>
      <c r="F117" s="18">
        <v>130.72</v>
      </c>
      <c r="G117" s="11">
        <v>114.38</v>
      </c>
      <c r="H117" s="11" t="s">
        <v>581</v>
      </c>
      <c r="I117" s="11" t="s">
        <v>592</v>
      </c>
      <c r="J117" s="11" t="s">
        <v>223</v>
      </c>
      <c r="K117" s="11" t="s">
        <v>224</v>
      </c>
      <c r="L117" s="11" t="s">
        <v>56</v>
      </c>
      <c r="M117" s="11" t="s">
        <v>58</v>
      </c>
      <c r="N117" s="11">
        <v>3</v>
      </c>
      <c r="O117" s="11" t="s">
        <v>610</v>
      </c>
      <c r="P117" s="18">
        <v>130.72</v>
      </c>
      <c r="Q117" s="11" t="s">
        <v>61</v>
      </c>
      <c r="R117" s="11" t="s">
        <v>62</v>
      </c>
      <c r="S117" s="11">
        <v>87.5</v>
      </c>
      <c r="T117" s="18">
        <v>0</v>
      </c>
      <c r="U117" s="18">
        <v>-114.38</v>
      </c>
    </row>
    <row r="118" spans="1:21" x14ac:dyDescent="0.2">
      <c r="A118" s="11">
        <v>8307933</v>
      </c>
      <c r="B118" s="11" t="s">
        <v>542</v>
      </c>
      <c r="C118" s="11" t="s">
        <v>225</v>
      </c>
      <c r="D118" s="11" t="s">
        <v>226</v>
      </c>
      <c r="E118" s="11" t="s">
        <v>112</v>
      </c>
      <c r="F118" s="18">
        <v>180.35</v>
      </c>
      <c r="G118" s="11">
        <v>121.74</v>
      </c>
      <c r="H118" s="11" t="s">
        <v>571</v>
      </c>
      <c r="I118" s="11" t="s">
        <v>589</v>
      </c>
      <c r="J118" s="11" t="s">
        <v>189</v>
      </c>
      <c r="K118" s="11" t="s">
        <v>227</v>
      </c>
      <c r="L118" s="11" t="s">
        <v>228</v>
      </c>
      <c r="M118" s="11" t="s">
        <v>58</v>
      </c>
      <c r="N118" s="11">
        <v>3</v>
      </c>
      <c r="O118" s="11" t="s">
        <v>610</v>
      </c>
      <c r="P118" s="18">
        <v>180.35</v>
      </c>
      <c r="Q118" s="11" t="s">
        <v>61</v>
      </c>
      <c r="R118" s="11" t="s">
        <v>62</v>
      </c>
      <c r="S118" s="11">
        <v>67.5</v>
      </c>
      <c r="T118" s="18">
        <v>0</v>
      </c>
      <c r="U118" s="18">
        <v>-121.74</v>
      </c>
    </row>
    <row r="119" spans="1:21" x14ac:dyDescent="0.2">
      <c r="A119" s="14">
        <v>21561165</v>
      </c>
      <c r="B119" s="14" t="s">
        <v>551</v>
      </c>
      <c r="C119" s="14" t="s">
        <v>186</v>
      </c>
      <c r="D119" s="14" t="s">
        <v>187</v>
      </c>
      <c r="E119" s="14" t="s">
        <v>188</v>
      </c>
      <c r="F119" s="15">
        <v>90.66</v>
      </c>
      <c r="G119" s="15">
        <v>122.39</v>
      </c>
      <c r="H119" s="14" t="s">
        <v>571</v>
      </c>
      <c r="I119" s="14" t="s">
        <v>590</v>
      </c>
      <c r="J119" s="14" t="s">
        <v>189</v>
      </c>
      <c r="K119" s="14" t="s">
        <v>190</v>
      </c>
      <c r="L119" s="14" t="s">
        <v>95</v>
      </c>
      <c r="M119" s="14" t="s">
        <v>58</v>
      </c>
      <c r="N119" s="14">
        <v>2</v>
      </c>
      <c r="O119" s="14" t="s">
        <v>611</v>
      </c>
      <c r="P119" s="15">
        <v>90.66</v>
      </c>
      <c r="Q119" s="14" t="s">
        <v>61</v>
      </c>
      <c r="R119" s="14" t="s">
        <v>62</v>
      </c>
      <c r="S119" s="14">
        <v>135</v>
      </c>
      <c r="T119" s="15">
        <v>122.39</v>
      </c>
      <c r="U119" s="15">
        <v>0</v>
      </c>
    </row>
    <row r="120" spans="1:21" x14ac:dyDescent="0.2">
      <c r="A120" s="11">
        <v>9079571</v>
      </c>
      <c r="B120" s="11" t="s">
        <v>559</v>
      </c>
      <c r="C120" s="11" t="s">
        <v>290</v>
      </c>
      <c r="D120" s="11" t="s">
        <v>291</v>
      </c>
      <c r="E120" s="11" t="s">
        <v>193</v>
      </c>
      <c r="F120" s="18">
        <v>82.81</v>
      </c>
      <c r="G120" s="18">
        <v>124.22</v>
      </c>
      <c r="H120" s="11" t="s">
        <v>570</v>
      </c>
      <c r="I120" s="11" t="s">
        <v>588</v>
      </c>
      <c r="J120" s="11" t="s">
        <v>165</v>
      </c>
      <c r="K120" s="11" t="s">
        <v>74</v>
      </c>
      <c r="L120" s="11" t="s">
        <v>56</v>
      </c>
      <c r="M120" s="11" t="s">
        <v>58</v>
      </c>
      <c r="N120" s="11">
        <v>12</v>
      </c>
      <c r="O120" s="11" t="s">
        <v>610</v>
      </c>
      <c r="P120" s="18">
        <v>82.81</v>
      </c>
      <c r="Q120" s="11" t="s">
        <v>61</v>
      </c>
      <c r="R120" s="11" t="s">
        <v>62</v>
      </c>
      <c r="S120" s="11">
        <v>150</v>
      </c>
      <c r="T120" s="18">
        <v>124.22</v>
      </c>
      <c r="U120" s="18">
        <v>0</v>
      </c>
    </row>
    <row r="121" spans="1:21" x14ac:dyDescent="0.2">
      <c r="A121" s="16">
        <v>1706194</v>
      </c>
      <c r="B121" s="16" t="s">
        <v>549</v>
      </c>
      <c r="C121" s="16" t="s">
        <v>168</v>
      </c>
      <c r="D121" s="16" t="s">
        <v>169</v>
      </c>
      <c r="E121" s="16" t="s">
        <v>155</v>
      </c>
      <c r="F121" s="16">
        <v>87</v>
      </c>
      <c r="G121" s="16">
        <v>130.5</v>
      </c>
      <c r="H121" s="16" t="s">
        <v>570</v>
      </c>
      <c r="I121" s="16" t="s">
        <v>588</v>
      </c>
      <c r="J121" s="16" t="s">
        <v>165</v>
      </c>
      <c r="K121" s="16" t="s">
        <v>166</v>
      </c>
      <c r="L121" s="16" t="s">
        <v>166</v>
      </c>
      <c r="M121" s="16" t="s">
        <v>58</v>
      </c>
      <c r="N121" s="16">
        <v>0</v>
      </c>
      <c r="O121" s="16" t="s">
        <v>610</v>
      </c>
      <c r="P121" s="17">
        <v>783</v>
      </c>
      <c r="Q121" s="16" t="s">
        <v>61</v>
      </c>
      <c r="R121" s="16" t="s">
        <v>167</v>
      </c>
      <c r="S121" s="16">
        <v>150</v>
      </c>
      <c r="T121" s="17">
        <v>1174.5</v>
      </c>
      <c r="U121" s="17">
        <v>1174.5</v>
      </c>
    </row>
    <row r="122" spans="1:21" x14ac:dyDescent="0.2">
      <c r="A122" s="11">
        <v>8307933</v>
      </c>
      <c r="B122" s="11" t="s">
        <v>542</v>
      </c>
      <c r="C122" s="11" t="s">
        <v>327</v>
      </c>
      <c r="D122" s="11" t="s">
        <v>328</v>
      </c>
      <c r="E122" s="11" t="s">
        <v>52</v>
      </c>
      <c r="F122" s="18">
        <v>197.58</v>
      </c>
      <c r="G122" s="11">
        <v>133.37</v>
      </c>
      <c r="H122" s="11" t="s">
        <v>571</v>
      </c>
      <c r="I122" s="11" t="s">
        <v>589</v>
      </c>
      <c r="J122" s="11" t="s">
        <v>189</v>
      </c>
      <c r="K122" s="11" t="s">
        <v>329</v>
      </c>
      <c r="L122" s="11" t="s">
        <v>95</v>
      </c>
      <c r="M122" s="11" t="s">
        <v>58</v>
      </c>
      <c r="N122" s="11">
        <v>8</v>
      </c>
      <c r="O122" s="11" t="s">
        <v>610</v>
      </c>
      <c r="P122" s="18">
        <v>197.58</v>
      </c>
      <c r="Q122" s="11" t="s">
        <v>61</v>
      </c>
      <c r="R122" s="11" t="s">
        <v>62</v>
      </c>
      <c r="S122" s="11">
        <v>67.5</v>
      </c>
      <c r="T122" s="18">
        <v>0</v>
      </c>
      <c r="U122" s="18">
        <v>-133.37</v>
      </c>
    </row>
    <row r="123" spans="1:21" x14ac:dyDescent="0.2">
      <c r="A123" s="11">
        <v>1706194</v>
      </c>
      <c r="B123" s="11" t="s">
        <v>549</v>
      </c>
      <c r="C123" s="11" t="s">
        <v>349</v>
      </c>
      <c r="D123" s="11" t="s">
        <v>350</v>
      </c>
      <c r="E123" s="11" t="s">
        <v>160</v>
      </c>
      <c r="F123" s="18">
        <v>97.44</v>
      </c>
      <c r="G123" s="11">
        <v>146.16</v>
      </c>
      <c r="H123" s="11" t="s">
        <v>570</v>
      </c>
      <c r="I123" s="11" t="s">
        <v>588</v>
      </c>
      <c r="J123" s="11" t="s">
        <v>150</v>
      </c>
      <c r="K123" s="11" t="s">
        <v>351</v>
      </c>
      <c r="L123" s="11" t="s">
        <v>352</v>
      </c>
      <c r="M123" s="11" t="s">
        <v>58</v>
      </c>
      <c r="N123" s="11">
        <v>6</v>
      </c>
      <c r="O123" s="11" t="s">
        <v>610</v>
      </c>
      <c r="P123" s="18">
        <v>97.44</v>
      </c>
      <c r="Q123" s="11" t="s">
        <v>61</v>
      </c>
      <c r="R123" s="11" t="s">
        <v>62</v>
      </c>
      <c r="S123" s="11">
        <v>150</v>
      </c>
      <c r="T123" s="18">
        <v>0</v>
      </c>
      <c r="U123" s="18">
        <v>-146.16</v>
      </c>
    </row>
    <row r="124" spans="1:21" x14ac:dyDescent="0.2">
      <c r="A124" s="11">
        <v>9213293</v>
      </c>
      <c r="B124" s="11" t="s">
        <v>560</v>
      </c>
      <c r="C124" s="11" t="s">
        <v>293</v>
      </c>
      <c r="D124" s="11" t="s">
        <v>294</v>
      </c>
      <c r="E124" s="11" t="s">
        <v>52</v>
      </c>
      <c r="F124" s="18">
        <v>115.77</v>
      </c>
      <c r="G124" s="18">
        <v>156.29</v>
      </c>
      <c r="H124" s="11" t="s">
        <v>574</v>
      </c>
      <c r="I124" s="11" t="s">
        <v>599</v>
      </c>
      <c r="J124" s="11" t="s">
        <v>257</v>
      </c>
      <c r="K124" s="11" t="s">
        <v>74</v>
      </c>
      <c r="L124" s="11" t="s">
        <v>56</v>
      </c>
      <c r="M124" s="11" t="s">
        <v>58</v>
      </c>
      <c r="N124" s="11">
        <v>12</v>
      </c>
      <c r="O124" s="11" t="s">
        <v>610</v>
      </c>
      <c r="P124" s="18">
        <v>115.77</v>
      </c>
      <c r="Q124" s="11" t="s">
        <v>61</v>
      </c>
      <c r="R124" s="11" t="s">
        <v>62</v>
      </c>
      <c r="S124" s="11">
        <v>135</v>
      </c>
      <c r="T124" s="18">
        <v>156.29</v>
      </c>
      <c r="U124" s="18">
        <v>0</v>
      </c>
    </row>
    <row r="125" spans="1:21" x14ac:dyDescent="0.2">
      <c r="A125" s="11">
        <v>8307933</v>
      </c>
      <c r="B125" s="11" t="s">
        <v>542</v>
      </c>
      <c r="C125" s="11" t="s">
        <v>324</v>
      </c>
      <c r="D125" s="11" t="s">
        <v>325</v>
      </c>
      <c r="E125" s="11" t="s">
        <v>112</v>
      </c>
      <c r="F125" s="18">
        <v>105.13</v>
      </c>
      <c r="G125" s="18">
        <v>157.69999999999999</v>
      </c>
      <c r="H125" s="11" t="s">
        <v>570</v>
      </c>
      <c r="I125" s="11" t="s">
        <v>588</v>
      </c>
      <c r="J125" s="11" t="s">
        <v>150</v>
      </c>
      <c r="K125" s="11" t="s">
        <v>326</v>
      </c>
      <c r="L125" s="11" t="s">
        <v>271</v>
      </c>
      <c r="M125" s="11" t="s">
        <v>58</v>
      </c>
      <c r="N125" s="11">
        <v>10</v>
      </c>
      <c r="O125" s="11" t="s">
        <v>610</v>
      </c>
      <c r="P125" s="18">
        <v>105.13</v>
      </c>
      <c r="Q125" s="11" t="s">
        <v>61</v>
      </c>
      <c r="R125" s="11" t="s">
        <v>62</v>
      </c>
      <c r="S125" s="11">
        <v>150</v>
      </c>
      <c r="T125" s="18">
        <v>157.69999999999999</v>
      </c>
      <c r="U125" s="18">
        <v>0</v>
      </c>
    </row>
    <row r="126" spans="1:21" x14ac:dyDescent="0.2">
      <c r="A126" s="11">
        <v>8307933</v>
      </c>
      <c r="B126" s="11" t="s">
        <v>542</v>
      </c>
      <c r="C126" s="11" t="s">
        <v>234</v>
      </c>
      <c r="D126" s="11" t="s">
        <v>235</v>
      </c>
      <c r="E126" s="11" t="s">
        <v>188</v>
      </c>
      <c r="F126" s="18">
        <v>234.36</v>
      </c>
      <c r="G126" s="11">
        <v>158.19</v>
      </c>
      <c r="H126" s="11" t="s">
        <v>571</v>
      </c>
      <c r="I126" s="11" t="s">
        <v>589</v>
      </c>
      <c r="J126" s="11" t="s">
        <v>189</v>
      </c>
      <c r="K126" s="11" t="s">
        <v>236</v>
      </c>
      <c r="L126" s="11" t="s">
        <v>237</v>
      </c>
      <c r="M126" s="11" t="s">
        <v>58</v>
      </c>
      <c r="N126" s="11">
        <v>1</v>
      </c>
      <c r="O126" s="11" t="s">
        <v>610</v>
      </c>
      <c r="P126" s="18">
        <v>234.36</v>
      </c>
      <c r="Q126" s="11" t="s">
        <v>61</v>
      </c>
      <c r="R126" s="11" t="s">
        <v>200</v>
      </c>
      <c r="S126" s="11">
        <v>67.5</v>
      </c>
      <c r="T126" s="18">
        <v>0</v>
      </c>
      <c r="U126" s="18">
        <v>-158.19</v>
      </c>
    </row>
    <row r="127" spans="1:21" x14ac:dyDescent="0.2">
      <c r="A127" s="11">
        <v>8307933</v>
      </c>
      <c r="B127" s="11" t="s">
        <v>542</v>
      </c>
      <c r="C127" s="11" t="s">
        <v>234</v>
      </c>
      <c r="D127" s="11" t="s">
        <v>235</v>
      </c>
      <c r="E127" s="11" t="s">
        <v>188</v>
      </c>
      <c r="F127" s="18">
        <v>234.36</v>
      </c>
      <c r="G127" s="11">
        <v>158.19</v>
      </c>
      <c r="H127" s="11" t="s">
        <v>571</v>
      </c>
      <c r="I127" s="11" t="s">
        <v>589</v>
      </c>
      <c r="J127" s="11" t="s">
        <v>189</v>
      </c>
      <c r="K127" s="11" t="s">
        <v>236</v>
      </c>
      <c r="L127" s="11" t="s">
        <v>237</v>
      </c>
      <c r="M127" s="11" t="s">
        <v>58</v>
      </c>
      <c r="N127" s="11">
        <v>1</v>
      </c>
      <c r="O127" s="11" t="s">
        <v>610</v>
      </c>
      <c r="P127" s="18">
        <v>234.36</v>
      </c>
      <c r="Q127" s="11" t="s">
        <v>61</v>
      </c>
      <c r="R127" s="11" t="s">
        <v>62</v>
      </c>
      <c r="S127" s="11">
        <v>67.5</v>
      </c>
      <c r="T127" s="18">
        <v>0</v>
      </c>
      <c r="U127" s="18">
        <v>-158.19</v>
      </c>
    </row>
    <row r="128" spans="1:21" x14ac:dyDescent="0.2">
      <c r="A128" s="16">
        <v>8307933</v>
      </c>
      <c r="B128" s="16" t="s">
        <v>542</v>
      </c>
      <c r="C128" s="16" t="s">
        <v>213</v>
      </c>
      <c r="D128" s="16" t="s">
        <v>214</v>
      </c>
      <c r="E128" s="16" t="s">
        <v>155</v>
      </c>
      <c r="F128" s="16">
        <v>237.38</v>
      </c>
      <c r="G128" s="16">
        <v>160.23150000000001</v>
      </c>
      <c r="H128" s="16" t="s">
        <v>571</v>
      </c>
      <c r="I128" s="16" t="s">
        <v>589</v>
      </c>
      <c r="J128" s="16" t="s">
        <v>189</v>
      </c>
      <c r="K128" s="16" t="s">
        <v>56</v>
      </c>
      <c r="L128" s="16" t="s">
        <v>56</v>
      </c>
      <c r="M128" s="16" t="s">
        <v>58</v>
      </c>
      <c r="N128" s="16">
        <v>0</v>
      </c>
      <c r="O128" s="16" t="s">
        <v>610</v>
      </c>
      <c r="P128" s="17">
        <v>2136.42</v>
      </c>
      <c r="Q128" s="16" t="s">
        <v>61</v>
      </c>
      <c r="R128" s="16" t="s">
        <v>212</v>
      </c>
      <c r="S128" s="16">
        <v>67.5</v>
      </c>
      <c r="T128" s="17">
        <v>1442.08</v>
      </c>
      <c r="U128" s="17">
        <v>1442.08</v>
      </c>
    </row>
    <row r="129" spans="1:21" x14ac:dyDescent="0.2">
      <c r="A129" s="11">
        <v>1706194</v>
      </c>
      <c r="B129" s="11" t="s">
        <v>549</v>
      </c>
      <c r="C129" s="11" t="s">
        <v>346</v>
      </c>
      <c r="D129" s="11" t="s">
        <v>347</v>
      </c>
      <c r="E129" s="11" t="s">
        <v>155</v>
      </c>
      <c r="F129" s="18">
        <v>109.47</v>
      </c>
      <c r="G129" s="18">
        <v>164.21</v>
      </c>
      <c r="H129" s="11" t="s">
        <v>570</v>
      </c>
      <c r="I129" s="11" t="s">
        <v>588</v>
      </c>
      <c r="J129" s="11" t="s">
        <v>156</v>
      </c>
      <c r="K129" s="11" t="s">
        <v>348</v>
      </c>
      <c r="L129" s="11" t="s">
        <v>95</v>
      </c>
      <c r="M129" s="11" t="s">
        <v>58</v>
      </c>
      <c r="N129" s="11">
        <v>10</v>
      </c>
      <c r="O129" s="11" t="s">
        <v>610</v>
      </c>
      <c r="P129" s="18">
        <v>109.47</v>
      </c>
      <c r="Q129" s="11" t="s">
        <v>61</v>
      </c>
      <c r="R129" s="11" t="s">
        <v>62</v>
      </c>
      <c r="S129" s="11">
        <v>150</v>
      </c>
      <c r="T129" s="18">
        <v>164.21</v>
      </c>
      <c r="U129" s="18">
        <v>0</v>
      </c>
    </row>
    <row r="130" spans="1:21" x14ac:dyDescent="0.2">
      <c r="A130" s="16">
        <v>1706194</v>
      </c>
      <c r="B130" s="16" t="s">
        <v>549</v>
      </c>
      <c r="C130" s="16" t="s">
        <v>172</v>
      </c>
      <c r="D130" s="16" t="s">
        <v>173</v>
      </c>
      <c r="E130" s="16" t="s">
        <v>174</v>
      </c>
      <c r="F130" s="16">
        <v>127.36</v>
      </c>
      <c r="G130" s="16">
        <v>191.04</v>
      </c>
      <c r="H130" s="16" t="s">
        <v>570</v>
      </c>
      <c r="I130" s="16" t="s">
        <v>588</v>
      </c>
      <c r="J130" s="16" t="s">
        <v>150</v>
      </c>
      <c r="K130" s="16" t="s">
        <v>56</v>
      </c>
      <c r="L130" s="16" t="s">
        <v>56</v>
      </c>
      <c r="M130" s="16" t="s">
        <v>58</v>
      </c>
      <c r="N130" s="16">
        <v>0</v>
      </c>
      <c r="O130" s="16" t="s">
        <v>610</v>
      </c>
      <c r="P130" s="17">
        <v>1146.24</v>
      </c>
      <c r="Q130" s="16" t="s">
        <v>61</v>
      </c>
      <c r="R130" s="16" t="s">
        <v>167</v>
      </c>
      <c r="S130" s="16">
        <v>150</v>
      </c>
      <c r="T130" s="17">
        <v>1719.36</v>
      </c>
      <c r="U130" s="17">
        <v>1719.36</v>
      </c>
    </row>
    <row r="131" spans="1:21" x14ac:dyDescent="0.2">
      <c r="A131" s="16">
        <v>8307933</v>
      </c>
      <c r="B131" s="16" t="s">
        <v>542</v>
      </c>
      <c r="C131" s="16" t="s">
        <v>209</v>
      </c>
      <c r="D131" s="16" t="s">
        <v>210</v>
      </c>
      <c r="E131" s="16" t="s">
        <v>211</v>
      </c>
      <c r="F131" s="16">
        <v>297.70000000000005</v>
      </c>
      <c r="G131" s="16">
        <v>200.94750000000005</v>
      </c>
      <c r="H131" s="16" t="s">
        <v>571</v>
      </c>
      <c r="I131" s="16" t="s">
        <v>589</v>
      </c>
      <c r="J131" s="16" t="s">
        <v>189</v>
      </c>
      <c r="K131" s="16" t="s">
        <v>56</v>
      </c>
      <c r="L131" s="16" t="s">
        <v>56</v>
      </c>
      <c r="M131" s="16" t="s">
        <v>58</v>
      </c>
      <c r="N131" s="16">
        <v>0</v>
      </c>
      <c r="O131" s="16" t="s">
        <v>610</v>
      </c>
      <c r="P131" s="17">
        <v>2679.3</v>
      </c>
      <c r="Q131" s="16" t="s">
        <v>61</v>
      </c>
      <c r="R131" s="16" t="s">
        <v>212</v>
      </c>
      <c r="S131" s="16">
        <v>67.5</v>
      </c>
      <c r="T131" s="17">
        <v>1808.53</v>
      </c>
      <c r="U131" s="17">
        <v>1808.53</v>
      </c>
    </row>
    <row r="132" spans="1:21" x14ac:dyDescent="0.2">
      <c r="A132" s="16">
        <v>8307933</v>
      </c>
      <c r="B132" s="16" t="s">
        <v>542</v>
      </c>
      <c r="C132" s="16" t="s">
        <v>260</v>
      </c>
      <c r="D132" s="16" t="s">
        <v>261</v>
      </c>
      <c r="E132" s="16" t="s">
        <v>149</v>
      </c>
      <c r="F132" s="16">
        <v>299.45999999999998</v>
      </c>
      <c r="G132" s="16">
        <v>202.13550000000001</v>
      </c>
      <c r="H132" s="16" t="s">
        <v>571</v>
      </c>
      <c r="I132" s="16" t="s">
        <v>589</v>
      </c>
      <c r="J132" s="16" t="s">
        <v>189</v>
      </c>
      <c r="K132" s="16" t="s">
        <v>262</v>
      </c>
      <c r="L132" s="16" t="s">
        <v>262</v>
      </c>
      <c r="M132" s="16" t="s">
        <v>58</v>
      </c>
      <c r="N132" s="16">
        <v>0</v>
      </c>
      <c r="O132" s="16" t="s">
        <v>610</v>
      </c>
      <c r="P132" s="17">
        <v>2695.14</v>
      </c>
      <c r="Q132" s="16" t="s">
        <v>61</v>
      </c>
      <c r="R132" s="16" t="s">
        <v>212</v>
      </c>
      <c r="S132" s="16">
        <v>67.5</v>
      </c>
      <c r="T132" s="17">
        <v>1819.22</v>
      </c>
      <c r="U132" s="17">
        <v>1819.22</v>
      </c>
    </row>
    <row r="133" spans="1:21" x14ac:dyDescent="0.2">
      <c r="A133" s="14" t="s">
        <v>614</v>
      </c>
      <c r="B133" s="14" t="s">
        <v>551</v>
      </c>
      <c r="C133" s="14" t="s">
        <v>191</v>
      </c>
      <c r="D133" s="14" t="s">
        <v>192</v>
      </c>
      <c r="E133" s="14" t="s">
        <v>193</v>
      </c>
      <c r="F133" s="14">
        <v>152.36000000000001</v>
      </c>
      <c r="G133" s="14">
        <v>205.68600000000004</v>
      </c>
      <c r="H133" s="14" t="s">
        <v>571</v>
      </c>
      <c r="I133" s="14" t="s">
        <v>590</v>
      </c>
      <c r="J133" s="14" t="s">
        <v>189</v>
      </c>
      <c r="K133" s="14" t="s">
        <v>161</v>
      </c>
      <c r="L133" s="14" t="s">
        <v>56</v>
      </c>
      <c r="M133" s="14" t="s">
        <v>58</v>
      </c>
      <c r="N133" s="14">
        <v>1</v>
      </c>
      <c r="O133" s="14" t="s">
        <v>612</v>
      </c>
      <c r="P133" s="15">
        <v>1371.24</v>
      </c>
      <c r="Q133" s="14" t="s">
        <v>61</v>
      </c>
      <c r="R133" s="14" t="s">
        <v>167</v>
      </c>
      <c r="S133" s="14">
        <v>135</v>
      </c>
      <c r="T133" s="15">
        <v>1851.17</v>
      </c>
      <c r="U133" s="15">
        <v>1851.17</v>
      </c>
    </row>
    <row r="134" spans="1:21" x14ac:dyDescent="0.2">
      <c r="A134" s="11">
        <v>16228684</v>
      </c>
      <c r="B134" s="11" t="s">
        <v>553</v>
      </c>
      <c r="C134" s="11" t="s">
        <v>202</v>
      </c>
      <c r="D134" s="11" t="s">
        <v>203</v>
      </c>
      <c r="E134" s="11" t="s">
        <v>52</v>
      </c>
      <c r="F134" s="18">
        <v>153.93</v>
      </c>
      <c r="G134" s="11">
        <v>207.81</v>
      </c>
      <c r="H134" s="11" t="s">
        <v>571</v>
      </c>
      <c r="I134" s="11" t="s">
        <v>591</v>
      </c>
      <c r="J134" s="11" t="s">
        <v>189</v>
      </c>
      <c r="K134" s="11" t="s">
        <v>204</v>
      </c>
      <c r="L134" s="11" t="s">
        <v>166</v>
      </c>
      <c r="M134" s="11" t="s">
        <v>58</v>
      </c>
      <c r="N134" s="11">
        <v>3</v>
      </c>
      <c r="O134" s="11" t="s">
        <v>610</v>
      </c>
      <c r="P134" s="18">
        <v>153.93</v>
      </c>
      <c r="Q134" s="11" t="s">
        <v>61</v>
      </c>
      <c r="R134" s="11" t="s">
        <v>62</v>
      </c>
      <c r="S134" s="11">
        <v>135</v>
      </c>
      <c r="T134" s="18">
        <v>0</v>
      </c>
      <c r="U134" s="18">
        <v>-207.81</v>
      </c>
    </row>
    <row r="135" spans="1:21" x14ac:dyDescent="0.2">
      <c r="A135" s="19">
        <v>7470776</v>
      </c>
      <c r="B135" s="19" t="s">
        <v>561</v>
      </c>
      <c r="C135" s="19" t="s">
        <v>299</v>
      </c>
      <c r="D135" s="19" t="s">
        <v>300</v>
      </c>
      <c r="E135" s="19" t="s">
        <v>52</v>
      </c>
      <c r="F135" s="20">
        <v>143.11000000000001</v>
      </c>
      <c r="G135" s="19">
        <v>214.67</v>
      </c>
      <c r="H135" s="19" t="s">
        <v>570</v>
      </c>
      <c r="I135" s="19" t="s">
        <v>588</v>
      </c>
      <c r="J135" s="19" t="s">
        <v>165</v>
      </c>
      <c r="K135" s="19" t="s">
        <v>298</v>
      </c>
      <c r="L135" s="19" t="s">
        <v>95</v>
      </c>
      <c r="M135" s="19" t="s">
        <v>58</v>
      </c>
      <c r="N135" s="19">
        <v>9</v>
      </c>
      <c r="O135" s="19" t="s">
        <v>610</v>
      </c>
      <c r="P135" s="20">
        <v>143.11000000000001</v>
      </c>
      <c r="Q135" s="19" t="s">
        <v>61</v>
      </c>
      <c r="R135" s="19" t="s">
        <v>62</v>
      </c>
      <c r="S135" s="19">
        <v>150</v>
      </c>
      <c r="T135" s="20">
        <v>0</v>
      </c>
      <c r="U135" s="20">
        <v>-214.67</v>
      </c>
    </row>
    <row r="136" spans="1:21" x14ac:dyDescent="0.2">
      <c r="A136" s="11">
        <v>7470776</v>
      </c>
      <c r="B136" s="11" t="s">
        <v>561</v>
      </c>
      <c r="C136" s="11" t="s">
        <v>296</v>
      </c>
      <c r="D136" s="11" t="s">
        <v>297</v>
      </c>
      <c r="E136" s="11" t="s">
        <v>52</v>
      </c>
      <c r="F136" s="18">
        <v>152.19</v>
      </c>
      <c r="G136" s="11">
        <v>228.28</v>
      </c>
      <c r="H136" s="11" t="s">
        <v>570</v>
      </c>
      <c r="I136" s="11" t="s">
        <v>588</v>
      </c>
      <c r="J136" s="11" t="s">
        <v>165</v>
      </c>
      <c r="K136" s="11" t="s">
        <v>298</v>
      </c>
      <c r="L136" s="11" t="s">
        <v>95</v>
      </c>
      <c r="M136" s="11" t="s">
        <v>58</v>
      </c>
      <c r="N136" s="11">
        <v>9</v>
      </c>
      <c r="O136" s="11" t="s">
        <v>610</v>
      </c>
      <c r="P136" s="18">
        <v>152.19</v>
      </c>
      <c r="Q136" s="11" t="s">
        <v>61</v>
      </c>
      <c r="R136" s="11" t="s">
        <v>62</v>
      </c>
      <c r="S136" s="11">
        <v>150</v>
      </c>
      <c r="T136" s="18">
        <v>54.61</v>
      </c>
      <c r="U136" s="18">
        <v>-173.68</v>
      </c>
    </row>
    <row r="137" spans="1:21" x14ac:dyDescent="0.2">
      <c r="A137" s="11">
        <v>8307933</v>
      </c>
      <c r="B137" s="11" t="s">
        <v>542</v>
      </c>
      <c r="C137" s="11" t="s">
        <v>307</v>
      </c>
      <c r="D137" s="11" t="s">
        <v>308</v>
      </c>
      <c r="E137" s="11" t="s">
        <v>188</v>
      </c>
      <c r="F137" s="18">
        <v>171.54</v>
      </c>
      <c r="G137" s="18">
        <v>231.58</v>
      </c>
      <c r="H137" s="11" t="s">
        <v>571</v>
      </c>
      <c r="I137" s="11" t="s">
        <v>599</v>
      </c>
      <c r="J137" s="11" t="s">
        <v>189</v>
      </c>
      <c r="K137" s="11" t="s">
        <v>309</v>
      </c>
      <c r="L137" s="11" t="s">
        <v>228</v>
      </c>
      <c r="M137" s="11" t="s">
        <v>58</v>
      </c>
      <c r="N137" s="11">
        <v>12</v>
      </c>
      <c r="O137" s="11" t="s">
        <v>610</v>
      </c>
      <c r="P137" s="18">
        <v>171.54</v>
      </c>
      <c r="Q137" s="11" t="s">
        <v>61</v>
      </c>
      <c r="R137" s="11" t="s">
        <v>62</v>
      </c>
      <c r="S137" s="11">
        <v>135</v>
      </c>
      <c r="T137" s="18">
        <v>231.58</v>
      </c>
      <c r="U137" s="18">
        <v>0</v>
      </c>
    </row>
    <row r="138" spans="1:21" x14ac:dyDescent="0.2">
      <c r="A138" s="16">
        <v>1706194</v>
      </c>
      <c r="B138" s="16" t="s">
        <v>549</v>
      </c>
      <c r="C138" s="16" t="s">
        <v>163</v>
      </c>
      <c r="D138" s="16" t="s">
        <v>164</v>
      </c>
      <c r="E138" s="16" t="s">
        <v>155</v>
      </c>
      <c r="F138" s="16">
        <v>165.32000000000002</v>
      </c>
      <c r="G138" s="16">
        <v>247.98000000000002</v>
      </c>
      <c r="H138" s="16" t="s">
        <v>570</v>
      </c>
      <c r="I138" s="16" t="s">
        <v>588</v>
      </c>
      <c r="J138" s="16" t="s">
        <v>165</v>
      </c>
      <c r="K138" s="16" t="s">
        <v>166</v>
      </c>
      <c r="L138" s="16" t="s">
        <v>166</v>
      </c>
      <c r="M138" s="16" t="s">
        <v>58</v>
      </c>
      <c r="N138" s="16">
        <v>0</v>
      </c>
      <c r="O138" s="16" t="s">
        <v>610</v>
      </c>
      <c r="P138" s="17">
        <v>1487.88</v>
      </c>
      <c r="Q138" s="16" t="s">
        <v>61</v>
      </c>
      <c r="R138" s="16" t="s">
        <v>167</v>
      </c>
      <c r="S138" s="16">
        <v>150</v>
      </c>
      <c r="T138" s="17">
        <v>2000</v>
      </c>
      <c r="U138" s="17">
        <v>2000</v>
      </c>
    </row>
    <row r="139" spans="1:21" x14ac:dyDescent="0.2">
      <c r="A139" s="11">
        <v>1706194</v>
      </c>
      <c r="B139" s="11" t="s">
        <v>549</v>
      </c>
      <c r="C139" s="11" t="s">
        <v>343</v>
      </c>
      <c r="D139" s="11" t="s">
        <v>344</v>
      </c>
      <c r="E139" s="11" t="s">
        <v>149</v>
      </c>
      <c r="F139" s="18">
        <v>165.54</v>
      </c>
      <c r="G139" s="18">
        <v>248.31</v>
      </c>
      <c r="H139" s="11" t="s">
        <v>570</v>
      </c>
      <c r="I139" s="11" t="s">
        <v>588</v>
      </c>
      <c r="J139" s="11" t="s">
        <v>156</v>
      </c>
      <c r="K139" s="11" t="s">
        <v>345</v>
      </c>
      <c r="L139" s="11" t="s">
        <v>166</v>
      </c>
      <c r="M139" s="11" t="s">
        <v>58</v>
      </c>
      <c r="N139" s="11">
        <v>12</v>
      </c>
      <c r="O139" s="11" t="s">
        <v>610</v>
      </c>
      <c r="P139" s="18">
        <v>165.54</v>
      </c>
      <c r="Q139" s="11" t="s">
        <v>61</v>
      </c>
      <c r="R139" s="11" t="s">
        <v>62</v>
      </c>
      <c r="S139" s="11">
        <v>150</v>
      </c>
      <c r="T139" s="18">
        <v>248.31</v>
      </c>
      <c r="U139" s="18">
        <v>0</v>
      </c>
    </row>
    <row r="140" spans="1:21" x14ac:dyDescent="0.2">
      <c r="A140" s="16">
        <v>1706194</v>
      </c>
      <c r="B140" s="16" t="s">
        <v>549</v>
      </c>
      <c r="C140" s="16" t="s">
        <v>175</v>
      </c>
      <c r="D140" s="16" t="s">
        <v>176</v>
      </c>
      <c r="E140" s="16" t="s">
        <v>177</v>
      </c>
      <c r="F140" s="16">
        <v>182.98</v>
      </c>
      <c r="G140" s="16">
        <v>274.46999999999997</v>
      </c>
      <c r="H140" s="16" t="s">
        <v>570</v>
      </c>
      <c r="I140" s="16" t="s">
        <v>588</v>
      </c>
      <c r="J140" s="16" t="s">
        <v>150</v>
      </c>
      <c r="K140" s="16" t="s">
        <v>179</v>
      </c>
      <c r="L140" s="16" t="s">
        <v>179</v>
      </c>
      <c r="M140" s="16" t="s">
        <v>58</v>
      </c>
      <c r="N140" s="16">
        <v>0</v>
      </c>
      <c r="O140" s="16" t="s">
        <v>610</v>
      </c>
      <c r="P140" s="17">
        <v>1646.82</v>
      </c>
      <c r="Q140" s="16" t="s">
        <v>61</v>
      </c>
      <c r="R140" s="16" t="s">
        <v>180</v>
      </c>
      <c r="S140" s="16">
        <v>150</v>
      </c>
      <c r="T140" s="17">
        <v>2000</v>
      </c>
      <c r="U140" s="17">
        <v>2000</v>
      </c>
    </row>
    <row r="141" spans="1:21" x14ac:dyDescent="0.2">
      <c r="A141" s="16">
        <v>17437820</v>
      </c>
      <c r="B141" s="16" t="s">
        <v>568</v>
      </c>
      <c r="C141" s="16" t="s">
        <v>206</v>
      </c>
      <c r="D141" s="16" t="s">
        <v>207</v>
      </c>
      <c r="E141" s="16" t="s">
        <v>208</v>
      </c>
      <c r="F141" s="16">
        <v>210.04</v>
      </c>
      <c r="G141" s="16">
        <v>315.06</v>
      </c>
      <c r="H141" s="16" t="s">
        <v>570</v>
      </c>
      <c r="I141" s="16" t="s">
        <v>588</v>
      </c>
      <c r="J141" s="16" t="s">
        <v>150</v>
      </c>
      <c r="K141" s="16" t="s">
        <v>56</v>
      </c>
      <c r="L141" s="16" t="s">
        <v>56</v>
      </c>
      <c r="M141" s="16" t="s">
        <v>58</v>
      </c>
      <c r="N141" s="16">
        <v>0</v>
      </c>
      <c r="O141" s="16" t="s">
        <v>610</v>
      </c>
      <c r="P141" s="17">
        <v>1890.36</v>
      </c>
      <c r="Q141" s="16" t="s">
        <v>61</v>
      </c>
      <c r="R141" s="16" t="s">
        <v>167</v>
      </c>
      <c r="S141" s="16">
        <v>150</v>
      </c>
      <c r="T141" s="17">
        <v>2000</v>
      </c>
      <c r="U141" s="17">
        <v>2000</v>
      </c>
    </row>
    <row r="142" spans="1:21" x14ac:dyDescent="0.2">
      <c r="A142" s="11">
        <v>1706194</v>
      </c>
      <c r="B142" s="11" t="s">
        <v>549</v>
      </c>
      <c r="C142" s="11" t="s">
        <v>339</v>
      </c>
      <c r="D142" s="11" t="s">
        <v>340</v>
      </c>
      <c r="E142" s="11" t="s">
        <v>155</v>
      </c>
      <c r="F142" s="18">
        <v>237.19</v>
      </c>
      <c r="G142" s="18">
        <v>355.79</v>
      </c>
      <c r="H142" s="11" t="s">
        <v>570</v>
      </c>
      <c r="I142" s="11" t="s">
        <v>588</v>
      </c>
      <c r="J142" s="11" t="s">
        <v>165</v>
      </c>
      <c r="K142" s="11" t="s">
        <v>341</v>
      </c>
      <c r="L142" s="11" t="s">
        <v>342</v>
      </c>
      <c r="M142" s="11" t="s">
        <v>58</v>
      </c>
      <c r="N142" s="11">
        <v>12</v>
      </c>
      <c r="O142" s="11" t="s">
        <v>610</v>
      </c>
      <c r="P142" s="18">
        <v>237.19</v>
      </c>
      <c r="Q142" s="11" t="s">
        <v>61</v>
      </c>
      <c r="R142" s="11" t="s">
        <v>62</v>
      </c>
      <c r="S142" s="11">
        <v>150</v>
      </c>
      <c r="T142" s="18">
        <v>355.79</v>
      </c>
      <c r="U142" s="18">
        <v>0</v>
      </c>
    </row>
    <row r="143" spans="1:21" x14ac:dyDescent="0.2">
      <c r="A143" s="11">
        <v>8307933</v>
      </c>
      <c r="B143" s="11" t="s">
        <v>542</v>
      </c>
      <c r="C143" s="11" t="s">
        <v>229</v>
      </c>
      <c r="D143" s="11" t="s">
        <v>230</v>
      </c>
      <c r="E143" s="11" t="s">
        <v>155</v>
      </c>
      <c r="F143" s="18">
        <v>251.31</v>
      </c>
      <c r="G143" s="11">
        <v>376.97</v>
      </c>
      <c r="H143" s="11" t="s">
        <v>570</v>
      </c>
      <c r="I143" s="11" t="s">
        <v>588</v>
      </c>
      <c r="J143" s="11" t="s">
        <v>150</v>
      </c>
      <c r="K143" s="11" t="s">
        <v>227</v>
      </c>
      <c r="L143" s="11" t="s">
        <v>228</v>
      </c>
      <c r="M143" s="11" t="s">
        <v>58</v>
      </c>
      <c r="N143" s="11">
        <v>3</v>
      </c>
      <c r="O143" s="11" t="s">
        <v>610</v>
      </c>
      <c r="P143" s="18">
        <v>251.31</v>
      </c>
      <c r="Q143" s="11" t="s">
        <v>61</v>
      </c>
      <c r="R143" s="11" t="s">
        <v>62</v>
      </c>
      <c r="S143" s="11">
        <v>150</v>
      </c>
      <c r="T143" s="18">
        <v>0</v>
      </c>
      <c r="U143" s="18">
        <v>-376.97</v>
      </c>
    </row>
    <row r="144" spans="1:21" x14ac:dyDescent="0.2">
      <c r="A144" s="11">
        <v>8307933</v>
      </c>
      <c r="B144" s="11" t="s">
        <v>542</v>
      </c>
      <c r="C144" s="11" t="s">
        <v>231</v>
      </c>
      <c r="D144" s="11" t="s">
        <v>232</v>
      </c>
      <c r="E144" s="11" t="s">
        <v>52</v>
      </c>
      <c r="F144" s="18">
        <v>278.35000000000002</v>
      </c>
      <c r="G144" s="11">
        <v>417.53</v>
      </c>
      <c r="H144" s="11" t="s">
        <v>570</v>
      </c>
      <c r="I144" s="11" t="s">
        <v>588</v>
      </c>
      <c r="J144" s="11" t="s">
        <v>150</v>
      </c>
      <c r="K144" s="11" t="s">
        <v>233</v>
      </c>
      <c r="L144" s="11" t="s">
        <v>228</v>
      </c>
      <c r="M144" s="11" t="s">
        <v>58</v>
      </c>
      <c r="N144" s="11">
        <v>2</v>
      </c>
      <c r="O144" s="11" t="s">
        <v>610</v>
      </c>
      <c r="P144" s="18">
        <v>278.35000000000002</v>
      </c>
      <c r="Q144" s="11" t="s">
        <v>61</v>
      </c>
      <c r="R144" s="11" t="s">
        <v>62</v>
      </c>
      <c r="S144" s="11">
        <v>150</v>
      </c>
      <c r="T144" s="18">
        <v>0</v>
      </c>
      <c r="U144" s="18">
        <v>-417.53</v>
      </c>
    </row>
    <row r="145" spans="1:21" x14ac:dyDescent="0.2">
      <c r="A145" s="11">
        <v>1706194</v>
      </c>
      <c r="B145" s="11" t="s">
        <v>549</v>
      </c>
      <c r="C145" s="11" t="s">
        <v>334</v>
      </c>
      <c r="D145" s="11" t="s">
        <v>335</v>
      </c>
      <c r="E145" s="11" t="s">
        <v>336</v>
      </c>
      <c r="F145" s="18">
        <v>304.16000000000003</v>
      </c>
      <c r="G145" s="18">
        <v>456.24</v>
      </c>
      <c r="H145" s="11" t="s">
        <v>570</v>
      </c>
      <c r="I145" s="11" t="s">
        <v>588</v>
      </c>
      <c r="J145" s="11" t="s">
        <v>165</v>
      </c>
      <c r="K145" s="11" t="s">
        <v>309</v>
      </c>
      <c r="L145" s="11" t="s">
        <v>228</v>
      </c>
      <c r="M145" s="11" t="s">
        <v>58</v>
      </c>
      <c r="N145" s="11">
        <v>12</v>
      </c>
      <c r="O145" s="11" t="s">
        <v>610</v>
      </c>
      <c r="P145" s="18">
        <v>304.16000000000003</v>
      </c>
      <c r="Q145" s="11" t="s">
        <v>61</v>
      </c>
      <c r="R145" s="11" t="s">
        <v>62</v>
      </c>
      <c r="S145" s="11">
        <v>150</v>
      </c>
      <c r="T145" s="18">
        <v>456.24</v>
      </c>
      <c r="U145" s="18">
        <v>0</v>
      </c>
    </row>
    <row r="146" spans="1:21" x14ac:dyDescent="0.2">
      <c r="A146" s="11">
        <v>1706194</v>
      </c>
      <c r="B146" s="11" t="s">
        <v>549</v>
      </c>
      <c r="C146" s="11" t="s">
        <v>337</v>
      </c>
      <c r="D146" s="11" t="s">
        <v>338</v>
      </c>
      <c r="E146" s="11" t="s">
        <v>336</v>
      </c>
      <c r="F146" s="18">
        <v>337.98</v>
      </c>
      <c r="G146" s="18">
        <v>506.97</v>
      </c>
      <c r="H146" s="11" t="s">
        <v>570</v>
      </c>
      <c r="I146" s="11" t="s">
        <v>588</v>
      </c>
      <c r="J146" s="11" t="s">
        <v>150</v>
      </c>
      <c r="K146" s="11" t="s">
        <v>309</v>
      </c>
      <c r="L146" s="11" t="s">
        <v>228</v>
      </c>
      <c r="M146" s="11" t="s">
        <v>58</v>
      </c>
      <c r="N146" s="11">
        <v>12</v>
      </c>
      <c r="O146" s="11" t="s">
        <v>610</v>
      </c>
      <c r="P146" s="18">
        <v>337.98</v>
      </c>
      <c r="Q146" s="11" t="s">
        <v>61</v>
      </c>
      <c r="R146" s="11" t="s">
        <v>62</v>
      </c>
      <c r="S146" s="11">
        <v>150</v>
      </c>
      <c r="T146" s="18">
        <v>506.97</v>
      </c>
      <c r="U146" s="18">
        <v>0</v>
      </c>
    </row>
  </sheetData>
  <sortState xmlns:xlrd2="http://schemas.microsoft.com/office/spreadsheetml/2017/richdata2" ref="A2:U146">
    <sortCondition sortBy="cellColor" ref="B2:B146" dxfId="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FDF3-AD1B-4F13-9FE1-5D3DF5E90FCC}">
  <dimension ref="A1:B145"/>
  <sheetViews>
    <sheetView topLeftCell="A111" workbookViewId="0">
      <selection activeCell="B1" sqref="B1:B145"/>
    </sheetView>
  </sheetViews>
  <sheetFormatPr defaultRowHeight="15" x14ac:dyDescent="0.25"/>
  <sheetData>
    <row r="1" spans="1:2" x14ac:dyDescent="0.25">
      <c r="A1" t="s">
        <v>557</v>
      </c>
      <c r="B1" cm="1">
        <f t="array" ref="B1:B145">VLOOKUP(A1:A145,[1]Sheet2!$A$1:$B$188,2,FALSE)</f>
        <v>16912722</v>
      </c>
    </row>
    <row r="2" spans="1:2" x14ac:dyDescent="0.25">
      <c r="A2" t="s">
        <v>544</v>
      </c>
      <c r="B2">
        <v>8325282</v>
      </c>
    </row>
    <row r="3" spans="1:2" x14ac:dyDescent="0.25">
      <c r="A3" t="s">
        <v>544</v>
      </c>
      <c r="B3">
        <v>8325282</v>
      </c>
    </row>
    <row r="4" spans="1:2" x14ac:dyDescent="0.25">
      <c r="A4" t="s">
        <v>543</v>
      </c>
      <c r="B4">
        <v>18828278</v>
      </c>
    </row>
    <row r="5" spans="1:2" x14ac:dyDescent="0.25">
      <c r="A5" t="s">
        <v>551</v>
      </c>
      <c r="B5">
        <v>21561165</v>
      </c>
    </row>
    <row r="6" spans="1:2" x14ac:dyDescent="0.25">
      <c r="A6" t="s">
        <v>551</v>
      </c>
      <c r="B6">
        <v>21561165</v>
      </c>
    </row>
    <row r="7" spans="1:2" x14ac:dyDescent="0.25">
      <c r="A7" t="s">
        <v>552</v>
      </c>
      <c r="B7">
        <v>371819</v>
      </c>
    </row>
    <row r="8" spans="1:2" x14ac:dyDescent="0.25">
      <c r="A8" t="s">
        <v>550</v>
      </c>
      <c r="B8">
        <v>21283956</v>
      </c>
    </row>
    <row r="9" spans="1:2" x14ac:dyDescent="0.25">
      <c r="A9" t="s">
        <v>568</v>
      </c>
      <c r="B9">
        <v>17437820</v>
      </c>
    </row>
    <row r="10" spans="1:2" x14ac:dyDescent="0.25">
      <c r="A10" t="s">
        <v>559</v>
      </c>
      <c r="B10">
        <v>9079571</v>
      </c>
    </row>
    <row r="11" spans="1:2" x14ac:dyDescent="0.25">
      <c r="A11" t="s">
        <v>566</v>
      </c>
      <c r="B11">
        <v>18598357</v>
      </c>
    </row>
    <row r="12" spans="1:2" x14ac:dyDescent="0.25">
      <c r="A12" t="s">
        <v>542</v>
      </c>
      <c r="B12">
        <v>8307933</v>
      </c>
    </row>
    <row r="13" spans="1:2" x14ac:dyDescent="0.25">
      <c r="A13" t="s">
        <v>542</v>
      </c>
      <c r="B13">
        <v>8307933</v>
      </c>
    </row>
    <row r="14" spans="1:2" x14ac:dyDescent="0.25">
      <c r="A14" t="s">
        <v>542</v>
      </c>
      <c r="B14">
        <v>8307933</v>
      </c>
    </row>
    <row r="15" spans="1:2" x14ac:dyDescent="0.25">
      <c r="A15" t="s">
        <v>542</v>
      </c>
      <c r="B15">
        <v>8307933</v>
      </c>
    </row>
    <row r="16" spans="1:2" x14ac:dyDescent="0.25">
      <c r="A16" t="s">
        <v>542</v>
      </c>
      <c r="B16">
        <v>8307933</v>
      </c>
    </row>
    <row r="17" spans="1:2" x14ac:dyDescent="0.25">
      <c r="A17" t="s">
        <v>542</v>
      </c>
      <c r="B17">
        <v>8307933</v>
      </c>
    </row>
    <row r="18" spans="1:2" x14ac:dyDescent="0.25">
      <c r="A18" t="s">
        <v>542</v>
      </c>
      <c r="B18">
        <v>8307933</v>
      </c>
    </row>
    <row r="19" spans="1:2" x14ac:dyDescent="0.25">
      <c r="A19" t="s">
        <v>542</v>
      </c>
      <c r="B19">
        <v>8307933</v>
      </c>
    </row>
    <row r="20" spans="1:2" x14ac:dyDescent="0.25">
      <c r="A20" t="s">
        <v>542</v>
      </c>
      <c r="B20">
        <v>8307933</v>
      </c>
    </row>
    <row r="21" spans="1:2" x14ac:dyDescent="0.25">
      <c r="A21" t="s">
        <v>542</v>
      </c>
      <c r="B21">
        <v>8307933</v>
      </c>
    </row>
    <row r="22" spans="1:2" x14ac:dyDescent="0.25">
      <c r="A22" t="s">
        <v>542</v>
      </c>
      <c r="B22">
        <v>8307933</v>
      </c>
    </row>
    <row r="23" spans="1:2" x14ac:dyDescent="0.25">
      <c r="A23" t="s">
        <v>542</v>
      </c>
      <c r="B23">
        <v>8307933</v>
      </c>
    </row>
    <row r="24" spans="1:2" x14ac:dyDescent="0.25">
      <c r="A24" t="s">
        <v>542</v>
      </c>
      <c r="B24">
        <v>8307933</v>
      </c>
    </row>
    <row r="25" spans="1:2" x14ac:dyDescent="0.25">
      <c r="A25" t="s">
        <v>542</v>
      </c>
      <c r="B25">
        <v>8307933</v>
      </c>
    </row>
    <row r="26" spans="1:2" x14ac:dyDescent="0.25">
      <c r="A26" t="s">
        <v>542</v>
      </c>
      <c r="B26">
        <v>8307933</v>
      </c>
    </row>
    <row r="27" spans="1:2" x14ac:dyDescent="0.25">
      <c r="A27" t="s">
        <v>542</v>
      </c>
      <c r="B27">
        <v>8307933</v>
      </c>
    </row>
    <row r="28" spans="1:2" x14ac:dyDescent="0.25">
      <c r="A28" t="s">
        <v>542</v>
      </c>
      <c r="B28">
        <v>8307933</v>
      </c>
    </row>
    <row r="29" spans="1:2" x14ac:dyDescent="0.25">
      <c r="A29" t="s">
        <v>542</v>
      </c>
      <c r="B29">
        <v>8307933</v>
      </c>
    </row>
    <row r="30" spans="1:2" x14ac:dyDescent="0.25">
      <c r="A30" t="s">
        <v>565</v>
      </c>
      <c r="B30">
        <v>18754354</v>
      </c>
    </row>
    <row r="31" spans="1:2" x14ac:dyDescent="0.25">
      <c r="A31" t="s">
        <v>553</v>
      </c>
      <c r="B31">
        <v>16228684</v>
      </c>
    </row>
    <row r="32" spans="1:2" x14ac:dyDescent="0.25">
      <c r="A32" t="s">
        <v>553</v>
      </c>
      <c r="B32">
        <v>16228684</v>
      </c>
    </row>
    <row r="33" spans="1:2" x14ac:dyDescent="0.25">
      <c r="A33" t="s">
        <v>553</v>
      </c>
      <c r="B33">
        <v>16228684</v>
      </c>
    </row>
    <row r="34" spans="1:2" x14ac:dyDescent="0.25">
      <c r="A34" t="s">
        <v>549</v>
      </c>
      <c r="B34">
        <v>1706194</v>
      </c>
    </row>
    <row r="35" spans="1:2" x14ac:dyDescent="0.25">
      <c r="A35" t="s">
        <v>549</v>
      </c>
      <c r="B35">
        <v>1706194</v>
      </c>
    </row>
    <row r="36" spans="1:2" x14ac:dyDescent="0.25">
      <c r="A36" t="s">
        <v>549</v>
      </c>
      <c r="B36">
        <v>1706194</v>
      </c>
    </row>
    <row r="37" spans="1:2" x14ac:dyDescent="0.25">
      <c r="A37" t="s">
        <v>549</v>
      </c>
      <c r="B37">
        <v>1706194</v>
      </c>
    </row>
    <row r="38" spans="1:2" x14ac:dyDescent="0.25">
      <c r="A38" t="s">
        <v>549</v>
      </c>
      <c r="B38">
        <v>1706194</v>
      </c>
    </row>
    <row r="39" spans="1:2" x14ac:dyDescent="0.25">
      <c r="A39" t="s">
        <v>549</v>
      </c>
      <c r="B39">
        <v>1706194</v>
      </c>
    </row>
    <row r="40" spans="1:2" x14ac:dyDescent="0.25">
      <c r="A40" t="s">
        <v>549</v>
      </c>
      <c r="B40">
        <v>1706194</v>
      </c>
    </row>
    <row r="41" spans="1:2" x14ac:dyDescent="0.25">
      <c r="A41" t="s">
        <v>549</v>
      </c>
      <c r="B41">
        <v>1706194</v>
      </c>
    </row>
    <row r="42" spans="1:2" x14ac:dyDescent="0.25">
      <c r="A42" t="s">
        <v>543</v>
      </c>
      <c r="B42">
        <v>18828278</v>
      </c>
    </row>
    <row r="43" spans="1:2" x14ac:dyDescent="0.25">
      <c r="A43" t="s">
        <v>555</v>
      </c>
      <c r="B43">
        <v>5442438</v>
      </c>
    </row>
    <row r="44" spans="1:2" x14ac:dyDescent="0.25">
      <c r="A44" t="s">
        <v>555</v>
      </c>
      <c r="B44">
        <v>5442438</v>
      </c>
    </row>
    <row r="45" spans="1:2" x14ac:dyDescent="0.25">
      <c r="A45" t="s">
        <v>555</v>
      </c>
      <c r="B45">
        <v>5442438</v>
      </c>
    </row>
    <row r="46" spans="1:2" x14ac:dyDescent="0.25">
      <c r="A46" t="s">
        <v>554</v>
      </c>
      <c r="B46">
        <v>8977234</v>
      </c>
    </row>
    <row r="47" spans="1:2" x14ac:dyDescent="0.25">
      <c r="A47" t="s">
        <v>554</v>
      </c>
      <c r="B47">
        <v>8977234</v>
      </c>
    </row>
    <row r="48" spans="1:2" x14ac:dyDescent="0.25">
      <c r="A48" t="s">
        <v>554</v>
      </c>
      <c r="B48">
        <v>8977234</v>
      </c>
    </row>
    <row r="49" spans="1:2" x14ac:dyDescent="0.25">
      <c r="A49" t="s">
        <v>561</v>
      </c>
      <c r="B49">
        <v>7470776</v>
      </c>
    </row>
    <row r="50" spans="1:2" x14ac:dyDescent="0.25">
      <c r="A50" t="s">
        <v>561</v>
      </c>
      <c r="B50">
        <v>7470776</v>
      </c>
    </row>
    <row r="51" spans="1:2" x14ac:dyDescent="0.25">
      <c r="A51" t="s">
        <v>546</v>
      </c>
      <c r="B51">
        <v>19278370</v>
      </c>
    </row>
    <row r="52" spans="1:2" x14ac:dyDescent="0.25">
      <c r="A52" t="s">
        <v>544</v>
      </c>
      <c r="B52">
        <v>8325282</v>
      </c>
    </row>
    <row r="53" spans="1:2" x14ac:dyDescent="0.25">
      <c r="A53" t="s">
        <v>544</v>
      </c>
      <c r="B53">
        <v>8325282</v>
      </c>
    </row>
    <row r="54" spans="1:2" x14ac:dyDescent="0.25">
      <c r="A54" t="s">
        <v>562</v>
      </c>
      <c r="B54">
        <v>8814784</v>
      </c>
    </row>
    <row r="55" spans="1:2" x14ac:dyDescent="0.25">
      <c r="A55" t="s">
        <v>563</v>
      </c>
      <c r="B55">
        <v>20220688</v>
      </c>
    </row>
    <row r="56" spans="1:2" x14ac:dyDescent="0.25">
      <c r="A56" t="s">
        <v>552</v>
      </c>
      <c r="B56">
        <v>371819</v>
      </c>
    </row>
    <row r="57" spans="1:2" x14ac:dyDescent="0.25">
      <c r="A57" t="s">
        <v>542</v>
      </c>
      <c r="B57">
        <v>8307933</v>
      </c>
    </row>
    <row r="58" spans="1:2" x14ac:dyDescent="0.25">
      <c r="A58" t="s">
        <v>542</v>
      </c>
      <c r="B58">
        <v>8307933</v>
      </c>
    </row>
    <row r="59" spans="1:2" x14ac:dyDescent="0.25">
      <c r="A59" t="s">
        <v>542</v>
      </c>
      <c r="B59">
        <v>8307933</v>
      </c>
    </row>
    <row r="60" spans="1:2" x14ac:dyDescent="0.25">
      <c r="A60" t="s">
        <v>542</v>
      </c>
      <c r="B60">
        <v>8307933</v>
      </c>
    </row>
    <row r="61" spans="1:2" x14ac:dyDescent="0.25">
      <c r="A61" t="s">
        <v>549</v>
      </c>
      <c r="B61">
        <v>1706194</v>
      </c>
    </row>
    <row r="62" spans="1:2" x14ac:dyDescent="0.25">
      <c r="A62" t="s">
        <v>547</v>
      </c>
      <c r="B62">
        <v>16212649</v>
      </c>
    </row>
    <row r="63" spans="1:2" x14ac:dyDescent="0.25">
      <c r="A63" t="s">
        <v>559</v>
      </c>
      <c r="B63">
        <v>9079571</v>
      </c>
    </row>
    <row r="64" spans="1:2" x14ac:dyDescent="0.25">
      <c r="A64" t="s">
        <v>548</v>
      </c>
      <c r="B64">
        <v>17425766</v>
      </c>
    </row>
    <row r="65" spans="1:2" x14ac:dyDescent="0.25">
      <c r="A65" t="s">
        <v>544</v>
      </c>
      <c r="B65">
        <v>8325282</v>
      </c>
    </row>
    <row r="66" spans="1:2" x14ac:dyDescent="0.25">
      <c r="A66" t="s">
        <v>544</v>
      </c>
      <c r="B66">
        <v>8325282</v>
      </c>
    </row>
    <row r="67" spans="1:2" x14ac:dyDescent="0.25">
      <c r="A67" t="s">
        <v>544</v>
      </c>
      <c r="B67">
        <v>8325282</v>
      </c>
    </row>
    <row r="68" spans="1:2" x14ac:dyDescent="0.25">
      <c r="A68" t="s">
        <v>542</v>
      </c>
      <c r="B68">
        <v>8307933</v>
      </c>
    </row>
    <row r="69" spans="1:2" x14ac:dyDescent="0.25">
      <c r="A69" t="s">
        <v>542</v>
      </c>
      <c r="B69">
        <v>8307933</v>
      </c>
    </row>
    <row r="70" spans="1:2" x14ac:dyDescent="0.25">
      <c r="A70" t="s">
        <v>565</v>
      </c>
      <c r="B70">
        <v>18754354</v>
      </c>
    </row>
    <row r="71" spans="1:2" x14ac:dyDescent="0.25">
      <c r="A71" t="s">
        <v>543</v>
      </c>
      <c r="B71">
        <v>18828278</v>
      </c>
    </row>
    <row r="72" spans="1:2" x14ac:dyDescent="0.25">
      <c r="A72" t="s">
        <v>543</v>
      </c>
      <c r="B72">
        <v>18828278</v>
      </c>
    </row>
    <row r="73" spans="1:2" x14ac:dyDescent="0.25">
      <c r="A73" t="s">
        <v>543</v>
      </c>
      <c r="B73">
        <v>18828278</v>
      </c>
    </row>
    <row r="74" spans="1:2" x14ac:dyDescent="0.25">
      <c r="A74" t="s">
        <v>564</v>
      </c>
      <c r="B74">
        <v>16633294</v>
      </c>
    </row>
    <row r="75" spans="1:2" x14ac:dyDescent="0.25">
      <c r="A75" t="s">
        <v>564</v>
      </c>
      <c r="B75">
        <v>16633294</v>
      </c>
    </row>
    <row r="76" spans="1:2" x14ac:dyDescent="0.25">
      <c r="A76" t="s">
        <v>564</v>
      </c>
      <c r="B76">
        <v>16633294</v>
      </c>
    </row>
    <row r="77" spans="1:2" x14ac:dyDescent="0.25">
      <c r="A77" t="s">
        <v>564</v>
      </c>
      <c r="B77">
        <v>16633294</v>
      </c>
    </row>
    <row r="78" spans="1:2" x14ac:dyDescent="0.25">
      <c r="A78" t="s">
        <v>564</v>
      </c>
      <c r="B78">
        <v>16633294</v>
      </c>
    </row>
    <row r="79" spans="1:2" x14ac:dyDescent="0.25">
      <c r="A79" t="s">
        <v>564</v>
      </c>
      <c r="B79">
        <v>16633294</v>
      </c>
    </row>
    <row r="80" spans="1:2" x14ac:dyDescent="0.25">
      <c r="A80" t="s">
        <v>564</v>
      </c>
      <c r="B80">
        <v>16633294</v>
      </c>
    </row>
    <row r="81" spans="1:2" x14ac:dyDescent="0.25">
      <c r="A81" t="s">
        <v>564</v>
      </c>
      <c r="B81">
        <v>16633294</v>
      </c>
    </row>
    <row r="82" spans="1:2" x14ac:dyDescent="0.25">
      <c r="A82" t="s">
        <v>559</v>
      </c>
      <c r="B82">
        <v>9079571</v>
      </c>
    </row>
    <row r="83" spans="1:2" x14ac:dyDescent="0.25">
      <c r="A83" t="s">
        <v>559</v>
      </c>
      <c r="B83">
        <v>9079571</v>
      </c>
    </row>
    <row r="84" spans="1:2" x14ac:dyDescent="0.25">
      <c r="A84" t="s">
        <v>560</v>
      </c>
      <c r="B84">
        <v>9213293</v>
      </c>
    </row>
    <row r="85" spans="1:2" x14ac:dyDescent="0.25">
      <c r="A85" t="s">
        <v>542</v>
      </c>
      <c r="B85">
        <v>8307933</v>
      </c>
    </row>
    <row r="86" spans="1:2" x14ac:dyDescent="0.25">
      <c r="A86" t="s">
        <v>542</v>
      </c>
      <c r="B86">
        <v>8307933</v>
      </c>
    </row>
    <row r="87" spans="1:2" x14ac:dyDescent="0.25">
      <c r="A87" t="s">
        <v>556</v>
      </c>
      <c r="B87">
        <v>6634327</v>
      </c>
    </row>
    <row r="88" spans="1:2" x14ac:dyDescent="0.25">
      <c r="A88" t="s">
        <v>556</v>
      </c>
      <c r="B88">
        <v>6634327</v>
      </c>
    </row>
    <row r="89" spans="1:2" x14ac:dyDescent="0.25">
      <c r="A89" t="s">
        <v>549</v>
      </c>
      <c r="B89">
        <v>1706194</v>
      </c>
    </row>
    <row r="90" spans="1:2" x14ac:dyDescent="0.25">
      <c r="A90" t="s">
        <v>549</v>
      </c>
      <c r="B90">
        <v>1706194</v>
      </c>
    </row>
    <row r="91" spans="1:2" x14ac:dyDescent="0.25">
      <c r="A91" t="s">
        <v>549</v>
      </c>
      <c r="B91">
        <v>1706194</v>
      </c>
    </row>
    <row r="92" spans="1:2" x14ac:dyDescent="0.25">
      <c r="A92" t="s">
        <v>549</v>
      </c>
      <c r="B92">
        <v>1706194</v>
      </c>
    </row>
    <row r="93" spans="1:2" x14ac:dyDescent="0.25">
      <c r="A93" t="s">
        <v>543</v>
      </c>
      <c r="B93">
        <v>18828278</v>
      </c>
    </row>
    <row r="94" spans="1:2" x14ac:dyDescent="0.25">
      <c r="A94" t="s">
        <v>543</v>
      </c>
      <c r="B94">
        <v>18828278</v>
      </c>
    </row>
    <row r="95" spans="1:2" x14ac:dyDescent="0.25">
      <c r="A95" t="s">
        <v>544</v>
      </c>
      <c r="B95">
        <v>8325282</v>
      </c>
    </row>
    <row r="96" spans="1:2" x14ac:dyDescent="0.25">
      <c r="A96" t="s">
        <v>564</v>
      </c>
      <c r="B96">
        <v>16633294</v>
      </c>
    </row>
    <row r="97" spans="1:2" x14ac:dyDescent="0.25">
      <c r="A97" t="s">
        <v>564</v>
      </c>
      <c r="B97">
        <v>16633294</v>
      </c>
    </row>
    <row r="98" spans="1:2" x14ac:dyDescent="0.25">
      <c r="A98" t="s">
        <v>564</v>
      </c>
      <c r="B98">
        <v>16633294</v>
      </c>
    </row>
    <row r="99" spans="1:2" x14ac:dyDescent="0.25">
      <c r="A99" t="s">
        <v>559</v>
      </c>
      <c r="B99">
        <v>9079571</v>
      </c>
    </row>
    <row r="100" spans="1:2" x14ac:dyDescent="0.25">
      <c r="A100" t="s">
        <v>559</v>
      </c>
      <c r="B100">
        <v>9079571</v>
      </c>
    </row>
    <row r="101" spans="1:2" x14ac:dyDescent="0.25">
      <c r="A101" t="s">
        <v>559</v>
      </c>
      <c r="B101">
        <v>9079571</v>
      </c>
    </row>
    <row r="102" spans="1:2" x14ac:dyDescent="0.25">
      <c r="A102" t="s">
        <v>559</v>
      </c>
      <c r="B102">
        <v>9079571</v>
      </c>
    </row>
    <row r="103" spans="1:2" x14ac:dyDescent="0.25">
      <c r="A103" t="s">
        <v>564</v>
      </c>
      <c r="B103">
        <v>16633294</v>
      </c>
    </row>
    <row r="104" spans="1:2" x14ac:dyDescent="0.25">
      <c r="A104" t="s">
        <v>559</v>
      </c>
      <c r="B104">
        <v>9079571</v>
      </c>
    </row>
    <row r="105" spans="1:2" x14ac:dyDescent="0.25">
      <c r="A105" t="s">
        <v>564</v>
      </c>
      <c r="B105">
        <v>16633294</v>
      </c>
    </row>
    <row r="106" spans="1:2" x14ac:dyDescent="0.25">
      <c r="A106" t="s">
        <v>564</v>
      </c>
      <c r="B106">
        <v>16633294</v>
      </c>
    </row>
    <row r="107" spans="1:2" x14ac:dyDescent="0.25">
      <c r="A107" t="s">
        <v>559</v>
      </c>
      <c r="B107">
        <v>9079571</v>
      </c>
    </row>
    <row r="108" spans="1:2" x14ac:dyDescent="0.25">
      <c r="A108" t="s">
        <v>559</v>
      </c>
      <c r="B108">
        <v>9079571</v>
      </c>
    </row>
    <row r="109" spans="1:2" x14ac:dyDescent="0.25">
      <c r="A109" t="s">
        <v>547</v>
      </c>
      <c r="B109">
        <v>16212649</v>
      </c>
    </row>
    <row r="110" spans="1:2" x14ac:dyDescent="0.25">
      <c r="A110" t="s">
        <v>559</v>
      </c>
      <c r="B110">
        <v>9079571</v>
      </c>
    </row>
    <row r="111" spans="1:2" x14ac:dyDescent="0.25">
      <c r="A111" t="s">
        <v>559</v>
      </c>
      <c r="B111">
        <v>9079571</v>
      </c>
    </row>
    <row r="112" spans="1:2" x14ac:dyDescent="0.25">
      <c r="A112" t="s">
        <v>559</v>
      </c>
      <c r="B112">
        <v>9079571</v>
      </c>
    </row>
    <row r="113" spans="1:2" x14ac:dyDescent="0.25">
      <c r="A113" t="s">
        <v>559</v>
      </c>
      <c r="B113">
        <v>9079571</v>
      </c>
    </row>
    <row r="114" spans="1:2" x14ac:dyDescent="0.25">
      <c r="A114" t="s">
        <v>559</v>
      </c>
      <c r="B114">
        <v>9079571</v>
      </c>
    </row>
    <row r="115" spans="1:2" x14ac:dyDescent="0.25">
      <c r="A115" t="s">
        <v>542</v>
      </c>
      <c r="B115">
        <v>8307933</v>
      </c>
    </row>
    <row r="116" spans="1:2" x14ac:dyDescent="0.25">
      <c r="A116" t="s">
        <v>559</v>
      </c>
      <c r="B116">
        <v>9079571</v>
      </c>
    </row>
    <row r="117" spans="1:2" x14ac:dyDescent="0.25">
      <c r="A117" t="s">
        <v>559</v>
      </c>
      <c r="B117">
        <v>9079571</v>
      </c>
    </row>
    <row r="118" spans="1:2" x14ac:dyDescent="0.25">
      <c r="A118" t="s">
        <v>559</v>
      </c>
      <c r="B118">
        <v>9079571</v>
      </c>
    </row>
    <row r="119" spans="1:2" x14ac:dyDescent="0.25">
      <c r="A119" t="s">
        <v>559</v>
      </c>
      <c r="B119">
        <v>9079571</v>
      </c>
    </row>
    <row r="120" spans="1:2" x14ac:dyDescent="0.25">
      <c r="A120" t="s">
        <v>559</v>
      </c>
      <c r="B120">
        <v>9079571</v>
      </c>
    </row>
    <row r="121" spans="1:2" x14ac:dyDescent="0.25">
      <c r="A121" t="s">
        <v>559</v>
      </c>
      <c r="B121">
        <v>9079571</v>
      </c>
    </row>
    <row r="122" spans="1:2" x14ac:dyDescent="0.25">
      <c r="A122" t="s">
        <v>559</v>
      </c>
      <c r="B122">
        <v>9079571</v>
      </c>
    </row>
    <row r="123" spans="1:2" x14ac:dyDescent="0.25">
      <c r="A123" t="s">
        <v>542</v>
      </c>
      <c r="B123">
        <v>8307933</v>
      </c>
    </row>
    <row r="124" spans="1:2" x14ac:dyDescent="0.25">
      <c r="A124" t="s">
        <v>547</v>
      </c>
      <c r="B124">
        <v>16212649</v>
      </c>
    </row>
    <row r="125" spans="1:2" x14ac:dyDescent="0.25">
      <c r="A125" t="s">
        <v>559</v>
      </c>
      <c r="B125">
        <v>9079571</v>
      </c>
    </row>
    <row r="126" spans="1:2" x14ac:dyDescent="0.25">
      <c r="A126" t="s">
        <v>559</v>
      </c>
      <c r="B126">
        <v>9079571</v>
      </c>
    </row>
    <row r="127" spans="1:2" x14ac:dyDescent="0.25">
      <c r="A127" t="s">
        <v>546</v>
      </c>
      <c r="B127">
        <v>19278370</v>
      </c>
    </row>
    <row r="128" spans="1:2" x14ac:dyDescent="0.25">
      <c r="A128" t="s">
        <v>546</v>
      </c>
      <c r="B128">
        <v>19278370</v>
      </c>
    </row>
    <row r="129" spans="1:2" x14ac:dyDescent="0.25">
      <c r="A129" t="s">
        <v>559</v>
      </c>
      <c r="B129">
        <v>9079571</v>
      </c>
    </row>
    <row r="130" spans="1:2" x14ac:dyDescent="0.25">
      <c r="A130" t="s">
        <v>559</v>
      </c>
      <c r="B130">
        <v>9079571</v>
      </c>
    </row>
    <row r="131" spans="1:2" x14ac:dyDescent="0.25">
      <c r="A131" t="s">
        <v>559</v>
      </c>
      <c r="B131">
        <v>9079571</v>
      </c>
    </row>
    <row r="132" spans="1:2" x14ac:dyDescent="0.25">
      <c r="A132" t="s">
        <v>542</v>
      </c>
      <c r="B132">
        <v>8307933</v>
      </c>
    </row>
    <row r="133" spans="1:2" x14ac:dyDescent="0.25">
      <c r="A133" t="s">
        <v>545</v>
      </c>
      <c r="B133">
        <v>15278437</v>
      </c>
    </row>
    <row r="134" spans="1:2" x14ac:dyDescent="0.25">
      <c r="A134" t="s">
        <v>558</v>
      </c>
      <c r="B134">
        <v>16202925</v>
      </c>
    </row>
    <row r="135" spans="1:2" x14ac:dyDescent="0.25">
      <c r="A135" t="s">
        <v>558</v>
      </c>
      <c r="B135">
        <v>16202925</v>
      </c>
    </row>
    <row r="136" spans="1:2" x14ac:dyDescent="0.25">
      <c r="A136" t="s">
        <v>559</v>
      </c>
      <c r="B136">
        <v>9079571</v>
      </c>
    </row>
    <row r="137" spans="1:2" x14ac:dyDescent="0.25">
      <c r="A137" t="s">
        <v>559</v>
      </c>
      <c r="B137">
        <v>9079571</v>
      </c>
    </row>
    <row r="138" spans="1:2" x14ac:dyDescent="0.25">
      <c r="A138" t="s">
        <v>559</v>
      </c>
      <c r="B138">
        <v>9079571</v>
      </c>
    </row>
    <row r="139" spans="1:2" x14ac:dyDescent="0.25">
      <c r="A139" t="s">
        <v>559</v>
      </c>
      <c r="B139">
        <v>9079571</v>
      </c>
    </row>
    <row r="140" spans="1:2" x14ac:dyDescent="0.25">
      <c r="A140" t="s">
        <v>559</v>
      </c>
      <c r="B140">
        <v>9079571</v>
      </c>
    </row>
    <row r="141" spans="1:2" x14ac:dyDescent="0.25">
      <c r="A141" t="s">
        <v>545</v>
      </c>
      <c r="B141">
        <v>15278437</v>
      </c>
    </row>
    <row r="142" spans="1:2" x14ac:dyDescent="0.25">
      <c r="A142" t="s">
        <v>545</v>
      </c>
      <c r="B142">
        <v>15278437</v>
      </c>
    </row>
    <row r="143" spans="1:2" x14ac:dyDescent="0.25">
      <c r="A143" t="s">
        <v>559</v>
      </c>
      <c r="B143">
        <v>9079571</v>
      </c>
    </row>
    <row r="144" spans="1:2" x14ac:dyDescent="0.25">
      <c r="A144" t="s">
        <v>559</v>
      </c>
      <c r="B144">
        <v>9079571</v>
      </c>
    </row>
    <row r="145" spans="1:2" x14ac:dyDescent="0.25">
      <c r="A145" t="s">
        <v>559</v>
      </c>
      <c r="B145">
        <v>9079571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0583-2BDA-448C-AE8B-08C40EF0CA7E}">
  <dimension ref="A1:B151"/>
  <sheetViews>
    <sheetView topLeftCell="A117" workbookViewId="0">
      <selection activeCell="B1" sqref="B1:B151"/>
    </sheetView>
  </sheetViews>
  <sheetFormatPr defaultRowHeight="15" x14ac:dyDescent="0.25"/>
  <sheetData>
    <row r="1" spans="1:2" x14ac:dyDescent="0.25">
      <c r="A1" s="1" t="s">
        <v>356</v>
      </c>
      <c r="B1" cm="1">
        <f t="array" ref="B1:B151">VLOOKUP(A1:A151,[2]Sheet1!$A$1:$B$151,2,FALSE)</f>
        <v>0</v>
      </c>
    </row>
    <row r="2" spans="1:2" x14ac:dyDescent="0.25">
      <c r="A2" s="1" t="s">
        <v>386</v>
      </c>
      <c r="B2">
        <v>0.22500000000000001</v>
      </c>
    </row>
    <row r="3" spans="1:2" x14ac:dyDescent="0.25">
      <c r="A3" s="1" t="s">
        <v>382</v>
      </c>
      <c r="B3">
        <v>0.24</v>
      </c>
    </row>
    <row r="4" spans="1:2" x14ac:dyDescent="0.25">
      <c r="A4" s="1" t="s">
        <v>390</v>
      </c>
      <c r="B4">
        <v>0.52</v>
      </c>
    </row>
    <row r="5" spans="1:2" x14ac:dyDescent="0.25">
      <c r="A5" s="1" t="s">
        <v>361</v>
      </c>
      <c r="B5">
        <v>0.52</v>
      </c>
    </row>
    <row r="6" spans="1:2" x14ac:dyDescent="0.25">
      <c r="A6" s="1" t="s">
        <v>209</v>
      </c>
      <c r="B6">
        <v>0.67500000000000004</v>
      </c>
    </row>
    <row r="7" spans="1:2" x14ac:dyDescent="0.25">
      <c r="A7" s="1" t="s">
        <v>213</v>
      </c>
      <c r="B7">
        <v>0.67500000000000004</v>
      </c>
    </row>
    <row r="8" spans="1:2" x14ac:dyDescent="0.25">
      <c r="A8" s="1" t="s">
        <v>215</v>
      </c>
      <c r="B8">
        <v>0.67500000000000004</v>
      </c>
    </row>
    <row r="9" spans="1:2" x14ac:dyDescent="0.25">
      <c r="A9" s="1" t="s">
        <v>247</v>
      </c>
      <c r="B9">
        <v>0.67500000000000004</v>
      </c>
    </row>
    <row r="10" spans="1:2" x14ac:dyDescent="0.25">
      <c r="A10" s="1" t="s">
        <v>251</v>
      </c>
      <c r="B10">
        <v>0.67500000000000004</v>
      </c>
    </row>
    <row r="11" spans="1:2" x14ac:dyDescent="0.25">
      <c r="A11" s="1" t="s">
        <v>253</v>
      </c>
      <c r="B11">
        <v>0.67500000000000004</v>
      </c>
    </row>
    <row r="12" spans="1:2" x14ac:dyDescent="0.25">
      <c r="A12" s="1" t="s">
        <v>260</v>
      </c>
      <c r="B12">
        <v>0.67500000000000004</v>
      </c>
    </row>
    <row r="13" spans="1:2" x14ac:dyDescent="0.25">
      <c r="A13" s="1" t="s">
        <v>191</v>
      </c>
      <c r="B13">
        <v>1.35</v>
      </c>
    </row>
    <row r="14" spans="1:2" x14ac:dyDescent="0.25">
      <c r="A14" s="1" t="s">
        <v>195</v>
      </c>
      <c r="B14">
        <v>1.35</v>
      </c>
    </row>
    <row r="15" spans="1:2" x14ac:dyDescent="0.25">
      <c r="A15" s="1" t="s">
        <v>302</v>
      </c>
      <c r="B15">
        <v>1.35</v>
      </c>
    </row>
    <row r="16" spans="1:2" x14ac:dyDescent="0.25">
      <c r="A16" s="1" t="s">
        <v>172</v>
      </c>
      <c r="B16">
        <v>1.5</v>
      </c>
    </row>
    <row r="17" spans="1:2" x14ac:dyDescent="0.25">
      <c r="A17" s="1" t="s">
        <v>175</v>
      </c>
      <c r="B17">
        <v>1.5</v>
      </c>
    </row>
    <row r="18" spans="1:2" x14ac:dyDescent="0.25">
      <c r="A18" s="1" t="s">
        <v>206</v>
      </c>
      <c r="B18">
        <v>1.5</v>
      </c>
    </row>
    <row r="19" spans="1:2" x14ac:dyDescent="0.25">
      <c r="A19" s="1" t="s">
        <v>163</v>
      </c>
      <c r="B19">
        <v>1.5</v>
      </c>
    </row>
    <row r="20" spans="1:2" x14ac:dyDescent="0.25">
      <c r="A20" s="1" t="s">
        <v>168</v>
      </c>
      <c r="B20">
        <v>1.5</v>
      </c>
    </row>
    <row r="21" spans="1:2" x14ac:dyDescent="0.25">
      <c r="A21" s="1" t="s">
        <v>170</v>
      </c>
      <c r="B21">
        <v>1.5</v>
      </c>
    </row>
    <row r="22" spans="1:2" x14ac:dyDescent="0.25">
      <c r="A22" s="1" t="s">
        <v>234</v>
      </c>
      <c r="B22">
        <v>0.67500000000000004</v>
      </c>
    </row>
    <row r="23" spans="1:2" x14ac:dyDescent="0.25">
      <c r="A23" s="1" t="s">
        <v>234</v>
      </c>
      <c r="B23">
        <v>0.67500000000000004</v>
      </c>
    </row>
    <row r="24" spans="1:2" x14ac:dyDescent="0.25">
      <c r="A24" s="1" t="s">
        <v>238</v>
      </c>
      <c r="B24">
        <v>0.67500000000000004</v>
      </c>
    </row>
    <row r="25" spans="1:2" x14ac:dyDescent="0.25">
      <c r="A25" s="1" t="s">
        <v>225</v>
      </c>
      <c r="B25">
        <v>0.67500000000000004</v>
      </c>
    </row>
    <row r="26" spans="1:2" x14ac:dyDescent="0.25">
      <c r="A26" s="1" t="s">
        <v>241</v>
      </c>
      <c r="B26">
        <v>0.67500000000000004</v>
      </c>
    </row>
    <row r="27" spans="1:2" x14ac:dyDescent="0.25">
      <c r="A27" s="1" t="s">
        <v>217</v>
      </c>
      <c r="B27">
        <v>0.67500000000000004</v>
      </c>
    </row>
    <row r="28" spans="1:2" x14ac:dyDescent="0.25">
      <c r="A28" s="1" t="s">
        <v>327</v>
      </c>
      <c r="B28">
        <v>0.67500000000000004</v>
      </c>
    </row>
    <row r="29" spans="1:2" x14ac:dyDescent="0.25">
      <c r="A29" s="1" t="s">
        <v>158</v>
      </c>
      <c r="B29">
        <v>1.5</v>
      </c>
    </row>
    <row r="30" spans="1:2" x14ac:dyDescent="0.25">
      <c r="A30" s="1" t="s">
        <v>153</v>
      </c>
      <c r="B30">
        <v>1.5</v>
      </c>
    </row>
    <row r="31" spans="1:2" x14ac:dyDescent="0.25">
      <c r="A31" s="1" t="s">
        <v>231</v>
      </c>
      <c r="B31">
        <v>1.5</v>
      </c>
    </row>
    <row r="32" spans="1:2" x14ac:dyDescent="0.25">
      <c r="A32" s="1" t="s">
        <v>147</v>
      </c>
      <c r="B32">
        <v>1.5</v>
      </c>
    </row>
    <row r="33" spans="1:2" x14ac:dyDescent="0.25">
      <c r="A33" s="1" t="s">
        <v>229</v>
      </c>
      <c r="B33">
        <v>1.5</v>
      </c>
    </row>
    <row r="34" spans="1:2" x14ac:dyDescent="0.25">
      <c r="A34" s="1" t="s">
        <v>182</v>
      </c>
      <c r="B34">
        <v>1.5</v>
      </c>
    </row>
    <row r="35" spans="1:2" x14ac:dyDescent="0.25">
      <c r="A35" s="1" t="s">
        <v>264</v>
      </c>
      <c r="B35">
        <v>1.5</v>
      </c>
    </row>
    <row r="36" spans="1:2" x14ac:dyDescent="0.25">
      <c r="A36" s="1" t="s">
        <v>349</v>
      </c>
      <c r="B36">
        <v>1.5</v>
      </c>
    </row>
    <row r="37" spans="1:2" x14ac:dyDescent="0.25">
      <c r="A37" s="1" t="s">
        <v>268</v>
      </c>
      <c r="B37">
        <v>1.5</v>
      </c>
    </row>
    <row r="38" spans="1:2" x14ac:dyDescent="0.25">
      <c r="A38" s="1" t="s">
        <v>296</v>
      </c>
      <c r="B38">
        <v>1.5</v>
      </c>
    </row>
    <row r="39" spans="1:2" x14ac:dyDescent="0.25">
      <c r="A39" s="1" t="s">
        <v>299</v>
      </c>
      <c r="B39">
        <v>1.5</v>
      </c>
    </row>
    <row r="40" spans="1:2" x14ac:dyDescent="0.25">
      <c r="A40" s="1" t="s">
        <v>346</v>
      </c>
      <c r="B40">
        <v>1.5</v>
      </c>
    </row>
    <row r="41" spans="1:2" x14ac:dyDescent="0.25">
      <c r="A41" s="1" t="s">
        <v>316</v>
      </c>
      <c r="B41">
        <v>1.5</v>
      </c>
    </row>
    <row r="42" spans="1:2" x14ac:dyDescent="0.25">
      <c r="A42" s="1" t="s">
        <v>319</v>
      </c>
      <c r="B42">
        <v>1.5</v>
      </c>
    </row>
    <row r="43" spans="1:2" x14ac:dyDescent="0.25">
      <c r="A43" s="1" t="s">
        <v>324</v>
      </c>
      <c r="B43">
        <v>1.5</v>
      </c>
    </row>
    <row r="44" spans="1:2" x14ac:dyDescent="0.25">
      <c r="A44" s="1" t="s">
        <v>313</v>
      </c>
      <c r="B44">
        <v>1.5</v>
      </c>
    </row>
    <row r="45" spans="1:2" x14ac:dyDescent="0.25">
      <c r="A45" s="1" t="s">
        <v>334</v>
      </c>
      <c r="B45">
        <v>1.5</v>
      </c>
    </row>
    <row r="46" spans="1:2" x14ac:dyDescent="0.25">
      <c r="A46" s="1" t="s">
        <v>337</v>
      </c>
      <c r="B46">
        <v>1.5</v>
      </c>
    </row>
    <row r="47" spans="1:2" x14ac:dyDescent="0.25">
      <c r="A47" s="1" t="s">
        <v>339</v>
      </c>
      <c r="B47">
        <v>1.5</v>
      </c>
    </row>
    <row r="48" spans="1:2" x14ac:dyDescent="0.25">
      <c r="A48" s="1" t="s">
        <v>343</v>
      </c>
      <c r="B48">
        <v>1.5</v>
      </c>
    </row>
    <row r="49" spans="1:2" x14ac:dyDescent="0.25">
      <c r="A49" s="1" t="s">
        <v>273</v>
      </c>
      <c r="B49">
        <v>1.5</v>
      </c>
    </row>
    <row r="50" spans="1:2" x14ac:dyDescent="0.25">
      <c r="A50" s="1" t="s">
        <v>277</v>
      </c>
      <c r="B50">
        <v>1.5</v>
      </c>
    </row>
    <row r="51" spans="1:2" x14ac:dyDescent="0.25">
      <c r="A51" s="1" t="s">
        <v>310</v>
      </c>
      <c r="B51">
        <v>1.5</v>
      </c>
    </row>
    <row r="52" spans="1:2" x14ac:dyDescent="0.25">
      <c r="A52" s="1" t="s">
        <v>290</v>
      </c>
      <c r="B52">
        <v>1.5</v>
      </c>
    </row>
    <row r="53" spans="1:2" x14ac:dyDescent="0.25">
      <c r="A53" s="1" t="s">
        <v>280</v>
      </c>
      <c r="B53">
        <v>1.1399999999999999</v>
      </c>
    </row>
    <row r="54" spans="1:2" x14ac:dyDescent="0.25">
      <c r="A54" s="1" t="s">
        <v>116</v>
      </c>
      <c r="B54">
        <v>0.215</v>
      </c>
    </row>
    <row r="55" spans="1:2" x14ac:dyDescent="0.25">
      <c r="A55" s="1" t="s">
        <v>123</v>
      </c>
      <c r="B55">
        <v>0.215</v>
      </c>
    </row>
    <row r="56" spans="1:2" x14ac:dyDescent="0.25">
      <c r="A56" s="1" t="s">
        <v>375</v>
      </c>
      <c r="B56">
        <v>0.52</v>
      </c>
    </row>
    <row r="57" spans="1:2" x14ac:dyDescent="0.25">
      <c r="A57" s="1" t="s">
        <v>371</v>
      </c>
      <c r="B57">
        <v>0.52</v>
      </c>
    </row>
    <row r="58" spans="1:2" x14ac:dyDescent="0.25">
      <c r="A58" s="1" t="s">
        <v>535</v>
      </c>
      <c r="B58">
        <v>0.52</v>
      </c>
    </row>
    <row r="59" spans="1:2" x14ac:dyDescent="0.25">
      <c r="A59" s="1" t="s">
        <v>530</v>
      </c>
      <c r="B59">
        <v>0.52</v>
      </c>
    </row>
    <row r="60" spans="1:2" x14ac:dyDescent="0.25">
      <c r="A60" s="1" t="s">
        <v>533</v>
      </c>
      <c r="B60">
        <v>0.52</v>
      </c>
    </row>
    <row r="61" spans="1:2" x14ac:dyDescent="0.25">
      <c r="A61" s="1" t="s">
        <v>475</v>
      </c>
      <c r="B61">
        <v>0.52</v>
      </c>
    </row>
    <row r="62" spans="1:2" x14ac:dyDescent="0.25">
      <c r="A62" s="1" t="s">
        <v>477</v>
      </c>
      <c r="B62">
        <v>0.52</v>
      </c>
    </row>
    <row r="63" spans="1:2" x14ac:dyDescent="0.25">
      <c r="A63" s="1" t="s">
        <v>480</v>
      </c>
      <c r="B63">
        <v>0.52</v>
      </c>
    </row>
    <row r="64" spans="1:2" x14ac:dyDescent="0.25">
      <c r="A64" s="1" t="s">
        <v>482</v>
      </c>
      <c r="B64">
        <v>0.52</v>
      </c>
    </row>
    <row r="65" spans="1:2" x14ac:dyDescent="0.25">
      <c r="A65" s="1" t="s">
        <v>485</v>
      </c>
      <c r="B65">
        <v>0.52</v>
      </c>
    </row>
    <row r="66" spans="1:2" x14ac:dyDescent="0.25">
      <c r="A66" s="1" t="s">
        <v>487</v>
      </c>
      <c r="B66">
        <v>0.52</v>
      </c>
    </row>
    <row r="67" spans="1:2" x14ac:dyDescent="0.25">
      <c r="A67" s="1" t="s">
        <v>489</v>
      </c>
      <c r="B67">
        <v>0.52</v>
      </c>
    </row>
    <row r="68" spans="1:2" x14ac:dyDescent="0.25">
      <c r="A68" s="1" t="s">
        <v>491</v>
      </c>
      <c r="B68">
        <v>0.52</v>
      </c>
    </row>
    <row r="69" spans="1:2" x14ac:dyDescent="0.25">
      <c r="A69" s="1" t="s">
        <v>522</v>
      </c>
      <c r="B69">
        <v>0.52</v>
      </c>
    </row>
    <row r="70" spans="1:2" x14ac:dyDescent="0.25">
      <c r="A70" s="1" t="s">
        <v>527</v>
      </c>
      <c r="B70">
        <v>0.52</v>
      </c>
    </row>
    <row r="71" spans="1:2" x14ac:dyDescent="0.25">
      <c r="A71" s="1" t="s">
        <v>503</v>
      </c>
      <c r="B71">
        <v>0.03</v>
      </c>
    </row>
    <row r="72" spans="1:2" x14ac:dyDescent="0.25">
      <c r="A72" s="1" t="s">
        <v>506</v>
      </c>
      <c r="B72">
        <v>0.03</v>
      </c>
    </row>
    <row r="73" spans="1:2" x14ac:dyDescent="0.25">
      <c r="A73" s="1" t="s">
        <v>510</v>
      </c>
      <c r="B73">
        <v>0.03</v>
      </c>
    </row>
    <row r="74" spans="1:2" x14ac:dyDescent="0.25">
      <c r="A74" s="1" t="s">
        <v>537</v>
      </c>
      <c r="B74">
        <v>0.03</v>
      </c>
    </row>
    <row r="75" spans="1:2" x14ac:dyDescent="0.25">
      <c r="A75" s="1" t="s">
        <v>501</v>
      </c>
      <c r="B75">
        <v>0.03</v>
      </c>
    </row>
    <row r="76" spans="1:2" x14ac:dyDescent="0.25">
      <c r="A76" s="1" t="s">
        <v>495</v>
      </c>
      <c r="B76">
        <v>0.03</v>
      </c>
    </row>
    <row r="77" spans="1:2" x14ac:dyDescent="0.25">
      <c r="A77" s="1" t="s">
        <v>499</v>
      </c>
      <c r="B77">
        <v>0.03</v>
      </c>
    </row>
    <row r="78" spans="1:2" x14ac:dyDescent="0.25">
      <c r="A78" s="1" t="s">
        <v>525</v>
      </c>
      <c r="B78">
        <v>2.5000000000000001E-2</v>
      </c>
    </row>
    <row r="79" spans="1:2" x14ac:dyDescent="0.25">
      <c r="A79" s="1" t="s">
        <v>65</v>
      </c>
      <c r="B79">
        <v>0.31</v>
      </c>
    </row>
    <row r="80" spans="1:2" x14ac:dyDescent="0.25">
      <c r="A80" s="1" t="s">
        <v>119</v>
      </c>
      <c r="B80">
        <v>0.255</v>
      </c>
    </row>
    <row r="81" spans="1:2" x14ac:dyDescent="0.25">
      <c r="A81" s="1" t="s">
        <v>519</v>
      </c>
      <c r="B81">
        <v>0.215</v>
      </c>
    </row>
    <row r="82" spans="1:2" x14ac:dyDescent="0.25">
      <c r="A82" s="1" t="s">
        <v>143</v>
      </c>
      <c r="B82">
        <v>0.215</v>
      </c>
    </row>
    <row r="83" spans="1:2" x14ac:dyDescent="0.25">
      <c r="A83" s="1" t="s">
        <v>110</v>
      </c>
      <c r="B83">
        <v>0.215</v>
      </c>
    </row>
    <row r="84" spans="1:2" x14ac:dyDescent="0.25">
      <c r="A84" s="1" t="s">
        <v>399</v>
      </c>
      <c r="B84">
        <v>0.23</v>
      </c>
    </row>
    <row r="85" spans="1:2" x14ac:dyDescent="0.25">
      <c r="A85" s="1" t="s">
        <v>92</v>
      </c>
      <c r="B85">
        <v>0.23</v>
      </c>
    </row>
    <row r="86" spans="1:2" x14ac:dyDescent="0.25">
      <c r="A86" s="1" t="s">
        <v>514</v>
      </c>
      <c r="B86">
        <v>0.23</v>
      </c>
    </row>
    <row r="87" spans="1:2" x14ac:dyDescent="0.25">
      <c r="A87" s="1" t="s">
        <v>397</v>
      </c>
      <c r="B87">
        <v>0.23</v>
      </c>
    </row>
    <row r="88" spans="1:2" x14ac:dyDescent="0.25">
      <c r="A88" s="1" t="s">
        <v>414</v>
      </c>
      <c r="B88">
        <v>0.23</v>
      </c>
    </row>
    <row r="89" spans="1:2" x14ac:dyDescent="0.25">
      <c r="A89" s="1" t="s">
        <v>416</v>
      </c>
      <c r="B89">
        <v>0.23</v>
      </c>
    </row>
    <row r="90" spans="1:2" x14ac:dyDescent="0.25">
      <c r="A90" s="1" t="s">
        <v>406</v>
      </c>
      <c r="B90">
        <v>0.23</v>
      </c>
    </row>
    <row r="91" spans="1:2" x14ac:dyDescent="0.25">
      <c r="A91" s="1" t="s">
        <v>131</v>
      </c>
      <c r="B91">
        <v>0.23</v>
      </c>
    </row>
    <row r="92" spans="1:2" x14ac:dyDescent="0.25">
      <c r="A92" s="1" t="s">
        <v>404</v>
      </c>
      <c r="B92">
        <v>0.23</v>
      </c>
    </row>
    <row r="93" spans="1:2" x14ac:dyDescent="0.25">
      <c r="A93" s="1" t="s">
        <v>472</v>
      </c>
      <c r="B93">
        <v>0.23</v>
      </c>
    </row>
    <row r="94" spans="1:2" x14ac:dyDescent="0.25">
      <c r="A94" s="1" t="s">
        <v>456</v>
      </c>
      <c r="B94">
        <v>0.23</v>
      </c>
    </row>
    <row r="95" spans="1:2" x14ac:dyDescent="0.25">
      <c r="A95" s="1" t="s">
        <v>459</v>
      </c>
      <c r="B95">
        <v>0.23</v>
      </c>
    </row>
    <row r="96" spans="1:2" x14ac:dyDescent="0.25">
      <c r="A96" s="1" t="s">
        <v>461</v>
      </c>
      <c r="B96">
        <v>0.23</v>
      </c>
    </row>
    <row r="97" spans="1:2" x14ac:dyDescent="0.25">
      <c r="A97" s="1" t="s">
        <v>449</v>
      </c>
      <c r="B97">
        <v>0.23</v>
      </c>
    </row>
    <row r="98" spans="1:2" x14ac:dyDescent="0.25">
      <c r="A98" s="1" t="s">
        <v>452</v>
      </c>
      <c r="B98">
        <v>0.23</v>
      </c>
    </row>
    <row r="99" spans="1:2" x14ac:dyDescent="0.25">
      <c r="A99" s="1" t="s">
        <v>442</v>
      </c>
      <c r="B99">
        <v>0.23</v>
      </c>
    </row>
    <row r="100" spans="1:2" x14ac:dyDescent="0.25">
      <c r="A100" s="1" t="s">
        <v>444</v>
      </c>
      <c r="B100">
        <v>0.23</v>
      </c>
    </row>
    <row r="101" spans="1:2" x14ac:dyDescent="0.25">
      <c r="A101" s="1" t="s">
        <v>516</v>
      </c>
      <c r="B101">
        <v>0.23</v>
      </c>
    </row>
    <row r="102" spans="1:2" x14ac:dyDescent="0.25">
      <c r="A102" s="1" t="s">
        <v>435</v>
      </c>
      <c r="B102">
        <v>0.23</v>
      </c>
    </row>
    <row r="103" spans="1:2" x14ac:dyDescent="0.25">
      <c r="A103" s="1" t="s">
        <v>438</v>
      </c>
      <c r="B103">
        <v>0.23</v>
      </c>
    </row>
    <row r="104" spans="1:2" x14ac:dyDescent="0.25">
      <c r="A104" s="1" t="s">
        <v>440</v>
      </c>
      <c r="B104">
        <v>0.23</v>
      </c>
    </row>
    <row r="105" spans="1:2" x14ac:dyDescent="0.25">
      <c r="A105" s="1" t="s">
        <v>425</v>
      </c>
      <c r="B105">
        <v>0.23</v>
      </c>
    </row>
    <row r="106" spans="1:2" x14ac:dyDescent="0.25">
      <c r="A106" s="1" t="s">
        <v>367</v>
      </c>
      <c r="B106">
        <v>0.23</v>
      </c>
    </row>
    <row r="107" spans="1:2" x14ac:dyDescent="0.25">
      <c r="A107" s="1" t="s">
        <v>50</v>
      </c>
      <c r="B107">
        <v>0.23</v>
      </c>
    </row>
    <row r="108" spans="1:2" x14ac:dyDescent="0.25">
      <c r="A108" s="1" t="s">
        <v>86</v>
      </c>
      <c r="B108">
        <v>0.23</v>
      </c>
    </row>
    <row r="109" spans="1:2" x14ac:dyDescent="0.25">
      <c r="A109" s="1" t="s">
        <v>82</v>
      </c>
      <c r="B109">
        <v>0.23</v>
      </c>
    </row>
    <row r="110" spans="1:2" x14ac:dyDescent="0.25">
      <c r="A110" s="1" t="s">
        <v>89</v>
      </c>
      <c r="B110">
        <v>0.23</v>
      </c>
    </row>
    <row r="111" spans="1:2" x14ac:dyDescent="0.25">
      <c r="A111" s="1" t="s">
        <v>75</v>
      </c>
      <c r="B111">
        <v>0.23</v>
      </c>
    </row>
    <row r="112" spans="1:2" x14ac:dyDescent="0.25">
      <c r="A112" s="1" t="s">
        <v>78</v>
      </c>
      <c r="B112">
        <v>0.23</v>
      </c>
    </row>
    <row r="113" spans="1:2" x14ac:dyDescent="0.25">
      <c r="A113" s="1" t="s">
        <v>80</v>
      </c>
      <c r="B113">
        <v>0.23</v>
      </c>
    </row>
    <row r="114" spans="1:2" x14ac:dyDescent="0.25">
      <c r="A114" s="1" t="s">
        <v>104</v>
      </c>
      <c r="B114">
        <v>0.23</v>
      </c>
    </row>
    <row r="115" spans="1:2" x14ac:dyDescent="0.25">
      <c r="A115" s="1" t="s">
        <v>106</v>
      </c>
      <c r="B115">
        <v>0.23</v>
      </c>
    </row>
    <row r="116" spans="1:2" x14ac:dyDescent="0.25">
      <c r="A116" s="1" t="s">
        <v>139</v>
      </c>
      <c r="B116">
        <v>0.23</v>
      </c>
    </row>
    <row r="117" spans="1:2" x14ac:dyDescent="0.25">
      <c r="A117" s="1" t="s">
        <v>71</v>
      </c>
      <c r="B117">
        <v>0.23</v>
      </c>
    </row>
    <row r="118" spans="1:2" x14ac:dyDescent="0.25">
      <c r="A118" s="1" t="s">
        <v>101</v>
      </c>
      <c r="B118">
        <v>0.23</v>
      </c>
    </row>
    <row r="119" spans="1:2" x14ac:dyDescent="0.25">
      <c r="A119" s="1" t="s">
        <v>96</v>
      </c>
      <c r="B119">
        <v>0.23</v>
      </c>
    </row>
    <row r="120" spans="1:2" x14ac:dyDescent="0.25">
      <c r="A120" s="1" t="s">
        <v>463</v>
      </c>
      <c r="B120">
        <v>0.23</v>
      </c>
    </row>
    <row r="121" spans="1:2" x14ac:dyDescent="0.25">
      <c r="A121" s="1" t="s">
        <v>454</v>
      </c>
      <c r="B121">
        <v>0.23</v>
      </c>
    </row>
    <row r="122" spans="1:2" x14ac:dyDescent="0.25">
      <c r="A122" s="1" t="s">
        <v>379</v>
      </c>
      <c r="B122">
        <v>2.5000000000000001E-2</v>
      </c>
    </row>
    <row r="123" spans="1:2" x14ac:dyDescent="0.25">
      <c r="A123" s="1" t="s">
        <v>135</v>
      </c>
      <c r="B123">
        <v>2.5000000000000001E-2</v>
      </c>
    </row>
    <row r="124" spans="1:2" x14ac:dyDescent="0.25">
      <c r="A124" s="1" t="s">
        <v>127</v>
      </c>
      <c r="B124">
        <v>0.27</v>
      </c>
    </row>
    <row r="125" spans="1:2" x14ac:dyDescent="0.25">
      <c r="A125" s="1" t="s">
        <v>394</v>
      </c>
      <c r="B125">
        <v>0.27</v>
      </c>
    </row>
    <row r="126" spans="1:2" x14ac:dyDescent="0.25">
      <c r="A126" s="1" t="s">
        <v>409</v>
      </c>
      <c r="B126">
        <v>0.27</v>
      </c>
    </row>
    <row r="127" spans="1:2" x14ac:dyDescent="0.25">
      <c r="A127" s="1" t="s">
        <v>412</v>
      </c>
      <c r="B127">
        <v>0.27</v>
      </c>
    </row>
    <row r="128" spans="1:2" x14ac:dyDescent="0.25">
      <c r="A128" s="1" t="s">
        <v>401</v>
      </c>
      <c r="B128">
        <v>0.27</v>
      </c>
    </row>
    <row r="129" spans="1:2" x14ac:dyDescent="0.25">
      <c r="A129" s="1" t="s">
        <v>465</v>
      </c>
      <c r="B129">
        <v>0.27</v>
      </c>
    </row>
    <row r="130" spans="1:2" x14ac:dyDescent="0.25">
      <c r="A130" s="1" t="s">
        <v>468</v>
      </c>
      <c r="B130">
        <v>0.27</v>
      </c>
    </row>
    <row r="131" spans="1:2" x14ac:dyDescent="0.25">
      <c r="A131" s="1" t="s">
        <v>470</v>
      </c>
      <c r="B131">
        <v>0.27</v>
      </c>
    </row>
    <row r="132" spans="1:2" x14ac:dyDescent="0.25">
      <c r="A132" s="1" t="s">
        <v>446</v>
      </c>
      <c r="B132">
        <v>0.27</v>
      </c>
    </row>
    <row r="133" spans="1:2" x14ac:dyDescent="0.25">
      <c r="A133" s="1" t="s">
        <v>427</v>
      </c>
      <c r="B133">
        <v>0.27</v>
      </c>
    </row>
    <row r="134" spans="1:2" x14ac:dyDescent="0.25">
      <c r="A134" s="1" t="s">
        <v>433</v>
      </c>
      <c r="B134">
        <v>0.27</v>
      </c>
    </row>
    <row r="135" spans="1:2" x14ac:dyDescent="0.25">
      <c r="A135" s="1" t="s">
        <v>430</v>
      </c>
      <c r="B135">
        <v>0.27</v>
      </c>
    </row>
    <row r="136" spans="1:2" x14ac:dyDescent="0.25">
      <c r="A136" s="1" t="s">
        <v>423</v>
      </c>
      <c r="B136">
        <v>0.27</v>
      </c>
    </row>
    <row r="137" spans="1:2" x14ac:dyDescent="0.25">
      <c r="A137" s="1" t="s">
        <v>418</v>
      </c>
      <c r="B137">
        <v>0.27</v>
      </c>
    </row>
    <row r="138" spans="1:2" x14ac:dyDescent="0.25">
      <c r="A138" s="1" t="s">
        <v>421</v>
      </c>
      <c r="B138">
        <v>0.27</v>
      </c>
    </row>
    <row r="139" spans="1:2" x14ac:dyDescent="0.25">
      <c r="A139" s="1" t="s">
        <v>221</v>
      </c>
      <c r="B139">
        <v>0.875</v>
      </c>
    </row>
    <row r="140" spans="1:2" x14ac:dyDescent="0.25">
      <c r="A140" s="1" t="s">
        <v>186</v>
      </c>
      <c r="B140">
        <v>1.35</v>
      </c>
    </row>
    <row r="141" spans="1:2" x14ac:dyDescent="0.25">
      <c r="A141" s="1" t="s">
        <v>512</v>
      </c>
      <c r="B141">
        <v>2.2499999999999999E-2</v>
      </c>
    </row>
    <row r="142" spans="1:2" x14ac:dyDescent="0.25">
      <c r="A142" s="1" t="s">
        <v>322</v>
      </c>
      <c r="B142">
        <v>1.35</v>
      </c>
    </row>
    <row r="143" spans="1:2" x14ac:dyDescent="0.25">
      <c r="A143" s="1" t="s">
        <v>305</v>
      </c>
      <c r="B143">
        <v>1.35</v>
      </c>
    </row>
    <row r="144" spans="1:2" x14ac:dyDescent="0.25">
      <c r="A144" s="1" t="s">
        <v>307</v>
      </c>
      <c r="B144">
        <v>1.35</v>
      </c>
    </row>
    <row r="145" spans="1:2" x14ac:dyDescent="0.25">
      <c r="A145" s="1" t="s">
        <v>293</v>
      </c>
      <c r="B145">
        <v>1.35</v>
      </c>
    </row>
    <row r="146" spans="1:2" x14ac:dyDescent="0.25">
      <c r="A146" s="1" t="s">
        <v>331</v>
      </c>
      <c r="B146">
        <v>1.1499999999999999</v>
      </c>
    </row>
    <row r="147" spans="1:2" x14ac:dyDescent="0.25">
      <c r="A147" s="1" t="s">
        <v>202</v>
      </c>
      <c r="B147">
        <v>1.35</v>
      </c>
    </row>
    <row r="148" spans="1:2" x14ac:dyDescent="0.25">
      <c r="A148" s="1" t="s">
        <v>354</v>
      </c>
      <c r="B148">
        <v>1.35</v>
      </c>
    </row>
    <row r="149" spans="1:2" x14ac:dyDescent="0.25">
      <c r="A149" s="1" t="s">
        <v>284</v>
      </c>
      <c r="B149">
        <v>7.0000000000000007E-2</v>
      </c>
    </row>
    <row r="150" spans="1:2" x14ac:dyDescent="0.25">
      <c r="A150" s="1" t="s">
        <v>287</v>
      </c>
      <c r="B150">
        <v>7.0000000000000007E-2</v>
      </c>
    </row>
    <row r="151" spans="1:2" x14ac:dyDescent="0.25">
      <c r="A151" s="1" t="s">
        <v>255</v>
      </c>
      <c r="B15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DETAILS</vt:lpstr>
      <vt:lpstr>clean sheet</vt:lpstr>
      <vt:lpstr>Sheet8</vt:lpstr>
      <vt:lpstr>Sheet7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2025-11-13T13:54:01Z</dcterms:created>
  <dcterms:modified xsi:type="dcterms:W3CDTF">2025-11-13T18:23:41Z</dcterms:modified>
</cp:coreProperties>
</file>