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Heartland\2026\2026-05-29\"/>
    </mc:Choice>
  </mc:AlternateContent>
  <xr:revisionPtr revIDLastSave="0" documentId="13_ncr:1_{E270CB64-7420-40BE-8AF1-B81391834E4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ummary" sheetId="2" r:id="rId1"/>
    <sheet name="New Business" sheetId="3" r:id="rId2"/>
    <sheet name="Sheet2" sheetId="8" r:id="rId3"/>
    <sheet name="Renewals" sheetId="4" r:id="rId4"/>
    <sheet name="Sheet1" sheetId="7" r:id="rId5"/>
    <sheet name="Repayment of Advances" sheetId="5" r:id="rId6"/>
    <sheet name="Chargebacks and Adjustment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17" i="8" l="1"/>
  <c r="O317" i="8"/>
  <c r="O316" i="8"/>
  <c r="P316" i="8" s="1"/>
  <c r="O280" i="8"/>
  <c r="P280" i="8" s="1"/>
  <c r="O104" i="8"/>
  <c r="P104" i="8" s="1"/>
  <c r="O281" i="8"/>
  <c r="P281" i="8" s="1"/>
  <c r="O139" i="8"/>
  <c r="P139" i="8" s="1"/>
  <c r="O100" i="8"/>
  <c r="P100" i="8" s="1"/>
  <c r="O282" i="8"/>
  <c r="P282" i="8" s="1"/>
  <c r="O90" i="8"/>
  <c r="P90" i="8" s="1"/>
  <c r="O101" i="8"/>
  <c r="P101" i="8" s="1"/>
  <c r="O277" i="8"/>
  <c r="P277" i="8" s="1"/>
  <c r="O102" i="8"/>
  <c r="P102" i="8" s="1"/>
  <c r="O183" i="8"/>
  <c r="P183" i="8" s="1"/>
  <c r="O311" i="8"/>
  <c r="P311" i="8" s="1"/>
  <c r="O151" i="8"/>
  <c r="P151" i="8" s="1"/>
  <c r="O150" i="8"/>
  <c r="P150" i="8" s="1"/>
  <c r="O269" i="8"/>
  <c r="P269" i="8" s="1"/>
  <c r="O196" i="8"/>
  <c r="P196" i="8" s="1"/>
  <c r="O91" i="8"/>
  <c r="P91" i="8" s="1"/>
  <c r="O179" i="8"/>
  <c r="P179" i="8" s="1"/>
  <c r="O197" i="8"/>
  <c r="P197" i="8" s="1"/>
  <c r="O73" i="8"/>
  <c r="P73" i="8" s="1"/>
  <c r="O278" i="8"/>
  <c r="P278" i="8" s="1"/>
  <c r="O283" i="8"/>
  <c r="P283" i="8" s="1"/>
  <c r="O175" i="8"/>
  <c r="P175" i="8" s="1"/>
  <c r="O292" i="8"/>
  <c r="P292" i="8" s="1"/>
  <c r="O152" i="8"/>
  <c r="P152" i="8" s="1"/>
  <c r="O103" i="8"/>
  <c r="P103" i="8" s="1"/>
  <c r="O270" i="8"/>
  <c r="P270" i="8" s="1"/>
  <c r="O271" i="8"/>
  <c r="P271" i="8" s="1"/>
  <c r="O254" i="8"/>
  <c r="P254" i="8" s="1"/>
  <c r="O255" i="8"/>
  <c r="P255" i="8" s="1"/>
  <c r="O153" i="8"/>
  <c r="P153" i="8" s="1"/>
  <c r="O142" i="8"/>
  <c r="P142" i="8" s="1"/>
  <c r="O200" i="8"/>
  <c r="P200" i="8" s="1"/>
  <c r="O96" i="8"/>
  <c r="P96" i="8" s="1"/>
  <c r="O256" i="8"/>
  <c r="P256" i="8" s="1"/>
  <c r="O257" i="8"/>
  <c r="P257" i="8" s="1"/>
  <c r="O184" i="8"/>
  <c r="P184" i="8" s="1"/>
  <c r="O134" i="8"/>
  <c r="P134" i="8" s="1"/>
  <c r="O243" i="8"/>
  <c r="P243" i="8" s="1"/>
  <c r="O207" i="8"/>
  <c r="P207" i="8" s="1"/>
  <c r="O289" i="8"/>
  <c r="P289" i="8" s="1"/>
  <c r="O296" i="8"/>
  <c r="P296" i="8" s="1"/>
  <c r="O162" i="8"/>
  <c r="P162" i="8" s="1"/>
  <c r="O163" i="8"/>
  <c r="P163" i="8" s="1"/>
  <c r="O164" i="8"/>
  <c r="P164" i="8" s="1"/>
  <c r="O165" i="8"/>
  <c r="P165" i="8" s="1"/>
  <c r="O185" i="8"/>
  <c r="P185" i="8" s="1"/>
  <c r="O291" i="8"/>
  <c r="P291" i="8" s="1"/>
  <c r="O238" i="8"/>
  <c r="P238" i="8" s="1"/>
  <c r="O84" i="8"/>
  <c r="P84" i="8" s="1"/>
  <c r="O64" i="8"/>
  <c r="P64" i="8" s="1"/>
  <c r="O65" i="8"/>
  <c r="P65" i="8" s="1"/>
  <c r="O154" i="8"/>
  <c r="P154" i="8" s="1"/>
  <c r="O85" i="8"/>
  <c r="P85" i="8" s="1"/>
  <c r="O208" i="8"/>
  <c r="P208" i="8" s="1"/>
  <c r="O87" i="8"/>
  <c r="P87" i="8" s="1"/>
  <c r="O155" i="8"/>
  <c r="P155" i="8" s="1"/>
  <c r="O201" i="8"/>
  <c r="P201" i="8" s="1"/>
  <c r="O284" i="8"/>
  <c r="P284" i="8" s="1"/>
  <c r="O198" i="8"/>
  <c r="P198" i="8" s="1"/>
  <c r="O86" i="8"/>
  <c r="P86" i="8" s="1"/>
  <c r="O285" i="8"/>
  <c r="P285" i="8" s="1"/>
  <c r="O299" i="8"/>
  <c r="P299" i="8" s="1"/>
  <c r="O251" i="8"/>
  <c r="P251" i="8" s="1"/>
  <c r="O129" i="8"/>
  <c r="P129" i="8" s="1"/>
  <c r="O130" i="8"/>
  <c r="P130" i="8" s="1"/>
  <c r="O300" i="8"/>
  <c r="P300" i="8" s="1"/>
  <c r="O105" i="8"/>
  <c r="P105" i="8" s="1"/>
  <c r="O272" i="8"/>
  <c r="P272" i="8" s="1"/>
  <c r="O131" i="8"/>
  <c r="P131" i="8" s="1"/>
  <c r="O209" i="8"/>
  <c r="P209" i="8" s="1"/>
  <c r="O273" i="8"/>
  <c r="P273" i="8" s="1"/>
  <c r="O210" i="8"/>
  <c r="P210" i="8" s="1"/>
  <c r="O312" i="8"/>
  <c r="P312" i="8" s="1"/>
  <c r="O186" i="8"/>
  <c r="P186" i="8" s="1"/>
  <c r="O258" i="8"/>
  <c r="P258" i="8" s="1"/>
  <c r="O199" i="8"/>
  <c r="P199" i="8" s="1"/>
  <c r="O88" i="8"/>
  <c r="P88" i="8" s="1"/>
  <c r="O111" i="8"/>
  <c r="P111" i="8" s="1"/>
  <c r="O118" i="8"/>
  <c r="P118" i="8" s="1"/>
  <c r="O259" i="8"/>
  <c r="P259" i="8" s="1"/>
  <c r="O156" i="8"/>
  <c r="P156" i="8" s="1"/>
  <c r="O119" i="8"/>
  <c r="P119" i="8" s="1"/>
  <c r="O120" i="8"/>
  <c r="P120" i="8" s="1"/>
  <c r="O92" i="8"/>
  <c r="P92" i="8" s="1"/>
  <c r="O68" i="8"/>
  <c r="P68" i="8" s="1"/>
  <c r="O252" i="8"/>
  <c r="P252" i="8" s="1"/>
  <c r="O239" i="8"/>
  <c r="P239" i="8" s="1"/>
  <c r="O235" i="8"/>
  <c r="P235" i="8" s="1"/>
  <c r="O211" i="8"/>
  <c r="P211" i="8" s="1"/>
  <c r="O212" i="8"/>
  <c r="P212" i="8" s="1"/>
  <c r="O213" i="8"/>
  <c r="P213" i="8" s="1"/>
  <c r="O313" i="8"/>
  <c r="P313" i="8" s="1"/>
  <c r="O214" i="8"/>
  <c r="P214" i="8" s="1"/>
  <c r="O293" i="8"/>
  <c r="P293" i="8" s="1"/>
  <c r="O187" i="8"/>
  <c r="P187" i="8" s="1"/>
  <c r="O69" i="8"/>
  <c r="P69" i="8" s="1"/>
  <c r="O240" i="8"/>
  <c r="P240" i="8" s="1"/>
  <c r="O253" i="8"/>
  <c r="P253" i="8" s="1"/>
  <c r="O236" i="8"/>
  <c r="P236" i="8" s="1"/>
  <c r="O34" i="8"/>
  <c r="P34" i="8" s="1"/>
  <c r="O215" i="8"/>
  <c r="P215" i="8" s="1"/>
  <c r="O132" i="8"/>
  <c r="P132" i="8" s="1"/>
  <c r="O35" i="8"/>
  <c r="P35" i="8" s="1"/>
  <c r="O216" i="8"/>
  <c r="P216" i="8" s="1"/>
  <c r="O140" i="8"/>
  <c r="P140" i="8" s="1"/>
  <c r="O36" i="8"/>
  <c r="P36" i="8" s="1"/>
  <c r="O117" i="8"/>
  <c r="P117" i="8" s="1"/>
  <c r="O112" i="8"/>
  <c r="P112" i="8" s="1"/>
  <c r="O113" i="8"/>
  <c r="P113" i="8" s="1"/>
  <c r="O60" i="8"/>
  <c r="P60" i="8" s="1"/>
  <c r="O135" i="8"/>
  <c r="P135" i="8" s="1"/>
  <c r="O37" i="8"/>
  <c r="P37" i="8" s="1"/>
  <c r="O30" i="8"/>
  <c r="P30" i="8" s="1"/>
  <c r="O217" i="8"/>
  <c r="P217" i="8" s="1"/>
  <c r="O38" i="8"/>
  <c r="P38" i="8" s="1"/>
  <c r="O39" i="8"/>
  <c r="P39" i="8" s="1"/>
  <c r="O260" i="8"/>
  <c r="P260" i="8" s="1"/>
  <c r="O279" i="8"/>
  <c r="P279" i="8" s="1"/>
  <c r="O261" i="8"/>
  <c r="P261" i="8" s="1"/>
  <c r="O40" i="8"/>
  <c r="P40" i="8" s="1"/>
  <c r="O188" i="8"/>
  <c r="P188" i="8" s="1"/>
  <c r="O74" i="8"/>
  <c r="P74" i="8" s="1"/>
  <c r="O262" i="8"/>
  <c r="P262" i="8" s="1"/>
  <c r="O263" i="8"/>
  <c r="P263" i="8" s="1"/>
  <c r="O106" i="8"/>
  <c r="P106" i="8" s="1"/>
  <c r="O181" i="8"/>
  <c r="P181" i="8" s="1"/>
  <c r="O202" i="8"/>
  <c r="P202" i="8" s="1"/>
  <c r="O218" i="8"/>
  <c r="P218" i="8" s="1"/>
  <c r="O110" i="8"/>
  <c r="P110" i="8" s="1"/>
  <c r="O97" i="8"/>
  <c r="P97" i="8" s="1"/>
  <c r="O133" i="8"/>
  <c r="P133" i="8" s="1"/>
  <c r="O237" i="8"/>
  <c r="P237" i="8" s="1"/>
  <c r="O41" i="8"/>
  <c r="P41" i="8" s="1"/>
  <c r="O264" i="8"/>
  <c r="P264" i="8" s="1"/>
  <c r="O70" i="8"/>
  <c r="P70" i="8" s="1"/>
  <c r="O66" i="8"/>
  <c r="P66" i="8" s="1"/>
  <c r="O42" i="8"/>
  <c r="P42" i="8" s="1"/>
  <c r="O107" i="8"/>
  <c r="P107" i="8" s="1"/>
  <c r="O166" i="8"/>
  <c r="P166" i="8" s="1"/>
  <c r="O115" i="8"/>
  <c r="P115" i="8" s="1"/>
  <c r="O93" i="8"/>
  <c r="P93" i="8" s="1"/>
  <c r="O189" i="8"/>
  <c r="P189" i="8" s="1"/>
  <c r="O244" i="8"/>
  <c r="P244" i="8" s="1"/>
  <c r="O301" i="8"/>
  <c r="P301" i="8" s="1"/>
  <c r="O242" i="8"/>
  <c r="P242" i="8" s="1"/>
  <c r="O298" i="8"/>
  <c r="P298" i="8" s="1"/>
  <c r="O219" i="8"/>
  <c r="P219" i="8" s="1"/>
  <c r="O114" i="8"/>
  <c r="P114" i="8" s="1"/>
  <c r="O303" i="8"/>
  <c r="P303" i="8" s="1"/>
  <c r="O314" i="8"/>
  <c r="P314" i="8" s="1"/>
  <c r="O220" i="8"/>
  <c r="P220" i="8" s="1"/>
  <c r="O167" i="8"/>
  <c r="P167" i="8" s="1"/>
  <c r="O221" i="8"/>
  <c r="P221" i="8" s="1"/>
  <c r="O304" i="8"/>
  <c r="P304" i="8" s="1"/>
  <c r="O75" i="8"/>
  <c r="P75" i="8" s="1"/>
  <c r="O61" i="8"/>
  <c r="P61" i="8" s="1"/>
  <c r="O265" i="8"/>
  <c r="P265" i="8" s="1"/>
  <c r="O305" i="8"/>
  <c r="P305" i="8" s="1"/>
  <c r="O149" i="8"/>
  <c r="P149" i="8" s="1"/>
  <c r="O43" i="8"/>
  <c r="P43" i="8" s="1"/>
  <c r="O44" i="8"/>
  <c r="P44" i="8" s="1"/>
  <c r="O121" i="8"/>
  <c r="P121" i="8" s="1"/>
  <c r="O122" i="8"/>
  <c r="P122" i="8" s="1"/>
  <c r="O274" i="8"/>
  <c r="P274" i="8" s="1"/>
  <c r="O71" i="8"/>
  <c r="P71" i="8" s="1"/>
  <c r="O45" i="8"/>
  <c r="P45" i="8" s="1"/>
  <c r="O250" i="8"/>
  <c r="P250" i="8" s="1"/>
  <c r="O306" i="8"/>
  <c r="P306" i="8" s="1"/>
  <c r="O46" i="8"/>
  <c r="P46" i="8" s="1"/>
  <c r="O302" i="8"/>
  <c r="P302" i="8" s="1"/>
  <c r="O47" i="8"/>
  <c r="P47" i="8" s="1"/>
  <c r="O176" i="8"/>
  <c r="P176" i="8" s="1"/>
  <c r="O241" i="8"/>
  <c r="P241" i="8" s="1"/>
  <c r="O123" i="8"/>
  <c r="P123" i="8" s="1"/>
  <c r="O288" i="8"/>
  <c r="P288" i="8" s="1"/>
  <c r="O222" i="8"/>
  <c r="P222" i="8" s="1"/>
  <c r="O245" i="8"/>
  <c r="P245" i="8" s="1"/>
  <c r="O108" i="8"/>
  <c r="P108" i="8" s="1"/>
  <c r="O246" i="8"/>
  <c r="P246" i="8" s="1"/>
  <c r="O286" i="8"/>
  <c r="P286" i="8" s="1"/>
  <c r="O136" i="8"/>
  <c r="P136" i="8" s="1"/>
  <c r="O287" i="8"/>
  <c r="P287" i="8" s="1"/>
  <c r="O67" i="8"/>
  <c r="P67" i="8" s="1"/>
  <c r="O62" i="8"/>
  <c r="P62" i="8" s="1"/>
  <c r="O223" i="8"/>
  <c r="P223" i="8" s="1"/>
  <c r="O224" i="8"/>
  <c r="P224" i="8" s="1"/>
  <c r="O225" i="8"/>
  <c r="P225" i="8" s="1"/>
  <c r="O89" i="8"/>
  <c r="P89" i="8" s="1"/>
  <c r="O182" i="8"/>
  <c r="P182" i="8" s="1"/>
  <c r="O137" i="8"/>
  <c r="P137" i="8" s="1"/>
  <c r="O138" i="8"/>
  <c r="P138" i="8" s="1"/>
  <c r="O157" i="8"/>
  <c r="P157" i="8" s="1"/>
  <c r="O226" i="8"/>
  <c r="P226" i="8" s="1"/>
  <c r="O203" i="8"/>
  <c r="P203" i="8" s="1"/>
  <c r="O190" i="8"/>
  <c r="P190" i="8" s="1"/>
  <c r="O191" i="8"/>
  <c r="P191" i="8" s="1"/>
  <c r="O143" i="8"/>
  <c r="P143" i="8" s="1"/>
  <c r="O290" i="8"/>
  <c r="P290" i="8" s="1"/>
  <c r="O48" i="8"/>
  <c r="P48" i="8" s="1"/>
  <c r="O204" i="8"/>
  <c r="P204" i="8" s="1"/>
  <c r="O307" i="8"/>
  <c r="P307" i="8" s="1"/>
  <c r="O308" i="8"/>
  <c r="P308" i="8" s="1"/>
  <c r="O144" i="8"/>
  <c r="P144" i="8" s="1"/>
  <c r="O168" i="8"/>
  <c r="P168" i="8" s="1"/>
  <c r="O59" i="8"/>
  <c r="P59" i="8" s="1"/>
  <c r="O141" i="8"/>
  <c r="P141" i="8" s="1"/>
  <c r="O145" i="8"/>
  <c r="P145" i="8" s="1"/>
  <c r="O227" i="8"/>
  <c r="P227" i="8" s="1"/>
  <c r="O275" i="8"/>
  <c r="P275" i="8" s="1"/>
  <c r="O309" i="8"/>
  <c r="P309" i="8" s="1"/>
  <c r="O205" i="8"/>
  <c r="P205" i="8" s="1"/>
  <c r="O169" i="8"/>
  <c r="P169" i="8" s="1"/>
  <c r="O57" i="8"/>
  <c r="P57" i="8" s="1"/>
  <c r="O58" i="8"/>
  <c r="P58" i="8" s="1"/>
  <c r="O31" i="8"/>
  <c r="P31" i="8" s="1"/>
  <c r="O228" i="8"/>
  <c r="P228" i="8" s="1"/>
  <c r="O206" i="8"/>
  <c r="P206" i="8" s="1"/>
  <c r="O192" i="8"/>
  <c r="P192" i="8" s="1"/>
  <c r="O310" i="8"/>
  <c r="P310" i="8" s="1"/>
  <c r="O276" i="8"/>
  <c r="P276" i="8" s="1"/>
  <c r="O170" i="8"/>
  <c r="P170" i="8" s="1"/>
  <c r="O266" i="8"/>
  <c r="P266" i="8" s="1"/>
  <c r="O193" i="8"/>
  <c r="P193" i="8" s="1"/>
  <c r="O146" i="8"/>
  <c r="P146" i="8" s="1"/>
  <c r="O171" i="8"/>
  <c r="P171" i="8" s="1"/>
  <c r="O83" i="8"/>
  <c r="P83" i="8" s="1"/>
  <c r="O147" i="8"/>
  <c r="P147" i="8" s="1"/>
  <c r="O177" i="8"/>
  <c r="P177" i="8" s="1"/>
  <c r="O158" i="8"/>
  <c r="P158" i="8" s="1"/>
  <c r="O78" i="8"/>
  <c r="P78" i="8" s="1"/>
  <c r="O194" i="8"/>
  <c r="P194" i="8" s="1"/>
  <c r="O229" i="8"/>
  <c r="P229" i="8" s="1"/>
  <c r="O32" i="8"/>
  <c r="P32" i="8" s="1"/>
  <c r="O33" i="8"/>
  <c r="P33" i="8" s="1"/>
  <c r="O267" i="8"/>
  <c r="P267" i="8" s="1"/>
  <c r="O79" i="8"/>
  <c r="P79" i="8" s="1"/>
  <c r="O98" i="8"/>
  <c r="P98" i="8" s="1"/>
  <c r="O172" i="8"/>
  <c r="P172" i="8" s="1"/>
  <c r="O124" i="8"/>
  <c r="P124" i="8" s="1"/>
  <c r="O295" i="8"/>
  <c r="P295" i="8" s="1"/>
  <c r="O160" i="8"/>
  <c r="P160" i="8" s="1"/>
  <c r="O161" i="8"/>
  <c r="P161" i="8" s="1"/>
  <c r="O230" i="8"/>
  <c r="P230" i="8" s="1"/>
  <c r="O76" i="8"/>
  <c r="P76" i="8" s="1"/>
  <c r="O49" i="8"/>
  <c r="P49" i="8" s="1"/>
  <c r="O99" i="8"/>
  <c r="P99" i="8" s="1"/>
  <c r="O294" i="8"/>
  <c r="P294" i="8" s="1"/>
  <c r="O80" i="8"/>
  <c r="P80" i="8" s="1"/>
  <c r="O81" i="8"/>
  <c r="P81" i="8" s="1"/>
  <c r="O125" i="8"/>
  <c r="P125" i="8" s="1"/>
  <c r="O126" i="8"/>
  <c r="P126" i="8" s="1"/>
  <c r="O72" i="8"/>
  <c r="P72" i="8" s="1"/>
  <c r="O50" i="8"/>
  <c r="P50" i="8" s="1"/>
  <c r="O51" i="8"/>
  <c r="P51" i="8" s="1"/>
  <c r="O52" i="8"/>
  <c r="P52" i="8" s="1"/>
  <c r="O94" i="8"/>
  <c r="P94" i="8" s="1"/>
  <c r="O231" i="8"/>
  <c r="P231" i="8" s="1"/>
  <c r="O178" i="8"/>
  <c r="P178" i="8" s="1"/>
  <c r="O127" i="8"/>
  <c r="P127" i="8" s="1"/>
  <c r="O148" i="8"/>
  <c r="P148" i="8" s="1"/>
  <c r="O247" i="8"/>
  <c r="P247" i="8" s="1"/>
  <c r="O248" i="8"/>
  <c r="P248" i="8" s="1"/>
  <c r="O95" i="8"/>
  <c r="P95" i="8" s="1"/>
  <c r="O82" i="8"/>
  <c r="P82" i="8" s="1"/>
  <c r="O297" i="8"/>
  <c r="P297" i="8" s="1"/>
  <c r="O53" i="8"/>
  <c r="P53" i="8" s="1"/>
  <c r="O128" i="8"/>
  <c r="P128" i="8" s="1"/>
  <c r="O195" i="8"/>
  <c r="P195" i="8" s="1"/>
  <c r="O268" i="8"/>
  <c r="P268" i="8" s="1"/>
  <c r="O54" i="8"/>
  <c r="P54" i="8" s="1"/>
  <c r="O232" i="8"/>
  <c r="P232" i="8" s="1"/>
  <c r="O315" i="8"/>
  <c r="P315" i="8" s="1"/>
  <c r="O116" i="8"/>
  <c r="P116" i="8" s="1"/>
  <c r="O63" i="8"/>
  <c r="P63" i="8" s="1"/>
  <c r="O159" i="8"/>
  <c r="P159" i="8" s="1"/>
  <c r="O173" i="8"/>
  <c r="P173" i="8" s="1"/>
  <c r="O22" i="8"/>
  <c r="P22" i="8" s="1"/>
  <c r="O249" i="8"/>
  <c r="P249" i="8" s="1"/>
  <c r="O109" i="8"/>
  <c r="P109" i="8" s="1"/>
  <c r="O180" i="8"/>
  <c r="P180" i="8" s="1"/>
  <c r="O174" i="8"/>
  <c r="P174" i="8" s="1"/>
  <c r="O55" i="8"/>
  <c r="P55" i="8" s="1"/>
  <c r="O29" i="8"/>
  <c r="P29" i="8" s="1"/>
  <c r="O56" i="8"/>
  <c r="P56" i="8" s="1"/>
  <c r="O233" i="8"/>
  <c r="P233" i="8" s="1"/>
  <c r="O234" i="8"/>
  <c r="P234" i="8" s="1"/>
  <c r="O77" i="8"/>
  <c r="P77" i="8" s="1"/>
  <c r="O2" i="8"/>
  <c r="P2" i="8" s="1"/>
  <c r="O8" i="8"/>
  <c r="P8" i="8" s="1"/>
  <c r="O15" i="8"/>
  <c r="P15" i="8" s="1"/>
  <c r="O16" i="8"/>
  <c r="P16" i="8" s="1"/>
  <c r="O17" i="8"/>
  <c r="P17" i="8" s="1"/>
  <c r="O3" i="8"/>
  <c r="P3" i="8" s="1"/>
  <c r="O11" i="8"/>
  <c r="P11" i="8" s="1"/>
  <c r="O12" i="8"/>
  <c r="P12" i="8" s="1"/>
  <c r="O18" i="8"/>
  <c r="P18" i="8" s="1"/>
  <c r="O19" i="8"/>
  <c r="P19" i="8" s="1"/>
  <c r="O20" i="8"/>
  <c r="P20" i="8" s="1"/>
  <c r="O4" i="8"/>
  <c r="P4" i="8" s="1"/>
  <c r="O14" i="8"/>
  <c r="P14" i="8" s="1"/>
  <c r="O23" i="8"/>
  <c r="P23" i="8" s="1"/>
  <c r="O24" i="8"/>
  <c r="P24" i="8" s="1"/>
  <c r="O25" i="8"/>
  <c r="P25" i="8" s="1"/>
  <c r="O9" i="8"/>
  <c r="P9" i="8" s="1"/>
  <c r="O26" i="8"/>
  <c r="P26" i="8" s="1"/>
  <c r="O5" i="8"/>
  <c r="P5" i="8" s="1"/>
  <c r="O10" i="8"/>
  <c r="P10" i="8" s="1"/>
  <c r="O27" i="8"/>
  <c r="P27" i="8" s="1"/>
  <c r="O28" i="8"/>
  <c r="P28" i="8" s="1"/>
  <c r="O6" i="8"/>
  <c r="P6" i="8" s="1"/>
  <c r="O7" i="8"/>
  <c r="P7" i="8" s="1"/>
  <c r="O13" i="8"/>
  <c r="P13" i="8" s="1"/>
  <c r="O21" i="8"/>
  <c r="P21" i="8" s="1"/>
  <c r="N2" i="7"/>
  <c r="O2" i="7" s="1"/>
  <c r="N3" i="7"/>
  <c r="O3" i="7" s="1"/>
  <c r="N4" i="7"/>
  <c r="O4" i="7" s="1"/>
  <c r="N5" i="7"/>
  <c r="O5" i="7" s="1"/>
  <c r="N6" i="7"/>
  <c r="O6" i="7" s="1"/>
  <c r="N7" i="7"/>
  <c r="O7" i="7" s="1"/>
  <c r="N8" i="7"/>
  <c r="O8" i="7" s="1"/>
  <c r="N9" i="7"/>
  <c r="O9" i="7" s="1"/>
  <c r="N10" i="7"/>
  <c r="O10" i="7" s="1"/>
  <c r="N11" i="7"/>
  <c r="O11" i="7" s="1"/>
  <c r="N12" i="7"/>
  <c r="O12" i="7" s="1"/>
  <c r="N13" i="7"/>
  <c r="O13" i="7" s="1"/>
  <c r="N14" i="7"/>
  <c r="O14" i="7" s="1"/>
  <c r="N15" i="7"/>
  <c r="O15" i="7" s="1"/>
  <c r="N16" i="7"/>
  <c r="O16" i="7" s="1"/>
  <c r="N17" i="7"/>
  <c r="O17" i="7" s="1"/>
  <c r="N18" i="7"/>
  <c r="O18" i="7" s="1"/>
  <c r="N19" i="7"/>
  <c r="O19" i="7" s="1"/>
  <c r="N20" i="7"/>
  <c r="O20" i="7" s="1"/>
  <c r="N21" i="7"/>
  <c r="O21" i="7" s="1"/>
  <c r="N22" i="7"/>
  <c r="O22" i="7" s="1"/>
  <c r="N23" i="7"/>
  <c r="O23" i="7" s="1"/>
  <c r="N24" i="7"/>
  <c r="O24" i="7" s="1"/>
  <c r="N25" i="7"/>
  <c r="O25" i="7" s="1"/>
  <c r="N26" i="7"/>
  <c r="O26" i="7" s="1"/>
  <c r="N27" i="7"/>
  <c r="O27" i="7" s="1"/>
  <c r="N28" i="7"/>
  <c r="O28" i="7" s="1"/>
  <c r="N29" i="7"/>
  <c r="O29" i="7" s="1"/>
  <c r="N30" i="7"/>
  <c r="O30" i="7" s="1"/>
  <c r="N31" i="7"/>
  <c r="O31" i="7" s="1"/>
  <c r="N32" i="7"/>
  <c r="O32" i="7" s="1"/>
  <c r="N33" i="7"/>
  <c r="O33" i="7" s="1"/>
  <c r="N34" i="7"/>
  <c r="O34" i="7" s="1"/>
  <c r="N35" i="7"/>
  <c r="O35" i="7" s="1"/>
  <c r="N36" i="7"/>
  <c r="O36" i="7" s="1"/>
  <c r="N37" i="7"/>
  <c r="O37" i="7" s="1"/>
  <c r="N38" i="7"/>
  <c r="O38" i="7" s="1"/>
  <c r="N39" i="7"/>
  <c r="O39" i="7" s="1"/>
  <c r="N40" i="7"/>
  <c r="O40" i="7" s="1"/>
  <c r="N41" i="7"/>
  <c r="O41" i="7" s="1"/>
  <c r="N42" i="7"/>
  <c r="O42" i="7" s="1"/>
  <c r="N43" i="7"/>
  <c r="O43" i="7" s="1"/>
  <c r="N44" i="7"/>
  <c r="O44" i="7" s="1"/>
  <c r="N45" i="7"/>
  <c r="O45" i="7" s="1"/>
  <c r="N46" i="7"/>
  <c r="O46" i="7" s="1"/>
  <c r="N47" i="7"/>
  <c r="O47" i="7" s="1"/>
  <c r="N48" i="7"/>
  <c r="O48" i="7" s="1"/>
  <c r="N49" i="7"/>
  <c r="O49" i="7" s="1"/>
  <c r="N50" i="7"/>
  <c r="O50" i="7" s="1"/>
  <c r="N51" i="7"/>
  <c r="O51" i="7" s="1"/>
  <c r="N52" i="7"/>
  <c r="O52" i="7" s="1"/>
  <c r="N53" i="7"/>
  <c r="O53" i="7" s="1"/>
  <c r="N54" i="7"/>
  <c r="O54" i="7" s="1"/>
  <c r="N55" i="7"/>
  <c r="O55" i="7" s="1"/>
  <c r="N56" i="7"/>
  <c r="O56" i="7" s="1"/>
  <c r="N57" i="7"/>
  <c r="O57" i="7" s="1"/>
  <c r="N58" i="7"/>
  <c r="O58" i="7" s="1"/>
  <c r="N59" i="7"/>
  <c r="O59" i="7" s="1"/>
  <c r="N60" i="7"/>
  <c r="O60" i="7" s="1"/>
  <c r="N61" i="7"/>
  <c r="O61" i="7" s="1"/>
  <c r="N62" i="7"/>
  <c r="O62" i="7" s="1"/>
  <c r="N63" i="7"/>
  <c r="O63" i="7" s="1"/>
  <c r="N64" i="7"/>
  <c r="O64" i="7" s="1"/>
  <c r="N65" i="7"/>
  <c r="O65" i="7" s="1"/>
  <c r="N66" i="7"/>
  <c r="O66" i="7" s="1"/>
  <c r="N67" i="7"/>
  <c r="O67" i="7" s="1"/>
  <c r="N68" i="7"/>
  <c r="O68" i="7" s="1"/>
  <c r="N69" i="7"/>
  <c r="O69" i="7" s="1"/>
  <c r="N70" i="7"/>
  <c r="O70" i="7" s="1"/>
  <c r="N71" i="7"/>
  <c r="O71" i="7" s="1"/>
  <c r="N72" i="7"/>
  <c r="O72" i="7" s="1"/>
  <c r="N73" i="7"/>
  <c r="O73" i="7" s="1"/>
  <c r="N74" i="7"/>
  <c r="O74" i="7" s="1"/>
  <c r="N75" i="7"/>
  <c r="O75" i="7" s="1"/>
  <c r="N76" i="7"/>
  <c r="O76" i="7" s="1"/>
  <c r="N77" i="7"/>
  <c r="O77" i="7" s="1"/>
  <c r="N78" i="7"/>
  <c r="O78" i="7" s="1"/>
  <c r="N79" i="7"/>
  <c r="O79" i="7" s="1"/>
  <c r="N80" i="7"/>
  <c r="O80" i="7" s="1"/>
  <c r="N81" i="7"/>
  <c r="O81" i="7" s="1"/>
  <c r="N82" i="7"/>
  <c r="O82" i="7" s="1"/>
  <c r="N83" i="7"/>
  <c r="O83" i="7" s="1"/>
  <c r="N84" i="7"/>
  <c r="O84" i="7" s="1"/>
  <c r="N85" i="7"/>
  <c r="O85" i="7" s="1"/>
  <c r="N86" i="7"/>
  <c r="O86" i="7" s="1"/>
  <c r="N87" i="7"/>
  <c r="O87" i="7" s="1"/>
  <c r="N88" i="7"/>
  <c r="O88" i="7" s="1"/>
  <c r="N89" i="7"/>
  <c r="O89" i="7" s="1"/>
  <c r="N90" i="7"/>
  <c r="O90" i="7" s="1"/>
  <c r="N91" i="7"/>
  <c r="O91" i="7" s="1"/>
  <c r="N92" i="7"/>
  <c r="O92" i="7" s="1"/>
  <c r="N93" i="7"/>
  <c r="O93" i="7" s="1"/>
  <c r="N94" i="7"/>
  <c r="O94" i="7" s="1"/>
  <c r="N95" i="7"/>
  <c r="O95" i="7" s="1"/>
  <c r="N96" i="7"/>
  <c r="O96" i="7" s="1"/>
  <c r="N97" i="7"/>
  <c r="O97" i="7" s="1"/>
  <c r="N98" i="7"/>
  <c r="O98" i="7" s="1"/>
  <c r="N99" i="7"/>
  <c r="O99" i="7" s="1"/>
  <c r="N100" i="7"/>
  <c r="O100" i="7" s="1"/>
  <c r="N101" i="7"/>
  <c r="O101" i="7" s="1"/>
  <c r="N102" i="7"/>
  <c r="O102" i="7" s="1"/>
  <c r="N103" i="7"/>
  <c r="O103" i="7" s="1"/>
  <c r="N104" i="7"/>
  <c r="O104" i="7" s="1"/>
  <c r="N105" i="7"/>
  <c r="O105" i="7" s="1"/>
  <c r="N106" i="7"/>
  <c r="O106" i="7" s="1"/>
  <c r="N107" i="7"/>
  <c r="O107" i="7" s="1"/>
  <c r="N108" i="7"/>
  <c r="O108" i="7" s="1"/>
  <c r="N109" i="7"/>
  <c r="O109" i="7" s="1"/>
  <c r="N110" i="7"/>
  <c r="O110" i="7" s="1"/>
  <c r="N111" i="7"/>
  <c r="O111" i="7" s="1"/>
  <c r="N112" i="7"/>
  <c r="O112" i="7" s="1"/>
  <c r="N113" i="7"/>
  <c r="O113" i="7" s="1"/>
  <c r="N114" i="7"/>
  <c r="O114" i="7" s="1"/>
  <c r="N115" i="7"/>
  <c r="O115" i="7" s="1"/>
  <c r="N116" i="7"/>
  <c r="O116" i="7" s="1"/>
  <c r="N117" i="7"/>
  <c r="O117" i="7" s="1"/>
  <c r="N118" i="7"/>
  <c r="O118" i="7" s="1"/>
  <c r="N119" i="7"/>
  <c r="O119" i="7" s="1"/>
  <c r="N120" i="7"/>
  <c r="O120" i="7" s="1"/>
  <c r="N121" i="7"/>
  <c r="O121" i="7" s="1"/>
  <c r="N122" i="7"/>
  <c r="O122" i="7" s="1"/>
  <c r="N123" i="7"/>
  <c r="O123" i="7" s="1"/>
  <c r="N124" i="7"/>
  <c r="O124" i="7" s="1"/>
  <c r="N125" i="7"/>
  <c r="O125" i="7" s="1"/>
  <c r="N126" i="7"/>
  <c r="O126" i="7" s="1"/>
  <c r="N127" i="7"/>
  <c r="O127" i="7" s="1"/>
  <c r="N128" i="7"/>
  <c r="O128" i="7" s="1"/>
  <c r="N129" i="7"/>
  <c r="O129" i="7" s="1"/>
  <c r="N130" i="7"/>
  <c r="O130" i="7" s="1"/>
  <c r="N131" i="7"/>
  <c r="O131" i="7" s="1"/>
  <c r="N132" i="7"/>
  <c r="O132" i="7" s="1"/>
  <c r="N133" i="7"/>
  <c r="O133" i="7" s="1"/>
  <c r="N134" i="7"/>
  <c r="O134" i="7" s="1"/>
  <c r="N135" i="7"/>
  <c r="O135" i="7" s="1"/>
  <c r="N136" i="7"/>
  <c r="O136" i="7" s="1"/>
  <c r="N137" i="7"/>
  <c r="O137" i="7" s="1"/>
  <c r="N138" i="7"/>
  <c r="O138" i="7" s="1"/>
  <c r="N139" i="7"/>
  <c r="O139" i="7" s="1"/>
  <c r="N140" i="7"/>
  <c r="O140" i="7" s="1"/>
  <c r="N141" i="7"/>
  <c r="O141" i="7" s="1"/>
  <c r="N142" i="7"/>
  <c r="O142" i="7" s="1"/>
  <c r="N143" i="7"/>
  <c r="O143" i="7" s="1"/>
  <c r="N144" i="7"/>
  <c r="O144" i="7" s="1"/>
  <c r="N145" i="7"/>
  <c r="O145" i="7" s="1"/>
  <c r="N146" i="7"/>
  <c r="O146" i="7" s="1"/>
  <c r="N147" i="7"/>
  <c r="O147" i="7" s="1"/>
  <c r="N148" i="7"/>
  <c r="O148" i="7" s="1"/>
  <c r="N149" i="7"/>
  <c r="O149" i="7" s="1"/>
  <c r="N150" i="7"/>
  <c r="O150" i="7" s="1"/>
  <c r="N151" i="7"/>
  <c r="O151" i="7" s="1"/>
  <c r="N152" i="7"/>
  <c r="O152" i="7" s="1"/>
  <c r="N153" i="7"/>
  <c r="O153" i="7" s="1"/>
  <c r="N154" i="7"/>
  <c r="O154" i="7" s="1"/>
  <c r="N155" i="7"/>
  <c r="O155" i="7" s="1"/>
  <c r="N156" i="7"/>
  <c r="O156" i="7" s="1"/>
  <c r="N157" i="7"/>
  <c r="O157" i="7" s="1"/>
  <c r="N158" i="7"/>
  <c r="O158" i="7" s="1"/>
  <c r="N159" i="7"/>
  <c r="O159" i="7" s="1"/>
  <c r="N160" i="7"/>
  <c r="O160" i="7" s="1"/>
  <c r="N161" i="7"/>
  <c r="O161" i="7" s="1"/>
  <c r="N162" i="7"/>
  <c r="O162" i="7" s="1"/>
  <c r="N163" i="7"/>
  <c r="O163" i="7" s="1"/>
  <c r="N164" i="7"/>
  <c r="O164" i="7" s="1"/>
  <c r="N165" i="7"/>
  <c r="O165" i="7" s="1"/>
  <c r="N166" i="7"/>
  <c r="O166" i="7" s="1"/>
  <c r="N167" i="7"/>
  <c r="O167" i="7" s="1"/>
  <c r="N168" i="7"/>
  <c r="O168" i="7" s="1"/>
  <c r="N169" i="7"/>
  <c r="O169" i="7" s="1"/>
  <c r="N170" i="7"/>
  <c r="O170" i="7" s="1"/>
  <c r="N171" i="7"/>
  <c r="O171" i="7" s="1"/>
  <c r="N172" i="7"/>
  <c r="O172" i="7" s="1"/>
  <c r="N173" i="7"/>
  <c r="O173" i="7" s="1"/>
  <c r="N174" i="7"/>
  <c r="O174" i="7" s="1"/>
  <c r="N175" i="7"/>
  <c r="O175" i="7" s="1"/>
  <c r="N176" i="7"/>
  <c r="O176" i="7" s="1"/>
  <c r="N177" i="7"/>
  <c r="O177" i="7" s="1"/>
  <c r="N178" i="7"/>
  <c r="O178" i="7" s="1"/>
  <c r="N179" i="7"/>
  <c r="O179" i="7" s="1"/>
  <c r="N180" i="7"/>
  <c r="O180" i="7" s="1"/>
  <c r="N181" i="7"/>
  <c r="O181" i="7" s="1"/>
  <c r="N182" i="7"/>
  <c r="O182" i="7" s="1"/>
  <c r="N183" i="7"/>
  <c r="O183" i="7" s="1"/>
  <c r="N184" i="7"/>
  <c r="O184" i="7" s="1"/>
  <c r="N185" i="7"/>
  <c r="O185" i="7" s="1"/>
  <c r="N186" i="7"/>
  <c r="O186" i="7" s="1"/>
  <c r="N187" i="7"/>
  <c r="O187" i="7" s="1"/>
  <c r="N188" i="7"/>
  <c r="O188" i="7" s="1"/>
  <c r="N189" i="7"/>
  <c r="O189" i="7" s="1"/>
  <c r="N190" i="7"/>
  <c r="O190" i="7" s="1"/>
  <c r="N191" i="7"/>
  <c r="O191" i="7" s="1"/>
  <c r="N192" i="7"/>
  <c r="O192" i="7" s="1"/>
  <c r="N193" i="7"/>
  <c r="O193" i="7" s="1"/>
  <c r="N194" i="7"/>
  <c r="O194" i="7" s="1"/>
  <c r="N195" i="7"/>
  <c r="O195" i="7" s="1"/>
  <c r="N196" i="7"/>
  <c r="O196" i="7" s="1"/>
  <c r="N197" i="7"/>
  <c r="O197" i="7" s="1"/>
  <c r="N198" i="7"/>
  <c r="O198" i="7" s="1"/>
  <c r="N199" i="7"/>
  <c r="O199" i="7" s="1"/>
  <c r="N200" i="7"/>
  <c r="O200" i="7" s="1"/>
  <c r="N201" i="7"/>
  <c r="O201" i="7" s="1"/>
  <c r="N202" i="7"/>
  <c r="O202" i="7" s="1"/>
  <c r="N203" i="7"/>
  <c r="O203" i="7" s="1"/>
  <c r="N204" i="7"/>
  <c r="O204" i="7" s="1"/>
  <c r="N205" i="7"/>
  <c r="O205" i="7" s="1"/>
  <c r="N206" i="7"/>
  <c r="O206" i="7" s="1"/>
  <c r="N207" i="7"/>
  <c r="O207" i="7" s="1"/>
  <c r="N208" i="7"/>
  <c r="O208" i="7" s="1"/>
  <c r="N209" i="7"/>
  <c r="O209" i="7" s="1"/>
  <c r="N210" i="7"/>
  <c r="O210" i="7" s="1"/>
  <c r="N211" i="7"/>
  <c r="O211" i="7" s="1"/>
  <c r="N212" i="7"/>
  <c r="O212" i="7" s="1"/>
  <c r="N213" i="7"/>
  <c r="O213" i="7" s="1"/>
  <c r="N214" i="7"/>
  <c r="O214" i="7" s="1"/>
  <c r="N215" i="7"/>
  <c r="O215" i="7" s="1"/>
  <c r="N216" i="7"/>
  <c r="O216" i="7" s="1"/>
  <c r="N217" i="7"/>
  <c r="O217" i="7" s="1"/>
  <c r="N218" i="7"/>
  <c r="O218" i="7" s="1"/>
  <c r="N219" i="7"/>
  <c r="O219" i="7" s="1"/>
  <c r="N220" i="7"/>
  <c r="O220" i="7" s="1"/>
  <c r="N221" i="7"/>
  <c r="O221" i="7" s="1"/>
  <c r="N222" i="7"/>
  <c r="O222" i="7" s="1"/>
  <c r="N223" i="7"/>
  <c r="O223" i="7" s="1"/>
  <c r="N224" i="7"/>
  <c r="O224" i="7" s="1"/>
  <c r="N225" i="7"/>
  <c r="O225" i="7" s="1"/>
  <c r="N226" i="7"/>
  <c r="O226" i="7" s="1"/>
  <c r="N227" i="7"/>
  <c r="O227" i="7" s="1"/>
  <c r="N228" i="7"/>
  <c r="O228" i="7" s="1"/>
  <c r="N229" i="7"/>
  <c r="O229" i="7" s="1"/>
  <c r="N230" i="7"/>
  <c r="O230" i="7" s="1"/>
  <c r="N231" i="7"/>
  <c r="O231" i="7" s="1"/>
  <c r="N232" i="7"/>
  <c r="O232" i="7" s="1"/>
  <c r="N233" i="7"/>
  <c r="O233" i="7" s="1"/>
  <c r="N234" i="7"/>
  <c r="O234" i="7" s="1"/>
  <c r="N235" i="7"/>
  <c r="O235" i="7" s="1"/>
  <c r="N236" i="7"/>
  <c r="O236" i="7" s="1"/>
  <c r="N237" i="7"/>
  <c r="O237" i="7" s="1"/>
  <c r="N238" i="7"/>
  <c r="O238" i="7" s="1"/>
  <c r="N239" i="7"/>
  <c r="O239" i="7" s="1"/>
  <c r="N240" i="7"/>
  <c r="O240" i="7" s="1"/>
  <c r="N241" i="7"/>
  <c r="O241" i="7" s="1"/>
  <c r="N242" i="7"/>
  <c r="O242" i="7" s="1"/>
  <c r="N243" i="7"/>
  <c r="O243" i="7" s="1"/>
  <c r="N244" i="7"/>
  <c r="O244" i="7" s="1"/>
  <c r="N245" i="7"/>
  <c r="O245" i="7" s="1"/>
  <c r="N246" i="7"/>
  <c r="O246" i="7" s="1"/>
  <c r="N247" i="7"/>
  <c r="O247" i="7" s="1"/>
  <c r="N248" i="7"/>
  <c r="O248" i="7" s="1"/>
  <c r="N249" i="7"/>
  <c r="O249" i="7" s="1"/>
  <c r="N250" i="7"/>
  <c r="O250" i="7" s="1"/>
  <c r="N251" i="7"/>
  <c r="O251" i="7" s="1"/>
  <c r="N252" i="7"/>
  <c r="O252" i="7" s="1"/>
  <c r="N253" i="7"/>
  <c r="O253" i="7" s="1"/>
  <c r="N254" i="7"/>
  <c r="O254" i="7" s="1"/>
  <c r="N255" i="7"/>
  <c r="O255" i="7" s="1"/>
  <c r="N256" i="7"/>
  <c r="O256" i="7" s="1"/>
  <c r="N257" i="7"/>
  <c r="O257" i="7" s="1"/>
  <c r="N258" i="7"/>
  <c r="O258" i="7" s="1"/>
  <c r="N259" i="7"/>
  <c r="O259" i="7" s="1"/>
  <c r="N260" i="7"/>
  <c r="O260" i="7" s="1"/>
  <c r="N261" i="7"/>
  <c r="O261" i="7" s="1"/>
  <c r="N262" i="7"/>
  <c r="O262" i="7" s="1"/>
  <c r="N263" i="7"/>
  <c r="O263" i="7" s="1"/>
  <c r="N264" i="7"/>
  <c r="O264" i="7" s="1"/>
  <c r="N265" i="7"/>
  <c r="O265" i="7" s="1"/>
  <c r="N266" i="7"/>
  <c r="O266" i="7" s="1"/>
  <c r="N267" i="7"/>
  <c r="O267" i="7" s="1"/>
  <c r="N268" i="7"/>
  <c r="O268" i="7" s="1"/>
  <c r="N269" i="7"/>
  <c r="O269" i="7" s="1"/>
  <c r="N270" i="7"/>
  <c r="O270" i="7" s="1"/>
  <c r="N271" i="7"/>
  <c r="O271" i="7" s="1"/>
  <c r="N272" i="7"/>
  <c r="O272" i="7" s="1"/>
  <c r="N273" i="7"/>
  <c r="O273" i="7" s="1"/>
  <c r="N274" i="7"/>
  <c r="O274" i="7" s="1"/>
  <c r="N275" i="7"/>
  <c r="O275" i="7" s="1"/>
  <c r="N276" i="7"/>
  <c r="O276" i="7" s="1"/>
  <c r="N277" i="7"/>
  <c r="O277" i="7" s="1"/>
  <c r="N278" i="7"/>
  <c r="O278" i="7" s="1"/>
  <c r="N279" i="7"/>
  <c r="O279" i="7" s="1"/>
  <c r="N280" i="7"/>
  <c r="O280" i="7" s="1"/>
  <c r="N281" i="7"/>
  <c r="O281" i="7" s="1"/>
  <c r="N282" i="7"/>
  <c r="O282" i="7" s="1"/>
  <c r="N283" i="7"/>
  <c r="O283" i="7" s="1"/>
  <c r="N284" i="7"/>
  <c r="O284" i="7" s="1"/>
  <c r="N285" i="7"/>
  <c r="O285" i="7" s="1"/>
  <c r="N286" i="7"/>
  <c r="O286" i="7" s="1"/>
  <c r="N287" i="7"/>
  <c r="O287" i="7" s="1"/>
  <c r="N288" i="7"/>
  <c r="O288" i="7" s="1"/>
  <c r="N289" i="7"/>
  <c r="O289" i="7" s="1"/>
  <c r="N290" i="7"/>
  <c r="O290" i="7" s="1"/>
  <c r="N291" i="7"/>
  <c r="O291" i="7" s="1"/>
  <c r="N292" i="7"/>
  <c r="O292" i="7" s="1"/>
  <c r="N293" i="7"/>
  <c r="O293" i="7" s="1"/>
  <c r="N294" i="7"/>
  <c r="O294" i="7" s="1"/>
  <c r="N295" i="7"/>
  <c r="O295" i="7" s="1"/>
  <c r="N296" i="7"/>
  <c r="O296" i="7" s="1"/>
  <c r="N297" i="7"/>
  <c r="O297" i="7" s="1"/>
  <c r="N298" i="7"/>
  <c r="O298" i="7" s="1"/>
  <c r="N299" i="7"/>
  <c r="O299" i="7" s="1"/>
  <c r="N300" i="7"/>
  <c r="O300" i="7" s="1"/>
  <c r="N301" i="7"/>
  <c r="O301" i="7" s="1"/>
</calcChain>
</file>

<file path=xl/sharedStrings.xml><?xml version="1.0" encoding="utf-8"?>
<sst xmlns="http://schemas.openxmlformats.org/spreadsheetml/2006/main" count="9273" uniqueCount="1445">
  <si>
    <t>May 2026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</si>
  <si>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</si>
  <si>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</si>
  <si>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</si>
  <si>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</si>
  <si>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</si>
  <si>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</si>
  <si>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</si>
  <si>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</si>
  <si>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</si>
  <si>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</si>
  <si>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</si>
  <si>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</si>
  <si>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</si>
  <si>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</si>
  <si>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</si>
  <si>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</si>
  <si>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</si>
  <si>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</si>
  <si>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</si>
  <si>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</si>
  <si>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</si>
  <si>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</si>
  <si>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</si>
  <si>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</si>
  <si>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</si>
  <si>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</si>
  <si>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</si>
  <si>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</si>
  <si>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5137142</t>
  </si>
  <si>
    <t>WERNER, STEVEN</t>
  </si>
  <si>
    <t>HN30004838P1</t>
  </si>
  <si>
    <t>94023 Home Health Care - Complete Plan</t>
  </si>
  <si>
    <t>cathy Nathan</t>
  </si>
  <si>
    <t>IL</t>
  </si>
  <si>
    <t>Y</t>
  </si>
  <si>
    <t>5137117</t>
  </si>
  <si>
    <t>HUNSBERGER, ANTHONY</t>
  </si>
  <si>
    <t>HN20053245P1</t>
  </si>
  <si>
    <t>93017 HIP - Benefit Period = 5 Days</t>
  </si>
  <si>
    <t>JEFFREY MIHALKA</t>
  </si>
  <si>
    <t>HN3A005100P1</t>
  </si>
  <si>
    <t>Kathryn Feldheim</t>
  </si>
  <si>
    <t>5137382</t>
  </si>
  <si>
    <t>PARDUE, THOMAS</t>
  </si>
  <si>
    <t>HN30005064P1</t>
  </si>
  <si>
    <t>Sandford Smith</t>
  </si>
  <si>
    <t>TX</t>
  </si>
  <si>
    <t>5137584</t>
  </si>
  <si>
    <t>HODGMAN, TIMOTHY</t>
  </si>
  <si>
    <t>HN30005065P1</t>
  </si>
  <si>
    <t>James Carey</t>
  </si>
  <si>
    <t>HN30005100P1</t>
  </si>
  <si>
    <t>Tim Feldheim</t>
  </si>
  <si>
    <t>5141301</t>
  </si>
  <si>
    <t>FRITZ, CAROL</t>
  </si>
  <si>
    <t>HN20053637P1</t>
  </si>
  <si>
    <t>CAROL FRITZ</t>
  </si>
  <si>
    <t>N</t>
  </si>
  <si>
    <t>5137026</t>
  </si>
  <si>
    <t>HORN, JEFFREY</t>
  </si>
  <si>
    <t>HN20053750P1</t>
  </si>
  <si>
    <t>93017 HIP - Benefit Period = 7 Days</t>
  </si>
  <si>
    <t>LOUIE OLAH</t>
  </si>
  <si>
    <t>HN20053770P1</t>
  </si>
  <si>
    <t>JOHN BONGIORNO</t>
  </si>
  <si>
    <t>HN20053979P1</t>
  </si>
  <si>
    <t>RIMOND JAMOU</t>
  </si>
  <si>
    <t>5137003</t>
  </si>
  <si>
    <t>SCHUMANN, BARRY</t>
  </si>
  <si>
    <t>HN30005438P1</t>
  </si>
  <si>
    <t>Patrick Baysinger</t>
  </si>
  <si>
    <t>5136950</t>
  </si>
  <si>
    <t>ZANA, NASANDELGER</t>
  </si>
  <si>
    <t>HN30005447P1</t>
  </si>
  <si>
    <t>Byambasuren Tseveenravdan</t>
  </si>
  <si>
    <t>5137027</t>
  </si>
  <si>
    <t>PORTUGAL, GARY</t>
  </si>
  <si>
    <t>HN30005310P1</t>
  </si>
  <si>
    <t>Randi Heichman</t>
  </si>
  <si>
    <t>HN20054436P1</t>
  </si>
  <si>
    <t>MAUREEN WILLIAMS</t>
  </si>
  <si>
    <t>5137895</t>
  </si>
  <si>
    <t>WALENGA, DALE</t>
  </si>
  <si>
    <t>HN30005365P1</t>
  </si>
  <si>
    <t>Nancy Burgess</t>
  </si>
  <si>
    <t>5141450</t>
  </si>
  <si>
    <t>SENTMAN, SANDRA</t>
  </si>
  <si>
    <t>HN3A005426P1</t>
  </si>
  <si>
    <t>Maimanat Nizam</t>
  </si>
  <si>
    <t>HN30005171P1</t>
  </si>
  <si>
    <t>94023 Home Health Care - Standard Plan</t>
  </si>
  <si>
    <t>Carol Fritz</t>
  </si>
  <si>
    <t>5137181</t>
  </si>
  <si>
    <t>SANTOS, RICARDO</t>
  </si>
  <si>
    <t>HN20054732P1</t>
  </si>
  <si>
    <t>AIMEE FRAZIER</t>
  </si>
  <si>
    <t>HN30005426P1</t>
  </si>
  <si>
    <t>Ather Nizam</t>
  </si>
  <si>
    <t>5136899</t>
  </si>
  <si>
    <t>DEATON, PAMELA</t>
  </si>
  <si>
    <t>HN20051500P1</t>
  </si>
  <si>
    <t>BRUCE RADCLIFF</t>
  </si>
  <si>
    <t>HN20051843P1</t>
  </si>
  <si>
    <t>ANDREA KAPLAN</t>
  </si>
  <si>
    <t>HN3A004838P1</t>
  </si>
  <si>
    <t>Robert Nathan</t>
  </si>
  <si>
    <t>5136882</t>
  </si>
  <si>
    <t>ROKEN, JOHN</t>
  </si>
  <si>
    <t>HN20052744P1</t>
  </si>
  <si>
    <t>93017 HIP - Benefit Period = 3 Days</t>
  </si>
  <si>
    <t>MATHIEU ISAAC</t>
  </si>
  <si>
    <t>PA</t>
  </si>
  <si>
    <t>5137103</t>
  </si>
  <si>
    <t>YALE, JACOB</t>
  </si>
  <si>
    <t>HN20052753P1</t>
  </si>
  <si>
    <t>MARY CIPRA</t>
  </si>
  <si>
    <t>HN30005490P1</t>
  </si>
  <si>
    <t>Lynn Miller</t>
  </si>
  <si>
    <t>HN20054930P1</t>
  </si>
  <si>
    <t>SHARON NELSEN</t>
  </si>
  <si>
    <t>HN30005500P1</t>
  </si>
  <si>
    <t>Cheryl Bellavia</t>
  </si>
  <si>
    <t>HN30005502P1</t>
  </si>
  <si>
    <t>Donna Reboletti</t>
  </si>
  <si>
    <t>HN20054944P1</t>
  </si>
  <si>
    <t>DONNA REBOLETTI</t>
  </si>
  <si>
    <t>HN20054946P1</t>
  </si>
  <si>
    <t>CHERYL BELLAVIA</t>
  </si>
  <si>
    <t>HN30007965P1</t>
  </si>
  <si>
    <t>Mary Devens</t>
  </si>
  <si>
    <t>5136980</t>
  </si>
  <si>
    <t>PETRUNGARO, ANDREA</t>
  </si>
  <si>
    <t>HN20061877P1</t>
  </si>
  <si>
    <t>DESSA ANDERSON</t>
  </si>
  <si>
    <t>5143710</t>
  </si>
  <si>
    <t>SHAPIRO, ROBERT</t>
  </si>
  <si>
    <t>HN30008006P1</t>
  </si>
  <si>
    <t>Bonnie Price</t>
  </si>
  <si>
    <t>5139842</t>
  </si>
  <si>
    <t>FUENTES, VICTOR</t>
  </si>
  <si>
    <t>HN30008012P1</t>
  </si>
  <si>
    <t>CENOVIO CHAVEZ FARIAS</t>
  </si>
  <si>
    <t>HN20062079P1</t>
  </si>
  <si>
    <t>KELLY WELLINGTON</t>
  </si>
  <si>
    <t>HN20062080P1</t>
  </si>
  <si>
    <t>BONNIE WELLINGTON</t>
  </si>
  <si>
    <t>HN30008054P1</t>
  </si>
  <si>
    <t>Stephanie Trzcinski</t>
  </si>
  <si>
    <t>5144268</t>
  </si>
  <si>
    <t>NEVAREZ, ANTONIA</t>
  </si>
  <si>
    <t>HN30008056P1</t>
  </si>
  <si>
    <t>Maasal Alkhafaji</t>
  </si>
  <si>
    <t>5137051</t>
  </si>
  <si>
    <t>TAUGNER, CHRISTIAN</t>
  </si>
  <si>
    <t>HN30008124P1</t>
  </si>
  <si>
    <t>Rachel Riedler</t>
  </si>
  <si>
    <t>HN30008146P1</t>
  </si>
  <si>
    <t>Jonathan Shapiro</t>
  </si>
  <si>
    <t>5137737</t>
  </si>
  <si>
    <t>YALE, CHAD</t>
  </si>
  <si>
    <t>HN20062435P1</t>
  </si>
  <si>
    <t>93017 HIP - Benefit Period = 6 Days</t>
  </si>
  <si>
    <t>SABRINA HOUSER-AMAYA</t>
  </si>
  <si>
    <t>HN50008946P1</t>
  </si>
  <si>
    <t>94601 Lump Sum Cancer w/ Recurrence Premiums - Individual</t>
  </si>
  <si>
    <t>Gust Bochlas</t>
  </si>
  <si>
    <t>5143654</t>
  </si>
  <si>
    <t>ROCCIA, MARK</t>
  </si>
  <si>
    <t>HN20063435P1</t>
  </si>
  <si>
    <t>ANGELA COLLINS</t>
  </si>
  <si>
    <t>DE</t>
  </si>
  <si>
    <t>HN20063437P1</t>
  </si>
  <si>
    <t>CLAUDE COLLINS</t>
  </si>
  <si>
    <t>HN20063466P1</t>
  </si>
  <si>
    <t>MARY HEMMER</t>
  </si>
  <si>
    <t>HN30010882P1</t>
  </si>
  <si>
    <t>Barbie McKennie</t>
  </si>
  <si>
    <t>HN30010895P1</t>
  </si>
  <si>
    <t>Charlotte Farley</t>
  </si>
  <si>
    <t>5143979</t>
  </si>
  <si>
    <t>SIEVEWRIGHT, ROBERT</t>
  </si>
  <si>
    <t>HN30010983P1</t>
  </si>
  <si>
    <t>Joan Viviano</t>
  </si>
  <si>
    <t>5137552</t>
  </si>
  <si>
    <t>DUNAVANT, MICHAEL</t>
  </si>
  <si>
    <t>HN20070093P1</t>
  </si>
  <si>
    <t>KAREN FISHEL</t>
  </si>
  <si>
    <t>5137054</t>
  </si>
  <si>
    <t>CHOI, ANDREW</t>
  </si>
  <si>
    <t>HN30005256P1</t>
  </si>
  <si>
    <t>Judith Lazzara</t>
  </si>
  <si>
    <t>HN30005261P1</t>
  </si>
  <si>
    <t>94023 Home Health Care - Basic Plan</t>
  </si>
  <si>
    <t>Gerald Lazzara</t>
  </si>
  <si>
    <t>HN10037432P1</t>
  </si>
  <si>
    <t>DOMENIC DIVITO</t>
  </si>
  <si>
    <t>5143929</t>
  </si>
  <si>
    <t>FINNIGAN, COLLEEN</t>
  </si>
  <si>
    <t>HN30005650P1</t>
  </si>
  <si>
    <t>Maribeth Bown</t>
  </si>
  <si>
    <t>HN30005970P1</t>
  </si>
  <si>
    <t>James Eldrenkamp</t>
  </si>
  <si>
    <t>5138834</t>
  </si>
  <si>
    <t>FOLEY, CAROL</t>
  </si>
  <si>
    <t>HN30005658P1</t>
  </si>
  <si>
    <t>Rosemary Zajac</t>
  </si>
  <si>
    <t>HN30005683P1</t>
  </si>
  <si>
    <t>Tony Zayat</t>
  </si>
  <si>
    <t>HN20055466P1</t>
  </si>
  <si>
    <t>MARK DENOFRIO</t>
  </si>
  <si>
    <t>HN3A005708P1</t>
  </si>
  <si>
    <t>Marcelle Alperstein</t>
  </si>
  <si>
    <t>HN3A005623P1</t>
  </si>
  <si>
    <t>Firasath Hasan</t>
  </si>
  <si>
    <t>HN3A005650P1</t>
  </si>
  <si>
    <t>Richard  Bown</t>
  </si>
  <si>
    <t>HN30005708P1</t>
  </si>
  <si>
    <t>neville alperstein</t>
  </si>
  <si>
    <t>5137090</t>
  </si>
  <si>
    <t>YALE, RICHARD</t>
  </si>
  <si>
    <t>HN20055554P1</t>
  </si>
  <si>
    <t>KENNETH HANLEY</t>
  </si>
  <si>
    <t>5141179</t>
  </si>
  <si>
    <t>THANADABOUTH, PATSAMON</t>
  </si>
  <si>
    <t>HN30005724P1</t>
  </si>
  <si>
    <t>Keo Siriboun</t>
  </si>
  <si>
    <t>5137397</t>
  </si>
  <si>
    <t>LISKOVEC, FRANK</t>
  </si>
  <si>
    <t>HN30005734P1</t>
  </si>
  <si>
    <t>Mary Jane Alagheband</t>
  </si>
  <si>
    <t>HN30005736P1</t>
  </si>
  <si>
    <t>Taghi Alagheband</t>
  </si>
  <si>
    <t>HN20055687P1</t>
  </si>
  <si>
    <t>MARINELLA PAVLATOS</t>
  </si>
  <si>
    <t>HN20055777P1</t>
  </si>
  <si>
    <t>FRANK MATOS</t>
  </si>
  <si>
    <t>HN30005802P1</t>
  </si>
  <si>
    <t>Andrew Veath</t>
  </si>
  <si>
    <t>HN30005811P1</t>
  </si>
  <si>
    <t>Thomas  Doyle</t>
  </si>
  <si>
    <t>HN30005820P1</t>
  </si>
  <si>
    <t>Mary Trett</t>
  </si>
  <si>
    <t>HN3A005802P1</t>
  </si>
  <si>
    <t>Kathryn Veath</t>
  </si>
  <si>
    <t>HN30005839P1</t>
  </si>
  <si>
    <t>Robert Shapiro</t>
  </si>
  <si>
    <t>HN30005865P1</t>
  </si>
  <si>
    <t>Ochirkhuu Onkhooljin</t>
  </si>
  <si>
    <t>HN30005602P1</t>
  </si>
  <si>
    <t>George Lynch</t>
  </si>
  <si>
    <t>HN30005608P1</t>
  </si>
  <si>
    <t>Ronald Bellavia</t>
  </si>
  <si>
    <t>HN30005623P1</t>
  </si>
  <si>
    <t>Syed Hasan</t>
  </si>
  <si>
    <t>HN20056087P1</t>
  </si>
  <si>
    <t>93017 HIP - Benefit Period = 4 Days</t>
  </si>
  <si>
    <t>CATHERINE RUPERT</t>
  </si>
  <si>
    <t>5134783</t>
  </si>
  <si>
    <t>KOZACHECK, ANNE MARIE</t>
  </si>
  <si>
    <t>HN20056617P1</t>
  </si>
  <si>
    <t>93017 HIP - Benefit Period = 15 Days</t>
  </si>
  <si>
    <t>PAMELA THOMPSON</t>
  </si>
  <si>
    <t>HN20056714P1</t>
  </si>
  <si>
    <t>SNEJANKA NIKOLOVA</t>
  </si>
  <si>
    <t>HN20057062P1</t>
  </si>
  <si>
    <t>EVA MOSSMAN</t>
  </si>
  <si>
    <t>HN30006278P1</t>
  </si>
  <si>
    <t>Dorian Huske</t>
  </si>
  <si>
    <t>HN20057084P1</t>
  </si>
  <si>
    <t>TAGHI ALAGHEBAND</t>
  </si>
  <si>
    <t>HN20057085P1</t>
  </si>
  <si>
    <t>MARY JANE ALAGHEBAND</t>
  </si>
  <si>
    <t>HN20056777P1</t>
  </si>
  <si>
    <t>MARIANNE BOWMAN</t>
  </si>
  <si>
    <t>HN30006193P1</t>
  </si>
  <si>
    <t>Davis Sasaki</t>
  </si>
  <si>
    <t>HN30006225P1</t>
  </si>
  <si>
    <t>Somdeth Khousakoun</t>
  </si>
  <si>
    <t>HN30006241P1</t>
  </si>
  <si>
    <t>Philip Greenblatt</t>
  </si>
  <si>
    <t>5145014</t>
  </si>
  <si>
    <t>SHEPARD, RYAN</t>
  </si>
  <si>
    <t>HN30007230P1</t>
  </si>
  <si>
    <t>Richard Novak</t>
  </si>
  <si>
    <t>OH</t>
  </si>
  <si>
    <t>HN30006018P1</t>
  </si>
  <si>
    <t>David Foos</t>
  </si>
  <si>
    <t>HN3A006018P1</t>
  </si>
  <si>
    <t>Jennifer Foos</t>
  </si>
  <si>
    <t>HN30006034P1</t>
  </si>
  <si>
    <t>Laura Moore</t>
  </si>
  <si>
    <t>HN30006837P1</t>
  </si>
  <si>
    <t>Sharon Ozaki</t>
  </si>
  <si>
    <t>HN30006070P1</t>
  </si>
  <si>
    <t>Crystal Pedroni</t>
  </si>
  <si>
    <t>HN20057156P1</t>
  </si>
  <si>
    <t>SCOTT GOODNER</t>
  </si>
  <si>
    <t>HN30006328P1</t>
  </si>
  <si>
    <t>Claire Nighman</t>
  </si>
  <si>
    <t>HN30006335P1</t>
  </si>
  <si>
    <t>Randy Varju</t>
  </si>
  <si>
    <t>HN30006378P1</t>
  </si>
  <si>
    <t>Robert Sievewright</t>
  </si>
  <si>
    <t>HN30006388P1</t>
  </si>
  <si>
    <t>Phannaly Luangsisongkham</t>
  </si>
  <si>
    <t>HN30006859P1</t>
  </si>
  <si>
    <t>Rebecca Stead</t>
  </si>
  <si>
    <t>5143771</t>
  </si>
  <si>
    <t>BRANDT, STEVEN</t>
  </si>
  <si>
    <t>HN3A007082P1</t>
  </si>
  <si>
    <t>Linda Butsko</t>
  </si>
  <si>
    <t>HN3A007091P1</t>
  </si>
  <si>
    <t>Walter Luczkiw</t>
  </si>
  <si>
    <t>HN3A007191P1</t>
  </si>
  <si>
    <t>Lori Cerny Bracher</t>
  </si>
  <si>
    <t>HN30007082P1</t>
  </si>
  <si>
    <t>William Butsko</t>
  </si>
  <si>
    <t>HN30007091P1</t>
  </si>
  <si>
    <t>Julie  Luczkiw</t>
  </si>
  <si>
    <t>HN20059309P1</t>
  </si>
  <si>
    <t>CARYN AYSCUE</t>
  </si>
  <si>
    <t>FL</t>
  </si>
  <si>
    <t>HN3A006988P1</t>
  </si>
  <si>
    <t>Bruce Whitt</t>
  </si>
  <si>
    <t>5134850</t>
  </si>
  <si>
    <t>KUCAN, THOMAS</t>
  </si>
  <si>
    <t>HN20058577P1</t>
  </si>
  <si>
    <t>ANNA BIEBL</t>
  </si>
  <si>
    <t>MD</t>
  </si>
  <si>
    <t>HN20058592P1</t>
  </si>
  <si>
    <t>TRACEY RIDER SNELSON</t>
  </si>
  <si>
    <t>HN20058658P1</t>
  </si>
  <si>
    <t>GREGORY THOMPSON</t>
  </si>
  <si>
    <t>5139712</t>
  </si>
  <si>
    <t>BRENNER, BARRY</t>
  </si>
  <si>
    <t>HN30007651P1</t>
  </si>
  <si>
    <t>Stella McDorman</t>
  </si>
  <si>
    <t>HN30007655P1</t>
  </si>
  <si>
    <t>Rigoberto  Zermeno</t>
  </si>
  <si>
    <t>HN30007668P1</t>
  </si>
  <si>
    <t>Kurt Larkin</t>
  </si>
  <si>
    <t>5143511</t>
  </si>
  <si>
    <t>BERG, INES</t>
  </si>
  <si>
    <t>HN20060962P1</t>
  </si>
  <si>
    <t>BRENDA FURBUSH</t>
  </si>
  <si>
    <t>HN30007695P1</t>
  </si>
  <si>
    <t>Susan Pena</t>
  </si>
  <si>
    <t>HN30006983P1</t>
  </si>
  <si>
    <t>Samuel Harnish</t>
  </si>
  <si>
    <t>HN30006988P1</t>
  </si>
  <si>
    <t>Debbie Whitt</t>
  </si>
  <si>
    <t>HN20058820P1</t>
  </si>
  <si>
    <t>DAVID SWANSON</t>
  </si>
  <si>
    <t>HN20058933P1</t>
  </si>
  <si>
    <t>LAURA MAYA</t>
  </si>
  <si>
    <t>HN20059013P1</t>
  </si>
  <si>
    <t>STEPHANIE MAIORIELLO</t>
  </si>
  <si>
    <t>HN30007108P1</t>
  </si>
  <si>
    <t>Cindy Leach</t>
  </si>
  <si>
    <t>HN30007117P1</t>
  </si>
  <si>
    <t>Michael Weiss</t>
  </si>
  <si>
    <t>HN20059134P1</t>
  </si>
  <si>
    <t>DIANNE WUNDERLE</t>
  </si>
  <si>
    <t>HN20058200P1</t>
  </si>
  <si>
    <t>STEVEN LARSEN</t>
  </si>
  <si>
    <t>HN20058201P1</t>
  </si>
  <si>
    <t>DEBBIE LARSEN</t>
  </si>
  <si>
    <t>HN20058251P1</t>
  </si>
  <si>
    <t>MARK ESCHENBACHER</t>
  </si>
  <si>
    <t>HN20058266P1</t>
  </si>
  <si>
    <t>DANIEL MARTINEZ</t>
  </si>
  <si>
    <t>HN20059468P1</t>
  </si>
  <si>
    <t>SERGIO CASILLAS</t>
  </si>
  <si>
    <t>HN30007168P1</t>
  </si>
  <si>
    <t>Sergio Casillas</t>
  </si>
  <si>
    <t>5134857</t>
  </si>
  <si>
    <t>INSKIPT, DEBORAH</t>
  </si>
  <si>
    <t>HN20059546P1</t>
  </si>
  <si>
    <t>93017 HIP - Benefit Period = 31 Days</t>
  </si>
  <si>
    <t>JAQUELINE MARSICO</t>
  </si>
  <si>
    <t>HN30006787P1</t>
  </si>
  <si>
    <t>Gerrit Bowman</t>
  </si>
  <si>
    <t>HN30007191P1</t>
  </si>
  <si>
    <t>Dale Bracher</t>
  </si>
  <si>
    <t>HN3A007230P1</t>
  </si>
  <si>
    <t>Judy Novak</t>
  </si>
  <si>
    <t>HN3A007366P1</t>
  </si>
  <si>
    <t>Dale Richards</t>
  </si>
  <si>
    <t>HN20059635P1</t>
  </si>
  <si>
    <t>JERRY GAHARD</t>
  </si>
  <si>
    <t>HN30007213P1</t>
  </si>
  <si>
    <t>Cynthia Gawat</t>
  </si>
  <si>
    <t>HN30007214P1</t>
  </si>
  <si>
    <t>Linda Womack</t>
  </si>
  <si>
    <t>HN30007220P1</t>
  </si>
  <si>
    <t>Oscar Gil Pinto</t>
  </si>
  <si>
    <t>HN20059709P1</t>
  </si>
  <si>
    <t>CYNTHIA GEHRINGER</t>
  </si>
  <si>
    <t>HN20061138P1</t>
  </si>
  <si>
    <t>KENT STAUFFER</t>
  </si>
  <si>
    <t>HN30007250P1</t>
  </si>
  <si>
    <t>Roseann Fowler</t>
  </si>
  <si>
    <t>HN20059882P1</t>
  </si>
  <si>
    <t>DEBRA SHANER</t>
  </si>
  <si>
    <t>HN30006306P1</t>
  </si>
  <si>
    <t>Jacqueline Green</t>
  </si>
  <si>
    <t>HN30006361P1</t>
  </si>
  <si>
    <t>Debbie McKay</t>
  </si>
  <si>
    <t>HN20057302P1</t>
  </si>
  <si>
    <t>WILLIAM YOUNG</t>
  </si>
  <si>
    <t>5143082</t>
  </si>
  <si>
    <t>STOCKER, RYAN</t>
  </si>
  <si>
    <t>HN20057351P1</t>
  </si>
  <si>
    <t>BARBARA DUKE</t>
  </si>
  <si>
    <t>HN20057379P1</t>
  </si>
  <si>
    <t>DIANE GRAHL</t>
  </si>
  <si>
    <t>HN30006401P1</t>
  </si>
  <si>
    <t>Ramon Ortiz Jr.</t>
  </si>
  <si>
    <t>HN20057594P1</t>
  </si>
  <si>
    <t>ROBERT ENGLE</t>
  </si>
  <si>
    <t>HN30006407P1</t>
  </si>
  <si>
    <t>JOCELYN ROGERS</t>
  </si>
  <si>
    <t>IN</t>
  </si>
  <si>
    <t>HN30006416P1</t>
  </si>
  <si>
    <t>Enkhjargal Nyamjav</t>
  </si>
  <si>
    <t>HN3A006401P1</t>
  </si>
  <si>
    <t>Mary Van Riper</t>
  </si>
  <si>
    <t>HN20057530P1</t>
  </si>
  <si>
    <t>DIANE BRACKBILL</t>
  </si>
  <si>
    <t>HN30006551P1</t>
  </si>
  <si>
    <t>James Andre</t>
  </si>
  <si>
    <t>HN3A006707P1</t>
  </si>
  <si>
    <t>susan lance</t>
  </si>
  <si>
    <t>HN20057978P1</t>
  </si>
  <si>
    <t>ROGER LOERCHER</t>
  </si>
  <si>
    <t>HN30007305P1</t>
  </si>
  <si>
    <t>Terry Tondelli</t>
  </si>
  <si>
    <t>HN20059985P1</t>
  </si>
  <si>
    <t>KAREN ARMITAGE</t>
  </si>
  <si>
    <t>HN30006707P1</t>
  </si>
  <si>
    <t>ricky lance</t>
  </si>
  <si>
    <t>HN30007346P1</t>
  </si>
  <si>
    <t>Dean Taggert</t>
  </si>
  <si>
    <t>HN30006664P1</t>
  </si>
  <si>
    <t>Robert Rowe</t>
  </si>
  <si>
    <t>HN30006665P1</t>
  </si>
  <si>
    <t>Rowland Perez</t>
  </si>
  <si>
    <t>HN20058082P1</t>
  </si>
  <si>
    <t>THOMAS DESSENT</t>
  </si>
  <si>
    <t>HN20058083P1</t>
  </si>
  <si>
    <t>KAREN DESSENT</t>
  </si>
  <si>
    <t>HN30006671P1</t>
  </si>
  <si>
    <t>Raylene Bernard</t>
  </si>
  <si>
    <t>HN30006678P1</t>
  </si>
  <si>
    <t>94023 SC Home Health Care - Complete Plan</t>
  </si>
  <si>
    <t>Kathy Cleys</t>
  </si>
  <si>
    <t>SC</t>
  </si>
  <si>
    <t>HN30007366P1</t>
  </si>
  <si>
    <t>Angela Richards</t>
  </si>
  <si>
    <t>HN30007368P1</t>
  </si>
  <si>
    <t>Hang Chayprasith</t>
  </si>
  <si>
    <t>HN3A007397P1</t>
  </si>
  <si>
    <t>donna Toritani</t>
  </si>
  <si>
    <t>HN30007396P1</t>
  </si>
  <si>
    <t>Suzan Byrum</t>
  </si>
  <si>
    <t>HN30007397P1</t>
  </si>
  <si>
    <t>dale Toritani</t>
  </si>
  <si>
    <t>HN30007429P1</t>
  </si>
  <si>
    <t>Cindy McEntire</t>
  </si>
  <si>
    <t>HN20060293P1</t>
  </si>
  <si>
    <t>93017 HIP - Benefit Period = 10 Days</t>
  </si>
  <si>
    <t>RICK ORLANDO</t>
  </si>
  <si>
    <t>HN30007483P1</t>
  </si>
  <si>
    <t>James Smith</t>
  </si>
  <si>
    <t>HN20060410P1</t>
  </si>
  <si>
    <t>LUKE PLANINIC</t>
  </si>
  <si>
    <t>5137883</t>
  </si>
  <si>
    <t>WUENSCH, RICHARD</t>
  </si>
  <si>
    <t>HN20060417P1</t>
  </si>
  <si>
    <t>JEANNE NAEGELE</t>
  </si>
  <si>
    <t>HN30007510P1</t>
  </si>
  <si>
    <t>Aaron Glick</t>
  </si>
  <si>
    <t>HN30007518P1</t>
  </si>
  <si>
    <t>Timothy  Bevier</t>
  </si>
  <si>
    <t>HN20060457P1</t>
  </si>
  <si>
    <t>NIKKI CHURA</t>
  </si>
  <si>
    <t>HN3A007518P1</t>
  </si>
  <si>
    <t>Robin Jasper</t>
  </si>
  <si>
    <t>HN3A007575P1</t>
  </si>
  <si>
    <t>Simona  Citron</t>
  </si>
  <si>
    <t>HN3A007655P1</t>
  </si>
  <si>
    <t>Alicia Zermeno</t>
  </si>
  <si>
    <t>HN30007575P1</t>
  </si>
  <si>
    <t>Stephen Citron</t>
  </si>
  <si>
    <t>HN30007595P1</t>
  </si>
  <si>
    <t>Rita Krauss</t>
  </si>
  <si>
    <t>HN30008511P1</t>
  </si>
  <si>
    <t>Ganesh Nataraja</t>
  </si>
  <si>
    <t>HN30007772P1</t>
  </si>
  <si>
    <t>Jacqueline  Lopushonsky</t>
  </si>
  <si>
    <t>HN30007821P1</t>
  </si>
  <si>
    <t>Angela Holcomb</t>
  </si>
  <si>
    <t>HN30007790P1</t>
  </si>
  <si>
    <t>Adam Bossov</t>
  </si>
  <si>
    <t>HN20061354P1</t>
  </si>
  <si>
    <t>TED RUPERT</t>
  </si>
  <si>
    <t>HN20061470P1</t>
  </si>
  <si>
    <t>MARI MALZAHN</t>
  </si>
  <si>
    <t>HN30007869P1</t>
  </si>
  <si>
    <t>Betool Al Khafaji</t>
  </si>
  <si>
    <t>HN30007877P1</t>
  </si>
  <si>
    <t>Ricky Swailes</t>
  </si>
  <si>
    <t>IA</t>
  </si>
  <si>
    <t>HN30007889P1</t>
  </si>
  <si>
    <t>Craig Coleman</t>
  </si>
  <si>
    <t>HN20061640P1</t>
  </si>
  <si>
    <t>JAMES KOWALSKI</t>
  </si>
  <si>
    <t>HN30007931P1</t>
  </si>
  <si>
    <t>Phyllis Nagy Leeds</t>
  </si>
  <si>
    <t>HN30007902P1</t>
  </si>
  <si>
    <t>Arthur Camp</t>
  </si>
  <si>
    <t>HN20062518P1</t>
  </si>
  <si>
    <t>LAURA MOORE</t>
  </si>
  <si>
    <t>HN20062520P1</t>
  </si>
  <si>
    <t>KAREN JACOBSEN</t>
  </si>
  <si>
    <t>HN30008182P1</t>
  </si>
  <si>
    <t>Susan Shay</t>
  </si>
  <si>
    <t>HN30008212P1</t>
  </si>
  <si>
    <t>Eileen Shapiro</t>
  </si>
  <si>
    <t>HN3A008312P1</t>
  </si>
  <si>
    <t>nancy lee</t>
  </si>
  <si>
    <t>HN3A008381P1</t>
  </si>
  <si>
    <t>CYNTHIA TRAUSCH</t>
  </si>
  <si>
    <t>HN20062734P1</t>
  </si>
  <si>
    <t>PATRICIA LOPEZ</t>
  </si>
  <si>
    <t>HN20062801P1</t>
  </si>
  <si>
    <t>WALTER FEIMSTER</t>
  </si>
  <si>
    <t>HN20062803P1</t>
  </si>
  <si>
    <t>SOUNDARYAKALA GADDAM</t>
  </si>
  <si>
    <t>HN20062835P1</t>
  </si>
  <si>
    <t>ERICA SMITH</t>
  </si>
  <si>
    <t>HN20062854P1</t>
  </si>
  <si>
    <t>JAMES RIEBANDT</t>
  </si>
  <si>
    <t>HN30008300P1</t>
  </si>
  <si>
    <t>Elanda Shannon</t>
  </si>
  <si>
    <t>HN30008391P1</t>
  </si>
  <si>
    <t>Jerry Iavarone</t>
  </si>
  <si>
    <t>HN30008312P1</t>
  </si>
  <si>
    <t>robert lee</t>
  </si>
  <si>
    <t>HN30008313P1</t>
  </si>
  <si>
    <t>Dianna Bonfield</t>
  </si>
  <si>
    <t>HN10037629P1</t>
  </si>
  <si>
    <t>ANTHONY FAY</t>
  </si>
  <si>
    <t>HN50008837P1</t>
  </si>
  <si>
    <t>June Sipl</t>
  </si>
  <si>
    <t>HN50008838P1</t>
  </si>
  <si>
    <t>Joseph Sipl</t>
  </si>
  <si>
    <t>HN20063200P1</t>
  </si>
  <si>
    <t>TERESA HUNLEY</t>
  </si>
  <si>
    <t>HN30008345P1</t>
  </si>
  <si>
    <t>Donald O'Heir</t>
  </si>
  <si>
    <t>HN30008351P1</t>
  </si>
  <si>
    <t>Mary Ann Zagorski</t>
  </si>
  <si>
    <t>HN30008362P1</t>
  </si>
  <si>
    <t>Mark Lorts</t>
  </si>
  <si>
    <t>HN30008381P1</t>
  </si>
  <si>
    <t>PHILIP TRAUSCH</t>
  </si>
  <si>
    <t>HN3A008391P1</t>
  </si>
  <si>
    <t>Julie Iavarone</t>
  </si>
  <si>
    <t>HN20063543P1</t>
  </si>
  <si>
    <t>VICTORIA LAKER</t>
  </si>
  <si>
    <t>HN20063549P1</t>
  </si>
  <si>
    <t>EDWARD BAUER</t>
  </si>
  <si>
    <t>HN30008451P1</t>
  </si>
  <si>
    <t>Michael Polcyn</t>
  </si>
  <si>
    <t>HN20063591P1</t>
  </si>
  <si>
    <t>CHRISTOPHER BONK</t>
  </si>
  <si>
    <t>HN20065523P1</t>
  </si>
  <si>
    <t>AMY JAMES</t>
  </si>
  <si>
    <t>5136993</t>
  </si>
  <si>
    <t>DRAPAC, STEPHANIE</t>
  </si>
  <si>
    <t>HN30008583P1</t>
  </si>
  <si>
    <t>Gail Tauer</t>
  </si>
  <si>
    <t>HN20063935P1</t>
  </si>
  <si>
    <t>CARMINE GARELLI</t>
  </si>
  <si>
    <t>HN20064333P1</t>
  </si>
  <si>
    <t>JON SCZEPKOWSKI</t>
  </si>
  <si>
    <t>HN30008654P1</t>
  </si>
  <si>
    <t xml:space="preserve"> Leszek Plopa</t>
  </si>
  <si>
    <t>HN3A008745P1</t>
  </si>
  <si>
    <t>Giovanni Vitale</t>
  </si>
  <si>
    <t>HN30008689P1</t>
  </si>
  <si>
    <t>Al Brooks</t>
  </si>
  <si>
    <t>HN30008697P1</t>
  </si>
  <si>
    <t>John Baker</t>
  </si>
  <si>
    <t>HN20064634P1</t>
  </si>
  <si>
    <t>MARY HARVEY</t>
  </si>
  <si>
    <t>HN20064391P1</t>
  </si>
  <si>
    <t>DONNA MERRELL</t>
  </si>
  <si>
    <t>HN20064435P1</t>
  </si>
  <si>
    <t>RICHARD SCOTT</t>
  </si>
  <si>
    <t>HN30008745P1</t>
  </si>
  <si>
    <t>Caterina Vitale</t>
  </si>
  <si>
    <t>5137874</t>
  </si>
  <si>
    <t>HANSFORD, GREGORY</t>
  </si>
  <si>
    <t>HN20064528P1</t>
  </si>
  <si>
    <t>RAYMOND YOUNG</t>
  </si>
  <si>
    <t>HN20064535P1</t>
  </si>
  <si>
    <t>CYNTHIA FEIMSTER</t>
  </si>
  <si>
    <t>HN20065899P1</t>
  </si>
  <si>
    <t>DANA HOFER</t>
  </si>
  <si>
    <t>HN50009863P1</t>
  </si>
  <si>
    <t>94601 Lump Sum Cancer w/ Recurrence Premiums - Couple</t>
  </si>
  <si>
    <t>Doreen Partain</t>
  </si>
  <si>
    <t>5145657</t>
  </si>
  <si>
    <t>REYES, JEANET</t>
  </si>
  <si>
    <t>HN30008782P1</t>
  </si>
  <si>
    <t>Ricardo Reyes</t>
  </si>
  <si>
    <t>HN30008788P1</t>
  </si>
  <si>
    <t>Anita Vega-Reyes</t>
  </si>
  <si>
    <t>HN30008779P1</t>
  </si>
  <si>
    <t>Daniel Mays</t>
  </si>
  <si>
    <t>HN20064696P1</t>
  </si>
  <si>
    <t>MARTHA ECKERT</t>
  </si>
  <si>
    <t>HN3A008991P1</t>
  </si>
  <si>
    <t>John Abshire</t>
  </si>
  <si>
    <t>HN20064823P1</t>
  </si>
  <si>
    <t>CHERYLL HARRIS</t>
  </si>
  <si>
    <t>HN30008907P1</t>
  </si>
  <si>
    <t>Elizabeth Newling</t>
  </si>
  <si>
    <t>HN20064939P1</t>
  </si>
  <si>
    <t>DONNA JENNINGS</t>
  </si>
  <si>
    <t>HN20064940P1</t>
  </si>
  <si>
    <t>MARK JENNINGS</t>
  </si>
  <si>
    <t>HN20065013P1</t>
  </si>
  <si>
    <t>ROSA QUELLA</t>
  </si>
  <si>
    <t>HN20065046P1</t>
  </si>
  <si>
    <t>KELLIE VRENIOS</t>
  </si>
  <si>
    <t>HN30008938P1</t>
  </si>
  <si>
    <t>Cecylia Conforti</t>
  </si>
  <si>
    <t>HN30008991P1</t>
  </si>
  <si>
    <t>Karen Abshire</t>
  </si>
  <si>
    <t>HN30008994P1</t>
  </si>
  <si>
    <t>Steven Clotfelter</t>
  </si>
  <si>
    <t>HN30008999P1</t>
  </si>
  <si>
    <t>Catherine Leach</t>
  </si>
  <si>
    <t>HN20065409P1</t>
  </si>
  <si>
    <t>CANDIDA TORRES</t>
  </si>
  <si>
    <t>HN30009082P1</t>
  </si>
  <si>
    <t>Carolyn Patton</t>
  </si>
  <si>
    <t>HN20065602P1</t>
  </si>
  <si>
    <t>JOSE GUZMAN</t>
  </si>
  <si>
    <t>HN20065724P1</t>
  </si>
  <si>
    <t>MIKE KUROTOBI</t>
  </si>
  <si>
    <t>HN20065764P1</t>
  </si>
  <si>
    <t>NINA ANIKIENKO</t>
  </si>
  <si>
    <t>HN30009410P1</t>
  </si>
  <si>
    <t>Thomas Stromblad</t>
  </si>
  <si>
    <t>HN30009413P1</t>
  </si>
  <si>
    <t>Edie Sehr</t>
  </si>
  <si>
    <t>HN20068387P1</t>
  </si>
  <si>
    <t>ALEJANDRO MEDINA</t>
  </si>
  <si>
    <t>HN20068400P1</t>
  </si>
  <si>
    <t>CRAIG JACKSON</t>
  </si>
  <si>
    <t>HN50009949P1</t>
  </si>
  <si>
    <t>94601 Lump Sum Cancer w/ Recurrence Premiums - Single Parent</t>
  </si>
  <si>
    <t>William Ludwig III</t>
  </si>
  <si>
    <t>HN3A009738P1</t>
  </si>
  <si>
    <t>Mark McClish</t>
  </si>
  <si>
    <t>HN20066985P1</t>
  </si>
  <si>
    <t>AMY BRAINARD</t>
  </si>
  <si>
    <t>HN30009654P1</t>
  </si>
  <si>
    <t>Bonnie Phillips</t>
  </si>
  <si>
    <t>HN20067450P1</t>
  </si>
  <si>
    <t>MICHAEL REBOLETTI</t>
  </si>
  <si>
    <t>HN30009738P1</t>
  </si>
  <si>
    <t>Jodi McClish</t>
  </si>
  <si>
    <t>HN30009673P1</t>
  </si>
  <si>
    <t>Alberto Torres</t>
  </si>
  <si>
    <t>HN50010385P1</t>
  </si>
  <si>
    <t>Altnaa Gunaajav</t>
  </si>
  <si>
    <t>HN30009956P1</t>
  </si>
  <si>
    <t>David Forman</t>
  </si>
  <si>
    <t>5145845</t>
  </si>
  <si>
    <t>CHEREGI, RALUCA</t>
  </si>
  <si>
    <t>HN50010437P1</t>
  </si>
  <si>
    <t>Sandra Malone</t>
  </si>
  <si>
    <t>TN</t>
  </si>
  <si>
    <t>HN30010030P1</t>
  </si>
  <si>
    <t>Earlene Federici</t>
  </si>
  <si>
    <t>HN20068009P1</t>
  </si>
  <si>
    <t>ETHEL DAVIS</t>
  </si>
  <si>
    <t>HN20069451P1</t>
  </si>
  <si>
    <t>CHRISTINE HOCHSPRUNG</t>
  </si>
  <si>
    <t>AZ</t>
  </si>
  <si>
    <t>HN30010370P1</t>
  </si>
  <si>
    <t>Sandra Aykroid</t>
  </si>
  <si>
    <t>HN20068682P1</t>
  </si>
  <si>
    <t>KATHLEEN CLAYTON</t>
  </si>
  <si>
    <t>HN20068813P1</t>
  </si>
  <si>
    <t>LINDA WARNOCK</t>
  </si>
  <si>
    <t>HN20068886P1</t>
  </si>
  <si>
    <t>EILEEN DIBERARDINO</t>
  </si>
  <si>
    <t>HN30010467P1</t>
  </si>
  <si>
    <t>Tina Jones</t>
  </si>
  <si>
    <t>5141140</t>
  </si>
  <si>
    <t>ARENSON, GREGG</t>
  </si>
  <si>
    <t>HN50010756P1</t>
  </si>
  <si>
    <t>Caron Arenson</t>
  </si>
  <si>
    <t>HN30010559P1</t>
  </si>
  <si>
    <t>James Rice</t>
  </si>
  <si>
    <t>HN30010564P1</t>
  </si>
  <si>
    <t>Maria Patricia  Villaverde</t>
  </si>
  <si>
    <t>HN30010596P1</t>
  </si>
  <si>
    <t>Michael Rudaski</t>
  </si>
  <si>
    <t>HN30010706P1</t>
  </si>
  <si>
    <t>Linda Miller</t>
  </si>
  <si>
    <t>HN30010805P1</t>
  </si>
  <si>
    <t>Cobern Roberts</t>
  </si>
  <si>
    <t>HN20069711P1</t>
  </si>
  <si>
    <t>JUAN TORRES</t>
  </si>
  <si>
    <t>5150440</t>
  </si>
  <si>
    <t>LESSEM, MARC</t>
  </si>
  <si>
    <t>HN30011042P1</t>
  </si>
  <si>
    <t>Marc Lessem</t>
  </si>
  <si>
    <t>HN3A011153P1</t>
  </si>
  <si>
    <t>Mario Cordero</t>
  </si>
  <si>
    <t>HN3A011241P1</t>
  </si>
  <si>
    <t>Lloyd Fry</t>
  </si>
  <si>
    <t>HN3A011042P1</t>
  </si>
  <si>
    <t>Roslyn Lessem</t>
  </si>
  <si>
    <t>HN20070390P1</t>
  </si>
  <si>
    <t>JON BENSON</t>
  </si>
  <si>
    <t>HN20070391P1</t>
  </si>
  <si>
    <t>JEANNETTE BENSON</t>
  </si>
  <si>
    <t>HN30011153P1</t>
  </si>
  <si>
    <t>Jeanet Reyes</t>
  </si>
  <si>
    <t>HN30011241P1</t>
  </si>
  <si>
    <t>Valerie Fry</t>
  </si>
  <si>
    <t>HN20070811P1</t>
  </si>
  <si>
    <t>TINA RIFE</t>
  </si>
  <si>
    <t>HN30011225P1</t>
  </si>
  <si>
    <t>Jan van Straaten</t>
  </si>
  <si>
    <t>HN20071191P1</t>
  </si>
  <si>
    <t>GLENN BARUCK</t>
  </si>
  <si>
    <t>HN20071192P1</t>
  </si>
  <si>
    <t>CYNTHIA BARUCK</t>
  </si>
  <si>
    <t>HN20070842P1</t>
  </si>
  <si>
    <t>EDITHA SEBANTAY</t>
  </si>
  <si>
    <t>HN20070948P1</t>
  </si>
  <si>
    <t>JOSEPH BOSCH</t>
  </si>
  <si>
    <t>HN30011637P1</t>
  </si>
  <si>
    <t>Janet Mason</t>
  </si>
  <si>
    <t>HN30011643P1</t>
  </si>
  <si>
    <t>Anabel  Rosa</t>
  </si>
  <si>
    <t>HN20071245P1</t>
  </si>
  <si>
    <t>SILVIO MAIORANA</t>
  </si>
  <si>
    <t>HN20071246P1</t>
  </si>
  <si>
    <t>RENEE MAIRANA</t>
  </si>
  <si>
    <t>HN3A011637P1</t>
  </si>
  <si>
    <t>Joey Mason</t>
  </si>
  <si>
    <t>HN50011823P1</t>
  </si>
  <si>
    <t>HN20071487P1</t>
  </si>
  <si>
    <t>TIM SHEPARD</t>
  </si>
  <si>
    <t>HN30011553P1</t>
  </si>
  <si>
    <t>Johnny Leeuwenbur</t>
  </si>
  <si>
    <t>NC</t>
  </si>
  <si>
    <t>HN50001011P1</t>
  </si>
  <si>
    <t>Janice Pietrucha</t>
  </si>
  <si>
    <t>HN30005018P1</t>
  </si>
  <si>
    <t>EDWARD WARDA</t>
  </si>
  <si>
    <t>HN3A005018P1</t>
  </si>
  <si>
    <t>LAURA WARDA</t>
  </si>
  <si>
    <t>HN10036025P1</t>
  </si>
  <si>
    <t>JEFFREY BROWN</t>
  </si>
  <si>
    <t>HN10036259P1</t>
  </si>
  <si>
    <t>RONALD RETHAGE</t>
  </si>
  <si>
    <t>5134768</t>
  </si>
  <si>
    <t>HOFFMANN, JASON</t>
  </si>
  <si>
    <t>HN20021665P1</t>
  </si>
  <si>
    <t>ROBERT KUNKEL</t>
  </si>
  <si>
    <t>HN20021776P1</t>
  </si>
  <si>
    <t>PATRICIA HECKMAN</t>
  </si>
  <si>
    <t>HN20022013P1</t>
  </si>
  <si>
    <t>DOUGLAS PRESCOTT</t>
  </si>
  <si>
    <t>HN20022547P1</t>
  </si>
  <si>
    <t>TARA OWENS</t>
  </si>
  <si>
    <t>HN20022864P1</t>
  </si>
  <si>
    <t>BUSTER JONES</t>
  </si>
  <si>
    <t>HN20023112P1</t>
  </si>
  <si>
    <t>JOSEPH STINSON</t>
  </si>
  <si>
    <t>HN20024309P1</t>
  </si>
  <si>
    <t>DAVID COOPER</t>
  </si>
  <si>
    <t>HN20024650P1</t>
  </si>
  <si>
    <t>LINDA PEDEN</t>
  </si>
  <si>
    <t>HN20024744P1</t>
  </si>
  <si>
    <t>CYNTHIA ARENA</t>
  </si>
  <si>
    <t>HN20025102P1</t>
  </si>
  <si>
    <t>MARGARET ROBUS</t>
  </si>
  <si>
    <t>HN20026359P1</t>
  </si>
  <si>
    <t>JOHN NELSON</t>
  </si>
  <si>
    <t>HN20026880P1</t>
  </si>
  <si>
    <t>CATHERINE WEIDMAN</t>
  </si>
  <si>
    <t>HN20027571P1</t>
  </si>
  <si>
    <t>JOSEPH ROBUS</t>
  </si>
  <si>
    <t>HN20028324P1</t>
  </si>
  <si>
    <t>LISA GROTHAUS</t>
  </si>
  <si>
    <t>HN20028586P1</t>
  </si>
  <si>
    <t>SONIA CREARY</t>
  </si>
  <si>
    <t>HN20030117P1</t>
  </si>
  <si>
    <t>PAUL EFFRIG</t>
  </si>
  <si>
    <t>HN20032867P1</t>
  </si>
  <si>
    <t>JANIS FILIAGGI</t>
  </si>
  <si>
    <t>HN20032868P1</t>
  </si>
  <si>
    <t>ROBERT FILIAGGI</t>
  </si>
  <si>
    <t>HN20033110P1</t>
  </si>
  <si>
    <t>REBECCA MAYHEW</t>
  </si>
  <si>
    <t>HN20033201P1</t>
  </si>
  <si>
    <t>CHARLES FITZGERALD</t>
  </si>
  <si>
    <t>HN20033666P1</t>
  </si>
  <si>
    <t>JUDITH WEIDER</t>
  </si>
  <si>
    <t>HN20033799P1</t>
  </si>
  <si>
    <t>TRACEY FASNACHT</t>
  </si>
  <si>
    <t>HN20033806P1</t>
  </si>
  <si>
    <t>ANNABEL IBARRA</t>
  </si>
  <si>
    <t>HN20034569P1</t>
  </si>
  <si>
    <t>BARBARA RUTLEDGE</t>
  </si>
  <si>
    <t>HN20034570P1</t>
  </si>
  <si>
    <t>GARY RUTLEDGE</t>
  </si>
  <si>
    <t>HN20034862P1</t>
  </si>
  <si>
    <t>GREAGORY HUIRAS</t>
  </si>
  <si>
    <t>HN20035099P1</t>
  </si>
  <si>
    <t>AMY OLSON</t>
  </si>
  <si>
    <t>HN20035315P1</t>
  </si>
  <si>
    <t>MARY TAYLOR</t>
  </si>
  <si>
    <t>HN20035448P1</t>
  </si>
  <si>
    <t>BETH LOEB</t>
  </si>
  <si>
    <t>HN20035599P1</t>
  </si>
  <si>
    <t>CHESTER ANTCZAK</t>
  </si>
  <si>
    <t>HN20035600P1</t>
  </si>
  <si>
    <t>REGINA FIELDS</t>
  </si>
  <si>
    <t>HN20035606P1</t>
  </si>
  <si>
    <t>CYNDIE SIMMONS</t>
  </si>
  <si>
    <t>KY</t>
  </si>
  <si>
    <t>HN20035801P1</t>
  </si>
  <si>
    <t>STEPHEN CITRON</t>
  </si>
  <si>
    <t>HN20035838P1</t>
  </si>
  <si>
    <t>IRIS SOWLAT</t>
  </si>
  <si>
    <t>HN20035979P1</t>
  </si>
  <si>
    <t>KIRBY PASCUS</t>
  </si>
  <si>
    <t>HN20036146P1</t>
  </si>
  <si>
    <t>LAVONNE MALANDRO</t>
  </si>
  <si>
    <t>HN20036162P1</t>
  </si>
  <si>
    <t>EDWARD GOBBO</t>
  </si>
  <si>
    <t>HN20036236P1</t>
  </si>
  <si>
    <t>KEVIN BATES</t>
  </si>
  <si>
    <t>HN20036254P1</t>
  </si>
  <si>
    <t>RICHARD YALE</t>
  </si>
  <si>
    <t>HN20036318P1</t>
  </si>
  <si>
    <t>ALLAN TESON</t>
  </si>
  <si>
    <t>HN20036858P1</t>
  </si>
  <si>
    <t>LISA BERENYI</t>
  </si>
  <si>
    <t>HN20037000P1</t>
  </si>
  <si>
    <t>TIMOTHY KENNELLY</t>
  </si>
  <si>
    <t>HN20037232P1</t>
  </si>
  <si>
    <t>ROBERT JOYCE</t>
  </si>
  <si>
    <t>5137036</t>
  </si>
  <si>
    <t>PORTUGAL, STACEY</t>
  </si>
  <si>
    <t>HN20037348P1</t>
  </si>
  <si>
    <t>ALONZO GALVAN</t>
  </si>
  <si>
    <t>HN20037387P1</t>
  </si>
  <si>
    <t>LINDA MIHALKA</t>
  </si>
  <si>
    <t>5135163</t>
  </si>
  <si>
    <t>RICHTER, ADAM</t>
  </si>
  <si>
    <t>HN20037645P1</t>
  </si>
  <si>
    <t>JOYCE ANAZONWU</t>
  </si>
  <si>
    <t>HN20037690P1</t>
  </si>
  <si>
    <t>TERRANCE HALLMAN</t>
  </si>
  <si>
    <t>HN20037874P1</t>
  </si>
  <si>
    <t>DEBBIE GOTHELF</t>
  </si>
  <si>
    <t>HN20038330P1</t>
  </si>
  <si>
    <t>93017 HIP - Benefit Period = 8 Days</t>
  </si>
  <si>
    <t>JOEL M VARDY</t>
  </si>
  <si>
    <t>HN20038331P1</t>
  </si>
  <si>
    <t>CINDY VARDY</t>
  </si>
  <si>
    <t>HN20039073P1</t>
  </si>
  <si>
    <t>TERRY BRYAN</t>
  </si>
  <si>
    <t>HN20039254P1</t>
  </si>
  <si>
    <t>STEVEN MOOZAKIS</t>
  </si>
  <si>
    <t>HN20039355P1</t>
  </si>
  <si>
    <t>PETER MALONE</t>
  </si>
  <si>
    <t>HN20039391P1</t>
  </si>
  <si>
    <t>DOUGLAS LEIN</t>
  </si>
  <si>
    <t>HN20039485P1</t>
  </si>
  <si>
    <t>WILLIAM DOBLER</t>
  </si>
  <si>
    <t>HN20039865P1</t>
  </si>
  <si>
    <t>BETH GONSIEWSKI</t>
  </si>
  <si>
    <t>HN20039932P1</t>
  </si>
  <si>
    <t>ANN GORDON</t>
  </si>
  <si>
    <t>HN20040047P1</t>
  </si>
  <si>
    <t>DENISE EVANS</t>
  </si>
  <si>
    <t>HN20041212P1</t>
  </si>
  <si>
    <t>RAY WHALEN</t>
  </si>
  <si>
    <t>5137174</t>
  </si>
  <si>
    <t>ROBINSON, PAUL</t>
  </si>
  <si>
    <t>HN20041215P1</t>
  </si>
  <si>
    <t>SCOTT WALLACH</t>
  </si>
  <si>
    <t>HN20041294P1</t>
  </si>
  <si>
    <t>LESLIE EHRIN</t>
  </si>
  <si>
    <t>HN20041360P1</t>
  </si>
  <si>
    <t>ELLEN SHAKER</t>
  </si>
  <si>
    <t>HN20041500P1</t>
  </si>
  <si>
    <t>SUSAN MADETE</t>
  </si>
  <si>
    <t>HN20041565P1</t>
  </si>
  <si>
    <t>ELLEN FARRELL</t>
  </si>
  <si>
    <t>HN20041755P1</t>
  </si>
  <si>
    <t>VIVIAN WARENS-GARCIA</t>
  </si>
  <si>
    <t>HN20041757P1</t>
  </si>
  <si>
    <t>SUSAN SMYTH</t>
  </si>
  <si>
    <t>HN20041768P1</t>
  </si>
  <si>
    <t>RENEE COLLIGNON</t>
  </si>
  <si>
    <t>HN20041856P1</t>
  </si>
  <si>
    <t>BARBARA BAKER</t>
  </si>
  <si>
    <t>HN20041857P1</t>
  </si>
  <si>
    <t>RONALD BAKER</t>
  </si>
  <si>
    <t>HN20041937P1</t>
  </si>
  <si>
    <t>JOEL GOLDWATER</t>
  </si>
  <si>
    <t>HN20041973P1</t>
  </si>
  <si>
    <t>PAULA MARINO</t>
  </si>
  <si>
    <t>HN20042008P1</t>
  </si>
  <si>
    <t>KIM MORSE</t>
  </si>
  <si>
    <t>HN20042578P1</t>
  </si>
  <si>
    <t>PAUL WYNER</t>
  </si>
  <si>
    <t>MO</t>
  </si>
  <si>
    <t>HN20042593P1</t>
  </si>
  <si>
    <t>DOUGLAS MCCLURE</t>
  </si>
  <si>
    <t>5137104</t>
  </si>
  <si>
    <t>ALOFF, JONATHAN</t>
  </si>
  <si>
    <t>HN20043123P1</t>
  </si>
  <si>
    <t>AMY SUNSTRUM</t>
  </si>
  <si>
    <t>HN20043227P1</t>
  </si>
  <si>
    <t>SHANNAN WILSON</t>
  </si>
  <si>
    <t>HN20043308P1</t>
  </si>
  <si>
    <t>DWIGHT MANESS</t>
  </si>
  <si>
    <t>HN20043492P1</t>
  </si>
  <si>
    <t>JEFFREY SANDERS</t>
  </si>
  <si>
    <t>HN20043676P1</t>
  </si>
  <si>
    <t>BARBARA FALLON</t>
  </si>
  <si>
    <t>HN20043850P1</t>
  </si>
  <si>
    <t>SINAI RHAMES</t>
  </si>
  <si>
    <t>GA</t>
  </si>
  <si>
    <t>HN20043919P1</t>
  </si>
  <si>
    <t>FAYE MARSHALL</t>
  </si>
  <si>
    <t>HN20044111P1</t>
  </si>
  <si>
    <t>THOMAS TRITTHARDT</t>
  </si>
  <si>
    <t>HN20044112P1</t>
  </si>
  <si>
    <t>DONNA TRITTHARDT</t>
  </si>
  <si>
    <t>HN20044547P1</t>
  </si>
  <si>
    <t>DAVID SEVESKA</t>
  </si>
  <si>
    <t>HN20044549P1</t>
  </si>
  <si>
    <t>SUSAN SEVESKA</t>
  </si>
  <si>
    <t>HN20044589P1</t>
  </si>
  <si>
    <t>KATHLEEN DOPLER</t>
  </si>
  <si>
    <t>HN20044899P1</t>
  </si>
  <si>
    <t>SUSAN THOMAS</t>
  </si>
  <si>
    <t>HN20044951P1</t>
  </si>
  <si>
    <t>GWENDA KLINE</t>
  </si>
  <si>
    <t>HN20045035P1</t>
  </si>
  <si>
    <t>VLADIMIR MANEV</t>
  </si>
  <si>
    <t>HN20045037P1</t>
  </si>
  <si>
    <t>SHELLEY BALICKI</t>
  </si>
  <si>
    <t>HN20045145P1</t>
  </si>
  <si>
    <t>AMALIA YEE ALVAREZ</t>
  </si>
  <si>
    <t>HN20045179P1</t>
  </si>
  <si>
    <t>JANICE ELAM</t>
  </si>
  <si>
    <t>HN20045307P1</t>
  </si>
  <si>
    <t>CHERYL CORDELL</t>
  </si>
  <si>
    <t>5137607</t>
  </si>
  <si>
    <t>STROHMAN, BRIAN</t>
  </si>
  <si>
    <t>HN20045495P1</t>
  </si>
  <si>
    <t>SHEILA WARTELL</t>
  </si>
  <si>
    <t>HN20045533P1</t>
  </si>
  <si>
    <t>IVAN MLINARICH</t>
  </si>
  <si>
    <t>HN20045534P1</t>
  </si>
  <si>
    <t>VESNA MLINARICH</t>
  </si>
  <si>
    <t>HN20045574P1</t>
  </si>
  <si>
    <t>AGUSTIN AYALA</t>
  </si>
  <si>
    <t>HN20045675P1</t>
  </si>
  <si>
    <t>RENEE EMORY-WILLIAMS</t>
  </si>
  <si>
    <t>HN20045707P1</t>
  </si>
  <si>
    <t>MINDY KOBUSCH</t>
  </si>
  <si>
    <t>HN20045837P1</t>
  </si>
  <si>
    <t>ALISON ABBOTT</t>
  </si>
  <si>
    <t>HN20045841P1</t>
  </si>
  <si>
    <t>BLANCA CARDONA</t>
  </si>
  <si>
    <t>HN20046237P1</t>
  </si>
  <si>
    <t>RICHARD MEYER</t>
  </si>
  <si>
    <t>HN20046238P1</t>
  </si>
  <si>
    <t>KAREN MEYER</t>
  </si>
  <si>
    <t>HN20046268P1</t>
  </si>
  <si>
    <t>KENNETH HAMMOND</t>
  </si>
  <si>
    <t>HN20046269P1</t>
  </si>
  <si>
    <t>JILL HAMMOND</t>
  </si>
  <si>
    <t>HN20046387P1</t>
  </si>
  <si>
    <t>TRACY WILLIAMS</t>
  </si>
  <si>
    <t>OK</t>
  </si>
  <si>
    <t>HN20046538P1</t>
  </si>
  <si>
    <t>HN20046608P1</t>
  </si>
  <si>
    <t>THEODORA CAMPANELLA</t>
  </si>
  <si>
    <t>HN20046609P1</t>
  </si>
  <si>
    <t>MARNE CHILSTROM</t>
  </si>
  <si>
    <t>HN20046783P1</t>
  </si>
  <si>
    <t>MICHAEL PIERSON SR</t>
  </si>
  <si>
    <t>HN20046905P1</t>
  </si>
  <si>
    <t>JANICE BEDARD</t>
  </si>
  <si>
    <t>HN20047024P1</t>
  </si>
  <si>
    <t>AMELIA BIELSKI</t>
  </si>
  <si>
    <t>HN20047090P1</t>
  </si>
  <si>
    <t>NESTOR RAMORAN</t>
  </si>
  <si>
    <t>HN20047091P1</t>
  </si>
  <si>
    <t>LOURDES RAMORAN</t>
  </si>
  <si>
    <t>HN20047536P1</t>
  </si>
  <si>
    <t>TREVOR SUNDQUIST</t>
  </si>
  <si>
    <t>HN20048002P1</t>
  </si>
  <si>
    <t>RAYMOND SELVA</t>
  </si>
  <si>
    <t>HN20048113P1</t>
  </si>
  <si>
    <t>MARY KOGLIN</t>
  </si>
  <si>
    <t>HN20048439P1</t>
  </si>
  <si>
    <t>JULIANNE LAPETINA</t>
  </si>
  <si>
    <t>HN20048669P1</t>
  </si>
  <si>
    <t>MARK RUSTEMEYER</t>
  </si>
  <si>
    <t>HN20049364P1</t>
  </si>
  <si>
    <t>RENE LATZKE</t>
  </si>
  <si>
    <t>HN20049365P1</t>
  </si>
  <si>
    <t>GERALD LATZKE</t>
  </si>
  <si>
    <t>HN20049443P1</t>
  </si>
  <si>
    <t>AIMEE COHEN</t>
  </si>
  <si>
    <t>HN20049456P1</t>
  </si>
  <si>
    <t>JAMES CLOW</t>
  </si>
  <si>
    <t>HN20049464P1</t>
  </si>
  <si>
    <t>GARY BRAMMEIER</t>
  </si>
  <si>
    <t>HN20049465P1</t>
  </si>
  <si>
    <t>SHARI BRAMMEIER</t>
  </si>
  <si>
    <t>HN20049730P1</t>
  </si>
  <si>
    <t>RAJKA RADOVANCEV</t>
  </si>
  <si>
    <t>HN20049733P1</t>
  </si>
  <si>
    <t>MIRA KOVACEVIC</t>
  </si>
  <si>
    <t>HN20050329P1</t>
  </si>
  <si>
    <t>LAURA SEWELL</t>
  </si>
  <si>
    <t>HN20050461P1</t>
  </si>
  <si>
    <t>SCOTT JINDRA</t>
  </si>
  <si>
    <t>HN20050606P1</t>
  </si>
  <si>
    <t>DAVID JANKURA</t>
  </si>
  <si>
    <t>HN20050672P1</t>
  </si>
  <si>
    <t>DEMOS BOURLOKAS</t>
  </si>
  <si>
    <t>HN20051053P1</t>
  </si>
  <si>
    <t>NIK LEE</t>
  </si>
  <si>
    <t>HN20051183P1</t>
  </si>
  <si>
    <t>LINN BALLARD</t>
  </si>
  <si>
    <t>HN20051877P1</t>
  </si>
  <si>
    <t>NANCY SMITH</t>
  </si>
  <si>
    <t>AR</t>
  </si>
  <si>
    <t>HN20051905P1</t>
  </si>
  <si>
    <t>FRANCES KERR</t>
  </si>
  <si>
    <t>HN30004819P1</t>
  </si>
  <si>
    <t>Howard Boone III</t>
  </si>
  <si>
    <t>HN20052593P1</t>
  </si>
  <si>
    <t>MICHAEL BENEDICT</t>
  </si>
  <si>
    <t>HN30001438P1</t>
  </si>
  <si>
    <t>Frank Scardina</t>
  </si>
  <si>
    <t>HN30001439P1</t>
  </si>
  <si>
    <t>Aliceann Scardina</t>
  </si>
  <si>
    <t>HN30001479P1</t>
  </si>
  <si>
    <t>Pamela Thompson</t>
  </si>
  <si>
    <t>HN30001488P1</t>
  </si>
  <si>
    <t>Kathleen Learned</t>
  </si>
  <si>
    <t>HN30001492P1</t>
  </si>
  <si>
    <t>Susan Hauschildt</t>
  </si>
  <si>
    <t>HN30001501P1</t>
  </si>
  <si>
    <t>Kathy Geiger</t>
  </si>
  <si>
    <t>HN30001505P1</t>
  </si>
  <si>
    <t>Jody Susman</t>
  </si>
  <si>
    <t>HN30001506P1</t>
  </si>
  <si>
    <t>Hansjorg Herzog</t>
  </si>
  <si>
    <t>HN30001507P1</t>
  </si>
  <si>
    <t>Christine Kalis</t>
  </si>
  <si>
    <t>HN30001508P1</t>
  </si>
  <si>
    <t>Patricia McGrail</t>
  </si>
  <si>
    <t>HN30001509P1</t>
  </si>
  <si>
    <t>John Keefe</t>
  </si>
  <si>
    <t>HN30001524P1</t>
  </si>
  <si>
    <t>Kristy Dolph</t>
  </si>
  <si>
    <t>HN30001530P1</t>
  </si>
  <si>
    <t>Stephen Webster</t>
  </si>
  <si>
    <t>HN30001561P1</t>
  </si>
  <si>
    <t>James Erdman</t>
  </si>
  <si>
    <t>HN30001594P1</t>
  </si>
  <si>
    <t>Karen Zinder</t>
  </si>
  <si>
    <t>HN30001665P1</t>
  </si>
  <si>
    <t>Sharon Korotka</t>
  </si>
  <si>
    <t>HN30001735P1</t>
  </si>
  <si>
    <t>Debra Karlinski</t>
  </si>
  <si>
    <t>HN30001789P1</t>
  </si>
  <si>
    <t>Terry Ross</t>
  </si>
  <si>
    <t>HN30001948P1</t>
  </si>
  <si>
    <t>Ray Whalen</t>
  </si>
  <si>
    <t>HN30002005P1</t>
  </si>
  <si>
    <t>richard yale</t>
  </si>
  <si>
    <t>HN30002011P1</t>
  </si>
  <si>
    <t>Peggy Obrien</t>
  </si>
  <si>
    <t>HN30002172P1</t>
  </si>
  <si>
    <t>DEBRA BILSTEIN</t>
  </si>
  <si>
    <t>HN30002203P1</t>
  </si>
  <si>
    <t>BARRY Schumann</t>
  </si>
  <si>
    <t>HN30002206P1</t>
  </si>
  <si>
    <t>charles fitzgerald</t>
  </si>
  <si>
    <t>HN30002222P1</t>
  </si>
  <si>
    <t>Alisa Amaral</t>
  </si>
  <si>
    <t>HN30002224P1</t>
  </si>
  <si>
    <t>Patricia Meneghini</t>
  </si>
  <si>
    <t>HN30002284P1</t>
  </si>
  <si>
    <t>Eva Golembiewski</t>
  </si>
  <si>
    <t>HN30002298P1</t>
  </si>
  <si>
    <t>John Waspi</t>
  </si>
  <si>
    <t>HN30002350P1</t>
  </si>
  <si>
    <t>Martin Harrigan</t>
  </si>
  <si>
    <t>HN30002352P1</t>
  </si>
  <si>
    <t>Dennis Naples</t>
  </si>
  <si>
    <t>HN30002378P1</t>
  </si>
  <si>
    <t>SCOTT SMITH</t>
  </si>
  <si>
    <t>HN30002379P1</t>
  </si>
  <si>
    <t>DONALD TACKITT</t>
  </si>
  <si>
    <t>HN30002384P1</t>
  </si>
  <si>
    <t>George York</t>
  </si>
  <si>
    <t>HN30002393P1</t>
  </si>
  <si>
    <t>michael pavlatos</t>
  </si>
  <si>
    <t>HN30002423P1</t>
  </si>
  <si>
    <t>HN30002441P1</t>
  </si>
  <si>
    <t>MICHAEL KUHNS</t>
  </si>
  <si>
    <t>HN30002537P1</t>
  </si>
  <si>
    <t>Reynold peters</t>
  </si>
  <si>
    <t>HN30002554P1</t>
  </si>
  <si>
    <t>BRUCE HIMMELBLAU</t>
  </si>
  <si>
    <t>HN30002625P1</t>
  </si>
  <si>
    <t>william schroeder</t>
  </si>
  <si>
    <t>HN30002639P1</t>
  </si>
  <si>
    <t>John Karuntzos</t>
  </si>
  <si>
    <t>HN30002644P1</t>
  </si>
  <si>
    <t>richard halpert</t>
  </si>
  <si>
    <t>HN30002651P1</t>
  </si>
  <si>
    <t>William Stauffer</t>
  </si>
  <si>
    <t>HN30002661P1</t>
  </si>
  <si>
    <t>LANCE FRIEDMAN</t>
  </si>
  <si>
    <t>HN30002721P1</t>
  </si>
  <si>
    <t>steven  bogolub</t>
  </si>
  <si>
    <t>HN30002757P1</t>
  </si>
  <si>
    <t>david slack</t>
  </si>
  <si>
    <t>HN30002771P1</t>
  </si>
  <si>
    <t>GWYN NANUS</t>
  </si>
  <si>
    <t>HN30002810P1</t>
  </si>
  <si>
    <t>Mary Finger</t>
  </si>
  <si>
    <t>HN30002812P1</t>
  </si>
  <si>
    <t>DONALD SILVERT</t>
  </si>
  <si>
    <t>HN30002813P1</t>
  </si>
  <si>
    <t>Nancy okerns</t>
  </si>
  <si>
    <t>HN30002853P1</t>
  </si>
  <si>
    <t>James Lofthouse</t>
  </si>
  <si>
    <t>HN30002860P1</t>
  </si>
  <si>
    <t>Minerva Solis</t>
  </si>
  <si>
    <t>HN30002887P1</t>
  </si>
  <si>
    <t>Alfonso Gaimari</t>
  </si>
  <si>
    <t>HN30002972P1</t>
  </si>
  <si>
    <t>Richard Neumann</t>
  </si>
  <si>
    <t>HN30002976P1</t>
  </si>
  <si>
    <t>dale Toriani</t>
  </si>
  <si>
    <t>HN30003029P1</t>
  </si>
  <si>
    <t>wayne burchfield</t>
  </si>
  <si>
    <t>HN30003118P1</t>
  </si>
  <si>
    <t>Anita Martin</t>
  </si>
  <si>
    <t>HN30003150P1</t>
  </si>
  <si>
    <t>Donna  Frick</t>
  </si>
  <si>
    <t>HN30003178P1</t>
  </si>
  <si>
    <t>martin myers</t>
  </si>
  <si>
    <t>HN30003215P1</t>
  </si>
  <si>
    <t>Helen Breidenbach</t>
  </si>
  <si>
    <t>HN30003340P1</t>
  </si>
  <si>
    <t>Michael White</t>
  </si>
  <si>
    <t>HN30003396P1</t>
  </si>
  <si>
    <t>John Sbarbaro</t>
  </si>
  <si>
    <t>HN30003397P1</t>
  </si>
  <si>
    <t>Patrick Conforti</t>
  </si>
  <si>
    <t>HN30003401P1</t>
  </si>
  <si>
    <t>charles adams</t>
  </si>
  <si>
    <t>HN30003466P1</t>
  </si>
  <si>
    <t>Keith Felsenthal</t>
  </si>
  <si>
    <t>HN30003469P1</t>
  </si>
  <si>
    <t>Stephen Milone</t>
  </si>
  <si>
    <t>HN30003570P1</t>
  </si>
  <si>
    <t>Laura Sulkin</t>
  </si>
  <si>
    <t>HN30003603P1</t>
  </si>
  <si>
    <t>Crystal Seballos</t>
  </si>
  <si>
    <t>HN30003625P1</t>
  </si>
  <si>
    <t>Jennifer Stoltz</t>
  </si>
  <si>
    <t>HN30003657P1</t>
  </si>
  <si>
    <t>Zelda Williams</t>
  </si>
  <si>
    <t>HN30003693P1</t>
  </si>
  <si>
    <t>John Hampton</t>
  </si>
  <si>
    <t>HN30003701P1</t>
  </si>
  <si>
    <t>michael  derex</t>
  </si>
  <si>
    <t>HN30003775P1</t>
  </si>
  <si>
    <t>Steven Glazer</t>
  </si>
  <si>
    <t>HN30003782P1</t>
  </si>
  <si>
    <t>Edye Glazer</t>
  </si>
  <si>
    <t>HN30003804P1</t>
  </si>
  <si>
    <t>Kim Morse</t>
  </si>
  <si>
    <t>HN30003815P1</t>
  </si>
  <si>
    <t>Harry Sibley</t>
  </si>
  <si>
    <t>HN30003833P1</t>
  </si>
  <si>
    <t>Kevin  Daly</t>
  </si>
  <si>
    <t>HN30003841P1</t>
  </si>
  <si>
    <t>Suzanne Suffern</t>
  </si>
  <si>
    <t>HN30003855P1</t>
  </si>
  <si>
    <t>Gregg Arenson</t>
  </si>
  <si>
    <t>HN30003869P1</t>
  </si>
  <si>
    <t>steven fine</t>
  </si>
  <si>
    <t>HN30003871P1</t>
  </si>
  <si>
    <t>Rick Lattanzio</t>
  </si>
  <si>
    <t>HN30003875P1</t>
  </si>
  <si>
    <t>Edward White</t>
  </si>
  <si>
    <t>HN30003884P1</t>
  </si>
  <si>
    <t>Retha Dymond</t>
  </si>
  <si>
    <t>HN30003897P1</t>
  </si>
  <si>
    <t>Donald Crosby</t>
  </si>
  <si>
    <t>HN30003899P1</t>
  </si>
  <si>
    <t>Theresa Hunt</t>
  </si>
  <si>
    <t>HN30003912P1</t>
  </si>
  <si>
    <t>Bob  Ribordy</t>
  </si>
  <si>
    <t>HN30003933P1</t>
  </si>
  <si>
    <t>Phaengsy Phetthongsy</t>
  </si>
  <si>
    <t>HN30003934P1</t>
  </si>
  <si>
    <t>Bonnie O'Neal</t>
  </si>
  <si>
    <t>HN30004073P1</t>
  </si>
  <si>
    <t>Barbara Beil</t>
  </si>
  <si>
    <t>HN30004084P1</t>
  </si>
  <si>
    <t>Carrie VanEtten</t>
  </si>
  <si>
    <t>HN30004088P1</t>
  </si>
  <si>
    <t>William Hutmacher</t>
  </si>
  <si>
    <t>HN30004133P1</t>
  </si>
  <si>
    <t>Fred Lambert</t>
  </si>
  <si>
    <t>HN30004141P1</t>
  </si>
  <si>
    <t>Robert Weiss</t>
  </si>
  <si>
    <t>HN30004152P1</t>
  </si>
  <si>
    <t>Khamo Siriboun</t>
  </si>
  <si>
    <t>HN30004157P1</t>
  </si>
  <si>
    <t>Henry Baker</t>
  </si>
  <si>
    <t>HN30004158P1</t>
  </si>
  <si>
    <t>Bettie  Baker</t>
  </si>
  <si>
    <t>HN30004178P1</t>
  </si>
  <si>
    <t>Sandra Fuentes</t>
  </si>
  <si>
    <t>LA</t>
  </si>
  <si>
    <t>HN30004191P1</t>
  </si>
  <si>
    <t>Sherry Nelson</t>
  </si>
  <si>
    <t>HN30004215P1</t>
  </si>
  <si>
    <t>Denise Martino</t>
  </si>
  <si>
    <t>HN30004223P1</t>
  </si>
  <si>
    <t>Munkhnasan Mijiddorj</t>
  </si>
  <si>
    <t>HN30004228P1</t>
  </si>
  <si>
    <t>Jay Wojtasik</t>
  </si>
  <si>
    <t>HN30004230P1</t>
  </si>
  <si>
    <t>Marc Goldsmith</t>
  </si>
  <si>
    <t>HN30004257P1</t>
  </si>
  <si>
    <t>John Smogur</t>
  </si>
  <si>
    <t>HN30004293P1</t>
  </si>
  <si>
    <t>Marcia Daley</t>
  </si>
  <si>
    <t>HN30004299P1</t>
  </si>
  <si>
    <t>Andrea Petrungaro</t>
  </si>
  <si>
    <t>HN30004427P1</t>
  </si>
  <si>
    <t>Munkhjargal Chuluunbat</t>
  </si>
  <si>
    <t>HN30004451P1</t>
  </si>
  <si>
    <t>Laurie Hodgman</t>
  </si>
  <si>
    <t>HN30004476P1</t>
  </si>
  <si>
    <t>Joan Bourke</t>
  </si>
  <si>
    <t>HN30004515P1</t>
  </si>
  <si>
    <t>Konstantine Savoy</t>
  </si>
  <si>
    <t>HN30004547P1</t>
  </si>
  <si>
    <t>khem Vongkhounethep</t>
  </si>
  <si>
    <t>HN3A001488P1</t>
  </si>
  <si>
    <t>Rodney Learned</t>
  </si>
  <si>
    <t>HN3A001492P1</t>
  </si>
  <si>
    <t>Keith Hauschildt</t>
  </si>
  <si>
    <t>HN3A001501P1</t>
  </si>
  <si>
    <t>Craig Geiger</t>
  </si>
  <si>
    <t>HN3A001506P1</t>
  </si>
  <si>
    <t>Stephenie Crosetto</t>
  </si>
  <si>
    <t>HN3A001530P1</t>
  </si>
  <si>
    <t>Marsha Webster</t>
  </si>
  <si>
    <t>HN3A001896P1</t>
  </si>
  <si>
    <t>Susan DuBois</t>
  </si>
  <si>
    <t>HN3A001948P1</t>
  </si>
  <si>
    <t>Kathy Whalen</t>
  </si>
  <si>
    <t>HN3A002005P1</t>
  </si>
  <si>
    <t>Michelle Yale</t>
  </si>
  <si>
    <t>HN3A002224P1</t>
  </si>
  <si>
    <t>Harry Meneghini</t>
  </si>
  <si>
    <t>HN3A002284P1</t>
  </si>
  <si>
    <t>Jeffrey Golembiewski</t>
  </si>
  <si>
    <t>HN3A002352P1</t>
  </si>
  <si>
    <t>Nancy Naples</t>
  </si>
  <si>
    <t>HN3A002441P1</t>
  </si>
  <si>
    <t>COLLEEN KUHNS</t>
  </si>
  <si>
    <t>HN3A002537P1</t>
  </si>
  <si>
    <t>patrica peters</t>
  </si>
  <si>
    <t>HN3A002554P1</t>
  </si>
  <si>
    <t>PHYLIS HIMMELBLAU</t>
  </si>
  <si>
    <t>HN3A002625P1</t>
  </si>
  <si>
    <t>dyanne Richie</t>
  </si>
  <si>
    <t>HN3A002644P1</t>
  </si>
  <si>
    <t>mary halpert</t>
  </si>
  <si>
    <t>HN3A002721P1</t>
  </si>
  <si>
    <t>patricia bogolub</t>
  </si>
  <si>
    <t>HN3A002812P1</t>
  </si>
  <si>
    <t>ANITA SILVERT</t>
  </si>
  <si>
    <t>HN3A002813P1</t>
  </si>
  <si>
    <t>JERRY O'KERNS</t>
  </si>
  <si>
    <t>HN3A002976P1</t>
  </si>
  <si>
    <t>donna toriani</t>
  </si>
  <si>
    <t>HN3A003029P1</t>
  </si>
  <si>
    <t>gloria burchfield</t>
  </si>
  <si>
    <t>HN3A003091P1</t>
  </si>
  <si>
    <t>KATHLEEN KARG</t>
  </si>
  <si>
    <t>HN3A003150P1</t>
  </si>
  <si>
    <t>Kenneth Frick</t>
  </si>
  <si>
    <t>HN3A003178P1</t>
  </si>
  <si>
    <t>karen myers</t>
  </si>
  <si>
    <t>HN3A003401P1</t>
  </si>
  <si>
    <t>janine adams</t>
  </si>
  <si>
    <t>HN3A003815P1</t>
  </si>
  <si>
    <t>Kim Sibley</t>
  </si>
  <si>
    <t>HN3A003833P1</t>
  </si>
  <si>
    <t>Laurie Daly</t>
  </si>
  <si>
    <t>HN3A003855P1</t>
  </si>
  <si>
    <t>HN3A003912P1</t>
  </si>
  <si>
    <t>Jill Walsh</t>
  </si>
  <si>
    <t>HN3A004088P1</t>
  </si>
  <si>
    <t>Catherine Hutmacher</t>
  </si>
  <si>
    <t>HN3A004178P1</t>
  </si>
  <si>
    <t>Ruben Gil</t>
  </si>
  <si>
    <t>HN3A004257P1</t>
  </si>
  <si>
    <t>Arlene Smogur</t>
  </si>
  <si>
    <t>HN3A004451P1</t>
  </si>
  <si>
    <t>Brien Hodgman</t>
  </si>
  <si>
    <t>HN3A004515P1</t>
  </si>
  <si>
    <t>Leah Savoy</t>
  </si>
  <si>
    <t>HN50001072P1</t>
  </si>
  <si>
    <t>94602 Lump Sum Heart Attack &amp; Stroke w/ Restoration Premiums - Individual</t>
  </si>
  <si>
    <t>Susan Stevens</t>
  </si>
  <si>
    <t>HN50001216P1</t>
  </si>
  <si>
    <t>HN50001237P1</t>
  </si>
  <si>
    <t>HN50001389P1</t>
  </si>
  <si>
    <t>Martin Bueno</t>
  </si>
  <si>
    <t>HN50001458P1</t>
  </si>
  <si>
    <t>Terri Eaton</t>
  </si>
  <si>
    <t>HN50001509P1</t>
  </si>
  <si>
    <t>Theodore Mazola</t>
  </si>
  <si>
    <t>HN50001595P1</t>
  </si>
  <si>
    <t>Gary Munks</t>
  </si>
  <si>
    <t>HN50001596P1</t>
  </si>
  <si>
    <t>Donna Tritthardt</t>
  </si>
  <si>
    <t>HN50001706P1</t>
  </si>
  <si>
    <t>Ryan Nader</t>
  </si>
  <si>
    <t>HN30004978P1</t>
  </si>
  <si>
    <t>Roberta Hemmati</t>
  </si>
  <si>
    <t>HN50001749P1</t>
  </si>
  <si>
    <t>Vladimir Manev</t>
  </si>
  <si>
    <t>HN50001804P1</t>
  </si>
  <si>
    <t>HN50002058P1</t>
  </si>
  <si>
    <t>Lal Patel</t>
  </si>
  <si>
    <t>HN50003217P1</t>
  </si>
  <si>
    <t>5135550</t>
  </si>
  <si>
    <t>MCCORKLE, MICHELLE</t>
  </si>
  <si>
    <t>HN50003360P1</t>
  </si>
  <si>
    <t>Wayne Stasko</t>
  </si>
  <si>
    <t>Category</t>
  </si>
  <si>
    <t>Adjustment/Chargeback</t>
  </si>
  <si>
    <t>Column1</t>
  </si>
  <si>
    <t>Column2</t>
  </si>
  <si>
    <t>Column3</t>
  </si>
  <si>
    <t>Simply Secure Ages 18-84 (AR, DE, GA,IL, KS, KY, LA, MO, MS, NE)</t>
  </si>
  <si>
    <t>AE</t>
  </si>
  <si>
    <t>Secure Choice STHHC Ages 40-75- 85%</t>
  </si>
  <si>
    <t>2023 Secure Advantage Flex Age 0-80 (AL, AK, AR, DE, GA, HI, IL, IA, KS)</t>
  </si>
  <si>
    <t>2024 Secure Advantage Flex Age 0-80 (AZ, FL IN, KY, MD, MT, NE)</t>
  </si>
  <si>
    <t>Secure Advantage Flex Age 81-85 (55)</t>
  </si>
  <si>
    <t>2025 HIP Age 0-80 (AZ,FL,IN,KY,MD,MT,NE,OH,SC,TN,VA)</t>
  </si>
  <si>
    <t>2023 Secure Choice STHHC Ages 40-75 (AL, AR, AZ, DE,GA, IA, IL, IN,LA)</t>
  </si>
  <si>
    <t>AV1</t>
  </si>
  <si>
    <t>2024 Secure Advantage Flex Age 0-80 (AL, AK, AR, DE, GA, HI, IL, IA, KS)80%</t>
  </si>
  <si>
    <t>2025 HIP Age 76 plus (AZ,FL,IN,KY,MD,MT,NE,OH,SC,TN,VA)</t>
  </si>
  <si>
    <t>18781057N</t>
  </si>
  <si>
    <t>371819L4</t>
  </si>
  <si>
    <t>17528908N</t>
  </si>
  <si>
    <t>20003537old</t>
  </si>
  <si>
    <t>371819L4AV6</t>
  </si>
  <si>
    <t>17126004AV6</t>
  </si>
  <si>
    <t>21283956old</t>
  </si>
  <si>
    <t>19681796AV6</t>
  </si>
  <si>
    <t>16912722AV6</t>
  </si>
  <si>
    <t>20220688AV6</t>
  </si>
  <si>
    <t>7470776AV6</t>
  </si>
  <si>
    <t>8405446AV6</t>
  </si>
  <si>
    <t>8814784AV6</t>
  </si>
  <si>
    <t>18710070N</t>
  </si>
  <si>
    <t>Column5</t>
  </si>
  <si>
    <t>Column6</t>
  </si>
  <si>
    <t>AV</t>
  </si>
  <si>
    <t>Simply Secure Cancer, Heart Attack &amp; Stroke Age 18-84 MD SD</t>
  </si>
  <si>
    <t>19481808AV6</t>
  </si>
  <si>
    <t>7146581AV6</t>
  </si>
  <si>
    <t>2158366AV6</t>
  </si>
  <si>
    <t>19586992AV6</t>
  </si>
  <si>
    <t>8325282AV6</t>
  </si>
  <si>
    <t>19200754AV6</t>
  </si>
  <si>
    <t>8244481AV6</t>
  </si>
  <si>
    <t>7565575AV6old</t>
  </si>
  <si>
    <t>21283956AV6</t>
  </si>
  <si>
    <t>21646325L1</t>
  </si>
  <si>
    <t>7565575old</t>
  </si>
  <si>
    <t>7307857AV6</t>
  </si>
  <si>
    <t>18828278AV6</t>
  </si>
  <si>
    <t>16633294AV6</t>
  </si>
  <si>
    <t>19278370old</t>
  </si>
  <si>
    <t>19278370OLD</t>
  </si>
  <si>
    <t>21348299old</t>
  </si>
  <si>
    <t>17117649AV6</t>
  </si>
  <si>
    <t>21283956AV6OLD</t>
  </si>
  <si>
    <t>21348299OLD</t>
  </si>
  <si>
    <t>7565575AV6OLD</t>
  </si>
  <si>
    <t>17094718AV6</t>
  </si>
  <si>
    <t>7565575AV6</t>
  </si>
  <si>
    <t>21648482AV6</t>
  </si>
  <si>
    <t>Column22</t>
  </si>
  <si>
    <t>NB</t>
  </si>
  <si>
    <t>RN</t>
  </si>
  <si>
    <t>22160643AV6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</si>
</sst>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 - &quot;??_);_(@_)"/>
  </numFmts>
  <fonts count="3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4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  <xf numFmtId="0" fontId="0" fillId="0" borderId="0" xfId="0" applyFill="1"/>
    <xf numFmtId="164" fontId="0" fillId="0" borderId="0" xfId="0" applyNumberFormat="1" applyFill="1"/>
    <xf numFmtId="14" fontId="0" fillId="0" borderId="0" xfId="0" applyNumberFormat="1" applyFill="1"/>
    <xf numFmtId="0" fontId="0" fillId="0" borderId="0" xfId="0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/>
    <xf numFmtId="14" fontId="0" fillId="2" borderId="0" xfId="0" applyNumberFormat="1" applyFill="1"/>
    <xf numFmtId="164" fontId="0" fillId="2" borderId="0" xfId="0" applyNumberFormat="1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43"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alignment horizontal="left" vertical="bottom" textRotation="0" wrapText="0" indent="0" justifyLastLine="0" shrinkToFit="0" readingOrder="0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</dxf>
    <dxf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([$$-409]* #,##0.00_);_([$$-409]* \(#,##0.00\);_([$$-409]* &quot; - &quot;??_);_(@_)"/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</dxf>
    <dxf>
      <numFmt numFmtId="19" formatCode="m/d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17" totalsRowShown="0">
  <autoFilter ref="A1:P317" xr:uid="{00000000-0009-0000-0100-000001000000}"/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42"/>
    <tableColumn id="8" xr3:uid="{00000000-0010-0000-0000-000008000000}" name="Effective Date" dataDxfId="41"/>
    <tableColumn id="9" xr3:uid="{00000000-0010-0000-0000-000009000000}" name="Paid To Date" dataDxfId="40"/>
    <tableColumn id="10" xr3:uid="{00000000-0010-0000-0000-00000A000000}" name="Premium" dataDxfId="39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38"/>
    <tableColumn id="14" xr3:uid="{00000000-0010-0000-0000-00000E000000}" name="Earnings" dataDxfId="37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E06D7B-9DEC-4342-8711-3C53F4FD02F2}" name="NewBusiness7" displayName="NewBusiness7" ref="A1:P315" totalsRowShown="0">
  <sortState xmlns:xlrd2="http://schemas.microsoft.com/office/spreadsheetml/2017/richdata2" ref="A2:P315">
    <sortCondition sortBy="cellColor" ref="A2:A315" dxfId="1"/>
    <sortCondition ref="A2:A315"/>
  </sortState>
  <tableColumns count="16">
    <tableColumn id="2" xr3:uid="{F167F3A9-3F80-474D-BE8D-700603E36255}" name="Agent Name"/>
    <tableColumn id="3" xr3:uid="{B596DBBD-9F8E-4B84-B350-CF85B832BC4C}" name="PolicyNumber"/>
    <tableColumn id="4" xr3:uid="{79168C2A-6A92-4432-AE5A-239C8E6F404D}" name="Product"/>
    <tableColumn id="6" xr3:uid="{C9358E8F-46CD-46DC-BC68-2CE33E56398E}" name="Insured"/>
    <tableColumn id="8" xr3:uid="{FA87220F-0762-4815-B005-C7409A291AD9}" name="Effective Date" dataDxfId="9"/>
    <tableColumn id="9" xr3:uid="{3D3A85A2-E609-4E4A-A229-38848C55B776}" name="Paid To Date" dataDxfId="8"/>
    <tableColumn id="10" xr3:uid="{B86B0290-CCD3-4100-8EBC-085C91458311}" name="Premium" dataDxfId="7"/>
    <tableColumn id="11" xr3:uid="{E0CF8720-75D5-4425-988C-875884F8EFF9}" name="Rate"/>
    <tableColumn id="14" xr3:uid="{D6CBDC8F-2A3D-4835-AA66-F53427A361ED}" name="Earnings" dataDxfId="6"/>
    <tableColumn id="15" xr3:uid="{478F1430-5A9D-4EBC-A639-BAFB68B2B8DF}" name="State"/>
    <tableColumn id="1" xr3:uid="{E8EA5239-DA48-4147-9D4D-7F714630B21A}" name="Column1"/>
    <tableColumn id="5" xr3:uid="{EF4CE078-A710-4015-BD46-36EB3A680DA4}" name="Column2" dataDxfId="5"/>
    <tableColumn id="17" xr3:uid="{9E53FB03-73EE-4E31-BB9A-AAA3FC67ABD9}" name="Column22" dataDxfId="2"/>
    <tableColumn id="7" xr3:uid="{4AB6D452-92A3-404D-BA1E-8CD510CCDABE}" name="Column3"/>
    <tableColumn id="13" xr3:uid="{B1CE041F-97F6-4E0B-AAD6-22A0B3E2E723}" name="Column5" dataDxfId="4">
      <calculatedColumnFormula>NewBusiness7[[#This Row],[Earnings]]/NewBusiness7[[#This Row],[Rate]]</calculatedColumnFormula>
    </tableColumn>
    <tableColumn id="16" xr3:uid="{C6AF7FA2-8367-4C8B-9BAF-20B177C7CB04}" name="Column6" dataDxfId="3">
      <calculatedColumnFormula>NewBusiness7[[#This Row],[Column5]]*NewBusiness7[[#This Row],[Rate]]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301" totalsRowShown="0">
  <autoFilter ref="A1:P301" xr:uid="{00000000-0009-0000-0100-000002000000}"/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36"/>
    <tableColumn id="8" xr3:uid="{00000000-0010-0000-0100-000008000000}" name="Effective Date" dataDxfId="35"/>
    <tableColumn id="9" xr3:uid="{00000000-0010-0000-0100-000009000000}" name="Paid To Date" dataDxfId="34"/>
    <tableColumn id="10" xr3:uid="{00000000-0010-0000-0100-00000A000000}" name="Premium" dataDxfId="33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32"/>
    <tableColumn id="14" xr3:uid="{00000000-0010-0000-0100-00000E000000}" name="Earnings" dataDxfId="31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0641B08-FB33-47C9-9249-1FB2D652A544}" name="Renewals6" displayName="Renewals6" ref="A1:O301" totalsRowShown="0" headerRowDxfId="26" dataDxfId="25">
  <autoFilter ref="A1:O301" xr:uid="{70641B08-FB33-47C9-9249-1FB2D652A544}"/>
  <tableColumns count="15">
    <tableColumn id="2" xr3:uid="{73C1C9A1-3D58-4899-97AE-ED899CEA2905}" name="Agent Name" dataDxfId="24"/>
    <tableColumn id="3" xr3:uid="{BCED7BCD-0505-4CDC-861A-8DC24F3650B8}" name="PolicyNumber" dataDxfId="23"/>
    <tableColumn id="4" xr3:uid="{695C4B66-268D-4F92-85F5-0360ED612E98}" name="Product" dataDxfId="22"/>
    <tableColumn id="6" xr3:uid="{144B4554-4A2E-4444-9B1C-07F12EE97320}" name="Insured" dataDxfId="21"/>
    <tableColumn id="8" xr3:uid="{6BD77C61-7340-45A4-B7AC-5587489318BF}" name="Effective Date" dataDxfId="20"/>
    <tableColumn id="9" xr3:uid="{96F3C236-9827-4334-A8DE-8486B8E51BFD}" name="Paid To Date" dataDxfId="19"/>
    <tableColumn id="10" xr3:uid="{9D761445-E25F-4B4E-BC23-1458CB634E0F}" name="Premium" dataDxfId="18"/>
    <tableColumn id="11" xr3:uid="{4680AC32-D09B-4097-8C2B-7291FBD4B04B}" name="Rate" dataDxfId="17"/>
    <tableColumn id="14" xr3:uid="{A244CE74-5982-4DFF-BCBB-E0E7BA3AEB2E}" name="Earnings" dataDxfId="16"/>
    <tableColumn id="15" xr3:uid="{003BB475-682C-4FBB-ADB0-BFB17ADC1DF7}" name="State" dataDxfId="15"/>
    <tableColumn id="1" xr3:uid="{04281A7D-2C1A-4D13-A14A-9F9E51D58C25}" name="Column1" dataDxfId="14"/>
    <tableColumn id="5" xr3:uid="{4D6BBDBC-BF19-4497-8709-AB42AF7AD2D9}" name="Column2" dataDxfId="12"/>
    <tableColumn id="7" xr3:uid="{24F3EF4C-4AE5-492A-B4EB-61BFF445D19C}" name="Column3" dataDxfId="13"/>
    <tableColumn id="16" xr3:uid="{4F96CB09-0D57-4916-8662-25F4F743EDFF}" name="Column5" dataDxfId="11">
      <calculatedColumnFormula>Renewals6[[#This Row],[Earnings]]/Renewals6[[#This Row],[Rate]]</calculatedColumnFormula>
    </tableColumn>
    <tableColumn id="17" xr3:uid="{0D854A8A-93F2-4451-838D-1C9AB5882E0E}" name="Column6" dataDxfId="10">
      <calculatedColumnFormula>Renewals6[[#This Row],[Column5]]*Renewals6[[#This Row],[Rate]]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aymentofAdvances" displayName="RepaymentofAdvances" ref="A1:P2" totalsRowShown="0">
  <autoFilter ref="A1:P2" xr:uid="{00000000-0009-0000-0100-000003000000}"/>
  <tableColumns count="16">
    <tableColumn id="1" xr3:uid="{00000000-0010-0000-0200-000001000000}" name="Agent Writing Number"/>
    <tableColumn id="2" xr3:uid="{00000000-0010-0000-0200-000002000000}" name="Agent Name"/>
    <tableColumn id="3" xr3:uid="{00000000-0010-0000-0200-000003000000}" name="PolicyNumber"/>
    <tableColumn id="4" xr3:uid="{00000000-0010-0000-0200-000004000000}" name="Product"/>
    <tableColumn id="5" xr3:uid="{00000000-0010-0000-0200-000005000000}" name="IssueAge"/>
    <tableColumn id="6" xr3:uid="{00000000-0010-0000-0200-000006000000}" name="Insured"/>
    <tableColumn id="7" xr3:uid="{00000000-0010-0000-0200-000007000000}" name="Transaction Date"/>
    <tableColumn id="8" xr3:uid="{00000000-0010-0000-0200-000008000000}" name="Effective Date"/>
    <tableColumn id="9" xr3:uid="{00000000-0010-0000-0200-000009000000}" name="Paid To Date"/>
    <tableColumn id="10" xr3:uid="{00000000-0010-0000-0200-00000A000000}" name="Premium" dataDxfId="30"/>
    <tableColumn id="11" xr3:uid="{00000000-0010-0000-0200-00000B000000}" name="Rate"/>
    <tableColumn id="12" xr3:uid="{00000000-0010-0000-0200-00000C000000}" name="Share"/>
    <tableColumn id="13" xr3:uid="{00000000-0010-0000-0200-00000D000000}" name="Advance" dataDxfId="29"/>
    <tableColumn id="14" xr3:uid="{00000000-0010-0000-0200-00000E000000}" name="Earnings" dataDxfId="28"/>
    <tableColumn id="15" xr3:uid="{00000000-0010-0000-0200-00000F000000}" name="State"/>
    <tableColumn id="16" xr3:uid="{00000000-0010-0000-0200-000010000000}" name="PayAdva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backsandAdjustments" displayName="ChargebacksandAdjustments" ref="A1:M2" totalsRowShown="0">
  <autoFilter ref="A1:M2" xr:uid="{00000000-0009-0000-0100-000004000000}"/>
  <tableColumns count="13">
    <tableColumn id="1" xr3:uid="{00000000-0010-0000-0300-000001000000}" name="Agent Writing Number"/>
    <tableColumn id="2" xr3:uid="{00000000-0010-0000-0300-000002000000}" name="Agent Name"/>
    <tableColumn id="3" xr3:uid="{00000000-0010-0000-0300-000003000000}" name="PolicyNumber"/>
    <tableColumn id="4" xr3:uid="{00000000-0010-0000-0300-000004000000}" name="Product"/>
    <tableColumn id="5" xr3:uid="{00000000-0010-0000-0300-000005000000}" name="IssueAge"/>
    <tableColumn id="6" xr3:uid="{00000000-0010-0000-0300-000006000000}" name="Insured"/>
    <tableColumn id="7" xr3:uid="{00000000-0010-0000-0300-000007000000}" name="Transaction Date"/>
    <tableColumn id="8" xr3:uid="{00000000-0010-0000-0300-000008000000}" name="Effective Date"/>
    <tableColumn id="9" xr3:uid="{00000000-0010-0000-0300-000009000000}" name="Paid To Date"/>
    <tableColumn id="10" xr3:uid="{00000000-0010-0000-0300-00000A000000}" name="Category"/>
    <tableColumn id="11" xr3:uid="{00000000-0010-0000-0300-00000B000000}" name="Adjustment/Chargeback" dataDxfId="27"/>
    <tableColumn id="12" xr3:uid="{00000000-0010-0000-0300-00000C000000}" name="State"/>
    <tableColumn id="13" xr3:uid="{00000000-0010-0000-0300-00000D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selection activeCell="A9" sqref="A9"/>
    </sheetView>
  </sheetViews>
  <sheetFormatPr defaultRowHeight="15" x14ac:dyDescent="0.25"/>
  <cols>
    <col min="1" max="1" width="28.85546875" customWidth="1"/>
    <col min="2" max="2" width="12.7109375" style="1" customWidth="1"/>
    <col min="3" max="3" width="9.140625" customWidth="1"/>
    <col min="4" max="4" width="21.7109375" customWidth="1"/>
    <col min="5" max="5" width="13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18249.86</v>
      </c>
      <c r="D9" t="s">
        <v>6</v>
      </c>
      <c r="E9" s="1">
        <v>93971.009999999398</v>
      </c>
    </row>
    <row r="10" spans="1:5" x14ac:dyDescent="0.25">
      <c r="A10" t="s">
        <v>7</v>
      </c>
      <c r="B10" s="1">
        <v>3097.92</v>
      </c>
      <c r="D10" t="s">
        <v>7</v>
      </c>
      <c r="E10" s="1">
        <v>13365.24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107336.249999999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-21347.78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7"/>
  <sheetViews>
    <sheetView workbookViewId="0">
      <selection sqref="A1:XFD1048576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59.42578125" customWidth="1"/>
    <col min="5" max="5" width="11.140625" customWidth="1"/>
    <col min="6" max="6" width="27.71093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29</v>
      </c>
      <c r="B2" t="s">
        <v>30</v>
      </c>
      <c r="C2" t="s">
        <v>31</v>
      </c>
      <c r="D2" t="s">
        <v>32</v>
      </c>
      <c r="E2">
        <v>67</v>
      </c>
      <c r="F2" t="s">
        <v>33</v>
      </c>
      <c r="G2" s="3">
        <v>46171.777939814798</v>
      </c>
      <c r="H2" s="4">
        <v>45809</v>
      </c>
      <c r="I2" s="4">
        <v>46174</v>
      </c>
      <c r="J2" s="1">
        <v>551.12</v>
      </c>
      <c r="K2">
        <v>0.85</v>
      </c>
      <c r="L2">
        <v>1</v>
      </c>
      <c r="M2" s="1">
        <v>0</v>
      </c>
      <c r="N2" s="1">
        <v>39.03</v>
      </c>
      <c r="O2" t="s">
        <v>34</v>
      </c>
      <c r="P2" t="s">
        <v>35</v>
      </c>
    </row>
    <row r="3" spans="1:16" x14ac:dyDescent="0.25">
      <c r="A3" t="s">
        <v>36</v>
      </c>
      <c r="B3" t="s">
        <v>37</v>
      </c>
      <c r="C3" t="s">
        <v>38</v>
      </c>
      <c r="D3" t="s">
        <v>39</v>
      </c>
      <c r="E3">
        <v>64</v>
      </c>
      <c r="F3" t="s">
        <v>40</v>
      </c>
      <c r="G3" s="3">
        <v>46171.777939814798</v>
      </c>
      <c r="H3" s="4">
        <v>45839</v>
      </c>
      <c r="I3" s="4">
        <v>46174</v>
      </c>
      <c r="J3" s="1">
        <v>810.22</v>
      </c>
      <c r="K3">
        <v>0.8</v>
      </c>
      <c r="L3">
        <v>1</v>
      </c>
      <c r="M3" s="1">
        <v>0</v>
      </c>
      <c r="N3" s="1">
        <v>54.01</v>
      </c>
      <c r="O3" t="s">
        <v>34</v>
      </c>
      <c r="P3" t="s">
        <v>35</v>
      </c>
    </row>
    <row r="4" spans="1:16" x14ac:dyDescent="0.25">
      <c r="A4" t="s">
        <v>29</v>
      </c>
      <c r="B4" t="s">
        <v>30</v>
      </c>
      <c r="C4" t="s">
        <v>41</v>
      </c>
      <c r="D4" t="s">
        <v>32</v>
      </c>
      <c r="E4">
        <v>64</v>
      </c>
      <c r="F4" t="s">
        <v>42</v>
      </c>
      <c r="G4" s="3">
        <v>46171.777939814798</v>
      </c>
      <c r="H4" s="4">
        <v>45813</v>
      </c>
      <c r="I4" s="4">
        <v>46178</v>
      </c>
      <c r="J4" s="1">
        <v>530.86</v>
      </c>
      <c r="K4">
        <v>0.85</v>
      </c>
      <c r="L4">
        <v>1</v>
      </c>
      <c r="M4" s="1">
        <v>0</v>
      </c>
      <c r="N4" s="1">
        <v>28.53</v>
      </c>
      <c r="O4" t="s">
        <v>34</v>
      </c>
      <c r="P4" t="s">
        <v>35</v>
      </c>
    </row>
    <row r="5" spans="1:16" x14ac:dyDescent="0.25">
      <c r="A5" t="s">
        <v>43</v>
      </c>
      <c r="B5" t="s">
        <v>44</v>
      </c>
      <c r="C5" t="s">
        <v>45</v>
      </c>
      <c r="D5" t="s">
        <v>32</v>
      </c>
      <c r="E5">
        <v>64</v>
      </c>
      <c r="F5" t="s">
        <v>46</v>
      </c>
      <c r="G5" s="3">
        <v>46171.777939814798</v>
      </c>
      <c r="H5" s="4">
        <v>45839</v>
      </c>
      <c r="I5" s="4">
        <v>46174</v>
      </c>
      <c r="J5" s="1">
        <v>801.66</v>
      </c>
      <c r="K5">
        <v>0.85</v>
      </c>
      <c r="L5">
        <v>1</v>
      </c>
      <c r="M5" s="1">
        <v>0</v>
      </c>
      <c r="N5" s="1">
        <v>56.78</v>
      </c>
      <c r="O5" t="s">
        <v>47</v>
      </c>
      <c r="P5" t="s">
        <v>35</v>
      </c>
    </row>
    <row r="6" spans="1:16" x14ac:dyDescent="0.25">
      <c r="A6" t="s">
        <v>48</v>
      </c>
      <c r="B6" t="s">
        <v>49</v>
      </c>
      <c r="C6" t="s">
        <v>50</v>
      </c>
      <c r="D6" t="s">
        <v>32</v>
      </c>
      <c r="E6">
        <v>66</v>
      </c>
      <c r="F6" t="s">
        <v>51</v>
      </c>
      <c r="G6" s="3">
        <v>46171.777939814798</v>
      </c>
      <c r="H6" s="4">
        <v>45809</v>
      </c>
      <c r="I6" s="4">
        <v>46174</v>
      </c>
      <c r="J6" s="1">
        <v>992.31</v>
      </c>
      <c r="K6">
        <v>0.85</v>
      </c>
      <c r="L6">
        <v>1</v>
      </c>
      <c r="M6" s="1">
        <v>0</v>
      </c>
      <c r="N6" s="1">
        <v>70.290000000000006</v>
      </c>
      <c r="O6" t="s">
        <v>34</v>
      </c>
      <c r="P6" t="s">
        <v>35</v>
      </c>
    </row>
    <row r="7" spans="1:16" x14ac:dyDescent="0.25">
      <c r="A7" t="s">
        <v>29</v>
      </c>
      <c r="B7" t="s">
        <v>30</v>
      </c>
      <c r="C7" t="s">
        <v>52</v>
      </c>
      <c r="D7" t="s">
        <v>32</v>
      </c>
      <c r="E7">
        <v>69</v>
      </c>
      <c r="F7" t="s">
        <v>53</v>
      </c>
      <c r="G7" s="3">
        <v>46171.777939814798</v>
      </c>
      <c r="H7" s="4">
        <v>45813</v>
      </c>
      <c r="I7" s="4">
        <v>46178</v>
      </c>
      <c r="J7" s="1">
        <v>530.86</v>
      </c>
      <c r="K7">
        <v>0.85</v>
      </c>
      <c r="L7">
        <v>1</v>
      </c>
      <c r="M7" s="1">
        <v>0</v>
      </c>
      <c r="N7" s="1">
        <v>37.6</v>
      </c>
      <c r="O7" t="s">
        <v>34</v>
      </c>
      <c r="P7" t="s">
        <v>35</v>
      </c>
    </row>
    <row r="8" spans="1:16" x14ac:dyDescent="0.25">
      <c r="A8" t="s">
        <v>54</v>
      </c>
      <c r="B8" t="s">
        <v>55</v>
      </c>
      <c r="C8" t="s">
        <v>56</v>
      </c>
      <c r="D8" t="s">
        <v>39</v>
      </c>
      <c r="E8">
        <v>70</v>
      </c>
      <c r="F8" t="s">
        <v>57</v>
      </c>
      <c r="G8" s="3">
        <v>46171.777939814798</v>
      </c>
      <c r="H8" s="4">
        <v>45816</v>
      </c>
      <c r="I8" s="4">
        <v>46181</v>
      </c>
      <c r="J8" s="1">
        <v>933.6</v>
      </c>
      <c r="K8">
        <v>0.8</v>
      </c>
      <c r="L8">
        <v>1</v>
      </c>
      <c r="M8" s="1">
        <v>0</v>
      </c>
      <c r="N8" s="1">
        <v>62.24</v>
      </c>
      <c r="O8" t="s">
        <v>34</v>
      </c>
      <c r="P8" t="s">
        <v>58</v>
      </c>
    </row>
    <row r="9" spans="1:16" x14ac:dyDescent="0.25">
      <c r="A9" t="s">
        <v>59</v>
      </c>
      <c r="B9" t="s">
        <v>60</v>
      </c>
      <c r="C9" t="s">
        <v>61</v>
      </c>
      <c r="D9" t="s">
        <v>62</v>
      </c>
      <c r="E9">
        <v>64</v>
      </c>
      <c r="F9" t="s">
        <v>63</v>
      </c>
      <c r="G9" s="3">
        <v>46171.777939814798</v>
      </c>
      <c r="H9" s="4">
        <v>45901</v>
      </c>
      <c r="I9" s="4">
        <v>46174</v>
      </c>
      <c r="J9" s="1">
        <v>1664.4</v>
      </c>
      <c r="K9">
        <v>0.8</v>
      </c>
      <c r="L9">
        <v>1</v>
      </c>
      <c r="M9" s="1">
        <v>0</v>
      </c>
      <c r="N9" s="1">
        <v>110.96</v>
      </c>
      <c r="O9" t="s">
        <v>34</v>
      </c>
      <c r="P9" t="s">
        <v>35</v>
      </c>
    </row>
    <row r="10" spans="1:16" x14ac:dyDescent="0.25">
      <c r="A10" t="s">
        <v>29</v>
      </c>
      <c r="B10" t="s">
        <v>30</v>
      </c>
      <c r="C10" t="s">
        <v>64</v>
      </c>
      <c r="D10" t="s">
        <v>62</v>
      </c>
      <c r="E10">
        <v>66</v>
      </c>
      <c r="F10" t="s">
        <v>65</v>
      </c>
      <c r="G10" s="3">
        <v>46171.777939814798</v>
      </c>
      <c r="H10" s="4">
        <v>45839</v>
      </c>
      <c r="I10" s="4">
        <v>46174</v>
      </c>
      <c r="J10" s="1">
        <v>1200</v>
      </c>
      <c r="K10">
        <v>0.8</v>
      </c>
      <c r="L10">
        <v>1</v>
      </c>
      <c r="M10" s="1">
        <v>0</v>
      </c>
      <c r="N10" s="1">
        <v>80</v>
      </c>
      <c r="O10" t="s">
        <v>34</v>
      </c>
      <c r="P10" t="s">
        <v>35</v>
      </c>
    </row>
    <row r="11" spans="1:16" x14ac:dyDescent="0.25">
      <c r="A11" t="s">
        <v>59</v>
      </c>
      <c r="B11" t="s">
        <v>60</v>
      </c>
      <c r="C11" t="s">
        <v>66</v>
      </c>
      <c r="D11" t="s">
        <v>62</v>
      </c>
      <c r="E11">
        <v>64</v>
      </c>
      <c r="F11" t="s">
        <v>67</v>
      </c>
      <c r="G11" s="3">
        <v>46171.777939814798</v>
      </c>
      <c r="H11" s="4">
        <v>45839</v>
      </c>
      <c r="I11" s="4">
        <v>46174</v>
      </c>
      <c r="J11" s="1">
        <v>1723.2</v>
      </c>
      <c r="K11">
        <v>0.8</v>
      </c>
      <c r="L11">
        <v>1</v>
      </c>
      <c r="M11" s="1">
        <v>0</v>
      </c>
      <c r="N11" s="1">
        <v>114.88</v>
      </c>
      <c r="O11" t="s">
        <v>34</v>
      </c>
      <c r="P11" t="s">
        <v>35</v>
      </c>
    </row>
    <row r="12" spans="1:16" x14ac:dyDescent="0.25">
      <c r="A12" t="s">
        <v>68</v>
      </c>
      <c r="B12" t="s">
        <v>69</v>
      </c>
      <c r="C12" t="s">
        <v>70</v>
      </c>
      <c r="D12" t="s">
        <v>32</v>
      </c>
      <c r="E12">
        <v>64</v>
      </c>
      <c r="F12" t="s">
        <v>71</v>
      </c>
      <c r="G12" s="3">
        <v>46171.777939814798</v>
      </c>
      <c r="H12" s="4">
        <v>45899</v>
      </c>
      <c r="I12" s="4">
        <v>46203</v>
      </c>
      <c r="J12" s="1">
        <v>694.31</v>
      </c>
      <c r="K12">
        <v>0.85</v>
      </c>
      <c r="L12">
        <v>1</v>
      </c>
      <c r="M12" s="1">
        <v>0</v>
      </c>
      <c r="N12" s="1">
        <v>49.18</v>
      </c>
      <c r="O12" t="s">
        <v>34</v>
      </c>
      <c r="P12" t="s">
        <v>35</v>
      </c>
    </row>
    <row r="13" spans="1:16" x14ac:dyDescent="0.25">
      <c r="A13" t="s">
        <v>72</v>
      </c>
      <c r="B13" t="s">
        <v>73</v>
      </c>
      <c r="C13" t="s">
        <v>74</v>
      </c>
      <c r="D13" t="s">
        <v>32</v>
      </c>
      <c r="E13">
        <v>55</v>
      </c>
      <c r="F13" t="s">
        <v>75</v>
      </c>
      <c r="G13" s="3">
        <v>46171.777939814798</v>
      </c>
      <c r="H13" s="4">
        <v>45839</v>
      </c>
      <c r="I13" s="4">
        <v>46204</v>
      </c>
      <c r="J13" s="1">
        <v>329.16</v>
      </c>
      <c r="K13">
        <v>0.85</v>
      </c>
      <c r="L13">
        <v>1</v>
      </c>
      <c r="M13" s="1">
        <v>0</v>
      </c>
      <c r="N13" s="1">
        <v>20.13</v>
      </c>
      <c r="O13" t="s">
        <v>34</v>
      </c>
      <c r="P13" t="s">
        <v>35</v>
      </c>
    </row>
    <row r="14" spans="1:16" x14ac:dyDescent="0.25">
      <c r="A14" t="s">
        <v>76</v>
      </c>
      <c r="B14" t="s">
        <v>77</v>
      </c>
      <c r="C14" t="s">
        <v>78</v>
      </c>
      <c r="D14" t="s">
        <v>32</v>
      </c>
      <c r="E14">
        <v>64</v>
      </c>
      <c r="F14" t="s">
        <v>79</v>
      </c>
      <c r="G14" s="3">
        <v>46171.777939814798</v>
      </c>
      <c r="H14" s="4">
        <v>45828</v>
      </c>
      <c r="I14" s="4">
        <v>46193</v>
      </c>
      <c r="J14" s="1">
        <v>592.61</v>
      </c>
      <c r="K14">
        <v>0.85</v>
      </c>
      <c r="L14">
        <v>1</v>
      </c>
      <c r="M14" s="1">
        <v>0</v>
      </c>
      <c r="N14" s="1">
        <v>31.76</v>
      </c>
      <c r="O14" t="s">
        <v>34</v>
      </c>
      <c r="P14" t="s">
        <v>35</v>
      </c>
    </row>
    <row r="15" spans="1:16" x14ac:dyDescent="0.25">
      <c r="A15" t="s">
        <v>76</v>
      </c>
      <c r="B15" t="s">
        <v>77</v>
      </c>
      <c r="C15" t="s">
        <v>80</v>
      </c>
      <c r="D15" t="s">
        <v>62</v>
      </c>
      <c r="E15">
        <v>72</v>
      </c>
      <c r="F15" t="s">
        <v>81</v>
      </c>
      <c r="G15" s="3">
        <v>46171.777939814798</v>
      </c>
      <c r="H15" s="4">
        <v>45832</v>
      </c>
      <c r="I15" s="4">
        <v>46197</v>
      </c>
      <c r="J15" s="1">
        <v>340.8</v>
      </c>
      <c r="K15">
        <v>0.8</v>
      </c>
      <c r="L15">
        <v>1</v>
      </c>
      <c r="M15" s="1">
        <v>0</v>
      </c>
      <c r="N15" s="1">
        <v>22.72</v>
      </c>
      <c r="O15" t="s">
        <v>34</v>
      </c>
      <c r="P15" t="s">
        <v>35</v>
      </c>
    </row>
    <row r="16" spans="1:16" x14ac:dyDescent="0.25">
      <c r="A16" t="s">
        <v>82</v>
      </c>
      <c r="B16" t="s">
        <v>83</v>
      </c>
      <c r="C16" t="s">
        <v>84</v>
      </c>
      <c r="D16" t="s">
        <v>32</v>
      </c>
      <c r="E16">
        <v>64</v>
      </c>
      <c r="F16" t="s">
        <v>85</v>
      </c>
      <c r="G16" s="3">
        <v>46171.777939814798</v>
      </c>
      <c r="H16" s="4">
        <v>45839</v>
      </c>
      <c r="I16" s="4">
        <v>46174</v>
      </c>
      <c r="J16" s="1">
        <v>501.98</v>
      </c>
      <c r="K16">
        <v>0.85</v>
      </c>
      <c r="L16">
        <v>1</v>
      </c>
      <c r="M16" s="1">
        <v>0</v>
      </c>
      <c r="N16" s="1">
        <v>35.56</v>
      </c>
      <c r="O16" t="s">
        <v>34</v>
      </c>
      <c r="P16" t="s">
        <v>35</v>
      </c>
    </row>
    <row r="17" spans="1:16" x14ac:dyDescent="0.25">
      <c r="A17" t="s">
        <v>86</v>
      </c>
      <c r="B17" t="s">
        <v>87</v>
      </c>
      <c r="C17" t="s">
        <v>88</v>
      </c>
      <c r="D17" t="s">
        <v>32</v>
      </c>
      <c r="E17">
        <v>78</v>
      </c>
      <c r="F17" t="s">
        <v>89</v>
      </c>
      <c r="G17" s="3">
        <v>46171.777939814798</v>
      </c>
      <c r="H17" s="4">
        <v>45839</v>
      </c>
      <c r="I17" s="4">
        <v>46174</v>
      </c>
      <c r="J17" s="1">
        <v>1777.3</v>
      </c>
      <c r="K17">
        <v>0.8</v>
      </c>
      <c r="L17">
        <v>1</v>
      </c>
      <c r="M17" s="1">
        <v>0</v>
      </c>
      <c r="N17" s="1">
        <v>118.48</v>
      </c>
      <c r="O17" t="s">
        <v>34</v>
      </c>
      <c r="P17" t="s">
        <v>35</v>
      </c>
    </row>
    <row r="18" spans="1:16" x14ac:dyDescent="0.25">
      <c r="A18" t="s">
        <v>54</v>
      </c>
      <c r="B18" t="s">
        <v>55</v>
      </c>
      <c r="C18" t="s">
        <v>90</v>
      </c>
      <c r="D18" t="s">
        <v>91</v>
      </c>
      <c r="E18">
        <v>70</v>
      </c>
      <c r="F18" t="s">
        <v>92</v>
      </c>
      <c r="G18" s="3">
        <v>46171.777939814798</v>
      </c>
      <c r="H18" s="4">
        <v>45852</v>
      </c>
      <c r="I18" s="4">
        <v>46187</v>
      </c>
      <c r="J18" s="1">
        <v>506.2</v>
      </c>
      <c r="K18">
        <v>0.85</v>
      </c>
      <c r="L18">
        <v>1</v>
      </c>
      <c r="M18" s="1">
        <v>0</v>
      </c>
      <c r="N18" s="1">
        <v>35.85</v>
      </c>
      <c r="O18" t="s">
        <v>34</v>
      </c>
      <c r="P18" t="s">
        <v>35</v>
      </c>
    </row>
    <row r="19" spans="1:16" x14ac:dyDescent="0.25">
      <c r="A19" t="s">
        <v>93</v>
      </c>
      <c r="B19" t="s">
        <v>94</v>
      </c>
      <c r="C19" t="s">
        <v>95</v>
      </c>
      <c r="D19" t="s">
        <v>62</v>
      </c>
      <c r="E19">
        <v>65</v>
      </c>
      <c r="F19" t="s">
        <v>96</v>
      </c>
      <c r="G19" s="3">
        <v>46171.777939814798</v>
      </c>
      <c r="H19" s="4">
        <v>45842</v>
      </c>
      <c r="I19" s="4">
        <v>46207</v>
      </c>
      <c r="J19" s="1">
        <v>650.4</v>
      </c>
      <c r="K19">
        <v>0.8</v>
      </c>
      <c r="L19">
        <v>1</v>
      </c>
      <c r="M19" s="1">
        <v>0</v>
      </c>
      <c r="N19" s="1">
        <v>43.36</v>
      </c>
      <c r="O19" t="s">
        <v>34</v>
      </c>
      <c r="P19" t="s">
        <v>35</v>
      </c>
    </row>
    <row r="20" spans="1:16" x14ac:dyDescent="0.25">
      <c r="A20" t="s">
        <v>86</v>
      </c>
      <c r="B20" t="s">
        <v>87</v>
      </c>
      <c r="C20" t="s">
        <v>97</v>
      </c>
      <c r="D20" t="s">
        <v>32</v>
      </c>
      <c r="E20">
        <v>80</v>
      </c>
      <c r="F20" t="s">
        <v>98</v>
      </c>
      <c r="G20" s="3">
        <v>46171.777939814798</v>
      </c>
      <c r="H20" s="4">
        <v>45839</v>
      </c>
      <c r="I20" s="4">
        <v>46174</v>
      </c>
      <c r="J20" s="1">
        <v>1777.3</v>
      </c>
      <c r="K20">
        <v>0.8</v>
      </c>
      <c r="L20">
        <v>1</v>
      </c>
      <c r="M20" s="1">
        <v>0</v>
      </c>
      <c r="N20" s="1">
        <v>118.48</v>
      </c>
      <c r="O20" t="s">
        <v>34</v>
      </c>
      <c r="P20" t="s">
        <v>35</v>
      </c>
    </row>
    <row r="21" spans="1:16" x14ac:dyDescent="0.25">
      <c r="A21" t="s">
        <v>99</v>
      </c>
      <c r="B21" t="s">
        <v>100</v>
      </c>
      <c r="C21" t="s">
        <v>101</v>
      </c>
      <c r="D21" t="s">
        <v>39</v>
      </c>
      <c r="E21">
        <v>64</v>
      </c>
      <c r="F21" t="s">
        <v>102</v>
      </c>
      <c r="G21" s="3">
        <v>46171.777939814798</v>
      </c>
      <c r="H21" s="4">
        <v>45809</v>
      </c>
      <c r="I21" s="4">
        <v>45917</v>
      </c>
      <c r="J21" s="1">
        <v>464.4</v>
      </c>
      <c r="K21">
        <v>0.8</v>
      </c>
      <c r="L21">
        <v>1</v>
      </c>
      <c r="M21" s="1">
        <v>0</v>
      </c>
      <c r="N21" s="1">
        <v>-231.17</v>
      </c>
      <c r="O21" t="s">
        <v>34</v>
      </c>
      <c r="P21" t="s">
        <v>35</v>
      </c>
    </row>
    <row r="22" spans="1:16" x14ac:dyDescent="0.25">
      <c r="A22" t="s">
        <v>29</v>
      </c>
      <c r="B22" t="s">
        <v>30</v>
      </c>
      <c r="C22" t="s">
        <v>103</v>
      </c>
      <c r="D22" t="s">
        <v>62</v>
      </c>
      <c r="E22">
        <v>64</v>
      </c>
      <c r="F22" t="s">
        <v>104</v>
      </c>
      <c r="G22" s="3">
        <v>46171.777939814798</v>
      </c>
      <c r="H22" s="4">
        <v>45809</v>
      </c>
      <c r="I22" s="4">
        <v>46174</v>
      </c>
      <c r="J22" s="1">
        <v>1120.8</v>
      </c>
      <c r="K22">
        <v>0.8</v>
      </c>
      <c r="L22">
        <v>1</v>
      </c>
      <c r="M22" s="1">
        <v>0</v>
      </c>
      <c r="N22" s="1">
        <v>74.72</v>
      </c>
      <c r="O22" t="s">
        <v>34</v>
      </c>
      <c r="P22" t="s">
        <v>35</v>
      </c>
    </row>
    <row r="23" spans="1:16" x14ac:dyDescent="0.25">
      <c r="A23" t="s">
        <v>29</v>
      </c>
      <c r="B23" t="s">
        <v>30</v>
      </c>
      <c r="C23" t="s">
        <v>105</v>
      </c>
      <c r="D23" t="s">
        <v>32</v>
      </c>
      <c r="E23">
        <v>72</v>
      </c>
      <c r="F23" t="s">
        <v>106</v>
      </c>
      <c r="G23" s="3">
        <v>46171.777939814798</v>
      </c>
      <c r="H23" s="4">
        <v>45809</v>
      </c>
      <c r="I23" s="4">
        <v>46174</v>
      </c>
      <c r="J23" s="1">
        <v>777.28</v>
      </c>
      <c r="K23">
        <v>0.85</v>
      </c>
      <c r="L23">
        <v>1</v>
      </c>
      <c r="M23" s="1">
        <v>0</v>
      </c>
      <c r="N23" s="1">
        <v>55.05</v>
      </c>
      <c r="O23" t="s">
        <v>34</v>
      </c>
      <c r="P23" t="s">
        <v>35</v>
      </c>
    </row>
    <row r="24" spans="1:16" x14ac:dyDescent="0.25">
      <c r="A24" t="s">
        <v>107</v>
      </c>
      <c r="B24" t="s">
        <v>108</v>
      </c>
      <c r="C24" t="s">
        <v>109</v>
      </c>
      <c r="D24" t="s">
        <v>110</v>
      </c>
      <c r="E24">
        <v>62</v>
      </c>
      <c r="F24" t="s">
        <v>111</v>
      </c>
      <c r="G24" s="3">
        <v>46171.777939814798</v>
      </c>
      <c r="H24" s="4">
        <v>45809</v>
      </c>
      <c r="I24" s="4">
        <v>46174</v>
      </c>
      <c r="J24" s="1">
        <v>672.95</v>
      </c>
      <c r="K24">
        <v>0.8</v>
      </c>
      <c r="L24">
        <v>1</v>
      </c>
      <c r="M24" s="1">
        <v>0</v>
      </c>
      <c r="N24" s="1">
        <v>44.86</v>
      </c>
      <c r="O24" t="s">
        <v>112</v>
      </c>
      <c r="P24" t="s">
        <v>35</v>
      </c>
    </row>
    <row r="25" spans="1:16" x14ac:dyDescent="0.25">
      <c r="A25" t="s">
        <v>113</v>
      </c>
      <c r="B25" t="s">
        <v>114</v>
      </c>
      <c r="C25" t="s">
        <v>115</v>
      </c>
      <c r="D25" t="s">
        <v>62</v>
      </c>
      <c r="E25">
        <v>64</v>
      </c>
      <c r="F25" t="s">
        <v>116</v>
      </c>
      <c r="G25" s="3">
        <v>46171.777939814798</v>
      </c>
      <c r="H25" s="4">
        <v>45870</v>
      </c>
      <c r="I25" s="4">
        <v>46174</v>
      </c>
      <c r="J25" s="1">
        <v>751.2</v>
      </c>
      <c r="K25">
        <v>0.8</v>
      </c>
      <c r="L25">
        <v>1</v>
      </c>
      <c r="M25" s="1">
        <v>0</v>
      </c>
      <c r="N25" s="1">
        <v>50.08</v>
      </c>
      <c r="O25" t="s">
        <v>34</v>
      </c>
      <c r="P25" t="s">
        <v>35</v>
      </c>
    </row>
    <row r="26" spans="1:16" x14ac:dyDescent="0.25">
      <c r="A26" t="s">
        <v>76</v>
      </c>
      <c r="B26" t="s">
        <v>77</v>
      </c>
      <c r="C26" t="s">
        <v>117</v>
      </c>
      <c r="D26" t="s">
        <v>32</v>
      </c>
      <c r="E26">
        <v>67</v>
      </c>
      <c r="F26" t="s">
        <v>118</v>
      </c>
      <c r="G26" s="3">
        <v>46171.777939814798</v>
      </c>
      <c r="H26" s="4">
        <v>45843</v>
      </c>
      <c r="I26" s="4">
        <v>46178</v>
      </c>
      <c r="J26" s="1">
        <v>932.06</v>
      </c>
      <c r="K26">
        <v>0.85</v>
      </c>
      <c r="L26">
        <v>1</v>
      </c>
      <c r="M26" s="1">
        <v>0</v>
      </c>
      <c r="N26" s="1">
        <v>66.02</v>
      </c>
      <c r="O26" t="s">
        <v>34</v>
      </c>
      <c r="P26" t="s">
        <v>35</v>
      </c>
    </row>
    <row r="27" spans="1:16" x14ac:dyDescent="0.25">
      <c r="A27" t="s">
        <v>59</v>
      </c>
      <c r="B27" t="s">
        <v>60</v>
      </c>
      <c r="C27" t="s">
        <v>119</v>
      </c>
      <c r="D27" t="s">
        <v>62</v>
      </c>
      <c r="E27">
        <v>64</v>
      </c>
      <c r="F27" t="s">
        <v>120</v>
      </c>
      <c r="G27" s="3">
        <v>46171.777939814798</v>
      </c>
      <c r="H27" s="4">
        <v>45870</v>
      </c>
      <c r="I27" s="4">
        <v>46204</v>
      </c>
      <c r="J27" s="1">
        <v>1723.2</v>
      </c>
      <c r="K27">
        <v>0.8</v>
      </c>
      <c r="L27">
        <v>1</v>
      </c>
      <c r="M27" s="1">
        <v>0</v>
      </c>
      <c r="N27" s="1">
        <v>114.88</v>
      </c>
      <c r="O27" t="s">
        <v>34</v>
      </c>
      <c r="P27" t="s">
        <v>35</v>
      </c>
    </row>
    <row r="28" spans="1:16" x14ac:dyDescent="0.25">
      <c r="A28" t="s">
        <v>82</v>
      </c>
      <c r="B28" t="s">
        <v>83</v>
      </c>
      <c r="C28" t="s">
        <v>121</v>
      </c>
      <c r="D28" t="s">
        <v>32</v>
      </c>
      <c r="E28">
        <v>64</v>
      </c>
      <c r="F28" t="s">
        <v>122</v>
      </c>
      <c r="G28" s="3">
        <v>46171.777939814798</v>
      </c>
      <c r="H28" s="4">
        <v>45845</v>
      </c>
      <c r="I28" s="4">
        <v>46180</v>
      </c>
      <c r="J28" s="1">
        <v>501.98</v>
      </c>
      <c r="K28">
        <v>0.85</v>
      </c>
      <c r="L28">
        <v>1</v>
      </c>
      <c r="M28" s="1">
        <v>0</v>
      </c>
      <c r="N28" s="1">
        <v>35.56</v>
      </c>
      <c r="O28" t="s">
        <v>34</v>
      </c>
      <c r="P28" t="s">
        <v>35</v>
      </c>
    </row>
    <row r="29" spans="1:16" x14ac:dyDescent="0.25">
      <c r="A29" t="s">
        <v>82</v>
      </c>
      <c r="B29" t="s">
        <v>83</v>
      </c>
      <c r="C29" t="s">
        <v>123</v>
      </c>
      <c r="D29" t="s">
        <v>32</v>
      </c>
      <c r="E29">
        <v>64</v>
      </c>
      <c r="F29" t="s">
        <v>124</v>
      </c>
      <c r="G29" s="3">
        <v>46171.777939814798</v>
      </c>
      <c r="H29" s="4">
        <v>45845</v>
      </c>
      <c r="I29" s="4">
        <v>46180</v>
      </c>
      <c r="J29" s="1">
        <v>501.98</v>
      </c>
      <c r="K29">
        <v>0.85</v>
      </c>
      <c r="L29">
        <v>1</v>
      </c>
      <c r="M29" s="1">
        <v>0</v>
      </c>
      <c r="N29" s="1">
        <v>35.56</v>
      </c>
      <c r="O29" t="s">
        <v>34</v>
      </c>
      <c r="P29" t="s">
        <v>35</v>
      </c>
    </row>
    <row r="30" spans="1:16" x14ac:dyDescent="0.25">
      <c r="A30" t="s">
        <v>82</v>
      </c>
      <c r="B30" t="s">
        <v>83</v>
      </c>
      <c r="C30" t="s">
        <v>125</v>
      </c>
      <c r="D30" t="s">
        <v>62</v>
      </c>
      <c r="E30">
        <v>64</v>
      </c>
      <c r="F30" t="s">
        <v>126</v>
      </c>
      <c r="G30" s="3">
        <v>46171.777939814798</v>
      </c>
      <c r="H30" s="4">
        <v>45845</v>
      </c>
      <c r="I30" s="4">
        <v>46180</v>
      </c>
      <c r="J30" s="1">
        <v>998.4</v>
      </c>
      <c r="K30">
        <v>0.8</v>
      </c>
      <c r="L30">
        <v>1</v>
      </c>
      <c r="M30" s="1">
        <v>0</v>
      </c>
      <c r="N30" s="1">
        <v>66.56</v>
      </c>
      <c r="O30" t="s">
        <v>34</v>
      </c>
      <c r="P30" t="s">
        <v>35</v>
      </c>
    </row>
    <row r="31" spans="1:16" x14ac:dyDescent="0.25">
      <c r="A31" t="s">
        <v>82</v>
      </c>
      <c r="B31" t="s">
        <v>83</v>
      </c>
      <c r="C31" t="s">
        <v>127</v>
      </c>
      <c r="D31" t="s">
        <v>62</v>
      </c>
      <c r="E31">
        <v>64</v>
      </c>
      <c r="F31" t="s">
        <v>128</v>
      </c>
      <c r="G31" s="3">
        <v>46171.777939814798</v>
      </c>
      <c r="H31" s="4">
        <v>45845</v>
      </c>
      <c r="I31" s="4">
        <v>46180</v>
      </c>
      <c r="J31" s="1">
        <v>998.4</v>
      </c>
      <c r="K31">
        <v>0.8</v>
      </c>
      <c r="L31">
        <v>1</v>
      </c>
      <c r="M31" s="1">
        <v>0</v>
      </c>
      <c r="N31" s="1">
        <v>66.56</v>
      </c>
      <c r="O31" t="s">
        <v>34</v>
      </c>
      <c r="P31" t="s">
        <v>35</v>
      </c>
    </row>
    <row r="32" spans="1:16" x14ac:dyDescent="0.25">
      <c r="A32" t="s">
        <v>76</v>
      </c>
      <c r="B32" t="s">
        <v>77</v>
      </c>
      <c r="C32" t="s">
        <v>129</v>
      </c>
      <c r="D32" t="s">
        <v>32</v>
      </c>
      <c r="E32">
        <v>70</v>
      </c>
      <c r="F32" t="s">
        <v>130</v>
      </c>
      <c r="G32" s="3">
        <v>46171.777939814798</v>
      </c>
      <c r="H32" s="4">
        <v>45980</v>
      </c>
      <c r="I32" s="4">
        <v>46192</v>
      </c>
      <c r="J32" s="1">
        <v>592.61</v>
      </c>
      <c r="K32">
        <v>0.85</v>
      </c>
      <c r="L32">
        <v>1</v>
      </c>
      <c r="M32" s="1">
        <v>0</v>
      </c>
      <c r="N32" s="1">
        <v>41.97</v>
      </c>
      <c r="O32" t="s">
        <v>34</v>
      </c>
      <c r="P32" t="s">
        <v>35</v>
      </c>
    </row>
    <row r="33" spans="1:16" x14ac:dyDescent="0.25">
      <c r="A33" t="s">
        <v>131</v>
      </c>
      <c r="B33" t="s">
        <v>132</v>
      </c>
      <c r="C33" t="s">
        <v>133</v>
      </c>
      <c r="D33" t="s">
        <v>62</v>
      </c>
      <c r="E33">
        <v>64</v>
      </c>
      <c r="F33" t="s">
        <v>134</v>
      </c>
      <c r="G33" s="3">
        <v>46171.777939814798</v>
      </c>
      <c r="H33" s="4">
        <v>46023</v>
      </c>
      <c r="I33" s="4">
        <v>46204</v>
      </c>
      <c r="J33" s="1">
        <v>1290.5999999999999</v>
      </c>
      <c r="K33">
        <v>0.8</v>
      </c>
      <c r="L33">
        <v>1</v>
      </c>
      <c r="M33" s="1">
        <v>0</v>
      </c>
      <c r="N33" s="1">
        <v>86.04</v>
      </c>
      <c r="O33" t="s">
        <v>34</v>
      </c>
      <c r="P33" t="s">
        <v>35</v>
      </c>
    </row>
    <row r="34" spans="1:16" x14ac:dyDescent="0.25">
      <c r="A34" t="s">
        <v>135</v>
      </c>
      <c r="B34" t="s">
        <v>136</v>
      </c>
      <c r="C34" t="s">
        <v>137</v>
      </c>
      <c r="D34" t="s">
        <v>32</v>
      </c>
      <c r="E34">
        <v>79</v>
      </c>
      <c r="F34" t="s">
        <v>138</v>
      </c>
      <c r="G34" s="3">
        <v>46171.777939814798</v>
      </c>
      <c r="H34" s="4">
        <v>45982</v>
      </c>
      <c r="I34" s="4">
        <v>46194</v>
      </c>
      <c r="J34" s="1">
        <v>1518.19</v>
      </c>
      <c r="K34">
        <v>0.8</v>
      </c>
      <c r="L34">
        <v>1</v>
      </c>
      <c r="M34" s="1">
        <v>0</v>
      </c>
      <c r="N34" s="1">
        <v>101.22</v>
      </c>
      <c r="O34" t="s">
        <v>34</v>
      </c>
      <c r="P34" t="s">
        <v>35</v>
      </c>
    </row>
    <row r="35" spans="1:16" x14ac:dyDescent="0.25">
      <c r="A35" t="s">
        <v>139</v>
      </c>
      <c r="B35" t="s">
        <v>140</v>
      </c>
      <c r="C35" t="s">
        <v>141</v>
      </c>
      <c r="D35" t="s">
        <v>32</v>
      </c>
      <c r="E35">
        <v>60</v>
      </c>
      <c r="F35" t="s">
        <v>142</v>
      </c>
      <c r="G35" s="3">
        <v>46171.777939814798</v>
      </c>
      <c r="H35" s="4">
        <v>46023</v>
      </c>
      <c r="I35" s="4">
        <v>46204</v>
      </c>
      <c r="J35" s="1">
        <v>578.44000000000005</v>
      </c>
      <c r="K35">
        <v>0.85</v>
      </c>
      <c r="L35">
        <v>1</v>
      </c>
      <c r="M35" s="1">
        <v>0</v>
      </c>
      <c r="N35" s="1">
        <v>40.97</v>
      </c>
      <c r="O35" t="s">
        <v>34</v>
      </c>
      <c r="P35" t="s">
        <v>35</v>
      </c>
    </row>
    <row r="36" spans="1:16" x14ac:dyDescent="0.25">
      <c r="A36" t="s">
        <v>82</v>
      </c>
      <c r="B36" t="s">
        <v>83</v>
      </c>
      <c r="C36" t="s">
        <v>143</v>
      </c>
      <c r="D36" t="s">
        <v>62</v>
      </c>
      <c r="E36">
        <v>64</v>
      </c>
      <c r="F36" t="s">
        <v>144</v>
      </c>
      <c r="G36" s="3">
        <v>46171.777939814798</v>
      </c>
      <c r="H36" s="4">
        <v>45983</v>
      </c>
      <c r="I36" s="4">
        <v>46195</v>
      </c>
      <c r="J36" s="1">
        <v>573.63</v>
      </c>
      <c r="K36">
        <v>0.8</v>
      </c>
      <c r="L36">
        <v>1</v>
      </c>
      <c r="M36" s="1">
        <v>0</v>
      </c>
      <c r="N36" s="1">
        <v>38.24</v>
      </c>
      <c r="O36" t="s">
        <v>34</v>
      </c>
      <c r="P36" t="s">
        <v>35</v>
      </c>
    </row>
    <row r="37" spans="1:16" x14ac:dyDescent="0.25">
      <c r="A37" t="s">
        <v>82</v>
      </c>
      <c r="B37" t="s">
        <v>83</v>
      </c>
      <c r="C37" t="s">
        <v>145</v>
      </c>
      <c r="D37" t="s">
        <v>110</v>
      </c>
      <c r="E37">
        <v>63</v>
      </c>
      <c r="F37" t="s">
        <v>146</v>
      </c>
      <c r="G37" s="3">
        <v>46171.777939814798</v>
      </c>
      <c r="H37" s="4">
        <v>45983</v>
      </c>
      <c r="I37" s="4">
        <v>46195</v>
      </c>
      <c r="J37" s="1">
        <v>390.6</v>
      </c>
      <c r="K37">
        <v>0.8</v>
      </c>
      <c r="L37">
        <v>1</v>
      </c>
      <c r="M37" s="1">
        <v>0</v>
      </c>
      <c r="N37" s="1">
        <v>26.04</v>
      </c>
      <c r="O37" t="s">
        <v>34</v>
      </c>
      <c r="P37" t="s">
        <v>35</v>
      </c>
    </row>
    <row r="38" spans="1:16" x14ac:dyDescent="0.25">
      <c r="A38" t="s">
        <v>68</v>
      </c>
      <c r="B38" t="s">
        <v>69</v>
      </c>
      <c r="C38" t="s">
        <v>147</v>
      </c>
      <c r="D38" t="s">
        <v>32</v>
      </c>
      <c r="E38">
        <v>70</v>
      </c>
      <c r="F38" t="s">
        <v>148</v>
      </c>
      <c r="G38" s="3">
        <v>46171.777939814798</v>
      </c>
      <c r="H38" s="4">
        <v>46023</v>
      </c>
      <c r="I38" s="4">
        <v>46204</v>
      </c>
      <c r="J38" s="1">
        <v>884.95</v>
      </c>
      <c r="K38">
        <v>0.85</v>
      </c>
      <c r="L38">
        <v>1</v>
      </c>
      <c r="M38" s="1">
        <v>0</v>
      </c>
      <c r="N38" s="1">
        <v>62.68</v>
      </c>
      <c r="O38" t="s">
        <v>34</v>
      </c>
      <c r="P38" t="s">
        <v>35</v>
      </c>
    </row>
    <row r="39" spans="1:16" x14ac:dyDescent="0.25">
      <c r="A39" t="s">
        <v>149</v>
      </c>
      <c r="B39" t="s">
        <v>150</v>
      </c>
      <c r="C39" t="s">
        <v>151</v>
      </c>
      <c r="D39" t="s">
        <v>32</v>
      </c>
      <c r="E39">
        <v>56</v>
      </c>
      <c r="F39" t="s">
        <v>152</v>
      </c>
      <c r="G39" s="3">
        <v>46171.777939814798</v>
      </c>
      <c r="H39" s="4">
        <v>45984</v>
      </c>
      <c r="I39" s="4">
        <v>46196</v>
      </c>
      <c r="J39" s="1">
        <v>578.44000000000005</v>
      </c>
      <c r="K39">
        <v>0.85</v>
      </c>
      <c r="L39">
        <v>1</v>
      </c>
      <c r="M39" s="1">
        <v>0</v>
      </c>
      <c r="N39" s="1">
        <v>122.92</v>
      </c>
      <c r="O39" t="s">
        <v>34</v>
      </c>
      <c r="P39" t="s">
        <v>35</v>
      </c>
    </row>
    <row r="40" spans="1:16" x14ac:dyDescent="0.25">
      <c r="A40" t="s">
        <v>153</v>
      </c>
      <c r="B40" t="s">
        <v>154</v>
      </c>
      <c r="C40" t="s">
        <v>155</v>
      </c>
      <c r="D40" t="s">
        <v>91</v>
      </c>
      <c r="E40">
        <v>66</v>
      </c>
      <c r="F40" t="s">
        <v>156</v>
      </c>
      <c r="G40" s="3">
        <v>46171.777939814798</v>
      </c>
      <c r="H40" s="4">
        <v>46005</v>
      </c>
      <c r="I40" s="4">
        <v>46187</v>
      </c>
      <c r="J40" s="1">
        <v>806.75</v>
      </c>
      <c r="K40">
        <v>0.85</v>
      </c>
      <c r="L40">
        <v>1</v>
      </c>
      <c r="M40" s="1">
        <v>0</v>
      </c>
      <c r="N40" s="1">
        <v>57.15</v>
      </c>
      <c r="O40" t="s">
        <v>34</v>
      </c>
      <c r="P40" t="s">
        <v>35</v>
      </c>
    </row>
    <row r="41" spans="1:16" x14ac:dyDescent="0.25">
      <c r="A41" t="s">
        <v>135</v>
      </c>
      <c r="B41" t="s">
        <v>136</v>
      </c>
      <c r="C41" t="s">
        <v>157</v>
      </c>
      <c r="D41" t="s">
        <v>32</v>
      </c>
      <c r="E41">
        <v>57</v>
      </c>
      <c r="F41" t="s">
        <v>158</v>
      </c>
      <c r="G41" s="3">
        <v>46171.777939814798</v>
      </c>
      <c r="H41" s="4">
        <v>45988</v>
      </c>
      <c r="I41" s="4">
        <v>46200</v>
      </c>
      <c r="J41" s="1">
        <v>621.98</v>
      </c>
      <c r="K41">
        <v>0.85</v>
      </c>
      <c r="L41">
        <v>1</v>
      </c>
      <c r="M41" s="1">
        <v>0</v>
      </c>
      <c r="N41" s="1">
        <v>44.06</v>
      </c>
      <c r="O41" t="s">
        <v>34</v>
      </c>
      <c r="P41" t="s">
        <v>35</v>
      </c>
    </row>
    <row r="42" spans="1:16" x14ac:dyDescent="0.25">
      <c r="A42" t="s">
        <v>159</v>
      </c>
      <c r="B42" t="s">
        <v>160</v>
      </c>
      <c r="C42" t="s">
        <v>161</v>
      </c>
      <c r="D42" t="s">
        <v>162</v>
      </c>
      <c r="E42">
        <v>64</v>
      </c>
      <c r="F42" t="s">
        <v>163</v>
      </c>
      <c r="G42" s="3">
        <v>46171.777939814798</v>
      </c>
      <c r="H42" s="4">
        <v>45992</v>
      </c>
      <c r="I42" s="4">
        <v>46174</v>
      </c>
      <c r="J42" s="1">
        <v>1004.4</v>
      </c>
      <c r="K42">
        <v>0.8</v>
      </c>
      <c r="L42">
        <v>1</v>
      </c>
      <c r="M42" s="1">
        <v>0</v>
      </c>
      <c r="N42" s="1">
        <v>66.959999999999994</v>
      </c>
      <c r="O42" t="s">
        <v>47</v>
      </c>
      <c r="P42" t="s">
        <v>35</v>
      </c>
    </row>
    <row r="43" spans="1:16" x14ac:dyDescent="0.25">
      <c r="A43" t="s">
        <v>113</v>
      </c>
      <c r="B43" t="s">
        <v>114</v>
      </c>
      <c r="C43" t="s">
        <v>164</v>
      </c>
      <c r="D43" t="s">
        <v>165</v>
      </c>
      <c r="E43">
        <v>68</v>
      </c>
      <c r="F43" t="s">
        <v>166</v>
      </c>
      <c r="G43" s="3">
        <v>46171.777939814798</v>
      </c>
      <c r="H43" s="4">
        <v>46023</v>
      </c>
      <c r="I43" s="4">
        <v>46174</v>
      </c>
      <c r="J43" s="1">
        <v>1512</v>
      </c>
      <c r="K43">
        <v>1.1000000000000001</v>
      </c>
      <c r="L43">
        <v>1</v>
      </c>
      <c r="M43" s="1">
        <v>0</v>
      </c>
      <c r="N43" s="1">
        <v>138.6</v>
      </c>
      <c r="O43" t="s">
        <v>34</v>
      </c>
      <c r="P43" t="s">
        <v>35</v>
      </c>
    </row>
    <row r="44" spans="1:16" x14ac:dyDescent="0.25">
      <c r="A44" t="s">
        <v>167</v>
      </c>
      <c r="B44" t="s">
        <v>168</v>
      </c>
      <c r="C44" t="s">
        <v>169</v>
      </c>
      <c r="D44" t="s">
        <v>62</v>
      </c>
      <c r="E44">
        <v>64</v>
      </c>
      <c r="F44" t="s">
        <v>170</v>
      </c>
      <c r="G44" s="3">
        <v>46171.777939814798</v>
      </c>
      <c r="H44" s="4">
        <v>46054</v>
      </c>
      <c r="I44" s="4">
        <v>46174</v>
      </c>
      <c r="J44" s="1">
        <v>749.95</v>
      </c>
      <c r="K44">
        <v>0.8</v>
      </c>
      <c r="L44">
        <v>1</v>
      </c>
      <c r="M44" s="1">
        <v>0</v>
      </c>
      <c r="N44" s="1">
        <v>49.99</v>
      </c>
      <c r="O44" t="s">
        <v>171</v>
      </c>
      <c r="P44" t="s">
        <v>35</v>
      </c>
    </row>
    <row r="45" spans="1:16" x14ac:dyDescent="0.25">
      <c r="A45" t="s">
        <v>167</v>
      </c>
      <c r="B45" t="s">
        <v>168</v>
      </c>
      <c r="C45" t="s">
        <v>172</v>
      </c>
      <c r="D45" t="s">
        <v>62</v>
      </c>
      <c r="E45">
        <v>69</v>
      </c>
      <c r="F45" t="s">
        <v>173</v>
      </c>
      <c r="G45" s="3">
        <v>46171.777939814798</v>
      </c>
      <c r="H45" s="4">
        <v>46023</v>
      </c>
      <c r="I45" s="4">
        <v>46143</v>
      </c>
      <c r="J45" s="1">
        <v>916.24</v>
      </c>
      <c r="K45">
        <v>0.8</v>
      </c>
      <c r="L45">
        <v>1</v>
      </c>
      <c r="M45" s="1">
        <v>0</v>
      </c>
      <c r="N45" s="1">
        <v>61.08</v>
      </c>
      <c r="O45" t="s">
        <v>171</v>
      </c>
      <c r="P45" t="s">
        <v>35</v>
      </c>
    </row>
    <row r="46" spans="1:16" x14ac:dyDescent="0.25">
      <c r="A46" t="s">
        <v>167</v>
      </c>
      <c r="B46" t="s">
        <v>168</v>
      </c>
      <c r="C46" t="s">
        <v>172</v>
      </c>
      <c r="D46" t="s">
        <v>62</v>
      </c>
      <c r="E46">
        <v>69</v>
      </c>
      <c r="F46" t="s">
        <v>173</v>
      </c>
      <c r="G46" s="3">
        <v>46171.777939814798</v>
      </c>
      <c r="H46" s="4">
        <v>46023</v>
      </c>
      <c r="I46" s="4">
        <v>46143</v>
      </c>
      <c r="J46" s="1">
        <v>916.24</v>
      </c>
      <c r="K46">
        <v>0.8</v>
      </c>
      <c r="L46">
        <v>1</v>
      </c>
      <c r="M46" s="1">
        <v>0</v>
      </c>
      <c r="N46" s="1">
        <v>-61.08</v>
      </c>
      <c r="O46" t="s">
        <v>171</v>
      </c>
      <c r="P46" t="s">
        <v>35</v>
      </c>
    </row>
    <row r="47" spans="1:16" x14ac:dyDescent="0.25">
      <c r="A47" t="s">
        <v>167</v>
      </c>
      <c r="B47" t="s">
        <v>168</v>
      </c>
      <c r="C47" t="s">
        <v>174</v>
      </c>
      <c r="D47" t="s">
        <v>62</v>
      </c>
      <c r="E47">
        <v>72</v>
      </c>
      <c r="F47" t="s">
        <v>175</v>
      </c>
      <c r="G47" s="3">
        <v>46171.777939814798</v>
      </c>
      <c r="H47" s="4">
        <v>46023</v>
      </c>
      <c r="I47" s="4">
        <v>46174</v>
      </c>
      <c r="J47" s="1">
        <v>932.98</v>
      </c>
      <c r="K47">
        <v>0.8</v>
      </c>
      <c r="L47">
        <v>1</v>
      </c>
      <c r="M47" s="1">
        <v>0</v>
      </c>
      <c r="N47" s="1">
        <v>62.2</v>
      </c>
      <c r="O47" t="s">
        <v>112</v>
      </c>
      <c r="P47" t="s">
        <v>35</v>
      </c>
    </row>
    <row r="48" spans="1:16" x14ac:dyDescent="0.25">
      <c r="A48" t="s">
        <v>68</v>
      </c>
      <c r="B48" t="s">
        <v>69</v>
      </c>
      <c r="C48" t="s">
        <v>176</v>
      </c>
      <c r="D48" t="s">
        <v>32</v>
      </c>
      <c r="E48">
        <v>64</v>
      </c>
      <c r="F48" t="s">
        <v>177</v>
      </c>
      <c r="G48" s="3">
        <v>46171.777939814798</v>
      </c>
      <c r="H48" s="4">
        <v>46143</v>
      </c>
      <c r="I48" s="4">
        <v>46204</v>
      </c>
      <c r="J48" s="1">
        <v>667.14</v>
      </c>
      <c r="K48">
        <v>0.85</v>
      </c>
      <c r="L48">
        <v>1</v>
      </c>
      <c r="M48" s="1">
        <v>0</v>
      </c>
      <c r="N48" s="1">
        <v>47.25</v>
      </c>
      <c r="O48" t="s">
        <v>34</v>
      </c>
      <c r="P48" t="s">
        <v>35</v>
      </c>
    </row>
    <row r="49" spans="1:16" x14ac:dyDescent="0.25">
      <c r="A49" t="s">
        <v>159</v>
      </c>
      <c r="B49" t="s">
        <v>160</v>
      </c>
      <c r="C49" t="s">
        <v>178</v>
      </c>
      <c r="D49" t="s">
        <v>32</v>
      </c>
      <c r="E49">
        <v>65</v>
      </c>
      <c r="F49" t="s">
        <v>179</v>
      </c>
      <c r="G49" s="3">
        <v>46171.777939814798</v>
      </c>
      <c r="H49" s="4">
        <v>46135</v>
      </c>
      <c r="I49" s="4">
        <v>46196</v>
      </c>
      <c r="J49" s="1">
        <v>551.12</v>
      </c>
      <c r="K49">
        <v>0.85</v>
      </c>
      <c r="L49">
        <v>1</v>
      </c>
      <c r="M49" s="1">
        <v>0</v>
      </c>
      <c r="N49" s="1">
        <v>39.03</v>
      </c>
      <c r="O49" t="s">
        <v>34</v>
      </c>
      <c r="P49" t="s">
        <v>35</v>
      </c>
    </row>
    <row r="50" spans="1:16" x14ac:dyDescent="0.25">
      <c r="A50" t="s">
        <v>180</v>
      </c>
      <c r="B50" t="s">
        <v>181</v>
      </c>
      <c r="C50" t="s">
        <v>182</v>
      </c>
      <c r="D50" t="s">
        <v>32</v>
      </c>
      <c r="E50">
        <v>84</v>
      </c>
      <c r="F50" t="s">
        <v>183</v>
      </c>
      <c r="G50" s="3">
        <v>46171.777939814798</v>
      </c>
      <c r="H50" s="4">
        <v>46140</v>
      </c>
      <c r="I50" s="4">
        <v>46201</v>
      </c>
      <c r="J50" s="1">
        <v>1667.79</v>
      </c>
      <c r="K50">
        <v>0.8</v>
      </c>
      <c r="L50">
        <v>1</v>
      </c>
      <c r="M50" s="1">
        <v>0</v>
      </c>
      <c r="N50" s="1">
        <v>111.18</v>
      </c>
      <c r="O50" t="s">
        <v>34</v>
      </c>
      <c r="P50" t="s">
        <v>35</v>
      </c>
    </row>
    <row r="51" spans="1:16" x14ac:dyDescent="0.25">
      <c r="A51" t="s">
        <v>184</v>
      </c>
      <c r="B51" t="s">
        <v>185</v>
      </c>
      <c r="C51" t="s">
        <v>186</v>
      </c>
      <c r="D51" t="s">
        <v>39</v>
      </c>
      <c r="E51">
        <v>69</v>
      </c>
      <c r="F51" t="s">
        <v>187</v>
      </c>
      <c r="G51" s="3">
        <v>46171.777939814798</v>
      </c>
      <c r="H51" s="4">
        <v>46143</v>
      </c>
      <c r="I51" s="4">
        <v>46204</v>
      </c>
      <c r="J51" s="1">
        <v>608.4</v>
      </c>
      <c r="K51">
        <v>0.8</v>
      </c>
      <c r="L51">
        <v>1</v>
      </c>
      <c r="M51" s="1">
        <v>0</v>
      </c>
      <c r="N51" s="1">
        <v>40.56</v>
      </c>
      <c r="O51" t="s">
        <v>34</v>
      </c>
      <c r="P51" t="s">
        <v>35</v>
      </c>
    </row>
    <row r="52" spans="1:16" x14ac:dyDescent="0.25">
      <c r="A52" t="s">
        <v>188</v>
      </c>
      <c r="B52" t="s">
        <v>189</v>
      </c>
      <c r="C52" t="s">
        <v>190</v>
      </c>
      <c r="D52" t="s">
        <v>91</v>
      </c>
      <c r="E52">
        <v>78</v>
      </c>
      <c r="F52" t="s">
        <v>191</v>
      </c>
      <c r="G52" s="3">
        <v>46171.777939814798</v>
      </c>
      <c r="H52" s="4">
        <v>45836</v>
      </c>
      <c r="I52" s="4">
        <v>46201</v>
      </c>
      <c r="J52" s="1">
        <v>932.61</v>
      </c>
      <c r="K52">
        <v>0.8</v>
      </c>
      <c r="L52">
        <v>1</v>
      </c>
      <c r="M52" s="1">
        <v>0</v>
      </c>
      <c r="N52" s="1">
        <v>62.17</v>
      </c>
      <c r="O52" t="s">
        <v>34</v>
      </c>
      <c r="P52" t="s">
        <v>35</v>
      </c>
    </row>
    <row r="53" spans="1:16" x14ac:dyDescent="0.25">
      <c r="A53" t="s">
        <v>188</v>
      </c>
      <c r="B53" t="s">
        <v>189</v>
      </c>
      <c r="C53" t="s">
        <v>192</v>
      </c>
      <c r="D53" t="s">
        <v>193</v>
      </c>
      <c r="E53">
        <v>81</v>
      </c>
      <c r="F53" t="s">
        <v>194</v>
      </c>
      <c r="G53" s="3">
        <v>46171.777939814798</v>
      </c>
      <c r="H53" s="4">
        <v>45836</v>
      </c>
      <c r="I53" s="4">
        <v>46201</v>
      </c>
      <c r="J53" s="1">
        <v>1012.85</v>
      </c>
      <c r="K53">
        <v>0.8</v>
      </c>
      <c r="L53">
        <v>1</v>
      </c>
      <c r="M53" s="1">
        <v>0</v>
      </c>
      <c r="N53" s="1">
        <v>67.52</v>
      </c>
      <c r="O53" t="s">
        <v>34</v>
      </c>
      <c r="P53" t="s">
        <v>35</v>
      </c>
    </row>
    <row r="54" spans="1:16" x14ac:dyDescent="0.25">
      <c r="A54" t="s">
        <v>76</v>
      </c>
      <c r="B54" t="s">
        <v>77</v>
      </c>
      <c r="C54" t="s">
        <v>195</v>
      </c>
      <c r="D54" t="s">
        <v>32</v>
      </c>
      <c r="E54">
        <v>62</v>
      </c>
      <c r="F54" t="s">
        <v>196</v>
      </c>
      <c r="G54" s="3">
        <v>46171.777939814798</v>
      </c>
      <c r="H54" s="4">
        <v>45839</v>
      </c>
      <c r="I54" s="4">
        <v>46174</v>
      </c>
      <c r="J54" s="1">
        <v>448.39</v>
      </c>
      <c r="K54">
        <v>0.85</v>
      </c>
      <c r="L54">
        <v>1</v>
      </c>
      <c r="M54" s="1">
        <v>0</v>
      </c>
      <c r="N54" s="1">
        <v>31.76</v>
      </c>
      <c r="O54" t="s">
        <v>34</v>
      </c>
      <c r="P54" t="s">
        <v>35</v>
      </c>
    </row>
    <row r="55" spans="1:16" x14ac:dyDescent="0.25">
      <c r="A55" t="s">
        <v>197</v>
      </c>
      <c r="B55" t="s">
        <v>198</v>
      </c>
      <c r="C55" t="s">
        <v>199</v>
      </c>
      <c r="D55" t="s">
        <v>32</v>
      </c>
      <c r="E55">
        <v>71</v>
      </c>
      <c r="F55" t="s">
        <v>200</v>
      </c>
      <c r="G55" s="3">
        <v>46171.777939814798</v>
      </c>
      <c r="H55" s="4">
        <v>45870</v>
      </c>
      <c r="I55" s="4">
        <v>46174</v>
      </c>
      <c r="J55" s="1">
        <v>1247.1099999999999</v>
      </c>
      <c r="K55">
        <v>0.85</v>
      </c>
      <c r="L55">
        <v>1</v>
      </c>
      <c r="M55" s="1">
        <v>0</v>
      </c>
      <c r="N55" s="1">
        <v>88.34</v>
      </c>
      <c r="O55" t="s">
        <v>34</v>
      </c>
      <c r="P55" t="s">
        <v>35</v>
      </c>
    </row>
    <row r="56" spans="1:16" x14ac:dyDescent="0.25">
      <c r="A56" t="s">
        <v>135</v>
      </c>
      <c r="B56" t="s">
        <v>136</v>
      </c>
      <c r="C56" t="s">
        <v>201</v>
      </c>
      <c r="D56" t="s">
        <v>32</v>
      </c>
      <c r="E56">
        <v>64</v>
      </c>
      <c r="F56" t="s">
        <v>202</v>
      </c>
      <c r="G56" s="3">
        <v>46171.777939814798</v>
      </c>
      <c r="H56" s="4">
        <v>45901</v>
      </c>
      <c r="I56" s="4">
        <v>46174</v>
      </c>
      <c r="J56" s="1">
        <v>746.56</v>
      </c>
      <c r="K56">
        <v>0.85</v>
      </c>
      <c r="L56">
        <v>1</v>
      </c>
      <c r="M56" s="1">
        <v>0</v>
      </c>
      <c r="N56" s="1">
        <v>52.88</v>
      </c>
      <c r="O56" t="s">
        <v>34</v>
      </c>
      <c r="P56" t="s">
        <v>35</v>
      </c>
    </row>
    <row r="57" spans="1:16" x14ac:dyDescent="0.25">
      <c r="A57" t="s">
        <v>203</v>
      </c>
      <c r="B57" t="s">
        <v>204</v>
      </c>
      <c r="C57" t="s">
        <v>205</v>
      </c>
      <c r="D57" t="s">
        <v>32</v>
      </c>
      <c r="E57">
        <v>76</v>
      </c>
      <c r="F57" t="s">
        <v>206</v>
      </c>
      <c r="G57" s="3">
        <v>46171.777939814798</v>
      </c>
      <c r="H57" s="4">
        <v>45855</v>
      </c>
      <c r="I57" s="4">
        <v>46190</v>
      </c>
      <c r="J57" s="1">
        <v>1141.53</v>
      </c>
      <c r="K57">
        <v>0.8</v>
      </c>
      <c r="L57">
        <v>1</v>
      </c>
      <c r="M57" s="1">
        <v>0</v>
      </c>
      <c r="N57" s="1">
        <v>76.099999999999994</v>
      </c>
      <c r="O57" t="s">
        <v>112</v>
      </c>
      <c r="P57" t="s">
        <v>35</v>
      </c>
    </row>
    <row r="58" spans="1:16" x14ac:dyDescent="0.25">
      <c r="A58" t="s">
        <v>76</v>
      </c>
      <c r="B58" t="s">
        <v>77</v>
      </c>
      <c r="C58" t="s">
        <v>207</v>
      </c>
      <c r="D58" t="s">
        <v>32</v>
      </c>
      <c r="E58">
        <v>66</v>
      </c>
      <c r="F58" t="s">
        <v>208</v>
      </c>
      <c r="G58" s="3">
        <v>46171.777939814798</v>
      </c>
      <c r="H58" s="4">
        <v>45857</v>
      </c>
      <c r="I58" s="4">
        <v>46192</v>
      </c>
      <c r="J58" s="1">
        <v>592.61</v>
      </c>
      <c r="K58">
        <v>0.85</v>
      </c>
      <c r="L58">
        <v>1</v>
      </c>
      <c r="M58" s="1">
        <v>0</v>
      </c>
      <c r="N58" s="1">
        <v>41.97</v>
      </c>
      <c r="O58" t="s">
        <v>34</v>
      </c>
      <c r="P58" t="s">
        <v>35</v>
      </c>
    </row>
    <row r="59" spans="1:16" x14ac:dyDescent="0.25">
      <c r="A59" t="s">
        <v>135</v>
      </c>
      <c r="B59" t="s">
        <v>136</v>
      </c>
      <c r="C59" t="s">
        <v>209</v>
      </c>
      <c r="D59" t="s">
        <v>62</v>
      </c>
      <c r="E59">
        <v>64</v>
      </c>
      <c r="F59" t="s">
        <v>210</v>
      </c>
      <c r="G59" s="3">
        <v>46171.777939814798</v>
      </c>
      <c r="H59" s="4">
        <v>45859</v>
      </c>
      <c r="I59" s="4">
        <v>46194</v>
      </c>
      <c r="J59" s="1">
        <v>1695.6</v>
      </c>
      <c r="K59">
        <v>0.8</v>
      </c>
      <c r="L59">
        <v>1</v>
      </c>
      <c r="M59" s="1">
        <v>0</v>
      </c>
      <c r="N59" s="1">
        <v>113.04</v>
      </c>
      <c r="O59" t="s">
        <v>34</v>
      </c>
      <c r="P59" t="s">
        <v>35</v>
      </c>
    </row>
    <row r="60" spans="1:16" x14ac:dyDescent="0.25">
      <c r="A60" t="s">
        <v>29</v>
      </c>
      <c r="B60" t="s">
        <v>30</v>
      </c>
      <c r="C60" t="s">
        <v>211</v>
      </c>
      <c r="D60" t="s">
        <v>32</v>
      </c>
      <c r="E60">
        <v>67</v>
      </c>
      <c r="F60" t="s">
        <v>212</v>
      </c>
      <c r="G60" s="3">
        <v>46171.777939814798</v>
      </c>
      <c r="H60" s="4">
        <v>45809</v>
      </c>
      <c r="I60" s="4">
        <v>46174</v>
      </c>
      <c r="J60" s="1">
        <v>551.12</v>
      </c>
      <c r="K60">
        <v>0.85</v>
      </c>
      <c r="L60">
        <v>1</v>
      </c>
      <c r="M60" s="1">
        <v>0</v>
      </c>
      <c r="N60" s="1">
        <v>39.03</v>
      </c>
      <c r="O60" t="s">
        <v>34</v>
      </c>
      <c r="P60" t="s">
        <v>35</v>
      </c>
    </row>
    <row r="61" spans="1:16" x14ac:dyDescent="0.25">
      <c r="A61" t="s">
        <v>86</v>
      </c>
      <c r="B61" t="s">
        <v>87</v>
      </c>
      <c r="C61" t="s">
        <v>213</v>
      </c>
      <c r="D61" t="s">
        <v>32</v>
      </c>
      <c r="E61">
        <v>79</v>
      </c>
      <c r="F61" t="s">
        <v>214</v>
      </c>
      <c r="G61" s="3">
        <v>46171.777939814798</v>
      </c>
      <c r="H61" s="4">
        <v>45853</v>
      </c>
      <c r="I61" s="4">
        <v>46188</v>
      </c>
      <c r="J61" s="1">
        <v>1777.3</v>
      </c>
      <c r="K61">
        <v>0.8</v>
      </c>
      <c r="L61">
        <v>1</v>
      </c>
      <c r="M61" s="1">
        <v>0</v>
      </c>
      <c r="N61" s="1">
        <v>118.48</v>
      </c>
      <c r="O61" t="s">
        <v>34</v>
      </c>
      <c r="P61" t="s">
        <v>35</v>
      </c>
    </row>
    <row r="62" spans="1:16" x14ac:dyDescent="0.25">
      <c r="A62" t="s">
        <v>197</v>
      </c>
      <c r="B62" t="s">
        <v>198</v>
      </c>
      <c r="C62" t="s">
        <v>215</v>
      </c>
      <c r="D62" t="s">
        <v>32</v>
      </c>
      <c r="E62">
        <v>70</v>
      </c>
      <c r="F62" t="s">
        <v>216</v>
      </c>
      <c r="G62" s="3">
        <v>46171.777939814798</v>
      </c>
      <c r="H62" s="4">
        <v>45870</v>
      </c>
      <c r="I62" s="4">
        <v>46174</v>
      </c>
      <c r="J62" s="1">
        <v>884.95</v>
      </c>
      <c r="K62">
        <v>0.85</v>
      </c>
      <c r="L62">
        <v>1</v>
      </c>
      <c r="M62" s="1">
        <v>0</v>
      </c>
      <c r="N62" s="1">
        <v>62.68</v>
      </c>
      <c r="O62" t="s">
        <v>34</v>
      </c>
      <c r="P62" t="s">
        <v>35</v>
      </c>
    </row>
    <row r="63" spans="1:16" x14ac:dyDescent="0.25">
      <c r="A63" t="s">
        <v>29</v>
      </c>
      <c r="B63" t="s">
        <v>30</v>
      </c>
      <c r="C63" t="s">
        <v>217</v>
      </c>
      <c r="D63" t="s">
        <v>32</v>
      </c>
      <c r="E63">
        <v>73</v>
      </c>
      <c r="F63" t="s">
        <v>218</v>
      </c>
      <c r="G63" s="3">
        <v>46171.777939814798</v>
      </c>
      <c r="H63" s="4">
        <v>45809</v>
      </c>
      <c r="I63" s="4">
        <v>46174</v>
      </c>
      <c r="J63" s="1">
        <v>777.28</v>
      </c>
      <c r="K63">
        <v>0.85</v>
      </c>
      <c r="L63">
        <v>1</v>
      </c>
      <c r="M63" s="1">
        <v>0</v>
      </c>
      <c r="N63" s="1">
        <v>55.05</v>
      </c>
      <c r="O63" t="s">
        <v>34</v>
      </c>
      <c r="P63" t="s">
        <v>35</v>
      </c>
    </row>
    <row r="64" spans="1:16" x14ac:dyDescent="0.25">
      <c r="A64" t="s">
        <v>219</v>
      </c>
      <c r="B64" t="s">
        <v>220</v>
      </c>
      <c r="C64" t="s">
        <v>221</v>
      </c>
      <c r="D64" t="s">
        <v>62</v>
      </c>
      <c r="E64">
        <v>65</v>
      </c>
      <c r="F64" t="s">
        <v>222</v>
      </c>
      <c r="G64" s="3">
        <v>46171.777939814798</v>
      </c>
      <c r="H64" s="4">
        <v>45870</v>
      </c>
      <c r="I64" s="4">
        <v>46174</v>
      </c>
      <c r="J64" s="1">
        <v>1513.2</v>
      </c>
      <c r="K64">
        <v>0.8</v>
      </c>
      <c r="L64">
        <v>1</v>
      </c>
      <c r="M64" s="1">
        <v>0</v>
      </c>
      <c r="N64" s="1">
        <v>100.88</v>
      </c>
      <c r="O64" t="s">
        <v>34</v>
      </c>
      <c r="P64" t="s">
        <v>35</v>
      </c>
    </row>
    <row r="65" spans="1:16" x14ac:dyDescent="0.25">
      <c r="A65" t="s">
        <v>223</v>
      </c>
      <c r="B65" t="s">
        <v>224</v>
      </c>
      <c r="C65" t="s">
        <v>225</v>
      </c>
      <c r="D65" t="s">
        <v>193</v>
      </c>
      <c r="E65">
        <v>67</v>
      </c>
      <c r="F65" t="s">
        <v>226</v>
      </c>
      <c r="G65" s="3">
        <v>46171.777939814798</v>
      </c>
      <c r="H65" s="4">
        <v>45870</v>
      </c>
      <c r="I65" s="4">
        <v>46204</v>
      </c>
      <c r="J65" s="1">
        <v>402.08</v>
      </c>
      <c r="K65">
        <v>0.85</v>
      </c>
      <c r="L65">
        <v>1</v>
      </c>
      <c r="M65" s="1">
        <v>0</v>
      </c>
      <c r="N65" s="1">
        <v>28.48</v>
      </c>
      <c r="O65" t="s">
        <v>34</v>
      </c>
      <c r="P65" t="s">
        <v>35</v>
      </c>
    </row>
    <row r="66" spans="1:16" x14ac:dyDescent="0.25">
      <c r="A66" t="s">
        <v>227</v>
      </c>
      <c r="B66" t="s">
        <v>228</v>
      </c>
      <c r="C66" t="s">
        <v>229</v>
      </c>
      <c r="D66" t="s">
        <v>32</v>
      </c>
      <c r="E66">
        <v>65</v>
      </c>
      <c r="F66" t="s">
        <v>230</v>
      </c>
      <c r="G66" s="3">
        <v>46171.777939814798</v>
      </c>
      <c r="H66" s="4">
        <v>45862</v>
      </c>
      <c r="I66" s="4">
        <v>46197</v>
      </c>
      <c r="J66" s="1">
        <v>123.64</v>
      </c>
      <c r="K66">
        <v>0.85</v>
      </c>
      <c r="L66">
        <v>1</v>
      </c>
      <c r="M66" s="1">
        <v>0</v>
      </c>
      <c r="N66" s="1">
        <v>8.76</v>
      </c>
      <c r="O66" t="s">
        <v>34</v>
      </c>
      <c r="P66" t="s">
        <v>35</v>
      </c>
    </row>
    <row r="67" spans="1:16" x14ac:dyDescent="0.25">
      <c r="A67" t="s">
        <v>227</v>
      </c>
      <c r="B67" t="s">
        <v>228</v>
      </c>
      <c r="C67" t="s">
        <v>231</v>
      </c>
      <c r="D67" t="s">
        <v>32</v>
      </c>
      <c r="E67">
        <v>64</v>
      </c>
      <c r="F67" t="s">
        <v>232</v>
      </c>
      <c r="G67" s="3">
        <v>46171.777939814798</v>
      </c>
      <c r="H67" s="4">
        <v>45861</v>
      </c>
      <c r="I67" s="4">
        <v>46196</v>
      </c>
      <c r="J67" s="1">
        <v>73.86</v>
      </c>
      <c r="K67">
        <v>0.85</v>
      </c>
      <c r="L67">
        <v>1</v>
      </c>
      <c r="M67" s="1">
        <v>0</v>
      </c>
      <c r="N67" s="1">
        <v>5.23</v>
      </c>
      <c r="O67" t="s">
        <v>34</v>
      </c>
      <c r="P67" t="s">
        <v>35</v>
      </c>
    </row>
    <row r="68" spans="1:16" x14ac:dyDescent="0.25">
      <c r="A68" t="s">
        <v>219</v>
      </c>
      <c r="B68" t="s">
        <v>220</v>
      </c>
      <c r="C68" t="s">
        <v>233</v>
      </c>
      <c r="D68" t="s">
        <v>62</v>
      </c>
      <c r="E68">
        <v>64</v>
      </c>
      <c r="F68" t="s">
        <v>234</v>
      </c>
      <c r="G68" s="3">
        <v>46171.777939814798</v>
      </c>
      <c r="H68" s="4">
        <v>45869</v>
      </c>
      <c r="I68" s="4">
        <v>46173</v>
      </c>
      <c r="J68" s="1">
        <v>1196.4000000000001</v>
      </c>
      <c r="K68">
        <v>0.8</v>
      </c>
      <c r="L68">
        <v>1</v>
      </c>
      <c r="M68" s="1">
        <v>0</v>
      </c>
      <c r="N68" s="1">
        <v>79.760000000000005</v>
      </c>
      <c r="O68" t="s">
        <v>34</v>
      </c>
      <c r="P68" t="s">
        <v>35</v>
      </c>
    </row>
    <row r="69" spans="1:16" x14ac:dyDescent="0.25">
      <c r="A69" t="s">
        <v>36</v>
      </c>
      <c r="B69" t="s">
        <v>37</v>
      </c>
      <c r="C69" t="s">
        <v>235</v>
      </c>
      <c r="D69" t="s">
        <v>62</v>
      </c>
      <c r="E69">
        <v>65</v>
      </c>
      <c r="F69" t="s">
        <v>236</v>
      </c>
      <c r="G69" s="3">
        <v>46171.777939814798</v>
      </c>
      <c r="H69" s="4">
        <v>45870</v>
      </c>
      <c r="I69" s="4">
        <v>46174</v>
      </c>
      <c r="J69" s="1">
        <v>873.6</v>
      </c>
      <c r="K69">
        <v>0.8</v>
      </c>
      <c r="L69">
        <v>1</v>
      </c>
      <c r="M69" s="1">
        <v>0</v>
      </c>
      <c r="N69" s="1">
        <v>58.24</v>
      </c>
      <c r="O69" t="s">
        <v>34</v>
      </c>
      <c r="P69" t="s">
        <v>35</v>
      </c>
    </row>
    <row r="70" spans="1:16" x14ac:dyDescent="0.25">
      <c r="A70" t="s">
        <v>82</v>
      </c>
      <c r="B70" t="s">
        <v>83</v>
      </c>
      <c r="C70" t="s">
        <v>237</v>
      </c>
      <c r="D70" t="s">
        <v>32</v>
      </c>
      <c r="E70">
        <v>64</v>
      </c>
      <c r="F70" t="s">
        <v>238</v>
      </c>
      <c r="G70" s="3">
        <v>46171.777939814798</v>
      </c>
      <c r="H70" s="4">
        <v>45866</v>
      </c>
      <c r="I70" s="4">
        <v>46170</v>
      </c>
      <c r="J70" s="1">
        <v>466.85</v>
      </c>
      <c r="K70">
        <v>0.85</v>
      </c>
      <c r="L70">
        <v>1</v>
      </c>
      <c r="M70" s="1">
        <v>0</v>
      </c>
      <c r="N70" s="1">
        <v>33.06</v>
      </c>
      <c r="O70" t="s">
        <v>34</v>
      </c>
      <c r="P70" t="s">
        <v>35</v>
      </c>
    </row>
    <row r="71" spans="1:16" x14ac:dyDescent="0.25">
      <c r="A71" t="s">
        <v>227</v>
      </c>
      <c r="B71" t="s">
        <v>228</v>
      </c>
      <c r="C71" t="s">
        <v>239</v>
      </c>
      <c r="D71" t="s">
        <v>32</v>
      </c>
      <c r="E71">
        <v>70</v>
      </c>
      <c r="F71" t="s">
        <v>240</v>
      </c>
      <c r="G71" s="3">
        <v>46171.777939814798</v>
      </c>
      <c r="H71" s="4">
        <v>45870</v>
      </c>
      <c r="I71" s="4">
        <v>46174</v>
      </c>
      <c r="J71" s="1">
        <v>592.61</v>
      </c>
      <c r="K71">
        <v>0.85</v>
      </c>
      <c r="L71">
        <v>1</v>
      </c>
      <c r="M71" s="1">
        <v>0</v>
      </c>
      <c r="N71" s="1">
        <v>41.97</v>
      </c>
      <c r="O71" t="s">
        <v>34</v>
      </c>
      <c r="P71" t="s">
        <v>35</v>
      </c>
    </row>
    <row r="72" spans="1:16" x14ac:dyDescent="0.25">
      <c r="A72" t="s">
        <v>135</v>
      </c>
      <c r="B72" t="s">
        <v>136</v>
      </c>
      <c r="C72" t="s">
        <v>241</v>
      </c>
      <c r="D72" t="s">
        <v>32</v>
      </c>
      <c r="E72">
        <v>64</v>
      </c>
      <c r="F72" t="s">
        <v>242</v>
      </c>
      <c r="G72" s="3">
        <v>46171.777939814798</v>
      </c>
      <c r="H72" s="4">
        <v>45870</v>
      </c>
      <c r="I72" s="4">
        <v>46204</v>
      </c>
      <c r="J72" s="1">
        <v>746.56</v>
      </c>
      <c r="K72">
        <v>0.85</v>
      </c>
      <c r="L72">
        <v>1</v>
      </c>
      <c r="M72" s="1">
        <v>0</v>
      </c>
      <c r="N72" s="1">
        <v>52.88</v>
      </c>
      <c r="O72" t="s">
        <v>34</v>
      </c>
      <c r="P72" t="s">
        <v>35</v>
      </c>
    </row>
    <row r="73" spans="1:16" x14ac:dyDescent="0.25">
      <c r="A73" t="s">
        <v>82</v>
      </c>
      <c r="B73" t="s">
        <v>83</v>
      </c>
      <c r="C73" t="s">
        <v>243</v>
      </c>
      <c r="D73" t="s">
        <v>32</v>
      </c>
      <c r="E73">
        <v>64</v>
      </c>
      <c r="F73" t="s">
        <v>244</v>
      </c>
      <c r="G73" s="3">
        <v>46171.777939814798</v>
      </c>
      <c r="H73" s="4">
        <v>45866</v>
      </c>
      <c r="I73" s="4">
        <v>46170</v>
      </c>
      <c r="J73" s="1">
        <v>466.85</v>
      </c>
      <c r="K73">
        <v>0.85</v>
      </c>
      <c r="L73">
        <v>1</v>
      </c>
      <c r="M73" s="1">
        <v>0</v>
      </c>
      <c r="N73" s="1">
        <v>33.06</v>
      </c>
      <c r="O73" t="s">
        <v>34</v>
      </c>
      <c r="P73" t="s">
        <v>35</v>
      </c>
    </row>
    <row r="74" spans="1:16" x14ac:dyDescent="0.25">
      <c r="A74" t="s">
        <v>135</v>
      </c>
      <c r="B74" t="s">
        <v>136</v>
      </c>
      <c r="C74" t="s">
        <v>245</v>
      </c>
      <c r="D74" t="s">
        <v>32</v>
      </c>
      <c r="E74">
        <v>55</v>
      </c>
      <c r="F74" t="s">
        <v>246</v>
      </c>
      <c r="G74" s="3">
        <v>46171.777939814798</v>
      </c>
      <c r="H74" s="4">
        <v>45870</v>
      </c>
      <c r="I74" s="4">
        <v>46174</v>
      </c>
      <c r="J74" s="1">
        <v>514.49</v>
      </c>
      <c r="K74">
        <v>0.85</v>
      </c>
      <c r="L74">
        <v>1</v>
      </c>
      <c r="M74" s="1">
        <v>0</v>
      </c>
      <c r="N74" s="1">
        <v>36.44</v>
      </c>
      <c r="O74" t="s">
        <v>34</v>
      </c>
      <c r="P74" t="s">
        <v>35</v>
      </c>
    </row>
    <row r="75" spans="1:16" x14ac:dyDescent="0.25">
      <c r="A75" t="s">
        <v>72</v>
      </c>
      <c r="B75" t="s">
        <v>73</v>
      </c>
      <c r="C75" t="s">
        <v>247</v>
      </c>
      <c r="D75" t="s">
        <v>32</v>
      </c>
      <c r="E75">
        <v>53</v>
      </c>
      <c r="F75" t="s">
        <v>248</v>
      </c>
      <c r="G75" s="3">
        <v>46171.777939814798</v>
      </c>
      <c r="H75" s="4">
        <v>45870</v>
      </c>
      <c r="I75" s="4">
        <v>46204</v>
      </c>
      <c r="J75" s="1">
        <v>333.58</v>
      </c>
      <c r="K75">
        <v>0.85</v>
      </c>
      <c r="L75">
        <v>1</v>
      </c>
      <c r="M75" s="1">
        <v>0</v>
      </c>
      <c r="N75" s="1">
        <v>23.63</v>
      </c>
      <c r="O75" t="s">
        <v>34</v>
      </c>
      <c r="P75" t="s">
        <v>35</v>
      </c>
    </row>
    <row r="76" spans="1:16" x14ac:dyDescent="0.25">
      <c r="A76" t="s">
        <v>68</v>
      </c>
      <c r="B76" t="s">
        <v>69</v>
      </c>
      <c r="C76" t="s">
        <v>249</v>
      </c>
      <c r="D76" t="s">
        <v>32</v>
      </c>
      <c r="E76">
        <v>68</v>
      </c>
      <c r="F76" t="s">
        <v>250</v>
      </c>
      <c r="G76" s="3">
        <v>46171.777939814798</v>
      </c>
      <c r="H76" s="4">
        <v>45870</v>
      </c>
      <c r="I76" s="4">
        <v>46174</v>
      </c>
      <c r="J76" s="1">
        <v>922.84</v>
      </c>
      <c r="K76">
        <v>0.85</v>
      </c>
      <c r="L76">
        <v>1</v>
      </c>
      <c r="M76" s="1">
        <v>0</v>
      </c>
      <c r="N76" s="1">
        <v>65.37</v>
      </c>
      <c r="O76" t="s">
        <v>34</v>
      </c>
      <c r="P76" t="s">
        <v>35</v>
      </c>
    </row>
    <row r="77" spans="1:16" x14ac:dyDescent="0.25">
      <c r="A77" t="s">
        <v>82</v>
      </c>
      <c r="B77" t="s">
        <v>83</v>
      </c>
      <c r="C77" t="s">
        <v>251</v>
      </c>
      <c r="D77" t="s">
        <v>32</v>
      </c>
      <c r="E77">
        <v>77</v>
      </c>
      <c r="F77" t="s">
        <v>252</v>
      </c>
      <c r="G77" s="3">
        <v>46171.777939814798</v>
      </c>
      <c r="H77" s="4">
        <v>45852</v>
      </c>
      <c r="I77" s="4">
        <v>46187</v>
      </c>
      <c r="J77" s="1">
        <v>1262.0999999999999</v>
      </c>
      <c r="K77">
        <v>0.8</v>
      </c>
      <c r="L77">
        <v>1</v>
      </c>
      <c r="M77" s="1">
        <v>0</v>
      </c>
      <c r="N77" s="1">
        <v>84.14</v>
      </c>
      <c r="O77" t="s">
        <v>34</v>
      </c>
      <c r="P77" t="s">
        <v>35</v>
      </c>
    </row>
    <row r="78" spans="1:16" x14ac:dyDescent="0.25">
      <c r="A78" t="s">
        <v>86</v>
      </c>
      <c r="B78" t="s">
        <v>87</v>
      </c>
      <c r="C78" t="s">
        <v>253</v>
      </c>
      <c r="D78" t="s">
        <v>32</v>
      </c>
      <c r="E78">
        <v>80</v>
      </c>
      <c r="F78" t="s">
        <v>254</v>
      </c>
      <c r="G78" s="3">
        <v>46171.777939814798</v>
      </c>
      <c r="H78" s="4">
        <v>45853</v>
      </c>
      <c r="I78" s="4">
        <v>46188</v>
      </c>
      <c r="J78" s="1">
        <v>1777.3</v>
      </c>
      <c r="K78">
        <v>0.8</v>
      </c>
      <c r="L78">
        <v>1</v>
      </c>
      <c r="M78" s="1">
        <v>0</v>
      </c>
      <c r="N78" s="1">
        <v>118.48</v>
      </c>
      <c r="O78" t="s">
        <v>34</v>
      </c>
      <c r="P78" t="s">
        <v>35</v>
      </c>
    </row>
    <row r="79" spans="1:16" x14ac:dyDescent="0.25">
      <c r="A79" t="s">
        <v>203</v>
      </c>
      <c r="B79" t="s">
        <v>204</v>
      </c>
      <c r="C79" t="s">
        <v>255</v>
      </c>
      <c r="D79" t="s">
        <v>256</v>
      </c>
      <c r="E79">
        <v>64</v>
      </c>
      <c r="F79" t="s">
        <v>257</v>
      </c>
      <c r="G79" s="3">
        <v>46171.777939814798</v>
      </c>
      <c r="H79" s="4">
        <v>45931</v>
      </c>
      <c r="I79" s="4">
        <v>46174</v>
      </c>
      <c r="J79" s="1">
        <v>637.23</v>
      </c>
      <c r="K79">
        <v>0.8</v>
      </c>
      <c r="L79">
        <v>1</v>
      </c>
      <c r="M79" s="1">
        <v>0</v>
      </c>
      <c r="N79" s="1">
        <v>42.48</v>
      </c>
      <c r="O79" t="s">
        <v>112</v>
      </c>
      <c r="P79" t="s">
        <v>35</v>
      </c>
    </row>
    <row r="80" spans="1:16" x14ac:dyDescent="0.25">
      <c r="A80" t="s">
        <v>258</v>
      </c>
      <c r="B80" t="s">
        <v>259</v>
      </c>
      <c r="C80" t="s">
        <v>260</v>
      </c>
      <c r="D80" t="s">
        <v>261</v>
      </c>
      <c r="E80">
        <v>63</v>
      </c>
      <c r="F80" t="s">
        <v>262</v>
      </c>
      <c r="G80" s="3">
        <v>46171.777939814798</v>
      </c>
      <c r="H80" s="4">
        <v>45931</v>
      </c>
      <c r="I80" s="4">
        <v>46174</v>
      </c>
      <c r="J80" s="1">
        <v>959.76</v>
      </c>
      <c r="K80">
        <v>0.8</v>
      </c>
      <c r="L80">
        <v>1</v>
      </c>
      <c r="M80" s="1">
        <v>0</v>
      </c>
      <c r="N80" s="1">
        <v>63.98</v>
      </c>
      <c r="O80" t="s">
        <v>112</v>
      </c>
      <c r="P80" t="s">
        <v>35</v>
      </c>
    </row>
    <row r="81" spans="1:16" x14ac:dyDescent="0.25">
      <c r="A81" t="s">
        <v>227</v>
      </c>
      <c r="B81" t="s">
        <v>228</v>
      </c>
      <c r="C81" t="s">
        <v>263</v>
      </c>
      <c r="D81" t="s">
        <v>62</v>
      </c>
      <c r="E81">
        <v>69</v>
      </c>
      <c r="F81" t="s">
        <v>264</v>
      </c>
      <c r="G81" s="3">
        <v>46171.777939814798</v>
      </c>
      <c r="H81" s="4">
        <v>45901</v>
      </c>
      <c r="I81" s="4">
        <v>46174</v>
      </c>
      <c r="J81" s="1">
        <v>547.20000000000005</v>
      </c>
      <c r="K81">
        <v>0.8</v>
      </c>
      <c r="L81">
        <v>1</v>
      </c>
      <c r="M81" s="1">
        <v>0</v>
      </c>
      <c r="N81" s="1">
        <v>36.479999999999997</v>
      </c>
      <c r="O81" t="s">
        <v>34</v>
      </c>
      <c r="P81" t="s">
        <v>35</v>
      </c>
    </row>
    <row r="82" spans="1:16" x14ac:dyDescent="0.25">
      <c r="A82" t="s">
        <v>82</v>
      </c>
      <c r="B82" t="s">
        <v>83</v>
      </c>
      <c r="C82" t="s">
        <v>265</v>
      </c>
      <c r="D82" t="s">
        <v>110</v>
      </c>
      <c r="E82">
        <v>64</v>
      </c>
      <c r="F82" t="s">
        <v>266</v>
      </c>
      <c r="G82" s="3">
        <v>46171.777939814798</v>
      </c>
      <c r="H82" s="4">
        <v>45931</v>
      </c>
      <c r="I82" s="4">
        <v>46174</v>
      </c>
      <c r="J82" s="1">
        <v>637.20000000000005</v>
      </c>
      <c r="K82">
        <v>0.8</v>
      </c>
      <c r="L82">
        <v>1</v>
      </c>
      <c r="M82" s="1">
        <v>0</v>
      </c>
      <c r="N82" s="1">
        <v>42.48</v>
      </c>
      <c r="O82" t="s">
        <v>34</v>
      </c>
      <c r="P82" t="s">
        <v>35</v>
      </c>
    </row>
    <row r="83" spans="1:16" x14ac:dyDescent="0.25">
      <c r="A83" t="s">
        <v>76</v>
      </c>
      <c r="B83" t="s">
        <v>77</v>
      </c>
      <c r="C83" t="s">
        <v>267</v>
      </c>
      <c r="D83" t="s">
        <v>32</v>
      </c>
      <c r="E83">
        <v>64</v>
      </c>
      <c r="F83" t="s">
        <v>268</v>
      </c>
      <c r="G83" s="3">
        <v>46171.777939814798</v>
      </c>
      <c r="H83" s="4">
        <v>45903</v>
      </c>
      <c r="I83" s="4">
        <v>46176</v>
      </c>
      <c r="J83" s="1">
        <v>417.01</v>
      </c>
      <c r="K83">
        <v>0.85</v>
      </c>
      <c r="L83">
        <v>1</v>
      </c>
      <c r="M83" s="1">
        <v>0</v>
      </c>
      <c r="N83" s="1">
        <v>29.54</v>
      </c>
      <c r="O83" t="s">
        <v>34</v>
      </c>
      <c r="P83" t="s">
        <v>35</v>
      </c>
    </row>
    <row r="84" spans="1:16" x14ac:dyDescent="0.25">
      <c r="A84" t="s">
        <v>227</v>
      </c>
      <c r="B84" t="s">
        <v>228</v>
      </c>
      <c r="C84" t="s">
        <v>269</v>
      </c>
      <c r="D84" t="s">
        <v>62</v>
      </c>
      <c r="E84">
        <v>64</v>
      </c>
      <c r="F84" t="s">
        <v>270</v>
      </c>
      <c r="G84" s="3">
        <v>46171.777939814798</v>
      </c>
      <c r="H84" s="4">
        <v>45962</v>
      </c>
      <c r="I84" s="4">
        <v>46174</v>
      </c>
      <c r="J84" s="1">
        <v>470.4</v>
      </c>
      <c r="K84">
        <v>0.8</v>
      </c>
      <c r="L84">
        <v>1</v>
      </c>
      <c r="M84" s="1">
        <v>0</v>
      </c>
      <c r="N84" s="1">
        <v>31.36</v>
      </c>
      <c r="O84" t="s">
        <v>34</v>
      </c>
      <c r="P84" t="s">
        <v>35</v>
      </c>
    </row>
    <row r="85" spans="1:16" x14ac:dyDescent="0.25">
      <c r="A85" t="s">
        <v>227</v>
      </c>
      <c r="B85" t="s">
        <v>228</v>
      </c>
      <c r="C85" t="s">
        <v>271</v>
      </c>
      <c r="D85" t="s">
        <v>62</v>
      </c>
      <c r="E85">
        <v>65</v>
      </c>
      <c r="F85" t="s">
        <v>272</v>
      </c>
      <c r="G85" s="3">
        <v>46171.777939814798</v>
      </c>
      <c r="H85" s="4">
        <v>45962</v>
      </c>
      <c r="I85" s="4">
        <v>46174</v>
      </c>
      <c r="J85" s="1">
        <v>489.6</v>
      </c>
      <c r="K85">
        <v>0.8</v>
      </c>
      <c r="L85">
        <v>1</v>
      </c>
      <c r="M85" s="1">
        <v>0</v>
      </c>
      <c r="N85" s="1">
        <v>32.64</v>
      </c>
      <c r="O85" t="s">
        <v>34</v>
      </c>
      <c r="P85" t="s">
        <v>35</v>
      </c>
    </row>
    <row r="86" spans="1:16" x14ac:dyDescent="0.25">
      <c r="A86" t="s">
        <v>139</v>
      </c>
      <c r="B86" t="s">
        <v>140</v>
      </c>
      <c r="C86" t="s">
        <v>273</v>
      </c>
      <c r="D86" t="s">
        <v>62</v>
      </c>
      <c r="E86">
        <v>64</v>
      </c>
      <c r="F86" t="s">
        <v>274</v>
      </c>
      <c r="G86" s="3">
        <v>46171.777939814798</v>
      </c>
      <c r="H86" s="4">
        <v>45901</v>
      </c>
      <c r="I86" s="4">
        <v>46204</v>
      </c>
      <c r="J86" s="1">
        <v>1543.2</v>
      </c>
      <c r="K86">
        <v>0.8</v>
      </c>
      <c r="L86">
        <v>1</v>
      </c>
      <c r="M86" s="1">
        <v>0</v>
      </c>
      <c r="N86" s="1">
        <v>102.88</v>
      </c>
      <c r="O86" t="s">
        <v>34</v>
      </c>
      <c r="P86" t="s">
        <v>35</v>
      </c>
    </row>
    <row r="87" spans="1:16" x14ac:dyDescent="0.25">
      <c r="A87" t="s">
        <v>188</v>
      </c>
      <c r="B87" t="s">
        <v>189</v>
      </c>
      <c r="C87" t="s">
        <v>275</v>
      </c>
      <c r="D87" t="s">
        <v>32</v>
      </c>
      <c r="E87">
        <v>65</v>
      </c>
      <c r="F87" t="s">
        <v>276</v>
      </c>
      <c r="G87" s="3">
        <v>46171.777939814798</v>
      </c>
      <c r="H87" s="4">
        <v>45925</v>
      </c>
      <c r="I87" s="4">
        <v>46198</v>
      </c>
      <c r="J87" s="1">
        <v>816.65</v>
      </c>
      <c r="K87">
        <v>0.85</v>
      </c>
      <c r="L87">
        <v>1</v>
      </c>
      <c r="M87" s="1">
        <v>0</v>
      </c>
      <c r="N87" s="1">
        <v>57.84</v>
      </c>
      <c r="O87" t="s">
        <v>34</v>
      </c>
      <c r="P87" t="s">
        <v>35</v>
      </c>
    </row>
    <row r="88" spans="1:16" x14ac:dyDescent="0.25">
      <c r="A88" t="s">
        <v>223</v>
      </c>
      <c r="B88" t="s">
        <v>224</v>
      </c>
      <c r="C88" t="s">
        <v>277</v>
      </c>
      <c r="D88" t="s">
        <v>193</v>
      </c>
      <c r="E88">
        <v>67</v>
      </c>
      <c r="F88" t="s">
        <v>278</v>
      </c>
      <c r="G88" s="3">
        <v>46171.777939814798</v>
      </c>
      <c r="H88" s="4">
        <v>45896</v>
      </c>
      <c r="I88" s="4">
        <v>46200</v>
      </c>
      <c r="J88" s="1">
        <v>420.3</v>
      </c>
      <c r="K88">
        <v>0.85</v>
      </c>
      <c r="L88">
        <v>1</v>
      </c>
      <c r="M88" s="1">
        <v>0</v>
      </c>
      <c r="N88" s="1">
        <v>29.77</v>
      </c>
      <c r="O88" t="s">
        <v>34</v>
      </c>
      <c r="P88" t="s">
        <v>35</v>
      </c>
    </row>
    <row r="89" spans="1:16" x14ac:dyDescent="0.25">
      <c r="A89" t="s">
        <v>180</v>
      </c>
      <c r="B89" t="s">
        <v>181</v>
      </c>
      <c r="C89" t="s">
        <v>279</v>
      </c>
      <c r="D89" t="s">
        <v>32</v>
      </c>
      <c r="E89">
        <v>76</v>
      </c>
      <c r="F89" t="s">
        <v>280</v>
      </c>
      <c r="G89" s="3">
        <v>46171.777939814798</v>
      </c>
      <c r="H89" s="4">
        <v>45897</v>
      </c>
      <c r="I89" s="4">
        <v>46201</v>
      </c>
      <c r="J89" s="1">
        <v>1141.53</v>
      </c>
      <c r="K89">
        <v>0.8</v>
      </c>
      <c r="L89">
        <v>1</v>
      </c>
      <c r="M89" s="1">
        <v>0</v>
      </c>
      <c r="N89" s="1">
        <v>76.099999999999994</v>
      </c>
      <c r="O89" t="s">
        <v>34</v>
      </c>
      <c r="P89" t="s">
        <v>35</v>
      </c>
    </row>
    <row r="90" spans="1:16" x14ac:dyDescent="0.25">
      <c r="A90" t="s">
        <v>281</v>
      </c>
      <c r="B90" t="s">
        <v>282</v>
      </c>
      <c r="C90" t="s">
        <v>283</v>
      </c>
      <c r="D90" t="s">
        <v>32</v>
      </c>
      <c r="E90">
        <v>68</v>
      </c>
      <c r="F90" t="s">
        <v>284</v>
      </c>
      <c r="G90" s="3">
        <v>46171.777939814798</v>
      </c>
      <c r="H90" s="4">
        <v>45962</v>
      </c>
      <c r="I90" s="4">
        <v>46174</v>
      </c>
      <c r="J90" s="1">
        <v>530.86</v>
      </c>
      <c r="K90">
        <v>0.85</v>
      </c>
      <c r="L90">
        <v>1</v>
      </c>
      <c r="M90" s="1">
        <v>0</v>
      </c>
      <c r="N90" s="1">
        <v>37.6</v>
      </c>
      <c r="O90" t="s">
        <v>285</v>
      </c>
      <c r="P90" t="s">
        <v>35</v>
      </c>
    </row>
    <row r="91" spans="1:16" x14ac:dyDescent="0.25">
      <c r="A91" t="s">
        <v>135</v>
      </c>
      <c r="B91" t="s">
        <v>136</v>
      </c>
      <c r="C91" t="s">
        <v>286</v>
      </c>
      <c r="D91" t="s">
        <v>32</v>
      </c>
      <c r="E91">
        <v>55</v>
      </c>
      <c r="F91" t="s">
        <v>287</v>
      </c>
      <c r="G91" s="3">
        <v>46171.777939814798</v>
      </c>
      <c r="H91" s="4">
        <v>45882</v>
      </c>
      <c r="I91" s="4">
        <v>46186</v>
      </c>
      <c r="J91" s="1">
        <v>514.49</v>
      </c>
      <c r="K91">
        <v>0.85</v>
      </c>
      <c r="L91">
        <v>1</v>
      </c>
      <c r="M91" s="1">
        <v>0</v>
      </c>
      <c r="N91" s="1">
        <v>36.44</v>
      </c>
      <c r="O91" t="s">
        <v>34</v>
      </c>
      <c r="P91" t="s">
        <v>35</v>
      </c>
    </row>
    <row r="92" spans="1:16" x14ac:dyDescent="0.25">
      <c r="A92" t="s">
        <v>135</v>
      </c>
      <c r="B92" t="s">
        <v>136</v>
      </c>
      <c r="C92" t="s">
        <v>288</v>
      </c>
      <c r="D92" t="s">
        <v>32</v>
      </c>
      <c r="E92">
        <v>55</v>
      </c>
      <c r="F92" t="s">
        <v>289</v>
      </c>
      <c r="G92" s="3">
        <v>46171.777939814798</v>
      </c>
      <c r="H92" s="4">
        <v>45882</v>
      </c>
      <c r="I92" s="4">
        <v>46186</v>
      </c>
      <c r="J92" s="1">
        <v>514.49</v>
      </c>
      <c r="K92">
        <v>0.85</v>
      </c>
      <c r="L92">
        <v>1</v>
      </c>
      <c r="M92" s="1">
        <v>0</v>
      </c>
      <c r="N92" s="1">
        <v>36.44</v>
      </c>
      <c r="O92" t="s">
        <v>34</v>
      </c>
      <c r="P92" t="s">
        <v>35</v>
      </c>
    </row>
    <row r="93" spans="1:16" x14ac:dyDescent="0.25">
      <c r="A93" t="s">
        <v>135</v>
      </c>
      <c r="B93" t="s">
        <v>136</v>
      </c>
      <c r="C93" t="s">
        <v>290</v>
      </c>
      <c r="D93" t="s">
        <v>91</v>
      </c>
      <c r="E93">
        <v>67</v>
      </c>
      <c r="F93" t="s">
        <v>291</v>
      </c>
      <c r="G93" s="3">
        <v>46171.777939814798</v>
      </c>
      <c r="H93" s="4">
        <v>45882</v>
      </c>
      <c r="I93" s="4">
        <v>46186</v>
      </c>
      <c r="J93" s="1">
        <v>729.81</v>
      </c>
      <c r="K93">
        <v>0.85</v>
      </c>
      <c r="L93">
        <v>1</v>
      </c>
      <c r="M93" s="1">
        <v>0</v>
      </c>
      <c r="N93" s="1">
        <v>51.7</v>
      </c>
      <c r="O93" t="s">
        <v>34</v>
      </c>
      <c r="P93" t="s">
        <v>35</v>
      </c>
    </row>
    <row r="94" spans="1:16" x14ac:dyDescent="0.25">
      <c r="A94" t="s">
        <v>72</v>
      </c>
      <c r="B94" t="s">
        <v>73</v>
      </c>
      <c r="C94" t="s">
        <v>292</v>
      </c>
      <c r="D94" t="s">
        <v>32</v>
      </c>
      <c r="E94">
        <v>63</v>
      </c>
      <c r="F94" t="s">
        <v>293</v>
      </c>
      <c r="G94" s="3">
        <v>46171.777939814798</v>
      </c>
      <c r="H94" s="4">
        <v>45943</v>
      </c>
      <c r="I94" s="4">
        <v>46186</v>
      </c>
      <c r="J94" s="1">
        <v>680.04</v>
      </c>
      <c r="K94">
        <v>0.85</v>
      </c>
      <c r="L94">
        <v>1</v>
      </c>
      <c r="M94" s="1">
        <v>0</v>
      </c>
      <c r="N94" s="1">
        <v>48.17</v>
      </c>
      <c r="O94" t="s">
        <v>34</v>
      </c>
      <c r="P94" t="s">
        <v>35</v>
      </c>
    </row>
    <row r="95" spans="1:16" x14ac:dyDescent="0.25">
      <c r="A95" t="s">
        <v>135</v>
      </c>
      <c r="B95" t="s">
        <v>136</v>
      </c>
      <c r="C95" t="s">
        <v>294</v>
      </c>
      <c r="D95" t="s">
        <v>32</v>
      </c>
      <c r="E95">
        <v>64</v>
      </c>
      <c r="F95" t="s">
        <v>295</v>
      </c>
      <c r="G95" s="3">
        <v>46171.777939814798</v>
      </c>
      <c r="H95" s="4">
        <v>45885</v>
      </c>
      <c r="I95" s="4">
        <v>46189</v>
      </c>
      <c r="J95" s="1">
        <v>746.56</v>
      </c>
      <c r="K95">
        <v>0.85</v>
      </c>
      <c r="L95">
        <v>1</v>
      </c>
      <c r="M95" s="1">
        <v>0</v>
      </c>
      <c r="N95" s="1">
        <v>52.88</v>
      </c>
      <c r="O95" t="s">
        <v>34</v>
      </c>
      <c r="P95" t="s">
        <v>35</v>
      </c>
    </row>
    <row r="96" spans="1:16" x14ac:dyDescent="0.25">
      <c r="A96" t="s">
        <v>113</v>
      </c>
      <c r="B96" t="s">
        <v>114</v>
      </c>
      <c r="C96" t="s">
        <v>296</v>
      </c>
      <c r="D96" t="s">
        <v>62</v>
      </c>
      <c r="E96">
        <v>64</v>
      </c>
      <c r="F96" t="s">
        <v>297</v>
      </c>
      <c r="G96" s="3">
        <v>46171.777939814798</v>
      </c>
      <c r="H96" s="4">
        <v>45992</v>
      </c>
      <c r="I96" s="4">
        <v>46174</v>
      </c>
      <c r="J96" s="1">
        <v>1003.2</v>
      </c>
      <c r="K96">
        <v>0.8</v>
      </c>
      <c r="L96">
        <v>1</v>
      </c>
      <c r="M96" s="1">
        <v>0</v>
      </c>
      <c r="N96" s="1">
        <v>66.88</v>
      </c>
      <c r="O96" t="s">
        <v>34</v>
      </c>
      <c r="P96" t="s">
        <v>35</v>
      </c>
    </row>
    <row r="97" spans="1:16" x14ac:dyDescent="0.25">
      <c r="A97" t="s">
        <v>68</v>
      </c>
      <c r="B97" t="s">
        <v>69</v>
      </c>
      <c r="C97" t="s">
        <v>298</v>
      </c>
      <c r="D97" t="s">
        <v>32</v>
      </c>
      <c r="E97">
        <v>64</v>
      </c>
      <c r="F97" t="s">
        <v>299</v>
      </c>
      <c r="G97" s="3">
        <v>46171.777939814798</v>
      </c>
      <c r="H97" s="4">
        <v>45931</v>
      </c>
      <c r="I97" s="4">
        <v>46174</v>
      </c>
      <c r="J97" s="1">
        <v>717.34</v>
      </c>
      <c r="K97">
        <v>0.85</v>
      </c>
      <c r="L97">
        <v>1</v>
      </c>
      <c r="M97" s="1">
        <v>0</v>
      </c>
      <c r="N97" s="1">
        <v>50.81</v>
      </c>
      <c r="O97" t="s">
        <v>34</v>
      </c>
      <c r="P97" t="s">
        <v>35</v>
      </c>
    </row>
    <row r="98" spans="1:16" x14ac:dyDescent="0.25">
      <c r="A98" t="s">
        <v>188</v>
      </c>
      <c r="B98" t="s">
        <v>189</v>
      </c>
      <c r="C98" t="s">
        <v>300</v>
      </c>
      <c r="D98" t="s">
        <v>32</v>
      </c>
      <c r="E98">
        <v>62</v>
      </c>
      <c r="F98" t="s">
        <v>301</v>
      </c>
      <c r="G98" s="3">
        <v>46171.777939814798</v>
      </c>
      <c r="H98" s="4">
        <v>45931</v>
      </c>
      <c r="I98" s="4">
        <v>46174</v>
      </c>
      <c r="J98" s="1">
        <v>746.56</v>
      </c>
      <c r="K98">
        <v>0.85</v>
      </c>
      <c r="L98">
        <v>1</v>
      </c>
      <c r="M98" s="1">
        <v>0</v>
      </c>
      <c r="N98" s="1">
        <v>52.88</v>
      </c>
      <c r="O98" t="s">
        <v>34</v>
      </c>
      <c r="P98" t="s">
        <v>35</v>
      </c>
    </row>
    <row r="99" spans="1:16" x14ac:dyDescent="0.25">
      <c r="A99" t="s">
        <v>180</v>
      </c>
      <c r="B99" t="s">
        <v>181</v>
      </c>
      <c r="C99" t="s">
        <v>302</v>
      </c>
      <c r="D99" t="s">
        <v>32</v>
      </c>
      <c r="E99">
        <v>63</v>
      </c>
      <c r="F99" t="s">
        <v>303</v>
      </c>
      <c r="G99" s="3">
        <v>46171.777939814798</v>
      </c>
      <c r="H99" s="4">
        <v>45911</v>
      </c>
      <c r="I99" s="4">
        <v>46184</v>
      </c>
      <c r="J99" s="1">
        <v>417.01</v>
      </c>
      <c r="K99">
        <v>0.85</v>
      </c>
      <c r="L99">
        <v>1</v>
      </c>
      <c r="M99" s="1">
        <v>0</v>
      </c>
      <c r="N99" s="1">
        <v>29.54</v>
      </c>
      <c r="O99" t="s">
        <v>34</v>
      </c>
      <c r="P99" t="s">
        <v>35</v>
      </c>
    </row>
    <row r="100" spans="1:16" x14ac:dyDescent="0.25">
      <c r="A100" t="s">
        <v>223</v>
      </c>
      <c r="B100" t="s">
        <v>224</v>
      </c>
      <c r="C100" t="s">
        <v>304</v>
      </c>
      <c r="D100" t="s">
        <v>193</v>
      </c>
      <c r="E100">
        <v>51</v>
      </c>
      <c r="F100" t="s">
        <v>305</v>
      </c>
      <c r="G100" s="3">
        <v>46171.777939814798</v>
      </c>
      <c r="H100" s="4">
        <v>45971</v>
      </c>
      <c r="I100" s="4">
        <v>46183</v>
      </c>
      <c r="J100" s="1">
        <v>221.06</v>
      </c>
      <c r="K100">
        <v>0.85</v>
      </c>
      <c r="L100">
        <v>1</v>
      </c>
      <c r="M100" s="1">
        <v>0</v>
      </c>
      <c r="N100" s="1">
        <v>15.65</v>
      </c>
      <c r="O100" t="s">
        <v>34</v>
      </c>
      <c r="P100" t="s">
        <v>35</v>
      </c>
    </row>
    <row r="101" spans="1:16" x14ac:dyDescent="0.25">
      <c r="A101" t="s">
        <v>281</v>
      </c>
      <c r="B101" t="s">
        <v>282</v>
      </c>
      <c r="C101" t="s">
        <v>306</v>
      </c>
      <c r="D101" t="s">
        <v>32</v>
      </c>
      <c r="E101">
        <v>71</v>
      </c>
      <c r="F101" t="s">
        <v>307</v>
      </c>
      <c r="G101" s="3">
        <v>46171.777939814798</v>
      </c>
      <c r="H101" s="4">
        <v>45992</v>
      </c>
      <c r="I101" s="4">
        <v>46174</v>
      </c>
      <c r="J101" s="1">
        <v>798.78</v>
      </c>
      <c r="K101">
        <v>0.85</v>
      </c>
      <c r="L101">
        <v>1</v>
      </c>
      <c r="M101" s="1">
        <v>0</v>
      </c>
      <c r="N101" s="1">
        <v>56.58</v>
      </c>
      <c r="O101" t="s">
        <v>285</v>
      </c>
      <c r="P101" t="s">
        <v>35</v>
      </c>
    </row>
    <row r="102" spans="1:16" x14ac:dyDescent="0.25">
      <c r="A102" t="s">
        <v>308</v>
      </c>
      <c r="B102" t="s">
        <v>309</v>
      </c>
      <c r="C102" t="s">
        <v>310</v>
      </c>
      <c r="D102" t="s">
        <v>32</v>
      </c>
      <c r="E102">
        <v>70</v>
      </c>
      <c r="F102" t="s">
        <v>311</v>
      </c>
      <c r="G102" s="3">
        <v>46171.777939814798</v>
      </c>
      <c r="H102" s="4">
        <v>45992</v>
      </c>
      <c r="I102" s="4">
        <v>46174</v>
      </c>
      <c r="J102" s="1">
        <v>551.12</v>
      </c>
      <c r="K102">
        <v>0.85</v>
      </c>
      <c r="L102">
        <v>1</v>
      </c>
      <c r="M102" s="1">
        <v>0</v>
      </c>
      <c r="N102" s="1">
        <v>39.03</v>
      </c>
      <c r="O102" t="s">
        <v>285</v>
      </c>
      <c r="P102" t="s">
        <v>35</v>
      </c>
    </row>
    <row r="103" spans="1:16" x14ac:dyDescent="0.25">
      <c r="A103" t="s">
        <v>135</v>
      </c>
      <c r="B103" t="s">
        <v>136</v>
      </c>
      <c r="C103" t="s">
        <v>312</v>
      </c>
      <c r="D103" t="s">
        <v>91</v>
      </c>
      <c r="E103">
        <v>73</v>
      </c>
      <c r="F103" t="s">
        <v>313</v>
      </c>
      <c r="G103" s="3">
        <v>46171.777939814798</v>
      </c>
      <c r="H103" s="4">
        <v>45951</v>
      </c>
      <c r="I103" s="4">
        <v>46194</v>
      </c>
      <c r="J103" s="1">
        <v>1022.2</v>
      </c>
      <c r="K103">
        <v>0.85</v>
      </c>
      <c r="L103">
        <v>1</v>
      </c>
      <c r="M103" s="1">
        <v>0</v>
      </c>
      <c r="N103" s="1">
        <v>72.400000000000006</v>
      </c>
      <c r="O103" t="s">
        <v>34</v>
      </c>
      <c r="P103" t="s">
        <v>35</v>
      </c>
    </row>
    <row r="104" spans="1:16" x14ac:dyDescent="0.25">
      <c r="A104" t="s">
        <v>227</v>
      </c>
      <c r="B104" t="s">
        <v>228</v>
      </c>
      <c r="C104" t="s">
        <v>314</v>
      </c>
      <c r="D104" t="s">
        <v>32</v>
      </c>
      <c r="E104">
        <v>65</v>
      </c>
      <c r="F104" t="s">
        <v>315</v>
      </c>
      <c r="G104" s="3">
        <v>46171.777939814798</v>
      </c>
      <c r="H104" s="4">
        <v>45962</v>
      </c>
      <c r="I104" s="4">
        <v>46174</v>
      </c>
      <c r="J104" s="1">
        <v>551.12</v>
      </c>
      <c r="K104">
        <v>0.85</v>
      </c>
      <c r="L104">
        <v>1</v>
      </c>
      <c r="M104" s="1">
        <v>0</v>
      </c>
      <c r="N104" s="1">
        <v>39.03</v>
      </c>
      <c r="O104" t="s">
        <v>34</v>
      </c>
      <c r="P104" t="s">
        <v>35</v>
      </c>
    </row>
    <row r="105" spans="1:16" x14ac:dyDescent="0.25">
      <c r="A105" t="s">
        <v>308</v>
      </c>
      <c r="B105" t="s">
        <v>309</v>
      </c>
      <c r="C105" t="s">
        <v>316</v>
      </c>
      <c r="D105" t="s">
        <v>32</v>
      </c>
      <c r="E105">
        <v>71</v>
      </c>
      <c r="F105" t="s">
        <v>317</v>
      </c>
      <c r="G105" s="3">
        <v>46171.777939814798</v>
      </c>
      <c r="H105" s="4">
        <v>45992</v>
      </c>
      <c r="I105" s="4">
        <v>46174</v>
      </c>
      <c r="J105" s="1">
        <v>777.28</v>
      </c>
      <c r="K105">
        <v>0.85</v>
      </c>
      <c r="L105">
        <v>1</v>
      </c>
      <c r="M105" s="1">
        <v>0</v>
      </c>
      <c r="N105" s="1">
        <v>55.05</v>
      </c>
      <c r="O105" t="s">
        <v>285</v>
      </c>
      <c r="P105" t="s">
        <v>35</v>
      </c>
    </row>
    <row r="106" spans="1:16" x14ac:dyDescent="0.25">
      <c r="A106" t="s">
        <v>135</v>
      </c>
      <c r="B106" t="s">
        <v>136</v>
      </c>
      <c r="C106" t="s">
        <v>318</v>
      </c>
      <c r="D106" t="s">
        <v>32</v>
      </c>
      <c r="E106">
        <v>64</v>
      </c>
      <c r="F106" t="s">
        <v>319</v>
      </c>
      <c r="G106" s="3">
        <v>46171.777939814798</v>
      </c>
      <c r="H106" s="4">
        <v>45951</v>
      </c>
      <c r="I106" s="4">
        <v>46194</v>
      </c>
      <c r="J106" s="1">
        <v>694.31</v>
      </c>
      <c r="K106">
        <v>0.85</v>
      </c>
      <c r="L106">
        <v>1</v>
      </c>
      <c r="M106" s="1">
        <v>0</v>
      </c>
      <c r="N106" s="1">
        <v>49.18</v>
      </c>
      <c r="O106" t="s">
        <v>34</v>
      </c>
      <c r="P106" t="s">
        <v>35</v>
      </c>
    </row>
    <row r="107" spans="1:16" x14ac:dyDescent="0.25">
      <c r="A107" t="s">
        <v>131</v>
      </c>
      <c r="B107" t="s">
        <v>132</v>
      </c>
      <c r="C107" t="s">
        <v>320</v>
      </c>
      <c r="D107" t="s">
        <v>62</v>
      </c>
      <c r="E107">
        <v>73</v>
      </c>
      <c r="F107" t="s">
        <v>321</v>
      </c>
      <c r="G107" s="3">
        <v>46171.777939814798</v>
      </c>
      <c r="H107" s="4">
        <v>45962</v>
      </c>
      <c r="I107" s="4">
        <v>46204</v>
      </c>
      <c r="J107" s="1">
        <v>1123.2</v>
      </c>
      <c r="K107">
        <v>0.75</v>
      </c>
      <c r="L107">
        <v>1</v>
      </c>
      <c r="M107" s="1">
        <v>0</v>
      </c>
      <c r="N107" s="1">
        <v>70.2</v>
      </c>
      <c r="O107" t="s">
        <v>322</v>
      </c>
      <c r="P107" t="s">
        <v>35</v>
      </c>
    </row>
    <row r="108" spans="1:16" x14ac:dyDescent="0.25">
      <c r="A108" t="s">
        <v>308</v>
      </c>
      <c r="B108" t="s">
        <v>309</v>
      </c>
      <c r="C108" t="s">
        <v>323</v>
      </c>
      <c r="D108" t="s">
        <v>32</v>
      </c>
      <c r="E108">
        <v>68</v>
      </c>
      <c r="F108" t="s">
        <v>324</v>
      </c>
      <c r="G108" s="3">
        <v>46171.777939814798</v>
      </c>
      <c r="H108" s="4">
        <v>45992</v>
      </c>
      <c r="I108" s="4">
        <v>46174</v>
      </c>
      <c r="J108" s="1">
        <v>551.12</v>
      </c>
      <c r="K108">
        <v>0.85</v>
      </c>
      <c r="L108">
        <v>1</v>
      </c>
      <c r="M108" s="1">
        <v>0</v>
      </c>
      <c r="N108" s="1">
        <v>39.03</v>
      </c>
      <c r="O108" t="s">
        <v>285</v>
      </c>
      <c r="P108" t="s">
        <v>35</v>
      </c>
    </row>
    <row r="109" spans="1:16" x14ac:dyDescent="0.25">
      <c r="A109" t="s">
        <v>325</v>
      </c>
      <c r="B109" t="s">
        <v>326</v>
      </c>
      <c r="C109" t="s">
        <v>327</v>
      </c>
      <c r="D109" t="s">
        <v>162</v>
      </c>
      <c r="E109">
        <v>64</v>
      </c>
      <c r="F109" t="s">
        <v>328</v>
      </c>
      <c r="G109" s="3">
        <v>46171.777939814798</v>
      </c>
      <c r="H109" s="4">
        <v>45957</v>
      </c>
      <c r="I109" s="4">
        <v>46200</v>
      </c>
      <c r="J109" s="1">
        <v>1140.55</v>
      </c>
      <c r="K109">
        <v>0.75</v>
      </c>
      <c r="L109">
        <v>1</v>
      </c>
      <c r="M109" s="1">
        <v>0</v>
      </c>
      <c r="N109" s="1">
        <v>71.28</v>
      </c>
      <c r="O109" t="s">
        <v>329</v>
      </c>
      <c r="P109" t="s">
        <v>35</v>
      </c>
    </row>
    <row r="110" spans="1:16" x14ac:dyDescent="0.25">
      <c r="A110" t="s">
        <v>258</v>
      </c>
      <c r="B110" t="s">
        <v>259</v>
      </c>
      <c r="C110" t="s">
        <v>330</v>
      </c>
      <c r="D110" t="s">
        <v>62</v>
      </c>
      <c r="E110">
        <v>64</v>
      </c>
      <c r="F110" t="s">
        <v>331</v>
      </c>
      <c r="G110" s="3">
        <v>46171.777939814798</v>
      </c>
      <c r="H110" s="4">
        <v>45962</v>
      </c>
      <c r="I110" s="4">
        <v>46235</v>
      </c>
      <c r="J110" s="1">
        <v>734.33</v>
      </c>
      <c r="K110">
        <v>0.8</v>
      </c>
      <c r="L110">
        <v>1</v>
      </c>
      <c r="M110" s="1">
        <v>0</v>
      </c>
      <c r="N110" s="1">
        <v>146.86000000000001</v>
      </c>
      <c r="O110" t="s">
        <v>112</v>
      </c>
      <c r="P110" t="s">
        <v>35</v>
      </c>
    </row>
    <row r="111" spans="1:16" x14ac:dyDescent="0.25">
      <c r="A111" t="s">
        <v>258</v>
      </c>
      <c r="B111" t="s">
        <v>259</v>
      </c>
      <c r="C111" t="s">
        <v>332</v>
      </c>
      <c r="D111" t="s">
        <v>62</v>
      </c>
      <c r="E111">
        <v>65</v>
      </c>
      <c r="F111" t="s">
        <v>333</v>
      </c>
      <c r="G111" s="3">
        <v>46171.777939814798</v>
      </c>
      <c r="H111" s="4">
        <v>46023</v>
      </c>
      <c r="I111" s="4">
        <v>46174</v>
      </c>
      <c r="J111" s="1">
        <v>968.68</v>
      </c>
      <c r="K111">
        <v>0.8</v>
      </c>
      <c r="L111">
        <v>1</v>
      </c>
      <c r="M111" s="1">
        <v>0</v>
      </c>
      <c r="N111" s="1">
        <v>64.58</v>
      </c>
      <c r="O111" t="s">
        <v>112</v>
      </c>
      <c r="P111" t="s">
        <v>35</v>
      </c>
    </row>
    <row r="112" spans="1:16" x14ac:dyDescent="0.25">
      <c r="A112" t="s">
        <v>334</v>
      </c>
      <c r="B112" t="s">
        <v>335</v>
      </c>
      <c r="C112" t="s">
        <v>336</v>
      </c>
      <c r="D112" t="s">
        <v>32</v>
      </c>
      <c r="E112">
        <v>60</v>
      </c>
      <c r="F112" t="s">
        <v>337</v>
      </c>
      <c r="G112" s="3">
        <v>46171.777939814798</v>
      </c>
      <c r="H112" s="4">
        <v>45970</v>
      </c>
      <c r="I112" s="4">
        <v>46212</v>
      </c>
      <c r="J112" s="1">
        <v>338.91</v>
      </c>
      <c r="K112">
        <v>0.85</v>
      </c>
      <c r="L112">
        <v>1</v>
      </c>
      <c r="M112" s="1">
        <v>0</v>
      </c>
      <c r="N112" s="1">
        <v>24</v>
      </c>
      <c r="O112" t="s">
        <v>34</v>
      </c>
      <c r="P112" t="s">
        <v>35</v>
      </c>
    </row>
    <row r="113" spans="1:16" x14ac:dyDescent="0.25">
      <c r="A113" t="s">
        <v>149</v>
      </c>
      <c r="B113" t="s">
        <v>150</v>
      </c>
      <c r="C113" t="s">
        <v>338</v>
      </c>
      <c r="D113" t="s">
        <v>32</v>
      </c>
      <c r="E113">
        <v>61</v>
      </c>
      <c r="F113" t="s">
        <v>339</v>
      </c>
      <c r="G113" s="3">
        <v>46171.777939814798</v>
      </c>
      <c r="H113" s="4">
        <v>45970</v>
      </c>
      <c r="I113" s="4">
        <v>46182</v>
      </c>
      <c r="J113" s="1">
        <v>694.31</v>
      </c>
      <c r="K113">
        <v>0.85</v>
      </c>
      <c r="L113">
        <v>1</v>
      </c>
      <c r="M113" s="1">
        <v>0</v>
      </c>
      <c r="N113" s="1">
        <v>49.18</v>
      </c>
      <c r="O113" t="s">
        <v>34</v>
      </c>
      <c r="P113" t="s">
        <v>35</v>
      </c>
    </row>
    <row r="114" spans="1:16" x14ac:dyDescent="0.25">
      <c r="A114" t="s">
        <v>308</v>
      </c>
      <c r="B114" t="s">
        <v>309</v>
      </c>
      <c r="C114" t="s">
        <v>340</v>
      </c>
      <c r="D114" t="s">
        <v>32</v>
      </c>
      <c r="E114">
        <v>65</v>
      </c>
      <c r="F114" t="s">
        <v>341</v>
      </c>
      <c r="G114" s="3">
        <v>46171.777939814798</v>
      </c>
      <c r="H114" s="4">
        <v>45992</v>
      </c>
      <c r="I114" s="4">
        <v>46174</v>
      </c>
      <c r="J114" s="1">
        <v>551.12</v>
      </c>
      <c r="K114">
        <v>0.85</v>
      </c>
      <c r="L114">
        <v>1</v>
      </c>
      <c r="M114" s="1">
        <v>0</v>
      </c>
      <c r="N114" s="1">
        <v>39.03</v>
      </c>
      <c r="O114" t="s">
        <v>285</v>
      </c>
      <c r="P114" t="s">
        <v>35</v>
      </c>
    </row>
    <row r="115" spans="1:16" x14ac:dyDescent="0.25">
      <c r="A115" t="s">
        <v>342</v>
      </c>
      <c r="B115" t="s">
        <v>343</v>
      </c>
      <c r="C115" t="s">
        <v>344</v>
      </c>
      <c r="D115" t="s">
        <v>62</v>
      </c>
      <c r="E115">
        <v>68</v>
      </c>
      <c r="F115" t="s">
        <v>345</v>
      </c>
      <c r="G115" s="3">
        <v>46171.777939814798</v>
      </c>
      <c r="H115" s="4">
        <v>46023</v>
      </c>
      <c r="I115" s="4">
        <v>46174</v>
      </c>
      <c r="J115" s="1">
        <v>922.8</v>
      </c>
      <c r="K115">
        <v>0.75</v>
      </c>
      <c r="L115">
        <v>1</v>
      </c>
      <c r="M115" s="1">
        <v>0</v>
      </c>
      <c r="N115" s="1">
        <v>57.68</v>
      </c>
      <c r="O115" t="s">
        <v>322</v>
      </c>
      <c r="P115" t="s">
        <v>35</v>
      </c>
    </row>
    <row r="116" spans="1:16" x14ac:dyDescent="0.25">
      <c r="A116" t="s">
        <v>135</v>
      </c>
      <c r="B116" t="s">
        <v>136</v>
      </c>
      <c r="C116" t="s">
        <v>346</v>
      </c>
      <c r="D116" t="s">
        <v>32</v>
      </c>
      <c r="E116">
        <v>66</v>
      </c>
      <c r="F116" t="s">
        <v>347</v>
      </c>
      <c r="G116" s="3">
        <v>46171.777939814798</v>
      </c>
      <c r="H116" s="4">
        <v>45971</v>
      </c>
      <c r="I116" s="4">
        <v>46183</v>
      </c>
      <c r="J116" s="1">
        <v>927.47</v>
      </c>
      <c r="K116">
        <v>0.85</v>
      </c>
      <c r="L116">
        <v>1</v>
      </c>
      <c r="M116" s="1">
        <v>0</v>
      </c>
      <c r="N116" s="1">
        <v>65.7</v>
      </c>
      <c r="O116" t="s">
        <v>34</v>
      </c>
      <c r="P116" t="s">
        <v>35</v>
      </c>
    </row>
    <row r="117" spans="1:16" x14ac:dyDescent="0.25">
      <c r="A117" t="s">
        <v>308</v>
      </c>
      <c r="B117" t="s">
        <v>309</v>
      </c>
      <c r="C117" t="s">
        <v>348</v>
      </c>
      <c r="D117" t="s">
        <v>32</v>
      </c>
      <c r="E117">
        <v>70</v>
      </c>
      <c r="F117" t="s">
        <v>349</v>
      </c>
      <c r="G117" s="3">
        <v>46171.777939814798</v>
      </c>
      <c r="H117" s="4">
        <v>45992</v>
      </c>
      <c r="I117" s="4">
        <v>46204</v>
      </c>
      <c r="J117" s="1">
        <v>551.12</v>
      </c>
      <c r="K117">
        <v>0.85</v>
      </c>
      <c r="L117">
        <v>1</v>
      </c>
      <c r="M117" s="1">
        <v>0</v>
      </c>
      <c r="N117" s="1">
        <v>39.03</v>
      </c>
      <c r="O117" t="s">
        <v>285</v>
      </c>
      <c r="P117" t="s">
        <v>35</v>
      </c>
    </row>
    <row r="118" spans="1:16" x14ac:dyDescent="0.25">
      <c r="A118" t="s">
        <v>308</v>
      </c>
      <c r="B118" t="s">
        <v>309</v>
      </c>
      <c r="C118" t="s">
        <v>350</v>
      </c>
      <c r="D118" t="s">
        <v>32</v>
      </c>
      <c r="E118">
        <v>66</v>
      </c>
      <c r="F118" t="s">
        <v>351</v>
      </c>
      <c r="G118" s="3">
        <v>46171.777939814798</v>
      </c>
      <c r="H118" s="4">
        <v>45992</v>
      </c>
      <c r="I118" s="4">
        <v>46174</v>
      </c>
      <c r="J118" s="1">
        <v>551.12</v>
      </c>
      <c r="K118">
        <v>0.85</v>
      </c>
      <c r="L118">
        <v>1</v>
      </c>
      <c r="M118" s="1">
        <v>0</v>
      </c>
      <c r="N118" s="1">
        <v>39.03</v>
      </c>
      <c r="O118" t="s">
        <v>285</v>
      </c>
      <c r="P118" t="s">
        <v>35</v>
      </c>
    </row>
    <row r="119" spans="1:16" x14ac:dyDescent="0.25">
      <c r="A119" t="s">
        <v>82</v>
      </c>
      <c r="B119" t="s">
        <v>83</v>
      </c>
      <c r="C119" t="s">
        <v>352</v>
      </c>
      <c r="D119" t="s">
        <v>62</v>
      </c>
      <c r="E119">
        <v>64</v>
      </c>
      <c r="F119" t="s">
        <v>353</v>
      </c>
      <c r="G119" s="3">
        <v>46171.777939814798</v>
      </c>
      <c r="H119" s="4">
        <v>45962</v>
      </c>
      <c r="I119" s="4">
        <v>46174</v>
      </c>
      <c r="J119" s="1">
        <v>772.8</v>
      </c>
      <c r="K119">
        <v>0.8</v>
      </c>
      <c r="L119">
        <v>1</v>
      </c>
      <c r="M119" s="1">
        <v>0</v>
      </c>
      <c r="N119" s="1">
        <v>51.52</v>
      </c>
      <c r="O119" t="s">
        <v>34</v>
      </c>
      <c r="P119" t="s">
        <v>35</v>
      </c>
    </row>
    <row r="120" spans="1:16" x14ac:dyDescent="0.25">
      <c r="A120" t="s">
        <v>29</v>
      </c>
      <c r="B120" t="s">
        <v>30</v>
      </c>
      <c r="C120" t="s">
        <v>354</v>
      </c>
      <c r="D120" t="s">
        <v>62</v>
      </c>
      <c r="E120">
        <v>64</v>
      </c>
      <c r="F120" t="s">
        <v>355</v>
      </c>
      <c r="G120" s="3">
        <v>46171.777939814798</v>
      </c>
      <c r="H120" s="4">
        <v>45962</v>
      </c>
      <c r="I120" s="4">
        <v>46174</v>
      </c>
      <c r="J120" s="1">
        <v>1196.4000000000001</v>
      </c>
      <c r="K120">
        <v>0.8</v>
      </c>
      <c r="L120">
        <v>1</v>
      </c>
      <c r="M120" s="1">
        <v>0</v>
      </c>
      <c r="N120" s="1">
        <v>79.760000000000005</v>
      </c>
      <c r="O120" t="s">
        <v>34</v>
      </c>
      <c r="P120" t="s">
        <v>35</v>
      </c>
    </row>
    <row r="121" spans="1:16" x14ac:dyDescent="0.25">
      <c r="A121" t="s">
        <v>82</v>
      </c>
      <c r="B121" t="s">
        <v>83</v>
      </c>
      <c r="C121" t="s">
        <v>356</v>
      </c>
      <c r="D121" t="s">
        <v>256</v>
      </c>
      <c r="E121">
        <v>66</v>
      </c>
      <c r="F121" t="s">
        <v>357</v>
      </c>
      <c r="G121" s="3">
        <v>46171.777939814798</v>
      </c>
      <c r="H121" s="4">
        <v>45964</v>
      </c>
      <c r="I121" s="4">
        <v>46176</v>
      </c>
      <c r="J121" s="1">
        <v>992.4</v>
      </c>
      <c r="K121">
        <v>0.8</v>
      </c>
      <c r="L121">
        <v>1</v>
      </c>
      <c r="M121" s="1">
        <v>0</v>
      </c>
      <c r="N121" s="1">
        <v>66.16</v>
      </c>
      <c r="O121" t="s">
        <v>34</v>
      </c>
      <c r="P121" t="s">
        <v>35</v>
      </c>
    </row>
    <row r="122" spans="1:16" x14ac:dyDescent="0.25">
      <c r="A122" t="s">
        <v>308</v>
      </c>
      <c r="B122" t="s">
        <v>309</v>
      </c>
      <c r="C122" t="s">
        <v>358</v>
      </c>
      <c r="D122" t="s">
        <v>32</v>
      </c>
      <c r="E122">
        <v>68</v>
      </c>
      <c r="F122" t="s">
        <v>359</v>
      </c>
      <c r="G122" s="3">
        <v>46171.777939814798</v>
      </c>
      <c r="H122" s="4">
        <v>45962</v>
      </c>
      <c r="I122" s="4">
        <v>46174</v>
      </c>
      <c r="J122" s="1">
        <v>551.12</v>
      </c>
      <c r="K122">
        <v>0.85</v>
      </c>
      <c r="L122">
        <v>1</v>
      </c>
      <c r="M122" s="1">
        <v>0</v>
      </c>
      <c r="N122" s="1">
        <v>39.03</v>
      </c>
      <c r="O122" t="s">
        <v>285</v>
      </c>
      <c r="P122" t="s">
        <v>35</v>
      </c>
    </row>
    <row r="123" spans="1:16" x14ac:dyDescent="0.25">
      <c r="A123" t="s">
        <v>68</v>
      </c>
      <c r="B123" t="s">
        <v>69</v>
      </c>
      <c r="C123" t="s">
        <v>360</v>
      </c>
      <c r="D123" t="s">
        <v>32</v>
      </c>
      <c r="E123">
        <v>71</v>
      </c>
      <c r="F123" t="s">
        <v>361</v>
      </c>
      <c r="G123" s="3">
        <v>46171.777939814798</v>
      </c>
      <c r="H123" s="4">
        <v>45953</v>
      </c>
      <c r="I123" s="4">
        <v>46196</v>
      </c>
      <c r="J123" s="1">
        <v>1247.1099999999999</v>
      </c>
      <c r="K123">
        <v>0.85</v>
      </c>
      <c r="L123">
        <v>1</v>
      </c>
      <c r="M123" s="1">
        <v>0</v>
      </c>
      <c r="N123" s="1">
        <v>88.34</v>
      </c>
      <c r="O123" t="s">
        <v>34</v>
      </c>
      <c r="P123" t="s">
        <v>35</v>
      </c>
    </row>
    <row r="124" spans="1:16" x14ac:dyDescent="0.25">
      <c r="A124" t="s">
        <v>99</v>
      </c>
      <c r="B124" t="s">
        <v>100</v>
      </c>
      <c r="C124" t="s">
        <v>362</v>
      </c>
      <c r="D124" t="s">
        <v>110</v>
      </c>
      <c r="E124">
        <v>79</v>
      </c>
      <c r="F124" t="s">
        <v>363</v>
      </c>
      <c r="G124" s="3">
        <v>46171.777939814798</v>
      </c>
      <c r="H124" s="4">
        <v>46022</v>
      </c>
      <c r="I124" s="4">
        <v>46173</v>
      </c>
      <c r="J124" s="1">
        <v>516</v>
      </c>
      <c r="K124">
        <v>0.8</v>
      </c>
      <c r="L124">
        <v>1</v>
      </c>
      <c r="M124" s="1">
        <v>0</v>
      </c>
      <c r="N124" s="1">
        <v>34.4</v>
      </c>
      <c r="O124" t="s">
        <v>34</v>
      </c>
      <c r="P124" t="s">
        <v>35</v>
      </c>
    </row>
    <row r="125" spans="1:16" x14ac:dyDescent="0.25">
      <c r="A125" t="s">
        <v>82</v>
      </c>
      <c r="B125" t="s">
        <v>83</v>
      </c>
      <c r="C125" t="s">
        <v>364</v>
      </c>
      <c r="D125" t="s">
        <v>110</v>
      </c>
      <c r="E125">
        <v>64</v>
      </c>
      <c r="F125" t="s">
        <v>365</v>
      </c>
      <c r="G125" s="3">
        <v>46171.777939814798</v>
      </c>
      <c r="H125" s="4">
        <v>45962</v>
      </c>
      <c r="I125" s="4">
        <v>46174</v>
      </c>
      <c r="J125" s="1">
        <v>542.38</v>
      </c>
      <c r="K125">
        <v>0.8</v>
      </c>
      <c r="L125">
        <v>1</v>
      </c>
      <c r="M125" s="1">
        <v>0</v>
      </c>
      <c r="N125" s="1">
        <v>36.159999999999997</v>
      </c>
      <c r="O125" t="s">
        <v>34</v>
      </c>
      <c r="P125" t="s">
        <v>35</v>
      </c>
    </row>
    <row r="126" spans="1:16" x14ac:dyDescent="0.25">
      <c r="A126" t="s">
        <v>82</v>
      </c>
      <c r="B126" t="s">
        <v>83</v>
      </c>
      <c r="C126" t="s">
        <v>366</v>
      </c>
      <c r="D126" t="s">
        <v>110</v>
      </c>
      <c r="E126">
        <v>67</v>
      </c>
      <c r="F126" t="s">
        <v>367</v>
      </c>
      <c r="G126" s="3">
        <v>46171.777939814798</v>
      </c>
      <c r="H126" s="4">
        <v>45962</v>
      </c>
      <c r="I126" s="4">
        <v>46174</v>
      </c>
      <c r="J126" s="1">
        <v>584.78</v>
      </c>
      <c r="K126">
        <v>0.8</v>
      </c>
      <c r="L126">
        <v>1</v>
      </c>
      <c r="M126" s="1">
        <v>0</v>
      </c>
      <c r="N126" s="1">
        <v>38.979999999999997</v>
      </c>
      <c r="O126" t="s">
        <v>34</v>
      </c>
      <c r="P126" t="s">
        <v>35</v>
      </c>
    </row>
    <row r="127" spans="1:16" x14ac:dyDescent="0.25">
      <c r="A127" t="s">
        <v>36</v>
      </c>
      <c r="B127" t="s">
        <v>37</v>
      </c>
      <c r="C127" t="s">
        <v>368</v>
      </c>
      <c r="D127" t="s">
        <v>62</v>
      </c>
      <c r="E127">
        <v>64</v>
      </c>
      <c r="F127" t="s">
        <v>369</v>
      </c>
      <c r="G127" s="3">
        <v>46171.777939814798</v>
      </c>
      <c r="H127" s="4">
        <v>45962</v>
      </c>
      <c r="I127" s="4">
        <v>46174</v>
      </c>
      <c r="J127" s="1">
        <v>1392</v>
      </c>
      <c r="K127">
        <v>0.8</v>
      </c>
      <c r="L127">
        <v>1</v>
      </c>
      <c r="M127" s="1">
        <v>0</v>
      </c>
      <c r="N127" s="1">
        <v>92.8</v>
      </c>
      <c r="O127" t="s">
        <v>34</v>
      </c>
      <c r="P127" t="s">
        <v>35</v>
      </c>
    </row>
    <row r="128" spans="1:16" x14ac:dyDescent="0.25">
      <c r="A128" t="s">
        <v>68</v>
      </c>
      <c r="B128" t="s">
        <v>69</v>
      </c>
      <c r="C128" t="s">
        <v>370</v>
      </c>
      <c r="D128" t="s">
        <v>62</v>
      </c>
      <c r="E128">
        <v>64</v>
      </c>
      <c r="F128" t="s">
        <v>371</v>
      </c>
      <c r="G128" s="3">
        <v>46171.777939814798</v>
      </c>
      <c r="H128" s="4">
        <v>45940</v>
      </c>
      <c r="I128" s="4">
        <v>46183</v>
      </c>
      <c r="J128" s="1">
        <v>747.72</v>
      </c>
      <c r="K128">
        <v>0.8</v>
      </c>
      <c r="L128">
        <v>1</v>
      </c>
      <c r="M128" s="1">
        <v>0</v>
      </c>
      <c r="N128" s="1">
        <v>49.84</v>
      </c>
      <c r="O128" t="s">
        <v>34</v>
      </c>
      <c r="P128" t="s">
        <v>35</v>
      </c>
    </row>
    <row r="129" spans="1:16" x14ac:dyDescent="0.25">
      <c r="A129" t="s">
        <v>135</v>
      </c>
      <c r="B129" t="s">
        <v>136</v>
      </c>
      <c r="C129" t="s">
        <v>372</v>
      </c>
      <c r="D129" t="s">
        <v>62</v>
      </c>
      <c r="E129">
        <v>66</v>
      </c>
      <c r="F129" t="s">
        <v>373</v>
      </c>
      <c r="G129" s="3">
        <v>46171.777939814798</v>
      </c>
      <c r="H129" s="4">
        <v>45953</v>
      </c>
      <c r="I129" s="4">
        <v>46165</v>
      </c>
      <c r="J129" s="1">
        <v>762</v>
      </c>
      <c r="K129">
        <v>0.8</v>
      </c>
      <c r="L129">
        <v>1</v>
      </c>
      <c r="M129" s="1">
        <v>0</v>
      </c>
      <c r="N129" s="1">
        <v>50.8</v>
      </c>
      <c r="O129" t="s">
        <v>34</v>
      </c>
      <c r="P129" t="s">
        <v>35</v>
      </c>
    </row>
    <row r="130" spans="1:16" x14ac:dyDescent="0.25">
      <c r="A130" t="s">
        <v>135</v>
      </c>
      <c r="B130" t="s">
        <v>136</v>
      </c>
      <c r="C130" t="s">
        <v>374</v>
      </c>
      <c r="D130" t="s">
        <v>32</v>
      </c>
      <c r="E130">
        <v>66</v>
      </c>
      <c r="F130" t="s">
        <v>375</v>
      </c>
      <c r="G130" s="3">
        <v>46171.777939814798</v>
      </c>
      <c r="H130" s="4">
        <v>45953</v>
      </c>
      <c r="I130" s="4">
        <v>46165</v>
      </c>
      <c r="J130" s="1">
        <v>551.12</v>
      </c>
      <c r="K130">
        <v>0.85</v>
      </c>
      <c r="L130">
        <v>1</v>
      </c>
      <c r="M130" s="1">
        <v>0</v>
      </c>
      <c r="N130" s="1">
        <v>39.03</v>
      </c>
      <c r="O130" t="s">
        <v>34</v>
      </c>
      <c r="P130" t="s">
        <v>35</v>
      </c>
    </row>
    <row r="131" spans="1:16" x14ac:dyDescent="0.25">
      <c r="A131" t="s">
        <v>376</v>
      </c>
      <c r="B131" t="s">
        <v>377</v>
      </c>
      <c r="C131" t="s">
        <v>378</v>
      </c>
      <c r="D131" t="s">
        <v>379</v>
      </c>
      <c r="E131">
        <v>64</v>
      </c>
      <c r="F131" t="s">
        <v>380</v>
      </c>
      <c r="G131" s="3">
        <v>46171.777939814798</v>
      </c>
      <c r="H131" s="4">
        <v>45954</v>
      </c>
      <c r="I131" s="4">
        <v>46197</v>
      </c>
      <c r="J131" s="1">
        <v>709.77</v>
      </c>
      <c r="K131">
        <v>0.8</v>
      </c>
      <c r="L131">
        <v>1</v>
      </c>
      <c r="M131" s="1">
        <v>0</v>
      </c>
      <c r="N131" s="1">
        <v>47.32</v>
      </c>
      <c r="O131" t="s">
        <v>112</v>
      </c>
      <c r="P131" t="s">
        <v>35</v>
      </c>
    </row>
    <row r="132" spans="1:16" x14ac:dyDescent="0.25">
      <c r="A132" t="s">
        <v>139</v>
      </c>
      <c r="B132" t="s">
        <v>140</v>
      </c>
      <c r="C132" t="s">
        <v>381</v>
      </c>
      <c r="D132" t="s">
        <v>32</v>
      </c>
      <c r="E132">
        <v>67</v>
      </c>
      <c r="F132" t="s">
        <v>382</v>
      </c>
      <c r="G132" s="3">
        <v>46171.777939814798</v>
      </c>
      <c r="H132" s="4">
        <v>45939</v>
      </c>
      <c r="I132" s="4">
        <v>46182</v>
      </c>
      <c r="J132" s="1">
        <v>806.41</v>
      </c>
      <c r="K132">
        <v>0.85</v>
      </c>
      <c r="L132">
        <v>1</v>
      </c>
      <c r="M132" s="1">
        <v>0</v>
      </c>
      <c r="N132" s="1">
        <v>57.12</v>
      </c>
      <c r="O132" t="s">
        <v>34</v>
      </c>
      <c r="P132" t="s">
        <v>35</v>
      </c>
    </row>
    <row r="133" spans="1:16" x14ac:dyDescent="0.25">
      <c r="A133" t="s">
        <v>227</v>
      </c>
      <c r="B133" t="s">
        <v>228</v>
      </c>
      <c r="C133" t="s">
        <v>383</v>
      </c>
      <c r="D133" t="s">
        <v>32</v>
      </c>
      <c r="E133">
        <v>70</v>
      </c>
      <c r="F133" t="s">
        <v>384</v>
      </c>
      <c r="G133" s="3">
        <v>46171.777939814798</v>
      </c>
      <c r="H133" s="4">
        <v>45962</v>
      </c>
      <c r="I133" s="4">
        <v>46174</v>
      </c>
      <c r="J133" s="1">
        <v>530.86</v>
      </c>
      <c r="K133">
        <v>0.85</v>
      </c>
      <c r="L133">
        <v>1</v>
      </c>
      <c r="M133" s="1">
        <v>0</v>
      </c>
      <c r="N133" s="1">
        <v>37.6</v>
      </c>
      <c r="O133" t="s">
        <v>34</v>
      </c>
      <c r="P133" t="s">
        <v>35</v>
      </c>
    </row>
    <row r="134" spans="1:16" x14ac:dyDescent="0.25">
      <c r="A134" t="s">
        <v>281</v>
      </c>
      <c r="B134" t="s">
        <v>282</v>
      </c>
      <c r="C134" t="s">
        <v>385</v>
      </c>
      <c r="D134" t="s">
        <v>32</v>
      </c>
      <c r="E134">
        <v>67</v>
      </c>
      <c r="F134" t="s">
        <v>386</v>
      </c>
      <c r="G134" s="3">
        <v>46171.777939814798</v>
      </c>
      <c r="H134" s="4">
        <v>45962</v>
      </c>
      <c r="I134" s="4">
        <v>46174</v>
      </c>
      <c r="J134" s="1">
        <v>530.86</v>
      </c>
      <c r="K134">
        <v>0.85</v>
      </c>
      <c r="L134">
        <v>1</v>
      </c>
      <c r="M134" s="1">
        <v>0</v>
      </c>
      <c r="N134" s="1">
        <v>37.6</v>
      </c>
      <c r="O134" t="s">
        <v>285</v>
      </c>
      <c r="P134" t="s">
        <v>35</v>
      </c>
    </row>
    <row r="135" spans="1:16" x14ac:dyDescent="0.25">
      <c r="A135" t="s">
        <v>308</v>
      </c>
      <c r="B135" t="s">
        <v>309</v>
      </c>
      <c r="C135" t="s">
        <v>387</v>
      </c>
      <c r="D135" t="s">
        <v>32</v>
      </c>
      <c r="E135">
        <v>68</v>
      </c>
      <c r="F135" t="s">
        <v>388</v>
      </c>
      <c r="G135" s="3">
        <v>46171.777939814798</v>
      </c>
      <c r="H135" s="4">
        <v>45960</v>
      </c>
      <c r="I135" s="4">
        <v>46203</v>
      </c>
      <c r="J135" s="1">
        <v>551.12</v>
      </c>
      <c r="K135">
        <v>0.85</v>
      </c>
      <c r="L135">
        <v>1</v>
      </c>
      <c r="M135" s="1">
        <v>0</v>
      </c>
      <c r="N135" s="1">
        <v>39.03</v>
      </c>
      <c r="O135" t="s">
        <v>285</v>
      </c>
      <c r="P135" t="s">
        <v>35</v>
      </c>
    </row>
    <row r="136" spans="1:16" x14ac:dyDescent="0.25">
      <c r="A136" t="s">
        <v>82</v>
      </c>
      <c r="B136" t="s">
        <v>83</v>
      </c>
      <c r="C136" t="s">
        <v>389</v>
      </c>
      <c r="D136" t="s">
        <v>110</v>
      </c>
      <c r="E136">
        <v>66</v>
      </c>
      <c r="F136" t="s">
        <v>390</v>
      </c>
      <c r="G136" s="3">
        <v>46171.777939814798</v>
      </c>
      <c r="H136" s="4">
        <v>45970</v>
      </c>
      <c r="I136" s="4">
        <v>46182</v>
      </c>
      <c r="J136" s="1">
        <v>820.8</v>
      </c>
      <c r="K136">
        <v>0.8</v>
      </c>
      <c r="L136">
        <v>1</v>
      </c>
      <c r="M136" s="1">
        <v>0</v>
      </c>
      <c r="N136" s="1">
        <v>54.72</v>
      </c>
      <c r="O136" t="s">
        <v>34</v>
      </c>
      <c r="P136" t="s">
        <v>35</v>
      </c>
    </row>
    <row r="137" spans="1:16" x14ac:dyDescent="0.25">
      <c r="A137" t="s">
        <v>188</v>
      </c>
      <c r="B137" t="s">
        <v>189</v>
      </c>
      <c r="C137" t="s">
        <v>391</v>
      </c>
      <c r="D137" t="s">
        <v>193</v>
      </c>
      <c r="E137">
        <v>74</v>
      </c>
      <c r="F137" t="s">
        <v>392</v>
      </c>
      <c r="G137" s="3">
        <v>46171.777939814798</v>
      </c>
      <c r="H137" s="4">
        <v>46016</v>
      </c>
      <c r="I137" s="4">
        <v>46198</v>
      </c>
      <c r="J137" s="1">
        <v>557.94000000000005</v>
      </c>
      <c r="K137">
        <v>0.85</v>
      </c>
      <c r="L137">
        <v>1</v>
      </c>
      <c r="M137" s="1">
        <v>0</v>
      </c>
      <c r="N137" s="1">
        <v>39.520000000000003</v>
      </c>
      <c r="O137" t="s">
        <v>34</v>
      </c>
      <c r="P137" t="s">
        <v>35</v>
      </c>
    </row>
    <row r="138" spans="1:16" x14ac:dyDescent="0.25">
      <c r="A138" t="s">
        <v>188</v>
      </c>
      <c r="B138" t="s">
        <v>189</v>
      </c>
      <c r="C138" t="s">
        <v>393</v>
      </c>
      <c r="D138" t="s">
        <v>193</v>
      </c>
      <c r="E138">
        <v>76</v>
      </c>
      <c r="F138" t="s">
        <v>394</v>
      </c>
      <c r="G138" s="3">
        <v>46171.777939814798</v>
      </c>
      <c r="H138" s="4">
        <v>46016</v>
      </c>
      <c r="I138" s="4">
        <v>46198</v>
      </c>
      <c r="J138" s="1">
        <v>470.1</v>
      </c>
      <c r="K138">
        <v>0.8</v>
      </c>
      <c r="L138">
        <v>1</v>
      </c>
      <c r="M138" s="1">
        <v>0</v>
      </c>
      <c r="N138" s="1">
        <v>31.34</v>
      </c>
      <c r="O138" t="s">
        <v>34</v>
      </c>
      <c r="P138" t="s">
        <v>35</v>
      </c>
    </row>
    <row r="139" spans="1:16" x14ac:dyDescent="0.25">
      <c r="A139" t="s">
        <v>308</v>
      </c>
      <c r="B139" t="s">
        <v>309</v>
      </c>
      <c r="C139" t="s">
        <v>395</v>
      </c>
      <c r="D139" t="s">
        <v>32</v>
      </c>
      <c r="E139">
        <v>69</v>
      </c>
      <c r="F139" t="s">
        <v>396</v>
      </c>
      <c r="G139" s="3">
        <v>46171.777939814798</v>
      </c>
      <c r="H139" s="4">
        <v>45992</v>
      </c>
      <c r="I139" s="4">
        <v>46174</v>
      </c>
      <c r="J139" s="1">
        <v>551.12</v>
      </c>
      <c r="K139">
        <v>0.85</v>
      </c>
      <c r="L139">
        <v>1</v>
      </c>
      <c r="M139" s="1">
        <v>0</v>
      </c>
      <c r="N139" s="1">
        <v>39.03</v>
      </c>
      <c r="O139" t="s">
        <v>285</v>
      </c>
      <c r="P139" t="s">
        <v>35</v>
      </c>
    </row>
    <row r="140" spans="1:16" x14ac:dyDescent="0.25">
      <c r="A140" t="s">
        <v>36</v>
      </c>
      <c r="B140" t="s">
        <v>37</v>
      </c>
      <c r="C140" t="s">
        <v>397</v>
      </c>
      <c r="D140" t="s">
        <v>39</v>
      </c>
      <c r="E140">
        <v>64</v>
      </c>
      <c r="F140" t="s">
        <v>398</v>
      </c>
      <c r="G140" s="3">
        <v>46171.777939814798</v>
      </c>
      <c r="H140" s="4">
        <v>45992</v>
      </c>
      <c r="I140" s="4">
        <v>46174</v>
      </c>
      <c r="J140" s="1">
        <v>766.69</v>
      </c>
      <c r="K140">
        <v>0.8</v>
      </c>
      <c r="L140">
        <v>1</v>
      </c>
      <c r="M140" s="1">
        <v>0</v>
      </c>
      <c r="N140" s="1">
        <v>51.11</v>
      </c>
      <c r="O140" t="s">
        <v>34</v>
      </c>
      <c r="P140" t="s">
        <v>35</v>
      </c>
    </row>
    <row r="141" spans="1:16" x14ac:dyDescent="0.25">
      <c r="A141" t="s">
        <v>167</v>
      </c>
      <c r="B141" t="s">
        <v>168</v>
      </c>
      <c r="C141" t="s">
        <v>399</v>
      </c>
      <c r="D141" t="s">
        <v>62</v>
      </c>
      <c r="E141">
        <v>66</v>
      </c>
      <c r="F141" t="s">
        <v>400</v>
      </c>
      <c r="G141" s="3">
        <v>46171.777939814798</v>
      </c>
      <c r="H141" s="4">
        <v>46023</v>
      </c>
      <c r="I141" s="4">
        <v>46174</v>
      </c>
      <c r="J141" s="1">
        <v>918.48</v>
      </c>
      <c r="K141">
        <v>0.8</v>
      </c>
      <c r="L141">
        <v>1</v>
      </c>
      <c r="M141" s="1">
        <v>0</v>
      </c>
      <c r="N141" s="1">
        <v>61.23</v>
      </c>
      <c r="O141" t="s">
        <v>112</v>
      </c>
      <c r="P141" t="s">
        <v>35</v>
      </c>
    </row>
    <row r="142" spans="1:16" x14ac:dyDescent="0.25">
      <c r="A142" t="s">
        <v>258</v>
      </c>
      <c r="B142" t="s">
        <v>259</v>
      </c>
      <c r="C142" t="s">
        <v>401</v>
      </c>
      <c r="D142" t="s">
        <v>193</v>
      </c>
      <c r="E142">
        <v>71</v>
      </c>
      <c r="F142" t="s">
        <v>402</v>
      </c>
      <c r="G142" s="3">
        <v>46171.777939814798</v>
      </c>
      <c r="H142" s="4">
        <v>45962</v>
      </c>
      <c r="I142" s="4">
        <v>46174</v>
      </c>
      <c r="J142" s="1">
        <v>544.85</v>
      </c>
      <c r="K142">
        <v>0.85</v>
      </c>
      <c r="L142">
        <v>1</v>
      </c>
      <c r="M142" s="1">
        <v>0</v>
      </c>
      <c r="N142" s="1">
        <v>38.58</v>
      </c>
      <c r="O142" t="s">
        <v>112</v>
      </c>
      <c r="P142" t="s">
        <v>35</v>
      </c>
    </row>
    <row r="143" spans="1:16" x14ac:dyDescent="0.25">
      <c r="A143" t="s">
        <v>139</v>
      </c>
      <c r="B143" t="s">
        <v>140</v>
      </c>
      <c r="C143" t="s">
        <v>403</v>
      </c>
      <c r="D143" t="s">
        <v>62</v>
      </c>
      <c r="E143">
        <v>72</v>
      </c>
      <c r="F143" t="s">
        <v>404</v>
      </c>
      <c r="G143" s="3">
        <v>46171.777939814798</v>
      </c>
      <c r="H143" s="4">
        <v>46023</v>
      </c>
      <c r="I143" s="4">
        <v>46204</v>
      </c>
      <c r="J143" s="1">
        <v>1314</v>
      </c>
      <c r="K143">
        <v>0.8</v>
      </c>
      <c r="L143">
        <v>1</v>
      </c>
      <c r="M143" s="1">
        <v>0</v>
      </c>
      <c r="N143" s="1">
        <v>87.6</v>
      </c>
      <c r="O143" t="s">
        <v>34</v>
      </c>
      <c r="P143" t="s">
        <v>35</v>
      </c>
    </row>
    <row r="144" spans="1:16" x14ac:dyDescent="0.25">
      <c r="A144" t="s">
        <v>68</v>
      </c>
      <c r="B144" t="s">
        <v>69</v>
      </c>
      <c r="C144" t="s">
        <v>405</v>
      </c>
      <c r="D144" t="s">
        <v>32</v>
      </c>
      <c r="E144">
        <v>64</v>
      </c>
      <c r="F144" t="s">
        <v>406</v>
      </c>
      <c r="G144" s="3">
        <v>46171.777939814798</v>
      </c>
      <c r="H144" s="4">
        <v>45962</v>
      </c>
      <c r="I144" s="4">
        <v>46174</v>
      </c>
      <c r="J144" s="1">
        <v>717.34</v>
      </c>
      <c r="K144">
        <v>0.85</v>
      </c>
      <c r="L144">
        <v>1</v>
      </c>
      <c r="M144" s="1">
        <v>0</v>
      </c>
      <c r="N144" s="1">
        <v>50.81</v>
      </c>
      <c r="O144" t="s">
        <v>34</v>
      </c>
      <c r="P144" t="s">
        <v>35</v>
      </c>
    </row>
    <row r="145" spans="1:16" x14ac:dyDescent="0.25">
      <c r="A145" t="s">
        <v>153</v>
      </c>
      <c r="B145" t="s">
        <v>154</v>
      </c>
      <c r="C145" t="s">
        <v>407</v>
      </c>
      <c r="D145" t="s">
        <v>32</v>
      </c>
      <c r="E145">
        <v>69</v>
      </c>
      <c r="F145" t="s">
        <v>408</v>
      </c>
      <c r="G145" s="3">
        <v>46171.777939814798</v>
      </c>
      <c r="H145" s="4">
        <v>45911</v>
      </c>
      <c r="I145" s="4">
        <v>46184</v>
      </c>
      <c r="J145" s="1">
        <v>879.16</v>
      </c>
      <c r="K145">
        <v>0.85</v>
      </c>
      <c r="L145">
        <v>1</v>
      </c>
      <c r="M145" s="1">
        <v>0</v>
      </c>
      <c r="N145" s="1">
        <v>62.27</v>
      </c>
      <c r="O145" t="s">
        <v>34</v>
      </c>
      <c r="P145" t="s">
        <v>35</v>
      </c>
    </row>
    <row r="146" spans="1:16" x14ac:dyDescent="0.25">
      <c r="A146" t="s">
        <v>219</v>
      </c>
      <c r="B146" t="s">
        <v>220</v>
      </c>
      <c r="C146" t="s">
        <v>409</v>
      </c>
      <c r="D146" t="s">
        <v>62</v>
      </c>
      <c r="E146">
        <v>64</v>
      </c>
      <c r="F146" t="s">
        <v>410</v>
      </c>
      <c r="G146" s="3">
        <v>46171.777939814798</v>
      </c>
      <c r="H146" s="4">
        <v>45931</v>
      </c>
      <c r="I146" s="4">
        <v>46174</v>
      </c>
      <c r="J146" s="1">
        <v>1916.4</v>
      </c>
      <c r="K146">
        <v>0.8</v>
      </c>
      <c r="L146">
        <v>1</v>
      </c>
      <c r="M146" s="1">
        <v>0</v>
      </c>
      <c r="N146" s="1">
        <v>127.76</v>
      </c>
      <c r="O146" t="s">
        <v>34</v>
      </c>
      <c r="P146" t="s">
        <v>35</v>
      </c>
    </row>
    <row r="147" spans="1:16" x14ac:dyDescent="0.25">
      <c r="A147" t="s">
        <v>411</v>
      </c>
      <c r="B147" t="s">
        <v>412</v>
      </c>
      <c r="C147" t="s">
        <v>413</v>
      </c>
      <c r="D147" t="s">
        <v>110</v>
      </c>
      <c r="E147">
        <v>64</v>
      </c>
      <c r="F147" t="s">
        <v>414</v>
      </c>
      <c r="G147" s="3">
        <v>46171.777939814798</v>
      </c>
      <c r="H147" s="4">
        <v>45931</v>
      </c>
      <c r="I147" s="4">
        <v>46174</v>
      </c>
      <c r="J147" s="1">
        <v>1106.4000000000001</v>
      </c>
      <c r="K147">
        <v>0.8</v>
      </c>
      <c r="L147">
        <v>1</v>
      </c>
      <c r="M147" s="1">
        <v>0</v>
      </c>
      <c r="N147" s="1">
        <v>73.760000000000005</v>
      </c>
      <c r="O147" t="s">
        <v>112</v>
      </c>
      <c r="P147" t="s">
        <v>35</v>
      </c>
    </row>
    <row r="148" spans="1:16" x14ac:dyDescent="0.25">
      <c r="A148" t="s">
        <v>219</v>
      </c>
      <c r="B148" t="s">
        <v>220</v>
      </c>
      <c r="C148" t="s">
        <v>415</v>
      </c>
      <c r="D148" t="s">
        <v>62</v>
      </c>
      <c r="E148">
        <v>64</v>
      </c>
      <c r="F148" t="s">
        <v>416</v>
      </c>
      <c r="G148" s="3">
        <v>46171.777939814798</v>
      </c>
      <c r="H148" s="4">
        <v>45962</v>
      </c>
      <c r="I148" s="4">
        <v>46174</v>
      </c>
      <c r="J148" s="1">
        <v>1771.2</v>
      </c>
      <c r="K148">
        <v>0.75</v>
      </c>
      <c r="L148">
        <v>1</v>
      </c>
      <c r="M148" s="1">
        <v>0</v>
      </c>
      <c r="N148" s="1">
        <v>110.7</v>
      </c>
      <c r="O148" t="s">
        <v>322</v>
      </c>
      <c r="P148" t="s">
        <v>35</v>
      </c>
    </row>
    <row r="149" spans="1:16" x14ac:dyDescent="0.25">
      <c r="A149" t="s">
        <v>135</v>
      </c>
      <c r="B149" t="s">
        <v>136</v>
      </c>
      <c r="C149" t="s">
        <v>417</v>
      </c>
      <c r="D149" t="s">
        <v>32</v>
      </c>
      <c r="E149">
        <v>64</v>
      </c>
      <c r="F149" t="s">
        <v>418</v>
      </c>
      <c r="G149" s="3">
        <v>46171.777939814798</v>
      </c>
      <c r="H149" s="4">
        <v>45931</v>
      </c>
      <c r="I149" s="4">
        <v>46204</v>
      </c>
      <c r="J149" s="1">
        <v>694.31</v>
      </c>
      <c r="K149">
        <v>0.85</v>
      </c>
      <c r="L149">
        <v>1</v>
      </c>
      <c r="M149" s="1">
        <v>0</v>
      </c>
      <c r="N149" s="1">
        <v>49.18</v>
      </c>
      <c r="O149" t="s">
        <v>34</v>
      </c>
      <c r="P149" t="s">
        <v>35</v>
      </c>
    </row>
    <row r="150" spans="1:16" x14ac:dyDescent="0.25">
      <c r="A150" t="s">
        <v>258</v>
      </c>
      <c r="B150" t="s">
        <v>259</v>
      </c>
      <c r="C150" t="s">
        <v>419</v>
      </c>
      <c r="D150" t="s">
        <v>62</v>
      </c>
      <c r="E150">
        <v>65</v>
      </c>
      <c r="F150" t="s">
        <v>420</v>
      </c>
      <c r="G150" s="3">
        <v>46171.777939814798</v>
      </c>
      <c r="H150" s="4">
        <v>45962</v>
      </c>
      <c r="I150" s="4">
        <v>46174</v>
      </c>
      <c r="J150" s="1">
        <v>781.2</v>
      </c>
      <c r="K150">
        <v>0.8</v>
      </c>
      <c r="L150">
        <v>1</v>
      </c>
      <c r="M150" s="1">
        <v>0</v>
      </c>
      <c r="N150" s="1">
        <v>52.08</v>
      </c>
      <c r="O150" t="s">
        <v>112</v>
      </c>
      <c r="P150" t="s">
        <v>35</v>
      </c>
    </row>
    <row r="151" spans="1:16" x14ac:dyDescent="0.25">
      <c r="A151" t="s">
        <v>219</v>
      </c>
      <c r="B151" t="s">
        <v>220</v>
      </c>
      <c r="C151" t="s">
        <v>421</v>
      </c>
      <c r="D151" t="s">
        <v>32</v>
      </c>
      <c r="E151">
        <v>69</v>
      </c>
      <c r="F151" t="s">
        <v>422</v>
      </c>
      <c r="G151" s="3">
        <v>46171.777939814798</v>
      </c>
      <c r="H151" s="4">
        <v>45915</v>
      </c>
      <c r="I151" s="4">
        <v>46188</v>
      </c>
      <c r="J151" s="1">
        <v>1064.4100000000001</v>
      </c>
      <c r="K151">
        <v>0.85</v>
      </c>
      <c r="L151">
        <v>1</v>
      </c>
      <c r="M151" s="1">
        <v>0</v>
      </c>
      <c r="N151" s="1">
        <v>75.400000000000006</v>
      </c>
      <c r="O151" t="s">
        <v>423</v>
      </c>
      <c r="P151" t="s">
        <v>35</v>
      </c>
    </row>
    <row r="152" spans="1:16" x14ac:dyDescent="0.25">
      <c r="A152" t="s">
        <v>72</v>
      </c>
      <c r="B152" t="s">
        <v>73</v>
      </c>
      <c r="C152" t="s">
        <v>424</v>
      </c>
      <c r="D152" t="s">
        <v>32</v>
      </c>
      <c r="E152">
        <v>58</v>
      </c>
      <c r="F152" t="s">
        <v>425</v>
      </c>
      <c r="G152" s="3">
        <v>46171.777939814798</v>
      </c>
      <c r="H152" s="4">
        <v>45915</v>
      </c>
      <c r="I152" s="4">
        <v>46188</v>
      </c>
      <c r="J152" s="1">
        <v>355.8</v>
      </c>
      <c r="K152">
        <v>0.85</v>
      </c>
      <c r="L152">
        <v>1</v>
      </c>
      <c r="M152" s="1">
        <v>0</v>
      </c>
      <c r="N152" s="1">
        <v>25.2</v>
      </c>
      <c r="O152" t="s">
        <v>34</v>
      </c>
      <c r="P152" t="s">
        <v>35</v>
      </c>
    </row>
    <row r="153" spans="1:16" x14ac:dyDescent="0.25">
      <c r="A153" t="s">
        <v>135</v>
      </c>
      <c r="B153" t="s">
        <v>136</v>
      </c>
      <c r="C153" t="s">
        <v>426</v>
      </c>
      <c r="D153" t="s">
        <v>32</v>
      </c>
      <c r="E153">
        <v>64</v>
      </c>
      <c r="F153" t="s">
        <v>427</v>
      </c>
      <c r="G153" s="3">
        <v>46171.777939814798</v>
      </c>
      <c r="H153" s="4">
        <v>45931</v>
      </c>
      <c r="I153" s="4">
        <v>46204</v>
      </c>
      <c r="J153" s="1">
        <v>694.31</v>
      </c>
      <c r="K153">
        <v>0.85</v>
      </c>
      <c r="L153">
        <v>1</v>
      </c>
      <c r="M153" s="1">
        <v>0</v>
      </c>
      <c r="N153" s="1">
        <v>49.18</v>
      </c>
      <c r="O153" t="s">
        <v>34</v>
      </c>
      <c r="P153" t="s">
        <v>35</v>
      </c>
    </row>
    <row r="154" spans="1:16" x14ac:dyDescent="0.25">
      <c r="A154" t="s">
        <v>167</v>
      </c>
      <c r="B154" t="s">
        <v>168</v>
      </c>
      <c r="C154" t="s">
        <v>428</v>
      </c>
      <c r="D154" t="s">
        <v>110</v>
      </c>
      <c r="E154">
        <v>64</v>
      </c>
      <c r="F154" t="s">
        <v>429</v>
      </c>
      <c r="G154" s="3">
        <v>46171.777939814798</v>
      </c>
      <c r="H154" s="4">
        <v>45901</v>
      </c>
      <c r="I154" s="4">
        <v>46174</v>
      </c>
      <c r="J154" s="1">
        <v>780.09</v>
      </c>
      <c r="K154">
        <v>0.8</v>
      </c>
      <c r="L154">
        <v>1</v>
      </c>
      <c r="M154" s="1">
        <v>0</v>
      </c>
      <c r="N154" s="1">
        <v>52</v>
      </c>
      <c r="O154" t="s">
        <v>112</v>
      </c>
      <c r="P154" t="s">
        <v>35</v>
      </c>
    </row>
    <row r="155" spans="1:16" x14ac:dyDescent="0.25">
      <c r="A155" t="s">
        <v>135</v>
      </c>
      <c r="B155" t="s">
        <v>136</v>
      </c>
      <c r="C155" t="s">
        <v>430</v>
      </c>
      <c r="D155" t="s">
        <v>32</v>
      </c>
      <c r="E155">
        <v>64</v>
      </c>
      <c r="F155" t="s">
        <v>431</v>
      </c>
      <c r="G155" s="3">
        <v>46171.777939814798</v>
      </c>
      <c r="H155" s="4">
        <v>45931</v>
      </c>
      <c r="I155" s="4">
        <v>46204</v>
      </c>
      <c r="J155" s="1">
        <v>694.31</v>
      </c>
      <c r="K155">
        <v>0.85</v>
      </c>
      <c r="L155">
        <v>1</v>
      </c>
      <c r="M155" s="1">
        <v>0</v>
      </c>
      <c r="N155" s="1">
        <v>49.18</v>
      </c>
      <c r="O155" t="s">
        <v>34</v>
      </c>
      <c r="P155" t="s">
        <v>35</v>
      </c>
    </row>
    <row r="156" spans="1:16" x14ac:dyDescent="0.25">
      <c r="A156" t="s">
        <v>219</v>
      </c>
      <c r="B156" t="s">
        <v>220</v>
      </c>
      <c r="C156" t="s">
        <v>432</v>
      </c>
      <c r="D156" t="s">
        <v>32</v>
      </c>
      <c r="E156">
        <v>67</v>
      </c>
      <c r="F156" t="s">
        <v>433</v>
      </c>
      <c r="G156" s="3">
        <v>46171.777939814798</v>
      </c>
      <c r="H156" s="4">
        <v>45937</v>
      </c>
      <c r="I156" s="4">
        <v>46180</v>
      </c>
      <c r="J156" s="1">
        <v>584.74</v>
      </c>
      <c r="K156">
        <v>0.85</v>
      </c>
      <c r="L156">
        <v>1</v>
      </c>
      <c r="M156" s="1">
        <v>0</v>
      </c>
      <c r="N156" s="1">
        <v>41.41</v>
      </c>
      <c r="O156" t="s">
        <v>34</v>
      </c>
      <c r="P156" t="s">
        <v>35</v>
      </c>
    </row>
    <row r="157" spans="1:16" x14ac:dyDescent="0.25">
      <c r="A157" t="s">
        <v>99</v>
      </c>
      <c r="B157" t="s">
        <v>100</v>
      </c>
      <c r="C157" t="s">
        <v>434</v>
      </c>
      <c r="D157" t="s">
        <v>110</v>
      </c>
      <c r="E157">
        <v>70</v>
      </c>
      <c r="F157" t="s">
        <v>435</v>
      </c>
      <c r="G157" s="3">
        <v>46171.777939814798</v>
      </c>
      <c r="H157" s="4">
        <v>46022</v>
      </c>
      <c r="I157" s="4">
        <v>46173</v>
      </c>
      <c r="J157" s="1">
        <v>410.4</v>
      </c>
      <c r="K157">
        <v>0.8</v>
      </c>
      <c r="L157">
        <v>1</v>
      </c>
      <c r="M157" s="1">
        <v>0</v>
      </c>
      <c r="N157" s="1">
        <v>27.36</v>
      </c>
      <c r="O157" t="s">
        <v>34</v>
      </c>
      <c r="P157" t="s">
        <v>35</v>
      </c>
    </row>
    <row r="158" spans="1:16" x14ac:dyDescent="0.25">
      <c r="A158" t="s">
        <v>334</v>
      </c>
      <c r="B158" t="s">
        <v>335</v>
      </c>
      <c r="C158" t="s">
        <v>436</v>
      </c>
      <c r="D158" t="s">
        <v>32</v>
      </c>
      <c r="E158">
        <v>64</v>
      </c>
      <c r="F158" t="s">
        <v>437</v>
      </c>
      <c r="G158" s="3">
        <v>46171.777939814798</v>
      </c>
      <c r="H158" s="4">
        <v>45962</v>
      </c>
      <c r="I158" s="4">
        <v>46235</v>
      </c>
      <c r="J158" s="1">
        <v>448.39</v>
      </c>
      <c r="K158">
        <v>0.85</v>
      </c>
      <c r="L158">
        <v>1</v>
      </c>
      <c r="M158" s="1">
        <v>0</v>
      </c>
      <c r="N158" s="1">
        <v>95.28</v>
      </c>
      <c r="O158" t="s">
        <v>34</v>
      </c>
      <c r="P158" t="s">
        <v>35</v>
      </c>
    </row>
    <row r="159" spans="1:16" x14ac:dyDescent="0.25">
      <c r="A159" t="s">
        <v>82</v>
      </c>
      <c r="B159" t="s">
        <v>83</v>
      </c>
      <c r="C159" t="s">
        <v>438</v>
      </c>
      <c r="D159" t="s">
        <v>62</v>
      </c>
      <c r="E159">
        <v>66</v>
      </c>
      <c r="F159" t="s">
        <v>439</v>
      </c>
      <c r="G159" s="3">
        <v>46171.777939814798</v>
      </c>
      <c r="H159" s="4">
        <v>45959</v>
      </c>
      <c r="I159" s="4">
        <v>46202</v>
      </c>
      <c r="J159" s="1">
        <v>249.6</v>
      </c>
      <c r="K159">
        <v>0.8</v>
      </c>
      <c r="L159">
        <v>1</v>
      </c>
      <c r="M159" s="1">
        <v>0</v>
      </c>
      <c r="N159" s="1">
        <v>16.64</v>
      </c>
      <c r="O159" t="s">
        <v>34</v>
      </c>
      <c r="P159" t="s">
        <v>35</v>
      </c>
    </row>
    <row r="160" spans="1:16" x14ac:dyDescent="0.25">
      <c r="A160" t="s">
        <v>219</v>
      </c>
      <c r="B160" t="s">
        <v>220</v>
      </c>
      <c r="C160" t="s">
        <v>440</v>
      </c>
      <c r="D160" t="s">
        <v>32</v>
      </c>
      <c r="E160">
        <v>66</v>
      </c>
      <c r="F160" t="s">
        <v>441</v>
      </c>
      <c r="G160" s="3">
        <v>46171.777939814798</v>
      </c>
      <c r="H160" s="4">
        <v>45937</v>
      </c>
      <c r="I160" s="4">
        <v>46180</v>
      </c>
      <c r="J160" s="1">
        <v>584.74</v>
      </c>
      <c r="K160">
        <v>0.85</v>
      </c>
      <c r="L160">
        <v>1</v>
      </c>
      <c r="M160" s="1">
        <v>0</v>
      </c>
      <c r="N160" s="1">
        <v>41.41</v>
      </c>
      <c r="O160" t="s">
        <v>34</v>
      </c>
      <c r="P160" t="s">
        <v>35</v>
      </c>
    </row>
    <row r="161" spans="1:16" x14ac:dyDescent="0.25">
      <c r="A161" t="s">
        <v>131</v>
      </c>
      <c r="B161" t="s">
        <v>132</v>
      </c>
      <c r="C161" t="s">
        <v>442</v>
      </c>
      <c r="D161" t="s">
        <v>32</v>
      </c>
      <c r="E161">
        <v>71</v>
      </c>
      <c r="F161" t="s">
        <v>443</v>
      </c>
      <c r="G161" s="3">
        <v>46171.777939814798</v>
      </c>
      <c r="H161" s="4">
        <v>45992</v>
      </c>
      <c r="I161" s="4">
        <v>46204</v>
      </c>
      <c r="J161" s="1">
        <v>1257.5899999999999</v>
      </c>
      <c r="K161">
        <v>0.85</v>
      </c>
      <c r="L161">
        <v>1</v>
      </c>
      <c r="M161" s="1">
        <v>0</v>
      </c>
      <c r="N161" s="1">
        <v>89.07</v>
      </c>
      <c r="O161" t="s">
        <v>34</v>
      </c>
      <c r="P161" t="s">
        <v>35</v>
      </c>
    </row>
    <row r="162" spans="1:16" x14ac:dyDescent="0.25">
      <c r="A162" t="s">
        <v>308</v>
      </c>
      <c r="B162" t="s">
        <v>309</v>
      </c>
      <c r="C162" t="s">
        <v>444</v>
      </c>
      <c r="D162" t="s">
        <v>32</v>
      </c>
      <c r="E162">
        <v>67</v>
      </c>
      <c r="F162" t="s">
        <v>445</v>
      </c>
      <c r="G162" s="3">
        <v>46171.777939814798</v>
      </c>
      <c r="H162" s="4">
        <v>45962</v>
      </c>
      <c r="I162" s="4">
        <v>46174</v>
      </c>
      <c r="J162" s="1">
        <v>592.61</v>
      </c>
      <c r="K162">
        <v>0.85</v>
      </c>
      <c r="L162">
        <v>1</v>
      </c>
      <c r="M162" s="1">
        <v>0</v>
      </c>
      <c r="N162" s="1">
        <v>41.97</v>
      </c>
      <c r="O162" t="s">
        <v>285</v>
      </c>
      <c r="P162" t="s">
        <v>35</v>
      </c>
    </row>
    <row r="163" spans="1:16" x14ac:dyDescent="0.25">
      <c r="A163" t="s">
        <v>308</v>
      </c>
      <c r="B163" t="s">
        <v>309</v>
      </c>
      <c r="C163" t="s">
        <v>446</v>
      </c>
      <c r="D163" t="s">
        <v>32</v>
      </c>
      <c r="E163">
        <v>65</v>
      </c>
      <c r="F163" t="s">
        <v>447</v>
      </c>
      <c r="G163" s="3">
        <v>46171.777939814798</v>
      </c>
      <c r="H163" s="4">
        <v>45992</v>
      </c>
      <c r="I163" s="4">
        <v>46174</v>
      </c>
      <c r="J163" s="1">
        <v>592.61</v>
      </c>
      <c r="K163">
        <v>0.85</v>
      </c>
      <c r="L163">
        <v>1</v>
      </c>
      <c r="M163" s="1">
        <v>0</v>
      </c>
      <c r="N163" s="1">
        <v>41.97</v>
      </c>
      <c r="O163" t="s">
        <v>285</v>
      </c>
      <c r="P163" t="s">
        <v>35</v>
      </c>
    </row>
    <row r="164" spans="1:16" x14ac:dyDescent="0.25">
      <c r="A164" t="s">
        <v>227</v>
      </c>
      <c r="B164" t="s">
        <v>228</v>
      </c>
      <c r="C164" t="s">
        <v>448</v>
      </c>
      <c r="D164" t="s">
        <v>62</v>
      </c>
      <c r="E164">
        <v>67</v>
      </c>
      <c r="F164" t="s">
        <v>449</v>
      </c>
      <c r="G164" s="3">
        <v>46171.777939814798</v>
      </c>
      <c r="H164" s="4">
        <v>45933</v>
      </c>
      <c r="I164" s="4">
        <v>46176</v>
      </c>
      <c r="J164" s="1">
        <v>1161.5999999999999</v>
      </c>
      <c r="K164">
        <v>0.8</v>
      </c>
      <c r="L164">
        <v>1</v>
      </c>
      <c r="M164" s="1">
        <v>0</v>
      </c>
      <c r="N164" s="1">
        <v>77.44</v>
      </c>
      <c r="O164" t="s">
        <v>34</v>
      </c>
      <c r="P164" t="s">
        <v>35</v>
      </c>
    </row>
    <row r="165" spans="1:16" x14ac:dyDescent="0.25">
      <c r="A165" t="s">
        <v>227</v>
      </c>
      <c r="B165" t="s">
        <v>228</v>
      </c>
      <c r="C165" t="s">
        <v>450</v>
      </c>
      <c r="D165" t="s">
        <v>62</v>
      </c>
      <c r="E165">
        <v>67</v>
      </c>
      <c r="F165" t="s">
        <v>451</v>
      </c>
      <c r="G165" s="3">
        <v>46171.777939814798</v>
      </c>
      <c r="H165" s="4">
        <v>45933</v>
      </c>
      <c r="I165" s="4">
        <v>46176</v>
      </c>
      <c r="J165" s="1">
        <v>1161.5999999999999</v>
      </c>
      <c r="K165">
        <v>0.8</v>
      </c>
      <c r="L165">
        <v>1</v>
      </c>
      <c r="M165" s="1">
        <v>0</v>
      </c>
      <c r="N165" s="1">
        <v>77.44</v>
      </c>
      <c r="O165" t="s">
        <v>34</v>
      </c>
      <c r="P165" t="s">
        <v>35</v>
      </c>
    </row>
    <row r="166" spans="1:16" x14ac:dyDescent="0.25">
      <c r="A166" t="s">
        <v>82</v>
      </c>
      <c r="B166" t="s">
        <v>83</v>
      </c>
      <c r="C166" t="s">
        <v>452</v>
      </c>
      <c r="D166" t="s">
        <v>32</v>
      </c>
      <c r="E166">
        <v>64</v>
      </c>
      <c r="F166" t="s">
        <v>453</v>
      </c>
      <c r="G166" s="3">
        <v>46171.777939814798</v>
      </c>
      <c r="H166" s="4">
        <v>45993</v>
      </c>
      <c r="I166" s="4">
        <v>46205</v>
      </c>
      <c r="J166" s="1">
        <v>609.16</v>
      </c>
      <c r="K166">
        <v>0.85</v>
      </c>
      <c r="L166">
        <v>1</v>
      </c>
      <c r="M166" s="1">
        <v>0</v>
      </c>
      <c r="N166" s="1">
        <v>43.15</v>
      </c>
      <c r="O166" t="s">
        <v>34</v>
      </c>
      <c r="P166" t="s">
        <v>35</v>
      </c>
    </row>
    <row r="167" spans="1:16" x14ac:dyDescent="0.25">
      <c r="A167" t="s">
        <v>188</v>
      </c>
      <c r="B167" t="s">
        <v>189</v>
      </c>
      <c r="C167" t="s">
        <v>454</v>
      </c>
      <c r="D167" t="s">
        <v>455</v>
      </c>
      <c r="E167">
        <v>69</v>
      </c>
      <c r="F167" t="s">
        <v>456</v>
      </c>
      <c r="G167" s="3">
        <v>46171.777939814798</v>
      </c>
      <c r="H167" s="4">
        <v>45962</v>
      </c>
      <c r="I167" s="4">
        <v>46204</v>
      </c>
      <c r="J167" s="1">
        <v>592.61</v>
      </c>
      <c r="K167">
        <v>0.85</v>
      </c>
      <c r="L167">
        <v>1</v>
      </c>
      <c r="M167" s="1">
        <v>0</v>
      </c>
      <c r="N167" s="1">
        <v>41.97</v>
      </c>
      <c r="O167" t="s">
        <v>457</v>
      </c>
      <c r="P167" t="s">
        <v>35</v>
      </c>
    </row>
    <row r="168" spans="1:16" x14ac:dyDescent="0.25">
      <c r="A168" t="s">
        <v>308</v>
      </c>
      <c r="B168" t="s">
        <v>309</v>
      </c>
      <c r="C168" t="s">
        <v>458</v>
      </c>
      <c r="D168" t="s">
        <v>32</v>
      </c>
      <c r="E168">
        <v>67</v>
      </c>
      <c r="F168" t="s">
        <v>459</v>
      </c>
      <c r="G168" s="3">
        <v>46171.777939814798</v>
      </c>
      <c r="H168" s="4">
        <v>45960</v>
      </c>
      <c r="I168" s="4">
        <v>46203</v>
      </c>
      <c r="J168" s="1">
        <v>551.12</v>
      </c>
      <c r="K168">
        <v>0.85</v>
      </c>
      <c r="L168">
        <v>1</v>
      </c>
      <c r="M168" s="1">
        <v>0</v>
      </c>
      <c r="N168" s="1">
        <v>39.03</v>
      </c>
      <c r="O168" t="s">
        <v>285</v>
      </c>
      <c r="P168" t="s">
        <v>35</v>
      </c>
    </row>
    <row r="169" spans="1:16" x14ac:dyDescent="0.25">
      <c r="A169" t="s">
        <v>223</v>
      </c>
      <c r="B169" t="s">
        <v>224</v>
      </c>
      <c r="C169" t="s">
        <v>460</v>
      </c>
      <c r="D169" t="s">
        <v>193</v>
      </c>
      <c r="E169">
        <v>76</v>
      </c>
      <c r="F169" t="s">
        <v>461</v>
      </c>
      <c r="G169" s="3">
        <v>46171.777939814798</v>
      </c>
      <c r="H169" s="4">
        <v>45962</v>
      </c>
      <c r="I169" s="4">
        <v>46174</v>
      </c>
      <c r="J169" s="1">
        <v>785.72</v>
      </c>
      <c r="K169">
        <v>0.8</v>
      </c>
      <c r="L169">
        <v>1</v>
      </c>
      <c r="M169" s="1">
        <v>0</v>
      </c>
      <c r="N169" s="1">
        <v>52.38</v>
      </c>
      <c r="O169" t="s">
        <v>34</v>
      </c>
      <c r="P169" t="s">
        <v>35</v>
      </c>
    </row>
    <row r="170" spans="1:16" x14ac:dyDescent="0.25">
      <c r="A170" t="s">
        <v>219</v>
      </c>
      <c r="B170" t="s">
        <v>220</v>
      </c>
      <c r="C170" t="s">
        <v>462</v>
      </c>
      <c r="D170" t="s">
        <v>32</v>
      </c>
      <c r="E170">
        <v>70</v>
      </c>
      <c r="F170" t="s">
        <v>463</v>
      </c>
      <c r="G170" s="3">
        <v>46171.777939814798</v>
      </c>
      <c r="H170" s="4">
        <v>45961</v>
      </c>
      <c r="I170" s="4">
        <v>1</v>
      </c>
      <c r="J170" s="1">
        <v>607.15</v>
      </c>
      <c r="K170">
        <v>0.85</v>
      </c>
      <c r="L170">
        <v>1</v>
      </c>
      <c r="M170" s="1">
        <v>0</v>
      </c>
      <c r="N170" s="1">
        <v>43</v>
      </c>
      <c r="O170" t="s">
        <v>34</v>
      </c>
      <c r="P170" t="s">
        <v>35</v>
      </c>
    </row>
    <row r="171" spans="1:16" x14ac:dyDescent="0.25">
      <c r="A171" t="s">
        <v>308</v>
      </c>
      <c r="B171" t="s">
        <v>309</v>
      </c>
      <c r="C171" t="s">
        <v>464</v>
      </c>
      <c r="D171" t="s">
        <v>32</v>
      </c>
      <c r="E171">
        <v>66</v>
      </c>
      <c r="F171" t="s">
        <v>465</v>
      </c>
      <c r="G171" s="3">
        <v>46171.777939814798</v>
      </c>
      <c r="H171" s="4">
        <v>45962</v>
      </c>
      <c r="I171" s="4">
        <v>46174</v>
      </c>
      <c r="J171" s="1">
        <v>551.12</v>
      </c>
      <c r="K171">
        <v>0.85</v>
      </c>
      <c r="L171">
        <v>1</v>
      </c>
      <c r="M171" s="1">
        <v>0</v>
      </c>
      <c r="N171" s="1">
        <v>39.03</v>
      </c>
      <c r="O171" t="s">
        <v>285</v>
      </c>
      <c r="P171" t="s">
        <v>35</v>
      </c>
    </row>
    <row r="172" spans="1:16" x14ac:dyDescent="0.25">
      <c r="A172" t="s">
        <v>219</v>
      </c>
      <c r="B172" t="s">
        <v>220</v>
      </c>
      <c r="C172" t="s">
        <v>466</v>
      </c>
      <c r="D172" t="s">
        <v>32</v>
      </c>
      <c r="E172">
        <v>79</v>
      </c>
      <c r="F172" t="s">
        <v>467</v>
      </c>
      <c r="G172" s="3">
        <v>46171.777939814798</v>
      </c>
      <c r="H172" s="4">
        <v>45961</v>
      </c>
      <c r="I172" s="4">
        <v>1</v>
      </c>
      <c r="J172" s="1">
        <v>1141.53</v>
      </c>
      <c r="K172">
        <v>0.8</v>
      </c>
      <c r="L172">
        <v>1</v>
      </c>
      <c r="M172" s="1">
        <v>0</v>
      </c>
      <c r="N172" s="1">
        <v>76.099999999999994</v>
      </c>
      <c r="O172" t="s">
        <v>34</v>
      </c>
      <c r="P172" t="s">
        <v>35</v>
      </c>
    </row>
    <row r="173" spans="1:16" x14ac:dyDescent="0.25">
      <c r="A173" t="s">
        <v>308</v>
      </c>
      <c r="B173" t="s">
        <v>309</v>
      </c>
      <c r="C173" t="s">
        <v>468</v>
      </c>
      <c r="D173" t="s">
        <v>32</v>
      </c>
      <c r="E173">
        <v>67</v>
      </c>
      <c r="F173" t="s">
        <v>469</v>
      </c>
      <c r="G173" s="3">
        <v>46171.777939814798</v>
      </c>
      <c r="H173" s="4">
        <v>45962</v>
      </c>
      <c r="I173" s="4">
        <v>46174</v>
      </c>
      <c r="J173" s="1">
        <v>592.61</v>
      </c>
      <c r="K173">
        <v>0.85</v>
      </c>
      <c r="L173">
        <v>1</v>
      </c>
      <c r="M173" s="1">
        <v>0</v>
      </c>
      <c r="N173" s="1">
        <v>41.97</v>
      </c>
      <c r="O173" t="s">
        <v>285</v>
      </c>
      <c r="P173" t="s">
        <v>35</v>
      </c>
    </row>
    <row r="174" spans="1:16" x14ac:dyDescent="0.25">
      <c r="A174" t="s">
        <v>107</v>
      </c>
      <c r="B174" t="s">
        <v>108</v>
      </c>
      <c r="C174" t="s">
        <v>470</v>
      </c>
      <c r="D174" t="s">
        <v>471</v>
      </c>
      <c r="E174">
        <v>65</v>
      </c>
      <c r="F174" t="s">
        <v>472</v>
      </c>
      <c r="G174" s="3">
        <v>46171.777939814798</v>
      </c>
      <c r="H174" s="4">
        <v>45962</v>
      </c>
      <c r="I174" s="4">
        <v>46204</v>
      </c>
      <c r="J174" s="1">
        <v>732</v>
      </c>
      <c r="K174">
        <v>0.8</v>
      </c>
      <c r="L174">
        <v>1</v>
      </c>
      <c r="M174" s="1">
        <v>0</v>
      </c>
      <c r="N174" s="1">
        <v>48.8</v>
      </c>
      <c r="O174" t="s">
        <v>112</v>
      </c>
      <c r="P174" t="s">
        <v>35</v>
      </c>
    </row>
    <row r="175" spans="1:16" x14ac:dyDescent="0.25">
      <c r="A175" t="s">
        <v>180</v>
      </c>
      <c r="B175" t="s">
        <v>181</v>
      </c>
      <c r="C175" t="s">
        <v>473</v>
      </c>
      <c r="D175" t="s">
        <v>455</v>
      </c>
      <c r="E175">
        <v>69</v>
      </c>
      <c r="F175" t="s">
        <v>474</v>
      </c>
      <c r="G175" s="3">
        <v>46171.777939814798</v>
      </c>
      <c r="H175" s="4">
        <v>46023</v>
      </c>
      <c r="I175" s="4">
        <v>46174</v>
      </c>
      <c r="J175" s="1">
        <v>651.79</v>
      </c>
      <c r="K175">
        <v>0.85</v>
      </c>
      <c r="L175">
        <v>1</v>
      </c>
      <c r="M175" s="1">
        <v>0</v>
      </c>
      <c r="N175" s="1">
        <v>46.16</v>
      </c>
      <c r="O175" t="s">
        <v>457</v>
      </c>
      <c r="P175" t="s">
        <v>35</v>
      </c>
    </row>
    <row r="176" spans="1:16" x14ac:dyDescent="0.25">
      <c r="A176" t="s">
        <v>227</v>
      </c>
      <c r="B176" t="s">
        <v>228</v>
      </c>
      <c r="C176" t="s">
        <v>475</v>
      </c>
      <c r="D176" t="s">
        <v>62</v>
      </c>
      <c r="E176">
        <v>65</v>
      </c>
      <c r="F176" t="s">
        <v>476</v>
      </c>
      <c r="G176" s="3">
        <v>46171.777939814798</v>
      </c>
      <c r="H176" s="4">
        <v>46023</v>
      </c>
      <c r="I176" s="4">
        <v>46174</v>
      </c>
      <c r="J176" s="1">
        <v>489.6</v>
      </c>
      <c r="K176">
        <v>0.8</v>
      </c>
      <c r="L176">
        <v>1</v>
      </c>
      <c r="M176" s="1">
        <v>0</v>
      </c>
      <c r="N176" s="1">
        <v>32.64</v>
      </c>
      <c r="O176" t="s">
        <v>34</v>
      </c>
      <c r="P176" t="s">
        <v>35</v>
      </c>
    </row>
    <row r="177" spans="1:16" x14ac:dyDescent="0.25">
      <c r="A177" t="s">
        <v>477</v>
      </c>
      <c r="B177" t="s">
        <v>478</v>
      </c>
      <c r="C177" t="s">
        <v>479</v>
      </c>
      <c r="D177" t="s">
        <v>62</v>
      </c>
      <c r="E177">
        <v>73</v>
      </c>
      <c r="F177" t="s">
        <v>480</v>
      </c>
      <c r="G177" s="3">
        <v>46171.777939814798</v>
      </c>
      <c r="H177" s="4">
        <v>45992</v>
      </c>
      <c r="I177" s="4">
        <v>46174</v>
      </c>
      <c r="J177" s="1">
        <v>2176.8000000000002</v>
      </c>
      <c r="K177">
        <v>0.8</v>
      </c>
      <c r="L177">
        <v>1</v>
      </c>
      <c r="M177" s="1">
        <v>0</v>
      </c>
      <c r="N177" s="1">
        <v>145.12</v>
      </c>
      <c r="O177" t="s">
        <v>34</v>
      </c>
      <c r="P177" t="s">
        <v>35</v>
      </c>
    </row>
    <row r="178" spans="1:16" x14ac:dyDescent="0.25">
      <c r="A178" t="s">
        <v>135</v>
      </c>
      <c r="B178" t="s">
        <v>136</v>
      </c>
      <c r="C178" t="s">
        <v>481</v>
      </c>
      <c r="D178" t="s">
        <v>32</v>
      </c>
      <c r="E178">
        <v>53</v>
      </c>
      <c r="F178" t="s">
        <v>482</v>
      </c>
      <c r="G178" s="3">
        <v>46171.777939814798</v>
      </c>
      <c r="H178" s="4">
        <v>45992</v>
      </c>
      <c r="I178" s="4">
        <v>46174</v>
      </c>
      <c r="J178" s="1">
        <v>463.76</v>
      </c>
      <c r="K178">
        <v>0.85</v>
      </c>
      <c r="L178">
        <v>1</v>
      </c>
      <c r="M178" s="1">
        <v>0</v>
      </c>
      <c r="N178" s="1">
        <v>32.840000000000003</v>
      </c>
      <c r="O178" t="s">
        <v>34</v>
      </c>
      <c r="P178" t="s">
        <v>35</v>
      </c>
    </row>
    <row r="179" spans="1:16" x14ac:dyDescent="0.25">
      <c r="A179" t="s">
        <v>153</v>
      </c>
      <c r="B179" t="s">
        <v>154</v>
      </c>
      <c r="C179" t="s">
        <v>483</v>
      </c>
      <c r="D179" t="s">
        <v>32</v>
      </c>
      <c r="E179">
        <v>60</v>
      </c>
      <c r="F179" t="s">
        <v>484</v>
      </c>
      <c r="G179" s="3">
        <v>46171.777939814798</v>
      </c>
      <c r="H179" s="4">
        <v>45965</v>
      </c>
      <c r="I179" s="4">
        <v>46207</v>
      </c>
      <c r="J179" s="1">
        <v>578.44000000000005</v>
      </c>
      <c r="K179">
        <v>0.85</v>
      </c>
      <c r="L179">
        <v>1</v>
      </c>
      <c r="M179" s="1">
        <v>0</v>
      </c>
      <c r="N179" s="1">
        <v>40.97</v>
      </c>
      <c r="O179" t="s">
        <v>34</v>
      </c>
      <c r="P179" t="s">
        <v>35</v>
      </c>
    </row>
    <row r="180" spans="1:16" x14ac:dyDescent="0.25">
      <c r="A180" t="s">
        <v>36</v>
      </c>
      <c r="B180" t="s">
        <v>37</v>
      </c>
      <c r="C180" t="s">
        <v>485</v>
      </c>
      <c r="D180" t="s">
        <v>62</v>
      </c>
      <c r="E180">
        <v>64</v>
      </c>
      <c r="F180" t="s">
        <v>486</v>
      </c>
      <c r="G180" s="3">
        <v>46171.777939814798</v>
      </c>
      <c r="H180" s="4">
        <v>45976</v>
      </c>
      <c r="I180" s="4">
        <v>46188</v>
      </c>
      <c r="J180" s="1">
        <v>1060.8</v>
      </c>
      <c r="K180">
        <v>0.8</v>
      </c>
      <c r="L180">
        <v>1</v>
      </c>
      <c r="M180" s="1">
        <v>0</v>
      </c>
      <c r="N180" s="1">
        <v>70.72</v>
      </c>
      <c r="O180" t="s">
        <v>34</v>
      </c>
      <c r="P180" t="s">
        <v>35</v>
      </c>
    </row>
    <row r="181" spans="1:16" x14ac:dyDescent="0.25">
      <c r="A181" t="s">
        <v>153</v>
      </c>
      <c r="B181" t="s">
        <v>154</v>
      </c>
      <c r="C181" t="s">
        <v>487</v>
      </c>
      <c r="D181" t="s">
        <v>32</v>
      </c>
      <c r="E181">
        <v>65</v>
      </c>
      <c r="F181" t="s">
        <v>488</v>
      </c>
      <c r="G181" s="3">
        <v>46171.777939814798</v>
      </c>
      <c r="H181" s="4">
        <v>45965</v>
      </c>
      <c r="I181" s="4">
        <v>46207</v>
      </c>
      <c r="J181" s="1">
        <v>922.84</v>
      </c>
      <c r="K181">
        <v>0.85</v>
      </c>
      <c r="L181">
        <v>1</v>
      </c>
      <c r="M181" s="1">
        <v>0</v>
      </c>
      <c r="N181" s="1">
        <v>65.37</v>
      </c>
      <c r="O181" t="s">
        <v>34</v>
      </c>
      <c r="P181" t="s">
        <v>35</v>
      </c>
    </row>
    <row r="182" spans="1:16" x14ac:dyDescent="0.25">
      <c r="A182" t="s">
        <v>29</v>
      </c>
      <c r="B182" t="s">
        <v>30</v>
      </c>
      <c r="C182" t="s">
        <v>489</v>
      </c>
      <c r="D182" t="s">
        <v>32</v>
      </c>
      <c r="E182">
        <v>63</v>
      </c>
      <c r="F182" t="s">
        <v>490</v>
      </c>
      <c r="G182" s="3">
        <v>46171.777939814798</v>
      </c>
      <c r="H182" s="4">
        <v>45976</v>
      </c>
      <c r="I182" s="4">
        <v>46188</v>
      </c>
      <c r="J182" s="1">
        <v>448.39</v>
      </c>
      <c r="K182">
        <v>0.85</v>
      </c>
      <c r="L182">
        <v>1</v>
      </c>
      <c r="M182" s="1">
        <v>0</v>
      </c>
      <c r="N182" s="1">
        <v>31.76</v>
      </c>
      <c r="O182" t="s">
        <v>34</v>
      </c>
      <c r="P182" t="s">
        <v>35</v>
      </c>
    </row>
    <row r="183" spans="1:16" x14ac:dyDescent="0.25">
      <c r="A183" t="s">
        <v>149</v>
      </c>
      <c r="B183" t="s">
        <v>150</v>
      </c>
      <c r="C183" t="s">
        <v>491</v>
      </c>
      <c r="D183" t="s">
        <v>32</v>
      </c>
      <c r="E183">
        <v>54</v>
      </c>
      <c r="F183" t="s">
        <v>492</v>
      </c>
      <c r="G183" s="3">
        <v>46171.777939814798</v>
      </c>
      <c r="H183" s="4">
        <v>45970</v>
      </c>
      <c r="I183" s="4">
        <v>46182</v>
      </c>
      <c r="J183" s="1">
        <v>514.49</v>
      </c>
      <c r="K183">
        <v>0.85</v>
      </c>
      <c r="L183">
        <v>1</v>
      </c>
      <c r="M183" s="1">
        <v>0</v>
      </c>
      <c r="N183" s="1">
        <v>36.44</v>
      </c>
      <c r="O183" t="s">
        <v>34</v>
      </c>
      <c r="P183" t="s">
        <v>35</v>
      </c>
    </row>
    <row r="184" spans="1:16" x14ac:dyDescent="0.25">
      <c r="A184" t="s">
        <v>29</v>
      </c>
      <c r="B184" t="s">
        <v>30</v>
      </c>
      <c r="C184" t="s">
        <v>493</v>
      </c>
      <c r="D184" t="s">
        <v>32</v>
      </c>
      <c r="E184">
        <v>66</v>
      </c>
      <c r="F184" t="s">
        <v>494</v>
      </c>
      <c r="G184" s="3">
        <v>46171.777939814798</v>
      </c>
      <c r="H184" s="4">
        <v>45976</v>
      </c>
      <c r="I184" s="4">
        <v>46188</v>
      </c>
      <c r="J184" s="1">
        <v>592.61</v>
      </c>
      <c r="K184">
        <v>0.85</v>
      </c>
      <c r="L184">
        <v>1</v>
      </c>
      <c r="M184" s="1">
        <v>0</v>
      </c>
      <c r="N184" s="1">
        <v>41.97</v>
      </c>
      <c r="O184" t="s">
        <v>34</v>
      </c>
      <c r="P184" t="s">
        <v>35</v>
      </c>
    </row>
    <row r="185" spans="1:16" x14ac:dyDescent="0.25">
      <c r="A185" t="s">
        <v>188</v>
      </c>
      <c r="B185" t="s">
        <v>189</v>
      </c>
      <c r="C185" t="s">
        <v>495</v>
      </c>
      <c r="D185" t="s">
        <v>193</v>
      </c>
      <c r="E185">
        <v>82</v>
      </c>
      <c r="F185" t="s">
        <v>496</v>
      </c>
      <c r="G185" s="3">
        <v>46171.777939814798</v>
      </c>
      <c r="H185" s="4">
        <v>46023</v>
      </c>
      <c r="I185" s="4">
        <v>46174</v>
      </c>
      <c r="J185" s="1">
        <v>1089.0899999999999</v>
      </c>
      <c r="K185">
        <v>0.8</v>
      </c>
      <c r="L185">
        <v>1</v>
      </c>
      <c r="M185" s="1">
        <v>0</v>
      </c>
      <c r="N185" s="1">
        <v>72.599999999999994</v>
      </c>
      <c r="O185" t="s">
        <v>34</v>
      </c>
      <c r="P185" t="s">
        <v>35</v>
      </c>
    </row>
    <row r="186" spans="1:16" x14ac:dyDescent="0.25">
      <c r="A186" t="s">
        <v>334</v>
      </c>
      <c r="B186" t="s">
        <v>335</v>
      </c>
      <c r="C186" t="s">
        <v>497</v>
      </c>
      <c r="D186" t="s">
        <v>32</v>
      </c>
      <c r="E186">
        <v>64</v>
      </c>
      <c r="F186" t="s">
        <v>498</v>
      </c>
      <c r="G186" s="3">
        <v>46171.777939814798</v>
      </c>
      <c r="H186" s="4">
        <v>46023</v>
      </c>
      <c r="I186" s="4">
        <v>46174</v>
      </c>
      <c r="J186" s="1">
        <v>417.01</v>
      </c>
      <c r="K186">
        <v>0.85</v>
      </c>
      <c r="L186">
        <v>1</v>
      </c>
      <c r="M186" s="1">
        <v>0</v>
      </c>
      <c r="N186" s="1">
        <v>29.54</v>
      </c>
      <c r="O186" t="s">
        <v>34</v>
      </c>
      <c r="P186" t="s">
        <v>35</v>
      </c>
    </row>
    <row r="187" spans="1:16" x14ac:dyDescent="0.25">
      <c r="A187" t="s">
        <v>135</v>
      </c>
      <c r="B187" t="s">
        <v>136</v>
      </c>
      <c r="C187" t="s">
        <v>499</v>
      </c>
      <c r="D187" t="s">
        <v>32</v>
      </c>
      <c r="E187">
        <v>66</v>
      </c>
      <c r="F187" t="s">
        <v>500</v>
      </c>
      <c r="G187" s="3">
        <v>46171.777939814798</v>
      </c>
      <c r="H187" s="4">
        <v>45973</v>
      </c>
      <c r="I187" s="4">
        <v>46185</v>
      </c>
      <c r="J187" s="1">
        <v>968.21</v>
      </c>
      <c r="K187">
        <v>0.85</v>
      </c>
      <c r="L187">
        <v>1</v>
      </c>
      <c r="M187" s="1">
        <v>0</v>
      </c>
      <c r="N187" s="1">
        <v>68.58</v>
      </c>
      <c r="O187" t="s">
        <v>34</v>
      </c>
      <c r="P187" t="s">
        <v>35</v>
      </c>
    </row>
    <row r="188" spans="1:16" x14ac:dyDescent="0.25">
      <c r="A188" t="s">
        <v>135</v>
      </c>
      <c r="B188" t="s">
        <v>136</v>
      </c>
      <c r="C188" t="s">
        <v>501</v>
      </c>
      <c r="D188" t="s">
        <v>32</v>
      </c>
      <c r="E188">
        <v>65</v>
      </c>
      <c r="F188" t="s">
        <v>502</v>
      </c>
      <c r="G188" s="3">
        <v>46171.777939814798</v>
      </c>
      <c r="H188" s="4">
        <v>45974</v>
      </c>
      <c r="I188" s="4">
        <v>46186</v>
      </c>
      <c r="J188" s="1">
        <v>607.15</v>
      </c>
      <c r="K188">
        <v>0.85</v>
      </c>
      <c r="L188">
        <v>1</v>
      </c>
      <c r="M188" s="1">
        <v>0</v>
      </c>
      <c r="N188" s="1">
        <v>43</v>
      </c>
      <c r="O188" t="s">
        <v>34</v>
      </c>
      <c r="P188" t="s">
        <v>35</v>
      </c>
    </row>
    <row r="189" spans="1:16" x14ac:dyDescent="0.25">
      <c r="A189" t="s">
        <v>135</v>
      </c>
      <c r="B189" t="s">
        <v>136</v>
      </c>
      <c r="C189" t="s">
        <v>503</v>
      </c>
      <c r="D189" t="s">
        <v>32</v>
      </c>
      <c r="E189">
        <v>58</v>
      </c>
      <c r="F189" t="s">
        <v>504</v>
      </c>
      <c r="G189" s="3">
        <v>46171.777939814798</v>
      </c>
      <c r="H189" s="4">
        <v>45973</v>
      </c>
      <c r="I189" s="4">
        <v>46185</v>
      </c>
      <c r="J189" s="1">
        <v>621.98</v>
      </c>
      <c r="K189">
        <v>0.85</v>
      </c>
      <c r="L189">
        <v>1</v>
      </c>
      <c r="M189" s="1">
        <v>0</v>
      </c>
      <c r="N189" s="1">
        <v>44.06</v>
      </c>
      <c r="O189" t="s">
        <v>34</v>
      </c>
      <c r="P189" t="s">
        <v>35</v>
      </c>
    </row>
    <row r="190" spans="1:16" x14ac:dyDescent="0.25">
      <c r="A190" t="s">
        <v>203</v>
      </c>
      <c r="B190" t="s">
        <v>204</v>
      </c>
      <c r="C190" t="s">
        <v>505</v>
      </c>
      <c r="D190" t="s">
        <v>256</v>
      </c>
      <c r="E190">
        <v>64</v>
      </c>
      <c r="F190" t="s">
        <v>506</v>
      </c>
      <c r="G190" s="3">
        <v>46171.777939814798</v>
      </c>
      <c r="H190" s="4">
        <v>46023</v>
      </c>
      <c r="I190" s="4">
        <v>46174</v>
      </c>
      <c r="J190" s="1">
        <v>736.57</v>
      </c>
      <c r="K190">
        <v>0.8</v>
      </c>
      <c r="L190">
        <v>1</v>
      </c>
      <c r="M190" s="1">
        <v>0</v>
      </c>
      <c r="N190" s="1">
        <v>49.1</v>
      </c>
      <c r="O190" t="s">
        <v>112</v>
      </c>
      <c r="P190" t="s">
        <v>35</v>
      </c>
    </row>
    <row r="191" spans="1:16" x14ac:dyDescent="0.25">
      <c r="A191" t="s">
        <v>68</v>
      </c>
      <c r="B191" t="s">
        <v>69</v>
      </c>
      <c r="C191" t="s">
        <v>507</v>
      </c>
      <c r="D191" t="s">
        <v>62</v>
      </c>
      <c r="E191">
        <v>64</v>
      </c>
      <c r="F191" t="s">
        <v>508</v>
      </c>
      <c r="G191" s="3">
        <v>46171.777939814798</v>
      </c>
      <c r="H191" s="4">
        <v>45992</v>
      </c>
      <c r="I191" s="4">
        <v>46174</v>
      </c>
      <c r="J191" s="1">
        <v>1207.44</v>
      </c>
      <c r="K191">
        <v>0.8</v>
      </c>
      <c r="L191">
        <v>1</v>
      </c>
      <c r="M191" s="1">
        <v>0</v>
      </c>
      <c r="N191" s="1">
        <v>80.5</v>
      </c>
      <c r="O191" t="s">
        <v>34</v>
      </c>
      <c r="P191" t="s">
        <v>35</v>
      </c>
    </row>
    <row r="192" spans="1:16" x14ac:dyDescent="0.25">
      <c r="A192" t="s">
        <v>149</v>
      </c>
      <c r="B192" t="s">
        <v>150</v>
      </c>
      <c r="C192" t="s">
        <v>509</v>
      </c>
      <c r="D192" t="s">
        <v>32</v>
      </c>
      <c r="E192">
        <v>72</v>
      </c>
      <c r="F192" t="s">
        <v>510</v>
      </c>
      <c r="G192" s="3">
        <v>46171.777939814798</v>
      </c>
      <c r="H192" s="4">
        <v>45978</v>
      </c>
      <c r="I192" s="4">
        <v>46159</v>
      </c>
      <c r="J192" s="1">
        <v>1365.14</v>
      </c>
      <c r="K192">
        <v>0.85</v>
      </c>
      <c r="L192">
        <v>1</v>
      </c>
      <c r="M192" s="1">
        <v>0</v>
      </c>
      <c r="N192" s="1">
        <v>-96.69</v>
      </c>
      <c r="O192" t="s">
        <v>34</v>
      </c>
      <c r="P192" t="s">
        <v>35</v>
      </c>
    </row>
    <row r="193" spans="1:16" x14ac:dyDescent="0.25">
      <c r="A193" t="s">
        <v>149</v>
      </c>
      <c r="B193" t="s">
        <v>150</v>
      </c>
      <c r="C193" t="s">
        <v>509</v>
      </c>
      <c r="D193" t="s">
        <v>32</v>
      </c>
      <c r="E193">
        <v>72</v>
      </c>
      <c r="F193" t="s">
        <v>510</v>
      </c>
      <c r="G193" s="3">
        <v>46171.777939814798</v>
      </c>
      <c r="H193" s="4">
        <v>45978</v>
      </c>
      <c r="I193" s="4">
        <v>46159</v>
      </c>
      <c r="J193" s="1">
        <v>1365.14</v>
      </c>
      <c r="K193">
        <v>0.85</v>
      </c>
      <c r="L193">
        <v>1</v>
      </c>
      <c r="M193" s="1">
        <v>0</v>
      </c>
      <c r="N193" s="1">
        <v>96.69</v>
      </c>
      <c r="O193" t="s">
        <v>34</v>
      </c>
      <c r="P193" t="s">
        <v>35</v>
      </c>
    </row>
    <row r="194" spans="1:16" x14ac:dyDescent="0.25">
      <c r="A194" t="s">
        <v>76</v>
      </c>
      <c r="B194" t="s">
        <v>77</v>
      </c>
      <c r="C194" t="s">
        <v>511</v>
      </c>
      <c r="D194" t="s">
        <v>91</v>
      </c>
      <c r="E194">
        <v>74</v>
      </c>
      <c r="F194" t="s">
        <v>512</v>
      </c>
      <c r="G194" s="3">
        <v>46171.777939814798</v>
      </c>
      <c r="H194" s="4">
        <v>45977</v>
      </c>
      <c r="I194" s="4">
        <v>46189</v>
      </c>
      <c r="J194" s="1">
        <v>734.54</v>
      </c>
      <c r="K194">
        <v>0.85</v>
      </c>
      <c r="L194">
        <v>1</v>
      </c>
      <c r="M194" s="1">
        <v>0</v>
      </c>
      <c r="N194" s="1">
        <v>52.02</v>
      </c>
      <c r="O194" t="s">
        <v>513</v>
      </c>
      <c r="P194" t="s">
        <v>35</v>
      </c>
    </row>
    <row r="195" spans="1:16" x14ac:dyDescent="0.25">
      <c r="A195" t="s">
        <v>135</v>
      </c>
      <c r="B195" t="s">
        <v>136</v>
      </c>
      <c r="C195" t="s">
        <v>514</v>
      </c>
      <c r="D195" t="s">
        <v>32</v>
      </c>
      <c r="E195">
        <v>66</v>
      </c>
      <c r="F195" t="s">
        <v>515</v>
      </c>
      <c r="G195" s="3">
        <v>46171.777939814798</v>
      </c>
      <c r="H195" s="4">
        <v>45978</v>
      </c>
      <c r="I195" s="4">
        <v>46190</v>
      </c>
      <c r="J195" s="1">
        <v>939.52</v>
      </c>
      <c r="K195">
        <v>0.85</v>
      </c>
      <c r="L195">
        <v>1</v>
      </c>
      <c r="M195" s="1">
        <v>0</v>
      </c>
      <c r="N195" s="1">
        <v>66.55</v>
      </c>
      <c r="O195" t="s">
        <v>34</v>
      </c>
      <c r="P195" t="s">
        <v>35</v>
      </c>
    </row>
    <row r="196" spans="1:16" x14ac:dyDescent="0.25">
      <c r="A196" t="s">
        <v>135</v>
      </c>
      <c r="B196" t="s">
        <v>136</v>
      </c>
      <c r="C196" t="s">
        <v>516</v>
      </c>
      <c r="D196" t="s">
        <v>62</v>
      </c>
      <c r="E196">
        <v>65</v>
      </c>
      <c r="F196" t="s">
        <v>517</v>
      </c>
      <c r="G196" s="3">
        <v>46171.777939814798</v>
      </c>
      <c r="H196" s="4">
        <v>45979</v>
      </c>
      <c r="I196" s="4">
        <v>46191</v>
      </c>
      <c r="J196" s="1">
        <v>752.76</v>
      </c>
      <c r="K196">
        <v>0.8</v>
      </c>
      <c r="L196">
        <v>1</v>
      </c>
      <c r="M196" s="1">
        <v>0</v>
      </c>
      <c r="N196" s="1">
        <v>50.18</v>
      </c>
      <c r="O196" t="s">
        <v>34</v>
      </c>
      <c r="P196" t="s">
        <v>35</v>
      </c>
    </row>
    <row r="197" spans="1:16" x14ac:dyDescent="0.25">
      <c r="A197" t="s">
        <v>68</v>
      </c>
      <c r="B197" t="s">
        <v>69</v>
      </c>
      <c r="C197" t="s">
        <v>518</v>
      </c>
      <c r="D197" t="s">
        <v>32</v>
      </c>
      <c r="E197">
        <v>71</v>
      </c>
      <c r="F197" t="s">
        <v>519</v>
      </c>
      <c r="G197" s="3">
        <v>46171.777939814798</v>
      </c>
      <c r="H197" s="4">
        <v>45992</v>
      </c>
      <c r="I197" s="4">
        <v>46204</v>
      </c>
      <c r="J197" s="1">
        <v>1009.68</v>
      </c>
      <c r="K197">
        <v>0.85</v>
      </c>
      <c r="L197">
        <v>1</v>
      </c>
      <c r="M197" s="1">
        <v>0</v>
      </c>
      <c r="N197" s="1">
        <v>71.510000000000005</v>
      </c>
      <c r="O197" t="s">
        <v>34</v>
      </c>
      <c r="P197" t="s">
        <v>35</v>
      </c>
    </row>
    <row r="198" spans="1:16" x14ac:dyDescent="0.25">
      <c r="A198" t="s">
        <v>68</v>
      </c>
      <c r="B198" t="s">
        <v>69</v>
      </c>
      <c r="C198" t="s">
        <v>520</v>
      </c>
      <c r="D198" t="s">
        <v>32</v>
      </c>
      <c r="E198">
        <v>67</v>
      </c>
      <c r="F198" t="s">
        <v>521</v>
      </c>
      <c r="G198" s="3">
        <v>46171.777939814798</v>
      </c>
      <c r="H198" s="4">
        <v>45980</v>
      </c>
      <c r="I198" s="4">
        <v>46192</v>
      </c>
      <c r="J198" s="1">
        <v>884.95</v>
      </c>
      <c r="K198">
        <v>0.85</v>
      </c>
      <c r="L198">
        <v>1</v>
      </c>
      <c r="M198" s="1">
        <v>0</v>
      </c>
      <c r="N198" s="1">
        <v>62.68</v>
      </c>
      <c r="O198" t="s">
        <v>34</v>
      </c>
      <c r="P198" t="s">
        <v>35</v>
      </c>
    </row>
    <row r="199" spans="1:16" x14ac:dyDescent="0.25">
      <c r="A199" t="s">
        <v>131</v>
      </c>
      <c r="B199" t="s">
        <v>132</v>
      </c>
      <c r="C199" t="s">
        <v>522</v>
      </c>
      <c r="D199" t="s">
        <v>62</v>
      </c>
      <c r="E199">
        <v>75</v>
      </c>
      <c r="F199" t="s">
        <v>523</v>
      </c>
      <c r="G199" s="3">
        <v>46171.777939814798</v>
      </c>
      <c r="H199" s="4">
        <v>46023</v>
      </c>
      <c r="I199" s="4">
        <v>46204</v>
      </c>
      <c r="J199" s="1">
        <v>1362</v>
      </c>
      <c r="K199">
        <v>0.8</v>
      </c>
      <c r="L199">
        <v>1</v>
      </c>
      <c r="M199" s="1">
        <v>0</v>
      </c>
      <c r="N199" s="1">
        <v>90.8</v>
      </c>
      <c r="O199" t="s">
        <v>34</v>
      </c>
      <c r="P199" t="s">
        <v>35</v>
      </c>
    </row>
    <row r="200" spans="1:16" x14ac:dyDescent="0.25">
      <c r="A200" t="s">
        <v>159</v>
      </c>
      <c r="B200" t="s">
        <v>160</v>
      </c>
      <c r="C200" t="s">
        <v>524</v>
      </c>
      <c r="D200" t="s">
        <v>62</v>
      </c>
      <c r="E200">
        <v>76</v>
      </c>
      <c r="F200" t="s">
        <v>525</v>
      </c>
      <c r="G200" s="3">
        <v>46171.777939814798</v>
      </c>
      <c r="H200" s="4">
        <v>46023</v>
      </c>
      <c r="I200" s="4">
        <v>46174</v>
      </c>
      <c r="J200" s="1">
        <v>2443.1999999999998</v>
      </c>
      <c r="K200">
        <v>0.8</v>
      </c>
      <c r="L200">
        <v>1</v>
      </c>
      <c r="M200" s="1">
        <v>0</v>
      </c>
      <c r="N200" s="1">
        <v>162.88</v>
      </c>
      <c r="O200" t="s">
        <v>34</v>
      </c>
      <c r="P200" t="s">
        <v>35</v>
      </c>
    </row>
    <row r="201" spans="1:16" x14ac:dyDescent="0.25">
      <c r="A201" t="s">
        <v>308</v>
      </c>
      <c r="B201" t="s">
        <v>309</v>
      </c>
      <c r="C201" t="s">
        <v>526</v>
      </c>
      <c r="D201" t="s">
        <v>32</v>
      </c>
      <c r="E201">
        <v>64</v>
      </c>
      <c r="F201" t="s">
        <v>527</v>
      </c>
      <c r="G201" s="3">
        <v>46171.777939814798</v>
      </c>
      <c r="H201" s="4">
        <v>46023</v>
      </c>
      <c r="I201" s="4">
        <v>46174</v>
      </c>
      <c r="J201" s="1">
        <v>417.01</v>
      </c>
      <c r="K201">
        <v>0.85</v>
      </c>
      <c r="L201">
        <v>1</v>
      </c>
      <c r="M201" s="1">
        <v>0</v>
      </c>
      <c r="N201" s="1">
        <v>29.54</v>
      </c>
      <c r="O201" t="s">
        <v>285</v>
      </c>
      <c r="P201" t="s">
        <v>35</v>
      </c>
    </row>
    <row r="202" spans="1:16" x14ac:dyDescent="0.25">
      <c r="A202" t="s">
        <v>135</v>
      </c>
      <c r="B202" t="s">
        <v>136</v>
      </c>
      <c r="C202" t="s">
        <v>528</v>
      </c>
      <c r="D202" t="s">
        <v>32</v>
      </c>
      <c r="E202">
        <v>80</v>
      </c>
      <c r="F202" t="s">
        <v>529</v>
      </c>
      <c r="G202" s="3">
        <v>46171.777939814798</v>
      </c>
      <c r="H202" s="4">
        <v>45993</v>
      </c>
      <c r="I202" s="4">
        <v>46205</v>
      </c>
      <c r="J202" s="1">
        <v>1911.07</v>
      </c>
      <c r="K202">
        <v>0.8</v>
      </c>
      <c r="L202">
        <v>1</v>
      </c>
      <c r="M202" s="1">
        <v>0</v>
      </c>
      <c r="N202" s="1">
        <v>127.41</v>
      </c>
      <c r="O202" t="s">
        <v>34</v>
      </c>
      <c r="P202" t="s">
        <v>35</v>
      </c>
    </row>
    <row r="203" spans="1:16" x14ac:dyDescent="0.25">
      <c r="A203" t="s">
        <v>219</v>
      </c>
      <c r="B203" t="s">
        <v>220</v>
      </c>
      <c r="C203" t="s">
        <v>530</v>
      </c>
      <c r="D203" t="s">
        <v>32</v>
      </c>
      <c r="E203">
        <v>66</v>
      </c>
      <c r="F203" t="s">
        <v>531</v>
      </c>
      <c r="G203" s="3">
        <v>46171.777939814798</v>
      </c>
      <c r="H203" s="4">
        <v>45996</v>
      </c>
      <c r="I203" s="4">
        <v>46178</v>
      </c>
      <c r="J203" s="1">
        <v>884.95</v>
      </c>
      <c r="K203">
        <v>0.85</v>
      </c>
      <c r="L203">
        <v>1</v>
      </c>
      <c r="M203" s="1">
        <v>0</v>
      </c>
      <c r="N203" s="1">
        <v>62.68</v>
      </c>
      <c r="O203" t="s">
        <v>34</v>
      </c>
      <c r="P203" t="s">
        <v>35</v>
      </c>
    </row>
    <row r="204" spans="1:16" x14ac:dyDescent="0.25">
      <c r="A204" t="s">
        <v>219</v>
      </c>
      <c r="B204" t="s">
        <v>220</v>
      </c>
      <c r="C204" t="s">
        <v>532</v>
      </c>
      <c r="D204" t="s">
        <v>32</v>
      </c>
      <c r="E204">
        <v>68</v>
      </c>
      <c r="F204" t="s">
        <v>533</v>
      </c>
      <c r="G204" s="3">
        <v>46171.777939814798</v>
      </c>
      <c r="H204" s="4">
        <v>46023</v>
      </c>
      <c r="I204" s="4">
        <v>46174</v>
      </c>
      <c r="J204" s="1">
        <v>607.15</v>
      </c>
      <c r="K204">
        <v>0.85</v>
      </c>
      <c r="L204">
        <v>1</v>
      </c>
      <c r="M204" s="1">
        <v>0</v>
      </c>
      <c r="N204" s="1">
        <v>43</v>
      </c>
      <c r="O204" t="s">
        <v>34</v>
      </c>
      <c r="P204" t="s">
        <v>35</v>
      </c>
    </row>
    <row r="205" spans="1:16" x14ac:dyDescent="0.25">
      <c r="A205" t="s">
        <v>131</v>
      </c>
      <c r="B205" t="s">
        <v>132</v>
      </c>
      <c r="C205" t="s">
        <v>534</v>
      </c>
      <c r="D205" t="s">
        <v>62</v>
      </c>
      <c r="E205">
        <v>71</v>
      </c>
      <c r="F205" t="s">
        <v>535</v>
      </c>
      <c r="G205" s="3">
        <v>46171.777939814798</v>
      </c>
      <c r="H205" s="4">
        <v>46023</v>
      </c>
      <c r="I205" s="4">
        <v>46204</v>
      </c>
      <c r="J205" s="1">
        <v>799.2</v>
      </c>
      <c r="K205">
        <v>0.8</v>
      </c>
      <c r="L205">
        <v>1</v>
      </c>
      <c r="M205" s="1">
        <v>0</v>
      </c>
      <c r="N205" s="1">
        <v>53.28</v>
      </c>
      <c r="O205" t="s">
        <v>34</v>
      </c>
      <c r="P205" t="s">
        <v>35</v>
      </c>
    </row>
    <row r="206" spans="1:16" x14ac:dyDescent="0.25">
      <c r="A206" t="s">
        <v>167</v>
      </c>
      <c r="B206" t="s">
        <v>168</v>
      </c>
      <c r="C206" t="s">
        <v>536</v>
      </c>
      <c r="D206" t="s">
        <v>62</v>
      </c>
      <c r="E206">
        <v>73</v>
      </c>
      <c r="F206" t="s">
        <v>537</v>
      </c>
      <c r="G206" s="3">
        <v>46171.777939814798</v>
      </c>
      <c r="H206" s="4">
        <v>46023</v>
      </c>
      <c r="I206" s="4">
        <v>46174</v>
      </c>
      <c r="J206" s="1">
        <v>1228.71</v>
      </c>
      <c r="K206">
        <v>0.8</v>
      </c>
      <c r="L206">
        <v>1</v>
      </c>
      <c r="M206" s="1">
        <v>0</v>
      </c>
      <c r="N206" s="1">
        <v>81.91</v>
      </c>
      <c r="O206" t="s">
        <v>112</v>
      </c>
      <c r="P206" t="s">
        <v>35</v>
      </c>
    </row>
    <row r="207" spans="1:16" x14ac:dyDescent="0.25">
      <c r="A207" t="s">
        <v>334</v>
      </c>
      <c r="B207" t="s">
        <v>335</v>
      </c>
      <c r="C207" t="s">
        <v>538</v>
      </c>
      <c r="D207" t="s">
        <v>62</v>
      </c>
      <c r="E207">
        <v>79</v>
      </c>
      <c r="F207" t="s">
        <v>539</v>
      </c>
      <c r="G207" s="3">
        <v>46171.777939814798</v>
      </c>
      <c r="H207" s="4">
        <v>45995</v>
      </c>
      <c r="I207" s="4">
        <v>46207</v>
      </c>
      <c r="J207" s="1">
        <v>792</v>
      </c>
      <c r="K207">
        <v>0.8</v>
      </c>
      <c r="L207">
        <v>1</v>
      </c>
      <c r="M207" s="1">
        <v>0</v>
      </c>
      <c r="N207" s="1">
        <v>52.8</v>
      </c>
      <c r="O207" t="s">
        <v>34</v>
      </c>
      <c r="P207" t="s">
        <v>35</v>
      </c>
    </row>
    <row r="208" spans="1:16" x14ac:dyDescent="0.25">
      <c r="A208" t="s">
        <v>131</v>
      </c>
      <c r="B208" t="s">
        <v>132</v>
      </c>
      <c r="C208" t="s">
        <v>540</v>
      </c>
      <c r="D208" t="s">
        <v>62</v>
      </c>
      <c r="E208">
        <v>54</v>
      </c>
      <c r="F208" t="s">
        <v>541</v>
      </c>
      <c r="G208" s="3">
        <v>46171.777939814798</v>
      </c>
      <c r="H208" s="4">
        <v>46023</v>
      </c>
      <c r="I208" s="4">
        <v>46174</v>
      </c>
      <c r="J208" s="1">
        <v>616.03</v>
      </c>
      <c r="K208">
        <v>0.75</v>
      </c>
      <c r="L208">
        <v>1</v>
      </c>
      <c r="M208" s="1">
        <v>0</v>
      </c>
      <c r="N208" s="1">
        <v>38.49</v>
      </c>
      <c r="O208" t="s">
        <v>322</v>
      </c>
      <c r="P208" t="s">
        <v>35</v>
      </c>
    </row>
    <row r="209" spans="1:16" x14ac:dyDescent="0.25">
      <c r="A209" t="s">
        <v>131</v>
      </c>
      <c r="B209" t="s">
        <v>132</v>
      </c>
      <c r="C209" t="s">
        <v>542</v>
      </c>
      <c r="D209" t="s">
        <v>62</v>
      </c>
      <c r="E209">
        <v>75</v>
      </c>
      <c r="F209" t="s">
        <v>543</v>
      </c>
      <c r="G209" s="3">
        <v>46171.777939814798</v>
      </c>
      <c r="H209" s="4">
        <v>46023</v>
      </c>
      <c r="I209" s="4">
        <v>46204</v>
      </c>
      <c r="J209" s="1">
        <v>2157.6</v>
      </c>
      <c r="K209">
        <v>0.8</v>
      </c>
      <c r="L209">
        <v>1</v>
      </c>
      <c r="M209" s="1">
        <v>0</v>
      </c>
      <c r="N209" s="1">
        <v>143.84</v>
      </c>
      <c r="O209" t="s">
        <v>34</v>
      </c>
      <c r="P209" t="s">
        <v>35</v>
      </c>
    </row>
    <row r="210" spans="1:16" x14ac:dyDescent="0.25">
      <c r="A210" t="s">
        <v>135</v>
      </c>
      <c r="B210" t="s">
        <v>136</v>
      </c>
      <c r="C210" t="s">
        <v>544</v>
      </c>
      <c r="D210" t="s">
        <v>32</v>
      </c>
      <c r="E210">
        <v>68</v>
      </c>
      <c r="F210" t="s">
        <v>545</v>
      </c>
      <c r="G210" s="3">
        <v>46171.777939814798</v>
      </c>
      <c r="H210" s="4">
        <v>45995</v>
      </c>
      <c r="I210" s="4">
        <v>46177</v>
      </c>
      <c r="J210" s="1">
        <v>873.75</v>
      </c>
      <c r="K210">
        <v>0.85</v>
      </c>
      <c r="L210">
        <v>1</v>
      </c>
      <c r="M210" s="1">
        <v>0</v>
      </c>
      <c r="N210" s="1">
        <v>61.89</v>
      </c>
      <c r="O210" t="s">
        <v>34</v>
      </c>
      <c r="P210" t="s">
        <v>35</v>
      </c>
    </row>
    <row r="211" spans="1:16" x14ac:dyDescent="0.25">
      <c r="A211" t="s">
        <v>82</v>
      </c>
      <c r="B211" t="s">
        <v>83</v>
      </c>
      <c r="C211" t="s">
        <v>546</v>
      </c>
      <c r="D211" t="s">
        <v>32</v>
      </c>
      <c r="E211">
        <v>64</v>
      </c>
      <c r="F211" t="s">
        <v>547</v>
      </c>
      <c r="G211" s="3">
        <v>46171.777939814798</v>
      </c>
      <c r="H211" s="4">
        <v>46001</v>
      </c>
      <c r="I211" s="4">
        <v>46183</v>
      </c>
      <c r="J211" s="1">
        <v>466.85</v>
      </c>
      <c r="K211">
        <v>0.85</v>
      </c>
      <c r="L211">
        <v>1</v>
      </c>
      <c r="M211" s="1">
        <v>0</v>
      </c>
      <c r="N211" s="1">
        <v>33.06</v>
      </c>
      <c r="O211" t="s">
        <v>34</v>
      </c>
      <c r="P211" t="s">
        <v>35</v>
      </c>
    </row>
    <row r="212" spans="1:16" x14ac:dyDescent="0.25">
      <c r="A212" t="s">
        <v>219</v>
      </c>
      <c r="B212" t="s">
        <v>220</v>
      </c>
      <c r="C212" t="s">
        <v>548</v>
      </c>
      <c r="D212" t="s">
        <v>32</v>
      </c>
      <c r="E212">
        <v>68</v>
      </c>
      <c r="F212" t="s">
        <v>549</v>
      </c>
      <c r="G212" s="3">
        <v>46171.777939814798</v>
      </c>
      <c r="H212" s="4">
        <v>45996</v>
      </c>
      <c r="I212" s="4">
        <v>46178</v>
      </c>
      <c r="J212" s="1">
        <v>884.95</v>
      </c>
      <c r="K212">
        <v>0.85</v>
      </c>
      <c r="L212">
        <v>1</v>
      </c>
      <c r="M212" s="1">
        <v>0</v>
      </c>
      <c r="N212" s="1">
        <v>62.68</v>
      </c>
      <c r="O212" t="s">
        <v>34</v>
      </c>
      <c r="P212" t="s">
        <v>35</v>
      </c>
    </row>
    <row r="213" spans="1:16" x14ac:dyDescent="0.25">
      <c r="A213" t="s">
        <v>135</v>
      </c>
      <c r="B213" t="s">
        <v>136</v>
      </c>
      <c r="C213" t="s">
        <v>550</v>
      </c>
      <c r="D213" t="s">
        <v>91</v>
      </c>
      <c r="E213">
        <v>76</v>
      </c>
      <c r="F213" t="s">
        <v>551</v>
      </c>
      <c r="G213" s="3">
        <v>46171.777939814798</v>
      </c>
      <c r="H213" s="4">
        <v>45996</v>
      </c>
      <c r="I213" s="4">
        <v>46208</v>
      </c>
      <c r="J213" s="1">
        <v>1452.26</v>
      </c>
      <c r="K213">
        <v>0.8</v>
      </c>
      <c r="L213">
        <v>1</v>
      </c>
      <c r="M213" s="1">
        <v>0</v>
      </c>
      <c r="N213" s="1">
        <v>96.82</v>
      </c>
      <c r="O213" t="s">
        <v>34</v>
      </c>
      <c r="P213" t="s">
        <v>35</v>
      </c>
    </row>
    <row r="214" spans="1:16" x14ac:dyDescent="0.25">
      <c r="A214" t="s">
        <v>167</v>
      </c>
      <c r="B214" t="s">
        <v>168</v>
      </c>
      <c r="C214" t="s">
        <v>552</v>
      </c>
      <c r="D214" t="s">
        <v>62</v>
      </c>
      <c r="E214">
        <v>64</v>
      </c>
      <c r="F214" t="s">
        <v>553</v>
      </c>
      <c r="G214" s="3">
        <v>46171.777939814798</v>
      </c>
      <c r="H214" s="4">
        <v>45992</v>
      </c>
      <c r="I214" s="4">
        <v>46174</v>
      </c>
      <c r="J214" s="1">
        <v>945.6</v>
      </c>
      <c r="K214">
        <v>0.8</v>
      </c>
      <c r="L214">
        <v>1</v>
      </c>
      <c r="M214" s="1">
        <v>0</v>
      </c>
      <c r="N214" s="1">
        <v>63.04</v>
      </c>
      <c r="O214" t="s">
        <v>112</v>
      </c>
      <c r="P214" t="s">
        <v>35</v>
      </c>
    </row>
    <row r="215" spans="1:16" x14ac:dyDescent="0.25">
      <c r="A215" t="s">
        <v>308</v>
      </c>
      <c r="B215" t="s">
        <v>309</v>
      </c>
      <c r="C215" t="s">
        <v>554</v>
      </c>
      <c r="D215" t="s">
        <v>165</v>
      </c>
      <c r="E215">
        <v>60</v>
      </c>
      <c r="F215" t="s">
        <v>555</v>
      </c>
      <c r="G215" s="3">
        <v>46171.777939814798</v>
      </c>
      <c r="H215" s="4">
        <v>46023</v>
      </c>
      <c r="I215" s="4">
        <v>46174</v>
      </c>
      <c r="J215" s="1">
        <v>1147.5</v>
      </c>
      <c r="K215">
        <v>1.1000000000000001</v>
      </c>
      <c r="L215">
        <v>1</v>
      </c>
      <c r="M215" s="1">
        <v>0</v>
      </c>
      <c r="N215" s="1">
        <v>105.18</v>
      </c>
      <c r="O215" t="s">
        <v>285</v>
      </c>
      <c r="P215" t="s">
        <v>35</v>
      </c>
    </row>
    <row r="216" spans="1:16" x14ac:dyDescent="0.25">
      <c r="A216" t="s">
        <v>308</v>
      </c>
      <c r="B216" t="s">
        <v>309</v>
      </c>
      <c r="C216" t="s">
        <v>556</v>
      </c>
      <c r="D216" t="s">
        <v>165</v>
      </c>
      <c r="E216">
        <v>62</v>
      </c>
      <c r="F216" t="s">
        <v>557</v>
      </c>
      <c r="G216" s="3">
        <v>46171.777939814798</v>
      </c>
      <c r="H216" s="4">
        <v>46023</v>
      </c>
      <c r="I216" s="4">
        <v>46174</v>
      </c>
      <c r="J216" s="1">
        <v>930</v>
      </c>
      <c r="K216">
        <v>1.1000000000000001</v>
      </c>
      <c r="L216">
        <v>1</v>
      </c>
      <c r="M216" s="1">
        <v>0</v>
      </c>
      <c r="N216" s="1">
        <v>85.25</v>
      </c>
      <c r="O216" t="s">
        <v>285</v>
      </c>
      <c r="P216" t="s">
        <v>35</v>
      </c>
    </row>
    <row r="217" spans="1:16" x14ac:dyDescent="0.25">
      <c r="A217" t="s">
        <v>342</v>
      </c>
      <c r="B217" t="s">
        <v>343</v>
      </c>
      <c r="C217" t="s">
        <v>558</v>
      </c>
      <c r="D217" t="s">
        <v>62</v>
      </c>
      <c r="E217">
        <v>71</v>
      </c>
      <c r="F217" t="s">
        <v>559</v>
      </c>
      <c r="G217" s="3">
        <v>46171.777939814798</v>
      </c>
      <c r="H217" s="4">
        <v>46023</v>
      </c>
      <c r="I217" s="4">
        <v>46204</v>
      </c>
      <c r="J217" s="1">
        <v>745.2</v>
      </c>
      <c r="K217">
        <v>0.75</v>
      </c>
      <c r="L217">
        <v>1</v>
      </c>
      <c r="M217" s="1">
        <v>0</v>
      </c>
      <c r="N217" s="1">
        <v>46.58</v>
      </c>
      <c r="O217" t="s">
        <v>322</v>
      </c>
      <c r="P217" t="s">
        <v>35</v>
      </c>
    </row>
    <row r="218" spans="1:16" x14ac:dyDescent="0.25">
      <c r="A218" t="s">
        <v>135</v>
      </c>
      <c r="B218" t="s">
        <v>136</v>
      </c>
      <c r="C218" t="s">
        <v>560</v>
      </c>
      <c r="D218" t="s">
        <v>32</v>
      </c>
      <c r="E218">
        <v>63</v>
      </c>
      <c r="F218" t="s">
        <v>561</v>
      </c>
      <c r="G218" s="3">
        <v>46171.777939814798</v>
      </c>
      <c r="H218" s="4">
        <v>45998</v>
      </c>
      <c r="I218" s="4">
        <v>46180</v>
      </c>
      <c r="J218" s="1">
        <v>746.56</v>
      </c>
      <c r="K218">
        <v>0.85</v>
      </c>
      <c r="L218">
        <v>1</v>
      </c>
      <c r="M218" s="1">
        <v>0</v>
      </c>
      <c r="N218" s="1">
        <v>52.88</v>
      </c>
      <c r="O218" t="s">
        <v>34</v>
      </c>
      <c r="P218" t="s">
        <v>35</v>
      </c>
    </row>
    <row r="219" spans="1:16" x14ac:dyDescent="0.25">
      <c r="A219" t="s">
        <v>135</v>
      </c>
      <c r="B219" t="s">
        <v>136</v>
      </c>
      <c r="C219" t="s">
        <v>562</v>
      </c>
      <c r="D219" t="s">
        <v>32</v>
      </c>
      <c r="E219">
        <v>78</v>
      </c>
      <c r="F219" t="s">
        <v>563</v>
      </c>
      <c r="G219" s="3">
        <v>46171.777939814798</v>
      </c>
      <c r="H219" s="4">
        <v>45999</v>
      </c>
      <c r="I219" s="4">
        <v>46181</v>
      </c>
      <c r="J219" s="1">
        <v>1821.5</v>
      </c>
      <c r="K219">
        <v>0.8</v>
      </c>
      <c r="L219">
        <v>1</v>
      </c>
      <c r="M219" s="1">
        <v>0</v>
      </c>
      <c r="N219" s="1">
        <v>121.43</v>
      </c>
      <c r="O219" t="s">
        <v>34</v>
      </c>
      <c r="P219" t="s">
        <v>35</v>
      </c>
    </row>
    <row r="220" spans="1:16" x14ac:dyDescent="0.25">
      <c r="A220" t="s">
        <v>68</v>
      </c>
      <c r="B220" t="s">
        <v>69</v>
      </c>
      <c r="C220" t="s">
        <v>564</v>
      </c>
      <c r="D220" t="s">
        <v>32</v>
      </c>
      <c r="E220">
        <v>69</v>
      </c>
      <c r="F220" t="s">
        <v>565</v>
      </c>
      <c r="G220" s="3">
        <v>46171.777939814798</v>
      </c>
      <c r="H220" s="4">
        <v>46023</v>
      </c>
      <c r="I220" s="4">
        <v>46174</v>
      </c>
      <c r="J220" s="1">
        <v>884.95</v>
      </c>
      <c r="K220">
        <v>0.85</v>
      </c>
      <c r="L220">
        <v>1</v>
      </c>
      <c r="M220" s="1">
        <v>0</v>
      </c>
      <c r="N220" s="1">
        <v>62.68</v>
      </c>
      <c r="O220" t="s">
        <v>34</v>
      </c>
      <c r="P220" t="s">
        <v>35</v>
      </c>
    </row>
    <row r="221" spans="1:16" x14ac:dyDescent="0.25">
      <c r="A221" t="s">
        <v>219</v>
      </c>
      <c r="B221" t="s">
        <v>220</v>
      </c>
      <c r="C221" t="s">
        <v>566</v>
      </c>
      <c r="D221" t="s">
        <v>32</v>
      </c>
      <c r="E221">
        <v>70</v>
      </c>
      <c r="F221" t="s">
        <v>567</v>
      </c>
      <c r="G221" s="3">
        <v>46171.777939814798</v>
      </c>
      <c r="H221" s="4">
        <v>46023</v>
      </c>
      <c r="I221" s="4">
        <v>46174</v>
      </c>
      <c r="J221" s="1">
        <v>607.15</v>
      </c>
      <c r="K221">
        <v>0.85</v>
      </c>
      <c r="L221">
        <v>1</v>
      </c>
      <c r="M221" s="1">
        <v>0</v>
      </c>
      <c r="N221" s="1">
        <v>43</v>
      </c>
      <c r="O221" t="s">
        <v>34</v>
      </c>
      <c r="P221" t="s">
        <v>35</v>
      </c>
    </row>
    <row r="222" spans="1:16" x14ac:dyDescent="0.25">
      <c r="A222" t="s">
        <v>82</v>
      </c>
      <c r="B222" t="s">
        <v>83</v>
      </c>
      <c r="C222" t="s">
        <v>568</v>
      </c>
      <c r="D222" t="s">
        <v>32</v>
      </c>
      <c r="E222">
        <v>62</v>
      </c>
      <c r="F222" t="s">
        <v>569</v>
      </c>
      <c r="G222" s="3">
        <v>46171.777939814798</v>
      </c>
      <c r="H222" s="4">
        <v>46001</v>
      </c>
      <c r="I222" s="4">
        <v>46183</v>
      </c>
      <c r="J222" s="1">
        <v>466.85</v>
      </c>
      <c r="K222">
        <v>0.85</v>
      </c>
      <c r="L222">
        <v>1</v>
      </c>
      <c r="M222" s="1">
        <v>0</v>
      </c>
      <c r="N222" s="1">
        <v>33.06</v>
      </c>
      <c r="O222" t="s">
        <v>34</v>
      </c>
      <c r="P222" t="s">
        <v>35</v>
      </c>
    </row>
    <row r="223" spans="1:16" x14ac:dyDescent="0.25">
      <c r="A223" t="s">
        <v>167</v>
      </c>
      <c r="B223" t="s">
        <v>168</v>
      </c>
      <c r="C223" t="s">
        <v>570</v>
      </c>
      <c r="D223" t="s">
        <v>62</v>
      </c>
      <c r="E223">
        <v>64</v>
      </c>
      <c r="F223" t="s">
        <v>571</v>
      </c>
      <c r="G223" s="3">
        <v>46171.777939814798</v>
      </c>
      <c r="H223" s="4">
        <v>46082</v>
      </c>
      <c r="I223" s="4">
        <v>46174</v>
      </c>
      <c r="J223" s="1">
        <v>845.93</v>
      </c>
      <c r="K223">
        <v>0.8</v>
      </c>
      <c r="L223">
        <v>1</v>
      </c>
      <c r="M223" s="1">
        <v>0</v>
      </c>
      <c r="N223" s="1">
        <v>56.39</v>
      </c>
      <c r="O223" t="s">
        <v>112</v>
      </c>
      <c r="P223" t="s">
        <v>35</v>
      </c>
    </row>
    <row r="224" spans="1:16" x14ac:dyDescent="0.25">
      <c r="A224" t="s">
        <v>82</v>
      </c>
      <c r="B224" t="s">
        <v>83</v>
      </c>
      <c r="C224" t="s">
        <v>572</v>
      </c>
      <c r="D224" t="s">
        <v>256</v>
      </c>
      <c r="E224">
        <v>64</v>
      </c>
      <c r="F224" t="s">
        <v>573</v>
      </c>
      <c r="G224" s="3">
        <v>46171.777939814798</v>
      </c>
      <c r="H224" s="4">
        <v>46023</v>
      </c>
      <c r="I224" s="4">
        <v>46174</v>
      </c>
      <c r="J224" s="1">
        <v>657.6</v>
      </c>
      <c r="K224">
        <v>0.8</v>
      </c>
      <c r="L224">
        <v>1</v>
      </c>
      <c r="M224" s="1">
        <v>0</v>
      </c>
      <c r="N224" s="1">
        <v>43.84</v>
      </c>
      <c r="O224" t="s">
        <v>34</v>
      </c>
      <c r="P224" t="s">
        <v>35</v>
      </c>
    </row>
    <row r="225" spans="1:16" x14ac:dyDescent="0.25">
      <c r="A225" t="s">
        <v>68</v>
      </c>
      <c r="B225" t="s">
        <v>69</v>
      </c>
      <c r="C225" t="s">
        <v>574</v>
      </c>
      <c r="D225" t="s">
        <v>32</v>
      </c>
      <c r="E225">
        <v>67</v>
      </c>
      <c r="F225" t="s">
        <v>575</v>
      </c>
      <c r="G225" s="3">
        <v>46171.777939814798</v>
      </c>
      <c r="H225" s="4">
        <v>46023</v>
      </c>
      <c r="I225" s="4">
        <v>46204</v>
      </c>
      <c r="J225" s="1">
        <v>884.95</v>
      </c>
      <c r="K225">
        <v>0.85</v>
      </c>
      <c r="L225">
        <v>1</v>
      </c>
      <c r="M225" s="1">
        <v>0</v>
      </c>
      <c r="N225" s="1">
        <v>62.68</v>
      </c>
      <c r="O225" t="s">
        <v>34</v>
      </c>
      <c r="P225" t="s">
        <v>35</v>
      </c>
    </row>
    <row r="226" spans="1:16" x14ac:dyDescent="0.25">
      <c r="A226" t="s">
        <v>131</v>
      </c>
      <c r="B226" t="s">
        <v>132</v>
      </c>
      <c r="C226" t="s">
        <v>576</v>
      </c>
      <c r="D226" t="s">
        <v>62</v>
      </c>
      <c r="E226">
        <v>64</v>
      </c>
      <c r="F226" t="s">
        <v>577</v>
      </c>
      <c r="G226" s="3">
        <v>46171.777939814798</v>
      </c>
      <c r="H226" s="4">
        <v>46023</v>
      </c>
      <c r="I226" s="4">
        <v>46174</v>
      </c>
      <c r="J226" s="1">
        <v>926.4</v>
      </c>
      <c r="K226">
        <v>0.8</v>
      </c>
      <c r="L226">
        <v>1</v>
      </c>
      <c r="M226" s="1">
        <v>0</v>
      </c>
      <c r="N226" s="1">
        <v>61.76</v>
      </c>
      <c r="O226" t="s">
        <v>34</v>
      </c>
      <c r="P226" t="s">
        <v>35</v>
      </c>
    </row>
    <row r="227" spans="1:16" x14ac:dyDescent="0.25">
      <c r="A227" t="s">
        <v>167</v>
      </c>
      <c r="B227" t="s">
        <v>168</v>
      </c>
      <c r="C227" t="s">
        <v>578</v>
      </c>
      <c r="D227" t="s">
        <v>62</v>
      </c>
      <c r="E227">
        <v>64</v>
      </c>
      <c r="F227" t="s">
        <v>579</v>
      </c>
      <c r="G227" s="3">
        <v>46171.777939814798</v>
      </c>
      <c r="H227" s="4">
        <v>46082</v>
      </c>
      <c r="I227" s="4">
        <v>46174</v>
      </c>
      <c r="J227" s="1">
        <v>845.93</v>
      </c>
      <c r="K227">
        <v>0.8</v>
      </c>
      <c r="L227">
        <v>1</v>
      </c>
      <c r="M227" s="1">
        <v>0</v>
      </c>
      <c r="N227" s="1">
        <v>56.39</v>
      </c>
      <c r="O227" t="s">
        <v>112</v>
      </c>
      <c r="P227" t="s">
        <v>35</v>
      </c>
    </row>
    <row r="228" spans="1:16" x14ac:dyDescent="0.25">
      <c r="A228" t="s">
        <v>580</v>
      </c>
      <c r="B228" t="s">
        <v>581</v>
      </c>
      <c r="C228" t="s">
        <v>582</v>
      </c>
      <c r="D228" t="s">
        <v>32</v>
      </c>
      <c r="E228">
        <v>65</v>
      </c>
      <c r="F228" t="s">
        <v>583</v>
      </c>
      <c r="G228" s="3">
        <v>46171.777939814798</v>
      </c>
      <c r="H228" s="4">
        <v>46054</v>
      </c>
      <c r="I228" s="4">
        <v>46174</v>
      </c>
      <c r="J228" s="1">
        <v>866.81</v>
      </c>
      <c r="K228">
        <v>0.85</v>
      </c>
      <c r="L228">
        <v>1</v>
      </c>
      <c r="M228" s="1">
        <v>0</v>
      </c>
      <c r="N228" s="1">
        <v>61.4</v>
      </c>
      <c r="O228" t="s">
        <v>34</v>
      </c>
      <c r="P228" t="s">
        <v>35</v>
      </c>
    </row>
    <row r="229" spans="1:16" x14ac:dyDescent="0.25">
      <c r="A229" t="s">
        <v>131</v>
      </c>
      <c r="B229" t="s">
        <v>132</v>
      </c>
      <c r="C229" t="s">
        <v>584</v>
      </c>
      <c r="D229" t="s">
        <v>62</v>
      </c>
      <c r="E229">
        <v>68</v>
      </c>
      <c r="F229" t="s">
        <v>585</v>
      </c>
      <c r="G229" s="3">
        <v>46171.777939814798</v>
      </c>
      <c r="H229" s="4">
        <v>46031</v>
      </c>
      <c r="I229" s="4">
        <v>46182</v>
      </c>
      <c r="J229" s="1">
        <v>2744.4</v>
      </c>
      <c r="K229">
        <v>0.8</v>
      </c>
      <c r="L229">
        <v>1</v>
      </c>
      <c r="M229" s="1">
        <v>0</v>
      </c>
      <c r="N229" s="1">
        <v>182.96</v>
      </c>
      <c r="O229" t="s">
        <v>34</v>
      </c>
      <c r="P229" t="s">
        <v>35</v>
      </c>
    </row>
    <row r="230" spans="1:16" x14ac:dyDescent="0.25">
      <c r="A230" t="s">
        <v>107</v>
      </c>
      <c r="B230" t="s">
        <v>108</v>
      </c>
      <c r="C230" t="s">
        <v>586</v>
      </c>
      <c r="D230" t="s">
        <v>110</v>
      </c>
      <c r="E230">
        <v>59</v>
      </c>
      <c r="F230" t="s">
        <v>587</v>
      </c>
      <c r="G230" s="3">
        <v>46171.777939814798</v>
      </c>
      <c r="H230" s="4">
        <v>46038</v>
      </c>
      <c r="I230" s="4">
        <v>46189</v>
      </c>
      <c r="J230" s="1">
        <v>736.8</v>
      </c>
      <c r="K230">
        <v>0.8</v>
      </c>
      <c r="L230">
        <v>1</v>
      </c>
      <c r="M230" s="1">
        <v>0</v>
      </c>
      <c r="N230" s="1">
        <v>49.12</v>
      </c>
      <c r="O230" t="s">
        <v>112</v>
      </c>
      <c r="P230" t="s">
        <v>35</v>
      </c>
    </row>
    <row r="231" spans="1:16" x14ac:dyDescent="0.25">
      <c r="A231" t="s">
        <v>76</v>
      </c>
      <c r="B231" t="s">
        <v>77</v>
      </c>
      <c r="C231" t="s">
        <v>588</v>
      </c>
      <c r="D231" t="s">
        <v>91</v>
      </c>
      <c r="E231">
        <v>70</v>
      </c>
      <c r="F231" t="s">
        <v>589</v>
      </c>
      <c r="G231" s="3">
        <v>46171.777939814798</v>
      </c>
      <c r="H231" s="4">
        <v>46035</v>
      </c>
      <c r="I231" s="4">
        <v>46186</v>
      </c>
      <c r="J231" s="1">
        <v>713.81</v>
      </c>
      <c r="K231">
        <v>0.85</v>
      </c>
      <c r="L231">
        <v>1</v>
      </c>
      <c r="M231" s="1">
        <v>0</v>
      </c>
      <c r="N231" s="1">
        <v>50.56</v>
      </c>
      <c r="O231" t="s">
        <v>34</v>
      </c>
      <c r="P231" t="s">
        <v>35</v>
      </c>
    </row>
    <row r="232" spans="1:16" x14ac:dyDescent="0.25">
      <c r="A232" t="s">
        <v>99</v>
      </c>
      <c r="B232" t="s">
        <v>100</v>
      </c>
      <c r="C232" t="s">
        <v>590</v>
      </c>
      <c r="D232" t="s">
        <v>91</v>
      </c>
      <c r="E232">
        <v>66</v>
      </c>
      <c r="F232" t="s">
        <v>591</v>
      </c>
      <c r="G232" s="3">
        <v>46171.777939814798</v>
      </c>
      <c r="H232" s="4">
        <v>46042</v>
      </c>
      <c r="I232" s="4">
        <v>46193</v>
      </c>
      <c r="J232" s="1">
        <v>691.4</v>
      </c>
      <c r="K232">
        <v>0.85</v>
      </c>
      <c r="L232">
        <v>1</v>
      </c>
      <c r="M232" s="1">
        <v>0</v>
      </c>
      <c r="N232" s="1">
        <v>48.97</v>
      </c>
      <c r="O232" t="s">
        <v>34</v>
      </c>
      <c r="P232" t="s">
        <v>35</v>
      </c>
    </row>
    <row r="233" spans="1:16" x14ac:dyDescent="0.25">
      <c r="A233" t="s">
        <v>68</v>
      </c>
      <c r="B233" t="s">
        <v>69</v>
      </c>
      <c r="C233" t="s">
        <v>592</v>
      </c>
      <c r="D233" t="s">
        <v>32</v>
      </c>
      <c r="E233">
        <v>64</v>
      </c>
      <c r="F233" t="s">
        <v>593</v>
      </c>
      <c r="G233" s="3">
        <v>46171.777939814798</v>
      </c>
      <c r="H233" s="4">
        <v>46054</v>
      </c>
      <c r="I233" s="4">
        <v>46174</v>
      </c>
      <c r="J233" s="1">
        <v>667.14</v>
      </c>
      <c r="K233">
        <v>0.85</v>
      </c>
      <c r="L233">
        <v>1</v>
      </c>
      <c r="M233" s="1">
        <v>0</v>
      </c>
      <c r="N233" s="1">
        <v>47.25</v>
      </c>
      <c r="O233" t="s">
        <v>34</v>
      </c>
      <c r="P233" t="s">
        <v>35</v>
      </c>
    </row>
    <row r="234" spans="1:16" x14ac:dyDescent="0.25">
      <c r="A234" t="s">
        <v>135</v>
      </c>
      <c r="B234" t="s">
        <v>136</v>
      </c>
      <c r="C234" t="s">
        <v>594</v>
      </c>
      <c r="D234" t="s">
        <v>32</v>
      </c>
      <c r="E234">
        <v>67</v>
      </c>
      <c r="F234" t="s">
        <v>595</v>
      </c>
      <c r="G234" s="3">
        <v>46171.777939814798</v>
      </c>
      <c r="H234" s="4">
        <v>46038</v>
      </c>
      <c r="I234" s="4">
        <v>46189</v>
      </c>
      <c r="J234" s="1">
        <v>862.54</v>
      </c>
      <c r="K234">
        <v>0.85</v>
      </c>
      <c r="L234">
        <v>1</v>
      </c>
      <c r="M234" s="1">
        <v>0</v>
      </c>
      <c r="N234" s="1">
        <v>61.09</v>
      </c>
      <c r="O234" t="s">
        <v>34</v>
      </c>
      <c r="P234" t="s">
        <v>35</v>
      </c>
    </row>
    <row r="235" spans="1:16" x14ac:dyDescent="0.25">
      <c r="A235" t="s">
        <v>342</v>
      </c>
      <c r="B235" t="s">
        <v>343</v>
      </c>
      <c r="C235" t="s">
        <v>596</v>
      </c>
      <c r="D235" t="s">
        <v>62</v>
      </c>
      <c r="E235">
        <v>64</v>
      </c>
      <c r="F235" t="s">
        <v>597</v>
      </c>
      <c r="G235" s="3">
        <v>46171.777939814798</v>
      </c>
      <c r="H235" s="4">
        <v>46082</v>
      </c>
      <c r="I235" s="4">
        <v>46204</v>
      </c>
      <c r="J235" s="1">
        <v>402</v>
      </c>
      <c r="K235">
        <v>0.75</v>
      </c>
      <c r="L235">
        <v>1</v>
      </c>
      <c r="M235" s="1">
        <v>0</v>
      </c>
      <c r="N235" s="1">
        <v>25.12</v>
      </c>
      <c r="O235" t="s">
        <v>322</v>
      </c>
      <c r="P235" t="s">
        <v>35</v>
      </c>
    </row>
    <row r="236" spans="1:16" x14ac:dyDescent="0.25">
      <c r="A236" t="s">
        <v>342</v>
      </c>
      <c r="B236" t="s">
        <v>343</v>
      </c>
      <c r="C236" t="s">
        <v>598</v>
      </c>
      <c r="D236" t="s">
        <v>62</v>
      </c>
      <c r="E236">
        <v>65</v>
      </c>
      <c r="F236" t="s">
        <v>599</v>
      </c>
      <c r="G236" s="3">
        <v>46171.777939814798</v>
      </c>
      <c r="H236" s="4">
        <v>46038</v>
      </c>
      <c r="I236" s="4">
        <v>46189</v>
      </c>
      <c r="J236" s="1">
        <v>633.89</v>
      </c>
      <c r="K236">
        <v>0.75</v>
      </c>
      <c r="L236">
        <v>1</v>
      </c>
      <c r="M236" s="1">
        <v>0</v>
      </c>
      <c r="N236" s="1">
        <v>39.619999999999997</v>
      </c>
      <c r="O236" t="s">
        <v>322</v>
      </c>
      <c r="P236" t="s">
        <v>35</v>
      </c>
    </row>
    <row r="237" spans="1:16" x14ac:dyDescent="0.25">
      <c r="A237" t="s">
        <v>82</v>
      </c>
      <c r="B237" t="s">
        <v>83</v>
      </c>
      <c r="C237" t="s">
        <v>600</v>
      </c>
      <c r="D237" t="s">
        <v>62</v>
      </c>
      <c r="E237">
        <v>66</v>
      </c>
      <c r="F237" t="s">
        <v>601</v>
      </c>
      <c r="G237" s="3">
        <v>46171.777939814798</v>
      </c>
      <c r="H237" s="4">
        <v>46041</v>
      </c>
      <c r="I237" s="4">
        <v>46192</v>
      </c>
      <c r="J237" s="1">
        <v>1430.4</v>
      </c>
      <c r="K237">
        <v>0.8</v>
      </c>
      <c r="L237">
        <v>1</v>
      </c>
      <c r="M237" s="1">
        <v>0</v>
      </c>
      <c r="N237" s="1">
        <v>95.36</v>
      </c>
      <c r="O237" t="s">
        <v>34</v>
      </c>
      <c r="P237" t="s">
        <v>35</v>
      </c>
    </row>
    <row r="238" spans="1:16" x14ac:dyDescent="0.25">
      <c r="A238" t="s">
        <v>99</v>
      </c>
      <c r="B238" t="s">
        <v>100</v>
      </c>
      <c r="C238" t="s">
        <v>602</v>
      </c>
      <c r="D238" t="s">
        <v>91</v>
      </c>
      <c r="E238">
        <v>64</v>
      </c>
      <c r="F238" t="s">
        <v>603</v>
      </c>
      <c r="G238" s="3">
        <v>46171.777939814798</v>
      </c>
      <c r="H238" s="4">
        <v>46042</v>
      </c>
      <c r="I238" s="4">
        <v>46193</v>
      </c>
      <c r="J238" s="1">
        <v>523.48</v>
      </c>
      <c r="K238">
        <v>0.85</v>
      </c>
      <c r="L238">
        <v>1</v>
      </c>
      <c r="M238" s="1">
        <v>0</v>
      </c>
      <c r="N238" s="1">
        <v>37.08</v>
      </c>
      <c r="O238" t="s">
        <v>34</v>
      </c>
      <c r="P238" t="s">
        <v>35</v>
      </c>
    </row>
    <row r="239" spans="1:16" x14ac:dyDescent="0.25">
      <c r="A239" t="s">
        <v>604</v>
      </c>
      <c r="B239" t="s">
        <v>605</v>
      </c>
      <c r="C239" t="s">
        <v>606</v>
      </c>
      <c r="D239" t="s">
        <v>39</v>
      </c>
      <c r="E239">
        <v>64</v>
      </c>
      <c r="F239" t="s">
        <v>607</v>
      </c>
      <c r="G239" s="3">
        <v>46171.777939814798</v>
      </c>
      <c r="H239" s="4">
        <v>46113</v>
      </c>
      <c r="I239" s="4">
        <v>46204</v>
      </c>
      <c r="J239" s="1">
        <v>348.19</v>
      </c>
      <c r="K239">
        <v>0.75</v>
      </c>
      <c r="L239">
        <v>1</v>
      </c>
      <c r="M239" s="1">
        <v>0</v>
      </c>
      <c r="N239" s="1">
        <v>21.76</v>
      </c>
      <c r="O239" t="s">
        <v>423</v>
      </c>
      <c r="P239" t="s">
        <v>35</v>
      </c>
    </row>
    <row r="240" spans="1:16" x14ac:dyDescent="0.25">
      <c r="A240" t="s">
        <v>167</v>
      </c>
      <c r="B240" t="s">
        <v>168</v>
      </c>
      <c r="C240" t="s">
        <v>608</v>
      </c>
      <c r="D240" t="s">
        <v>62</v>
      </c>
      <c r="E240">
        <v>65</v>
      </c>
      <c r="F240" t="s">
        <v>609</v>
      </c>
      <c r="G240" s="3">
        <v>46171.777939814798</v>
      </c>
      <c r="H240" s="4">
        <v>46054</v>
      </c>
      <c r="I240" s="4">
        <v>46174</v>
      </c>
      <c r="J240" s="1">
        <v>897.26</v>
      </c>
      <c r="K240">
        <v>0.8</v>
      </c>
      <c r="L240">
        <v>1</v>
      </c>
      <c r="M240" s="1">
        <v>0</v>
      </c>
      <c r="N240" s="1">
        <v>59.82</v>
      </c>
      <c r="O240" t="s">
        <v>112</v>
      </c>
      <c r="P240" t="s">
        <v>35</v>
      </c>
    </row>
    <row r="241" spans="1:16" x14ac:dyDescent="0.25">
      <c r="A241" t="s">
        <v>227</v>
      </c>
      <c r="B241" t="s">
        <v>228</v>
      </c>
      <c r="C241" t="s">
        <v>610</v>
      </c>
      <c r="D241" t="s">
        <v>62</v>
      </c>
      <c r="E241">
        <v>64</v>
      </c>
      <c r="F241" t="s">
        <v>611</v>
      </c>
      <c r="G241" s="3">
        <v>46171.777939814798</v>
      </c>
      <c r="H241" s="4">
        <v>46082</v>
      </c>
      <c r="I241" s="4">
        <v>46174</v>
      </c>
      <c r="J241" s="1">
        <v>470.4</v>
      </c>
      <c r="K241">
        <v>0.8</v>
      </c>
      <c r="L241">
        <v>1</v>
      </c>
      <c r="M241" s="1">
        <v>0</v>
      </c>
      <c r="N241" s="1">
        <v>31.36</v>
      </c>
      <c r="O241" t="s">
        <v>34</v>
      </c>
      <c r="P241" t="s">
        <v>35</v>
      </c>
    </row>
    <row r="242" spans="1:16" x14ac:dyDescent="0.25">
      <c r="A242" t="s">
        <v>113</v>
      </c>
      <c r="B242" t="s">
        <v>114</v>
      </c>
      <c r="C242" t="s">
        <v>612</v>
      </c>
      <c r="D242" t="s">
        <v>613</v>
      </c>
      <c r="E242">
        <v>64</v>
      </c>
      <c r="F242" t="s">
        <v>614</v>
      </c>
      <c r="G242" s="3">
        <v>46171.777939814798</v>
      </c>
      <c r="H242" s="4">
        <v>46082</v>
      </c>
      <c r="I242" s="4">
        <v>46174</v>
      </c>
      <c r="J242" s="1">
        <v>1063.8</v>
      </c>
      <c r="K242">
        <v>0.95</v>
      </c>
      <c r="L242">
        <v>1</v>
      </c>
      <c r="M242" s="1">
        <v>0</v>
      </c>
      <c r="N242" s="1">
        <v>84.22</v>
      </c>
      <c r="O242" t="s">
        <v>322</v>
      </c>
      <c r="P242" t="s">
        <v>35</v>
      </c>
    </row>
    <row r="243" spans="1:16" x14ac:dyDescent="0.25">
      <c r="A243" t="s">
        <v>615</v>
      </c>
      <c r="B243" t="s">
        <v>616</v>
      </c>
      <c r="C243" t="s">
        <v>617</v>
      </c>
      <c r="D243" t="s">
        <v>32</v>
      </c>
      <c r="E243">
        <v>68</v>
      </c>
      <c r="F243" t="s">
        <v>618</v>
      </c>
      <c r="G243" s="3">
        <v>46171.777939814798</v>
      </c>
      <c r="H243" s="4">
        <v>46054</v>
      </c>
      <c r="I243" s="4">
        <v>46235</v>
      </c>
      <c r="J243" s="1">
        <v>607.15</v>
      </c>
      <c r="K243">
        <v>0.85</v>
      </c>
      <c r="L243">
        <v>1</v>
      </c>
      <c r="M243" s="1">
        <v>0</v>
      </c>
      <c r="N243" s="1">
        <v>129.02000000000001</v>
      </c>
      <c r="O243" t="s">
        <v>34</v>
      </c>
      <c r="P243" t="s">
        <v>35</v>
      </c>
    </row>
    <row r="244" spans="1:16" x14ac:dyDescent="0.25">
      <c r="A244" t="s">
        <v>615</v>
      </c>
      <c r="B244" t="s">
        <v>616</v>
      </c>
      <c r="C244" t="s">
        <v>619</v>
      </c>
      <c r="D244" t="s">
        <v>32</v>
      </c>
      <c r="E244">
        <v>63</v>
      </c>
      <c r="F244" t="s">
        <v>620</v>
      </c>
      <c r="G244" s="3">
        <v>46171.777939814798</v>
      </c>
      <c r="H244" s="4">
        <v>46054</v>
      </c>
      <c r="I244" s="4">
        <v>46235</v>
      </c>
      <c r="J244" s="1">
        <v>467.79</v>
      </c>
      <c r="K244">
        <v>0.85</v>
      </c>
      <c r="L244">
        <v>1</v>
      </c>
      <c r="M244" s="1">
        <v>0</v>
      </c>
      <c r="N244" s="1">
        <v>99.41</v>
      </c>
      <c r="O244" t="s">
        <v>34</v>
      </c>
      <c r="P244" t="s">
        <v>35</v>
      </c>
    </row>
    <row r="245" spans="1:16" x14ac:dyDescent="0.25">
      <c r="A245" t="s">
        <v>135</v>
      </c>
      <c r="B245" t="s">
        <v>136</v>
      </c>
      <c r="C245" t="s">
        <v>621</v>
      </c>
      <c r="D245" t="s">
        <v>32</v>
      </c>
      <c r="E245">
        <v>65</v>
      </c>
      <c r="F245" t="s">
        <v>622</v>
      </c>
      <c r="G245" s="3">
        <v>46171.777939814798</v>
      </c>
      <c r="H245" s="4">
        <v>46043</v>
      </c>
      <c r="I245" s="4">
        <v>46194</v>
      </c>
      <c r="J245" s="1">
        <v>815.85</v>
      </c>
      <c r="K245">
        <v>0.85</v>
      </c>
      <c r="L245">
        <v>1</v>
      </c>
      <c r="M245" s="1">
        <v>0</v>
      </c>
      <c r="N245" s="1">
        <v>57.79</v>
      </c>
      <c r="O245" t="s">
        <v>34</v>
      </c>
      <c r="P245" t="s">
        <v>35</v>
      </c>
    </row>
    <row r="246" spans="1:16" x14ac:dyDescent="0.25">
      <c r="A246" t="s">
        <v>99</v>
      </c>
      <c r="B246" t="s">
        <v>100</v>
      </c>
      <c r="C246" t="s">
        <v>623</v>
      </c>
      <c r="D246" t="s">
        <v>162</v>
      </c>
      <c r="E246">
        <v>64</v>
      </c>
      <c r="F246" t="s">
        <v>624</v>
      </c>
      <c r="G246" s="3">
        <v>46171.777939814798</v>
      </c>
      <c r="H246" s="4">
        <v>46113</v>
      </c>
      <c r="I246" s="4">
        <v>46174</v>
      </c>
      <c r="J246" s="1">
        <v>220.8</v>
      </c>
      <c r="K246">
        <v>0.8</v>
      </c>
      <c r="L246">
        <v>1</v>
      </c>
      <c r="M246" s="1">
        <v>0</v>
      </c>
      <c r="N246" s="1">
        <v>14.72</v>
      </c>
      <c r="O246" t="s">
        <v>34</v>
      </c>
      <c r="P246" t="s">
        <v>35</v>
      </c>
    </row>
    <row r="247" spans="1:16" x14ac:dyDescent="0.25">
      <c r="A247" t="s">
        <v>308</v>
      </c>
      <c r="B247" t="s">
        <v>309</v>
      </c>
      <c r="C247" t="s">
        <v>625</v>
      </c>
      <c r="D247" t="s">
        <v>32</v>
      </c>
      <c r="E247">
        <v>52</v>
      </c>
      <c r="F247" t="s">
        <v>626</v>
      </c>
      <c r="G247" s="3">
        <v>46171.777939814798</v>
      </c>
      <c r="H247" s="4">
        <v>46058</v>
      </c>
      <c r="I247" s="4">
        <v>46178</v>
      </c>
      <c r="J247" s="1">
        <v>293.39</v>
      </c>
      <c r="K247">
        <v>0.85</v>
      </c>
      <c r="L247">
        <v>1</v>
      </c>
      <c r="M247" s="1">
        <v>0</v>
      </c>
      <c r="N247" s="1">
        <v>20.78</v>
      </c>
      <c r="O247" t="s">
        <v>285</v>
      </c>
      <c r="P247" t="s">
        <v>35</v>
      </c>
    </row>
    <row r="248" spans="1:16" x14ac:dyDescent="0.25">
      <c r="A248" t="s">
        <v>604</v>
      </c>
      <c r="B248" t="s">
        <v>605</v>
      </c>
      <c r="C248" t="s">
        <v>627</v>
      </c>
      <c r="D248" t="s">
        <v>256</v>
      </c>
      <c r="E248">
        <v>71</v>
      </c>
      <c r="F248" t="s">
        <v>628</v>
      </c>
      <c r="G248" s="3">
        <v>46171.777939814798</v>
      </c>
      <c r="H248" s="4">
        <v>46054</v>
      </c>
      <c r="I248" s="4">
        <v>46174</v>
      </c>
      <c r="J248" s="1">
        <v>552</v>
      </c>
      <c r="K248">
        <v>0.8</v>
      </c>
      <c r="L248">
        <v>1</v>
      </c>
      <c r="M248" s="1">
        <v>0</v>
      </c>
      <c r="N248" s="1">
        <v>36.799999999999997</v>
      </c>
      <c r="O248" t="s">
        <v>34</v>
      </c>
      <c r="P248" t="s">
        <v>35</v>
      </c>
    </row>
    <row r="249" spans="1:16" x14ac:dyDescent="0.25">
      <c r="A249" t="s">
        <v>113</v>
      </c>
      <c r="B249" t="s">
        <v>114</v>
      </c>
      <c r="C249" t="s">
        <v>629</v>
      </c>
      <c r="D249" t="s">
        <v>32</v>
      </c>
      <c r="E249">
        <v>64</v>
      </c>
      <c r="F249" t="s">
        <v>630</v>
      </c>
      <c r="G249" s="3">
        <v>46171.777939814798</v>
      </c>
      <c r="H249" s="4">
        <v>46082</v>
      </c>
      <c r="I249" s="4">
        <v>46174</v>
      </c>
      <c r="J249" s="1">
        <v>433.05</v>
      </c>
      <c r="K249">
        <v>0.85</v>
      </c>
      <c r="L249">
        <v>1</v>
      </c>
      <c r="M249" s="1">
        <v>0</v>
      </c>
      <c r="N249" s="1">
        <v>30.68</v>
      </c>
      <c r="O249" t="s">
        <v>34</v>
      </c>
      <c r="P249" t="s">
        <v>35</v>
      </c>
    </row>
    <row r="250" spans="1:16" x14ac:dyDescent="0.25">
      <c r="A250" t="s">
        <v>580</v>
      </c>
      <c r="B250" t="s">
        <v>581</v>
      </c>
      <c r="C250" t="s">
        <v>631</v>
      </c>
      <c r="D250" t="s">
        <v>62</v>
      </c>
      <c r="E250">
        <v>64</v>
      </c>
      <c r="F250" t="s">
        <v>632</v>
      </c>
      <c r="G250" s="3">
        <v>46171.777939814798</v>
      </c>
      <c r="H250" s="4">
        <v>46054</v>
      </c>
      <c r="I250" s="4">
        <v>46174</v>
      </c>
      <c r="J250" s="1">
        <v>1233.18</v>
      </c>
      <c r="K250">
        <v>0.8</v>
      </c>
      <c r="L250">
        <v>1</v>
      </c>
      <c r="M250" s="1">
        <v>0</v>
      </c>
      <c r="N250" s="1">
        <v>82.21</v>
      </c>
      <c r="O250" t="s">
        <v>34</v>
      </c>
      <c r="P250" t="s">
        <v>35</v>
      </c>
    </row>
    <row r="251" spans="1:16" x14ac:dyDescent="0.25">
      <c r="A251" t="s">
        <v>580</v>
      </c>
      <c r="B251" t="s">
        <v>581</v>
      </c>
      <c r="C251" t="s">
        <v>633</v>
      </c>
      <c r="D251" t="s">
        <v>62</v>
      </c>
      <c r="E251">
        <v>64</v>
      </c>
      <c r="F251" t="s">
        <v>634</v>
      </c>
      <c r="G251" s="3">
        <v>46171.777939814798</v>
      </c>
      <c r="H251" s="4">
        <v>46054</v>
      </c>
      <c r="I251" s="4">
        <v>46174</v>
      </c>
      <c r="J251" s="1">
        <v>1233.18</v>
      </c>
      <c r="K251">
        <v>0.8</v>
      </c>
      <c r="L251">
        <v>1</v>
      </c>
      <c r="M251" s="1">
        <v>0</v>
      </c>
      <c r="N251" s="1">
        <v>82.21</v>
      </c>
      <c r="O251" t="s">
        <v>34</v>
      </c>
      <c r="P251" t="s">
        <v>35</v>
      </c>
    </row>
    <row r="252" spans="1:16" x14ac:dyDescent="0.25">
      <c r="A252" t="s">
        <v>227</v>
      </c>
      <c r="B252" t="s">
        <v>228</v>
      </c>
      <c r="C252" t="s">
        <v>635</v>
      </c>
      <c r="D252" t="s">
        <v>62</v>
      </c>
      <c r="E252">
        <v>70</v>
      </c>
      <c r="F252" t="s">
        <v>636</v>
      </c>
      <c r="G252" s="3">
        <v>46171.777939814798</v>
      </c>
      <c r="H252" s="4">
        <v>46054</v>
      </c>
      <c r="I252" s="4">
        <v>46174</v>
      </c>
      <c r="J252" s="1">
        <v>283.2</v>
      </c>
      <c r="K252">
        <v>0.8</v>
      </c>
      <c r="L252">
        <v>1</v>
      </c>
      <c r="M252" s="1">
        <v>0</v>
      </c>
      <c r="N252" s="1">
        <v>18.88</v>
      </c>
      <c r="O252" t="s">
        <v>34</v>
      </c>
      <c r="P252" t="s">
        <v>35</v>
      </c>
    </row>
    <row r="253" spans="1:16" x14ac:dyDescent="0.25">
      <c r="A253" t="s">
        <v>227</v>
      </c>
      <c r="B253" t="s">
        <v>228</v>
      </c>
      <c r="C253" t="s">
        <v>637</v>
      </c>
      <c r="D253" t="s">
        <v>62</v>
      </c>
      <c r="E253">
        <v>64</v>
      </c>
      <c r="F253" t="s">
        <v>638</v>
      </c>
      <c r="G253" s="3">
        <v>46171.777939814798</v>
      </c>
      <c r="H253" s="4">
        <v>46113</v>
      </c>
      <c r="I253" s="4">
        <v>46174</v>
      </c>
      <c r="J253" s="1">
        <v>470.4</v>
      </c>
      <c r="K253">
        <v>0.8</v>
      </c>
      <c r="L253">
        <v>1</v>
      </c>
      <c r="M253" s="1">
        <v>0</v>
      </c>
      <c r="N253" s="1">
        <v>31.36</v>
      </c>
      <c r="O253" t="s">
        <v>34</v>
      </c>
      <c r="P253" t="s">
        <v>35</v>
      </c>
    </row>
    <row r="254" spans="1:16" x14ac:dyDescent="0.25">
      <c r="A254" t="s">
        <v>188</v>
      </c>
      <c r="B254" t="s">
        <v>189</v>
      </c>
      <c r="C254" t="s">
        <v>639</v>
      </c>
      <c r="D254" t="s">
        <v>91</v>
      </c>
      <c r="E254">
        <v>64</v>
      </c>
      <c r="F254" t="s">
        <v>640</v>
      </c>
      <c r="G254" s="3">
        <v>46171.777939814798</v>
      </c>
      <c r="H254" s="4">
        <v>46113</v>
      </c>
      <c r="I254" s="4">
        <v>46204</v>
      </c>
      <c r="J254" s="1">
        <v>524.17999999999995</v>
      </c>
      <c r="K254">
        <v>0.85</v>
      </c>
      <c r="L254">
        <v>1</v>
      </c>
      <c r="M254" s="1">
        <v>0</v>
      </c>
      <c r="N254" s="1">
        <v>37.130000000000003</v>
      </c>
      <c r="O254" t="s">
        <v>34</v>
      </c>
      <c r="P254" t="s">
        <v>35</v>
      </c>
    </row>
    <row r="255" spans="1:16" x14ac:dyDescent="0.25">
      <c r="A255" t="s">
        <v>308</v>
      </c>
      <c r="B255" t="s">
        <v>309</v>
      </c>
      <c r="C255" t="s">
        <v>641</v>
      </c>
      <c r="D255" t="s">
        <v>32</v>
      </c>
      <c r="E255">
        <v>62</v>
      </c>
      <c r="F255" t="s">
        <v>642</v>
      </c>
      <c r="G255" s="3">
        <v>46171.777939814798</v>
      </c>
      <c r="H255" s="4">
        <v>46058</v>
      </c>
      <c r="I255" s="4">
        <v>46178</v>
      </c>
      <c r="J255" s="1">
        <v>417.01</v>
      </c>
      <c r="K255">
        <v>0.85</v>
      </c>
      <c r="L255">
        <v>1</v>
      </c>
      <c r="M255" s="1">
        <v>0</v>
      </c>
      <c r="N255" s="1">
        <v>29.54</v>
      </c>
      <c r="O255" t="s">
        <v>285</v>
      </c>
      <c r="P255" t="s">
        <v>35</v>
      </c>
    </row>
    <row r="256" spans="1:16" x14ac:dyDescent="0.25">
      <c r="A256" t="s">
        <v>308</v>
      </c>
      <c r="B256" t="s">
        <v>309</v>
      </c>
      <c r="C256" t="s">
        <v>643</v>
      </c>
      <c r="D256" t="s">
        <v>32</v>
      </c>
      <c r="E256">
        <v>69</v>
      </c>
      <c r="F256" t="s">
        <v>644</v>
      </c>
      <c r="G256" s="3">
        <v>46171.777939814798</v>
      </c>
      <c r="H256" s="4">
        <v>46082</v>
      </c>
      <c r="I256" s="4">
        <v>46174</v>
      </c>
      <c r="J256" s="1">
        <v>592.61</v>
      </c>
      <c r="K256">
        <v>0.85</v>
      </c>
      <c r="L256">
        <v>1</v>
      </c>
      <c r="M256" s="1">
        <v>0</v>
      </c>
      <c r="N256" s="1">
        <v>41.97</v>
      </c>
      <c r="O256" t="s">
        <v>285</v>
      </c>
      <c r="P256" t="s">
        <v>35</v>
      </c>
    </row>
    <row r="257" spans="1:16" x14ac:dyDescent="0.25">
      <c r="A257" t="s">
        <v>308</v>
      </c>
      <c r="B257" t="s">
        <v>309</v>
      </c>
      <c r="C257" t="s">
        <v>645</v>
      </c>
      <c r="D257" t="s">
        <v>32</v>
      </c>
      <c r="E257">
        <v>66</v>
      </c>
      <c r="F257" t="s">
        <v>646</v>
      </c>
      <c r="G257" s="3">
        <v>46171.777939814798</v>
      </c>
      <c r="H257" s="4">
        <v>46082</v>
      </c>
      <c r="I257" s="4">
        <v>46174</v>
      </c>
      <c r="J257" s="1">
        <v>592.61</v>
      </c>
      <c r="K257">
        <v>0.85</v>
      </c>
      <c r="L257">
        <v>1</v>
      </c>
      <c r="M257" s="1">
        <v>0</v>
      </c>
      <c r="N257" s="1">
        <v>41.97</v>
      </c>
      <c r="O257" t="s">
        <v>285</v>
      </c>
      <c r="P257" t="s">
        <v>35</v>
      </c>
    </row>
    <row r="258" spans="1:16" x14ac:dyDescent="0.25">
      <c r="A258" t="s">
        <v>139</v>
      </c>
      <c r="B258" t="s">
        <v>140</v>
      </c>
      <c r="C258" t="s">
        <v>647</v>
      </c>
      <c r="D258" t="s">
        <v>62</v>
      </c>
      <c r="E258">
        <v>65</v>
      </c>
      <c r="F258" t="s">
        <v>648</v>
      </c>
      <c r="G258" s="3">
        <v>46171.777939814798</v>
      </c>
      <c r="H258" s="4">
        <v>46082</v>
      </c>
      <c r="I258" s="4">
        <v>46174</v>
      </c>
      <c r="J258" s="1">
        <v>1005.6</v>
      </c>
      <c r="K258">
        <v>0.8</v>
      </c>
      <c r="L258">
        <v>1</v>
      </c>
      <c r="M258" s="1">
        <v>0</v>
      </c>
      <c r="N258" s="1">
        <v>67.040000000000006</v>
      </c>
      <c r="O258" t="s">
        <v>34</v>
      </c>
      <c r="P258" t="s">
        <v>35</v>
      </c>
    </row>
    <row r="259" spans="1:16" x14ac:dyDescent="0.25">
      <c r="A259" t="s">
        <v>135</v>
      </c>
      <c r="B259" t="s">
        <v>136</v>
      </c>
      <c r="C259" t="s">
        <v>649</v>
      </c>
      <c r="D259" t="s">
        <v>32</v>
      </c>
      <c r="E259">
        <v>55</v>
      </c>
      <c r="F259" t="s">
        <v>650</v>
      </c>
      <c r="G259" s="3">
        <v>46171.777939814798</v>
      </c>
      <c r="H259" s="4">
        <v>46063</v>
      </c>
      <c r="I259" s="4">
        <v>46183</v>
      </c>
      <c r="J259" s="1">
        <v>331.8</v>
      </c>
      <c r="K259">
        <v>0.85</v>
      </c>
      <c r="L259">
        <v>1</v>
      </c>
      <c r="M259" s="1">
        <v>0</v>
      </c>
      <c r="N259" s="1">
        <v>23.5</v>
      </c>
      <c r="O259" t="s">
        <v>34</v>
      </c>
      <c r="P259" t="s">
        <v>35</v>
      </c>
    </row>
    <row r="260" spans="1:16" x14ac:dyDescent="0.25">
      <c r="A260" t="s">
        <v>107</v>
      </c>
      <c r="B260" t="s">
        <v>108</v>
      </c>
      <c r="C260" t="s">
        <v>651</v>
      </c>
      <c r="D260" t="s">
        <v>110</v>
      </c>
      <c r="E260">
        <v>31</v>
      </c>
      <c r="F260" t="s">
        <v>652</v>
      </c>
      <c r="G260" s="3">
        <v>46171.777939814798</v>
      </c>
      <c r="H260" s="4">
        <v>46066</v>
      </c>
      <c r="I260" s="4">
        <v>46186</v>
      </c>
      <c r="J260" s="1">
        <v>504</v>
      </c>
      <c r="K260">
        <v>0.8</v>
      </c>
      <c r="L260">
        <v>1</v>
      </c>
      <c r="M260" s="1">
        <v>0</v>
      </c>
      <c r="N260" s="1">
        <v>33.6</v>
      </c>
      <c r="O260" t="s">
        <v>112</v>
      </c>
      <c r="P260" t="s">
        <v>35</v>
      </c>
    </row>
    <row r="261" spans="1:16" x14ac:dyDescent="0.25">
      <c r="A261" t="s">
        <v>227</v>
      </c>
      <c r="B261" t="s">
        <v>228</v>
      </c>
      <c r="C261" t="s">
        <v>653</v>
      </c>
      <c r="D261" t="s">
        <v>62</v>
      </c>
      <c r="E261">
        <v>64</v>
      </c>
      <c r="F261" t="s">
        <v>654</v>
      </c>
      <c r="G261" s="3">
        <v>46171.777939814798</v>
      </c>
      <c r="H261" s="4">
        <v>46082</v>
      </c>
      <c r="I261" s="4">
        <v>46174</v>
      </c>
      <c r="J261" s="1">
        <v>889.2</v>
      </c>
      <c r="K261">
        <v>0.8</v>
      </c>
      <c r="L261">
        <v>1</v>
      </c>
      <c r="M261" s="1">
        <v>0</v>
      </c>
      <c r="N261" s="1">
        <v>59.28</v>
      </c>
      <c r="O261" t="s">
        <v>34</v>
      </c>
      <c r="P261" t="s">
        <v>35</v>
      </c>
    </row>
    <row r="262" spans="1:16" x14ac:dyDescent="0.25">
      <c r="A262" t="s">
        <v>131</v>
      </c>
      <c r="B262" t="s">
        <v>132</v>
      </c>
      <c r="C262" t="s">
        <v>655</v>
      </c>
      <c r="D262" t="s">
        <v>62</v>
      </c>
      <c r="E262">
        <v>68</v>
      </c>
      <c r="F262" t="s">
        <v>656</v>
      </c>
      <c r="G262" s="3">
        <v>46171.777939814798</v>
      </c>
      <c r="H262" s="4">
        <v>46082</v>
      </c>
      <c r="I262" s="4">
        <v>46204</v>
      </c>
      <c r="J262" s="1">
        <v>1074</v>
      </c>
      <c r="K262">
        <v>0.8</v>
      </c>
      <c r="L262">
        <v>1</v>
      </c>
      <c r="M262" s="1">
        <v>0</v>
      </c>
      <c r="N262" s="1">
        <v>71.599999999999994</v>
      </c>
      <c r="O262" t="s">
        <v>34</v>
      </c>
      <c r="P262" t="s">
        <v>35</v>
      </c>
    </row>
    <row r="263" spans="1:16" x14ac:dyDescent="0.25">
      <c r="A263" t="s">
        <v>153</v>
      </c>
      <c r="B263" t="s">
        <v>154</v>
      </c>
      <c r="C263" t="s">
        <v>657</v>
      </c>
      <c r="D263" t="s">
        <v>32</v>
      </c>
      <c r="E263">
        <v>68</v>
      </c>
      <c r="F263" t="s">
        <v>658</v>
      </c>
      <c r="G263" s="3">
        <v>46171.777939814798</v>
      </c>
      <c r="H263" s="4">
        <v>46081</v>
      </c>
      <c r="I263" s="4">
        <v>46201</v>
      </c>
      <c r="J263" s="1">
        <v>551.12</v>
      </c>
      <c r="K263">
        <v>0.85</v>
      </c>
      <c r="L263">
        <v>1</v>
      </c>
      <c r="M263" s="1">
        <v>0</v>
      </c>
      <c r="N263" s="1">
        <v>39.03</v>
      </c>
      <c r="O263" t="s">
        <v>34</v>
      </c>
      <c r="P263" t="s">
        <v>35</v>
      </c>
    </row>
    <row r="264" spans="1:16" x14ac:dyDescent="0.25">
      <c r="A264" t="s">
        <v>153</v>
      </c>
      <c r="B264" t="s">
        <v>154</v>
      </c>
      <c r="C264" t="s">
        <v>659</v>
      </c>
      <c r="D264" t="s">
        <v>32</v>
      </c>
      <c r="E264">
        <v>65</v>
      </c>
      <c r="F264" t="s">
        <v>660</v>
      </c>
      <c r="G264" s="3">
        <v>46171.777939814798</v>
      </c>
      <c r="H264" s="4">
        <v>46080</v>
      </c>
      <c r="I264" s="4">
        <v>46200</v>
      </c>
      <c r="J264" s="1">
        <v>592.61</v>
      </c>
      <c r="K264">
        <v>0.85</v>
      </c>
      <c r="L264">
        <v>1</v>
      </c>
      <c r="M264" s="1">
        <v>0</v>
      </c>
      <c r="N264" s="1">
        <v>41.97</v>
      </c>
      <c r="O264" t="s">
        <v>34</v>
      </c>
      <c r="P264" t="s">
        <v>35</v>
      </c>
    </row>
    <row r="265" spans="1:16" x14ac:dyDescent="0.25">
      <c r="A265" t="s">
        <v>139</v>
      </c>
      <c r="B265" t="s">
        <v>140</v>
      </c>
      <c r="C265" t="s">
        <v>661</v>
      </c>
      <c r="D265" t="s">
        <v>62</v>
      </c>
      <c r="E265">
        <v>62</v>
      </c>
      <c r="F265" t="s">
        <v>662</v>
      </c>
      <c r="G265" s="3">
        <v>46171.777939814798</v>
      </c>
      <c r="H265" s="4">
        <v>46113</v>
      </c>
      <c r="I265" s="4">
        <v>46174</v>
      </c>
      <c r="J265" s="1">
        <v>724.8</v>
      </c>
      <c r="K265">
        <v>0.8</v>
      </c>
      <c r="L265">
        <v>1</v>
      </c>
      <c r="M265" s="1">
        <v>0</v>
      </c>
      <c r="N265" s="1">
        <v>48.32</v>
      </c>
      <c r="O265" t="s">
        <v>34</v>
      </c>
      <c r="P265" t="s">
        <v>35</v>
      </c>
    </row>
    <row r="266" spans="1:16" x14ac:dyDescent="0.25">
      <c r="A266" t="s">
        <v>580</v>
      </c>
      <c r="B266" t="s">
        <v>581</v>
      </c>
      <c r="C266" t="s">
        <v>663</v>
      </c>
      <c r="D266" t="s">
        <v>62</v>
      </c>
      <c r="E266">
        <v>73</v>
      </c>
      <c r="F266" t="s">
        <v>664</v>
      </c>
      <c r="G266" s="3">
        <v>46171.777939814798</v>
      </c>
      <c r="H266" s="4">
        <v>46113</v>
      </c>
      <c r="I266" s="4">
        <v>46174</v>
      </c>
      <c r="J266" s="1">
        <v>991.01</v>
      </c>
      <c r="K266">
        <v>0.8</v>
      </c>
      <c r="L266">
        <v>1</v>
      </c>
      <c r="M266" s="1">
        <v>0</v>
      </c>
      <c r="N266" s="1">
        <v>66.06</v>
      </c>
      <c r="O266" t="s">
        <v>34</v>
      </c>
      <c r="P266" t="s">
        <v>35</v>
      </c>
    </row>
    <row r="267" spans="1:16" x14ac:dyDescent="0.25">
      <c r="A267" t="s">
        <v>113</v>
      </c>
      <c r="B267" t="s">
        <v>114</v>
      </c>
      <c r="C267" t="s">
        <v>665</v>
      </c>
      <c r="D267" t="s">
        <v>666</v>
      </c>
      <c r="E267">
        <v>70</v>
      </c>
      <c r="F267" t="s">
        <v>667</v>
      </c>
      <c r="G267" s="3">
        <v>46171.777939814798</v>
      </c>
      <c r="H267" s="4">
        <v>46082</v>
      </c>
      <c r="I267" s="4">
        <v>46204</v>
      </c>
      <c r="J267" s="1">
        <v>1140</v>
      </c>
      <c r="K267">
        <v>1.1000000000000001</v>
      </c>
      <c r="L267">
        <v>1</v>
      </c>
      <c r="M267" s="1">
        <v>0</v>
      </c>
      <c r="N267" s="1">
        <v>104.5</v>
      </c>
      <c r="O267" t="s">
        <v>34</v>
      </c>
      <c r="P267" t="s">
        <v>35</v>
      </c>
    </row>
    <row r="268" spans="1:16" x14ac:dyDescent="0.25">
      <c r="A268" t="s">
        <v>308</v>
      </c>
      <c r="B268" t="s">
        <v>309</v>
      </c>
      <c r="C268" t="s">
        <v>668</v>
      </c>
      <c r="D268" t="s">
        <v>32</v>
      </c>
      <c r="E268">
        <v>66</v>
      </c>
      <c r="F268" t="s">
        <v>669</v>
      </c>
      <c r="G268" s="3">
        <v>46171.777939814798</v>
      </c>
      <c r="H268" s="4">
        <v>46113</v>
      </c>
      <c r="I268" s="4">
        <v>46174</v>
      </c>
      <c r="J268" s="1">
        <v>551.12</v>
      </c>
      <c r="K268">
        <v>0.85</v>
      </c>
      <c r="L268">
        <v>1</v>
      </c>
      <c r="M268" s="1">
        <v>0</v>
      </c>
      <c r="N268" s="1">
        <v>39.03</v>
      </c>
      <c r="O268" t="s">
        <v>285</v>
      </c>
      <c r="P268" t="s">
        <v>35</v>
      </c>
    </row>
    <row r="269" spans="1:16" x14ac:dyDescent="0.25">
      <c r="A269" t="s">
        <v>227</v>
      </c>
      <c r="B269" t="s">
        <v>228</v>
      </c>
      <c r="C269" t="s">
        <v>670</v>
      </c>
      <c r="D269" t="s">
        <v>62</v>
      </c>
      <c r="E269">
        <v>64</v>
      </c>
      <c r="F269" t="s">
        <v>671</v>
      </c>
      <c r="G269" s="3">
        <v>46171.777939814798</v>
      </c>
      <c r="H269" s="4">
        <v>46113</v>
      </c>
      <c r="I269" s="4">
        <v>46174</v>
      </c>
      <c r="J269" s="1">
        <v>830.4</v>
      </c>
      <c r="K269">
        <v>0.8</v>
      </c>
      <c r="L269">
        <v>1</v>
      </c>
      <c r="M269" s="1">
        <v>0</v>
      </c>
      <c r="N269" s="1">
        <v>55.36</v>
      </c>
      <c r="O269" t="s">
        <v>34</v>
      </c>
      <c r="P269" t="s">
        <v>35</v>
      </c>
    </row>
    <row r="270" spans="1:16" x14ac:dyDescent="0.25">
      <c r="A270" t="s">
        <v>68</v>
      </c>
      <c r="B270" t="s">
        <v>69</v>
      </c>
      <c r="C270" t="s">
        <v>672</v>
      </c>
      <c r="D270" t="s">
        <v>32</v>
      </c>
      <c r="E270">
        <v>64</v>
      </c>
      <c r="F270" t="s">
        <v>673</v>
      </c>
      <c r="G270" s="3">
        <v>46171.777939814798</v>
      </c>
      <c r="H270" s="4">
        <v>46118</v>
      </c>
      <c r="I270" s="4">
        <v>46179</v>
      </c>
      <c r="J270" s="1">
        <v>718.38</v>
      </c>
      <c r="K270">
        <v>0.85</v>
      </c>
      <c r="L270">
        <v>1</v>
      </c>
      <c r="M270" s="1">
        <v>0</v>
      </c>
      <c r="N270" s="1">
        <v>50.88</v>
      </c>
      <c r="O270" t="s">
        <v>47</v>
      </c>
      <c r="P270" t="s">
        <v>35</v>
      </c>
    </row>
    <row r="271" spans="1:16" x14ac:dyDescent="0.25">
      <c r="A271" t="s">
        <v>82</v>
      </c>
      <c r="B271" t="s">
        <v>83</v>
      </c>
      <c r="C271" t="s">
        <v>674</v>
      </c>
      <c r="D271" t="s">
        <v>62</v>
      </c>
      <c r="E271">
        <v>68</v>
      </c>
      <c r="F271" t="s">
        <v>675</v>
      </c>
      <c r="G271" s="3">
        <v>46171.777939814798</v>
      </c>
      <c r="H271" s="4">
        <v>46113</v>
      </c>
      <c r="I271" s="4">
        <v>46204</v>
      </c>
      <c r="J271" s="1">
        <v>1419.6</v>
      </c>
      <c r="K271">
        <v>0.8</v>
      </c>
      <c r="L271">
        <v>1</v>
      </c>
      <c r="M271" s="1">
        <v>0</v>
      </c>
      <c r="N271" s="1">
        <v>94.64</v>
      </c>
      <c r="O271" t="s">
        <v>34</v>
      </c>
      <c r="P271" t="s">
        <v>35</v>
      </c>
    </row>
    <row r="272" spans="1:16" x14ac:dyDescent="0.25">
      <c r="A272" t="s">
        <v>308</v>
      </c>
      <c r="B272" t="s">
        <v>309</v>
      </c>
      <c r="C272" t="s">
        <v>676</v>
      </c>
      <c r="D272" t="s">
        <v>32</v>
      </c>
      <c r="E272">
        <v>58</v>
      </c>
      <c r="F272" t="s">
        <v>677</v>
      </c>
      <c r="G272" s="3">
        <v>46171.777939814798</v>
      </c>
      <c r="H272" s="4">
        <v>46113</v>
      </c>
      <c r="I272" s="4">
        <v>46174</v>
      </c>
      <c r="J272" s="1">
        <v>338.91</v>
      </c>
      <c r="K272">
        <v>0.85</v>
      </c>
      <c r="L272">
        <v>1</v>
      </c>
      <c r="M272" s="1">
        <v>0</v>
      </c>
      <c r="N272" s="1">
        <v>24</v>
      </c>
      <c r="O272" t="s">
        <v>285</v>
      </c>
      <c r="P272" t="s">
        <v>35</v>
      </c>
    </row>
    <row r="273" spans="1:16" x14ac:dyDescent="0.25">
      <c r="A273" t="s">
        <v>135</v>
      </c>
      <c r="B273" t="s">
        <v>136</v>
      </c>
      <c r="C273" t="s">
        <v>678</v>
      </c>
      <c r="D273" t="s">
        <v>32</v>
      </c>
      <c r="E273">
        <v>66</v>
      </c>
      <c r="F273" t="s">
        <v>679</v>
      </c>
      <c r="G273" s="3">
        <v>46171.777939814798</v>
      </c>
      <c r="H273" s="4">
        <v>46094</v>
      </c>
      <c r="I273" s="4">
        <v>46186</v>
      </c>
      <c r="J273" s="1">
        <v>939.52</v>
      </c>
      <c r="K273">
        <v>0.85</v>
      </c>
      <c r="L273">
        <v>1</v>
      </c>
      <c r="M273" s="1">
        <v>0</v>
      </c>
      <c r="N273" s="1">
        <v>66.55</v>
      </c>
      <c r="O273" t="s">
        <v>34</v>
      </c>
      <c r="P273" t="s">
        <v>35</v>
      </c>
    </row>
    <row r="274" spans="1:16" x14ac:dyDescent="0.25">
      <c r="A274" t="s">
        <v>72</v>
      </c>
      <c r="B274" t="s">
        <v>73</v>
      </c>
      <c r="C274" t="s">
        <v>680</v>
      </c>
      <c r="D274" t="s">
        <v>165</v>
      </c>
      <c r="E274">
        <v>59</v>
      </c>
      <c r="F274" t="s">
        <v>681</v>
      </c>
      <c r="G274" s="3">
        <v>46171.777939814798</v>
      </c>
      <c r="H274" s="4">
        <v>46101</v>
      </c>
      <c r="I274" s="4">
        <v>46193</v>
      </c>
      <c r="J274" s="1">
        <v>565.55999999999995</v>
      </c>
      <c r="K274">
        <v>1.1000000000000001</v>
      </c>
      <c r="L274">
        <v>1</v>
      </c>
      <c r="M274" s="1">
        <v>0</v>
      </c>
      <c r="N274" s="1">
        <v>51.84</v>
      </c>
      <c r="O274" t="s">
        <v>34</v>
      </c>
      <c r="P274" t="s">
        <v>35</v>
      </c>
    </row>
    <row r="275" spans="1:16" x14ac:dyDescent="0.25">
      <c r="A275" t="s">
        <v>258</v>
      </c>
      <c r="B275" t="s">
        <v>259</v>
      </c>
      <c r="C275" t="s">
        <v>682</v>
      </c>
      <c r="D275" t="s">
        <v>91</v>
      </c>
      <c r="E275">
        <v>66</v>
      </c>
      <c r="F275" t="s">
        <v>683</v>
      </c>
      <c r="G275" s="3">
        <v>46171.777939814798</v>
      </c>
      <c r="H275" s="4">
        <v>46113</v>
      </c>
      <c r="I275" s="4">
        <v>46204</v>
      </c>
      <c r="J275" s="1">
        <v>691.4</v>
      </c>
      <c r="K275">
        <v>0.85</v>
      </c>
      <c r="L275">
        <v>1</v>
      </c>
      <c r="M275" s="1">
        <v>0</v>
      </c>
      <c r="N275" s="1">
        <v>48.97</v>
      </c>
      <c r="O275" t="s">
        <v>112</v>
      </c>
      <c r="P275" t="s">
        <v>35</v>
      </c>
    </row>
    <row r="276" spans="1:16" x14ac:dyDescent="0.25">
      <c r="A276" t="s">
        <v>684</v>
      </c>
      <c r="B276" t="s">
        <v>685</v>
      </c>
      <c r="C276" t="s">
        <v>686</v>
      </c>
      <c r="D276" t="s">
        <v>165</v>
      </c>
      <c r="E276">
        <v>72</v>
      </c>
      <c r="F276" t="s">
        <v>687</v>
      </c>
      <c r="G276" s="3">
        <v>46171.777939814798</v>
      </c>
      <c r="H276" s="4">
        <v>46101</v>
      </c>
      <c r="I276" s="4">
        <v>46193</v>
      </c>
      <c r="J276" s="1">
        <v>3075.6</v>
      </c>
      <c r="K276">
        <v>1.1000000000000001</v>
      </c>
      <c r="L276">
        <v>1</v>
      </c>
      <c r="M276" s="1">
        <v>0</v>
      </c>
      <c r="N276" s="1">
        <v>281.93</v>
      </c>
      <c r="O276" t="s">
        <v>688</v>
      </c>
      <c r="P276" t="s">
        <v>35</v>
      </c>
    </row>
    <row r="277" spans="1:16" x14ac:dyDescent="0.25">
      <c r="A277" t="s">
        <v>76</v>
      </c>
      <c r="B277" t="s">
        <v>77</v>
      </c>
      <c r="C277" t="s">
        <v>689</v>
      </c>
      <c r="D277" t="s">
        <v>32</v>
      </c>
      <c r="E277">
        <v>70</v>
      </c>
      <c r="F277" t="s">
        <v>690</v>
      </c>
      <c r="G277" s="3">
        <v>46171.777939814798</v>
      </c>
      <c r="H277" s="4">
        <v>46113</v>
      </c>
      <c r="I277" s="4">
        <v>46204</v>
      </c>
      <c r="J277" s="1">
        <v>828.92</v>
      </c>
      <c r="K277">
        <v>0.85</v>
      </c>
      <c r="L277">
        <v>1</v>
      </c>
      <c r="M277" s="1">
        <v>0</v>
      </c>
      <c r="N277" s="1">
        <v>58.71</v>
      </c>
      <c r="O277" t="s">
        <v>34</v>
      </c>
      <c r="P277" t="s">
        <v>35</v>
      </c>
    </row>
    <row r="278" spans="1:16" x14ac:dyDescent="0.25">
      <c r="A278" t="s">
        <v>167</v>
      </c>
      <c r="B278" t="s">
        <v>168</v>
      </c>
      <c r="C278" t="s">
        <v>691</v>
      </c>
      <c r="D278" t="s">
        <v>62</v>
      </c>
      <c r="E278">
        <v>67</v>
      </c>
      <c r="F278" t="s">
        <v>692</v>
      </c>
      <c r="G278" s="3">
        <v>46171.777939814798</v>
      </c>
      <c r="H278" s="4">
        <v>46113</v>
      </c>
      <c r="I278" s="4">
        <v>46204</v>
      </c>
      <c r="J278" s="1">
        <v>421.85</v>
      </c>
      <c r="K278">
        <v>0.8</v>
      </c>
      <c r="L278">
        <v>1</v>
      </c>
      <c r="M278" s="1">
        <v>0</v>
      </c>
      <c r="N278" s="1">
        <v>28.12</v>
      </c>
      <c r="O278" t="s">
        <v>112</v>
      </c>
      <c r="P278" t="s">
        <v>35</v>
      </c>
    </row>
    <row r="279" spans="1:16" x14ac:dyDescent="0.25">
      <c r="A279" t="s">
        <v>113</v>
      </c>
      <c r="B279" t="s">
        <v>114</v>
      </c>
      <c r="C279" t="s">
        <v>693</v>
      </c>
      <c r="D279" t="s">
        <v>162</v>
      </c>
      <c r="E279">
        <v>65</v>
      </c>
      <c r="F279" t="s">
        <v>694</v>
      </c>
      <c r="G279" s="3">
        <v>46171.777939814798</v>
      </c>
      <c r="H279" s="4">
        <v>46143</v>
      </c>
      <c r="I279" s="4">
        <v>46174</v>
      </c>
      <c r="J279" s="1">
        <v>1094.8</v>
      </c>
      <c r="K279">
        <v>0.75</v>
      </c>
      <c r="L279">
        <v>1</v>
      </c>
      <c r="M279" s="1">
        <v>0</v>
      </c>
      <c r="N279" s="1">
        <v>68.42</v>
      </c>
      <c r="O279" t="s">
        <v>695</v>
      </c>
      <c r="P279" t="s">
        <v>35</v>
      </c>
    </row>
    <row r="280" spans="1:16" x14ac:dyDescent="0.25">
      <c r="A280" t="s">
        <v>153</v>
      </c>
      <c r="B280" t="s">
        <v>154</v>
      </c>
      <c r="C280" t="s">
        <v>696</v>
      </c>
      <c r="D280" t="s">
        <v>32</v>
      </c>
      <c r="E280">
        <v>64</v>
      </c>
      <c r="F280" t="s">
        <v>697</v>
      </c>
      <c r="G280" s="3">
        <v>46171.777939814798</v>
      </c>
      <c r="H280" s="4">
        <v>46114</v>
      </c>
      <c r="I280" s="4">
        <v>46175</v>
      </c>
      <c r="J280" s="1">
        <v>746.56</v>
      </c>
      <c r="K280">
        <v>0.85</v>
      </c>
      <c r="L280">
        <v>1</v>
      </c>
      <c r="M280" s="1">
        <v>0</v>
      </c>
      <c r="N280" s="1">
        <v>52.88</v>
      </c>
      <c r="O280" t="s">
        <v>34</v>
      </c>
      <c r="P280" t="s">
        <v>35</v>
      </c>
    </row>
    <row r="281" spans="1:16" x14ac:dyDescent="0.25">
      <c r="A281" t="s">
        <v>36</v>
      </c>
      <c r="B281" t="s">
        <v>37</v>
      </c>
      <c r="C281" t="s">
        <v>698</v>
      </c>
      <c r="D281" t="s">
        <v>62</v>
      </c>
      <c r="E281">
        <v>66</v>
      </c>
      <c r="F281" t="s">
        <v>699</v>
      </c>
      <c r="G281" s="3">
        <v>46171.777939814798</v>
      </c>
      <c r="H281" s="4">
        <v>46143</v>
      </c>
      <c r="I281" s="4">
        <v>46204</v>
      </c>
      <c r="J281" s="1">
        <v>499.2</v>
      </c>
      <c r="K281">
        <v>0.8</v>
      </c>
      <c r="L281">
        <v>1</v>
      </c>
      <c r="M281" s="1">
        <v>0</v>
      </c>
      <c r="N281" s="1">
        <v>33.28</v>
      </c>
      <c r="O281" t="s">
        <v>34</v>
      </c>
      <c r="P281" t="s">
        <v>35</v>
      </c>
    </row>
    <row r="282" spans="1:16" x14ac:dyDescent="0.25">
      <c r="A282" t="s">
        <v>93</v>
      </c>
      <c r="B282" t="s">
        <v>94</v>
      </c>
      <c r="C282" t="s">
        <v>700</v>
      </c>
      <c r="D282" t="s">
        <v>62</v>
      </c>
      <c r="E282">
        <v>65</v>
      </c>
      <c r="F282" t="s">
        <v>701</v>
      </c>
      <c r="G282" s="3">
        <v>46171.777939814798</v>
      </c>
      <c r="H282" s="4">
        <v>46143</v>
      </c>
      <c r="I282" s="4">
        <v>46204</v>
      </c>
      <c r="J282" s="1">
        <v>1234.8</v>
      </c>
      <c r="K282">
        <v>0.8</v>
      </c>
      <c r="L282">
        <v>1</v>
      </c>
      <c r="M282" s="1">
        <v>0</v>
      </c>
      <c r="N282" s="1">
        <v>82.32</v>
      </c>
      <c r="O282" t="s">
        <v>34</v>
      </c>
      <c r="P282" t="s">
        <v>35</v>
      </c>
    </row>
    <row r="283" spans="1:16" x14ac:dyDescent="0.25">
      <c r="A283" t="s">
        <v>167</v>
      </c>
      <c r="B283" t="s">
        <v>168</v>
      </c>
      <c r="C283" t="s">
        <v>702</v>
      </c>
      <c r="D283" t="s">
        <v>62</v>
      </c>
      <c r="E283">
        <v>67</v>
      </c>
      <c r="F283" t="s">
        <v>703</v>
      </c>
      <c r="G283" s="3">
        <v>46171.777939814798</v>
      </c>
      <c r="H283" s="4">
        <v>46121</v>
      </c>
      <c r="I283" s="4">
        <v>46182</v>
      </c>
      <c r="J283" s="1">
        <v>482.11</v>
      </c>
      <c r="K283">
        <v>0.8</v>
      </c>
      <c r="L283">
        <v>1</v>
      </c>
      <c r="M283" s="1">
        <v>0</v>
      </c>
      <c r="N283" s="1">
        <v>32.14</v>
      </c>
      <c r="O283" t="s">
        <v>112</v>
      </c>
      <c r="P283" t="s">
        <v>35</v>
      </c>
    </row>
    <row r="284" spans="1:16" x14ac:dyDescent="0.25">
      <c r="A284" t="s">
        <v>308</v>
      </c>
      <c r="B284" t="s">
        <v>309</v>
      </c>
      <c r="C284" t="s">
        <v>704</v>
      </c>
      <c r="D284" t="s">
        <v>32</v>
      </c>
      <c r="E284">
        <v>70</v>
      </c>
      <c r="F284" t="s">
        <v>705</v>
      </c>
      <c r="G284" s="3">
        <v>46171.777939814798</v>
      </c>
      <c r="H284" s="4">
        <v>46120</v>
      </c>
      <c r="I284" s="4">
        <v>46181</v>
      </c>
      <c r="J284" s="1">
        <v>551.12</v>
      </c>
      <c r="K284">
        <v>0.85</v>
      </c>
      <c r="L284">
        <v>1</v>
      </c>
      <c r="M284" s="1">
        <v>0</v>
      </c>
      <c r="N284" s="1">
        <v>39.03</v>
      </c>
      <c r="O284" t="s">
        <v>285</v>
      </c>
      <c r="P284" t="s">
        <v>35</v>
      </c>
    </row>
    <row r="285" spans="1:16" x14ac:dyDescent="0.25">
      <c r="A285" t="s">
        <v>706</v>
      </c>
      <c r="B285" t="s">
        <v>707</v>
      </c>
      <c r="C285" t="s">
        <v>708</v>
      </c>
      <c r="D285" t="s">
        <v>165</v>
      </c>
      <c r="E285">
        <v>59</v>
      </c>
      <c r="F285" t="s">
        <v>709</v>
      </c>
      <c r="G285" s="3">
        <v>46171.777939814798</v>
      </c>
      <c r="H285" s="4">
        <v>46120</v>
      </c>
      <c r="I285" s="4">
        <v>46181</v>
      </c>
      <c r="J285" s="1">
        <v>1624.65</v>
      </c>
      <c r="K285">
        <v>1.1000000000000001</v>
      </c>
      <c r="L285">
        <v>1</v>
      </c>
      <c r="M285" s="1">
        <v>0</v>
      </c>
      <c r="N285" s="1">
        <v>148.91999999999999</v>
      </c>
      <c r="O285" t="s">
        <v>34</v>
      </c>
      <c r="P285" t="s">
        <v>58</v>
      </c>
    </row>
    <row r="286" spans="1:16" x14ac:dyDescent="0.25">
      <c r="A286" t="s">
        <v>308</v>
      </c>
      <c r="B286" t="s">
        <v>309</v>
      </c>
      <c r="C286" t="s">
        <v>710</v>
      </c>
      <c r="D286" t="s">
        <v>32</v>
      </c>
      <c r="E286">
        <v>62</v>
      </c>
      <c r="F286" t="s">
        <v>711</v>
      </c>
      <c r="G286" s="3">
        <v>46171.777939814798</v>
      </c>
      <c r="H286" s="4">
        <v>46123</v>
      </c>
      <c r="I286" s="4">
        <v>46184</v>
      </c>
      <c r="J286" s="1">
        <v>448.39</v>
      </c>
      <c r="K286">
        <v>0.85</v>
      </c>
      <c r="L286">
        <v>1</v>
      </c>
      <c r="M286" s="1">
        <v>0</v>
      </c>
      <c r="N286" s="1">
        <v>31.76</v>
      </c>
      <c r="O286" t="s">
        <v>285</v>
      </c>
      <c r="P286" t="s">
        <v>35</v>
      </c>
    </row>
    <row r="287" spans="1:16" x14ac:dyDescent="0.25">
      <c r="A287" t="s">
        <v>135</v>
      </c>
      <c r="B287" t="s">
        <v>136</v>
      </c>
      <c r="C287" t="s">
        <v>712</v>
      </c>
      <c r="D287" t="s">
        <v>32</v>
      </c>
      <c r="E287">
        <v>64</v>
      </c>
      <c r="F287" t="s">
        <v>713</v>
      </c>
      <c r="G287" s="3">
        <v>46171.777939814798</v>
      </c>
      <c r="H287" s="4">
        <v>46122</v>
      </c>
      <c r="I287" s="4">
        <v>46183</v>
      </c>
      <c r="J287" s="1">
        <v>656.98</v>
      </c>
      <c r="K287">
        <v>0.85</v>
      </c>
      <c r="L287">
        <v>1</v>
      </c>
      <c r="M287" s="1">
        <v>0</v>
      </c>
      <c r="N287" s="1">
        <v>46.53</v>
      </c>
      <c r="O287" t="s">
        <v>34</v>
      </c>
      <c r="P287" t="s">
        <v>35</v>
      </c>
    </row>
    <row r="288" spans="1:16" x14ac:dyDescent="0.25">
      <c r="A288" t="s">
        <v>135</v>
      </c>
      <c r="B288" t="s">
        <v>136</v>
      </c>
      <c r="C288" t="s">
        <v>714</v>
      </c>
      <c r="D288" t="s">
        <v>32</v>
      </c>
      <c r="E288">
        <v>66</v>
      </c>
      <c r="F288" t="s">
        <v>715</v>
      </c>
      <c r="G288" s="3">
        <v>46171.777939814798</v>
      </c>
      <c r="H288" s="4">
        <v>46125</v>
      </c>
      <c r="I288" s="4">
        <v>46186</v>
      </c>
      <c r="J288" s="1">
        <v>927.47</v>
      </c>
      <c r="K288">
        <v>0.85</v>
      </c>
      <c r="L288">
        <v>1</v>
      </c>
      <c r="M288" s="1">
        <v>0</v>
      </c>
      <c r="N288" s="1">
        <v>65.7</v>
      </c>
      <c r="O288" t="s">
        <v>34</v>
      </c>
      <c r="P288" t="s">
        <v>35</v>
      </c>
    </row>
    <row r="289" spans="1:16" x14ac:dyDescent="0.25">
      <c r="A289" t="s">
        <v>99</v>
      </c>
      <c r="B289" t="s">
        <v>100</v>
      </c>
      <c r="C289" t="s">
        <v>716</v>
      </c>
      <c r="D289" t="s">
        <v>32</v>
      </c>
      <c r="E289">
        <v>76</v>
      </c>
      <c r="F289" t="s">
        <v>717</v>
      </c>
      <c r="G289" s="3">
        <v>46171.777939814798</v>
      </c>
      <c r="H289" s="4">
        <v>46129</v>
      </c>
      <c r="I289" s="4">
        <v>46190</v>
      </c>
      <c r="J289" s="1">
        <v>1616.4</v>
      </c>
      <c r="K289">
        <v>0.8</v>
      </c>
      <c r="L289">
        <v>1</v>
      </c>
      <c r="M289" s="1">
        <v>0</v>
      </c>
      <c r="N289" s="1">
        <v>107.76</v>
      </c>
      <c r="O289" t="s">
        <v>34</v>
      </c>
      <c r="P289" t="s">
        <v>35</v>
      </c>
    </row>
    <row r="290" spans="1:16" x14ac:dyDescent="0.25">
      <c r="A290" t="s">
        <v>308</v>
      </c>
      <c r="B290" t="s">
        <v>309</v>
      </c>
      <c r="C290" t="s">
        <v>718</v>
      </c>
      <c r="D290" t="s">
        <v>32</v>
      </c>
      <c r="E290">
        <v>80</v>
      </c>
      <c r="F290" t="s">
        <v>719</v>
      </c>
      <c r="G290" s="3">
        <v>46171.777939814798</v>
      </c>
      <c r="H290" s="4">
        <v>46162</v>
      </c>
      <c r="I290" s="4">
        <v>46193</v>
      </c>
      <c r="J290" s="1">
        <v>1227.45</v>
      </c>
      <c r="K290">
        <v>0.8</v>
      </c>
      <c r="L290">
        <v>1</v>
      </c>
      <c r="M290" s="1">
        <v>0</v>
      </c>
      <c r="N290" s="1">
        <v>81.83</v>
      </c>
      <c r="O290" t="s">
        <v>285</v>
      </c>
      <c r="P290" t="s">
        <v>35</v>
      </c>
    </row>
    <row r="291" spans="1:16" x14ac:dyDescent="0.25">
      <c r="A291" t="s">
        <v>139</v>
      </c>
      <c r="B291" t="s">
        <v>140</v>
      </c>
      <c r="C291" t="s">
        <v>720</v>
      </c>
      <c r="D291" t="s">
        <v>62</v>
      </c>
      <c r="E291">
        <v>65</v>
      </c>
      <c r="F291" t="s">
        <v>721</v>
      </c>
      <c r="G291" s="3">
        <v>46171.777939814798</v>
      </c>
      <c r="H291" s="4">
        <v>46143</v>
      </c>
      <c r="I291" s="4">
        <v>46174</v>
      </c>
      <c r="J291" s="1">
        <v>780</v>
      </c>
      <c r="K291">
        <v>0.8</v>
      </c>
      <c r="L291">
        <v>1</v>
      </c>
      <c r="M291" s="1">
        <v>0</v>
      </c>
      <c r="N291" s="1">
        <v>52</v>
      </c>
      <c r="O291" t="s">
        <v>34</v>
      </c>
      <c r="P291" t="s">
        <v>35</v>
      </c>
    </row>
    <row r="292" spans="1:16" x14ac:dyDescent="0.25">
      <c r="A292" t="s">
        <v>722</v>
      </c>
      <c r="B292" t="s">
        <v>723</v>
      </c>
      <c r="C292" t="s">
        <v>724</v>
      </c>
      <c r="D292" t="s">
        <v>32</v>
      </c>
      <c r="E292">
        <v>65</v>
      </c>
      <c r="F292" t="s">
        <v>725</v>
      </c>
      <c r="G292" s="3">
        <v>46171.777939814798</v>
      </c>
      <c r="H292" s="4">
        <v>46153</v>
      </c>
      <c r="I292" s="4">
        <v>46184</v>
      </c>
      <c r="J292" s="1">
        <v>607.15</v>
      </c>
      <c r="K292">
        <v>0.85</v>
      </c>
      <c r="L292">
        <v>1</v>
      </c>
      <c r="M292" s="1">
        <v>0</v>
      </c>
      <c r="N292" s="1">
        <v>43</v>
      </c>
      <c r="O292" t="s">
        <v>34</v>
      </c>
      <c r="P292" t="s">
        <v>35</v>
      </c>
    </row>
    <row r="293" spans="1:16" x14ac:dyDescent="0.25">
      <c r="A293" t="s">
        <v>615</v>
      </c>
      <c r="B293" t="s">
        <v>616</v>
      </c>
      <c r="C293" t="s">
        <v>726</v>
      </c>
      <c r="D293" t="s">
        <v>32</v>
      </c>
      <c r="E293">
        <v>59</v>
      </c>
      <c r="F293" t="s">
        <v>727</v>
      </c>
      <c r="G293" s="3">
        <v>46171.777939814798</v>
      </c>
      <c r="H293" s="4">
        <v>46148</v>
      </c>
      <c r="I293" s="4">
        <v>46179</v>
      </c>
      <c r="J293" s="1">
        <v>381.13</v>
      </c>
      <c r="K293">
        <v>0.85</v>
      </c>
      <c r="L293">
        <v>1</v>
      </c>
      <c r="M293" s="1">
        <v>0</v>
      </c>
      <c r="N293" s="1">
        <v>27</v>
      </c>
      <c r="O293" t="s">
        <v>34</v>
      </c>
      <c r="P293" t="s">
        <v>35</v>
      </c>
    </row>
    <row r="294" spans="1:16" x14ac:dyDescent="0.25">
      <c r="A294" t="s">
        <v>615</v>
      </c>
      <c r="B294" t="s">
        <v>616</v>
      </c>
      <c r="C294" t="s">
        <v>726</v>
      </c>
      <c r="D294" t="s">
        <v>32</v>
      </c>
      <c r="E294">
        <v>59</v>
      </c>
      <c r="F294" t="s">
        <v>727</v>
      </c>
      <c r="G294" s="3">
        <v>46171.777939814798</v>
      </c>
      <c r="H294" s="4">
        <v>46148</v>
      </c>
      <c r="I294" s="4">
        <v>46179</v>
      </c>
      <c r="J294" s="1">
        <v>381.13</v>
      </c>
      <c r="K294">
        <v>0.85</v>
      </c>
      <c r="L294">
        <v>1</v>
      </c>
      <c r="M294" s="1">
        <v>0</v>
      </c>
      <c r="N294" s="1">
        <v>-27</v>
      </c>
      <c r="O294" t="s">
        <v>34</v>
      </c>
      <c r="P294" t="s">
        <v>35</v>
      </c>
    </row>
    <row r="295" spans="1:16" x14ac:dyDescent="0.25">
      <c r="A295" t="s">
        <v>615</v>
      </c>
      <c r="B295" t="s">
        <v>616</v>
      </c>
      <c r="C295" t="s">
        <v>726</v>
      </c>
      <c r="D295" t="s">
        <v>32</v>
      </c>
      <c r="E295">
        <v>59</v>
      </c>
      <c r="F295" t="s">
        <v>727</v>
      </c>
      <c r="G295" s="3">
        <v>46171.777939814798</v>
      </c>
      <c r="H295" s="4">
        <v>46148</v>
      </c>
      <c r="I295" s="4">
        <v>46179</v>
      </c>
      <c r="J295" s="1">
        <v>381.13</v>
      </c>
      <c r="K295">
        <v>0.85</v>
      </c>
      <c r="L295">
        <v>1</v>
      </c>
      <c r="M295" s="1">
        <v>0</v>
      </c>
      <c r="N295" s="1">
        <v>27</v>
      </c>
      <c r="O295" t="s">
        <v>34</v>
      </c>
      <c r="P295" t="s">
        <v>35</v>
      </c>
    </row>
    <row r="296" spans="1:16" x14ac:dyDescent="0.25">
      <c r="A296" t="s">
        <v>308</v>
      </c>
      <c r="B296" t="s">
        <v>309</v>
      </c>
      <c r="C296" t="s">
        <v>728</v>
      </c>
      <c r="D296" t="s">
        <v>32</v>
      </c>
      <c r="E296">
        <v>75</v>
      </c>
      <c r="F296" t="s">
        <v>729</v>
      </c>
      <c r="G296" s="3">
        <v>46171.777939814798</v>
      </c>
      <c r="H296" s="4">
        <v>46174</v>
      </c>
      <c r="I296" s="4">
        <v>46204</v>
      </c>
      <c r="J296" s="1">
        <v>777.28</v>
      </c>
      <c r="K296">
        <v>0.85</v>
      </c>
      <c r="L296">
        <v>1</v>
      </c>
      <c r="M296" s="1">
        <v>0</v>
      </c>
      <c r="N296" s="1">
        <v>55.05</v>
      </c>
      <c r="O296" t="s">
        <v>285</v>
      </c>
      <c r="P296" t="s">
        <v>35</v>
      </c>
    </row>
    <row r="297" spans="1:16" x14ac:dyDescent="0.25">
      <c r="A297" t="s">
        <v>722</v>
      </c>
      <c r="B297" t="s">
        <v>723</v>
      </c>
      <c r="C297" t="s">
        <v>730</v>
      </c>
      <c r="D297" t="s">
        <v>32</v>
      </c>
      <c r="E297">
        <v>63</v>
      </c>
      <c r="F297" t="s">
        <v>731</v>
      </c>
      <c r="G297" s="3">
        <v>46171.777939814798</v>
      </c>
      <c r="H297" s="4">
        <v>46153</v>
      </c>
      <c r="I297" s="4">
        <v>46184</v>
      </c>
      <c r="J297" s="1">
        <v>467.79</v>
      </c>
      <c r="K297">
        <v>0.85</v>
      </c>
      <c r="L297">
        <v>1</v>
      </c>
      <c r="M297" s="1">
        <v>0</v>
      </c>
      <c r="N297" s="1">
        <v>33.130000000000003</v>
      </c>
      <c r="O297" t="s">
        <v>34</v>
      </c>
      <c r="P297" t="s">
        <v>35</v>
      </c>
    </row>
    <row r="298" spans="1:16" x14ac:dyDescent="0.25">
      <c r="A298" t="s">
        <v>36</v>
      </c>
      <c r="B298" t="s">
        <v>37</v>
      </c>
      <c r="C298" t="s">
        <v>732</v>
      </c>
      <c r="D298" t="s">
        <v>62</v>
      </c>
      <c r="E298">
        <v>64</v>
      </c>
      <c r="F298" t="s">
        <v>733</v>
      </c>
      <c r="G298" s="3">
        <v>46171.777939814798</v>
      </c>
      <c r="H298" s="4">
        <v>46174</v>
      </c>
      <c r="I298" s="4">
        <v>46204</v>
      </c>
      <c r="J298" s="1">
        <v>624.96</v>
      </c>
      <c r="K298">
        <v>0.8</v>
      </c>
      <c r="L298">
        <v>1</v>
      </c>
      <c r="M298" s="1">
        <v>0</v>
      </c>
      <c r="N298" s="1">
        <v>41.66</v>
      </c>
      <c r="O298" t="s">
        <v>34</v>
      </c>
      <c r="P298" t="s">
        <v>35</v>
      </c>
    </row>
    <row r="299" spans="1:16" x14ac:dyDescent="0.25">
      <c r="A299" t="s">
        <v>36</v>
      </c>
      <c r="B299" t="s">
        <v>37</v>
      </c>
      <c r="C299" t="s">
        <v>734</v>
      </c>
      <c r="D299" t="s">
        <v>62</v>
      </c>
      <c r="E299">
        <v>64</v>
      </c>
      <c r="F299" t="s">
        <v>735</v>
      </c>
      <c r="G299" s="3">
        <v>46171.777939814798</v>
      </c>
      <c r="H299" s="4">
        <v>46174</v>
      </c>
      <c r="I299" s="4">
        <v>46204</v>
      </c>
      <c r="J299" s="1">
        <v>624.96</v>
      </c>
      <c r="K299">
        <v>0.8</v>
      </c>
      <c r="L299">
        <v>1</v>
      </c>
      <c r="M299" s="1">
        <v>0</v>
      </c>
      <c r="N299" s="1">
        <v>41.66</v>
      </c>
      <c r="O299" t="s">
        <v>34</v>
      </c>
      <c r="P299" t="s">
        <v>35</v>
      </c>
    </row>
    <row r="300" spans="1:16" x14ac:dyDescent="0.25">
      <c r="A300" t="s">
        <v>615</v>
      </c>
      <c r="B300" t="s">
        <v>616</v>
      </c>
      <c r="C300" t="s">
        <v>736</v>
      </c>
      <c r="D300" t="s">
        <v>32</v>
      </c>
      <c r="E300">
        <v>62</v>
      </c>
      <c r="F300" t="s">
        <v>737</v>
      </c>
      <c r="G300" s="3">
        <v>46171.777939814798</v>
      </c>
      <c r="H300" s="4">
        <v>46148</v>
      </c>
      <c r="I300" s="4">
        <v>46179</v>
      </c>
      <c r="J300" s="1">
        <v>467.79</v>
      </c>
      <c r="K300">
        <v>0.85</v>
      </c>
      <c r="L300">
        <v>1</v>
      </c>
      <c r="M300" s="1">
        <v>0</v>
      </c>
      <c r="N300" s="1">
        <v>33.130000000000003</v>
      </c>
      <c r="O300" t="s">
        <v>34</v>
      </c>
      <c r="P300" t="s">
        <v>35</v>
      </c>
    </row>
    <row r="301" spans="1:16" x14ac:dyDescent="0.25">
      <c r="A301" t="s">
        <v>615</v>
      </c>
      <c r="B301" t="s">
        <v>616</v>
      </c>
      <c r="C301" t="s">
        <v>736</v>
      </c>
      <c r="D301" t="s">
        <v>32</v>
      </c>
      <c r="E301">
        <v>62</v>
      </c>
      <c r="F301" t="s">
        <v>737</v>
      </c>
      <c r="G301" s="3">
        <v>46171.777939814798</v>
      </c>
      <c r="H301" s="4">
        <v>46148</v>
      </c>
      <c r="I301" s="4">
        <v>46179</v>
      </c>
      <c r="J301" s="1">
        <v>467.79</v>
      </c>
      <c r="K301">
        <v>0.85</v>
      </c>
      <c r="L301">
        <v>1</v>
      </c>
      <c r="M301" s="1">
        <v>0</v>
      </c>
      <c r="N301" s="1">
        <v>33.130000000000003</v>
      </c>
      <c r="O301" t="s">
        <v>34</v>
      </c>
      <c r="P301" t="s">
        <v>35</v>
      </c>
    </row>
    <row r="302" spans="1:16" x14ac:dyDescent="0.25">
      <c r="A302" t="s">
        <v>615</v>
      </c>
      <c r="B302" t="s">
        <v>616</v>
      </c>
      <c r="C302" t="s">
        <v>736</v>
      </c>
      <c r="D302" t="s">
        <v>32</v>
      </c>
      <c r="E302">
        <v>62</v>
      </c>
      <c r="F302" t="s">
        <v>737</v>
      </c>
      <c r="G302" s="3">
        <v>46171.777939814798</v>
      </c>
      <c r="H302" s="4">
        <v>46148</v>
      </c>
      <c r="I302" s="4">
        <v>46179</v>
      </c>
      <c r="J302" s="1">
        <v>467.79</v>
      </c>
      <c r="K302">
        <v>0.85</v>
      </c>
      <c r="L302">
        <v>1</v>
      </c>
      <c r="M302" s="1">
        <v>0</v>
      </c>
      <c r="N302" s="1">
        <v>-33.130000000000003</v>
      </c>
      <c r="O302" t="s">
        <v>34</v>
      </c>
      <c r="P302" t="s">
        <v>35</v>
      </c>
    </row>
    <row r="303" spans="1:16" x14ac:dyDescent="0.25">
      <c r="A303" t="s">
        <v>308</v>
      </c>
      <c r="B303" t="s">
        <v>309</v>
      </c>
      <c r="C303" t="s">
        <v>738</v>
      </c>
      <c r="D303" t="s">
        <v>32</v>
      </c>
      <c r="E303">
        <v>71</v>
      </c>
      <c r="F303" t="s">
        <v>739</v>
      </c>
      <c r="G303" s="3">
        <v>46171.777939814798</v>
      </c>
      <c r="H303" s="4">
        <v>46174</v>
      </c>
      <c r="I303" s="4">
        <v>46204</v>
      </c>
      <c r="J303" s="1">
        <v>777.28</v>
      </c>
      <c r="K303">
        <v>0.85</v>
      </c>
      <c r="L303">
        <v>1</v>
      </c>
      <c r="M303" s="1">
        <v>0</v>
      </c>
      <c r="N303" s="1">
        <v>55.05</v>
      </c>
      <c r="O303" t="s">
        <v>285</v>
      </c>
      <c r="P303" t="s">
        <v>35</v>
      </c>
    </row>
    <row r="304" spans="1:16" x14ac:dyDescent="0.25">
      <c r="A304" t="s">
        <v>131</v>
      </c>
      <c r="B304" t="s">
        <v>132</v>
      </c>
      <c r="C304" t="s">
        <v>740</v>
      </c>
      <c r="D304" t="s">
        <v>62</v>
      </c>
      <c r="E304">
        <v>64</v>
      </c>
      <c r="F304" t="s">
        <v>741</v>
      </c>
      <c r="G304" s="3">
        <v>46171.777939814798</v>
      </c>
      <c r="H304" s="4">
        <v>46235</v>
      </c>
      <c r="I304" s="4">
        <v>46266</v>
      </c>
      <c r="J304" s="1">
        <v>1161.5999999999999</v>
      </c>
      <c r="K304">
        <v>0.8</v>
      </c>
      <c r="L304">
        <v>1</v>
      </c>
      <c r="M304" s="1">
        <v>0</v>
      </c>
      <c r="N304" s="1">
        <v>77.44</v>
      </c>
      <c r="O304" t="s">
        <v>34</v>
      </c>
      <c r="P304" t="s">
        <v>35</v>
      </c>
    </row>
    <row r="305" spans="1:16" x14ac:dyDescent="0.25">
      <c r="A305" t="s">
        <v>113</v>
      </c>
      <c r="B305" t="s">
        <v>114</v>
      </c>
      <c r="C305" t="s">
        <v>742</v>
      </c>
      <c r="D305" t="s">
        <v>32</v>
      </c>
      <c r="E305">
        <v>76</v>
      </c>
      <c r="F305" t="s">
        <v>743</v>
      </c>
      <c r="G305" s="3">
        <v>46171.777939814798</v>
      </c>
      <c r="H305" s="4">
        <v>46151</v>
      </c>
      <c r="I305" s="4">
        <v>46182</v>
      </c>
      <c r="J305" s="1">
        <v>1164.8499999999999</v>
      </c>
      <c r="K305">
        <v>0.8</v>
      </c>
      <c r="L305">
        <v>1</v>
      </c>
      <c r="M305" s="1">
        <v>0</v>
      </c>
      <c r="N305" s="1">
        <v>77.66</v>
      </c>
      <c r="O305" t="s">
        <v>34</v>
      </c>
      <c r="P305" t="s">
        <v>35</v>
      </c>
    </row>
    <row r="306" spans="1:16" x14ac:dyDescent="0.25">
      <c r="A306" t="s">
        <v>219</v>
      </c>
      <c r="B306" t="s">
        <v>220</v>
      </c>
      <c r="C306" t="s">
        <v>744</v>
      </c>
      <c r="D306" t="s">
        <v>62</v>
      </c>
      <c r="E306">
        <v>65</v>
      </c>
      <c r="F306" t="s">
        <v>745</v>
      </c>
      <c r="G306" s="3">
        <v>46171.777939814798</v>
      </c>
      <c r="H306" s="4">
        <v>46174</v>
      </c>
      <c r="I306" s="4">
        <v>46204</v>
      </c>
      <c r="J306" s="1">
        <v>1163.98</v>
      </c>
      <c r="K306">
        <v>0.8</v>
      </c>
      <c r="L306">
        <v>1</v>
      </c>
      <c r="M306" s="1">
        <v>0</v>
      </c>
      <c r="N306" s="1">
        <v>77.59</v>
      </c>
      <c r="O306" t="s">
        <v>34</v>
      </c>
      <c r="P306" t="s">
        <v>35</v>
      </c>
    </row>
    <row r="307" spans="1:16" x14ac:dyDescent="0.25">
      <c r="A307" t="s">
        <v>219</v>
      </c>
      <c r="B307" t="s">
        <v>220</v>
      </c>
      <c r="C307" t="s">
        <v>746</v>
      </c>
      <c r="D307" t="s">
        <v>62</v>
      </c>
      <c r="E307">
        <v>65</v>
      </c>
      <c r="F307" t="s">
        <v>747</v>
      </c>
      <c r="G307" s="3">
        <v>46171.777939814798</v>
      </c>
      <c r="H307" s="4">
        <v>46174</v>
      </c>
      <c r="I307" s="4">
        <v>46204</v>
      </c>
      <c r="J307" s="1">
        <v>1163.98</v>
      </c>
      <c r="K307">
        <v>0.8</v>
      </c>
      <c r="L307">
        <v>1</v>
      </c>
      <c r="M307" s="1">
        <v>0</v>
      </c>
      <c r="N307" s="1">
        <v>77.59</v>
      </c>
      <c r="O307" t="s">
        <v>34</v>
      </c>
      <c r="P307" t="s">
        <v>35</v>
      </c>
    </row>
    <row r="308" spans="1:16" x14ac:dyDescent="0.25">
      <c r="A308" t="s">
        <v>139</v>
      </c>
      <c r="B308" t="s">
        <v>140</v>
      </c>
      <c r="C308" t="s">
        <v>748</v>
      </c>
      <c r="D308" t="s">
        <v>62</v>
      </c>
      <c r="E308">
        <v>64</v>
      </c>
      <c r="F308" t="s">
        <v>749</v>
      </c>
      <c r="G308" s="3">
        <v>46171.777939814798</v>
      </c>
      <c r="H308" s="4">
        <v>46174</v>
      </c>
      <c r="I308" s="4">
        <v>46204</v>
      </c>
      <c r="J308" s="1">
        <v>859.2</v>
      </c>
      <c r="K308">
        <v>0.8</v>
      </c>
      <c r="L308">
        <v>1</v>
      </c>
      <c r="M308" s="1">
        <v>0</v>
      </c>
      <c r="N308" s="1">
        <v>57.28</v>
      </c>
      <c r="O308" t="s">
        <v>34</v>
      </c>
      <c r="P308" t="s">
        <v>35</v>
      </c>
    </row>
    <row r="309" spans="1:16" x14ac:dyDescent="0.25">
      <c r="A309" t="s">
        <v>219</v>
      </c>
      <c r="B309" t="s">
        <v>220</v>
      </c>
      <c r="C309" t="s">
        <v>750</v>
      </c>
      <c r="D309" t="s">
        <v>62</v>
      </c>
      <c r="E309">
        <v>64</v>
      </c>
      <c r="F309" t="s">
        <v>751</v>
      </c>
      <c r="G309" s="3">
        <v>46171.777939814798</v>
      </c>
      <c r="H309" s="4">
        <v>46174</v>
      </c>
      <c r="I309" s="4">
        <v>46204</v>
      </c>
      <c r="J309" s="1">
        <v>1196.4000000000001</v>
      </c>
      <c r="K309">
        <v>0.8</v>
      </c>
      <c r="L309">
        <v>1</v>
      </c>
      <c r="M309" s="1">
        <v>0</v>
      </c>
      <c r="N309" s="1">
        <v>79.760000000000005</v>
      </c>
      <c r="O309" t="s">
        <v>34</v>
      </c>
      <c r="P309" t="s">
        <v>35</v>
      </c>
    </row>
    <row r="310" spans="1:16" x14ac:dyDescent="0.25">
      <c r="A310" t="s">
        <v>308</v>
      </c>
      <c r="B310" t="s">
        <v>309</v>
      </c>
      <c r="C310" t="s">
        <v>752</v>
      </c>
      <c r="D310" t="s">
        <v>32</v>
      </c>
      <c r="E310">
        <v>66</v>
      </c>
      <c r="F310" t="s">
        <v>753</v>
      </c>
      <c r="G310" s="3">
        <v>46171.777939814798</v>
      </c>
      <c r="H310" s="4">
        <v>46174</v>
      </c>
      <c r="I310" s="4">
        <v>46204</v>
      </c>
      <c r="J310" s="1">
        <v>551.12</v>
      </c>
      <c r="K310">
        <v>0.85</v>
      </c>
      <c r="L310">
        <v>1</v>
      </c>
      <c r="M310" s="1">
        <v>0</v>
      </c>
      <c r="N310" s="1">
        <v>39.03</v>
      </c>
      <c r="O310" t="s">
        <v>285</v>
      </c>
      <c r="P310" t="s">
        <v>35</v>
      </c>
    </row>
    <row r="311" spans="1:16" x14ac:dyDescent="0.25">
      <c r="A311" t="s">
        <v>139</v>
      </c>
      <c r="B311" t="s">
        <v>140</v>
      </c>
      <c r="C311" t="s">
        <v>754</v>
      </c>
      <c r="D311" t="s">
        <v>32</v>
      </c>
      <c r="E311">
        <v>64</v>
      </c>
      <c r="F311" t="s">
        <v>755</v>
      </c>
      <c r="G311" s="3">
        <v>46171.777939814798</v>
      </c>
      <c r="H311" s="4">
        <v>46170</v>
      </c>
      <c r="I311" s="4">
        <v>46201</v>
      </c>
      <c r="J311" s="1">
        <v>448.39</v>
      </c>
      <c r="K311">
        <v>0.85</v>
      </c>
      <c r="L311">
        <v>1</v>
      </c>
      <c r="M311" s="1">
        <v>0</v>
      </c>
      <c r="N311" s="1">
        <v>31.76</v>
      </c>
      <c r="O311" t="s">
        <v>34</v>
      </c>
      <c r="P311" t="s">
        <v>35</v>
      </c>
    </row>
    <row r="312" spans="1:16" x14ac:dyDescent="0.25">
      <c r="A312" t="s">
        <v>219</v>
      </c>
      <c r="B312" t="s">
        <v>220</v>
      </c>
      <c r="C312" t="s">
        <v>756</v>
      </c>
      <c r="D312" t="s">
        <v>62</v>
      </c>
      <c r="E312">
        <v>74</v>
      </c>
      <c r="F312" t="s">
        <v>757</v>
      </c>
      <c r="G312" s="3">
        <v>46171.777939814798</v>
      </c>
      <c r="H312" s="4">
        <v>46174</v>
      </c>
      <c r="I312" s="4">
        <v>46266</v>
      </c>
      <c r="J312" s="1">
        <v>1576.91</v>
      </c>
      <c r="K312">
        <v>0.8</v>
      </c>
      <c r="L312">
        <v>1</v>
      </c>
      <c r="M312" s="1">
        <v>0</v>
      </c>
      <c r="N312" s="1">
        <v>315.38</v>
      </c>
      <c r="O312" t="s">
        <v>34</v>
      </c>
      <c r="P312" t="s">
        <v>35</v>
      </c>
    </row>
    <row r="313" spans="1:16" x14ac:dyDescent="0.25">
      <c r="A313" t="s">
        <v>219</v>
      </c>
      <c r="B313" t="s">
        <v>220</v>
      </c>
      <c r="C313" t="s">
        <v>758</v>
      </c>
      <c r="D313" t="s">
        <v>62</v>
      </c>
      <c r="E313">
        <v>76</v>
      </c>
      <c r="F313" t="s">
        <v>759</v>
      </c>
      <c r="G313" s="3">
        <v>46171.777939814798</v>
      </c>
      <c r="H313" s="4">
        <v>46174</v>
      </c>
      <c r="I313" s="4">
        <v>46266</v>
      </c>
      <c r="J313" s="1">
        <v>1708.59</v>
      </c>
      <c r="K313">
        <v>0.8</v>
      </c>
      <c r="L313">
        <v>1</v>
      </c>
      <c r="M313" s="1">
        <v>0</v>
      </c>
      <c r="N313" s="1">
        <v>341.72</v>
      </c>
      <c r="O313" t="s">
        <v>34</v>
      </c>
      <c r="P313" t="s">
        <v>35</v>
      </c>
    </row>
    <row r="314" spans="1:16" x14ac:dyDescent="0.25">
      <c r="A314" t="s">
        <v>308</v>
      </c>
      <c r="B314" t="s">
        <v>309</v>
      </c>
      <c r="C314" t="s">
        <v>760</v>
      </c>
      <c r="D314" t="s">
        <v>32</v>
      </c>
      <c r="E314">
        <v>72</v>
      </c>
      <c r="F314" t="s">
        <v>761</v>
      </c>
      <c r="G314" s="3">
        <v>46171.777939814798</v>
      </c>
      <c r="H314" s="4">
        <v>46174</v>
      </c>
      <c r="I314" s="4">
        <v>46204</v>
      </c>
      <c r="J314" s="1">
        <v>777.28</v>
      </c>
      <c r="K314">
        <v>0.85</v>
      </c>
      <c r="L314">
        <v>1</v>
      </c>
      <c r="M314" s="1">
        <v>0</v>
      </c>
      <c r="N314" s="1">
        <v>55.05</v>
      </c>
      <c r="O314" t="s">
        <v>285</v>
      </c>
      <c r="P314" t="s">
        <v>35</v>
      </c>
    </row>
    <row r="315" spans="1:16" x14ac:dyDescent="0.25">
      <c r="A315" t="s">
        <v>308</v>
      </c>
      <c r="B315" t="s">
        <v>309</v>
      </c>
      <c r="C315" t="s">
        <v>762</v>
      </c>
      <c r="D315" t="s">
        <v>613</v>
      </c>
      <c r="E315">
        <v>66</v>
      </c>
      <c r="F315" t="s">
        <v>753</v>
      </c>
      <c r="G315" s="3">
        <v>46171.777939814798</v>
      </c>
      <c r="H315" s="4">
        <v>46174</v>
      </c>
      <c r="I315" s="4">
        <v>46204</v>
      </c>
      <c r="J315" s="1">
        <v>1372.65</v>
      </c>
      <c r="K315">
        <v>1.1000000000000001</v>
      </c>
      <c r="L315">
        <v>1</v>
      </c>
      <c r="M315" s="1">
        <v>0</v>
      </c>
      <c r="N315" s="1">
        <v>125.83</v>
      </c>
      <c r="O315" t="s">
        <v>285</v>
      </c>
      <c r="P315" t="s">
        <v>35</v>
      </c>
    </row>
    <row r="316" spans="1:16" x14ac:dyDescent="0.25">
      <c r="A316" t="s">
        <v>36</v>
      </c>
      <c r="B316" t="s">
        <v>37</v>
      </c>
      <c r="C316" t="s">
        <v>763</v>
      </c>
      <c r="D316" t="s">
        <v>162</v>
      </c>
      <c r="E316">
        <v>67</v>
      </c>
      <c r="F316" t="s">
        <v>764</v>
      </c>
      <c r="G316" s="3">
        <v>46171.777939814798</v>
      </c>
      <c r="H316" s="4">
        <v>46174</v>
      </c>
      <c r="I316" s="4">
        <v>46204</v>
      </c>
      <c r="J316" s="1">
        <v>854.4</v>
      </c>
      <c r="K316">
        <v>0.8</v>
      </c>
      <c r="L316">
        <v>1</v>
      </c>
      <c r="M316" s="1">
        <v>0</v>
      </c>
      <c r="N316" s="1">
        <v>56.96</v>
      </c>
      <c r="O316" t="s">
        <v>34</v>
      </c>
      <c r="P316" t="s">
        <v>35</v>
      </c>
    </row>
    <row r="317" spans="1:16" x14ac:dyDescent="0.25">
      <c r="A317" t="s">
        <v>159</v>
      </c>
      <c r="B317" t="s">
        <v>160</v>
      </c>
      <c r="C317" t="s">
        <v>765</v>
      </c>
      <c r="D317" t="s">
        <v>32</v>
      </c>
      <c r="E317">
        <v>69</v>
      </c>
      <c r="F317" t="s">
        <v>766</v>
      </c>
      <c r="G317" s="3">
        <v>46171.777939814798</v>
      </c>
      <c r="H317" s="4">
        <v>46169</v>
      </c>
      <c r="I317" s="4">
        <v>46200</v>
      </c>
      <c r="J317" s="1">
        <v>592.61</v>
      </c>
      <c r="K317">
        <v>0.85</v>
      </c>
      <c r="L317">
        <v>1</v>
      </c>
      <c r="M317" s="1">
        <v>0</v>
      </c>
      <c r="N317" s="1">
        <v>41.97</v>
      </c>
      <c r="O317" t="s">
        <v>767</v>
      </c>
      <c r="P317" t="s">
        <v>35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ED35-CA83-4E7B-BB78-7CAD923F34CD}">
  <dimension ref="A1:P317"/>
  <sheetViews>
    <sheetView tabSelected="1" topLeftCell="A298" workbookViewId="0">
      <selection activeCell="B317" sqref="B317"/>
    </sheetView>
  </sheetViews>
  <sheetFormatPr defaultRowHeight="15" x14ac:dyDescent="0.25"/>
  <cols>
    <col min="1" max="1" width="27.85546875" customWidth="1"/>
    <col min="2" max="2" width="15.85546875" customWidth="1"/>
    <col min="3" max="3" width="13.85546875" customWidth="1"/>
    <col min="4" max="4" width="27.7109375" customWidth="1"/>
    <col min="5" max="5" width="15.42578125" customWidth="1"/>
    <col min="6" max="6" width="14.28515625" customWidth="1"/>
    <col min="7" max="7" width="11.42578125" style="1" customWidth="1"/>
    <col min="8" max="8" width="7.140625" customWidth="1"/>
    <col min="9" max="9" width="10.85546875" style="1" customWidth="1"/>
    <col min="10" max="10" width="7.7109375" customWidth="1"/>
    <col min="11" max="11" width="36.7109375" customWidth="1"/>
    <col min="12" max="12" width="16.28515625" bestFit="1" customWidth="1"/>
    <col min="13" max="13" width="16.28515625" customWidth="1"/>
    <col min="15" max="16" width="11.140625" bestFit="1" customWidth="1"/>
  </cols>
  <sheetData>
    <row r="1" spans="1:16" x14ac:dyDescent="0.25">
      <c r="A1" t="s">
        <v>15</v>
      </c>
      <c r="B1" t="s">
        <v>16</v>
      </c>
      <c r="C1" t="s">
        <v>17</v>
      </c>
      <c r="D1" t="s">
        <v>19</v>
      </c>
      <c r="E1" t="s">
        <v>21</v>
      </c>
      <c r="F1" t="s">
        <v>22</v>
      </c>
      <c r="G1" s="1" t="s">
        <v>23</v>
      </c>
      <c r="H1" t="s">
        <v>24</v>
      </c>
      <c r="I1" s="1" t="s">
        <v>11</v>
      </c>
      <c r="J1" t="s">
        <v>27</v>
      </c>
      <c r="K1" t="s">
        <v>1385</v>
      </c>
      <c r="L1" t="s">
        <v>1386</v>
      </c>
      <c r="M1" t="s">
        <v>1441</v>
      </c>
      <c r="N1" t="s">
        <v>1387</v>
      </c>
      <c r="O1" t="s">
        <v>1413</v>
      </c>
      <c r="P1" t="s">
        <v>1414</v>
      </c>
    </row>
    <row r="2" spans="1:16" x14ac:dyDescent="0.25">
      <c r="A2" s="10" t="s">
        <v>309</v>
      </c>
      <c r="B2" s="10" t="s">
        <v>718</v>
      </c>
      <c r="C2" s="10" t="s">
        <v>32</v>
      </c>
      <c r="D2" s="10" t="s">
        <v>719</v>
      </c>
      <c r="E2" s="11">
        <v>46162</v>
      </c>
      <c r="F2" s="11">
        <v>46193</v>
      </c>
      <c r="G2" s="12">
        <v>1227.45</v>
      </c>
      <c r="H2" s="10">
        <v>0.8</v>
      </c>
      <c r="I2" s="12">
        <v>81.83</v>
      </c>
      <c r="J2" s="10" t="s">
        <v>285</v>
      </c>
      <c r="K2" s="10" t="s">
        <v>1397</v>
      </c>
      <c r="L2" s="13">
        <v>19491313</v>
      </c>
      <c r="M2" s="13" t="s">
        <v>1443</v>
      </c>
      <c r="N2" s="10" t="s">
        <v>1389</v>
      </c>
      <c r="O2" s="12">
        <f>NewBusiness7[[#This Row],[Earnings]]/NewBusiness7[[#This Row],[Rate]]</f>
        <v>102.28749999999999</v>
      </c>
      <c r="P2" s="12">
        <f>NewBusiness7[[#This Row],[Column5]]*NewBusiness7[[#This Row],[Rate]]</f>
        <v>81.83</v>
      </c>
    </row>
    <row r="3" spans="1:16" x14ac:dyDescent="0.25">
      <c r="A3" s="10" t="s">
        <v>309</v>
      </c>
      <c r="B3" s="10" t="s">
        <v>728</v>
      </c>
      <c r="C3" s="10" t="s">
        <v>32</v>
      </c>
      <c r="D3" s="10" t="s">
        <v>729</v>
      </c>
      <c r="E3" s="11">
        <v>46174</v>
      </c>
      <c r="F3" s="11">
        <v>46204</v>
      </c>
      <c r="G3" s="12">
        <v>777.28</v>
      </c>
      <c r="H3" s="10">
        <v>0.85</v>
      </c>
      <c r="I3" s="12">
        <v>55.05</v>
      </c>
      <c r="J3" s="10" t="s">
        <v>285</v>
      </c>
      <c r="K3" s="10" t="s">
        <v>1390</v>
      </c>
      <c r="L3" s="13">
        <v>19491313</v>
      </c>
      <c r="M3" s="13" t="s">
        <v>1443</v>
      </c>
      <c r="N3" s="10" t="s">
        <v>1389</v>
      </c>
      <c r="O3" s="12">
        <f>NewBusiness7[[#This Row],[Earnings]]/NewBusiness7[[#This Row],[Rate]]</f>
        <v>64.764705882352942</v>
      </c>
      <c r="P3" s="12">
        <f>NewBusiness7[[#This Row],[Column5]]*NewBusiness7[[#This Row],[Rate]]</f>
        <v>55.05</v>
      </c>
    </row>
    <row r="4" spans="1:16" x14ac:dyDescent="0.25">
      <c r="A4" s="10" t="s">
        <v>309</v>
      </c>
      <c r="B4" s="10" t="s">
        <v>738</v>
      </c>
      <c r="C4" s="10" t="s">
        <v>32</v>
      </c>
      <c r="D4" s="10" t="s">
        <v>739</v>
      </c>
      <c r="E4" s="11">
        <v>46174</v>
      </c>
      <c r="F4" s="11">
        <v>46204</v>
      </c>
      <c r="G4" s="12">
        <v>777.28</v>
      </c>
      <c r="H4" s="10">
        <v>0.85</v>
      </c>
      <c r="I4" s="12">
        <v>55.05</v>
      </c>
      <c r="J4" s="10" t="s">
        <v>285</v>
      </c>
      <c r="K4" s="10" t="s">
        <v>1390</v>
      </c>
      <c r="L4" s="13">
        <v>19491313</v>
      </c>
      <c r="M4" s="13" t="s">
        <v>1443</v>
      </c>
      <c r="N4" s="10" t="s">
        <v>1389</v>
      </c>
      <c r="O4" s="12">
        <f>NewBusiness7[[#This Row],[Earnings]]/NewBusiness7[[#This Row],[Rate]]</f>
        <v>64.764705882352942</v>
      </c>
      <c r="P4" s="12">
        <f>NewBusiness7[[#This Row],[Column5]]*NewBusiness7[[#This Row],[Rate]]</f>
        <v>55.05</v>
      </c>
    </row>
    <row r="5" spans="1:16" x14ac:dyDescent="0.25">
      <c r="A5" s="10" t="s">
        <v>309</v>
      </c>
      <c r="B5" s="10" t="s">
        <v>752</v>
      </c>
      <c r="C5" s="10" t="s">
        <v>32</v>
      </c>
      <c r="D5" s="10" t="s">
        <v>753</v>
      </c>
      <c r="E5" s="11">
        <v>46174</v>
      </c>
      <c r="F5" s="11">
        <v>46204</v>
      </c>
      <c r="G5" s="12">
        <v>551.12</v>
      </c>
      <c r="H5" s="10">
        <v>0.85</v>
      </c>
      <c r="I5" s="12">
        <v>39.03</v>
      </c>
      <c r="J5" s="10" t="s">
        <v>285</v>
      </c>
      <c r="K5" s="10" t="s">
        <v>1390</v>
      </c>
      <c r="L5" s="13">
        <v>19491313</v>
      </c>
      <c r="M5" s="13" t="s">
        <v>1443</v>
      </c>
      <c r="N5" s="10" t="s">
        <v>1389</v>
      </c>
      <c r="O5" s="12">
        <f>NewBusiness7[[#This Row],[Earnings]]/NewBusiness7[[#This Row],[Rate]]</f>
        <v>45.917647058823533</v>
      </c>
      <c r="P5" s="12">
        <f>NewBusiness7[[#This Row],[Column5]]*NewBusiness7[[#This Row],[Rate]]</f>
        <v>39.03</v>
      </c>
    </row>
    <row r="6" spans="1:16" x14ac:dyDescent="0.25">
      <c r="A6" s="10" t="s">
        <v>309</v>
      </c>
      <c r="B6" s="10" t="s">
        <v>760</v>
      </c>
      <c r="C6" s="10" t="s">
        <v>32</v>
      </c>
      <c r="D6" s="10" t="s">
        <v>761</v>
      </c>
      <c r="E6" s="11">
        <v>46174</v>
      </c>
      <c r="F6" s="11">
        <v>46204</v>
      </c>
      <c r="G6" s="12">
        <v>777.28</v>
      </c>
      <c r="H6" s="10">
        <v>0.85</v>
      </c>
      <c r="I6" s="12">
        <v>55.05</v>
      </c>
      <c r="J6" s="10" t="s">
        <v>285</v>
      </c>
      <c r="K6" s="10" t="s">
        <v>1390</v>
      </c>
      <c r="L6" s="13">
        <v>19491313</v>
      </c>
      <c r="M6" s="13" t="s">
        <v>1443</v>
      </c>
      <c r="N6" s="10" t="s">
        <v>1389</v>
      </c>
      <c r="O6" s="12">
        <f>NewBusiness7[[#This Row],[Earnings]]/NewBusiness7[[#This Row],[Rate]]</f>
        <v>64.764705882352942</v>
      </c>
      <c r="P6" s="12">
        <f>NewBusiness7[[#This Row],[Column5]]*NewBusiness7[[#This Row],[Rate]]</f>
        <v>55.05</v>
      </c>
    </row>
    <row r="7" spans="1:16" x14ac:dyDescent="0.25">
      <c r="A7" s="10" t="s">
        <v>309</v>
      </c>
      <c r="B7" s="10" t="s">
        <v>762</v>
      </c>
      <c r="C7" s="10" t="s">
        <v>613</v>
      </c>
      <c r="D7" s="10" t="s">
        <v>753</v>
      </c>
      <c r="E7" s="11">
        <v>46174</v>
      </c>
      <c r="F7" s="11">
        <v>46204</v>
      </c>
      <c r="G7" s="12">
        <v>1372.65</v>
      </c>
      <c r="H7" s="10">
        <v>1.1000000000000001</v>
      </c>
      <c r="I7" s="12">
        <v>125.83</v>
      </c>
      <c r="J7" s="10" t="s">
        <v>285</v>
      </c>
      <c r="K7" s="10" t="s">
        <v>1388</v>
      </c>
      <c r="L7" s="13">
        <v>19491313</v>
      </c>
      <c r="M7" s="13" t="s">
        <v>1443</v>
      </c>
      <c r="N7" s="10" t="s">
        <v>1389</v>
      </c>
      <c r="O7" s="12">
        <f>NewBusiness7[[#This Row],[Earnings]]/NewBusiness7[[#This Row],[Rate]]</f>
        <v>114.39090909090908</v>
      </c>
      <c r="P7" s="12">
        <f>NewBusiness7[[#This Row],[Column5]]*NewBusiness7[[#This Row],[Rate]]</f>
        <v>125.83</v>
      </c>
    </row>
    <row r="8" spans="1:16" x14ac:dyDescent="0.25">
      <c r="A8" s="10" t="s">
        <v>140</v>
      </c>
      <c r="B8" s="10" t="s">
        <v>720</v>
      </c>
      <c r="C8" s="10" t="s">
        <v>62</v>
      </c>
      <c r="D8" s="10" t="s">
        <v>721</v>
      </c>
      <c r="E8" s="11">
        <v>46143</v>
      </c>
      <c r="F8" s="11">
        <v>46174</v>
      </c>
      <c r="G8" s="12">
        <v>780</v>
      </c>
      <c r="H8" s="10">
        <v>0.8</v>
      </c>
      <c r="I8" s="12">
        <v>52</v>
      </c>
      <c r="J8" s="10" t="s">
        <v>34</v>
      </c>
      <c r="K8" s="10" t="s">
        <v>1397</v>
      </c>
      <c r="L8" s="13" t="s">
        <v>1425</v>
      </c>
      <c r="M8" s="13" t="s">
        <v>1442</v>
      </c>
      <c r="N8" s="10" t="s">
        <v>1415</v>
      </c>
      <c r="O8" s="12">
        <f>NewBusiness7[[#This Row],[Earnings]]/NewBusiness7[[#This Row],[Rate]]</f>
        <v>65</v>
      </c>
      <c r="P8" s="12">
        <f>NewBusiness7[[#This Row],[Column5]]*NewBusiness7[[#This Row],[Rate]]</f>
        <v>52</v>
      </c>
    </row>
    <row r="9" spans="1:16" x14ac:dyDescent="0.25">
      <c r="A9" s="10" t="s">
        <v>140</v>
      </c>
      <c r="B9" s="10" t="s">
        <v>748</v>
      </c>
      <c r="C9" s="10" t="s">
        <v>62</v>
      </c>
      <c r="D9" s="10" t="s">
        <v>749</v>
      </c>
      <c r="E9" s="11">
        <v>46174</v>
      </c>
      <c r="F9" s="11">
        <v>46204</v>
      </c>
      <c r="G9" s="12">
        <v>859.2</v>
      </c>
      <c r="H9" s="10">
        <v>0.8</v>
      </c>
      <c r="I9" s="12">
        <v>57.28</v>
      </c>
      <c r="J9" s="10" t="s">
        <v>34</v>
      </c>
      <c r="K9" s="10" t="s">
        <v>1397</v>
      </c>
      <c r="L9" s="13" t="s">
        <v>1425</v>
      </c>
      <c r="M9" s="13" t="s">
        <v>1442</v>
      </c>
      <c r="N9" s="10" t="s">
        <v>1415</v>
      </c>
      <c r="O9" s="12">
        <f>NewBusiness7[[#This Row],[Earnings]]/NewBusiness7[[#This Row],[Rate]]</f>
        <v>71.599999999999994</v>
      </c>
      <c r="P9" s="12">
        <f>NewBusiness7[[#This Row],[Column5]]*NewBusiness7[[#This Row],[Rate]]</f>
        <v>57.28</v>
      </c>
    </row>
    <row r="10" spans="1:16" x14ac:dyDescent="0.25">
      <c r="A10" s="10" t="s">
        <v>140</v>
      </c>
      <c r="B10" s="10" t="s">
        <v>754</v>
      </c>
      <c r="C10" s="10" t="s">
        <v>32</v>
      </c>
      <c r="D10" s="10" t="s">
        <v>755</v>
      </c>
      <c r="E10" s="11">
        <v>46170</v>
      </c>
      <c r="F10" s="11">
        <v>46201</v>
      </c>
      <c r="G10" s="12">
        <v>448.39</v>
      </c>
      <c r="H10" s="10">
        <v>0.85</v>
      </c>
      <c r="I10" s="12">
        <v>31.76</v>
      </c>
      <c r="J10" s="10" t="s">
        <v>34</v>
      </c>
      <c r="K10" s="10" t="s">
        <v>1390</v>
      </c>
      <c r="L10" s="13" t="s">
        <v>1425</v>
      </c>
      <c r="M10" s="13" t="s">
        <v>1442</v>
      </c>
      <c r="N10" s="10" t="s">
        <v>1415</v>
      </c>
      <c r="O10" s="12">
        <f>NewBusiness7[[#This Row],[Earnings]]/NewBusiness7[[#This Row],[Rate]]</f>
        <v>37.364705882352943</v>
      </c>
      <c r="P10" s="12">
        <f>NewBusiness7[[#This Row],[Column5]]*NewBusiness7[[#This Row],[Rate]]</f>
        <v>31.76</v>
      </c>
    </row>
    <row r="11" spans="1:16" x14ac:dyDescent="0.25">
      <c r="A11" s="10" t="s">
        <v>37</v>
      </c>
      <c r="B11" s="10" t="s">
        <v>732</v>
      </c>
      <c r="C11" s="10" t="s">
        <v>62</v>
      </c>
      <c r="D11" s="10" t="s">
        <v>733</v>
      </c>
      <c r="E11" s="11">
        <v>46174</v>
      </c>
      <c r="F11" s="11">
        <v>46204</v>
      </c>
      <c r="G11" s="12">
        <v>624.96</v>
      </c>
      <c r="H11" s="10">
        <v>0.8</v>
      </c>
      <c r="I11" s="12">
        <v>41.66</v>
      </c>
      <c r="J11" s="10" t="s">
        <v>34</v>
      </c>
      <c r="K11" s="10" t="s">
        <v>1397</v>
      </c>
      <c r="L11" s="13" t="s">
        <v>1418</v>
      </c>
      <c r="M11" s="13" t="s">
        <v>1442</v>
      </c>
      <c r="N11" s="10" t="s">
        <v>1415</v>
      </c>
      <c r="O11" s="12">
        <f>NewBusiness7[[#This Row],[Earnings]]/NewBusiness7[[#This Row],[Rate]]</f>
        <v>52.074999999999996</v>
      </c>
      <c r="P11" s="12">
        <f>NewBusiness7[[#This Row],[Column5]]*NewBusiness7[[#This Row],[Rate]]</f>
        <v>41.66</v>
      </c>
    </row>
    <row r="12" spans="1:16" x14ac:dyDescent="0.25">
      <c r="A12" s="10" t="s">
        <v>37</v>
      </c>
      <c r="B12" s="10" t="s">
        <v>734</v>
      </c>
      <c r="C12" s="10" t="s">
        <v>62</v>
      </c>
      <c r="D12" s="10" t="s">
        <v>735</v>
      </c>
      <c r="E12" s="11">
        <v>46174</v>
      </c>
      <c r="F12" s="11">
        <v>46204</v>
      </c>
      <c r="G12" s="12">
        <v>624.96</v>
      </c>
      <c r="H12" s="10">
        <v>0.8</v>
      </c>
      <c r="I12" s="12">
        <v>41.66</v>
      </c>
      <c r="J12" s="10" t="s">
        <v>34</v>
      </c>
      <c r="K12" s="10" t="s">
        <v>1397</v>
      </c>
      <c r="L12" s="13" t="s">
        <v>1418</v>
      </c>
      <c r="M12" s="13" t="s">
        <v>1442</v>
      </c>
      <c r="N12" s="10" t="s">
        <v>1415</v>
      </c>
      <c r="O12" s="12">
        <f>NewBusiness7[[#This Row],[Earnings]]/NewBusiness7[[#This Row],[Rate]]</f>
        <v>52.074999999999996</v>
      </c>
      <c r="P12" s="12">
        <f>NewBusiness7[[#This Row],[Column5]]*NewBusiness7[[#This Row],[Rate]]</f>
        <v>41.66</v>
      </c>
    </row>
    <row r="13" spans="1:16" x14ac:dyDescent="0.25">
      <c r="A13" s="10" t="s">
        <v>37</v>
      </c>
      <c r="B13" s="10" t="s">
        <v>763</v>
      </c>
      <c r="C13" s="10" t="s">
        <v>162</v>
      </c>
      <c r="D13" s="10" t="s">
        <v>764</v>
      </c>
      <c r="E13" s="11">
        <v>46174</v>
      </c>
      <c r="F13" s="11">
        <v>46204</v>
      </c>
      <c r="G13" s="12">
        <v>854.4</v>
      </c>
      <c r="H13" s="10">
        <v>0.8</v>
      </c>
      <c r="I13" s="12">
        <v>56.96</v>
      </c>
      <c r="J13" s="10" t="s">
        <v>34</v>
      </c>
      <c r="K13" s="10" t="s">
        <v>1397</v>
      </c>
      <c r="L13" s="13" t="s">
        <v>1418</v>
      </c>
      <c r="M13" s="13" t="s">
        <v>1442</v>
      </c>
      <c r="N13" s="10" t="s">
        <v>1415</v>
      </c>
      <c r="O13" s="12">
        <f>NewBusiness7[[#This Row],[Earnings]]/NewBusiness7[[#This Row],[Rate]]</f>
        <v>71.2</v>
      </c>
      <c r="P13" s="12">
        <f>NewBusiness7[[#This Row],[Column5]]*NewBusiness7[[#This Row],[Rate]]</f>
        <v>56.960000000000008</v>
      </c>
    </row>
    <row r="14" spans="1:16" x14ac:dyDescent="0.25">
      <c r="A14" s="10" t="s">
        <v>132</v>
      </c>
      <c r="B14" s="10" t="s">
        <v>740</v>
      </c>
      <c r="C14" s="10" t="s">
        <v>62</v>
      </c>
      <c r="D14" s="10" t="s">
        <v>741</v>
      </c>
      <c r="E14" s="11">
        <v>46235</v>
      </c>
      <c r="F14" s="11">
        <v>46266</v>
      </c>
      <c r="G14" s="12">
        <v>1161.5999999999999</v>
      </c>
      <c r="H14" s="10">
        <v>0.8</v>
      </c>
      <c r="I14" s="12">
        <v>77.44</v>
      </c>
      <c r="J14" s="10" t="s">
        <v>34</v>
      </c>
      <c r="K14" s="10" t="s">
        <v>1397</v>
      </c>
      <c r="L14" s="13" t="s">
        <v>1407</v>
      </c>
      <c r="M14" s="13" t="s">
        <v>1442</v>
      </c>
      <c r="N14" s="10" t="s">
        <v>1415</v>
      </c>
      <c r="O14" s="12">
        <f>NewBusiness7[[#This Row],[Earnings]]/NewBusiness7[[#This Row],[Rate]]</f>
        <v>96.8</v>
      </c>
      <c r="P14" s="12">
        <f>NewBusiness7[[#This Row],[Column5]]*NewBusiness7[[#This Row],[Rate]]</f>
        <v>77.44</v>
      </c>
    </row>
    <row r="15" spans="1:16" x14ac:dyDescent="0.25">
      <c r="A15" s="10" t="s">
        <v>616</v>
      </c>
      <c r="B15" s="10" t="s">
        <v>726</v>
      </c>
      <c r="C15" s="10" t="s">
        <v>32</v>
      </c>
      <c r="D15" s="10" t="s">
        <v>727</v>
      </c>
      <c r="E15" s="11">
        <v>46148</v>
      </c>
      <c r="F15" s="11">
        <v>46179</v>
      </c>
      <c r="G15" s="12">
        <v>381.13</v>
      </c>
      <c r="H15" s="10">
        <v>0.85</v>
      </c>
      <c r="I15" s="12">
        <v>27</v>
      </c>
      <c r="J15" s="10" t="s">
        <v>34</v>
      </c>
      <c r="K15" s="10" t="s">
        <v>1390</v>
      </c>
      <c r="L15" s="13">
        <v>16997303</v>
      </c>
      <c r="M15" s="13" t="s">
        <v>1443</v>
      </c>
      <c r="N15" s="10" t="s">
        <v>1389</v>
      </c>
      <c r="O15" s="12">
        <f>NewBusiness7[[#This Row],[Earnings]]/NewBusiness7[[#This Row],[Rate]]</f>
        <v>31.764705882352942</v>
      </c>
      <c r="P15" s="12">
        <f>NewBusiness7[[#This Row],[Column5]]*NewBusiness7[[#This Row],[Rate]]</f>
        <v>27</v>
      </c>
    </row>
    <row r="16" spans="1:16" x14ac:dyDescent="0.25">
      <c r="A16" s="10" t="s">
        <v>616</v>
      </c>
      <c r="B16" s="10" t="s">
        <v>726</v>
      </c>
      <c r="C16" s="10" t="s">
        <v>32</v>
      </c>
      <c r="D16" s="10" t="s">
        <v>727</v>
      </c>
      <c r="E16" s="11">
        <v>46148</v>
      </c>
      <c r="F16" s="11">
        <v>46179</v>
      </c>
      <c r="G16" s="12">
        <v>381.13</v>
      </c>
      <c r="H16" s="10">
        <v>0.85</v>
      </c>
      <c r="I16" s="12">
        <v>-27</v>
      </c>
      <c r="J16" s="10" t="s">
        <v>34</v>
      </c>
      <c r="K16" s="10" t="s">
        <v>1390</v>
      </c>
      <c r="L16" s="13">
        <v>16997303</v>
      </c>
      <c r="M16" s="13" t="s">
        <v>1443</v>
      </c>
      <c r="N16" s="10" t="s">
        <v>1389</v>
      </c>
      <c r="O16" s="12">
        <f>NewBusiness7[[#This Row],[Earnings]]/NewBusiness7[[#This Row],[Rate]]</f>
        <v>-31.764705882352942</v>
      </c>
      <c r="P16" s="12">
        <f>NewBusiness7[[#This Row],[Column5]]*NewBusiness7[[#This Row],[Rate]]</f>
        <v>-27</v>
      </c>
    </row>
    <row r="17" spans="1:16" x14ac:dyDescent="0.25">
      <c r="A17" s="10" t="s">
        <v>616</v>
      </c>
      <c r="B17" s="10" t="s">
        <v>726</v>
      </c>
      <c r="C17" s="10" t="s">
        <v>32</v>
      </c>
      <c r="D17" s="10" t="s">
        <v>727</v>
      </c>
      <c r="E17" s="11">
        <v>46148</v>
      </c>
      <c r="F17" s="11">
        <v>46179</v>
      </c>
      <c r="G17" s="12">
        <v>381.13</v>
      </c>
      <c r="H17" s="10">
        <v>0.85</v>
      </c>
      <c r="I17" s="12">
        <v>27</v>
      </c>
      <c r="J17" s="10" t="s">
        <v>34</v>
      </c>
      <c r="K17" s="10" t="s">
        <v>1390</v>
      </c>
      <c r="L17" s="13">
        <v>16997303</v>
      </c>
      <c r="M17" s="13" t="s">
        <v>1443</v>
      </c>
      <c r="N17" s="10" t="s">
        <v>1389</v>
      </c>
      <c r="O17" s="12">
        <f>NewBusiness7[[#This Row],[Earnings]]/NewBusiness7[[#This Row],[Rate]]</f>
        <v>31.764705882352942</v>
      </c>
      <c r="P17" s="12">
        <f>NewBusiness7[[#This Row],[Column5]]*NewBusiness7[[#This Row],[Rate]]</f>
        <v>27</v>
      </c>
    </row>
    <row r="18" spans="1:16" x14ac:dyDescent="0.25">
      <c r="A18" s="10" t="s">
        <v>616</v>
      </c>
      <c r="B18" s="10" t="s">
        <v>736</v>
      </c>
      <c r="C18" s="10" t="s">
        <v>32</v>
      </c>
      <c r="D18" s="10" t="s">
        <v>737</v>
      </c>
      <c r="E18" s="11">
        <v>46148</v>
      </c>
      <c r="F18" s="11">
        <v>46179</v>
      </c>
      <c r="G18" s="12">
        <v>467.79</v>
      </c>
      <c r="H18" s="10">
        <v>0.85</v>
      </c>
      <c r="I18" s="12">
        <v>33.130000000000003</v>
      </c>
      <c r="J18" s="10" t="s">
        <v>34</v>
      </c>
      <c r="K18" s="10" t="s">
        <v>1390</v>
      </c>
      <c r="L18" s="13">
        <v>16997303</v>
      </c>
      <c r="M18" s="13" t="s">
        <v>1443</v>
      </c>
      <c r="N18" s="10" t="s">
        <v>1389</v>
      </c>
      <c r="O18" s="12">
        <f>NewBusiness7[[#This Row],[Earnings]]/NewBusiness7[[#This Row],[Rate]]</f>
        <v>38.976470588235301</v>
      </c>
      <c r="P18" s="12">
        <f>NewBusiness7[[#This Row],[Column5]]*NewBusiness7[[#This Row],[Rate]]</f>
        <v>33.130000000000003</v>
      </c>
    </row>
    <row r="19" spans="1:16" x14ac:dyDescent="0.25">
      <c r="A19" s="10" t="s">
        <v>616</v>
      </c>
      <c r="B19" s="10" t="s">
        <v>736</v>
      </c>
      <c r="C19" s="10" t="s">
        <v>32</v>
      </c>
      <c r="D19" s="10" t="s">
        <v>737</v>
      </c>
      <c r="E19" s="11">
        <v>46148</v>
      </c>
      <c r="F19" s="11">
        <v>46179</v>
      </c>
      <c r="G19" s="12">
        <v>467.79</v>
      </c>
      <c r="H19" s="10">
        <v>0.85</v>
      </c>
      <c r="I19" s="12">
        <v>33.130000000000003</v>
      </c>
      <c r="J19" s="10" t="s">
        <v>34</v>
      </c>
      <c r="K19" s="10" t="s">
        <v>1390</v>
      </c>
      <c r="L19" s="13">
        <v>16997303</v>
      </c>
      <c r="M19" s="13" t="s">
        <v>1443</v>
      </c>
      <c r="N19" s="10" t="s">
        <v>1389</v>
      </c>
      <c r="O19" s="12">
        <f>NewBusiness7[[#This Row],[Earnings]]/NewBusiness7[[#This Row],[Rate]]</f>
        <v>38.976470588235301</v>
      </c>
      <c r="P19" s="12">
        <f>NewBusiness7[[#This Row],[Column5]]*NewBusiness7[[#This Row],[Rate]]</f>
        <v>33.130000000000003</v>
      </c>
    </row>
    <row r="20" spans="1:16" x14ac:dyDescent="0.25">
      <c r="A20" s="10" t="s">
        <v>616</v>
      </c>
      <c r="B20" s="10" t="s">
        <v>736</v>
      </c>
      <c r="C20" s="10" t="s">
        <v>32</v>
      </c>
      <c r="D20" s="10" t="s">
        <v>737</v>
      </c>
      <c r="E20" s="11">
        <v>46148</v>
      </c>
      <c r="F20" s="11">
        <v>46179</v>
      </c>
      <c r="G20" s="12">
        <v>467.79</v>
      </c>
      <c r="H20" s="10">
        <v>0.85</v>
      </c>
      <c r="I20" s="12">
        <v>-33.130000000000003</v>
      </c>
      <c r="J20" s="10" t="s">
        <v>34</v>
      </c>
      <c r="K20" s="10" t="s">
        <v>1390</v>
      </c>
      <c r="L20" s="13">
        <v>16997303</v>
      </c>
      <c r="M20" s="13" t="s">
        <v>1443</v>
      </c>
      <c r="N20" s="10" t="s">
        <v>1389</v>
      </c>
      <c r="O20" s="12">
        <f>NewBusiness7[[#This Row],[Earnings]]/NewBusiness7[[#This Row],[Rate]]</f>
        <v>-38.976470588235301</v>
      </c>
      <c r="P20" s="12">
        <f>NewBusiness7[[#This Row],[Column5]]*NewBusiness7[[#This Row],[Rate]]</f>
        <v>-33.130000000000003</v>
      </c>
    </row>
    <row r="21" spans="1:16" x14ac:dyDescent="0.25">
      <c r="A21" s="10" t="s">
        <v>160</v>
      </c>
      <c r="B21" s="10" t="s">
        <v>765</v>
      </c>
      <c r="C21" s="10" t="s">
        <v>32</v>
      </c>
      <c r="D21" s="10" t="s">
        <v>766</v>
      </c>
      <c r="E21" s="11">
        <v>46169</v>
      </c>
      <c r="F21" s="11">
        <v>46200</v>
      </c>
      <c r="G21" s="12">
        <v>592.61</v>
      </c>
      <c r="H21" s="10">
        <v>0.85</v>
      </c>
      <c r="I21" s="12">
        <v>41.97</v>
      </c>
      <c r="J21" s="10" t="s">
        <v>767</v>
      </c>
      <c r="K21" s="10" t="s">
        <v>1390</v>
      </c>
      <c r="L21" s="13">
        <v>20003537</v>
      </c>
      <c r="M21" s="13" t="s">
        <v>1443</v>
      </c>
      <c r="N21" s="10" t="s">
        <v>1389</v>
      </c>
      <c r="O21" s="12">
        <f>NewBusiness7[[#This Row],[Earnings]]/NewBusiness7[[#This Row],[Rate]]</f>
        <v>49.376470588235293</v>
      </c>
      <c r="P21" s="12">
        <f>NewBusiness7[[#This Row],[Column5]]*NewBusiness7[[#This Row],[Rate]]</f>
        <v>41.97</v>
      </c>
    </row>
    <row r="22" spans="1:16" x14ac:dyDescent="0.25">
      <c r="A22" s="10" t="s">
        <v>114</v>
      </c>
      <c r="B22" s="10" t="s">
        <v>693</v>
      </c>
      <c r="C22" s="10" t="s">
        <v>162</v>
      </c>
      <c r="D22" s="10" t="s">
        <v>694</v>
      </c>
      <c r="E22" s="11">
        <v>46143</v>
      </c>
      <c r="F22" s="11">
        <v>46174</v>
      </c>
      <c r="G22" s="12">
        <v>1094.8</v>
      </c>
      <c r="H22" s="10">
        <v>0.75</v>
      </c>
      <c r="I22" s="12">
        <v>68.42</v>
      </c>
      <c r="J22" s="10" t="s">
        <v>695</v>
      </c>
      <c r="K22" s="10" t="s">
        <v>1391</v>
      </c>
      <c r="L22" s="13">
        <v>18754354</v>
      </c>
      <c r="M22" s="13" t="s">
        <v>1443</v>
      </c>
      <c r="N22" s="10" t="s">
        <v>1389</v>
      </c>
      <c r="O22" s="12">
        <f>NewBusiness7[[#This Row],[Earnings]]/NewBusiness7[[#This Row],[Rate]]</f>
        <v>91.226666666666674</v>
      </c>
      <c r="P22" s="12">
        <f>NewBusiness7[[#This Row],[Column5]]*NewBusiness7[[#This Row],[Rate]]</f>
        <v>68.42</v>
      </c>
    </row>
    <row r="23" spans="1:16" x14ac:dyDescent="0.25">
      <c r="A23" s="10" t="s">
        <v>114</v>
      </c>
      <c r="B23" s="10" t="s">
        <v>742</v>
      </c>
      <c r="C23" s="10" t="s">
        <v>32</v>
      </c>
      <c r="D23" s="10" t="s">
        <v>743</v>
      </c>
      <c r="E23" s="11">
        <v>46151</v>
      </c>
      <c r="F23" s="11">
        <v>46182</v>
      </c>
      <c r="G23" s="12">
        <v>1164.8499999999999</v>
      </c>
      <c r="H23" s="10">
        <v>0.8</v>
      </c>
      <c r="I23" s="12">
        <v>77.66</v>
      </c>
      <c r="J23" s="10" t="s">
        <v>34</v>
      </c>
      <c r="K23" s="10" t="s">
        <v>1397</v>
      </c>
      <c r="L23" s="13">
        <v>18754354</v>
      </c>
      <c r="M23" s="13" t="s">
        <v>1443</v>
      </c>
      <c r="N23" s="10" t="s">
        <v>1389</v>
      </c>
      <c r="O23" s="12">
        <f>NewBusiness7[[#This Row],[Earnings]]/NewBusiness7[[#This Row],[Rate]]</f>
        <v>97.074999999999989</v>
      </c>
      <c r="P23" s="12">
        <f>NewBusiness7[[#This Row],[Column5]]*NewBusiness7[[#This Row],[Rate]]</f>
        <v>77.66</v>
      </c>
    </row>
    <row r="24" spans="1:16" x14ac:dyDescent="0.25">
      <c r="A24" s="10" t="s">
        <v>220</v>
      </c>
      <c r="B24" s="10" t="s">
        <v>744</v>
      </c>
      <c r="C24" s="10" t="s">
        <v>62</v>
      </c>
      <c r="D24" s="10" t="s">
        <v>745</v>
      </c>
      <c r="E24" s="11">
        <v>46174</v>
      </c>
      <c r="F24" s="11">
        <v>46204</v>
      </c>
      <c r="G24" s="12">
        <v>1163.98</v>
      </c>
      <c r="H24" s="10">
        <v>0.8</v>
      </c>
      <c r="I24" s="12">
        <v>77.59</v>
      </c>
      <c r="J24" s="10" t="s">
        <v>34</v>
      </c>
      <c r="K24" s="10" t="s">
        <v>1397</v>
      </c>
      <c r="L24" s="13" t="s">
        <v>1430</v>
      </c>
      <c r="M24" s="13" t="s">
        <v>1442</v>
      </c>
      <c r="N24" s="10" t="s">
        <v>1415</v>
      </c>
      <c r="O24" s="12">
        <f>NewBusiness7[[#This Row],[Earnings]]/NewBusiness7[[#This Row],[Rate]]</f>
        <v>96.987499999999997</v>
      </c>
      <c r="P24" s="12">
        <f>NewBusiness7[[#This Row],[Column5]]*NewBusiness7[[#This Row],[Rate]]</f>
        <v>77.59</v>
      </c>
    </row>
    <row r="25" spans="1:16" x14ac:dyDescent="0.25">
      <c r="A25" s="10" t="s">
        <v>220</v>
      </c>
      <c r="B25" s="10" t="s">
        <v>746</v>
      </c>
      <c r="C25" s="10" t="s">
        <v>62</v>
      </c>
      <c r="D25" s="10" t="s">
        <v>747</v>
      </c>
      <c r="E25" s="11">
        <v>46174</v>
      </c>
      <c r="F25" s="11">
        <v>46204</v>
      </c>
      <c r="G25" s="12">
        <v>1163.98</v>
      </c>
      <c r="H25" s="10">
        <v>0.8</v>
      </c>
      <c r="I25" s="12">
        <v>77.59</v>
      </c>
      <c r="J25" s="10" t="s">
        <v>34</v>
      </c>
      <c r="K25" s="10" t="s">
        <v>1397</v>
      </c>
      <c r="L25" s="13" t="s">
        <v>1430</v>
      </c>
      <c r="M25" s="13" t="s">
        <v>1442</v>
      </c>
      <c r="N25" s="10" t="s">
        <v>1415</v>
      </c>
      <c r="O25" s="12">
        <f>NewBusiness7[[#This Row],[Earnings]]/NewBusiness7[[#This Row],[Rate]]</f>
        <v>96.987499999999997</v>
      </c>
      <c r="P25" s="12">
        <f>NewBusiness7[[#This Row],[Column5]]*NewBusiness7[[#This Row],[Rate]]</f>
        <v>77.59</v>
      </c>
    </row>
    <row r="26" spans="1:16" x14ac:dyDescent="0.25">
      <c r="A26" s="10" t="s">
        <v>220</v>
      </c>
      <c r="B26" s="10" t="s">
        <v>750</v>
      </c>
      <c r="C26" s="10" t="s">
        <v>62</v>
      </c>
      <c r="D26" s="10" t="s">
        <v>751</v>
      </c>
      <c r="E26" s="11">
        <v>46174</v>
      </c>
      <c r="F26" s="11">
        <v>46204</v>
      </c>
      <c r="G26" s="12">
        <v>1196.4000000000001</v>
      </c>
      <c r="H26" s="10">
        <v>0.8</v>
      </c>
      <c r="I26" s="12">
        <v>79.760000000000005</v>
      </c>
      <c r="J26" s="10" t="s">
        <v>34</v>
      </c>
      <c r="K26" s="10" t="s">
        <v>1397</v>
      </c>
      <c r="L26" s="13" t="s">
        <v>1430</v>
      </c>
      <c r="M26" s="13" t="s">
        <v>1442</v>
      </c>
      <c r="N26" s="10" t="s">
        <v>1415</v>
      </c>
      <c r="O26" s="12">
        <f>NewBusiness7[[#This Row],[Earnings]]/NewBusiness7[[#This Row],[Rate]]</f>
        <v>99.7</v>
      </c>
      <c r="P26" s="12">
        <f>NewBusiness7[[#This Row],[Column5]]*NewBusiness7[[#This Row],[Rate]]</f>
        <v>79.760000000000005</v>
      </c>
    </row>
    <row r="27" spans="1:16" x14ac:dyDescent="0.25">
      <c r="A27" s="10" t="s">
        <v>220</v>
      </c>
      <c r="B27" s="10" t="s">
        <v>756</v>
      </c>
      <c r="C27" s="10" t="s">
        <v>62</v>
      </c>
      <c r="D27" s="10" t="s">
        <v>757</v>
      </c>
      <c r="E27" s="11">
        <v>46174</v>
      </c>
      <c r="F27" s="11">
        <v>46266</v>
      </c>
      <c r="G27" s="12">
        <v>1576.91</v>
      </c>
      <c r="H27" s="10">
        <v>0.8</v>
      </c>
      <c r="I27" s="12">
        <v>315.38</v>
      </c>
      <c r="J27" s="10" t="s">
        <v>34</v>
      </c>
      <c r="K27" s="10" t="s">
        <v>1397</v>
      </c>
      <c r="L27" s="13" t="s">
        <v>1430</v>
      </c>
      <c r="M27" s="13" t="s">
        <v>1442</v>
      </c>
      <c r="N27" s="10" t="s">
        <v>1415</v>
      </c>
      <c r="O27" s="12">
        <f>NewBusiness7[[#This Row],[Earnings]]/NewBusiness7[[#This Row],[Rate]]</f>
        <v>394.22499999999997</v>
      </c>
      <c r="P27" s="12">
        <f>NewBusiness7[[#This Row],[Column5]]*NewBusiness7[[#This Row],[Rate]]</f>
        <v>315.38</v>
      </c>
    </row>
    <row r="28" spans="1:16" x14ac:dyDescent="0.25">
      <c r="A28" s="10" t="s">
        <v>220</v>
      </c>
      <c r="B28" s="10" t="s">
        <v>758</v>
      </c>
      <c r="C28" s="10" t="s">
        <v>62</v>
      </c>
      <c r="D28" s="10" t="s">
        <v>759</v>
      </c>
      <c r="E28" s="11">
        <v>46174</v>
      </c>
      <c r="F28" s="11">
        <v>46266</v>
      </c>
      <c r="G28" s="12">
        <v>1708.59</v>
      </c>
      <c r="H28" s="10">
        <v>0.8</v>
      </c>
      <c r="I28" s="12">
        <v>341.72</v>
      </c>
      <c r="J28" s="10" t="s">
        <v>34</v>
      </c>
      <c r="K28" s="10" t="s">
        <v>1397</v>
      </c>
      <c r="L28" s="13" t="s">
        <v>1430</v>
      </c>
      <c r="M28" s="13" t="s">
        <v>1442</v>
      </c>
      <c r="N28" s="10" t="s">
        <v>1415</v>
      </c>
      <c r="O28" s="12">
        <f>NewBusiness7[[#This Row],[Earnings]]/NewBusiness7[[#This Row],[Rate]]</f>
        <v>427.15000000000003</v>
      </c>
      <c r="P28" s="12">
        <f>NewBusiness7[[#This Row],[Column5]]*NewBusiness7[[#This Row],[Rate]]</f>
        <v>341.72</v>
      </c>
    </row>
    <row r="29" spans="1:16" x14ac:dyDescent="0.25">
      <c r="A29" t="s">
        <v>707</v>
      </c>
      <c r="B29" t="s">
        <v>708</v>
      </c>
      <c r="C29" t="s">
        <v>165</v>
      </c>
      <c r="D29" t="s">
        <v>709</v>
      </c>
      <c r="E29" s="4">
        <v>46120</v>
      </c>
      <c r="F29" s="4">
        <v>46181</v>
      </c>
      <c r="G29" s="1">
        <v>1624.65</v>
      </c>
      <c r="H29">
        <v>1.1000000000000001</v>
      </c>
      <c r="I29" s="1">
        <v>148.91999999999999</v>
      </c>
      <c r="J29" t="s">
        <v>34</v>
      </c>
      <c r="K29" t="s">
        <v>1388</v>
      </c>
      <c r="L29" s="9">
        <v>20776610</v>
      </c>
      <c r="M29" s="9" t="s">
        <v>1443</v>
      </c>
      <c r="N29" t="s">
        <v>1389</v>
      </c>
      <c r="O29" s="1">
        <f>NewBusiness7[[#This Row],[Earnings]]/NewBusiness7[[#This Row],[Rate]]</f>
        <v>135.38181818181815</v>
      </c>
      <c r="P29" s="1">
        <f>NewBusiness7[[#This Row],[Column5]]*NewBusiness7[[#This Row],[Rate]]</f>
        <v>148.91999999999999</v>
      </c>
    </row>
    <row r="30" spans="1:16" x14ac:dyDescent="0.25">
      <c r="A30" t="s">
        <v>343</v>
      </c>
      <c r="B30" t="s">
        <v>344</v>
      </c>
      <c r="C30" t="s">
        <v>62</v>
      </c>
      <c r="D30" t="s">
        <v>345</v>
      </c>
      <c r="E30" s="4">
        <v>46023</v>
      </c>
      <c r="F30" s="4">
        <v>46174</v>
      </c>
      <c r="G30" s="1">
        <v>922.8</v>
      </c>
      <c r="H30">
        <v>0.75</v>
      </c>
      <c r="I30" s="1">
        <v>57.68</v>
      </c>
      <c r="J30" t="s">
        <v>322</v>
      </c>
      <c r="K30" t="s">
        <v>1391</v>
      </c>
      <c r="L30" s="9" t="s">
        <v>1434</v>
      </c>
      <c r="M30" s="9" t="s">
        <v>1443</v>
      </c>
      <c r="N30" t="s">
        <v>1415</v>
      </c>
      <c r="O30" s="1">
        <f>NewBusiness7[[#This Row],[Earnings]]/NewBusiness7[[#This Row],[Rate]]</f>
        <v>76.906666666666666</v>
      </c>
      <c r="P30" s="1">
        <f>NewBusiness7[[#This Row],[Column5]]*NewBusiness7[[#This Row],[Rate]]</f>
        <v>57.68</v>
      </c>
    </row>
    <row r="31" spans="1:16" x14ac:dyDescent="0.25">
      <c r="A31" t="s">
        <v>343</v>
      </c>
      <c r="B31" t="s">
        <v>558</v>
      </c>
      <c r="C31" t="s">
        <v>62</v>
      </c>
      <c r="D31" t="s">
        <v>559</v>
      </c>
      <c r="E31" s="4">
        <v>46023</v>
      </c>
      <c r="F31" s="4">
        <v>46204</v>
      </c>
      <c r="G31" s="1">
        <v>745.2</v>
      </c>
      <c r="H31">
        <v>0.75</v>
      </c>
      <c r="I31" s="1">
        <v>46.58</v>
      </c>
      <c r="J31" t="s">
        <v>322</v>
      </c>
      <c r="K31" t="s">
        <v>1391</v>
      </c>
      <c r="L31" s="9" t="s">
        <v>1434</v>
      </c>
      <c r="M31" s="9" t="s">
        <v>1443</v>
      </c>
      <c r="N31" t="s">
        <v>1415</v>
      </c>
      <c r="O31" s="1">
        <f>NewBusiness7[[#This Row],[Earnings]]/NewBusiness7[[#This Row],[Rate]]</f>
        <v>62.106666666666662</v>
      </c>
      <c r="P31" s="1">
        <f>NewBusiness7[[#This Row],[Column5]]*NewBusiness7[[#This Row],[Rate]]</f>
        <v>46.58</v>
      </c>
    </row>
    <row r="32" spans="1:16" x14ac:dyDescent="0.25">
      <c r="A32" t="s">
        <v>343</v>
      </c>
      <c r="B32" t="s">
        <v>596</v>
      </c>
      <c r="C32" t="s">
        <v>62</v>
      </c>
      <c r="D32" t="s">
        <v>597</v>
      </c>
      <c r="E32" s="4">
        <v>46082</v>
      </c>
      <c r="F32" s="4">
        <v>46204</v>
      </c>
      <c r="G32" s="1">
        <v>402</v>
      </c>
      <c r="H32">
        <v>0.75</v>
      </c>
      <c r="I32" s="1">
        <v>25.12</v>
      </c>
      <c r="J32" t="s">
        <v>322</v>
      </c>
      <c r="K32" t="s">
        <v>1391</v>
      </c>
      <c r="L32" s="9" t="s">
        <v>1434</v>
      </c>
      <c r="M32" s="9" t="s">
        <v>1443</v>
      </c>
      <c r="N32" t="s">
        <v>1415</v>
      </c>
      <c r="O32" s="1">
        <f>NewBusiness7[[#This Row],[Earnings]]/NewBusiness7[[#This Row],[Rate]]</f>
        <v>33.493333333333332</v>
      </c>
      <c r="P32" s="1">
        <f>NewBusiness7[[#This Row],[Column5]]*NewBusiness7[[#This Row],[Rate]]</f>
        <v>25.119999999999997</v>
      </c>
    </row>
    <row r="33" spans="1:16" x14ac:dyDescent="0.25">
      <c r="A33" t="s">
        <v>343</v>
      </c>
      <c r="B33" t="s">
        <v>598</v>
      </c>
      <c r="C33" t="s">
        <v>62</v>
      </c>
      <c r="D33" t="s">
        <v>599</v>
      </c>
      <c r="E33" s="4">
        <v>46038</v>
      </c>
      <c r="F33" s="4">
        <v>46189</v>
      </c>
      <c r="G33" s="1">
        <v>633.89</v>
      </c>
      <c r="H33">
        <v>0.75</v>
      </c>
      <c r="I33" s="1">
        <v>39.619999999999997</v>
      </c>
      <c r="J33" t="s">
        <v>322</v>
      </c>
      <c r="K33" t="s">
        <v>1391</v>
      </c>
      <c r="L33" s="9" t="s">
        <v>1434</v>
      </c>
      <c r="M33" s="9" t="s">
        <v>1443</v>
      </c>
      <c r="N33" t="s">
        <v>1415</v>
      </c>
      <c r="O33" s="1">
        <f>NewBusiness7[[#This Row],[Earnings]]/NewBusiness7[[#This Row],[Rate]]</f>
        <v>52.826666666666661</v>
      </c>
      <c r="P33" s="1">
        <f>NewBusiness7[[#This Row],[Column5]]*NewBusiness7[[#This Row],[Rate]]</f>
        <v>39.619999999999997</v>
      </c>
    </row>
    <row r="34" spans="1:16" x14ac:dyDescent="0.25">
      <c r="A34" t="s">
        <v>309</v>
      </c>
      <c r="B34" t="s">
        <v>310</v>
      </c>
      <c r="C34" t="s">
        <v>32</v>
      </c>
      <c r="D34" t="s">
        <v>311</v>
      </c>
      <c r="E34" s="4">
        <v>45992</v>
      </c>
      <c r="F34" s="4">
        <v>46174</v>
      </c>
      <c r="G34" s="1">
        <v>551.12</v>
      </c>
      <c r="H34">
        <v>0.85</v>
      </c>
      <c r="I34" s="1">
        <v>39.03</v>
      </c>
      <c r="J34" t="s">
        <v>285</v>
      </c>
      <c r="K34" t="s">
        <v>1390</v>
      </c>
      <c r="L34" s="9">
        <v>19491313</v>
      </c>
      <c r="M34" s="9" t="s">
        <v>1443</v>
      </c>
      <c r="N34" t="s">
        <v>1389</v>
      </c>
      <c r="O34" s="1">
        <f>NewBusiness7[[#This Row],[Earnings]]/NewBusiness7[[#This Row],[Rate]]</f>
        <v>45.917647058823533</v>
      </c>
      <c r="P34" s="1">
        <f>NewBusiness7[[#This Row],[Column5]]*NewBusiness7[[#This Row],[Rate]]</f>
        <v>39.03</v>
      </c>
    </row>
    <row r="35" spans="1:16" x14ac:dyDescent="0.25">
      <c r="A35" t="s">
        <v>309</v>
      </c>
      <c r="B35" t="s">
        <v>316</v>
      </c>
      <c r="C35" t="s">
        <v>32</v>
      </c>
      <c r="D35" t="s">
        <v>317</v>
      </c>
      <c r="E35" s="4">
        <v>45992</v>
      </c>
      <c r="F35" s="4">
        <v>46174</v>
      </c>
      <c r="G35" s="1">
        <v>777.28</v>
      </c>
      <c r="H35">
        <v>0.85</v>
      </c>
      <c r="I35" s="1">
        <v>55.05</v>
      </c>
      <c r="J35" t="s">
        <v>285</v>
      </c>
      <c r="K35" t="s">
        <v>1390</v>
      </c>
      <c r="L35" s="9">
        <v>19491313</v>
      </c>
      <c r="M35" s="9" t="s">
        <v>1443</v>
      </c>
      <c r="N35" t="s">
        <v>1389</v>
      </c>
      <c r="O35" s="1">
        <f>NewBusiness7[[#This Row],[Earnings]]/NewBusiness7[[#This Row],[Rate]]</f>
        <v>64.764705882352942</v>
      </c>
      <c r="P35" s="1">
        <f>NewBusiness7[[#This Row],[Column5]]*NewBusiness7[[#This Row],[Rate]]</f>
        <v>55.05</v>
      </c>
    </row>
    <row r="36" spans="1:16" x14ac:dyDescent="0.25">
      <c r="A36" t="s">
        <v>309</v>
      </c>
      <c r="B36" t="s">
        <v>323</v>
      </c>
      <c r="C36" t="s">
        <v>32</v>
      </c>
      <c r="D36" t="s">
        <v>324</v>
      </c>
      <c r="E36" s="4">
        <v>45992</v>
      </c>
      <c r="F36" s="4">
        <v>46174</v>
      </c>
      <c r="G36" s="1">
        <v>551.12</v>
      </c>
      <c r="H36">
        <v>0.85</v>
      </c>
      <c r="I36" s="1">
        <v>39.03</v>
      </c>
      <c r="J36" t="s">
        <v>285</v>
      </c>
      <c r="K36" t="s">
        <v>1390</v>
      </c>
      <c r="L36" s="9">
        <v>19491313</v>
      </c>
      <c r="M36" s="9" t="s">
        <v>1443</v>
      </c>
      <c r="N36" t="s">
        <v>1389</v>
      </c>
      <c r="O36" s="1">
        <f>NewBusiness7[[#This Row],[Earnings]]/NewBusiness7[[#This Row],[Rate]]</f>
        <v>45.917647058823533</v>
      </c>
      <c r="P36" s="1">
        <f>NewBusiness7[[#This Row],[Column5]]*NewBusiness7[[#This Row],[Rate]]</f>
        <v>39.03</v>
      </c>
    </row>
    <row r="37" spans="1:16" x14ac:dyDescent="0.25">
      <c r="A37" t="s">
        <v>309</v>
      </c>
      <c r="B37" t="s">
        <v>340</v>
      </c>
      <c r="C37" t="s">
        <v>32</v>
      </c>
      <c r="D37" t="s">
        <v>341</v>
      </c>
      <c r="E37" s="4">
        <v>45992</v>
      </c>
      <c r="F37" s="4">
        <v>46174</v>
      </c>
      <c r="G37" s="1">
        <v>551.12</v>
      </c>
      <c r="H37">
        <v>0.85</v>
      </c>
      <c r="I37" s="1">
        <v>39.03</v>
      </c>
      <c r="J37" t="s">
        <v>285</v>
      </c>
      <c r="K37" t="s">
        <v>1390</v>
      </c>
      <c r="L37" s="9">
        <v>19491313</v>
      </c>
      <c r="M37" s="9" t="s">
        <v>1443</v>
      </c>
      <c r="N37" t="s">
        <v>1396</v>
      </c>
      <c r="O37" s="1">
        <f>NewBusiness7[[#This Row],[Earnings]]/NewBusiness7[[#This Row],[Rate]]</f>
        <v>45.917647058823533</v>
      </c>
      <c r="P37" s="1">
        <f>NewBusiness7[[#This Row],[Column5]]*NewBusiness7[[#This Row],[Rate]]</f>
        <v>39.03</v>
      </c>
    </row>
    <row r="38" spans="1:16" x14ac:dyDescent="0.25">
      <c r="A38" t="s">
        <v>309</v>
      </c>
      <c r="B38" t="s">
        <v>348</v>
      </c>
      <c r="C38" t="s">
        <v>32</v>
      </c>
      <c r="D38" t="s">
        <v>349</v>
      </c>
      <c r="E38" s="4">
        <v>45992</v>
      </c>
      <c r="F38" s="4">
        <v>46204</v>
      </c>
      <c r="G38" s="1">
        <v>551.12</v>
      </c>
      <c r="H38">
        <v>0.85</v>
      </c>
      <c r="I38" s="1">
        <v>39.03</v>
      </c>
      <c r="J38" t="s">
        <v>285</v>
      </c>
      <c r="K38" t="s">
        <v>1390</v>
      </c>
      <c r="L38" s="9">
        <v>19491313</v>
      </c>
      <c r="M38" s="9" t="s">
        <v>1443</v>
      </c>
      <c r="N38" t="s">
        <v>1389</v>
      </c>
      <c r="O38" s="1">
        <f>NewBusiness7[[#This Row],[Earnings]]/NewBusiness7[[#This Row],[Rate]]</f>
        <v>45.917647058823533</v>
      </c>
      <c r="P38" s="1">
        <f>NewBusiness7[[#This Row],[Column5]]*NewBusiness7[[#This Row],[Rate]]</f>
        <v>39.03</v>
      </c>
    </row>
    <row r="39" spans="1:16" x14ac:dyDescent="0.25">
      <c r="A39" t="s">
        <v>309</v>
      </c>
      <c r="B39" t="s">
        <v>350</v>
      </c>
      <c r="C39" t="s">
        <v>32</v>
      </c>
      <c r="D39" t="s">
        <v>351</v>
      </c>
      <c r="E39" s="4">
        <v>45992</v>
      </c>
      <c r="F39" s="4">
        <v>46174</v>
      </c>
      <c r="G39" s="1">
        <v>551.12</v>
      </c>
      <c r="H39">
        <v>0.85</v>
      </c>
      <c r="I39" s="1">
        <v>39.03</v>
      </c>
      <c r="J39" t="s">
        <v>285</v>
      </c>
      <c r="K39" t="s">
        <v>1390</v>
      </c>
      <c r="L39" s="9">
        <v>19491313</v>
      </c>
      <c r="M39" s="9" t="s">
        <v>1443</v>
      </c>
      <c r="N39" t="s">
        <v>1389</v>
      </c>
      <c r="O39" s="1">
        <f>NewBusiness7[[#This Row],[Earnings]]/NewBusiness7[[#This Row],[Rate]]</f>
        <v>45.917647058823533</v>
      </c>
      <c r="P39" s="1">
        <f>NewBusiness7[[#This Row],[Column5]]*NewBusiness7[[#This Row],[Rate]]</f>
        <v>39.03</v>
      </c>
    </row>
    <row r="40" spans="1:16" x14ac:dyDescent="0.25">
      <c r="A40" t="s">
        <v>309</v>
      </c>
      <c r="B40" t="s">
        <v>358</v>
      </c>
      <c r="C40" t="s">
        <v>32</v>
      </c>
      <c r="D40" t="s">
        <v>359</v>
      </c>
      <c r="E40" s="4">
        <v>45962</v>
      </c>
      <c r="F40" s="4">
        <v>46174</v>
      </c>
      <c r="G40" s="1">
        <v>551.12</v>
      </c>
      <c r="H40">
        <v>0.85</v>
      </c>
      <c r="I40" s="1">
        <v>39.03</v>
      </c>
      <c r="J40" t="s">
        <v>285</v>
      </c>
      <c r="K40" t="s">
        <v>1390</v>
      </c>
      <c r="L40" s="9">
        <v>19491313</v>
      </c>
      <c r="M40" s="9" t="s">
        <v>1443</v>
      </c>
      <c r="N40" t="s">
        <v>1389</v>
      </c>
      <c r="O40" s="1">
        <f>NewBusiness7[[#This Row],[Earnings]]/NewBusiness7[[#This Row],[Rate]]</f>
        <v>45.917647058823533</v>
      </c>
      <c r="P40" s="1">
        <f>NewBusiness7[[#This Row],[Column5]]*NewBusiness7[[#This Row],[Rate]]</f>
        <v>39.03</v>
      </c>
    </row>
    <row r="41" spans="1:16" x14ac:dyDescent="0.25">
      <c r="A41" t="s">
        <v>309</v>
      </c>
      <c r="B41" t="s">
        <v>387</v>
      </c>
      <c r="C41" t="s">
        <v>32</v>
      </c>
      <c r="D41" t="s">
        <v>388</v>
      </c>
      <c r="E41" s="4">
        <v>45960</v>
      </c>
      <c r="F41" s="4">
        <v>46203</v>
      </c>
      <c r="G41" s="1">
        <v>551.12</v>
      </c>
      <c r="H41">
        <v>0.85</v>
      </c>
      <c r="I41" s="1">
        <v>39.03</v>
      </c>
      <c r="J41" t="s">
        <v>285</v>
      </c>
      <c r="K41" t="s">
        <v>1390</v>
      </c>
      <c r="L41" s="9">
        <v>19491313</v>
      </c>
      <c r="M41" s="9" t="s">
        <v>1443</v>
      </c>
      <c r="N41" t="s">
        <v>1389</v>
      </c>
      <c r="O41" s="1">
        <f>NewBusiness7[[#This Row],[Earnings]]/NewBusiness7[[#This Row],[Rate]]</f>
        <v>45.917647058823533</v>
      </c>
      <c r="P41" s="1">
        <f>NewBusiness7[[#This Row],[Column5]]*NewBusiness7[[#This Row],[Rate]]</f>
        <v>39.03</v>
      </c>
    </row>
    <row r="42" spans="1:16" x14ac:dyDescent="0.25">
      <c r="A42" t="s">
        <v>309</v>
      </c>
      <c r="B42" t="s">
        <v>395</v>
      </c>
      <c r="C42" t="s">
        <v>32</v>
      </c>
      <c r="D42" t="s">
        <v>396</v>
      </c>
      <c r="E42" s="4">
        <v>45992</v>
      </c>
      <c r="F42" s="4">
        <v>46174</v>
      </c>
      <c r="G42" s="1">
        <v>551.12</v>
      </c>
      <c r="H42">
        <v>0.85</v>
      </c>
      <c r="I42" s="1">
        <v>39.03</v>
      </c>
      <c r="J42" t="s">
        <v>285</v>
      </c>
      <c r="K42" t="s">
        <v>1390</v>
      </c>
      <c r="L42" s="9">
        <v>19491313</v>
      </c>
      <c r="M42" s="9" t="s">
        <v>1443</v>
      </c>
      <c r="N42" t="s">
        <v>1389</v>
      </c>
      <c r="O42" s="1">
        <f>NewBusiness7[[#This Row],[Earnings]]/NewBusiness7[[#This Row],[Rate]]</f>
        <v>45.917647058823533</v>
      </c>
      <c r="P42" s="1">
        <f>NewBusiness7[[#This Row],[Column5]]*NewBusiness7[[#This Row],[Rate]]</f>
        <v>39.03</v>
      </c>
    </row>
    <row r="43" spans="1:16" x14ac:dyDescent="0.25">
      <c r="A43" t="s">
        <v>309</v>
      </c>
      <c r="B43" t="s">
        <v>444</v>
      </c>
      <c r="C43" t="s">
        <v>32</v>
      </c>
      <c r="D43" t="s">
        <v>445</v>
      </c>
      <c r="E43" s="4">
        <v>45962</v>
      </c>
      <c r="F43" s="4">
        <v>46174</v>
      </c>
      <c r="G43" s="1">
        <v>592.61</v>
      </c>
      <c r="H43">
        <v>0.85</v>
      </c>
      <c r="I43" s="1">
        <v>41.97</v>
      </c>
      <c r="J43" t="s">
        <v>285</v>
      </c>
      <c r="K43" t="s">
        <v>1390</v>
      </c>
      <c r="L43" s="9">
        <v>19491313</v>
      </c>
      <c r="M43" s="9" t="s">
        <v>1443</v>
      </c>
      <c r="N43" t="s">
        <v>1389</v>
      </c>
      <c r="O43" s="1">
        <f>NewBusiness7[[#This Row],[Earnings]]/NewBusiness7[[#This Row],[Rate]]</f>
        <v>49.376470588235293</v>
      </c>
      <c r="P43" s="1">
        <f>NewBusiness7[[#This Row],[Column5]]*NewBusiness7[[#This Row],[Rate]]</f>
        <v>41.97</v>
      </c>
    </row>
    <row r="44" spans="1:16" x14ac:dyDescent="0.25">
      <c r="A44" t="s">
        <v>309</v>
      </c>
      <c r="B44" t="s">
        <v>446</v>
      </c>
      <c r="C44" t="s">
        <v>32</v>
      </c>
      <c r="D44" t="s">
        <v>447</v>
      </c>
      <c r="E44" s="4">
        <v>45992</v>
      </c>
      <c r="F44" s="4">
        <v>46174</v>
      </c>
      <c r="G44" s="1">
        <v>592.61</v>
      </c>
      <c r="H44">
        <v>0.85</v>
      </c>
      <c r="I44" s="1">
        <v>41.97</v>
      </c>
      <c r="J44" t="s">
        <v>285</v>
      </c>
      <c r="K44" t="s">
        <v>1390</v>
      </c>
      <c r="L44" s="9">
        <v>19491313</v>
      </c>
      <c r="M44" s="9" t="s">
        <v>1443</v>
      </c>
      <c r="N44" t="s">
        <v>1396</v>
      </c>
      <c r="O44" s="1">
        <f>NewBusiness7[[#This Row],[Earnings]]/NewBusiness7[[#This Row],[Rate]]</f>
        <v>49.376470588235293</v>
      </c>
      <c r="P44" s="1">
        <f>NewBusiness7[[#This Row],[Column5]]*NewBusiness7[[#This Row],[Rate]]</f>
        <v>41.97</v>
      </c>
    </row>
    <row r="45" spans="1:16" x14ac:dyDescent="0.25">
      <c r="A45" t="s">
        <v>309</v>
      </c>
      <c r="B45" t="s">
        <v>458</v>
      </c>
      <c r="C45" t="s">
        <v>32</v>
      </c>
      <c r="D45" t="s">
        <v>459</v>
      </c>
      <c r="E45" s="4">
        <v>45960</v>
      </c>
      <c r="F45" s="4">
        <v>46203</v>
      </c>
      <c r="G45" s="1">
        <v>551.12</v>
      </c>
      <c r="H45">
        <v>0.85</v>
      </c>
      <c r="I45" s="1">
        <v>39.03</v>
      </c>
      <c r="J45" t="s">
        <v>285</v>
      </c>
      <c r="K45" t="s">
        <v>1390</v>
      </c>
      <c r="L45" s="9">
        <v>19491313</v>
      </c>
      <c r="M45" s="9" t="s">
        <v>1443</v>
      </c>
      <c r="N45" t="s">
        <v>1389</v>
      </c>
      <c r="O45" s="1">
        <f>NewBusiness7[[#This Row],[Earnings]]/NewBusiness7[[#This Row],[Rate]]</f>
        <v>45.917647058823533</v>
      </c>
      <c r="P45" s="1">
        <f>NewBusiness7[[#This Row],[Column5]]*NewBusiness7[[#This Row],[Rate]]</f>
        <v>39.03</v>
      </c>
    </row>
    <row r="46" spans="1:16" x14ac:dyDescent="0.25">
      <c r="A46" t="s">
        <v>309</v>
      </c>
      <c r="B46" t="s">
        <v>464</v>
      </c>
      <c r="C46" t="s">
        <v>32</v>
      </c>
      <c r="D46" t="s">
        <v>465</v>
      </c>
      <c r="E46" s="4">
        <v>45962</v>
      </c>
      <c r="F46" s="4">
        <v>46174</v>
      </c>
      <c r="G46" s="1">
        <v>551.12</v>
      </c>
      <c r="H46">
        <v>0.85</v>
      </c>
      <c r="I46" s="1">
        <v>39.03</v>
      </c>
      <c r="J46" t="s">
        <v>285</v>
      </c>
      <c r="K46" t="s">
        <v>1390</v>
      </c>
      <c r="L46" s="9">
        <v>19491313</v>
      </c>
      <c r="M46" s="9" t="s">
        <v>1443</v>
      </c>
      <c r="N46" t="s">
        <v>1389</v>
      </c>
      <c r="O46" s="1">
        <f>NewBusiness7[[#This Row],[Earnings]]/NewBusiness7[[#This Row],[Rate]]</f>
        <v>45.917647058823533</v>
      </c>
      <c r="P46" s="1">
        <f>NewBusiness7[[#This Row],[Column5]]*NewBusiness7[[#This Row],[Rate]]</f>
        <v>39.03</v>
      </c>
    </row>
    <row r="47" spans="1:16" x14ac:dyDescent="0.25">
      <c r="A47" t="s">
        <v>309</v>
      </c>
      <c r="B47" t="s">
        <v>468</v>
      </c>
      <c r="C47" t="s">
        <v>32</v>
      </c>
      <c r="D47" t="s">
        <v>469</v>
      </c>
      <c r="E47" s="4">
        <v>45962</v>
      </c>
      <c r="F47" s="4">
        <v>46174</v>
      </c>
      <c r="G47" s="1">
        <v>592.61</v>
      </c>
      <c r="H47">
        <v>0.85</v>
      </c>
      <c r="I47" s="1">
        <v>41.97</v>
      </c>
      <c r="J47" t="s">
        <v>285</v>
      </c>
      <c r="K47" t="s">
        <v>1390</v>
      </c>
      <c r="L47" s="9">
        <v>19491313</v>
      </c>
      <c r="M47" s="9" t="s">
        <v>1443</v>
      </c>
      <c r="N47" t="s">
        <v>1389</v>
      </c>
      <c r="O47" s="1">
        <f>NewBusiness7[[#This Row],[Earnings]]/NewBusiness7[[#This Row],[Rate]]</f>
        <v>49.376470588235293</v>
      </c>
      <c r="P47" s="1">
        <f>NewBusiness7[[#This Row],[Column5]]*NewBusiness7[[#This Row],[Rate]]</f>
        <v>41.97</v>
      </c>
    </row>
    <row r="48" spans="1:16" x14ac:dyDescent="0.25">
      <c r="A48" t="s">
        <v>309</v>
      </c>
      <c r="B48" t="s">
        <v>526</v>
      </c>
      <c r="C48" t="s">
        <v>32</v>
      </c>
      <c r="D48" t="s">
        <v>527</v>
      </c>
      <c r="E48" s="4">
        <v>46023</v>
      </c>
      <c r="F48" s="4">
        <v>46174</v>
      </c>
      <c r="G48" s="1">
        <v>417.01</v>
      </c>
      <c r="H48">
        <v>0.85</v>
      </c>
      <c r="I48" s="1">
        <v>29.54</v>
      </c>
      <c r="J48" t="s">
        <v>285</v>
      </c>
      <c r="K48" t="s">
        <v>1390</v>
      </c>
      <c r="L48" s="9">
        <v>19491313</v>
      </c>
      <c r="M48" s="9" t="s">
        <v>1443</v>
      </c>
      <c r="N48" t="s">
        <v>1389</v>
      </c>
      <c r="O48" s="1">
        <f>NewBusiness7[[#This Row],[Earnings]]/NewBusiness7[[#This Row],[Rate]]</f>
        <v>34.752941176470586</v>
      </c>
      <c r="P48" s="1">
        <f>NewBusiness7[[#This Row],[Column5]]*NewBusiness7[[#This Row],[Rate]]</f>
        <v>29.539999999999996</v>
      </c>
    </row>
    <row r="49" spans="1:16" x14ac:dyDescent="0.25">
      <c r="A49" t="s">
        <v>309</v>
      </c>
      <c r="B49" t="s">
        <v>625</v>
      </c>
      <c r="C49" t="s">
        <v>32</v>
      </c>
      <c r="D49" t="s">
        <v>626</v>
      </c>
      <c r="E49" s="4">
        <v>46058</v>
      </c>
      <c r="F49" s="4">
        <v>46178</v>
      </c>
      <c r="G49" s="1">
        <v>293.39</v>
      </c>
      <c r="H49">
        <v>0.85</v>
      </c>
      <c r="I49" s="1">
        <v>20.78</v>
      </c>
      <c r="J49" t="s">
        <v>285</v>
      </c>
      <c r="K49" t="s">
        <v>1390</v>
      </c>
      <c r="L49" s="9">
        <v>19491313</v>
      </c>
      <c r="M49" s="9" t="s">
        <v>1443</v>
      </c>
      <c r="N49" t="s">
        <v>1389</v>
      </c>
      <c r="O49" s="1">
        <f>NewBusiness7[[#This Row],[Earnings]]/NewBusiness7[[#This Row],[Rate]]</f>
        <v>24.447058823529414</v>
      </c>
      <c r="P49" s="1">
        <f>NewBusiness7[[#This Row],[Column5]]*NewBusiness7[[#This Row],[Rate]]</f>
        <v>20.78</v>
      </c>
    </row>
    <row r="50" spans="1:16" x14ac:dyDescent="0.25">
      <c r="A50" t="s">
        <v>309</v>
      </c>
      <c r="B50" t="s">
        <v>641</v>
      </c>
      <c r="C50" t="s">
        <v>32</v>
      </c>
      <c r="D50" t="s">
        <v>642</v>
      </c>
      <c r="E50" s="4">
        <v>46058</v>
      </c>
      <c r="F50" s="4">
        <v>46178</v>
      </c>
      <c r="G50" s="1">
        <v>417.01</v>
      </c>
      <c r="H50">
        <v>0.85</v>
      </c>
      <c r="I50" s="1">
        <v>29.54</v>
      </c>
      <c r="J50" t="s">
        <v>285</v>
      </c>
      <c r="K50" t="s">
        <v>1390</v>
      </c>
      <c r="L50" s="9">
        <v>19491313</v>
      </c>
      <c r="M50" s="9" t="s">
        <v>1443</v>
      </c>
      <c r="N50" t="s">
        <v>1389</v>
      </c>
      <c r="O50" s="1">
        <f>NewBusiness7[[#This Row],[Earnings]]/NewBusiness7[[#This Row],[Rate]]</f>
        <v>34.752941176470586</v>
      </c>
      <c r="P50" s="1">
        <f>NewBusiness7[[#This Row],[Column5]]*NewBusiness7[[#This Row],[Rate]]</f>
        <v>29.539999999999996</v>
      </c>
    </row>
    <row r="51" spans="1:16" x14ac:dyDescent="0.25">
      <c r="A51" t="s">
        <v>309</v>
      </c>
      <c r="B51" t="s">
        <v>643</v>
      </c>
      <c r="C51" t="s">
        <v>32</v>
      </c>
      <c r="D51" t="s">
        <v>644</v>
      </c>
      <c r="E51" s="4">
        <v>46082</v>
      </c>
      <c r="F51" s="4">
        <v>46174</v>
      </c>
      <c r="G51" s="1">
        <v>592.61</v>
      </c>
      <c r="H51">
        <v>0.85</v>
      </c>
      <c r="I51" s="1">
        <v>41.97</v>
      </c>
      <c r="J51" t="s">
        <v>285</v>
      </c>
      <c r="K51" t="s">
        <v>1390</v>
      </c>
      <c r="L51" s="9">
        <v>19491313</v>
      </c>
      <c r="M51" s="9" t="s">
        <v>1443</v>
      </c>
      <c r="N51" t="s">
        <v>1389</v>
      </c>
      <c r="O51" s="1">
        <f>NewBusiness7[[#This Row],[Earnings]]/NewBusiness7[[#This Row],[Rate]]</f>
        <v>49.376470588235293</v>
      </c>
      <c r="P51" s="1">
        <f>NewBusiness7[[#This Row],[Column5]]*NewBusiness7[[#This Row],[Rate]]</f>
        <v>41.97</v>
      </c>
    </row>
    <row r="52" spans="1:16" x14ac:dyDescent="0.25">
      <c r="A52" t="s">
        <v>309</v>
      </c>
      <c r="B52" t="s">
        <v>645</v>
      </c>
      <c r="C52" t="s">
        <v>32</v>
      </c>
      <c r="D52" t="s">
        <v>646</v>
      </c>
      <c r="E52" s="4">
        <v>46082</v>
      </c>
      <c r="F52" s="4">
        <v>46174</v>
      </c>
      <c r="G52" s="1">
        <v>592.61</v>
      </c>
      <c r="H52">
        <v>0.85</v>
      </c>
      <c r="I52" s="1">
        <v>41.97</v>
      </c>
      <c r="J52" t="s">
        <v>285</v>
      </c>
      <c r="K52" t="s">
        <v>1390</v>
      </c>
      <c r="L52" s="9">
        <v>19491313</v>
      </c>
      <c r="M52" s="9" t="s">
        <v>1443</v>
      </c>
      <c r="N52" t="s">
        <v>1389</v>
      </c>
      <c r="O52" s="1">
        <f>NewBusiness7[[#This Row],[Earnings]]/NewBusiness7[[#This Row],[Rate]]</f>
        <v>49.376470588235293</v>
      </c>
      <c r="P52" s="1">
        <f>NewBusiness7[[#This Row],[Column5]]*NewBusiness7[[#This Row],[Rate]]</f>
        <v>41.97</v>
      </c>
    </row>
    <row r="53" spans="1:16" x14ac:dyDescent="0.25">
      <c r="A53" t="s">
        <v>309</v>
      </c>
      <c r="B53" t="s">
        <v>668</v>
      </c>
      <c r="C53" t="s">
        <v>32</v>
      </c>
      <c r="D53" t="s">
        <v>669</v>
      </c>
      <c r="E53" s="4">
        <v>46113</v>
      </c>
      <c r="F53" s="4">
        <v>46174</v>
      </c>
      <c r="G53" s="1">
        <v>551.12</v>
      </c>
      <c r="H53">
        <v>0.85</v>
      </c>
      <c r="I53" s="1">
        <v>39.03</v>
      </c>
      <c r="J53" t="s">
        <v>285</v>
      </c>
      <c r="K53" t="s">
        <v>1390</v>
      </c>
      <c r="L53" s="9">
        <v>19491313</v>
      </c>
      <c r="M53" s="9" t="s">
        <v>1443</v>
      </c>
      <c r="N53" t="s">
        <v>1389</v>
      </c>
      <c r="O53" s="1">
        <f>NewBusiness7[[#This Row],[Earnings]]/NewBusiness7[[#This Row],[Rate]]</f>
        <v>45.917647058823533</v>
      </c>
      <c r="P53" s="1">
        <f>NewBusiness7[[#This Row],[Column5]]*NewBusiness7[[#This Row],[Rate]]</f>
        <v>39.03</v>
      </c>
    </row>
    <row r="54" spans="1:16" x14ac:dyDescent="0.25">
      <c r="A54" t="s">
        <v>309</v>
      </c>
      <c r="B54" t="s">
        <v>676</v>
      </c>
      <c r="C54" t="s">
        <v>32</v>
      </c>
      <c r="D54" t="s">
        <v>677</v>
      </c>
      <c r="E54" s="4">
        <v>46113</v>
      </c>
      <c r="F54" s="4">
        <v>46174</v>
      </c>
      <c r="G54" s="1">
        <v>338.91</v>
      </c>
      <c r="H54">
        <v>0.85</v>
      </c>
      <c r="I54" s="1">
        <v>24</v>
      </c>
      <c r="J54" t="s">
        <v>285</v>
      </c>
      <c r="K54" t="s">
        <v>1390</v>
      </c>
      <c r="L54" s="9">
        <v>19491313</v>
      </c>
      <c r="M54" s="9" t="s">
        <v>1443</v>
      </c>
      <c r="N54" t="s">
        <v>1389</v>
      </c>
      <c r="O54" s="1">
        <f>NewBusiness7[[#This Row],[Earnings]]/NewBusiness7[[#This Row],[Rate]]</f>
        <v>28.235294117647058</v>
      </c>
      <c r="P54" s="1">
        <f>NewBusiness7[[#This Row],[Column5]]*NewBusiness7[[#This Row],[Rate]]</f>
        <v>24</v>
      </c>
    </row>
    <row r="55" spans="1:16" x14ac:dyDescent="0.25">
      <c r="A55" t="s">
        <v>309</v>
      </c>
      <c r="B55" t="s">
        <v>704</v>
      </c>
      <c r="C55" t="s">
        <v>32</v>
      </c>
      <c r="D55" t="s">
        <v>705</v>
      </c>
      <c r="E55" s="4">
        <v>46120</v>
      </c>
      <c r="F55" s="4">
        <v>46181</v>
      </c>
      <c r="G55" s="1">
        <v>551.12</v>
      </c>
      <c r="H55">
        <v>0.85</v>
      </c>
      <c r="I55" s="1">
        <v>39.03</v>
      </c>
      <c r="J55" t="s">
        <v>285</v>
      </c>
      <c r="K55" t="s">
        <v>1390</v>
      </c>
      <c r="L55" s="9">
        <v>19491313</v>
      </c>
      <c r="M55" s="9" t="s">
        <v>1443</v>
      </c>
      <c r="N55" t="s">
        <v>1389</v>
      </c>
      <c r="O55" s="1">
        <f>NewBusiness7[[#This Row],[Earnings]]/NewBusiness7[[#This Row],[Rate]]</f>
        <v>45.917647058823533</v>
      </c>
      <c r="P55" s="1">
        <f>NewBusiness7[[#This Row],[Column5]]*NewBusiness7[[#This Row],[Rate]]</f>
        <v>39.03</v>
      </c>
    </row>
    <row r="56" spans="1:16" x14ac:dyDescent="0.25">
      <c r="A56" t="s">
        <v>309</v>
      </c>
      <c r="B56" t="s">
        <v>710</v>
      </c>
      <c r="C56" t="s">
        <v>32</v>
      </c>
      <c r="D56" t="s">
        <v>711</v>
      </c>
      <c r="E56" s="4">
        <v>46123</v>
      </c>
      <c r="F56" s="4">
        <v>46184</v>
      </c>
      <c r="G56" s="1">
        <v>448.39</v>
      </c>
      <c r="H56">
        <v>0.85</v>
      </c>
      <c r="I56" s="1">
        <v>31.76</v>
      </c>
      <c r="J56" t="s">
        <v>285</v>
      </c>
      <c r="K56" t="s">
        <v>1390</v>
      </c>
      <c r="L56" s="9">
        <v>19491313</v>
      </c>
      <c r="M56" s="9" t="s">
        <v>1443</v>
      </c>
      <c r="N56" t="s">
        <v>1389</v>
      </c>
      <c r="O56" s="1">
        <f>NewBusiness7[[#This Row],[Earnings]]/NewBusiness7[[#This Row],[Rate]]</f>
        <v>37.364705882352943</v>
      </c>
      <c r="P56" s="1">
        <f>NewBusiness7[[#This Row],[Column5]]*NewBusiness7[[#This Row],[Rate]]</f>
        <v>31.76</v>
      </c>
    </row>
    <row r="57" spans="1:16" x14ac:dyDescent="0.25">
      <c r="A57" t="s">
        <v>309</v>
      </c>
      <c r="B57" t="s">
        <v>554</v>
      </c>
      <c r="C57" t="s">
        <v>165</v>
      </c>
      <c r="D57" t="s">
        <v>555</v>
      </c>
      <c r="E57" s="4">
        <v>46023</v>
      </c>
      <c r="F57" s="4">
        <v>46174</v>
      </c>
      <c r="G57" s="1">
        <v>1147.5</v>
      </c>
      <c r="H57">
        <v>1.1000000000000001</v>
      </c>
      <c r="I57" s="1">
        <v>105.18</v>
      </c>
      <c r="J57" t="s">
        <v>285</v>
      </c>
      <c r="K57" t="s">
        <v>1388</v>
      </c>
      <c r="L57" s="9">
        <v>19491313</v>
      </c>
      <c r="M57" s="9" t="s">
        <v>1443</v>
      </c>
      <c r="N57" t="s">
        <v>1389</v>
      </c>
      <c r="O57" s="1">
        <f>NewBusiness7[[#This Row],[Earnings]]/NewBusiness7[[#This Row],[Rate]]</f>
        <v>95.61818181818181</v>
      </c>
      <c r="P57" s="1">
        <f>NewBusiness7[[#This Row],[Column5]]*NewBusiness7[[#This Row],[Rate]]</f>
        <v>105.17999999999999</v>
      </c>
    </row>
    <row r="58" spans="1:16" x14ac:dyDescent="0.25">
      <c r="A58" t="s">
        <v>309</v>
      </c>
      <c r="B58" t="s">
        <v>556</v>
      </c>
      <c r="C58" t="s">
        <v>165</v>
      </c>
      <c r="D58" t="s">
        <v>557</v>
      </c>
      <c r="E58" s="4">
        <v>46023</v>
      </c>
      <c r="F58" s="4">
        <v>46174</v>
      </c>
      <c r="G58" s="1">
        <v>930</v>
      </c>
      <c r="H58">
        <v>1.1000000000000001</v>
      </c>
      <c r="I58" s="1">
        <v>85.25</v>
      </c>
      <c r="J58" t="s">
        <v>285</v>
      </c>
      <c r="K58" t="s">
        <v>1388</v>
      </c>
      <c r="L58" s="9">
        <v>19491313</v>
      </c>
      <c r="M58" s="9" t="s">
        <v>1443</v>
      </c>
      <c r="N58" t="s">
        <v>1389</v>
      </c>
      <c r="O58" s="1">
        <f>NewBusiness7[[#This Row],[Earnings]]/NewBusiness7[[#This Row],[Rate]]</f>
        <v>77.5</v>
      </c>
      <c r="P58" s="1">
        <f>NewBusiness7[[#This Row],[Column5]]*NewBusiness7[[#This Row],[Rate]]</f>
        <v>85.25</v>
      </c>
    </row>
    <row r="59" spans="1:16" x14ac:dyDescent="0.25">
      <c r="A59" t="s">
        <v>335</v>
      </c>
      <c r="B59" t="s">
        <v>538</v>
      </c>
      <c r="C59" t="s">
        <v>62</v>
      </c>
      <c r="D59" t="s">
        <v>539</v>
      </c>
      <c r="E59" s="4">
        <v>45995</v>
      </c>
      <c r="F59" s="4">
        <v>46207</v>
      </c>
      <c r="G59" s="1">
        <v>792</v>
      </c>
      <c r="H59">
        <v>0.8</v>
      </c>
      <c r="I59" s="1">
        <v>52.8</v>
      </c>
      <c r="J59" t="s">
        <v>34</v>
      </c>
      <c r="K59" t="s">
        <v>1395</v>
      </c>
      <c r="L59" s="9" t="s">
        <v>1433</v>
      </c>
      <c r="M59" s="9" t="s">
        <v>1443</v>
      </c>
      <c r="N59" t="s">
        <v>1389</v>
      </c>
      <c r="O59" s="1">
        <f>NewBusiness7[[#This Row],[Earnings]]/NewBusiness7[[#This Row],[Rate]]</f>
        <v>65.999999999999986</v>
      </c>
      <c r="P59" s="1">
        <f>NewBusiness7[[#This Row],[Column5]]*NewBusiness7[[#This Row],[Rate]]</f>
        <v>52.79999999999999</v>
      </c>
    </row>
    <row r="60" spans="1:16" x14ac:dyDescent="0.25">
      <c r="A60" t="s">
        <v>335</v>
      </c>
      <c r="B60" t="s">
        <v>336</v>
      </c>
      <c r="C60" t="s">
        <v>32</v>
      </c>
      <c r="D60" t="s">
        <v>337</v>
      </c>
      <c r="E60" s="4">
        <v>45970</v>
      </c>
      <c r="F60" s="4">
        <v>46212</v>
      </c>
      <c r="G60" s="1">
        <v>338.91</v>
      </c>
      <c r="H60">
        <v>0.85</v>
      </c>
      <c r="I60" s="1">
        <v>24</v>
      </c>
      <c r="J60" t="s">
        <v>34</v>
      </c>
      <c r="K60" t="s">
        <v>1390</v>
      </c>
      <c r="L60" s="9" t="s">
        <v>1433</v>
      </c>
      <c r="M60" s="9" t="s">
        <v>1443</v>
      </c>
      <c r="N60" t="s">
        <v>1389</v>
      </c>
      <c r="O60" s="1">
        <f>NewBusiness7[[#This Row],[Earnings]]/NewBusiness7[[#This Row],[Rate]]</f>
        <v>28.235294117647058</v>
      </c>
      <c r="P60" s="1">
        <f>NewBusiness7[[#This Row],[Column5]]*NewBusiness7[[#This Row],[Rate]]</f>
        <v>24</v>
      </c>
    </row>
    <row r="61" spans="1:16" x14ac:dyDescent="0.25">
      <c r="A61" t="s">
        <v>335</v>
      </c>
      <c r="B61" t="s">
        <v>436</v>
      </c>
      <c r="C61" t="s">
        <v>32</v>
      </c>
      <c r="D61" t="s">
        <v>437</v>
      </c>
      <c r="E61" s="4">
        <v>45962</v>
      </c>
      <c r="F61" s="4">
        <v>46235</v>
      </c>
      <c r="G61" s="1">
        <v>448.39</v>
      </c>
      <c r="H61">
        <v>0.85</v>
      </c>
      <c r="I61" s="1">
        <v>95.28</v>
      </c>
      <c r="J61" t="s">
        <v>34</v>
      </c>
      <c r="K61" t="s">
        <v>1390</v>
      </c>
      <c r="L61" s="9" t="s">
        <v>1436</v>
      </c>
      <c r="M61" s="9" t="s">
        <v>1443</v>
      </c>
      <c r="N61" t="s">
        <v>1389</v>
      </c>
      <c r="O61" s="1">
        <f>NewBusiness7[[#This Row],[Earnings]]/NewBusiness7[[#This Row],[Rate]]</f>
        <v>112.09411764705882</v>
      </c>
      <c r="P61" s="1">
        <f>NewBusiness7[[#This Row],[Column5]]*NewBusiness7[[#This Row],[Rate]]</f>
        <v>95.28</v>
      </c>
    </row>
    <row r="62" spans="1:16" x14ac:dyDescent="0.25">
      <c r="A62" t="s">
        <v>335</v>
      </c>
      <c r="B62" t="s">
        <v>497</v>
      </c>
      <c r="C62" t="s">
        <v>32</v>
      </c>
      <c r="D62" t="s">
        <v>498</v>
      </c>
      <c r="E62" s="4">
        <v>46023</v>
      </c>
      <c r="F62" s="4">
        <v>46174</v>
      </c>
      <c r="G62" s="1">
        <v>417.01</v>
      </c>
      <c r="H62">
        <v>0.85</v>
      </c>
      <c r="I62" s="1">
        <v>29.54</v>
      </c>
      <c r="J62" t="s">
        <v>34</v>
      </c>
      <c r="K62" t="s">
        <v>1390</v>
      </c>
      <c r="L62" s="9" t="s">
        <v>1433</v>
      </c>
      <c r="M62" s="9" t="s">
        <v>1443</v>
      </c>
      <c r="N62" t="s">
        <v>1389</v>
      </c>
      <c r="O62" s="1">
        <f>NewBusiness7[[#This Row],[Earnings]]/NewBusiness7[[#This Row],[Rate]]</f>
        <v>34.752941176470586</v>
      </c>
      <c r="P62" s="1">
        <f>NewBusiness7[[#This Row],[Column5]]*NewBusiness7[[#This Row],[Rate]]</f>
        <v>29.539999999999996</v>
      </c>
    </row>
    <row r="63" spans="1:16" x14ac:dyDescent="0.25">
      <c r="A63" t="s">
        <v>685</v>
      </c>
      <c r="B63" t="s">
        <v>686</v>
      </c>
      <c r="C63" t="s">
        <v>165</v>
      </c>
      <c r="D63" t="s">
        <v>687</v>
      </c>
      <c r="E63" s="4">
        <v>46101</v>
      </c>
      <c r="F63" s="4">
        <v>46193</v>
      </c>
      <c r="G63" s="1">
        <v>3075.6</v>
      </c>
      <c r="H63">
        <v>1.1000000000000001</v>
      </c>
      <c r="I63" s="1">
        <v>281.93</v>
      </c>
      <c r="J63" t="s">
        <v>688</v>
      </c>
      <c r="K63" t="s">
        <v>1388</v>
      </c>
      <c r="L63" s="9" t="s">
        <v>1440</v>
      </c>
      <c r="M63" s="9" t="s">
        <v>1443</v>
      </c>
      <c r="N63" t="s">
        <v>1415</v>
      </c>
      <c r="O63" s="1">
        <f>NewBusiness7[[#This Row],[Earnings]]/NewBusiness7[[#This Row],[Rate]]</f>
        <v>256.3</v>
      </c>
      <c r="P63" s="1">
        <f>NewBusiness7[[#This Row],[Column5]]*NewBusiness7[[#This Row],[Rate]]</f>
        <v>281.93000000000006</v>
      </c>
    </row>
    <row r="64" spans="1:16" x14ac:dyDescent="0.25">
      <c r="A64" t="s">
        <v>189</v>
      </c>
      <c r="B64" t="s">
        <v>190</v>
      </c>
      <c r="C64" t="s">
        <v>91</v>
      </c>
      <c r="D64" t="s">
        <v>191</v>
      </c>
      <c r="E64" s="4">
        <v>45836</v>
      </c>
      <c r="F64" s="4">
        <v>46201</v>
      </c>
      <c r="G64" s="1">
        <v>932.61</v>
      </c>
      <c r="H64">
        <v>0.8</v>
      </c>
      <c r="I64" s="1">
        <v>62.17</v>
      </c>
      <c r="J64" t="s">
        <v>34</v>
      </c>
      <c r="K64" t="s">
        <v>1397</v>
      </c>
      <c r="L64" s="9" t="s">
        <v>1409</v>
      </c>
      <c r="M64" s="9" t="s">
        <v>1443</v>
      </c>
      <c r="N64" t="s">
        <v>1389</v>
      </c>
      <c r="O64" s="1">
        <f>NewBusiness7[[#This Row],[Earnings]]/NewBusiness7[[#This Row],[Rate]]</f>
        <v>77.712499999999991</v>
      </c>
      <c r="P64" s="1">
        <f>NewBusiness7[[#This Row],[Column5]]*NewBusiness7[[#This Row],[Rate]]</f>
        <v>62.169999999999995</v>
      </c>
    </row>
    <row r="65" spans="1:16" x14ac:dyDescent="0.25">
      <c r="A65" t="s">
        <v>189</v>
      </c>
      <c r="B65" t="s">
        <v>192</v>
      </c>
      <c r="C65" t="s">
        <v>193</v>
      </c>
      <c r="D65" t="s">
        <v>194</v>
      </c>
      <c r="E65" s="4">
        <v>45836</v>
      </c>
      <c r="F65" s="4">
        <v>46201</v>
      </c>
      <c r="G65" s="1">
        <v>1012.85</v>
      </c>
      <c r="H65">
        <v>0.8</v>
      </c>
      <c r="I65" s="1">
        <v>67.52</v>
      </c>
      <c r="J65" t="s">
        <v>34</v>
      </c>
      <c r="K65" t="s">
        <v>1397</v>
      </c>
      <c r="L65" s="9" t="s">
        <v>1409</v>
      </c>
      <c r="M65" s="9" t="s">
        <v>1443</v>
      </c>
      <c r="N65" t="s">
        <v>1389</v>
      </c>
      <c r="O65" s="1">
        <f>NewBusiness7[[#This Row],[Earnings]]/NewBusiness7[[#This Row],[Rate]]</f>
        <v>84.399999999999991</v>
      </c>
      <c r="P65" s="1">
        <f>NewBusiness7[[#This Row],[Column5]]*NewBusiness7[[#This Row],[Rate]]</f>
        <v>67.52</v>
      </c>
    </row>
    <row r="66" spans="1:16" x14ac:dyDescent="0.25">
      <c r="A66" t="s">
        <v>189</v>
      </c>
      <c r="B66" t="s">
        <v>393</v>
      </c>
      <c r="C66" t="s">
        <v>193</v>
      </c>
      <c r="D66" t="s">
        <v>394</v>
      </c>
      <c r="E66" s="4">
        <v>46016</v>
      </c>
      <c r="F66" s="4">
        <v>46198</v>
      </c>
      <c r="G66" s="1">
        <v>470.1</v>
      </c>
      <c r="H66">
        <v>0.8</v>
      </c>
      <c r="I66" s="1">
        <v>31.34</v>
      </c>
      <c r="J66" t="s">
        <v>34</v>
      </c>
      <c r="K66" t="s">
        <v>1395</v>
      </c>
      <c r="L66" s="9" t="s">
        <v>1409</v>
      </c>
      <c r="M66" s="9" t="s">
        <v>1443</v>
      </c>
      <c r="N66" t="s">
        <v>1415</v>
      </c>
      <c r="O66" s="1">
        <f>NewBusiness7[[#This Row],[Earnings]]/NewBusiness7[[#This Row],[Rate]]</f>
        <v>39.174999999999997</v>
      </c>
      <c r="P66" s="1">
        <f>NewBusiness7[[#This Row],[Column5]]*NewBusiness7[[#This Row],[Rate]]</f>
        <v>31.34</v>
      </c>
    </row>
    <row r="67" spans="1:16" x14ac:dyDescent="0.25">
      <c r="A67" t="s">
        <v>189</v>
      </c>
      <c r="B67" t="s">
        <v>495</v>
      </c>
      <c r="C67" t="s">
        <v>193</v>
      </c>
      <c r="D67" t="s">
        <v>496</v>
      </c>
      <c r="E67" s="4">
        <v>46023</v>
      </c>
      <c r="F67" s="4">
        <v>46174</v>
      </c>
      <c r="G67" s="1">
        <v>1089.0899999999999</v>
      </c>
      <c r="H67">
        <v>0.8</v>
      </c>
      <c r="I67" s="1">
        <v>72.599999999999994</v>
      </c>
      <c r="J67" t="s">
        <v>34</v>
      </c>
      <c r="K67" t="s">
        <v>1395</v>
      </c>
      <c r="L67" s="9" t="s">
        <v>1409</v>
      </c>
      <c r="M67" s="9" t="s">
        <v>1443</v>
      </c>
      <c r="N67" t="s">
        <v>1415</v>
      </c>
      <c r="O67" s="1">
        <f>NewBusiness7[[#This Row],[Earnings]]/NewBusiness7[[#This Row],[Rate]]</f>
        <v>90.749999999999986</v>
      </c>
      <c r="P67" s="1">
        <f>NewBusiness7[[#This Row],[Column5]]*NewBusiness7[[#This Row],[Rate]]</f>
        <v>72.599999999999994</v>
      </c>
    </row>
    <row r="68" spans="1:16" x14ac:dyDescent="0.25">
      <c r="A68" t="s">
        <v>189</v>
      </c>
      <c r="B68" t="s">
        <v>275</v>
      </c>
      <c r="C68" t="s">
        <v>32</v>
      </c>
      <c r="D68" t="s">
        <v>276</v>
      </c>
      <c r="E68" s="4">
        <v>45925</v>
      </c>
      <c r="F68" s="4">
        <v>46198</v>
      </c>
      <c r="G68" s="1">
        <v>816.65</v>
      </c>
      <c r="H68">
        <v>0.85</v>
      </c>
      <c r="I68" s="1">
        <v>57.84</v>
      </c>
      <c r="J68" t="s">
        <v>34</v>
      </c>
      <c r="K68" t="s">
        <v>1390</v>
      </c>
      <c r="L68" s="9" t="s">
        <v>1409</v>
      </c>
      <c r="M68" s="9" t="s">
        <v>1443</v>
      </c>
      <c r="N68" t="s">
        <v>1389</v>
      </c>
      <c r="O68" s="1">
        <f>NewBusiness7[[#This Row],[Earnings]]/NewBusiness7[[#This Row],[Rate]]</f>
        <v>68.047058823529412</v>
      </c>
      <c r="P68" s="1">
        <f>NewBusiness7[[#This Row],[Column5]]*NewBusiness7[[#This Row],[Rate]]</f>
        <v>57.839999999999996</v>
      </c>
    </row>
    <row r="69" spans="1:16" x14ac:dyDescent="0.25">
      <c r="A69" t="s">
        <v>189</v>
      </c>
      <c r="B69" t="s">
        <v>300</v>
      </c>
      <c r="C69" t="s">
        <v>32</v>
      </c>
      <c r="D69" t="s">
        <v>301</v>
      </c>
      <c r="E69" s="4">
        <v>45931</v>
      </c>
      <c r="F69" s="4">
        <v>46174</v>
      </c>
      <c r="G69" s="1">
        <v>746.56</v>
      </c>
      <c r="H69">
        <v>0.85</v>
      </c>
      <c r="I69" s="1">
        <v>52.88</v>
      </c>
      <c r="J69" t="s">
        <v>34</v>
      </c>
      <c r="K69" t="s">
        <v>1390</v>
      </c>
      <c r="L69" s="9" t="s">
        <v>1409</v>
      </c>
      <c r="M69" s="9" t="s">
        <v>1443</v>
      </c>
      <c r="N69" t="s">
        <v>1396</v>
      </c>
      <c r="O69" s="1">
        <f>NewBusiness7[[#This Row],[Earnings]]/NewBusiness7[[#This Row],[Rate]]</f>
        <v>62.211764705882359</v>
      </c>
      <c r="P69" s="1">
        <f>NewBusiness7[[#This Row],[Column5]]*NewBusiness7[[#This Row],[Rate]]</f>
        <v>52.88</v>
      </c>
    </row>
    <row r="70" spans="1:16" x14ac:dyDescent="0.25">
      <c r="A70" t="s">
        <v>189</v>
      </c>
      <c r="B70" t="s">
        <v>391</v>
      </c>
      <c r="C70" t="s">
        <v>193</v>
      </c>
      <c r="D70" t="s">
        <v>392</v>
      </c>
      <c r="E70" s="4">
        <v>46016</v>
      </c>
      <c r="F70" s="4">
        <v>46198</v>
      </c>
      <c r="G70" s="1">
        <v>557.94000000000005</v>
      </c>
      <c r="H70">
        <v>0.85</v>
      </c>
      <c r="I70" s="1">
        <v>39.520000000000003</v>
      </c>
      <c r="J70" t="s">
        <v>34</v>
      </c>
      <c r="K70" t="s">
        <v>1390</v>
      </c>
      <c r="L70" s="9" t="s">
        <v>1409</v>
      </c>
      <c r="M70" s="9" t="s">
        <v>1443</v>
      </c>
      <c r="N70" t="s">
        <v>1415</v>
      </c>
      <c r="O70" s="1">
        <f>NewBusiness7[[#This Row],[Earnings]]/NewBusiness7[[#This Row],[Rate]]</f>
        <v>46.494117647058829</v>
      </c>
      <c r="P70" s="1">
        <f>NewBusiness7[[#This Row],[Column5]]*NewBusiness7[[#This Row],[Rate]]</f>
        <v>39.520000000000003</v>
      </c>
    </row>
    <row r="71" spans="1:16" x14ac:dyDescent="0.25">
      <c r="A71" t="s">
        <v>189</v>
      </c>
      <c r="B71" t="s">
        <v>454</v>
      </c>
      <c r="C71" t="s">
        <v>455</v>
      </c>
      <c r="D71" t="s">
        <v>456</v>
      </c>
      <c r="E71" s="4">
        <v>45962</v>
      </c>
      <c r="F71" s="4">
        <v>46204</v>
      </c>
      <c r="G71" s="1">
        <v>592.61</v>
      </c>
      <c r="H71">
        <v>0.85</v>
      </c>
      <c r="I71" s="1">
        <v>41.97</v>
      </c>
      <c r="J71" t="s">
        <v>457</v>
      </c>
      <c r="K71" t="s">
        <v>1390</v>
      </c>
      <c r="L71" s="9">
        <v>7470776</v>
      </c>
      <c r="M71" s="9" t="s">
        <v>1443</v>
      </c>
      <c r="N71" t="s">
        <v>1396</v>
      </c>
      <c r="O71" s="1">
        <f>NewBusiness7[[#This Row],[Earnings]]/NewBusiness7[[#This Row],[Rate]]</f>
        <v>49.376470588235293</v>
      </c>
      <c r="P71" s="1">
        <f>NewBusiness7[[#This Row],[Column5]]*NewBusiness7[[#This Row],[Rate]]</f>
        <v>41.97</v>
      </c>
    </row>
    <row r="72" spans="1:16" x14ac:dyDescent="0.25">
      <c r="A72" t="s">
        <v>189</v>
      </c>
      <c r="B72" t="s">
        <v>639</v>
      </c>
      <c r="C72" t="s">
        <v>91</v>
      </c>
      <c r="D72" t="s">
        <v>640</v>
      </c>
      <c r="E72" s="4">
        <v>46113</v>
      </c>
      <c r="F72" s="4">
        <v>46204</v>
      </c>
      <c r="G72" s="1">
        <v>524.17999999999995</v>
      </c>
      <c r="H72">
        <v>0.85</v>
      </c>
      <c r="I72" s="1">
        <v>37.130000000000003</v>
      </c>
      <c r="J72" t="s">
        <v>34</v>
      </c>
      <c r="K72" t="s">
        <v>1390</v>
      </c>
      <c r="L72" s="9" t="s">
        <v>1409</v>
      </c>
      <c r="M72" s="9" t="s">
        <v>1443</v>
      </c>
      <c r="N72" t="s">
        <v>1415</v>
      </c>
      <c r="O72" s="1">
        <f>NewBusiness7[[#This Row],[Earnings]]/NewBusiness7[[#This Row],[Rate]]</f>
        <v>43.682352941176475</v>
      </c>
      <c r="P72" s="1">
        <f>NewBusiness7[[#This Row],[Column5]]*NewBusiness7[[#This Row],[Rate]]</f>
        <v>37.130000000000003</v>
      </c>
    </row>
    <row r="73" spans="1:16" x14ac:dyDescent="0.25">
      <c r="A73" t="s">
        <v>100</v>
      </c>
      <c r="B73" t="s">
        <v>101</v>
      </c>
      <c r="C73" t="s">
        <v>39</v>
      </c>
      <c r="D73" t="s">
        <v>102</v>
      </c>
      <c r="E73" s="4">
        <v>45809</v>
      </c>
      <c r="F73" s="4">
        <v>45917</v>
      </c>
      <c r="G73" s="1">
        <v>464.4</v>
      </c>
      <c r="H73">
        <v>0.8</v>
      </c>
      <c r="I73" s="1">
        <v>-231.17</v>
      </c>
      <c r="J73" t="s">
        <v>34</v>
      </c>
      <c r="K73" t="s">
        <v>1397</v>
      </c>
      <c r="L73" s="9" t="s">
        <v>1423</v>
      </c>
      <c r="M73" s="9" t="s">
        <v>1443</v>
      </c>
      <c r="N73" t="s">
        <v>1389</v>
      </c>
      <c r="O73" s="1">
        <f>NewBusiness7[[#This Row],[Earnings]]/NewBusiness7[[#This Row],[Rate]]</f>
        <v>-288.96249999999998</v>
      </c>
      <c r="P73" s="1">
        <f>NewBusiness7[[#This Row],[Column5]]*NewBusiness7[[#This Row],[Rate]]</f>
        <v>-231.17</v>
      </c>
    </row>
    <row r="74" spans="1:16" x14ac:dyDescent="0.25">
      <c r="A74" t="s">
        <v>100</v>
      </c>
      <c r="B74" t="s">
        <v>362</v>
      </c>
      <c r="C74" t="s">
        <v>110</v>
      </c>
      <c r="D74" t="s">
        <v>363</v>
      </c>
      <c r="E74" s="4">
        <v>46022</v>
      </c>
      <c r="F74" s="4">
        <v>46173</v>
      </c>
      <c r="G74" s="1">
        <v>516</v>
      </c>
      <c r="H74">
        <v>0.8</v>
      </c>
      <c r="I74" s="1">
        <v>34.4</v>
      </c>
      <c r="J74" t="s">
        <v>34</v>
      </c>
      <c r="K74" t="s">
        <v>1397</v>
      </c>
      <c r="L74" s="9" t="s">
        <v>1423</v>
      </c>
      <c r="M74" s="9" t="s">
        <v>1443</v>
      </c>
      <c r="N74" t="s">
        <v>1415</v>
      </c>
      <c r="O74" s="1">
        <f>NewBusiness7[[#This Row],[Earnings]]/NewBusiness7[[#This Row],[Rate]]</f>
        <v>42.999999999999993</v>
      </c>
      <c r="P74" s="1">
        <f>NewBusiness7[[#This Row],[Column5]]*NewBusiness7[[#This Row],[Rate]]</f>
        <v>34.4</v>
      </c>
    </row>
    <row r="75" spans="1:16" x14ac:dyDescent="0.25">
      <c r="A75" t="s">
        <v>100</v>
      </c>
      <c r="B75" t="s">
        <v>434</v>
      </c>
      <c r="C75" t="s">
        <v>110</v>
      </c>
      <c r="D75" t="s">
        <v>435</v>
      </c>
      <c r="E75" s="4">
        <v>46022</v>
      </c>
      <c r="F75" s="4">
        <v>46173</v>
      </c>
      <c r="G75" s="1">
        <v>410.4</v>
      </c>
      <c r="H75">
        <v>0.8</v>
      </c>
      <c r="I75" s="1">
        <v>27.36</v>
      </c>
      <c r="J75" t="s">
        <v>34</v>
      </c>
      <c r="K75" t="s">
        <v>1397</v>
      </c>
      <c r="L75" s="9" t="s">
        <v>1423</v>
      </c>
      <c r="M75" s="9" t="s">
        <v>1443</v>
      </c>
      <c r="N75" t="s">
        <v>1415</v>
      </c>
      <c r="O75" s="1">
        <f>NewBusiness7[[#This Row],[Earnings]]/NewBusiness7[[#This Row],[Rate]]</f>
        <v>34.199999999999996</v>
      </c>
      <c r="P75" s="1">
        <f>NewBusiness7[[#This Row],[Column5]]*NewBusiness7[[#This Row],[Rate]]</f>
        <v>27.36</v>
      </c>
    </row>
    <row r="76" spans="1:16" x14ac:dyDescent="0.25">
      <c r="A76" t="s">
        <v>100</v>
      </c>
      <c r="B76" t="s">
        <v>623</v>
      </c>
      <c r="C76" t="s">
        <v>162</v>
      </c>
      <c r="D76" t="s">
        <v>624</v>
      </c>
      <c r="E76" s="4">
        <v>46113</v>
      </c>
      <c r="F76" s="4">
        <v>46174</v>
      </c>
      <c r="G76" s="1">
        <v>220.8</v>
      </c>
      <c r="H76">
        <v>0.8</v>
      </c>
      <c r="I76" s="1">
        <v>14.72</v>
      </c>
      <c r="J76" t="s">
        <v>34</v>
      </c>
      <c r="K76" t="s">
        <v>1395</v>
      </c>
      <c r="L76" s="9" t="s">
        <v>1423</v>
      </c>
      <c r="M76" s="9" t="s">
        <v>1443</v>
      </c>
      <c r="N76" t="s">
        <v>1415</v>
      </c>
      <c r="O76" s="1">
        <f>NewBusiness7[[#This Row],[Earnings]]/NewBusiness7[[#This Row],[Rate]]</f>
        <v>18.399999999999999</v>
      </c>
      <c r="P76" s="1">
        <f>NewBusiness7[[#This Row],[Column5]]*NewBusiness7[[#This Row],[Rate]]</f>
        <v>14.719999999999999</v>
      </c>
    </row>
    <row r="77" spans="1:16" x14ac:dyDescent="0.25">
      <c r="A77" t="s">
        <v>100</v>
      </c>
      <c r="B77" t="s">
        <v>716</v>
      </c>
      <c r="C77" t="s">
        <v>32</v>
      </c>
      <c r="D77" t="s">
        <v>717</v>
      </c>
      <c r="E77" s="4">
        <v>46129</v>
      </c>
      <c r="F77" s="4">
        <v>46190</v>
      </c>
      <c r="G77" s="1">
        <v>1616.4</v>
      </c>
      <c r="H77">
        <v>0.8</v>
      </c>
      <c r="I77" s="1">
        <v>107.76</v>
      </c>
      <c r="J77" t="s">
        <v>34</v>
      </c>
      <c r="K77" t="s">
        <v>1397</v>
      </c>
      <c r="L77" s="9" t="s">
        <v>1423</v>
      </c>
      <c r="M77" s="9" t="s">
        <v>1443</v>
      </c>
      <c r="N77" t="s">
        <v>1415</v>
      </c>
      <c r="O77" s="1">
        <f>NewBusiness7[[#This Row],[Earnings]]/NewBusiness7[[#This Row],[Rate]]</f>
        <v>134.69999999999999</v>
      </c>
      <c r="P77" s="1">
        <f>NewBusiness7[[#This Row],[Column5]]*NewBusiness7[[#This Row],[Rate]]</f>
        <v>107.75999999999999</v>
      </c>
    </row>
    <row r="78" spans="1:16" x14ac:dyDescent="0.25">
      <c r="A78" t="s">
        <v>100</v>
      </c>
      <c r="B78" t="s">
        <v>590</v>
      </c>
      <c r="C78" t="s">
        <v>91</v>
      </c>
      <c r="D78" t="s">
        <v>591</v>
      </c>
      <c r="E78" s="4">
        <v>46042</v>
      </c>
      <c r="F78" s="4">
        <v>46193</v>
      </c>
      <c r="G78" s="1">
        <v>691.4</v>
      </c>
      <c r="H78">
        <v>0.85</v>
      </c>
      <c r="I78" s="1">
        <v>48.97</v>
      </c>
      <c r="J78" t="s">
        <v>34</v>
      </c>
      <c r="K78" t="s">
        <v>1390</v>
      </c>
      <c r="L78" s="9" t="s">
        <v>1423</v>
      </c>
      <c r="M78" s="9" t="s">
        <v>1443</v>
      </c>
      <c r="N78" t="s">
        <v>1415</v>
      </c>
      <c r="O78" s="1">
        <f>NewBusiness7[[#This Row],[Earnings]]/NewBusiness7[[#This Row],[Rate]]</f>
        <v>57.611764705882351</v>
      </c>
      <c r="P78" s="1">
        <f>NewBusiness7[[#This Row],[Column5]]*NewBusiness7[[#This Row],[Rate]]</f>
        <v>48.97</v>
      </c>
    </row>
    <row r="79" spans="1:16" x14ac:dyDescent="0.25">
      <c r="A79" t="s">
        <v>100</v>
      </c>
      <c r="B79" t="s">
        <v>602</v>
      </c>
      <c r="C79" t="s">
        <v>91</v>
      </c>
      <c r="D79" t="s">
        <v>603</v>
      </c>
      <c r="E79" s="4">
        <v>46042</v>
      </c>
      <c r="F79" s="4">
        <v>46193</v>
      </c>
      <c r="G79" s="1">
        <v>523.48</v>
      </c>
      <c r="H79">
        <v>0.85</v>
      </c>
      <c r="I79" s="1">
        <v>37.08</v>
      </c>
      <c r="J79" t="s">
        <v>34</v>
      </c>
      <c r="K79" t="s">
        <v>1390</v>
      </c>
      <c r="L79" s="9" t="s">
        <v>1423</v>
      </c>
      <c r="M79" s="9" t="s">
        <v>1443</v>
      </c>
      <c r="N79" t="s">
        <v>1415</v>
      </c>
      <c r="O79" s="1">
        <f>NewBusiness7[[#This Row],[Earnings]]/NewBusiness7[[#This Row],[Rate]]</f>
        <v>43.623529411764707</v>
      </c>
      <c r="P79" s="1">
        <f>NewBusiness7[[#This Row],[Column5]]*NewBusiness7[[#This Row],[Rate]]</f>
        <v>37.08</v>
      </c>
    </row>
    <row r="80" spans="1:16" x14ac:dyDescent="0.25">
      <c r="A80" t="s">
        <v>581</v>
      </c>
      <c r="B80" t="s">
        <v>631</v>
      </c>
      <c r="C80" t="s">
        <v>62</v>
      </c>
      <c r="D80" t="s">
        <v>632</v>
      </c>
      <c r="E80" s="4">
        <v>46054</v>
      </c>
      <c r="F80" s="4">
        <v>46174</v>
      </c>
      <c r="G80" s="1">
        <v>1233.18</v>
      </c>
      <c r="H80">
        <v>0.8</v>
      </c>
      <c r="I80" s="1">
        <v>82.21</v>
      </c>
      <c r="J80" t="s">
        <v>34</v>
      </c>
      <c r="K80" t="s">
        <v>1397</v>
      </c>
      <c r="L80" s="9" t="s">
        <v>1404</v>
      </c>
      <c r="M80" s="9" t="s">
        <v>1443</v>
      </c>
      <c r="N80" t="s">
        <v>1415</v>
      </c>
      <c r="O80" s="1">
        <f>NewBusiness7[[#This Row],[Earnings]]/NewBusiness7[[#This Row],[Rate]]</f>
        <v>102.76249999999999</v>
      </c>
      <c r="P80" s="1">
        <f>NewBusiness7[[#This Row],[Column5]]*NewBusiness7[[#This Row],[Rate]]</f>
        <v>82.21</v>
      </c>
    </row>
    <row r="81" spans="1:16" x14ac:dyDescent="0.25">
      <c r="A81" t="s">
        <v>581</v>
      </c>
      <c r="B81" t="s">
        <v>633</v>
      </c>
      <c r="C81" t="s">
        <v>62</v>
      </c>
      <c r="D81" t="s">
        <v>634</v>
      </c>
      <c r="E81" s="4">
        <v>46054</v>
      </c>
      <c r="F81" s="4">
        <v>46174</v>
      </c>
      <c r="G81" s="1">
        <v>1233.18</v>
      </c>
      <c r="H81">
        <v>0.8</v>
      </c>
      <c r="I81" s="1">
        <v>82.21</v>
      </c>
      <c r="J81" t="s">
        <v>34</v>
      </c>
      <c r="K81" t="s">
        <v>1397</v>
      </c>
      <c r="L81" s="9" t="s">
        <v>1404</v>
      </c>
      <c r="M81" s="9" t="s">
        <v>1443</v>
      </c>
      <c r="N81" t="s">
        <v>1415</v>
      </c>
      <c r="O81" s="1">
        <f>NewBusiness7[[#This Row],[Earnings]]/NewBusiness7[[#This Row],[Rate]]</f>
        <v>102.76249999999999</v>
      </c>
      <c r="P81" s="1">
        <f>NewBusiness7[[#This Row],[Column5]]*NewBusiness7[[#This Row],[Rate]]</f>
        <v>82.21</v>
      </c>
    </row>
    <row r="82" spans="1:16" x14ac:dyDescent="0.25">
      <c r="A82" t="s">
        <v>581</v>
      </c>
      <c r="B82" t="s">
        <v>663</v>
      </c>
      <c r="C82" t="s">
        <v>62</v>
      </c>
      <c r="D82" t="s">
        <v>664</v>
      </c>
      <c r="E82" s="4">
        <v>46113</v>
      </c>
      <c r="F82" s="4">
        <v>46174</v>
      </c>
      <c r="G82" s="1">
        <v>991.01</v>
      </c>
      <c r="H82">
        <v>0.8</v>
      </c>
      <c r="I82" s="1">
        <v>66.06</v>
      </c>
      <c r="J82" t="s">
        <v>34</v>
      </c>
      <c r="K82" t="s">
        <v>1397</v>
      </c>
      <c r="L82" s="9" t="s">
        <v>1404</v>
      </c>
      <c r="M82" s="9" t="s">
        <v>1443</v>
      </c>
      <c r="N82" t="s">
        <v>1415</v>
      </c>
      <c r="O82" s="1">
        <f>NewBusiness7[[#This Row],[Earnings]]/NewBusiness7[[#This Row],[Rate]]</f>
        <v>82.575000000000003</v>
      </c>
      <c r="P82" s="1">
        <f>NewBusiness7[[#This Row],[Column5]]*NewBusiness7[[#This Row],[Rate]]</f>
        <v>66.06</v>
      </c>
    </row>
    <row r="83" spans="1:16" x14ac:dyDescent="0.25">
      <c r="A83" t="s">
        <v>581</v>
      </c>
      <c r="B83" t="s">
        <v>582</v>
      </c>
      <c r="C83" t="s">
        <v>32</v>
      </c>
      <c r="D83" t="s">
        <v>583</v>
      </c>
      <c r="E83" s="4">
        <v>46054</v>
      </c>
      <c r="F83" s="4">
        <v>46174</v>
      </c>
      <c r="G83" s="1">
        <v>866.81</v>
      </c>
      <c r="H83">
        <v>0.85</v>
      </c>
      <c r="I83" s="1">
        <v>61.4</v>
      </c>
      <c r="J83" t="s">
        <v>34</v>
      </c>
      <c r="K83" t="s">
        <v>1390</v>
      </c>
      <c r="L83" s="9" t="s">
        <v>1404</v>
      </c>
      <c r="M83" s="9" t="s">
        <v>1443</v>
      </c>
      <c r="N83" t="s">
        <v>1415</v>
      </c>
      <c r="O83" s="1">
        <f>NewBusiness7[[#This Row],[Earnings]]/NewBusiness7[[#This Row],[Rate]]</f>
        <v>72.235294117647058</v>
      </c>
      <c r="P83" s="1">
        <f>NewBusiness7[[#This Row],[Column5]]*NewBusiness7[[#This Row],[Rate]]</f>
        <v>61.4</v>
      </c>
    </row>
    <row r="84" spans="1:16" x14ac:dyDescent="0.25">
      <c r="A84" t="s">
        <v>185</v>
      </c>
      <c r="B84" t="s">
        <v>186</v>
      </c>
      <c r="C84" t="s">
        <v>39</v>
      </c>
      <c r="D84" t="s">
        <v>187</v>
      </c>
      <c r="E84" s="4">
        <v>46143</v>
      </c>
      <c r="F84" s="4">
        <v>46204</v>
      </c>
      <c r="G84" s="1">
        <v>608.4</v>
      </c>
      <c r="H84">
        <v>0.8</v>
      </c>
      <c r="I84" s="1">
        <v>40.56</v>
      </c>
      <c r="J84" t="s">
        <v>34</v>
      </c>
      <c r="K84" t="s">
        <v>1397</v>
      </c>
      <c r="L84" s="9" t="s">
        <v>1429</v>
      </c>
      <c r="M84" s="9" t="s">
        <v>1443</v>
      </c>
      <c r="N84" t="s">
        <v>1415</v>
      </c>
      <c r="O84" s="1">
        <f>NewBusiness7[[#This Row],[Earnings]]/NewBusiness7[[#This Row],[Rate]]</f>
        <v>50.7</v>
      </c>
      <c r="P84" s="1">
        <f>NewBusiness7[[#This Row],[Column5]]*NewBusiness7[[#This Row],[Rate]]</f>
        <v>40.56</v>
      </c>
    </row>
    <row r="85" spans="1:16" x14ac:dyDescent="0.25">
      <c r="A85" t="s">
        <v>198</v>
      </c>
      <c r="B85" t="s">
        <v>199</v>
      </c>
      <c r="C85" t="s">
        <v>32</v>
      </c>
      <c r="D85" t="s">
        <v>200</v>
      </c>
      <c r="E85" s="4">
        <v>45870</v>
      </c>
      <c r="F85" s="4">
        <v>46174</v>
      </c>
      <c r="G85" s="1">
        <v>1247.1099999999999</v>
      </c>
      <c r="H85">
        <v>0.85</v>
      </c>
      <c r="I85" s="1">
        <v>88.34</v>
      </c>
      <c r="J85" t="s">
        <v>34</v>
      </c>
      <c r="K85" t="s">
        <v>1390</v>
      </c>
      <c r="L85" s="9">
        <v>17437820</v>
      </c>
      <c r="M85" s="9" t="s">
        <v>1443</v>
      </c>
      <c r="N85" t="s">
        <v>1389</v>
      </c>
      <c r="O85" s="1">
        <f>NewBusiness7[[#This Row],[Earnings]]/NewBusiness7[[#This Row],[Rate]]</f>
        <v>103.92941176470589</v>
      </c>
      <c r="P85" s="1">
        <f>NewBusiness7[[#This Row],[Column5]]*NewBusiness7[[#This Row],[Rate]]</f>
        <v>88.34</v>
      </c>
    </row>
    <row r="86" spans="1:16" x14ac:dyDescent="0.25">
      <c r="A86" t="s">
        <v>198</v>
      </c>
      <c r="B86" t="s">
        <v>215</v>
      </c>
      <c r="C86" t="s">
        <v>32</v>
      </c>
      <c r="D86" t="s">
        <v>216</v>
      </c>
      <c r="E86" s="4">
        <v>45870</v>
      </c>
      <c r="F86" s="4">
        <v>46174</v>
      </c>
      <c r="G86" s="1">
        <v>884.95</v>
      </c>
      <c r="H86">
        <v>0.85</v>
      </c>
      <c r="I86" s="1">
        <v>62.68</v>
      </c>
      <c r="J86" t="s">
        <v>34</v>
      </c>
      <c r="K86" t="s">
        <v>1390</v>
      </c>
      <c r="L86" s="9">
        <v>17437820</v>
      </c>
      <c r="M86" s="9" t="s">
        <v>1443</v>
      </c>
      <c r="N86" t="s">
        <v>1389</v>
      </c>
      <c r="O86" s="1">
        <f>NewBusiness7[[#This Row],[Earnings]]/NewBusiness7[[#This Row],[Rate]]</f>
        <v>73.741176470588243</v>
      </c>
      <c r="P86" s="1">
        <f>NewBusiness7[[#This Row],[Column5]]*NewBusiness7[[#This Row],[Rate]]</f>
        <v>62.680000000000007</v>
      </c>
    </row>
    <row r="87" spans="1:16" x14ac:dyDescent="0.25">
      <c r="A87" t="s">
        <v>204</v>
      </c>
      <c r="B87" t="s">
        <v>205</v>
      </c>
      <c r="C87" t="s">
        <v>32</v>
      </c>
      <c r="D87" t="s">
        <v>206</v>
      </c>
      <c r="E87" s="4">
        <v>45855</v>
      </c>
      <c r="F87" s="4">
        <v>46190</v>
      </c>
      <c r="G87" s="1">
        <v>1141.53</v>
      </c>
      <c r="H87">
        <v>0.8</v>
      </c>
      <c r="I87" s="1">
        <v>76.099999999999994</v>
      </c>
      <c r="J87" t="s">
        <v>112</v>
      </c>
      <c r="K87" t="s">
        <v>1397</v>
      </c>
      <c r="L87" s="9">
        <v>17425766</v>
      </c>
      <c r="M87" s="9" t="s">
        <v>1443</v>
      </c>
      <c r="N87" t="s">
        <v>1389</v>
      </c>
      <c r="O87" s="1">
        <f>NewBusiness7[[#This Row],[Earnings]]/NewBusiness7[[#This Row],[Rate]]</f>
        <v>95.124999999999986</v>
      </c>
      <c r="P87" s="1">
        <f>NewBusiness7[[#This Row],[Column5]]*NewBusiness7[[#This Row],[Rate]]</f>
        <v>76.099999999999994</v>
      </c>
    </row>
    <row r="88" spans="1:16" x14ac:dyDescent="0.25">
      <c r="A88" t="s">
        <v>204</v>
      </c>
      <c r="B88" t="s">
        <v>255</v>
      </c>
      <c r="C88" t="s">
        <v>256</v>
      </c>
      <c r="D88" t="s">
        <v>257</v>
      </c>
      <c r="E88" s="4">
        <v>45931</v>
      </c>
      <c r="F88" s="4">
        <v>46174</v>
      </c>
      <c r="G88" s="1">
        <v>637.23</v>
      </c>
      <c r="H88">
        <v>0.8</v>
      </c>
      <c r="I88" s="1">
        <v>42.48</v>
      </c>
      <c r="J88" t="s">
        <v>112</v>
      </c>
      <c r="K88" t="s">
        <v>1397</v>
      </c>
      <c r="L88" s="9">
        <v>17425766</v>
      </c>
      <c r="M88" s="9" t="s">
        <v>1443</v>
      </c>
      <c r="N88" t="s">
        <v>1389</v>
      </c>
      <c r="O88" s="1">
        <f>NewBusiness7[[#This Row],[Earnings]]/NewBusiness7[[#This Row],[Rate]]</f>
        <v>53.099999999999994</v>
      </c>
      <c r="P88" s="1">
        <f>NewBusiness7[[#This Row],[Column5]]*NewBusiness7[[#This Row],[Rate]]</f>
        <v>42.48</v>
      </c>
    </row>
    <row r="89" spans="1:16" x14ac:dyDescent="0.25">
      <c r="A89" t="s">
        <v>204</v>
      </c>
      <c r="B89" t="s">
        <v>505</v>
      </c>
      <c r="C89" t="s">
        <v>256</v>
      </c>
      <c r="D89" t="s">
        <v>506</v>
      </c>
      <c r="E89" s="4">
        <v>46023</v>
      </c>
      <c r="F89" s="4">
        <v>46174</v>
      </c>
      <c r="G89" s="1">
        <v>736.57</v>
      </c>
      <c r="H89">
        <v>0.8</v>
      </c>
      <c r="I89" s="1">
        <v>49.1</v>
      </c>
      <c r="J89" t="s">
        <v>112</v>
      </c>
      <c r="K89" t="s">
        <v>1397</v>
      </c>
      <c r="L89" s="9">
        <v>17425766</v>
      </c>
      <c r="M89" s="9" t="s">
        <v>1443</v>
      </c>
      <c r="N89" t="s">
        <v>1389</v>
      </c>
      <c r="O89" s="1">
        <f>NewBusiness7[[#This Row],[Earnings]]/NewBusiness7[[#This Row],[Rate]]</f>
        <v>61.375</v>
      </c>
      <c r="P89" s="1">
        <f>NewBusiness7[[#This Row],[Column5]]*NewBusiness7[[#This Row],[Rate]]</f>
        <v>49.1</v>
      </c>
    </row>
    <row r="90" spans="1:16" x14ac:dyDescent="0.25">
      <c r="A90" t="s">
        <v>55</v>
      </c>
      <c r="B90" t="s">
        <v>56</v>
      </c>
      <c r="C90" t="s">
        <v>39</v>
      </c>
      <c r="D90" t="s">
        <v>57</v>
      </c>
      <c r="E90" s="4">
        <v>45816</v>
      </c>
      <c r="F90" s="4">
        <v>46181</v>
      </c>
      <c r="G90" s="1">
        <v>933.6</v>
      </c>
      <c r="H90">
        <v>0.8</v>
      </c>
      <c r="I90" s="1">
        <v>62.24</v>
      </c>
      <c r="J90" t="s">
        <v>34</v>
      </c>
      <c r="K90" t="s">
        <v>1397</v>
      </c>
      <c r="L90" s="9">
        <v>19268643</v>
      </c>
      <c r="M90" s="9" t="s">
        <v>1443</v>
      </c>
      <c r="N90" t="s">
        <v>1389</v>
      </c>
      <c r="O90" s="1">
        <f>NewBusiness7[[#This Row],[Earnings]]/NewBusiness7[[#This Row],[Rate]]</f>
        <v>77.8</v>
      </c>
      <c r="P90" s="1">
        <f>NewBusiness7[[#This Row],[Column5]]*NewBusiness7[[#This Row],[Rate]]</f>
        <v>62.24</v>
      </c>
    </row>
    <row r="91" spans="1:16" x14ac:dyDescent="0.25">
      <c r="A91" t="s">
        <v>55</v>
      </c>
      <c r="B91" t="s">
        <v>90</v>
      </c>
      <c r="C91" t="s">
        <v>91</v>
      </c>
      <c r="D91" t="s">
        <v>92</v>
      </c>
      <c r="E91" s="4">
        <v>45852</v>
      </c>
      <c r="F91" s="4">
        <v>46187</v>
      </c>
      <c r="G91" s="1">
        <v>506.2</v>
      </c>
      <c r="H91">
        <v>0.85</v>
      </c>
      <c r="I91" s="1">
        <v>35.85</v>
      </c>
      <c r="J91" t="s">
        <v>34</v>
      </c>
      <c r="K91" t="s">
        <v>1390</v>
      </c>
      <c r="L91" s="9">
        <v>19268643</v>
      </c>
      <c r="M91" s="9" t="s">
        <v>1443</v>
      </c>
      <c r="N91" t="s">
        <v>1389</v>
      </c>
      <c r="O91" s="1">
        <f>NewBusiness7[[#This Row],[Earnings]]/NewBusiness7[[#This Row],[Rate]]</f>
        <v>42.176470588235297</v>
      </c>
      <c r="P91" s="1">
        <f>NewBusiness7[[#This Row],[Column5]]*NewBusiness7[[#This Row],[Rate]]</f>
        <v>35.85</v>
      </c>
    </row>
    <row r="92" spans="1:16" x14ac:dyDescent="0.25">
      <c r="A92" t="s">
        <v>140</v>
      </c>
      <c r="B92" t="s">
        <v>273</v>
      </c>
      <c r="C92" t="s">
        <v>62</v>
      </c>
      <c r="D92" t="s">
        <v>274</v>
      </c>
      <c r="E92" s="4">
        <v>45901</v>
      </c>
      <c r="F92" s="4">
        <v>46204</v>
      </c>
      <c r="G92" s="1">
        <v>1543.2</v>
      </c>
      <c r="H92">
        <v>0.8</v>
      </c>
      <c r="I92" s="1">
        <v>102.88</v>
      </c>
      <c r="J92" t="s">
        <v>34</v>
      </c>
      <c r="K92" t="s">
        <v>1397</v>
      </c>
      <c r="L92" s="9" t="s">
        <v>1405</v>
      </c>
      <c r="M92" s="9" t="s">
        <v>1443</v>
      </c>
      <c r="N92" t="s">
        <v>1389</v>
      </c>
      <c r="O92" s="1">
        <f>NewBusiness7[[#This Row],[Earnings]]/NewBusiness7[[#This Row],[Rate]]</f>
        <v>128.6</v>
      </c>
      <c r="P92" s="1">
        <f>NewBusiness7[[#This Row],[Column5]]*NewBusiness7[[#This Row],[Rate]]</f>
        <v>102.88</v>
      </c>
    </row>
    <row r="93" spans="1:16" x14ac:dyDescent="0.25">
      <c r="A93" t="s">
        <v>140</v>
      </c>
      <c r="B93" t="s">
        <v>403</v>
      </c>
      <c r="C93" t="s">
        <v>62</v>
      </c>
      <c r="D93" t="s">
        <v>404</v>
      </c>
      <c r="E93" s="4">
        <v>46023</v>
      </c>
      <c r="F93" s="4">
        <v>46204</v>
      </c>
      <c r="G93" s="1">
        <v>1314</v>
      </c>
      <c r="H93">
        <v>0.8</v>
      </c>
      <c r="I93" s="1">
        <v>87.6</v>
      </c>
      <c r="J93" t="s">
        <v>34</v>
      </c>
      <c r="K93" t="s">
        <v>1395</v>
      </c>
      <c r="L93" s="9" t="s">
        <v>1425</v>
      </c>
      <c r="M93" s="9" t="s">
        <v>1443</v>
      </c>
      <c r="N93" t="s">
        <v>1415</v>
      </c>
      <c r="O93" s="1">
        <f>NewBusiness7[[#This Row],[Earnings]]/NewBusiness7[[#This Row],[Rate]]</f>
        <v>109.49999999999999</v>
      </c>
      <c r="P93" s="1">
        <f>NewBusiness7[[#This Row],[Column5]]*NewBusiness7[[#This Row],[Rate]]</f>
        <v>87.6</v>
      </c>
    </row>
    <row r="94" spans="1:16" x14ac:dyDescent="0.25">
      <c r="A94" t="s">
        <v>140</v>
      </c>
      <c r="B94" t="s">
        <v>647</v>
      </c>
      <c r="C94" t="s">
        <v>62</v>
      </c>
      <c r="D94" t="s">
        <v>648</v>
      </c>
      <c r="E94" s="4">
        <v>46082</v>
      </c>
      <c r="F94" s="4">
        <v>46174</v>
      </c>
      <c r="G94" s="1">
        <v>1005.6</v>
      </c>
      <c r="H94">
        <v>0.8</v>
      </c>
      <c r="I94" s="1">
        <v>67.040000000000006</v>
      </c>
      <c r="J94" t="s">
        <v>34</v>
      </c>
      <c r="K94" t="s">
        <v>1397</v>
      </c>
      <c r="L94" s="9" t="s">
        <v>1425</v>
      </c>
      <c r="M94" s="9" t="s">
        <v>1443</v>
      </c>
      <c r="N94" t="s">
        <v>1415</v>
      </c>
      <c r="O94" s="1">
        <f>NewBusiness7[[#This Row],[Earnings]]/NewBusiness7[[#This Row],[Rate]]</f>
        <v>83.8</v>
      </c>
      <c r="P94" s="1">
        <f>NewBusiness7[[#This Row],[Column5]]*NewBusiness7[[#This Row],[Rate]]</f>
        <v>67.040000000000006</v>
      </c>
    </row>
    <row r="95" spans="1:16" x14ac:dyDescent="0.25">
      <c r="A95" t="s">
        <v>140</v>
      </c>
      <c r="B95" t="s">
        <v>661</v>
      </c>
      <c r="C95" t="s">
        <v>62</v>
      </c>
      <c r="D95" t="s">
        <v>662</v>
      </c>
      <c r="E95" s="4">
        <v>46113</v>
      </c>
      <c r="F95" s="4">
        <v>46174</v>
      </c>
      <c r="G95" s="1">
        <v>724.8</v>
      </c>
      <c r="H95">
        <v>0.8</v>
      </c>
      <c r="I95" s="1">
        <v>48.32</v>
      </c>
      <c r="J95" t="s">
        <v>34</v>
      </c>
      <c r="K95" t="s">
        <v>1397</v>
      </c>
      <c r="L95" s="9" t="s">
        <v>1425</v>
      </c>
      <c r="M95" s="9" t="s">
        <v>1443</v>
      </c>
      <c r="N95" t="s">
        <v>1415</v>
      </c>
      <c r="O95" s="1">
        <f>NewBusiness7[[#This Row],[Earnings]]/NewBusiness7[[#This Row],[Rate]]</f>
        <v>60.4</v>
      </c>
      <c r="P95" s="1">
        <f>NewBusiness7[[#This Row],[Column5]]*NewBusiness7[[#This Row],[Rate]]</f>
        <v>48.32</v>
      </c>
    </row>
    <row r="96" spans="1:16" x14ac:dyDescent="0.25">
      <c r="A96" t="s">
        <v>140</v>
      </c>
      <c r="B96" t="s">
        <v>141</v>
      </c>
      <c r="C96" t="s">
        <v>32</v>
      </c>
      <c r="D96" t="s">
        <v>142</v>
      </c>
      <c r="E96" s="4">
        <v>46023</v>
      </c>
      <c r="F96" s="4">
        <v>46204</v>
      </c>
      <c r="G96" s="1">
        <v>578.44000000000005</v>
      </c>
      <c r="H96">
        <v>0.85</v>
      </c>
      <c r="I96" s="1">
        <v>40.97</v>
      </c>
      <c r="J96" t="s">
        <v>34</v>
      </c>
      <c r="K96" t="s">
        <v>1390</v>
      </c>
      <c r="L96" s="9" t="s">
        <v>1425</v>
      </c>
      <c r="M96" s="9" t="s">
        <v>1443</v>
      </c>
      <c r="N96" t="s">
        <v>1415</v>
      </c>
      <c r="O96" s="1">
        <f>NewBusiness7[[#This Row],[Earnings]]/NewBusiness7[[#This Row],[Rate]]</f>
        <v>48.2</v>
      </c>
      <c r="P96" s="1">
        <f>NewBusiness7[[#This Row],[Column5]]*NewBusiness7[[#This Row],[Rate]]</f>
        <v>40.97</v>
      </c>
    </row>
    <row r="97" spans="1:16" x14ac:dyDescent="0.25">
      <c r="A97" t="s">
        <v>140</v>
      </c>
      <c r="B97" t="s">
        <v>381</v>
      </c>
      <c r="C97" t="s">
        <v>32</v>
      </c>
      <c r="D97" t="s">
        <v>382</v>
      </c>
      <c r="E97" s="4">
        <v>45939</v>
      </c>
      <c r="F97" s="4">
        <v>46182</v>
      </c>
      <c r="G97" s="1">
        <v>806.41</v>
      </c>
      <c r="H97">
        <v>0.85</v>
      </c>
      <c r="I97" s="1">
        <v>57.12</v>
      </c>
      <c r="J97" t="s">
        <v>34</v>
      </c>
      <c r="K97" t="s">
        <v>1390</v>
      </c>
      <c r="L97" s="9" t="s">
        <v>1435</v>
      </c>
      <c r="M97" s="9" t="s">
        <v>1443</v>
      </c>
      <c r="N97" t="s">
        <v>1396</v>
      </c>
      <c r="O97" s="1">
        <f>NewBusiness7[[#This Row],[Earnings]]/NewBusiness7[[#This Row],[Rate]]</f>
        <v>67.2</v>
      </c>
      <c r="P97" s="1">
        <f>NewBusiness7[[#This Row],[Column5]]*NewBusiness7[[#This Row],[Rate]]</f>
        <v>57.12</v>
      </c>
    </row>
    <row r="98" spans="1:16" x14ac:dyDescent="0.25">
      <c r="A98" t="s">
        <v>605</v>
      </c>
      <c r="B98" t="s">
        <v>606</v>
      </c>
      <c r="C98" t="s">
        <v>39</v>
      </c>
      <c r="D98" t="s">
        <v>607</v>
      </c>
      <c r="E98" s="4">
        <v>46113</v>
      </c>
      <c r="F98" s="4">
        <v>46204</v>
      </c>
      <c r="G98" s="1">
        <v>348.19</v>
      </c>
      <c r="H98">
        <v>0.75</v>
      </c>
      <c r="I98" s="1">
        <v>21.76</v>
      </c>
      <c r="J98" t="s">
        <v>423</v>
      </c>
      <c r="K98" t="s">
        <v>1391</v>
      </c>
      <c r="L98" s="9" t="s">
        <v>1438</v>
      </c>
      <c r="M98" s="9" t="s">
        <v>1443</v>
      </c>
      <c r="N98" t="s">
        <v>1415</v>
      </c>
      <c r="O98" s="1">
        <f>NewBusiness7[[#This Row],[Earnings]]/NewBusiness7[[#This Row],[Rate]]</f>
        <v>29.013333333333335</v>
      </c>
      <c r="P98" s="1">
        <f>NewBusiness7[[#This Row],[Column5]]*NewBusiness7[[#This Row],[Rate]]</f>
        <v>21.76</v>
      </c>
    </row>
    <row r="99" spans="1:16" x14ac:dyDescent="0.25">
      <c r="A99" t="s">
        <v>605</v>
      </c>
      <c r="B99" t="s">
        <v>627</v>
      </c>
      <c r="C99" t="s">
        <v>256</v>
      </c>
      <c r="D99" t="s">
        <v>628</v>
      </c>
      <c r="E99" s="4">
        <v>46054</v>
      </c>
      <c r="F99" s="4">
        <v>46174</v>
      </c>
      <c r="G99" s="1">
        <v>552</v>
      </c>
      <c r="H99">
        <v>0.8</v>
      </c>
      <c r="I99" s="1">
        <v>36.799999999999997</v>
      </c>
      <c r="J99" t="s">
        <v>34</v>
      </c>
      <c r="K99" t="s">
        <v>1395</v>
      </c>
      <c r="L99" s="9" t="s">
        <v>1438</v>
      </c>
      <c r="M99" s="9" t="s">
        <v>1443</v>
      </c>
      <c r="N99" t="s">
        <v>1415</v>
      </c>
      <c r="O99" s="1">
        <f>NewBusiness7[[#This Row],[Earnings]]/NewBusiness7[[#This Row],[Rate]]</f>
        <v>45.999999999999993</v>
      </c>
      <c r="P99" s="1">
        <f>NewBusiness7[[#This Row],[Column5]]*NewBusiness7[[#This Row],[Rate]]</f>
        <v>36.799999999999997</v>
      </c>
    </row>
    <row r="100" spans="1:16" x14ac:dyDescent="0.25">
      <c r="A100" t="s">
        <v>49</v>
      </c>
      <c r="B100" t="s">
        <v>50</v>
      </c>
      <c r="C100" t="s">
        <v>32</v>
      </c>
      <c r="D100" t="s">
        <v>51</v>
      </c>
      <c r="E100" s="4">
        <v>45809</v>
      </c>
      <c r="F100" s="4">
        <v>46174</v>
      </c>
      <c r="G100" s="1">
        <v>992.31</v>
      </c>
      <c r="H100">
        <v>0.85</v>
      </c>
      <c r="I100" s="1">
        <v>70.290000000000006</v>
      </c>
      <c r="J100" t="s">
        <v>34</v>
      </c>
      <c r="K100" t="s">
        <v>1390</v>
      </c>
      <c r="L100" s="9">
        <v>18581063</v>
      </c>
      <c r="M100" s="9" t="s">
        <v>1443</v>
      </c>
      <c r="N100" t="s">
        <v>1389</v>
      </c>
      <c r="O100" s="1">
        <f>NewBusiness7[[#This Row],[Earnings]]/NewBusiness7[[#This Row],[Rate]]</f>
        <v>82.694117647058832</v>
      </c>
      <c r="P100" s="1">
        <f>NewBusiness7[[#This Row],[Column5]]*NewBusiness7[[#This Row],[Rate]]</f>
        <v>70.290000000000006</v>
      </c>
    </row>
    <row r="101" spans="1:16" x14ac:dyDescent="0.25">
      <c r="A101" t="s">
        <v>60</v>
      </c>
      <c r="B101" t="s">
        <v>61</v>
      </c>
      <c r="C101" t="s">
        <v>62</v>
      </c>
      <c r="D101" t="s">
        <v>63</v>
      </c>
      <c r="E101" s="4">
        <v>45901</v>
      </c>
      <c r="F101" s="4">
        <v>46174</v>
      </c>
      <c r="G101" s="1">
        <v>1664.4</v>
      </c>
      <c r="H101">
        <v>0.8</v>
      </c>
      <c r="I101" s="1">
        <v>110.96</v>
      </c>
      <c r="J101" t="s">
        <v>34</v>
      </c>
      <c r="K101" t="s">
        <v>1397</v>
      </c>
      <c r="L101" s="9" t="s">
        <v>1419</v>
      </c>
      <c r="M101" s="9" t="s">
        <v>1443</v>
      </c>
      <c r="N101" t="s">
        <v>1389</v>
      </c>
      <c r="O101" s="1">
        <f>NewBusiness7[[#This Row],[Earnings]]/NewBusiness7[[#This Row],[Rate]]</f>
        <v>138.69999999999999</v>
      </c>
      <c r="P101" s="1">
        <f>NewBusiness7[[#This Row],[Column5]]*NewBusiness7[[#This Row],[Rate]]</f>
        <v>110.96</v>
      </c>
    </row>
    <row r="102" spans="1:16" x14ac:dyDescent="0.25">
      <c r="A102" t="s">
        <v>60</v>
      </c>
      <c r="B102" t="s">
        <v>66</v>
      </c>
      <c r="C102" t="s">
        <v>62</v>
      </c>
      <c r="D102" t="s">
        <v>67</v>
      </c>
      <c r="E102" s="4">
        <v>45839</v>
      </c>
      <c r="F102" s="4">
        <v>46174</v>
      </c>
      <c r="G102" s="1">
        <v>1723.2</v>
      </c>
      <c r="H102">
        <v>0.8</v>
      </c>
      <c r="I102" s="1">
        <v>114.88</v>
      </c>
      <c r="J102" t="s">
        <v>34</v>
      </c>
      <c r="K102" t="s">
        <v>1397</v>
      </c>
      <c r="L102" s="9" t="s">
        <v>1419</v>
      </c>
      <c r="M102" s="9" t="s">
        <v>1443</v>
      </c>
      <c r="N102" t="s">
        <v>1389</v>
      </c>
      <c r="O102" s="1">
        <f>NewBusiness7[[#This Row],[Earnings]]/NewBusiness7[[#This Row],[Rate]]</f>
        <v>143.6</v>
      </c>
      <c r="P102" s="1">
        <f>NewBusiness7[[#This Row],[Column5]]*NewBusiness7[[#This Row],[Rate]]</f>
        <v>114.88</v>
      </c>
    </row>
    <row r="103" spans="1:16" x14ac:dyDescent="0.25">
      <c r="A103" t="s">
        <v>60</v>
      </c>
      <c r="B103" t="s">
        <v>119</v>
      </c>
      <c r="C103" t="s">
        <v>62</v>
      </c>
      <c r="D103" t="s">
        <v>120</v>
      </c>
      <c r="E103" s="4">
        <v>45870</v>
      </c>
      <c r="F103" s="4">
        <v>46204</v>
      </c>
      <c r="G103" s="1">
        <v>1723.2</v>
      </c>
      <c r="H103">
        <v>0.8</v>
      </c>
      <c r="I103" s="1">
        <v>114.88</v>
      </c>
      <c r="J103" t="s">
        <v>34</v>
      </c>
      <c r="K103" t="s">
        <v>1397</v>
      </c>
      <c r="L103" s="9" t="s">
        <v>1419</v>
      </c>
      <c r="M103" s="9" t="s">
        <v>1443</v>
      </c>
      <c r="N103" t="s">
        <v>1389</v>
      </c>
      <c r="O103" s="1">
        <f>NewBusiness7[[#This Row],[Earnings]]/NewBusiness7[[#This Row],[Rate]]</f>
        <v>143.6</v>
      </c>
      <c r="P103" s="1">
        <f>NewBusiness7[[#This Row],[Column5]]*NewBusiness7[[#This Row],[Rate]]</f>
        <v>114.88</v>
      </c>
    </row>
    <row r="104" spans="1:16" x14ac:dyDescent="0.25">
      <c r="A104" t="s">
        <v>37</v>
      </c>
      <c r="B104" t="s">
        <v>38</v>
      </c>
      <c r="C104" t="s">
        <v>39</v>
      </c>
      <c r="D104" t="s">
        <v>40</v>
      </c>
      <c r="E104" s="4">
        <v>45839</v>
      </c>
      <c r="F104" s="4">
        <v>46174</v>
      </c>
      <c r="G104" s="1">
        <v>810.22</v>
      </c>
      <c r="H104">
        <v>0.8</v>
      </c>
      <c r="I104" s="1">
        <v>54.01</v>
      </c>
      <c r="J104" t="s">
        <v>34</v>
      </c>
      <c r="K104" t="s">
        <v>1395</v>
      </c>
      <c r="L104" s="9" t="s">
        <v>1418</v>
      </c>
      <c r="M104" s="9" t="s">
        <v>1443</v>
      </c>
      <c r="N104" t="s">
        <v>1389</v>
      </c>
      <c r="O104" s="1">
        <f>NewBusiness7[[#This Row],[Earnings]]/NewBusiness7[[#This Row],[Rate]]</f>
        <v>67.512499999999989</v>
      </c>
      <c r="P104" s="1">
        <f>NewBusiness7[[#This Row],[Column5]]*NewBusiness7[[#This Row],[Rate]]</f>
        <v>54.009999999999991</v>
      </c>
    </row>
    <row r="105" spans="1:16" x14ac:dyDescent="0.25">
      <c r="A105" t="s">
        <v>37</v>
      </c>
      <c r="B105" t="s">
        <v>235</v>
      </c>
      <c r="C105" t="s">
        <v>62</v>
      </c>
      <c r="D105" t="s">
        <v>236</v>
      </c>
      <c r="E105" s="4">
        <v>45870</v>
      </c>
      <c r="F105" s="4">
        <v>46174</v>
      </c>
      <c r="G105" s="1">
        <v>873.6</v>
      </c>
      <c r="H105">
        <v>0.8</v>
      </c>
      <c r="I105" s="1">
        <v>58.24</v>
      </c>
      <c r="J105" t="s">
        <v>34</v>
      </c>
      <c r="K105" t="s">
        <v>1397</v>
      </c>
      <c r="L105" s="9" t="s">
        <v>1418</v>
      </c>
      <c r="M105" s="9" t="s">
        <v>1443</v>
      </c>
      <c r="N105" t="s">
        <v>1389</v>
      </c>
      <c r="O105" s="1">
        <f>NewBusiness7[[#This Row],[Earnings]]/NewBusiness7[[#This Row],[Rate]]</f>
        <v>72.8</v>
      </c>
      <c r="P105" s="1">
        <f>NewBusiness7[[#This Row],[Column5]]*NewBusiness7[[#This Row],[Rate]]</f>
        <v>58.24</v>
      </c>
    </row>
    <row r="106" spans="1:16" x14ac:dyDescent="0.25">
      <c r="A106" t="s">
        <v>37</v>
      </c>
      <c r="B106" t="s">
        <v>368</v>
      </c>
      <c r="C106" t="s">
        <v>62</v>
      </c>
      <c r="D106" t="s">
        <v>369</v>
      </c>
      <c r="E106" s="4">
        <v>45962</v>
      </c>
      <c r="F106" s="4">
        <v>46174</v>
      </c>
      <c r="G106" s="1">
        <v>1392</v>
      </c>
      <c r="H106">
        <v>0.8</v>
      </c>
      <c r="I106" s="1">
        <v>92.8</v>
      </c>
      <c r="J106" t="s">
        <v>34</v>
      </c>
      <c r="K106" t="s">
        <v>1395</v>
      </c>
      <c r="L106" s="9">
        <v>7146581</v>
      </c>
      <c r="M106" s="9" t="s">
        <v>1443</v>
      </c>
      <c r="N106" t="s">
        <v>1396</v>
      </c>
      <c r="O106" s="1">
        <f>NewBusiness7[[#This Row],[Earnings]]/NewBusiness7[[#This Row],[Rate]]</f>
        <v>115.99999999999999</v>
      </c>
      <c r="P106" s="1">
        <f>NewBusiness7[[#This Row],[Column5]]*NewBusiness7[[#This Row],[Rate]]</f>
        <v>92.8</v>
      </c>
    </row>
    <row r="107" spans="1:16" x14ac:dyDescent="0.25">
      <c r="A107" t="s">
        <v>37</v>
      </c>
      <c r="B107" t="s">
        <v>397</v>
      </c>
      <c r="C107" t="s">
        <v>39</v>
      </c>
      <c r="D107" t="s">
        <v>398</v>
      </c>
      <c r="E107" s="4">
        <v>45992</v>
      </c>
      <c r="F107" s="4">
        <v>46174</v>
      </c>
      <c r="G107" s="1">
        <v>766.69</v>
      </c>
      <c r="H107">
        <v>0.8</v>
      </c>
      <c r="I107" s="1">
        <v>51.11</v>
      </c>
      <c r="J107" t="s">
        <v>34</v>
      </c>
      <c r="K107" t="s">
        <v>1395</v>
      </c>
      <c r="L107" s="9" t="s">
        <v>1418</v>
      </c>
      <c r="M107" s="9" t="s">
        <v>1443</v>
      </c>
      <c r="N107" t="s">
        <v>1415</v>
      </c>
      <c r="O107" s="1">
        <f>NewBusiness7[[#This Row],[Earnings]]/NewBusiness7[[#This Row],[Rate]]</f>
        <v>63.887499999999996</v>
      </c>
      <c r="P107" s="1">
        <f>NewBusiness7[[#This Row],[Column5]]*NewBusiness7[[#This Row],[Rate]]</f>
        <v>51.11</v>
      </c>
    </row>
    <row r="108" spans="1:16" x14ac:dyDescent="0.25">
      <c r="A108" t="s">
        <v>37</v>
      </c>
      <c r="B108" t="s">
        <v>485</v>
      </c>
      <c r="C108" t="s">
        <v>62</v>
      </c>
      <c r="D108" t="s">
        <v>486</v>
      </c>
      <c r="E108" s="4">
        <v>45976</v>
      </c>
      <c r="F108" s="4">
        <v>46188</v>
      </c>
      <c r="G108" s="1">
        <v>1060.8</v>
      </c>
      <c r="H108">
        <v>0.8</v>
      </c>
      <c r="I108" s="1">
        <v>70.72</v>
      </c>
      <c r="J108" t="s">
        <v>34</v>
      </c>
      <c r="K108" t="s">
        <v>1397</v>
      </c>
      <c r="L108" s="9">
        <v>7146581</v>
      </c>
      <c r="M108" s="9" t="s">
        <v>1443</v>
      </c>
      <c r="N108" t="s">
        <v>1396</v>
      </c>
      <c r="O108" s="1">
        <f>NewBusiness7[[#This Row],[Earnings]]/NewBusiness7[[#This Row],[Rate]]</f>
        <v>88.399999999999991</v>
      </c>
      <c r="P108" s="1">
        <f>NewBusiness7[[#This Row],[Column5]]*NewBusiness7[[#This Row],[Rate]]</f>
        <v>70.72</v>
      </c>
    </row>
    <row r="109" spans="1:16" x14ac:dyDescent="0.25">
      <c r="A109" t="s">
        <v>37</v>
      </c>
      <c r="B109" t="s">
        <v>698</v>
      </c>
      <c r="C109" t="s">
        <v>62</v>
      </c>
      <c r="D109" t="s">
        <v>699</v>
      </c>
      <c r="E109" s="4">
        <v>46143</v>
      </c>
      <c r="F109" s="4">
        <v>46204</v>
      </c>
      <c r="G109" s="1">
        <v>499.2</v>
      </c>
      <c r="H109">
        <v>0.8</v>
      </c>
      <c r="I109" s="1">
        <v>33.28</v>
      </c>
      <c r="J109" t="s">
        <v>34</v>
      </c>
      <c r="K109" t="s">
        <v>1397</v>
      </c>
      <c r="L109" s="9" t="s">
        <v>1418</v>
      </c>
      <c r="M109" s="9" t="s">
        <v>1443</v>
      </c>
      <c r="N109" t="s">
        <v>1415</v>
      </c>
      <c r="O109" s="1">
        <f>NewBusiness7[[#This Row],[Earnings]]/NewBusiness7[[#This Row],[Rate]]</f>
        <v>41.6</v>
      </c>
      <c r="P109" s="1">
        <f>NewBusiness7[[#This Row],[Column5]]*NewBusiness7[[#This Row],[Rate]]</f>
        <v>33.28</v>
      </c>
    </row>
    <row r="110" spans="1:16" x14ac:dyDescent="0.25">
      <c r="A110" t="s">
        <v>377</v>
      </c>
      <c r="B110" t="s">
        <v>378</v>
      </c>
      <c r="C110" t="s">
        <v>379</v>
      </c>
      <c r="D110" t="s">
        <v>380</v>
      </c>
      <c r="E110" s="4">
        <v>45954</v>
      </c>
      <c r="F110" s="4">
        <v>46197</v>
      </c>
      <c r="G110" s="1">
        <v>709.77</v>
      </c>
      <c r="H110">
        <v>0.8</v>
      </c>
      <c r="I110" s="1">
        <v>47.32</v>
      </c>
      <c r="J110" t="s">
        <v>112</v>
      </c>
      <c r="K110" t="s">
        <v>1397</v>
      </c>
      <c r="L110" s="9" t="s">
        <v>1401</v>
      </c>
      <c r="M110" s="9" t="s">
        <v>1443</v>
      </c>
      <c r="N110" t="s">
        <v>1389</v>
      </c>
      <c r="O110" s="1">
        <f>NewBusiness7[[#This Row],[Earnings]]/NewBusiness7[[#This Row],[Rate]]</f>
        <v>59.15</v>
      </c>
      <c r="P110" s="1">
        <f>NewBusiness7[[#This Row],[Column5]]*NewBusiness7[[#This Row],[Rate]]</f>
        <v>47.32</v>
      </c>
    </row>
    <row r="111" spans="1:16" x14ac:dyDescent="0.25">
      <c r="A111" t="s">
        <v>259</v>
      </c>
      <c r="B111" t="s">
        <v>260</v>
      </c>
      <c r="C111" t="s">
        <v>261</v>
      </c>
      <c r="D111" t="s">
        <v>262</v>
      </c>
      <c r="E111" s="4">
        <v>45931</v>
      </c>
      <c r="F111" s="4">
        <v>46174</v>
      </c>
      <c r="G111" s="1">
        <v>959.76</v>
      </c>
      <c r="H111">
        <v>0.8</v>
      </c>
      <c r="I111" s="1">
        <v>63.98</v>
      </c>
      <c r="J111" t="s">
        <v>112</v>
      </c>
      <c r="K111" t="s">
        <v>1397</v>
      </c>
      <c r="L111" s="9" t="s">
        <v>1431</v>
      </c>
      <c r="M111" s="9" t="s">
        <v>1443</v>
      </c>
      <c r="N111" t="s">
        <v>1389</v>
      </c>
      <c r="O111" s="1">
        <f>NewBusiness7[[#This Row],[Earnings]]/NewBusiness7[[#This Row],[Rate]]</f>
        <v>79.974999999999994</v>
      </c>
      <c r="P111" s="1">
        <f>NewBusiness7[[#This Row],[Column5]]*NewBusiness7[[#This Row],[Rate]]</f>
        <v>63.98</v>
      </c>
    </row>
    <row r="112" spans="1:16" x14ac:dyDescent="0.25">
      <c r="A112" t="s">
        <v>259</v>
      </c>
      <c r="B112" t="s">
        <v>330</v>
      </c>
      <c r="C112" t="s">
        <v>62</v>
      </c>
      <c r="D112" t="s">
        <v>331</v>
      </c>
      <c r="E112" s="4">
        <v>45962</v>
      </c>
      <c r="F112" s="4">
        <v>46235</v>
      </c>
      <c r="G112" s="1">
        <v>734.33</v>
      </c>
      <c r="H112">
        <v>0.8</v>
      </c>
      <c r="I112" s="1">
        <v>146.86000000000001</v>
      </c>
      <c r="J112" t="s">
        <v>112</v>
      </c>
      <c r="K112" t="s">
        <v>1397</v>
      </c>
      <c r="L112" s="9" t="s">
        <v>1431</v>
      </c>
      <c r="M112" s="9" t="s">
        <v>1443</v>
      </c>
      <c r="N112" t="s">
        <v>1389</v>
      </c>
      <c r="O112" s="1">
        <f>NewBusiness7[[#This Row],[Earnings]]/NewBusiness7[[#This Row],[Rate]]</f>
        <v>183.57500000000002</v>
      </c>
      <c r="P112" s="1">
        <f>NewBusiness7[[#This Row],[Column5]]*NewBusiness7[[#This Row],[Rate]]</f>
        <v>146.86000000000001</v>
      </c>
    </row>
    <row r="113" spans="1:16" x14ac:dyDescent="0.25">
      <c r="A113" t="s">
        <v>259</v>
      </c>
      <c r="B113" t="s">
        <v>332</v>
      </c>
      <c r="C113" t="s">
        <v>62</v>
      </c>
      <c r="D113" t="s">
        <v>333</v>
      </c>
      <c r="E113" s="4">
        <v>46023</v>
      </c>
      <c r="F113" s="4">
        <v>46174</v>
      </c>
      <c r="G113" s="1">
        <v>968.68</v>
      </c>
      <c r="H113">
        <v>0.8</v>
      </c>
      <c r="I113" s="1">
        <v>64.58</v>
      </c>
      <c r="J113" t="s">
        <v>112</v>
      </c>
      <c r="K113" t="s">
        <v>1395</v>
      </c>
      <c r="L113" s="9" t="s">
        <v>1432</v>
      </c>
      <c r="M113" s="9" t="s">
        <v>1443</v>
      </c>
      <c r="N113" t="s">
        <v>1389</v>
      </c>
      <c r="O113" s="1">
        <f>NewBusiness7[[#This Row],[Earnings]]/NewBusiness7[[#This Row],[Rate]]</f>
        <v>80.724999999999994</v>
      </c>
      <c r="P113" s="1">
        <f>NewBusiness7[[#This Row],[Column5]]*NewBusiness7[[#This Row],[Rate]]</f>
        <v>64.58</v>
      </c>
    </row>
    <row r="114" spans="1:16" x14ac:dyDescent="0.25">
      <c r="A114" t="s">
        <v>259</v>
      </c>
      <c r="B114" t="s">
        <v>419</v>
      </c>
      <c r="C114" t="s">
        <v>62</v>
      </c>
      <c r="D114" t="s">
        <v>420</v>
      </c>
      <c r="E114" s="4">
        <v>45962</v>
      </c>
      <c r="F114" s="4">
        <v>46174</v>
      </c>
      <c r="G114" s="1">
        <v>781.2</v>
      </c>
      <c r="H114">
        <v>0.8</v>
      </c>
      <c r="I114" s="1">
        <v>52.08</v>
      </c>
      <c r="J114" t="s">
        <v>112</v>
      </c>
      <c r="K114" t="s">
        <v>1397</v>
      </c>
      <c r="L114" s="9" t="s">
        <v>1431</v>
      </c>
      <c r="M114" s="9" t="s">
        <v>1443</v>
      </c>
      <c r="N114" t="s">
        <v>1389</v>
      </c>
      <c r="O114" s="1">
        <f>NewBusiness7[[#This Row],[Earnings]]/NewBusiness7[[#This Row],[Rate]]</f>
        <v>65.099999999999994</v>
      </c>
      <c r="P114" s="1">
        <f>NewBusiness7[[#This Row],[Column5]]*NewBusiness7[[#This Row],[Rate]]</f>
        <v>52.08</v>
      </c>
    </row>
    <row r="115" spans="1:16" x14ac:dyDescent="0.25">
      <c r="A115" t="s">
        <v>259</v>
      </c>
      <c r="B115" t="s">
        <v>401</v>
      </c>
      <c r="C115" t="s">
        <v>193</v>
      </c>
      <c r="D115" t="s">
        <v>402</v>
      </c>
      <c r="E115" s="4">
        <v>45962</v>
      </c>
      <c r="F115" s="4">
        <v>46174</v>
      </c>
      <c r="G115" s="1">
        <v>544.85</v>
      </c>
      <c r="H115">
        <v>0.85</v>
      </c>
      <c r="I115" s="1">
        <v>38.58</v>
      </c>
      <c r="J115" t="s">
        <v>112</v>
      </c>
      <c r="K115" t="s">
        <v>1390</v>
      </c>
      <c r="L115" s="9" t="s">
        <v>1431</v>
      </c>
      <c r="M115" s="9" t="s">
        <v>1443</v>
      </c>
      <c r="N115" t="s">
        <v>1389</v>
      </c>
      <c r="O115" s="1">
        <f>NewBusiness7[[#This Row],[Earnings]]/NewBusiness7[[#This Row],[Rate]]</f>
        <v>45.388235294117649</v>
      </c>
      <c r="P115" s="1">
        <f>NewBusiness7[[#This Row],[Column5]]*NewBusiness7[[#This Row],[Rate]]</f>
        <v>38.58</v>
      </c>
    </row>
    <row r="116" spans="1:16" x14ac:dyDescent="0.25">
      <c r="A116" t="s">
        <v>259</v>
      </c>
      <c r="B116" t="s">
        <v>682</v>
      </c>
      <c r="C116" t="s">
        <v>91</v>
      </c>
      <c r="D116" t="s">
        <v>683</v>
      </c>
      <c r="E116" s="4">
        <v>46113</v>
      </c>
      <c r="F116" s="4">
        <v>46204</v>
      </c>
      <c r="G116" s="1">
        <v>691.4</v>
      </c>
      <c r="H116">
        <v>0.85</v>
      </c>
      <c r="I116" s="1">
        <v>48.97</v>
      </c>
      <c r="J116" t="s">
        <v>112</v>
      </c>
      <c r="K116" t="s">
        <v>1390</v>
      </c>
      <c r="L116" s="9">
        <v>19278370</v>
      </c>
      <c r="M116" s="9" t="s">
        <v>1443</v>
      </c>
      <c r="N116" t="s">
        <v>1389</v>
      </c>
      <c r="O116" s="1">
        <f>NewBusiness7[[#This Row],[Earnings]]/NewBusiness7[[#This Row],[Rate]]</f>
        <v>57.611764705882351</v>
      </c>
      <c r="P116" s="1">
        <f>NewBusiness7[[#This Row],[Column5]]*NewBusiness7[[#This Row],[Rate]]</f>
        <v>48.97</v>
      </c>
    </row>
    <row r="117" spans="1:16" x14ac:dyDescent="0.25">
      <c r="A117" t="s">
        <v>326</v>
      </c>
      <c r="B117" t="s">
        <v>327</v>
      </c>
      <c r="C117" t="s">
        <v>162</v>
      </c>
      <c r="D117" t="s">
        <v>328</v>
      </c>
      <c r="E117" s="4">
        <v>45957</v>
      </c>
      <c r="F117" s="4">
        <v>46200</v>
      </c>
      <c r="G117" s="1">
        <v>1140.55</v>
      </c>
      <c r="H117">
        <v>0.75</v>
      </c>
      <c r="I117" s="1">
        <v>71.28</v>
      </c>
      <c r="J117" t="s">
        <v>329</v>
      </c>
      <c r="K117" t="s">
        <v>1391</v>
      </c>
      <c r="L117" s="9">
        <v>16202925</v>
      </c>
      <c r="M117" s="9" t="s">
        <v>1443</v>
      </c>
      <c r="N117" t="s">
        <v>1396</v>
      </c>
      <c r="O117" s="1">
        <f>NewBusiness7[[#This Row],[Earnings]]/NewBusiness7[[#This Row],[Rate]]</f>
        <v>95.04</v>
      </c>
      <c r="P117" s="1">
        <f>NewBusiness7[[#This Row],[Column5]]*NewBusiness7[[#This Row],[Rate]]</f>
        <v>71.28</v>
      </c>
    </row>
    <row r="118" spans="1:16" x14ac:dyDescent="0.25">
      <c r="A118" t="s">
        <v>228</v>
      </c>
      <c r="B118" t="s">
        <v>263</v>
      </c>
      <c r="C118" t="s">
        <v>62</v>
      </c>
      <c r="D118" t="s">
        <v>264</v>
      </c>
      <c r="E118" s="4">
        <v>45901</v>
      </c>
      <c r="F118" s="4">
        <v>46174</v>
      </c>
      <c r="G118" s="1">
        <v>547.20000000000005</v>
      </c>
      <c r="H118">
        <v>0.8</v>
      </c>
      <c r="I118" s="1">
        <v>36.479999999999997</v>
      </c>
      <c r="J118" t="s">
        <v>34</v>
      </c>
      <c r="K118" t="s">
        <v>1397</v>
      </c>
      <c r="L118" s="9">
        <v>8814784</v>
      </c>
      <c r="M118" s="9" t="s">
        <v>1443</v>
      </c>
      <c r="N118" t="s">
        <v>1389</v>
      </c>
      <c r="O118" s="1">
        <f>NewBusiness7[[#This Row],[Earnings]]/NewBusiness7[[#This Row],[Rate]]</f>
        <v>45.599999999999994</v>
      </c>
      <c r="P118" s="1">
        <f>NewBusiness7[[#This Row],[Column5]]*NewBusiness7[[#This Row],[Rate]]</f>
        <v>36.479999999999997</v>
      </c>
    </row>
    <row r="119" spans="1:16" x14ac:dyDescent="0.25">
      <c r="A119" t="s">
        <v>228</v>
      </c>
      <c r="B119" t="s">
        <v>269</v>
      </c>
      <c r="C119" t="s">
        <v>62</v>
      </c>
      <c r="D119" t="s">
        <v>270</v>
      </c>
      <c r="E119" s="4">
        <v>45962</v>
      </c>
      <c r="F119" s="4">
        <v>46174</v>
      </c>
      <c r="G119" s="1">
        <v>470.4</v>
      </c>
      <c r="H119">
        <v>0.8</v>
      </c>
      <c r="I119" s="1">
        <v>31.36</v>
      </c>
      <c r="J119" t="s">
        <v>34</v>
      </c>
      <c r="K119" t="s">
        <v>1397</v>
      </c>
      <c r="L119" s="9" t="s">
        <v>1411</v>
      </c>
      <c r="M119" s="9" t="s">
        <v>1443</v>
      </c>
      <c r="N119" t="s">
        <v>1396</v>
      </c>
      <c r="O119" s="1">
        <f>NewBusiness7[[#This Row],[Earnings]]/NewBusiness7[[#This Row],[Rate]]</f>
        <v>39.199999999999996</v>
      </c>
      <c r="P119" s="1">
        <f>NewBusiness7[[#This Row],[Column5]]*NewBusiness7[[#This Row],[Rate]]</f>
        <v>31.36</v>
      </c>
    </row>
    <row r="120" spans="1:16" x14ac:dyDescent="0.25">
      <c r="A120" t="s">
        <v>228</v>
      </c>
      <c r="B120" t="s">
        <v>271</v>
      </c>
      <c r="C120" t="s">
        <v>62</v>
      </c>
      <c r="D120" t="s">
        <v>272</v>
      </c>
      <c r="E120" s="4">
        <v>45962</v>
      </c>
      <c r="F120" s="4">
        <v>46174</v>
      </c>
      <c r="G120" s="1">
        <v>489.6</v>
      </c>
      <c r="H120">
        <v>0.8</v>
      </c>
      <c r="I120" s="1">
        <v>32.64</v>
      </c>
      <c r="J120" t="s">
        <v>34</v>
      </c>
      <c r="K120" t="s">
        <v>1397</v>
      </c>
      <c r="L120" s="9" t="s">
        <v>1411</v>
      </c>
      <c r="M120" s="9" t="s">
        <v>1443</v>
      </c>
      <c r="N120" t="s">
        <v>1396</v>
      </c>
      <c r="O120" s="1">
        <f>NewBusiness7[[#This Row],[Earnings]]/NewBusiness7[[#This Row],[Rate]]</f>
        <v>40.799999999999997</v>
      </c>
      <c r="P120" s="1">
        <f>NewBusiness7[[#This Row],[Column5]]*NewBusiness7[[#This Row],[Rate]]</f>
        <v>32.64</v>
      </c>
    </row>
    <row r="121" spans="1:16" x14ac:dyDescent="0.25">
      <c r="A121" t="s">
        <v>228</v>
      </c>
      <c r="B121" t="s">
        <v>448</v>
      </c>
      <c r="C121" t="s">
        <v>62</v>
      </c>
      <c r="D121" t="s">
        <v>449</v>
      </c>
      <c r="E121" s="4">
        <v>45933</v>
      </c>
      <c r="F121" s="4">
        <v>46176</v>
      </c>
      <c r="G121" s="1">
        <v>1161.5999999999999</v>
      </c>
      <c r="H121">
        <v>0.8</v>
      </c>
      <c r="I121" s="1">
        <v>77.44</v>
      </c>
      <c r="J121" t="s">
        <v>34</v>
      </c>
      <c r="K121" t="s">
        <v>1397</v>
      </c>
      <c r="L121" s="9" t="s">
        <v>1411</v>
      </c>
      <c r="M121" s="9" t="s">
        <v>1443</v>
      </c>
      <c r="N121" t="s">
        <v>1396</v>
      </c>
      <c r="O121" s="1">
        <f>NewBusiness7[[#This Row],[Earnings]]/NewBusiness7[[#This Row],[Rate]]</f>
        <v>96.8</v>
      </c>
      <c r="P121" s="1">
        <f>NewBusiness7[[#This Row],[Column5]]*NewBusiness7[[#This Row],[Rate]]</f>
        <v>77.44</v>
      </c>
    </row>
    <row r="122" spans="1:16" x14ac:dyDescent="0.25">
      <c r="A122" t="s">
        <v>228</v>
      </c>
      <c r="B122" t="s">
        <v>450</v>
      </c>
      <c r="C122" t="s">
        <v>62</v>
      </c>
      <c r="D122" t="s">
        <v>451</v>
      </c>
      <c r="E122" s="4">
        <v>45933</v>
      </c>
      <c r="F122" s="4">
        <v>46176</v>
      </c>
      <c r="G122" s="1">
        <v>1161.5999999999999</v>
      </c>
      <c r="H122">
        <v>0.8</v>
      </c>
      <c r="I122" s="1">
        <v>77.44</v>
      </c>
      <c r="J122" t="s">
        <v>34</v>
      </c>
      <c r="K122" t="s">
        <v>1397</v>
      </c>
      <c r="L122" s="9" t="s">
        <v>1411</v>
      </c>
      <c r="M122" s="9" t="s">
        <v>1443</v>
      </c>
      <c r="N122" t="s">
        <v>1396</v>
      </c>
      <c r="O122" s="1">
        <f>NewBusiness7[[#This Row],[Earnings]]/NewBusiness7[[#This Row],[Rate]]</f>
        <v>96.8</v>
      </c>
      <c r="P122" s="1">
        <f>NewBusiness7[[#This Row],[Column5]]*NewBusiness7[[#This Row],[Rate]]</f>
        <v>77.44</v>
      </c>
    </row>
    <row r="123" spans="1:16" x14ac:dyDescent="0.25">
      <c r="A123" t="s">
        <v>228</v>
      </c>
      <c r="B123" t="s">
        <v>475</v>
      </c>
      <c r="C123" t="s">
        <v>62</v>
      </c>
      <c r="D123" t="s">
        <v>476</v>
      </c>
      <c r="E123" s="4">
        <v>46023</v>
      </c>
      <c r="F123" s="4">
        <v>46174</v>
      </c>
      <c r="G123" s="1">
        <v>489.6</v>
      </c>
      <c r="H123">
        <v>0.8</v>
      </c>
      <c r="I123" s="1">
        <v>32.64</v>
      </c>
      <c r="J123" t="s">
        <v>34</v>
      </c>
      <c r="K123" t="s">
        <v>1397</v>
      </c>
      <c r="L123" s="9" t="s">
        <v>1411</v>
      </c>
      <c r="M123" s="9" t="s">
        <v>1443</v>
      </c>
      <c r="N123" t="s">
        <v>1415</v>
      </c>
      <c r="O123" s="1">
        <f>NewBusiness7[[#This Row],[Earnings]]/NewBusiness7[[#This Row],[Rate]]</f>
        <v>40.799999999999997</v>
      </c>
      <c r="P123" s="1">
        <f>NewBusiness7[[#This Row],[Column5]]*NewBusiness7[[#This Row],[Rate]]</f>
        <v>32.64</v>
      </c>
    </row>
    <row r="124" spans="1:16" x14ac:dyDescent="0.25">
      <c r="A124" t="s">
        <v>228</v>
      </c>
      <c r="B124" t="s">
        <v>610</v>
      </c>
      <c r="C124" t="s">
        <v>62</v>
      </c>
      <c r="D124" t="s">
        <v>611</v>
      </c>
      <c r="E124" s="4">
        <v>46082</v>
      </c>
      <c r="F124" s="4">
        <v>46174</v>
      </c>
      <c r="G124" s="1">
        <v>470.4</v>
      </c>
      <c r="H124">
        <v>0.8</v>
      </c>
      <c r="I124" s="1">
        <v>31.36</v>
      </c>
      <c r="J124" t="s">
        <v>34</v>
      </c>
      <c r="K124" t="s">
        <v>1397</v>
      </c>
      <c r="L124" s="9" t="s">
        <v>1411</v>
      </c>
      <c r="M124" s="9" t="s">
        <v>1443</v>
      </c>
      <c r="N124" t="s">
        <v>1415</v>
      </c>
      <c r="O124" s="1">
        <f>NewBusiness7[[#This Row],[Earnings]]/NewBusiness7[[#This Row],[Rate]]</f>
        <v>39.199999999999996</v>
      </c>
      <c r="P124" s="1">
        <f>NewBusiness7[[#This Row],[Column5]]*NewBusiness7[[#This Row],[Rate]]</f>
        <v>31.36</v>
      </c>
    </row>
    <row r="125" spans="1:16" x14ac:dyDescent="0.25">
      <c r="A125" t="s">
        <v>228</v>
      </c>
      <c r="B125" t="s">
        <v>635</v>
      </c>
      <c r="C125" t="s">
        <v>62</v>
      </c>
      <c r="D125" t="s">
        <v>636</v>
      </c>
      <c r="E125" s="4">
        <v>46054</v>
      </c>
      <c r="F125" s="4">
        <v>46174</v>
      </c>
      <c r="G125" s="1">
        <v>283.2</v>
      </c>
      <c r="H125">
        <v>0.8</v>
      </c>
      <c r="I125" s="1">
        <v>18.88</v>
      </c>
      <c r="J125" t="s">
        <v>34</v>
      </c>
      <c r="K125" t="s">
        <v>1397</v>
      </c>
      <c r="L125" s="9" t="s">
        <v>1411</v>
      </c>
      <c r="M125" s="9" t="s">
        <v>1443</v>
      </c>
      <c r="N125" t="s">
        <v>1415</v>
      </c>
      <c r="O125" s="1">
        <f>NewBusiness7[[#This Row],[Earnings]]/NewBusiness7[[#This Row],[Rate]]</f>
        <v>23.599999999999998</v>
      </c>
      <c r="P125" s="1">
        <f>NewBusiness7[[#This Row],[Column5]]*NewBusiness7[[#This Row],[Rate]]</f>
        <v>18.88</v>
      </c>
    </row>
    <row r="126" spans="1:16" x14ac:dyDescent="0.25">
      <c r="A126" t="s">
        <v>228</v>
      </c>
      <c r="B126" t="s">
        <v>637</v>
      </c>
      <c r="C126" t="s">
        <v>62</v>
      </c>
      <c r="D126" t="s">
        <v>638</v>
      </c>
      <c r="E126" s="4">
        <v>46113</v>
      </c>
      <c r="F126" s="4">
        <v>46174</v>
      </c>
      <c r="G126" s="1">
        <v>470.4</v>
      </c>
      <c r="H126">
        <v>0.8</v>
      </c>
      <c r="I126" s="1">
        <v>31.36</v>
      </c>
      <c r="J126" t="s">
        <v>34</v>
      </c>
      <c r="K126" t="s">
        <v>1397</v>
      </c>
      <c r="L126" s="9" t="s">
        <v>1411</v>
      </c>
      <c r="M126" s="9" t="s">
        <v>1443</v>
      </c>
      <c r="N126" t="s">
        <v>1415</v>
      </c>
      <c r="O126" s="1">
        <f>NewBusiness7[[#This Row],[Earnings]]/NewBusiness7[[#This Row],[Rate]]</f>
        <v>39.199999999999996</v>
      </c>
      <c r="P126" s="1">
        <f>NewBusiness7[[#This Row],[Column5]]*NewBusiness7[[#This Row],[Rate]]</f>
        <v>31.36</v>
      </c>
    </row>
    <row r="127" spans="1:16" x14ac:dyDescent="0.25">
      <c r="A127" t="s">
        <v>228</v>
      </c>
      <c r="B127" t="s">
        <v>653</v>
      </c>
      <c r="C127" t="s">
        <v>62</v>
      </c>
      <c r="D127" t="s">
        <v>654</v>
      </c>
      <c r="E127" s="4">
        <v>46082</v>
      </c>
      <c r="F127" s="4">
        <v>46174</v>
      </c>
      <c r="G127" s="1">
        <v>889.2</v>
      </c>
      <c r="H127">
        <v>0.8</v>
      </c>
      <c r="I127" s="1">
        <v>59.28</v>
      </c>
      <c r="J127" t="s">
        <v>34</v>
      </c>
      <c r="K127" t="s">
        <v>1397</v>
      </c>
      <c r="L127" s="9" t="s">
        <v>1411</v>
      </c>
      <c r="M127" s="9" t="s">
        <v>1443</v>
      </c>
      <c r="N127" t="s">
        <v>1415</v>
      </c>
      <c r="O127" s="1">
        <f>NewBusiness7[[#This Row],[Earnings]]/NewBusiness7[[#This Row],[Rate]]</f>
        <v>74.099999999999994</v>
      </c>
      <c r="P127" s="1">
        <f>NewBusiness7[[#This Row],[Column5]]*NewBusiness7[[#This Row],[Rate]]</f>
        <v>59.28</v>
      </c>
    </row>
    <row r="128" spans="1:16" x14ac:dyDescent="0.25">
      <c r="A128" t="s">
        <v>228</v>
      </c>
      <c r="B128" t="s">
        <v>670</v>
      </c>
      <c r="C128" t="s">
        <v>62</v>
      </c>
      <c r="D128" t="s">
        <v>671</v>
      </c>
      <c r="E128" s="4">
        <v>46113</v>
      </c>
      <c r="F128" s="4">
        <v>46174</v>
      </c>
      <c r="G128" s="1">
        <v>830.4</v>
      </c>
      <c r="H128">
        <v>0.8</v>
      </c>
      <c r="I128" s="1">
        <v>55.36</v>
      </c>
      <c r="J128" t="s">
        <v>34</v>
      </c>
      <c r="K128" t="s">
        <v>1397</v>
      </c>
      <c r="L128" s="9" t="s">
        <v>1411</v>
      </c>
      <c r="M128" s="9" t="s">
        <v>1443</v>
      </c>
      <c r="N128" t="s">
        <v>1415</v>
      </c>
      <c r="O128" s="1">
        <f>NewBusiness7[[#This Row],[Earnings]]/NewBusiness7[[#This Row],[Rate]]</f>
        <v>69.199999999999989</v>
      </c>
      <c r="P128" s="1">
        <f>NewBusiness7[[#This Row],[Column5]]*NewBusiness7[[#This Row],[Rate]]</f>
        <v>55.359999999999992</v>
      </c>
    </row>
    <row r="129" spans="1:16" x14ac:dyDescent="0.25">
      <c r="A129" t="s">
        <v>228</v>
      </c>
      <c r="B129" t="s">
        <v>229</v>
      </c>
      <c r="C129" t="s">
        <v>32</v>
      </c>
      <c r="D129" t="s">
        <v>230</v>
      </c>
      <c r="E129" s="4">
        <v>45862</v>
      </c>
      <c r="F129" s="4">
        <v>46197</v>
      </c>
      <c r="G129" s="1">
        <v>123.64</v>
      </c>
      <c r="H129">
        <v>0.85</v>
      </c>
      <c r="I129" s="1">
        <v>8.76</v>
      </c>
      <c r="J129" t="s">
        <v>34</v>
      </c>
      <c r="K129" t="s">
        <v>1390</v>
      </c>
      <c r="L129" s="9" t="s">
        <v>1411</v>
      </c>
      <c r="M129" s="9" t="s">
        <v>1443</v>
      </c>
      <c r="N129" t="s">
        <v>1389</v>
      </c>
      <c r="O129" s="1">
        <f>NewBusiness7[[#This Row],[Earnings]]/NewBusiness7[[#This Row],[Rate]]</f>
        <v>10.305882352941177</v>
      </c>
      <c r="P129" s="1">
        <f>NewBusiness7[[#This Row],[Column5]]*NewBusiness7[[#This Row],[Rate]]</f>
        <v>8.76</v>
      </c>
    </row>
    <row r="130" spans="1:16" x14ac:dyDescent="0.25">
      <c r="A130" t="s">
        <v>228</v>
      </c>
      <c r="B130" t="s">
        <v>231</v>
      </c>
      <c r="C130" t="s">
        <v>32</v>
      </c>
      <c r="D130" t="s">
        <v>232</v>
      </c>
      <c r="E130" s="4">
        <v>45861</v>
      </c>
      <c r="F130" s="4">
        <v>46196</v>
      </c>
      <c r="G130" s="1">
        <v>73.86</v>
      </c>
      <c r="H130">
        <v>0.85</v>
      </c>
      <c r="I130" s="1">
        <v>5.23</v>
      </c>
      <c r="J130" t="s">
        <v>34</v>
      </c>
      <c r="K130" t="s">
        <v>1390</v>
      </c>
      <c r="L130" s="9" t="s">
        <v>1411</v>
      </c>
      <c r="M130" s="9" t="s">
        <v>1443</v>
      </c>
      <c r="N130" t="s">
        <v>1389</v>
      </c>
      <c r="O130" s="1">
        <f>NewBusiness7[[#This Row],[Earnings]]/NewBusiness7[[#This Row],[Rate]]</f>
        <v>6.1529411764705886</v>
      </c>
      <c r="P130" s="1">
        <f>NewBusiness7[[#This Row],[Column5]]*NewBusiness7[[#This Row],[Rate]]</f>
        <v>5.23</v>
      </c>
    </row>
    <row r="131" spans="1:16" x14ac:dyDescent="0.25">
      <c r="A131" t="s">
        <v>228</v>
      </c>
      <c r="B131" t="s">
        <v>239</v>
      </c>
      <c r="C131" t="s">
        <v>32</v>
      </c>
      <c r="D131" t="s">
        <v>240</v>
      </c>
      <c r="E131" s="4">
        <v>45870</v>
      </c>
      <c r="F131" s="4">
        <v>46174</v>
      </c>
      <c r="G131" s="1">
        <v>592.61</v>
      </c>
      <c r="H131">
        <v>0.85</v>
      </c>
      <c r="I131" s="1">
        <v>41.97</v>
      </c>
      <c r="J131" t="s">
        <v>34</v>
      </c>
      <c r="K131" t="s">
        <v>1390</v>
      </c>
      <c r="L131" s="9">
        <v>8814784</v>
      </c>
      <c r="M131" s="9" t="s">
        <v>1443</v>
      </c>
      <c r="N131" t="s">
        <v>1389</v>
      </c>
      <c r="O131" s="1">
        <f>NewBusiness7[[#This Row],[Earnings]]/NewBusiness7[[#This Row],[Rate]]</f>
        <v>49.376470588235293</v>
      </c>
      <c r="P131" s="1">
        <f>NewBusiness7[[#This Row],[Column5]]*NewBusiness7[[#This Row],[Rate]]</f>
        <v>41.97</v>
      </c>
    </row>
    <row r="132" spans="1:16" x14ac:dyDescent="0.25">
      <c r="A132" t="s">
        <v>228</v>
      </c>
      <c r="B132" t="s">
        <v>314</v>
      </c>
      <c r="C132" t="s">
        <v>32</v>
      </c>
      <c r="D132" t="s">
        <v>315</v>
      </c>
      <c r="E132" s="4">
        <v>45962</v>
      </c>
      <c r="F132" s="4">
        <v>46174</v>
      </c>
      <c r="G132" s="1">
        <v>551.12</v>
      </c>
      <c r="H132">
        <v>0.85</v>
      </c>
      <c r="I132" s="1">
        <v>39.03</v>
      </c>
      <c r="J132" t="s">
        <v>34</v>
      </c>
      <c r="K132" t="s">
        <v>1390</v>
      </c>
      <c r="L132" s="9">
        <v>8814784</v>
      </c>
      <c r="M132" s="9" t="s">
        <v>1443</v>
      </c>
      <c r="N132" t="s">
        <v>1396</v>
      </c>
      <c r="O132" s="1">
        <f>NewBusiness7[[#This Row],[Earnings]]/NewBusiness7[[#This Row],[Rate]]</f>
        <v>45.917647058823533</v>
      </c>
      <c r="P132" s="1">
        <f>NewBusiness7[[#This Row],[Column5]]*NewBusiness7[[#This Row],[Rate]]</f>
        <v>39.03</v>
      </c>
    </row>
    <row r="133" spans="1:16" x14ac:dyDescent="0.25">
      <c r="A133" t="s">
        <v>228</v>
      </c>
      <c r="B133" t="s">
        <v>383</v>
      </c>
      <c r="C133" t="s">
        <v>32</v>
      </c>
      <c r="D133" t="s">
        <v>384</v>
      </c>
      <c r="E133" s="4">
        <v>45962</v>
      </c>
      <c r="F133" s="4">
        <v>46174</v>
      </c>
      <c r="G133" s="1">
        <v>530.86</v>
      </c>
      <c r="H133">
        <v>0.85</v>
      </c>
      <c r="I133" s="1">
        <v>37.6</v>
      </c>
      <c r="J133" t="s">
        <v>34</v>
      </c>
      <c r="K133" t="s">
        <v>1390</v>
      </c>
      <c r="L133" s="9">
        <v>8814784</v>
      </c>
      <c r="M133" s="9" t="s">
        <v>1443</v>
      </c>
      <c r="N133" t="s">
        <v>1396</v>
      </c>
      <c r="O133" s="1">
        <f>NewBusiness7[[#This Row],[Earnings]]/NewBusiness7[[#This Row],[Rate]]</f>
        <v>44.235294117647065</v>
      </c>
      <c r="P133" s="1">
        <f>NewBusiness7[[#This Row],[Column5]]*NewBusiness7[[#This Row],[Rate]]</f>
        <v>37.6</v>
      </c>
    </row>
    <row r="134" spans="1:16" x14ac:dyDescent="0.25">
      <c r="A134" t="s">
        <v>150</v>
      </c>
      <c r="B134" t="s">
        <v>151</v>
      </c>
      <c r="C134" t="s">
        <v>32</v>
      </c>
      <c r="D134" t="s">
        <v>152</v>
      </c>
      <c r="E134" s="4">
        <v>45984</v>
      </c>
      <c r="F134" s="4">
        <v>46196</v>
      </c>
      <c r="G134" s="1">
        <v>578.44000000000005</v>
      </c>
      <c r="H134">
        <v>0.85</v>
      </c>
      <c r="I134" s="1">
        <v>122.92</v>
      </c>
      <c r="J134" t="s">
        <v>34</v>
      </c>
      <c r="K134" t="s">
        <v>1390</v>
      </c>
      <c r="L134" s="9" t="s">
        <v>1426</v>
      </c>
      <c r="M134" s="9" t="s">
        <v>1443</v>
      </c>
      <c r="N134" t="s">
        <v>1389</v>
      </c>
      <c r="O134" s="1">
        <f>NewBusiness7[[#This Row],[Earnings]]/NewBusiness7[[#This Row],[Rate]]</f>
        <v>144.61176470588236</v>
      </c>
      <c r="P134" s="1">
        <f>NewBusiness7[[#This Row],[Column5]]*NewBusiness7[[#This Row],[Rate]]</f>
        <v>122.92</v>
      </c>
    </row>
    <row r="135" spans="1:16" x14ac:dyDescent="0.25">
      <c r="A135" t="s">
        <v>150</v>
      </c>
      <c r="B135" t="s">
        <v>338</v>
      </c>
      <c r="C135" t="s">
        <v>32</v>
      </c>
      <c r="D135" t="s">
        <v>339</v>
      </c>
      <c r="E135" s="4">
        <v>45970</v>
      </c>
      <c r="F135" s="4">
        <v>46182</v>
      </c>
      <c r="G135" s="1">
        <v>694.31</v>
      </c>
      <c r="H135">
        <v>0.85</v>
      </c>
      <c r="I135" s="1">
        <v>49.18</v>
      </c>
      <c r="J135" t="s">
        <v>34</v>
      </c>
      <c r="K135" t="s">
        <v>1390</v>
      </c>
      <c r="L135" s="9" t="s">
        <v>1426</v>
      </c>
      <c r="M135" s="9" t="s">
        <v>1443</v>
      </c>
      <c r="N135" t="s">
        <v>1389</v>
      </c>
      <c r="O135" s="1">
        <f>NewBusiness7[[#This Row],[Earnings]]/NewBusiness7[[#This Row],[Rate]]</f>
        <v>57.858823529411765</v>
      </c>
      <c r="P135" s="1">
        <f>NewBusiness7[[#This Row],[Column5]]*NewBusiness7[[#This Row],[Rate]]</f>
        <v>49.18</v>
      </c>
    </row>
    <row r="136" spans="1:16" x14ac:dyDescent="0.25">
      <c r="A136" t="s">
        <v>150</v>
      </c>
      <c r="B136" t="s">
        <v>491</v>
      </c>
      <c r="C136" t="s">
        <v>32</v>
      </c>
      <c r="D136" t="s">
        <v>492</v>
      </c>
      <c r="E136" s="4">
        <v>45970</v>
      </c>
      <c r="F136" s="4">
        <v>46182</v>
      </c>
      <c r="G136" s="1">
        <v>514.49</v>
      </c>
      <c r="H136">
        <v>0.85</v>
      </c>
      <c r="I136" s="1">
        <v>36.44</v>
      </c>
      <c r="J136" t="s">
        <v>34</v>
      </c>
      <c r="K136" t="s">
        <v>1390</v>
      </c>
      <c r="L136" s="9" t="s">
        <v>1426</v>
      </c>
      <c r="M136" s="9" t="s">
        <v>1443</v>
      </c>
      <c r="N136" t="s">
        <v>1389</v>
      </c>
      <c r="O136" s="1">
        <f>NewBusiness7[[#This Row],[Earnings]]/NewBusiness7[[#This Row],[Rate]]</f>
        <v>42.870588235294115</v>
      </c>
      <c r="P136" s="1">
        <f>NewBusiness7[[#This Row],[Column5]]*NewBusiness7[[#This Row],[Rate]]</f>
        <v>36.44</v>
      </c>
    </row>
    <row r="137" spans="1:16" x14ac:dyDescent="0.25">
      <c r="A137" t="s">
        <v>150</v>
      </c>
      <c r="B137" t="s">
        <v>509</v>
      </c>
      <c r="C137" t="s">
        <v>32</v>
      </c>
      <c r="D137" t="s">
        <v>510</v>
      </c>
      <c r="E137" s="4">
        <v>45978</v>
      </c>
      <c r="F137" s="4">
        <v>46159</v>
      </c>
      <c r="G137" s="1">
        <v>1365.14</v>
      </c>
      <c r="H137">
        <v>0.85</v>
      </c>
      <c r="I137" s="1">
        <v>-96.69</v>
      </c>
      <c r="J137" t="s">
        <v>34</v>
      </c>
      <c r="K137" t="s">
        <v>1390</v>
      </c>
      <c r="L137" s="9" t="s">
        <v>1426</v>
      </c>
      <c r="M137" s="9" t="s">
        <v>1443</v>
      </c>
      <c r="N137" t="s">
        <v>1389</v>
      </c>
      <c r="O137" s="1">
        <f>NewBusiness7[[#This Row],[Earnings]]/NewBusiness7[[#This Row],[Rate]]</f>
        <v>-113.75294117647059</v>
      </c>
      <c r="P137" s="1">
        <f>NewBusiness7[[#This Row],[Column5]]*NewBusiness7[[#This Row],[Rate]]</f>
        <v>-96.69</v>
      </c>
    </row>
    <row r="138" spans="1:16" x14ac:dyDescent="0.25">
      <c r="A138" t="s">
        <v>150</v>
      </c>
      <c r="B138" t="s">
        <v>509</v>
      </c>
      <c r="C138" t="s">
        <v>32</v>
      </c>
      <c r="D138" t="s">
        <v>510</v>
      </c>
      <c r="E138" s="4">
        <v>45978</v>
      </c>
      <c r="F138" s="4">
        <v>46159</v>
      </c>
      <c r="G138" s="1">
        <v>1365.14</v>
      </c>
      <c r="H138">
        <v>0.85</v>
      </c>
      <c r="I138" s="1">
        <v>96.69</v>
      </c>
      <c r="J138" t="s">
        <v>34</v>
      </c>
      <c r="K138" t="s">
        <v>1390</v>
      </c>
      <c r="L138" s="9" t="s">
        <v>1426</v>
      </c>
      <c r="M138" s="9" t="s">
        <v>1443</v>
      </c>
      <c r="N138" t="s">
        <v>1389</v>
      </c>
      <c r="O138" s="1">
        <f>NewBusiness7[[#This Row],[Earnings]]/NewBusiness7[[#This Row],[Rate]]</f>
        <v>113.75294117647059</v>
      </c>
      <c r="P138" s="1">
        <f>NewBusiness7[[#This Row],[Column5]]*NewBusiness7[[#This Row],[Rate]]</f>
        <v>96.69</v>
      </c>
    </row>
    <row r="139" spans="1:16" x14ac:dyDescent="0.25">
      <c r="A139" t="s">
        <v>44</v>
      </c>
      <c r="B139" t="s">
        <v>45</v>
      </c>
      <c r="C139" t="s">
        <v>32</v>
      </c>
      <c r="D139" t="s">
        <v>46</v>
      </c>
      <c r="E139" s="4">
        <v>45839</v>
      </c>
      <c r="F139" s="4">
        <v>46174</v>
      </c>
      <c r="G139" s="1">
        <v>801.66</v>
      </c>
      <c r="H139">
        <v>0.85</v>
      </c>
      <c r="I139" s="1">
        <v>56.78</v>
      </c>
      <c r="J139" t="s">
        <v>47</v>
      </c>
      <c r="K139" t="s">
        <v>1390</v>
      </c>
      <c r="L139" s="9" t="s">
        <v>1403</v>
      </c>
      <c r="M139" s="9" t="s">
        <v>1443</v>
      </c>
      <c r="N139" t="s">
        <v>1389</v>
      </c>
      <c r="O139" s="1">
        <f>NewBusiness7[[#This Row],[Earnings]]/NewBusiness7[[#This Row],[Rate]]</f>
        <v>66.8</v>
      </c>
      <c r="P139" s="1">
        <f>NewBusiness7[[#This Row],[Column5]]*NewBusiness7[[#This Row],[Rate]]</f>
        <v>56.779999999999994</v>
      </c>
    </row>
    <row r="140" spans="1:16" x14ac:dyDescent="0.25">
      <c r="A140" t="s">
        <v>132</v>
      </c>
      <c r="B140" t="s">
        <v>320</v>
      </c>
      <c r="C140" t="s">
        <v>62</v>
      </c>
      <c r="D140" t="s">
        <v>321</v>
      </c>
      <c r="E140" s="4">
        <v>45962</v>
      </c>
      <c r="F140" s="4">
        <v>46204</v>
      </c>
      <c r="G140" s="1">
        <v>1123.2</v>
      </c>
      <c r="H140">
        <v>0.75</v>
      </c>
      <c r="I140" s="1">
        <v>70.2</v>
      </c>
      <c r="J140" t="s">
        <v>322</v>
      </c>
      <c r="K140" t="s">
        <v>1391</v>
      </c>
      <c r="L140" s="9" t="s">
        <v>1407</v>
      </c>
      <c r="M140" s="9" t="s">
        <v>1443</v>
      </c>
      <c r="N140" t="s">
        <v>1396</v>
      </c>
      <c r="O140" s="1">
        <f>NewBusiness7[[#This Row],[Earnings]]/NewBusiness7[[#This Row],[Rate]]</f>
        <v>93.600000000000009</v>
      </c>
      <c r="P140" s="1">
        <f>NewBusiness7[[#This Row],[Column5]]*NewBusiness7[[#This Row],[Rate]]</f>
        <v>70.2</v>
      </c>
    </row>
    <row r="141" spans="1:16" x14ac:dyDescent="0.25">
      <c r="A141" t="s">
        <v>132</v>
      </c>
      <c r="B141" t="s">
        <v>540</v>
      </c>
      <c r="C141" t="s">
        <v>62</v>
      </c>
      <c r="D141" t="s">
        <v>541</v>
      </c>
      <c r="E141" s="4">
        <v>46023</v>
      </c>
      <c r="F141" s="4">
        <v>46174</v>
      </c>
      <c r="G141" s="1">
        <v>616.03</v>
      </c>
      <c r="H141">
        <v>0.75</v>
      </c>
      <c r="I141" s="1">
        <v>38.49</v>
      </c>
      <c r="J141" t="s">
        <v>322</v>
      </c>
      <c r="K141" t="s">
        <v>1391</v>
      </c>
      <c r="L141" s="9" t="s">
        <v>1407</v>
      </c>
      <c r="M141" s="9" t="s">
        <v>1443</v>
      </c>
      <c r="N141" t="s">
        <v>1415</v>
      </c>
      <c r="O141" s="1">
        <f>NewBusiness7[[#This Row],[Earnings]]/NewBusiness7[[#This Row],[Rate]]</f>
        <v>51.32</v>
      </c>
      <c r="P141" s="1">
        <f>NewBusiness7[[#This Row],[Column5]]*NewBusiness7[[#This Row],[Rate]]</f>
        <v>38.49</v>
      </c>
    </row>
    <row r="142" spans="1:16" x14ac:dyDescent="0.25">
      <c r="A142" t="s">
        <v>132</v>
      </c>
      <c r="B142" t="s">
        <v>133</v>
      </c>
      <c r="C142" t="s">
        <v>62</v>
      </c>
      <c r="D142" t="s">
        <v>134</v>
      </c>
      <c r="E142" s="4">
        <v>46023</v>
      </c>
      <c r="F142" s="4">
        <v>46204</v>
      </c>
      <c r="G142" s="1">
        <v>1290.5999999999999</v>
      </c>
      <c r="H142">
        <v>0.8</v>
      </c>
      <c r="I142" s="1">
        <v>86.04</v>
      </c>
      <c r="J142" t="s">
        <v>34</v>
      </c>
      <c r="K142" t="s">
        <v>1397</v>
      </c>
      <c r="L142" s="9" t="s">
        <v>1407</v>
      </c>
      <c r="M142" s="9" t="s">
        <v>1443</v>
      </c>
      <c r="N142" t="s">
        <v>1415</v>
      </c>
      <c r="O142" s="1">
        <f>NewBusiness7[[#This Row],[Earnings]]/NewBusiness7[[#This Row],[Rate]]</f>
        <v>107.55</v>
      </c>
      <c r="P142" s="1">
        <f>NewBusiness7[[#This Row],[Column5]]*NewBusiness7[[#This Row],[Rate]]</f>
        <v>86.04</v>
      </c>
    </row>
    <row r="143" spans="1:16" x14ac:dyDescent="0.25">
      <c r="A143" t="s">
        <v>132</v>
      </c>
      <c r="B143" t="s">
        <v>522</v>
      </c>
      <c r="C143" t="s">
        <v>62</v>
      </c>
      <c r="D143" t="s">
        <v>523</v>
      </c>
      <c r="E143" s="4">
        <v>46023</v>
      </c>
      <c r="F143" s="4">
        <v>46204</v>
      </c>
      <c r="G143" s="1">
        <v>1362</v>
      </c>
      <c r="H143">
        <v>0.8</v>
      </c>
      <c r="I143" s="1">
        <v>90.8</v>
      </c>
      <c r="J143" t="s">
        <v>34</v>
      </c>
      <c r="K143" t="s">
        <v>1395</v>
      </c>
      <c r="L143" s="9" t="s">
        <v>1407</v>
      </c>
      <c r="M143" s="9" t="s">
        <v>1443</v>
      </c>
      <c r="N143" t="s">
        <v>1415</v>
      </c>
      <c r="O143" s="1">
        <f>NewBusiness7[[#This Row],[Earnings]]/NewBusiness7[[#This Row],[Rate]]</f>
        <v>113.49999999999999</v>
      </c>
      <c r="P143" s="1">
        <f>NewBusiness7[[#This Row],[Column5]]*NewBusiness7[[#This Row],[Rate]]</f>
        <v>90.8</v>
      </c>
    </row>
    <row r="144" spans="1:16" x14ac:dyDescent="0.25">
      <c r="A144" t="s">
        <v>132</v>
      </c>
      <c r="B144" t="s">
        <v>534</v>
      </c>
      <c r="C144" t="s">
        <v>62</v>
      </c>
      <c r="D144" t="s">
        <v>535</v>
      </c>
      <c r="E144" s="4">
        <v>46023</v>
      </c>
      <c r="F144" s="4">
        <v>46204</v>
      </c>
      <c r="G144" s="1">
        <v>799.2</v>
      </c>
      <c r="H144">
        <v>0.8</v>
      </c>
      <c r="I144" s="1">
        <v>53.28</v>
      </c>
      <c r="J144" t="s">
        <v>34</v>
      </c>
      <c r="K144" t="s">
        <v>1395</v>
      </c>
      <c r="L144" s="9" t="s">
        <v>1407</v>
      </c>
      <c r="M144" s="9" t="s">
        <v>1443</v>
      </c>
      <c r="N144" t="s">
        <v>1415</v>
      </c>
      <c r="O144" s="1">
        <f>NewBusiness7[[#This Row],[Earnings]]/NewBusiness7[[#This Row],[Rate]]</f>
        <v>66.599999999999994</v>
      </c>
      <c r="P144" s="1">
        <f>NewBusiness7[[#This Row],[Column5]]*NewBusiness7[[#This Row],[Rate]]</f>
        <v>53.28</v>
      </c>
    </row>
    <row r="145" spans="1:16" x14ac:dyDescent="0.25">
      <c r="A145" t="s">
        <v>132</v>
      </c>
      <c r="B145" t="s">
        <v>542</v>
      </c>
      <c r="C145" t="s">
        <v>62</v>
      </c>
      <c r="D145" t="s">
        <v>543</v>
      </c>
      <c r="E145" s="4">
        <v>46023</v>
      </c>
      <c r="F145" s="4">
        <v>46204</v>
      </c>
      <c r="G145" s="1">
        <v>2157.6</v>
      </c>
      <c r="H145">
        <v>0.8</v>
      </c>
      <c r="I145" s="1">
        <v>143.84</v>
      </c>
      <c r="J145" t="s">
        <v>34</v>
      </c>
      <c r="K145" t="s">
        <v>1395</v>
      </c>
      <c r="L145" s="9" t="s">
        <v>1407</v>
      </c>
      <c r="M145" s="9" t="s">
        <v>1443</v>
      </c>
      <c r="N145" t="s">
        <v>1415</v>
      </c>
      <c r="O145" s="1">
        <f>NewBusiness7[[#This Row],[Earnings]]/NewBusiness7[[#This Row],[Rate]]</f>
        <v>179.79999999999998</v>
      </c>
      <c r="P145" s="1">
        <f>NewBusiness7[[#This Row],[Column5]]*NewBusiness7[[#This Row],[Rate]]</f>
        <v>143.84</v>
      </c>
    </row>
    <row r="146" spans="1:16" x14ac:dyDescent="0.25">
      <c r="A146" t="s">
        <v>132</v>
      </c>
      <c r="B146" t="s">
        <v>576</v>
      </c>
      <c r="C146" t="s">
        <v>62</v>
      </c>
      <c r="D146" t="s">
        <v>577</v>
      </c>
      <c r="E146" s="4">
        <v>46023</v>
      </c>
      <c r="F146" s="4">
        <v>46174</v>
      </c>
      <c r="G146" s="1">
        <v>926.4</v>
      </c>
      <c r="H146">
        <v>0.8</v>
      </c>
      <c r="I146" s="1">
        <v>61.76</v>
      </c>
      <c r="J146" t="s">
        <v>34</v>
      </c>
      <c r="K146" t="s">
        <v>1395</v>
      </c>
      <c r="L146" s="9">
        <v>16912722</v>
      </c>
      <c r="M146" s="9" t="s">
        <v>1443</v>
      </c>
      <c r="N146" t="s">
        <v>1389</v>
      </c>
      <c r="O146" s="1">
        <f>NewBusiness7[[#This Row],[Earnings]]/NewBusiness7[[#This Row],[Rate]]</f>
        <v>77.199999999999989</v>
      </c>
      <c r="P146" s="1">
        <f>NewBusiness7[[#This Row],[Column5]]*NewBusiness7[[#This Row],[Rate]]</f>
        <v>61.759999999999991</v>
      </c>
    </row>
    <row r="147" spans="1:16" x14ac:dyDescent="0.25">
      <c r="A147" t="s">
        <v>132</v>
      </c>
      <c r="B147" t="s">
        <v>584</v>
      </c>
      <c r="C147" t="s">
        <v>62</v>
      </c>
      <c r="D147" t="s">
        <v>585</v>
      </c>
      <c r="E147" s="4">
        <v>46031</v>
      </c>
      <c r="F147" s="4">
        <v>46182</v>
      </c>
      <c r="G147" s="1">
        <v>2744.4</v>
      </c>
      <c r="H147">
        <v>0.8</v>
      </c>
      <c r="I147" s="1">
        <v>182.96</v>
      </c>
      <c r="J147" t="s">
        <v>34</v>
      </c>
      <c r="K147" t="s">
        <v>1395</v>
      </c>
      <c r="L147" s="9" t="s">
        <v>1407</v>
      </c>
      <c r="M147" s="9" t="s">
        <v>1443</v>
      </c>
      <c r="N147" t="s">
        <v>1415</v>
      </c>
      <c r="O147" s="1">
        <f>NewBusiness7[[#This Row],[Earnings]]/NewBusiness7[[#This Row],[Rate]]</f>
        <v>228.7</v>
      </c>
      <c r="P147" s="1">
        <f>NewBusiness7[[#This Row],[Column5]]*NewBusiness7[[#This Row],[Rate]]</f>
        <v>182.96</v>
      </c>
    </row>
    <row r="148" spans="1:16" x14ac:dyDescent="0.25">
      <c r="A148" t="s">
        <v>132</v>
      </c>
      <c r="B148" t="s">
        <v>655</v>
      </c>
      <c r="C148" t="s">
        <v>62</v>
      </c>
      <c r="D148" t="s">
        <v>656</v>
      </c>
      <c r="E148" s="4">
        <v>46082</v>
      </c>
      <c r="F148" s="4">
        <v>46204</v>
      </c>
      <c r="G148" s="1">
        <v>1074</v>
      </c>
      <c r="H148">
        <v>0.8</v>
      </c>
      <c r="I148" s="1">
        <v>71.599999999999994</v>
      </c>
      <c r="J148" t="s">
        <v>34</v>
      </c>
      <c r="K148" t="s">
        <v>1397</v>
      </c>
      <c r="L148" s="9" t="s">
        <v>1407</v>
      </c>
      <c r="M148" s="9" t="s">
        <v>1443</v>
      </c>
      <c r="N148" t="s">
        <v>1415</v>
      </c>
      <c r="O148" s="1">
        <f>NewBusiness7[[#This Row],[Earnings]]/NewBusiness7[[#This Row],[Rate]]</f>
        <v>89.499999999999986</v>
      </c>
      <c r="P148" s="1">
        <f>NewBusiness7[[#This Row],[Column5]]*NewBusiness7[[#This Row],[Rate]]</f>
        <v>71.599999999999994</v>
      </c>
    </row>
    <row r="149" spans="1:16" x14ac:dyDescent="0.25">
      <c r="A149" t="s">
        <v>132</v>
      </c>
      <c r="B149" t="s">
        <v>442</v>
      </c>
      <c r="C149" t="s">
        <v>32</v>
      </c>
      <c r="D149" t="s">
        <v>443</v>
      </c>
      <c r="E149" s="4">
        <v>45992</v>
      </c>
      <c r="F149" s="4">
        <v>46204</v>
      </c>
      <c r="G149" s="1">
        <v>1257.5899999999999</v>
      </c>
      <c r="H149">
        <v>0.85</v>
      </c>
      <c r="I149" s="1">
        <v>89.07</v>
      </c>
      <c r="J149" t="s">
        <v>34</v>
      </c>
      <c r="K149" t="s">
        <v>1390</v>
      </c>
      <c r="L149" s="9">
        <v>16912722</v>
      </c>
      <c r="M149" s="9" t="s">
        <v>1443</v>
      </c>
      <c r="N149" t="s">
        <v>1396</v>
      </c>
      <c r="O149" s="1">
        <f>NewBusiness7[[#This Row],[Earnings]]/NewBusiness7[[#This Row],[Rate]]</f>
        <v>104.78823529411764</v>
      </c>
      <c r="P149" s="1">
        <f>NewBusiness7[[#This Row],[Column5]]*NewBusiness7[[#This Row],[Rate]]</f>
        <v>89.07</v>
      </c>
    </row>
    <row r="150" spans="1:16" x14ac:dyDescent="0.25">
      <c r="A150" t="s">
        <v>77</v>
      </c>
      <c r="B150" t="s">
        <v>80</v>
      </c>
      <c r="C150" t="s">
        <v>62</v>
      </c>
      <c r="D150" t="s">
        <v>81</v>
      </c>
      <c r="E150" s="4">
        <v>45832</v>
      </c>
      <c r="F150" s="4">
        <v>46197</v>
      </c>
      <c r="G150" s="1">
        <v>340.8</v>
      </c>
      <c r="H150">
        <v>0.8</v>
      </c>
      <c r="I150" s="1">
        <v>22.72</v>
      </c>
      <c r="J150" t="s">
        <v>34</v>
      </c>
      <c r="K150" t="s">
        <v>1397</v>
      </c>
      <c r="L150" s="9">
        <v>9213293</v>
      </c>
      <c r="M150" s="9" t="s">
        <v>1443</v>
      </c>
      <c r="N150" t="s">
        <v>1389</v>
      </c>
      <c r="O150" s="1">
        <f>NewBusiness7[[#This Row],[Earnings]]/NewBusiness7[[#This Row],[Rate]]</f>
        <v>28.4</v>
      </c>
      <c r="P150" s="1">
        <f>NewBusiness7[[#This Row],[Column5]]*NewBusiness7[[#This Row],[Rate]]</f>
        <v>22.72</v>
      </c>
    </row>
    <row r="151" spans="1:16" x14ac:dyDescent="0.25">
      <c r="A151" t="s">
        <v>77</v>
      </c>
      <c r="B151" t="s">
        <v>78</v>
      </c>
      <c r="C151" t="s">
        <v>32</v>
      </c>
      <c r="D151" t="s">
        <v>79</v>
      </c>
      <c r="E151" s="4">
        <v>45828</v>
      </c>
      <c r="F151" s="4">
        <v>46193</v>
      </c>
      <c r="G151" s="1">
        <v>592.61</v>
      </c>
      <c r="H151">
        <v>0.85</v>
      </c>
      <c r="I151" s="1">
        <v>31.76</v>
      </c>
      <c r="J151" t="s">
        <v>34</v>
      </c>
      <c r="K151" t="s">
        <v>1390</v>
      </c>
      <c r="L151" s="9">
        <v>9213293</v>
      </c>
      <c r="M151" s="9" t="s">
        <v>1443</v>
      </c>
      <c r="N151" t="s">
        <v>1389</v>
      </c>
      <c r="O151" s="1">
        <f>NewBusiness7[[#This Row],[Earnings]]/NewBusiness7[[#This Row],[Rate]]</f>
        <v>37.364705882352943</v>
      </c>
      <c r="P151" s="1">
        <f>NewBusiness7[[#This Row],[Column5]]*NewBusiness7[[#This Row],[Rate]]</f>
        <v>31.76</v>
      </c>
    </row>
    <row r="152" spans="1:16" x14ac:dyDescent="0.25">
      <c r="A152" t="s">
        <v>77</v>
      </c>
      <c r="B152" t="s">
        <v>117</v>
      </c>
      <c r="C152" t="s">
        <v>32</v>
      </c>
      <c r="D152" t="s">
        <v>118</v>
      </c>
      <c r="E152" s="4">
        <v>45843</v>
      </c>
      <c r="F152" s="4">
        <v>46178</v>
      </c>
      <c r="G152" s="1">
        <v>932.06</v>
      </c>
      <c r="H152">
        <v>0.85</v>
      </c>
      <c r="I152" s="1">
        <v>66.02</v>
      </c>
      <c r="J152" t="s">
        <v>34</v>
      </c>
      <c r="K152" t="s">
        <v>1390</v>
      </c>
      <c r="L152" s="9">
        <v>9213293</v>
      </c>
      <c r="M152" s="9" t="s">
        <v>1443</v>
      </c>
      <c r="N152" t="s">
        <v>1389</v>
      </c>
      <c r="O152" s="1">
        <f>NewBusiness7[[#This Row],[Earnings]]/NewBusiness7[[#This Row],[Rate]]</f>
        <v>77.670588235294119</v>
      </c>
      <c r="P152" s="1">
        <f>NewBusiness7[[#This Row],[Column5]]*NewBusiness7[[#This Row],[Rate]]</f>
        <v>66.02</v>
      </c>
    </row>
    <row r="153" spans="1:16" x14ac:dyDescent="0.25">
      <c r="A153" t="s">
        <v>77</v>
      </c>
      <c r="B153" t="s">
        <v>129</v>
      </c>
      <c r="C153" t="s">
        <v>32</v>
      </c>
      <c r="D153" t="s">
        <v>130</v>
      </c>
      <c r="E153" s="4">
        <v>45980</v>
      </c>
      <c r="F153" s="4">
        <v>46192</v>
      </c>
      <c r="G153" s="1">
        <v>592.61</v>
      </c>
      <c r="H153">
        <v>0.85</v>
      </c>
      <c r="I153" s="1">
        <v>41.97</v>
      </c>
      <c r="J153" t="s">
        <v>34</v>
      </c>
      <c r="K153" t="s">
        <v>1390</v>
      </c>
      <c r="L153" s="9">
        <v>9213293</v>
      </c>
      <c r="M153" s="9" t="s">
        <v>1443</v>
      </c>
      <c r="N153" t="s">
        <v>1389</v>
      </c>
      <c r="O153" s="1">
        <f>NewBusiness7[[#This Row],[Earnings]]/NewBusiness7[[#This Row],[Rate]]</f>
        <v>49.376470588235293</v>
      </c>
      <c r="P153" s="1">
        <f>NewBusiness7[[#This Row],[Column5]]*NewBusiness7[[#This Row],[Rate]]</f>
        <v>41.97</v>
      </c>
    </row>
    <row r="154" spans="1:16" x14ac:dyDescent="0.25">
      <c r="A154" t="s">
        <v>77</v>
      </c>
      <c r="B154" t="s">
        <v>195</v>
      </c>
      <c r="C154" t="s">
        <v>32</v>
      </c>
      <c r="D154" t="s">
        <v>196</v>
      </c>
      <c r="E154" s="4">
        <v>45839</v>
      </c>
      <c r="F154" s="4">
        <v>46174</v>
      </c>
      <c r="G154" s="1">
        <v>448.39</v>
      </c>
      <c r="H154">
        <v>0.85</v>
      </c>
      <c r="I154" s="1">
        <v>31.76</v>
      </c>
      <c r="J154" t="s">
        <v>34</v>
      </c>
      <c r="K154" t="s">
        <v>1390</v>
      </c>
      <c r="L154" s="9">
        <v>9213293</v>
      </c>
      <c r="M154" s="9" t="s">
        <v>1443</v>
      </c>
      <c r="N154" t="s">
        <v>1389</v>
      </c>
      <c r="O154" s="1">
        <f>NewBusiness7[[#This Row],[Earnings]]/NewBusiness7[[#This Row],[Rate]]</f>
        <v>37.364705882352943</v>
      </c>
      <c r="P154" s="1">
        <f>NewBusiness7[[#This Row],[Column5]]*NewBusiness7[[#This Row],[Rate]]</f>
        <v>31.76</v>
      </c>
    </row>
    <row r="155" spans="1:16" x14ac:dyDescent="0.25">
      <c r="A155" t="s">
        <v>77</v>
      </c>
      <c r="B155" t="s">
        <v>207</v>
      </c>
      <c r="C155" t="s">
        <v>32</v>
      </c>
      <c r="D155" t="s">
        <v>208</v>
      </c>
      <c r="E155" s="4">
        <v>45857</v>
      </c>
      <c r="F155" s="4">
        <v>46192</v>
      </c>
      <c r="G155" s="1">
        <v>592.61</v>
      </c>
      <c r="H155">
        <v>0.85</v>
      </c>
      <c r="I155" s="1">
        <v>41.97</v>
      </c>
      <c r="J155" t="s">
        <v>34</v>
      </c>
      <c r="K155" t="s">
        <v>1390</v>
      </c>
      <c r="L155" s="9">
        <v>9213293</v>
      </c>
      <c r="M155" s="9" t="s">
        <v>1443</v>
      </c>
      <c r="N155" t="s">
        <v>1389</v>
      </c>
      <c r="O155" s="1">
        <f>NewBusiness7[[#This Row],[Earnings]]/NewBusiness7[[#This Row],[Rate]]</f>
        <v>49.376470588235293</v>
      </c>
      <c r="P155" s="1">
        <f>NewBusiness7[[#This Row],[Column5]]*NewBusiness7[[#This Row],[Rate]]</f>
        <v>41.97</v>
      </c>
    </row>
    <row r="156" spans="1:16" x14ac:dyDescent="0.25">
      <c r="A156" t="s">
        <v>77</v>
      </c>
      <c r="B156" t="s">
        <v>267</v>
      </c>
      <c r="C156" t="s">
        <v>32</v>
      </c>
      <c r="D156" t="s">
        <v>268</v>
      </c>
      <c r="E156" s="4">
        <v>45903</v>
      </c>
      <c r="F156" s="4">
        <v>46176</v>
      </c>
      <c r="G156" s="1">
        <v>417.01</v>
      </c>
      <c r="H156">
        <v>0.85</v>
      </c>
      <c r="I156" s="1">
        <v>29.54</v>
      </c>
      <c r="J156" t="s">
        <v>34</v>
      </c>
      <c r="K156" t="s">
        <v>1390</v>
      </c>
      <c r="L156" s="9">
        <v>9213293</v>
      </c>
      <c r="M156" s="9" t="s">
        <v>1443</v>
      </c>
      <c r="N156" t="s">
        <v>1389</v>
      </c>
      <c r="O156" s="1">
        <f>NewBusiness7[[#This Row],[Earnings]]/NewBusiness7[[#This Row],[Rate]]</f>
        <v>34.752941176470586</v>
      </c>
      <c r="P156" s="1">
        <f>NewBusiness7[[#This Row],[Column5]]*NewBusiness7[[#This Row],[Rate]]</f>
        <v>29.539999999999996</v>
      </c>
    </row>
    <row r="157" spans="1:16" x14ac:dyDescent="0.25">
      <c r="A157" t="s">
        <v>77</v>
      </c>
      <c r="B157" t="s">
        <v>511</v>
      </c>
      <c r="C157" t="s">
        <v>91</v>
      </c>
      <c r="D157" t="s">
        <v>512</v>
      </c>
      <c r="E157" s="4">
        <v>45977</v>
      </c>
      <c r="F157" s="4">
        <v>46189</v>
      </c>
      <c r="G157" s="1">
        <v>734.54</v>
      </c>
      <c r="H157">
        <v>0.85</v>
      </c>
      <c r="I157" s="1">
        <v>52.02</v>
      </c>
      <c r="J157" t="s">
        <v>513</v>
      </c>
      <c r="K157" t="s">
        <v>1390</v>
      </c>
      <c r="L157" s="9">
        <v>9213293</v>
      </c>
      <c r="M157" s="9" t="s">
        <v>1443</v>
      </c>
      <c r="N157" t="s">
        <v>1389</v>
      </c>
      <c r="O157" s="1">
        <f>NewBusiness7[[#This Row],[Earnings]]/NewBusiness7[[#This Row],[Rate]]</f>
        <v>61.2</v>
      </c>
      <c r="P157" s="1">
        <f>NewBusiness7[[#This Row],[Column5]]*NewBusiness7[[#This Row],[Rate]]</f>
        <v>52.02</v>
      </c>
    </row>
    <row r="158" spans="1:16" x14ac:dyDescent="0.25">
      <c r="A158" t="s">
        <v>77</v>
      </c>
      <c r="B158" t="s">
        <v>588</v>
      </c>
      <c r="C158" t="s">
        <v>91</v>
      </c>
      <c r="D158" t="s">
        <v>589</v>
      </c>
      <c r="E158" s="4">
        <v>46035</v>
      </c>
      <c r="F158" s="4">
        <v>46186</v>
      </c>
      <c r="G158" s="1">
        <v>713.81</v>
      </c>
      <c r="H158">
        <v>0.85</v>
      </c>
      <c r="I158" s="1">
        <v>50.56</v>
      </c>
      <c r="J158" t="s">
        <v>34</v>
      </c>
      <c r="K158" t="s">
        <v>1390</v>
      </c>
      <c r="L158" s="9">
        <v>9213293</v>
      </c>
      <c r="M158" s="9" t="s">
        <v>1443</v>
      </c>
      <c r="N158" t="s">
        <v>1389</v>
      </c>
      <c r="O158" s="1">
        <f>NewBusiness7[[#This Row],[Earnings]]/NewBusiness7[[#This Row],[Rate]]</f>
        <v>59.482352941176472</v>
      </c>
      <c r="P158" s="1">
        <f>NewBusiness7[[#This Row],[Column5]]*NewBusiness7[[#This Row],[Rate]]</f>
        <v>50.56</v>
      </c>
    </row>
    <row r="159" spans="1:16" x14ac:dyDescent="0.25">
      <c r="A159" t="s">
        <v>77</v>
      </c>
      <c r="B159" t="s">
        <v>689</v>
      </c>
      <c r="C159" t="s">
        <v>32</v>
      </c>
      <c r="D159" t="s">
        <v>690</v>
      </c>
      <c r="E159" s="4">
        <v>46113</v>
      </c>
      <c r="F159" s="4">
        <v>46204</v>
      </c>
      <c r="G159" s="1">
        <v>828.92</v>
      </c>
      <c r="H159">
        <v>0.85</v>
      </c>
      <c r="I159" s="1">
        <v>58.71</v>
      </c>
      <c r="J159" t="s">
        <v>34</v>
      </c>
      <c r="K159" t="s">
        <v>1390</v>
      </c>
      <c r="L159" s="9">
        <v>9213293</v>
      </c>
      <c r="M159" s="9" t="s">
        <v>1443</v>
      </c>
      <c r="N159" t="s">
        <v>1389</v>
      </c>
      <c r="O159" s="1">
        <f>NewBusiness7[[#This Row],[Earnings]]/NewBusiness7[[#This Row],[Rate]]</f>
        <v>69.070588235294125</v>
      </c>
      <c r="P159" s="1">
        <f>NewBusiness7[[#This Row],[Column5]]*NewBusiness7[[#This Row],[Rate]]</f>
        <v>58.71</v>
      </c>
    </row>
    <row r="160" spans="1:16" x14ac:dyDescent="0.25">
      <c r="A160" t="s">
        <v>616</v>
      </c>
      <c r="B160" t="s">
        <v>617</v>
      </c>
      <c r="C160" t="s">
        <v>32</v>
      </c>
      <c r="D160" t="s">
        <v>618</v>
      </c>
      <c r="E160" s="4">
        <v>46054</v>
      </c>
      <c r="F160" s="4">
        <v>46235</v>
      </c>
      <c r="G160" s="1">
        <v>607.15</v>
      </c>
      <c r="H160">
        <v>0.85</v>
      </c>
      <c r="I160" s="1">
        <v>129.02000000000001</v>
      </c>
      <c r="J160" t="s">
        <v>34</v>
      </c>
      <c r="K160" t="s">
        <v>1390</v>
      </c>
      <c r="L160" s="9">
        <v>16997303</v>
      </c>
      <c r="M160" s="9" t="s">
        <v>1443</v>
      </c>
      <c r="N160" t="s">
        <v>1389</v>
      </c>
      <c r="O160" s="1">
        <f>NewBusiness7[[#This Row],[Earnings]]/NewBusiness7[[#This Row],[Rate]]</f>
        <v>151.78823529411767</v>
      </c>
      <c r="P160" s="1">
        <f>NewBusiness7[[#This Row],[Column5]]*NewBusiness7[[#This Row],[Rate]]</f>
        <v>129.02000000000001</v>
      </c>
    </row>
    <row r="161" spans="1:16" x14ac:dyDescent="0.25">
      <c r="A161" t="s">
        <v>616</v>
      </c>
      <c r="B161" t="s">
        <v>619</v>
      </c>
      <c r="C161" t="s">
        <v>32</v>
      </c>
      <c r="D161" t="s">
        <v>620</v>
      </c>
      <c r="E161" s="4">
        <v>46054</v>
      </c>
      <c r="F161" s="4">
        <v>46235</v>
      </c>
      <c r="G161" s="1">
        <v>467.79</v>
      </c>
      <c r="H161">
        <v>0.85</v>
      </c>
      <c r="I161" s="1">
        <v>99.41</v>
      </c>
      <c r="J161" t="s">
        <v>34</v>
      </c>
      <c r="K161" t="s">
        <v>1390</v>
      </c>
      <c r="L161" s="9">
        <v>16997303</v>
      </c>
      <c r="M161" s="9" t="s">
        <v>1443</v>
      </c>
      <c r="N161" t="s">
        <v>1389</v>
      </c>
      <c r="O161" s="1">
        <f>NewBusiness7[[#This Row],[Earnings]]/NewBusiness7[[#This Row],[Rate]]</f>
        <v>116.95294117647059</v>
      </c>
      <c r="P161" s="1">
        <f>NewBusiness7[[#This Row],[Column5]]*NewBusiness7[[#This Row],[Rate]]</f>
        <v>99.41</v>
      </c>
    </row>
    <row r="162" spans="1:16" x14ac:dyDescent="0.25">
      <c r="A162" t="s">
        <v>168</v>
      </c>
      <c r="B162" t="s">
        <v>169</v>
      </c>
      <c r="C162" t="s">
        <v>62</v>
      </c>
      <c r="D162" t="s">
        <v>170</v>
      </c>
      <c r="E162" s="4">
        <v>46054</v>
      </c>
      <c r="F162" s="4">
        <v>46174</v>
      </c>
      <c r="G162" s="1">
        <v>749.95</v>
      </c>
      <c r="H162">
        <v>0.8</v>
      </c>
      <c r="I162" s="1">
        <v>49.99</v>
      </c>
      <c r="J162" t="s">
        <v>171</v>
      </c>
      <c r="K162" t="s">
        <v>1397</v>
      </c>
      <c r="L162" s="9">
        <v>21618313</v>
      </c>
      <c r="M162" s="9" t="s">
        <v>1443</v>
      </c>
      <c r="N162" t="s">
        <v>1389</v>
      </c>
      <c r="O162" s="1">
        <f>NewBusiness7[[#This Row],[Earnings]]/NewBusiness7[[#This Row],[Rate]]</f>
        <v>62.487499999999997</v>
      </c>
      <c r="P162" s="1">
        <f>NewBusiness7[[#This Row],[Column5]]*NewBusiness7[[#This Row],[Rate]]</f>
        <v>49.99</v>
      </c>
    </row>
    <row r="163" spans="1:16" x14ac:dyDescent="0.25">
      <c r="A163" t="s">
        <v>168</v>
      </c>
      <c r="B163" t="s">
        <v>172</v>
      </c>
      <c r="C163" t="s">
        <v>62</v>
      </c>
      <c r="D163" t="s">
        <v>173</v>
      </c>
      <c r="E163" s="4">
        <v>46023</v>
      </c>
      <c r="F163" s="4">
        <v>46143</v>
      </c>
      <c r="G163" s="1">
        <v>916.24</v>
      </c>
      <c r="H163">
        <v>0.8</v>
      </c>
      <c r="I163" s="1">
        <v>61.08</v>
      </c>
      <c r="J163" t="s">
        <v>171</v>
      </c>
      <c r="K163" t="s">
        <v>1395</v>
      </c>
      <c r="L163" s="9">
        <v>21618313</v>
      </c>
      <c r="M163" s="9" t="s">
        <v>1443</v>
      </c>
      <c r="N163" t="s">
        <v>1389</v>
      </c>
      <c r="O163" s="1">
        <f>NewBusiness7[[#This Row],[Earnings]]/NewBusiness7[[#This Row],[Rate]]</f>
        <v>76.349999999999994</v>
      </c>
      <c r="P163" s="1">
        <f>NewBusiness7[[#This Row],[Column5]]*NewBusiness7[[#This Row],[Rate]]</f>
        <v>61.08</v>
      </c>
    </row>
    <row r="164" spans="1:16" x14ac:dyDescent="0.25">
      <c r="A164" t="s">
        <v>168</v>
      </c>
      <c r="B164" t="s">
        <v>172</v>
      </c>
      <c r="C164" t="s">
        <v>62</v>
      </c>
      <c r="D164" t="s">
        <v>173</v>
      </c>
      <c r="E164" s="4">
        <v>46023</v>
      </c>
      <c r="F164" s="4">
        <v>46143</v>
      </c>
      <c r="G164" s="1">
        <v>916.24</v>
      </c>
      <c r="H164">
        <v>0.8</v>
      </c>
      <c r="I164" s="1">
        <v>-61.08</v>
      </c>
      <c r="J164" t="s">
        <v>171</v>
      </c>
      <c r="K164" t="s">
        <v>1395</v>
      </c>
      <c r="L164" s="9">
        <v>21618313</v>
      </c>
      <c r="M164" s="9" t="s">
        <v>1443</v>
      </c>
      <c r="N164" t="s">
        <v>1389</v>
      </c>
      <c r="O164" s="1">
        <f>NewBusiness7[[#This Row],[Earnings]]/NewBusiness7[[#This Row],[Rate]]</f>
        <v>-76.349999999999994</v>
      </c>
      <c r="P164" s="1">
        <f>NewBusiness7[[#This Row],[Column5]]*NewBusiness7[[#This Row],[Rate]]</f>
        <v>-61.08</v>
      </c>
    </row>
    <row r="165" spans="1:16" x14ac:dyDescent="0.25">
      <c r="A165" t="s">
        <v>168</v>
      </c>
      <c r="B165" t="s">
        <v>174</v>
      </c>
      <c r="C165" t="s">
        <v>62</v>
      </c>
      <c r="D165" t="s">
        <v>175</v>
      </c>
      <c r="E165" s="4">
        <v>46023</v>
      </c>
      <c r="F165" s="4">
        <v>46174</v>
      </c>
      <c r="G165" s="1">
        <v>932.98</v>
      </c>
      <c r="H165">
        <v>0.8</v>
      </c>
      <c r="I165" s="1">
        <v>62.2</v>
      </c>
      <c r="J165" t="s">
        <v>112</v>
      </c>
      <c r="K165" t="s">
        <v>1395</v>
      </c>
      <c r="L165" s="9">
        <v>21618313</v>
      </c>
      <c r="M165" s="9" t="s">
        <v>1443</v>
      </c>
      <c r="N165" t="s">
        <v>1389</v>
      </c>
      <c r="O165" s="1">
        <f>NewBusiness7[[#This Row],[Earnings]]/NewBusiness7[[#This Row],[Rate]]</f>
        <v>77.75</v>
      </c>
      <c r="P165" s="1">
        <f>NewBusiness7[[#This Row],[Column5]]*NewBusiness7[[#This Row],[Rate]]</f>
        <v>62.2</v>
      </c>
    </row>
    <row r="166" spans="1:16" x14ac:dyDescent="0.25">
      <c r="A166" t="s">
        <v>168</v>
      </c>
      <c r="B166" t="s">
        <v>399</v>
      </c>
      <c r="C166" t="s">
        <v>62</v>
      </c>
      <c r="D166" t="s">
        <v>400</v>
      </c>
      <c r="E166" s="4">
        <v>46023</v>
      </c>
      <c r="F166" s="4">
        <v>46174</v>
      </c>
      <c r="G166" s="1">
        <v>918.48</v>
      </c>
      <c r="H166">
        <v>0.8</v>
      </c>
      <c r="I166" s="1">
        <v>61.23</v>
      </c>
      <c r="J166" t="s">
        <v>112</v>
      </c>
      <c r="K166" t="s">
        <v>1395</v>
      </c>
      <c r="L166" s="9">
        <v>21618313</v>
      </c>
      <c r="M166" s="9" t="s">
        <v>1443</v>
      </c>
      <c r="N166" t="s">
        <v>1389</v>
      </c>
      <c r="O166" s="1">
        <f>NewBusiness7[[#This Row],[Earnings]]/NewBusiness7[[#This Row],[Rate]]</f>
        <v>76.537499999999994</v>
      </c>
      <c r="P166" s="1">
        <f>NewBusiness7[[#This Row],[Column5]]*NewBusiness7[[#This Row],[Rate]]</f>
        <v>61.23</v>
      </c>
    </row>
    <row r="167" spans="1:16" x14ac:dyDescent="0.25">
      <c r="A167" t="s">
        <v>168</v>
      </c>
      <c r="B167" t="s">
        <v>428</v>
      </c>
      <c r="C167" t="s">
        <v>110</v>
      </c>
      <c r="D167" t="s">
        <v>429</v>
      </c>
      <c r="E167" s="4">
        <v>45901</v>
      </c>
      <c r="F167" s="4">
        <v>46174</v>
      </c>
      <c r="G167" s="1">
        <v>780.09</v>
      </c>
      <c r="H167">
        <v>0.8</v>
      </c>
      <c r="I167" s="1">
        <v>52</v>
      </c>
      <c r="J167" t="s">
        <v>112</v>
      </c>
      <c r="K167" t="s">
        <v>1397</v>
      </c>
      <c r="L167" s="9">
        <v>21618313</v>
      </c>
      <c r="M167" s="9" t="s">
        <v>1443</v>
      </c>
      <c r="N167" t="s">
        <v>1389</v>
      </c>
      <c r="O167" s="1">
        <f>NewBusiness7[[#This Row],[Earnings]]/NewBusiness7[[#This Row],[Rate]]</f>
        <v>65</v>
      </c>
      <c r="P167" s="1">
        <f>NewBusiness7[[#This Row],[Column5]]*NewBusiness7[[#This Row],[Rate]]</f>
        <v>52</v>
      </c>
    </row>
    <row r="168" spans="1:16" x14ac:dyDescent="0.25">
      <c r="A168" t="s">
        <v>168</v>
      </c>
      <c r="B168" t="s">
        <v>536</v>
      </c>
      <c r="C168" t="s">
        <v>62</v>
      </c>
      <c r="D168" t="s">
        <v>537</v>
      </c>
      <c r="E168" s="4">
        <v>46023</v>
      </c>
      <c r="F168" s="4">
        <v>46174</v>
      </c>
      <c r="G168" s="1">
        <v>1228.71</v>
      </c>
      <c r="H168">
        <v>0.8</v>
      </c>
      <c r="I168" s="1">
        <v>81.91</v>
      </c>
      <c r="J168" t="s">
        <v>112</v>
      </c>
      <c r="K168" t="s">
        <v>1395</v>
      </c>
      <c r="L168" s="9">
        <v>21618313</v>
      </c>
      <c r="M168" s="9" t="s">
        <v>1443</v>
      </c>
      <c r="N168" t="s">
        <v>1389</v>
      </c>
      <c r="O168" s="1">
        <f>NewBusiness7[[#This Row],[Earnings]]/NewBusiness7[[#This Row],[Rate]]</f>
        <v>102.38749999999999</v>
      </c>
      <c r="P168" s="1">
        <f>NewBusiness7[[#This Row],[Column5]]*NewBusiness7[[#This Row],[Rate]]</f>
        <v>81.91</v>
      </c>
    </row>
    <row r="169" spans="1:16" x14ac:dyDescent="0.25">
      <c r="A169" t="s">
        <v>168</v>
      </c>
      <c r="B169" t="s">
        <v>552</v>
      </c>
      <c r="C169" t="s">
        <v>62</v>
      </c>
      <c r="D169" t="s">
        <v>553</v>
      </c>
      <c r="E169" s="4">
        <v>45992</v>
      </c>
      <c r="F169" s="4">
        <v>46174</v>
      </c>
      <c r="G169" s="1">
        <v>945.6</v>
      </c>
      <c r="H169">
        <v>0.8</v>
      </c>
      <c r="I169" s="1">
        <v>63.04</v>
      </c>
      <c r="J169" t="s">
        <v>112</v>
      </c>
      <c r="K169" t="s">
        <v>1395</v>
      </c>
      <c r="L169" s="9">
        <v>21618313</v>
      </c>
      <c r="M169" s="9" t="s">
        <v>1443</v>
      </c>
      <c r="N169" t="s">
        <v>1389</v>
      </c>
      <c r="O169" s="1">
        <f>NewBusiness7[[#This Row],[Earnings]]/NewBusiness7[[#This Row],[Rate]]</f>
        <v>78.8</v>
      </c>
      <c r="P169" s="1">
        <f>NewBusiness7[[#This Row],[Column5]]*NewBusiness7[[#This Row],[Rate]]</f>
        <v>63.04</v>
      </c>
    </row>
    <row r="170" spans="1:16" x14ac:dyDescent="0.25">
      <c r="A170" t="s">
        <v>168</v>
      </c>
      <c r="B170" t="s">
        <v>570</v>
      </c>
      <c r="C170" t="s">
        <v>62</v>
      </c>
      <c r="D170" t="s">
        <v>571</v>
      </c>
      <c r="E170" s="4">
        <v>46082</v>
      </c>
      <c r="F170" s="4">
        <v>46174</v>
      </c>
      <c r="G170" s="1">
        <v>845.93</v>
      </c>
      <c r="H170">
        <v>0.8</v>
      </c>
      <c r="I170" s="1">
        <v>56.39</v>
      </c>
      <c r="J170" t="s">
        <v>112</v>
      </c>
      <c r="K170" t="s">
        <v>1397</v>
      </c>
      <c r="L170" s="9">
        <v>21618313</v>
      </c>
      <c r="M170" s="9" t="s">
        <v>1443</v>
      </c>
      <c r="N170" t="s">
        <v>1389</v>
      </c>
      <c r="O170" s="1">
        <f>NewBusiness7[[#This Row],[Earnings]]/NewBusiness7[[#This Row],[Rate]]</f>
        <v>70.487499999999997</v>
      </c>
      <c r="P170" s="1">
        <f>NewBusiness7[[#This Row],[Column5]]*NewBusiness7[[#This Row],[Rate]]</f>
        <v>56.39</v>
      </c>
    </row>
    <row r="171" spans="1:16" x14ac:dyDescent="0.25">
      <c r="A171" t="s">
        <v>168</v>
      </c>
      <c r="B171" t="s">
        <v>578</v>
      </c>
      <c r="C171" t="s">
        <v>62</v>
      </c>
      <c r="D171" t="s">
        <v>579</v>
      </c>
      <c r="E171" s="4">
        <v>46082</v>
      </c>
      <c r="F171" s="4">
        <v>46174</v>
      </c>
      <c r="G171" s="1">
        <v>845.93</v>
      </c>
      <c r="H171">
        <v>0.8</v>
      </c>
      <c r="I171" s="1">
        <v>56.39</v>
      </c>
      <c r="J171" t="s">
        <v>112</v>
      </c>
      <c r="K171" t="s">
        <v>1397</v>
      </c>
      <c r="L171" s="9">
        <v>21618313</v>
      </c>
      <c r="M171" s="9" t="s">
        <v>1443</v>
      </c>
      <c r="N171" t="s">
        <v>1389</v>
      </c>
      <c r="O171" s="1">
        <f>NewBusiness7[[#This Row],[Earnings]]/NewBusiness7[[#This Row],[Rate]]</f>
        <v>70.487499999999997</v>
      </c>
      <c r="P171" s="1">
        <f>NewBusiness7[[#This Row],[Column5]]*NewBusiness7[[#This Row],[Rate]]</f>
        <v>56.39</v>
      </c>
    </row>
    <row r="172" spans="1:16" x14ac:dyDescent="0.25">
      <c r="A172" t="s">
        <v>168</v>
      </c>
      <c r="B172" t="s">
        <v>608</v>
      </c>
      <c r="C172" t="s">
        <v>62</v>
      </c>
      <c r="D172" t="s">
        <v>609</v>
      </c>
      <c r="E172" s="4">
        <v>46054</v>
      </c>
      <c r="F172" s="4">
        <v>46174</v>
      </c>
      <c r="G172" s="1">
        <v>897.26</v>
      </c>
      <c r="H172">
        <v>0.8</v>
      </c>
      <c r="I172" s="1">
        <v>59.82</v>
      </c>
      <c r="J172" t="s">
        <v>112</v>
      </c>
      <c r="K172" t="s">
        <v>1397</v>
      </c>
      <c r="L172" s="9">
        <v>21618313</v>
      </c>
      <c r="M172" s="9" t="s">
        <v>1443</v>
      </c>
      <c r="N172" t="s">
        <v>1389</v>
      </c>
      <c r="O172" s="1">
        <f>NewBusiness7[[#This Row],[Earnings]]/NewBusiness7[[#This Row],[Rate]]</f>
        <v>74.774999999999991</v>
      </c>
      <c r="P172" s="1">
        <f>NewBusiness7[[#This Row],[Column5]]*NewBusiness7[[#This Row],[Rate]]</f>
        <v>59.819999999999993</v>
      </c>
    </row>
    <row r="173" spans="1:16" x14ac:dyDescent="0.25">
      <c r="A173" t="s">
        <v>168</v>
      </c>
      <c r="B173" t="s">
        <v>691</v>
      </c>
      <c r="C173" t="s">
        <v>62</v>
      </c>
      <c r="D173" t="s">
        <v>692</v>
      </c>
      <c r="E173" s="4">
        <v>46113</v>
      </c>
      <c r="F173" s="4">
        <v>46204</v>
      </c>
      <c r="G173" s="1">
        <v>421.85</v>
      </c>
      <c r="H173">
        <v>0.8</v>
      </c>
      <c r="I173" s="1">
        <v>28.12</v>
      </c>
      <c r="J173" t="s">
        <v>112</v>
      </c>
      <c r="K173" t="s">
        <v>1397</v>
      </c>
      <c r="L173" s="9">
        <v>21618313</v>
      </c>
      <c r="M173" s="9" t="s">
        <v>1443</v>
      </c>
      <c r="N173" t="s">
        <v>1389</v>
      </c>
      <c r="O173" s="1">
        <f>NewBusiness7[[#This Row],[Earnings]]/NewBusiness7[[#This Row],[Rate]]</f>
        <v>35.15</v>
      </c>
      <c r="P173" s="1">
        <f>NewBusiness7[[#This Row],[Column5]]*NewBusiness7[[#This Row],[Rate]]</f>
        <v>28.12</v>
      </c>
    </row>
    <row r="174" spans="1:16" x14ac:dyDescent="0.25">
      <c r="A174" t="s">
        <v>168</v>
      </c>
      <c r="B174" t="s">
        <v>702</v>
      </c>
      <c r="C174" t="s">
        <v>62</v>
      </c>
      <c r="D174" t="s">
        <v>703</v>
      </c>
      <c r="E174" s="4">
        <v>46121</v>
      </c>
      <c r="F174" s="4">
        <v>46182</v>
      </c>
      <c r="G174" s="1">
        <v>482.11</v>
      </c>
      <c r="H174">
        <v>0.8</v>
      </c>
      <c r="I174" s="1">
        <v>32.14</v>
      </c>
      <c r="J174" t="s">
        <v>112</v>
      </c>
      <c r="K174" t="s">
        <v>1397</v>
      </c>
      <c r="L174" s="9">
        <v>21618313</v>
      </c>
      <c r="M174" s="9" t="s">
        <v>1443</v>
      </c>
      <c r="N174" t="s">
        <v>1389</v>
      </c>
      <c r="O174" s="1">
        <f>NewBusiness7[[#This Row],[Earnings]]/NewBusiness7[[#This Row],[Rate]]</f>
        <v>40.174999999999997</v>
      </c>
      <c r="P174" s="1">
        <f>NewBusiness7[[#This Row],[Column5]]*NewBusiness7[[#This Row],[Rate]]</f>
        <v>32.14</v>
      </c>
    </row>
    <row r="175" spans="1:16" x14ac:dyDescent="0.25">
      <c r="A175" t="s">
        <v>108</v>
      </c>
      <c r="B175" t="s">
        <v>109</v>
      </c>
      <c r="C175" t="s">
        <v>110</v>
      </c>
      <c r="D175" t="s">
        <v>111</v>
      </c>
      <c r="E175" s="4">
        <v>45809</v>
      </c>
      <c r="F175" s="4">
        <v>46174</v>
      </c>
      <c r="G175" s="1">
        <v>672.95</v>
      </c>
      <c r="H175">
        <v>0.8</v>
      </c>
      <c r="I175" s="1">
        <v>44.86</v>
      </c>
      <c r="J175" t="s">
        <v>112</v>
      </c>
      <c r="K175" t="s">
        <v>1395</v>
      </c>
      <c r="L175" s="9" t="s">
        <v>1399</v>
      </c>
      <c r="M175" s="9" t="s">
        <v>1443</v>
      </c>
      <c r="N175" t="s">
        <v>1389</v>
      </c>
      <c r="O175" s="1">
        <f>NewBusiness7[[#This Row],[Earnings]]/NewBusiness7[[#This Row],[Rate]]</f>
        <v>56.074999999999996</v>
      </c>
      <c r="P175" s="1">
        <f>NewBusiness7[[#This Row],[Column5]]*NewBusiness7[[#This Row],[Rate]]</f>
        <v>44.86</v>
      </c>
    </row>
    <row r="176" spans="1:16" x14ac:dyDescent="0.25">
      <c r="A176" t="s">
        <v>108</v>
      </c>
      <c r="B176" t="s">
        <v>470</v>
      </c>
      <c r="C176" t="s">
        <v>471</v>
      </c>
      <c r="D176" t="s">
        <v>472</v>
      </c>
      <c r="E176" s="4">
        <v>45962</v>
      </c>
      <c r="F176" s="4">
        <v>46204</v>
      </c>
      <c r="G176" s="1">
        <v>732</v>
      </c>
      <c r="H176">
        <v>0.8</v>
      </c>
      <c r="I176" s="1">
        <v>48.8</v>
      </c>
      <c r="J176" t="s">
        <v>112</v>
      </c>
      <c r="K176" t="s">
        <v>1397</v>
      </c>
      <c r="L176" s="9" t="s">
        <v>1399</v>
      </c>
      <c r="M176" s="9" t="s">
        <v>1443</v>
      </c>
      <c r="N176" t="s">
        <v>1389</v>
      </c>
      <c r="O176" s="1">
        <f>NewBusiness7[[#This Row],[Earnings]]/NewBusiness7[[#This Row],[Rate]]</f>
        <v>60.999999999999993</v>
      </c>
      <c r="P176" s="1">
        <f>NewBusiness7[[#This Row],[Column5]]*NewBusiness7[[#This Row],[Rate]]</f>
        <v>48.8</v>
      </c>
    </row>
    <row r="177" spans="1:16" x14ac:dyDescent="0.25">
      <c r="A177" t="s">
        <v>108</v>
      </c>
      <c r="B177" t="s">
        <v>586</v>
      </c>
      <c r="C177" t="s">
        <v>110</v>
      </c>
      <c r="D177" t="s">
        <v>587</v>
      </c>
      <c r="E177" s="4">
        <v>46038</v>
      </c>
      <c r="F177" s="4">
        <v>46189</v>
      </c>
      <c r="G177" s="1">
        <v>736.8</v>
      </c>
      <c r="H177">
        <v>0.8</v>
      </c>
      <c r="I177" s="1">
        <v>49.12</v>
      </c>
      <c r="J177" t="s">
        <v>112</v>
      </c>
      <c r="K177" t="s">
        <v>1395</v>
      </c>
      <c r="L177" s="9" t="s">
        <v>1399</v>
      </c>
      <c r="M177" s="9" t="s">
        <v>1443</v>
      </c>
      <c r="N177" t="s">
        <v>1389</v>
      </c>
      <c r="O177" s="1">
        <f>NewBusiness7[[#This Row],[Earnings]]/NewBusiness7[[#This Row],[Rate]]</f>
        <v>61.399999999999991</v>
      </c>
      <c r="P177" s="1">
        <f>NewBusiness7[[#This Row],[Column5]]*NewBusiness7[[#This Row],[Rate]]</f>
        <v>49.12</v>
      </c>
    </row>
    <row r="178" spans="1:16" x14ac:dyDescent="0.25">
      <c r="A178" t="s">
        <v>108</v>
      </c>
      <c r="B178" t="s">
        <v>651</v>
      </c>
      <c r="C178" t="s">
        <v>110</v>
      </c>
      <c r="D178" t="s">
        <v>652</v>
      </c>
      <c r="E178" s="4">
        <v>46066</v>
      </c>
      <c r="F178" s="4">
        <v>46186</v>
      </c>
      <c r="G178" s="1">
        <v>504</v>
      </c>
      <c r="H178">
        <v>0.8</v>
      </c>
      <c r="I178" s="1">
        <v>33.6</v>
      </c>
      <c r="J178" t="s">
        <v>112</v>
      </c>
      <c r="K178" t="s">
        <v>1397</v>
      </c>
      <c r="L178" s="9" t="s">
        <v>1399</v>
      </c>
      <c r="M178" s="9" t="s">
        <v>1443</v>
      </c>
      <c r="N178" t="s">
        <v>1389</v>
      </c>
      <c r="O178" s="1">
        <f>NewBusiness7[[#This Row],[Earnings]]/NewBusiness7[[#This Row],[Rate]]</f>
        <v>42</v>
      </c>
      <c r="P178" s="1">
        <f>NewBusiness7[[#This Row],[Column5]]*NewBusiness7[[#This Row],[Rate]]</f>
        <v>33.6</v>
      </c>
    </row>
    <row r="179" spans="1:16" x14ac:dyDescent="0.25">
      <c r="A179" t="s">
        <v>94</v>
      </c>
      <c r="B179" t="s">
        <v>95</v>
      </c>
      <c r="C179" t="s">
        <v>62</v>
      </c>
      <c r="D179" t="s">
        <v>96</v>
      </c>
      <c r="E179" s="4">
        <v>45842</v>
      </c>
      <c r="F179" s="4">
        <v>46207</v>
      </c>
      <c r="G179" s="1">
        <v>650.4</v>
      </c>
      <c r="H179">
        <v>0.8</v>
      </c>
      <c r="I179" s="1">
        <v>43.36</v>
      </c>
      <c r="J179" t="s">
        <v>34</v>
      </c>
      <c r="K179" t="s">
        <v>1397</v>
      </c>
      <c r="L179" s="9" t="s">
        <v>1422</v>
      </c>
      <c r="M179" s="9" t="s">
        <v>1443</v>
      </c>
      <c r="N179" t="s">
        <v>1389</v>
      </c>
      <c r="O179" s="1">
        <f>NewBusiness7[[#This Row],[Earnings]]/NewBusiness7[[#This Row],[Rate]]</f>
        <v>54.199999999999996</v>
      </c>
      <c r="P179" s="1">
        <f>NewBusiness7[[#This Row],[Column5]]*NewBusiness7[[#This Row],[Rate]]</f>
        <v>43.36</v>
      </c>
    </row>
    <row r="180" spans="1:16" x14ac:dyDescent="0.25">
      <c r="A180" t="s">
        <v>94</v>
      </c>
      <c r="B180" t="s">
        <v>700</v>
      </c>
      <c r="C180" t="s">
        <v>62</v>
      </c>
      <c r="D180" t="s">
        <v>701</v>
      </c>
      <c r="E180" s="4">
        <v>46143</v>
      </c>
      <c r="F180" s="4">
        <v>46204</v>
      </c>
      <c r="G180" s="1">
        <v>1234.8</v>
      </c>
      <c r="H180">
        <v>0.8</v>
      </c>
      <c r="I180" s="1">
        <v>82.32</v>
      </c>
      <c r="J180" t="s">
        <v>34</v>
      </c>
      <c r="K180" t="s">
        <v>1397</v>
      </c>
      <c r="L180" s="9" t="s">
        <v>1422</v>
      </c>
      <c r="M180" s="9" t="s">
        <v>1443</v>
      </c>
      <c r="N180" t="s">
        <v>1415</v>
      </c>
      <c r="O180" s="1">
        <f>NewBusiness7[[#This Row],[Earnings]]/NewBusiness7[[#This Row],[Rate]]</f>
        <v>102.89999999999999</v>
      </c>
      <c r="P180" s="1">
        <f>NewBusiness7[[#This Row],[Column5]]*NewBusiness7[[#This Row],[Rate]]</f>
        <v>82.32</v>
      </c>
    </row>
    <row r="181" spans="1:16" x14ac:dyDescent="0.25">
      <c r="A181" t="s">
        <v>69</v>
      </c>
      <c r="B181" t="s">
        <v>370</v>
      </c>
      <c r="C181" t="s">
        <v>62</v>
      </c>
      <c r="D181" t="s">
        <v>371</v>
      </c>
      <c r="E181" s="4">
        <v>45940</v>
      </c>
      <c r="F181" s="4">
        <v>46183</v>
      </c>
      <c r="G181" s="1">
        <v>747.72</v>
      </c>
      <c r="H181">
        <v>0.8</v>
      </c>
      <c r="I181" s="1">
        <v>49.84</v>
      </c>
      <c r="J181" t="s">
        <v>34</v>
      </c>
      <c r="K181" t="s">
        <v>1397</v>
      </c>
      <c r="L181" s="9" t="s">
        <v>1420</v>
      </c>
      <c r="M181" s="9" t="s">
        <v>1443</v>
      </c>
      <c r="N181" t="s">
        <v>1396</v>
      </c>
      <c r="O181" s="1">
        <f>NewBusiness7[[#This Row],[Earnings]]/NewBusiness7[[#This Row],[Rate]]</f>
        <v>62.300000000000004</v>
      </c>
      <c r="P181" s="1">
        <f>NewBusiness7[[#This Row],[Column5]]*NewBusiness7[[#This Row],[Rate]]</f>
        <v>49.84</v>
      </c>
    </row>
    <row r="182" spans="1:16" x14ac:dyDescent="0.25">
      <c r="A182" t="s">
        <v>69</v>
      </c>
      <c r="B182" t="s">
        <v>507</v>
      </c>
      <c r="C182" t="s">
        <v>62</v>
      </c>
      <c r="D182" t="s">
        <v>508</v>
      </c>
      <c r="E182" s="4">
        <v>45992</v>
      </c>
      <c r="F182" s="4">
        <v>46174</v>
      </c>
      <c r="G182" s="1">
        <v>1207.44</v>
      </c>
      <c r="H182">
        <v>0.8</v>
      </c>
      <c r="I182" s="1">
        <v>80.5</v>
      </c>
      <c r="J182" t="s">
        <v>34</v>
      </c>
      <c r="K182" t="s">
        <v>1397</v>
      </c>
      <c r="L182" s="9" t="s">
        <v>1420</v>
      </c>
      <c r="M182" s="9" t="s">
        <v>1443</v>
      </c>
      <c r="N182" t="s">
        <v>1415</v>
      </c>
      <c r="O182" s="1">
        <f>NewBusiness7[[#This Row],[Earnings]]/NewBusiness7[[#This Row],[Rate]]</f>
        <v>100.625</v>
      </c>
      <c r="P182" s="1">
        <f>NewBusiness7[[#This Row],[Column5]]*NewBusiness7[[#This Row],[Rate]]</f>
        <v>80.5</v>
      </c>
    </row>
    <row r="183" spans="1:16" x14ac:dyDescent="0.25">
      <c r="A183" t="s">
        <v>69</v>
      </c>
      <c r="B183" t="s">
        <v>70</v>
      </c>
      <c r="C183" t="s">
        <v>32</v>
      </c>
      <c r="D183" t="s">
        <v>71</v>
      </c>
      <c r="E183" s="4">
        <v>45899</v>
      </c>
      <c r="F183" s="4">
        <v>46203</v>
      </c>
      <c r="G183" s="1">
        <v>694.31</v>
      </c>
      <c r="H183">
        <v>0.85</v>
      </c>
      <c r="I183" s="1">
        <v>49.18</v>
      </c>
      <c r="J183" t="s">
        <v>34</v>
      </c>
      <c r="K183" t="s">
        <v>1390</v>
      </c>
      <c r="L183" s="9" t="s">
        <v>1420</v>
      </c>
      <c r="M183" s="9" t="s">
        <v>1443</v>
      </c>
      <c r="N183" t="s">
        <v>1389</v>
      </c>
      <c r="O183" s="1">
        <f>NewBusiness7[[#This Row],[Earnings]]/NewBusiness7[[#This Row],[Rate]]</f>
        <v>57.858823529411765</v>
      </c>
      <c r="P183" s="1">
        <f>NewBusiness7[[#This Row],[Column5]]*NewBusiness7[[#This Row],[Rate]]</f>
        <v>49.18</v>
      </c>
    </row>
    <row r="184" spans="1:16" x14ac:dyDescent="0.25">
      <c r="A184" t="s">
        <v>69</v>
      </c>
      <c r="B184" t="s">
        <v>147</v>
      </c>
      <c r="C184" t="s">
        <v>32</v>
      </c>
      <c r="D184" t="s">
        <v>148</v>
      </c>
      <c r="E184" s="4">
        <v>46023</v>
      </c>
      <c r="F184" s="4">
        <v>46204</v>
      </c>
      <c r="G184" s="1">
        <v>884.95</v>
      </c>
      <c r="H184">
        <v>0.85</v>
      </c>
      <c r="I184" s="1">
        <v>62.68</v>
      </c>
      <c r="J184" t="s">
        <v>34</v>
      </c>
      <c r="K184" t="s">
        <v>1390</v>
      </c>
      <c r="L184" s="9" t="s">
        <v>1420</v>
      </c>
      <c r="M184" s="9" t="s">
        <v>1443</v>
      </c>
      <c r="N184" t="s">
        <v>1415</v>
      </c>
      <c r="O184" s="1">
        <f>NewBusiness7[[#This Row],[Earnings]]/NewBusiness7[[#This Row],[Rate]]</f>
        <v>73.741176470588243</v>
      </c>
      <c r="P184" s="1">
        <f>NewBusiness7[[#This Row],[Column5]]*NewBusiness7[[#This Row],[Rate]]</f>
        <v>62.680000000000007</v>
      </c>
    </row>
    <row r="185" spans="1:16" x14ac:dyDescent="0.25">
      <c r="A185" t="s">
        <v>69</v>
      </c>
      <c r="B185" t="s">
        <v>176</v>
      </c>
      <c r="C185" t="s">
        <v>32</v>
      </c>
      <c r="D185" t="s">
        <v>177</v>
      </c>
      <c r="E185" s="4">
        <v>46143</v>
      </c>
      <c r="F185" s="4">
        <v>46204</v>
      </c>
      <c r="G185" s="1">
        <v>667.14</v>
      </c>
      <c r="H185">
        <v>0.85</v>
      </c>
      <c r="I185" s="1">
        <v>47.25</v>
      </c>
      <c r="J185" t="s">
        <v>34</v>
      </c>
      <c r="K185" t="s">
        <v>1390</v>
      </c>
      <c r="L185" s="9" t="s">
        <v>1420</v>
      </c>
      <c r="M185" s="9" t="s">
        <v>1443</v>
      </c>
      <c r="N185" t="s">
        <v>1415</v>
      </c>
      <c r="O185" s="1">
        <f>NewBusiness7[[#This Row],[Earnings]]/NewBusiness7[[#This Row],[Rate]]</f>
        <v>55.588235294117645</v>
      </c>
      <c r="P185" s="1">
        <f>NewBusiness7[[#This Row],[Column5]]*NewBusiness7[[#This Row],[Rate]]</f>
        <v>47.25</v>
      </c>
    </row>
    <row r="186" spans="1:16" x14ac:dyDescent="0.25">
      <c r="A186" t="s">
        <v>69</v>
      </c>
      <c r="B186" t="s">
        <v>249</v>
      </c>
      <c r="C186" t="s">
        <v>32</v>
      </c>
      <c r="D186" t="s">
        <v>250</v>
      </c>
      <c r="E186" s="4">
        <v>45870</v>
      </c>
      <c r="F186" s="4">
        <v>46174</v>
      </c>
      <c r="G186" s="1">
        <v>922.84</v>
      </c>
      <c r="H186">
        <v>0.85</v>
      </c>
      <c r="I186" s="1">
        <v>65.37</v>
      </c>
      <c r="J186" t="s">
        <v>34</v>
      </c>
      <c r="K186" t="s">
        <v>1390</v>
      </c>
      <c r="L186" s="9" t="s">
        <v>1420</v>
      </c>
      <c r="M186" s="9" t="s">
        <v>1443</v>
      </c>
      <c r="N186" t="s">
        <v>1389</v>
      </c>
      <c r="O186" s="1">
        <f>NewBusiness7[[#This Row],[Earnings]]/NewBusiness7[[#This Row],[Rate]]</f>
        <v>76.905882352941177</v>
      </c>
      <c r="P186" s="1">
        <f>NewBusiness7[[#This Row],[Column5]]*NewBusiness7[[#This Row],[Rate]]</f>
        <v>65.37</v>
      </c>
    </row>
    <row r="187" spans="1:16" x14ac:dyDescent="0.25">
      <c r="A187" t="s">
        <v>69</v>
      </c>
      <c r="B187" t="s">
        <v>298</v>
      </c>
      <c r="C187" t="s">
        <v>32</v>
      </c>
      <c r="D187" t="s">
        <v>299</v>
      </c>
      <c r="E187" s="4">
        <v>45931</v>
      </c>
      <c r="F187" s="4">
        <v>46174</v>
      </c>
      <c r="G187" s="1">
        <v>717.34</v>
      </c>
      <c r="H187">
        <v>0.85</v>
      </c>
      <c r="I187" s="1">
        <v>50.81</v>
      </c>
      <c r="J187" t="s">
        <v>34</v>
      </c>
      <c r="K187" t="s">
        <v>1390</v>
      </c>
      <c r="L187" s="9" t="s">
        <v>1420</v>
      </c>
      <c r="M187" s="9" t="s">
        <v>1443</v>
      </c>
      <c r="N187" t="s">
        <v>1396</v>
      </c>
      <c r="O187" s="1">
        <f>NewBusiness7[[#This Row],[Earnings]]/NewBusiness7[[#This Row],[Rate]]</f>
        <v>59.776470588235298</v>
      </c>
      <c r="P187" s="1">
        <f>NewBusiness7[[#This Row],[Column5]]*NewBusiness7[[#This Row],[Rate]]</f>
        <v>50.81</v>
      </c>
    </row>
    <row r="188" spans="1:16" x14ac:dyDescent="0.25">
      <c r="A188" t="s">
        <v>69</v>
      </c>
      <c r="B188" t="s">
        <v>360</v>
      </c>
      <c r="C188" t="s">
        <v>32</v>
      </c>
      <c r="D188" t="s">
        <v>361</v>
      </c>
      <c r="E188" s="4">
        <v>45953</v>
      </c>
      <c r="F188" s="4">
        <v>46196</v>
      </c>
      <c r="G188" s="1">
        <v>1247.1099999999999</v>
      </c>
      <c r="H188">
        <v>0.85</v>
      </c>
      <c r="I188" s="1">
        <v>88.34</v>
      </c>
      <c r="J188" t="s">
        <v>34</v>
      </c>
      <c r="K188" t="s">
        <v>1390</v>
      </c>
      <c r="L188" s="9" t="s">
        <v>1420</v>
      </c>
      <c r="M188" s="9" t="s">
        <v>1443</v>
      </c>
      <c r="N188" t="s">
        <v>1396</v>
      </c>
      <c r="O188" s="1">
        <f>NewBusiness7[[#This Row],[Earnings]]/NewBusiness7[[#This Row],[Rate]]</f>
        <v>103.92941176470589</v>
      </c>
      <c r="P188" s="1">
        <f>NewBusiness7[[#This Row],[Column5]]*NewBusiness7[[#This Row],[Rate]]</f>
        <v>88.34</v>
      </c>
    </row>
    <row r="189" spans="1:16" x14ac:dyDescent="0.25">
      <c r="A189" t="s">
        <v>69</v>
      </c>
      <c r="B189" t="s">
        <v>405</v>
      </c>
      <c r="C189" t="s">
        <v>32</v>
      </c>
      <c r="D189" t="s">
        <v>406</v>
      </c>
      <c r="E189" s="4">
        <v>45962</v>
      </c>
      <c r="F189" s="4">
        <v>46174</v>
      </c>
      <c r="G189" s="1">
        <v>717.34</v>
      </c>
      <c r="H189">
        <v>0.85</v>
      </c>
      <c r="I189" s="1">
        <v>50.81</v>
      </c>
      <c r="J189" t="s">
        <v>34</v>
      </c>
      <c r="K189" t="s">
        <v>1390</v>
      </c>
      <c r="L189" s="9" t="s">
        <v>1420</v>
      </c>
      <c r="M189" s="9" t="s">
        <v>1443</v>
      </c>
      <c r="N189" t="s">
        <v>1396</v>
      </c>
      <c r="O189" s="1">
        <f>NewBusiness7[[#This Row],[Earnings]]/NewBusiness7[[#This Row],[Rate]]</f>
        <v>59.776470588235298</v>
      </c>
      <c r="P189" s="1">
        <f>NewBusiness7[[#This Row],[Column5]]*NewBusiness7[[#This Row],[Rate]]</f>
        <v>50.81</v>
      </c>
    </row>
    <row r="190" spans="1:16" x14ac:dyDescent="0.25">
      <c r="A190" t="s">
        <v>69</v>
      </c>
      <c r="B190" t="s">
        <v>518</v>
      </c>
      <c r="C190" t="s">
        <v>32</v>
      </c>
      <c r="D190" t="s">
        <v>519</v>
      </c>
      <c r="E190" s="4">
        <v>45992</v>
      </c>
      <c r="F190" s="4">
        <v>46204</v>
      </c>
      <c r="G190" s="1">
        <v>1009.68</v>
      </c>
      <c r="H190">
        <v>0.85</v>
      </c>
      <c r="I190" s="1">
        <v>71.510000000000005</v>
      </c>
      <c r="J190" t="s">
        <v>34</v>
      </c>
      <c r="K190" t="s">
        <v>1390</v>
      </c>
      <c r="L190" s="9">
        <v>19586992</v>
      </c>
      <c r="M190" s="9" t="s">
        <v>1443</v>
      </c>
      <c r="N190" t="s">
        <v>1396</v>
      </c>
      <c r="O190" s="1">
        <f>NewBusiness7[[#This Row],[Earnings]]/NewBusiness7[[#This Row],[Rate]]</f>
        <v>84.129411764705893</v>
      </c>
      <c r="P190" s="1">
        <f>NewBusiness7[[#This Row],[Column5]]*NewBusiness7[[#This Row],[Rate]]</f>
        <v>71.510000000000005</v>
      </c>
    </row>
    <row r="191" spans="1:16" x14ac:dyDescent="0.25">
      <c r="A191" t="s">
        <v>69</v>
      </c>
      <c r="B191" t="s">
        <v>520</v>
      </c>
      <c r="C191" t="s">
        <v>32</v>
      </c>
      <c r="D191" t="s">
        <v>521</v>
      </c>
      <c r="E191" s="4">
        <v>45980</v>
      </c>
      <c r="F191" s="4">
        <v>46192</v>
      </c>
      <c r="G191" s="1">
        <v>884.95</v>
      </c>
      <c r="H191">
        <v>0.85</v>
      </c>
      <c r="I191" s="1">
        <v>62.68</v>
      </c>
      <c r="J191" t="s">
        <v>34</v>
      </c>
      <c r="K191" t="s">
        <v>1390</v>
      </c>
      <c r="L191" s="9" t="s">
        <v>1420</v>
      </c>
      <c r="M191" s="9" t="s">
        <v>1443</v>
      </c>
      <c r="N191" t="s">
        <v>1396</v>
      </c>
      <c r="O191" s="1">
        <f>NewBusiness7[[#This Row],[Earnings]]/NewBusiness7[[#This Row],[Rate]]</f>
        <v>73.741176470588243</v>
      </c>
      <c r="P191" s="1">
        <f>NewBusiness7[[#This Row],[Column5]]*NewBusiness7[[#This Row],[Rate]]</f>
        <v>62.680000000000007</v>
      </c>
    </row>
    <row r="192" spans="1:16" x14ac:dyDescent="0.25">
      <c r="A192" t="s">
        <v>69</v>
      </c>
      <c r="B192" t="s">
        <v>564</v>
      </c>
      <c r="C192" t="s">
        <v>32</v>
      </c>
      <c r="D192" t="s">
        <v>565</v>
      </c>
      <c r="E192" s="4">
        <v>46023</v>
      </c>
      <c r="F192" s="4">
        <v>46174</v>
      </c>
      <c r="G192" s="1">
        <v>884.95</v>
      </c>
      <c r="H192">
        <v>0.85</v>
      </c>
      <c r="I192" s="1">
        <v>62.68</v>
      </c>
      <c r="J192" t="s">
        <v>34</v>
      </c>
      <c r="K192" t="s">
        <v>1390</v>
      </c>
      <c r="L192" s="9" t="s">
        <v>1420</v>
      </c>
      <c r="M192" s="9" t="s">
        <v>1443</v>
      </c>
      <c r="N192" t="s">
        <v>1415</v>
      </c>
      <c r="O192" s="1">
        <f>NewBusiness7[[#This Row],[Earnings]]/NewBusiness7[[#This Row],[Rate]]</f>
        <v>73.741176470588243</v>
      </c>
      <c r="P192" s="1">
        <f>NewBusiness7[[#This Row],[Column5]]*NewBusiness7[[#This Row],[Rate]]</f>
        <v>62.680000000000007</v>
      </c>
    </row>
    <row r="193" spans="1:16" x14ac:dyDescent="0.25">
      <c r="A193" t="s">
        <v>69</v>
      </c>
      <c r="B193" t="s">
        <v>574</v>
      </c>
      <c r="C193" t="s">
        <v>32</v>
      </c>
      <c r="D193" t="s">
        <v>575</v>
      </c>
      <c r="E193" s="4">
        <v>46023</v>
      </c>
      <c r="F193" s="4">
        <v>46204</v>
      </c>
      <c r="G193" s="1">
        <v>884.95</v>
      </c>
      <c r="H193">
        <v>0.85</v>
      </c>
      <c r="I193" s="1">
        <v>62.68</v>
      </c>
      <c r="J193" t="s">
        <v>34</v>
      </c>
      <c r="K193" t="s">
        <v>1390</v>
      </c>
      <c r="L193" s="9" t="s">
        <v>1420</v>
      </c>
      <c r="M193" s="9" t="s">
        <v>1443</v>
      </c>
      <c r="N193" t="s">
        <v>1415</v>
      </c>
      <c r="O193" s="1">
        <f>NewBusiness7[[#This Row],[Earnings]]/NewBusiness7[[#This Row],[Rate]]</f>
        <v>73.741176470588243</v>
      </c>
      <c r="P193" s="1">
        <f>NewBusiness7[[#This Row],[Column5]]*NewBusiness7[[#This Row],[Rate]]</f>
        <v>62.680000000000007</v>
      </c>
    </row>
    <row r="194" spans="1:16" x14ac:dyDescent="0.25">
      <c r="A194" t="s">
        <v>69</v>
      </c>
      <c r="B194" t="s">
        <v>592</v>
      </c>
      <c r="C194" t="s">
        <v>32</v>
      </c>
      <c r="D194" t="s">
        <v>593</v>
      </c>
      <c r="E194" s="4">
        <v>46054</v>
      </c>
      <c r="F194" s="4">
        <v>46174</v>
      </c>
      <c r="G194" s="1">
        <v>667.14</v>
      </c>
      <c r="H194">
        <v>0.85</v>
      </c>
      <c r="I194" s="1">
        <v>47.25</v>
      </c>
      <c r="J194" t="s">
        <v>34</v>
      </c>
      <c r="K194" t="s">
        <v>1390</v>
      </c>
      <c r="L194" s="9" t="s">
        <v>1420</v>
      </c>
      <c r="M194" s="9" t="s">
        <v>1443</v>
      </c>
      <c r="N194" t="s">
        <v>1415</v>
      </c>
      <c r="O194" s="1">
        <f>NewBusiness7[[#This Row],[Earnings]]/NewBusiness7[[#This Row],[Rate]]</f>
        <v>55.588235294117645</v>
      </c>
      <c r="P194" s="1">
        <f>NewBusiness7[[#This Row],[Column5]]*NewBusiness7[[#This Row],[Rate]]</f>
        <v>47.25</v>
      </c>
    </row>
    <row r="195" spans="1:16" x14ac:dyDescent="0.25">
      <c r="A195" t="s">
        <v>69</v>
      </c>
      <c r="B195" t="s">
        <v>672</v>
      </c>
      <c r="C195" t="s">
        <v>32</v>
      </c>
      <c r="D195" t="s">
        <v>673</v>
      </c>
      <c r="E195" s="4">
        <v>46118</v>
      </c>
      <c r="F195" s="4">
        <v>46179</v>
      </c>
      <c r="G195" s="1">
        <v>718.38</v>
      </c>
      <c r="H195">
        <v>0.85</v>
      </c>
      <c r="I195" s="1">
        <v>50.88</v>
      </c>
      <c r="J195" t="s">
        <v>47</v>
      </c>
      <c r="K195" t="s">
        <v>1390</v>
      </c>
      <c r="L195" s="9" t="s">
        <v>1420</v>
      </c>
      <c r="M195" s="9" t="s">
        <v>1443</v>
      </c>
      <c r="N195" t="s">
        <v>1415</v>
      </c>
      <c r="O195" s="1">
        <f>NewBusiness7[[#This Row],[Earnings]]/NewBusiness7[[#This Row],[Rate]]</f>
        <v>59.858823529411772</v>
      </c>
      <c r="P195" s="1">
        <f>NewBusiness7[[#This Row],[Column5]]*NewBusiness7[[#This Row],[Rate]]</f>
        <v>50.88</v>
      </c>
    </row>
    <row r="196" spans="1:16" x14ac:dyDescent="0.25">
      <c r="A196" t="s">
        <v>87</v>
      </c>
      <c r="B196" t="s">
        <v>88</v>
      </c>
      <c r="C196" t="s">
        <v>32</v>
      </c>
      <c r="D196" t="s">
        <v>89</v>
      </c>
      <c r="E196" s="4">
        <v>45839</v>
      </c>
      <c r="F196" s="4">
        <v>46174</v>
      </c>
      <c r="G196" s="1">
        <v>1777.3</v>
      </c>
      <c r="H196">
        <v>0.8</v>
      </c>
      <c r="I196" s="1">
        <v>118.48</v>
      </c>
      <c r="J196" t="s">
        <v>34</v>
      </c>
      <c r="K196" t="s">
        <v>1397</v>
      </c>
      <c r="L196" s="9">
        <v>21475206</v>
      </c>
      <c r="M196" s="9" t="s">
        <v>1443</v>
      </c>
      <c r="N196" t="s">
        <v>1389</v>
      </c>
      <c r="O196" s="1">
        <f>NewBusiness7[[#This Row],[Earnings]]/NewBusiness7[[#This Row],[Rate]]</f>
        <v>148.1</v>
      </c>
      <c r="P196" s="1">
        <f>NewBusiness7[[#This Row],[Column5]]*NewBusiness7[[#This Row],[Rate]]</f>
        <v>118.48</v>
      </c>
    </row>
    <row r="197" spans="1:16" x14ac:dyDescent="0.25">
      <c r="A197" t="s">
        <v>87</v>
      </c>
      <c r="B197" t="s">
        <v>97</v>
      </c>
      <c r="C197" t="s">
        <v>32</v>
      </c>
      <c r="D197" t="s">
        <v>98</v>
      </c>
      <c r="E197" s="4">
        <v>45839</v>
      </c>
      <c r="F197" s="4">
        <v>46174</v>
      </c>
      <c r="G197" s="1">
        <v>1777.3</v>
      </c>
      <c r="H197">
        <v>0.8</v>
      </c>
      <c r="I197" s="1">
        <v>118.48</v>
      </c>
      <c r="J197" t="s">
        <v>34</v>
      </c>
      <c r="K197" t="s">
        <v>1397</v>
      </c>
      <c r="L197" s="9">
        <v>21475206</v>
      </c>
      <c r="M197" s="9" t="s">
        <v>1443</v>
      </c>
      <c r="N197" t="s">
        <v>1389</v>
      </c>
      <c r="O197" s="1">
        <f>NewBusiness7[[#This Row],[Earnings]]/NewBusiness7[[#This Row],[Rate]]</f>
        <v>148.1</v>
      </c>
      <c r="P197" s="1">
        <f>NewBusiness7[[#This Row],[Column5]]*NewBusiness7[[#This Row],[Rate]]</f>
        <v>118.48</v>
      </c>
    </row>
    <row r="198" spans="1:16" x14ac:dyDescent="0.25">
      <c r="A198" t="s">
        <v>87</v>
      </c>
      <c r="B198" t="s">
        <v>213</v>
      </c>
      <c r="C198" t="s">
        <v>32</v>
      </c>
      <c r="D198" t="s">
        <v>214</v>
      </c>
      <c r="E198" s="4">
        <v>45853</v>
      </c>
      <c r="F198" s="4">
        <v>46188</v>
      </c>
      <c r="G198" s="1">
        <v>1777.3</v>
      </c>
      <c r="H198">
        <v>0.8</v>
      </c>
      <c r="I198" s="1">
        <v>118.48</v>
      </c>
      <c r="J198" t="s">
        <v>34</v>
      </c>
      <c r="K198" t="s">
        <v>1397</v>
      </c>
      <c r="L198" s="9">
        <v>21475206</v>
      </c>
      <c r="M198" s="9" t="s">
        <v>1443</v>
      </c>
      <c r="N198" t="s">
        <v>1389</v>
      </c>
      <c r="O198" s="1">
        <f>NewBusiness7[[#This Row],[Earnings]]/NewBusiness7[[#This Row],[Rate]]</f>
        <v>148.1</v>
      </c>
      <c r="P198" s="1">
        <f>NewBusiness7[[#This Row],[Column5]]*NewBusiness7[[#This Row],[Rate]]</f>
        <v>118.48</v>
      </c>
    </row>
    <row r="199" spans="1:16" x14ac:dyDescent="0.25">
      <c r="A199" t="s">
        <v>87</v>
      </c>
      <c r="B199" t="s">
        <v>253</v>
      </c>
      <c r="C199" t="s">
        <v>32</v>
      </c>
      <c r="D199" t="s">
        <v>254</v>
      </c>
      <c r="E199" s="4">
        <v>45853</v>
      </c>
      <c r="F199" s="4">
        <v>46188</v>
      </c>
      <c r="G199" s="1">
        <v>1777.3</v>
      </c>
      <c r="H199">
        <v>0.8</v>
      </c>
      <c r="I199" s="1">
        <v>118.48</v>
      </c>
      <c r="J199" t="s">
        <v>34</v>
      </c>
      <c r="K199" t="s">
        <v>1397</v>
      </c>
      <c r="L199" s="9">
        <v>21475206</v>
      </c>
      <c r="M199" s="9" t="s">
        <v>1443</v>
      </c>
      <c r="N199" t="s">
        <v>1389</v>
      </c>
      <c r="O199" s="1">
        <f>NewBusiness7[[#This Row],[Earnings]]/NewBusiness7[[#This Row],[Rate]]</f>
        <v>148.1</v>
      </c>
      <c r="P199" s="1">
        <f>NewBusiness7[[#This Row],[Column5]]*NewBusiness7[[#This Row],[Rate]]</f>
        <v>118.48</v>
      </c>
    </row>
    <row r="200" spans="1:16" x14ac:dyDescent="0.25">
      <c r="A200" t="s">
        <v>136</v>
      </c>
      <c r="B200" t="s">
        <v>137</v>
      </c>
      <c r="C200" t="s">
        <v>32</v>
      </c>
      <c r="D200" t="s">
        <v>138</v>
      </c>
      <c r="E200" s="4">
        <v>45982</v>
      </c>
      <c r="F200" s="4">
        <v>46194</v>
      </c>
      <c r="G200" s="1">
        <v>1518.19</v>
      </c>
      <c r="H200">
        <v>0.8</v>
      </c>
      <c r="I200" s="1">
        <v>101.22</v>
      </c>
      <c r="J200" t="s">
        <v>34</v>
      </c>
      <c r="K200" t="s">
        <v>1397</v>
      </c>
      <c r="L200" s="9" t="s">
        <v>1424</v>
      </c>
      <c r="M200" s="9" t="s">
        <v>1443</v>
      </c>
      <c r="N200" t="s">
        <v>1396</v>
      </c>
      <c r="O200" s="1">
        <f>NewBusiness7[[#This Row],[Earnings]]/NewBusiness7[[#This Row],[Rate]]</f>
        <v>126.52499999999999</v>
      </c>
      <c r="P200" s="1">
        <f>NewBusiness7[[#This Row],[Column5]]*NewBusiness7[[#This Row],[Rate]]</f>
        <v>101.22</v>
      </c>
    </row>
    <row r="201" spans="1:16" x14ac:dyDescent="0.25">
      <c r="A201" t="s">
        <v>136</v>
      </c>
      <c r="B201" t="s">
        <v>209</v>
      </c>
      <c r="C201" t="s">
        <v>62</v>
      </c>
      <c r="D201" t="s">
        <v>210</v>
      </c>
      <c r="E201" s="4">
        <v>45859</v>
      </c>
      <c r="F201" s="4">
        <v>46194</v>
      </c>
      <c r="G201" s="1">
        <v>1695.6</v>
      </c>
      <c r="H201">
        <v>0.8</v>
      </c>
      <c r="I201" s="1">
        <v>113.04</v>
      </c>
      <c r="J201" t="s">
        <v>34</v>
      </c>
      <c r="K201" t="s">
        <v>1397</v>
      </c>
      <c r="L201" s="9" t="s">
        <v>1424</v>
      </c>
      <c r="M201" s="9" t="s">
        <v>1443</v>
      </c>
      <c r="N201" t="s">
        <v>1389</v>
      </c>
      <c r="O201" s="1">
        <f>NewBusiness7[[#This Row],[Earnings]]/NewBusiness7[[#This Row],[Rate]]</f>
        <v>141.30000000000001</v>
      </c>
      <c r="P201" s="1">
        <f>NewBusiness7[[#This Row],[Column5]]*NewBusiness7[[#This Row],[Rate]]</f>
        <v>113.04000000000002</v>
      </c>
    </row>
    <row r="202" spans="1:16" x14ac:dyDescent="0.25">
      <c r="A202" t="s">
        <v>136</v>
      </c>
      <c r="B202" t="s">
        <v>372</v>
      </c>
      <c r="C202" t="s">
        <v>62</v>
      </c>
      <c r="D202" t="s">
        <v>373</v>
      </c>
      <c r="E202" s="4">
        <v>45953</v>
      </c>
      <c r="F202" s="4">
        <v>46165</v>
      </c>
      <c r="G202" s="1">
        <v>762</v>
      </c>
      <c r="H202">
        <v>0.8</v>
      </c>
      <c r="I202" s="1">
        <v>50.8</v>
      </c>
      <c r="J202" t="s">
        <v>34</v>
      </c>
      <c r="K202" t="s">
        <v>1397</v>
      </c>
      <c r="L202" s="9" t="s">
        <v>1424</v>
      </c>
      <c r="M202" s="9" t="s">
        <v>1443</v>
      </c>
      <c r="N202" t="s">
        <v>1396</v>
      </c>
      <c r="O202" s="1">
        <f>NewBusiness7[[#This Row],[Earnings]]/NewBusiness7[[#This Row],[Rate]]</f>
        <v>63.499999999999993</v>
      </c>
      <c r="P202" s="1">
        <f>NewBusiness7[[#This Row],[Column5]]*NewBusiness7[[#This Row],[Rate]]</f>
        <v>50.8</v>
      </c>
    </row>
    <row r="203" spans="1:16" x14ac:dyDescent="0.25">
      <c r="A203" t="s">
        <v>136</v>
      </c>
      <c r="B203" t="s">
        <v>516</v>
      </c>
      <c r="C203" t="s">
        <v>62</v>
      </c>
      <c r="D203" t="s">
        <v>517</v>
      </c>
      <c r="E203" s="4">
        <v>45979</v>
      </c>
      <c r="F203" s="4">
        <v>46191</v>
      </c>
      <c r="G203" s="1">
        <v>752.76</v>
      </c>
      <c r="H203">
        <v>0.8</v>
      </c>
      <c r="I203" s="1">
        <v>50.18</v>
      </c>
      <c r="J203" t="s">
        <v>34</v>
      </c>
      <c r="K203" t="s">
        <v>1397</v>
      </c>
      <c r="L203" s="9" t="s">
        <v>1424</v>
      </c>
      <c r="M203" s="9" t="s">
        <v>1443</v>
      </c>
      <c r="N203" t="s">
        <v>1396</v>
      </c>
      <c r="O203" s="1">
        <f>NewBusiness7[[#This Row],[Earnings]]/NewBusiness7[[#This Row],[Rate]]</f>
        <v>62.724999999999994</v>
      </c>
      <c r="P203" s="1">
        <f>NewBusiness7[[#This Row],[Column5]]*NewBusiness7[[#This Row],[Rate]]</f>
        <v>50.18</v>
      </c>
    </row>
    <row r="204" spans="1:16" x14ac:dyDescent="0.25">
      <c r="A204" t="s">
        <v>136</v>
      </c>
      <c r="B204" t="s">
        <v>528</v>
      </c>
      <c r="C204" t="s">
        <v>32</v>
      </c>
      <c r="D204" t="s">
        <v>529</v>
      </c>
      <c r="E204" s="4">
        <v>45993</v>
      </c>
      <c r="F204" s="4">
        <v>46205</v>
      </c>
      <c r="G204" s="1">
        <v>1911.07</v>
      </c>
      <c r="H204">
        <v>0.8</v>
      </c>
      <c r="I204" s="1">
        <v>127.41</v>
      </c>
      <c r="J204" t="s">
        <v>34</v>
      </c>
      <c r="K204" t="s">
        <v>1395</v>
      </c>
      <c r="L204" s="9" t="s">
        <v>1427</v>
      </c>
      <c r="M204" s="9" t="s">
        <v>1443</v>
      </c>
      <c r="N204" t="s">
        <v>1396</v>
      </c>
      <c r="O204" s="1">
        <f>NewBusiness7[[#This Row],[Earnings]]/NewBusiness7[[#This Row],[Rate]]</f>
        <v>159.26249999999999</v>
      </c>
      <c r="P204" s="1">
        <f>NewBusiness7[[#This Row],[Column5]]*NewBusiness7[[#This Row],[Rate]]</f>
        <v>127.41</v>
      </c>
    </row>
    <row r="205" spans="1:16" x14ac:dyDescent="0.25">
      <c r="A205" t="s">
        <v>136</v>
      </c>
      <c r="B205" t="s">
        <v>550</v>
      </c>
      <c r="C205" t="s">
        <v>91</v>
      </c>
      <c r="D205" t="s">
        <v>551</v>
      </c>
      <c r="E205" s="4">
        <v>45996</v>
      </c>
      <c r="F205" s="4">
        <v>46208</v>
      </c>
      <c r="G205" s="1">
        <v>1452.26</v>
      </c>
      <c r="H205">
        <v>0.8</v>
      </c>
      <c r="I205" s="1">
        <v>96.82</v>
      </c>
      <c r="J205" t="s">
        <v>34</v>
      </c>
      <c r="K205" t="s">
        <v>1395</v>
      </c>
      <c r="L205" s="9" t="s">
        <v>1427</v>
      </c>
      <c r="M205" s="9" t="s">
        <v>1443</v>
      </c>
      <c r="N205" t="s">
        <v>1396</v>
      </c>
      <c r="O205" s="1">
        <f>NewBusiness7[[#This Row],[Earnings]]/NewBusiness7[[#This Row],[Rate]]</f>
        <v>121.02499999999999</v>
      </c>
      <c r="P205" s="1">
        <f>NewBusiness7[[#This Row],[Column5]]*NewBusiness7[[#This Row],[Rate]]</f>
        <v>96.82</v>
      </c>
    </row>
    <row r="206" spans="1:16" x14ac:dyDescent="0.25">
      <c r="A206" t="s">
        <v>136</v>
      </c>
      <c r="B206" t="s">
        <v>562</v>
      </c>
      <c r="C206" t="s">
        <v>32</v>
      </c>
      <c r="D206" t="s">
        <v>563</v>
      </c>
      <c r="E206" s="4">
        <v>45999</v>
      </c>
      <c r="F206" s="4">
        <v>46181</v>
      </c>
      <c r="G206" s="1">
        <v>1821.5</v>
      </c>
      <c r="H206">
        <v>0.8</v>
      </c>
      <c r="I206" s="1">
        <v>121.43</v>
      </c>
      <c r="J206" t="s">
        <v>34</v>
      </c>
      <c r="K206" t="s">
        <v>1395</v>
      </c>
      <c r="L206" s="9" t="s">
        <v>1424</v>
      </c>
      <c r="M206" s="9" t="s">
        <v>1443</v>
      </c>
      <c r="N206" t="s">
        <v>1415</v>
      </c>
      <c r="O206" s="1">
        <f>NewBusiness7[[#This Row],[Earnings]]/NewBusiness7[[#This Row],[Rate]]</f>
        <v>151.78749999999999</v>
      </c>
      <c r="P206" s="1">
        <f>NewBusiness7[[#This Row],[Column5]]*NewBusiness7[[#This Row],[Rate]]</f>
        <v>121.43</v>
      </c>
    </row>
    <row r="207" spans="1:16" x14ac:dyDescent="0.25">
      <c r="A207" t="s">
        <v>136</v>
      </c>
      <c r="B207" t="s">
        <v>157</v>
      </c>
      <c r="C207" t="s">
        <v>32</v>
      </c>
      <c r="D207" t="s">
        <v>158</v>
      </c>
      <c r="E207" s="4">
        <v>45988</v>
      </c>
      <c r="F207" s="4">
        <v>46200</v>
      </c>
      <c r="G207" s="1">
        <v>621.98</v>
      </c>
      <c r="H207">
        <v>0.85</v>
      </c>
      <c r="I207" s="1">
        <v>44.06</v>
      </c>
      <c r="J207" t="s">
        <v>34</v>
      </c>
      <c r="K207" t="s">
        <v>1390</v>
      </c>
      <c r="L207" s="9" t="s">
        <v>1427</v>
      </c>
      <c r="M207" s="9" t="s">
        <v>1443</v>
      </c>
      <c r="N207" t="s">
        <v>1396</v>
      </c>
      <c r="O207" s="1">
        <f>NewBusiness7[[#This Row],[Earnings]]/NewBusiness7[[#This Row],[Rate]]</f>
        <v>51.835294117647059</v>
      </c>
      <c r="P207" s="1">
        <f>NewBusiness7[[#This Row],[Column5]]*NewBusiness7[[#This Row],[Rate]]</f>
        <v>44.06</v>
      </c>
    </row>
    <row r="208" spans="1:16" x14ac:dyDescent="0.25">
      <c r="A208" t="s">
        <v>136</v>
      </c>
      <c r="B208" t="s">
        <v>201</v>
      </c>
      <c r="C208" t="s">
        <v>32</v>
      </c>
      <c r="D208" t="s">
        <v>202</v>
      </c>
      <c r="E208" s="4">
        <v>45901</v>
      </c>
      <c r="F208" s="4">
        <v>46174</v>
      </c>
      <c r="G208" s="1">
        <v>746.56</v>
      </c>
      <c r="H208">
        <v>0.85</v>
      </c>
      <c r="I208" s="1">
        <v>52.88</v>
      </c>
      <c r="J208" t="s">
        <v>34</v>
      </c>
      <c r="K208" t="s">
        <v>1390</v>
      </c>
      <c r="L208" s="9" t="s">
        <v>1424</v>
      </c>
      <c r="M208" s="9" t="s">
        <v>1443</v>
      </c>
      <c r="N208" t="s">
        <v>1389</v>
      </c>
      <c r="O208" s="1">
        <f>NewBusiness7[[#This Row],[Earnings]]/NewBusiness7[[#This Row],[Rate]]</f>
        <v>62.211764705882359</v>
      </c>
      <c r="P208" s="1">
        <f>NewBusiness7[[#This Row],[Column5]]*NewBusiness7[[#This Row],[Rate]]</f>
        <v>52.88</v>
      </c>
    </row>
    <row r="209" spans="1:16" x14ac:dyDescent="0.25">
      <c r="A209" t="s">
        <v>136</v>
      </c>
      <c r="B209" t="s">
        <v>241</v>
      </c>
      <c r="C209" t="s">
        <v>32</v>
      </c>
      <c r="D209" t="s">
        <v>242</v>
      </c>
      <c r="E209" s="4">
        <v>45870</v>
      </c>
      <c r="F209" s="4">
        <v>46204</v>
      </c>
      <c r="G209" s="1">
        <v>746.56</v>
      </c>
      <c r="H209">
        <v>0.85</v>
      </c>
      <c r="I209" s="1">
        <v>52.88</v>
      </c>
      <c r="J209" t="s">
        <v>34</v>
      </c>
      <c r="K209" t="s">
        <v>1390</v>
      </c>
      <c r="L209" s="9" t="s">
        <v>1424</v>
      </c>
      <c r="M209" s="9" t="s">
        <v>1443</v>
      </c>
      <c r="N209" t="s">
        <v>1389</v>
      </c>
      <c r="O209" s="1">
        <f>NewBusiness7[[#This Row],[Earnings]]/NewBusiness7[[#This Row],[Rate]]</f>
        <v>62.211764705882359</v>
      </c>
      <c r="P209" s="1">
        <f>NewBusiness7[[#This Row],[Column5]]*NewBusiness7[[#This Row],[Rate]]</f>
        <v>52.88</v>
      </c>
    </row>
    <row r="210" spans="1:16" x14ac:dyDescent="0.25">
      <c r="A210" t="s">
        <v>136</v>
      </c>
      <c r="B210" t="s">
        <v>245</v>
      </c>
      <c r="C210" t="s">
        <v>32</v>
      </c>
      <c r="D210" t="s">
        <v>246</v>
      </c>
      <c r="E210" s="4">
        <v>45870</v>
      </c>
      <c r="F210" s="4">
        <v>46174</v>
      </c>
      <c r="G210" s="1">
        <v>514.49</v>
      </c>
      <c r="H210">
        <v>0.85</v>
      </c>
      <c r="I210" s="1">
        <v>36.44</v>
      </c>
      <c r="J210" t="s">
        <v>34</v>
      </c>
      <c r="K210" t="s">
        <v>1390</v>
      </c>
      <c r="L210" s="9" t="s">
        <v>1427</v>
      </c>
      <c r="M210" s="9" t="s">
        <v>1443</v>
      </c>
      <c r="N210" t="s">
        <v>1389</v>
      </c>
      <c r="O210" s="1">
        <f>NewBusiness7[[#This Row],[Earnings]]/NewBusiness7[[#This Row],[Rate]]</f>
        <v>42.870588235294115</v>
      </c>
      <c r="P210" s="1">
        <f>NewBusiness7[[#This Row],[Column5]]*NewBusiness7[[#This Row],[Rate]]</f>
        <v>36.44</v>
      </c>
    </row>
    <row r="211" spans="1:16" x14ac:dyDescent="0.25">
      <c r="A211" t="s">
        <v>136</v>
      </c>
      <c r="B211" t="s">
        <v>286</v>
      </c>
      <c r="C211" t="s">
        <v>32</v>
      </c>
      <c r="D211" t="s">
        <v>287</v>
      </c>
      <c r="E211" s="4">
        <v>45882</v>
      </c>
      <c r="F211" s="4">
        <v>46186</v>
      </c>
      <c r="G211" s="1">
        <v>514.49</v>
      </c>
      <c r="H211">
        <v>0.85</v>
      </c>
      <c r="I211" s="1">
        <v>36.44</v>
      </c>
      <c r="J211" t="s">
        <v>34</v>
      </c>
      <c r="K211" t="s">
        <v>1390</v>
      </c>
      <c r="L211" s="9" t="s">
        <v>1427</v>
      </c>
      <c r="M211" s="9" t="s">
        <v>1443</v>
      </c>
      <c r="N211" t="s">
        <v>1389</v>
      </c>
      <c r="O211" s="1">
        <f>NewBusiness7[[#This Row],[Earnings]]/NewBusiness7[[#This Row],[Rate]]</f>
        <v>42.870588235294115</v>
      </c>
      <c r="P211" s="1">
        <f>NewBusiness7[[#This Row],[Column5]]*NewBusiness7[[#This Row],[Rate]]</f>
        <v>36.44</v>
      </c>
    </row>
    <row r="212" spans="1:16" x14ac:dyDescent="0.25">
      <c r="A212" t="s">
        <v>136</v>
      </c>
      <c r="B212" t="s">
        <v>288</v>
      </c>
      <c r="C212" t="s">
        <v>32</v>
      </c>
      <c r="D212" t="s">
        <v>289</v>
      </c>
      <c r="E212" s="4">
        <v>45882</v>
      </c>
      <c r="F212" s="4">
        <v>46186</v>
      </c>
      <c r="G212" s="1">
        <v>514.49</v>
      </c>
      <c r="H212">
        <v>0.85</v>
      </c>
      <c r="I212" s="1">
        <v>36.44</v>
      </c>
      <c r="J212" t="s">
        <v>34</v>
      </c>
      <c r="K212" t="s">
        <v>1390</v>
      </c>
      <c r="L212" s="9" t="s">
        <v>1427</v>
      </c>
      <c r="M212" s="9" t="s">
        <v>1443</v>
      </c>
      <c r="N212" t="s">
        <v>1389</v>
      </c>
      <c r="O212" s="1">
        <f>NewBusiness7[[#This Row],[Earnings]]/NewBusiness7[[#This Row],[Rate]]</f>
        <v>42.870588235294115</v>
      </c>
      <c r="P212" s="1">
        <f>NewBusiness7[[#This Row],[Column5]]*NewBusiness7[[#This Row],[Rate]]</f>
        <v>36.44</v>
      </c>
    </row>
    <row r="213" spans="1:16" x14ac:dyDescent="0.25">
      <c r="A213" t="s">
        <v>136</v>
      </c>
      <c r="B213" t="s">
        <v>290</v>
      </c>
      <c r="C213" t="s">
        <v>91</v>
      </c>
      <c r="D213" t="s">
        <v>291</v>
      </c>
      <c r="E213" s="4">
        <v>45882</v>
      </c>
      <c r="F213" s="4">
        <v>46186</v>
      </c>
      <c r="G213" s="1">
        <v>729.81</v>
      </c>
      <c r="H213">
        <v>0.85</v>
      </c>
      <c r="I213" s="1">
        <v>51.7</v>
      </c>
      <c r="J213" t="s">
        <v>34</v>
      </c>
      <c r="K213" t="s">
        <v>1390</v>
      </c>
      <c r="L213" s="9" t="s">
        <v>1427</v>
      </c>
      <c r="M213" s="9" t="s">
        <v>1443</v>
      </c>
      <c r="N213" t="s">
        <v>1389</v>
      </c>
      <c r="O213" s="1">
        <f>NewBusiness7[[#This Row],[Earnings]]/NewBusiness7[[#This Row],[Rate]]</f>
        <v>60.82352941176471</v>
      </c>
      <c r="P213" s="1">
        <f>NewBusiness7[[#This Row],[Column5]]*NewBusiness7[[#This Row],[Rate]]</f>
        <v>51.7</v>
      </c>
    </row>
    <row r="214" spans="1:16" x14ac:dyDescent="0.25">
      <c r="A214" t="s">
        <v>136</v>
      </c>
      <c r="B214" t="s">
        <v>294</v>
      </c>
      <c r="C214" t="s">
        <v>32</v>
      </c>
      <c r="D214" t="s">
        <v>295</v>
      </c>
      <c r="E214" s="4">
        <v>45885</v>
      </c>
      <c r="F214" s="4">
        <v>46189</v>
      </c>
      <c r="G214" s="1">
        <v>746.56</v>
      </c>
      <c r="H214">
        <v>0.85</v>
      </c>
      <c r="I214" s="1">
        <v>52.88</v>
      </c>
      <c r="J214" t="s">
        <v>34</v>
      </c>
      <c r="K214" t="s">
        <v>1390</v>
      </c>
      <c r="L214" s="9" t="s">
        <v>1427</v>
      </c>
      <c r="M214" s="9" t="s">
        <v>1443</v>
      </c>
      <c r="N214" t="s">
        <v>1389</v>
      </c>
      <c r="O214" s="1">
        <f>NewBusiness7[[#This Row],[Earnings]]/NewBusiness7[[#This Row],[Rate]]</f>
        <v>62.211764705882359</v>
      </c>
      <c r="P214" s="1">
        <f>NewBusiness7[[#This Row],[Column5]]*NewBusiness7[[#This Row],[Rate]]</f>
        <v>52.88</v>
      </c>
    </row>
    <row r="215" spans="1:16" x14ac:dyDescent="0.25">
      <c r="A215" t="s">
        <v>136</v>
      </c>
      <c r="B215" t="s">
        <v>312</v>
      </c>
      <c r="C215" t="s">
        <v>91</v>
      </c>
      <c r="D215" t="s">
        <v>313</v>
      </c>
      <c r="E215" s="4">
        <v>45951</v>
      </c>
      <c r="F215" s="4">
        <v>46194</v>
      </c>
      <c r="G215" s="1">
        <v>1022.2</v>
      </c>
      <c r="H215">
        <v>0.85</v>
      </c>
      <c r="I215" s="1">
        <v>72.400000000000006</v>
      </c>
      <c r="J215" t="s">
        <v>34</v>
      </c>
      <c r="K215" t="s">
        <v>1390</v>
      </c>
      <c r="L215" s="9" t="s">
        <v>1424</v>
      </c>
      <c r="M215" s="9" t="s">
        <v>1443</v>
      </c>
      <c r="N215" t="s">
        <v>1396</v>
      </c>
      <c r="O215" s="1">
        <f>NewBusiness7[[#This Row],[Earnings]]/NewBusiness7[[#This Row],[Rate]]</f>
        <v>85.176470588235304</v>
      </c>
      <c r="P215" s="1">
        <f>NewBusiness7[[#This Row],[Column5]]*NewBusiness7[[#This Row],[Rate]]</f>
        <v>72.400000000000006</v>
      </c>
    </row>
    <row r="216" spans="1:16" x14ac:dyDescent="0.25">
      <c r="A216" t="s">
        <v>136</v>
      </c>
      <c r="B216" t="s">
        <v>318</v>
      </c>
      <c r="C216" t="s">
        <v>32</v>
      </c>
      <c r="D216" t="s">
        <v>319</v>
      </c>
      <c r="E216" s="4">
        <v>45951</v>
      </c>
      <c r="F216" s="4">
        <v>46194</v>
      </c>
      <c r="G216" s="1">
        <v>694.31</v>
      </c>
      <c r="H216">
        <v>0.85</v>
      </c>
      <c r="I216" s="1">
        <v>49.18</v>
      </c>
      <c r="J216" t="s">
        <v>34</v>
      </c>
      <c r="K216" t="s">
        <v>1390</v>
      </c>
      <c r="L216" s="9" t="s">
        <v>1424</v>
      </c>
      <c r="M216" s="9" t="s">
        <v>1443</v>
      </c>
      <c r="N216" t="s">
        <v>1396</v>
      </c>
      <c r="O216" s="1">
        <f>NewBusiness7[[#This Row],[Earnings]]/NewBusiness7[[#This Row],[Rate]]</f>
        <v>57.858823529411765</v>
      </c>
      <c r="P216" s="1">
        <f>NewBusiness7[[#This Row],[Column5]]*NewBusiness7[[#This Row],[Rate]]</f>
        <v>49.18</v>
      </c>
    </row>
    <row r="217" spans="1:16" x14ac:dyDescent="0.25">
      <c r="A217" t="s">
        <v>136</v>
      </c>
      <c r="B217" t="s">
        <v>346</v>
      </c>
      <c r="C217" t="s">
        <v>32</v>
      </c>
      <c r="D217" t="s">
        <v>347</v>
      </c>
      <c r="E217" s="4">
        <v>45971</v>
      </c>
      <c r="F217" s="4">
        <v>46183</v>
      </c>
      <c r="G217" s="1">
        <v>927.47</v>
      </c>
      <c r="H217">
        <v>0.85</v>
      </c>
      <c r="I217" s="1">
        <v>65.7</v>
      </c>
      <c r="J217" t="s">
        <v>34</v>
      </c>
      <c r="K217" t="s">
        <v>1390</v>
      </c>
      <c r="L217" s="9" t="s">
        <v>1424</v>
      </c>
      <c r="M217" s="9" t="s">
        <v>1443</v>
      </c>
      <c r="N217" t="s">
        <v>1396</v>
      </c>
      <c r="O217" s="1">
        <f>NewBusiness7[[#This Row],[Earnings]]/NewBusiness7[[#This Row],[Rate]]</f>
        <v>77.294117647058826</v>
      </c>
      <c r="P217" s="1">
        <f>NewBusiness7[[#This Row],[Column5]]*NewBusiness7[[#This Row],[Rate]]</f>
        <v>65.7</v>
      </c>
    </row>
    <row r="218" spans="1:16" x14ac:dyDescent="0.25">
      <c r="A218" t="s">
        <v>136</v>
      </c>
      <c r="B218" t="s">
        <v>374</v>
      </c>
      <c r="C218" t="s">
        <v>32</v>
      </c>
      <c r="D218" t="s">
        <v>375</v>
      </c>
      <c r="E218" s="4">
        <v>45953</v>
      </c>
      <c r="F218" s="4">
        <v>46165</v>
      </c>
      <c r="G218" s="1">
        <v>551.12</v>
      </c>
      <c r="H218">
        <v>0.85</v>
      </c>
      <c r="I218" s="1">
        <v>39.03</v>
      </c>
      <c r="J218" t="s">
        <v>34</v>
      </c>
      <c r="K218" t="s">
        <v>1390</v>
      </c>
      <c r="L218" s="9" t="s">
        <v>1424</v>
      </c>
      <c r="M218" s="9" t="s">
        <v>1443</v>
      </c>
      <c r="N218" t="s">
        <v>1396</v>
      </c>
      <c r="O218" s="1">
        <f>NewBusiness7[[#This Row],[Earnings]]/NewBusiness7[[#This Row],[Rate]]</f>
        <v>45.917647058823533</v>
      </c>
      <c r="P218" s="1">
        <f>NewBusiness7[[#This Row],[Column5]]*NewBusiness7[[#This Row],[Rate]]</f>
        <v>39.03</v>
      </c>
    </row>
    <row r="219" spans="1:16" x14ac:dyDescent="0.25">
      <c r="A219" t="s">
        <v>136</v>
      </c>
      <c r="B219" t="s">
        <v>417</v>
      </c>
      <c r="C219" t="s">
        <v>32</v>
      </c>
      <c r="D219" t="s">
        <v>418</v>
      </c>
      <c r="E219" s="4">
        <v>45931</v>
      </c>
      <c r="F219" s="4">
        <v>46204</v>
      </c>
      <c r="G219" s="1">
        <v>694.31</v>
      </c>
      <c r="H219">
        <v>0.85</v>
      </c>
      <c r="I219" s="1">
        <v>49.18</v>
      </c>
      <c r="J219" t="s">
        <v>34</v>
      </c>
      <c r="K219" t="s">
        <v>1390</v>
      </c>
      <c r="L219" s="9" t="s">
        <v>1424</v>
      </c>
      <c r="M219" s="9" t="s">
        <v>1443</v>
      </c>
      <c r="N219" t="s">
        <v>1389</v>
      </c>
      <c r="O219" s="1">
        <f>NewBusiness7[[#This Row],[Earnings]]/NewBusiness7[[#This Row],[Rate]]</f>
        <v>57.858823529411765</v>
      </c>
      <c r="P219" s="1">
        <f>NewBusiness7[[#This Row],[Column5]]*NewBusiness7[[#This Row],[Rate]]</f>
        <v>49.18</v>
      </c>
    </row>
    <row r="220" spans="1:16" x14ac:dyDescent="0.25">
      <c r="A220" t="s">
        <v>136</v>
      </c>
      <c r="B220" t="s">
        <v>426</v>
      </c>
      <c r="C220" t="s">
        <v>32</v>
      </c>
      <c r="D220" t="s">
        <v>427</v>
      </c>
      <c r="E220" s="4">
        <v>45931</v>
      </c>
      <c r="F220" s="4">
        <v>46204</v>
      </c>
      <c r="G220" s="1">
        <v>694.31</v>
      </c>
      <c r="H220">
        <v>0.85</v>
      </c>
      <c r="I220" s="1">
        <v>49.18</v>
      </c>
      <c r="J220" t="s">
        <v>34</v>
      </c>
      <c r="K220" t="s">
        <v>1390</v>
      </c>
      <c r="L220" s="9" t="s">
        <v>1427</v>
      </c>
      <c r="M220" s="9" t="s">
        <v>1443</v>
      </c>
      <c r="N220" t="s">
        <v>1389</v>
      </c>
      <c r="O220" s="1">
        <f>NewBusiness7[[#This Row],[Earnings]]/NewBusiness7[[#This Row],[Rate]]</f>
        <v>57.858823529411765</v>
      </c>
      <c r="P220" s="1">
        <f>NewBusiness7[[#This Row],[Column5]]*NewBusiness7[[#This Row],[Rate]]</f>
        <v>49.18</v>
      </c>
    </row>
    <row r="221" spans="1:16" x14ac:dyDescent="0.25">
      <c r="A221" t="s">
        <v>136</v>
      </c>
      <c r="B221" t="s">
        <v>430</v>
      </c>
      <c r="C221" t="s">
        <v>32</v>
      </c>
      <c r="D221" t="s">
        <v>431</v>
      </c>
      <c r="E221" s="4">
        <v>45931</v>
      </c>
      <c r="F221" s="4">
        <v>46204</v>
      </c>
      <c r="G221" s="1">
        <v>694.31</v>
      </c>
      <c r="H221">
        <v>0.85</v>
      </c>
      <c r="I221" s="1">
        <v>49.18</v>
      </c>
      <c r="J221" t="s">
        <v>34</v>
      </c>
      <c r="K221" t="s">
        <v>1390</v>
      </c>
      <c r="L221" s="9" t="s">
        <v>1424</v>
      </c>
      <c r="M221" s="9" t="s">
        <v>1443</v>
      </c>
      <c r="N221" t="s">
        <v>1389</v>
      </c>
      <c r="O221" s="1">
        <f>NewBusiness7[[#This Row],[Earnings]]/NewBusiness7[[#This Row],[Rate]]</f>
        <v>57.858823529411765</v>
      </c>
      <c r="P221" s="1">
        <f>NewBusiness7[[#This Row],[Column5]]*NewBusiness7[[#This Row],[Rate]]</f>
        <v>49.18</v>
      </c>
    </row>
    <row r="222" spans="1:16" x14ac:dyDescent="0.25">
      <c r="A222" t="s">
        <v>136</v>
      </c>
      <c r="B222" t="s">
        <v>481</v>
      </c>
      <c r="C222" t="s">
        <v>32</v>
      </c>
      <c r="D222" t="s">
        <v>482</v>
      </c>
      <c r="E222" s="4">
        <v>45992</v>
      </c>
      <c r="F222" s="4">
        <v>46174</v>
      </c>
      <c r="G222" s="1">
        <v>463.76</v>
      </c>
      <c r="H222">
        <v>0.85</v>
      </c>
      <c r="I222" s="1">
        <v>32.840000000000003</v>
      </c>
      <c r="J222" t="s">
        <v>34</v>
      </c>
      <c r="K222" t="s">
        <v>1390</v>
      </c>
      <c r="L222" s="9" t="s">
        <v>1424</v>
      </c>
      <c r="M222" s="9" t="s">
        <v>1443</v>
      </c>
      <c r="N222" t="s">
        <v>1415</v>
      </c>
      <c r="O222" s="1">
        <f>NewBusiness7[[#This Row],[Earnings]]/NewBusiness7[[#This Row],[Rate]]</f>
        <v>38.635294117647064</v>
      </c>
      <c r="P222" s="1">
        <f>NewBusiness7[[#This Row],[Column5]]*NewBusiness7[[#This Row],[Rate]]</f>
        <v>32.840000000000003</v>
      </c>
    </row>
    <row r="223" spans="1:16" x14ac:dyDescent="0.25">
      <c r="A223" t="s">
        <v>136</v>
      </c>
      <c r="B223" t="s">
        <v>499</v>
      </c>
      <c r="C223" t="s">
        <v>32</v>
      </c>
      <c r="D223" t="s">
        <v>500</v>
      </c>
      <c r="E223" s="4">
        <v>45973</v>
      </c>
      <c r="F223" s="4">
        <v>46185</v>
      </c>
      <c r="G223" s="1">
        <v>968.21</v>
      </c>
      <c r="H223">
        <v>0.85</v>
      </c>
      <c r="I223" s="1">
        <v>68.58</v>
      </c>
      <c r="J223" t="s">
        <v>34</v>
      </c>
      <c r="K223" t="s">
        <v>1390</v>
      </c>
      <c r="L223" s="9" t="s">
        <v>1424</v>
      </c>
      <c r="M223" s="9" t="s">
        <v>1443</v>
      </c>
      <c r="N223" t="s">
        <v>1396</v>
      </c>
      <c r="O223" s="1">
        <f>NewBusiness7[[#This Row],[Earnings]]/NewBusiness7[[#This Row],[Rate]]</f>
        <v>80.682352941176475</v>
      </c>
      <c r="P223" s="1">
        <f>NewBusiness7[[#This Row],[Column5]]*NewBusiness7[[#This Row],[Rate]]</f>
        <v>68.58</v>
      </c>
    </row>
    <row r="224" spans="1:16" x14ac:dyDescent="0.25">
      <c r="A224" t="s">
        <v>136</v>
      </c>
      <c r="B224" t="s">
        <v>501</v>
      </c>
      <c r="C224" t="s">
        <v>32</v>
      </c>
      <c r="D224" t="s">
        <v>502</v>
      </c>
      <c r="E224" s="4">
        <v>45974</v>
      </c>
      <c r="F224" s="4">
        <v>46186</v>
      </c>
      <c r="G224" s="1">
        <v>607.15</v>
      </c>
      <c r="H224">
        <v>0.85</v>
      </c>
      <c r="I224" s="1">
        <v>43</v>
      </c>
      <c r="J224" t="s">
        <v>34</v>
      </c>
      <c r="K224" t="s">
        <v>1390</v>
      </c>
      <c r="L224" s="9" t="s">
        <v>1424</v>
      </c>
      <c r="M224" s="9" t="s">
        <v>1443</v>
      </c>
      <c r="N224" t="s">
        <v>1396</v>
      </c>
      <c r="O224" s="1">
        <f>NewBusiness7[[#This Row],[Earnings]]/NewBusiness7[[#This Row],[Rate]]</f>
        <v>50.588235294117645</v>
      </c>
      <c r="P224" s="1">
        <f>NewBusiness7[[#This Row],[Column5]]*NewBusiness7[[#This Row],[Rate]]</f>
        <v>43</v>
      </c>
    </row>
    <row r="225" spans="1:16" x14ac:dyDescent="0.25">
      <c r="A225" t="s">
        <v>136</v>
      </c>
      <c r="B225" t="s">
        <v>503</v>
      </c>
      <c r="C225" t="s">
        <v>32</v>
      </c>
      <c r="D225" t="s">
        <v>504</v>
      </c>
      <c r="E225" s="4">
        <v>45973</v>
      </c>
      <c r="F225" s="4">
        <v>46185</v>
      </c>
      <c r="G225" s="1">
        <v>621.98</v>
      </c>
      <c r="H225">
        <v>0.85</v>
      </c>
      <c r="I225" s="1">
        <v>44.06</v>
      </c>
      <c r="J225" t="s">
        <v>34</v>
      </c>
      <c r="K225" t="s">
        <v>1390</v>
      </c>
      <c r="L225" s="9" t="s">
        <v>1424</v>
      </c>
      <c r="M225" s="9" t="s">
        <v>1443</v>
      </c>
      <c r="N225" t="s">
        <v>1396</v>
      </c>
      <c r="O225" s="1">
        <f>NewBusiness7[[#This Row],[Earnings]]/NewBusiness7[[#This Row],[Rate]]</f>
        <v>51.835294117647059</v>
      </c>
      <c r="P225" s="1">
        <f>NewBusiness7[[#This Row],[Column5]]*NewBusiness7[[#This Row],[Rate]]</f>
        <v>44.06</v>
      </c>
    </row>
    <row r="226" spans="1:16" x14ac:dyDescent="0.25">
      <c r="A226" t="s">
        <v>136</v>
      </c>
      <c r="B226" t="s">
        <v>514</v>
      </c>
      <c r="C226" t="s">
        <v>32</v>
      </c>
      <c r="D226" t="s">
        <v>515</v>
      </c>
      <c r="E226" s="4">
        <v>45978</v>
      </c>
      <c r="F226" s="4">
        <v>46190</v>
      </c>
      <c r="G226" s="1">
        <v>939.52</v>
      </c>
      <c r="H226">
        <v>0.85</v>
      </c>
      <c r="I226" s="1">
        <v>66.55</v>
      </c>
      <c r="J226" t="s">
        <v>34</v>
      </c>
      <c r="K226" t="s">
        <v>1390</v>
      </c>
      <c r="L226" s="9" t="s">
        <v>1424</v>
      </c>
      <c r="M226" s="9" t="s">
        <v>1443</v>
      </c>
      <c r="N226" t="s">
        <v>1396</v>
      </c>
      <c r="O226" s="1">
        <f>NewBusiness7[[#This Row],[Earnings]]/NewBusiness7[[#This Row],[Rate]]</f>
        <v>78.294117647058826</v>
      </c>
      <c r="P226" s="1">
        <f>NewBusiness7[[#This Row],[Column5]]*NewBusiness7[[#This Row],[Rate]]</f>
        <v>66.55</v>
      </c>
    </row>
    <row r="227" spans="1:16" x14ac:dyDescent="0.25">
      <c r="A227" t="s">
        <v>136</v>
      </c>
      <c r="B227" t="s">
        <v>544</v>
      </c>
      <c r="C227" t="s">
        <v>32</v>
      </c>
      <c r="D227" t="s">
        <v>545</v>
      </c>
      <c r="E227" s="4">
        <v>45995</v>
      </c>
      <c r="F227" s="4">
        <v>46177</v>
      </c>
      <c r="G227" s="1">
        <v>873.75</v>
      </c>
      <c r="H227">
        <v>0.85</v>
      </c>
      <c r="I227" s="1">
        <v>61.89</v>
      </c>
      <c r="J227" t="s">
        <v>34</v>
      </c>
      <c r="K227" t="s">
        <v>1390</v>
      </c>
      <c r="L227" s="9" t="s">
        <v>1424</v>
      </c>
      <c r="M227" s="9" t="s">
        <v>1443</v>
      </c>
      <c r="N227" t="s">
        <v>1415</v>
      </c>
      <c r="O227" s="1">
        <f>NewBusiness7[[#This Row],[Earnings]]/NewBusiness7[[#This Row],[Rate]]</f>
        <v>72.811764705882354</v>
      </c>
      <c r="P227" s="1">
        <f>NewBusiness7[[#This Row],[Column5]]*NewBusiness7[[#This Row],[Rate]]</f>
        <v>61.89</v>
      </c>
    </row>
    <row r="228" spans="1:16" x14ac:dyDescent="0.25">
      <c r="A228" t="s">
        <v>136</v>
      </c>
      <c r="B228" t="s">
        <v>560</v>
      </c>
      <c r="C228" t="s">
        <v>32</v>
      </c>
      <c r="D228" t="s">
        <v>561</v>
      </c>
      <c r="E228" s="4">
        <v>45998</v>
      </c>
      <c r="F228" s="4">
        <v>46180</v>
      </c>
      <c r="G228" s="1">
        <v>746.56</v>
      </c>
      <c r="H228">
        <v>0.85</v>
      </c>
      <c r="I228" s="1">
        <v>52.88</v>
      </c>
      <c r="J228" t="s">
        <v>34</v>
      </c>
      <c r="K228" t="s">
        <v>1390</v>
      </c>
      <c r="L228" s="9" t="s">
        <v>1424</v>
      </c>
      <c r="M228" s="9" t="s">
        <v>1443</v>
      </c>
      <c r="N228" t="s">
        <v>1415</v>
      </c>
      <c r="O228" s="1">
        <f>NewBusiness7[[#This Row],[Earnings]]/NewBusiness7[[#This Row],[Rate]]</f>
        <v>62.211764705882359</v>
      </c>
      <c r="P228" s="1">
        <f>NewBusiness7[[#This Row],[Column5]]*NewBusiness7[[#This Row],[Rate]]</f>
        <v>52.88</v>
      </c>
    </row>
    <row r="229" spans="1:16" x14ac:dyDescent="0.25">
      <c r="A229" t="s">
        <v>136</v>
      </c>
      <c r="B229" t="s">
        <v>594</v>
      </c>
      <c r="C229" t="s">
        <v>32</v>
      </c>
      <c r="D229" t="s">
        <v>595</v>
      </c>
      <c r="E229" s="4">
        <v>46038</v>
      </c>
      <c r="F229" s="4">
        <v>46189</v>
      </c>
      <c r="G229" s="1">
        <v>862.54</v>
      </c>
      <c r="H229">
        <v>0.85</v>
      </c>
      <c r="I229" s="1">
        <v>61.09</v>
      </c>
      <c r="J229" t="s">
        <v>34</v>
      </c>
      <c r="K229" t="s">
        <v>1390</v>
      </c>
      <c r="L229" s="9" t="s">
        <v>1437</v>
      </c>
      <c r="M229" s="9" t="s">
        <v>1443</v>
      </c>
      <c r="N229" t="s">
        <v>1415</v>
      </c>
      <c r="O229" s="1">
        <f>NewBusiness7[[#This Row],[Earnings]]/NewBusiness7[[#This Row],[Rate]]</f>
        <v>71.870588235294122</v>
      </c>
      <c r="P229" s="1">
        <f>NewBusiness7[[#This Row],[Column5]]*NewBusiness7[[#This Row],[Rate]]</f>
        <v>61.09</v>
      </c>
    </row>
    <row r="230" spans="1:16" x14ac:dyDescent="0.25">
      <c r="A230" t="s">
        <v>136</v>
      </c>
      <c r="B230" t="s">
        <v>621</v>
      </c>
      <c r="C230" t="s">
        <v>32</v>
      </c>
      <c r="D230" t="s">
        <v>622</v>
      </c>
      <c r="E230" s="4">
        <v>46043</v>
      </c>
      <c r="F230" s="4">
        <v>46194</v>
      </c>
      <c r="G230" s="1">
        <v>815.85</v>
      </c>
      <c r="H230">
        <v>0.85</v>
      </c>
      <c r="I230" s="1">
        <v>57.79</v>
      </c>
      <c r="J230" t="s">
        <v>34</v>
      </c>
      <c r="K230" t="s">
        <v>1390</v>
      </c>
      <c r="L230" s="9" t="s">
        <v>1427</v>
      </c>
      <c r="M230" s="9" t="s">
        <v>1443</v>
      </c>
      <c r="N230" t="s">
        <v>1389</v>
      </c>
      <c r="O230" s="1">
        <f>NewBusiness7[[#This Row],[Earnings]]/NewBusiness7[[#This Row],[Rate]]</f>
        <v>67.988235294117644</v>
      </c>
      <c r="P230" s="1">
        <f>NewBusiness7[[#This Row],[Column5]]*NewBusiness7[[#This Row],[Rate]]</f>
        <v>57.789999999999992</v>
      </c>
    </row>
    <row r="231" spans="1:16" x14ac:dyDescent="0.25">
      <c r="A231" t="s">
        <v>136</v>
      </c>
      <c r="B231" t="s">
        <v>649</v>
      </c>
      <c r="C231" t="s">
        <v>32</v>
      </c>
      <c r="D231" t="s">
        <v>650</v>
      </c>
      <c r="E231" s="4">
        <v>46063</v>
      </c>
      <c r="F231" s="4">
        <v>46183</v>
      </c>
      <c r="G231" s="1">
        <v>331.8</v>
      </c>
      <c r="H231">
        <v>0.85</v>
      </c>
      <c r="I231" s="1">
        <v>23.5</v>
      </c>
      <c r="J231" t="s">
        <v>34</v>
      </c>
      <c r="K231" t="s">
        <v>1390</v>
      </c>
      <c r="L231" s="9" t="s">
        <v>1439</v>
      </c>
      <c r="M231" s="9" t="s">
        <v>1443</v>
      </c>
      <c r="N231" t="s">
        <v>1415</v>
      </c>
      <c r="O231" s="1">
        <f>NewBusiness7[[#This Row],[Earnings]]/NewBusiness7[[#This Row],[Rate]]</f>
        <v>27.647058823529413</v>
      </c>
      <c r="P231" s="1">
        <f>NewBusiness7[[#This Row],[Column5]]*NewBusiness7[[#This Row],[Rate]]</f>
        <v>23.5</v>
      </c>
    </row>
    <row r="232" spans="1:16" x14ac:dyDescent="0.25">
      <c r="A232" t="s">
        <v>136</v>
      </c>
      <c r="B232" t="s">
        <v>678</v>
      </c>
      <c r="C232" t="s">
        <v>32</v>
      </c>
      <c r="D232" t="s">
        <v>679</v>
      </c>
      <c r="E232" s="4">
        <v>46094</v>
      </c>
      <c r="F232" s="4">
        <v>46186</v>
      </c>
      <c r="G232" s="1">
        <v>939.52</v>
      </c>
      <c r="H232">
        <v>0.85</v>
      </c>
      <c r="I232" s="1">
        <v>66.55</v>
      </c>
      <c r="J232" t="s">
        <v>34</v>
      </c>
      <c r="K232" t="s">
        <v>1390</v>
      </c>
      <c r="L232" s="9" t="s">
        <v>1439</v>
      </c>
      <c r="M232" s="9" t="s">
        <v>1443</v>
      </c>
      <c r="N232" t="s">
        <v>1415</v>
      </c>
      <c r="O232" s="1">
        <f>NewBusiness7[[#This Row],[Earnings]]/NewBusiness7[[#This Row],[Rate]]</f>
        <v>78.294117647058826</v>
      </c>
      <c r="P232" s="1">
        <f>NewBusiness7[[#This Row],[Column5]]*NewBusiness7[[#This Row],[Rate]]</f>
        <v>66.55</v>
      </c>
    </row>
    <row r="233" spans="1:16" x14ac:dyDescent="0.25">
      <c r="A233" t="s">
        <v>136</v>
      </c>
      <c r="B233" t="s">
        <v>712</v>
      </c>
      <c r="C233" t="s">
        <v>32</v>
      </c>
      <c r="D233" t="s">
        <v>713</v>
      </c>
      <c r="E233" s="4">
        <v>46122</v>
      </c>
      <c r="F233" s="4">
        <v>46183</v>
      </c>
      <c r="G233" s="1">
        <v>656.98</v>
      </c>
      <c r="H233">
        <v>0.85</v>
      </c>
      <c r="I233" s="1">
        <v>46.53</v>
      </c>
      <c r="J233" t="s">
        <v>34</v>
      </c>
      <c r="K233" t="s">
        <v>1390</v>
      </c>
      <c r="L233" s="9" t="s">
        <v>1439</v>
      </c>
      <c r="M233" s="9" t="s">
        <v>1443</v>
      </c>
      <c r="N233" t="s">
        <v>1415</v>
      </c>
      <c r="O233" s="1">
        <f>NewBusiness7[[#This Row],[Earnings]]/NewBusiness7[[#This Row],[Rate]]</f>
        <v>54.741176470588236</v>
      </c>
      <c r="P233" s="1">
        <f>NewBusiness7[[#This Row],[Column5]]*NewBusiness7[[#This Row],[Rate]]</f>
        <v>46.53</v>
      </c>
    </row>
    <row r="234" spans="1:16" x14ac:dyDescent="0.25">
      <c r="A234" t="s">
        <v>136</v>
      </c>
      <c r="B234" t="s">
        <v>714</v>
      </c>
      <c r="C234" t="s">
        <v>32</v>
      </c>
      <c r="D234" t="s">
        <v>715</v>
      </c>
      <c r="E234" s="4">
        <v>46125</v>
      </c>
      <c r="F234" s="4">
        <v>46186</v>
      </c>
      <c r="G234" s="1">
        <v>927.47</v>
      </c>
      <c r="H234">
        <v>0.85</v>
      </c>
      <c r="I234" s="1">
        <v>65.7</v>
      </c>
      <c r="J234" t="s">
        <v>34</v>
      </c>
      <c r="K234" t="s">
        <v>1390</v>
      </c>
      <c r="L234" s="9" t="s">
        <v>1439</v>
      </c>
      <c r="M234" s="9" t="s">
        <v>1443</v>
      </c>
      <c r="N234" t="s">
        <v>1415</v>
      </c>
      <c r="O234" s="1">
        <f>NewBusiness7[[#This Row],[Earnings]]/NewBusiness7[[#This Row],[Rate]]</f>
        <v>77.294117647058826</v>
      </c>
      <c r="P234" s="1">
        <f>NewBusiness7[[#This Row],[Column5]]*NewBusiness7[[#This Row],[Rate]]</f>
        <v>65.7</v>
      </c>
    </row>
    <row r="235" spans="1:16" x14ac:dyDescent="0.25">
      <c r="A235" t="s">
        <v>282</v>
      </c>
      <c r="B235" t="s">
        <v>283</v>
      </c>
      <c r="C235" t="s">
        <v>32</v>
      </c>
      <c r="D235" t="s">
        <v>284</v>
      </c>
      <c r="E235" s="4">
        <v>45962</v>
      </c>
      <c r="F235" s="4">
        <v>46174</v>
      </c>
      <c r="G235" s="1">
        <v>530.86</v>
      </c>
      <c r="H235">
        <v>0.85</v>
      </c>
      <c r="I235" s="1">
        <v>37.6</v>
      </c>
      <c r="J235" t="s">
        <v>285</v>
      </c>
      <c r="K235" t="s">
        <v>1390</v>
      </c>
      <c r="L235" s="9">
        <v>16170994</v>
      </c>
      <c r="M235" s="9" t="s">
        <v>1443</v>
      </c>
      <c r="N235" t="s">
        <v>1389</v>
      </c>
      <c r="O235" s="1">
        <f>NewBusiness7[[#This Row],[Earnings]]/NewBusiness7[[#This Row],[Rate]]</f>
        <v>44.235294117647065</v>
      </c>
      <c r="P235" s="1">
        <f>NewBusiness7[[#This Row],[Column5]]*NewBusiness7[[#This Row],[Rate]]</f>
        <v>37.6</v>
      </c>
    </row>
    <row r="236" spans="1:16" x14ac:dyDescent="0.25">
      <c r="A236" t="s">
        <v>282</v>
      </c>
      <c r="B236" t="s">
        <v>306</v>
      </c>
      <c r="C236" t="s">
        <v>32</v>
      </c>
      <c r="D236" t="s">
        <v>307</v>
      </c>
      <c r="E236" s="4">
        <v>45992</v>
      </c>
      <c r="F236" s="4">
        <v>46174</v>
      </c>
      <c r="G236" s="1">
        <v>798.78</v>
      </c>
      <c r="H236">
        <v>0.85</v>
      </c>
      <c r="I236" s="1">
        <v>56.58</v>
      </c>
      <c r="J236" t="s">
        <v>285</v>
      </c>
      <c r="K236" t="s">
        <v>1390</v>
      </c>
      <c r="L236" s="9">
        <v>16170994</v>
      </c>
      <c r="M236" s="9" t="s">
        <v>1443</v>
      </c>
      <c r="N236" t="s">
        <v>1389</v>
      </c>
      <c r="O236" s="1">
        <f>NewBusiness7[[#This Row],[Earnings]]/NewBusiness7[[#This Row],[Rate]]</f>
        <v>66.564705882352939</v>
      </c>
      <c r="P236" s="1">
        <f>NewBusiness7[[#This Row],[Column5]]*NewBusiness7[[#This Row],[Rate]]</f>
        <v>56.58</v>
      </c>
    </row>
    <row r="237" spans="1:16" x14ac:dyDescent="0.25">
      <c r="A237" t="s">
        <v>282</v>
      </c>
      <c r="B237" t="s">
        <v>385</v>
      </c>
      <c r="C237" t="s">
        <v>32</v>
      </c>
      <c r="D237" t="s">
        <v>386</v>
      </c>
      <c r="E237" s="4">
        <v>45962</v>
      </c>
      <c r="F237" s="4">
        <v>46174</v>
      </c>
      <c r="G237" s="1">
        <v>530.86</v>
      </c>
      <c r="H237">
        <v>0.85</v>
      </c>
      <c r="I237" s="1">
        <v>37.6</v>
      </c>
      <c r="J237" t="s">
        <v>285</v>
      </c>
      <c r="K237" t="s">
        <v>1390</v>
      </c>
      <c r="L237" s="9">
        <v>16170994</v>
      </c>
      <c r="M237" s="9" t="s">
        <v>1443</v>
      </c>
      <c r="N237" t="s">
        <v>1389</v>
      </c>
      <c r="O237" s="1">
        <f>NewBusiness7[[#This Row],[Earnings]]/NewBusiness7[[#This Row],[Rate]]</f>
        <v>44.235294117647065</v>
      </c>
      <c r="P237" s="1">
        <f>NewBusiness7[[#This Row],[Column5]]*NewBusiness7[[#This Row],[Rate]]</f>
        <v>37.6</v>
      </c>
    </row>
    <row r="238" spans="1:16" x14ac:dyDescent="0.25">
      <c r="A238" t="s">
        <v>181</v>
      </c>
      <c r="B238" t="s">
        <v>182</v>
      </c>
      <c r="C238" t="s">
        <v>32</v>
      </c>
      <c r="D238" t="s">
        <v>183</v>
      </c>
      <c r="E238" s="4">
        <v>46140</v>
      </c>
      <c r="F238" s="4">
        <v>46201</v>
      </c>
      <c r="G238" s="1">
        <v>1667.79</v>
      </c>
      <c r="H238">
        <v>0.8</v>
      </c>
      <c r="I238" s="1">
        <v>111.18</v>
      </c>
      <c r="J238" t="s">
        <v>34</v>
      </c>
      <c r="K238" t="s">
        <v>1397</v>
      </c>
      <c r="L238" s="9" t="s">
        <v>1428</v>
      </c>
      <c r="M238" s="9" t="s">
        <v>1443</v>
      </c>
      <c r="N238" t="s">
        <v>1415</v>
      </c>
      <c r="O238" s="1">
        <f>NewBusiness7[[#This Row],[Earnings]]/NewBusiness7[[#This Row],[Rate]]</f>
        <v>138.97499999999999</v>
      </c>
      <c r="P238" s="1">
        <f>NewBusiness7[[#This Row],[Column5]]*NewBusiness7[[#This Row],[Rate]]</f>
        <v>111.18</v>
      </c>
    </row>
    <row r="239" spans="1:16" x14ac:dyDescent="0.25">
      <c r="A239" t="s">
        <v>181</v>
      </c>
      <c r="B239" t="s">
        <v>279</v>
      </c>
      <c r="C239" t="s">
        <v>32</v>
      </c>
      <c r="D239" t="s">
        <v>280</v>
      </c>
      <c r="E239" s="4">
        <v>45897</v>
      </c>
      <c r="F239" s="4">
        <v>46201</v>
      </c>
      <c r="G239" s="1">
        <v>1141.53</v>
      </c>
      <c r="H239">
        <v>0.8</v>
      </c>
      <c r="I239" s="1">
        <v>76.099999999999994</v>
      </c>
      <c r="J239" t="s">
        <v>34</v>
      </c>
      <c r="K239" t="s">
        <v>1397</v>
      </c>
      <c r="L239" s="9" t="s">
        <v>1428</v>
      </c>
      <c r="M239" s="9" t="s">
        <v>1443</v>
      </c>
      <c r="N239" t="s">
        <v>1389</v>
      </c>
      <c r="O239" s="1">
        <f>NewBusiness7[[#This Row],[Earnings]]/NewBusiness7[[#This Row],[Rate]]</f>
        <v>95.124999999999986</v>
      </c>
      <c r="P239" s="1">
        <f>NewBusiness7[[#This Row],[Column5]]*NewBusiness7[[#This Row],[Rate]]</f>
        <v>76.099999999999994</v>
      </c>
    </row>
    <row r="240" spans="1:16" x14ac:dyDescent="0.25">
      <c r="A240" t="s">
        <v>181</v>
      </c>
      <c r="B240" t="s">
        <v>302</v>
      </c>
      <c r="C240" t="s">
        <v>32</v>
      </c>
      <c r="D240" t="s">
        <v>303</v>
      </c>
      <c r="E240" s="4">
        <v>45911</v>
      </c>
      <c r="F240" s="4">
        <v>46184</v>
      </c>
      <c r="G240" s="1">
        <v>417.01</v>
      </c>
      <c r="H240">
        <v>0.85</v>
      </c>
      <c r="I240" s="1">
        <v>29.54</v>
      </c>
      <c r="J240" t="s">
        <v>34</v>
      </c>
      <c r="K240" t="s">
        <v>1390</v>
      </c>
      <c r="L240" s="9" t="s">
        <v>1428</v>
      </c>
      <c r="M240" s="9" t="s">
        <v>1443</v>
      </c>
      <c r="N240" t="s">
        <v>1389</v>
      </c>
      <c r="O240" s="1">
        <f>NewBusiness7[[#This Row],[Earnings]]/NewBusiness7[[#This Row],[Rate]]</f>
        <v>34.752941176470586</v>
      </c>
      <c r="P240" s="1">
        <f>NewBusiness7[[#This Row],[Column5]]*NewBusiness7[[#This Row],[Rate]]</f>
        <v>29.539999999999996</v>
      </c>
    </row>
    <row r="241" spans="1:16" x14ac:dyDescent="0.25">
      <c r="A241" t="s">
        <v>181</v>
      </c>
      <c r="B241" t="s">
        <v>473</v>
      </c>
      <c r="C241" t="s">
        <v>455</v>
      </c>
      <c r="D241" t="s">
        <v>474</v>
      </c>
      <c r="E241" s="4">
        <v>46023</v>
      </c>
      <c r="F241" s="4">
        <v>46174</v>
      </c>
      <c r="G241" s="1">
        <v>651.79</v>
      </c>
      <c r="H241">
        <v>0.85</v>
      </c>
      <c r="I241" s="1">
        <v>46.16</v>
      </c>
      <c r="J241" t="s">
        <v>457</v>
      </c>
      <c r="K241" t="s">
        <v>1390</v>
      </c>
      <c r="L241" s="9" t="s">
        <v>1428</v>
      </c>
      <c r="M241" s="9" t="s">
        <v>1443</v>
      </c>
      <c r="N241" t="s">
        <v>1415</v>
      </c>
      <c r="O241" s="1">
        <f>NewBusiness7[[#This Row],[Earnings]]/NewBusiness7[[#This Row],[Rate]]</f>
        <v>54.305882352941175</v>
      </c>
      <c r="P241" s="1">
        <f>NewBusiness7[[#This Row],[Column5]]*NewBusiness7[[#This Row],[Rate]]</f>
        <v>46.16</v>
      </c>
    </row>
    <row r="242" spans="1:16" x14ac:dyDescent="0.25">
      <c r="A242" t="s">
        <v>412</v>
      </c>
      <c r="B242" t="s">
        <v>413</v>
      </c>
      <c r="C242" t="s">
        <v>110</v>
      </c>
      <c r="D242" t="s">
        <v>414</v>
      </c>
      <c r="E242" s="4">
        <v>45931</v>
      </c>
      <c r="F242" s="4">
        <v>46174</v>
      </c>
      <c r="G242" s="1">
        <v>1106.4000000000001</v>
      </c>
      <c r="H242">
        <v>0.8</v>
      </c>
      <c r="I242" s="1">
        <v>73.760000000000005</v>
      </c>
      <c r="J242" t="s">
        <v>112</v>
      </c>
      <c r="K242" t="s">
        <v>1397</v>
      </c>
      <c r="L242" s="9">
        <v>15950276</v>
      </c>
      <c r="M242" s="9" t="s">
        <v>1443</v>
      </c>
      <c r="N242" t="s">
        <v>1389</v>
      </c>
      <c r="O242" s="1">
        <f>NewBusiness7[[#This Row],[Earnings]]/NewBusiness7[[#This Row],[Rate]]</f>
        <v>92.2</v>
      </c>
      <c r="P242" s="1">
        <f>NewBusiness7[[#This Row],[Column5]]*NewBusiness7[[#This Row],[Rate]]</f>
        <v>73.760000000000005</v>
      </c>
    </row>
    <row r="243" spans="1:16" x14ac:dyDescent="0.25">
      <c r="A243" t="s">
        <v>154</v>
      </c>
      <c r="B243" t="s">
        <v>155</v>
      </c>
      <c r="C243" t="s">
        <v>91</v>
      </c>
      <c r="D243" t="s">
        <v>156</v>
      </c>
      <c r="E243" s="4">
        <v>46005</v>
      </c>
      <c r="F243" s="4">
        <v>46187</v>
      </c>
      <c r="G243" s="1">
        <v>806.75</v>
      </c>
      <c r="H243">
        <v>0.85</v>
      </c>
      <c r="I243" s="1">
        <v>57.15</v>
      </c>
      <c r="J243" t="s">
        <v>34</v>
      </c>
      <c r="K243" t="s">
        <v>1390</v>
      </c>
      <c r="L243" s="9" t="s">
        <v>1406</v>
      </c>
      <c r="M243" s="9" t="s">
        <v>1443</v>
      </c>
      <c r="N243" t="s">
        <v>1415</v>
      </c>
      <c r="O243" s="1">
        <f>NewBusiness7[[#This Row],[Earnings]]/NewBusiness7[[#This Row],[Rate]]</f>
        <v>67.235294117647058</v>
      </c>
      <c r="P243" s="1">
        <f>NewBusiness7[[#This Row],[Column5]]*NewBusiness7[[#This Row],[Rate]]</f>
        <v>57.15</v>
      </c>
    </row>
    <row r="244" spans="1:16" x14ac:dyDescent="0.25">
      <c r="A244" t="s">
        <v>154</v>
      </c>
      <c r="B244" t="s">
        <v>407</v>
      </c>
      <c r="C244" t="s">
        <v>32</v>
      </c>
      <c r="D244" t="s">
        <v>408</v>
      </c>
      <c r="E244" s="4">
        <v>45911</v>
      </c>
      <c r="F244" s="4">
        <v>46184</v>
      </c>
      <c r="G244" s="1">
        <v>879.16</v>
      </c>
      <c r="H244">
        <v>0.85</v>
      </c>
      <c r="I244" s="1">
        <v>62.27</v>
      </c>
      <c r="J244" t="s">
        <v>34</v>
      </c>
      <c r="K244" t="s">
        <v>1390</v>
      </c>
      <c r="L244" s="9" t="s">
        <v>1406</v>
      </c>
      <c r="M244" s="9" t="s">
        <v>1443</v>
      </c>
      <c r="N244" t="s">
        <v>1389</v>
      </c>
      <c r="O244" s="1">
        <f>NewBusiness7[[#This Row],[Earnings]]/NewBusiness7[[#This Row],[Rate]]</f>
        <v>73.258823529411771</v>
      </c>
      <c r="P244" s="1">
        <f>NewBusiness7[[#This Row],[Column5]]*NewBusiness7[[#This Row],[Rate]]</f>
        <v>62.27</v>
      </c>
    </row>
    <row r="245" spans="1:16" x14ac:dyDescent="0.25">
      <c r="A245" t="s">
        <v>154</v>
      </c>
      <c r="B245" t="s">
        <v>483</v>
      </c>
      <c r="C245" t="s">
        <v>32</v>
      </c>
      <c r="D245" t="s">
        <v>484</v>
      </c>
      <c r="E245" s="4">
        <v>45965</v>
      </c>
      <c r="F245" s="4">
        <v>46207</v>
      </c>
      <c r="G245" s="1">
        <v>578.44000000000005</v>
      </c>
      <c r="H245">
        <v>0.85</v>
      </c>
      <c r="I245" s="1">
        <v>40.97</v>
      </c>
      <c r="J245" t="s">
        <v>34</v>
      </c>
      <c r="K245" t="s">
        <v>1390</v>
      </c>
      <c r="L245" s="9" t="s">
        <v>1406</v>
      </c>
      <c r="M245" s="9" t="s">
        <v>1443</v>
      </c>
      <c r="N245" t="s">
        <v>1396</v>
      </c>
      <c r="O245" s="1">
        <f>NewBusiness7[[#This Row],[Earnings]]/NewBusiness7[[#This Row],[Rate]]</f>
        <v>48.2</v>
      </c>
      <c r="P245" s="1">
        <f>NewBusiness7[[#This Row],[Column5]]*NewBusiness7[[#This Row],[Rate]]</f>
        <v>40.97</v>
      </c>
    </row>
    <row r="246" spans="1:16" x14ac:dyDescent="0.25">
      <c r="A246" t="s">
        <v>154</v>
      </c>
      <c r="B246" t="s">
        <v>487</v>
      </c>
      <c r="C246" t="s">
        <v>32</v>
      </c>
      <c r="D246" t="s">
        <v>488</v>
      </c>
      <c r="E246" s="4">
        <v>45965</v>
      </c>
      <c r="F246" s="4">
        <v>46207</v>
      </c>
      <c r="G246" s="1">
        <v>922.84</v>
      </c>
      <c r="H246">
        <v>0.85</v>
      </c>
      <c r="I246" s="1">
        <v>65.37</v>
      </c>
      <c r="J246" t="s">
        <v>34</v>
      </c>
      <c r="K246" t="s">
        <v>1390</v>
      </c>
      <c r="L246" s="9" t="s">
        <v>1406</v>
      </c>
      <c r="M246" s="9" t="s">
        <v>1443</v>
      </c>
      <c r="N246" t="s">
        <v>1396</v>
      </c>
      <c r="O246" s="1">
        <f>NewBusiness7[[#This Row],[Earnings]]/NewBusiness7[[#This Row],[Rate]]</f>
        <v>76.905882352941177</v>
      </c>
      <c r="P246" s="1">
        <f>NewBusiness7[[#This Row],[Column5]]*NewBusiness7[[#This Row],[Rate]]</f>
        <v>65.37</v>
      </c>
    </row>
    <row r="247" spans="1:16" x14ac:dyDescent="0.25">
      <c r="A247" t="s">
        <v>154</v>
      </c>
      <c r="B247" t="s">
        <v>657</v>
      </c>
      <c r="C247" t="s">
        <v>32</v>
      </c>
      <c r="D247" t="s">
        <v>658</v>
      </c>
      <c r="E247" s="4">
        <v>46081</v>
      </c>
      <c r="F247" s="4">
        <v>46201</v>
      </c>
      <c r="G247" s="1">
        <v>551.12</v>
      </c>
      <c r="H247">
        <v>0.85</v>
      </c>
      <c r="I247" s="1">
        <v>39.03</v>
      </c>
      <c r="J247" t="s">
        <v>34</v>
      </c>
      <c r="K247" t="s">
        <v>1390</v>
      </c>
      <c r="L247" s="9" t="s">
        <v>1406</v>
      </c>
      <c r="M247" s="9" t="s">
        <v>1443</v>
      </c>
      <c r="N247" t="s">
        <v>1415</v>
      </c>
      <c r="O247" s="1">
        <f>NewBusiness7[[#This Row],[Earnings]]/NewBusiness7[[#This Row],[Rate]]</f>
        <v>45.917647058823533</v>
      </c>
      <c r="P247" s="1">
        <f>NewBusiness7[[#This Row],[Column5]]*NewBusiness7[[#This Row],[Rate]]</f>
        <v>39.03</v>
      </c>
    </row>
    <row r="248" spans="1:16" x14ac:dyDescent="0.25">
      <c r="A248" t="s">
        <v>154</v>
      </c>
      <c r="B248" t="s">
        <v>659</v>
      </c>
      <c r="C248" t="s">
        <v>32</v>
      </c>
      <c r="D248" t="s">
        <v>660</v>
      </c>
      <c r="E248" s="4">
        <v>46080</v>
      </c>
      <c r="F248" s="4">
        <v>46200</v>
      </c>
      <c r="G248" s="1">
        <v>592.61</v>
      </c>
      <c r="H248">
        <v>0.85</v>
      </c>
      <c r="I248" s="1">
        <v>41.97</v>
      </c>
      <c r="J248" t="s">
        <v>34</v>
      </c>
      <c r="K248" t="s">
        <v>1390</v>
      </c>
      <c r="L248" s="9" t="s">
        <v>1406</v>
      </c>
      <c r="M248" s="9" t="s">
        <v>1443</v>
      </c>
      <c r="N248" t="s">
        <v>1415</v>
      </c>
      <c r="O248" s="1">
        <f>NewBusiness7[[#This Row],[Earnings]]/NewBusiness7[[#This Row],[Rate]]</f>
        <v>49.376470588235293</v>
      </c>
      <c r="P248" s="1">
        <f>NewBusiness7[[#This Row],[Column5]]*NewBusiness7[[#This Row],[Rate]]</f>
        <v>41.97</v>
      </c>
    </row>
    <row r="249" spans="1:16" x14ac:dyDescent="0.25">
      <c r="A249" t="s">
        <v>154</v>
      </c>
      <c r="B249" t="s">
        <v>696</v>
      </c>
      <c r="C249" t="s">
        <v>32</v>
      </c>
      <c r="D249" t="s">
        <v>697</v>
      </c>
      <c r="E249" s="4">
        <v>46114</v>
      </c>
      <c r="F249" s="4">
        <v>46175</v>
      </c>
      <c r="G249" s="1">
        <v>746.56</v>
      </c>
      <c r="H249">
        <v>0.85</v>
      </c>
      <c r="I249" s="1">
        <v>52.88</v>
      </c>
      <c r="J249" t="s">
        <v>34</v>
      </c>
      <c r="K249" t="s">
        <v>1390</v>
      </c>
      <c r="L249" s="9" t="s">
        <v>1406</v>
      </c>
      <c r="M249" s="9" t="s">
        <v>1443</v>
      </c>
      <c r="N249" t="s">
        <v>1415</v>
      </c>
      <c r="O249" s="1">
        <f>NewBusiness7[[#This Row],[Earnings]]/NewBusiness7[[#This Row],[Rate]]</f>
        <v>62.211764705882359</v>
      </c>
      <c r="P249" s="1">
        <f>NewBusiness7[[#This Row],[Column5]]*NewBusiness7[[#This Row],[Rate]]</f>
        <v>52.88</v>
      </c>
    </row>
    <row r="250" spans="1:16" x14ac:dyDescent="0.25">
      <c r="A250" t="s">
        <v>224</v>
      </c>
      <c r="B250" t="s">
        <v>460</v>
      </c>
      <c r="C250" t="s">
        <v>193</v>
      </c>
      <c r="D250" t="s">
        <v>461</v>
      </c>
      <c r="E250" s="4">
        <v>45962</v>
      </c>
      <c r="F250" s="4">
        <v>46174</v>
      </c>
      <c r="G250" s="1">
        <v>785.72</v>
      </c>
      <c r="H250">
        <v>0.8</v>
      </c>
      <c r="I250" s="1">
        <v>52.38</v>
      </c>
      <c r="J250" t="s">
        <v>34</v>
      </c>
      <c r="K250" t="s">
        <v>1395</v>
      </c>
      <c r="L250" s="9">
        <v>8405446</v>
      </c>
      <c r="M250" s="9" t="s">
        <v>1443</v>
      </c>
      <c r="N250" t="s">
        <v>1396</v>
      </c>
      <c r="O250" s="1">
        <f>NewBusiness7[[#This Row],[Earnings]]/NewBusiness7[[#This Row],[Rate]]</f>
        <v>65.474999999999994</v>
      </c>
      <c r="P250" s="1">
        <f>NewBusiness7[[#This Row],[Column5]]*NewBusiness7[[#This Row],[Rate]]</f>
        <v>52.379999999999995</v>
      </c>
    </row>
    <row r="251" spans="1:16" x14ac:dyDescent="0.25">
      <c r="A251" t="s">
        <v>224</v>
      </c>
      <c r="B251" t="s">
        <v>225</v>
      </c>
      <c r="C251" t="s">
        <v>193</v>
      </c>
      <c r="D251" t="s">
        <v>226</v>
      </c>
      <c r="E251" s="4">
        <v>45870</v>
      </c>
      <c r="F251" s="4">
        <v>46204</v>
      </c>
      <c r="G251" s="1">
        <v>402.08</v>
      </c>
      <c r="H251">
        <v>0.85</v>
      </c>
      <c r="I251" s="1">
        <v>28.48</v>
      </c>
      <c r="J251" t="s">
        <v>34</v>
      </c>
      <c r="K251" t="s">
        <v>1390</v>
      </c>
      <c r="L251" s="9" t="s">
        <v>1410</v>
      </c>
      <c r="M251" s="9" t="s">
        <v>1443</v>
      </c>
      <c r="N251" t="s">
        <v>1389</v>
      </c>
      <c r="O251" s="1">
        <f>NewBusiness7[[#This Row],[Earnings]]/NewBusiness7[[#This Row],[Rate]]</f>
        <v>33.505882352941178</v>
      </c>
      <c r="P251" s="1">
        <f>NewBusiness7[[#This Row],[Column5]]*NewBusiness7[[#This Row],[Rate]]</f>
        <v>28.48</v>
      </c>
    </row>
    <row r="252" spans="1:16" x14ac:dyDescent="0.25">
      <c r="A252" t="s">
        <v>224</v>
      </c>
      <c r="B252" t="s">
        <v>277</v>
      </c>
      <c r="C252" t="s">
        <v>193</v>
      </c>
      <c r="D252" t="s">
        <v>278</v>
      </c>
      <c r="E252" s="4">
        <v>45896</v>
      </c>
      <c r="F252" s="4">
        <v>46200</v>
      </c>
      <c r="G252" s="1">
        <v>420.3</v>
      </c>
      <c r="H252">
        <v>0.85</v>
      </c>
      <c r="I252" s="1">
        <v>29.77</v>
      </c>
      <c r="J252" t="s">
        <v>34</v>
      </c>
      <c r="K252" t="s">
        <v>1390</v>
      </c>
      <c r="L252" s="9">
        <v>8405446</v>
      </c>
      <c r="M252" s="9" t="s">
        <v>1443</v>
      </c>
      <c r="N252" t="s">
        <v>1389</v>
      </c>
      <c r="O252" s="1">
        <f>NewBusiness7[[#This Row],[Earnings]]/NewBusiness7[[#This Row],[Rate]]</f>
        <v>35.023529411764706</v>
      </c>
      <c r="P252" s="1">
        <f>NewBusiness7[[#This Row],[Column5]]*NewBusiness7[[#This Row],[Rate]]</f>
        <v>29.77</v>
      </c>
    </row>
    <row r="253" spans="1:16" x14ac:dyDescent="0.25">
      <c r="A253" t="s">
        <v>224</v>
      </c>
      <c r="B253" t="s">
        <v>304</v>
      </c>
      <c r="C253" t="s">
        <v>193</v>
      </c>
      <c r="D253" t="s">
        <v>305</v>
      </c>
      <c r="E253" s="4">
        <v>45971</v>
      </c>
      <c r="F253" s="4">
        <v>46183</v>
      </c>
      <c r="G253" s="1">
        <v>221.06</v>
      </c>
      <c r="H253">
        <v>0.85</v>
      </c>
      <c r="I253" s="1">
        <v>15.65</v>
      </c>
      <c r="J253" t="s">
        <v>34</v>
      </c>
      <c r="K253" t="s">
        <v>1390</v>
      </c>
      <c r="L253" s="9" t="s">
        <v>1410</v>
      </c>
      <c r="M253" s="9" t="s">
        <v>1443</v>
      </c>
      <c r="N253" t="s">
        <v>1396</v>
      </c>
      <c r="O253" s="1">
        <f>NewBusiness7[[#This Row],[Earnings]]/NewBusiness7[[#This Row],[Rate]]</f>
        <v>18.411764705882355</v>
      </c>
      <c r="P253" s="1">
        <f>NewBusiness7[[#This Row],[Column5]]*NewBusiness7[[#This Row],[Rate]]</f>
        <v>15.650000000000002</v>
      </c>
    </row>
    <row r="254" spans="1:16" x14ac:dyDescent="0.25">
      <c r="A254" t="s">
        <v>83</v>
      </c>
      <c r="B254" t="s">
        <v>125</v>
      </c>
      <c r="C254" t="s">
        <v>62</v>
      </c>
      <c r="D254" t="s">
        <v>126</v>
      </c>
      <c r="E254" s="4">
        <v>45845</v>
      </c>
      <c r="F254" s="4">
        <v>46180</v>
      </c>
      <c r="G254" s="1">
        <v>998.4</v>
      </c>
      <c r="H254">
        <v>0.8</v>
      </c>
      <c r="I254" s="1">
        <v>66.56</v>
      </c>
      <c r="J254" t="s">
        <v>34</v>
      </c>
      <c r="K254" t="s">
        <v>1397</v>
      </c>
      <c r="L254" s="9" t="s">
        <v>1421</v>
      </c>
      <c r="M254" s="9" t="s">
        <v>1443</v>
      </c>
      <c r="N254" t="s">
        <v>1389</v>
      </c>
      <c r="O254" s="1">
        <f>NewBusiness7[[#This Row],[Earnings]]/NewBusiness7[[#This Row],[Rate]]</f>
        <v>83.2</v>
      </c>
      <c r="P254" s="1">
        <f>NewBusiness7[[#This Row],[Column5]]*NewBusiness7[[#This Row],[Rate]]</f>
        <v>66.56</v>
      </c>
    </row>
    <row r="255" spans="1:16" x14ac:dyDescent="0.25">
      <c r="A255" t="s">
        <v>83</v>
      </c>
      <c r="B255" t="s">
        <v>127</v>
      </c>
      <c r="C255" t="s">
        <v>62</v>
      </c>
      <c r="D255" t="s">
        <v>128</v>
      </c>
      <c r="E255" s="4">
        <v>45845</v>
      </c>
      <c r="F255" s="4">
        <v>46180</v>
      </c>
      <c r="G255" s="1">
        <v>998.4</v>
      </c>
      <c r="H255">
        <v>0.8</v>
      </c>
      <c r="I255" s="1">
        <v>66.56</v>
      </c>
      <c r="J255" t="s">
        <v>34</v>
      </c>
      <c r="K255" t="s">
        <v>1397</v>
      </c>
      <c r="L255" s="9" t="s">
        <v>1421</v>
      </c>
      <c r="M255" s="9" t="s">
        <v>1443</v>
      </c>
      <c r="N255" t="s">
        <v>1389</v>
      </c>
      <c r="O255" s="1">
        <f>NewBusiness7[[#This Row],[Earnings]]/NewBusiness7[[#This Row],[Rate]]</f>
        <v>83.2</v>
      </c>
      <c r="P255" s="1">
        <f>NewBusiness7[[#This Row],[Column5]]*NewBusiness7[[#This Row],[Rate]]</f>
        <v>66.56</v>
      </c>
    </row>
    <row r="256" spans="1:16" x14ac:dyDescent="0.25">
      <c r="A256" t="s">
        <v>83</v>
      </c>
      <c r="B256" t="s">
        <v>143</v>
      </c>
      <c r="C256" t="s">
        <v>62</v>
      </c>
      <c r="D256" t="s">
        <v>144</v>
      </c>
      <c r="E256" s="4">
        <v>45983</v>
      </c>
      <c r="F256" s="4">
        <v>46195</v>
      </c>
      <c r="G256" s="1">
        <v>573.63</v>
      </c>
      <c r="H256">
        <v>0.8</v>
      </c>
      <c r="I256" s="1">
        <v>38.24</v>
      </c>
      <c r="J256" t="s">
        <v>34</v>
      </c>
      <c r="K256" t="s">
        <v>1397</v>
      </c>
      <c r="L256" s="9" t="s">
        <v>1421</v>
      </c>
      <c r="M256" s="9" t="s">
        <v>1443</v>
      </c>
      <c r="N256" t="s">
        <v>1396</v>
      </c>
      <c r="O256" s="1">
        <f>NewBusiness7[[#This Row],[Earnings]]/NewBusiness7[[#This Row],[Rate]]</f>
        <v>47.8</v>
      </c>
      <c r="P256" s="1">
        <f>NewBusiness7[[#This Row],[Column5]]*NewBusiness7[[#This Row],[Rate]]</f>
        <v>38.24</v>
      </c>
    </row>
    <row r="257" spans="1:16" x14ac:dyDescent="0.25">
      <c r="A257" t="s">
        <v>83</v>
      </c>
      <c r="B257" t="s">
        <v>145</v>
      </c>
      <c r="C257" t="s">
        <v>110</v>
      </c>
      <c r="D257" t="s">
        <v>146</v>
      </c>
      <c r="E257" s="4">
        <v>45983</v>
      </c>
      <c r="F257" s="4">
        <v>46195</v>
      </c>
      <c r="G257" s="1">
        <v>390.6</v>
      </c>
      <c r="H257">
        <v>0.8</v>
      </c>
      <c r="I257" s="1">
        <v>26.04</v>
      </c>
      <c r="J257" t="s">
        <v>34</v>
      </c>
      <c r="K257" t="s">
        <v>1397</v>
      </c>
      <c r="L257" s="9" t="s">
        <v>1421</v>
      </c>
      <c r="M257" s="9" t="s">
        <v>1443</v>
      </c>
      <c r="N257" t="s">
        <v>1396</v>
      </c>
      <c r="O257" s="1">
        <f>NewBusiness7[[#This Row],[Earnings]]/NewBusiness7[[#This Row],[Rate]]</f>
        <v>32.549999999999997</v>
      </c>
      <c r="P257" s="1">
        <f>NewBusiness7[[#This Row],[Column5]]*NewBusiness7[[#This Row],[Rate]]</f>
        <v>26.04</v>
      </c>
    </row>
    <row r="258" spans="1:16" x14ac:dyDescent="0.25">
      <c r="A258" t="s">
        <v>83</v>
      </c>
      <c r="B258" t="s">
        <v>251</v>
      </c>
      <c r="C258" t="s">
        <v>32</v>
      </c>
      <c r="D258" t="s">
        <v>252</v>
      </c>
      <c r="E258" s="4">
        <v>45852</v>
      </c>
      <c r="F258" s="4">
        <v>46187</v>
      </c>
      <c r="G258" s="1">
        <v>1262.0999999999999</v>
      </c>
      <c r="H258">
        <v>0.8</v>
      </c>
      <c r="I258" s="1">
        <v>84.14</v>
      </c>
      <c r="J258" t="s">
        <v>34</v>
      </c>
      <c r="K258" t="s">
        <v>1397</v>
      </c>
      <c r="L258" s="9" t="s">
        <v>1421</v>
      </c>
      <c r="M258" s="9" t="s">
        <v>1443</v>
      </c>
      <c r="N258" t="s">
        <v>1389</v>
      </c>
      <c r="O258" s="1">
        <f>NewBusiness7[[#This Row],[Earnings]]/NewBusiness7[[#This Row],[Rate]]</f>
        <v>105.175</v>
      </c>
      <c r="P258" s="1">
        <f>NewBusiness7[[#This Row],[Column5]]*NewBusiness7[[#This Row],[Rate]]</f>
        <v>84.14</v>
      </c>
    </row>
    <row r="259" spans="1:16" x14ac:dyDescent="0.25">
      <c r="A259" t="s">
        <v>83</v>
      </c>
      <c r="B259" t="s">
        <v>265</v>
      </c>
      <c r="C259" t="s">
        <v>110</v>
      </c>
      <c r="D259" t="s">
        <v>266</v>
      </c>
      <c r="E259" s="4">
        <v>45931</v>
      </c>
      <c r="F259" s="4">
        <v>46174</v>
      </c>
      <c r="G259" s="1">
        <v>637.20000000000005</v>
      </c>
      <c r="H259">
        <v>0.8</v>
      </c>
      <c r="I259" s="1">
        <v>42.48</v>
      </c>
      <c r="J259" t="s">
        <v>34</v>
      </c>
      <c r="K259" t="s">
        <v>1397</v>
      </c>
      <c r="L259" s="9" t="s">
        <v>1421</v>
      </c>
      <c r="M259" s="9" t="s">
        <v>1443</v>
      </c>
      <c r="N259" t="s">
        <v>1396</v>
      </c>
      <c r="O259" s="1">
        <f>NewBusiness7[[#This Row],[Earnings]]/NewBusiness7[[#This Row],[Rate]]</f>
        <v>53.099999999999994</v>
      </c>
      <c r="P259" s="1">
        <f>NewBusiness7[[#This Row],[Column5]]*NewBusiness7[[#This Row],[Rate]]</f>
        <v>42.48</v>
      </c>
    </row>
    <row r="260" spans="1:16" x14ac:dyDescent="0.25">
      <c r="A260" t="s">
        <v>83</v>
      </c>
      <c r="B260" t="s">
        <v>352</v>
      </c>
      <c r="C260" t="s">
        <v>62</v>
      </c>
      <c r="D260" t="s">
        <v>353</v>
      </c>
      <c r="E260" s="4">
        <v>45962</v>
      </c>
      <c r="F260" s="4">
        <v>46174</v>
      </c>
      <c r="G260" s="1">
        <v>772.8</v>
      </c>
      <c r="H260">
        <v>0.8</v>
      </c>
      <c r="I260" s="1">
        <v>51.52</v>
      </c>
      <c r="J260" t="s">
        <v>34</v>
      </c>
      <c r="K260" t="s">
        <v>1397</v>
      </c>
      <c r="L260" s="9" t="s">
        <v>1421</v>
      </c>
      <c r="M260" s="9" t="s">
        <v>1443</v>
      </c>
      <c r="N260" t="s">
        <v>1396</v>
      </c>
      <c r="O260" s="1">
        <f>NewBusiness7[[#This Row],[Earnings]]/NewBusiness7[[#This Row],[Rate]]</f>
        <v>64.400000000000006</v>
      </c>
      <c r="P260" s="1">
        <f>NewBusiness7[[#This Row],[Column5]]*NewBusiness7[[#This Row],[Rate]]</f>
        <v>51.52000000000001</v>
      </c>
    </row>
    <row r="261" spans="1:16" x14ac:dyDescent="0.25">
      <c r="A261" t="s">
        <v>83</v>
      </c>
      <c r="B261" t="s">
        <v>356</v>
      </c>
      <c r="C261" t="s">
        <v>256</v>
      </c>
      <c r="D261" t="s">
        <v>357</v>
      </c>
      <c r="E261" s="4">
        <v>45964</v>
      </c>
      <c r="F261" s="4">
        <v>46176</v>
      </c>
      <c r="G261" s="1">
        <v>992.4</v>
      </c>
      <c r="H261">
        <v>0.8</v>
      </c>
      <c r="I261" s="1">
        <v>66.16</v>
      </c>
      <c r="J261" t="s">
        <v>34</v>
      </c>
      <c r="K261" t="s">
        <v>1397</v>
      </c>
      <c r="L261" s="9" t="s">
        <v>1421</v>
      </c>
      <c r="M261" s="9" t="s">
        <v>1443</v>
      </c>
      <c r="N261" t="s">
        <v>1396</v>
      </c>
      <c r="O261" s="1">
        <f>NewBusiness7[[#This Row],[Earnings]]/NewBusiness7[[#This Row],[Rate]]</f>
        <v>82.699999999999989</v>
      </c>
      <c r="P261" s="1">
        <f>NewBusiness7[[#This Row],[Column5]]*NewBusiness7[[#This Row],[Rate]]</f>
        <v>66.16</v>
      </c>
    </row>
    <row r="262" spans="1:16" x14ac:dyDescent="0.25">
      <c r="A262" t="s">
        <v>83</v>
      </c>
      <c r="B262" t="s">
        <v>364</v>
      </c>
      <c r="C262" t="s">
        <v>110</v>
      </c>
      <c r="D262" t="s">
        <v>365</v>
      </c>
      <c r="E262" s="4">
        <v>45962</v>
      </c>
      <c r="F262" s="4">
        <v>46174</v>
      </c>
      <c r="G262" s="1">
        <v>542.38</v>
      </c>
      <c r="H262">
        <v>0.8</v>
      </c>
      <c r="I262" s="1">
        <v>36.159999999999997</v>
      </c>
      <c r="J262" t="s">
        <v>34</v>
      </c>
      <c r="K262" t="s">
        <v>1395</v>
      </c>
      <c r="L262" s="9">
        <v>8325282</v>
      </c>
      <c r="M262" s="9" t="s">
        <v>1443</v>
      </c>
      <c r="N262" t="s">
        <v>1396</v>
      </c>
      <c r="O262" s="1">
        <f>NewBusiness7[[#This Row],[Earnings]]/NewBusiness7[[#This Row],[Rate]]</f>
        <v>45.199999999999996</v>
      </c>
      <c r="P262" s="1">
        <f>NewBusiness7[[#This Row],[Column5]]*NewBusiness7[[#This Row],[Rate]]</f>
        <v>36.159999999999997</v>
      </c>
    </row>
    <row r="263" spans="1:16" x14ac:dyDescent="0.25">
      <c r="A263" t="s">
        <v>83</v>
      </c>
      <c r="B263" t="s">
        <v>366</v>
      </c>
      <c r="C263" t="s">
        <v>110</v>
      </c>
      <c r="D263" t="s">
        <v>367</v>
      </c>
      <c r="E263" s="4">
        <v>45962</v>
      </c>
      <c r="F263" s="4">
        <v>46174</v>
      </c>
      <c r="G263" s="1">
        <v>584.78</v>
      </c>
      <c r="H263">
        <v>0.8</v>
      </c>
      <c r="I263" s="1">
        <v>38.979999999999997</v>
      </c>
      <c r="J263" t="s">
        <v>34</v>
      </c>
      <c r="K263" t="s">
        <v>1395</v>
      </c>
      <c r="L263" s="9">
        <v>8325282</v>
      </c>
      <c r="M263" s="9" t="s">
        <v>1443</v>
      </c>
      <c r="N263" t="s">
        <v>1396</v>
      </c>
      <c r="O263" s="1">
        <f>NewBusiness7[[#This Row],[Earnings]]/NewBusiness7[[#This Row],[Rate]]</f>
        <v>48.724999999999994</v>
      </c>
      <c r="P263" s="1">
        <f>NewBusiness7[[#This Row],[Column5]]*NewBusiness7[[#This Row],[Rate]]</f>
        <v>38.979999999999997</v>
      </c>
    </row>
    <row r="264" spans="1:16" x14ac:dyDescent="0.25">
      <c r="A264" t="s">
        <v>83</v>
      </c>
      <c r="B264" t="s">
        <v>389</v>
      </c>
      <c r="C264" t="s">
        <v>110</v>
      </c>
      <c r="D264" t="s">
        <v>390</v>
      </c>
      <c r="E264" s="4">
        <v>45970</v>
      </c>
      <c r="F264" s="4">
        <v>46182</v>
      </c>
      <c r="G264" s="1">
        <v>820.8</v>
      </c>
      <c r="H264">
        <v>0.8</v>
      </c>
      <c r="I264" s="1">
        <v>54.72</v>
      </c>
      <c r="J264" t="s">
        <v>34</v>
      </c>
      <c r="K264" t="s">
        <v>1397</v>
      </c>
      <c r="L264" s="9" t="s">
        <v>1421</v>
      </c>
      <c r="M264" s="9" t="s">
        <v>1443</v>
      </c>
      <c r="N264" t="s">
        <v>1396</v>
      </c>
      <c r="O264" s="1">
        <f>NewBusiness7[[#This Row],[Earnings]]/NewBusiness7[[#This Row],[Rate]]</f>
        <v>68.399999999999991</v>
      </c>
      <c r="P264" s="1">
        <f>NewBusiness7[[#This Row],[Column5]]*NewBusiness7[[#This Row],[Rate]]</f>
        <v>54.72</v>
      </c>
    </row>
    <row r="265" spans="1:16" x14ac:dyDescent="0.25">
      <c r="A265" t="s">
        <v>83</v>
      </c>
      <c r="B265" t="s">
        <v>438</v>
      </c>
      <c r="C265" t="s">
        <v>62</v>
      </c>
      <c r="D265" t="s">
        <v>439</v>
      </c>
      <c r="E265" s="4">
        <v>45959</v>
      </c>
      <c r="F265" s="4">
        <v>46202</v>
      </c>
      <c r="G265" s="1">
        <v>249.6</v>
      </c>
      <c r="H265">
        <v>0.8</v>
      </c>
      <c r="I265" s="1">
        <v>16.64</v>
      </c>
      <c r="J265" t="s">
        <v>34</v>
      </c>
      <c r="K265" t="s">
        <v>1395</v>
      </c>
      <c r="L265" s="9">
        <v>8325282</v>
      </c>
      <c r="M265" s="9" t="s">
        <v>1443</v>
      </c>
      <c r="N265" t="s">
        <v>1396</v>
      </c>
      <c r="O265" s="1">
        <f>NewBusiness7[[#This Row],[Earnings]]/NewBusiness7[[#This Row],[Rate]]</f>
        <v>20.8</v>
      </c>
      <c r="P265" s="1">
        <f>NewBusiness7[[#This Row],[Column5]]*NewBusiness7[[#This Row],[Rate]]</f>
        <v>16.64</v>
      </c>
    </row>
    <row r="266" spans="1:16" x14ac:dyDescent="0.25">
      <c r="A266" t="s">
        <v>83</v>
      </c>
      <c r="B266" t="s">
        <v>572</v>
      </c>
      <c r="C266" t="s">
        <v>256</v>
      </c>
      <c r="D266" t="s">
        <v>573</v>
      </c>
      <c r="E266" s="4">
        <v>46023</v>
      </c>
      <c r="F266" s="4">
        <v>46174</v>
      </c>
      <c r="G266" s="1">
        <v>657.6</v>
      </c>
      <c r="H266">
        <v>0.8</v>
      </c>
      <c r="I266" s="1">
        <v>43.84</v>
      </c>
      <c r="J266" t="s">
        <v>34</v>
      </c>
      <c r="K266" t="s">
        <v>1395</v>
      </c>
      <c r="L266" s="9" t="s">
        <v>1421</v>
      </c>
      <c r="M266" s="9" t="s">
        <v>1443</v>
      </c>
      <c r="N266" t="s">
        <v>1415</v>
      </c>
      <c r="O266" s="1">
        <f>NewBusiness7[[#This Row],[Earnings]]/NewBusiness7[[#This Row],[Rate]]</f>
        <v>54.800000000000004</v>
      </c>
      <c r="P266" s="1">
        <f>NewBusiness7[[#This Row],[Column5]]*NewBusiness7[[#This Row],[Rate]]</f>
        <v>43.84</v>
      </c>
    </row>
    <row r="267" spans="1:16" x14ac:dyDescent="0.25">
      <c r="A267" t="s">
        <v>83</v>
      </c>
      <c r="B267" t="s">
        <v>600</v>
      </c>
      <c r="C267" t="s">
        <v>62</v>
      </c>
      <c r="D267" t="s">
        <v>601</v>
      </c>
      <c r="E267" s="4">
        <v>46041</v>
      </c>
      <c r="F267" s="4">
        <v>46192</v>
      </c>
      <c r="G267" s="1">
        <v>1430.4</v>
      </c>
      <c r="H267">
        <v>0.8</v>
      </c>
      <c r="I267" s="1">
        <v>95.36</v>
      </c>
      <c r="J267" t="s">
        <v>34</v>
      </c>
      <c r="K267" t="s">
        <v>1395</v>
      </c>
      <c r="L267" s="9" t="s">
        <v>1421</v>
      </c>
      <c r="M267" s="9" t="s">
        <v>1443</v>
      </c>
      <c r="N267" t="s">
        <v>1415</v>
      </c>
      <c r="O267" s="1">
        <f>NewBusiness7[[#This Row],[Earnings]]/NewBusiness7[[#This Row],[Rate]]</f>
        <v>119.19999999999999</v>
      </c>
      <c r="P267" s="1">
        <f>NewBusiness7[[#This Row],[Column5]]*NewBusiness7[[#This Row],[Rate]]</f>
        <v>95.36</v>
      </c>
    </row>
    <row r="268" spans="1:16" x14ac:dyDescent="0.25">
      <c r="A268" t="s">
        <v>83</v>
      </c>
      <c r="B268" t="s">
        <v>674</v>
      </c>
      <c r="C268" t="s">
        <v>62</v>
      </c>
      <c r="D268" t="s">
        <v>675</v>
      </c>
      <c r="E268" s="4">
        <v>46113</v>
      </c>
      <c r="F268" s="4">
        <v>46204</v>
      </c>
      <c r="G268" s="1">
        <v>1419.6</v>
      </c>
      <c r="H268">
        <v>0.8</v>
      </c>
      <c r="I268" s="1">
        <v>94.64</v>
      </c>
      <c r="J268" t="s">
        <v>34</v>
      </c>
      <c r="K268" t="s">
        <v>1397</v>
      </c>
      <c r="L268" s="9" t="s">
        <v>1421</v>
      </c>
      <c r="M268" s="9" t="s">
        <v>1443</v>
      </c>
      <c r="N268" t="s">
        <v>1415</v>
      </c>
      <c r="O268" s="1">
        <f>NewBusiness7[[#This Row],[Earnings]]/NewBusiness7[[#This Row],[Rate]]</f>
        <v>118.3</v>
      </c>
      <c r="P268" s="1">
        <f>NewBusiness7[[#This Row],[Column5]]*NewBusiness7[[#This Row],[Rate]]</f>
        <v>94.64</v>
      </c>
    </row>
    <row r="269" spans="1:16" x14ac:dyDescent="0.25">
      <c r="A269" t="s">
        <v>83</v>
      </c>
      <c r="B269" t="s">
        <v>84</v>
      </c>
      <c r="C269" t="s">
        <v>32</v>
      </c>
      <c r="D269" t="s">
        <v>85</v>
      </c>
      <c r="E269" s="4">
        <v>45839</v>
      </c>
      <c r="F269" s="4">
        <v>46174</v>
      </c>
      <c r="G269" s="1">
        <v>501.98</v>
      </c>
      <c r="H269">
        <v>0.85</v>
      </c>
      <c r="I269" s="1">
        <v>35.56</v>
      </c>
      <c r="J269" t="s">
        <v>34</v>
      </c>
      <c r="K269" t="s">
        <v>1390</v>
      </c>
      <c r="L269" s="9" t="s">
        <v>1421</v>
      </c>
      <c r="M269" s="9" t="s">
        <v>1443</v>
      </c>
      <c r="N269" t="s">
        <v>1389</v>
      </c>
      <c r="O269" s="1">
        <f>NewBusiness7[[#This Row],[Earnings]]/NewBusiness7[[#This Row],[Rate]]</f>
        <v>41.835294117647059</v>
      </c>
      <c r="P269" s="1">
        <f>NewBusiness7[[#This Row],[Column5]]*NewBusiness7[[#This Row],[Rate]]</f>
        <v>35.56</v>
      </c>
    </row>
    <row r="270" spans="1:16" x14ac:dyDescent="0.25">
      <c r="A270" t="s">
        <v>83</v>
      </c>
      <c r="B270" t="s">
        <v>121</v>
      </c>
      <c r="C270" t="s">
        <v>32</v>
      </c>
      <c r="D270" t="s">
        <v>122</v>
      </c>
      <c r="E270" s="4">
        <v>45845</v>
      </c>
      <c r="F270" s="4">
        <v>46180</v>
      </c>
      <c r="G270" s="1">
        <v>501.98</v>
      </c>
      <c r="H270">
        <v>0.85</v>
      </c>
      <c r="I270" s="1">
        <v>35.56</v>
      </c>
      <c r="J270" t="s">
        <v>34</v>
      </c>
      <c r="K270" t="s">
        <v>1390</v>
      </c>
      <c r="L270" s="9" t="s">
        <v>1421</v>
      </c>
      <c r="M270" s="9" t="s">
        <v>1443</v>
      </c>
      <c r="N270" t="s">
        <v>1389</v>
      </c>
      <c r="O270" s="1">
        <f>NewBusiness7[[#This Row],[Earnings]]/NewBusiness7[[#This Row],[Rate]]</f>
        <v>41.835294117647059</v>
      </c>
      <c r="P270" s="1">
        <f>NewBusiness7[[#This Row],[Column5]]*NewBusiness7[[#This Row],[Rate]]</f>
        <v>35.56</v>
      </c>
    </row>
    <row r="271" spans="1:16" x14ac:dyDescent="0.25">
      <c r="A271" t="s">
        <v>83</v>
      </c>
      <c r="B271" t="s">
        <v>123</v>
      </c>
      <c r="C271" t="s">
        <v>32</v>
      </c>
      <c r="D271" t="s">
        <v>124</v>
      </c>
      <c r="E271" s="4">
        <v>45845</v>
      </c>
      <c r="F271" s="4">
        <v>46180</v>
      </c>
      <c r="G271" s="1">
        <v>501.98</v>
      </c>
      <c r="H271">
        <v>0.85</v>
      </c>
      <c r="I271" s="1">
        <v>35.56</v>
      </c>
      <c r="J271" t="s">
        <v>34</v>
      </c>
      <c r="K271" t="s">
        <v>1390</v>
      </c>
      <c r="L271" s="9" t="s">
        <v>1421</v>
      </c>
      <c r="M271" s="9" t="s">
        <v>1443</v>
      </c>
      <c r="N271" t="s">
        <v>1389</v>
      </c>
      <c r="O271" s="1">
        <f>NewBusiness7[[#This Row],[Earnings]]/NewBusiness7[[#This Row],[Rate]]</f>
        <v>41.835294117647059</v>
      </c>
      <c r="P271" s="1">
        <f>NewBusiness7[[#This Row],[Column5]]*NewBusiness7[[#This Row],[Rate]]</f>
        <v>35.56</v>
      </c>
    </row>
    <row r="272" spans="1:16" x14ac:dyDescent="0.25">
      <c r="A272" t="s">
        <v>83</v>
      </c>
      <c r="B272" t="s">
        <v>237</v>
      </c>
      <c r="C272" t="s">
        <v>32</v>
      </c>
      <c r="D272" t="s">
        <v>238</v>
      </c>
      <c r="E272" s="4">
        <v>45866</v>
      </c>
      <c r="F272" s="4">
        <v>46170</v>
      </c>
      <c r="G272" s="1">
        <v>466.85</v>
      </c>
      <c r="H272">
        <v>0.85</v>
      </c>
      <c r="I272" s="1">
        <v>33.06</v>
      </c>
      <c r="J272" t="s">
        <v>34</v>
      </c>
      <c r="K272" t="s">
        <v>1390</v>
      </c>
      <c r="L272" s="9" t="s">
        <v>1421</v>
      </c>
      <c r="M272" s="9" t="s">
        <v>1443</v>
      </c>
      <c r="N272" t="s">
        <v>1389</v>
      </c>
      <c r="O272" s="1">
        <f>NewBusiness7[[#This Row],[Earnings]]/NewBusiness7[[#This Row],[Rate]]</f>
        <v>38.894117647058827</v>
      </c>
      <c r="P272" s="1">
        <f>NewBusiness7[[#This Row],[Column5]]*NewBusiness7[[#This Row],[Rate]]</f>
        <v>33.06</v>
      </c>
    </row>
    <row r="273" spans="1:16" x14ac:dyDescent="0.25">
      <c r="A273" t="s">
        <v>83</v>
      </c>
      <c r="B273" t="s">
        <v>243</v>
      </c>
      <c r="C273" t="s">
        <v>32</v>
      </c>
      <c r="D273" t="s">
        <v>244</v>
      </c>
      <c r="E273" s="4">
        <v>45866</v>
      </c>
      <c r="F273" s="4">
        <v>46170</v>
      </c>
      <c r="G273" s="1">
        <v>466.85</v>
      </c>
      <c r="H273">
        <v>0.85</v>
      </c>
      <c r="I273" s="1">
        <v>33.06</v>
      </c>
      <c r="J273" t="s">
        <v>34</v>
      </c>
      <c r="K273" t="s">
        <v>1390</v>
      </c>
      <c r="L273" s="9" t="s">
        <v>1421</v>
      </c>
      <c r="M273" s="9" t="s">
        <v>1443</v>
      </c>
      <c r="N273" t="s">
        <v>1389</v>
      </c>
      <c r="O273" s="1">
        <f>NewBusiness7[[#This Row],[Earnings]]/NewBusiness7[[#This Row],[Rate]]</f>
        <v>38.894117647058827</v>
      </c>
      <c r="P273" s="1">
        <f>NewBusiness7[[#This Row],[Column5]]*NewBusiness7[[#This Row],[Rate]]</f>
        <v>33.06</v>
      </c>
    </row>
    <row r="274" spans="1:16" x14ac:dyDescent="0.25">
      <c r="A274" t="s">
        <v>83</v>
      </c>
      <c r="B274" t="s">
        <v>452</v>
      </c>
      <c r="C274" t="s">
        <v>32</v>
      </c>
      <c r="D274" t="s">
        <v>453</v>
      </c>
      <c r="E274" s="4">
        <v>45993</v>
      </c>
      <c r="F274" s="4">
        <v>46205</v>
      </c>
      <c r="G274" s="1">
        <v>609.16</v>
      </c>
      <c r="H274">
        <v>0.85</v>
      </c>
      <c r="I274" s="1">
        <v>43.15</v>
      </c>
      <c r="J274" t="s">
        <v>34</v>
      </c>
      <c r="K274" t="s">
        <v>1390</v>
      </c>
      <c r="L274" s="9">
        <v>8325282</v>
      </c>
      <c r="M274" s="9" t="s">
        <v>1443</v>
      </c>
      <c r="N274" t="s">
        <v>1396</v>
      </c>
      <c r="O274" s="1">
        <f>NewBusiness7[[#This Row],[Earnings]]/NewBusiness7[[#This Row],[Rate]]</f>
        <v>50.764705882352942</v>
      </c>
      <c r="P274" s="1">
        <f>NewBusiness7[[#This Row],[Column5]]*NewBusiness7[[#This Row],[Rate]]</f>
        <v>43.15</v>
      </c>
    </row>
    <row r="275" spans="1:16" x14ac:dyDescent="0.25">
      <c r="A275" t="s">
        <v>83</v>
      </c>
      <c r="B275" t="s">
        <v>546</v>
      </c>
      <c r="C275" t="s">
        <v>32</v>
      </c>
      <c r="D275" t="s">
        <v>547</v>
      </c>
      <c r="E275" s="4">
        <v>46001</v>
      </c>
      <c r="F275" s="4">
        <v>46183</v>
      </c>
      <c r="G275" s="1">
        <v>466.85</v>
      </c>
      <c r="H275">
        <v>0.85</v>
      </c>
      <c r="I275" s="1">
        <v>33.06</v>
      </c>
      <c r="J275" t="s">
        <v>34</v>
      </c>
      <c r="K275" t="s">
        <v>1390</v>
      </c>
      <c r="L275" s="9" t="s">
        <v>1421</v>
      </c>
      <c r="M275" s="9" t="s">
        <v>1443</v>
      </c>
      <c r="N275" t="s">
        <v>1415</v>
      </c>
      <c r="O275" s="1">
        <f>NewBusiness7[[#This Row],[Earnings]]/NewBusiness7[[#This Row],[Rate]]</f>
        <v>38.894117647058827</v>
      </c>
      <c r="P275" s="1">
        <f>NewBusiness7[[#This Row],[Column5]]*NewBusiness7[[#This Row],[Rate]]</f>
        <v>33.06</v>
      </c>
    </row>
    <row r="276" spans="1:16" x14ac:dyDescent="0.25">
      <c r="A276" t="s">
        <v>83</v>
      </c>
      <c r="B276" t="s">
        <v>568</v>
      </c>
      <c r="C276" t="s">
        <v>32</v>
      </c>
      <c r="D276" t="s">
        <v>569</v>
      </c>
      <c r="E276" s="4">
        <v>46001</v>
      </c>
      <c r="F276" s="4">
        <v>46183</v>
      </c>
      <c r="G276" s="1">
        <v>466.85</v>
      </c>
      <c r="H276">
        <v>0.85</v>
      </c>
      <c r="I276" s="1">
        <v>33.06</v>
      </c>
      <c r="J276" t="s">
        <v>34</v>
      </c>
      <c r="K276" t="s">
        <v>1390</v>
      </c>
      <c r="L276" s="9" t="s">
        <v>1421</v>
      </c>
      <c r="M276" s="9" t="s">
        <v>1443</v>
      </c>
      <c r="N276" t="s">
        <v>1415</v>
      </c>
      <c r="O276" s="1">
        <f>NewBusiness7[[#This Row],[Earnings]]/NewBusiness7[[#This Row],[Rate]]</f>
        <v>38.894117647058827</v>
      </c>
      <c r="P276" s="1">
        <f>NewBusiness7[[#This Row],[Column5]]*NewBusiness7[[#This Row],[Rate]]</f>
        <v>33.06</v>
      </c>
    </row>
    <row r="277" spans="1:16" s="10" customFormat="1" x14ac:dyDescent="0.25">
      <c r="A277" t="s">
        <v>30</v>
      </c>
      <c r="B277" t="s">
        <v>64</v>
      </c>
      <c r="C277" t="s">
        <v>62</v>
      </c>
      <c r="D277" t="s">
        <v>65</v>
      </c>
      <c r="E277" s="4">
        <v>45839</v>
      </c>
      <c r="F277" s="4">
        <v>46174</v>
      </c>
      <c r="G277" s="1">
        <v>1200</v>
      </c>
      <c r="H277">
        <v>0.8</v>
      </c>
      <c r="I277" s="1">
        <v>80</v>
      </c>
      <c r="J277" t="s">
        <v>34</v>
      </c>
      <c r="K277" t="s">
        <v>1397</v>
      </c>
      <c r="L277" s="9" t="s">
        <v>1417</v>
      </c>
      <c r="M277" s="9" t="s">
        <v>1443</v>
      </c>
      <c r="N277" t="s">
        <v>1389</v>
      </c>
      <c r="O277" s="1">
        <f>NewBusiness7[[#This Row],[Earnings]]/NewBusiness7[[#This Row],[Rate]]</f>
        <v>100</v>
      </c>
      <c r="P277" s="1">
        <f>NewBusiness7[[#This Row],[Column5]]*NewBusiness7[[#This Row],[Rate]]</f>
        <v>80</v>
      </c>
    </row>
    <row r="278" spans="1:16" x14ac:dyDescent="0.25">
      <c r="A278" t="s">
        <v>30</v>
      </c>
      <c r="B278" t="s">
        <v>103</v>
      </c>
      <c r="C278" t="s">
        <v>62</v>
      </c>
      <c r="D278" t="s">
        <v>104</v>
      </c>
      <c r="E278" s="4">
        <v>45809</v>
      </c>
      <c r="F278" s="4">
        <v>46174</v>
      </c>
      <c r="G278" s="1">
        <v>1120.8</v>
      </c>
      <c r="H278">
        <v>0.8</v>
      </c>
      <c r="I278" s="1">
        <v>74.72</v>
      </c>
      <c r="J278" t="s">
        <v>34</v>
      </c>
      <c r="K278" t="s">
        <v>1397</v>
      </c>
      <c r="L278" s="9" t="s">
        <v>1417</v>
      </c>
      <c r="M278" s="9" t="s">
        <v>1443</v>
      </c>
      <c r="N278" t="s">
        <v>1389</v>
      </c>
      <c r="O278" s="1">
        <f>NewBusiness7[[#This Row],[Earnings]]/NewBusiness7[[#This Row],[Rate]]</f>
        <v>93.399999999999991</v>
      </c>
      <c r="P278" s="1">
        <f>NewBusiness7[[#This Row],[Column5]]*NewBusiness7[[#This Row],[Rate]]</f>
        <v>74.72</v>
      </c>
    </row>
    <row r="279" spans="1:16" x14ac:dyDescent="0.25">
      <c r="A279" t="s">
        <v>30</v>
      </c>
      <c r="B279" t="s">
        <v>354</v>
      </c>
      <c r="C279" t="s">
        <v>62</v>
      </c>
      <c r="D279" t="s">
        <v>355</v>
      </c>
      <c r="E279" s="4">
        <v>45962</v>
      </c>
      <c r="F279" s="4">
        <v>46174</v>
      </c>
      <c r="G279" s="1">
        <v>1196.4000000000001</v>
      </c>
      <c r="H279">
        <v>0.8</v>
      </c>
      <c r="I279" s="1">
        <v>79.760000000000005</v>
      </c>
      <c r="J279" t="s">
        <v>34</v>
      </c>
      <c r="K279" t="s">
        <v>1395</v>
      </c>
      <c r="L279" s="9">
        <v>19481808</v>
      </c>
      <c r="M279" s="9" t="s">
        <v>1443</v>
      </c>
      <c r="N279" t="s">
        <v>1396</v>
      </c>
      <c r="O279" s="1">
        <f>NewBusiness7[[#This Row],[Earnings]]/NewBusiness7[[#This Row],[Rate]]</f>
        <v>99.7</v>
      </c>
      <c r="P279" s="1">
        <f>NewBusiness7[[#This Row],[Column5]]*NewBusiness7[[#This Row],[Rate]]</f>
        <v>79.760000000000005</v>
      </c>
    </row>
    <row r="280" spans="1:16" x14ac:dyDescent="0.25">
      <c r="A280" t="s">
        <v>30</v>
      </c>
      <c r="B280" t="s">
        <v>31</v>
      </c>
      <c r="C280" t="s">
        <v>32</v>
      </c>
      <c r="D280" t="s">
        <v>33</v>
      </c>
      <c r="E280" s="4">
        <v>45809</v>
      </c>
      <c r="F280" s="4">
        <v>46174</v>
      </c>
      <c r="G280" s="1">
        <v>551.12</v>
      </c>
      <c r="H280">
        <v>0.85</v>
      </c>
      <c r="I280" s="1">
        <v>39.03</v>
      </c>
      <c r="J280" t="s">
        <v>34</v>
      </c>
      <c r="K280" t="s">
        <v>1390</v>
      </c>
      <c r="L280" s="9" t="s">
        <v>1417</v>
      </c>
      <c r="M280" s="9" t="s">
        <v>1443</v>
      </c>
      <c r="N280" t="s">
        <v>1389</v>
      </c>
      <c r="O280" s="1">
        <f>NewBusiness7[[#This Row],[Earnings]]/NewBusiness7[[#This Row],[Rate]]</f>
        <v>45.917647058823533</v>
      </c>
      <c r="P280" s="1">
        <f>NewBusiness7[[#This Row],[Column5]]*NewBusiness7[[#This Row],[Rate]]</f>
        <v>39.03</v>
      </c>
    </row>
    <row r="281" spans="1:16" x14ac:dyDescent="0.25">
      <c r="A281" t="s">
        <v>30</v>
      </c>
      <c r="B281" t="s">
        <v>41</v>
      </c>
      <c r="C281" t="s">
        <v>32</v>
      </c>
      <c r="D281" t="s">
        <v>42</v>
      </c>
      <c r="E281" s="4">
        <v>45813</v>
      </c>
      <c r="F281" s="4">
        <v>46178</v>
      </c>
      <c r="G281" s="1">
        <v>530.86</v>
      </c>
      <c r="H281">
        <v>0.85</v>
      </c>
      <c r="I281" s="1">
        <v>28.53</v>
      </c>
      <c r="J281" t="s">
        <v>34</v>
      </c>
      <c r="K281" t="s">
        <v>1390</v>
      </c>
      <c r="L281" s="9" t="s">
        <v>1417</v>
      </c>
      <c r="M281" s="9" t="s">
        <v>1443</v>
      </c>
      <c r="N281" t="s">
        <v>1389</v>
      </c>
      <c r="O281" s="1">
        <f>NewBusiness7[[#This Row],[Earnings]]/NewBusiness7[[#This Row],[Rate]]</f>
        <v>33.564705882352946</v>
      </c>
      <c r="P281" s="1">
        <f>NewBusiness7[[#This Row],[Column5]]*NewBusiness7[[#This Row],[Rate]]</f>
        <v>28.530000000000005</v>
      </c>
    </row>
    <row r="282" spans="1:16" x14ac:dyDescent="0.25">
      <c r="A282" t="s">
        <v>30</v>
      </c>
      <c r="B282" t="s">
        <v>52</v>
      </c>
      <c r="C282" t="s">
        <v>32</v>
      </c>
      <c r="D282" t="s">
        <v>53</v>
      </c>
      <c r="E282" s="4">
        <v>45813</v>
      </c>
      <c r="F282" s="4">
        <v>46178</v>
      </c>
      <c r="G282" s="1">
        <v>530.86</v>
      </c>
      <c r="H282">
        <v>0.85</v>
      </c>
      <c r="I282" s="1">
        <v>37.6</v>
      </c>
      <c r="J282" t="s">
        <v>34</v>
      </c>
      <c r="K282" t="s">
        <v>1390</v>
      </c>
      <c r="L282" s="9" t="s">
        <v>1417</v>
      </c>
      <c r="M282" s="9" t="s">
        <v>1443</v>
      </c>
      <c r="N282" t="s">
        <v>1389</v>
      </c>
      <c r="O282" s="1">
        <f>NewBusiness7[[#This Row],[Earnings]]/NewBusiness7[[#This Row],[Rate]]</f>
        <v>44.235294117647065</v>
      </c>
      <c r="P282" s="1">
        <f>NewBusiness7[[#This Row],[Column5]]*NewBusiness7[[#This Row],[Rate]]</f>
        <v>37.6</v>
      </c>
    </row>
    <row r="283" spans="1:16" x14ac:dyDescent="0.25">
      <c r="A283" t="s">
        <v>30</v>
      </c>
      <c r="B283" t="s">
        <v>105</v>
      </c>
      <c r="C283" t="s">
        <v>32</v>
      </c>
      <c r="D283" t="s">
        <v>106</v>
      </c>
      <c r="E283" s="4">
        <v>45809</v>
      </c>
      <c r="F283" s="4">
        <v>46174</v>
      </c>
      <c r="G283" s="1">
        <v>777.28</v>
      </c>
      <c r="H283">
        <v>0.85</v>
      </c>
      <c r="I283" s="1">
        <v>55.05</v>
      </c>
      <c r="J283" t="s">
        <v>34</v>
      </c>
      <c r="K283" t="s">
        <v>1390</v>
      </c>
      <c r="L283" s="9" t="s">
        <v>1417</v>
      </c>
      <c r="M283" s="9" t="s">
        <v>1443</v>
      </c>
      <c r="N283" t="s">
        <v>1389</v>
      </c>
      <c r="O283" s="1">
        <f>NewBusiness7[[#This Row],[Earnings]]/NewBusiness7[[#This Row],[Rate]]</f>
        <v>64.764705882352942</v>
      </c>
      <c r="P283" s="1">
        <f>NewBusiness7[[#This Row],[Column5]]*NewBusiness7[[#This Row],[Rate]]</f>
        <v>55.05</v>
      </c>
    </row>
    <row r="284" spans="1:16" x14ac:dyDescent="0.25">
      <c r="A284" t="s">
        <v>30</v>
      </c>
      <c r="B284" t="s">
        <v>211</v>
      </c>
      <c r="C284" t="s">
        <v>32</v>
      </c>
      <c r="D284" t="s">
        <v>212</v>
      </c>
      <c r="E284" s="4">
        <v>45809</v>
      </c>
      <c r="F284" s="4">
        <v>46174</v>
      </c>
      <c r="G284" s="1">
        <v>551.12</v>
      </c>
      <c r="H284">
        <v>0.85</v>
      </c>
      <c r="I284" s="1">
        <v>39.03</v>
      </c>
      <c r="J284" t="s">
        <v>34</v>
      </c>
      <c r="K284" t="s">
        <v>1390</v>
      </c>
      <c r="L284" s="9">
        <v>19481808</v>
      </c>
      <c r="M284" s="9" t="s">
        <v>1443</v>
      </c>
      <c r="N284" t="s">
        <v>1389</v>
      </c>
      <c r="O284" s="1">
        <f>NewBusiness7[[#This Row],[Earnings]]/NewBusiness7[[#This Row],[Rate]]</f>
        <v>45.917647058823533</v>
      </c>
      <c r="P284" s="1">
        <f>NewBusiness7[[#This Row],[Column5]]*NewBusiness7[[#This Row],[Rate]]</f>
        <v>39.03</v>
      </c>
    </row>
    <row r="285" spans="1:16" x14ac:dyDescent="0.25">
      <c r="A285" t="s">
        <v>30</v>
      </c>
      <c r="B285" t="s">
        <v>217</v>
      </c>
      <c r="C285" t="s">
        <v>32</v>
      </c>
      <c r="D285" t="s">
        <v>218</v>
      </c>
      <c r="E285" s="4">
        <v>45809</v>
      </c>
      <c r="F285" s="4">
        <v>46174</v>
      </c>
      <c r="G285" s="1">
        <v>777.28</v>
      </c>
      <c r="H285">
        <v>0.85</v>
      </c>
      <c r="I285" s="1">
        <v>55.05</v>
      </c>
      <c r="J285" t="s">
        <v>34</v>
      </c>
      <c r="K285" t="s">
        <v>1390</v>
      </c>
      <c r="L285" s="9">
        <v>19481808</v>
      </c>
      <c r="M285" s="9" t="s">
        <v>1443</v>
      </c>
      <c r="N285" t="s">
        <v>1389</v>
      </c>
      <c r="O285" s="1">
        <f>NewBusiness7[[#This Row],[Earnings]]/NewBusiness7[[#This Row],[Rate]]</f>
        <v>64.764705882352942</v>
      </c>
      <c r="P285" s="1">
        <f>NewBusiness7[[#This Row],[Column5]]*NewBusiness7[[#This Row],[Rate]]</f>
        <v>55.05</v>
      </c>
    </row>
    <row r="286" spans="1:16" x14ac:dyDescent="0.25">
      <c r="A286" t="s">
        <v>30</v>
      </c>
      <c r="B286" t="s">
        <v>489</v>
      </c>
      <c r="C286" t="s">
        <v>32</v>
      </c>
      <c r="D286" t="s">
        <v>490</v>
      </c>
      <c r="E286" s="4">
        <v>45976</v>
      </c>
      <c r="F286" s="4">
        <v>46188</v>
      </c>
      <c r="G286" s="1">
        <v>448.39</v>
      </c>
      <c r="H286">
        <v>0.85</v>
      </c>
      <c r="I286" s="1">
        <v>31.76</v>
      </c>
      <c r="J286" t="s">
        <v>34</v>
      </c>
      <c r="K286" t="s">
        <v>1390</v>
      </c>
      <c r="L286" s="9" t="s">
        <v>1417</v>
      </c>
      <c r="M286" s="9" t="s">
        <v>1443</v>
      </c>
      <c r="N286" t="s">
        <v>1396</v>
      </c>
      <c r="O286" s="1">
        <f>NewBusiness7[[#This Row],[Earnings]]/NewBusiness7[[#This Row],[Rate]]</f>
        <v>37.364705882352943</v>
      </c>
      <c r="P286" s="1">
        <f>NewBusiness7[[#This Row],[Column5]]*NewBusiness7[[#This Row],[Rate]]</f>
        <v>31.76</v>
      </c>
    </row>
    <row r="287" spans="1:16" x14ac:dyDescent="0.25">
      <c r="A287" t="s">
        <v>30</v>
      </c>
      <c r="B287" t="s">
        <v>493</v>
      </c>
      <c r="C287" t="s">
        <v>32</v>
      </c>
      <c r="D287" t="s">
        <v>494</v>
      </c>
      <c r="E287" s="4">
        <v>45976</v>
      </c>
      <c r="F287" s="4">
        <v>46188</v>
      </c>
      <c r="G287" s="1">
        <v>592.61</v>
      </c>
      <c r="H287">
        <v>0.85</v>
      </c>
      <c r="I287" s="1">
        <v>41.97</v>
      </c>
      <c r="J287" t="s">
        <v>34</v>
      </c>
      <c r="K287" t="s">
        <v>1390</v>
      </c>
      <c r="L287" s="9" t="s">
        <v>1417</v>
      </c>
      <c r="M287" s="9" t="s">
        <v>1443</v>
      </c>
      <c r="N287" t="s">
        <v>1396</v>
      </c>
      <c r="O287" s="1">
        <f>NewBusiness7[[#This Row],[Earnings]]/NewBusiness7[[#This Row],[Rate]]</f>
        <v>49.376470588235293</v>
      </c>
      <c r="P287" s="1">
        <f>NewBusiness7[[#This Row],[Column5]]*NewBusiness7[[#This Row],[Rate]]</f>
        <v>41.97</v>
      </c>
    </row>
    <row r="288" spans="1:16" s="10" customFormat="1" x14ac:dyDescent="0.25">
      <c r="A288" t="s">
        <v>478</v>
      </c>
      <c r="B288" t="s">
        <v>479</v>
      </c>
      <c r="C288" t="s">
        <v>62</v>
      </c>
      <c r="D288" t="s">
        <v>480</v>
      </c>
      <c r="E288" s="4">
        <v>45992</v>
      </c>
      <c r="F288" s="4">
        <v>46174</v>
      </c>
      <c r="G288" s="1">
        <v>2176.8000000000002</v>
      </c>
      <c r="H288">
        <v>0.8</v>
      </c>
      <c r="I288" s="1">
        <v>145.12</v>
      </c>
      <c r="J288" t="s">
        <v>34</v>
      </c>
      <c r="K288" t="s">
        <v>1395</v>
      </c>
      <c r="L288" s="9">
        <v>19615078</v>
      </c>
      <c r="M288" s="9" t="s">
        <v>1443</v>
      </c>
      <c r="N288" t="s">
        <v>1389</v>
      </c>
      <c r="O288" s="1">
        <f>NewBusiness7[[#This Row],[Earnings]]/NewBusiness7[[#This Row],[Rate]]</f>
        <v>181.4</v>
      </c>
      <c r="P288" s="1">
        <f>NewBusiness7[[#This Row],[Column5]]*NewBusiness7[[#This Row],[Rate]]</f>
        <v>145.12</v>
      </c>
    </row>
    <row r="289" spans="1:16" s="10" customFormat="1" x14ac:dyDescent="0.25">
      <c r="A289" t="s">
        <v>160</v>
      </c>
      <c r="B289" t="s">
        <v>161</v>
      </c>
      <c r="C289" t="s">
        <v>162</v>
      </c>
      <c r="D289" t="s">
        <v>163</v>
      </c>
      <c r="E289" s="4">
        <v>45992</v>
      </c>
      <c r="F289" s="4">
        <v>46174</v>
      </c>
      <c r="G289" s="1">
        <v>1004.4</v>
      </c>
      <c r="H289">
        <v>0.8</v>
      </c>
      <c r="I289" s="1">
        <v>66.959999999999994</v>
      </c>
      <c r="J289" t="s">
        <v>47</v>
      </c>
      <c r="K289" t="s">
        <v>1395</v>
      </c>
      <c r="L289" s="9">
        <v>20003537</v>
      </c>
      <c r="M289" s="9" t="s">
        <v>1443</v>
      </c>
      <c r="N289" t="s">
        <v>1389</v>
      </c>
      <c r="O289" s="1">
        <f>NewBusiness7[[#This Row],[Earnings]]/NewBusiness7[[#This Row],[Rate]]</f>
        <v>83.699999999999989</v>
      </c>
      <c r="P289" s="1">
        <f>NewBusiness7[[#This Row],[Column5]]*NewBusiness7[[#This Row],[Rate]]</f>
        <v>66.959999999999994</v>
      </c>
    </row>
    <row r="290" spans="1:16" s="10" customFormat="1" x14ac:dyDescent="0.25">
      <c r="A290" t="s">
        <v>160</v>
      </c>
      <c r="B290" t="s">
        <v>524</v>
      </c>
      <c r="C290" t="s">
        <v>62</v>
      </c>
      <c r="D290" t="s">
        <v>525</v>
      </c>
      <c r="E290" s="4">
        <v>46023</v>
      </c>
      <c r="F290" s="4">
        <v>46174</v>
      </c>
      <c r="G290" s="1">
        <v>2443.1999999999998</v>
      </c>
      <c r="H290">
        <v>0.8</v>
      </c>
      <c r="I290" s="1">
        <v>162.88</v>
      </c>
      <c r="J290" t="s">
        <v>34</v>
      </c>
      <c r="K290" t="s">
        <v>1395</v>
      </c>
      <c r="L290" s="9">
        <v>20003537</v>
      </c>
      <c r="M290" s="9" t="s">
        <v>1443</v>
      </c>
      <c r="N290" t="s">
        <v>1389</v>
      </c>
      <c r="O290" s="1">
        <f>NewBusiness7[[#This Row],[Earnings]]/NewBusiness7[[#This Row],[Rate]]</f>
        <v>203.6</v>
      </c>
      <c r="P290" s="1">
        <f>NewBusiness7[[#This Row],[Column5]]*NewBusiness7[[#This Row],[Rate]]</f>
        <v>162.88</v>
      </c>
    </row>
    <row r="291" spans="1:16" s="10" customFormat="1" x14ac:dyDescent="0.25">
      <c r="A291" t="s">
        <v>160</v>
      </c>
      <c r="B291" t="s">
        <v>178</v>
      </c>
      <c r="C291" t="s">
        <v>32</v>
      </c>
      <c r="D291" t="s">
        <v>179</v>
      </c>
      <c r="E291" s="4">
        <v>46135</v>
      </c>
      <c r="F291" s="4">
        <v>46196</v>
      </c>
      <c r="G291" s="1">
        <v>551.12</v>
      </c>
      <c r="H291">
        <v>0.85</v>
      </c>
      <c r="I291" s="1">
        <v>39.03</v>
      </c>
      <c r="J291" t="s">
        <v>34</v>
      </c>
      <c r="K291" t="s">
        <v>1390</v>
      </c>
      <c r="L291" s="9">
        <v>20003537</v>
      </c>
      <c r="M291" s="9" t="s">
        <v>1443</v>
      </c>
      <c r="N291" t="s">
        <v>1389</v>
      </c>
      <c r="O291" s="1">
        <f>NewBusiness7[[#This Row],[Earnings]]/NewBusiness7[[#This Row],[Rate]]</f>
        <v>45.917647058823533</v>
      </c>
      <c r="P291" s="1">
        <f>NewBusiness7[[#This Row],[Column5]]*NewBusiness7[[#This Row],[Rate]]</f>
        <v>39.03</v>
      </c>
    </row>
    <row r="292" spans="1:16" s="10" customFormat="1" x14ac:dyDescent="0.25">
      <c r="A292" t="s">
        <v>114</v>
      </c>
      <c r="B292" t="s">
        <v>115</v>
      </c>
      <c r="C292" t="s">
        <v>62</v>
      </c>
      <c r="D292" t="s">
        <v>116</v>
      </c>
      <c r="E292" s="4">
        <v>45870</v>
      </c>
      <c r="F292" s="4">
        <v>46174</v>
      </c>
      <c r="G292" s="1">
        <v>751.2</v>
      </c>
      <c r="H292">
        <v>0.8</v>
      </c>
      <c r="I292" s="1">
        <v>50.08</v>
      </c>
      <c r="J292" t="s">
        <v>34</v>
      </c>
      <c r="K292" t="s">
        <v>1395</v>
      </c>
      <c r="L292" s="9">
        <v>18754354</v>
      </c>
      <c r="M292" s="9" t="s">
        <v>1443</v>
      </c>
      <c r="N292" t="s">
        <v>1389</v>
      </c>
      <c r="O292" s="1">
        <f>NewBusiness7[[#This Row],[Earnings]]/NewBusiness7[[#This Row],[Rate]]</f>
        <v>62.599999999999994</v>
      </c>
      <c r="P292" s="1">
        <f>NewBusiness7[[#This Row],[Column5]]*NewBusiness7[[#This Row],[Rate]]</f>
        <v>50.08</v>
      </c>
    </row>
    <row r="293" spans="1:16" s="10" customFormat="1" x14ac:dyDescent="0.25">
      <c r="A293" t="s">
        <v>114</v>
      </c>
      <c r="B293" t="s">
        <v>296</v>
      </c>
      <c r="C293" t="s">
        <v>62</v>
      </c>
      <c r="D293" t="s">
        <v>297</v>
      </c>
      <c r="E293" s="4">
        <v>45992</v>
      </c>
      <c r="F293" s="4">
        <v>46174</v>
      </c>
      <c r="G293" s="1">
        <v>1003.2</v>
      </c>
      <c r="H293">
        <v>0.8</v>
      </c>
      <c r="I293" s="1">
        <v>66.88</v>
      </c>
      <c r="J293" t="s">
        <v>34</v>
      </c>
      <c r="K293" t="s">
        <v>1397</v>
      </c>
      <c r="L293" s="9">
        <v>18754354</v>
      </c>
      <c r="M293" s="9" t="s">
        <v>1443</v>
      </c>
      <c r="N293" t="s">
        <v>1389</v>
      </c>
      <c r="O293" s="1">
        <f>NewBusiness7[[#This Row],[Earnings]]/NewBusiness7[[#This Row],[Rate]]</f>
        <v>83.6</v>
      </c>
      <c r="P293" s="1">
        <f>NewBusiness7[[#This Row],[Column5]]*NewBusiness7[[#This Row],[Rate]]</f>
        <v>66.88</v>
      </c>
    </row>
    <row r="294" spans="1:16" s="10" customFormat="1" x14ac:dyDescent="0.25">
      <c r="A294" t="s">
        <v>114</v>
      </c>
      <c r="B294" t="s">
        <v>629</v>
      </c>
      <c r="C294" t="s">
        <v>32</v>
      </c>
      <c r="D294" t="s">
        <v>630</v>
      </c>
      <c r="E294" s="4">
        <v>46082</v>
      </c>
      <c r="F294" s="4">
        <v>46174</v>
      </c>
      <c r="G294" s="1">
        <v>433.05</v>
      </c>
      <c r="H294">
        <v>0.85</v>
      </c>
      <c r="I294" s="1">
        <v>30.68</v>
      </c>
      <c r="J294" t="s">
        <v>34</v>
      </c>
      <c r="K294" t="s">
        <v>1390</v>
      </c>
      <c r="L294" s="9">
        <v>18754354</v>
      </c>
      <c r="M294" s="9" t="s">
        <v>1443</v>
      </c>
      <c r="N294" t="s">
        <v>1389</v>
      </c>
      <c r="O294" s="1">
        <f>NewBusiness7[[#This Row],[Earnings]]/NewBusiness7[[#This Row],[Rate]]</f>
        <v>36.094117647058823</v>
      </c>
      <c r="P294" s="1">
        <f>NewBusiness7[[#This Row],[Column5]]*NewBusiness7[[#This Row],[Rate]]</f>
        <v>30.68</v>
      </c>
    </row>
    <row r="295" spans="1:16" s="10" customFormat="1" x14ac:dyDescent="0.25">
      <c r="A295" t="s">
        <v>114</v>
      </c>
      <c r="B295" t="s">
        <v>612</v>
      </c>
      <c r="C295" t="s">
        <v>613</v>
      </c>
      <c r="D295" t="s">
        <v>614</v>
      </c>
      <c r="E295" s="4">
        <v>46082</v>
      </c>
      <c r="F295" s="4">
        <v>46174</v>
      </c>
      <c r="G295" s="1">
        <v>1063.8</v>
      </c>
      <c r="H295">
        <v>0.95</v>
      </c>
      <c r="I295" s="1">
        <v>84.22</v>
      </c>
      <c r="J295" t="s">
        <v>322</v>
      </c>
      <c r="K295" t="s">
        <v>1416</v>
      </c>
      <c r="L295" s="9">
        <v>18754354</v>
      </c>
      <c r="M295" s="9" t="s">
        <v>1443</v>
      </c>
      <c r="N295" t="s">
        <v>1389</v>
      </c>
      <c r="O295" s="1">
        <f>NewBusiness7[[#This Row],[Earnings]]/NewBusiness7[[#This Row],[Rate]]</f>
        <v>88.652631578947378</v>
      </c>
      <c r="P295" s="1">
        <f>NewBusiness7[[#This Row],[Column5]]*NewBusiness7[[#This Row],[Rate]]</f>
        <v>84.22</v>
      </c>
    </row>
    <row r="296" spans="1:16" s="10" customFormat="1" x14ac:dyDescent="0.25">
      <c r="A296" t="s">
        <v>114</v>
      </c>
      <c r="B296" t="s">
        <v>164</v>
      </c>
      <c r="C296" t="s">
        <v>165</v>
      </c>
      <c r="D296" t="s">
        <v>166</v>
      </c>
      <c r="E296" s="4">
        <v>46023</v>
      </c>
      <c r="F296" s="4">
        <v>46174</v>
      </c>
      <c r="G296" s="1">
        <v>1512</v>
      </c>
      <c r="H296">
        <v>1.1000000000000001</v>
      </c>
      <c r="I296" s="1">
        <v>138.6</v>
      </c>
      <c r="J296" t="s">
        <v>34</v>
      </c>
      <c r="K296" t="s">
        <v>1388</v>
      </c>
      <c r="L296" s="9">
        <v>18754354</v>
      </c>
      <c r="M296" s="9" t="s">
        <v>1443</v>
      </c>
      <c r="N296" t="s">
        <v>1389</v>
      </c>
      <c r="O296" s="1">
        <f>NewBusiness7[[#This Row],[Earnings]]/NewBusiness7[[#This Row],[Rate]]</f>
        <v>125.99999999999999</v>
      </c>
      <c r="P296" s="1">
        <f>NewBusiness7[[#This Row],[Column5]]*NewBusiness7[[#This Row],[Rate]]</f>
        <v>138.6</v>
      </c>
    </row>
    <row r="297" spans="1:16" s="10" customFormat="1" x14ac:dyDescent="0.25">
      <c r="A297" t="s">
        <v>114</v>
      </c>
      <c r="B297" t="s">
        <v>665</v>
      </c>
      <c r="C297" t="s">
        <v>666</v>
      </c>
      <c r="D297" t="s">
        <v>667</v>
      </c>
      <c r="E297" s="4">
        <v>46082</v>
      </c>
      <c r="F297" s="4">
        <v>46204</v>
      </c>
      <c r="G297" s="1">
        <v>1140</v>
      </c>
      <c r="H297">
        <v>1.1000000000000001</v>
      </c>
      <c r="I297" s="1">
        <v>104.5</v>
      </c>
      <c r="J297" t="s">
        <v>34</v>
      </c>
      <c r="K297" t="s">
        <v>1388</v>
      </c>
      <c r="L297" s="9">
        <v>18754354</v>
      </c>
      <c r="M297" s="9" t="s">
        <v>1443</v>
      </c>
      <c r="N297" t="s">
        <v>1389</v>
      </c>
      <c r="O297" s="1">
        <f>NewBusiness7[[#This Row],[Earnings]]/NewBusiness7[[#This Row],[Rate]]</f>
        <v>94.999999999999986</v>
      </c>
      <c r="P297" s="1">
        <f>NewBusiness7[[#This Row],[Column5]]*NewBusiness7[[#This Row],[Rate]]</f>
        <v>104.49999999999999</v>
      </c>
    </row>
    <row r="298" spans="1:16" s="10" customFormat="1" x14ac:dyDescent="0.25">
      <c r="A298" t="s">
        <v>220</v>
      </c>
      <c r="B298" t="s">
        <v>415</v>
      </c>
      <c r="C298" t="s">
        <v>62</v>
      </c>
      <c r="D298" t="s">
        <v>416</v>
      </c>
      <c r="E298" s="4">
        <v>45962</v>
      </c>
      <c r="F298" s="4">
        <v>46174</v>
      </c>
      <c r="G298" s="1">
        <v>1771.2</v>
      </c>
      <c r="H298">
        <v>0.75</v>
      </c>
      <c r="I298" s="1">
        <v>110.7</v>
      </c>
      <c r="J298" t="s">
        <v>322</v>
      </c>
      <c r="K298" t="s">
        <v>1391</v>
      </c>
      <c r="L298" s="9" t="s">
        <v>1430</v>
      </c>
      <c r="M298" s="9" t="s">
        <v>1443</v>
      </c>
      <c r="N298" t="s">
        <v>1396</v>
      </c>
      <c r="O298" s="1">
        <f>NewBusiness7[[#This Row],[Earnings]]/NewBusiness7[[#This Row],[Rate]]</f>
        <v>147.6</v>
      </c>
      <c r="P298" s="1">
        <f>NewBusiness7[[#This Row],[Column5]]*NewBusiness7[[#This Row],[Rate]]</f>
        <v>110.69999999999999</v>
      </c>
    </row>
    <row r="299" spans="1:16" s="10" customFormat="1" x14ac:dyDescent="0.25">
      <c r="A299" t="s">
        <v>220</v>
      </c>
      <c r="B299" t="s">
        <v>221</v>
      </c>
      <c r="C299" t="s">
        <v>62</v>
      </c>
      <c r="D299" t="s">
        <v>222</v>
      </c>
      <c r="E299" s="4">
        <v>45870</v>
      </c>
      <c r="F299" s="4">
        <v>46174</v>
      </c>
      <c r="G299" s="1">
        <v>1513.2</v>
      </c>
      <c r="H299">
        <v>0.8</v>
      </c>
      <c r="I299" s="1">
        <v>100.88</v>
      </c>
      <c r="J299" t="s">
        <v>34</v>
      </c>
      <c r="K299" t="s">
        <v>1397</v>
      </c>
      <c r="L299" s="9" t="s">
        <v>1430</v>
      </c>
      <c r="M299" s="9" t="s">
        <v>1443</v>
      </c>
      <c r="N299" t="s">
        <v>1389</v>
      </c>
      <c r="O299" s="1">
        <f>NewBusiness7[[#This Row],[Earnings]]/NewBusiness7[[#This Row],[Rate]]</f>
        <v>126.1</v>
      </c>
      <c r="P299" s="1">
        <f>NewBusiness7[[#This Row],[Column5]]*NewBusiness7[[#This Row],[Rate]]</f>
        <v>100.88</v>
      </c>
    </row>
    <row r="300" spans="1:16" s="10" customFormat="1" x14ac:dyDescent="0.25">
      <c r="A300" t="s">
        <v>220</v>
      </c>
      <c r="B300" t="s">
        <v>233</v>
      </c>
      <c r="C300" t="s">
        <v>62</v>
      </c>
      <c r="D300" t="s">
        <v>234</v>
      </c>
      <c r="E300" s="4">
        <v>45869</v>
      </c>
      <c r="F300" s="4">
        <v>46173</v>
      </c>
      <c r="G300" s="1">
        <v>1196.4000000000001</v>
      </c>
      <c r="H300">
        <v>0.8</v>
      </c>
      <c r="I300" s="1">
        <v>79.760000000000005</v>
      </c>
      <c r="J300" t="s">
        <v>34</v>
      </c>
      <c r="K300" t="s">
        <v>1397</v>
      </c>
      <c r="L300" s="9" t="s">
        <v>1430</v>
      </c>
      <c r="M300" s="9" t="s">
        <v>1443</v>
      </c>
      <c r="N300" t="s">
        <v>1389</v>
      </c>
      <c r="O300" s="1">
        <f>NewBusiness7[[#This Row],[Earnings]]/NewBusiness7[[#This Row],[Rate]]</f>
        <v>99.7</v>
      </c>
      <c r="P300" s="1">
        <f>NewBusiness7[[#This Row],[Column5]]*NewBusiness7[[#This Row],[Rate]]</f>
        <v>79.760000000000005</v>
      </c>
    </row>
    <row r="301" spans="1:16" s="10" customFormat="1" x14ac:dyDescent="0.25">
      <c r="A301" t="s">
        <v>220</v>
      </c>
      <c r="B301" t="s">
        <v>409</v>
      </c>
      <c r="C301" t="s">
        <v>62</v>
      </c>
      <c r="D301" t="s">
        <v>410</v>
      </c>
      <c r="E301" s="4">
        <v>45931</v>
      </c>
      <c r="F301" s="4">
        <v>46174</v>
      </c>
      <c r="G301" s="1">
        <v>1916.4</v>
      </c>
      <c r="H301">
        <v>0.8</v>
      </c>
      <c r="I301" s="1">
        <v>127.76</v>
      </c>
      <c r="J301" t="s">
        <v>34</v>
      </c>
      <c r="K301" t="s">
        <v>1397</v>
      </c>
      <c r="L301" s="9" t="s">
        <v>1430</v>
      </c>
      <c r="M301" s="9" t="s">
        <v>1443</v>
      </c>
      <c r="N301" t="s">
        <v>1396</v>
      </c>
      <c r="O301" s="1">
        <f>NewBusiness7[[#This Row],[Earnings]]/NewBusiness7[[#This Row],[Rate]]</f>
        <v>159.69999999999999</v>
      </c>
      <c r="P301" s="1">
        <f>NewBusiness7[[#This Row],[Column5]]*NewBusiness7[[#This Row],[Rate]]</f>
        <v>127.75999999999999</v>
      </c>
    </row>
    <row r="302" spans="1:16" s="10" customFormat="1" x14ac:dyDescent="0.25">
      <c r="A302" t="s">
        <v>220</v>
      </c>
      <c r="B302" t="s">
        <v>466</v>
      </c>
      <c r="C302" t="s">
        <v>32</v>
      </c>
      <c r="D302" t="s">
        <v>467</v>
      </c>
      <c r="E302" s="4">
        <v>45961</v>
      </c>
      <c r="F302" s="4">
        <v>1</v>
      </c>
      <c r="G302" s="1">
        <v>1141.53</v>
      </c>
      <c r="H302">
        <v>0.8</v>
      </c>
      <c r="I302" s="1">
        <v>76.099999999999994</v>
      </c>
      <c r="J302" t="s">
        <v>34</v>
      </c>
      <c r="K302" t="s">
        <v>1397</v>
      </c>
      <c r="L302" s="9" t="s">
        <v>1430</v>
      </c>
      <c r="M302" s="9" t="s">
        <v>1443</v>
      </c>
      <c r="N302" t="s">
        <v>1396</v>
      </c>
      <c r="O302" s="1">
        <f>NewBusiness7[[#This Row],[Earnings]]/NewBusiness7[[#This Row],[Rate]]</f>
        <v>95.124999999999986</v>
      </c>
      <c r="P302" s="1">
        <f>NewBusiness7[[#This Row],[Column5]]*NewBusiness7[[#This Row],[Rate]]</f>
        <v>76.099999999999994</v>
      </c>
    </row>
    <row r="303" spans="1:16" s="10" customFormat="1" x14ac:dyDescent="0.25">
      <c r="A303" t="s">
        <v>220</v>
      </c>
      <c r="B303" t="s">
        <v>421</v>
      </c>
      <c r="C303" t="s">
        <v>32</v>
      </c>
      <c r="D303" t="s">
        <v>422</v>
      </c>
      <c r="E303" s="4">
        <v>45915</v>
      </c>
      <c r="F303" s="4">
        <v>46188</v>
      </c>
      <c r="G303" s="1">
        <v>1064.4100000000001</v>
      </c>
      <c r="H303">
        <v>0.85</v>
      </c>
      <c r="I303" s="1">
        <v>75.400000000000006</v>
      </c>
      <c r="J303" t="s">
        <v>423</v>
      </c>
      <c r="K303" t="s">
        <v>1390</v>
      </c>
      <c r="L303" s="9" t="s">
        <v>1430</v>
      </c>
      <c r="M303" s="9" t="s">
        <v>1443</v>
      </c>
      <c r="N303" t="s">
        <v>1389</v>
      </c>
      <c r="O303" s="1">
        <f>NewBusiness7[[#This Row],[Earnings]]/NewBusiness7[[#This Row],[Rate]]</f>
        <v>88.705882352941188</v>
      </c>
      <c r="P303" s="1">
        <f>NewBusiness7[[#This Row],[Column5]]*NewBusiness7[[#This Row],[Rate]]</f>
        <v>75.400000000000006</v>
      </c>
    </row>
    <row r="304" spans="1:16" s="10" customFormat="1" x14ac:dyDescent="0.25">
      <c r="A304" t="s">
        <v>220</v>
      </c>
      <c r="B304" t="s">
        <v>432</v>
      </c>
      <c r="C304" t="s">
        <v>32</v>
      </c>
      <c r="D304" t="s">
        <v>433</v>
      </c>
      <c r="E304" s="4">
        <v>45937</v>
      </c>
      <c r="F304" s="4">
        <v>46180</v>
      </c>
      <c r="G304" s="1">
        <v>584.74</v>
      </c>
      <c r="H304">
        <v>0.85</v>
      </c>
      <c r="I304" s="1">
        <v>41.41</v>
      </c>
      <c r="J304" t="s">
        <v>34</v>
      </c>
      <c r="K304" t="s">
        <v>1390</v>
      </c>
      <c r="L304" s="9" t="s">
        <v>1430</v>
      </c>
      <c r="M304" s="9" t="s">
        <v>1443</v>
      </c>
      <c r="N304" t="s">
        <v>1396</v>
      </c>
      <c r="O304" s="1">
        <f>NewBusiness7[[#This Row],[Earnings]]/NewBusiness7[[#This Row],[Rate]]</f>
        <v>48.717647058823523</v>
      </c>
      <c r="P304" s="1">
        <f>NewBusiness7[[#This Row],[Column5]]*NewBusiness7[[#This Row],[Rate]]</f>
        <v>41.41</v>
      </c>
    </row>
    <row r="305" spans="1:16" s="10" customFormat="1" x14ac:dyDescent="0.25">
      <c r="A305" t="s">
        <v>220</v>
      </c>
      <c r="B305" t="s">
        <v>440</v>
      </c>
      <c r="C305" t="s">
        <v>32</v>
      </c>
      <c r="D305" t="s">
        <v>441</v>
      </c>
      <c r="E305" s="4">
        <v>45937</v>
      </c>
      <c r="F305" s="4">
        <v>46180</v>
      </c>
      <c r="G305" s="1">
        <v>584.74</v>
      </c>
      <c r="H305">
        <v>0.85</v>
      </c>
      <c r="I305" s="1">
        <v>41.41</v>
      </c>
      <c r="J305" t="s">
        <v>34</v>
      </c>
      <c r="K305" t="s">
        <v>1390</v>
      </c>
      <c r="L305" s="9" t="s">
        <v>1430</v>
      </c>
      <c r="M305" s="9" t="s">
        <v>1443</v>
      </c>
      <c r="N305" t="s">
        <v>1396</v>
      </c>
      <c r="O305" s="1">
        <f>NewBusiness7[[#This Row],[Earnings]]/NewBusiness7[[#This Row],[Rate]]</f>
        <v>48.717647058823523</v>
      </c>
      <c r="P305" s="1">
        <f>NewBusiness7[[#This Row],[Column5]]*NewBusiness7[[#This Row],[Rate]]</f>
        <v>41.41</v>
      </c>
    </row>
    <row r="306" spans="1:16" s="10" customFormat="1" x14ac:dyDescent="0.25">
      <c r="A306" t="s">
        <v>220</v>
      </c>
      <c r="B306" t="s">
        <v>462</v>
      </c>
      <c r="C306" t="s">
        <v>32</v>
      </c>
      <c r="D306" t="s">
        <v>463</v>
      </c>
      <c r="E306" s="4">
        <v>45961</v>
      </c>
      <c r="F306" s="4">
        <v>1</v>
      </c>
      <c r="G306" s="1">
        <v>607.15</v>
      </c>
      <c r="H306">
        <v>0.85</v>
      </c>
      <c r="I306" s="1">
        <v>43</v>
      </c>
      <c r="J306" t="s">
        <v>34</v>
      </c>
      <c r="K306" t="s">
        <v>1390</v>
      </c>
      <c r="L306" s="9" t="s">
        <v>1430</v>
      </c>
      <c r="M306" s="9" t="s">
        <v>1443</v>
      </c>
      <c r="N306" t="s">
        <v>1396</v>
      </c>
      <c r="O306" s="1">
        <f>NewBusiness7[[#This Row],[Earnings]]/NewBusiness7[[#This Row],[Rate]]</f>
        <v>50.588235294117645</v>
      </c>
      <c r="P306" s="1">
        <f>NewBusiness7[[#This Row],[Column5]]*NewBusiness7[[#This Row],[Rate]]</f>
        <v>43</v>
      </c>
    </row>
    <row r="307" spans="1:16" s="10" customFormat="1" x14ac:dyDescent="0.25">
      <c r="A307" t="s">
        <v>220</v>
      </c>
      <c r="B307" t="s">
        <v>530</v>
      </c>
      <c r="C307" t="s">
        <v>32</v>
      </c>
      <c r="D307" t="s">
        <v>531</v>
      </c>
      <c r="E307" s="4">
        <v>45996</v>
      </c>
      <c r="F307" s="4">
        <v>46178</v>
      </c>
      <c r="G307" s="1">
        <v>884.95</v>
      </c>
      <c r="H307">
        <v>0.85</v>
      </c>
      <c r="I307" s="1">
        <v>62.68</v>
      </c>
      <c r="J307" t="s">
        <v>34</v>
      </c>
      <c r="K307" t="s">
        <v>1390</v>
      </c>
      <c r="L307" s="9" t="s">
        <v>1430</v>
      </c>
      <c r="M307" s="9" t="s">
        <v>1443</v>
      </c>
      <c r="N307" t="s">
        <v>1415</v>
      </c>
      <c r="O307" s="1">
        <f>NewBusiness7[[#This Row],[Earnings]]/NewBusiness7[[#This Row],[Rate]]</f>
        <v>73.741176470588243</v>
      </c>
      <c r="P307" s="1">
        <f>NewBusiness7[[#This Row],[Column5]]*NewBusiness7[[#This Row],[Rate]]</f>
        <v>62.680000000000007</v>
      </c>
    </row>
    <row r="308" spans="1:16" s="10" customFormat="1" x14ac:dyDescent="0.25">
      <c r="A308" t="s">
        <v>220</v>
      </c>
      <c r="B308" t="s">
        <v>532</v>
      </c>
      <c r="C308" t="s">
        <v>32</v>
      </c>
      <c r="D308" t="s">
        <v>533</v>
      </c>
      <c r="E308" s="4">
        <v>46023</v>
      </c>
      <c r="F308" s="4">
        <v>46174</v>
      </c>
      <c r="G308" s="1">
        <v>607.15</v>
      </c>
      <c r="H308">
        <v>0.85</v>
      </c>
      <c r="I308" s="1">
        <v>43</v>
      </c>
      <c r="J308" t="s">
        <v>34</v>
      </c>
      <c r="K308" t="s">
        <v>1390</v>
      </c>
      <c r="L308" s="9" t="s">
        <v>1430</v>
      </c>
      <c r="M308" s="9" t="s">
        <v>1443</v>
      </c>
      <c r="N308" t="s">
        <v>1415</v>
      </c>
      <c r="O308" s="1">
        <f>NewBusiness7[[#This Row],[Earnings]]/NewBusiness7[[#This Row],[Rate]]</f>
        <v>50.588235294117645</v>
      </c>
      <c r="P308" s="1">
        <f>NewBusiness7[[#This Row],[Column5]]*NewBusiness7[[#This Row],[Rate]]</f>
        <v>43</v>
      </c>
    </row>
    <row r="309" spans="1:16" s="10" customFormat="1" x14ac:dyDescent="0.25">
      <c r="A309" t="s">
        <v>220</v>
      </c>
      <c r="B309" t="s">
        <v>548</v>
      </c>
      <c r="C309" t="s">
        <v>32</v>
      </c>
      <c r="D309" t="s">
        <v>549</v>
      </c>
      <c r="E309" s="4">
        <v>45996</v>
      </c>
      <c r="F309" s="4">
        <v>46178</v>
      </c>
      <c r="G309" s="1">
        <v>884.95</v>
      </c>
      <c r="H309">
        <v>0.85</v>
      </c>
      <c r="I309" s="1">
        <v>62.68</v>
      </c>
      <c r="J309" t="s">
        <v>34</v>
      </c>
      <c r="K309" t="s">
        <v>1390</v>
      </c>
      <c r="L309" s="9" t="s">
        <v>1430</v>
      </c>
      <c r="M309" s="9" t="s">
        <v>1443</v>
      </c>
      <c r="N309" t="s">
        <v>1415</v>
      </c>
      <c r="O309" s="1">
        <f>NewBusiness7[[#This Row],[Earnings]]/NewBusiness7[[#This Row],[Rate]]</f>
        <v>73.741176470588243</v>
      </c>
      <c r="P309" s="1">
        <f>NewBusiness7[[#This Row],[Column5]]*NewBusiness7[[#This Row],[Rate]]</f>
        <v>62.680000000000007</v>
      </c>
    </row>
    <row r="310" spans="1:16" s="10" customFormat="1" x14ac:dyDescent="0.25">
      <c r="A310" t="s">
        <v>220</v>
      </c>
      <c r="B310" t="s">
        <v>566</v>
      </c>
      <c r="C310" t="s">
        <v>32</v>
      </c>
      <c r="D310" t="s">
        <v>567</v>
      </c>
      <c r="E310" s="4">
        <v>46023</v>
      </c>
      <c r="F310" s="4">
        <v>46174</v>
      </c>
      <c r="G310" s="1">
        <v>607.15</v>
      </c>
      <c r="H310">
        <v>0.85</v>
      </c>
      <c r="I310" s="1">
        <v>43</v>
      </c>
      <c r="J310" t="s">
        <v>34</v>
      </c>
      <c r="K310" t="s">
        <v>1390</v>
      </c>
      <c r="L310" s="9" t="s">
        <v>1430</v>
      </c>
      <c r="M310" s="9" t="s">
        <v>1443</v>
      </c>
      <c r="N310" t="s">
        <v>1415</v>
      </c>
      <c r="O310" s="1">
        <f>NewBusiness7[[#This Row],[Earnings]]/NewBusiness7[[#This Row],[Rate]]</f>
        <v>50.588235294117645</v>
      </c>
      <c r="P310" s="1">
        <f>NewBusiness7[[#This Row],[Column5]]*NewBusiness7[[#This Row],[Rate]]</f>
        <v>43</v>
      </c>
    </row>
    <row r="311" spans="1:16" s="10" customFormat="1" x14ac:dyDescent="0.25">
      <c r="A311" t="s">
        <v>73</v>
      </c>
      <c r="B311" t="s">
        <v>74</v>
      </c>
      <c r="C311" t="s">
        <v>32</v>
      </c>
      <c r="D311" t="s">
        <v>75</v>
      </c>
      <c r="E311" s="4">
        <v>45839</v>
      </c>
      <c r="F311" s="4">
        <v>46204</v>
      </c>
      <c r="G311" s="1">
        <v>329.16</v>
      </c>
      <c r="H311">
        <v>0.85</v>
      </c>
      <c r="I311" s="1">
        <v>20.13</v>
      </c>
      <c r="J311" t="s">
        <v>34</v>
      </c>
      <c r="K311" t="s">
        <v>1390</v>
      </c>
      <c r="L311" s="9" t="s">
        <v>1408</v>
      </c>
      <c r="M311" s="9" t="s">
        <v>1443</v>
      </c>
      <c r="N311" t="s">
        <v>1389</v>
      </c>
      <c r="O311" s="1">
        <f>NewBusiness7[[#This Row],[Earnings]]/NewBusiness7[[#This Row],[Rate]]</f>
        <v>23.682352941176472</v>
      </c>
      <c r="P311" s="1">
        <f>NewBusiness7[[#This Row],[Column5]]*NewBusiness7[[#This Row],[Rate]]</f>
        <v>20.13</v>
      </c>
    </row>
    <row r="312" spans="1:16" s="10" customFormat="1" x14ac:dyDescent="0.25">
      <c r="A312" t="s">
        <v>73</v>
      </c>
      <c r="B312" t="s">
        <v>247</v>
      </c>
      <c r="C312" t="s">
        <v>32</v>
      </c>
      <c r="D312" t="s">
        <v>248</v>
      </c>
      <c r="E312" s="4">
        <v>45870</v>
      </c>
      <c r="F312" s="4">
        <v>46204</v>
      </c>
      <c r="G312" s="1">
        <v>333.58</v>
      </c>
      <c r="H312">
        <v>0.85</v>
      </c>
      <c r="I312" s="1">
        <v>23.63</v>
      </c>
      <c r="J312" t="s">
        <v>34</v>
      </c>
      <c r="K312" t="s">
        <v>1390</v>
      </c>
      <c r="L312" s="9">
        <v>20220688</v>
      </c>
      <c r="M312" s="9" t="s">
        <v>1443</v>
      </c>
      <c r="N312" t="s">
        <v>1389</v>
      </c>
      <c r="O312" s="1">
        <f>NewBusiness7[[#This Row],[Earnings]]/NewBusiness7[[#This Row],[Rate]]</f>
        <v>27.8</v>
      </c>
      <c r="P312" s="1">
        <f>NewBusiness7[[#This Row],[Column5]]*NewBusiness7[[#This Row],[Rate]]</f>
        <v>23.63</v>
      </c>
    </row>
    <row r="313" spans="1:16" s="10" customFormat="1" x14ac:dyDescent="0.25">
      <c r="A313" t="s">
        <v>73</v>
      </c>
      <c r="B313" t="s">
        <v>292</v>
      </c>
      <c r="C313" t="s">
        <v>32</v>
      </c>
      <c r="D313" t="s">
        <v>293</v>
      </c>
      <c r="E313" s="4">
        <v>45943</v>
      </c>
      <c r="F313" s="4">
        <v>46186</v>
      </c>
      <c r="G313" s="1">
        <v>680.04</v>
      </c>
      <c r="H313">
        <v>0.85</v>
      </c>
      <c r="I313" s="1">
        <v>48.17</v>
      </c>
      <c r="J313" t="s">
        <v>34</v>
      </c>
      <c r="K313" t="s">
        <v>1390</v>
      </c>
      <c r="L313" s="9" t="s">
        <v>1408</v>
      </c>
      <c r="M313" s="9" t="s">
        <v>1443</v>
      </c>
      <c r="N313" t="s">
        <v>1396</v>
      </c>
      <c r="O313" s="1">
        <f>NewBusiness7[[#This Row],[Earnings]]/NewBusiness7[[#This Row],[Rate]]</f>
        <v>56.670588235294119</v>
      </c>
      <c r="P313" s="1">
        <f>NewBusiness7[[#This Row],[Column5]]*NewBusiness7[[#This Row],[Rate]]</f>
        <v>48.17</v>
      </c>
    </row>
    <row r="314" spans="1:16" s="10" customFormat="1" x14ac:dyDescent="0.25">
      <c r="A314" t="s">
        <v>73</v>
      </c>
      <c r="B314" t="s">
        <v>424</v>
      </c>
      <c r="C314" t="s">
        <v>32</v>
      </c>
      <c r="D314" t="s">
        <v>425</v>
      </c>
      <c r="E314" s="4">
        <v>45915</v>
      </c>
      <c r="F314" s="4">
        <v>46188</v>
      </c>
      <c r="G314" s="1">
        <v>355.8</v>
      </c>
      <c r="H314">
        <v>0.85</v>
      </c>
      <c r="I314" s="1">
        <v>25.2</v>
      </c>
      <c r="J314" t="s">
        <v>34</v>
      </c>
      <c r="K314" t="s">
        <v>1390</v>
      </c>
      <c r="L314" s="9" t="s">
        <v>1408</v>
      </c>
      <c r="M314" s="9" t="s">
        <v>1443</v>
      </c>
      <c r="N314" t="s">
        <v>1389</v>
      </c>
      <c r="O314" s="1">
        <f>NewBusiness7[[#This Row],[Earnings]]/NewBusiness7[[#This Row],[Rate]]</f>
        <v>29.647058823529413</v>
      </c>
      <c r="P314" s="1">
        <f>NewBusiness7[[#This Row],[Column5]]*NewBusiness7[[#This Row],[Rate]]</f>
        <v>25.2</v>
      </c>
    </row>
    <row r="315" spans="1:16" s="10" customFormat="1" x14ac:dyDescent="0.25">
      <c r="A315" t="s">
        <v>73</v>
      </c>
      <c r="B315" t="s">
        <v>680</v>
      </c>
      <c r="C315" t="s">
        <v>165</v>
      </c>
      <c r="D315" t="s">
        <v>681</v>
      </c>
      <c r="E315" s="4">
        <v>46101</v>
      </c>
      <c r="F315" s="4">
        <v>46193</v>
      </c>
      <c r="G315" s="1">
        <v>565.55999999999995</v>
      </c>
      <c r="H315">
        <v>1.1000000000000001</v>
      </c>
      <c r="I315" s="1">
        <v>51.84</v>
      </c>
      <c r="J315" t="s">
        <v>34</v>
      </c>
      <c r="K315" t="s">
        <v>1388</v>
      </c>
      <c r="L315" s="9" t="s">
        <v>1408</v>
      </c>
      <c r="M315" s="9" t="s">
        <v>1443</v>
      </c>
      <c r="N315" t="s">
        <v>1415</v>
      </c>
      <c r="O315" s="1">
        <f>NewBusiness7[[#This Row],[Earnings]]/NewBusiness7[[#This Row],[Rate]]</f>
        <v>47.127272727272725</v>
      </c>
      <c r="P315" s="1">
        <f>NewBusiness7[[#This Row],[Column5]]*NewBusiness7[[#This Row],[Rate]]</f>
        <v>51.84</v>
      </c>
    </row>
    <row r="316" spans="1:16" x14ac:dyDescent="0.25">
      <c r="A316" s="10" t="s">
        <v>723</v>
      </c>
      <c r="B316" s="10" t="s">
        <v>724</v>
      </c>
      <c r="C316" s="10" t="s">
        <v>32</v>
      </c>
      <c r="D316" s="10" t="s">
        <v>725</v>
      </c>
      <c r="E316" s="11">
        <v>46153</v>
      </c>
      <c r="F316" s="11">
        <v>46184</v>
      </c>
      <c r="G316" s="12">
        <v>607.15</v>
      </c>
      <c r="H316" s="10">
        <v>0.85</v>
      </c>
      <c r="I316" s="12">
        <v>43</v>
      </c>
      <c r="J316" s="10" t="s">
        <v>34</v>
      </c>
      <c r="K316" s="10" t="s">
        <v>1390</v>
      </c>
      <c r="L316" s="13" t="s">
        <v>1444</v>
      </c>
      <c r="M316" s="13" t="s">
        <v>1442</v>
      </c>
      <c r="N316" s="10" t="s">
        <v>1415</v>
      </c>
      <c r="O316" s="12">
        <f>I316/H316</f>
        <v>50.588235294117645</v>
      </c>
      <c r="P316" s="12">
        <f>O316*H316</f>
        <v>43</v>
      </c>
    </row>
    <row r="317" spans="1:16" x14ac:dyDescent="0.25">
      <c r="A317" s="10" t="s">
        <v>723</v>
      </c>
      <c r="B317" s="10" t="s">
        <v>730</v>
      </c>
      <c r="C317" s="10" t="s">
        <v>32</v>
      </c>
      <c r="D317" s="10" t="s">
        <v>731</v>
      </c>
      <c r="E317" s="11">
        <v>46153</v>
      </c>
      <c r="F317" s="11">
        <v>46184</v>
      </c>
      <c r="G317" s="12">
        <v>467.79</v>
      </c>
      <c r="H317" s="10">
        <v>0.85</v>
      </c>
      <c r="I317" s="12">
        <v>33.130000000000003</v>
      </c>
      <c r="J317" s="10" t="s">
        <v>34</v>
      </c>
      <c r="K317" s="10" t="s">
        <v>1390</v>
      </c>
      <c r="L317" s="13" t="s">
        <v>1444</v>
      </c>
      <c r="M317" s="13" t="s">
        <v>1442</v>
      </c>
      <c r="N317" s="10" t="s">
        <v>1415</v>
      </c>
      <c r="O317" s="12">
        <f>I317/H317</f>
        <v>38.976470588235301</v>
      </c>
      <c r="P317" s="12">
        <f>O317*H317</f>
        <v>33.130000000000003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01"/>
  <sheetViews>
    <sheetView workbookViewId="0">
      <selection sqref="A1:XFD1048576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70.28515625" customWidth="1"/>
    <col min="5" max="5" width="11.140625" customWidth="1"/>
    <col min="6" max="6" width="23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76</v>
      </c>
      <c r="B2" t="s">
        <v>77</v>
      </c>
      <c r="C2" t="s">
        <v>768</v>
      </c>
      <c r="D2" t="s">
        <v>165</v>
      </c>
      <c r="E2">
        <v>73</v>
      </c>
      <c r="F2" t="s">
        <v>769</v>
      </c>
      <c r="G2" s="3">
        <v>46171.777939814798</v>
      </c>
      <c r="H2" s="4">
        <v>45524</v>
      </c>
      <c r="I2" s="4">
        <v>46193</v>
      </c>
      <c r="J2" s="1">
        <v>1060</v>
      </c>
      <c r="K2">
        <v>0.04</v>
      </c>
      <c r="L2">
        <v>1</v>
      </c>
      <c r="M2" s="1">
        <v>0</v>
      </c>
      <c r="N2" s="1">
        <v>3.53</v>
      </c>
      <c r="O2" t="s">
        <v>34</v>
      </c>
      <c r="P2" t="s">
        <v>35</v>
      </c>
    </row>
    <row r="3" spans="1:16" x14ac:dyDescent="0.25">
      <c r="A3" t="s">
        <v>219</v>
      </c>
      <c r="B3" t="s">
        <v>220</v>
      </c>
      <c r="C3" t="s">
        <v>770</v>
      </c>
      <c r="D3" t="s">
        <v>32</v>
      </c>
      <c r="E3">
        <v>64</v>
      </c>
      <c r="F3" t="s">
        <v>771</v>
      </c>
      <c r="G3" s="3">
        <v>46171.777939814798</v>
      </c>
      <c r="H3" s="4">
        <v>45807</v>
      </c>
      <c r="I3" s="4">
        <v>46203</v>
      </c>
      <c r="J3" s="1">
        <v>591.74</v>
      </c>
      <c r="K3">
        <v>0.13</v>
      </c>
      <c r="L3">
        <v>1</v>
      </c>
      <c r="M3" s="1">
        <v>0</v>
      </c>
      <c r="N3" s="1">
        <v>4.96</v>
      </c>
      <c r="O3" t="s">
        <v>34</v>
      </c>
      <c r="P3" t="s">
        <v>35</v>
      </c>
    </row>
    <row r="4" spans="1:16" x14ac:dyDescent="0.25">
      <c r="A4" t="s">
        <v>219</v>
      </c>
      <c r="B4" t="s">
        <v>220</v>
      </c>
      <c r="C4" t="s">
        <v>772</v>
      </c>
      <c r="D4" t="s">
        <v>32</v>
      </c>
      <c r="E4">
        <v>70</v>
      </c>
      <c r="F4" t="s">
        <v>773</v>
      </c>
      <c r="G4" s="3">
        <v>46171.777939814798</v>
      </c>
      <c r="H4" s="4">
        <v>45807</v>
      </c>
      <c r="I4" s="4">
        <v>46203</v>
      </c>
      <c r="J4" s="1">
        <v>822.11</v>
      </c>
      <c r="K4">
        <v>0.13</v>
      </c>
      <c r="L4">
        <v>1</v>
      </c>
      <c r="M4" s="1">
        <v>0</v>
      </c>
      <c r="N4" s="1">
        <v>6.46</v>
      </c>
      <c r="O4" t="s">
        <v>34</v>
      </c>
      <c r="P4" t="s">
        <v>35</v>
      </c>
    </row>
    <row r="5" spans="1:16" x14ac:dyDescent="0.25">
      <c r="A5" t="s">
        <v>376</v>
      </c>
      <c r="B5" t="s">
        <v>377</v>
      </c>
      <c r="C5" t="s">
        <v>774</v>
      </c>
      <c r="D5" t="s">
        <v>379</v>
      </c>
      <c r="E5">
        <v>64</v>
      </c>
      <c r="F5" t="s">
        <v>775</v>
      </c>
      <c r="G5" s="3">
        <v>46171.777939814798</v>
      </c>
      <c r="H5" s="4">
        <v>45108</v>
      </c>
      <c r="I5" s="4">
        <v>46174</v>
      </c>
      <c r="J5" s="1">
        <v>1202.4000000000001</v>
      </c>
      <c r="K5">
        <v>0.15</v>
      </c>
      <c r="L5">
        <v>1</v>
      </c>
      <c r="M5" s="1">
        <v>0</v>
      </c>
      <c r="N5" s="1">
        <v>15.03</v>
      </c>
      <c r="O5" t="s">
        <v>112</v>
      </c>
      <c r="P5" t="s">
        <v>35</v>
      </c>
    </row>
    <row r="6" spans="1:16" x14ac:dyDescent="0.25">
      <c r="A6" t="s">
        <v>376</v>
      </c>
      <c r="B6" t="s">
        <v>377</v>
      </c>
      <c r="C6" t="s">
        <v>776</v>
      </c>
      <c r="D6" t="s">
        <v>162</v>
      </c>
      <c r="E6">
        <v>64</v>
      </c>
      <c r="F6" t="s">
        <v>777</v>
      </c>
      <c r="G6" s="3">
        <v>46171.777939814798</v>
      </c>
      <c r="H6" s="4">
        <v>45261</v>
      </c>
      <c r="I6" s="4">
        <v>46174</v>
      </c>
      <c r="J6" s="1">
        <v>1004.4</v>
      </c>
      <c r="K6">
        <v>0.15</v>
      </c>
      <c r="L6">
        <v>1</v>
      </c>
      <c r="M6" s="1">
        <v>0</v>
      </c>
      <c r="N6" s="1">
        <v>12.56</v>
      </c>
      <c r="O6" t="s">
        <v>112</v>
      </c>
      <c r="P6" t="s">
        <v>35</v>
      </c>
    </row>
    <row r="7" spans="1:16" x14ac:dyDescent="0.25">
      <c r="A7" t="s">
        <v>778</v>
      </c>
      <c r="B7" t="s">
        <v>779</v>
      </c>
      <c r="C7" t="s">
        <v>780</v>
      </c>
      <c r="D7" t="s">
        <v>62</v>
      </c>
      <c r="E7">
        <v>64</v>
      </c>
      <c r="F7" t="s">
        <v>781</v>
      </c>
      <c r="G7" s="3">
        <v>46171.777939814798</v>
      </c>
      <c r="H7" s="4">
        <v>45168</v>
      </c>
      <c r="I7" s="4">
        <v>46172</v>
      </c>
      <c r="J7" s="1">
        <v>466.49</v>
      </c>
      <c r="K7">
        <v>0.15</v>
      </c>
      <c r="L7">
        <v>1</v>
      </c>
      <c r="M7" s="1">
        <v>0</v>
      </c>
      <c r="N7" s="1">
        <v>5.83</v>
      </c>
      <c r="O7" t="s">
        <v>112</v>
      </c>
      <c r="P7" t="s">
        <v>35</v>
      </c>
    </row>
    <row r="8" spans="1:16" x14ac:dyDescent="0.25">
      <c r="A8" t="s">
        <v>778</v>
      </c>
      <c r="B8" t="s">
        <v>779</v>
      </c>
      <c r="C8" t="s">
        <v>782</v>
      </c>
      <c r="D8" t="s">
        <v>110</v>
      </c>
      <c r="E8">
        <v>64</v>
      </c>
      <c r="F8" t="s">
        <v>783</v>
      </c>
      <c r="G8" s="3">
        <v>46171.777939814798</v>
      </c>
      <c r="H8" s="4">
        <v>45170</v>
      </c>
      <c r="I8" s="4">
        <v>46174</v>
      </c>
      <c r="J8" s="1">
        <v>599.29</v>
      </c>
      <c r="K8">
        <v>0.15</v>
      </c>
      <c r="L8">
        <v>1</v>
      </c>
      <c r="M8" s="1">
        <v>0</v>
      </c>
      <c r="N8" s="1">
        <v>7.49</v>
      </c>
      <c r="O8" t="s">
        <v>112</v>
      </c>
      <c r="P8" t="s">
        <v>35</v>
      </c>
    </row>
    <row r="9" spans="1:16" x14ac:dyDescent="0.25">
      <c r="A9" t="s">
        <v>778</v>
      </c>
      <c r="B9" t="s">
        <v>779</v>
      </c>
      <c r="C9" t="s">
        <v>784</v>
      </c>
      <c r="D9" t="s">
        <v>62</v>
      </c>
      <c r="E9">
        <v>64</v>
      </c>
      <c r="F9" t="s">
        <v>785</v>
      </c>
      <c r="G9" s="3">
        <v>46171.777939814798</v>
      </c>
      <c r="H9" s="4">
        <v>45108</v>
      </c>
      <c r="I9" s="4">
        <v>46235</v>
      </c>
      <c r="J9" s="1">
        <v>789.6</v>
      </c>
      <c r="K9">
        <v>0.15</v>
      </c>
      <c r="L9">
        <v>1</v>
      </c>
      <c r="M9" s="1">
        <v>0</v>
      </c>
      <c r="N9" s="1">
        <v>9.8699999999999992</v>
      </c>
      <c r="O9" t="s">
        <v>112</v>
      </c>
      <c r="P9" t="s">
        <v>35</v>
      </c>
    </row>
    <row r="10" spans="1:16" x14ac:dyDescent="0.25">
      <c r="A10" t="s">
        <v>778</v>
      </c>
      <c r="B10" t="s">
        <v>779</v>
      </c>
      <c r="C10" t="s">
        <v>786</v>
      </c>
      <c r="D10" t="s">
        <v>39</v>
      </c>
      <c r="E10">
        <v>26</v>
      </c>
      <c r="F10" t="s">
        <v>787</v>
      </c>
      <c r="G10" s="3">
        <v>46171.777939814798</v>
      </c>
      <c r="H10" s="4">
        <v>45108</v>
      </c>
      <c r="I10" s="4">
        <v>46174</v>
      </c>
      <c r="J10" s="1">
        <v>960</v>
      </c>
      <c r="K10">
        <v>0.15</v>
      </c>
      <c r="L10">
        <v>1</v>
      </c>
      <c r="M10" s="1">
        <v>0</v>
      </c>
      <c r="N10" s="1">
        <v>12</v>
      </c>
      <c r="O10" t="s">
        <v>112</v>
      </c>
      <c r="P10" t="s">
        <v>35</v>
      </c>
    </row>
    <row r="11" spans="1:16" x14ac:dyDescent="0.25">
      <c r="A11" t="s">
        <v>376</v>
      </c>
      <c r="B11" t="s">
        <v>377</v>
      </c>
      <c r="C11" t="s">
        <v>788</v>
      </c>
      <c r="D11" t="s">
        <v>162</v>
      </c>
      <c r="E11">
        <v>64</v>
      </c>
      <c r="F11" t="s">
        <v>789</v>
      </c>
      <c r="G11" s="3">
        <v>46171.777939814798</v>
      </c>
      <c r="H11" s="4">
        <v>45200</v>
      </c>
      <c r="I11" s="4">
        <v>46174</v>
      </c>
      <c r="J11" s="1">
        <v>816.91</v>
      </c>
      <c r="K11">
        <v>0.15</v>
      </c>
      <c r="L11">
        <v>1</v>
      </c>
      <c r="M11" s="1">
        <v>0</v>
      </c>
      <c r="N11" s="1">
        <v>10.210000000000001</v>
      </c>
      <c r="O11" t="s">
        <v>112</v>
      </c>
      <c r="P11" t="s">
        <v>35</v>
      </c>
    </row>
    <row r="12" spans="1:16" x14ac:dyDescent="0.25">
      <c r="A12" t="s">
        <v>778</v>
      </c>
      <c r="B12" t="s">
        <v>779</v>
      </c>
      <c r="C12" t="s">
        <v>790</v>
      </c>
      <c r="D12" t="s">
        <v>62</v>
      </c>
      <c r="E12">
        <v>64</v>
      </c>
      <c r="F12" t="s">
        <v>791</v>
      </c>
      <c r="G12" s="3">
        <v>46171.777939814798</v>
      </c>
      <c r="H12" s="4">
        <v>45139</v>
      </c>
      <c r="I12" s="4">
        <v>46174</v>
      </c>
      <c r="J12" s="1">
        <v>734.33</v>
      </c>
      <c r="K12">
        <v>0.15</v>
      </c>
      <c r="L12">
        <v>1</v>
      </c>
      <c r="M12" s="1">
        <v>0</v>
      </c>
      <c r="N12" s="1">
        <v>9.18</v>
      </c>
      <c r="O12" t="s">
        <v>112</v>
      </c>
      <c r="P12" t="s">
        <v>35</v>
      </c>
    </row>
    <row r="13" spans="1:16" x14ac:dyDescent="0.25">
      <c r="A13" t="s">
        <v>778</v>
      </c>
      <c r="B13" t="s">
        <v>779</v>
      </c>
      <c r="C13" t="s">
        <v>792</v>
      </c>
      <c r="D13" t="s">
        <v>110</v>
      </c>
      <c r="E13">
        <v>36</v>
      </c>
      <c r="F13" t="s">
        <v>793</v>
      </c>
      <c r="G13" s="3">
        <v>46171.777939814798</v>
      </c>
      <c r="H13" s="4">
        <v>45170</v>
      </c>
      <c r="I13" s="4">
        <v>46174</v>
      </c>
      <c r="J13" s="1">
        <v>992.4</v>
      </c>
      <c r="K13">
        <v>0.15</v>
      </c>
      <c r="L13">
        <v>1</v>
      </c>
      <c r="M13" s="1">
        <v>0</v>
      </c>
      <c r="N13" s="1">
        <v>12.4</v>
      </c>
      <c r="O13" t="s">
        <v>112</v>
      </c>
      <c r="P13" t="s">
        <v>35</v>
      </c>
    </row>
    <row r="14" spans="1:16" x14ac:dyDescent="0.25">
      <c r="A14" t="s">
        <v>778</v>
      </c>
      <c r="B14" t="s">
        <v>779</v>
      </c>
      <c r="C14" t="s">
        <v>794</v>
      </c>
      <c r="D14" t="s">
        <v>62</v>
      </c>
      <c r="E14">
        <v>64</v>
      </c>
      <c r="F14" t="s">
        <v>795</v>
      </c>
      <c r="G14" s="3">
        <v>46171.777939814798</v>
      </c>
      <c r="H14" s="4">
        <v>45231</v>
      </c>
      <c r="I14" s="4">
        <v>46174</v>
      </c>
      <c r="J14" s="1">
        <v>789.6</v>
      </c>
      <c r="K14">
        <v>0.15</v>
      </c>
      <c r="L14">
        <v>1</v>
      </c>
      <c r="M14" s="1">
        <v>0</v>
      </c>
      <c r="N14" s="1">
        <v>9.8699999999999992</v>
      </c>
      <c r="O14" t="s">
        <v>112</v>
      </c>
      <c r="P14" t="s">
        <v>35</v>
      </c>
    </row>
    <row r="15" spans="1:16" x14ac:dyDescent="0.25">
      <c r="A15" t="s">
        <v>778</v>
      </c>
      <c r="B15" t="s">
        <v>779</v>
      </c>
      <c r="C15" t="s">
        <v>796</v>
      </c>
      <c r="D15" t="s">
        <v>62</v>
      </c>
      <c r="E15">
        <v>64</v>
      </c>
      <c r="F15" t="s">
        <v>797</v>
      </c>
      <c r="G15" s="3">
        <v>46171.777939814798</v>
      </c>
      <c r="H15" s="4">
        <v>45200</v>
      </c>
      <c r="I15" s="4">
        <v>46174</v>
      </c>
      <c r="J15" s="1">
        <v>789.6</v>
      </c>
      <c r="K15">
        <v>0.15</v>
      </c>
      <c r="L15">
        <v>1</v>
      </c>
      <c r="M15" s="1">
        <v>0</v>
      </c>
      <c r="N15" s="1">
        <v>9.8699999999999992</v>
      </c>
      <c r="O15" t="s">
        <v>112</v>
      </c>
      <c r="P15" t="s">
        <v>35</v>
      </c>
    </row>
    <row r="16" spans="1:16" x14ac:dyDescent="0.25">
      <c r="A16" t="s">
        <v>778</v>
      </c>
      <c r="B16" t="s">
        <v>779</v>
      </c>
      <c r="C16" t="s">
        <v>798</v>
      </c>
      <c r="D16" t="s">
        <v>62</v>
      </c>
      <c r="E16">
        <v>64</v>
      </c>
      <c r="F16" t="s">
        <v>799</v>
      </c>
      <c r="G16" s="3">
        <v>46171.777939814798</v>
      </c>
      <c r="H16" s="4">
        <v>45231</v>
      </c>
      <c r="I16" s="4">
        <v>46174</v>
      </c>
      <c r="J16" s="1">
        <v>466.49</v>
      </c>
      <c r="K16">
        <v>0.15</v>
      </c>
      <c r="L16">
        <v>1</v>
      </c>
      <c r="M16" s="1">
        <v>0</v>
      </c>
      <c r="N16" s="1">
        <v>5.83</v>
      </c>
      <c r="O16" t="s">
        <v>112</v>
      </c>
      <c r="P16" t="s">
        <v>35</v>
      </c>
    </row>
    <row r="17" spans="1:16" x14ac:dyDescent="0.25">
      <c r="A17" t="s">
        <v>778</v>
      </c>
      <c r="B17" t="s">
        <v>779</v>
      </c>
      <c r="C17" t="s">
        <v>800</v>
      </c>
      <c r="D17" t="s">
        <v>62</v>
      </c>
      <c r="E17">
        <v>66</v>
      </c>
      <c r="F17" t="s">
        <v>801</v>
      </c>
      <c r="G17" s="3">
        <v>46171.777939814798</v>
      </c>
      <c r="H17" s="4">
        <v>45231</v>
      </c>
      <c r="I17" s="4">
        <v>46174</v>
      </c>
      <c r="J17" s="1">
        <v>764.46</v>
      </c>
      <c r="K17">
        <v>0.15</v>
      </c>
      <c r="L17">
        <v>1</v>
      </c>
      <c r="M17" s="1">
        <v>0</v>
      </c>
      <c r="N17" s="1">
        <v>9.56</v>
      </c>
      <c r="O17" t="s">
        <v>112</v>
      </c>
      <c r="P17" t="s">
        <v>35</v>
      </c>
    </row>
    <row r="18" spans="1:16" x14ac:dyDescent="0.25">
      <c r="A18" t="s">
        <v>778</v>
      </c>
      <c r="B18" t="s">
        <v>779</v>
      </c>
      <c r="C18" t="s">
        <v>802</v>
      </c>
      <c r="D18" t="s">
        <v>62</v>
      </c>
      <c r="E18">
        <v>64</v>
      </c>
      <c r="F18" t="s">
        <v>803</v>
      </c>
      <c r="G18" s="3">
        <v>46171.777939814798</v>
      </c>
      <c r="H18" s="4">
        <v>45321</v>
      </c>
      <c r="I18" s="4">
        <v>46172</v>
      </c>
      <c r="J18" s="1">
        <v>734.33</v>
      </c>
      <c r="K18">
        <v>0.15</v>
      </c>
      <c r="L18">
        <v>1</v>
      </c>
      <c r="M18" s="1">
        <v>0</v>
      </c>
      <c r="N18" s="1">
        <v>9.18</v>
      </c>
      <c r="O18" t="s">
        <v>112</v>
      </c>
      <c r="P18" t="s">
        <v>35</v>
      </c>
    </row>
    <row r="19" spans="1:16" x14ac:dyDescent="0.25">
      <c r="A19" t="s">
        <v>778</v>
      </c>
      <c r="B19" t="s">
        <v>779</v>
      </c>
      <c r="C19" t="s">
        <v>804</v>
      </c>
      <c r="D19" t="s">
        <v>62</v>
      </c>
      <c r="E19">
        <v>64</v>
      </c>
      <c r="F19" t="s">
        <v>805</v>
      </c>
      <c r="G19" s="3">
        <v>46171.777939814798</v>
      </c>
      <c r="H19" s="4">
        <v>45323</v>
      </c>
      <c r="I19" s="4">
        <v>46174</v>
      </c>
      <c r="J19" s="1">
        <v>466.49</v>
      </c>
      <c r="K19">
        <v>0.15</v>
      </c>
      <c r="L19">
        <v>1</v>
      </c>
      <c r="M19" s="1">
        <v>0</v>
      </c>
      <c r="N19" s="1">
        <v>5.83</v>
      </c>
      <c r="O19" t="s">
        <v>112</v>
      </c>
      <c r="P19" t="s">
        <v>35</v>
      </c>
    </row>
    <row r="20" spans="1:16" x14ac:dyDescent="0.25">
      <c r="A20" t="s">
        <v>778</v>
      </c>
      <c r="B20" t="s">
        <v>779</v>
      </c>
      <c r="C20" t="s">
        <v>806</v>
      </c>
      <c r="D20" t="s">
        <v>62</v>
      </c>
      <c r="E20">
        <v>66</v>
      </c>
      <c r="F20" t="s">
        <v>807</v>
      </c>
      <c r="G20" s="3">
        <v>46171.777939814798</v>
      </c>
      <c r="H20" s="4">
        <v>45292</v>
      </c>
      <c r="I20" s="4">
        <v>46174</v>
      </c>
      <c r="J20" s="1">
        <v>586.79999999999995</v>
      </c>
      <c r="K20">
        <v>0.15</v>
      </c>
      <c r="L20">
        <v>1</v>
      </c>
      <c r="M20" s="1">
        <v>0</v>
      </c>
      <c r="N20" s="1">
        <v>7.33</v>
      </c>
      <c r="O20" t="s">
        <v>112</v>
      </c>
      <c r="P20" t="s">
        <v>35</v>
      </c>
    </row>
    <row r="21" spans="1:16" x14ac:dyDescent="0.25">
      <c r="A21" t="s">
        <v>778</v>
      </c>
      <c r="B21" t="s">
        <v>779</v>
      </c>
      <c r="C21" t="s">
        <v>808</v>
      </c>
      <c r="D21" t="s">
        <v>62</v>
      </c>
      <c r="E21">
        <v>72</v>
      </c>
      <c r="F21" t="s">
        <v>809</v>
      </c>
      <c r="G21" s="3">
        <v>46171.777939814798</v>
      </c>
      <c r="H21" s="4">
        <v>45292</v>
      </c>
      <c r="I21" s="4">
        <v>46174</v>
      </c>
      <c r="J21" s="1">
        <v>684.11</v>
      </c>
      <c r="K21">
        <v>0.15</v>
      </c>
      <c r="L21">
        <v>1</v>
      </c>
      <c r="M21" s="1">
        <v>0</v>
      </c>
      <c r="N21" s="1">
        <v>8.5500000000000007</v>
      </c>
      <c r="O21" t="s">
        <v>112</v>
      </c>
      <c r="P21" t="s">
        <v>35</v>
      </c>
    </row>
    <row r="22" spans="1:16" x14ac:dyDescent="0.25">
      <c r="A22" t="s">
        <v>778</v>
      </c>
      <c r="B22" t="s">
        <v>779</v>
      </c>
      <c r="C22" t="s">
        <v>810</v>
      </c>
      <c r="D22" t="s">
        <v>62</v>
      </c>
      <c r="E22">
        <v>64</v>
      </c>
      <c r="F22" t="s">
        <v>811</v>
      </c>
      <c r="G22" s="3">
        <v>46171.777939814798</v>
      </c>
      <c r="H22" s="4">
        <v>45323</v>
      </c>
      <c r="I22" s="4">
        <v>46174</v>
      </c>
      <c r="J22" s="1">
        <v>734.33</v>
      </c>
      <c r="K22">
        <v>0.15</v>
      </c>
      <c r="L22">
        <v>1</v>
      </c>
      <c r="M22" s="1">
        <v>0</v>
      </c>
      <c r="N22" s="1">
        <v>9.18</v>
      </c>
      <c r="O22" t="s">
        <v>112</v>
      </c>
      <c r="P22" t="s">
        <v>35</v>
      </c>
    </row>
    <row r="23" spans="1:16" x14ac:dyDescent="0.25">
      <c r="A23" t="s">
        <v>107</v>
      </c>
      <c r="B23" t="s">
        <v>108</v>
      </c>
      <c r="C23" t="s">
        <v>812</v>
      </c>
      <c r="D23" t="s">
        <v>471</v>
      </c>
      <c r="E23">
        <v>65</v>
      </c>
      <c r="F23" t="s">
        <v>813</v>
      </c>
      <c r="G23" s="3">
        <v>46171.777939814798</v>
      </c>
      <c r="H23" s="4">
        <v>45413</v>
      </c>
      <c r="I23" s="4">
        <v>46174</v>
      </c>
      <c r="J23" s="1">
        <v>2161.1999999999998</v>
      </c>
      <c r="K23">
        <v>0.15</v>
      </c>
      <c r="L23">
        <v>1</v>
      </c>
      <c r="M23" s="1">
        <v>0</v>
      </c>
      <c r="N23" s="1">
        <v>27.01</v>
      </c>
      <c r="O23" t="s">
        <v>112</v>
      </c>
      <c r="P23" t="s">
        <v>35</v>
      </c>
    </row>
    <row r="24" spans="1:16" x14ac:dyDescent="0.25">
      <c r="A24" t="s">
        <v>107</v>
      </c>
      <c r="B24" t="s">
        <v>108</v>
      </c>
      <c r="C24" t="s">
        <v>814</v>
      </c>
      <c r="D24" t="s">
        <v>471</v>
      </c>
      <c r="E24">
        <v>64</v>
      </c>
      <c r="F24" t="s">
        <v>815</v>
      </c>
      <c r="G24" s="3">
        <v>46171.777939814798</v>
      </c>
      <c r="H24" s="4">
        <v>45413</v>
      </c>
      <c r="I24" s="4">
        <v>46174</v>
      </c>
      <c r="J24" s="1">
        <v>1305.5999999999999</v>
      </c>
      <c r="K24">
        <v>0.15</v>
      </c>
      <c r="L24">
        <v>1</v>
      </c>
      <c r="M24" s="1">
        <v>0</v>
      </c>
      <c r="N24" s="1">
        <v>16.32</v>
      </c>
      <c r="O24" t="s">
        <v>112</v>
      </c>
      <c r="P24" t="s">
        <v>35</v>
      </c>
    </row>
    <row r="25" spans="1:16" x14ac:dyDescent="0.25">
      <c r="A25" t="s">
        <v>376</v>
      </c>
      <c r="B25" t="s">
        <v>377</v>
      </c>
      <c r="C25" t="s">
        <v>816</v>
      </c>
      <c r="D25" t="s">
        <v>162</v>
      </c>
      <c r="E25">
        <v>63</v>
      </c>
      <c r="F25" t="s">
        <v>817</v>
      </c>
      <c r="G25" s="3">
        <v>46171.777939814798</v>
      </c>
      <c r="H25" s="4">
        <v>45444</v>
      </c>
      <c r="I25" s="4">
        <v>46204</v>
      </c>
      <c r="J25" s="1">
        <v>540</v>
      </c>
      <c r="K25">
        <v>0.15</v>
      </c>
      <c r="L25">
        <v>1</v>
      </c>
      <c r="M25" s="1">
        <v>0</v>
      </c>
      <c r="N25" s="1">
        <v>6.75</v>
      </c>
      <c r="O25" t="s">
        <v>112</v>
      </c>
      <c r="P25" t="s">
        <v>35</v>
      </c>
    </row>
    <row r="26" spans="1:16" x14ac:dyDescent="0.25">
      <c r="A26" t="s">
        <v>219</v>
      </c>
      <c r="B26" t="s">
        <v>220</v>
      </c>
      <c r="C26" t="s">
        <v>818</v>
      </c>
      <c r="D26" t="s">
        <v>162</v>
      </c>
      <c r="E26">
        <v>64</v>
      </c>
      <c r="F26" t="s">
        <v>819</v>
      </c>
      <c r="G26" s="3">
        <v>46171.777939814798</v>
      </c>
      <c r="H26" s="4">
        <v>45474</v>
      </c>
      <c r="I26" s="4">
        <v>46174</v>
      </c>
      <c r="J26" s="1">
        <v>1203.5999999999999</v>
      </c>
      <c r="K26">
        <v>0.15</v>
      </c>
      <c r="L26">
        <v>1</v>
      </c>
      <c r="M26" s="1">
        <v>0</v>
      </c>
      <c r="N26" s="1">
        <v>15.04</v>
      </c>
      <c r="O26" t="s">
        <v>34</v>
      </c>
      <c r="P26" t="s">
        <v>35</v>
      </c>
    </row>
    <row r="27" spans="1:16" x14ac:dyDescent="0.25">
      <c r="A27" t="s">
        <v>376</v>
      </c>
      <c r="B27" t="s">
        <v>377</v>
      </c>
      <c r="C27" t="s">
        <v>820</v>
      </c>
      <c r="D27" t="s">
        <v>162</v>
      </c>
      <c r="E27">
        <v>64</v>
      </c>
      <c r="F27" t="s">
        <v>821</v>
      </c>
      <c r="G27" s="3">
        <v>46171.777939814798</v>
      </c>
      <c r="H27" s="4">
        <v>45444</v>
      </c>
      <c r="I27" s="4">
        <v>46174</v>
      </c>
      <c r="J27" s="1">
        <v>502.2</v>
      </c>
      <c r="K27">
        <v>0.15</v>
      </c>
      <c r="L27">
        <v>1</v>
      </c>
      <c r="M27" s="1">
        <v>0</v>
      </c>
      <c r="N27" s="1">
        <v>6.28</v>
      </c>
      <c r="O27" t="s">
        <v>112</v>
      </c>
      <c r="P27" t="s">
        <v>35</v>
      </c>
    </row>
    <row r="28" spans="1:16" x14ac:dyDescent="0.25">
      <c r="A28" t="s">
        <v>376</v>
      </c>
      <c r="B28" t="s">
        <v>377</v>
      </c>
      <c r="C28" t="s">
        <v>822</v>
      </c>
      <c r="D28" t="s">
        <v>162</v>
      </c>
      <c r="E28">
        <v>64</v>
      </c>
      <c r="F28" t="s">
        <v>823</v>
      </c>
      <c r="G28" s="3">
        <v>46171.777939814798</v>
      </c>
      <c r="H28" s="4">
        <v>45439</v>
      </c>
      <c r="I28" s="4">
        <v>46169</v>
      </c>
      <c r="J28" s="1">
        <v>524.52</v>
      </c>
      <c r="K28">
        <v>0.15</v>
      </c>
      <c r="L28">
        <v>1</v>
      </c>
      <c r="M28" s="1">
        <v>0</v>
      </c>
      <c r="N28" s="1">
        <v>6.56</v>
      </c>
      <c r="O28" t="s">
        <v>112</v>
      </c>
      <c r="P28" t="s">
        <v>35</v>
      </c>
    </row>
    <row r="29" spans="1:16" x14ac:dyDescent="0.25">
      <c r="A29" t="s">
        <v>76</v>
      </c>
      <c r="B29" t="s">
        <v>77</v>
      </c>
      <c r="C29" t="s">
        <v>824</v>
      </c>
      <c r="D29" t="s">
        <v>162</v>
      </c>
      <c r="E29">
        <v>37</v>
      </c>
      <c r="F29" t="s">
        <v>825</v>
      </c>
      <c r="G29" s="3">
        <v>46171.777939814798</v>
      </c>
      <c r="H29" s="4">
        <v>45444</v>
      </c>
      <c r="I29" s="4">
        <v>46174</v>
      </c>
      <c r="J29" s="1">
        <v>754.8</v>
      </c>
      <c r="K29">
        <v>0.15</v>
      </c>
      <c r="L29">
        <v>1</v>
      </c>
      <c r="M29" s="1">
        <v>0</v>
      </c>
      <c r="N29" s="1">
        <v>9.43</v>
      </c>
      <c r="O29" t="s">
        <v>34</v>
      </c>
      <c r="P29" t="s">
        <v>35</v>
      </c>
    </row>
    <row r="30" spans="1:16" x14ac:dyDescent="0.25">
      <c r="A30" t="s">
        <v>99</v>
      </c>
      <c r="B30" t="s">
        <v>100</v>
      </c>
      <c r="C30" t="s">
        <v>826</v>
      </c>
      <c r="D30" t="s">
        <v>39</v>
      </c>
      <c r="E30">
        <v>71</v>
      </c>
      <c r="F30" t="s">
        <v>827</v>
      </c>
      <c r="G30" s="3">
        <v>46171.777939814798</v>
      </c>
      <c r="H30" s="4">
        <v>45471</v>
      </c>
      <c r="I30" s="4">
        <v>46201</v>
      </c>
      <c r="J30" s="1">
        <v>354.89</v>
      </c>
      <c r="K30">
        <v>0.15</v>
      </c>
      <c r="L30">
        <v>1</v>
      </c>
      <c r="M30" s="1">
        <v>0</v>
      </c>
      <c r="N30" s="1">
        <v>4.4400000000000004</v>
      </c>
      <c r="O30" t="s">
        <v>34</v>
      </c>
      <c r="P30" t="s">
        <v>35</v>
      </c>
    </row>
    <row r="31" spans="1:16" x14ac:dyDescent="0.25">
      <c r="A31" t="s">
        <v>99</v>
      </c>
      <c r="B31" t="s">
        <v>100</v>
      </c>
      <c r="C31" t="s">
        <v>828</v>
      </c>
      <c r="D31" t="s">
        <v>39</v>
      </c>
      <c r="E31">
        <v>69</v>
      </c>
      <c r="F31" t="s">
        <v>829</v>
      </c>
      <c r="G31" s="3">
        <v>46171.777939814798</v>
      </c>
      <c r="H31" s="4">
        <v>45471</v>
      </c>
      <c r="I31" s="4">
        <v>46201</v>
      </c>
      <c r="J31" s="1">
        <v>328.1</v>
      </c>
      <c r="K31">
        <v>0.15</v>
      </c>
      <c r="L31">
        <v>1</v>
      </c>
      <c r="M31" s="1">
        <v>0</v>
      </c>
      <c r="N31" s="1">
        <v>4.0999999999999996</v>
      </c>
      <c r="O31" t="s">
        <v>34</v>
      </c>
      <c r="P31" t="s">
        <v>35</v>
      </c>
    </row>
    <row r="32" spans="1:16" x14ac:dyDescent="0.25">
      <c r="A32" t="s">
        <v>219</v>
      </c>
      <c r="B32" t="s">
        <v>220</v>
      </c>
      <c r="C32" t="s">
        <v>830</v>
      </c>
      <c r="D32" t="s">
        <v>62</v>
      </c>
      <c r="E32">
        <v>65</v>
      </c>
      <c r="F32" t="s">
        <v>831</v>
      </c>
      <c r="G32" s="3">
        <v>46171.777939814798</v>
      </c>
      <c r="H32" s="4">
        <v>45461</v>
      </c>
      <c r="I32" s="4">
        <v>46191</v>
      </c>
      <c r="J32" s="1">
        <v>1374</v>
      </c>
      <c r="K32">
        <v>0.15</v>
      </c>
      <c r="L32">
        <v>1</v>
      </c>
      <c r="M32" s="1">
        <v>0</v>
      </c>
      <c r="N32" s="1">
        <v>17.18</v>
      </c>
      <c r="O32" t="s">
        <v>34</v>
      </c>
      <c r="P32" t="s">
        <v>35</v>
      </c>
    </row>
    <row r="33" spans="1:16" x14ac:dyDescent="0.25">
      <c r="A33" t="s">
        <v>59</v>
      </c>
      <c r="B33" t="s">
        <v>60</v>
      </c>
      <c r="C33" t="s">
        <v>832</v>
      </c>
      <c r="D33" t="s">
        <v>62</v>
      </c>
      <c r="E33">
        <v>64</v>
      </c>
      <c r="F33" t="s">
        <v>833</v>
      </c>
      <c r="G33" s="3">
        <v>46171.777939814798</v>
      </c>
      <c r="H33" s="4">
        <v>45505</v>
      </c>
      <c r="I33" s="4">
        <v>46174</v>
      </c>
      <c r="J33" s="1">
        <v>1098</v>
      </c>
      <c r="K33">
        <v>0.15</v>
      </c>
      <c r="L33">
        <v>1</v>
      </c>
      <c r="M33" s="1">
        <v>0</v>
      </c>
      <c r="N33" s="1">
        <v>13.72</v>
      </c>
      <c r="O33" t="s">
        <v>34</v>
      </c>
      <c r="P33" t="s">
        <v>35</v>
      </c>
    </row>
    <row r="34" spans="1:16" x14ac:dyDescent="0.25">
      <c r="A34" t="s">
        <v>113</v>
      </c>
      <c r="B34" t="s">
        <v>114</v>
      </c>
      <c r="C34" t="s">
        <v>834</v>
      </c>
      <c r="D34" t="s">
        <v>62</v>
      </c>
      <c r="E34">
        <v>64</v>
      </c>
      <c r="F34" t="s">
        <v>835</v>
      </c>
      <c r="G34" s="3">
        <v>46171.777939814798</v>
      </c>
      <c r="H34" s="4">
        <v>45505</v>
      </c>
      <c r="I34" s="4">
        <v>46174</v>
      </c>
      <c r="J34" s="1">
        <v>633.6</v>
      </c>
      <c r="K34">
        <v>0.15</v>
      </c>
      <c r="L34">
        <v>1</v>
      </c>
      <c r="M34" s="1">
        <v>0</v>
      </c>
      <c r="N34" s="1">
        <v>7.92</v>
      </c>
      <c r="O34" t="s">
        <v>34</v>
      </c>
      <c r="P34" t="s">
        <v>35</v>
      </c>
    </row>
    <row r="35" spans="1:16" x14ac:dyDescent="0.25">
      <c r="A35" t="s">
        <v>219</v>
      </c>
      <c r="B35" t="s">
        <v>220</v>
      </c>
      <c r="C35" t="s">
        <v>836</v>
      </c>
      <c r="D35" t="s">
        <v>62</v>
      </c>
      <c r="E35">
        <v>65</v>
      </c>
      <c r="F35" t="s">
        <v>837</v>
      </c>
      <c r="G35" s="3">
        <v>46171.777939814798</v>
      </c>
      <c r="H35" s="4">
        <v>45468</v>
      </c>
      <c r="I35" s="4">
        <v>46167</v>
      </c>
      <c r="J35" s="1">
        <v>1758</v>
      </c>
      <c r="K35">
        <v>0.15</v>
      </c>
      <c r="L35">
        <v>1</v>
      </c>
      <c r="M35" s="1">
        <v>0</v>
      </c>
      <c r="N35" s="1">
        <v>21.98</v>
      </c>
      <c r="O35" t="s">
        <v>34</v>
      </c>
      <c r="P35" t="s">
        <v>35</v>
      </c>
    </row>
    <row r="36" spans="1:16" x14ac:dyDescent="0.25">
      <c r="A36" t="s">
        <v>93</v>
      </c>
      <c r="B36" t="s">
        <v>94</v>
      </c>
      <c r="C36" t="s">
        <v>838</v>
      </c>
      <c r="D36" t="s">
        <v>62</v>
      </c>
      <c r="E36">
        <v>64</v>
      </c>
      <c r="F36" t="s">
        <v>839</v>
      </c>
      <c r="G36" s="3">
        <v>46171.777939814798</v>
      </c>
      <c r="H36" s="4">
        <v>45474</v>
      </c>
      <c r="I36" s="4">
        <v>46174</v>
      </c>
      <c r="J36" s="1">
        <v>868.8</v>
      </c>
      <c r="K36">
        <v>0.15</v>
      </c>
      <c r="L36">
        <v>1</v>
      </c>
      <c r="M36" s="1">
        <v>0</v>
      </c>
      <c r="N36" s="1">
        <v>10.86</v>
      </c>
      <c r="O36" t="s">
        <v>34</v>
      </c>
      <c r="P36" t="s">
        <v>35</v>
      </c>
    </row>
    <row r="37" spans="1:16" x14ac:dyDescent="0.25">
      <c r="A37" t="s">
        <v>68</v>
      </c>
      <c r="B37" t="s">
        <v>69</v>
      </c>
      <c r="C37" t="s">
        <v>840</v>
      </c>
      <c r="D37" t="s">
        <v>62</v>
      </c>
      <c r="E37">
        <v>64</v>
      </c>
      <c r="F37" t="s">
        <v>841</v>
      </c>
      <c r="G37" s="3">
        <v>46171.777939814798</v>
      </c>
      <c r="H37" s="4">
        <v>45474</v>
      </c>
      <c r="I37" s="4">
        <v>46174</v>
      </c>
      <c r="J37" s="1">
        <v>583.20000000000005</v>
      </c>
      <c r="K37">
        <v>0.15</v>
      </c>
      <c r="L37">
        <v>1</v>
      </c>
      <c r="M37" s="1">
        <v>0</v>
      </c>
      <c r="N37" s="1">
        <v>7.29</v>
      </c>
      <c r="O37" t="s">
        <v>34</v>
      </c>
      <c r="P37" t="s">
        <v>35</v>
      </c>
    </row>
    <row r="38" spans="1:16" x14ac:dyDescent="0.25">
      <c r="A38" t="s">
        <v>59</v>
      </c>
      <c r="B38" t="s">
        <v>60</v>
      </c>
      <c r="C38" t="s">
        <v>842</v>
      </c>
      <c r="D38" t="s">
        <v>39</v>
      </c>
      <c r="E38">
        <v>64</v>
      </c>
      <c r="F38" t="s">
        <v>843</v>
      </c>
      <c r="G38" s="3">
        <v>46171.777939814798</v>
      </c>
      <c r="H38" s="4">
        <v>45474</v>
      </c>
      <c r="I38" s="4">
        <v>46204</v>
      </c>
      <c r="J38" s="1">
        <v>1167.3</v>
      </c>
      <c r="K38">
        <v>0.1</v>
      </c>
      <c r="L38">
        <v>1</v>
      </c>
      <c r="M38" s="1">
        <v>0</v>
      </c>
      <c r="N38" s="1">
        <v>9.73</v>
      </c>
      <c r="O38" t="s">
        <v>844</v>
      </c>
      <c r="P38" t="s">
        <v>35</v>
      </c>
    </row>
    <row r="39" spans="1:16" x14ac:dyDescent="0.25">
      <c r="A39" t="s">
        <v>29</v>
      </c>
      <c r="B39" t="s">
        <v>30</v>
      </c>
      <c r="C39" t="s">
        <v>845</v>
      </c>
      <c r="D39" t="s">
        <v>62</v>
      </c>
      <c r="E39">
        <v>64</v>
      </c>
      <c r="F39" t="s">
        <v>846</v>
      </c>
      <c r="G39" s="3">
        <v>46171.777939814798</v>
      </c>
      <c r="H39" s="4">
        <v>45505</v>
      </c>
      <c r="I39" s="4">
        <v>46174</v>
      </c>
      <c r="J39" s="1">
        <v>1304.4000000000001</v>
      </c>
      <c r="K39">
        <v>0.15</v>
      </c>
      <c r="L39">
        <v>1</v>
      </c>
      <c r="M39" s="1">
        <v>0</v>
      </c>
      <c r="N39" s="1">
        <v>16.3</v>
      </c>
      <c r="O39" t="s">
        <v>34</v>
      </c>
      <c r="P39" t="s">
        <v>35</v>
      </c>
    </row>
    <row r="40" spans="1:16" x14ac:dyDescent="0.25">
      <c r="A40" t="s">
        <v>76</v>
      </c>
      <c r="B40" t="s">
        <v>77</v>
      </c>
      <c r="C40" t="s">
        <v>847</v>
      </c>
      <c r="D40" t="s">
        <v>110</v>
      </c>
      <c r="E40">
        <v>30</v>
      </c>
      <c r="F40" t="s">
        <v>848</v>
      </c>
      <c r="G40" s="3">
        <v>46171.777939814798</v>
      </c>
      <c r="H40" s="4">
        <v>45505</v>
      </c>
      <c r="I40" s="4">
        <v>46174</v>
      </c>
      <c r="J40" s="1">
        <v>802.8</v>
      </c>
      <c r="K40">
        <v>0.15</v>
      </c>
      <c r="L40">
        <v>1</v>
      </c>
      <c r="M40" s="1">
        <v>0</v>
      </c>
      <c r="N40" s="1">
        <v>10.039999999999999</v>
      </c>
      <c r="O40" t="s">
        <v>34</v>
      </c>
      <c r="P40" t="s">
        <v>35</v>
      </c>
    </row>
    <row r="41" spans="1:16" x14ac:dyDescent="0.25">
      <c r="A41" t="s">
        <v>59</v>
      </c>
      <c r="B41" t="s">
        <v>60</v>
      </c>
      <c r="C41" t="s">
        <v>849</v>
      </c>
      <c r="D41" t="s">
        <v>62</v>
      </c>
      <c r="E41">
        <v>64</v>
      </c>
      <c r="F41" t="s">
        <v>850</v>
      </c>
      <c r="G41" s="3">
        <v>46171.777939814798</v>
      </c>
      <c r="H41" s="4">
        <v>45474</v>
      </c>
      <c r="I41" s="4">
        <v>46204</v>
      </c>
      <c r="J41" s="1">
        <v>1530</v>
      </c>
      <c r="K41">
        <v>0.15</v>
      </c>
      <c r="L41">
        <v>1</v>
      </c>
      <c r="M41" s="1">
        <v>0</v>
      </c>
      <c r="N41" s="1">
        <v>19.12</v>
      </c>
      <c r="O41" t="s">
        <v>34</v>
      </c>
      <c r="P41" t="s">
        <v>35</v>
      </c>
    </row>
    <row r="42" spans="1:16" x14ac:dyDescent="0.25">
      <c r="A42" t="s">
        <v>778</v>
      </c>
      <c r="B42" t="s">
        <v>779</v>
      </c>
      <c r="C42" t="s">
        <v>851</v>
      </c>
      <c r="D42" t="s">
        <v>62</v>
      </c>
      <c r="E42">
        <v>65</v>
      </c>
      <c r="F42" t="s">
        <v>852</v>
      </c>
      <c r="G42" s="3">
        <v>46171.777939814798</v>
      </c>
      <c r="H42" s="4">
        <v>45505</v>
      </c>
      <c r="I42" s="4">
        <v>46174</v>
      </c>
      <c r="J42" s="1">
        <v>781.2</v>
      </c>
      <c r="K42">
        <v>0.17499999999999999</v>
      </c>
      <c r="L42">
        <v>1</v>
      </c>
      <c r="M42" s="1">
        <v>0</v>
      </c>
      <c r="N42" s="1">
        <v>11.39</v>
      </c>
      <c r="O42" t="s">
        <v>112</v>
      </c>
      <c r="P42" t="s">
        <v>35</v>
      </c>
    </row>
    <row r="43" spans="1:16" x14ac:dyDescent="0.25">
      <c r="A43" t="s">
        <v>29</v>
      </c>
      <c r="B43" t="s">
        <v>30</v>
      </c>
      <c r="C43" t="s">
        <v>853</v>
      </c>
      <c r="D43" t="s">
        <v>62</v>
      </c>
      <c r="E43">
        <v>64</v>
      </c>
      <c r="F43" t="s">
        <v>854</v>
      </c>
      <c r="G43" s="3">
        <v>46171.777939814798</v>
      </c>
      <c r="H43" s="4">
        <v>45505</v>
      </c>
      <c r="I43" s="4">
        <v>46174</v>
      </c>
      <c r="J43" s="1">
        <v>1664.4</v>
      </c>
      <c r="K43">
        <v>0.17499999999999999</v>
      </c>
      <c r="L43">
        <v>1</v>
      </c>
      <c r="M43" s="1">
        <v>0</v>
      </c>
      <c r="N43" s="1">
        <v>24.27</v>
      </c>
      <c r="O43" t="s">
        <v>34</v>
      </c>
      <c r="P43" t="s">
        <v>35</v>
      </c>
    </row>
    <row r="44" spans="1:16" x14ac:dyDescent="0.25">
      <c r="A44" t="s">
        <v>99</v>
      </c>
      <c r="B44" t="s">
        <v>100</v>
      </c>
      <c r="C44" t="s">
        <v>855</v>
      </c>
      <c r="D44" t="s">
        <v>39</v>
      </c>
      <c r="E44">
        <v>64</v>
      </c>
      <c r="F44" t="s">
        <v>856</v>
      </c>
      <c r="G44" s="3">
        <v>46171.777939814798</v>
      </c>
      <c r="H44" s="4">
        <v>45536</v>
      </c>
      <c r="I44" s="4">
        <v>46174</v>
      </c>
      <c r="J44" s="1">
        <v>588</v>
      </c>
      <c r="K44">
        <v>0.17499999999999999</v>
      </c>
      <c r="L44">
        <v>1</v>
      </c>
      <c r="M44" s="1">
        <v>0</v>
      </c>
      <c r="N44" s="1">
        <v>8.57</v>
      </c>
      <c r="O44" t="s">
        <v>34</v>
      </c>
      <c r="P44" t="s">
        <v>35</v>
      </c>
    </row>
    <row r="45" spans="1:16" x14ac:dyDescent="0.25">
      <c r="A45" t="s">
        <v>219</v>
      </c>
      <c r="B45" t="s">
        <v>220</v>
      </c>
      <c r="C45" t="s">
        <v>857</v>
      </c>
      <c r="D45" t="s">
        <v>62</v>
      </c>
      <c r="E45">
        <v>64</v>
      </c>
      <c r="F45" t="s">
        <v>858</v>
      </c>
      <c r="G45" s="3">
        <v>46171.777939814798</v>
      </c>
      <c r="H45" s="4">
        <v>45476</v>
      </c>
      <c r="I45" s="4">
        <v>46176</v>
      </c>
      <c r="J45" s="1">
        <v>1664.4</v>
      </c>
      <c r="K45">
        <v>0.17499999999999999</v>
      </c>
      <c r="L45">
        <v>1</v>
      </c>
      <c r="M45" s="1">
        <v>0</v>
      </c>
      <c r="N45" s="1">
        <v>24.27</v>
      </c>
      <c r="O45" t="s">
        <v>34</v>
      </c>
      <c r="P45" t="s">
        <v>35</v>
      </c>
    </row>
    <row r="46" spans="1:16" x14ac:dyDescent="0.25">
      <c r="A46" t="s">
        <v>59</v>
      </c>
      <c r="B46" t="s">
        <v>60</v>
      </c>
      <c r="C46" t="s">
        <v>859</v>
      </c>
      <c r="D46" t="s">
        <v>62</v>
      </c>
      <c r="E46">
        <v>64</v>
      </c>
      <c r="F46" t="s">
        <v>860</v>
      </c>
      <c r="G46" s="3">
        <v>46171.777939814798</v>
      </c>
      <c r="H46" s="4">
        <v>45566</v>
      </c>
      <c r="I46" s="4">
        <v>46174</v>
      </c>
      <c r="J46" s="1">
        <v>1530</v>
      </c>
      <c r="K46">
        <v>0.17499999999999999</v>
      </c>
      <c r="L46">
        <v>1</v>
      </c>
      <c r="M46" s="1">
        <v>0</v>
      </c>
      <c r="N46" s="1">
        <v>22.31</v>
      </c>
      <c r="O46" t="s">
        <v>34</v>
      </c>
      <c r="P46" t="s">
        <v>35</v>
      </c>
    </row>
    <row r="47" spans="1:16" x14ac:dyDescent="0.25">
      <c r="A47" t="s">
        <v>36</v>
      </c>
      <c r="B47" t="s">
        <v>37</v>
      </c>
      <c r="C47" t="s">
        <v>861</v>
      </c>
      <c r="D47" t="s">
        <v>162</v>
      </c>
      <c r="E47">
        <v>64</v>
      </c>
      <c r="F47" t="s">
        <v>862</v>
      </c>
      <c r="G47" s="3">
        <v>46171.777939814798</v>
      </c>
      <c r="H47" s="4">
        <v>45566</v>
      </c>
      <c r="I47" s="4">
        <v>46204</v>
      </c>
      <c r="J47" s="1">
        <v>892.8</v>
      </c>
      <c r="K47">
        <v>0.17499999999999999</v>
      </c>
      <c r="L47">
        <v>1</v>
      </c>
      <c r="M47" s="1">
        <v>0</v>
      </c>
      <c r="N47" s="1">
        <v>13.02</v>
      </c>
      <c r="O47" t="s">
        <v>34</v>
      </c>
      <c r="P47" t="s">
        <v>35</v>
      </c>
    </row>
    <row r="48" spans="1:16" x14ac:dyDescent="0.25">
      <c r="A48" t="s">
        <v>219</v>
      </c>
      <c r="B48" t="s">
        <v>220</v>
      </c>
      <c r="C48" t="s">
        <v>863</v>
      </c>
      <c r="D48" t="s">
        <v>62</v>
      </c>
      <c r="E48">
        <v>64</v>
      </c>
      <c r="F48" t="s">
        <v>864</v>
      </c>
      <c r="G48" s="3">
        <v>46171.777939814798</v>
      </c>
      <c r="H48" s="4">
        <v>45505</v>
      </c>
      <c r="I48" s="4">
        <v>46174</v>
      </c>
      <c r="J48" s="1">
        <v>1664.4</v>
      </c>
      <c r="K48">
        <v>0.17499999999999999</v>
      </c>
      <c r="L48">
        <v>1</v>
      </c>
      <c r="M48" s="1">
        <v>0</v>
      </c>
      <c r="N48" s="1">
        <v>24.27</v>
      </c>
      <c r="O48" t="s">
        <v>34</v>
      </c>
      <c r="P48" t="s">
        <v>35</v>
      </c>
    </row>
    <row r="49" spans="1:16" x14ac:dyDescent="0.25">
      <c r="A49" t="s">
        <v>227</v>
      </c>
      <c r="B49" t="s">
        <v>228</v>
      </c>
      <c r="C49" t="s">
        <v>865</v>
      </c>
      <c r="D49" t="s">
        <v>62</v>
      </c>
      <c r="E49">
        <v>64</v>
      </c>
      <c r="F49" t="s">
        <v>866</v>
      </c>
      <c r="G49" s="3">
        <v>46171.777939814798</v>
      </c>
      <c r="H49" s="4">
        <v>45566</v>
      </c>
      <c r="I49" s="4">
        <v>46174</v>
      </c>
      <c r="J49" s="1">
        <v>352.8</v>
      </c>
      <c r="K49">
        <v>0.17499999999999999</v>
      </c>
      <c r="L49">
        <v>1</v>
      </c>
      <c r="M49" s="1">
        <v>0</v>
      </c>
      <c r="N49" s="1">
        <v>5.14</v>
      </c>
      <c r="O49" t="s">
        <v>34</v>
      </c>
      <c r="P49" t="s">
        <v>35</v>
      </c>
    </row>
    <row r="50" spans="1:16" x14ac:dyDescent="0.25">
      <c r="A50" t="s">
        <v>867</v>
      </c>
      <c r="B50" t="s">
        <v>868</v>
      </c>
      <c r="C50" t="s">
        <v>869</v>
      </c>
      <c r="D50" t="s">
        <v>110</v>
      </c>
      <c r="E50">
        <v>64</v>
      </c>
      <c r="F50" t="s">
        <v>870</v>
      </c>
      <c r="G50" s="3">
        <v>46171.777939814798</v>
      </c>
      <c r="H50" s="4">
        <v>45486</v>
      </c>
      <c r="I50" s="4">
        <v>46186</v>
      </c>
      <c r="J50" s="1">
        <v>388.37</v>
      </c>
      <c r="K50">
        <v>0.17499999999999999</v>
      </c>
      <c r="L50">
        <v>1</v>
      </c>
      <c r="M50" s="1">
        <v>0</v>
      </c>
      <c r="N50" s="1">
        <v>5.66</v>
      </c>
      <c r="O50" t="s">
        <v>47</v>
      </c>
      <c r="P50" t="s">
        <v>35</v>
      </c>
    </row>
    <row r="51" spans="1:16" x14ac:dyDescent="0.25">
      <c r="A51" t="s">
        <v>36</v>
      </c>
      <c r="B51" t="s">
        <v>37</v>
      </c>
      <c r="C51" t="s">
        <v>871</v>
      </c>
      <c r="D51" t="s">
        <v>39</v>
      </c>
      <c r="E51">
        <v>68</v>
      </c>
      <c r="F51" t="s">
        <v>872</v>
      </c>
      <c r="G51" s="3">
        <v>46171.777939814798</v>
      </c>
      <c r="H51" s="4">
        <v>45505</v>
      </c>
      <c r="I51" s="4">
        <v>46174</v>
      </c>
      <c r="J51" s="1">
        <v>996</v>
      </c>
      <c r="K51">
        <v>0.17499999999999999</v>
      </c>
      <c r="L51">
        <v>1</v>
      </c>
      <c r="M51" s="1">
        <v>0</v>
      </c>
      <c r="N51" s="1">
        <v>14.52</v>
      </c>
      <c r="O51" t="s">
        <v>34</v>
      </c>
      <c r="P51" t="s">
        <v>35</v>
      </c>
    </row>
    <row r="52" spans="1:16" x14ac:dyDescent="0.25">
      <c r="A52" t="s">
        <v>873</v>
      </c>
      <c r="B52" t="s">
        <v>874</v>
      </c>
      <c r="C52" t="s">
        <v>875</v>
      </c>
      <c r="D52" t="s">
        <v>162</v>
      </c>
      <c r="E52">
        <v>65</v>
      </c>
      <c r="F52" t="s">
        <v>876</v>
      </c>
      <c r="G52" s="3">
        <v>46171.777939814798</v>
      </c>
      <c r="H52" s="4">
        <v>45505</v>
      </c>
      <c r="I52" s="4">
        <v>46174</v>
      </c>
      <c r="J52" s="1">
        <v>706.42</v>
      </c>
      <c r="K52">
        <v>0.125</v>
      </c>
      <c r="L52">
        <v>1</v>
      </c>
      <c r="M52" s="1">
        <v>0</v>
      </c>
      <c r="N52" s="1">
        <v>7.36</v>
      </c>
      <c r="O52" t="s">
        <v>329</v>
      </c>
      <c r="P52" t="s">
        <v>35</v>
      </c>
    </row>
    <row r="53" spans="1:16" x14ac:dyDescent="0.25">
      <c r="A53" t="s">
        <v>219</v>
      </c>
      <c r="B53" t="s">
        <v>220</v>
      </c>
      <c r="C53" t="s">
        <v>877</v>
      </c>
      <c r="D53" t="s">
        <v>62</v>
      </c>
      <c r="E53">
        <v>64</v>
      </c>
      <c r="F53" t="s">
        <v>878</v>
      </c>
      <c r="G53" s="3">
        <v>46171.777939814798</v>
      </c>
      <c r="H53" s="4">
        <v>45505</v>
      </c>
      <c r="I53" s="4">
        <v>46174</v>
      </c>
      <c r="J53" s="1">
        <v>1723.2</v>
      </c>
      <c r="K53">
        <v>0.17499999999999999</v>
      </c>
      <c r="L53">
        <v>1</v>
      </c>
      <c r="M53" s="1">
        <v>0</v>
      </c>
      <c r="N53" s="1">
        <v>25.13</v>
      </c>
      <c r="O53" t="s">
        <v>34</v>
      </c>
      <c r="P53" t="s">
        <v>35</v>
      </c>
    </row>
    <row r="54" spans="1:16" x14ac:dyDescent="0.25">
      <c r="A54" t="s">
        <v>219</v>
      </c>
      <c r="B54" t="s">
        <v>220</v>
      </c>
      <c r="C54" t="s">
        <v>879</v>
      </c>
      <c r="D54" t="s">
        <v>110</v>
      </c>
      <c r="E54">
        <v>64</v>
      </c>
      <c r="F54" t="s">
        <v>880</v>
      </c>
      <c r="G54" s="3">
        <v>46171.777939814798</v>
      </c>
      <c r="H54" s="4">
        <v>45505</v>
      </c>
      <c r="I54" s="4">
        <v>46174</v>
      </c>
      <c r="J54" s="1">
        <v>996</v>
      </c>
      <c r="K54">
        <v>0.17499999999999999</v>
      </c>
      <c r="L54">
        <v>1</v>
      </c>
      <c r="M54" s="1">
        <v>0</v>
      </c>
      <c r="N54" s="1">
        <v>14.52</v>
      </c>
      <c r="O54" t="s">
        <v>34</v>
      </c>
      <c r="P54" t="s">
        <v>35</v>
      </c>
    </row>
    <row r="55" spans="1:16" x14ac:dyDescent="0.25">
      <c r="A55" t="s">
        <v>107</v>
      </c>
      <c r="B55" t="s">
        <v>108</v>
      </c>
      <c r="C55" t="s">
        <v>881</v>
      </c>
      <c r="D55" t="s">
        <v>882</v>
      </c>
      <c r="E55">
        <v>69</v>
      </c>
      <c r="F55" t="s">
        <v>883</v>
      </c>
      <c r="G55" s="3">
        <v>46171.777939814798</v>
      </c>
      <c r="H55" s="4">
        <v>45506</v>
      </c>
      <c r="I55" s="4">
        <v>46175</v>
      </c>
      <c r="J55" s="1">
        <v>896.15</v>
      </c>
      <c r="K55">
        <v>0.17499999999999999</v>
      </c>
      <c r="L55">
        <v>1</v>
      </c>
      <c r="M55" s="1">
        <v>0</v>
      </c>
      <c r="N55" s="1">
        <v>13.07</v>
      </c>
      <c r="O55" t="s">
        <v>112</v>
      </c>
      <c r="P55" t="s">
        <v>35</v>
      </c>
    </row>
    <row r="56" spans="1:16" x14ac:dyDescent="0.25">
      <c r="A56" t="s">
        <v>107</v>
      </c>
      <c r="B56" t="s">
        <v>108</v>
      </c>
      <c r="C56" t="s">
        <v>884</v>
      </c>
      <c r="D56" t="s">
        <v>882</v>
      </c>
      <c r="E56">
        <v>64</v>
      </c>
      <c r="F56" t="s">
        <v>885</v>
      </c>
      <c r="G56" s="3">
        <v>46171.777939814798</v>
      </c>
      <c r="H56" s="4">
        <v>45506</v>
      </c>
      <c r="I56" s="4">
        <v>46175</v>
      </c>
      <c r="J56" s="1">
        <v>1485.39</v>
      </c>
      <c r="K56">
        <v>0.17499999999999999</v>
      </c>
      <c r="L56">
        <v>1</v>
      </c>
      <c r="M56" s="1">
        <v>0</v>
      </c>
      <c r="N56" s="1">
        <v>21.66</v>
      </c>
      <c r="O56" t="s">
        <v>112</v>
      </c>
      <c r="P56" t="s">
        <v>35</v>
      </c>
    </row>
    <row r="57" spans="1:16" x14ac:dyDescent="0.25">
      <c r="A57" t="s">
        <v>36</v>
      </c>
      <c r="B57" t="s">
        <v>37</v>
      </c>
      <c r="C57" t="s">
        <v>886</v>
      </c>
      <c r="D57" t="s">
        <v>62</v>
      </c>
      <c r="E57">
        <v>64</v>
      </c>
      <c r="F57" t="s">
        <v>887</v>
      </c>
      <c r="G57" s="3">
        <v>46171.777939814798</v>
      </c>
      <c r="H57" s="4">
        <v>45536</v>
      </c>
      <c r="I57" s="4">
        <v>46174</v>
      </c>
      <c r="J57" s="1">
        <v>973.2</v>
      </c>
      <c r="K57">
        <v>0.17499999999999999</v>
      </c>
      <c r="L57">
        <v>1</v>
      </c>
      <c r="M57" s="1">
        <v>0</v>
      </c>
      <c r="N57" s="1">
        <v>14.19</v>
      </c>
      <c r="O57" t="s">
        <v>34</v>
      </c>
      <c r="P57" t="s">
        <v>35</v>
      </c>
    </row>
    <row r="58" spans="1:16" x14ac:dyDescent="0.25">
      <c r="A58" t="s">
        <v>82</v>
      </c>
      <c r="B58" t="s">
        <v>83</v>
      </c>
      <c r="C58" t="s">
        <v>888</v>
      </c>
      <c r="D58" t="s">
        <v>110</v>
      </c>
      <c r="E58">
        <v>30</v>
      </c>
      <c r="F58" t="s">
        <v>889</v>
      </c>
      <c r="G58" s="3">
        <v>46171.777939814798</v>
      </c>
      <c r="H58" s="4">
        <v>45519</v>
      </c>
      <c r="I58" s="4">
        <v>46188</v>
      </c>
      <c r="J58" s="1">
        <v>961.2</v>
      </c>
      <c r="K58">
        <v>0.17499999999999999</v>
      </c>
      <c r="L58">
        <v>1</v>
      </c>
      <c r="M58" s="1">
        <v>0</v>
      </c>
      <c r="N58" s="1">
        <v>14.02</v>
      </c>
      <c r="O58" t="s">
        <v>34</v>
      </c>
      <c r="P58" t="s">
        <v>35</v>
      </c>
    </row>
    <row r="59" spans="1:16" x14ac:dyDescent="0.25">
      <c r="A59" t="s">
        <v>36</v>
      </c>
      <c r="B59" t="s">
        <v>37</v>
      </c>
      <c r="C59" t="s">
        <v>890</v>
      </c>
      <c r="D59" t="s">
        <v>62</v>
      </c>
      <c r="E59">
        <v>64</v>
      </c>
      <c r="F59" t="s">
        <v>891</v>
      </c>
      <c r="G59" s="3">
        <v>46171.777939814798</v>
      </c>
      <c r="H59" s="4">
        <v>45536</v>
      </c>
      <c r="I59" s="4">
        <v>46204</v>
      </c>
      <c r="J59" s="1">
        <v>914.4</v>
      </c>
      <c r="K59">
        <v>0.17499999999999999</v>
      </c>
      <c r="L59">
        <v>1</v>
      </c>
      <c r="M59" s="1">
        <v>0</v>
      </c>
      <c r="N59" s="1">
        <v>13.34</v>
      </c>
      <c r="O59" t="s">
        <v>34</v>
      </c>
      <c r="P59" t="s">
        <v>35</v>
      </c>
    </row>
    <row r="60" spans="1:16" x14ac:dyDescent="0.25">
      <c r="A60" t="s">
        <v>36</v>
      </c>
      <c r="B60" t="s">
        <v>37</v>
      </c>
      <c r="C60" t="s">
        <v>892</v>
      </c>
      <c r="D60" t="s">
        <v>62</v>
      </c>
      <c r="E60">
        <v>64</v>
      </c>
      <c r="F60" t="s">
        <v>893</v>
      </c>
      <c r="G60" s="3">
        <v>46171.777939814798</v>
      </c>
      <c r="H60" s="4">
        <v>45566</v>
      </c>
      <c r="I60" s="4">
        <v>46174</v>
      </c>
      <c r="J60" s="1">
        <v>712.8</v>
      </c>
      <c r="K60">
        <v>0.17499999999999999</v>
      </c>
      <c r="L60">
        <v>1</v>
      </c>
      <c r="M60" s="1">
        <v>0</v>
      </c>
      <c r="N60" s="1">
        <v>10.4</v>
      </c>
      <c r="O60" t="s">
        <v>34</v>
      </c>
      <c r="P60" t="s">
        <v>35</v>
      </c>
    </row>
    <row r="61" spans="1:16" x14ac:dyDescent="0.25">
      <c r="A61" t="s">
        <v>59</v>
      </c>
      <c r="B61" t="s">
        <v>60</v>
      </c>
      <c r="C61" t="s">
        <v>894</v>
      </c>
      <c r="D61" t="s">
        <v>62</v>
      </c>
      <c r="E61">
        <v>64</v>
      </c>
      <c r="F61" t="s">
        <v>895</v>
      </c>
      <c r="G61" s="3">
        <v>46171.777939814798</v>
      </c>
      <c r="H61" s="4">
        <v>45566</v>
      </c>
      <c r="I61" s="4">
        <v>46204</v>
      </c>
      <c r="J61" s="1">
        <v>1530</v>
      </c>
      <c r="K61">
        <v>0.17499999999999999</v>
      </c>
      <c r="L61">
        <v>1</v>
      </c>
      <c r="M61" s="1">
        <v>0</v>
      </c>
      <c r="N61" s="1">
        <v>22.31</v>
      </c>
      <c r="O61" t="s">
        <v>34</v>
      </c>
      <c r="P61" t="s">
        <v>35</v>
      </c>
    </row>
    <row r="62" spans="1:16" x14ac:dyDescent="0.25">
      <c r="A62" t="s">
        <v>93</v>
      </c>
      <c r="B62" t="s">
        <v>94</v>
      </c>
      <c r="C62" t="s">
        <v>896</v>
      </c>
      <c r="D62" t="s">
        <v>162</v>
      </c>
      <c r="E62">
        <v>64</v>
      </c>
      <c r="F62" t="s">
        <v>897</v>
      </c>
      <c r="G62" s="3">
        <v>46171.777939814798</v>
      </c>
      <c r="H62" s="4">
        <v>45566</v>
      </c>
      <c r="I62" s="4">
        <v>46174</v>
      </c>
      <c r="J62" s="1">
        <v>788.4</v>
      </c>
      <c r="K62">
        <v>0.17499999999999999</v>
      </c>
      <c r="L62">
        <v>1</v>
      </c>
      <c r="M62" s="1">
        <v>0</v>
      </c>
      <c r="N62" s="1">
        <v>11.5</v>
      </c>
      <c r="O62" t="s">
        <v>34</v>
      </c>
      <c r="P62" t="s">
        <v>35</v>
      </c>
    </row>
    <row r="63" spans="1:16" x14ac:dyDescent="0.25">
      <c r="A63" t="s">
        <v>76</v>
      </c>
      <c r="B63" t="s">
        <v>77</v>
      </c>
      <c r="C63" t="s">
        <v>898</v>
      </c>
      <c r="D63" t="s">
        <v>162</v>
      </c>
      <c r="E63">
        <v>65</v>
      </c>
      <c r="F63" t="s">
        <v>899</v>
      </c>
      <c r="G63" s="3">
        <v>46171.777939814798</v>
      </c>
      <c r="H63" s="4">
        <v>45531</v>
      </c>
      <c r="I63" s="4">
        <v>46261</v>
      </c>
      <c r="J63" s="1">
        <v>1056.8499999999999</v>
      </c>
      <c r="K63">
        <v>0.17499999999999999</v>
      </c>
      <c r="L63">
        <v>1</v>
      </c>
      <c r="M63" s="1">
        <v>0</v>
      </c>
      <c r="N63" s="1">
        <v>46.24</v>
      </c>
      <c r="O63" t="s">
        <v>47</v>
      </c>
      <c r="P63" t="s">
        <v>35</v>
      </c>
    </row>
    <row r="64" spans="1:16" x14ac:dyDescent="0.25">
      <c r="A64" t="s">
        <v>76</v>
      </c>
      <c r="B64" t="s">
        <v>77</v>
      </c>
      <c r="C64" t="s">
        <v>900</v>
      </c>
      <c r="D64" t="s">
        <v>62</v>
      </c>
      <c r="E64">
        <v>69</v>
      </c>
      <c r="F64" t="s">
        <v>901</v>
      </c>
      <c r="G64" s="3">
        <v>46171.777939814798</v>
      </c>
      <c r="H64" s="4">
        <v>45536</v>
      </c>
      <c r="I64" s="4">
        <v>46174</v>
      </c>
      <c r="J64" s="1">
        <v>1220.4000000000001</v>
      </c>
      <c r="K64">
        <v>0.17499999999999999</v>
      </c>
      <c r="L64">
        <v>1</v>
      </c>
      <c r="M64" s="1">
        <v>0</v>
      </c>
      <c r="N64" s="1">
        <v>17.8</v>
      </c>
      <c r="O64" t="s">
        <v>34</v>
      </c>
      <c r="P64" t="s">
        <v>35</v>
      </c>
    </row>
    <row r="65" spans="1:16" x14ac:dyDescent="0.25">
      <c r="A65" t="s">
        <v>153</v>
      </c>
      <c r="B65" t="s">
        <v>154</v>
      </c>
      <c r="C65" t="s">
        <v>902</v>
      </c>
      <c r="D65" t="s">
        <v>62</v>
      </c>
      <c r="E65">
        <v>64</v>
      </c>
      <c r="F65" t="s">
        <v>903</v>
      </c>
      <c r="G65" s="3">
        <v>46171.777939814798</v>
      </c>
      <c r="H65" s="4">
        <v>45566</v>
      </c>
      <c r="I65" s="4">
        <v>46204</v>
      </c>
      <c r="J65" s="1">
        <v>1200</v>
      </c>
      <c r="K65">
        <v>0.17499999999999999</v>
      </c>
      <c r="L65">
        <v>1</v>
      </c>
      <c r="M65" s="1">
        <v>0</v>
      </c>
      <c r="N65" s="1">
        <v>17.5</v>
      </c>
      <c r="O65" t="s">
        <v>34</v>
      </c>
      <c r="P65" t="s">
        <v>35</v>
      </c>
    </row>
    <row r="66" spans="1:16" x14ac:dyDescent="0.25">
      <c r="A66" t="s">
        <v>904</v>
      </c>
      <c r="B66" t="s">
        <v>905</v>
      </c>
      <c r="C66" t="s">
        <v>906</v>
      </c>
      <c r="D66" t="s">
        <v>62</v>
      </c>
      <c r="E66">
        <v>64</v>
      </c>
      <c r="F66" t="s">
        <v>907</v>
      </c>
      <c r="G66" s="3">
        <v>46171.777939814798</v>
      </c>
      <c r="H66" s="4">
        <v>45566</v>
      </c>
      <c r="I66" s="4">
        <v>46174</v>
      </c>
      <c r="J66" s="1">
        <v>1723.2</v>
      </c>
      <c r="K66">
        <v>0.17499999999999999</v>
      </c>
      <c r="L66">
        <v>1</v>
      </c>
      <c r="M66" s="1">
        <v>0</v>
      </c>
      <c r="N66" s="1">
        <v>25.13</v>
      </c>
      <c r="O66" t="s">
        <v>34</v>
      </c>
      <c r="P66" t="s">
        <v>35</v>
      </c>
    </row>
    <row r="67" spans="1:16" x14ac:dyDescent="0.25">
      <c r="A67" t="s">
        <v>778</v>
      </c>
      <c r="B67" t="s">
        <v>779</v>
      </c>
      <c r="C67" t="s">
        <v>908</v>
      </c>
      <c r="D67" t="s">
        <v>62</v>
      </c>
      <c r="E67">
        <v>66</v>
      </c>
      <c r="F67" t="s">
        <v>909</v>
      </c>
      <c r="G67" s="3">
        <v>46171.777939814798</v>
      </c>
      <c r="H67" s="4">
        <v>45566</v>
      </c>
      <c r="I67" s="4">
        <v>46174</v>
      </c>
      <c r="J67" s="1">
        <v>822</v>
      </c>
      <c r="K67">
        <v>0.17499999999999999</v>
      </c>
      <c r="L67">
        <v>1</v>
      </c>
      <c r="M67" s="1">
        <v>0</v>
      </c>
      <c r="N67" s="1">
        <v>11.99</v>
      </c>
      <c r="O67" t="s">
        <v>112</v>
      </c>
      <c r="P67" t="s">
        <v>35</v>
      </c>
    </row>
    <row r="68" spans="1:16" x14ac:dyDescent="0.25">
      <c r="A68" t="s">
        <v>219</v>
      </c>
      <c r="B68" t="s">
        <v>220</v>
      </c>
      <c r="C68" t="s">
        <v>910</v>
      </c>
      <c r="D68" t="s">
        <v>62</v>
      </c>
      <c r="E68">
        <v>64</v>
      </c>
      <c r="F68" t="s">
        <v>911</v>
      </c>
      <c r="G68" s="3">
        <v>46171.777939814798</v>
      </c>
      <c r="H68" s="4">
        <v>45597</v>
      </c>
      <c r="I68" s="4">
        <v>46174</v>
      </c>
      <c r="J68" s="1">
        <v>1798.8</v>
      </c>
      <c r="K68">
        <v>0.17499999999999999</v>
      </c>
      <c r="L68">
        <v>1</v>
      </c>
      <c r="M68" s="1">
        <v>0</v>
      </c>
      <c r="N68" s="1">
        <v>26.23</v>
      </c>
      <c r="O68" t="s">
        <v>34</v>
      </c>
      <c r="P68" t="s">
        <v>35</v>
      </c>
    </row>
    <row r="69" spans="1:16" x14ac:dyDescent="0.25">
      <c r="A69" t="s">
        <v>93</v>
      </c>
      <c r="B69" t="s">
        <v>94</v>
      </c>
      <c r="C69" t="s">
        <v>912</v>
      </c>
      <c r="D69" t="s">
        <v>62</v>
      </c>
      <c r="E69">
        <v>67</v>
      </c>
      <c r="F69" t="s">
        <v>913</v>
      </c>
      <c r="G69" s="3">
        <v>46171.777939814798</v>
      </c>
      <c r="H69" s="4">
        <v>45566</v>
      </c>
      <c r="I69" s="4">
        <v>46204</v>
      </c>
      <c r="J69" s="1">
        <v>504</v>
      </c>
      <c r="K69">
        <v>0.17499999999999999</v>
      </c>
      <c r="L69">
        <v>1</v>
      </c>
      <c r="M69" s="1">
        <v>0</v>
      </c>
      <c r="N69" s="1">
        <v>7.35</v>
      </c>
      <c r="O69" t="s">
        <v>34</v>
      </c>
      <c r="P69" t="s">
        <v>35</v>
      </c>
    </row>
    <row r="70" spans="1:16" x14ac:dyDescent="0.25">
      <c r="A70" t="s">
        <v>184</v>
      </c>
      <c r="B70" t="s">
        <v>185</v>
      </c>
      <c r="C70" t="s">
        <v>914</v>
      </c>
      <c r="D70" t="s">
        <v>62</v>
      </c>
      <c r="E70">
        <v>73</v>
      </c>
      <c r="F70" t="s">
        <v>915</v>
      </c>
      <c r="G70" s="3">
        <v>46171.777939814798</v>
      </c>
      <c r="H70" s="4">
        <v>45658</v>
      </c>
      <c r="I70" s="4">
        <v>46174</v>
      </c>
      <c r="J70" s="1">
        <v>525.6</v>
      </c>
      <c r="K70">
        <v>0.17499999999999999</v>
      </c>
      <c r="L70">
        <v>1</v>
      </c>
      <c r="M70" s="1">
        <v>0</v>
      </c>
      <c r="N70" s="1">
        <v>7.66</v>
      </c>
      <c r="O70" t="s">
        <v>34</v>
      </c>
      <c r="P70" t="s">
        <v>35</v>
      </c>
    </row>
    <row r="71" spans="1:16" x14ac:dyDescent="0.25">
      <c r="A71" t="s">
        <v>76</v>
      </c>
      <c r="B71" t="s">
        <v>77</v>
      </c>
      <c r="C71" t="s">
        <v>916</v>
      </c>
      <c r="D71" t="s">
        <v>62</v>
      </c>
      <c r="E71">
        <v>66</v>
      </c>
      <c r="F71" t="s">
        <v>917</v>
      </c>
      <c r="G71" s="3">
        <v>46171.777939814798</v>
      </c>
      <c r="H71" s="4">
        <v>45576</v>
      </c>
      <c r="I71" s="4">
        <v>46184</v>
      </c>
      <c r="J71" s="1">
        <v>934.8</v>
      </c>
      <c r="K71">
        <v>0.17499999999999999</v>
      </c>
      <c r="L71">
        <v>1</v>
      </c>
      <c r="M71" s="1">
        <v>0</v>
      </c>
      <c r="N71" s="1">
        <v>13.63</v>
      </c>
      <c r="O71" t="s">
        <v>34</v>
      </c>
      <c r="P71" t="s">
        <v>35</v>
      </c>
    </row>
    <row r="72" spans="1:16" x14ac:dyDescent="0.25">
      <c r="A72" t="s">
        <v>76</v>
      </c>
      <c r="B72" t="s">
        <v>77</v>
      </c>
      <c r="C72" t="s">
        <v>918</v>
      </c>
      <c r="D72" t="s">
        <v>62</v>
      </c>
      <c r="E72">
        <v>68</v>
      </c>
      <c r="F72" t="s">
        <v>919</v>
      </c>
      <c r="G72" s="3">
        <v>46171.777939814798</v>
      </c>
      <c r="H72" s="4">
        <v>45597</v>
      </c>
      <c r="I72" s="4">
        <v>46174</v>
      </c>
      <c r="J72" s="1">
        <v>462</v>
      </c>
      <c r="K72">
        <v>0.17499999999999999</v>
      </c>
      <c r="L72">
        <v>1</v>
      </c>
      <c r="M72" s="1">
        <v>0</v>
      </c>
      <c r="N72" s="1">
        <v>6.74</v>
      </c>
      <c r="O72" t="s">
        <v>34</v>
      </c>
      <c r="P72" t="s">
        <v>35</v>
      </c>
    </row>
    <row r="73" spans="1:16" x14ac:dyDescent="0.25">
      <c r="A73" t="s">
        <v>184</v>
      </c>
      <c r="B73" t="s">
        <v>185</v>
      </c>
      <c r="C73" t="s">
        <v>920</v>
      </c>
      <c r="D73" t="s">
        <v>162</v>
      </c>
      <c r="E73">
        <v>65</v>
      </c>
      <c r="F73" t="s">
        <v>921</v>
      </c>
      <c r="G73" s="3">
        <v>46171.777939814798</v>
      </c>
      <c r="H73" s="4">
        <v>45658</v>
      </c>
      <c r="I73" s="4">
        <v>46174</v>
      </c>
      <c r="J73" s="1">
        <v>345.6</v>
      </c>
      <c r="K73">
        <v>0.17499999999999999</v>
      </c>
      <c r="L73">
        <v>1</v>
      </c>
      <c r="M73" s="1">
        <v>0</v>
      </c>
      <c r="N73" s="1">
        <v>5.04</v>
      </c>
      <c r="O73" t="s">
        <v>34</v>
      </c>
      <c r="P73" t="s">
        <v>35</v>
      </c>
    </row>
    <row r="74" spans="1:16" x14ac:dyDescent="0.25">
      <c r="A74" t="s">
        <v>184</v>
      </c>
      <c r="B74" t="s">
        <v>185</v>
      </c>
      <c r="C74" t="s">
        <v>922</v>
      </c>
      <c r="D74" t="s">
        <v>62</v>
      </c>
      <c r="E74">
        <v>74</v>
      </c>
      <c r="F74" t="s">
        <v>923</v>
      </c>
      <c r="G74" s="3">
        <v>46171.777939814798</v>
      </c>
      <c r="H74" s="4">
        <v>45658</v>
      </c>
      <c r="I74" s="4">
        <v>46174</v>
      </c>
      <c r="J74" s="1">
        <v>622.79999999999995</v>
      </c>
      <c r="K74">
        <v>0.17499999999999999</v>
      </c>
      <c r="L74">
        <v>1</v>
      </c>
      <c r="M74" s="1">
        <v>0</v>
      </c>
      <c r="N74" s="1">
        <v>9.08</v>
      </c>
      <c r="O74" t="s">
        <v>34</v>
      </c>
      <c r="P74" t="s">
        <v>35</v>
      </c>
    </row>
    <row r="75" spans="1:16" x14ac:dyDescent="0.25">
      <c r="A75" t="s">
        <v>184</v>
      </c>
      <c r="B75" t="s">
        <v>185</v>
      </c>
      <c r="C75" t="s">
        <v>924</v>
      </c>
      <c r="D75" t="s">
        <v>62</v>
      </c>
      <c r="E75">
        <v>75</v>
      </c>
      <c r="F75" t="s">
        <v>925</v>
      </c>
      <c r="G75" s="3">
        <v>46171.777939814798</v>
      </c>
      <c r="H75" s="4">
        <v>45658</v>
      </c>
      <c r="I75" s="4">
        <v>46174</v>
      </c>
      <c r="J75" s="1">
        <v>640.79999999999995</v>
      </c>
      <c r="K75">
        <v>0.17499999999999999</v>
      </c>
      <c r="L75">
        <v>1</v>
      </c>
      <c r="M75" s="1">
        <v>0</v>
      </c>
      <c r="N75" s="1">
        <v>9.34</v>
      </c>
      <c r="O75" t="s">
        <v>34</v>
      </c>
      <c r="P75" t="s">
        <v>35</v>
      </c>
    </row>
    <row r="76" spans="1:16" x14ac:dyDescent="0.25">
      <c r="A76" t="s">
        <v>76</v>
      </c>
      <c r="B76" t="s">
        <v>77</v>
      </c>
      <c r="C76" t="s">
        <v>926</v>
      </c>
      <c r="D76" t="s">
        <v>62</v>
      </c>
      <c r="E76">
        <v>64</v>
      </c>
      <c r="F76" t="s">
        <v>927</v>
      </c>
      <c r="G76" s="3">
        <v>46171.777939814798</v>
      </c>
      <c r="H76" s="4">
        <v>45576</v>
      </c>
      <c r="I76" s="4">
        <v>46184</v>
      </c>
      <c r="J76" s="1">
        <v>1362</v>
      </c>
      <c r="K76">
        <v>0.17499999999999999</v>
      </c>
      <c r="L76">
        <v>1</v>
      </c>
      <c r="M76" s="1">
        <v>0</v>
      </c>
      <c r="N76" s="1">
        <v>19.86</v>
      </c>
      <c r="O76" t="s">
        <v>34</v>
      </c>
      <c r="P76" t="s">
        <v>35</v>
      </c>
    </row>
    <row r="77" spans="1:16" x14ac:dyDescent="0.25">
      <c r="A77" t="s">
        <v>203</v>
      </c>
      <c r="B77" t="s">
        <v>204</v>
      </c>
      <c r="C77" t="s">
        <v>928</v>
      </c>
      <c r="D77" t="s">
        <v>110</v>
      </c>
      <c r="E77">
        <v>65</v>
      </c>
      <c r="F77" t="s">
        <v>929</v>
      </c>
      <c r="G77" s="3">
        <v>46171.777939814798</v>
      </c>
      <c r="H77" s="4">
        <v>45577</v>
      </c>
      <c r="I77" s="4">
        <v>46185</v>
      </c>
      <c r="J77" s="1">
        <v>924</v>
      </c>
      <c r="K77">
        <v>0.17499999999999999</v>
      </c>
      <c r="L77">
        <v>1</v>
      </c>
      <c r="M77" s="1">
        <v>0</v>
      </c>
      <c r="N77" s="1">
        <v>13.48</v>
      </c>
      <c r="O77" t="s">
        <v>112</v>
      </c>
      <c r="P77" t="s">
        <v>35</v>
      </c>
    </row>
    <row r="78" spans="1:16" x14ac:dyDescent="0.25">
      <c r="A78" t="s">
        <v>113</v>
      </c>
      <c r="B78" t="s">
        <v>114</v>
      </c>
      <c r="C78" t="s">
        <v>930</v>
      </c>
      <c r="D78" t="s">
        <v>62</v>
      </c>
      <c r="E78">
        <v>64</v>
      </c>
      <c r="F78" t="s">
        <v>931</v>
      </c>
      <c r="G78" s="3">
        <v>46171.777939814798</v>
      </c>
      <c r="H78" s="4">
        <v>45597</v>
      </c>
      <c r="I78" s="4">
        <v>46174</v>
      </c>
      <c r="J78" s="1">
        <v>692.4</v>
      </c>
      <c r="K78">
        <v>0.17499999999999999</v>
      </c>
      <c r="L78">
        <v>1</v>
      </c>
      <c r="M78" s="1">
        <v>0</v>
      </c>
      <c r="N78" s="1">
        <v>10.1</v>
      </c>
      <c r="O78" t="s">
        <v>34</v>
      </c>
      <c r="P78" t="s">
        <v>35</v>
      </c>
    </row>
    <row r="79" spans="1:16" x14ac:dyDescent="0.25">
      <c r="A79" t="s">
        <v>219</v>
      </c>
      <c r="B79" t="s">
        <v>220</v>
      </c>
      <c r="C79" t="s">
        <v>932</v>
      </c>
      <c r="D79" t="s">
        <v>62</v>
      </c>
      <c r="E79">
        <v>64</v>
      </c>
      <c r="F79" t="s">
        <v>933</v>
      </c>
      <c r="G79" s="3">
        <v>46171.777939814798</v>
      </c>
      <c r="H79" s="4">
        <v>45597</v>
      </c>
      <c r="I79" s="4">
        <v>46174</v>
      </c>
      <c r="J79" s="1">
        <v>1916.4</v>
      </c>
      <c r="K79">
        <v>0.17499999999999999</v>
      </c>
      <c r="L79">
        <v>1</v>
      </c>
      <c r="M79" s="1">
        <v>0</v>
      </c>
      <c r="N79" s="1">
        <v>27.95</v>
      </c>
      <c r="O79" t="s">
        <v>934</v>
      </c>
      <c r="P79" t="s">
        <v>35</v>
      </c>
    </row>
    <row r="80" spans="1:16" x14ac:dyDescent="0.25">
      <c r="A80" t="s">
        <v>203</v>
      </c>
      <c r="B80" t="s">
        <v>204</v>
      </c>
      <c r="C80" t="s">
        <v>935</v>
      </c>
      <c r="D80" t="s">
        <v>256</v>
      </c>
      <c r="E80">
        <v>73</v>
      </c>
      <c r="F80" t="s">
        <v>936</v>
      </c>
      <c r="G80" s="3">
        <v>46171.777939814798</v>
      </c>
      <c r="H80" s="4">
        <v>45597</v>
      </c>
      <c r="I80" s="4">
        <v>46174</v>
      </c>
      <c r="J80" s="1">
        <v>1166.22</v>
      </c>
      <c r="K80">
        <v>0.17499999999999999</v>
      </c>
      <c r="L80">
        <v>1</v>
      </c>
      <c r="M80" s="1">
        <v>0</v>
      </c>
      <c r="N80" s="1">
        <v>17.010000000000002</v>
      </c>
      <c r="O80" t="s">
        <v>112</v>
      </c>
      <c r="P80" t="s">
        <v>35</v>
      </c>
    </row>
    <row r="81" spans="1:16" x14ac:dyDescent="0.25">
      <c r="A81" t="s">
        <v>937</v>
      </c>
      <c r="B81" t="s">
        <v>938</v>
      </c>
      <c r="C81" t="s">
        <v>939</v>
      </c>
      <c r="D81" t="s">
        <v>162</v>
      </c>
      <c r="E81">
        <v>64</v>
      </c>
      <c r="F81" t="s">
        <v>940</v>
      </c>
      <c r="G81" s="3">
        <v>46171.777939814798</v>
      </c>
      <c r="H81" s="4">
        <v>45597</v>
      </c>
      <c r="I81" s="4">
        <v>46174</v>
      </c>
      <c r="J81" s="1">
        <v>1345.2</v>
      </c>
      <c r="K81">
        <v>0.17499999999999999</v>
      </c>
      <c r="L81">
        <v>1</v>
      </c>
      <c r="M81" s="1">
        <v>0</v>
      </c>
      <c r="N81" s="1">
        <v>19.62</v>
      </c>
      <c r="O81" t="s">
        <v>47</v>
      </c>
      <c r="P81" t="s">
        <v>35</v>
      </c>
    </row>
    <row r="82" spans="1:16" x14ac:dyDescent="0.25">
      <c r="A82" t="s">
        <v>76</v>
      </c>
      <c r="B82" t="s">
        <v>77</v>
      </c>
      <c r="C82" t="s">
        <v>941</v>
      </c>
      <c r="D82" t="s">
        <v>62</v>
      </c>
      <c r="E82">
        <v>68</v>
      </c>
      <c r="F82" t="s">
        <v>942</v>
      </c>
      <c r="G82" s="3">
        <v>46171.777939814798</v>
      </c>
      <c r="H82" s="4">
        <v>45658</v>
      </c>
      <c r="I82" s="4">
        <v>46174</v>
      </c>
      <c r="J82" s="1">
        <v>720</v>
      </c>
      <c r="K82">
        <v>0.17499999999999999</v>
      </c>
      <c r="L82">
        <v>1</v>
      </c>
      <c r="M82" s="1">
        <v>0</v>
      </c>
      <c r="N82" s="1">
        <v>10.5</v>
      </c>
      <c r="O82" t="s">
        <v>34</v>
      </c>
      <c r="P82" t="s">
        <v>35</v>
      </c>
    </row>
    <row r="83" spans="1:16" x14ac:dyDescent="0.25">
      <c r="A83" t="s">
        <v>227</v>
      </c>
      <c r="B83" t="s">
        <v>228</v>
      </c>
      <c r="C83" t="s">
        <v>943</v>
      </c>
      <c r="D83" t="s">
        <v>62</v>
      </c>
      <c r="E83">
        <v>75</v>
      </c>
      <c r="F83" t="s">
        <v>944</v>
      </c>
      <c r="G83" s="3">
        <v>46171.777939814798</v>
      </c>
      <c r="H83" s="4">
        <v>45658</v>
      </c>
      <c r="I83" s="4">
        <v>46174</v>
      </c>
      <c r="J83" s="1">
        <v>672</v>
      </c>
      <c r="K83">
        <v>0.17499999999999999</v>
      </c>
      <c r="L83">
        <v>1</v>
      </c>
      <c r="M83" s="1">
        <v>0</v>
      </c>
      <c r="N83" s="1">
        <v>9.8000000000000007</v>
      </c>
      <c r="O83" t="s">
        <v>34</v>
      </c>
      <c r="P83" t="s">
        <v>35</v>
      </c>
    </row>
    <row r="84" spans="1:16" x14ac:dyDescent="0.25">
      <c r="A84" t="s">
        <v>227</v>
      </c>
      <c r="B84" t="s">
        <v>228</v>
      </c>
      <c r="C84" t="s">
        <v>945</v>
      </c>
      <c r="D84" t="s">
        <v>62</v>
      </c>
      <c r="E84">
        <v>66</v>
      </c>
      <c r="F84" t="s">
        <v>946</v>
      </c>
      <c r="G84" s="3">
        <v>46171.777939814798</v>
      </c>
      <c r="H84" s="4">
        <v>45597</v>
      </c>
      <c r="I84" s="4">
        <v>46174</v>
      </c>
      <c r="J84" s="1">
        <v>499.2</v>
      </c>
      <c r="K84">
        <v>0.17499999999999999</v>
      </c>
      <c r="L84">
        <v>1</v>
      </c>
      <c r="M84" s="1">
        <v>0</v>
      </c>
      <c r="N84" s="1">
        <v>7.28</v>
      </c>
      <c r="O84" t="s">
        <v>34</v>
      </c>
      <c r="P84" t="s">
        <v>35</v>
      </c>
    </row>
    <row r="85" spans="1:16" x14ac:dyDescent="0.25">
      <c r="A85" t="s">
        <v>867</v>
      </c>
      <c r="B85" t="s">
        <v>868</v>
      </c>
      <c r="C85" t="s">
        <v>947</v>
      </c>
      <c r="D85" t="s">
        <v>62</v>
      </c>
      <c r="E85">
        <v>76</v>
      </c>
      <c r="F85" t="s">
        <v>948</v>
      </c>
      <c r="G85" s="3">
        <v>46171.777939814798</v>
      </c>
      <c r="H85" s="4">
        <v>45597</v>
      </c>
      <c r="I85" s="4">
        <v>46204</v>
      </c>
      <c r="J85" s="1">
        <v>544.79999999999995</v>
      </c>
      <c r="K85">
        <v>0.17499999999999999</v>
      </c>
      <c r="L85">
        <v>1</v>
      </c>
      <c r="M85" s="1">
        <v>0</v>
      </c>
      <c r="N85" s="1">
        <v>7.94</v>
      </c>
      <c r="O85" t="s">
        <v>34</v>
      </c>
      <c r="P85" t="s">
        <v>35</v>
      </c>
    </row>
    <row r="86" spans="1:16" x14ac:dyDescent="0.25">
      <c r="A86" t="s">
        <v>76</v>
      </c>
      <c r="B86" t="s">
        <v>77</v>
      </c>
      <c r="C86" t="s">
        <v>949</v>
      </c>
      <c r="D86" t="s">
        <v>162</v>
      </c>
      <c r="E86">
        <v>64</v>
      </c>
      <c r="F86" t="s">
        <v>950</v>
      </c>
      <c r="G86" s="3">
        <v>46171.777939814798</v>
      </c>
      <c r="H86" s="4">
        <v>45688</v>
      </c>
      <c r="I86" s="4">
        <v>46173</v>
      </c>
      <c r="J86" s="1">
        <v>1132.8</v>
      </c>
      <c r="K86">
        <v>0.17499999999999999</v>
      </c>
      <c r="L86">
        <v>1</v>
      </c>
      <c r="M86" s="1">
        <v>0</v>
      </c>
      <c r="N86" s="1">
        <v>16.52</v>
      </c>
      <c r="O86" t="s">
        <v>951</v>
      </c>
      <c r="P86" t="s">
        <v>35</v>
      </c>
    </row>
    <row r="87" spans="1:16" x14ac:dyDescent="0.25">
      <c r="A87" t="s">
        <v>867</v>
      </c>
      <c r="B87" t="s">
        <v>868</v>
      </c>
      <c r="C87" t="s">
        <v>952</v>
      </c>
      <c r="D87" t="s">
        <v>162</v>
      </c>
      <c r="E87">
        <v>64</v>
      </c>
      <c r="F87" t="s">
        <v>953</v>
      </c>
      <c r="G87" s="3">
        <v>46171.777939814798</v>
      </c>
      <c r="H87" s="4">
        <v>45605</v>
      </c>
      <c r="I87" s="4">
        <v>46212</v>
      </c>
      <c r="J87" s="1">
        <v>815.79</v>
      </c>
      <c r="K87">
        <v>0.17499999999999999</v>
      </c>
      <c r="L87">
        <v>1</v>
      </c>
      <c r="M87" s="1">
        <v>0</v>
      </c>
      <c r="N87" s="1">
        <v>11.9</v>
      </c>
      <c r="O87" t="s">
        <v>47</v>
      </c>
      <c r="P87" t="s">
        <v>35</v>
      </c>
    </row>
    <row r="88" spans="1:16" x14ac:dyDescent="0.25">
      <c r="A88" t="s">
        <v>477</v>
      </c>
      <c r="B88" t="s">
        <v>478</v>
      </c>
      <c r="C88" t="s">
        <v>954</v>
      </c>
      <c r="D88" t="s">
        <v>62</v>
      </c>
      <c r="E88">
        <v>75</v>
      </c>
      <c r="F88" t="s">
        <v>955</v>
      </c>
      <c r="G88" s="3">
        <v>46171.777939814798</v>
      </c>
      <c r="H88" s="4">
        <v>45658</v>
      </c>
      <c r="I88" s="4">
        <v>46174</v>
      </c>
      <c r="J88" s="1">
        <v>1634.94</v>
      </c>
      <c r="K88">
        <v>0.17499999999999999</v>
      </c>
      <c r="L88">
        <v>1</v>
      </c>
      <c r="M88" s="1">
        <v>0</v>
      </c>
      <c r="N88" s="1">
        <v>23.84</v>
      </c>
      <c r="O88" t="s">
        <v>34</v>
      </c>
      <c r="P88" t="s">
        <v>35</v>
      </c>
    </row>
    <row r="89" spans="1:16" x14ac:dyDescent="0.25">
      <c r="A89" t="s">
        <v>477</v>
      </c>
      <c r="B89" t="s">
        <v>478</v>
      </c>
      <c r="C89" t="s">
        <v>956</v>
      </c>
      <c r="D89" t="s">
        <v>62</v>
      </c>
      <c r="E89">
        <v>69</v>
      </c>
      <c r="F89" t="s">
        <v>957</v>
      </c>
      <c r="G89" s="3">
        <v>46171.777939814798</v>
      </c>
      <c r="H89" s="4">
        <v>45658</v>
      </c>
      <c r="I89" s="4">
        <v>46174</v>
      </c>
      <c r="J89" s="1">
        <v>1306.8399999999999</v>
      </c>
      <c r="K89">
        <v>0.17499999999999999</v>
      </c>
      <c r="L89">
        <v>1</v>
      </c>
      <c r="M89" s="1">
        <v>0</v>
      </c>
      <c r="N89" s="1">
        <v>19.059999999999999</v>
      </c>
      <c r="O89" t="s">
        <v>34</v>
      </c>
      <c r="P89" t="s">
        <v>35</v>
      </c>
    </row>
    <row r="90" spans="1:16" x14ac:dyDescent="0.25">
      <c r="A90" t="s">
        <v>227</v>
      </c>
      <c r="B90" t="s">
        <v>228</v>
      </c>
      <c r="C90" t="s">
        <v>958</v>
      </c>
      <c r="D90" t="s">
        <v>162</v>
      </c>
      <c r="E90">
        <v>64</v>
      </c>
      <c r="F90" t="s">
        <v>959</v>
      </c>
      <c r="G90" s="3">
        <v>46171.777939814798</v>
      </c>
      <c r="H90" s="4">
        <v>45627</v>
      </c>
      <c r="I90" s="4">
        <v>46174</v>
      </c>
      <c r="J90" s="1">
        <v>588</v>
      </c>
      <c r="K90">
        <v>0.125</v>
      </c>
      <c r="L90">
        <v>1</v>
      </c>
      <c r="M90" s="1">
        <v>0</v>
      </c>
      <c r="N90" s="1">
        <v>6.12</v>
      </c>
      <c r="O90" t="s">
        <v>695</v>
      </c>
      <c r="P90" t="s">
        <v>35</v>
      </c>
    </row>
    <row r="91" spans="1:16" x14ac:dyDescent="0.25">
      <c r="A91" t="s">
        <v>227</v>
      </c>
      <c r="B91" t="s">
        <v>228</v>
      </c>
      <c r="C91" t="s">
        <v>960</v>
      </c>
      <c r="D91" t="s">
        <v>162</v>
      </c>
      <c r="E91">
        <v>66</v>
      </c>
      <c r="F91" t="s">
        <v>961</v>
      </c>
      <c r="G91" s="3">
        <v>46171.777939814798</v>
      </c>
      <c r="H91" s="4">
        <v>45627</v>
      </c>
      <c r="I91" s="4">
        <v>46174</v>
      </c>
      <c r="J91" s="1">
        <v>612</v>
      </c>
      <c r="K91">
        <v>0.125</v>
      </c>
      <c r="L91">
        <v>1</v>
      </c>
      <c r="M91" s="1">
        <v>0</v>
      </c>
      <c r="N91" s="1">
        <v>6.38</v>
      </c>
      <c r="O91" t="s">
        <v>695</v>
      </c>
      <c r="P91" t="s">
        <v>35</v>
      </c>
    </row>
    <row r="92" spans="1:16" x14ac:dyDescent="0.25">
      <c r="A92" t="s">
        <v>99</v>
      </c>
      <c r="B92" t="s">
        <v>100</v>
      </c>
      <c r="C92" t="s">
        <v>962</v>
      </c>
      <c r="D92" t="s">
        <v>62</v>
      </c>
      <c r="E92">
        <v>69</v>
      </c>
      <c r="F92" t="s">
        <v>963</v>
      </c>
      <c r="G92" s="3">
        <v>46171.777939814798</v>
      </c>
      <c r="H92" s="4">
        <v>45611</v>
      </c>
      <c r="I92" s="4">
        <v>46188</v>
      </c>
      <c r="J92" s="1">
        <v>410.4</v>
      </c>
      <c r="K92">
        <v>0.17499999999999999</v>
      </c>
      <c r="L92">
        <v>1</v>
      </c>
      <c r="M92" s="1">
        <v>0</v>
      </c>
      <c r="N92" s="1">
        <v>5.98</v>
      </c>
      <c r="O92" t="s">
        <v>34</v>
      </c>
      <c r="P92" t="s">
        <v>35</v>
      </c>
    </row>
    <row r="93" spans="1:16" x14ac:dyDescent="0.25">
      <c r="A93" t="s">
        <v>227</v>
      </c>
      <c r="B93" t="s">
        <v>228</v>
      </c>
      <c r="C93" t="s">
        <v>964</v>
      </c>
      <c r="D93" t="s">
        <v>62</v>
      </c>
      <c r="E93">
        <v>66</v>
      </c>
      <c r="F93" t="s">
        <v>965</v>
      </c>
      <c r="G93" s="3">
        <v>46171.777939814798</v>
      </c>
      <c r="H93" s="4">
        <v>45627</v>
      </c>
      <c r="I93" s="4">
        <v>46174</v>
      </c>
      <c r="J93" s="1">
        <v>883.2</v>
      </c>
      <c r="K93">
        <v>0.17499999999999999</v>
      </c>
      <c r="L93">
        <v>1</v>
      </c>
      <c r="M93" s="1">
        <v>0</v>
      </c>
      <c r="N93" s="1">
        <v>12.88</v>
      </c>
      <c r="O93" t="s">
        <v>34</v>
      </c>
      <c r="P93" t="s">
        <v>35</v>
      </c>
    </row>
    <row r="94" spans="1:16" x14ac:dyDescent="0.25">
      <c r="A94" t="s">
        <v>76</v>
      </c>
      <c r="B94" t="s">
        <v>77</v>
      </c>
      <c r="C94" t="s">
        <v>966</v>
      </c>
      <c r="D94" t="s">
        <v>62</v>
      </c>
      <c r="E94">
        <v>66</v>
      </c>
      <c r="F94" t="s">
        <v>967</v>
      </c>
      <c r="G94" s="3">
        <v>46171.777939814798</v>
      </c>
      <c r="H94" s="4">
        <v>45612</v>
      </c>
      <c r="I94" s="4">
        <v>46189</v>
      </c>
      <c r="J94" s="1">
        <v>614.4</v>
      </c>
      <c r="K94">
        <v>0.17499999999999999</v>
      </c>
      <c r="L94">
        <v>1</v>
      </c>
      <c r="M94" s="1">
        <v>0</v>
      </c>
      <c r="N94" s="1">
        <v>8.9600000000000009</v>
      </c>
      <c r="O94" t="s">
        <v>34</v>
      </c>
      <c r="P94" t="s">
        <v>35</v>
      </c>
    </row>
    <row r="95" spans="1:16" x14ac:dyDescent="0.25">
      <c r="A95" t="s">
        <v>227</v>
      </c>
      <c r="B95" t="s">
        <v>228</v>
      </c>
      <c r="C95" t="s">
        <v>968</v>
      </c>
      <c r="D95" t="s">
        <v>162</v>
      </c>
      <c r="E95">
        <v>58</v>
      </c>
      <c r="F95" t="s">
        <v>969</v>
      </c>
      <c r="G95" s="3">
        <v>46171.777939814798</v>
      </c>
      <c r="H95" s="4">
        <v>45658</v>
      </c>
      <c r="I95" s="4">
        <v>46174</v>
      </c>
      <c r="J95" s="1">
        <v>420</v>
      </c>
      <c r="K95">
        <v>0.17499999999999999</v>
      </c>
      <c r="L95">
        <v>1</v>
      </c>
      <c r="M95" s="1">
        <v>0</v>
      </c>
      <c r="N95" s="1">
        <v>6.12</v>
      </c>
      <c r="O95" t="s">
        <v>34</v>
      </c>
      <c r="P95" t="s">
        <v>35</v>
      </c>
    </row>
    <row r="96" spans="1:16" x14ac:dyDescent="0.25">
      <c r="A96" t="s">
        <v>82</v>
      </c>
      <c r="B96" t="s">
        <v>83</v>
      </c>
      <c r="C96" t="s">
        <v>970</v>
      </c>
      <c r="D96" t="s">
        <v>110</v>
      </c>
      <c r="E96">
        <v>70</v>
      </c>
      <c r="F96" t="s">
        <v>971</v>
      </c>
      <c r="G96" s="3">
        <v>46171.777939814798</v>
      </c>
      <c r="H96" s="4">
        <v>45614</v>
      </c>
      <c r="I96" s="4">
        <v>46191</v>
      </c>
      <c r="J96" s="1">
        <v>631.20000000000005</v>
      </c>
      <c r="K96">
        <v>0.17499999999999999</v>
      </c>
      <c r="L96">
        <v>1</v>
      </c>
      <c r="M96" s="1">
        <v>0</v>
      </c>
      <c r="N96" s="1">
        <v>9.1999999999999993</v>
      </c>
      <c r="O96" t="s">
        <v>34</v>
      </c>
      <c r="P96" t="s">
        <v>35</v>
      </c>
    </row>
    <row r="97" spans="1:16" x14ac:dyDescent="0.25">
      <c r="A97" t="s">
        <v>93</v>
      </c>
      <c r="B97" t="s">
        <v>94</v>
      </c>
      <c r="C97" t="s">
        <v>972</v>
      </c>
      <c r="D97" t="s">
        <v>62</v>
      </c>
      <c r="E97">
        <v>73</v>
      </c>
      <c r="F97" t="s">
        <v>973</v>
      </c>
      <c r="G97" s="3">
        <v>46171.777939814798</v>
      </c>
      <c r="H97" s="4">
        <v>45615</v>
      </c>
      <c r="I97" s="4">
        <v>46192</v>
      </c>
      <c r="J97" s="1">
        <v>997.2</v>
      </c>
      <c r="K97">
        <v>0.17499999999999999</v>
      </c>
      <c r="L97">
        <v>1</v>
      </c>
      <c r="M97" s="1">
        <v>0</v>
      </c>
      <c r="N97" s="1">
        <v>14.54</v>
      </c>
      <c r="O97" t="s">
        <v>34</v>
      </c>
      <c r="P97" t="s">
        <v>35</v>
      </c>
    </row>
    <row r="98" spans="1:16" x14ac:dyDescent="0.25">
      <c r="A98" t="s">
        <v>76</v>
      </c>
      <c r="B98" t="s">
        <v>77</v>
      </c>
      <c r="C98" t="s">
        <v>974</v>
      </c>
      <c r="D98" t="s">
        <v>62</v>
      </c>
      <c r="E98">
        <v>66</v>
      </c>
      <c r="F98" t="s">
        <v>975</v>
      </c>
      <c r="G98" s="3">
        <v>46171.777939814798</v>
      </c>
      <c r="H98" s="4">
        <v>45627</v>
      </c>
      <c r="I98" s="4">
        <v>46174</v>
      </c>
      <c r="J98" s="1">
        <v>499.2</v>
      </c>
      <c r="K98">
        <v>0.17499999999999999</v>
      </c>
      <c r="L98">
        <v>1</v>
      </c>
      <c r="M98" s="1">
        <v>0</v>
      </c>
      <c r="N98" s="1">
        <v>7.28</v>
      </c>
      <c r="O98" t="s">
        <v>34</v>
      </c>
      <c r="P98" t="s">
        <v>35</v>
      </c>
    </row>
    <row r="99" spans="1:16" x14ac:dyDescent="0.25">
      <c r="A99" t="s">
        <v>184</v>
      </c>
      <c r="B99" t="s">
        <v>185</v>
      </c>
      <c r="C99" t="s">
        <v>976</v>
      </c>
      <c r="D99" t="s">
        <v>39</v>
      </c>
      <c r="E99">
        <v>66</v>
      </c>
      <c r="F99" t="s">
        <v>977</v>
      </c>
      <c r="G99" s="3">
        <v>46171.777939814798</v>
      </c>
      <c r="H99" s="4">
        <v>45658</v>
      </c>
      <c r="I99" s="4">
        <v>46204</v>
      </c>
      <c r="J99" s="1">
        <v>716.4</v>
      </c>
      <c r="K99">
        <v>0.17499999999999999</v>
      </c>
      <c r="L99">
        <v>1</v>
      </c>
      <c r="M99" s="1">
        <v>0</v>
      </c>
      <c r="N99" s="1">
        <v>10.45</v>
      </c>
      <c r="O99" t="s">
        <v>34</v>
      </c>
      <c r="P99" t="s">
        <v>35</v>
      </c>
    </row>
    <row r="100" spans="1:16" x14ac:dyDescent="0.25">
      <c r="A100" t="s">
        <v>978</v>
      </c>
      <c r="B100" t="s">
        <v>979</v>
      </c>
      <c r="C100" t="s">
        <v>980</v>
      </c>
      <c r="D100" t="s">
        <v>39</v>
      </c>
      <c r="E100">
        <v>84</v>
      </c>
      <c r="F100" t="s">
        <v>981</v>
      </c>
      <c r="G100" s="3">
        <v>46171.777939814798</v>
      </c>
      <c r="H100" s="4">
        <v>45658</v>
      </c>
      <c r="I100" s="4">
        <v>46204</v>
      </c>
      <c r="J100" s="1">
        <v>580.79999999999995</v>
      </c>
      <c r="K100">
        <v>0.17499999999999999</v>
      </c>
      <c r="L100">
        <v>1</v>
      </c>
      <c r="M100" s="1">
        <v>0</v>
      </c>
      <c r="N100" s="1">
        <v>8.4700000000000006</v>
      </c>
      <c r="O100" t="s">
        <v>34</v>
      </c>
      <c r="P100" t="s">
        <v>35</v>
      </c>
    </row>
    <row r="101" spans="1:16" x14ac:dyDescent="0.25">
      <c r="A101" t="s">
        <v>227</v>
      </c>
      <c r="B101" t="s">
        <v>228</v>
      </c>
      <c r="C101" t="s">
        <v>982</v>
      </c>
      <c r="D101" t="s">
        <v>62</v>
      </c>
      <c r="E101">
        <v>73</v>
      </c>
      <c r="F101" t="s">
        <v>983</v>
      </c>
      <c r="G101" s="3">
        <v>46171.777939814798</v>
      </c>
      <c r="H101" s="4">
        <v>45627</v>
      </c>
      <c r="I101" s="4">
        <v>46174</v>
      </c>
      <c r="J101" s="1">
        <v>770.4</v>
      </c>
      <c r="K101">
        <v>0.17499999999999999</v>
      </c>
      <c r="L101">
        <v>1</v>
      </c>
      <c r="M101" s="1">
        <v>0</v>
      </c>
      <c r="N101" s="1">
        <v>11.24</v>
      </c>
      <c r="O101" t="s">
        <v>34</v>
      </c>
      <c r="P101" t="s">
        <v>35</v>
      </c>
    </row>
    <row r="102" spans="1:16" x14ac:dyDescent="0.25">
      <c r="A102" t="s">
        <v>227</v>
      </c>
      <c r="B102" t="s">
        <v>228</v>
      </c>
      <c r="C102" t="s">
        <v>984</v>
      </c>
      <c r="D102" t="s">
        <v>62</v>
      </c>
      <c r="E102">
        <v>68</v>
      </c>
      <c r="F102" t="s">
        <v>985</v>
      </c>
      <c r="G102" s="3">
        <v>46171.777939814798</v>
      </c>
      <c r="H102" s="4">
        <v>45627</v>
      </c>
      <c r="I102" s="4">
        <v>46174</v>
      </c>
      <c r="J102" s="1">
        <v>654</v>
      </c>
      <c r="K102">
        <v>0.17499999999999999</v>
      </c>
      <c r="L102">
        <v>1</v>
      </c>
      <c r="M102" s="1">
        <v>0</v>
      </c>
      <c r="N102" s="1">
        <v>9.5399999999999991</v>
      </c>
      <c r="O102" t="s">
        <v>34</v>
      </c>
      <c r="P102" t="s">
        <v>35</v>
      </c>
    </row>
    <row r="103" spans="1:16" x14ac:dyDescent="0.25">
      <c r="A103" t="s">
        <v>43</v>
      </c>
      <c r="B103" t="s">
        <v>44</v>
      </c>
      <c r="C103" t="s">
        <v>986</v>
      </c>
      <c r="D103" t="s">
        <v>62</v>
      </c>
      <c r="E103">
        <v>68</v>
      </c>
      <c r="F103" t="s">
        <v>987</v>
      </c>
      <c r="G103" s="3">
        <v>46171.777939814798</v>
      </c>
      <c r="H103" s="4">
        <v>45658</v>
      </c>
      <c r="I103" s="4">
        <v>46174</v>
      </c>
      <c r="J103" s="1">
        <v>986.4</v>
      </c>
      <c r="K103">
        <v>0.17499999999999999</v>
      </c>
      <c r="L103">
        <v>1</v>
      </c>
      <c r="M103" s="1">
        <v>0</v>
      </c>
      <c r="N103" s="1">
        <v>14.38</v>
      </c>
      <c r="O103" t="s">
        <v>34</v>
      </c>
      <c r="P103" t="s">
        <v>35</v>
      </c>
    </row>
    <row r="104" spans="1:16" x14ac:dyDescent="0.25">
      <c r="A104" t="s">
        <v>76</v>
      </c>
      <c r="B104" t="s">
        <v>77</v>
      </c>
      <c r="C104" t="s">
        <v>988</v>
      </c>
      <c r="D104" t="s">
        <v>62</v>
      </c>
      <c r="E104">
        <v>64</v>
      </c>
      <c r="F104" t="s">
        <v>989</v>
      </c>
      <c r="G104" s="3">
        <v>46171.777939814798</v>
      </c>
      <c r="H104" s="4">
        <v>45639</v>
      </c>
      <c r="I104" s="4">
        <v>46186</v>
      </c>
      <c r="J104" s="1">
        <v>523.20000000000005</v>
      </c>
      <c r="K104">
        <v>0.17499999999999999</v>
      </c>
      <c r="L104">
        <v>1</v>
      </c>
      <c r="M104" s="1">
        <v>0</v>
      </c>
      <c r="N104" s="1">
        <v>7.63</v>
      </c>
      <c r="O104" t="s">
        <v>34</v>
      </c>
      <c r="P104" t="s">
        <v>35</v>
      </c>
    </row>
    <row r="105" spans="1:16" x14ac:dyDescent="0.25">
      <c r="A105" t="s">
        <v>131</v>
      </c>
      <c r="B105" t="s">
        <v>132</v>
      </c>
      <c r="C105" t="s">
        <v>990</v>
      </c>
      <c r="D105" t="s">
        <v>62</v>
      </c>
      <c r="E105">
        <v>74</v>
      </c>
      <c r="F105" t="s">
        <v>991</v>
      </c>
      <c r="G105" s="3">
        <v>46171.777939814798</v>
      </c>
      <c r="H105" s="4">
        <v>45658</v>
      </c>
      <c r="I105" s="4">
        <v>46204</v>
      </c>
      <c r="J105" s="1">
        <v>1669.2</v>
      </c>
      <c r="K105">
        <v>0.17499999999999999</v>
      </c>
      <c r="L105">
        <v>1</v>
      </c>
      <c r="M105" s="1">
        <v>0</v>
      </c>
      <c r="N105" s="1">
        <v>24.34</v>
      </c>
      <c r="O105" t="s">
        <v>34</v>
      </c>
      <c r="P105" t="s">
        <v>35</v>
      </c>
    </row>
    <row r="106" spans="1:16" x14ac:dyDescent="0.25">
      <c r="A106" t="s">
        <v>227</v>
      </c>
      <c r="B106" t="s">
        <v>228</v>
      </c>
      <c r="C106" t="s">
        <v>992</v>
      </c>
      <c r="D106" t="s">
        <v>62</v>
      </c>
      <c r="E106">
        <v>77</v>
      </c>
      <c r="F106" t="s">
        <v>993</v>
      </c>
      <c r="G106" s="3">
        <v>46171.777939814798</v>
      </c>
      <c r="H106" s="4">
        <v>45658</v>
      </c>
      <c r="I106" s="4">
        <v>46174</v>
      </c>
      <c r="J106" s="1">
        <v>1188</v>
      </c>
      <c r="K106">
        <v>0.17499999999999999</v>
      </c>
      <c r="L106">
        <v>1</v>
      </c>
      <c r="M106" s="1">
        <v>0</v>
      </c>
      <c r="N106" s="1">
        <v>17.32</v>
      </c>
      <c r="O106" t="s">
        <v>34</v>
      </c>
      <c r="P106" t="s">
        <v>35</v>
      </c>
    </row>
    <row r="107" spans="1:16" x14ac:dyDescent="0.25">
      <c r="A107" t="s">
        <v>76</v>
      </c>
      <c r="B107" t="s">
        <v>77</v>
      </c>
      <c r="C107" t="s">
        <v>994</v>
      </c>
      <c r="D107" t="s">
        <v>62</v>
      </c>
      <c r="E107">
        <v>65</v>
      </c>
      <c r="F107" t="s">
        <v>995</v>
      </c>
      <c r="G107" s="3">
        <v>46171.777939814798</v>
      </c>
      <c r="H107" s="4">
        <v>45658</v>
      </c>
      <c r="I107" s="4">
        <v>46174</v>
      </c>
      <c r="J107" s="1">
        <v>841.2</v>
      </c>
      <c r="K107">
        <v>0.17499999999999999</v>
      </c>
      <c r="L107">
        <v>1</v>
      </c>
      <c r="M107" s="1">
        <v>0</v>
      </c>
      <c r="N107" s="1">
        <v>12.27</v>
      </c>
      <c r="O107" t="s">
        <v>34</v>
      </c>
      <c r="P107" t="s">
        <v>35</v>
      </c>
    </row>
    <row r="108" spans="1:16" x14ac:dyDescent="0.25">
      <c r="A108" t="s">
        <v>131</v>
      </c>
      <c r="B108" t="s">
        <v>132</v>
      </c>
      <c r="C108" t="s">
        <v>996</v>
      </c>
      <c r="D108" t="s">
        <v>62</v>
      </c>
      <c r="E108">
        <v>70</v>
      </c>
      <c r="F108" t="s">
        <v>997</v>
      </c>
      <c r="G108" s="3">
        <v>46171.777939814798</v>
      </c>
      <c r="H108" s="4">
        <v>45658</v>
      </c>
      <c r="I108" s="4">
        <v>46204</v>
      </c>
      <c r="J108" s="1">
        <v>1489.86</v>
      </c>
      <c r="K108">
        <v>0.17499999999999999</v>
      </c>
      <c r="L108">
        <v>1</v>
      </c>
      <c r="M108" s="1">
        <v>0</v>
      </c>
      <c r="N108" s="1">
        <v>21.73</v>
      </c>
      <c r="O108" t="s">
        <v>34</v>
      </c>
      <c r="P108" t="s">
        <v>35</v>
      </c>
    </row>
    <row r="109" spans="1:16" x14ac:dyDescent="0.25">
      <c r="A109" t="s">
        <v>131</v>
      </c>
      <c r="B109" t="s">
        <v>132</v>
      </c>
      <c r="C109" t="s">
        <v>998</v>
      </c>
      <c r="D109" t="s">
        <v>62</v>
      </c>
      <c r="E109">
        <v>66</v>
      </c>
      <c r="F109" t="s">
        <v>999</v>
      </c>
      <c r="G109" s="3">
        <v>46171.777939814798</v>
      </c>
      <c r="H109" s="4">
        <v>45658</v>
      </c>
      <c r="I109" s="4">
        <v>46204</v>
      </c>
      <c r="J109" s="1">
        <v>1389.42</v>
      </c>
      <c r="K109">
        <v>0.17499999999999999</v>
      </c>
      <c r="L109">
        <v>1</v>
      </c>
      <c r="M109" s="1">
        <v>0</v>
      </c>
      <c r="N109" s="1">
        <v>20.260000000000002</v>
      </c>
      <c r="O109" t="s">
        <v>34</v>
      </c>
      <c r="P109" t="s">
        <v>35</v>
      </c>
    </row>
    <row r="110" spans="1:16" x14ac:dyDescent="0.25">
      <c r="A110" t="s">
        <v>131</v>
      </c>
      <c r="B110" t="s">
        <v>132</v>
      </c>
      <c r="C110" t="s">
        <v>1000</v>
      </c>
      <c r="D110" t="s">
        <v>62</v>
      </c>
      <c r="E110">
        <v>79</v>
      </c>
      <c r="F110" t="s">
        <v>1001</v>
      </c>
      <c r="G110" s="3">
        <v>46171.777939814798</v>
      </c>
      <c r="H110" s="4">
        <v>45635</v>
      </c>
      <c r="I110" s="4">
        <v>46212</v>
      </c>
      <c r="J110" s="1">
        <v>2142</v>
      </c>
      <c r="K110">
        <v>0.17499999999999999</v>
      </c>
      <c r="L110">
        <v>1</v>
      </c>
      <c r="M110" s="1">
        <v>0</v>
      </c>
      <c r="N110" s="1">
        <v>31.24</v>
      </c>
      <c r="O110" t="s">
        <v>34</v>
      </c>
      <c r="P110" t="s">
        <v>35</v>
      </c>
    </row>
    <row r="111" spans="1:16" x14ac:dyDescent="0.25">
      <c r="A111" t="s">
        <v>131</v>
      </c>
      <c r="B111" t="s">
        <v>132</v>
      </c>
      <c r="C111" t="s">
        <v>1002</v>
      </c>
      <c r="D111" t="s">
        <v>62</v>
      </c>
      <c r="E111">
        <v>76</v>
      </c>
      <c r="F111" t="s">
        <v>1003</v>
      </c>
      <c r="G111" s="3">
        <v>46171.777939814798</v>
      </c>
      <c r="H111" s="4">
        <v>45635</v>
      </c>
      <c r="I111" s="4">
        <v>46212</v>
      </c>
      <c r="J111" s="1">
        <v>2041.2</v>
      </c>
      <c r="K111">
        <v>0.17499999999999999</v>
      </c>
      <c r="L111">
        <v>1</v>
      </c>
      <c r="M111" s="1">
        <v>0</v>
      </c>
      <c r="N111" s="1">
        <v>29.77</v>
      </c>
      <c r="O111" t="s">
        <v>34</v>
      </c>
      <c r="P111" t="s">
        <v>35</v>
      </c>
    </row>
    <row r="112" spans="1:16" x14ac:dyDescent="0.25">
      <c r="A112" t="s">
        <v>43</v>
      </c>
      <c r="B112" t="s">
        <v>44</v>
      </c>
      <c r="C112" t="s">
        <v>1004</v>
      </c>
      <c r="D112" t="s">
        <v>62</v>
      </c>
      <c r="E112">
        <v>67</v>
      </c>
      <c r="F112" t="s">
        <v>1005</v>
      </c>
      <c r="G112" s="3">
        <v>46171.777939814798</v>
      </c>
      <c r="H112" s="4">
        <v>45658</v>
      </c>
      <c r="I112" s="4">
        <v>46174</v>
      </c>
      <c r="J112" s="1">
        <v>921.6</v>
      </c>
      <c r="K112">
        <v>0.17499999999999999</v>
      </c>
      <c r="L112">
        <v>1</v>
      </c>
      <c r="M112" s="1">
        <v>0</v>
      </c>
      <c r="N112" s="1">
        <v>13.44</v>
      </c>
      <c r="O112" t="s">
        <v>1006</v>
      </c>
      <c r="P112" t="s">
        <v>35</v>
      </c>
    </row>
    <row r="113" spans="1:16" x14ac:dyDescent="0.25">
      <c r="A113" t="s">
        <v>131</v>
      </c>
      <c r="B113" t="s">
        <v>132</v>
      </c>
      <c r="C113" t="s">
        <v>1007</v>
      </c>
      <c r="D113" t="s">
        <v>62</v>
      </c>
      <c r="E113">
        <v>74</v>
      </c>
      <c r="F113" t="s">
        <v>543</v>
      </c>
      <c r="G113" s="3">
        <v>46171.777939814798</v>
      </c>
      <c r="H113" s="4">
        <v>45658</v>
      </c>
      <c r="I113" s="4">
        <v>46204</v>
      </c>
      <c r="J113" s="1">
        <v>2160</v>
      </c>
      <c r="K113">
        <v>0.17499999999999999</v>
      </c>
      <c r="L113">
        <v>1</v>
      </c>
      <c r="M113" s="1">
        <v>0</v>
      </c>
      <c r="N113" s="1">
        <v>31.5</v>
      </c>
      <c r="O113" t="s">
        <v>34</v>
      </c>
      <c r="P113" t="s">
        <v>35</v>
      </c>
    </row>
    <row r="114" spans="1:16" x14ac:dyDescent="0.25">
      <c r="A114" t="s">
        <v>131</v>
      </c>
      <c r="B114" t="s">
        <v>132</v>
      </c>
      <c r="C114" t="s">
        <v>1008</v>
      </c>
      <c r="D114" t="s">
        <v>39</v>
      </c>
      <c r="E114">
        <v>81</v>
      </c>
      <c r="F114" t="s">
        <v>1009</v>
      </c>
      <c r="G114" s="3">
        <v>46171.777939814798</v>
      </c>
      <c r="H114" s="4">
        <v>45658</v>
      </c>
      <c r="I114" s="4">
        <v>46174</v>
      </c>
      <c r="J114" s="1">
        <v>1184.08</v>
      </c>
      <c r="K114">
        <v>0.17499999999999999</v>
      </c>
      <c r="L114">
        <v>1</v>
      </c>
      <c r="M114" s="1">
        <v>0</v>
      </c>
      <c r="N114" s="1">
        <v>17.27</v>
      </c>
      <c r="O114" t="s">
        <v>34</v>
      </c>
      <c r="P114" t="s">
        <v>35</v>
      </c>
    </row>
    <row r="115" spans="1:16" x14ac:dyDescent="0.25">
      <c r="A115" t="s">
        <v>131</v>
      </c>
      <c r="B115" t="s">
        <v>132</v>
      </c>
      <c r="C115" t="s">
        <v>1010</v>
      </c>
      <c r="D115" t="s">
        <v>39</v>
      </c>
      <c r="E115">
        <v>76</v>
      </c>
      <c r="F115" t="s">
        <v>1011</v>
      </c>
      <c r="G115" s="3">
        <v>46171.777939814798</v>
      </c>
      <c r="H115" s="4">
        <v>45658</v>
      </c>
      <c r="I115" s="4">
        <v>46174</v>
      </c>
      <c r="J115" s="1">
        <v>1099.26</v>
      </c>
      <c r="K115">
        <v>0.17499999999999999</v>
      </c>
      <c r="L115">
        <v>1</v>
      </c>
      <c r="M115" s="1">
        <v>0</v>
      </c>
      <c r="N115" s="1">
        <v>16.03</v>
      </c>
      <c r="O115" t="s">
        <v>34</v>
      </c>
      <c r="P115" t="s">
        <v>35</v>
      </c>
    </row>
    <row r="116" spans="1:16" x14ac:dyDescent="0.25">
      <c r="A116" t="s">
        <v>867</v>
      </c>
      <c r="B116" t="s">
        <v>868</v>
      </c>
      <c r="C116" t="s">
        <v>1012</v>
      </c>
      <c r="D116" t="s">
        <v>62</v>
      </c>
      <c r="E116">
        <v>64</v>
      </c>
      <c r="F116" t="s">
        <v>1013</v>
      </c>
      <c r="G116" s="3">
        <v>46171.777939814798</v>
      </c>
      <c r="H116" s="4">
        <v>45689</v>
      </c>
      <c r="I116" s="4">
        <v>46204</v>
      </c>
      <c r="J116" s="1">
        <v>724.28</v>
      </c>
      <c r="K116">
        <v>0.125</v>
      </c>
      <c r="L116">
        <v>1</v>
      </c>
      <c r="M116" s="1">
        <v>0</v>
      </c>
      <c r="N116" s="1">
        <v>7.54</v>
      </c>
      <c r="O116" t="s">
        <v>423</v>
      </c>
      <c r="P116" t="s">
        <v>35</v>
      </c>
    </row>
    <row r="117" spans="1:16" x14ac:dyDescent="0.25">
      <c r="A117" t="s">
        <v>59</v>
      </c>
      <c r="B117" t="s">
        <v>60</v>
      </c>
      <c r="C117" t="s">
        <v>1014</v>
      </c>
      <c r="D117" t="s">
        <v>62</v>
      </c>
      <c r="E117">
        <v>65</v>
      </c>
      <c r="F117" t="s">
        <v>1015</v>
      </c>
      <c r="G117" s="3">
        <v>46171.777939814798</v>
      </c>
      <c r="H117" s="4">
        <v>45717</v>
      </c>
      <c r="I117" s="4">
        <v>46204</v>
      </c>
      <c r="J117" s="1">
        <v>1418.4</v>
      </c>
      <c r="K117">
        <v>0.17499999999999999</v>
      </c>
      <c r="L117">
        <v>1</v>
      </c>
      <c r="M117" s="1">
        <v>0</v>
      </c>
      <c r="N117" s="1">
        <v>20.68</v>
      </c>
      <c r="O117" t="s">
        <v>34</v>
      </c>
      <c r="P117" t="s">
        <v>35</v>
      </c>
    </row>
    <row r="118" spans="1:16" x14ac:dyDescent="0.25">
      <c r="A118" t="s">
        <v>76</v>
      </c>
      <c r="B118" t="s">
        <v>77</v>
      </c>
      <c r="C118" t="s">
        <v>1016</v>
      </c>
      <c r="D118" t="s">
        <v>110</v>
      </c>
      <c r="E118">
        <v>47</v>
      </c>
      <c r="F118" t="s">
        <v>1017</v>
      </c>
      <c r="G118" s="3">
        <v>46171.777939814798</v>
      </c>
      <c r="H118" s="4">
        <v>45653</v>
      </c>
      <c r="I118" s="4">
        <v>46200</v>
      </c>
      <c r="J118" s="1">
        <v>654</v>
      </c>
      <c r="K118">
        <v>0.17499999999999999</v>
      </c>
      <c r="L118">
        <v>1</v>
      </c>
      <c r="M118" s="1">
        <v>0</v>
      </c>
      <c r="N118" s="1">
        <v>9.5399999999999991</v>
      </c>
      <c r="O118" t="s">
        <v>34</v>
      </c>
      <c r="P118" t="s">
        <v>35</v>
      </c>
    </row>
    <row r="119" spans="1:16" x14ac:dyDescent="0.25">
      <c r="A119" t="s">
        <v>93</v>
      </c>
      <c r="B119" t="s">
        <v>94</v>
      </c>
      <c r="C119" t="s">
        <v>1018</v>
      </c>
      <c r="D119" t="s">
        <v>62</v>
      </c>
      <c r="E119">
        <v>72</v>
      </c>
      <c r="F119" t="s">
        <v>1019</v>
      </c>
      <c r="G119" s="3">
        <v>46171.777939814798</v>
      </c>
      <c r="H119" s="4">
        <v>45658</v>
      </c>
      <c r="I119" s="4">
        <v>46204</v>
      </c>
      <c r="J119" s="1">
        <v>1143.9100000000001</v>
      </c>
      <c r="K119">
        <v>0.17499999999999999</v>
      </c>
      <c r="L119">
        <v>1</v>
      </c>
      <c r="M119" s="1">
        <v>0</v>
      </c>
      <c r="N119" s="1">
        <v>16.68</v>
      </c>
      <c r="O119" t="s">
        <v>34</v>
      </c>
      <c r="P119" t="s">
        <v>35</v>
      </c>
    </row>
    <row r="120" spans="1:16" x14ac:dyDescent="0.25">
      <c r="A120" t="s">
        <v>93</v>
      </c>
      <c r="B120" t="s">
        <v>94</v>
      </c>
      <c r="C120" t="s">
        <v>1020</v>
      </c>
      <c r="D120" t="s">
        <v>62</v>
      </c>
      <c r="E120">
        <v>72</v>
      </c>
      <c r="F120" t="s">
        <v>1021</v>
      </c>
      <c r="G120" s="3">
        <v>46171.777939814798</v>
      </c>
      <c r="H120" s="4">
        <v>45658</v>
      </c>
      <c r="I120" s="4">
        <v>46204</v>
      </c>
      <c r="J120" s="1">
        <v>1143.9100000000001</v>
      </c>
      <c r="K120">
        <v>0.17499999999999999</v>
      </c>
      <c r="L120">
        <v>1</v>
      </c>
      <c r="M120" s="1">
        <v>0</v>
      </c>
      <c r="N120" s="1">
        <v>16.68</v>
      </c>
      <c r="O120" t="s">
        <v>34</v>
      </c>
      <c r="P120" t="s">
        <v>35</v>
      </c>
    </row>
    <row r="121" spans="1:16" x14ac:dyDescent="0.25">
      <c r="A121" t="s">
        <v>580</v>
      </c>
      <c r="B121" t="s">
        <v>581</v>
      </c>
      <c r="C121" t="s">
        <v>1022</v>
      </c>
      <c r="D121" t="s">
        <v>110</v>
      </c>
      <c r="E121">
        <v>26</v>
      </c>
      <c r="F121" t="s">
        <v>1023</v>
      </c>
      <c r="G121" s="3">
        <v>46171.777939814798</v>
      </c>
      <c r="H121" s="4">
        <v>45689</v>
      </c>
      <c r="I121" s="4">
        <v>46174</v>
      </c>
      <c r="J121" s="1">
        <v>873.6</v>
      </c>
      <c r="K121">
        <v>0.17499999999999999</v>
      </c>
      <c r="L121">
        <v>1</v>
      </c>
      <c r="M121" s="1">
        <v>0</v>
      </c>
      <c r="N121" s="1">
        <v>12.74</v>
      </c>
      <c r="O121" t="s">
        <v>34</v>
      </c>
      <c r="P121" t="s">
        <v>35</v>
      </c>
    </row>
    <row r="122" spans="1:16" x14ac:dyDescent="0.25">
      <c r="A122" t="s">
        <v>376</v>
      </c>
      <c r="B122" t="s">
        <v>377</v>
      </c>
      <c r="C122" t="s">
        <v>1024</v>
      </c>
      <c r="D122" t="s">
        <v>471</v>
      </c>
      <c r="E122">
        <v>66</v>
      </c>
      <c r="F122" t="s">
        <v>1025</v>
      </c>
      <c r="G122" s="3">
        <v>46171.777939814798</v>
      </c>
      <c r="H122" s="4">
        <v>45689</v>
      </c>
      <c r="I122" s="4">
        <v>46174</v>
      </c>
      <c r="J122" s="1">
        <v>1236</v>
      </c>
      <c r="K122">
        <v>0.17499999999999999</v>
      </c>
      <c r="L122">
        <v>1</v>
      </c>
      <c r="M122" s="1">
        <v>0</v>
      </c>
      <c r="N122" s="1">
        <v>18.02</v>
      </c>
      <c r="O122" t="s">
        <v>112</v>
      </c>
      <c r="P122" t="s">
        <v>35</v>
      </c>
    </row>
    <row r="123" spans="1:16" x14ac:dyDescent="0.25">
      <c r="A123" t="s">
        <v>36</v>
      </c>
      <c r="B123" t="s">
        <v>37</v>
      </c>
      <c r="C123" t="s">
        <v>1026</v>
      </c>
      <c r="D123" t="s">
        <v>62</v>
      </c>
      <c r="E123">
        <v>75</v>
      </c>
      <c r="F123" t="s">
        <v>1027</v>
      </c>
      <c r="G123" s="3">
        <v>46171.777939814798</v>
      </c>
      <c r="H123" s="4">
        <v>45689</v>
      </c>
      <c r="I123" s="4">
        <v>46204</v>
      </c>
      <c r="J123" s="1">
        <v>1128</v>
      </c>
      <c r="K123">
        <v>0.17499999999999999</v>
      </c>
      <c r="L123">
        <v>1</v>
      </c>
      <c r="M123" s="1">
        <v>0</v>
      </c>
      <c r="N123" s="1">
        <v>16.45</v>
      </c>
      <c r="O123" t="s">
        <v>34</v>
      </c>
      <c r="P123" t="s">
        <v>35</v>
      </c>
    </row>
    <row r="124" spans="1:16" x14ac:dyDescent="0.25">
      <c r="A124" t="s">
        <v>113</v>
      </c>
      <c r="B124" t="s">
        <v>114</v>
      </c>
      <c r="C124" t="s">
        <v>1028</v>
      </c>
      <c r="D124" t="s">
        <v>62</v>
      </c>
      <c r="E124">
        <v>64</v>
      </c>
      <c r="F124" t="s">
        <v>1029</v>
      </c>
      <c r="G124" s="3">
        <v>46171.777939814798</v>
      </c>
      <c r="H124" s="4">
        <v>45748</v>
      </c>
      <c r="I124" s="4">
        <v>46174</v>
      </c>
      <c r="J124" s="1">
        <v>1003.2</v>
      </c>
      <c r="K124">
        <v>0.17499999999999999</v>
      </c>
      <c r="L124">
        <v>1</v>
      </c>
      <c r="M124" s="1">
        <v>0</v>
      </c>
      <c r="N124" s="1">
        <v>14.63</v>
      </c>
      <c r="O124" t="s">
        <v>34</v>
      </c>
      <c r="P124" t="s">
        <v>35</v>
      </c>
    </row>
    <row r="125" spans="1:16" x14ac:dyDescent="0.25">
      <c r="A125" t="s">
        <v>153</v>
      </c>
      <c r="B125" t="s">
        <v>154</v>
      </c>
      <c r="C125" t="s">
        <v>1030</v>
      </c>
      <c r="D125" t="s">
        <v>471</v>
      </c>
      <c r="E125">
        <v>64</v>
      </c>
      <c r="F125" t="s">
        <v>1031</v>
      </c>
      <c r="G125" s="3">
        <v>46171.777939814798</v>
      </c>
      <c r="H125" s="4">
        <v>45748</v>
      </c>
      <c r="I125" s="4">
        <v>46204</v>
      </c>
      <c r="J125" s="1">
        <v>1118.4000000000001</v>
      </c>
      <c r="K125">
        <v>0.17499999999999999</v>
      </c>
      <c r="L125">
        <v>1</v>
      </c>
      <c r="M125" s="1">
        <v>0</v>
      </c>
      <c r="N125" s="1">
        <v>16.309999999999999</v>
      </c>
      <c r="O125" t="s">
        <v>34</v>
      </c>
      <c r="P125" t="s">
        <v>35</v>
      </c>
    </row>
    <row r="126" spans="1:16" x14ac:dyDescent="0.25">
      <c r="A126" t="s">
        <v>36</v>
      </c>
      <c r="B126" t="s">
        <v>37</v>
      </c>
      <c r="C126" t="s">
        <v>1032</v>
      </c>
      <c r="D126" t="s">
        <v>39</v>
      </c>
      <c r="E126">
        <v>64</v>
      </c>
      <c r="F126" t="s">
        <v>1033</v>
      </c>
      <c r="G126" s="3">
        <v>46171.777939814798</v>
      </c>
      <c r="H126" s="4">
        <v>45748</v>
      </c>
      <c r="I126" s="4">
        <v>46204</v>
      </c>
      <c r="J126" s="1">
        <v>980.96</v>
      </c>
      <c r="K126">
        <v>0.17499999999999999</v>
      </c>
      <c r="L126">
        <v>1</v>
      </c>
      <c r="M126" s="1">
        <v>0</v>
      </c>
      <c r="N126" s="1">
        <v>14.3</v>
      </c>
      <c r="O126" t="s">
        <v>34</v>
      </c>
      <c r="P126" t="s">
        <v>35</v>
      </c>
    </row>
    <row r="127" spans="1:16" x14ac:dyDescent="0.25">
      <c r="A127" t="s">
        <v>36</v>
      </c>
      <c r="B127" t="s">
        <v>37</v>
      </c>
      <c r="C127" t="s">
        <v>1034</v>
      </c>
      <c r="D127" t="s">
        <v>39</v>
      </c>
      <c r="E127">
        <v>64</v>
      </c>
      <c r="F127" t="s">
        <v>1035</v>
      </c>
      <c r="G127" s="3">
        <v>46171.777939814798</v>
      </c>
      <c r="H127" s="4">
        <v>45748</v>
      </c>
      <c r="I127" s="4">
        <v>46204</v>
      </c>
      <c r="J127" s="1">
        <v>980.96</v>
      </c>
      <c r="K127">
        <v>0.17499999999999999</v>
      </c>
      <c r="L127">
        <v>1</v>
      </c>
      <c r="M127" s="1">
        <v>0</v>
      </c>
      <c r="N127" s="1">
        <v>14.3</v>
      </c>
      <c r="O127" t="s">
        <v>34</v>
      </c>
      <c r="P127" t="s">
        <v>35</v>
      </c>
    </row>
    <row r="128" spans="1:16" x14ac:dyDescent="0.25">
      <c r="A128" t="s">
        <v>219</v>
      </c>
      <c r="B128" t="s">
        <v>220</v>
      </c>
      <c r="C128" t="s">
        <v>1036</v>
      </c>
      <c r="D128" t="s">
        <v>62</v>
      </c>
      <c r="E128">
        <v>64</v>
      </c>
      <c r="F128" t="s">
        <v>1037</v>
      </c>
      <c r="G128" s="3">
        <v>46171.777939814798</v>
      </c>
      <c r="H128" s="4">
        <v>45748</v>
      </c>
      <c r="I128" s="4">
        <v>46174</v>
      </c>
      <c r="J128" s="1">
        <v>1771.2</v>
      </c>
      <c r="K128">
        <v>0.125</v>
      </c>
      <c r="L128">
        <v>1</v>
      </c>
      <c r="M128" s="1">
        <v>0</v>
      </c>
      <c r="N128" s="1">
        <v>18.45</v>
      </c>
      <c r="O128" t="s">
        <v>695</v>
      </c>
      <c r="P128" t="s">
        <v>35</v>
      </c>
    </row>
    <row r="129" spans="1:16" x14ac:dyDescent="0.25">
      <c r="A129" t="s">
        <v>82</v>
      </c>
      <c r="B129" t="s">
        <v>83</v>
      </c>
      <c r="C129" t="s">
        <v>1038</v>
      </c>
      <c r="D129" t="s">
        <v>62</v>
      </c>
      <c r="E129">
        <v>64</v>
      </c>
      <c r="F129" t="s">
        <v>1039</v>
      </c>
      <c r="G129" s="3">
        <v>46171.777939814798</v>
      </c>
      <c r="H129" s="4">
        <v>45748</v>
      </c>
      <c r="I129" s="4">
        <v>46174</v>
      </c>
      <c r="J129" s="1">
        <v>470.4</v>
      </c>
      <c r="K129">
        <v>0.17499999999999999</v>
      </c>
      <c r="L129">
        <v>1</v>
      </c>
      <c r="M129" s="1">
        <v>0</v>
      </c>
      <c r="N129" s="1">
        <v>6.86</v>
      </c>
      <c r="O129" t="s">
        <v>34</v>
      </c>
      <c r="P129" t="s">
        <v>35</v>
      </c>
    </row>
    <row r="130" spans="1:16" x14ac:dyDescent="0.25">
      <c r="A130" t="s">
        <v>184</v>
      </c>
      <c r="B130" t="s">
        <v>185</v>
      </c>
      <c r="C130" t="s">
        <v>1040</v>
      </c>
      <c r="D130" t="s">
        <v>39</v>
      </c>
      <c r="E130">
        <v>74</v>
      </c>
      <c r="F130" t="s">
        <v>1041</v>
      </c>
      <c r="G130" s="3">
        <v>46171.777939814798</v>
      </c>
      <c r="H130" s="4">
        <v>45721</v>
      </c>
      <c r="I130" s="4">
        <v>46178</v>
      </c>
      <c r="J130" s="1">
        <v>834.77</v>
      </c>
      <c r="K130">
        <v>0.17499999999999999</v>
      </c>
      <c r="L130">
        <v>1</v>
      </c>
      <c r="M130" s="1">
        <v>0</v>
      </c>
      <c r="N130" s="1">
        <v>12.17</v>
      </c>
      <c r="O130" t="s">
        <v>34</v>
      </c>
      <c r="P130" t="s">
        <v>35</v>
      </c>
    </row>
    <row r="131" spans="1:16" x14ac:dyDescent="0.25">
      <c r="A131" t="s">
        <v>184</v>
      </c>
      <c r="B131" t="s">
        <v>185</v>
      </c>
      <c r="C131" t="s">
        <v>1042</v>
      </c>
      <c r="D131" t="s">
        <v>39</v>
      </c>
      <c r="E131">
        <v>64</v>
      </c>
      <c r="F131" t="s">
        <v>1043</v>
      </c>
      <c r="G131" s="3">
        <v>46171.777939814798</v>
      </c>
      <c r="H131" s="4">
        <v>45721</v>
      </c>
      <c r="I131" s="4">
        <v>46178</v>
      </c>
      <c r="J131" s="1">
        <v>626.07000000000005</v>
      </c>
      <c r="K131">
        <v>0.17499999999999999</v>
      </c>
      <c r="L131">
        <v>1</v>
      </c>
      <c r="M131" s="1">
        <v>0</v>
      </c>
      <c r="N131" s="1">
        <v>9.1300000000000008</v>
      </c>
      <c r="O131" t="s">
        <v>34</v>
      </c>
      <c r="P131" t="s">
        <v>35</v>
      </c>
    </row>
    <row r="132" spans="1:16" x14ac:dyDescent="0.25">
      <c r="A132" t="s">
        <v>82</v>
      </c>
      <c r="B132" t="s">
        <v>83</v>
      </c>
      <c r="C132" t="s">
        <v>1044</v>
      </c>
      <c r="D132" t="s">
        <v>62</v>
      </c>
      <c r="E132">
        <v>76</v>
      </c>
      <c r="F132" t="s">
        <v>1045</v>
      </c>
      <c r="G132" s="3">
        <v>46171.777939814798</v>
      </c>
      <c r="H132" s="4">
        <v>45727</v>
      </c>
      <c r="I132" s="4">
        <v>46184</v>
      </c>
      <c r="J132" s="1">
        <v>570.28</v>
      </c>
      <c r="K132">
        <v>0.17499999999999999</v>
      </c>
      <c r="L132">
        <v>1</v>
      </c>
      <c r="M132" s="1">
        <v>0</v>
      </c>
      <c r="N132" s="1">
        <v>8.32</v>
      </c>
      <c r="O132" t="s">
        <v>34</v>
      </c>
      <c r="P132" t="s">
        <v>35</v>
      </c>
    </row>
    <row r="133" spans="1:16" x14ac:dyDescent="0.25">
      <c r="A133" t="s">
        <v>82</v>
      </c>
      <c r="B133" t="s">
        <v>83</v>
      </c>
      <c r="C133" t="s">
        <v>1046</v>
      </c>
      <c r="D133" t="s">
        <v>62</v>
      </c>
      <c r="E133">
        <v>71</v>
      </c>
      <c r="F133" t="s">
        <v>1047</v>
      </c>
      <c r="G133" s="3">
        <v>46171.777939814798</v>
      </c>
      <c r="H133" s="4">
        <v>45727</v>
      </c>
      <c r="I133" s="4">
        <v>46184</v>
      </c>
      <c r="J133" s="1">
        <v>276.77</v>
      </c>
      <c r="K133">
        <v>0.17499999999999999</v>
      </c>
      <c r="L133">
        <v>1</v>
      </c>
      <c r="M133" s="1">
        <v>0</v>
      </c>
      <c r="N133" s="1">
        <v>4.04</v>
      </c>
      <c r="O133" t="s">
        <v>34</v>
      </c>
      <c r="P133" t="s">
        <v>35</v>
      </c>
    </row>
    <row r="134" spans="1:16" x14ac:dyDescent="0.25">
      <c r="A134" t="s">
        <v>219</v>
      </c>
      <c r="B134" t="s">
        <v>220</v>
      </c>
      <c r="C134" t="s">
        <v>1048</v>
      </c>
      <c r="D134" t="s">
        <v>62</v>
      </c>
      <c r="E134">
        <v>64</v>
      </c>
      <c r="F134" t="s">
        <v>1049</v>
      </c>
      <c r="G134" s="3">
        <v>46171.777939814798</v>
      </c>
      <c r="H134" s="4">
        <v>45748</v>
      </c>
      <c r="I134" s="4">
        <v>46174</v>
      </c>
      <c r="J134" s="1">
        <v>1916.4</v>
      </c>
      <c r="K134">
        <v>0.17499999999999999</v>
      </c>
      <c r="L134">
        <v>1</v>
      </c>
      <c r="M134" s="1">
        <v>0</v>
      </c>
      <c r="N134" s="1">
        <v>27.95</v>
      </c>
      <c r="O134" t="s">
        <v>34</v>
      </c>
      <c r="P134" t="s">
        <v>35</v>
      </c>
    </row>
    <row r="135" spans="1:16" x14ac:dyDescent="0.25">
      <c r="A135" t="s">
        <v>113</v>
      </c>
      <c r="B135" t="s">
        <v>114</v>
      </c>
      <c r="C135" t="s">
        <v>1050</v>
      </c>
      <c r="D135" t="s">
        <v>62</v>
      </c>
      <c r="E135">
        <v>60</v>
      </c>
      <c r="F135" t="s">
        <v>1051</v>
      </c>
      <c r="G135" s="3">
        <v>46171.777939814798</v>
      </c>
      <c r="H135" s="4">
        <v>45748</v>
      </c>
      <c r="I135" s="4">
        <v>46174</v>
      </c>
      <c r="J135" s="1">
        <v>790.8</v>
      </c>
      <c r="K135">
        <v>0.17499999999999999</v>
      </c>
      <c r="L135">
        <v>1</v>
      </c>
      <c r="M135" s="1">
        <v>0</v>
      </c>
      <c r="N135" s="1">
        <v>11.53</v>
      </c>
      <c r="O135" t="s">
        <v>34</v>
      </c>
      <c r="P135" t="s">
        <v>35</v>
      </c>
    </row>
    <row r="136" spans="1:16" x14ac:dyDescent="0.25">
      <c r="A136" t="s">
        <v>159</v>
      </c>
      <c r="B136" t="s">
        <v>160</v>
      </c>
      <c r="C136" t="s">
        <v>1052</v>
      </c>
      <c r="D136" t="s">
        <v>62</v>
      </c>
      <c r="E136">
        <v>65</v>
      </c>
      <c r="F136" t="s">
        <v>1053</v>
      </c>
      <c r="G136" s="3">
        <v>46171.777939814798</v>
      </c>
      <c r="H136" s="4">
        <v>45748</v>
      </c>
      <c r="I136" s="4">
        <v>46204</v>
      </c>
      <c r="J136" s="1">
        <v>2019.6</v>
      </c>
      <c r="K136">
        <v>0.17499999999999999</v>
      </c>
      <c r="L136">
        <v>1</v>
      </c>
      <c r="M136" s="1">
        <v>0</v>
      </c>
      <c r="N136" s="1">
        <v>29.45</v>
      </c>
      <c r="O136" t="s">
        <v>34</v>
      </c>
      <c r="P136" t="s">
        <v>35</v>
      </c>
    </row>
    <row r="137" spans="1:16" x14ac:dyDescent="0.25">
      <c r="A137" t="s">
        <v>113</v>
      </c>
      <c r="B137" t="s">
        <v>114</v>
      </c>
      <c r="C137" t="s">
        <v>1054</v>
      </c>
      <c r="D137" t="s">
        <v>62</v>
      </c>
      <c r="E137">
        <v>65</v>
      </c>
      <c r="F137" t="s">
        <v>1055</v>
      </c>
      <c r="G137" s="3">
        <v>46171.777939814798</v>
      </c>
      <c r="H137" s="4">
        <v>45748</v>
      </c>
      <c r="I137" s="4">
        <v>46174</v>
      </c>
      <c r="J137" s="1">
        <v>1051.2</v>
      </c>
      <c r="K137">
        <v>0.17499999999999999</v>
      </c>
      <c r="L137">
        <v>1</v>
      </c>
      <c r="M137" s="1">
        <v>0</v>
      </c>
      <c r="N137" s="1">
        <v>15.33</v>
      </c>
      <c r="O137" t="s">
        <v>34</v>
      </c>
      <c r="P137" t="s">
        <v>35</v>
      </c>
    </row>
    <row r="138" spans="1:16" x14ac:dyDescent="0.25">
      <c r="A138" t="s">
        <v>867</v>
      </c>
      <c r="B138" t="s">
        <v>868</v>
      </c>
      <c r="C138" t="s">
        <v>1056</v>
      </c>
      <c r="D138" t="s">
        <v>62</v>
      </c>
      <c r="E138">
        <v>65</v>
      </c>
      <c r="F138" t="s">
        <v>1057</v>
      </c>
      <c r="G138" s="3">
        <v>46171.777939814798</v>
      </c>
      <c r="H138" s="4">
        <v>45778</v>
      </c>
      <c r="I138" s="4">
        <v>46508</v>
      </c>
      <c r="J138" s="1">
        <v>367.2</v>
      </c>
      <c r="K138">
        <v>0.17499999999999999</v>
      </c>
      <c r="L138">
        <v>1</v>
      </c>
      <c r="M138" s="1">
        <v>0</v>
      </c>
      <c r="N138" s="1">
        <v>64.260000000000005</v>
      </c>
      <c r="O138" t="s">
        <v>34</v>
      </c>
      <c r="P138" t="s">
        <v>35</v>
      </c>
    </row>
    <row r="139" spans="1:16" x14ac:dyDescent="0.25">
      <c r="A139" t="s">
        <v>203</v>
      </c>
      <c r="B139" t="s">
        <v>204</v>
      </c>
      <c r="C139" t="s">
        <v>1058</v>
      </c>
      <c r="D139" t="s">
        <v>110</v>
      </c>
      <c r="E139">
        <v>64</v>
      </c>
      <c r="F139" t="s">
        <v>1059</v>
      </c>
      <c r="G139" s="3">
        <v>46171.777939814798</v>
      </c>
      <c r="H139" s="4">
        <v>45778</v>
      </c>
      <c r="I139" s="4">
        <v>46174</v>
      </c>
      <c r="J139" s="1">
        <v>1072.8</v>
      </c>
      <c r="K139">
        <v>0.17499999999999999</v>
      </c>
      <c r="L139">
        <v>1</v>
      </c>
      <c r="M139" s="1">
        <v>0</v>
      </c>
      <c r="N139" s="1">
        <v>15.64</v>
      </c>
      <c r="O139" t="s">
        <v>112</v>
      </c>
      <c r="P139" t="s">
        <v>35</v>
      </c>
    </row>
    <row r="140" spans="1:16" x14ac:dyDescent="0.25">
      <c r="A140" t="s">
        <v>43</v>
      </c>
      <c r="B140" t="s">
        <v>44</v>
      </c>
      <c r="C140" t="s">
        <v>1060</v>
      </c>
      <c r="D140" t="s">
        <v>62</v>
      </c>
      <c r="E140">
        <v>64</v>
      </c>
      <c r="F140" t="s">
        <v>1061</v>
      </c>
      <c r="G140" s="3">
        <v>46171.777939814798</v>
      </c>
      <c r="H140" s="4">
        <v>45778</v>
      </c>
      <c r="I140" s="4">
        <v>46174</v>
      </c>
      <c r="J140" s="1">
        <v>1099.2</v>
      </c>
      <c r="K140">
        <v>0.125</v>
      </c>
      <c r="L140">
        <v>1</v>
      </c>
      <c r="M140" s="1">
        <v>0</v>
      </c>
      <c r="N140" s="1">
        <v>11.45</v>
      </c>
      <c r="O140" t="s">
        <v>1062</v>
      </c>
      <c r="P140" t="s">
        <v>35</v>
      </c>
    </row>
    <row r="141" spans="1:16" x14ac:dyDescent="0.25">
      <c r="A141" t="s">
        <v>113</v>
      </c>
      <c r="B141" t="s">
        <v>114</v>
      </c>
      <c r="C141" t="s">
        <v>1063</v>
      </c>
      <c r="D141" t="s">
        <v>62</v>
      </c>
      <c r="E141">
        <v>65</v>
      </c>
      <c r="F141" t="s">
        <v>1064</v>
      </c>
      <c r="G141" s="3">
        <v>46171.777939814798</v>
      </c>
      <c r="H141" s="4">
        <v>45778</v>
      </c>
      <c r="I141" s="4">
        <v>46174</v>
      </c>
      <c r="J141" s="1">
        <v>1051.2</v>
      </c>
      <c r="K141">
        <v>0.17499999999999999</v>
      </c>
      <c r="L141">
        <v>1</v>
      </c>
      <c r="M141" s="1">
        <v>0</v>
      </c>
      <c r="N141" s="1">
        <v>15.33</v>
      </c>
      <c r="O141" t="s">
        <v>34</v>
      </c>
      <c r="P141" t="s">
        <v>35</v>
      </c>
    </row>
    <row r="142" spans="1:16" x14ac:dyDescent="0.25">
      <c r="A142" t="s">
        <v>580</v>
      </c>
      <c r="B142" t="s">
        <v>581</v>
      </c>
      <c r="C142" t="s">
        <v>1065</v>
      </c>
      <c r="D142" t="s">
        <v>32</v>
      </c>
      <c r="E142">
        <v>69</v>
      </c>
      <c r="F142" t="s">
        <v>1066</v>
      </c>
      <c r="G142" s="3">
        <v>46171.777939814798</v>
      </c>
      <c r="H142" s="4">
        <v>45791</v>
      </c>
      <c r="I142" s="4">
        <v>46187</v>
      </c>
      <c r="J142" s="1">
        <v>900.43</v>
      </c>
      <c r="K142">
        <v>0.13</v>
      </c>
      <c r="L142">
        <v>1</v>
      </c>
      <c r="M142" s="1">
        <v>0</v>
      </c>
      <c r="N142" s="1">
        <v>9.75</v>
      </c>
      <c r="O142" t="s">
        <v>34</v>
      </c>
      <c r="P142" t="s">
        <v>35</v>
      </c>
    </row>
    <row r="143" spans="1:16" x14ac:dyDescent="0.25">
      <c r="A143" t="s">
        <v>580</v>
      </c>
      <c r="B143" t="s">
        <v>581</v>
      </c>
      <c r="C143" t="s">
        <v>1067</v>
      </c>
      <c r="D143" t="s">
        <v>62</v>
      </c>
      <c r="E143">
        <v>64</v>
      </c>
      <c r="F143" t="s">
        <v>1068</v>
      </c>
      <c r="G143" s="3">
        <v>46171.777939814798</v>
      </c>
      <c r="H143" s="4">
        <v>45809</v>
      </c>
      <c r="I143" s="4">
        <v>46204</v>
      </c>
      <c r="J143" s="1">
        <v>1417.2</v>
      </c>
      <c r="K143">
        <v>0.17499999999999999</v>
      </c>
      <c r="L143">
        <v>1</v>
      </c>
      <c r="M143" s="1">
        <v>0</v>
      </c>
      <c r="N143" s="1">
        <v>20.67</v>
      </c>
      <c r="O143" t="s">
        <v>34</v>
      </c>
      <c r="P143" t="s">
        <v>35</v>
      </c>
    </row>
    <row r="144" spans="1:16" x14ac:dyDescent="0.25">
      <c r="A144" t="s">
        <v>580</v>
      </c>
      <c r="B144" t="s">
        <v>581</v>
      </c>
      <c r="C144" t="s">
        <v>1069</v>
      </c>
      <c r="D144" t="s">
        <v>32</v>
      </c>
      <c r="E144">
        <v>69</v>
      </c>
      <c r="F144" t="s">
        <v>1070</v>
      </c>
      <c r="G144" s="3">
        <v>46171.777939814798</v>
      </c>
      <c r="H144" s="4">
        <v>45474</v>
      </c>
      <c r="I144" s="4">
        <v>46204</v>
      </c>
      <c r="J144" s="1">
        <v>1203.17</v>
      </c>
      <c r="K144">
        <v>0.12</v>
      </c>
      <c r="L144">
        <v>1</v>
      </c>
      <c r="M144" s="1">
        <v>0</v>
      </c>
      <c r="N144" s="1">
        <v>8.6199999999999992</v>
      </c>
      <c r="O144" t="s">
        <v>34</v>
      </c>
      <c r="P144" t="s">
        <v>35</v>
      </c>
    </row>
    <row r="145" spans="1:16" x14ac:dyDescent="0.25">
      <c r="A145" t="s">
        <v>580</v>
      </c>
      <c r="B145" t="s">
        <v>581</v>
      </c>
      <c r="C145" t="s">
        <v>1071</v>
      </c>
      <c r="D145" t="s">
        <v>32</v>
      </c>
      <c r="E145">
        <v>65</v>
      </c>
      <c r="F145" t="s">
        <v>1072</v>
      </c>
      <c r="G145" s="3">
        <v>46171.777939814798</v>
      </c>
      <c r="H145" s="4">
        <v>45474</v>
      </c>
      <c r="I145" s="4">
        <v>46204</v>
      </c>
      <c r="J145" s="1">
        <v>862.54</v>
      </c>
      <c r="K145">
        <v>0.12</v>
      </c>
      <c r="L145">
        <v>1</v>
      </c>
      <c r="M145" s="1">
        <v>0</v>
      </c>
      <c r="N145" s="1">
        <v>8.6199999999999992</v>
      </c>
      <c r="O145" t="s">
        <v>34</v>
      </c>
      <c r="P145" t="s">
        <v>35</v>
      </c>
    </row>
    <row r="146" spans="1:16" x14ac:dyDescent="0.25">
      <c r="A146" t="s">
        <v>76</v>
      </c>
      <c r="B146" t="s">
        <v>77</v>
      </c>
      <c r="C146" t="s">
        <v>1073</v>
      </c>
      <c r="D146" t="s">
        <v>32</v>
      </c>
      <c r="E146">
        <v>64</v>
      </c>
      <c r="F146" t="s">
        <v>1074</v>
      </c>
      <c r="G146" s="3">
        <v>46171.777939814798</v>
      </c>
      <c r="H146" s="4">
        <v>45505</v>
      </c>
      <c r="I146" s="4">
        <v>46174</v>
      </c>
      <c r="J146" s="1">
        <v>917.59</v>
      </c>
      <c r="K146">
        <v>0.12</v>
      </c>
      <c r="L146">
        <v>1</v>
      </c>
      <c r="M146" s="1">
        <v>0</v>
      </c>
      <c r="N146" s="1">
        <v>6.94</v>
      </c>
      <c r="O146" t="s">
        <v>34</v>
      </c>
      <c r="P146" t="s">
        <v>35</v>
      </c>
    </row>
    <row r="147" spans="1:16" x14ac:dyDescent="0.25">
      <c r="A147" t="s">
        <v>153</v>
      </c>
      <c r="B147" t="s">
        <v>154</v>
      </c>
      <c r="C147" t="s">
        <v>1075</v>
      </c>
      <c r="D147" t="s">
        <v>32</v>
      </c>
      <c r="E147">
        <v>62</v>
      </c>
      <c r="F147" t="s">
        <v>1076</v>
      </c>
      <c r="G147" s="3">
        <v>46171.777939814798</v>
      </c>
      <c r="H147" s="4">
        <v>45474</v>
      </c>
      <c r="I147" s="4">
        <v>46174</v>
      </c>
      <c r="J147" s="1">
        <v>467.79</v>
      </c>
      <c r="K147">
        <v>0.12</v>
      </c>
      <c r="L147">
        <v>1</v>
      </c>
      <c r="M147" s="1">
        <v>0</v>
      </c>
      <c r="N147" s="1">
        <v>4.68</v>
      </c>
      <c r="O147" t="s">
        <v>34</v>
      </c>
      <c r="P147" t="s">
        <v>35</v>
      </c>
    </row>
    <row r="148" spans="1:16" x14ac:dyDescent="0.25">
      <c r="A148" t="s">
        <v>153</v>
      </c>
      <c r="B148" t="s">
        <v>154</v>
      </c>
      <c r="C148" t="s">
        <v>1077</v>
      </c>
      <c r="D148" t="s">
        <v>32</v>
      </c>
      <c r="E148">
        <v>63</v>
      </c>
      <c r="F148" t="s">
        <v>1078</v>
      </c>
      <c r="G148" s="3">
        <v>46171.777939814798</v>
      </c>
      <c r="H148" s="4">
        <v>45474</v>
      </c>
      <c r="I148" s="4">
        <v>46174</v>
      </c>
      <c r="J148" s="1">
        <v>467.79</v>
      </c>
      <c r="K148">
        <v>0.12</v>
      </c>
      <c r="L148">
        <v>1</v>
      </c>
      <c r="M148" s="1">
        <v>0</v>
      </c>
      <c r="N148" s="1">
        <v>4.68</v>
      </c>
      <c r="O148" t="s">
        <v>34</v>
      </c>
      <c r="P148" t="s">
        <v>35</v>
      </c>
    </row>
    <row r="149" spans="1:16" x14ac:dyDescent="0.25">
      <c r="A149" t="s">
        <v>76</v>
      </c>
      <c r="B149" t="s">
        <v>77</v>
      </c>
      <c r="C149" t="s">
        <v>1079</v>
      </c>
      <c r="D149" t="s">
        <v>32</v>
      </c>
      <c r="E149">
        <v>66</v>
      </c>
      <c r="F149" t="s">
        <v>1080</v>
      </c>
      <c r="G149" s="3">
        <v>46171.777939814798</v>
      </c>
      <c r="H149" s="4">
        <v>45536</v>
      </c>
      <c r="I149" s="4">
        <v>46174</v>
      </c>
      <c r="J149" s="1">
        <v>884.95</v>
      </c>
      <c r="K149">
        <v>0.13</v>
      </c>
      <c r="L149">
        <v>1</v>
      </c>
      <c r="M149" s="1">
        <v>0</v>
      </c>
      <c r="N149" s="1">
        <v>9.59</v>
      </c>
      <c r="O149" t="s">
        <v>34</v>
      </c>
      <c r="P149" t="s">
        <v>35</v>
      </c>
    </row>
    <row r="150" spans="1:16" x14ac:dyDescent="0.25">
      <c r="A150" t="s">
        <v>153</v>
      </c>
      <c r="B150" t="s">
        <v>154</v>
      </c>
      <c r="C150" t="s">
        <v>1081</v>
      </c>
      <c r="D150" t="s">
        <v>32</v>
      </c>
      <c r="E150">
        <v>64</v>
      </c>
      <c r="F150" t="s">
        <v>1082</v>
      </c>
      <c r="G150" s="3">
        <v>46171.777939814798</v>
      </c>
      <c r="H150" s="4">
        <v>45480</v>
      </c>
      <c r="I150" s="4">
        <v>46180</v>
      </c>
      <c r="J150" s="1">
        <v>647.21</v>
      </c>
      <c r="K150">
        <v>0.13</v>
      </c>
      <c r="L150">
        <v>1</v>
      </c>
      <c r="M150" s="1">
        <v>0</v>
      </c>
      <c r="N150" s="1">
        <v>5.45</v>
      </c>
      <c r="O150" t="s">
        <v>34</v>
      </c>
      <c r="P150" t="s">
        <v>35</v>
      </c>
    </row>
    <row r="151" spans="1:16" x14ac:dyDescent="0.25">
      <c r="A151" t="s">
        <v>153</v>
      </c>
      <c r="B151" t="s">
        <v>154</v>
      </c>
      <c r="C151" t="s">
        <v>1083</v>
      </c>
      <c r="D151" t="s">
        <v>32</v>
      </c>
      <c r="E151">
        <v>65</v>
      </c>
      <c r="F151" t="s">
        <v>1084</v>
      </c>
      <c r="G151" s="3">
        <v>46171.777939814798</v>
      </c>
      <c r="H151" s="4">
        <v>45481</v>
      </c>
      <c r="I151" s="4">
        <v>46181</v>
      </c>
      <c r="J151" s="1">
        <v>607.15</v>
      </c>
      <c r="K151">
        <v>0.13</v>
      </c>
      <c r="L151">
        <v>1</v>
      </c>
      <c r="M151" s="1">
        <v>0</v>
      </c>
      <c r="N151" s="1">
        <v>6.58</v>
      </c>
      <c r="O151" t="s">
        <v>34</v>
      </c>
      <c r="P151" t="s">
        <v>35</v>
      </c>
    </row>
    <row r="152" spans="1:16" x14ac:dyDescent="0.25">
      <c r="A152" t="s">
        <v>76</v>
      </c>
      <c r="B152" t="s">
        <v>77</v>
      </c>
      <c r="C152" t="s">
        <v>1085</v>
      </c>
      <c r="D152" t="s">
        <v>32</v>
      </c>
      <c r="E152">
        <v>65</v>
      </c>
      <c r="F152" t="s">
        <v>1086</v>
      </c>
      <c r="G152" s="3">
        <v>46171.777939814798</v>
      </c>
      <c r="H152" s="4">
        <v>45536</v>
      </c>
      <c r="I152" s="4">
        <v>46174</v>
      </c>
      <c r="J152" s="1">
        <v>951.57</v>
      </c>
      <c r="K152">
        <v>0.13</v>
      </c>
      <c r="L152">
        <v>1</v>
      </c>
      <c r="M152" s="1">
        <v>0</v>
      </c>
      <c r="N152" s="1">
        <v>10.31</v>
      </c>
      <c r="O152" t="s">
        <v>34</v>
      </c>
      <c r="P152" t="s">
        <v>35</v>
      </c>
    </row>
    <row r="153" spans="1:16" x14ac:dyDescent="0.25">
      <c r="A153" t="s">
        <v>580</v>
      </c>
      <c r="B153" t="s">
        <v>581</v>
      </c>
      <c r="C153" t="s">
        <v>1087</v>
      </c>
      <c r="D153" t="s">
        <v>32</v>
      </c>
      <c r="E153">
        <v>64</v>
      </c>
      <c r="F153" t="s">
        <v>1088</v>
      </c>
      <c r="G153" s="3">
        <v>46171.777939814798</v>
      </c>
      <c r="H153" s="4">
        <v>45505</v>
      </c>
      <c r="I153" s="4">
        <v>46174</v>
      </c>
      <c r="J153" s="1">
        <v>891.32</v>
      </c>
      <c r="K153">
        <v>0.13</v>
      </c>
      <c r="L153">
        <v>1</v>
      </c>
      <c r="M153" s="1">
        <v>0</v>
      </c>
      <c r="N153" s="1">
        <v>7.18</v>
      </c>
      <c r="O153" t="s">
        <v>34</v>
      </c>
      <c r="P153" t="s">
        <v>35</v>
      </c>
    </row>
    <row r="154" spans="1:16" x14ac:dyDescent="0.25">
      <c r="A154" t="s">
        <v>580</v>
      </c>
      <c r="B154" t="s">
        <v>581</v>
      </c>
      <c r="C154" t="s">
        <v>1089</v>
      </c>
      <c r="D154" t="s">
        <v>32</v>
      </c>
      <c r="E154">
        <v>74</v>
      </c>
      <c r="F154" t="s">
        <v>1090</v>
      </c>
      <c r="G154" s="3">
        <v>46171.777939814798</v>
      </c>
      <c r="H154" s="4">
        <v>45505</v>
      </c>
      <c r="I154" s="4">
        <v>46174</v>
      </c>
      <c r="J154" s="1">
        <v>1169.55</v>
      </c>
      <c r="K154">
        <v>0.13</v>
      </c>
      <c r="L154">
        <v>1</v>
      </c>
      <c r="M154" s="1">
        <v>0</v>
      </c>
      <c r="N154" s="1">
        <v>12.67</v>
      </c>
      <c r="O154" t="s">
        <v>34</v>
      </c>
      <c r="P154" t="s">
        <v>35</v>
      </c>
    </row>
    <row r="155" spans="1:16" x14ac:dyDescent="0.25">
      <c r="A155" t="s">
        <v>36</v>
      </c>
      <c r="B155" t="s">
        <v>37</v>
      </c>
      <c r="C155" t="s">
        <v>1091</v>
      </c>
      <c r="D155" t="s">
        <v>32</v>
      </c>
      <c r="E155">
        <v>68</v>
      </c>
      <c r="F155" t="s">
        <v>1092</v>
      </c>
      <c r="G155" s="3">
        <v>46171.777939814798</v>
      </c>
      <c r="H155" s="4">
        <v>45484</v>
      </c>
      <c r="I155" s="4">
        <v>46184</v>
      </c>
      <c r="J155" s="1">
        <v>862.54</v>
      </c>
      <c r="K155">
        <v>0.13</v>
      </c>
      <c r="L155">
        <v>1</v>
      </c>
      <c r="M155" s="1">
        <v>0</v>
      </c>
      <c r="N155" s="1">
        <v>9.34</v>
      </c>
      <c r="O155" t="s">
        <v>34</v>
      </c>
      <c r="P155" t="s">
        <v>35</v>
      </c>
    </row>
    <row r="156" spans="1:16" x14ac:dyDescent="0.25">
      <c r="A156" t="s">
        <v>153</v>
      </c>
      <c r="B156" t="s">
        <v>154</v>
      </c>
      <c r="C156" t="s">
        <v>1093</v>
      </c>
      <c r="D156" t="s">
        <v>32</v>
      </c>
      <c r="E156">
        <v>65</v>
      </c>
      <c r="F156" t="s">
        <v>1094</v>
      </c>
      <c r="G156" s="3">
        <v>46171.777939814798</v>
      </c>
      <c r="H156" s="4">
        <v>45488</v>
      </c>
      <c r="I156" s="4">
        <v>46188</v>
      </c>
      <c r="J156" s="1">
        <v>922.84</v>
      </c>
      <c r="K156">
        <v>0.13</v>
      </c>
      <c r="L156">
        <v>1</v>
      </c>
      <c r="M156" s="1">
        <v>0</v>
      </c>
      <c r="N156" s="1">
        <v>10</v>
      </c>
      <c r="O156" t="s">
        <v>34</v>
      </c>
      <c r="P156" t="s">
        <v>35</v>
      </c>
    </row>
    <row r="157" spans="1:16" x14ac:dyDescent="0.25">
      <c r="A157" t="s">
        <v>99</v>
      </c>
      <c r="B157" t="s">
        <v>100</v>
      </c>
      <c r="C157" t="s">
        <v>1095</v>
      </c>
      <c r="D157" t="s">
        <v>91</v>
      </c>
      <c r="E157">
        <v>64</v>
      </c>
      <c r="F157" t="s">
        <v>1096</v>
      </c>
      <c r="G157" s="3">
        <v>46171.777939814798</v>
      </c>
      <c r="H157" s="4">
        <v>45505</v>
      </c>
      <c r="I157" s="4">
        <v>46174</v>
      </c>
      <c r="J157" s="1">
        <v>629.9</v>
      </c>
      <c r="K157">
        <v>0.13</v>
      </c>
      <c r="L157">
        <v>1</v>
      </c>
      <c r="M157" s="1">
        <v>0</v>
      </c>
      <c r="N157" s="1">
        <v>5.25</v>
      </c>
      <c r="O157" t="s">
        <v>34</v>
      </c>
      <c r="P157" t="s">
        <v>35</v>
      </c>
    </row>
    <row r="158" spans="1:16" x14ac:dyDescent="0.25">
      <c r="A158" t="s">
        <v>580</v>
      </c>
      <c r="B158" t="s">
        <v>581</v>
      </c>
      <c r="C158" t="s">
        <v>1097</v>
      </c>
      <c r="D158" t="s">
        <v>32</v>
      </c>
      <c r="E158">
        <v>64</v>
      </c>
      <c r="F158" t="s">
        <v>1098</v>
      </c>
      <c r="G158" s="3">
        <v>46171.777939814798</v>
      </c>
      <c r="H158" s="4">
        <v>45505</v>
      </c>
      <c r="I158" s="4">
        <v>46174</v>
      </c>
      <c r="J158" s="1">
        <v>828.92</v>
      </c>
      <c r="K158">
        <v>0.13</v>
      </c>
      <c r="L158">
        <v>1</v>
      </c>
      <c r="M158" s="1">
        <v>0</v>
      </c>
      <c r="N158" s="1">
        <v>6.68</v>
      </c>
      <c r="O158" t="s">
        <v>34</v>
      </c>
      <c r="P158" t="s">
        <v>35</v>
      </c>
    </row>
    <row r="159" spans="1:16" x14ac:dyDescent="0.25">
      <c r="A159" t="s">
        <v>153</v>
      </c>
      <c r="B159" t="s">
        <v>154</v>
      </c>
      <c r="C159" t="s">
        <v>1099</v>
      </c>
      <c r="D159" t="s">
        <v>32</v>
      </c>
      <c r="E159">
        <v>67</v>
      </c>
      <c r="F159" t="s">
        <v>1100</v>
      </c>
      <c r="G159" s="3">
        <v>46171.777939814798</v>
      </c>
      <c r="H159" s="4">
        <v>45514</v>
      </c>
      <c r="I159" s="4">
        <v>46213</v>
      </c>
      <c r="J159" s="1">
        <v>652.86</v>
      </c>
      <c r="K159">
        <v>0.13</v>
      </c>
      <c r="L159">
        <v>1</v>
      </c>
      <c r="M159" s="1">
        <v>0</v>
      </c>
      <c r="N159" s="1">
        <v>7.07</v>
      </c>
      <c r="O159" t="s">
        <v>34</v>
      </c>
      <c r="P159" t="s">
        <v>35</v>
      </c>
    </row>
    <row r="160" spans="1:16" x14ac:dyDescent="0.25">
      <c r="A160" t="s">
        <v>153</v>
      </c>
      <c r="B160" t="s">
        <v>154</v>
      </c>
      <c r="C160" t="s">
        <v>1101</v>
      </c>
      <c r="D160" t="s">
        <v>32</v>
      </c>
      <c r="E160">
        <v>65</v>
      </c>
      <c r="F160" t="s">
        <v>1102</v>
      </c>
      <c r="G160" s="3">
        <v>46171.777939814798</v>
      </c>
      <c r="H160" s="4">
        <v>45524</v>
      </c>
      <c r="I160" s="4">
        <v>46193</v>
      </c>
      <c r="J160" s="1">
        <v>652.86</v>
      </c>
      <c r="K160">
        <v>0.13</v>
      </c>
      <c r="L160">
        <v>1</v>
      </c>
      <c r="M160" s="1">
        <v>0</v>
      </c>
      <c r="N160" s="1">
        <v>7.07</v>
      </c>
      <c r="O160" t="s">
        <v>34</v>
      </c>
      <c r="P160" t="s">
        <v>35</v>
      </c>
    </row>
    <row r="161" spans="1:16" x14ac:dyDescent="0.25">
      <c r="A161" t="s">
        <v>36</v>
      </c>
      <c r="B161" t="s">
        <v>37</v>
      </c>
      <c r="C161" t="s">
        <v>1103</v>
      </c>
      <c r="D161" t="s">
        <v>32</v>
      </c>
      <c r="E161">
        <v>66</v>
      </c>
      <c r="F161" t="s">
        <v>1104</v>
      </c>
      <c r="G161" s="3">
        <v>46171.777939814798</v>
      </c>
      <c r="H161" s="4">
        <v>45536</v>
      </c>
      <c r="I161" s="4">
        <v>46174</v>
      </c>
      <c r="J161" s="1">
        <v>915.42</v>
      </c>
      <c r="K161">
        <v>0.13</v>
      </c>
      <c r="L161">
        <v>1</v>
      </c>
      <c r="M161" s="1">
        <v>0</v>
      </c>
      <c r="N161" s="1">
        <v>9.92</v>
      </c>
      <c r="O161" t="s">
        <v>34</v>
      </c>
      <c r="P161" t="s">
        <v>35</v>
      </c>
    </row>
    <row r="162" spans="1:16" x14ac:dyDescent="0.25">
      <c r="A162" t="s">
        <v>153</v>
      </c>
      <c r="B162" t="s">
        <v>154</v>
      </c>
      <c r="C162" t="s">
        <v>1105</v>
      </c>
      <c r="D162" t="s">
        <v>32</v>
      </c>
      <c r="E162">
        <v>64</v>
      </c>
      <c r="F162" t="s">
        <v>1106</v>
      </c>
      <c r="G162" s="3">
        <v>46171.777939814798</v>
      </c>
      <c r="H162" s="4">
        <v>45558</v>
      </c>
      <c r="I162" s="4">
        <v>46196</v>
      </c>
      <c r="J162" s="1">
        <v>581.59</v>
      </c>
      <c r="K162">
        <v>0.13</v>
      </c>
      <c r="L162">
        <v>1</v>
      </c>
      <c r="M162" s="1">
        <v>0</v>
      </c>
      <c r="N162" s="1">
        <v>4.8499999999999996</v>
      </c>
      <c r="O162" t="s">
        <v>34</v>
      </c>
      <c r="P162" t="s">
        <v>35</v>
      </c>
    </row>
    <row r="163" spans="1:16" x14ac:dyDescent="0.25">
      <c r="A163" t="s">
        <v>219</v>
      </c>
      <c r="B163" t="s">
        <v>220</v>
      </c>
      <c r="C163" t="s">
        <v>1107</v>
      </c>
      <c r="D163" t="s">
        <v>32</v>
      </c>
      <c r="E163">
        <v>65</v>
      </c>
      <c r="F163" t="s">
        <v>1108</v>
      </c>
      <c r="G163" s="3">
        <v>46171.777939814798</v>
      </c>
      <c r="H163" s="4">
        <v>45565</v>
      </c>
      <c r="I163" s="4">
        <v>46172</v>
      </c>
      <c r="J163" s="1">
        <v>607.15</v>
      </c>
      <c r="K163">
        <v>0.13</v>
      </c>
      <c r="L163">
        <v>1</v>
      </c>
      <c r="M163" s="1">
        <v>0</v>
      </c>
      <c r="N163" s="1">
        <v>6.58</v>
      </c>
      <c r="O163" t="s">
        <v>34</v>
      </c>
      <c r="P163" t="s">
        <v>35</v>
      </c>
    </row>
    <row r="164" spans="1:16" x14ac:dyDescent="0.25">
      <c r="A164" t="s">
        <v>76</v>
      </c>
      <c r="B164" t="s">
        <v>77</v>
      </c>
      <c r="C164" t="s">
        <v>1109</v>
      </c>
      <c r="D164" t="s">
        <v>32</v>
      </c>
      <c r="E164">
        <v>63</v>
      </c>
      <c r="F164" t="s">
        <v>1110</v>
      </c>
      <c r="G164" s="3">
        <v>46171.777939814798</v>
      </c>
      <c r="H164" s="4">
        <v>45566</v>
      </c>
      <c r="I164" s="4">
        <v>46174</v>
      </c>
      <c r="J164" s="1">
        <v>746.56</v>
      </c>
      <c r="K164">
        <v>0.13</v>
      </c>
      <c r="L164">
        <v>1</v>
      </c>
      <c r="M164" s="1">
        <v>0</v>
      </c>
      <c r="N164" s="1">
        <v>8.09</v>
      </c>
      <c r="O164" t="s">
        <v>34</v>
      </c>
      <c r="P164" t="s">
        <v>35</v>
      </c>
    </row>
    <row r="165" spans="1:16" x14ac:dyDescent="0.25">
      <c r="A165" t="s">
        <v>219</v>
      </c>
      <c r="B165" t="s">
        <v>220</v>
      </c>
      <c r="C165" t="s">
        <v>1111</v>
      </c>
      <c r="D165" t="s">
        <v>32</v>
      </c>
      <c r="E165">
        <v>65</v>
      </c>
      <c r="F165" t="s">
        <v>1112</v>
      </c>
      <c r="G165" s="3">
        <v>46171.777939814798</v>
      </c>
      <c r="H165" s="4">
        <v>45575</v>
      </c>
      <c r="I165" s="4">
        <v>46183</v>
      </c>
      <c r="J165" s="1">
        <v>616.71</v>
      </c>
      <c r="K165">
        <v>0.13</v>
      </c>
      <c r="L165">
        <v>1</v>
      </c>
      <c r="M165" s="1">
        <v>0</v>
      </c>
      <c r="N165" s="1">
        <v>6.68</v>
      </c>
      <c r="O165" t="s">
        <v>34</v>
      </c>
      <c r="P165" t="s">
        <v>35</v>
      </c>
    </row>
    <row r="166" spans="1:16" x14ac:dyDescent="0.25">
      <c r="A166" t="s">
        <v>68</v>
      </c>
      <c r="B166" t="s">
        <v>69</v>
      </c>
      <c r="C166" t="s">
        <v>1113</v>
      </c>
      <c r="D166" t="s">
        <v>32</v>
      </c>
      <c r="E166">
        <v>57</v>
      </c>
      <c r="F166" t="s">
        <v>1114</v>
      </c>
      <c r="G166" s="3">
        <v>46171.777939814798</v>
      </c>
      <c r="H166" s="4">
        <v>45576</v>
      </c>
      <c r="I166" s="4">
        <v>46184</v>
      </c>
      <c r="J166" s="1">
        <v>621.98</v>
      </c>
      <c r="K166">
        <v>0.13</v>
      </c>
      <c r="L166">
        <v>1</v>
      </c>
      <c r="M166" s="1">
        <v>0</v>
      </c>
      <c r="N166" s="1">
        <v>6.74</v>
      </c>
      <c r="O166" t="s">
        <v>34</v>
      </c>
      <c r="P166" t="s">
        <v>35</v>
      </c>
    </row>
    <row r="167" spans="1:16" x14ac:dyDescent="0.25">
      <c r="A167" t="s">
        <v>219</v>
      </c>
      <c r="B167" t="s">
        <v>220</v>
      </c>
      <c r="C167" t="s">
        <v>1115</v>
      </c>
      <c r="D167" t="s">
        <v>32</v>
      </c>
      <c r="E167">
        <v>65</v>
      </c>
      <c r="F167" t="s">
        <v>1116</v>
      </c>
      <c r="G167" s="3">
        <v>46171.777939814798</v>
      </c>
      <c r="H167" s="4">
        <v>45577</v>
      </c>
      <c r="I167" s="4">
        <v>46185</v>
      </c>
      <c r="J167" s="1">
        <v>652.86</v>
      </c>
      <c r="K167">
        <v>0.13</v>
      </c>
      <c r="L167">
        <v>1</v>
      </c>
      <c r="M167" s="1">
        <v>0</v>
      </c>
      <c r="N167" s="1">
        <v>7.07</v>
      </c>
      <c r="O167" t="s">
        <v>34</v>
      </c>
      <c r="P167" t="s">
        <v>35</v>
      </c>
    </row>
    <row r="168" spans="1:16" x14ac:dyDescent="0.25">
      <c r="A168" t="s">
        <v>76</v>
      </c>
      <c r="B168" t="s">
        <v>77</v>
      </c>
      <c r="C168" t="s">
        <v>1117</v>
      </c>
      <c r="D168" t="s">
        <v>32</v>
      </c>
      <c r="E168">
        <v>57</v>
      </c>
      <c r="F168" t="s">
        <v>1118</v>
      </c>
      <c r="G168" s="3">
        <v>46171.777939814798</v>
      </c>
      <c r="H168" s="4">
        <v>45636</v>
      </c>
      <c r="I168" s="4">
        <v>46183</v>
      </c>
      <c r="J168" s="1">
        <v>554.75</v>
      </c>
      <c r="K168">
        <v>0.13</v>
      </c>
      <c r="L168">
        <v>1</v>
      </c>
      <c r="M168" s="1">
        <v>0</v>
      </c>
      <c r="N168" s="1">
        <v>6.01</v>
      </c>
      <c r="O168" t="s">
        <v>34</v>
      </c>
      <c r="P168" t="s">
        <v>35</v>
      </c>
    </row>
    <row r="169" spans="1:16" x14ac:dyDescent="0.25">
      <c r="A169" t="s">
        <v>82</v>
      </c>
      <c r="B169" t="s">
        <v>83</v>
      </c>
      <c r="C169" t="s">
        <v>1119</v>
      </c>
      <c r="D169" t="s">
        <v>32</v>
      </c>
      <c r="E169">
        <v>78</v>
      </c>
      <c r="F169" t="s">
        <v>1120</v>
      </c>
      <c r="G169" s="3">
        <v>46171.777939814798</v>
      </c>
      <c r="H169" s="4">
        <v>45576</v>
      </c>
      <c r="I169" s="4">
        <v>46184</v>
      </c>
      <c r="J169" s="1">
        <v>1262.0999999999999</v>
      </c>
      <c r="K169">
        <v>6.5000000000000002E-2</v>
      </c>
      <c r="L169">
        <v>1</v>
      </c>
      <c r="M169" s="1">
        <v>0</v>
      </c>
      <c r="N169" s="1">
        <v>6.84</v>
      </c>
      <c r="O169" t="s">
        <v>34</v>
      </c>
      <c r="P169" t="s">
        <v>35</v>
      </c>
    </row>
    <row r="170" spans="1:16" x14ac:dyDescent="0.25">
      <c r="A170" t="s">
        <v>82</v>
      </c>
      <c r="B170" t="s">
        <v>83</v>
      </c>
      <c r="C170" t="s">
        <v>1121</v>
      </c>
      <c r="D170" t="s">
        <v>32</v>
      </c>
      <c r="E170">
        <v>68</v>
      </c>
      <c r="F170" t="s">
        <v>1122</v>
      </c>
      <c r="G170" s="3">
        <v>46171.777939814798</v>
      </c>
      <c r="H170" s="4">
        <v>45580</v>
      </c>
      <c r="I170" s="4">
        <v>46188</v>
      </c>
      <c r="J170" s="1">
        <v>620.57000000000005</v>
      </c>
      <c r="K170">
        <v>0.13</v>
      </c>
      <c r="L170">
        <v>1</v>
      </c>
      <c r="M170" s="1">
        <v>0</v>
      </c>
      <c r="N170" s="1">
        <v>6.72</v>
      </c>
      <c r="O170" t="s">
        <v>34</v>
      </c>
      <c r="P170" t="s">
        <v>35</v>
      </c>
    </row>
    <row r="171" spans="1:16" x14ac:dyDescent="0.25">
      <c r="A171" t="s">
        <v>978</v>
      </c>
      <c r="B171" t="s">
        <v>979</v>
      </c>
      <c r="C171" t="s">
        <v>1123</v>
      </c>
      <c r="D171" t="s">
        <v>91</v>
      </c>
      <c r="E171">
        <v>77</v>
      </c>
      <c r="F171" t="s">
        <v>1124</v>
      </c>
      <c r="G171" s="3">
        <v>46171.777939814798</v>
      </c>
      <c r="H171" s="4">
        <v>45597</v>
      </c>
      <c r="I171" s="4">
        <v>46174</v>
      </c>
      <c r="J171" s="1">
        <v>1342.52</v>
      </c>
      <c r="K171">
        <v>6.5000000000000002E-2</v>
      </c>
      <c r="L171">
        <v>1</v>
      </c>
      <c r="M171" s="1">
        <v>0</v>
      </c>
      <c r="N171" s="1">
        <v>7.27</v>
      </c>
      <c r="O171" t="s">
        <v>34</v>
      </c>
      <c r="P171" t="s">
        <v>35</v>
      </c>
    </row>
    <row r="172" spans="1:16" x14ac:dyDescent="0.25">
      <c r="A172" t="s">
        <v>48</v>
      </c>
      <c r="B172" t="s">
        <v>49</v>
      </c>
      <c r="C172" t="s">
        <v>1125</v>
      </c>
      <c r="D172" t="s">
        <v>32</v>
      </c>
      <c r="E172">
        <v>62</v>
      </c>
      <c r="F172" t="s">
        <v>1126</v>
      </c>
      <c r="G172" s="3">
        <v>46171.777939814798</v>
      </c>
      <c r="H172" s="4">
        <v>45582</v>
      </c>
      <c r="I172" s="4">
        <v>46190</v>
      </c>
      <c r="J172" s="1">
        <v>746.56</v>
      </c>
      <c r="K172">
        <v>0.13</v>
      </c>
      <c r="L172">
        <v>1</v>
      </c>
      <c r="M172" s="1">
        <v>0</v>
      </c>
      <c r="N172" s="1">
        <v>8.09</v>
      </c>
      <c r="O172" t="s">
        <v>34</v>
      </c>
      <c r="P172" t="s">
        <v>35</v>
      </c>
    </row>
    <row r="173" spans="1:16" x14ac:dyDescent="0.25">
      <c r="A173" t="s">
        <v>227</v>
      </c>
      <c r="B173" t="s">
        <v>228</v>
      </c>
      <c r="C173" t="s">
        <v>1127</v>
      </c>
      <c r="D173" t="s">
        <v>32</v>
      </c>
      <c r="E173">
        <v>77</v>
      </c>
      <c r="F173" t="s">
        <v>1128</v>
      </c>
      <c r="G173" s="3">
        <v>46171.777939814798</v>
      </c>
      <c r="H173" s="4">
        <v>45582</v>
      </c>
      <c r="I173" s="4">
        <v>46190</v>
      </c>
      <c r="J173" s="1">
        <v>1083.31</v>
      </c>
      <c r="K173">
        <v>6.5000000000000002E-2</v>
      </c>
      <c r="L173">
        <v>1</v>
      </c>
      <c r="M173" s="1">
        <v>0</v>
      </c>
      <c r="N173" s="1">
        <v>5.87</v>
      </c>
      <c r="O173" t="s">
        <v>34</v>
      </c>
      <c r="P173" t="s">
        <v>35</v>
      </c>
    </row>
    <row r="174" spans="1:16" x14ac:dyDescent="0.25">
      <c r="A174" t="s">
        <v>219</v>
      </c>
      <c r="B174" t="s">
        <v>220</v>
      </c>
      <c r="C174" t="s">
        <v>1129</v>
      </c>
      <c r="D174" t="s">
        <v>32</v>
      </c>
      <c r="E174">
        <v>68</v>
      </c>
      <c r="F174" t="s">
        <v>1130</v>
      </c>
      <c r="G174" s="3">
        <v>46171.777939814798</v>
      </c>
      <c r="H174" s="4">
        <v>45584</v>
      </c>
      <c r="I174" s="4">
        <v>46192</v>
      </c>
      <c r="J174" s="1">
        <v>652.86</v>
      </c>
      <c r="K174">
        <v>0.13</v>
      </c>
      <c r="L174">
        <v>1</v>
      </c>
      <c r="M174" s="1">
        <v>0</v>
      </c>
      <c r="N174" s="1">
        <v>7.07</v>
      </c>
      <c r="O174" t="s">
        <v>34</v>
      </c>
      <c r="P174" t="s">
        <v>35</v>
      </c>
    </row>
    <row r="175" spans="1:16" x14ac:dyDescent="0.25">
      <c r="A175" t="s">
        <v>219</v>
      </c>
      <c r="B175" t="s">
        <v>220</v>
      </c>
      <c r="C175" t="s">
        <v>1131</v>
      </c>
      <c r="D175" t="s">
        <v>32</v>
      </c>
      <c r="E175">
        <v>76</v>
      </c>
      <c r="F175" t="s">
        <v>1132</v>
      </c>
      <c r="G175" s="3">
        <v>46171.777939814798</v>
      </c>
      <c r="H175" s="4">
        <v>45584</v>
      </c>
      <c r="I175" s="4">
        <v>46192</v>
      </c>
      <c r="J175" s="1">
        <v>1840.36</v>
      </c>
      <c r="K175">
        <v>6.5000000000000002E-2</v>
      </c>
      <c r="L175">
        <v>1</v>
      </c>
      <c r="M175" s="1">
        <v>0</v>
      </c>
      <c r="N175" s="1">
        <v>9.9700000000000006</v>
      </c>
      <c r="O175" t="s">
        <v>34</v>
      </c>
      <c r="P175" t="s">
        <v>35</v>
      </c>
    </row>
    <row r="176" spans="1:16" x14ac:dyDescent="0.25">
      <c r="A176" t="s">
        <v>76</v>
      </c>
      <c r="B176" t="s">
        <v>77</v>
      </c>
      <c r="C176" t="s">
        <v>1133</v>
      </c>
      <c r="D176" t="s">
        <v>32</v>
      </c>
      <c r="E176">
        <v>71</v>
      </c>
      <c r="F176" t="s">
        <v>1134</v>
      </c>
      <c r="G176" s="3">
        <v>46171.777939814798</v>
      </c>
      <c r="H176" s="4">
        <v>45583</v>
      </c>
      <c r="I176" s="4">
        <v>46191</v>
      </c>
      <c r="J176" s="1">
        <v>1340.99</v>
      </c>
      <c r="K176">
        <v>0.13</v>
      </c>
      <c r="L176">
        <v>1</v>
      </c>
      <c r="M176" s="1">
        <v>0</v>
      </c>
      <c r="N176" s="1">
        <v>14.53</v>
      </c>
      <c r="O176" t="s">
        <v>688</v>
      </c>
      <c r="P176" t="s">
        <v>35</v>
      </c>
    </row>
    <row r="177" spans="1:16" x14ac:dyDescent="0.25">
      <c r="A177" t="s">
        <v>219</v>
      </c>
      <c r="B177" t="s">
        <v>220</v>
      </c>
      <c r="C177" t="s">
        <v>1135</v>
      </c>
      <c r="D177" t="s">
        <v>32</v>
      </c>
      <c r="E177">
        <v>72</v>
      </c>
      <c r="F177" t="s">
        <v>1136</v>
      </c>
      <c r="G177" s="3">
        <v>46171.777939814798</v>
      </c>
      <c r="H177" s="4">
        <v>45584</v>
      </c>
      <c r="I177" s="4">
        <v>46192</v>
      </c>
      <c r="J177" s="1">
        <v>919.19</v>
      </c>
      <c r="K177">
        <v>0.13</v>
      </c>
      <c r="L177">
        <v>1</v>
      </c>
      <c r="M177" s="1">
        <v>0</v>
      </c>
      <c r="N177" s="1">
        <v>9.9600000000000009</v>
      </c>
      <c r="O177" t="s">
        <v>34</v>
      </c>
      <c r="P177" t="s">
        <v>35</v>
      </c>
    </row>
    <row r="178" spans="1:16" x14ac:dyDescent="0.25">
      <c r="A178" t="s">
        <v>219</v>
      </c>
      <c r="B178" t="s">
        <v>220</v>
      </c>
      <c r="C178" t="s">
        <v>1137</v>
      </c>
      <c r="D178" t="s">
        <v>32</v>
      </c>
      <c r="E178">
        <v>64</v>
      </c>
      <c r="F178" t="s">
        <v>933</v>
      </c>
      <c r="G178" s="3">
        <v>46171.777939814798</v>
      </c>
      <c r="H178" s="4">
        <v>45585</v>
      </c>
      <c r="I178" s="4">
        <v>46193</v>
      </c>
      <c r="J178" s="1">
        <v>702.31</v>
      </c>
      <c r="K178">
        <v>0.13</v>
      </c>
      <c r="L178">
        <v>1</v>
      </c>
      <c r="M178" s="1">
        <v>0</v>
      </c>
      <c r="N178" s="1">
        <v>6.05</v>
      </c>
      <c r="O178" t="s">
        <v>934</v>
      </c>
      <c r="P178" t="s">
        <v>35</v>
      </c>
    </row>
    <row r="179" spans="1:16" x14ac:dyDescent="0.25">
      <c r="A179" t="s">
        <v>219</v>
      </c>
      <c r="B179" t="s">
        <v>220</v>
      </c>
      <c r="C179" t="s">
        <v>1138</v>
      </c>
      <c r="D179" t="s">
        <v>32</v>
      </c>
      <c r="E179">
        <v>68</v>
      </c>
      <c r="F179" t="s">
        <v>1139</v>
      </c>
      <c r="G179" s="3">
        <v>46171.777939814798</v>
      </c>
      <c r="H179" s="4">
        <v>45583</v>
      </c>
      <c r="I179" s="4">
        <v>46191</v>
      </c>
      <c r="J179" s="1">
        <v>652.86</v>
      </c>
      <c r="K179">
        <v>0.13</v>
      </c>
      <c r="L179">
        <v>1</v>
      </c>
      <c r="M179" s="1">
        <v>0</v>
      </c>
      <c r="N179" s="1">
        <v>7.07</v>
      </c>
      <c r="O179" t="s">
        <v>34</v>
      </c>
      <c r="P179" t="s">
        <v>35</v>
      </c>
    </row>
    <row r="180" spans="1:16" x14ac:dyDescent="0.25">
      <c r="A180" t="s">
        <v>219</v>
      </c>
      <c r="B180" t="s">
        <v>220</v>
      </c>
      <c r="C180" t="s">
        <v>1140</v>
      </c>
      <c r="D180" t="s">
        <v>32</v>
      </c>
      <c r="E180">
        <v>74</v>
      </c>
      <c r="F180" t="s">
        <v>1141</v>
      </c>
      <c r="G180" s="3">
        <v>46171.777939814798</v>
      </c>
      <c r="H180" s="4">
        <v>45589</v>
      </c>
      <c r="I180" s="4">
        <v>46197</v>
      </c>
      <c r="J180" s="1">
        <v>919.19</v>
      </c>
      <c r="K180">
        <v>0.13</v>
      </c>
      <c r="L180">
        <v>1</v>
      </c>
      <c r="M180" s="1">
        <v>0</v>
      </c>
      <c r="N180" s="1">
        <v>9.9600000000000009</v>
      </c>
      <c r="O180" t="s">
        <v>34</v>
      </c>
      <c r="P180" t="s">
        <v>35</v>
      </c>
    </row>
    <row r="181" spans="1:16" x14ac:dyDescent="0.25">
      <c r="A181" t="s">
        <v>219</v>
      </c>
      <c r="B181" t="s">
        <v>220</v>
      </c>
      <c r="C181" t="s">
        <v>1142</v>
      </c>
      <c r="D181" t="s">
        <v>32</v>
      </c>
      <c r="E181">
        <v>66</v>
      </c>
      <c r="F181" t="s">
        <v>1143</v>
      </c>
      <c r="G181" s="3">
        <v>46171.777939814798</v>
      </c>
      <c r="H181" s="4">
        <v>45588</v>
      </c>
      <c r="I181" s="4">
        <v>46196</v>
      </c>
      <c r="J181" s="1">
        <v>607.15</v>
      </c>
      <c r="K181">
        <v>0.13</v>
      </c>
      <c r="L181">
        <v>1</v>
      </c>
      <c r="M181" s="1">
        <v>0</v>
      </c>
      <c r="N181" s="1">
        <v>6.58</v>
      </c>
      <c r="O181" t="s">
        <v>34</v>
      </c>
      <c r="P181" t="s">
        <v>35</v>
      </c>
    </row>
    <row r="182" spans="1:16" x14ac:dyDescent="0.25">
      <c r="A182" t="s">
        <v>219</v>
      </c>
      <c r="B182" t="s">
        <v>220</v>
      </c>
      <c r="C182" t="s">
        <v>1144</v>
      </c>
      <c r="D182" t="s">
        <v>32</v>
      </c>
      <c r="E182">
        <v>66</v>
      </c>
      <c r="F182" t="s">
        <v>1145</v>
      </c>
      <c r="G182" s="3">
        <v>46171.777939814798</v>
      </c>
      <c r="H182" s="4">
        <v>45591</v>
      </c>
      <c r="I182" s="4">
        <v>46199</v>
      </c>
      <c r="J182" s="1">
        <v>792.35</v>
      </c>
      <c r="K182">
        <v>0.13</v>
      </c>
      <c r="L182">
        <v>1</v>
      </c>
      <c r="M182" s="1">
        <v>0</v>
      </c>
      <c r="N182" s="1">
        <v>8.58</v>
      </c>
      <c r="O182" t="s">
        <v>34</v>
      </c>
      <c r="P182" t="s">
        <v>35</v>
      </c>
    </row>
    <row r="183" spans="1:16" x14ac:dyDescent="0.25">
      <c r="A183" t="s">
        <v>131</v>
      </c>
      <c r="B183" t="s">
        <v>132</v>
      </c>
      <c r="C183" t="s">
        <v>1146</v>
      </c>
      <c r="D183" t="s">
        <v>32</v>
      </c>
      <c r="E183">
        <v>82</v>
      </c>
      <c r="F183" t="s">
        <v>1147</v>
      </c>
      <c r="G183" s="3">
        <v>46171.777939814798</v>
      </c>
      <c r="H183" s="4">
        <v>45597</v>
      </c>
      <c r="I183" s="4">
        <v>46204</v>
      </c>
      <c r="J183" s="1">
        <v>2212.54</v>
      </c>
      <c r="K183">
        <v>6.5000000000000002E-2</v>
      </c>
      <c r="L183">
        <v>1</v>
      </c>
      <c r="M183" s="1">
        <v>0</v>
      </c>
      <c r="N183" s="1">
        <v>11.98</v>
      </c>
      <c r="O183" t="s">
        <v>34</v>
      </c>
      <c r="P183" t="s">
        <v>35</v>
      </c>
    </row>
    <row r="184" spans="1:16" x14ac:dyDescent="0.25">
      <c r="A184" t="s">
        <v>219</v>
      </c>
      <c r="B184" t="s">
        <v>220</v>
      </c>
      <c r="C184" t="s">
        <v>1148</v>
      </c>
      <c r="D184" t="s">
        <v>32</v>
      </c>
      <c r="E184">
        <v>76</v>
      </c>
      <c r="F184" t="s">
        <v>1149</v>
      </c>
      <c r="G184" s="3">
        <v>46171.777939814798</v>
      </c>
      <c r="H184" s="4">
        <v>45594</v>
      </c>
      <c r="I184" s="4">
        <v>46202</v>
      </c>
      <c r="J184" s="1">
        <v>1623.84</v>
      </c>
      <c r="K184">
        <v>6.5000000000000002E-2</v>
      </c>
      <c r="L184">
        <v>1</v>
      </c>
      <c r="M184" s="1">
        <v>0</v>
      </c>
      <c r="N184" s="1">
        <v>8.8000000000000007</v>
      </c>
      <c r="O184" t="s">
        <v>34</v>
      </c>
      <c r="P184" t="s">
        <v>35</v>
      </c>
    </row>
    <row r="185" spans="1:16" x14ac:dyDescent="0.25">
      <c r="A185" t="s">
        <v>76</v>
      </c>
      <c r="B185" t="s">
        <v>77</v>
      </c>
      <c r="C185" t="s">
        <v>1150</v>
      </c>
      <c r="D185" t="s">
        <v>32</v>
      </c>
      <c r="E185">
        <v>63</v>
      </c>
      <c r="F185" t="s">
        <v>1151</v>
      </c>
      <c r="G185" s="3">
        <v>46171.777939814798</v>
      </c>
      <c r="H185" s="4">
        <v>45594</v>
      </c>
      <c r="I185" s="4">
        <v>46171</v>
      </c>
      <c r="J185" s="1">
        <v>735.64</v>
      </c>
      <c r="K185">
        <v>0.13</v>
      </c>
      <c r="L185">
        <v>1</v>
      </c>
      <c r="M185" s="1">
        <v>0</v>
      </c>
      <c r="N185" s="1">
        <v>7.97</v>
      </c>
      <c r="O185" t="s">
        <v>34</v>
      </c>
      <c r="P185" t="s">
        <v>35</v>
      </c>
    </row>
    <row r="186" spans="1:16" x14ac:dyDescent="0.25">
      <c r="A186" t="s">
        <v>219</v>
      </c>
      <c r="B186" t="s">
        <v>220</v>
      </c>
      <c r="C186" t="s">
        <v>1152</v>
      </c>
      <c r="D186" t="s">
        <v>32</v>
      </c>
      <c r="E186">
        <v>70</v>
      </c>
      <c r="F186" t="s">
        <v>1153</v>
      </c>
      <c r="G186" s="3">
        <v>46171.777939814798</v>
      </c>
      <c r="H186" s="4">
        <v>45595</v>
      </c>
      <c r="I186" s="4">
        <v>46203</v>
      </c>
      <c r="J186" s="1">
        <v>896.04</v>
      </c>
      <c r="K186">
        <v>0.13</v>
      </c>
      <c r="L186">
        <v>1</v>
      </c>
      <c r="M186" s="1">
        <v>0</v>
      </c>
      <c r="N186" s="1">
        <v>7.07</v>
      </c>
      <c r="O186" t="s">
        <v>34</v>
      </c>
      <c r="P186" t="s">
        <v>35</v>
      </c>
    </row>
    <row r="187" spans="1:16" x14ac:dyDescent="0.25">
      <c r="A187" t="s">
        <v>219</v>
      </c>
      <c r="B187" t="s">
        <v>220</v>
      </c>
      <c r="C187" t="s">
        <v>1154</v>
      </c>
      <c r="D187" t="s">
        <v>32</v>
      </c>
      <c r="E187">
        <v>72</v>
      </c>
      <c r="F187" t="s">
        <v>1155</v>
      </c>
      <c r="G187" s="3">
        <v>46171.777939814798</v>
      </c>
      <c r="H187" s="4">
        <v>45597</v>
      </c>
      <c r="I187" s="4">
        <v>46174</v>
      </c>
      <c r="J187" s="1">
        <v>854.84</v>
      </c>
      <c r="K187">
        <v>0.13</v>
      </c>
      <c r="L187">
        <v>1</v>
      </c>
      <c r="M187" s="1">
        <v>0</v>
      </c>
      <c r="N187" s="1">
        <v>9.26</v>
      </c>
      <c r="O187" t="s">
        <v>34</v>
      </c>
      <c r="P187" t="s">
        <v>35</v>
      </c>
    </row>
    <row r="188" spans="1:16" x14ac:dyDescent="0.25">
      <c r="A188" t="s">
        <v>219</v>
      </c>
      <c r="B188" t="s">
        <v>220</v>
      </c>
      <c r="C188" t="s">
        <v>1156</v>
      </c>
      <c r="D188" t="s">
        <v>32</v>
      </c>
      <c r="E188">
        <v>71</v>
      </c>
      <c r="F188" t="s">
        <v>1157</v>
      </c>
      <c r="G188" s="3">
        <v>46171.777939814798</v>
      </c>
      <c r="H188" s="4">
        <v>45599</v>
      </c>
      <c r="I188" s="4">
        <v>46176</v>
      </c>
      <c r="J188" s="1">
        <v>919.19</v>
      </c>
      <c r="K188">
        <v>0.13</v>
      </c>
      <c r="L188">
        <v>1</v>
      </c>
      <c r="M188" s="1">
        <v>0</v>
      </c>
      <c r="N188" s="1">
        <v>9.9600000000000009</v>
      </c>
      <c r="O188" t="s">
        <v>34</v>
      </c>
      <c r="P188" t="s">
        <v>35</v>
      </c>
    </row>
    <row r="189" spans="1:16" x14ac:dyDescent="0.25">
      <c r="A189" t="s">
        <v>219</v>
      </c>
      <c r="B189" t="s">
        <v>220</v>
      </c>
      <c r="C189" t="s">
        <v>1158</v>
      </c>
      <c r="D189" t="s">
        <v>32</v>
      </c>
      <c r="E189">
        <v>69</v>
      </c>
      <c r="F189" t="s">
        <v>1159</v>
      </c>
      <c r="G189" s="3">
        <v>46171.777939814798</v>
      </c>
      <c r="H189" s="4">
        <v>45601</v>
      </c>
      <c r="I189" s="4">
        <v>46178</v>
      </c>
      <c r="J189" s="1">
        <v>652.86</v>
      </c>
      <c r="K189">
        <v>0.13</v>
      </c>
      <c r="L189">
        <v>1</v>
      </c>
      <c r="M189" s="1">
        <v>0</v>
      </c>
      <c r="N189" s="1">
        <v>7.07</v>
      </c>
      <c r="O189" t="s">
        <v>34</v>
      </c>
      <c r="P189" t="s">
        <v>35</v>
      </c>
    </row>
    <row r="190" spans="1:16" x14ac:dyDescent="0.25">
      <c r="A190" t="s">
        <v>227</v>
      </c>
      <c r="B190" t="s">
        <v>228</v>
      </c>
      <c r="C190" t="s">
        <v>1160</v>
      </c>
      <c r="D190" t="s">
        <v>32</v>
      </c>
      <c r="E190">
        <v>78</v>
      </c>
      <c r="F190" t="s">
        <v>1161</v>
      </c>
      <c r="G190" s="3">
        <v>46171.777939814798</v>
      </c>
      <c r="H190" s="4">
        <v>45627</v>
      </c>
      <c r="I190" s="4">
        <v>46174</v>
      </c>
      <c r="J190" s="1">
        <v>1683.46</v>
      </c>
      <c r="K190">
        <v>6.5000000000000002E-2</v>
      </c>
      <c r="L190">
        <v>1</v>
      </c>
      <c r="M190" s="1">
        <v>0</v>
      </c>
      <c r="N190" s="1">
        <v>9.1199999999999992</v>
      </c>
      <c r="O190" t="s">
        <v>34</v>
      </c>
      <c r="P190" t="s">
        <v>35</v>
      </c>
    </row>
    <row r="191" spans="1:16" x14ac:dyDescent="0.25">
      <c r="A191" t="s">
        <v>219</v>
      </c>
      <c r="B191" t="s">
        <v>220</v>
      </c>
      <c r="C191" t="s">
        <v>1162</v>
      </c>
      <c r="D191" t="s">
        <v>32</v>
      </c>
      <c r="E191">
        <v>71</v>
      </c>
      <c r="F191" t="s">
        <v>1163</v>
      </c>
      <c r="G191" s="3">
        <v>46171.777939814798</v>
      </c>
      <c r="H191" s="4">
        <v>45602</v>
      </c>
      <c r="I191" s="4">
        <v>46179</v>
      </c>
      <c r="J191" s="1">
        <v>854.84</v>
      </c>
      <c r="K191">
        <v>0.13</v>
      </c>
      <c r="L191">
        <v>1</v>
      </c>
      <c r="M191" s="1">
        <v>0</v>
      </c>
      <c r="N191" s="1">
        <v>9.26</v>
      </c>
      <c r="O191" t="s">
        <v>34</v>
      </c>
      <c r="P191" t="s">
        <v>35</v>
      </c>
    </row>
    <row r="192" spans="1:16" x14ac:dyDescent="0.25">
      <c r="A192" t="s">
        <v>153</v>
      </c>
      <c r="B192" t="s">
        <v>154</v>
      </c>
      <c r="C192" t="s">
        <v>1164</v>
      </c>
      <c r="D192" t="s">
        <v>32</v>
      </c>
      <c r="E192">
        <v>69</v>
      </c>
      <c r="F192" t="s">
        <v>1165</v>
      </c>
      <c r="G192" s="3">
        <v>46171.777939814798</v>
      </c>
      <c r="H192" s="4">
        <v>45601</v>
      </c>
      <c r="I192" s="4">
        <v>46178</v>
      </c>
      <c r="J192" s="1">
        <v>551.12</v>
      </c>
      <c r="K192">
        <v>0.13</v>
      </c>
      <c r="L192">
        <v>1</v>
      </c>
      <c r="M192" s="1">
        <v>0</v>
      </c>
      <c r="N192" s="1">
        <v>5.97</v>
      </c>
      <c r="O192" t="s">
        <v>34</v>
      </c>
      <c r="P192" t="s">
        <v>35</v>
      </c>
    </row>
    <row r="193" spans="1:16" x14ac:dyDescent="0.25">
      <c r="A193" t="s">
        <v>580</v>
      </c>
      <c r="B193" t="s">
        <v>581</v>
      </c>
      <c r="C193" t="s">
        <v>1166</v>
      </c>
      <c r="D193" t="s">
        <v>32</v>
      </c>
      <c r="E193">
        <v>67</v>
      </c>
      <c r="F193" t="s">
        <v>1167</v>
      </c>
      <c r="G193" s="3">
        <v>46171.777939814798</v>
      </c>
      <c r="H193" s="4">
        <v>45627</v>
      </c>
      <c r="I193" s="4">
        <v>46174</v>
      </c>
      <c r="J193" s="1">
        <v>828.92</v>
      </c>
      <c r="K193">
        <v>0.13</v>
      </c>
      <c r="L193">
        <v>1</v>
      </c>
      <c r="M193" s="1">
        <v>0</v>
      </c>
      <c r="N193" s="1">
        <v>8.98</v>
      </c>
      <c r="O193" t="s">
        <v>34</v>
      </c>
      <c r="P193" t="s">
        <v>35</v>
      </c>
    </row>
    <row r="194" spans="1:16" x14ac:dyDescent="0.25">
      <c r="A194" t="s">
        <v>93</v>
      </c>
      <c r="B194" t="s">
        <v>94</v>
      </c>
      <c r="C194" t="s">
        <v>1168</v>
      </c>
      <c r="D194" t="s">
        <v>32</v>
      </c>
      <c r="E194">
        <v>73</v>
      </c>
      <c r="F194" t="s">
        <v>1169</v>
      </c>
      <c r="G194" s="3">
        <v>46171.777939814798</v>
      </c>
      <c r="H194" s="4">
        <v>45604</v>
      </c>
      <c r="I194" s="4">
        <v>46181</v>
      </c>
      <c r="J194" s="1">
        <v>1307.6300000000001</v>
      </c>
      <c r="K194">
        <v>0.13</v>
      </c>
      <c r="L194">
        <v>1</v>
      </c>
      <c r="M194" s="1">
        <v>0</v>
      </c>
      <c r="N194" s="1">
        <v>14.16</v>
      </c>
      <c r="O194" t="s">
        <v>34</v>
      </c>
      <c r="P194" t="s">
        <v>35</v>
      </c>
    </row>
    <row r="195" spans="1:16" x14ac:dyDescent="0.25">
      <c r="A195" t="s">
        <v>68</v>
      </c>
      <c r="B195" t="s">
        <v>69</v>
      </c>
      <c r="C195" t="s">
        <v>1170</v>
      </c>
      <c r="D195" t="s">
        <v>32</v>
      </c>
      <c r="E195">
        <v>70</v>
      </c>
      <c r="F195" t="s">
        <v>1171</v>
      </c>
      <c r="G195" s="3">
        <v>46171.777939814798</v>
      </c>
      <c r="H195" s="4">
        <v>45627</v>
      </c>
      <c r="I195" s="4">
        <v>46204</v>
      </c>
      <c r="J195" s="1">
        <v>1279.07</v>
      </c>
      <c r="K195">
        <v>0.13</v>
      </c>
      <c r="L195">
        <v>1</v>
      </c>
      <c r="M195" s="1">
        <v>0</v>
      </c>
      <c r="N195" s="1">
        <v>10</v>
      </c>
      <c r="O195" t="s">
        <v>34</v>
      </c>
      <c r="P195" t="s">
        <v>35</v>
      </c>
    </row>
    <row r="196" spans="1:16" x14ac:dyDescent="0.25">
      <c r="A196" t="s">
        <v>188</v>
      </c>
      <c r="B196" t="s">
        <v>189</v>
      </c>
      <c r="C196" t="s">
        <v>1172</v>
      </c>
      <c r="D196" t="s">
        <v>91</v>
      </c>
      <c r="E196">
        <v>84</v>
      </c>
      <c r="F196" t="s">
        <v>1173</v>
      </c>
      <c r="G196" s="3">
        <v>46171.777939814798</v>
      </c>
      <c r="H196" s="4">
        <v>45654</v>
      </c>
      <c r="I196" s="4">
        <v>46201</v>
      </c>
      <c r="J196" s="1">
        <v>1265.0899999999999</v>
      </c>
      <c r="K196">
        <v>6.5000000000000002E-2</v>
      </c>
      <c r="L196">
        <v>1</v>
      </c>
      <c r="M196" s="1">
        <v>0</v>
      </c>
      <c r="N196" s="1">
        <v>6.85</v>
      </c>
      <c r="O196" t="s">
        <v>34</v>
      </c>
      <c r="P196" t="s">
        <v>35</v>
      </c>
    </row>
    <row r="197" spans="1:16" x14ac:dyDescent="0.25">
      <c r="A197" t="s">
        <v>219</v>
      </c>
      <c r="B197" t="s">
        <v>220</v>
      </c>
      <c r="C197" t="s">
        <v>1174</v>
      </c>
      <c r="D197" t="s">
        <v>32</v>
      </c>
      <c r="E197">
        <v>78</v>
      </c>
      <c r="F197" t="s">
        <v>1175</v>
      </c>
      <c r="G197" s="3">
        <v>46171.777939814798</v>
      </c>
      <c r="H197" s="4">
        <v>45610</v>
      </c>
      <c r="I197" s="4">
        <v>46187</v>
      </c>
      <c r="J197" s="1">
        <v>1141.53</v>
      </c>
      <c r="K197">
        <v>6.5000000000000002E-2</v>
      </c>
      <c r="L197">
        <v>1</v>
      </c>
      <c r="M197" s="1">
        <v>0</v>
      </c>
      <c r="N197" s="1">
        <v>6.18</v>
      </c>
      <c r="O197" t="s">
        <v>34</v>
      </c>
      <c r="P197" t="s">
        <v>35</v>
      </c>
    </row>
    <row r="198" spans="1:16" x14ac:dyDescent="0.25">
      <c r="A198" t="s">
        <v>219</v>
      </c>
      <c r="B198" t="s">
        <v>220</v>
      </c>
      <c r="C198" t="s">
        <v>1176</v>
      </c>
      <c r="D198" t="s">
        <v>32</v>
      </c>
      <c r="E198">
        <v>71</v>
      </c>
      <c r="F198" t="s">
        <v>1177</v>
      </c>
      <c r="G198" s="3">
        <v>46171.777939814798</v>
      </c>
      <c r="H198" s="4">
        <v>45613</v>
      </c>
      <c r="I198" s="4">
        <v>46190</v>
      </c>
      <c r="J198" s="1">
        <v>854.84</v>
      </c>
      <c r="K198">
        <v>0.13</v>
      </c>
      <c r="L198">
        <v>1</v>
      </c>
      <c r="M198" s="1">
        <v>0</v>
      </c>
      <c r="N198" s="1">
        <v>9.26</v>
      </c>
      <c r="O198" t="s">
        <v>34</v>
      </c>
      <c r="P198" t="s">
        <v>35</v>
      </c>
    </row>
    <row r="199" spans="1:16" x14ac:dyDescent="0.25">
      <c r="A199" t="s">
        <v>43</v>
      </c>
      <c r="B199" t="s">
        <v>44</v>
      </c>
      <c r="C199" t="s">
        <v>1178</v>
      </c>
      <c r="D199" t="s">
        <v>32</v>
      </c>
      <c r="E199">
        <v>78</v>
      </c>
      <c r="F199" t="s">
        <v>1179</v>
      </c>
      <c r="G199" s="3">
        <v>46171.777939814798</v>
      </c>
      <c r="H199" s="4">
        <v>45658</v>
      </c>
      <c r="I199" s="4">
        <v>46174</v>
      </c>
      <c r="J199" s="1">
        <v>1590.95</v>
      </c>
      <c r="K199">
        <v>6.5000000000000002E-2</v>
      </c>
      <c r="L199">
        <v>1</v>
      </c>
      <c r="M199" s="1">
        <v>0</v>
      </c>
      <c r="N199" s="1">
        <v>8.6199999999999992</v>
      </c>
      <c r="O199" t="s">
        <v>423</v>
      </c>
      <c r="P199" t="s">
        <v>35</v>
      </c>
    </row>
    <row r="200" spans="1:16" x14ac:dyDescent="0.25">
      <c r="A200" t="s">
        <v>139</v>
      </c>
      <c r="B200" t="s">
        <v>140</v>
      </c>
      <c r="C200" t="s">
        <v>1180</v>
      </c>
      <c r="D200" t="s">
        <v>32</v>
      </c>
      <c r="E200">
        <v>73</v>
      </c>
      <c r="F200" t="s">
        <v>1181</v>
      </c>
      <c r="G200" s="3">
        <v>46171.777939814798</v>
      </c>
      <c r="H200" s="4">
        <v>45641</v>
      </c>
      <c r="I200" s="4">
        <v>46188</v>
      </c>
      <c r="J200" s="1">
        <v>777.28</v>
      </c>
      <c r="K200">
        <v>0.13</v>
      </c>
      <c r="L200">
        <v>1</v>
      </c>
      <c r="M200" s="1">
        <v>0</v>
      </c>
      <c r="N200" s="1">
        <v>8.42</v>
      </c>
      <c r="O200" t="s">
        <v>34</v>
      </c>
      <c r="P200" t="s">
        <v>35</v>
      </c>
    </row>
    <row r="201" spans="1:16" x14ac:dyDescent="0.25">
      <c r="A201" t="s">
        <v>219</v>
      </c>
      <c r="B201" t="s">
        <v>220</v>
      </c>
      <c r="C201" t="s">
        <v>1182</v>
      </c>
      <c r="D201" t="s">
        <v>32</v>
      </c>
      <c r="E201">
        <v>71</v>
      </c>
      <c r="F201" t="s">
        <v>1183</v>
      </c>
      <c r="G201" s="3">
        <v>46171.777939814798</v>
      </c>
      <c r="H201" s="4">
        <v>45623</v>
      </c>
      <c r="I201" s="4">
        <v>46200</v>
      </c>
      <c r="J201" s="1">
        <v>919.19</v>
      </c>
      <c r="K201">
        <v>0.13</v>
      </c>
      <c r="L201">
        <v>1</v>
      </c>
      <c r="M201" s="1">
        <v>0</v>
      </c>
      <c r="N201" s="1">
        <v>9.9600000000000009</v>
      </c>
      <c r="O201" t="s">
        <v>34</v>
      </c>
      <c r="P201" t="s">
        <v>35</v>
      </c>
    </row>
    <row r="202" spans="1:16" x14ac:dyDescent="0.25">
      <c r="A202" t="s">
        <v>580</v>
      </c>
      <c r="B202" t="s">
        <v>581</v>
      </c>
      <c r="C202" t="s">
        <v>1184</v>
      </c>
      <c r="D202" t="s">
        <v>32</v>
      </c>
      <c r="E202">
        <v>62</v>
      </c>
      <c r="F202" t="s">
        <v>1185</v>
      </c>
      <c r="G202" s="3">
        <v>46171.777939814798</v>
      </c>
      <c r="H202" s="4">
        <v>45658</v>
      </c>
      <c r="I202" s="4">
        <v>46174</v>
      </c>
      <c r="J202" s="1">
        <v>691.96</v>
      </c>
      <c r="K202">
        <v>0.13</v>
      </c>
      <c r="L202">
        <v>1</v>
      </c>
      <c r="M202" s="1">
        <v>0</v>
      </c>
      <c r="N202" s="1">
        <v>7.5</v>
      </c>
      <c r="O202" t="s">
        <v>34</v>
      </c>
      <c r="P202" t="s">
        <v>35</v>
      </c>
    </row>
    <row r="203" spans="1:16" x14ac:dyDescent="0.25">
      <c r="A203" t="s">
        <v>68</v>
      </c>
      <c r="B203" t="s">
        <v>69</v>
      </c>
      <c r="C203" t="s">
        <v>1186</v>
      </c>
      <c r="D203" t="s">
        <v>32</v>
      </c>
      <c r="E203">
        <v>67</v>
      </c>
      <c r="F203" t="s">
        <v>1187</v>
      </c>
      <c r="G203" s="3">
        <v>46171.777939814798</v>
      </c>
      <c r="H203" s="4">
        <v>45658</v>
      </c>
      <c r="I203" s="4">
        <v>46174</v>
      </c>
      <c r="J203" s="1">
        <v>884.95</v>
      </c>
      <c r="K203">
        <v>0.13</v>
      </c>
      <c r="L203">
        <v>1</v>
      </c>
      <c r="M203" s="1">
        <v>0</v>
      </c>
      <c r="N203" s="1">
        <v>9.59</v>
      </c>
      <c r="O203" t="s">
        <v>34</v>
      </c>
      <c r="P203" t="s">
        <v>35</v>
      </c>
    </row>
    <row r="204" spans="1:16" x14ac:dyDescent="0.25">
      <c r="A204" t="s">
        <v>188</v>
      </c>
      <c r="B204" t="s">
        <v>189</v>
      </c>
      <c r="C204" t="s">
        <v>1188</v>
      </c>
      <c r="D204" t="s">
        <v>193</v>
      </c>
      <c r="E204">
        <v>84</v>
      </c>
      <c r="F204" t="s">
        <v>1189</v>
      </c>
      <c r="G204" s="3">
        <v>46171.777939814798</v>
      </c>
      <c r="H204" s="4">
        <v>45658</v>
      </c>
      <c r="I204" s="4">
        <v>46174</v>
      </c>
      <c r="J204" s="1">
        <v>788.12</v>
      </c>
      <c r="K204">
        <v>6.5000000000000002E-2</v>
      </c>
      <c r="L204">
        <v>1</v>
      </c>
      <c r="M204" s="1">
        <v>0</v>
      </c>
      <c r="N204" s="1">
        <v>4.2699999999999996</v>
      </c>
      <c r="O204" t="s">
        <v>695</v>
      </c>
      <c r="P204" t="s">
        <v>35</v>
      </c>
    </row>
    <row r="205" spans="1:16" x14ac:dyDescent="0.25">
      <c r="A205" t="s">
        <v>188</v>
      </c>
      <c r="B205" t="s">
        <v>189</v>
      </c>
      <c r="C205" t="s">
        <v>1190</v>
      </c>
      <c r="D205" t="s">
        <v>91</v>
      </c>
      <c r="E205">
        <v>68</v>
      </c>
      <c r="F205" t="s">
        <v>1191</v>
      </c>
      <c r="G205" s="3">
        <v>46171.777939814798</v>
      </c>
      <c r="H205" s="4">
        <v>45658</v>
      </c>
      <c r="I205" s="4">
        <v>46174</v>
      </c>
      <c r="J205" s="1">
        <v>522.51</v>
      </c>
      <c r="K205">
        <v>0.13</v>
      </c>
      <c r="L205">
        <v>1</v>
      </c>
      <c r="M205" s="1">
        <v>0</v>
      </c>
      <c r="N205" s="1">
        <v>5.66</v>
      </c>
      <c r="O205" t="s">
        <v>34</v>
      </c>
      <c r="P205" t="s">
        <v>35</v>
      </c>
    </row>
    <row r="206" spans="1:16" x14ac:dyDescent="0.25">
      <c r="A206" t="s">
        <v>219</v>
      </c>
      <c r="B206" t="s">
        <v>220</v>
      </c>
      <c r="C206" t="s">
        <v>1192</v>
      </c>
      <c r="D206" t="s">
        <v>32</v>
      </c>
      <c r="E206">
        <v>76</v>
      </c>
      <c r="F206" t="s">
        <v>1193</v>
      </c>
      <c r="G206" s="3">
        <v>46171.777939814798</v>
      </c>
      <c r="H206" s="4">
        <v>45644</v>
      </c>
      <c r="I206" s="4">
        <v>46191</v>
      </c>
      <c r="J206" s="1">
        <v>1194.1500000000001</v>
      </c>
      <c r="K206">
        <v>6.5000000000000002E-2</v>
      </c>
      <c r="L206">
        <v>1</v>
      </c>
      <c r="M206" s="1">
        <v>0</v>
      </c>
      <c r="N206" s="1">
        <v>6.47</v>
      </c>
      <c r="O206" t="s">
        <v>34</v>
      </c>
      <c r="P206" t="s">
        <v>35</v>
      </c>
    </row>
    <row r="207" spans="1:16" x14ac:dyDescent="0.25">
      <c r="A207" t="s">
        <v>227</v>
      </c>
      <c r="B207" t="s">
        <v>228</v>
      </c>
      <c r="C207" t="s">
        <v>1194</v>
      </c>
      <c r="D207" t="s">
        <v>32</v>
      </c>
      <c r="E207">
        <v>73</v>
      </c>
      <c r="F207" t="s">
        <v>1195</v>
      </c>
      <c r="G207" s="3">
        <v>46171.777939814798</v>
      </c>
      <c r="H207" s="4">
        <v>45667</v>
      </c>
      <c r="I207" s="4">
        <v>46183</v>
      </c>
      <c r="J207" s="1">
        <v>798.78</v>
      </c>
      <c r="K207">
        <v>0.13</v>
      </c>
      <c r="L207">
        <v>1</v>
      </c>
      <c r="M207" s="1">
        <v>0</v>
      </c>
      <c r="N207" s="1">
        <v>8.65</v>
      </c>
      <c r="O207" t="s">
        <v>34</v>
      </c>
      <c r="P207" t="s">
        <v>35</v>
      </c>
    </row>
    <row r="208" spans="1:16" x14ac:dyDescent="0.25">
      <c r="A208" t="s">
        <v>580</v>
      </c>
      <c r="B208" t="s">
        <v>581</v>
      </c>
      <c r="C208" t="s">
        <v>1196</v>
      </c>
      <c r="D208" t="s">
        <v>32</v>
      </c>
      <c r="E208">
        <v>62</v>
      </c>
      <c r="F208" t="s">
        <v>1197</v>
      </c>
      <c r="G208" s="3">
        <v>46171.777939814798</v>
      </c>
      <c r="H208" s="4">
        <v>45689</v>
      </c>
      <c r="I208" s="4">
        <v>46174</v>
      </c>
      <c r="J208" s="1">
        <v>662.74</v>
      </c>
      <c r="K208">
        <v>0.13</v>
      </c>
      <c r="L208">
        <v>1</v>
      </c>
      <c r="M208" s="1">
        <v>0</v>
      </c>
      <c r="N208" s="1">
        <v>7.18</v>
      </c>
      <c r="O208" t="s">
        <v>34</v>
      </c>
      <c r="P208" t="s">
        <v>35</v>
      </c>
    </row>
    <row r="209" spans="1:16" x14ac:dyDescent="0.25">
      <c r="A209" t="s">
        <v>82</v>
      </c>
      <c r="B209" t="s">
        <v>83</v>
      </c>
      <c r="C209" t="s">
        <v>1198</v>
      </c>
      <c r="D209" t="s">
        <v>32</v>
      </c>
      <c r="E209">
        <v>69</v>
      </c>
      <c r="F209" t="s">
        <v>1199</v>
      </c>
      <c r="G209" s="3">
        <v>46171.777939814798</v>
      </c>
      <c r="H209" s="4">
        <v>45717</v>
      </c>
      <c r="I209" s="4">
        <v>46204</v>
      </c>
      <c r="J209" s="1">
        <v>667.29</v>
      </c>
      <c r="K209">
        <v>0.13</v>
      </c>
      <c r="L209">
        <v>1</v>
      </c>
      <c r="M209" s="1">
        <v>0</v>
      </c>
      <c r="N209" s="1">
        <v>7.23</v>
      </c>
      <c r="O209" t="s">
        <v>34</v>
      </c>
      <c r="P209" t="s">
        <v>35</v>
      </c>
    </row>
    <row r="210" spans="1:16" x14ac:dyDescent="0.25">
      <c r="A210" t="s">
        <v>76</v>
      </c>
      <c r="B210" t="s">
        <v>77</v>
      </c>
      <c r="C210" t="s">
        <v>1200</v>
      </c>
      <c r="D210" t="s">
        <v>32</v>
      </c>
      <c r="E210">
        <v>73</v>
      </c>
      <c r="F210" t="s">
        <v>1201</v>
      </c>
      <c r="G210" s="3">
        <v>46171.777939814798</v>
      </c>
      <c r="H210" s="4">
        <v>45688</v>
      </c>
      <c r="I210" s="4">
        <v>1</v>
      </c>
      <c r="J210" s="1">
        <v>1247.1099999999999</v>
      </c>
      <c r="K210">
        <v>0.13</v>
      </c>
      <c r="L210">
        <v>1</v>
      </c>
      <c r="M210" s="1">
        <v>0</v>
      </c>
      <c r="N210" s="1">
        <v>13.51</v>
      </c>
      <c r="O210" t="s">
        <v>34</v>
      </c>
      <c r="P210" t="s">
        <v>35</v>
      </c>
    </row>
    <row r="211" spans="1:16" x14ac:dyDescent="0.25">
      <c r="A211" t="s">
        <v>76</v>
      </c>
      <c r="B211" t="s">
        <v>77</v>
      </c>
      <c r="C211" t="s">
        <v>1202</v>
      </c>
      <c r="D211" t="s">
        <v>91</v>
      </c>
      <c r="E211">
        <v>56</v>
      </c>
      <c r="F211" t="s">
        <v>1203</v>
      </c>
      <c r="G211" s="3">
        <v>46171.777939814798</v>
      </c>
      <c r="H211" s="4">
        <v>45748</v>
      </c>
      <c r="I211" s="4">
        <v>46174</v>
      </c>
      <c r="J211" s="1">
        <v>506.51</v>
      </c>
      <c r="K211">
        <v>0.13</v>
      </c>
      <c r="L211">
        <v>1</v>
      </c>
      <c r="M211" s="1">
        <v>0</v>
      </c>
      <c r="N211" s="1">
        <v>5.49</v>
      </c>
      <c r="O211" t="s">
        <v>34</v>
      </c>
      <c r="P211" t="s">
        <v>35</v>
      </c>
    </row>
    <row r="212" spans="1:16" x14ac:dyDescent="0.25">
      <c r="A212" t="s">
        <v>68</v>
      </c>
      <c r="B212" t="s">
        <v>69</v>
      </c>
      <c r="C212" t="s">
        <v>1204</v>
      </c>
      <c r="D212" t="s">
        <v>32</v>
      </c>
      <c r="E212">
        <v>68</v>
      </c>
      <c r="F212" t="s">
        <v>1205</v>
      </c>
      <c r="G212" s="3">
        <v>46171.777939814798</v>
      </c>
      <c r="H212" s="4">
        <v>45720</v>
      </c>
      <c r="I212" s="4">
        <v>46177</v>
      </c>
      <c r="J212" s="1">
        <v>951.57</v>
      </c>
      <c r="K212">
        <v>0.13</v>
      </c>
      <c r="L212">
        <v>1</v>
      </c>
      <c r="M212" s="1">
        <v>0</v>
      </c>
      <c r="N212" s="1">
        <v>10.31</v>
      </c>
      <c r="O212" t="s">
        <v>34</v>
      </c>
      <c r="P212" t="s">
        <v>35</v>
      </c>
    </row>
    <row r="213" spans="1:16" x14ac:dyDescent="0.25">
      <c r="A213" t="s">
        <v>604</v>
      </c>
      <c r="B213" t="s">
        <v>605</v>
      </c>
      <c r="C213" t="s">
        <v>1206</v>
      </c>
      <c r="D213" t="s">
        <v>32</v>
      </c>
      <c r="E213">
        <v>71</v>
      </c>
      <c r="F213" t="s">
        <v>1207</v>
      </c>
      <c r="G213" s="3">
        <v>46171.777939814798</v>
      </c>
      <c r="H213" s="4">
        <v>45702</v>
      </c>
      <c r="I213" s="4">
        <v>46187</v>
      </c>
      <c r="J213" s="1">
        <v>1116.99</v>
      </c>
      <c r="K213">
        <v>0.13</v>
      </c>
      <c r="L213">
        <v>1</v>
      </c>
      <c r="M213" s="1">
        <v>0</v>
      </c>
      <c r="N213" s="1">
        <v>12.1</v>
      </c>
      <c r="O213" t="s">
        <v>34</v>
      </c>
      <c r="P213" t="s">
        <v>35</v>
      </c>
    </row>
    <row r="214" spans="1:16" x14ac:dyDescent="0.25">
      <c r="A214" t="s">
        <v>29</v>
      </c>
      <c r="B214" t="s">
        <v>30</v>
      </c>
      <c r="C214" t="s">
        <v>1208</v>
      </c>
      <c r="D214" t="s">
        <v>32</v>
      </c>
      <c r="E214">
        <v>72</v>
      </c>
      <c r="F214" t="s">
        <v>1209</v>
      </c>
      <c r="G214" s="3">
        <v>46171.777939814798</v>
      </c>
      <c r="H214" s="4">
        <v>45717</v>
      </c>
      <c r="I214" s="4">
        <v>46174</v>
      </c>
      <c r="J214" s="1">
        <v>798.78</v>
      </c>
      <c r="K214">
        <v>0.13</v>
      </c>
      <c r="L214">
        <v>1</v>
      </c>
      <c r="M214" s="1">
        <v>0</v>
      </c>
      <c r="N214" s="1">
        <v>8.65</v>
      </c>
      <c r="O214" t="s">
        <v>34</v>
      </c>
      <c r="P214" t="s">
        <v>35</v>
      </c>
    </row>
    <row r="215" spans="1:16" x14ac:dyDescent="0.25">
      <c r="A215" t="s">
        <v>904</v>
      </c>
      <c r="B215" t="s">
        <v>905</v>
      </c>
      <c r="C215" t="s">
        <v>1210</v>
      </c>
      <c r="D215" t="s">
        <v>32</v>
      </c>
      <c r="E215">
        <v>63</v>
      </c>
      <c r="F215" t="s">
        <v>1211</v>
      </c>
      <c r="G215" s="3">
        <v>46171.777939814798</v>
      </c>
      <c r="H215" s="4">
        <v>45717</v>
      </c>
      <c r="I215" s="4">
        <v>46174</v>
      </c>
      <c r="J215" s="1">
        <v>417.01</v>
      </c>
      <c r="K215">
        <v>0.13</v>
      </c>
      <c r="L215">
        <v>1</v>
      </c>
      <c r="M215" s="1">
        <v>0</v>
      </c>
      <c r="N215" s="1">
        <v>4.5199999999999996</v>
      </c>
      <c r="O215" t="s">
        <v>34</v>
      </c>
      <c r="P215" t="s">
        <v>35</v>
      </c>
    </row>
    <row r="216" spans="1:16" x14ac:dyDescent="0.25">
      <c r="A216" t="s">
        <v>904</v>
      </c>
      <c r="B216" t="s">
        <v>905</v>
      </c>
      <c r="C216" t="s">
        <v>1212</v>
      </c>
      <c r="D216" t="s">
        <v>32</v>
      </c>
      <c r="E216">
        <v>62</v>
      </c>
      <c r="F216" t="s">
        <v>1213</v>
      </c>
      <c r="G216" s="3">
        <v>46171.777939814798</v>
      </c>
      <c r="H216" s="4">
        <v>45717</v>
      </c>
      <c r="I216" s="4">
        <v>46174</v>
      </c>
      <c r="J216" s="1">
        <v>417.01</v>
      </c>
      <c r="K216">
        <v>0.13</v>
      </c>
      <c r="L216">
        <v>1</v>
      </c>
      <c r="M216" s="1">
        <v>0</v>
      </c>
      <c r="N216" s="1">
        <v>4.5199999999999996</v>
      </c>
      <c r="O216" t="s">
        <v>34</v>
      </c>
      <c r="P216" t="s">
        <v>35</v>
      </c>
    </row>
    <row r="217" spans="1:16" x14ac:dyDescent="0.25">
      <c r="A217" t="s">
        <v>113</v>
      </c>
      <c r="B217" t="s">
        <v>114</v>
      </c>
      <c r="C217" t="s">
        <v>1214</v>
      </c>
      <c r="D217" t="s">
        <v>32</v>
      </c>
      <c r="E217">
        <v>64</v>
      </c>
      <c r="F217" t="s">
        <v>1215</v>
      </c>
      <c r="G217" s="3">
        <v>46171.777939814798</v>
      </c>
      <c r="H217" s="4">
        <v>45717</v>
      </c>
      <c r="I217" s="4">
        <v>46174</v>
      </c>
      <c r="J217" s="1">
        <v>570.82000000000005</v>
      </c>
      <c r="K217">
        <v>0.13</v>
      </c>
      <c r="L217">
        <v>1</v>
      </c>
      <c r="M217" s="1">
        <v>0</v>
      </c>
      <c r="N217" s="1">
        <v>4.6900000000000004</v>
      </c>
      <c r="O217" t="s">
        <v>34</v>
      </c>
      <c r="P217" t="s">
        <v>35</v>
      </c>
    </row>
    <row r="218" spans="1:16" x14ac:dyDescent="0.25">
      <c r="A218" t="s">
        <v>29</v>
      </c>
      <c r="B218" t="s">
        <v>30</v>
      </c>
      <c r="C218" t="s">
        <v>1216</v>
      </c>
      <c r="D218" t="s">
        <v>32</v>
      </c>
      <c r="E218">
        <v>60</v>
      </c>
      <c r="F218" t="s">
        <v>1217</v>
      </c>
      <c r="G218" s="3">
        <v>46171.777939814798</v>
      </c>
      <c r="H218" s="4">
        <v>45717</v>
      </c>
      <c r="I218" s="4">
        <v>46174</v>
      </c>
      <c r="J218" s="1">
        <v>417.01</v>
      </c>
      <c r="K218">
        <v>0.13</v>
      </c>
      <c r="L218">
        <v>1</v>
      </c>
      <c r="M218" s="1">
        <v>0</v>
      </c>
      <c r="N218" s="1">
        <v>3.67</v>
      </c>
      <c r="O218" t="s">
        <v>34</v>
      </c>
      <c r="P218" t="s">
        <v>35</v>
      </c>
    </row>
    <row r="219" spans="1:16" x14ac:dyDescent="0.25">
      <c r="A219" t="s">
        <v>29</v>
      </c>
      <c r="B219" t="s">
        <v>30</v>
      </c>
      <c r="C219" t="s">
        <v>1218</v>
      </c>
      <c r="D219" t="s">
        <v>32</v>
      </c>
      <c r="E219">
        <v>63</v>
      </c>
      <c r="F219" t="s">
        <v>1219</v>
      </c>
      <c r="G219" s="3">
        <v>46171.777939814798</v>
      </c>
      <c r="H219" s="4">
        <v>45717</v>
      </c>
      <c r="I219" s="4">
        <v>46174</v>
      </c>
      <c r="J219" s="1">
        <v>448.39</v>
      </c>
      <c r="K219">
        <v>0.13</v>
      </c>
      <c r="L219">
        <v>1</v>
      </c>
      <c r="M219" s="1">
        <v>0</v>
      </c>
      <c r="N219" s="1">
        <v>4.8600000000000003</v>
      </c>
      <c r="O219" t="s">
        <v>34</v>
      </c>
      <c r="P219" t="s">
        <v>35</v>
      </c>
    </row>
    <row r="220" spans="1:16" x14ac:dyDescent="0.25">
      <c r="A220" t="s">
        <v>227</v>
      </c>
      <c r="B220" t="s">
        <v>228</v>
      </c>
      <c r="C220" t="s">
        <v>1220</v>
      </c>
      <c r="D220" t="s">
        <v>32</v>
      </c>
      <c r="E220">
        <v>67</v>
      </c>
      <c r="F220" t="s">
        <v>1221</v>
      </c>
      <c r="G220" s="3">
        <v>46171.777939814798</v>
      </c>
      <c r="H220" s="4">
        <v>45717</v>
      </c>
      <c r="I220" s="4">
        <v>46174</v>
      </c>
      <c r="J220" s="1">
        <v>592.61</v>
      </c>
      <c r="K220">
        <v>0.13</v>
      </c>
      <c r="L220">
        <v>1</v>
      </c>
      <c r="M220" s="1">
        <v>0</v>
      </c>
      <c r="N220" s="1">
        <v>6.42</v>
      </c>
      <c r="O220" t="s">
        <v>34</v>
      </c>
      <c r="P220" t="s">
        <v>35</v>
      </c>
    </row>
    <row r="221" spans="1:16" x14ac:dyDescent="0.25">
      <c r="A221" t="s">
        <v>706</v>
      </c>
      <c r="B221" t="s">
        <v>707</v>
      </c>
      <c r="C221" t="s">
        <v>1222</v>
      </c>
      <c r="D221" t="s">
        <v>32</v>
      </c>
      <c r="E221">
        <v>61</v>
      </c>
      <c r="F221" t="s">
        <v>1223</v>
      </c>
      <c r="G221" s="3">
        <v>46171.777939814798</v>
      </c>
      <c r="H221" s="4">
        <v>45717</v>
      </c>
      <c r="I221" s="4">
        <v>46204</v>
      </c>
      <c r="J221" s="1">
        <v>674</v>
      </c>
      <c r="K221">
        <v>0.13</v>
      </c>
      <c r="L221">
        <v>1</v>
      </c>
      <c r="M221" s="1">
        <v>0</v>
      </c>
      <c r="N221" s="1">
        <v>7.3</v>
      </c>
      <c r="O221" t="s">
        <v>34</v>
      </c>
      <c r="P221" t="s">
        <v>35</v>
      </c>
    </row>
    <row r="222" spans="1:16" x14ac:dyDescent="0.25">
      <c r="A222" t="s">
        <v>29</v>
      </c>
      <c r="B222" t="s">
        <v>30</v>
      </c>
      <c r="C222" t="s">
        <v>1224</v>
      </c>
      <c r="D222" t="s">
        <v>32</v>
      </c>
      <c r="E222">
        <v>68</v>
      </c>
      <c r="F222" t="s">
        <v>1225</v>
      </c>
      <c r="G222" s="3">
        <v>46171.777939814798</v>
      </c>
      <c r="H222" s="4">
        <v>45715</v>
      </c>
      <c r="I222" s="4">
        <v>46169</v>
      </c>
      <c r="J222" s="1">
        <v>592.61</v>
      </c>
      <c r="K222">
        <v>0.13</v>
      </c>
      <c r="L222">
        <v>1</v>
      </c>
      <c r="M222" s="1">
        <v>0</v>
      </c>
      <c r="N222" s="1">
        <v>6.42</v>
      </c>
      <c r="O222" t="s">
        <v>34</v>
      </c>
      <c r="P222" t="s">
        <v>35</v>
      </c>
    </row>
    <row r="223" spans="1:16" x14ac:dyDescent="0.25">
      <c r="A223" t="s">
        <v>68</v>
      </c>
      <c r="B223" t="s">
        <v>69</v>
      </c>
      <c r="C223" t="s">
        <v>1226</v>
      </c>
      <c r="D223" t="s">
        <v>32</v>
      </c>
      <c r="E223">
        <v>71</v>
      </c>
      <c r="F223" t="s">
        <v>1227</v>
      </c>
      <c r="G223" s="3">
        <v>46171.777939814798</v>
      </c>
      <c r="H223" s="4">
        <v>45720</v>
      </c>
      <c r="I223" s="4">
        <v>46177</v>
      </c>
      <c r="J223" s="1">
        <v>1247.1099999999999</v>
      </c>
      <c r="K223">
        <v>0.13</v>
      </c>
      <c r="L223">
        <v>1</v>
      </c>
      <c r="M223" s="1">
        <v>0</v>
      </c>
      <c r="N223" s="1">
        <v>13.51</v>
      </c>
      <c r="O223" t="s">
        <v>34</v>
      </c>
      <c r="P223" t="s">
        <v>35</v>
      </c>
    </row>
    <row r="224" spans="1:16" x14ac:dyDescent="0.25">
      <c r="A224" t="s">
        <v>76</v>
      </c>
      <c r="B224" t="s">
        <v>77</v>
      </c>
      <c r="C224" t="s">
        <v>1228</v>
      </c>
      <c r="D224" t="s">
        <v>32</v>
      </c>
      <c r="E224">
        <v>66</v>
      </c>
      <c r="F224" t="s">
        <v>1229</v>
      </c>
      <c r="G224" s="3">
        <v>46171.777939814798</v>
      </c>
      <c r="H224" s="4">
        <v>45717</v>
      </c>
      <c r="I224" s="4">
        <v>46174</v>
      </c>
      <c r="J224" s="1">
        <v>828.92</v>
      </c>
      <c r="K224">
        <v>0.13</v>
      </c>
      <c r="L224">
        <v>1</v>
      </c>
      <c r="M224" s="1">
        <v>0</v>
      </c>
      <c r="N224" s="1">
        <v>8.98</v>
      </c>
      <c r="O224" t="s">
        <v>34</v>
      </c>
      <c r="P224" t="s">
        <v>35</v>
      </c>
    </row>
    <row r="225" spans="1:16" x14ac:dyDescent="0.25">
      <c r="A225" t="s">
        <v>188</v>
      </c>
      <c r="B225" t="s">
        <v>189</v>
      </c>
      <c r="C225" t="s">
        <v>1230</v>
      </c>
      <c r="D225" t="s">
        <v>455</v>
      </c>
      <c r="E225">
        <v>77</v>
      </c>
      <c r="F225" t="s">
        <v>1231</v>
      </c>
      <c r="G225" s="3">
        <v>46171.777939814798</v>
      </c>
      <c r="H225" s="4">
        <v>45748</v>
      </c>
      <c r="I225" s="4">
        <v>46174</v>
      </c>
      <c r="J225" s="1">
        <v>1164.8499999999999</v>
      </c>
      <c r="K225">
        <v>6.5000000000000002E-2</v>
      </c>
      <c r="L225">
        <v>1</v>
      </c>
      <c r="M225" s="1">
        <v>0</v>
      </c>
      <c r="N225" s="1">
        <v>6.31</v>
      </c>
      <c r="O225" t="s">
        <v>457</v>
      </c>
      <c r="P225" t="s">
        <v>35</v>
      </c>
    </row>
    <row r="226" spans="1:16" x14ac:dyDescent="0.25">
      <c r="A226" t="s">
        <v>188</v>
      </c>
      <c r="B226" t="s">
        <v>189</v>
      </c>
      <c r="C226" t="s">
        <v>1232</v>
      </c>
      <c r="D226" t="s">
        <v>32</v>
      </c>
      <c r="E226">
        <v>72</v>
      </c>
      <c r="F226" t="s">
        <v>1233</v>
      </c>
      <c r="G226" s="3">
        <v>46171.777939814798</v>
      </c>
      <c r="H226" s="4">
        <v>45720</v>
      </c>
      <c r="I226" s="4">
        <v>46177</v>
      </c>
      <c r="J226" s="1">
        <v>835.79</v>
      </c>
      <c r="K226">
        <v>0.13</v>
      </c>
      <c r="L226">
        <v>1</v>
      </c>
      <c r="M226" s="1">
        <v>0</v>
      </c>
      <c r="N226" s="1">
        <v>9.0500000000000007</v>
      </c>
      <c r="O226" t="s">
        <v>34</v>
      </c>
      <c r="P226" t="s">
        <v>35</v>
      </c>
    </row>
    <row r="227" spans="1:16" x14ac:dyDescent="0.25">
      <c r="A227" t="s">
        <v>188</v>
      </c>
      <c r="B227" t="s">
        <v>189</v>
      </c>
      <c r="C227" t="s">
        <v>1234</v>
      </c>
      <c r="D227" t="s">
        <v>32</v>
      </c>
      <c r="E227">
        <v>66</v>
      </c>
      <c r="F227" t="s">
        <v>1235</v>
      </c>
      <c r="G227" s="3">
        <v>46171.777939814798</v>
      </c>
      <c r="H227" s="4">
        <v>45720</v>
      </c>
      <c r="I227" s="4">
        <v>46177</v>
      </c>
      <c r="J227" s="1">
        <v>592.61</v>
      </c>
      <c r="K227">
        <v>0.13</v>
      </c>
      <c r="L227">
        <v>1</v>
      </c>
      <c r="M227" s="1">
        <v>0</v>
      </c>
      <c r="N227" s="1">
        <v>6.42</v>
      </c>
      <c r="O227" t="s">
        <v>34</v>
      </c>
      <c r="P227" t="s">
        <v>35</v>
      </c>
    </row>
    <row r="228" spans="1:16" x14ac:dyDescent="0.25">
      <c r="A228" t="s">
        <v>29</v>
      </c>
      <c r="B228" t="s">
        <v>30</v>
      </c>
      <c r="C228" t="s">
        <v>1236</v>
      </c>
      <c r="D228" t="s">
        <v>32</v>
      </c>
      <c r="E228">
        <v>69</v>
      </c>
      <c r="F228" t="s">
        <v>1237</v>
      </c>
      <c r="G228" s="3">
        <v>46171.777939814798</v>
      </c>
      <c r="H228" s="4">
        <v>45723</v>
      </c>
      <c r="I228" s="4">
        <v>46180</v>
      </c>
      <c r="J228" s="1">
        <v>551.12</v>
      </c>
      <c r="K228">
        <v>0.13</v>
      </c>
      <c r="L228">
        <v>1</v>
      </c>
      <c r="M228" s="1">
        <v>0</v>
      </c>
      <c r="N228" s="1">
        <v>5.97</v>
      </c>
      <c r="O228" t="s">
        <v>34</v>
      </c>
      <c r="P228" t="s">
        <v>35</v>
      </c>
    </row>
    <row r="229" spans="1:16" x14ac:dyDescent="0.25">
      <c r="A229" t="s">
        <v>223</v>
      </c>
      <c r="B229" t="s">
        <v>224</v>
      </c>
      <c r="C229" t="s">
        <v>1238</v>
      </c>
      <c r="D229" t="s">
        <v>193</v>
      </c>
      <c r="E229">
        <v>67</v>
      </c>
      <c r="F229" t="s">
        <v>1239</v>
      </c>
      <c r="G229" s="3">
        <v>46171.777939814798</v>
      </c>
      <c r="H229" s="4">
        <v>45748</v>
      </c>
      <c r="I229" s="4">
        <v>46174</v>
      </c>
      <c r="J229" s="1">
        <v>420.3</v>
      </c>
      <c r="K229">
        <v>0.13</v>
      </c>
      <c r="L229">
        <v>1</v>
      </c>
      <c r="M229" s="1">
        <v>0</v>
      </c>
      <c r="N229" s="1">
        <v>4.55</v>
      </c>
      <c r="O229" t="s">
        <v>34</v>
      </c>
      <c r="P229" t="s">
        <v>35</v>
      </c>
    </row>
    <row r="230" spans="1:16" x14ac:dyDescent="0.25">
      <c r="A230" t="s">
        <v>867</v>
      </c>
      <c r="B230" t="s">
        <v>868</v>
      </c>
      <c r="C230" t="s">
        <v>1240</v>
      </c>
      <c r="D230" t="s">
        <v>91</v>
      </c>
      <c r="E230">
        <v>66</v>
      </c>
      <c r="F230" t="s">
        <v>1241</v>
      </c>
      <c r="G230" s="3">
        <v>46171.777939814798</v>
      </c>
      <c r="H230" s="4">
        <v>45729</v>
      </c>
      <c r="I230" s="4">
        <v>46186</v>
      </c>
      <c r="J230" s="1">
        <v>671.14</v>
      </c>
      <c r="K230">
        <v>0.13</v>
      </c>
      <c r="L230">
        <v>1</v>
      </c>
      <c r="M230" s="1">
        <v>0</v>
      </c>
      <c r="N230" s="1">
        <v>7.27</v>
      </c>
      <c r="O230" t="s">
        <v>34</v>
      </c>
      <c r="P230" t="s">
        <v>35</v>
      </c>
    </row>
    <row r="231" spans="1:16" x14ac:dyDescent="0.25">
      <c r="A231" t="s">
        <v>48</v>
      </c>
      <c r="B231" t="s">
        <v>49</v>
      </c>
      <c r="C231" t="s">
        <v>1242</v>
      </c>
      <c r="D231" t="s">
        <v>32</v>
      </c>
      <c r="E231">
        <v>71</v>
      </c>
      <c r="F231" t="s">
        <v>1243</v>
      </c>
      <c r="G231" s="3">
        <v>46171.777939814798</v>
      </c>
      <c r="H231" s="4">
        <v>45748</v>
      </c>
      <c r="I231" s="4">
        <v>46174</v>
      </c>
      <c r="J231" s="1">
        <v>1398.5</v>
      </c>
      <c r="K231">
        <v>0.13</v>
      </c>
      <c r="L231">
        <v>1</v>
      </c>
      <c r="M231" s="1">
        <v>0</v>
      </c>
      <c r="N231" s="1">
        <v>15.15</v>
      </c>
      <c r="O231" t="s">
        <v>34</v>
      </c>
      <c r="P231" t="s">
        <v>35</v>
      </c>
    </row>
    <row r="232" spans="1:16" x14ac:dyDescent="0.25">
      <c r="A232" t="s">
        <v>184</v>
      </c>
      <c r="B232" t="s">
        <v>185</v>
      </c>
      <c r="C232" t="s">
        <v>1244</v>
      </c>
      <c r="D232" t="s">
        <v>91</v>
      </c>
      <c r="E232">
        <v>72</v>
      </c>
      <c r="F232" t="s">
        <v>1245</v>
      </c>
      <c r="G232" s="3">
        <v>46171.777939814798</v>
      </c>
      <c r="H232" s="4">
        <v>45748</v>
      </c>
      <c r="I232" s="4">
        <v>46174</v>
      </c>
      <c r="J232" s="1">
        <v>839.99</v>
      </c>
      <c r="K232">
        <v>0.13</v>
      </c>
      <c r="L232">
        <v>1</v>
      </c>
      <c r="M232" s="1">
        <v>0</v>
      </c>
      <c r="N232" s="1">
        <v>9.1</v>
      </c>
      <c r="O232" t="s">
        <v>34</v>
      </c>
      <c r="P232" t="s">
        <v>35</v>
      </c>
    </row>
    <row r="233" spans="1:16" x14ac:dyDescent="0.25">
      <c r="A233" t="s">
        <v>48</v>
      </c>
      <c r="B233" t="s">
        <v>49</v>
      </c>
      <c r="C233" t="s">
        <v>1246</v>
      </c>
      <c r="D233" t="s">
        <v>32</v>
      </c>
      <c r="E233">
        <v>68</v>
      </c>
      <c r="F233" t="s">
        <v>1247</v>
      </c>
      <c r="G233" s="3">
        <v>46171.777939814798</v>
      </c>
      <c r="H233" s="4">
        <v>45748</v>
      </c>
      <c r="I233" s="4">
        <v>46174</v>
      </c>
      <c r="J233" s="1">
        <v>911.64</v>
      </c>
      <c r="K233">
        <v>0.13</v>
      </c>
      <c r="L233">
        <v>1</v>
      </c>
      <c r="M233" s="1">
        <v>0</v>
      </c>
      <c r="N233" s="1">
        <v>9.8800000000000008</v>
      </c>
      <c r="O233" t="s">
        <v>34</v>
      </c>
      <c r="P233" t="s">
        <v>35</v>
      </c>
    </row>
    <row r="234" spans="1:16" x14ac:dyDescent="0.25">
      <c r="A234" t="s">
        <v>76</v>
      </c>
      <c r="B234" t="s">
        <v>77</v>
      </c>
      <c r="C234" t="s">
        <v>1248</v>
      </c>
      <c r="D234" t="s">
        <v>32</v>
      </c>
      <c r="E234">
        <v>74</v>
      </c>
      <c r="F234" t="s">
        <v>1249</v>
      </c>
      <c r="G234" s="3">
        <v>46171.777939814798</v>
      </c>
      <c r="H234" s="4">
        <v>45748</v>
      </c>
      <c r="I234" s="4">
        <v>46174</v>
      </c>
      <c r="J234" s="1">
        <v>777.28</v>
      </c>
      <c r="K234">
        <v>0.13</v>
      </c>
      <c r="L234">
        <v>1</v>
      </c>
      <c r="M234" s="1">
        <v>0</v>
      </c>
      <c r="N234" s="1">
        <v>8.42</v>
      </c>
      <c r="O234" t="s">
        <v>47</v>
      </c>
      <c r="P234" t="s">
        <v>35</v>
      </c>
    </row>
    <row r="235" spans="1:16" x14ac:dyDescent="0.25">
      <c r="A235" t="s">
        <v>76</v>
      </c>
      <c r="B235" t="s">
        <v>77</v>
      </c>
      <c r="C235" t="s">
        <v>1250</v>
      </c>
      <c r="D235" t="s">
        <v>32</v>
      </c>
      <c r="E235">
        <v>74</v>
      </c>
      <c r="F235" t="s">
        <v>1251</v>
      </c>
      <c r="G235" s="3">
        <v>46171.777939814798</v>
      </c>
      <c r="H235" s="4">
        <v>45742</v>
      </c>
      <c r="I235" s="4">
        <v>46199</v>
      </c>
      <c r="J235" s="1">
        <v>777.28</v>
      </c>
      <c r="K235">
        <v>0.13</v>
      </c>
      <c r="L235">
        <v>1</v>
      </c>
      <c r="M235" s="1">
        <v>0</v>
      </c>
      <c r="N235" s="1">
        <v>8.42</v>
      </c>
      <c r="O235" t="s">
        <v>34</v>
      </c>
      <c r="P235" t="s">
        <v>35</v>
      </c>
    </row>
    <row r="236" spans="1:16" x14ac:dyDescent="0.25">
      <c r="A236" t="s">
        <v>223</v>
      </c>
      <c r="B236" t="s">
        <v>224</v>
      </c>
      <c r="C236" t="s">
        <v>1252</v>
      </c>
      <c r="D236" t="s">
        <v>193</v>
      </c>
      <c r="E236">
        <v>68</v>
      </c>
      <c r="F236" t="s">
        <v>1253</v>
      </c>
      <c r="G236" s="3">
        <v>46171.777939814798</v>
      </c>
      <c r="H236" s="4">
        <v>45741</v>
      </c>
      <c r="I236" s="4">
        <v>46198</v>
      </c>
      <c r="J236" s="1">
        <v>390.87</v>
      </c>
      <c r="K236">
        <v>0.13</v>
      </c>
      <c r="L236">
        <v>1</v>
      </c>
      <c r="M236" s="1">
        <v>0</v>
      </c>
      <c r="N236" s="1">
        <v>4.2300000000000004</v>
      </c>
      <c r="O236" t="s">
        <v>34</v>
      </c>
      <c r="P236" t="s">
        <v>35</v>
      </c>
    </row>
    <row r="237" spans="1:16" x14ac:dyDescent="0.25">
      <c r="A237" t="s">
        <v>29</v>
      </c>
      <c r="B237" t="s">
        <v>30</v>
      </c>
      <c r="C237" t="s">
        <v>1254</v>
      </c>
      <c r="D237" t="s">
        <v>32</v>
      </c>
      <c r="E237">
        <v>73</v>
      </c>
      <c r="F237" t="s">
        <v>1255</v>
      </c>
      <c r="G237" s="3">
        <v>46171.777939814798</v>
      </c>
      <c r="H237" s="4">
        <v>45743</v>
      </c>
      <c r="I237" s="4">
        <v>46169</v>
      </c>
      <c r="J237" s="1">
        <v>777.28</v>
      </c>
      <c r="K237">
        <v>0.13</v>
      </c>
      <c r="L237">
        <v>1</v>
      </c>
      <c r="M237" s="1">
        <v>0</v>
      </c>
      <c r="N237" s="1">
        <v>8.42</v>
      </c>
      <c r="O237" t="s">
        <v>34</v>
      </c>
      <c r="P237" t="s">
        <v>35</v>
      </c>
    </row>
    <row r="238" spans="1:16" x14ac:dyDescent="0.25">
      <c r="A238" t="s">
        <v>29</v>
      </c>
      <c r="B238" t="s">
        <v>30</v>
      </c>
      <c r="C238" t="s">
        <v>1256</v>
      </c>
      <c r="D238" t="s">
        <v>32</v>
      </c>
      <c r="E238">
        <v>71</v>
      </c>
      <c r="F238" t="s">
        <v>1257</v>
      </c>
      <c r="G238" s="3">
        <v>46171.777939814798</v>
      </c>
      <c r="H238" s="4">
        <v>45743</v>
      </c>
      <c r="I238" s="4">
        <v>46169</v>
      </c>
      <c r="J238" s="1">
        <v>798.78</v>
      </c>
      <c r="K238">
        <v>0.13</v>
      </c>
      <c r="L238">
        <v>1</v>
      </c>
      <c r="M238" s="1">
        <v>0</v>
      </c>
      <c r="N238" s="1">
        <v>8.65</v>
      </c>
      <c r="O238" t="s">
        <v>34</v>
      </c>
      <c r="P238" t="s">
        <v>35</v>
      </c>
    </row>
    <row r="239" spans="1:16" x14ac:dyDescent="0.25">
      <c r="A239" t="s">
        <v>139</v>
      </c>
      <c r="B239" t="s">
        <v>140</v>
      </c>
      <c r="C239" t="s">
        <v>1258</v>
      </c>
      <c r="D239" t="s">
        <v>32</v>
      </c>
      <c r="E239">
        <v>59</v>
      </c>
      <c r="F239" t="s">
        <v>1259</v>
      </c>
      <c r="G239" s="3">
        <v>46171.777939814798</v>
      </c>
      <c r="H239" s="4">
        <v>45751</v>
      </c>
      <c r="I239" s="4">
        <v>46177</v>
      </c>
      <c r="J239" s="1">
        <v>405.16</v>
      </c>
      <c r="K239">
        <v>0.13</v>
      </c>
      <c r="L239">
        <v>1</v>
      </c>
      <c r="M239" s="1">
        <v>0</v>
      </c>
      <c r="N239" s="1">
        <v>4.3899999999999997</v>
      </c>
      <c r="O239" t="s">
        <v>1260</v>
      </c>
      <c r="P239" t="s">
        <v>35</v>
      </c>
    </row>
    <row r="240" spans="1:16" x14ac:dyDescent="0.25">
      <c r="A240" t="s">
        <v>76</v>
      </c>
      <c r="B240" t="s">
        <v>77</v>
      </c>
      <c r="C240" t="s">
        <v>1261</v>
      </c>
      <c r="D240" t="s">
        <v>32</v>
      </c>
      <c r="E240">
        <v>65</v>
      </c>
      <c r="F240" t="s">
        <v>1262</v>
      </c>
      <c r="G240" s="3">
        <v>46171.777939814798</v>
      </c>
      <c r="H240" s="4">
        <v>45748</v>
      </c>
      <c r="I240" s="4">
        <v>46174</v>
      </c>
      <c r="J240" s="1">
        <v>530.86</v>
      </c>
      <c r="K240">
        <v>0.13</v>
      </c>
      <c r="L240">
        <v>1</v>
      </c>
      <c r="M240" s="1">
        <v>0</v>
      </c>
      <c r="N240" s="1">
        <v>5.75</v>
      </c>
      <c r="O240" t="s">
        <v>34</v>
      </c>
      <c r="P240" t="s">
        <v>35</v>
      </c>
    </row>
    <row r="241" spans="1:16" x14ac:dyDescent="0.25">
      <c r="A241" t="s">
        <v>29</v>
      </c>
      <c r="B241" t="s">
        <v>30</v>
      </c>
      <c r="C241" t="s">
        <v>1263</v>
      </c>
      <c r="D241" t="s">
        <v>32</v>
      </c>
      <c r="E241">
        <v>72</v>
      </c>
      <c r="F241" t="s">
        <v>1264</v>
      </c>
      <c r="G241" s="3">
        <v>46171.777939814798</v>
      </c>
      <c r="H241" s="4">
        <v>45744</v>
      </c>
      <c r="I241" s="4">
        <v>46170</v>
      </c>
      <c r="J241" s="1">
        <v>835.79</v>
      </c>
      <c r="K241">
        <v>0.13</v>
      </c>
      <c r="L241">
        <v>1</v>
      </c>
      <c r="M241" s="1">
        <v>0</v>
      </c>
      <c r="N241" s="1">
        <v>9.0500000000000007</v>
      </c>
      <c r="O241" t="s">
        <v>695</v>
      </c>
      <c r="P241" t="s">
        <v>35</v>
      </c>
    </row>
    <row r="242" spans="1:16" x14ac:dyDescent="0.25">
      <c r="A242" t="s">
        <v>72</v>
      </c>
      <c r="B242" t="s">
        <v>73</v>
      </c>
      <c r="C242" t="s">
        <v>1265</v>
      </c>
      <c r="D242" t="s">
        <v>32</v>
      </c>
      <c r="E242">
        <v>60</v>
      </c>
      <c r="F242" t="s">
        <v>1266</v>
      </c>
      <c r="G242" s="3">
        <v>46171.777939814798</v>
      </c>
      <c r="H242" s="4">
        <v>45745</v>
      </c>
      <c r="I242" s="4">
        <v>46202</v>
      </c>
      <c r="J242" s="1">
        <v>668.86</v>
      </c>
      <c r="K242">
        <v>0.13</v>
      </c>
      <c r="L242">
        <v>1</v>
      </c>
      <c r="M242" s="1">
        <v>0</v>
      </c>
      <c r="N242" s="1">
        <v>6.08</v>
      </c>
      <c r="O242" t="s">
        <v>34</v>
      </c>
      <c r="P242" t="s">
        <v>35</v>
      </c>
    </row>
    <row r="243" spans="1:16" x14ac:dyDescent="0.25">
      <c r="A243" t="s">
        <v>72</v>
      </c>
      <c r="B243" t="s">
        <v>73</v>
      </c>
      <c r="C243" t="s">
        <v>1267</v>
      </c>
      <c r="D243" t="s">
        <v>32</v>
      </c>
      <c r="E243">
        <v>49</v>
      </c>
      <c r="F243" t="s">
        <v>1268</v>
      </c>
      <c r="G243" s="3">
        <v>46171.777939814798</v>
      </c>
      <c r="H243" s="4">
        <v>45744</v>
      </c>
      <c r="I243" s="4">
        <v>46201</v>
      </c>
      <c r="J243" s="1">
        <v>499.13</v>
      </c>
      <c r="K243">
        <v>0.13</v>
      </c>
      <c r="L243">
        <v>1</v>
      </c>
      <c r="M243" s="1">
        <v>0</v>
      </c>
      <c r="N243" s="1">
        <v>5.41</v>
      </c>
      <c r="O243" t="s">
        <v>34</v>
      </c>
      <c r="P243" t="s">
        <v>35</v>
      </c>
    </row>
    <row r="244" spans="1:16" x14ac:dyDescent="0.25">
      <c r="A244" t="s">
        <v>477</v>
      </c>
      <c r="B244" t="s">
        <v>478</v>
      </c>
      <c r="C244" t="s">
        <v>1269</v>
      </c>
      <c r="D244" t="s">
        <v>32</v>
      </c>
      <c r="E244">
        <v>59</v>
      </c>
      <c r="F244" t="s">
        <v>1270</v>
      </c>
      <c r="G244" s="3">
        <v>46171.777939814798</v>
      </c>
      <c r="H244" s="4">
        <v>45748</v>
      </c>
      <c r="I244" s="4">
        <v>46174</v>
      </c>
      <c r="J244" s="1">
        <v>364.42</v>
      </c>
      <c r="K244">
        <v>0.13</v>
      </c>
      <c r="L244">
        <v>1</v>
      </c>
      <c r="M244" s="1">
        <v>0</v>
      </c>
      <c r="N244" s="1">
        <v>3.95</v>
      </c>
      <c r="O244" t="s">
        <v>34</v>
      </c>
      <c r="P244" t="s">
        <v>35</v>
      </c>
    </row>
    <row r="245" spans="1:16" x14ac:dyDescent="0.25">
      <c r="A245" t="s">
        <v>153</v>
      </c>
      <c r="B245" t="s">
        <v>154</v>
      </c>
      <c r="C245" t="s">
        <v>1271</v>
      </c>
      <c r="D245" t="s">
        <v>32</v>
      </c>
      <c r="E245">
        <v>64</v>
      </c>
      <c r="F245" t="s">
        <v>1272</v>
      </c>
      <c r="G245" s="3">
        <v>46171.777939814798</v>
      </c>
      <c r="H245" s="4">
        <v>45778</v>
      </c>
      <c r="I245" s="4">
        <v>46204</v>
      </c>
      <c r="J245" s="1">
        <v>917.59</v>
      </c>
      <c r="K245">
        <v>0.13</v>
      </c>
      <c r="L245">
        <v>1</v>
      </c>
      <c r="M245" s="1">
        <v>0</v>
      </c>
      <c r="N245" s="1">
        <v>7.52</v>
      </c>
      <c r="O245" t="s">
        <v>34</v>
      </c>
      <c r="P245" t="s">
        <v>35</v>
      </c>
    </row>
    <row r="246" spans="1:16" x14ac:dyDescent="0.25">
      <c r="A246" t="s">
        <v>76</v>
      </c>
      <c r="B246" t="s">
        <v>77</v>
      </c>
      <c r="C246" t="s">
        <v>1273</v>
      </c>
      <c r="D246" t="s">
        <v>32</v>
      </c>
      <c r="E246">
        <v>66</v>
      </c>
      <c r="F246" t="s">
        <v>1274</v>
      </c>
      <c r="G246" s="3">
        <v>46171.777939814798</v>
      </c>
      <c r="H246" s="4">
        <v>45751</v>
      </c>
      <c r="I246" s="4">
        <v>46177</v>
      </c>
      <c r="J246" s="1">
        <v>551.12</v>
      </c>
      <c r="K246">
        <v>0.13</v>
      </c>
      <c r="L246">
        <v>1</v>
      </c>
      <c r="M246" s="1">
        <v>0</v>
      </c>
      <c r="N246" s="1">
        <v>5.97</v>
      </c>
      <c r="O246" t="s">
        <v>34</v>
      </c>
      <c r="P246" t="s">
        <v>35</v>
      </c>
    </row>
    <row r="247" spans="1:16" x14ac:dyDescent="0.25">
      <c r="A247" t="s">
        <v>131</v>
      </c>
      <c r="B247" t="s">
        <v>132</v>
      </c>
      <c r="C247" t="s">
        <v>1275</v>
      </c>
      <c r="D247" t="s">
        <v>32</v>
      </c>
      <c r="E247">
        <v>54</v>
      </c>
      <c r="F247" t="s">
        <v>1276</v>
      </c>
      <c r="G247" s="3">
        <v>46171.777939814798</v>
      </c>
      <c r="H247" s="4">
        <v>45753</v>
      </c>
      <c r="I247" s="4">
        <v>46179</v>
      </c>
      <c r="J247" s="1">
        <v>452.38</v>
      </c>
      <c r="K247">
        <v>0.13</v>
      </c>
      <c r="L247">
        <v>1</v>
      </c>
      <c r="M247" s="1">
        <v>0</v>
      </c>
      <c r="N247" s="1">
        <v>4.9000000000000004</v>
      </c>
      <c r="O247" t="s">
        <v>34</v>
      </c>
      <c r="P247" t="s">
        <v>35</v>
      </c>
    </row>
    <row r="248" spans="1:16" x14ac:dyDescent="0.25">
      <c r="A248" t="s">
        <v>72</v>
      </c>
      <c r="B248" t="s">
        <v>73</v>
      </c>
      <c r="C248" t="s">
        <v>1277</v>
      </c>
      <c r="D248" t="s">
        <v>32</v>
      </c>
      <c r="E248">
        <v>61</v>
      </c>
      <c r="F248" t="s">
        <v>1278</v>
      </c>
      <c r="G248" s="3">
        <v>46171.777939814798</v>
      </c>
      <c r="H248" s="4">
        <v>45764</v>
      </c>
      <c r="I248" s="4">
        <v>46190</v>
      </c>
      <c r="J248" s="1">
        <v>570.22</v>
      </c>
      <c r="K248">
        <v>0.13</v>
      </c>
      <c r="L248">
        <v>1</v>
      </c>
      <c r="M248" s="1">
        <v>0</v>
      </c>
      <c r="N248" s="1">
        <v>6.18</v>
      </c>
      <c r="O248" t="s">
        <v>34</v>
      </c>
      <c r="P248" t="s">
        <v>35</v>
      </c>
    </row>
    <row r="249" spans="1:16" x14ac:dyDescent="0.25">
      <c r="A249" t="s">
        <v>48</v>
      </c>
      <c r="B249" t="s">
        <v>49</v>
      </c>
      <c r="C249" t="s">
        <v>1279</v>
      </c>
      <c r="D249" t="s">
        <v>32</v>
      </c>
      <c r="E249">
        <v>60</v>
      </c>
      <c r="F249" t="s">
        <v>1280</v>
      </c>
      <c r="G249" s="3">
        <v>46171.777939814798</v>
      </c>
      <c r="H249" s="4">
        <v>45768</v>
      </c>
      <c r="I249" s="4">
        <v>46194</v>
      </c>
      <c r="J249" s="1">
        <v>685.75</v>
      </c>
      <c r="K249">
        <v>0.13</v>
      </c>
      <c r="L249">
        <v>1</v>
      </c>
      <c r="M249" s="1">
        <v>0</v>
      </c>
      <c r="N249" s="1">
        <v>6.27</v>
      </c>
      <c r="O249" t="s">
        <v>34</v>
      </c>
      <c r="P249" t="s">
        <v>35</v>
      </c>
    </row>
    <row r="250" spans="1:16" x14ac:dyDescent="0.25">
      <c r="A250" t="s">
        <v>76</v>
      </c>
      <c r="B250" t="s">
        <v>77</v>
      </c>
      <c r="C250" t="s">
        <v>1281</v>
      </c>
      <c r="D250" t="s">
        <v>32</v>
      </c>
      <c r="E250">
        <v>83</v>
      </c>
      <c r="F250" t="s">
        <v>1282</v>
      </c>
      <c r="G250" s="3">
        <v>46171.777939814798</v>
      </c>
      <c r="H250" s="4">
        <v>45769</v>
      </c>
      <c r="I250" s="4">
        <v>46195</v>
      </c>
      <c r="J250" s="1">
        <v>1756.76</v>
      </c>
      <c r="K250">
        <v>6.5000000000000002E-2</v>
      </c>
      <c r="L250">
        <v>1</v>
      </c>
      <c r="M250" s="1">
        <v>0</v>
      </c>
      <c r="N250" s="1">
        <v>9.52</v>
      </c>
      <c r="O250" t="s">
        <v>34</v>
      </c>
      <c r="P250" t="s">
        <v>35</v>
      </c>
    </row>
    <row r="251" spans="1:16" x14ac:dyDescent="0.25">
      <c r="A251" t="s">
        <v>188</v>
      </c>
      <c r="B251" t="s">
        <v>189</v>
      </c>
      <c r="C251" t="s">
        <v>1283</v>
      </c>
      <c r="D251" t="s">
        <v>32</v>
      </c>
      <c r="E251">
        <v>67</v>
      </c>
      <c r="F251" t="s">
        <v>1284</v>
      </c>
      <c r="G251" s="3">
        <v>46171.777939814798</v>
      </c>
      <c r="H251" s="4">
        <v>45770</v>
      </c>
      <c r="I251" s="4">
        <v>46196</v>
      </c>
      <c r="J251" s="1">
        <v>530.86</v>
      </c>
      <c r="K251">
        <v>0.13</v>
      </c>
      <c r="L251">
        <v>1</v>
      </c>
      <c r="M251" s="1">
        <v>0</v>
      </c>
      <c r="N251" s="1">
        <v>5.75</v>
      </c>
      <c r="O251" t="s">
        <v>34</v>
      </c>
      <c r="P251" t="s">
        <v>35</v>
      </c>
    </row>
    <row r="252" spans="1:16" x14ac:dyDescent="0.25">
      <c r="A252" t="s">
        <v>223</v>
      </c>
      <c r="B252" t="s">
        <v>224</v>
      </c>
      <c r="C252" t="s">
        <v>1285</v>
      </c>
      <c r="D252" t="s">
        <v>193</v>
      </c>
      <c r="E252">
        <v>70</v>
      </c>
      <c r="F252" t="s">
        <v>1286</v>
      </c>
      <c r="G252" s="3">
        <v>46171.777939814798</v>
      </c>
      <c r="H252" s="4">
        <v>45778</v>
      </c>
      <c r="I252" s="4">
        <v>46204</v>
      </c>
      <c r="J252" s="1">
        <v>529.76</v>
      </c>
      <c r="K252">
        <v>0.13</v>
      </c>
      <c r="L252">
        <v>1</v>
      </c>
      <c r="M252" s="1">
        <v>0</v>
      </c>
      <c r="N252" s="1">
        <v>4.2300000000000004</v>
      </c>
      <c r="O252" t="s">
        <v>34</v>
      </c>
      <c r="P252" t="s">
        <v>35</v>
      </c>
    </row>
    <row r="253" spans="1:16" x14ac:dyDescent="0.25">
      <c r="A253" t="s">
        <v>153</v>
      </c>
      <c r="B253" t="s">
        <v>154</v>
      </c>
      <c r="C253" t="s">
        <v>1287</v>
      </c>
      <c r="D253" t="s">
        <v>32</v>
      </c>
      <c r="E253">
        <v>61</v>
      </c>
      <c r="F253" t="s">
        <v>1288</v>
      </c>
      <c r="G253" s="3">
        <v>46171.777939814798</v>
      </c>
      <c r="H253" s="4">
        <v>45474</v>
      </c>
      <c r="I253" s="4">
        <v>46174</v>
      </c>
      <c r="J253" s="1">
        <v>467.79</v>
      </c>
      <c r="K253">
        <v>0.12</v>
      </c>
      <c r="L253">
        <v>1</v>
      </c>
      <c r="M253" s="1">
        <v>0</v>
      </c>
      <c r="N253" s="1">
        <v>4.68</v>
      </c>
      <c r="O253" t="s">
        <v>34</v>
      </c>
      <c r="P253" t="s">
        <v>35</v>
      </c>
    </row>
    <row r="254" spans="1:16" x14ac:dyDescent="0.25">
      <c r="A254" t="s">
        <v>153</v>
      </c>
      <c r="B254" t="s">
        <v>154</v>
      </c>
      <c r="C254" t="s">
        <v>1289</v>
      </c>
      <c r="D254" t="s">
        <v>32</v>
      </c>
      <c r="E254">
        <v>62</v>
      </c>
      <c r="F254" t="s">
        <v>1290</v>
      </c>
      <c r="G254" s="3">
        <v>46171.777939814798</v>
      </c>
      <c r="H254" s="4">
        <v>45474</v>
      </c>
      <c r="I254" s="4">
        <v>46174</v>
      </c>
      <c r="J254" s="1">
        <v>467.79</v>
      </c>
      <c r="K254">
        <v>0.12</v>
      </c>
      <c r="L254">
        <v>1</v>
      </c>
      <c r="M254" s="1">
        <v>0</v>
      </c>
      <c r="N254" s="1">
        <v>4.68</v>
      </c>
      <c r="O254" t="s">
        <v>34</v>
      </c>
      <c r="P254" t="s">
        <v>35</v>
      </c>
    </row>
    <row r="255" spans="1:16" x14ac:dyDescent="0.25">
      <c r="A255" t="s">
        <v>76</v>
      </c>
      <c r="B255" t="s">
        <v>77</v>
      </c>
      <c r="C255" t="s">
        <v>1291</v>
      </c>
      <c r="D255" t="s">
        <v>32</v>
      </c>
      <c r="E255">
        <v>68</v>
      </c>
      <c r="F255" t="s">
        <v>1292</v>
      </c>
      <c r="G255" s="3">
        <v>46171.777939814798</v>
      </c>
      <c r="H255" s="4">
        <v>45536</v>
      </c>
      <c r="I255" s="4">
        <v>46174</v>
      </c>
      <c r="J255" s="1">
        <v>884.95</v>
      </c>
      <c r="K255">
        <v>0.13</v>
      </c>
      <c r="L255">
        <v>1</v>
      </c>
      <c r="M255" s="1">
        <v>0</v>
      </c>
      <c r="N255" s="1">
        <v>9.59</v>
      </c>
      <c r="O255" t="s">
        <v>34</v>
      </c>
      <c r="P255" t="s">
        <v>35</v>
      </c>
    </row>
    <row r="256" spans="1:16" x14ac:dyDescent="0.25">
      <c r="A256" t="s">
        <v>153</v>
      </c>
      <c r="B256" t="s">
        <v>154</v>
      </c>
      <c r="C256" t="s">
        <v>1293</v>
      </c>
      <c r="D256" t="s">
        <v>32</v>
      </c>
      <c r="E256">
        <v>64</v>
      </c>
      <c r="F256" t="s">
        <v>1294</v>
      </c>
      <c r="G256" s="3">
        <v>46171.777939814798</v>
      </c>
      <c r="H256" s="4">
        <v>45481</v>
      </c>
      <c r="I256" s="4">
        <v>46181</v>
      </c>
      <c r="J256" s="1">
        <v>601.9</v>
      </c>
      <c r="K256">
        <v>0.13</v>
      </c>
      <c r="L256">
        <v>1</v>
      </c>
      <c r="M256" s="1">
        <v>0</v>
      </c>
      <c r="N256" s="1">
        <v>5.07</v>
      </c>
      <c r="O256" t="s">
        <v>34</v>
      </c>
      <c r="P256" t="s">
        <v>35</v>
      </c>
    </row>
    <row r="257" spans="1:16" x14ac:dyDescent="0.25">
      <c r="A257" t="s">
        <v>153</v>
      </c>
      <c r="B257" t="s">
        <v>154</v>
      </c>
      <c r="C257" t="s">
        <v>1295</v>
      </c>
      <c r="D257" t="s">
        <v>32</v>
      </c>
      <c r="E257">
        <v>65</v>
      </c>
      <c r="F257" t="s">
        <v>1296</v>
      </c>
      <c r="G257" s="3">
        <v>46171.777939814798</v>
      </c>
      <c r="H257" s="4">
        <v>45488</v>
      </c>
      <c r="I257" s="4">
        <v>46188</v>
      </c>
      <c r="J257" s="1">
        <v>922.84</v>
      </c>
      <c r="K257">
        <v>0.13</v>
      </c>
      <c r="L257">
        <v>1</v>
      </c>
      <c r="M257" s="1">
        <v>0</v>
      </c>
      <c r="N257" s="1">
        <v>10</v>
      </c>
      <c r="O257" t="s">
        <v>34</v>
      </c>
      <c r="P257" t="s">
        <v>35</v>
      </c>
    </row>
    <row r="258" spans="1:16" x14ac:dyDescent="0.25">
      <c r="A258" t="s">
        <v>153</v>
      </c>
      <c r="B258" t="s">
        <v>154</v>
      </c>
      <c r="C258" t="s">
        <v>1297</v>
      </c>
      <c r="D258" t="s">
        <v>32</v>
      </c>
      <c r="E258">
        <v>63</v>
      </c>
      <c r="F258" t="s">
        <v>1298</v>
      </c>
      <c r="G258" s="3">
        <v>46171.777939814798</v>
      </c>
      <c r="H258" s="4">
        <v>45566</v>
      </c>
      <c r="I258" s="4">
        <v>46174</v>
      </c>
      <c r="J258" s="1">
        <v>447.48</v>
      </c>
      <c r="K258">
        <v>0.13</v>
      </c>
      <c r="L258">
        <v>1</v>
      </c>
      <c r="M258" s="1">
        <v>0</v>
      </c>
      <c r="N258" s="1">
        <v>4.8499999999999996</v>
      </c>
      <c r="O258" t="s">
        <v>34</v>
      </c>
      <c r="P258" t="s">
        <v>35</v>
      </c>
    </row>
    <row r="259" spans="1:16" x14ac:dyDescent="0.25">
      <c r="A259" t="s">
        <v>153</v>
      </c>
      <c r="B259" t="s">
        <v>154</v>
      </c>
      <c r="C259" t="s">
        <v>1299</v>
      </c>
      <c r="D259" t="s">
        <v>32</v>
      </c>
      <c r="E259">
        <v>61</v>
      </c>
      <c r="F259" t="s">
        <v>1300</v>
      </c>
      <c r="G259" s="3">
        <v>46171.777939814798</v>
      </c>
      <c r="H259" s="4">
        <v>45558</v>
      </c>
      <c r="I259" s="4">
        <v>46196</v>
      </c>
      <c r="J259" s="1">
        <v>447.48</v>
      </c>
      <c r="K259">
        <v>0.13</v>
      </c>
      <c r="L259">
        <v>1</v>
      </c>
      <c r="M259" s="1">
        <v>0</v>
      </c>
      <c r="N259" s="1">
        <v>4.8499999999999996</v>
      </c>
      <c r="O259" t="s">
        <v>34</v>
      </c>
      <c r="P259" t="s">
        <v>35</v>
      </c>
    </row>
    <row r="260" spans="1:16" x14ac:dyDescent="0.25">
      <c r="A260" t="s">
        <v>219</v>
      </c>
      <c r="B260" t="s">
        <v>220</v>
      </c>
      <c r="C260" t="s">
        <v>1301</v>
      </c>
      <c r="D260" t="s">
        <v>32</v>
      </c>
      <c r="E260">
        <v>57</v>
      </c>
      <c r="F260" t="s">
        <v>1302</v>
      </c>
      <c r="G260" s="3">
        <v>46171.777939814798</v>
      </c>
      <c r="H260" s="4">
        <v>45565</v>
      </c>
      <c r="I260" s="4">
        <v>46172</v>
      </c>
      <c r="J260" s="1">
        <v>381.13</v>
      </c>
      <c r="K260">
        <v>0.13</v>
      </c>
      <c r="L260">
        <v>1</v>
      </c>
      <c r="M260" s="1">
        <v>0</v>
      </c>
      <c r="N260" s="1">
        <v>4.13</v>
      </c>
      <c r="O260" t="s">
        <v>34</v>
      </c>
      <c r="P260" t="s">
        <v>35</v>
      </c>
    </row>
    <row r="261" spans="1:16" x14ac:dyDescent="0.25">
      <c r="A261" t="s">
        <v>82</v>
      </c>
      <c r="B261" t="s">
        <v>83</v>
      </c>
      <c r="C261" t="s">
        <v>1303</v>
      </c>
      <c r="D261" t="s">
        <v>32</v>
      </c>
      <c r="E261">
        <v>79</v>
      </c>
      <c r="F261" t="s">
        <v>1304</v>
      </c>
      <c r="G261" s="3">
        <v>46171.777939814798</v>
      </c>
      <c r="H261" s="4">
        <v>45576</v>
      </c>
      <c r="I261" s="4">
        <v>46184</v>
      </c>
      <c r="J261" s="1">
        <v>1262.0999999999999</v>
      </c>
      <c r="K261">
        <v>6.5000000000000002E-2</v>
      </c>
      <c r="L261">
        <v>1</v>
      </c>
      <c r="M261" s="1">
        <v>0</v>
      </c>
      <c r="N261" s="1">
        <v>6.84</v>
      </c>
      <c r="O261" t="s">
        <v>34</v>
      </c>
      <c r="P261" t="s">
        <v>35</v>
      </c>
    </row>
    <row r="262" spans="1:16" x14ac:dyDescent="0.25">
      <c r="A262" t="s">
        <v>82</v>
      </c>
      <c r="B262" t="s">
        <v>83</v>
      </c>
      <c r="C262" t="s">
        <v>1305</v>
      </c>
      <c r="D262" t="s">
        <v>32</v>
      </c>
      <c r="E262">
        <v>68</v>
      </c>
      <c r="F262" t="s">
        <v>1306</v>
      </c>
      <c r="G262" s="3">
        <v>46171.777939814798</v>
      </c>
      <c r="H262" s="4">
        <v>45580</v>
      </c>
      <c r="I262" s="4">
        <v>46188</v>
      </c>
      <c r="J262" s="1">
        <v>620.57000000000005</v>
      </c>
      <c r="K262">
        <v>0.13</v>
      </c>
      <c r="L262">
        <v>1</v>
      </c>
      <c r="M262" s="1">
        <v>0</v>
      </c>
      <c r="N262" s="1">
        <v>6.72</v>
      </c>
      <c r="O262" t="s">
        <v>34</v>
      </c>
      <c r="P262" t="s">
        <v>35</v>
      </c>
    </row>
    <row r="263" spans="1:16" x14ac:dyDescent="0.25">
      <c r="A263" t="s">
        <v>227</v>
      </c>
      <c r="B263" t="s">
        <v>228</v>
      </c>
      <c r="C263" t="s">
        <v>1307</v>
      </c>
      <c r="D263" t="s">
        <v>32</v>
      </c>
      <c r="E263">
        <v>72</v>
      </c>
      <c r="F263" t="s">
        <v>1308</v>
      </c>
      <c r="G263" s="3">
        <v>46171.777939814798</v>
      </c>
      <c r="H263" s="4">
        <v>45582</v>
      </c>
      <c r="I263" s="4">
        <v>46190</v>
      </c>
      <c r="J263" s="1">
        <v>742.86</v>
      </c>
      <c r="K263">
        <v>0.13</v>
      </c>
      <c r="L263">
        <v>1</v>
      </c>
      <c r="M263" s="1">
        <v>0</v>
      </c>
      <c r="N263" s="1">
        <v>8.0500000000000007</v>
      </c>
      <c r="O263" t="s">
        <v>34</v>
      </c>
      <c r="P263" t="s">
        <v>35</v>
      </c>
    </row>
    <row r="264" spans="1:16" x14ac:dyDescent="0.25">
      <c r="A264" t="s">
        <v>219</v>
      </c>
      <c r="B264" t="s">
        <v>220</v>
      </c>
      <c r="C264" t="s">
        <v>1309</v>
      </c>
      <c r="D264" t="s">
        <v>32</v>
      </c>
      <c r="E264">
        <v>65</v>
      </c>
      <c r="F264" t="s">
        <v>1310</v>
      </c>
      <c r="G264" s="3">
        <v>46171.777939814798</v>
      </c>
      <c r="H264" s="4">
        <v>45583</v>
      </c>
      <c r="I264" s="4">
        <v>46191</v>
      </c>
      <c r="J264" s="1">
        <v>652.86</v>
      </c>
      <c r="K264">
        <v>0.13</v>
      </c>
      <c r="L264">
        <v>1</v>
      </c>
      <c r="M264" s="1">
        <v>0</v>
      </c>
      <c r="N264" s="1">
        <v>7.07</v>
      </c>
      <c r="O264" t="s">
        <v>34</v>
      </c>
      <c r="P264" t="s">
        <v>35</v>
      </c>
    </row>
    <row r="265" spans="1:16" x14ac:dyDescent="0.25">
      <c r="A265" t="s">
        <v>219</v>
      </c>
      <c r="B265" t="s">
        <v>220</v>
      </c>
      <c r="C265" t="s">
        <v>1311</v>
      </c>
      <c r="D265" t="s">
        <v>32</v>
      </c>
      <c r="E265">
        <v>73</v>
      </c>
      <c r="F265" t="s">
        <v>1312</v>
      </c>
      <c r="G265" s="3">
        <v>46171.777939814798</v>
      </c>
      <c r="H265" s="4">
        <v>45589</v>
      </c>
      <c r="I265" s="4">
        <v>46197</v>
      </c>
      <c r="J265" s="1">
        <v>919.19</v>
      </c>
      <c r="K265">
        <v>0.13</v>
      </c>
      <c r="L265">
        <v>1</v>
      </c>
      <c r="M265" s="1">
        <v>0</v>
      </c>
      <c r="N265" s="1">
        <v>9.9600000000000009</v>
      </c>
      <c r="O265" t="s">
        <v>34</v>
      </c>
      <c r="P265" t="s">
        <v>35</v>
      </c>
    </row>
    <row r="266" spans="1:16" x14ac:dyDescent="0.25">
      <c r="A266" t="s">
        <v>219</v>
      </c>
      <c r="B266" t="s">
        <v>220</v>
      </c>
      <c r="C266" t="s">
        <v>1313</v>
      </c>
      <c r="D266" t="s">
        <v>32</v>
      </c>
      <c r="E266">
        <v>66</v>
      </c>
      <c r="F266" t="s">
        <v>1314</v>
      </c>
      <c r="G266" s="3">
        <v>46171.777939814798</v>
      </c>
      <c r="H266" s="4">
        <v>45588</v>
      </c>
      <c r="I266" s="4">
        <v>46196</v>
      </c>
      <c r="J266" s="1">
        <v>607.15</v>
      </c>
      <c r="K266">
        <v>0.13</v>
      </c>
      <c r="L266">
        <v>1</v>
      </c>
      <c r="M266" s="1">
        <v>0</v>
      </c>
      <c r="N266" s="1">
        <v>6.58</v>
      </c>
      <c r="O266" t="s">
        <v>34</v>
      </c>
      <c r="P266" t="s">
        <v>35</v>
      </c>
    </row>
    <row r="267" spans="1:16" x14ac:dyDescent="0.25">
      <c r="A267" t="s">
        <v>219</v>
      </c>
      <c r="B267" t="s">
        <v>220</v>
      </c>
      <c r="C267" t="s">
        <v>1315</v>
      </c>
      <c r="D267" t="s">
        <v>32</v>
      </c>
      <c r="E267">
        <v>60</v>
      </c>
      <c r="F267" t="s">
        <v>1316</v>
      </c>
      <c r="G267" s="3">
        <v>46171.777939814798</v>
      </c>
      <c r="H267" s="4">
        <v>45591</v>
      </c>
      <c r="I267" s="4">
        <v>46199</v>
      </c>
      <c r="J267" s="1">
        <v>658.58</v>
      </c>
      <c r="K267">
        <v>0.13</v>
      </c>
      <c r="L267">
        <v>1</v>
      </c>
      <c r="M267" s="1">
        <v>0</v>
      </c>
      <c r="N267" s="1">
        <v>6.01</v>
      </c>
      <c r="O267" t="s">
        <v>34</v>
      </c>
      <c r="P267" t="s">
        <v>35</v>
      </c>
    </row>
    <row r="268" spans="1:16" x14ac:dyDescent="0.25">
      <c r="A268" t="s">
        <v>219</v>
      </c>
      <c r="B268" t="s">
        <v>220</v>
      </c>
      <c r="C268" t="s">
        <v>1317</v>
      </c>
      <c r="D268" t="s">
        <v>32</v>
      </c>
      <c r="E268">
        <v>74</v>
      </c>
      <c r="F268" t="s">
        <v>1318</v>
      </c>
      <c r="G268" s="3">
        <v>46171.777939814798</v>
      </c>
      <c r="H268" s="4">
        <v>45594</v>
      </c>
      <c r="I268" s="4">
        <v>46202</v>
      </c>
      <c r="J268" s="1">
        <v>777.28</v>
      </c>
      <c r="K268">
        <v>0.13</v>
      </c>
      <c r="L268">
        <v>1</v>
      </c>
      <c r="M268" s="1">
        <v>0</v>
      </c>
      <c r="N268" s="1">
        <v>8.42</v>
      </c>
      <c r="O268" t="s">
        <v>34</v>
      </c>
      <c r="P268" t="s">
        <v>35</v>
      </c>
    </row>
    <row r="269" spans="1:16" x14ac:dyDescent="0.25">
      <c r="A269" t="s">
        <v>219</v>
      </c>
      <c r="B269" t="s">
        <v>220</v>
      </c>
      <c r="C269" t="s">
        <v>1319</v>
      </c>
      <c r="D269" t="s">
        <v>32</v>
      </c>
      <c r="E269">
        <v>70</v>
      </c>
      <c r="F269" t="s">
        <v>1320</v>
      </c>
      <c r="G269" s="3">
        <v>46171.777939814798</v>
      </c>
      <c r="H269" s="4">
        <v>45597</v>
      </c>
      <c r="I269" s="4">
        <v>46174</v>
      </c>
      <c r="J269" s="1">
        <v>1279.07</v>
      </c>
      <c r="K269">
        <v>0.13</v>
      </c>
      <c r="L269">
        <v>1</v>
      </c>
      <c r="M269" s="1">
        <v>0</v>
      </c>
      <c r="N269" s="1">
        <v>10</v>
      </c>
      <c r="O269" t="s">
        <v>34</v>
      </c>
      <c r="P269" t="s">
        <v>35</v>
      </c>
    </row>
    <row r="270" spans="1:16" x14ac:dyDescent="0.25">
      <c r="A270" t="s">
        <v>219</v>
      </c>
      <c r="B270" t="s">
        <v>220</v>
      </c>
      <c r="C270" t="s">
        <v>1321</v>
      </c>
      <c r="D270" t="s">
        <v>32</v>
      </c>
      <c r="E270">
        <v>69</v>
      </c>
      <c r="F270" t="s">
        <v>1322</v>
      </c>
      <c r="G270" s="3">
        <v>46171.777939814798</v>
      </c>
      <c r="H270" s="4">
        <v>45602</v>
      </c>
      <c r="I270" s="4">
        <v>46179</v>
      </c>
      <c r="J270" s="1">
        <v>607.15</v>
      </c>
      <c r="K270">
        <v>0.13</v>
      </c>
      <c r="L270">
        <v>1</v>
      </c>
      <c r="M270" s="1">
        <v>0</v>
      </c>
      <c r="N270" s="1">
        <v>6.58</v>
      </c>
      <c r="O270" t="s">
        <v>34</v>
      </c>
      <c r="P270" t="s">
        <v>35</v>
      </c>
    </row>
    <row r="271" spans="1:16" x14ac:dyDescent="0.25">
      <c r="A271" t="s">
        <v>153</v>
      </c>
      <c r="B271" t="s">
        <v>154</v>
      </c>
      <c r="C271" t="s">
        <v>1323</v>
      </c>
      <c r="D271" t="s">
        <v>32</v>
      </c>
      <c r="E271">
        <v>71</v>
      </c>
      <c r="F271" t="s">
        <v>1324</v>
      </c>
      <c r="G271" s="3">
        <v>46171.777939814798</v>
      </c>
      <c r="H271" s="4">
        <v>45601</v>
      </c>
      <c r="I271" s="4">
        <v>46178</v>
      </c>
      <c r="J271" s="1">
        <v>777.28</v>
      </c>
      <c r="K271">
        <v>0.13</v>
      </c>
      <c r="L271">
        <v>1</v>
      </c>
      <c r="M271" s="1">
        <v>0</v>
      </c>
      <c r="N271" s="1">
        <v>8.42</v>
      </c>
      <c r="O271" t="s">
        <v>34</v>
      </c>
      <c r="P271" t="s">
        <v>35</v>
      </c>
    </row>
    <row r="272" spans="1:16" x14ac:dyDescent="0.25">
      <c r="A272" t="s">
        <v>219</v>
      </c>
      <c r="B272" t="s">
        <v>220</v>
      </c>
      <c r="C272" t="s">
        <v>1325</v>
      </c>
      <c r="D272" t="s">
        <v>32</v>
      </c>
      <c r="E272">
        <v>69</v>
      </c>
      <c r="F272" t="s">
        <v>1326</v>
      </c>
      <c r="G272" s="3">
        <v>46171.777939814798</v>
      </c>
      <c r="H272" s="4">
        <v>45610</v>
      </c>
      <c r="I272" s="4">
        <v>46187</v>
      </c>
      <c r="J272" s="1">
        <v>607.15</v>
      </c>
      <c r="K272">
        <v>0.13</v>
      </c>
      <c r="L272">
        <v>1</v>
      </c>
      <c r="M272" s="1">
        <v>0</v>
      </c>
      <c r="N272" s="1">
        <v>6.58</v>
      </c>
      <c r="O272" t="s">
        <v>34</v>
      </c>
      <c r="P272" t="s">
        <v>35</v>
      </c>
    </row>
    <row r="273" spans="1:16" x14ac:dyDescent="0.25">
      <c r="A273" t="s">
        <v>219</v>
      </c>
      <c r="B273" t="s">
        <v>220</v>
      </c>
      <c r="C273" t="s">
        <v>1327</v>
      </c>
      <c r="D273" t="s">
        <v>32</v>
      </c>
      <c r="E273">
        <v>74</v>
      </c>
      <c r="F273" t="s">
        <v>1328</v>
      </c>
      <c r="G273" s="3">
        <v>46171.777939814798</v>
      </c>
      <c r="H273" s="4">
        <v>45613</v>
      </c>
      <c r="I273" s="4">
        <v>46190</v>
      </c>
      <c r="J273" s="1">
        <v>854.84</v>
      </c>
      <c r="K273">
        <v>0.13</v>
      </c>
      <c r="L273">
        <v>1</v>
      </c>
      <c r="M273" s="1">
        <v>0</v>
      </c>
      <c r="N273" s="1">
        <v>9.26</v>
      </c>
      <c r="O273" t="s">
        <v>34</v>
      </c>
      <c r="P273" t="s">
        <v>35</v>
      </c>
    </row>
    <row r="274" spans="1:16" x14ac:dyDescent="0.25">
      <c r="A274" t="s">
        <v>219</v>
      </c>
      <c r="B274" t="s">
        <v>220</v>
      </c>
      <c r="C274" t="s">
        <v>1329</v>
      </c>
      <c r="D274" t="s">
        <v>32</v>
      </c>
      <c r="E274">
        <v>67</v>
      </c>
      <c r="F274" t="s">
        <v>1330</v>
      </c>
      <c r="G274" s="3">
        <v>46171.777939814798</v>
      </c>
      <c r="H274" s="4">
        <v>45617</v>
      </c>
      <c r="I274" s="4">
        <v>46194</v>
      </c>
      <c r="J274" s="1">
        <v>551.12</v>
      </c>
      <c r="K274">
        <v>0.13</v>
      </c>
      <c r="L274">
        <v>1</v>
      </c>
      <c r="M274" s="1">
        <v>0</v>
      </c>
      <c r="N274" s="1">
        <v>5.97</v>
      </c>
      <c r="O274" t="s">
        <v>34</v>
      </c>
      <c r="P274" t="s">
        <v>35</v>
      </c>
    </row>
    <row r="275" spans="1:16" x14ac:dyDescent="0.25">
      <c r="A275" t="s">
        <v>139</v>
      </c>
      <c r="B275" t="s">
        <v>140</v>
      </c>
      <c r="C275" t="s">
        <v>1331</v>
      </c>
      <c r="D275" t="s">
        <v>32</v>
      </c>
      <c r="E275">
        <v>81</v>
      </c>
      <c r="F275" t="s">
        <v>1332</v>
      </c>
      <c r="G275" s="3">
        <v>46171.777939814798</v>
      </c>
      <c r="H275" s="4">
        <v>45641</v>
      </c>
      <c r="I275" s="4">
        <v>46188</v>
      </c>
      <c r="J275" s="1">
        <v>1731.88</v>
      </c>
      <c r="K275">
        <v>6.5000000000000002E-2</v>
      </c>
      <c r="L275">
        <v>1</v>
      </c>
      <c r="M275" s="1">
        <v>0</v>
      </c>
      <c r="N275" s="1">
        <v>9.3800000000000008</v>
      </c>
      <c r="O275" t="s">
        <v>34</v>
      </c>
      <c r="P275" t="s">
        <v>35</v>
      </c>
    </row>
    <row r="276" spans="1:16" x14ac:dyDescent="0.25">
      <c r="A276" t="s">
        <v>219</v>
      </c>
      <c r="B276" t="s">
        <v>220</v>
      </c>
      <c r="C276" t="s">
        <v>1333</v>
      </c>
      <c r="D276" t="s">
        <v>32</v>
      </c>
      <c r="E276">
        <v>58</v>
      </c>
      <c r="F276" t="s">
        <v>1334</v>
      </c>
      <c r="G276" s="3">
        <v>46171.777939814798</v>
      </c>
      <c r="H276" s="4">
        <v>45623</v>
      </c>
      <c r="I276" s="4">
        <v>46200</v>
      </c>
      <c r="J276" s="1">
        <v>409.82</v>
      </c>
      <c r="K276">
        <v>0.13</v>
      </c>
      <c r="L276">
        <v>1</v>
      </c>
      <c r="M276" s="1">
        <v>0</v>
      </c>
      <c r="N276" s="1">
        <v>4.4400000000000004</v>
      </c>
      <c r="O276" t="s">
        <v>34</v>
      </c>
      <c r="P276" t="s">
        <v>35</v>
      </c>
    </row>
    <row r="277" spans="1:16" x14ac:dyDescent="0.25">
      <c r="A277" t="s">
        <v>219</v>
      </c>
      <c r="B277" t="s">
        <v>220</v>
      </c>
      <c r="C277" t="s">
        <v>1335</v>
      </c>
      <c r="D277" t="s">
        <v>32</v>
      </c>
      <c r="E277">
        <v>76</v>
      </c>
      <c r="F277" t="s">
        <v>1336</v>
      </c>
      <c r="G277" s="3">
        <v>46171.777939814798</v>
      </c>
      <c r="H277" s="4">
        <v>45644</v>
      </c>
      <c r="I277" s="4">
        <v>46191</v>
      </c>
      <c r="J277" s="1">
        <v>1194.1500000000001</v>
      </c>
      <c r="K277">
        <v>6.5000000000000002E-2</v>
      </c>
      <c r="L277">
        <v>1</v>
      </c>
      <c r="M277" s="1">
        <v>0</v>
      </c>
      <c r="N277" s="1">
        <v>6.47</v>
      </c>
      <c r="O277" t="s">
        <v>34</v>
      </c>
      <c r="P277" t="s">
        <v>35</v>
      </c>
    </row>
    <row r="278" spans="1:16" x14ac:dyDescent="0.25">
      <c r="A278" t="s">
        <v>29</v>
      </c>
      <c r="B278" t="s">
        <v>30</v>
      </c>
      <c r="C278" t="s">
        <v>1337</v>
      </c>
      <c r="D278" t="s">
        <v>32</v>
      </c>
      <c r="E278">
        <v>51</v>
      </c>
      <c r="F278" t="s">
        <v>1338</v>
      </c>
      <c r="G278" s="3">
        <v>46171.777939814798</v>
      </c>
      <c r="H278" s="4">
        <v>45717</v>
      </c>
      <c r="I278" s="4">
        <v>46174</v>
      </c>
      <c r="J278" s="1">
        <v>293.39</v>
      </c>
      <c r="K278">
        <v>0.13</v>
      </c>
      <c r="L278">
        <v>1</v>
      </c>
      <c r="M278" s="1">
        <v>0</v>
      </c>
      <c r="N278" s="1">
        <v>3.18</v>
      </c>
      <c r="O278" t="s">
        <v>34</v>
      </c>
      <c r="P278" t="s">
        <v>35</v>
      </c>
    </row>
    <row r="279" spans="1:16" x14ac:dyDescent="0.25">
      <c r="A279" t="s">
        <v>29</v>
      </c>
      <c r="B279" t="s">
        <v>30</v>
      </c>
      <c r="C279" t="s">
        <v>1339</v>
      </c>
      <c r="D279" t="s">
        <v>32</v>
      </c>
      <c r="E279">
        <v>63</v>
      </c>
      <c r="F279" t="s">
        <v>1340</v>
      </c>
      <c r="G279" s="3">
        <v>46171.777939814798</v>
      </c>
      <c r="H279" s="4">
        <v>45717</v>
      </c>
      <c r="I279" s="4">
        <v>46174</v>
      </c>
      <c r="J279" s="1">
        <v>448.39</v>
      </c>
      <c r="K279">
        <v>0.13</v>
      </c>
      <c r="L279">
        <v>1</v>
      </c>
      <c r="M279" s="1">
        <v>0</v>
      </c>
      <c r="N279" s="1">
        <v>4.8600000000000003</v>
      </c>
      <c r="O279" t="s">
        <v>34</v>
      </c>
      <c r="P279" t="s">
        <v>35</v>
      </c>
    </row>
    <row r="280" spans="1:16" x14ac:dyDescent="0.25">
      <c r="A280" t="s">
        <v>706</v>
      </c>
      <c r="B280" t="s">
        <v>707</v>
      </c>
      <c r="C280" t="s">
        <v>1341</v>
      </c>
      <c r="D280" t="s">
        <v>32</v>
      </c>
      <c r="E280">
        <v>58</v>
      </c>
      <c r="F280" t="s">
        <v>709</v>
      </c>
      <c r="G280" s="3">
        <v>46171.777939814798</v>
      </c>
      <c r="H280" s="4">
        <v>45717</v>
      </c>
      <c r="I280" s="4">
        <v>46204</v>
      </c>
      <c r="J280" s="1">
        <v>329.16</v>
      </c>
      <c r="K280">
        <v>0.13</v>
      </c>
      <c r="L280">
        <v>1</v>
      </c>
      <c r="M280" s="1">
        <v>0</v>
      </c>
      <c r="N280" s="1">
        <v>3.57</v>
      </c>
      <c r="O280" t="s">
        <v>34</v>
      </c>
      <c r="P280" t="s">
        <v>35</v>
      </c>
    </row>
    <row r="281" spans="1:16" x14ac:dyDescent="0.25">
      <c r="A281" t="s">
        <v>29</v>
      </c>
      <c r="B281" t="s">
        <v>30</v>
      </c>
      <c r="C281" t="s">
        <v>1342</v>
      </c>
      <c r="D281" t="s">
        <v>32</v>
      </c>
      <c r="E281">
        <v>60</v>
      </c>
      <c r="F281" t="s">
        <v>1343</v>
      </c>
      <c r="G281" s="3">
        <v>46171.777939814798</v>
      </c>
      <c r="H281" s="4">
        <v>45723</v>
      </c>
      <c r="I281" s="4">
        <v>46180</v>
      </c>
      <c r="J281" s="1">
        <v>417.01</v>
      </c>
      <c r="K281">
        <v>0.13</v>
      </c>
      <c r="L281">
        <v>1</v>
      </c>
      <c r="M281" s="1">
        <v>0</v>
      </c>
      <c r="N281" s="1">
        <v>3.67</v>
      </c>
      <c r="O281" t="s">
        <v>34</v>
      </c>
      <c r="P281" t="s">
        <v>35</v>
      </c>
    </row>
    <row r="282" spans="1:16" x14ac:dyDescent="0.25">
      <c r="A282" t="s">
        <v>48</v>
      </c>
      <c r="B282" t="s">
        <v>49</v>
      </c>
      <c r="C282" t="s">
        <v>1344</v>
      </c>
      <c r="D282" t="s">
        <v>32</v>
      </c>
      <c r="E282">
        <v>67</v>
      </c>
      <c r="F282" t="s">
        <v>1345</v>
      </c>
      <c r="G282" s="3">
        <v>46171.777939814798</v>
      </c>
      <c r="H282" s="4">
        <v>45748</v>
      </c>
      <c r="I282" s="4">
        <v>46174</v>
      </c>
      <c r="J282" s="1">
        <v>911.64</v>
      </c>
      <c r="K282">
        <v>0.13</v>
      </c>
      <c r="L282">
        <v>1</v>
      </c>
      <c r="M282" s="1">
        <v>0</v>
      </c>
      <c r="N282" s="1">
        <v>9.8800000000000008</v>
      </c>
      <c r="O282" t="s">
        <v>34</v>
      </c>
      <c r="P282" t="s">
        <v>35</v>
      </c>
    </row>
    <row r="283" spans="1:16" x14ac:dyDescent="0.25">
      <c r="A283" t="s">
        <v>139</v>
      </c>
      <c r="B283" t="s">
        <v>140</v>
      </c>
      <c r="C283" t="s">
        <v>1346</v>
      </c>
      <c r="D283" t="s">
        <v>32</v>
      </c>
      <c r="E283">
        <v>57</v>
      </c>
      <c r="F283" t="s">
        <v>1347</v>
      </c>
      <c r="G283" s="3">
        <v>46171.777939814798</v>
      </c>
      <c r="H283" s="4">
        <v>45751</v>
      </c>
      <c r="I283" s="4">
        <v>46177</v>
      </c>
      <c r="J283" s="1">
        <v>405.16</v>
      </c>
      <c r="K283">
        <v>0.13</v>
      </c>
      <c r="L283">
        <v>1</v>
      </c>
      <c r="M283" s="1">
        <v>0</v>
      </c>
      <c r="N283" s="1">
        <v>4.3899999999999997</v>
      </c>
      <c r="O283" t="s">
        <v>1260</v>
      </c>
      <c r="P283" t="s">
        <v>35</v>
      </c>
    </row>
    <row r="284" spans="1:16" x14ac:dyDescent="0.25">
      <c r="A284" t="s">
        <v>153</v>
      </c>
      <c r="B284" t="s">
        <v>154</v>
      </c>
      <c r="C284" t="s">
        <v>1348</v>
      </c>
      <c r="D284" t="s">
        <v>32</v>
      </c>
      <c r="E284">
        <v>66</v>
      </c>
      <c r="F284" t="s">
        <v>1349</v>
      </c>
      <c r="G284" s="3">
        <v>46171.777939814798</v>
      </c>
      <c r="H284" s="4">
        <v>45778</v>
      </c>
      <c r="I284" s="4">
        <v>46204</v>
      </c>
      <c r="J284" s="1">
        <v>922.84</v>
      </c>
      <c r="K284">
        <v>0.13</v>
      </c>
      <c r="L284">
        <v>1</v>
      </c>
      <c r="M284" s="1">
        <v>0</v>
      </c>
      <c r="N284" s="1">
        <v>10</v>
      </c>
      <c r="O284" t="s">
        <v>34</v>
      </c>
      <c r="P284" t="s">
        <v>35</v>
      </c>
    </row>
    <row r="285" spans="1:16" x14ac:dyDescent="0.25">
      <c r="A285" t="s">
        <v>48</v>
      </c>
      <c r="B285" t="s">
        <v>49</v>
      </c>
      <c r="C285" t="s">
        <v>1350</v>
      </c>
      <c r="D285" t="s">
        <v>32</v>
      </c>
      <c r="E285">
        <v>61</v>
      </c>
      <c r="F285" t="s">
        <v>1351</v>
      </c>
      <c r="G285" s="3">
        <v>46171.777939814798</v>
      </c>
      <c r="H285" s="4">
        <v>45768</v>
      </c>
      <c r="I285" s="4">
        <v>46194</v>
      </c>
      <c r="J285" s="1">
        <v>694.31</v>
      </c>
      <c r="K285">
        <v>0.13</v>
      </c>
      <c r="L285">
        <v>1</v>
      </c>
      <c r="M285" s="1">
        <v>0</v>
      </c>
      <c r="N285" s="1">
        <v>7.52</v>
      </c>
      <c r="O285" t="s">
        <v>34</v>
      </c>
      <c r="P285" t="s">
        <v>35</v>
      </c>
    </row>
    <row r="286" spans="1:16" x14ac:dyDescent="0.25">
      <c r="A286" t="s">
        <v>188</v>
      </c>
      <c r="B286" t="s">
        <v>189</v>
      </c>
      <c r="C286" t="s">
        <v>1352</v>
      </c>
      <c r="D286" t="s">
        <v>32</v>
      </c>
      <c r="E286">
        <v>67</v>
      </c>
      <c r="F286" t="s">
        <v>1353</v>
      </c>
      <c r="G286" s="3">
        <v>46171.777939814798</v>
      </c>
      <c r="H286" s="4">
        <v>45770</v>
      </c>
      <c r="I286" s="4">
        <v>46196</v>
      </c>
      <c r="J286" s="1">
        <v>530.86</v>
      </c>
      <c r="K286">
        <v>0.13</v>
      </c>
      <c r="L286">
        <v>1</v>
      </c>
      <c r="M286" s="1">
        <v>0</v>
      </c>
      <c r="N286" s="1">
        <v>5.75</v>
      </c>
      <c r="O286" t="s">
        <v>34</v>
      </c>
      <c r="P286" t="s">
        <v>35</v>
      </c>
    </row>
    <row r="287" spans="1:16" x14ac:dyDescent="0.25">
      <c r="A287" t="s">
        <v>76</v>
      </c>
      <c r="B287" t="s">
        <v>77</v>
      </c>
      <c r="C287" t="s">
        <v>1354</v>
      </c>
      <c r="D287" t="s">
        <v>1355</v>
      </c>
      <c r="E287">
        <v>60</v>
      </c>
      <c r="F287" t="s">
        <v>1356</v>
      </c>
      <c r="G287" s="3">
        <v>46171.777939814798</v>
      </c>
      <c r="H287" s="4">
        <v>45546</v>
      </c>
      <c r="I287" s="4">
        <v>46184</v>
      </c>
      <c r="J287" s="1">
        <v>679.5</v>
      </c>
      <c r="K287">
        <v>0.04</v>
      </c>
      <c r="L287">
        <v>1</v>
      </c>
      <c r="M287" s="1">
        <v>0</v>
      </c>
      <c r="N287" s="1">
        <v>2.2599999999999998</v>
      </c>
      <c r="O287" t="s">
        <v>34</v>
      </c>
      <c r="P287" t="s">
        <v>35</v>
      </c>
    </row>
    <row r="288" spans="1:16" x14ac:dyDescent="0.25">
      <c r="A288" t="s">
        <v>76</v>
      </c>
      <c r="B288" t="s">
        <v>77</v>
      </c>
      <c r="C288" t="s">
        <v>1357</v>
      </c>
      <c r="D288" t="s">
        <v>165</v>
      </c>
      <c r="E288">
        <v>57</v>
      </c>
      <c r="F288" t="s">
        <v>1118</v>
      </c>
      <c r="G288" s="3">
        <v>46171.777939814798</v>
      </c>
      <c r="H288" s="4">
        <v>45636</v>
      </c>
      <c r="I288" s="4">
        <v>46183</v>
      </c>
      <c r="J288" s="1">
        <v>476</v>
      </c>
      <c r="K288">
        <v>0.04</v>
      </c>
      <c r="L288">
        <v>1</v>
      </c>
      <c r="M288" s="1">
        <v>0</v>
      </c>
      <c r="N288" s="1">
        <v>1.59</v>
      </c>
      <c r="O288" t="s">
        <v>34</v>
      </c>
      <c r="P288" t="s">
        <v>35</v>
      </c>
    </row>
    <row r="289" spans="1:16" x14ac:dyDescent="0.25">
      <c r="A289" t="s">
        <v>113</v>
      </c>
      <c r="B289" t="s">
        <v>114</v>
      </c>
      <c r="C289" t="s">
        <v>1358</v>
      </c>
      <c r="D289" t="s">
        <v>165</v>
      </c>
      <c r="E289">
        <v>64</v>
      </c>
      <c r="F289" t="s">
        <v>1215</v>
      </c>
      <c r="G289" s="3">
        <v>46171.777939814798</v>
      </c>
      <c r="H289" s="4">
        <v>45597</v>
      </c>
      <c r="I289" s="4">
        <v>46174</v>
      </c>
      <c r="J289" s="1">
        <v>932</v>
      </c>
      <c r="K289">
        <v>0.04</v>
      </c>
      <c r="L289">
        <v>1</v>
      </c>
      <c r="M289" s="1">
        <v>0</v>
      </c>
      <c r="N289" s="1">
        <v>3.11</v>
      </c>
      <c r="O289" t="s">
        <v>34</v>
      </c>
      <c r="P289" t="s">
        <v>35</v>
      </c>
    </row>
    <row r="290" spans="1:16" x14ac:dyDescent="0.25">
      <c r="A290" t="s">
        <v>76</v>
      </c>
      <c r="B290" t="s">
        <v>77</v>
      </c>
      <c r="C290" t="s">
        <v>1359</v>
      </c>
      <c r="D290" t="s">
        <v>1355</v>
      </c>
      <c r="E290">
        <v>69</v>
      </c>
      <c r="F290" t="s">
        <v>1360</v>
      </c>
      <c r="G290" s="3">
        <v>46171.777939814798</v>
      </c>
      <c r="H290" s="4">
        <v>45587</v>
      </c>
      <c r="I290" s="4">
        <v>46195</v>
      </c>
      <c r="J290" s="1">
        <v>316.5</v>
      </c>
      <c r="K290">
        <v>0.04</v>
      </c>
      <c r="L290">
        <v>1</v>
      </c>
      <c r="M290" s="1">
        <v>0</v>
      </c>
      <c r="N290" s="1">
        <v>1.05</v>
      </c>
      <c r="O290" t="s">
        <v>34</v>
      </c>
      <c r="P290" t="s">
        <v>35</v>
      </c>
    </row>
    <row r="291" spans="1:16" x14ac:dyDescent="0.25">
      <c r="A291" t="s">
        <v>113</v>
      </c>
      <c r="B291" t="s">
        <v>114</v>
      </c>
      <c r="C291" t="s">
        <v>1361</v>
      </c>
      <c r="D291" t="s">
        <v>613</v>
      </c>
      <c r="E291">
        <v>66</v>
      </c>
      <c r="F291" t="s">
        <v>1362</v>
      </c>
      <c r="G291" s="3">
        <v>46171.777939814798</v>
      </c>
      <c r="H291" s="4">
        <v>45597</v>
      </c>
      <c r="I291" s="4">
        <v>46174</v>
      </c>
      <c r="J291" s="1">
        <v>691.9</v>
      </c>
      <c r="K291">
        <v>0.04</v>
      </c>
      <c r="L291">
        <v>1</v>
      </c>
      <c r="M291" s="1">
        <v>0</v>
      </c>
      <c r="N291" s="1">
        <v>2.31</v>
      </c>
      <c r="O291" t="s">
        <v>34</v>
      </c>
      <c r="P291" t="s">
        <v>35</v>
      </c>
    </row>
    <row r="292" spans="1:16" x14ac:dyDescent="0.25">
      <c r="A292" t="s">
        <v>113</v>
      </c>
      <c r="B292" t="s">
        <v>114</v>
      </c>
      <c r="C292" t="s">
        <v>1363</v>
      </c>
      <c r="D292" t="s">
        <v>165</v>
      </c>
      <c r="E292">
        <v>34</v>
      </c>
      <c r="F292" t="s">
        <v>1364</v>
      </c>
      <c r="G292" s="3">
        <v>46171.777939814798</v>
      </c>
      <c r="H292" s="4">
        <v>45597</v>
      </c>
      <c r="I292" s="4">
        <v>46174</v>
      </c>
      <c r="J292" s="1">
        <v>800</v>
      </c>
      <c r="K292">
        <v>0.04</v>
      </c>
      <c r="L292">
        <v>1</v>
      </c>
      <c r="M292" s="1">
        <v>0</v>
      </c>
      <c r="N292" s="1">
        <v>2.67</v>
      </c>
      <c r="O292" t="s">
        <v>34</v>
      </c>
      <c r="P292" t="s">
        <v>35</v>
      </c>
    </row>
    <row r="293" spans="1:16" x14ac:dyDescent="0.25">
      <c r="A293" t="s">
        <v>113</v>
      </c>
      <c r="B293" t="s">
        <v>114</v>
      </c>
      <c r="C293" t="s">
        <v>1365</v>
      </c>
      <c r="D293" t="s">
        <v>165</v>
      </c>
      <c r="E293">
        <v>64</v>
      </c>
      <c r="F293" t="s">
        <v>1366</v>
      </c>
      <c r="G293" s="3">
        <v>46171.777939814798</v>
      </c>
      <c r="H293" s="4">
        <v>45603</v>
      </c>
      <c r="I293" s="4">
        <v>46180</v>
      </c>
      <c r="J293" s="1">
        <v>312</v>
      </c>
      <c r="K293">
        <v>0.04</v>
      </c>
      <c r="L293">
        <v>1</v>
      </c>
      <c r="M293" s="1">
        <v>0</v>
      </c>
      <c r="N293" s="1">
        <v>1.04</v>
      </c>
      <c r="O293" t="s">
        <v>34</v>
      </c>
      <c r="P293" t="s">
        <v>35</v>
      </c>
    </row>
    <row r="294" spans="1:16" x14ac:dyDescent="0.25">
      <c r="A294" t="s">
        <v>477</v>
      </c>
      <c r="B294" t="s">
        <v>478</v>
      </c>
      <c r="C294" t="s">
        <v>1367</v>
      </c>
      <c r="D294" t="s">
        <v>165</v>
      </c>
      <c r="E294">
        <v>69</v>
      </c>
      <c r="F294" t="s">
        <v>1368</v>
      </c>
      <c r="G294" s="3">
        <v>46171.777939814798</v>
      </c>
      <c r="H294" s="4">
        <v>45658</v>
      </c>
      <c r="I294" s="4">
        <v>46174</v>
      </c>
      <c r="J294" s="1">
        <v>1860</v>
      </c>
      <c r="K294">
        <v>0.04</v>
      </c>
      <c r="L294">
        <v>1</v>
      </c>
      <c r="M294" s="1">
        <v>0</v>
      </c>
      <c r="N294" s="1">
        <v>6.2</v>
      </c>
      <c r="O294" t="s">
        <v>34</v>
      </c>
      <c r="P294" t="s">
        <v>35</v>
      </c>
    </row>
    <row r="295" spans="1:16" x14ac:dyDescent="0.25">
      <c r="A295" t="s">
        <v>188</v>
      </c>
      <c r="B295" t="s">
        <v>189</v>
      </c>
      <c r="C295" t="s">
        <v>1369</v>
      </c>
      <c r="D295" t="s">
        <v>613</v>
      </c>
      <c r="E295">
        <v>27</v>
      </c>
      <c r="F295" t="s">
        <v>1370</v>
      </c>
      <c r="G295" s="3">
        <v>46171.777939814798</v>
      </c>
      <c r="H295" s="4">
        <v>45651</v>
      </c>
      <c r="I295" s="4">
        <v>46198</v>
      </c>
      <c r="J295" s="1">
        <v>1168.32</v>
      </c>
      <c r="K295">
        <v>0.04</v>
      </c>
      <c r="L295">
        <v>1</v>
      </c>
      <c r="M295" s="1">
        <v>0</v>
      </c>
      <c r="N295" s="1">
        <v>3.89</v>
      </c>
      <c r="O295" t="s">
        <v>34</v>
      </c>
      <c r="P295" t="s">
        <v>35</v>
      </c>
    </row>
    <row r="296" spans="1:16" x14ac:dyDescent="0.25">
      <c r="A296" t="s">
        <v>227</v>
      </c>
      <c r="B296" t="s">
        <v>228</v>
      </c>
      <c r="C296" t="s">
        <v>1371</v>
      </c>
      <c r="D296" t="s">
        <v>32</v>
      </c>
      <c r="E296">
        <v>77</v>
      </c>
      <c r="F296" t="s">
        <v>1372</v>
      </c>
      <c r="G296" s="3">
        <v>46171.777939814798</v>
      </c>
      <c r="H296" s="4">
        <v>45801</v>
      </c>
      <c r="I296" s="4">
        <v>46197</v>
      </c>
      <c r="J296" s="1">
        <v>1321.75</v>
      </c>
      <c r="K296">
        <v>6.5000000000000002E-2</v>
      </c>
      <c r="L296">
        <v>1</v>
      </c>
      <c r="M296" s="1">
        <v>0</v>
      </c>
      <c r="N296" s="1">
        <v>7.16</v>
      </c>
      <c r="O296" t="s">
        <v>34</v>
      </c>
      <c r="P296" t="s">
        <v>35</v>
      </c>
    </row>
    <row r="297" spans="1:16" x14ac:dyDescent="0.25">
      <c r="A297" t="s">
        <v>227</v>
      </c>
      <c r="B297" t="s">
        <v>228</v>
      </c>
      <c r="C297" t="s">
        <v>1373</v>
      </c>
      <c r="D297" t="s">
        <v>165</v>
      </c>
      <c r="E297">
        <v>58</v>
      </c>
      <c r="F297" t="s">
        <v>1374</v>
      </c>
      <c r="G297" s="3">
        <v>46171.777939814798</v>
      </c>
      <c r="H297" s="4">
        <v>45658</v>
      </c>
      <c r="I297" s="4">
        <v>46174</v>
      </c>
      <c r="J297" s="1">
        <v>476</v>
      </c>
      <c r="K297">
        <v>0.04</v>
      </c>
      <c r="L297">
        <v>1</v>
      </c>
      <c r="M297" s="1">
        <v>0</v>
      </c>
      <c r="N297" s="1">
        <v>1.59</v>
      </c>
      <c r="O297" t="s">
        <v>34</v>
      </c>
      <c r="P297" t="s">
        <v>35</v>
      </c>
    </row>
    <row r="298" spans="1:16" x14ac:dyDescent="0.25">
      <c r="A298" t="s">
        <v>219</v>
      </c>
      <c r="B298" t="s">
        <v>220</v>
      </c>
      <c r="C298" t="s">
        <v>1375</v>
      </c>
      <c r="D298" t="s">
        <v>165</v>
      </c>
      <c r="E298">
        <v>67</v>
      </c>
      <c r="F298" t="s">
        <v>1330</v>
      </c>
      <c r="G298" s="3">
        <v>46171.777939814798</v>
      </c>
      <c r="H298" s="4">
        <v>45658</v>
      </c>
      <c r="I298" s="4">
        <v>46174</v>
      </c>
      <c r="J298" s="1">
        <v>372</v>
      </c>
      <c r="K298">
        <v>0.04</v>
      </c>
      <c r="L298">
        <v>1</v>
      </c>
      <c r="M298" s="1">
        <v>0</v>
      </c>
      <c r="N298" s="1">
        <v>1.24</v>
      </c>
      <c r="O298" t="s">
        <v>34</v>
      </c>
      <c r="P298" t="s">
        <v>35</v>
      </c>
    </row>
    <row r="299" spans="1:16" x14ac:dyDescent="0.25">
      <c r="A299" t="s">
        <v>188</v>
      </c>
      <c r="B299" t="s">
        <v>189</v>
      </c>
      <c r="C299" t="s">
        <v>1376</v>
      </c>
      <c r="D299" t="s">
        <v>613</v>
      </c>
      <c r="E299">
        <v>52</v>
      </c>
      <c r="F299" t="s">
        <v>1377</v>
      </c>
      <c r="G299" s="3">
        <v>46171.777939814798</v>
      </c>
      <c r="H299" s="4">
        <v>45658</v>
      </c>
      <c r="I299" s="4">
        <v>46174</v>
      </c>
      <c r="J299" s="1">
        <v>1426.28</v>
      </c>
      <c r="K299">
        <v>0.04</v>
      </c>
      <c r="L299">
        <v>1</v>
      </c>
      <c r="M299" s="1">
        <v>0</v>
      </c>
      <c r="N299" s="1">
        <v>4.75</v>
      </c>
      <c r="O299" t="s">
        <v>34</v>
      </c>
      <c r="P299" t="s">
        <v>35</v>
      </c>
    </row>
    <row r="300" spans="1:16" x14ac:dyDescent="0.25">
      <c r="A300" t="s">
        <v>131</v>
      </c>
      <c r="B300" t="s">
        <v>132</v>
      </c>
      <c r="C300" t="s">
        <v>1378</v>
      </c>
      <c r="D300" t="s">
        <v>165</v>
      </c>
      <c r="E300">
        <v>54</v>
      </c>
      <c r="F300" t="s">
        <v>1276</v>
      </c>
      <c r="G300" s="3">
        <v>46171.777939814798</v>
      </c>
      <c r="H300" s="4">
        <v>45778</v>
      </c>
      <c r="I300" s="4">
        <v>46174</v>
      </c>
      <c r="J300" s="1">
        <v>1313.9</v>
      </c>
      <c r="K300">
        <v>0.04</v>
      </c>
      <c r="L300">
        <v>1</v>
      </c>
      <c r="M300" s="1">
        <v>0</v>
      </c>
      <c r="N300" s="1">
        <v>4.38</v>
      </c>
      <c r="O300" t="s">
        <v>34</v>
      </c>
      <c r="P300" t="s">
        <v>35</v>
      </c>
    </row>
    <row r="301" spans="1:16" x14ac:dyDescent="0.25">
      <c r="A301" t="s">
        <v>1379</v>
      </c>
      <c r="B301" t="s">
        <v>1380</v>
      </c>
      <c r="C301" t="s">
        <v>1381</v>
      </c>
      <c r="D301" t="s">
        <v>165</v>
      </c>
      <c r="E301">
        <v>68</v>
      </c>
      <c r="F301" t="s">
        <v>1382</v>
      </c>
      <c r="G301" s="3">
        <v>46171.777939814798</v>
      </c>
      <c r="H301" s="4">
        <v>45783</v>
      </c>
      <c r="I301" s="4">
        <v>46179</v>
      </c>
      <c r="J301" s="1">
        <v>596.4</v>
      </c>
      <c r="K301">
        <v>0.04</v>
      </c>
      <c r="L301">
        <v>1</v>
      </c>
      <c r="M301" s="1">
        <v>0</v>
      </c>
      <c r="N301" s="1">
        <v>1.99</v>
      </c>
      <c r="O301" t="s">
        <v>112</v>
      </c>
      <c r="P301" t="s">
        <v>35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2A37-0823-45AF-B24F-37E55E9C9A02}">
  <dimension ref="A1:O301"/>
  <sheetViews>
    <sheetView topLeftCell="A265" workbookViewId="0">
      <selection activeCell="I282" sqref="I282"/>
    </sheetView>
  </sheetViews>
  <sheetFormatPr defaultRowHeight="15" x14ac:dyDescent="0.25"/>
  <cols>
    <col min="1" max="1" width="27.85546875" style="5" customWidth="1"/>
    <col min="2" max="2" width="15.85546875" style="5" customWidth="1"/>
    <col min="3" max="3" width="33.5703125" style="5" customWidth="1"/>
    <col min="4" max="4" width="23.85546875" style="5" customWidth="1"/>
    <col min="5" max="5" width="15.42578125" style="5" customWidth="1"/>
    <col min="6" max="6" width="14.28515625" style="5" customWidth="1"/>
    <col min="7" max="7" width="11.42578125" style="6" customWidth="1"/>
    <col min="8" max="8" width="7.140625" style="5" customWidth="1"/>
    <col min="9" max="9" width="10.85546875" style="6" customWidth="1"/>
    <col min="10" max="10" width="7.7109375" style="5" customWidth="1"/>
    <col min="11" max="16384" width="9.140625" style="5"/>
  </cols>
  <sheetData>
    <row r="1" spans="1:15" x14ac:dyDescent="0.25">
      <c r="A1" s="5" t="s">
        <v>15</v>
      </c>
      <c r="B1" s="5" t="s">
        <v>16</v>
      </c>
      <c r="C1" s="5" t="s">
        <v>17</v>
      </c>
      <c r="D1" s="5" t="s">
        <v>19</v>
      </c>
      <c r="E1" s="5" t="s">
        <v>21</v>
      </c>
      <c r="F1" s="5" t="s">
        <v>22</v>
      </c>
      <c r="G1" s="6" t="s">
        <v>23</v>
      </c>
      <c r="H1" s="5" t="s">
        <v>24</v>
      </c>
      <c r="I1" s="6" t="s">
        <v>11</v>
      </c>
      <c r="J1" s="5" t="s">
        <v>27</v>
      </c>
      <c r="K1" s="5" t="s">
        <v>1385</v>
      </c>
      <c r="L1" s="5" t="s">
        <v>1386</v>
      </c>
      <c r="M1" s="5" t="s">
        <v>1387</v>
      </c>
      <c r="N1" s="5" t="s">
        <v>1413</v>
      </c>
      <c r="O1" s="5" t="s">
        <v>1414</v>
      </c>
    </row>
    <row r="2" spans="1:15" x14ac:dyDescent="0.25">
      <c r="A2" s="5" t="s">
        <v>77</v>
      </c>
      <c r="B2" s="5" t="s">
        <v>768</v>
      </c>
      <c r="C2" s="5" t="s">
        <v>165</v>
      </c>
      <c r="D2" s="5" t="s">
        <v>769</v>
      </c>
      <c r="E2" s="7">
        <v>45524</v>
      </c>
      <c r="F2" s="7">
        <v>46193</v>
      </c>
      <c r="G2" s="6">
        <v>1060</v>
      </c>
      <c r="H2" s="5">
        <v>0.04</v>
      </c>
      <c r="I2" s="6">
        <v>3.53</v>
      </c>
      <c r="J2" s="5" t="s">
        <v>34</v>
      </c>
      <c r="K2" s="5" t="s">
        <v>1388</v>
      </c>
      <c r="L2" s="8">
        <v>9213293</v>
      </c>
      <c r="M2" s="5" t="s">
        <v>1389</v>
      </c>
      <c r="N2" s="6">
        <f>Renewals6[[#This Row],[Earnings]]/Renewals6[[#This Row],[Rate]]</f>
        <v>88.25</v>
      </c>
      <c r="O2" s="6">
        <f>Renewals6[[#This Row],[Column5]]*Renewals6[[#This Row],[Rate]]</f>
        <v>3.5300000000000002</v>
      </c>
    </row>
    <row r="3" spans="1:15" x14ac:dyDescent="0.25">
      <c r="A3" s="5" t="s">
        <v>220</v>
      </c>
      <c r="B3" s="5" t="s">
        <v>770</v>
      </c>
      <c r="C3" s="5" t="s">
        <v>32</v>
      </c>
      <c r="D3" s="5" t="s">
        <v>771</v>
      </c>
      <c r="E3" s="7">
        <v>45807</v>
      </c>
      <c r="F3" s="7">
        <v>46203</v>
      </c>
      <c r="G3" s="6">
        <v>591.74</v>
      </c>
      <c r="H3" s="5">
        <v>0.13</v>
      </c>
      <c r="I3" s="6">
        <v>4.96</v>
      </c>
      <c r="J3" s="5" t="s">
        <v>34</v>
      </c>
      <c r="K3" s="5" t="s">
        <v>1390</v>
      </c>
      <c r="L3" s="8">
        <v>16633294</v>
      </c>
      <c r="M3" s="5" t="s">
        <v>1389</v>
      </c>
      <c r="N3" s="6">
        <f>Renewals6[[#This Row],[Earnings]]/Renewals6[[#This Row],[Rate]]</f>
        <v>38.153846153846153</v>
      </c>
      <c r="O3" s="6">
        <f>Renewals6[[#This Row],[Column5]]*Renewals6[[#This Row],[Rate]]</f>
        <v>4.96</v>
      </c>
    </row>
    <row r="4" spans="1:15" x14ac:dyDescent="0.25">
      <c r="A4" s="5" t="s">
        <v>220</v>
      </c>
      <c r="B4" s="5" t="s">
        <v>772</v>
      </c>
      <c r="C4" s="5" t="s">
        <v>32</v>
      </c>
      <c r="D4" s="5" t="s">
        <v>773</v>
      </c>
      <c r="E4" s="7">
        <v>45807</v>
      </c>
      <c r="F4" s="7">
        <v>46203</v>
      </c>
      <c r="G4" s="6">
        <v>822.11</v>
      </c>
      <c r="H4" s="5">
        <v>0.13</v>
      </c>
      <c r="I4" s="6">
        <v>6.46</v>
      </c>
      <c r="J4" s="5" t="s">
        <v>34</v>
      </c>
      <c r="K4" s="5" t="s">
        <v>1390</v>
      </c>
      <c r="L4" s="8">
        <v>16633294</v>
      </c>
      <c r="M4" s="5" t="s">
        <v>1389</v>
      </c>
      <c r="N4" s="6">
        <f>Renewals6[[#This Row],[Earnings]]/Renewals6[[#This Row],[Rate]]</f>
        <v>49.692307692307693</v>
      </c>
      <c r="O4" s="6">
        <f>Renewals6[[#This Row],[Column5]]*Renewals6[[#This Row],[Rate]]</f>
        <v>6.46</v>
      </c>
    </row>
    <row r="5" spans="1:15" x14ac:dyDescent="0.25">
      <c r="A5" s="5" t="s">
        <v>377</v>
      </c>
      <c r="B5" s="5" t="s">
        <v>774</v>
      </c>
      <c r="C5" s="5" t="s">
        <v>379</v>
      </c>
      <c r="D5" s="5" t="s">
        <v>775</v>
      </c>
      <c r="E5" s="7">
        <v>45108</v>
      </c>
      <c r="F5" s="7">
        <v>46174</v>
      </c>
      <c r="G5" s="6">
        <v>1202.4000000000001</v>
      </c>
      <c r="H5" s="5">
        <v>0.15</v>
      </c>
      <c r="I5" s="6">
        <v>15.03</v>
      </c>
      <c r="J5" s="5" t="s">
        <v>112</v>
      </c>
      <c r="K5" s="5" t="s">
        <v>1391</v>
      </c>
      <c r="L5" s="8">
        <v>17528908</v>
      </c>
      <c r="M5" s="5" t="s">
        <v>1389</v>
      </c>
      <c r="N5" s="6">
        <f>Renewals6[[#This Row],[Earnings]]/Renewals6[[#This Row],[Rate]]</f>
        <v>100.2</v>
      </c>
      <c r="O5" s="6">
        <f>Renewals6[[#This Row],[Column5]]*Renewals6[[#This Row],[Rate]]</f>
        <v>15.03</v>
      </c>
    </row>
    <row r="6" spans="1:15" x14ac:dyDescent="0.25">
      <c r="A6" s="5" t="s">
        <v>377</v>
      </c>
      <c r="B6" s="5" t="s">
        <v>776</v>
      </c>
      <c r="C6" s="5" t="s">
        <v>162</v>
      </c>
      <c r="D6" s="5" t="s">
        <v>777</v>
      </c>
      <c r="E6" s="7">
        <v>45261</v>
      </c>
      <c r="F6" s="7">
        <v>46174</v>
      </c>
      <c r="G6" s="6">
        <v>1004.4</v>
      </c>
      <c r="H6" s="5">
        <v>0.15</v>
      </c>
      <c r="I6" s="6">
        <v>12.56</v>
      </c>
      <c r="J6" s="5" t="s">
        <v>112</v>
      </c>
      <c r="K6" s="5" t="s">
        <v>1391</v>
      </c>
      <c r="L6" s="8">
        <v>17528908</v>
      </c>
      <c r="M6" s="5" t="s">
        <v>1389</v>
      </c>
      <c r="N6" s="6">
        <f>Renewals6[[#This Row],[Earnings]]/Renewals6[[#This Row],[Rate]]</f>
        <v>83.733333333333334</v>
      </c>
      <c r="O6" s="6">
        <f>Renewals6[[#This Row],[Column5]]*Renewals6[[#This Row],[Rate]]</f>
        <v>12.56</v>
      </c>
    </row>
    <row r="7" spans="1:15" x14ac:dyDescent="0.25">
      <c r="A7" s="5" t="s">
        <v>779</v>
      </c>
      <c r="B7" s="5" t="s">
        <v>780</v>
      </c>
      <c r="C7" s="5" t="s">
        <v>62</v>
      </c>
      <c r="D7" s="5" t="s">
        <v>781</v>
      </c>
      <c r="E7" s="7">
        <v>45168</v>
      </c>
      <c r="F7" s="7">
        <v>46172</v>
      </c>
      <c r="G7" s="6">
        <v>466.49</v>
      </c>
      <c r="H7" s="5">
        <v>0.15</v>
      </c>
      <c r="I7" s="6">
        <v>5.83</v>
      </c>
      <c r="J7" s="5" t="s">
        <v>112</v>
      </c>
      <c r="K7" s="5" t="s">
        <v>1391</v>
      </c>
      <c r="L7" s="8">
        <v>15278437</v>
      </c>
      <c r="M7" s="5" t="s">
        <v>1389</v>
      </c>
      <c r="N7" s="6">
        <f>Renewals6[[#This Row],[Earnings]]/Renewals6[[#This Row],[Rate]]</f>
        <v>38.866666666666667</v>
      </c>
      <c r="O7" s="6">
        <f>Renewals6[[#This Row],[Column5]]*Renewals6[[#This Row],[Rate]]</f>
        <v>5.83</v>
      </c>
    </row>
    <row r="8" spans="1:15" x14ac:dyDescent="0.25">
      <c r="A8" s="5" t="s">
        <v>779</v>
      </c>
      <c r="B8" s="5" t="s">
        <v>782</v>
      </c>
      <c r="C8" s="5" t="s">
        <v>110</v>
      </c>
      <c r="D8" s="5" t="s">
        <v>783</v>
      </c>
      <c r="E8" s="7">
        <v>45170</v>
      </c>
      <c r="F8" s="7">
        <v>46174</v>
      </c>
      <c r="G8" s="6">
        <v>599.29</v>
      </c>
      <c r="H8" s="5">
        <v>0.15</v>
      </c>
      <c r="I8" s="6">
        <v>7.49</v>
      </c>
      <c r="J8" s="5" t="s">
        <v>112</v>
      </c>
      <c r="K8" s="5" t="s">
        <v>1391</v>
      </c>
      <c r="L8" s="8">
        <v>15278437</v>
      </c>
      <c r="M8" s="5" t="s">
        <v>1389</v>
      </c>
      <c r="N8" s="6">
        <f>Renewals6[[#This Row],[Earnings]]/Renewals6[[#This Row],[Rate]]</f>
        <v>49.933333333333337</v>
      </c>
      <c r="O8" s="6">
        <f>Renewals6[[#This Row],[Column5]]*Renewals6[[#This Row],[Rate]]</f>
        <v>7.49</v>
      </c>
    </row>
    <row r="9" spans="1:15" x14ac:dyDescent="0.25">
      <c r="A9" s="5" t="s">
        <v>779</v>
      </c>
      <c r="B9" s="5" t="s">
        <v>784</v>
      </c>
      <c r="C9" s="5" t="s">
        <v>62</v>
      </c>
      <c r="D9" s="5" t="s">
        <v>785</v>
      </c>
      <c r="E9" s="7">
        <v>45108</v>
      </c>
      <c r="F9" s="7">
        <v>46235</v>
      </c>
      <c r="G9" s="6">
        <v>789.6</v>
      </c>
      <c r="H9" s="5">
        <v>0.15</v>
      </c>
      <c r="I9" s="6">
        <v>9.8699999999999992</v>
      </c>
      <c r="J9" s="5" t="s">
        <v>112</v>
      </c>
      <c r="K9" s="5" t="s">
        <v>1391</v>
      </c>
      <c r="L9" s="8">
        <v>15278437</v>
      </c>
      <c r="M9" s="5" t="s">
        <v>1389</v>
      </c>
      <c r="N9" s="6">
        <f>Renewals6[[#This Row],[Earnings]]/Renewals6[[#This Row],[Rate]]</f>
        <v>65.8</v>
      </c>
      <c r="O9" s="6">
        <f>Renewals6[[#This Row],[Column5]]*Renewals6[[#This Row],[Rate]]</f>
        <v>9.8699999999999992</v>
      </c>
    </row>
    <row r="10" spans="1:15" x14ac:dyDescent="0.25">
      <c r="A10" s="5" t="s">
        <v>779</v>
      </c>
      <c r="B10" s="5" t="s">
        <v>786</v>
      </c>
      <c r="C10" s="5" t="s">
        <v>39</v>
      </c>
      <c r="D10" s="5" t="s">
        <v>787</v>
      </c>
      <c r="E10" s="7">
        <v>45108</v>
      </c>
      <c r="F10" s="7">
        <v>46174</v>
      </c>
      <c r="G10" s="6">
        <v>960</v>
      </c>
      <c r="H10" s="5">
        <v>0.15</v>
      </c>
      <c r="I10" s="6">
        <v>12</v>
      </c>
      <c r="J10" s="5" t="s">
        <v>112</v>
      </c>
      <c r="K10" s="5" t="s">
        <v>1391</v>
      </c>
      <c r="L10" s="8">
        <v>15278437</v>
      </c>
      <c r="M10" s="5" t="s">
        <v>1389</v>
      </c>
      <c r="N10" s="6">
        <f>Renewals6[[#This Row],[Earnings]]/Renewals6[[#This Row],[Rate]]</f>
        <v>80</v>
      </c>
      <c r="O10" s="6">
        <f>Renewals6[[#This Row],[Column5]]*Renewals6[[#This Row],[Rate]]</f>
        <v>12</v>
      </c>
    </row>
    <row r="11" spans="1:15" x14ac:dyDescent="0.25">
      <c r="A11" s="5" t="s">
        <v>377</v>
      </c>
      <c r="B11" s="5" t="s">
        <v>788</v>
      </c>
      <c r="C11" s="5" t="s">
        <v>162</v>
      </c>
      <c r="D11" s="5" t="s">
        <v>789</v>
      </c>
      <c r="E11" s="7">
        <v>45200</v>
      </c>
      <c r="F11" s="7">
        <v>46174</v>
      </c>
      <c r="G11" s="6">
        <v>816.91</v>
      </c>
      <c r="H11" s="5">
        <v>0.15</v>
      </c>
      <c r="I11" s="6">
        <v>10.210000000000001</v>
      </c>
      <c r="J11" s="5" t="s">
        <v>112</v>
      </c>
      <c r="K11" s="5" t="s">
        <v>1391</v>
      </c>
      <c r="L11" s="8">
        <v>17528908</v>
      </c>
      <c r="M11" s="5" t="s">
        <v>1389</v>
      </c>
      <c r="N11" s="6">
        <f>Renewals6[[#This Row],[Earnings]]/Renewals6[[#This Row],[Rate]]</f>
        <v>68.066666666666677</v>
      </c>
      <c r="O11" s="6">
        <f>Renewals6[[#This Row],[Column5]]*Renewals6[[#This Row],[Rate]]</f>
        <v>10.210000000000001</v>
      </c>
    </row>
    <row r="12" spans="1:15" x14ac:dyDescent="0.25">
      <c r="A12" s="5" t="s">
        <v>779</v>
      </c>
      <c r="B12" s="5" t="s">
        <v>790</v>
      </c>
      <c r="C12" s="5" t="s">
        <v>62</v>
      </c>
      <c r="D12" s="5" t="s">
        <v>791</v>
      </c>
      <c r="E12" s="7">
        <v>45139</v>
      </c>
      <c r="F12" s="7">
        <v>46174</v>
      </c>
      <c r="G12" s="6">
        <v>734.33</v>
      </c>
      <c r="H12" s="5">
        <v>0.15</v>
      </c>
      <c r="I12" s="6">
        <v>9.18</v>
      </c>
      <c r="J12" s="5" t="s">
        <v>112</v>
      </c>
      <c r="K12" s="5" t="s">
        <v>1391</v>
      </c>
      <c r="L12" s="8">
        <v>15278437</v>
      </c>
      <c r="M12" s="5" t="s">
        <v>1389</v>
      </c>
      <c r="N12" s="6">
        <f>Renewals6[[#This Row],[Earnings]]/Renewals6[[#This Row],[Rate]]</f>
        <v>61.2</v>
      </c>
      <c r="O12" s="6">
        <f>Renewals6[[#This Row],[Column5]]*Renewals6[[#This Row],[Rate]]</f>
        <v>9.18</v>
      </c>
    </row>
    <row r="13" spans="1:15" x14ac:dyDescent="0.25">
      <c r="A13" s="5" t="s">
        <v>779</v>
      </c>
      <c r="B13" s="5" t="s">
        <v>792</v>
      </c>
      <c r="C13" s="5" t="s">
        <v>110</v>
      </c>
      <c r="D13" s="5" t="s">
        <v>793</v>
      </c>
      <c r="E13" s="7">
        <v>45170</v>
      </c>
      <c r="F13" s="7">
        <v>46174</v>
      </c>
      <c r="G13" s="6">
        <v>992.4</v>
      </c>
      <c r="H13" s="5">
        <v>0.15</v>
      </c>
      <c r="I13" s="6">
        <v>12.4</v>
      </c>
      <c r="J13" s="5" t="s">
        <v>112</v>
      </c>
      <c r="K13" s="5" t="s">
        <v>1391</v>
      </c>
      <c r="L13" s="8">
        <v>15278437</v>
      </c>
      <c r="M13" s="5" t="s">
        <v>1389</v>
      </c>
      <c r="N13" s="6">
        <f>Renewals6[[#This Row],[Earnings]]/Renewals6[[#This Row],[Rate]]</f>
        <v>82.666666666666671</v>
      </c>
      <c r="O13" s="6">
        <f>Renewals6[[#This Row],[Column5]]*Renewals6[[#This Row],[Rate]]</f>
        <v>12.4</v>
      </c>
    </row>
    <row r="14" spans="1:15" x14ac:dyDescent="0.25">
      <c r="A14" s="5" t="s">
        <v>779</v>
      </c>
      <c r="B14" s="5" t="s">
        <v>794</v>
      </c>
      <c r="C14" s="5" t="s">
        <v>62</v>
      </c>
      <c r="D14" s="5" t="s">
        <v>795</v>
      </c>
      <c r="E14" s="7">
        <v>45231</v>
      </c>
      <c r="F14" s="7">
        <v>46174</v>
      </c>
      <c r="G14" s="6">
        <v>789.6</v>
      </c>
      <c r="H14" s="5">
        <v>0.15</v>
      </c>
      <c r="I14" s="6">
        <v>9.8699999999999992</v>
      </c>
      <c r="J14" s="5" t="s">
        <v>112</v>
      </c>
      <c r="K14" s="5" t="s">
        <v>1391</v>
      </c>
      <c r="L14" s="8">
        <v>15278437</v>
      </c>
      <c r="M14" s="5" t="s">
        <v>1389</v>
      </c>
      <c r="N14" s="6">
        <f>Renewals6[[#This Row],[Earnings]]/Renewals6[[#This Row],[Rate]]</f>
        <v>65.8</v>
      </c>
      <c r="O14" s="6">
        <f>Renewals6[[#This Row],[Column5]]*Renewals6[[#This Row],[Rate]]</f>
        <v>9.8699999999999992</v>
      </c>
    </row>
    <row r="15" spans="1:15" x14ac:dyDescent="0.25">
      <c r="A15" s="5" t="s">
        <v>779</v>
      </c>
      <c r="B15" s="5" t="s">
        <v>796</v>
      </c>
      <c r="C15" s="5" t="s">
        <v>62</v>
      </c>
      <c r="D15" s="5" t="s">
        <v>797</v>
      </c>
      <c r="E15" s="7">
        <v>45200</v>
      </c>
      <c r="F15" s="7">
        <v>46174</v>
      </c>
      <c r="G15" s="6">
        <v>789.6</v>
      </c>
      <c r="H15" s="5">
        <v>0.15</v>
      </c>
      <c r="I15" s="6">
        <v>9.8699999999999992</v>
      </c>
      <c r="J15" s="5" t="s">
        <v>112</v>
      </c>
      <c r="K15" s="5" t="s">
        <v>1391</v>
      </c>
      <c r="L15" s="8">
        <v>15278437</v>
      </c>
      <c r="M15" s="5" t="s">
        <v>1389</v>
      </c>
      <c r="N15" s="6">
        <f>Renewals6[[#This Row],[Earnings]]/Renewals6[[#This Row],[Rate]]</f>
        <v>65.8</v>
      </c>
      <c r="O15" s="6">
        <f>Renewals6[[#This Row],[Column5]]*Renewals6[[#This Row],[Rate]]</f>
        <v>9.8699999999999992</v>
      </c>
    </row>
    <row r="16" spans="1:15" x14ac:dyDescent="0.25">
      <c r="A16" s="5" t="s">
        <v>779</v>
      </c>
      <c r="B16" s="5" t="s">
        <v>798</v>
      </c>
      <c r="C16" s="5" t="s">
        <v>62</v>
      </c>
      <c r="D16" s="5" t="s">
        <v>799</v>
      </c>
      <c r="E16" s="7">
        <v>45231</v>
      </c>
      <c r="F16" s="7">
        <v>46174</v>
      </c>
      <c r="G16" s="6">
        <v>466.49</v>
      </c>
      <c r="H16" s="5">
        <v>0.15</v>
      </c>
      <c r="I16" s="6">
        <v>5.83</v>
      </c>
      <c r="J16" s="5" t="s">
        <v>112</v>
      </c>
      <c r="K16" s="5" t="s">
        <v>1391</v>
      </c>
      <c r="L16" s="8">
        <v>15278437</v>
      </c>
      <c r="M16" s="5" t="s">
        <v>1389</v>
      </c>
      <c r="N16" s="6">
        <f>Renewals6[[#This Row],[Earnings]]/Renewals6[[#This Row],[Rate]]</f>
        <v>38.866666666666667</v>
      </c>
      <c r="O16" s="6">
        <f>Renewals6[[#This Row],[Column5]]*Renewals6[[#This Row],[Rate]]</f>
        <v>5.83</v>
      </c>
    </row>
    <row r="17" spans="1:15" x14ac:dyDescent="0.25">
      <c r="A17" s="5" t="s">
        <v>779</v>
      </c>
      <c r="B17" s="5" t="s">
        <v>800</v>
      </c>
      <c r="C17" s="5" t="s">
        <v>62</v>
      </c>
      <c r="D17" s="5" t="s">
        <v>801</v>
      </c>
      <c r="E17" s="7">
        <v>45231</v>
      </c>
      <c r="F17" s="7">
        <v>46174</v>
      </c>
      <c r="G17" s="6">
        <v>764.46</v>
      </c>
      <c r="H17" s="5">
        <v>0.15</v>
      </c>
      <c r="I17" s="6">
        <v>9.56</v>
      </c>
      <c r="J17" s="5" t="s">
        <v>112</v>
      </c>
      <c r="K17" s="5" t="s">
        <v>1391</v>
      </c>
      <c r="L17" s="8">
        <v>15278437</v>
      </c>
      <c r="M17" s="5" t="s">
        <v>1389</v>
      </c>
      <c r="N17" s="6">
        <f>Renewals6[[#This Row],[Earnings]]/Renewals6[[#This Row],[Rate]]</f>
        <v>63.733333333333341</v>
      </c>
      <c r="O17" s="6">
        <f>Renewals6[[#This Row],[Column5]]*Renewals6[[#This Row],[Rate]]</f>
        <v>9.56</v>
      </c>
    </row>
    <row r="18" spans="1:15" x14ac:dyDescent="0.25">
      <c r="A18" s="5" t="s">
        <v>779</v>
      </c>
      <c r="B18" s="5" t="s">
        <v>802</v>
      </c>
      <c r="C18" s="5" t="s">
        <v>62</v>
      </c>
      <c r="D18" s="5" t="s">
        <v>803</v>
      </c>
      <c r="E18" s="7">
        <v>45321</v>
      </c>
      <c r="F18" s="7">
        <v>46172</v>
      </c>
      <c r="G18" s="6">
        <v>734.33</v>
      </c>
      <c r="H18" s="5">
        <v>0.15</v>
      </c>
      <c r="I18" s="6">
        <v>9.18</v>
      </c>
      <c r="J18" s="5" t="s">
        <v>112</v>
      </c>
      <c r="K18" s="5" t="s">
        <v>1391</v>
      </c>
      <c r="L18" s="8">
        <v>15278437</v>
      </c>
      <c r="M18" s="5" t="s">
        <v>1389</v>
      </c>
      <c r="N18" s="6">
        <f>Renewals6[[#This Row],[Earnings]]/Renewals6[[#This Row],[Rate]]</f>
        <v>61.2</v>
      </c>
      <c r="O18" s="6">
        <f>Renewals6[[#This Row],[Column5]]*Renewals6[[#This Row],[Rate]]</f>
        <v>9.18</v>
      </c>
    </row>
    <row r="19" spans="1:15" x14ac:dyDescent="0.25">
      <c r="A19" s="5" t="s">
        <v>779</v>
      </c>
      <c r="B19" s="5" t="s">
        <v>804</v>
      </c>
      <c r="C19" s="5" t="s">
        <v>62</v>
      </c>
      <c r="D19" s="5" t="s">
        <v>805</v>
      </c>
      <c r="E19" s="7">
        <v>45323</v>
      </c>
      <c r="F19" s="7">
        <v>46174</v>
      </c>
      <c r="G19" s="6">
        <v>466.49</v>
      </c>
      <c r="H19" s="5">
        <v>0.15</v>
      </c>
      <c r="I19" s="6">
        <v>5.83</v>
      </c>
      <c r="J19" s="5" t="s">
        <v>112</v>
      </c>
      <c r="K19" s="5" t="s">
        <v>1391</v>
      </c>
      <c r="L19" s="8">
        <v>15278437</v>
      </c>
      <c r="M19" s="5" t="s">
        <v>1389</v>
      </c>
      <c r="N19" s="6">
        <f>Renewals6[[#This Row],[Earnings]]/Renewals6[[#This Row],[Rate]]</f>
        <v>38.866666666666667</v>
      </c>
      <c r="O19" s="6">
        <f>Renewals6[[#This Row],[Column5]]*Renewals6[[#This Row],[Rate]]</f>
        <v>5.83</v>
      </c>
    </row>
    <row r="20" spans="1:15" x14ac:dyDescent="0.25">
      <c r="A20" s="5" t="s">
        <v>779</v>
      </c>
      <c r="B20" s="5" t="s">
        <v>806</v>
      </c>
      <c r="C20" s="5" t="s">
        <v>62</v>
      </c>
      <c r="D20" s="5" t="s">
        <v>807</v>
      </c>
      <c r="E20" s="7">
        <v>45292</v>
      </c>
      <c r="F20" s="7">
        <v>46174</v>
      </c>
      <c r="G20" s="6">
        <v>586.79999999999995</v>
      </c>
      <c r="H20" s="5">
        <v>0.15</v>
      </c>
      <c r="I20" s="6">
        <v>7.33</v>
      </c>
      <c r="J20" s="5" t="s">
        <v>112</v>
      </c>
      <c r="K20" s="5" t="s">
        <v>1391</v>
      </c>
      <c r="L20" s="8">
        <v>15278437</v>
      </c>
      <c r="M20" s="5" t="s">
        <v>1389</v>
      </c>
      <c r="N20" s="6">
        <f>Renewals6[[#This Row],[Earnings]]/Renewals6[[#This Row],[Rate]]</f>
        <v>48.866666666666667</v>
      </c>
      <c r="O20" s="6">
        <f>Renewals6[[#This Row],[Column5]]*Renewals6[[#This Row],[Rate]]</f>
        <v>7.33</v>
      </c>
    </row>
    <row r="21" spans="1:15" x14ac:dyDescent="0.25">
      <c r="A21" s="5" t="s">
        <v>779</v>
      </c>
      <c r="B21" s="5" t="s">
        <v>808</v>
      </c>
      <c r="C21" s="5" t="s">
        <v>62</v>
      </c>
      <c r="D21" s="5" t="s">
        <v>809</v>
      </c>
      <c r="E21" s="7">
        <v>45292</v>
      </c>
      <c r="F21" s="7">
        <v>46174</v>
      </c>
      <c r="G21" s="6">
        <v>684.11</v>
      </c>
      <c r="H21" s="5">
        <v>0.15</v>
      </c>
      <c r="I21" s="6">
        <v>8.5500000000000007</v>
      </c>
      <c r="J21" s="5" t="s">
        <v>112</v>
      </c>
      <c r="K21" s="5" t="s">
        <v>1391</v>
      </c>
      <c r="L21" s="8">
        <v>15278437</v>
      </c>
      <c r="M21" s="5" t="s">
        <v>1389</v>
      </c>
      <c r="N21" s="6">
        <f>Renewals6[[#This Row],[Earnings]]/Renewals6[[#This Row],[Rate]]</f>
        <v>57.000000000000007</v>
      </c>
      <c r="O21" s="6">
        <f>Renewals6[[#This Row],[Column5]]*Renewals6[[#This Row],[Rate]]</f>
        <v>8.5500000000000007</v>
      </c>
    </row>
    <row r="22" spans="1:15" x14ac:dyDescent="0.25">
      <c r="A22" s="5" t="s">
        <v>779</v>
      </c>
      <c r="B22" s="5" t="s">
        <v>810</v>
      </c>
      <c r="C22" s="5" t="s">
        <v>62</v>
      </c>
      <c r="D22" s="5" t="s">
        <v>811</v>
      </c>
      <c r="E22" s="7">
        <v>45323</v>
      </c>
      <c r="F22" s="7">
        <v>46174</v>
      </c>
      <c r="G22" s="6">
        <v>734.33</v>
      </c>
      <c r="H22" s="5">
        <v>0.15</v>
      </c>
      <c r="I22" s="6">
        <v>9.18</v>
      </c>
      <c r="J22" s="5" t="s">
        <v>112</v>
      </c>
      <c r="K22" s="5" t="s">
        <v>1391</v>
      </c>
      <c r="L22" s="8">
        <v>15278437</v>
      </c>
      <c r="M22" s="5" t="s">
        <v>1389</v>
      </c>
      <c r="N22" s="6">
        <f>Renewals6[[#This Row],[Earnings]]/Renewals6[[#This Row],[Rate]]</f>
        <v>61.2</v>
      </c>
      <c r="O22" s="6">
        <f>Renewals6[[#This Row],[Column5]]*Renewals6[[#This Row],[Rate]]</f>
        <v>9.18</v>
      </c>
    </row>
    <row r="23" spans="1:15" x14ac:dyDescent="0.25">
      <c r="A23" s="5" t="s">
        <v>108</v>
      </c>
      <c r="B23" s="5" t="s">
        <v>812</v>
      </c>
      <c r="C23" s="5" t="s">
        <v>471</v>
      </c>
      <c r="D23" s="5" t="s">
        <v>813</v>
      </c>
      <c r="E23" s="7">
        <v>45413</v>
      </c>
      <c r="F23" s="7">
        <v>46174</v>
      </c>
      <c r="G23" s="6">
        <v>2161.1999999999998</v>
      </c>
      <c r="H23" s="5">
        <v>0.15</v>
      </c>
      <c r="I23" s="6">
        <v>27.01</v>
      </c>
      <c r="J23" s="5" t="s">
        <v>112</v>
      </c>
      <c r="K23" s="5" t="s">
        <v>1391</v>
      </c>
      <c r="L23" s="8">
        <v>18781057</v>
      </c>
      <c r="M23" s="5" t="s">
        <v>1389</v>
      </c>
      <c r="N23" s="6">
        <f>Renewals6[[#This Row],[Earnings]]/Renewals6[[#This Row],[Rate]]</f>
        <v>180.06666666666669</v>
      </c>
      <c r="O23" s="6">
        <f>Renewals6[[#This Row],[Column5]]*Renewals6[[#This Row],[Rate]]</f>
        <v>27.01</v>
      </c>
    </row>
    <row r="24" spans="1:15" x14ac:dyDescent="0.25">
      <c r="A24" s="5" t="s">
        <v>108</v>
      </c>
      <c r="B24" s="5" t="s">
        <v>814</v>
      </c>
      <c r="C24" s="5" t="s">
        <v>471</v>
      </c>
      <c r="D24" s="5" t="s">
        <v>815</v>
      </c>
      <c r="E24" s="7">
        <v>45413</v>
      </c>
      <c r="F24" s="7">
        <v>46174</v>
      </c>
      <c r="G24" s="6">
        <v>1305.5999999999999</v>
      </c>
      <c r="H24" s="5">
        <v>0.15</v>
      </c>
      <c r="I24" s="6">
        <v>16.32</v>
      </c>
      <c r="J24" s="5" t="s">
        <v>112</v>
      </c>
      <c r="K24" s="5" t="s">
        <v>1391</v>
      </c>
      <c r="L24" s="8">
        <v>18781057</v>
      </c>
      <c r="M24" s="5" t="s">
        <v>1389</v>
      </c>
      <c r="N24" s="6">
        <f>Renewals6[[#This Row],[Earnings]]/Renewals6[[#This Row],[Rate]]</f>
        <v>108.80000000000001</v>
      </c>
      <c r="O24" s="6">
        <f>Renewals6[[#This Row],[Column5]]*Renewals6[[#This Row],[Rate]]</f>
        <v>16.32</v>
      </c>
    </row>
    <row r="25" spans="1:15" x14ac:dyDescent="0.25">
      <c r="A25" s="5" t="s">
        <v>377</v>
      </c>
      <c r="B25" s="5" t="s">
        <v>816</v>
      </c>
      <c r="C25" s="5" t="s">
        <v>162</v>
      </c>
      <c r="D25" s="5" t="s">
        <v>817</v>
      </c>
      <c r="E25" s="7">
        <v>45444</v>
      </c>
      <c r="F25" s="7">
        <v>46204</v>
      </c>
      <c r="G25" s="6">
        <v>540</v>
      </c>
      <c r="H25" s="5">
        <v>0.15</v>
      </c>
      <c r="I25" s="6">
        <v>6.75</v>
      </c>
      <c r="J25" s="5" t="s">
        <v>112</v>
      </c>
      <c r="K25" s="5" t="s">
        <v>1391</v>
      </c>
      <c r="L25" s="8">
        <v>17528908</v>
      </c>
      <c r="M25" s="5" t="s">
        <v>1389</v>
      </c>
      <c r="N25" s="6">
        <f>Renewals6[[#This Row],[Earnings]]/Renewals6[[#This Row],[Rate]]</f>
        <v>45</v>
      </c>
      <c r="O25" s="6">
        <f>Renewals6[[#This Row],[Column5]]*Renewals6[[#This Row],[Rate]]</f>
        <v>6.75</v>
      </c>
    </row>
    <row r="26" spans="1:15" x14ac:dyDescent="0.25">
      <c r="A26" s="5" t="s">
        <v>220</v>
      </c>
      <c r="B26" s="5" t="s">
        <v>818</v>
      </c>
      <c r="C26" s="5" t="s">
        <v>162</v>
      </c>
      <c r="D26" s="5" t="s">
        <v>819</v>
      </c>
      <c r="E26" s="7">
        <v>45474</v>
      </c>
      <c r="F26" s="7">
        <v>46174</v>
      </c>
      <c r="G26" s="6">
        <v>1203.5999999999999</v>
      </c>
      <c r="H26" s="5">
        <v>0.15</v>
      </c>
      <c r="I26" s="6">
        <v>15.04</v>
      </c>
      <c r="J26" s="5" t="s">
        <v>34</v>
      </c>
      <c r="K26" s="5" t="s">
        <v>1391</v>
      </c>
      <c r="L26" s="8">
        <v>16633294</v>
      </c>
      <c r="M26" s="5" t="s">
        <v>1389</v>
      </c>
      <c r="N26" s="6">
        <f>Renewals6[[#This Row],[Earnings]]/Renewals6[[#This Row],[Rate]]</f>
        <v>100.26666666666667</v>
      </c>
      <c r="O26" s="6">
        <f>Renewals6[[#This Row],[Column5]]*Renewals6[[#This Row],[Rate]]</f>
        <v>15.04</v>
      </c>
    </row>
    <row r="27" spans="1:15" x14ac:dyDescent="0.25">
      <c r="A27" s="5" t="s">
        <v>377</v>
      </c>
      <c r="B27" s="5" t="s">
        <v>820</v>
      </c>
      <c r="C27" s="5" t="s">
        <v>162</v>
      </c>
      <c r="D27" s="5" t="s">
        <v>821</v>
      </c>
      <c r="E27" s="7">
        <v>45444</v>
      </c>
      <c r="F27" s="7">
        <v>46174</v>
      </c>
      <c r="G27" s="6">
        <v>502.2</v>
      </c>
      <c r="H27" s="5">
        <v>0.15</v>
      </c>
      <c r="I27" s="6">
        <v>6.28</v>
      </c>
      <c r="J27" s="5" t="s">
        <v>112</v>
      </c>
      <c r="K27" s="5" t="s">
        <v>1391</v>
      </c>
      <c r="L27" s="8">
        <v>17528908</v>
      </c>
      <c r="M27" s="5" t="s">
        <v>1389</v>
      </c>
      <c r="N27" s="6">
        <f>Renewals6[[#This Row],[Earnings]]/Renewals6[[#This Row],[Rate]]</f>
        <v>41.866666666666667</v>
      </c>
      <c r="O27" s="6">
        <f>Renewals6[[#This Row],[Column5]]*Renewals6[[#This Row],[Rate]]</f>
        <v>6.28</v>
      </c>
    </row>
    <row r="28" spans="1:15" x14ac:dyDescent="0.25">
      <c r="A28" s="5" t="s">
        <v>377</v>
      </c>
      <c r="B28" s="5" t="s">
        <v>822</v>
      </c>
      <c r="C28" s="5" t="s">
        <v>162</v>
      </c>
      <c r="D28" s="5" t="s">
        <v>823</v>
      </c>
      <c r="E28" s="7">
        <v>45439</v>
      </c>
      <c r="F28" s="7">
        <v>46169</v>
      </c>
      <c r="G28" s="6">
        <v>524.52</v>
      </c>
      <c r="H28" s="5">
        <v>0.15</v>
      </c>
      <c r="I28" s="6">
        <v>6.56</v>
      </c>
      <c r="J28" s="5" t="s">
        <v>112</v>
      </c>
      <c r="K28" s="5" t="s">
        <v>1391</v>
      </c>
      <c r="L28" s="8">
        <v>17528908</v>
      </c>
      <c r="M28" s="5" t="s">
        <v>1389</v>
      </c>
      <c r="N28" s="6">
        <f>Renewals6[[#This Row],[Earnings]]/Renewals6[[#This Row],[Rate]]</f>
        <v>43.733333333333334</v>
      </c>
      <c r="O28" s="6">
        <f>Renewals6[[#This Row],[Column5]]*Renewals6[[#This Row],[Rate]]</f>
        <v>6.56</v>
      </c>
    </row>
    <row r="29" spans="1:15" x14ac:dyDescent="0.25">
      <c r="A29" s="5" t="s">
        <v>77</v>
      </c>
      <c r="B29" s="5" t="s">
        <v>824</v>
      </c>
      <c r="C29" s="5" t="s">
        <v>162</v>
      </c>
      <c r="D29" s="5" t="s">
        <v>825</v>
      </c>
      <c r="E29" s="7">
        <v>45444</v>
      </c>
      <c r="F29" s="7">
        <v>46174</v>
      </c>
      <c r="G29" s="6">
        <v>754.8</v>
      </c>
      <c r="H29" s="5">
        <v>0.15</v>
      </c>
      <c r="I29" s="6">
        <v>9.43</v>
      </c>
      <c r="J29" s="5" t="s">
        <v>34</v>
      </c>
      <c r="K29" s="5" t="s">
        <v>1391</v>
      </c>
      <c r="L29" s="8">
        <v>9213293</v>
      </c>
      <c r="M29" s="5" t="s">
        <v>1389</v>
      </c>
      <c r="N29" s="6">
        <f>Renewals6[[#This Row],[Earnings]]/Renewals6[[#This Row],[Rate]]</f>
        <v>62.866666666666667</v>
      </c>
      <c r="O29" s="6">
        <f>Renewals6[[#This Row],[Column5]]*Renewals6[[#This Row],[Rate]]</f>
        <v>9.43</v>
      </c>
    </row>
    <row r="30" spans="1:15" x14ac:dyDescent="0.25">
      <c r="A30" s="5" t="s">
        <v>100</v>
      </c>
      <c r="B30" s="5" t="s">
        <v>826</v>
      </c>
      <c r="C30" s="5" t="s">
        <v>39</v>
      </c>
      <c r="D30" s="5" t="s">
        <v>827</v>
      </c>
      <c r="E30" s="7">
        <v>45471</v>
      </c>
      <c r="F30" s="7">
        <v>46201</v>
      </c>
      <c r="G30" s="6">
        <v>354.89</v>
      </c>
      <c r="H30" s="5">
        <v>0.15</v>
      </c>
      <c r="I30" s="6">
        <v>4.4400000000000004</v>
      </c>
      <c r="J30" s="5" t="s">
        <v>34</v>
      </c>
      <c r="K30" s="5" t="s">
        <v>1391</v>
      </c>
      <c r="L30" s="8">
        <v>8244481</v>
      </c>
      <c r="M30" s="5" t="s">
        <v>1389</v>
      </c>
      <c r="N30" s="6">
        <f>Renewals6[[#This Row],[Earnings]]/Renewals6[[#This Row],[Rate]]</f>
        <v>29.600000000000005</v>
      </c>
      <c r="O30" s="6">
        <f>Renewals6[[#This Row],[Column5]]*Renewals6[[#This Row],[Rate]]</f>
        <v>4.4400000000000004</v>
      </c>
    </row>
    <row r="31" spans="1:15" x14ac:dyDescent="0.25">
      <c r="A31" s="5" t="s">
        <v>100</v>
      </c>
      <c r="B31" s="5" t="s">
        <v>828</v>
      </c>
      <c r="C31" s="5" t="s">
        <v>39</v>
      </c>
      <c r="D31" s="5" t="s">
        <v>829</v>
      </c>
      <c r="E31" s="7">
        <v>45471</v>
      </c>
      <c r="F31" s="7">
        <v>46201</v>
      </c>
      <c r="G31" s="6">
        <v>328.1</v>
      </c>
      <c r="H31" s="5">
        <v>0.15</v>
      </c>
      <c r="I31" s="6">
        <v>4.0999999999999996</v>
      </c>
      <c r="J31" s="5" t="s">
        <v>34</v>
      </c>
      <c r="K31" s="5" t="s">
        <v>1391</v>
      </c>
      <c r="L31" s="8">
        <v>8244481</v>
      </c>
      <c r="M31" s="5" t="s">
        <v>1389</v>
      </c>
      <c r="N31" s="6">
        <f>Renewals6[[#This Row],[Earnings]]/Renewals6[[#This Row],[Rate]]</f>
        <v>27.333333333333332</v>
      </c>
      <c r="O31" s="6">
        <f>Renewals6[[#This Row],[Column5]]*Renewals6[[#This Row],[Rate]]</f>
        <v>4.0999999999999996</v>
      </c>
    </row>
    <row r="32" spans="1:15" x14ac:dyDescent="0.25">
      <c r="A32" s="5" t="s">
        <v>220</v>
      </c>
      <c r="B32" s="5" t="s">
        <v>830</v>
      </c>
      <c r="C32" s="5" t="s">
        <v>62</v>
      </c>
      <c r="D32" s="5" t="s">
        <v>831</v>
      </c>
      <c r="E32" s="7">
        <v>45461</v>
      </c>
      <c r="F32" s="7">
        <v>46191</v>
      </c>
      <c r="G32" s="6">
        <v>1374</v>
      </c>
      <c r="H32" s="5">
        <v>0.15</v>
      </c>
      <c r="I32" s="6">
        <v>17.18</v>
      </c>
      <c r="J32" s="5" t="s">
        <v>34</v>
      </c>
      <c r="K32" s="5" t="s">
        <v>1391</v>
      </c>
      <c r="L32" s="8">
        <v>16633294</v>
      </c>
      <c r="M32" s="5" t="s">
        <v>1389</v>
      </c>
      <c r="N32" s="6">
        <f>Renewals6[[#This Row],[Earnings]]/Renewals6[[#This Row],[Rate]]</f>
        <v>114.53333333333333</v>
      </c>
      <c r="O32" s="6">
        <f>Renewals6[[#This Row],[Column5]]*Renewals6[[#This Row],[Rate]]</f>
        <v>17.18</v>
      </c>
    </row>
    <row r="33" spans="1:15" x14ac:dyDescent="0.25">
      <c r="A33" s="5" t="s">
        <v>60</v>
      </c>
      <c r="B33" s="5" t="s">
        <v>832</v>
      </c>
      <c r="C33" s="5" t="s">
        <v>62</v>
      </c>
      <c r="D33" s="5" t="s">
        <v>833</v>
      </c>
      <c r="E33" s="7">
        <v>45505</v>
      </c>
      <c r="F33" s="7">
        <v>46174</v>
      </c>
      <c r="G33" s="6">
        <v>1098</v>
      </c>
      <c r="H33" s="5">
        <v>0.15</v>
      </c>
      <c r="I33" s="6">
        <v>13.72</v>
      </c>
      <c r="J33" s="5" t="s">
        <v>34</v>
      </c>
      <c r="K33" s="5" t="s">
        <v>1391</v>
      </c>
      <c r="L33" s="8">
        <v>2158366</v>
      </c>
      <c r="M33" s="5" t="s">
        <v>1389</v>
      </c>
      <c r="N33" s="6">
        <f>Renewals6[[#This Row],[Earnings]]/Renewals6[[#This Row],[Rate]]</f>
        <v>91.466666666666669</v>
      </c>
      <c r="O33" s="6">
        <f>Renewals6[[#This Row],[Column5]]*Renewals6[[#This Row],[Rate]]</f>
        <v>13.72</v>
      </c>
    </row>
    <row r="34" spans="1:15" x14ac:dyDescent="0.25">
      <c r="A34" s="5" t="s">
        <v>114</v>
      </c>
      <c r="B34" s="5" t="s">
        <v>834</v>
      </c>
      <c r="C34" s="5" t="s">
        <v>62</v>
      </c>
      <c r="D34" s="5" t="s">
        <v>835</v>
      </c>
      <c r="E34" s="7">
        <v>45505</v>
      </c>
      <c r="F34" s="7">
        <v>46174</v>
      </c>
      <c r="G34" s="6">
        <v>633.6</v>
      </c>
      <c r="H34" s="5">
        <v>0.15</v>
      </c>
      <c r="I34" s="6">
        <v>7.92</v>
      </c>
      <c r="J34" s="5" t="s">
        <v>34</v>
      </c>
      <c r="K34" s="5" t="s">
        <v>1391</v>
      </c>
      <c r="L34" s="8">
        <v>18754354</v>
      </c>
      <c r="M34" s="5" t="s">
        <v>1389</v>
      </c>
      <c r="N34" s="6">
        <f>Renewals6[[#This Row],[Earnings]]/Renewals6[[#This Row],[Rate]]</f>
        <v>52.800000000000004</v>
      </c>
      <c r="O34" s="6">
        <f>Renewals6[[#This Row],[Column5]]*Renewals6[[#This Row],[Rate]]</f>
        <v>7.92</v>
      </c>
    </row>
    <row r="35" spans="1:15" x14ac:dyDescent="0.25">
      <c r="A35" s="5" t="s">
        <v>220</v>
      </c>
      <c r="B35" s="5" t="s">
        <v>836</v>
      </c>
      <c r="C35" s="5" t="s">
        <v>62</v>
      </c>
      <c r="D35" s="5" t="s">
        <v>837</v>
      </c>
      <c r="E35" s="7">
        <v>45468</v>
      </c>
      <c r="F35" s="7">
        <v>46167</v>
      </c>
      <c r="G35" s="6">
        <v>1758</v>
      </c>
      <c r="H35" s="5">
        <v>0.15</v>
      </c>
      <c r="I35" s="6">
        <v>21.98</v>
      </c>
      <c r="J35" s="5" t="s">
        <v>34</v>
      </c>
      <c r="K35" s="5" t="s">
        <v>1391</v>
      </c>
      <c r="L35" s="8">
        <v>16633294</v>
      </c>
      <c r="M35" s="5" t="s">
        <v>1389</v>
      </c>
      <c r="N35" s="6">
        <f>Renewals6[[#This Row],[Earnings]]/Renewals6[[#This Row],[Rate]]</f>
        <v>146.53333333333333</v>
      </c>
      <c r="O35" s="6">
        <f>Renewals6[[#This Row],[Column5]]*Renewals6[[#This Row],[Rate]]</f>
        <v>21.98</v>
      </c>
    </row>
    <row r="36" spans="1:15" x14ac:dyDescent="0.25">
      <c r="A36" s="5" t="s">
        <v>94</v>
      </c>
      <c r="B36" s="5" t="s">
        <v>838</v>
      </c>
      <c r="C36" s="5" t="s">
        <v>62</v>
      </c>
      <c r="D36" s="5" t="s">
        <v>839</v>
      </c>
      <c r="E36" s="7">
        <v>45474</v>
      </c>
      <c r="F36" s="7">
        <v>46174</v>
      </c>
      <c r="G36" s="6">
        <v>868.8</v>
      </c>
      <c r="H36" s="5">
        <v>0.15</v>
      </c>
      <c r="I36" s="6">
        <v>10.86</v>
      </c>
      <c r="J36" s="5" t="s">
        <v>34</v>
      </c>
      <c r="K36" s="5" t="s">
        <v>1391</v>
      </c>
      <c r="L36" s="8">
        <v>19200754</v>
      </c>
      <c r="M36" s="5" t="s">
        <v>1389</v>
      </c>
      <c r="N36" s="6">
        <f>Renewals6[[#This Row],[Earnings]]/Renewals6[[#This Row],[Rate]]</f>
        <v>72.400000000000006</v>
      </c>
      <c r="O36" s="6">
        <f>Renewals6[[#This Row],[Column5]]*Renewals6[[#This Row],[Rate]]</f>
        <v>10.860000000000001</v>
      </c>
    </row>
    <row r="37" spans="1:15" x14ac:dyDescent="0.25">
      <c r="A37" s="5" t="s">
        <v>69</v>
      </c>
      <c r="B37" s="5" t="s">
        <v>840</v>
      </c>
      <c r="C37" s="5" t="s">
        <v>62</v>
      </c>
      <c r="D37" s="5" t="s">
        <v>841</v>
      </c>
      <c r="E37" s="7">
        <v>45474</v>
      </c>
      <c r="F37" s="7">
        <v>46174</v>
      </c>
      <c r="G37" s="6">
        <v>583.20000000000005</v>
      </c>
      <c r="H37" s="5">
        <v>0.15</v>
      </c>
      <c r="I37" s="6">
        <v>7.29</v>
      </c>
      <c r="J37" s="5" t="s">
        <v>34</v>
      </c>
      <c r="K37" s="5" t="s">
        <v>1391</v>
      </c>
      <c r="L37" s="8">
        <v>19586992</v>
      </c>
      <c r="M37" s="5" t="s">
        <v>1389</v>
      </c>
      <c r="N37" s="6">
        <f>Renewals6[[#This Row],[Earnings]]/Renewals6[[#This Row],[Rate]]</f>
        <v>48.6</v>
      </c>
      <c r="O37" s="6">
        <f>Renewals6[[#This Row],[Column5]]*Renewals6[[#This Row],[Rate]]</f>
        <v>7.29</v>
      </c>
    </row>
    <row r="38" spans="1:15" x14ac:dyDescent="0.25">
      <c r="A38" s="5" t="s">
        <v>60</v>
      </c>
      <c r="B38" s="5" t="s">
        <v>842</v>
      </c>
      <c r="C38" s="5" t="s">
        <v>39</v>
      </c>
      <c r="D38" s="5" t="s">
        <v>843</v>
      </c>
      <c r="E38" s="7">
        <v>45474</v>
      </c>
      <c r="F38" s="7">
        <v>46204</v>
      </c>
      <c r="G38" s="6">
        <v>1167.3</v>
      </c>
      <c r="H38" s="5">
        <v>0.1</v>
      </c>
      <c r="I38" s="6">
        <v>9.73</v>
      </c>
      <c r="J38" s="5" t="s">
        <v>844</v>
      </c>
      <c r="K38" s="5" t="s">
        <v>1392</v>
      </c>
      <c r="L38" s="8">
        <v>2158366</v>
      </c>
      <c r="M38" s="5" t="s">
        <v>1389</v>
      </c>
      <c r="N38" s="6">
        <f>Renewals6[[#This Row],[Earnings]]/Renewals6[[#This Row],[Rate]]</f>
        <v>97.3</v>
      </c>
      <c r="O38" s="6">
        <f>Renewals6[[#This Row],[Column5]]*Renewals6[[#This Row],[Rate]]</f>
        <v>9.73</v>
      </c>
    </row>
    <row r="39" spans="1:15" x14ac:dyDescent="0.25">
      <c r="A39" s="5" t="s">
        <v>30</v>
      </c>
      <c r="B39" s="5" t="s">
        <v>845</v>
      </c>
      <c r="C39" s="5" t="s">
        <v>62</v>
      </c>
      <c r="D39" s="5" t="s">
        <v>846</v>
      </c>
      <c r="E39" s="7">
        <v>45505</v>
      </c>
      <c r="F39" s="7">
        <v>46174</v>
      </c>
      <c r="G39" s="6">
        <v>1304.4000000000001</v>
      </c>
      <c r="H39" s="5">
        <v>0.15</v>
      </c>
      <c r="I39" s="6">
        <v>16.3</v>
      </c>
      <c r="J39" s="5" t="s">
        <v>34</v>
      </c>
      <c r="K39" s="5" t="s">
        <v>1391</v>
      </c>
      <c r="L39" s="8">
        <v>19481808</v>
      </c>
      <c r="M39" s="5" t="s">
        <v>1389</v>
      </c>
      <c r="N39" s="6">
        <f>Renewals6[[#This Row],[Earnings]]/Renewals6[[#This Row],[Rate]]</f>
        <v>108.66666666666667</v>
      </c>
      <c r="O39" s="6">
        <f>Renewals6[[#This Row],[Column5]]*Renewals6[[#This Row],[Rate]]</f>
        <v>16.3</v>
      </c>
    </row>
    <row r="40" spans="1:15" x14ac:dyDescent="0.25">
      <c r="A40" s="5" t="s">
        <v>77</v>
      </c>
      <c r="B40" s="5" t="s">
        <v>847</v>
      </c>
      <c r="C40" s="5" t="s">
        <v>110</v>
      </c>
      <c r="D40" s="5" t="s">
        <v>848</v>
      </c>
      <c r="E40" s="7">
        <v>45505</v>
      </c>
      <c r="F40" s="7">
        <v>46174</v>
      </c>
      <c r="G40" s="6">
        <v>802.8</v>
      </c>
      <c r="H40" s="5">
        <v>0.15</v>
      </c>
      <c r="I40" s="6">
        <v>10.039999999999999</v>
      </c>
      <c r="J40" s="5" t="s">
        <v>34</v>
      </c>
      <c r="K40" s="5" t="s">
        <v>1391</v>
      </c>
      <c r="L40" s="8">
        <v>9213293</v>
      </c>
      <c r="M40" s="5" t="s">
        <v>1389</v>
      </c>
      <c r="N40" s="6">
        <f>Renewals6[[#This Row],[Earnings]]/Renewals6[[#This Row],[Rate]]</f>
        <v>66.933333333333337</v>
      </c>
      <c r="O40" s="6">
        <f>Renewals6[[#This Row],[Column5]]*Renewals6[[#This Row],[Rate]]</f>
        <v>10.040000000000001</v>
      </c>
    </row>
    <row r="41" spans="1:15" x14ac:dyDescent="0.25">
      <c r="A41" s="5" t="s">
        <v>60</v>
      </c>
      <c r="B41" s="5" t="s">
        <v>849</v>
      </c>
      <c r="C41" s="5" t="s">
        <v>62</v>
      </c>
      <c r="D41" s="5" t="s">
        <v>850</v>
      </c>
      <c r="E41" s="7">
        <v>45474</v>
      </c>
      <c r="F41" s="7">
        <v>46204</v>
      </c>
      <c r="G41" s="6">
        <v>1530</v>
      </c>
      <c r="H41" s="5">
        <v>0.15</v>
      </c>
      <c r="I41" s="6">
        <v>19.12</v>
      </c>
      <c r="J41" s="5" t="s">
        <v>34</v>
      </c>
      <c r="K41" s="5" t="s">
        <v>1391</v>
      </c>
      <c r="L41" s="8">
        <v>2158366</v>
      </c>
      <c r="M41" s="5" t="s">
        <v>1389</v>
      </c>
      <c r="N41" s="6">
        <f>Renewals6[[#This Row],[Earnings]]/Renewals6[[#This Row],[Rate]]</f>
        <v>127.46666666666668</v>
      </c>
      <c r="O41" s="6">
        <f>Renewals6[[#This Row],[Column5]]*Renewals6[[#This Row],[Rate]]</f>
        <v>19.12</v>
      </c>
    </row>
    <row r="42" spans="1:15" x14ac:dyDescent="0.25">
      <c r="A42" s="5" t="s">
        <v>779</v>
      </c>
      <c r="B42" s="5" t="s">
        <v>851</v>
      </c>
      <c r="C42" s="5" t="s">
        <v>62</v>
      </c>
      <c r="D42" s="5" t="s">
        <v>852</v>
      </c>
      <c r="E42" s="7">
        <v>45505</v>
      </c>
      <c r="F42" s="7">
        <v>46174</v>
      </c>
      <c r="G42" s="6">
        <v>781.2</v>
      </c>
      <c r="H42" s="5">
        <v>0.17499999999999999</v>
      </c>
      <c r="I42" s="6">
        <v>11.39</v>
      </c>
      <c r="J42" s="5" t="s">
        <v>112</v>
      </c>
      <c r="K42" s="5" t="s">
        <v>1393</v>
      </c>
      <c r="L42" s="8">
        <v>15278437</v>
      </c>
      <c r="M42" s="5" t="s">
        <v>1389</v>
      </c>
      <c r="N42" s="6">
        <f>Renewals6[[#This Row],[Earnings]]/Renewals6[[#This Row],[Rate]]</f>
        <v>65.085714285714289</v>
      </c>
      <c r="O42" s="6">
        <f>Renewals6[[#This Row],[Column5]]*Renewals6[[#This Row],[Rate]]</f>
        <v>11.39</v>
      </c>
    </row>
    <row r="43" spans="1:15" x14ac:dyDescent="0.25">
      <c r="A43" s="5" t="s">
        <v>30</v>
      </c>
      <c r="B43" s="5" t="s">
        <v>853</v>
      </c>
      <c r="C43" s="5" t="s">
        <v>62</v>
      </c>
      <c r="D43" s="5" t="s">
        <v>854</v>
      </c>
      <c r="E43" s="7">
        <v>45505</v>
      </c>
      <c r="F43" s="7">
        <v>46174</v>
      </c>
      <c r="G43" s="6">
        <v>1664.4</v>
      </c>
      <c r="H43" s="5">
        <v>0.17499999999999999</v>
      </c>
      <c r="I43" s="6">
        <v>24.27</v>
      </c>
      <c r="J43" s="5" t="s">
        <v>34</v>
      </c>
      <c r="K43" s="5" t="s">
        <v>1393</v>
      </c>
      <c r="L43" s="8">
        <v>19481808</v>
      </c>
      <c r="M43" s="5" t="s">
        <v>1389</v>
      </c>
      <c r="N43" s="6">
        <f>Renewals6[[#This Row],[Earnings]]/Renewals6[[#This Row],[Rate]]</f>
        <v>138.68571428571428</v>
      </c>
      <c r="O43" s="6">
        <f>Renewals6[[#This Row],[Column5]]*Renewals6[[#This Row],[Rate]]</f>
        <v>24.27</v>
      </c>
    </row>
    <row r="44" spans="1:15" x14ac:dyDescent="0.25">
      <c r="A44" s="5" t="s">
        <v>100</v>
      </c>
      <c r="B44" s="5" t="s">
        <v>855</v>
      </c>
      <c r="C44" s="5" t="s">
        <v>39</v>
      </c>
      <c r="D44" s="5" t="s">
        <v>856</v>
      </c>
      <c r="E44" s="7">
        <v>45536</v>
      </c>
      <c r="F44" s="7">
        <v>46174</v>
      </c>
      <c r="G44" s="6">
        <v>588</v>
      </c>
      <c r="H44" s="5">
        <v>0.17499999999999999</v>
      </c>
      <c r="I44" s="6">
        <v>8.57</v>
      </c>
      <c r="J44" s="5" t="s">
        <v>34</v>
      </c>
      <c r="K44" s="5" t="s">
        <v>1393</v>
      </c>
      <c r="L44" s="8">
        <v>8244481</v>
      </c>
      <c r="M44" s="5" t="s">
        <v>1389</v>
      </c>
      <c r="N44" s="6">
        <f>Renewals6[[#This Row],[Earnings]]/Renewals6[[#This Row],[Rate]]</f>
        <v>48.971428571428575</v>
      </c>
      <c r="O44" s="6">
        <f>Renewals6[[#This Row],[Column5]]*Renewals6[[#This Row],[Rate]]</f>
        <v>8.57</v>
      </c>
    </row>
    <row r="45" spans="1:15" x14ac:dyDescent="0.25">
      <c r="A45" s="5" t="s">
        <v>220</v>
      </c>
      <c r="B45" s="5" t="s">
        <v>857</v>
      </c>
      <c r="C45" s="5" t="s">
        <v>62</v>
      </c>
      <c r="D45" s="5" t="s">
        <v>858</v>
      </c>
      <c r="E45" s="7">
        <v>45476</v>
      </c>
      <c r="F45" s="7">
        <v>46176</v>
      </c>
      <c r="G45" s="6">
        <v>1664.4</v>
      </c>
      <c r="H45" s="5">
        <v>0.17499999999999999</v>
      </c>
      <c r="I45" s="6">
        <v>24.27</v>
      </c>
      <c r="J45" s="5" t="s">
        <v>34</v>
      </c>
      <c r="K45" s="5" t="s">
        <v>1393</v>
      </c>
      <c r="L45" s="8">
        <v>16633294</v>
      </c>
      <c r="M45" s="5" t="s">
        <v>1389</v>
      </c>
      <c r="N45" s="6">
        <f>Renewals6[[#This Row],[Earnings]]/Renewals6[[#This Row],[Rate]]</f>
        <v>138.68571428571428</v>
      </c>
      <c r="O45" s="6">
        <f>Renewals6[[#This Row],[Column5]]*Renewals6[[#This Row],[Rate]]</f>
        <v>24.27</v>
      </c>
    </row>
    <row r="46" spans="1:15" x14ac:dyDescent="0.25">
      <c r="A46" s="5" t="s">
        <v>60</v>
      </c>
      <c r="B46" s="5" t="s">
        <v>859</v>
      </c>
      <c r="C46" s="5" t="s">
        <v>62</v>
      </c>
      <c r="D46" s="5" t="s">
        <v>860</v>
      </c>
      <c r="E46" s="7">
        <v>45566</v>
      </c>
      <c r="F46" s="7">
        <v>46174</v>
      </c>
      <c r="G46" s="6">
        <v>1530</v>
      </c>
      <c r="H46" s="5">
        <v>0.17499999999999999</v>
      </c>
      <c r="I46" s="6">
        <v>22.31</v>
      </c>
      <c r="J46" s="5" t="s">
        <v>34</v>
      </c>
      <c r="K46" s="5" t="s">
        <v>1393</v>
      </c>
      <c r="L46" s="8">
        <v>2158366</v>
      </c>
      <c r="M46" s="5" t="s">
        <v>1389</v>
      </c>
      <c r="N46" s="6">
        <f>Renewals6[[#This Row],[Earnings]]/Renewals6[[#This Row],[Rate]]</f>
        <v>127.48571428571428</v>
      </c>
      <c r="O46" s="6">
        <f>Renewals6[[#This Row],[Column5]]*Renewals6[[#This Row],[Rate]]</f>
        <v>22.31</v>
      </c>
    </row>
    <row r="47" spans="1:15" x14ac:dyDescent="0.25">
      <c r="A47" s="5" t="s">
        <v>37</v>
      </c>
      <c r="B47" s="5" t="s">
        <v>861</v>
      </c>
      <c r="C47" s="5" t="s">
        <v>162</v>
      </c>
      <c r="D47" s="5" t="s">
        <v>862</v>
      </c>
      <c r="E47" s="7">
        <v>45566</v>
      </c>
      <c r="F47" s="7">
        <v>46204</v>
      </c>
      <c r="G47" s="6">
        <v>892.8</v>
      </c>
      <c r="H47" s="5">
        <v>0.17499999999999999</v>
      </c>
      <c r="I47" s="6">
        <v>13.02</v>
      </c>
      <c r="J47" s="5" t="s">
        <v>34</v>
      </c>
      <c r="K47" s="5" t="s">
        <v>1393</v>
      </c>
      <c r="L47" s="8">
        <v>7146581</v>
      </c>
      <c r="M47" s="5" t="s">
        <v>1389</v>
      </c>
      <c r="N47" s="6">
        <f>Renewals6[[#This Row],[Earnings]]/Renewals6[[#This Row],[Rate]]</f>
        <v>74.400000000000006</v>
      </c>
      <c r="O47" s="6">
        <f>Renewals6[[#This Row],[Column5]]*Renewals6[[#This Row],[Rate]]</f>
        <v>13.02</v>
      </c>
    </row>
    <row r="48" spans="1:15" x14ac:dyDescent="0.25">
      <c r="A48" s="5" t="s">
        <v>220</v>
      </c>
      <c r="B48" s="5" t="s">
        <v>863</v>
      </c>
      <c r="C48" s="5" t="s">
        <v>62</v>
      </c>
      <c r="D48" s="5" t="s">
        <v>864</v>
      </c>
      <c r="E48" s="7">
        <v>45505</v>
      </c>
      <c r="F48" s="7">
        <v>46174</v>
      </c>
      <c r="G48" s="6">
        <v>1664.4</v>
      </c>
      <c r="H48" s="5">
        <v>0.17499999999999999</v>
      </c>
      <c r="I48" s="6">
        <v>24.27</v>
      </c>
      <c r="J48" s="5" t="s">
        <v>34</v>
      </c>
      <c r="K48" s="5" t="s">
        <v>1393</v>
      </c>
      <c r="L48" s="8">
        <v>16633294</v>
      </c>
      <c r="M48" s="5" t="s">
        <v>1389</v>
      </c>
      <c r="N48" s="6">
        <f>Renewals6[[#This Row],[Earnings]]/Renewals6[[#This Row],[Rate]]</f>
        <v>138.68571428571428</v>
      </c>
      <c r="O48" s="6">
        <f>Renewals6[[#This Row],[Column5]]*Renewals6[[#This Row],[Rate]]</f>
        <v>24.27</v>
      </c>
    </row>
    <row r="49" spans="1:15" x14ac:dyDescent="0.25">
      <c r="A49" s="5" t="s">
        <v>228</v>
      </c>
      <c r="B49" s="5" t="s">
        <v>865</v>
      </c>
      <c r="C49" s="5" t="s">
        <v>62</v>
      </c>
      <c r="D49" s="5" t="s">
        <v>866</v>
      </c>
      <c r="E49" s="7">
        <v>45566</v>
      </c>
      <c r="F49" s="7">
        <v>46174</v>
      </c>
      <c r="G49" s="6">
        <v>352.8</v>
      </c>
      <c r="H49" s="5">
        <v>0.17499999999999999</v>
      </c>
      <c r="I49" s="6">
        <v>5.14</v>
      </c>
      <c r="J49" s="5" t="s">
        <v>34</v>
      </c>
      <c r="K49" s="5" t="s">
        <v>1393</v>
      </c>
      <c r="L49" s="8">
        <v>8814784</v>
      </c>
      <c r="M49" s="5" t="s">
        <v>1389</v>
      </c>
      <c r="N49" s="6">
        <f>Renewals6[[#This Row],[Earnings]]/Renewals6[[#This Row],[Rate]]</f>
        <v>29.37142857142857</v>
      </c>
      <c r="O49" s="6">
        <f>Renewals6[[#This Row],[Column5]]*Renewals6[[#This Row],[Rate]]</f>
        <v>5.14</v>
      </c>
    </row>
    <row r="50" spans="1:15" x14ac:dyDescent="0.25">
      <c r="A50" s="5" t="s">
        <v>868</v>
      </c>
      <c r="B50" s="5" t="s">
        <v>869</v>
      </c>
      <c r="C50" s="5" t="s">
        <v>110</v>
      </c>
      <c r="D50" s="5" t="s">
        <v>870</v>
      </c>
      <c r="E50" s="7">
        <v>45486</v>
      </c>
      <c r="F50" s="7">
        <v>46186</v>
      </c>
      <c r="G50" s="6">
        <v>388.37</v>
      </c>
      <c r="H50" s="5">
        <v>0.17499999999999999</v>
      </c>
      <c r="I50" s="6">
        <v>5.66</v>
      </c>
      <c r="J50" s="5" t="s">
        <v>47</v>
      </c>
      <c r="K50" s="5" t="s">
        <v>1393</v>
      </c>
      <c r="L50" s="8">
        <v>19645587</v>
      </c>
      <c r="M50" s="5" t="s">
        <v>1389</v>
      </c>
      <c r="N50" s="6">
        <f>Renewals6[[#This Row],[Earnings]]/Renewals6[[#This Row],[Rate]]</f>
        <v>32.342857142857149</v>
      </c>
      <c r="O50" s="6">
        <f>Renewals6[[#This Row],[Column5]]*Renewals6[[#This Row],[Rate]]</f>
        <v>5.660000000000001</v>
      </c>
    </row>
    <row r="51" spans="1:15" x14ac:dyDescent="0.25">
      <c r="A51" s="5" t="s">
        <v>37</v>
      </c>
      <c r="B51" s="5" t="s">
        <v>871</v>
      </c>
      <c r="C51" s="5" t="s">
        <v>39</v>
      </c>
      <c r="D51" s="5" t="s">
        <v>872</v>
      </c>
      <c r="E51" s="7">
        <v>45505</v>
      </c>
      <c r="F51" s="7">
        <v>46174</v>
      </c>
      <c r="G51" s="6">
        <v>996</v>
      </c>
      <c r="H51" s="5">
        <v>0.17499999999999999</v>
      </c>
      <c r="I51" s="6">
        <v>14.52</v>
      </c>
      <c r="J51" s="5" t="s">
        <v>34</v>
      </c>
      <c r="K51" s="5" t="s">
        <v>1393</v>
      </c>
      <c r="L51" s="8">
        <v>7146581</v>
      </c>
      <c r="M51" s="5" t="s">
        <v>1389</v>
      </c>
      <c r="N51" s="6">
        <f>Renewals6[[#This Row],[Earnings]]/Renewals6[[#This Row],[Rate]]</f>
        <v>82.971428571428575</v>
      </c>
      <c r="O51" s="6">
        <f>Renewals6[[#This Row],[Column5]]*Renewals6[[#This Row],[Rate]]</f>
        <v>14.52</v>
      </c>
    </row>
    <row r="52" spans="1:15" x14ac:dyDescent="0.25">
      <c r="A52" s="5" t="s">
        <v>874</v>
      </c>
      <c r="B52" s="5" t="s">
        <v>875</v>
      </c>
      <c r="C52" s="5" t="s">
        <v>162</v>
      </c>
      <c r="D52" s="5" t="s">
        <v>876</v>
      </c>
      <c r="E52" s="7">
        <v>45505</v>
      </c>
      <c r="F52" s="7">
        <v>46174</v>
      </c>
      <c r="G52" s="6">
        <v>706.42</v>
      </c>
      <c r="H52" s="5">
        <v>0.125</v>
      </c>
      <c r="I52" s="6">
        <v>7.36</v>
      </c>
      <c r="J52" s="5" t="s">
        <v>329</v>
      </c>
      <c r="K52" s="5" t="s">
        <v>1394</v>
      </c>
      <c r="L52" s="8">
        <v>9079571</v>
      </c>
      <c r="M52" s="5" t="s">
        <v>1389</v>
      </c>
      <c r="N52" s="6">
        <f>Renewals6[[#This Row],[Earnings]]/Renewals6[[#This Row],[Rate]]</f>
        <v>58.88</v>
      </c>
      <c r="O52" s="6">
        <f>Renewals6[[#This Row],[Column5]]*Renewals6[[#This Row],[Rate]]</f>
        <v>7.36</v>
      </c>
    </row>
    <row r="53" spans="1:15" x14ac:dyDescent="0.25">
      <c r="A53" s="5" t="s">
        <v>220</v>
      </c>
      <c r="B53" s="5" t="s">
        <v>877</v>
      </c>
      <c r="C53" s="5" t="s">
        <v>62</v>
      </c>
      <c r="D53" s="5" t="s">
        <v>878</v>
      </c>
      <c r="E53" s="7">
        <v>45505</v>
      </c>
      <c r="F53" s="7">
        <v>46174</v>
      </c>
      <c r="G53" s="6">
        <v>1723.2</v>
      </c>
      <c r="H53" s="5">
        <v>0.17499999999999999</v>
      </c>
      <c r="I53" s="6">
        <v>25.13</v>
      </c>
      <c r="J53" s="5" t="s">
        <v>34</v>
      </c>
      <c r="K53" s="5" t="s">
        <v>1393</v>
      </c>
      <c r="L53" s="8">
        <v>16633294</v>
      </c>
      <c r="M53" s="5" t="s">
        <v>1389</v>
      </c>
      <c r="N53" s="6">
        <f>Renewals6[[#This Row],[Earnings]]/Renewals6[[#This Row],[Rate]]</f>
        <v>143.6</v>
      </c>
      <c r="O53" s="6">
        <f>Renewals6[[#This Row],[Column5]]*Renewals6[[#This Row],[Rate]]</f>
        <v>25.13</v>
      </c>
    </row>
    <row r="54" spans="1:15" x14ac:dyDescent="0.25">
      <c r="A54" s="5" t="s">
        <v>220</v>
      </c>
      <c r="B54" s="5" t="s">
        <v>879</v>
      </c>
      <c r="C54" s="5" t="s">
        <v>110</v>
      </c>
      <c r="D54" s="5" t="s">
        <v>880</v>
      </c>
      <c r="E54" s="7">
        <v>45505</v>
      </c>
      <c r="F54" s="7">
        <v>46174</v>
      </c>
      <c r="G54" s="6">
        <v>996</v>
      </c>
      <c r="H54" s="5">
        <v>0.17499999999999999</v>
      </c>
      <c r="I54" s="6">
        <v>14.52</v>
      </c>
      <c r="J54" s="5" t="s">
        <v>34</v>
      </c>
      <c r="K54" s="5" t="s">
        <v>1393</v>
      </c>
      <c r="L54" s="8">
        <v>16633294</v>
      </c>
      <c r="M54" s="5" t="s">
        <v>1389</v>
      </c>
      <c r="N54" s="6">
        <f>Renewals6[[#This Row],[Earnings]]/Renewals6[[#This Row],[Rate]]</f>
        <v>82.971428571428575</v>
      </c>
      <c r="O54" s="6">
        <f>Renewals6[[#This Row],[Column5]]*Renewals6[[#This Row],[Rate]]</f>
        <v>14.52</v>
      </c>
    </row>
    <row r="55" spans="1:15" x14ac:dyDescent="0.25">
      <c r="A55" s="5" t="s">
        <v>108</v>
      </c>
      <c r="B55" s="5" t="s">
        <v>881</v>
      </c>
      <c r="C55" s="5" t="s">
        <v>882</v>
      </c>
      <c r="D55" s="5" t="s">
        <v>883</v>
      </c>
      <c r="E55" s="7">
        <v>45506</v>
      </c>
      <c r="F55" s="7">
        <v>46175</v>
      </c>
      <c r="G55" s="6">
        <v>896.15</v>
      </c>
      <c r="H55" s="5">
        <v>0.17499999999999999</v>
      </c>
      <c r="I55" s="6">
        <v>13.07</v>
      </c>
      <c r="J55" s="5" t="s">
        <v>112</v>
      </c>
      <c r="K55" s="5" t="s">
        <v>1393</v>
      </c>
      <c r="L55" s="8" t="s">
        <v>1399</v>
      </c>
      <c r="M55" s="5" t="s">
        <v>1389</v>
      </c>
      <c r="N55" s="6">
        <f>Renewals6[[#This Row],[Earnings]]/Renewals6[[#This Row],[Rate]]</f>
        <v>74.685714285714297</v>
      </c>
      <c r="O55" s="6">
        <f>Renewals6[[#This Row],[Column5]]*Renewals6[[#This Row],[Rate]]</f>
        <v>13.070000000000002</v>
      </c>
    </row>
    <row r="56" spans="1:15" x14ac:dyDescent="0.25">
      <c r="A56" s="5" t="s">
        <v>108</v>
      </c>
      <c r="B56" s="5" t="s">
        <v>884</v>
      </c>
      <c r="C56" s="5" t="s">
        <v>882</v>
      </c>
      <c r="D56" s="5" t="s">
        <v>885</v>
      </c>
      <c r="E56" s="7">
        <v>45506</v>
      </c>
      <c r="F56" s="7">
        <v>46175</v>
      </c>
      <c r="G56" s="6">
        <v>1485.39</v>
      </c>
      <c r="H56" s="5">
        <v>0.17499999999999999</v>
      </c>
      <c r="I56" s="6">
        <v>21.66</v>
      </c>
      <c r="J56" s="5" t="s">
        <v>112</v>
      </c>
      <c r="K56" s="5" t="s">
        <v>1393</v>
      </c>
      <c r="L56" s="8" t="s">
        <v>1399</v>
      </c>
      <c r="M56" s="5" t="s">
        <v>1389</v>
      </c>
      <c r="N56" s="6">
        <f>Renewals6[[#This Row],[Earnings]]/Renewals6[[#This Row],[Rate]]</f>
        <v>123.77142857142859</v>
      </c>
      <c r="O56" s="6">
        <f>Renewals6[[#This Row],[Column5]]*Renewals6[[#This Row],[Rate]]</f>
        <v>21.66</v>
      </c>
    </row>
    <row r="57" spans="1:15" x14ac:dyDescent="0.25">
      <c r="A57" s="5" t="s">
        <v>37</v>
      </c>
      <c r="B57" s="5" t="s">
        <v>886</v>
      </c>
      <c r="C57" s="5" t="s">
        <v>62</v>
      </c>
      <c r="D57" s="5" t="s">
        <v>887</v>
      </c>
      <c r="E57" s="7">
        <v>45536</v>
      </c>
      <c r="F57" s="7">
        <v>46174</v>
      </c>
      <c r="G57" s="6">
        <v>973.2</v>
      </c>
      <c r="H57" s="5">
        <v>0.17499999999999999</v>
      </c>
      <c r="I57" s="6">
        <v>14.19</v>
      </c>
      <c r="J57" s="5" t="s">
        <v>34</v>
      </c>
      <c r="K57" s="5" t="s">
        <v>1393</v>
      </c>
      <c r="L57" s="8">
        <v>7146581</v>
      </c>
      <c r="M57" s="5" t="s">
        <v>1389</v>
      </c>
      <c r="N57" s="6">
        <f>Renewals6[[#This Row],[Earnings]]/Renewals6[[#This Row],[Rate]]</f>
        <v>81.085714285714289</v>
      </c>
      <c r="O57" s="6">
        <f>Renewals6[[#This Row],[Column5]]*Renewals6[[#This Row],[Rate]]</f>
        <v>14.19</v>
      </c>
    </row>
    <row r="58" spans="1:15" x14ac:dyDescent="0.25">
      <c r="A58" s="5" t="s">
        <v>83</v>
      </c>
      <c r="B58" s="5" t="s">
        <v>888</v>
      </c>
      <c r="C58" s="5" t="s">
        <v>110</v>
      </c>
      <c r="D58" s="5" t="s">
        <v>889</v>
      </c>
      <c r="E58" s="7">
        <v>45519</v>
      </c>
      <c r="F58" s="7">
        <v>46188</v>
      </c>
      <c r="G58" s="6">
        <v>961.2</v>
      </c>
      <c r="H58" s="5">
        <v>0.17499999999999999</v>
      </c>
      <c r="I58" s="6">
        <v>14.02</v>
      </c>
      <c r="J58" s="5" t="s">
        <v>34</v>
      </c>
      <c r="K58" s="5" t="s">
        <v>1393</v>
      </c>
      <c r="L58" s="8">
        <v>8325282</v>
      </c>
      <c r="M58" s="5" t="s">
        <v>1389</v>
      </c>
      <c r="N58" s="6">
        <f>Renewals6[[#This Row],[Earnings]]/Renewals6[[#This Row],[Rate]]</f>
        <v>80.114285714285714</v>
      </c>
      <c r="O58" s="6">
        <f>Renewals6[[#This Row],[Column5]]*Renewals6[[#This Row],[Rate]]</f>
        <v>14.02</v>
      </c>
    </row>
    <row r="59" spans="1:15" x14ac:dyDescent="0.25">
      <c r="A59" s="5" t="s">
        <v>37</v>
      </c>
      <c r="B59" s="5" t="s">
        <v>890</v>
      </c>
      <c r="C59" s="5" t="s">
        <v>62</v>
      </c>
      <c r="D59" s="5" t="s">
        <v>891</v>
      </c>
      <c r="E59" s="7">
        <v>45536</v>
      </c>
      <c r="F59" s="7">
        <v>46204</v>
      </c>
      <c r="G59" s="6">
        <v>914.4</v>
      </c>
      <c r="H59" s="5">
        <v>0.17499999999999999</v>
      </c>
      <c r="I59" s="6">
        <v>13.34</v>
      </c>
      <c r="J59" s="5" t="s">
        <v>34</v>
      </c>
      <c r="K59" s="5" t="s">
        <v>1393</v>
      </c>
      <c r="L59" s="8">
        <v>7146581</v>
      </c>
      <c r="M59" s="5" t="s">
        <v>1389</v>
      </c>
      <c r="N59" s="6">
        <f>Renewals6[[#This Row],[Earnings]]/Renewals6[[#This Row],[Rate]]</f>
        <v>76.228571428571428</v>
      </c>
      <c r="O59" s="6">
        <f>Renewals6[[#This Row],[Column5]]*Renewals6[[#This Row],[Rate]]</f>
        <v>13.34</v>
      </c>
    </row>
    <row r="60" spans="1:15" x14ac:dyDescent="0.25">
      <c r="A60" s="5" t="s">
        <v>37</v>
      </c>
      <c r="B60" s="5" t="s">
        <v>892</v>
      </c>
      <c r="C60" s="5" t="s">
        <v>62</v>
      </c>
      <c r="D60" s="5" t="s">
        <v>893</v>
      </c>
      <c r="E60" s="7">
        <v>45566</v>
      </c>
      <c r="F60" s="7">
        <v>46174</v>
      </c>
      <c r="G60" s="6">
        <v>712.8</v>
      </c>
      <c r="H60" s="5">
        <v>0.17499999999999999</v>
      </c>
      <c r="I60" s="6">
        <v>10.4</v>
      </c>
      <c r="J60" s="5" t="s">
        <v>34</v>
      </c>
      <c r="K60" s="5" t="s">
        <v>1393</v>
      </c>
      <c r="L60" s="8">
        <v>7146581</v>
      </c>
      <c r="M60" s="5" t="s">
        <v>1389</v>
      </c>
      <c r="N60" s="6">
        <f>Renewals6[[#This Row],[Earnings]]/Renewals6[[#This Row],[Rate]]</f>
        <v>59.428571428571438</v>
      </c>
      <c r="O60" s="6">
        <f>Renewals6[[#This Row],[Column5]]*Renewals6[[#This Row],[Rate]]</f>
        <v>10.4</v>
      </c>
    </row>
    <row r="61" spans="1:15" x14ac:dyDescent="0.25">
      <c r="A61" s="5" t="s">
        <v>60</v>
      </c>
      <c r="B61" s="5" t="s">
        <v>894</v>
      </c>
      <c r="C61" s="5" t="s">
        <v>62</v>
      </c>
      <c r="D61" s="5" t="s">
        <v>895</v>
      </c>
      <c r="E61" s="7">
        <v>45566</v>
      </c>
      <c r="F61" s="7">
        <v>46204</v>
      </c>
      <c r="G61" s="6">
        <v>1530</v>
      </c>
      <c r="H61" s="5">
        <v>0.17499999999999999</v>
      </c>
      <c r="I61" s="6">
        <v>22.31</v>
      </c>
      <c r="J61" s="5" t="s">
        <v>34</v>
      </c>
      <c r="K61" s="5" t="s">
        <v>1393</v>
      </c>
      <c r="L61" s="8">
        <v>2158366</v>
      </c>
      <c r="M61" s="5" t="s">
        <v>1389</v>
      </c>
      <c r="N61" s="6">
        <f>Renewals6[[#This Row],[Earnings]]/Renewals6[[#This Row],[Rate]]</f>
        <v>127.48571428571428</v>
      </c>
      <c r="O61" s="6">
        <f>Renewals6[[#This Row],[Column5]]*Renewals6[[#This Row],[Rate]]</f>
        <v>22.31</v>
      </c>
    </row>
    <row r="62" spans="1:15" x14ac:dyDescent="0.25">
      <c r="A62" s="5" t="s">
        <v>94</v>
      </c>
      <c r="B62" s="5" t="s">
        <v>896</v>
      </c>
      <c r="C62" s="5" t="s">
        <v>162</v>
      </c>
      <c r="D62" s="5" t="s">
        <v>897</v>
      </c>
      <c r="E62" s="7">
        <v>45566</v>
      </c>
      <c r="F62" s="7">
        <v>46174</v>
      </c>
      <c r="G62" s="6">
        <v>788.4</v>
      </c>
      <c r="H62" s="5">
        <v>0.17499999999999999</v>
      </c>
      <c r="I62" s="6">
        <v>11.5</v>
      </c>
      <c r="J62" s="5" t="s">
        <v>34</v>
      </c>
      <c r="K62" s="5" t="s">
        <v>1393</v>
      </c>
      <c r="L62" s="8">
        <v>19200754</v>
      </c>
      <c r="M62" s="5" t="s">
        <v>1389</v>
      </c>
      <c r="N62" s="6">
        <f>Renewals6[[#This Row],[Earnings]]/Renewals6[[#This Row],[Rate]]</f>
        <v>65.714285714285722</v>
      </c>
      <c r="O62" s="6">
        <f>Renewals6[[#This Row],[Column5]]*Renewals6[[#This Row],[Rate]]</f>
        <v>11.5</v>
      </c>
    </row>
    <row r="63" spans="1:15" x14ac:dyDescent="0.25">
      <c r="A63" s="5" t="s">
        <v>77</v>
      </c>
      <c r="B63" s="5" t="s">
        <v>898</v>
      </c>
      <c r="C63" s="5" t="s">
        <v>162</v>
      </c>
      <c r="D63" s="5" t="s">
        <v>899</v>
      </c>
      <c r="E63" s="7">
        <v>45531</v>
      </c>
      <c r="F63" s="7">
        <v>46261</v>
      </c>
      <c r="G63" s="6">
        <v>1056.8499999999999</v>
      </c>
      <c r="H63" s="5">
        <v>0.17499999999999999</v>
      </c>
      <c r="I63" s="6">
        <v>46.24</v>
      </c>
      <c r="J63" s="5" t="s">
        <v>47</v>
      </c>
      <c r="K63" s="5" t="s">
        <v>1395</v>
      </c>
      <c r="L63" s="8">
        <v>9213293</v>
      </c>
      <c r="M63" s="5" t="s">
        <v>1389</v>
      </c>
      <c r="N63" s="6">
        <f>Renewals6[[#This Row],[Earnings]]/Renewals6[[#This Row],[Rate]]</f>
        <v>264.22857142857146</v>
      </c>
      <c r="O63" s="6">
        <f>Renewals6[[#This Row],[Column5]]*Renewals6[[#This Row],[Rate]]</f>
        <v>46.24</v>
      </c>
    </row>
    <row r="64" spans="1:15" x14ac:dyDescent="0.25">
      <c r="A64" s="5" t="s">
        <v>77</v>
      </c>
      <c r="B64" s="5" t="s">
        <v>900</v>
      </c>
      <c r="C64" s="5" t="s">
        <v>62</v>
      </c>
      <c r="D64" s="5" t="s">
        <v>901</v>
      </c>
      <c r="E64" s="7">
        <v>45536</v>
      </c>
      <c r="F64" s="7">
        <v>46174</v>
      </c>
      <c r="G64" s="6">
        <v>1220.4000000000001</v>
      </c>
      <c r="H64" s="5">
        <v>0.17499999999999999</v>
      </c>
      <c r="I64" s="6">
        <v>17.8</v>
      </c>
      <c r="J64" s="5" t="s">
        <v>34</v>
      </c>
      <c r="K64" s="5" t="s">
        <v>1393</v>
      </c>
      <c r="L64" s="8">
        <v>9213293</v>
      </c>
      <c r="M64" s="5" t="s">
        <v>1389</v>
      </c>
      <c r="N64" s="6">
        <f>Renewals6[[#This Row],[Earnings]]/Renewals6[[#This Row],[Rate]]</f>
        <v>101.71428571428572</v>
      </c>
      <c r="O64" s="6">
        <f>Renewals6[[#This Row],[Column5]]*Renewals6[[#This Row],[Rate]]</f>
        <v>17.8</v>
      </c>
    </row>
    <row r="65" spans="1:15" x14ac:dyDescent="0.25">
      <c r="A65" s="5" t="s">
        <v>154</v>
      </c>
      <c r="B65" s="5" t="s">
        <v>902</v>
      </c>
      <c r="C65" s="5" t="s">
        <v>62</v>
      </c>
      <c r="D65" s="5" t="s">
        <v>903</v>
      </c>
      <c r="E65" s="7">
        <v>45566</v>
      </c>
      <c r="F65" s="7">
        <v>46204</v>
      </c>
      <c r="G65" s="6">
        <v>1200</v>
      </c>
      <c r="H65" s="5">
        <v>0.17499999999999999</v>
      </c>
      <c r="I65" s="6">
        <v>17.5</v>
      </c>
      <c r="J65" s="5" t="s">
        <v>34</v>
      </c>
      <c r="K65" s="5" t="s">
        <v>1393</v>
      </c>
      <c r="L65" s="8">
        <v>19681796</v>
      </c>
      <c r="M65" s="5" t="s">
        <v>1389</v>
      </c>
      <c r="N65" s="6">
        <f>Renewals6[[#This Row],[Earnings]]/Renewals6[[#This Row],[Rate]]</f>
        <v>100</v>
      </c>
      <c r="O65" s="6">
        <f>Renewals6[[#This Row],[Column5]]*Renewals6[[#This Row],[Rate]]</f>
        <v>17.5</v>
      </c>
    </row>
    <row r="66" spans="1:15" x14ac:dyDescent="0.25">
      <c r="A66" s="5" t="s">
        <v>905</v>
      </c>
      <c r="B66" s="5" t="s">
        <v>906</v>
      </c>
      <c r="C66" s="5" t="s">
        <v>62</v>
      </c>
      <c r="D66" s="5" t="s">
        <v>907</v>
      </c>
      <c r="E66" s="7">
        <v>45566</v>
      </c>
      <c r="F66" s="7">
        <v>46174</v>
      </c>
      <c r="G66" s="6">
        <v>1723.2</v>
      </c>
      <c r="H66" s="5">
        <v>0.17499999999999999</v>
      </c>
      <c r="I66" s="6">
        <v>25.13</v>
      </c>
      <c r="J66" s="5" t="s">
        <v>34</v>
      </c>
      <c r="K66" s="5" t="s">
        <v>1393</v>
      </c>
      <c r="L66" s="8">
        <v>16983460</v>
      </c>
      <c r="M66" s="5" t="s">
        <v>1396</v>
      </c>
      <c r="N66" s="6">
        <f>Renewals6[[#This Row],[Earnings]]/Renewals6[[#This Row],[Rate]]</f>
        <v>143.6</v>
      </c>
      <c r="O66" s="6">
        <f>Renewals6[[#This Row],[Column5]]*Renewals6[[#This Row],[Rate]]</f>
        <v>25.13</v>
      </c>
    </row>
    <row r="67" spans="1:15" x14ac:dyDescent="0.25">
      <c r="A67" s="5" t="s">
        <v>779</v>
      </c>
      <c r="B67" s="5" t="s">
        <v>908</v>
      </c>
      <c r="C67" s="5" t="s">
        <v>62</v>
      </c>
      <c r="D67" s="5" t="s">
        <v>909</v>
      </c>
      <c r="E67" s="7">
        <v>45566</v>
      </c>
      <c r="F67" s="7">
        <v>46174</v>
      </c>
      <c r="G67" s="6">
        <v>822</v>
      </c>
      <c r="H67" s="5">
        <v>0.17499999999999999</v>
      </c>
      <c r="I67" s="6">
        <v>11.99</v>
      </c>
      <c r="J67" s="5" t="s">
        <v>112</v>
      </c>
      <c r="K67" s="5" t="s">
        <v>1393</v>
      </c>
      <c r="L67" s="8">
        <v>15278437</v>
      </c>
      <c r="M67" s="5" t="s">
        <v>1389</v>
      </c>
      <c r="N67" s="6">
        <f>Renewals6[[#This Row],[Earnings]]/Renewals6[[#This Row],[Rate]]</f>
        <v>68.51428571428572</v>
      </c>
      <c r="O67" s="6">
        <f>Renewals6[[#This Row],[Column5]]*Renewals6[[#This Row],[Rate]]</f>
        <v>11.99</v>
      </c>
    </row>
    <row r="68" spans="1:15" x14ac:dyDescent="0.25">
      <c r="A68" s="5" t="s">
        <v>220</v>
      </c>
      <c r="B68" s="5" t="s">
        <v>910</v>
      </c>
      <c r="C68" s="5" t="s">
        <v>62</v>
      </c>
      <c r="D68" s="5" t="s">
        <v>911</v>
      </c>
      <c r="E68" s="7">
        <v>45597</v>
      </c>
      <c r="F68" s="7">
        <v>46174</v>
      </c>
      <c r="G68" s="6">
        <v>1798.8</v>
      </c>
      <c r="H68" s="5">
        <v>0.17499999999999999</v>
      </c>
      <c r="I68" s="6">
        <v>26.23</v>
      </c>
      <c r="J68" s="5" t="s">
        <v>34</v>
      </c>
      <c r="K68" s="5" t="s">
        <v>1393</v>
      </c>
      <c r="L68" s="8">
        <v>16633294</v>
      </c>
      <c r="M68" s="5" t="s">
        <v>1389</v>
      </c>
      <c r="N68" s="6">
        <f>Renewals6[[#This Row],[Earnings]]/Renewals6[[#This Row],[Rate]]</f>
        <v>149.8857142857143</v>
      </c>
      <c r="O68" s="6">
        <f>Renewals6[[#This Row],[Column5]]*Renewals6[[#This Row],[Rate]]</f>
        <v>26.23</v>
      </c>
    </row>
    <row r="69" spans="1:15" x14ac:dyDescent="0.25">
      <c r="A69" s="5" t="s">
        <v>94</v>
      </c>
      <c r="B69" s="5" t="s">
        <v>912</v>
      </c>
      <c r="C69" s="5" t="s">
        <v>62</v>
      </c>
      <c r="D69" s="5" t="s">
        <v>913</v>
      </c>
      <c r="E69" s="7">
        <v>45566</v>
      </c>
      <c r="F69" s="7">
        <v>46204</v>
      </c>
      <c r="G69" s="6">
        <v>504</v>
      </c>
      <c r="H69" s="5">
        <v>0.17499999999999999</v>
      </c>
      <c r="I69" s="6">
        <v>7.35</v>
      </c>
      <c r="J69" s="5" t="s">
        <v>34</v>
      </c>
      <c r="K69" s="5" t="s">
        <v>1393</v>
      </c>
      <c r="L69" s="8">
        <v>19200754</v>
      </c>
      <c r="M69" s="5" t="s">
        <v>1389</v>
      </c>
      <c r="N69" s="6">
        <f>Renewals6[[#This Row],[Earnings]]/Renewals6[[#This Row],[Rate]]</f>
        <v>42</v>
      </c>
      <c r="O69" s="6">
        <f>Renewals6[[#This Row],[Column5]]*Renewals6[[#This Row],[Rate]]</f>
        <v>7.35</v>
      </c>
    </row>
    <row r="70" spans="1:15" x14ac:dyDescent="0.25">
      <c r="A70" s="5" t="s">
        <v>185</v>
      </c>
      <c r="B70" s="5" t="s">
        <v>914</v>
      </c>
      <c r="C70" s="5" t="s">
        <v>62</v>
      </c>
      <c r="D70" s="5" t="s">
        <v>915</v>
      </c>
      <c r="E70" s="7">
        <v>45658</v>
      </c>
      <c r="F70" s="7">
        <v>46174</v>
      </c>
      <c r="G70" s="6">
        <v>525.6</v>
      </c>
      <c r="H70" s="5">
        <v>0.17499999999999999</v>
      </c>
      <c r="I70" s="6">
        <v>7.66</v>
      </c>
      <c r="J70" s="5" t="s">
        <v>34</v>
      </c>
      <c r="K70" s="5" t="s">
        <v>1397</v>
      </c>
      <c r="L70" s="8">
        <v>18828278</v>
      </c>
      <c r="M70" s="5" t="s">
        <v>1389</v>
      </c>
      <c r="N70" s="6">
        <f>Renewals6[[#This Row],[Earnings]]/Renewals6[[#This Row],[Rate]]</f>
        <v>43.771428571428572</v>
      </c>
      <c r="O70" s="6">
        <f>Renewals6[[#This Row],[Column5]]*Renewals6[[#This Row],[Rate]]</f>
        <v>7.6599999999999993</v>
      </c>
    </row>
    <row r="71" spans="1:15" x14ac:dyDescent="0.25">
      <c r="A71" s="5" t="s">
        <v>77</v>
      </c>
      <c r="B71" s="5" t="s">
        <v>916</v>
      </c>
      <c r="C71" s="5" t="s">
        <v>62</v>
      </c>
      <c r="D71" s="5" t="s">
        <v>917</v>
      </c>
      <c r="E71" s="7">
        <v>45576</v>
      </c>
      <c r="F71" s="7">
        <v>46184</v>
      </c>
      <c r="G71" s="6">
        <v>934.8</v>
      </c>
      <c r="H71" s="5">
        <v>0.17499999999999999</v>
      </c>
      <c r="I71" s="6">
        <v>13.63</v>
      </c>
      <c r="J71" s="5" t="s">
        <v>34</v>
      </c>
      <c r="K71" s="5" t="s">
        <v>1393</v>
      </c>
      <c r="L71" s="8">
        <v>9213293</v>
      </c>
      <c r="M71" s="5" t="s">
        <v>1389</v>
      </c>
      <c r="N71" s="6">
        <f>Renewals6[[#This Row],[Earnings]]/Renewals6[[#This Row],[Rate]]</f>
        <v>77.8857142857143</v>
      </c>
      <c r="O71" s="6">
        <f>Renewals6[[#This Row],[Column5]]*Renewals6[[#This Row],[Rate]]</f>
        <v>13.630000000000003</v>
      </c>
    </row>
    <row r="72" spans="1:15" x14ac:dyDescent="0.25">
      <c r="A72" s="5" t="s">
        <v>77</v>
      </c>
      <c r="B72" s="5" t="s">
        <v>918</v>
      </c>
      <c r="C72" s="5" t="s">
        <v>62</v>
      </c>
      <c r="D72" s="5" t="s">
        <v>919</v>
      </c>
      <c r="E72" s="7">
        <v>45597</v>
      </c>
      <c r="F72" s="7">
        <v>46174</v>
      </c>
      <c r="G72" s="6">
        <v>462</v>
      </c>
      <c r="H72" s="5">
        <v>0.17499999999999999</v>
      </c>
      <c r="I72" s="6">
        <v>6.74</v>
      </c>
      <c r="J72" s="5" t="s">
        <v>34</v>
      </c>
      <c r="K72" s="5" t="s">
        <v>1393</v>
      </c>
      <c r="L72" s="8">
        <v>9213293</v>
      </c>
      <c r="M72" s="5" t="s">
        <v>1389</v>
      </c>
      <c r="N72" s="6">
        <f>Renewals6[[#This Row],[Earnings]]/Renewals6[[#This Row],[Rate]]</f>
        <v>38.51428571428572</v>
      </c>
      <c r="O72" s="6">
        <f>Renewals6[[#This Row],[Column5]]*Renewals6[[#This Row],[Rate]]</f>
        <v>6.74</v>
      </c>
    </row>
    <row r="73" spans="1:15" x14ac:dyDescent="0.25">
      <c r="A73" s="5" t="s">
        <v>185</v>
      </c>
      <c r="B73" s="5" t="s">
        <v>920</v>
      </c>
      <c r="C73" s="5" t="s">
        <v>162</v>
      </c>
      <c r="D73" s="5" t="s">
        <v>921</v>
      </c>
      <c r="E73" s="7">
        <v>45658</v>
      </c>
      <c r="F73" s="7">
        <v>46174</v>
      </c>
      <c r="G73" s="6">
        <v>345.6</v>
      </c>
      <c r="H73" s="5">
        <v>0.17499999999999999</v>
      </c>
      <c r="I73" s="6">
        <v>5.04</v>
      </c>
      <c r="J73" s="5" t="s">
        <v>34</v>
      </c>
      <c r="K73" s="5" t="s">
        <v>1397</v>
      </c>
      <c r="L73" s="8">
        <v>18828278</v>
      </c>
      <c r="M73" s="5" t="s">
        <v>1389</v>
      </c>
      <c r="N73" s="6">
        <f>Renewals6[[#This Row],[Earnings]]/Renewals6[[#This Row],[Rate]]</f>
        <v>28.8</v>
      </c>
      <c r="O73" s="6">
        <f>Renewals6[[#This Row],[Column5]]*Renewals6[[#This Row],[Rate]]</f>
        <v>5.04</v>
      </c>
    </row>
    <row r="74" spans="1:15" x14ac:dyDescent="0.25">
      <c r="A74" s="5" t="s">
        <v>185</v>
      </c>
      <c r="B74" s="5" t="s">
        <v>922</v>
      </c>
      <c r="C74" s="5" t="s">
        <v>62</v>
      </c>
      <c r="D74" s="5" t="s">
        <v>923</v>
      </c>
      <c r="E74" s="7">
        <v>45658</v>
      </c>
      <c r="F74" s="7">
        <v>46174</v>
      </c>
      <c r="G74" s="6">
        <v>622.79999999999995</v>
      </c>
      <c r="H74" s="5">
        <v>0.17499999999999999</v>
      </c>
      <c r="I74" s="6">
        <v>9.08</v>
      </c>
      <c r="J74" s="5" t="s">
        <v>34</v>
      </c>
      <c r="K74" s="5" t="s">
        <v>1397</v>
      </c>
      <c r="L74" s="8">
        <v>18828278</v>
      </c>
      <c r="M74" s="5" t="s">
        <v>1389</v>
      </c>
      <c r="N74" s="6">
        <f>Renewals6[[#This Row],[Earnings]]/Renewals6[[#This Row],[Rate]]</f>
        <v>51.885714285714286</v>
      </c>
      <c r="O74" s="6">
        <f>Renewals6[[#This Row],[Column5]]*Renewals6[[#This Row],[Rate]]</f>
        <v>9.08</v>
      </c>
    </row>
    <row r="75" spans="1:15" x14ac:dyDescent="0.25">
      <c r="A75" s="5" t="s">
        <v>185</v>
      </c>
      <c r="B75" s="5" t="s">
        <v>924</v>
      </c>
      <c r="C75" s="5" t="s">
        <v>62</v>
      </c>
      <c r="D75" s="5" t="s">
        <v>925</v>
      </c>
      <c r="E75" s="7">
        <v>45658</v>
      </c>
      <c r="F75" s="7">
        <v>46174</v>
      </c>
      <c r="G75" s="6">
        <v>640.79999999999995</v>
      </c>
      <c r="H75" s="5">
        <v>0.17499999999999999</v>
      </c>
      <c r="I75" s="6">
        <v>9.34</v>
      </c>
      <c r="J75" s="5" t="s">
        <v>34</v>
      </c>
      <c r="K75" s="5" t="s">
        <v>1397</v>
      </c>
      <c r="L75" s="8">
        <v>18828278</v>
      </c>
      <c r="M75" s="5" t="s">
        <v>1389</v>
      </c>
      <c r="N75" s="6">
        <f>Renewals6[[#This Row],[Earnings]]/Renewals6[[#This Row],[Rate]]</f>
        <v>53.371428571428574</v>
      </c>
      <c r="O75" s="6">
        <f>Renewals6[[#This Row],[Column5]]*Renewals6[[#This Row],[Rate]]</f>
        <v>9.34</v>
      </c>
    </row>
    <row r="76" spans="1:15" x14ac:dyDescent="0.25">
      <c r="A76" s="5" t="s">
        <v>77</v>
      </c>
      <c r="B76" s="5" t="s">
        <v>926</v>
      </c>
      <c r="C76" s="5" t="s">
        <v>62</v>
      </c>
      <c r="D76" s="5" t="s">
        <v>927</v>
      </c>
      <c r="E76" s="7">
        <v>45576</v>
      </c>
      <c r="F76" s="7">
        <v>46184</v>
      </c>
      <c r="G76" s="6">
        <v>1362</v>
      </c>
      <c r="H76" s="5">
        <v>0.17499999999999999</v>
      </c>
      <c r="I76" s="6">
        <v>19.86</v>
      </c>
      <c r="J76" s="5" t="s">
        <v>34</v>
      </c>
      <c r="K76" s="5" t="s">
        <v>1393</v>
      </c>
      <c r="L76" s="8">
        <v>9213293</v>
      </c>
      <c r="M76" s="5" t="s">
        <v>1389</v>
      </c>
      <c r="N76" s="6">
        <f>Renewals6[[#This Row],[Earnings]]/Renewals6[[#This Row],[Rate]]</f>
        <v>113.48571428571429</v>
      </c>
      <c r="O76" s="6">
        <f>Renewals6[[#This Row],[Column5]]*Renewals6[[#This Row],[Rate]]</f>
        <v>19.86</v>
      </c>
    </row>
    <row r="77" spans="1:15" x14ac:dyDescent="0.25">
      <c r="A77" s="5" t="s">
        <v>204</v>
      </c>
      <c r="B77" s="5" t="s">
        <v>928</v>
      </c>
      <c r="C77" s="5" t="s">
        <v>110</v>
      </c>
      <c r="D77" s="5" t="s">
        <v>929</v>
      </c>
      <c r="E77" s="7">
        <v>45577</v>
      </c>
      <c r="F77" s="7">
        <v>46185</v>
      </c>
      <c r="G77" s="6">
        <v>924</v>
      </c>
      <c r="H77" s="5">
        <v>0.17499999999999999</v>
      </c>
      <c r="I77" s="6">
        <v>13.48</v>
      </c>
      <c r="J77" s="5" t="s">
        <v>112</v>
      </c>
      <c r="K77" s="5" t="s">
        <v>1393</v>
      </c>
      <c r="L77" s="8">
        <v>17425766</v>
      </c>
      <c r="M77" s="5" t="s">
        <v>1389</v>
      </c>
      <c r="N77" s="6">
        <f>Renewals6[[#This Row],[Earnings]]/Renewals6[[#This Row],[Rate]]</f>
        <v>77.028571428571439</v>
      </c>
      <c r="O77" s="6">
        <f>Renewals6[[#This Row],[Column5]]*Renewals6[[#This Row],[Rate]]</f>
        <v>13.48</v>
      </c>
    </row>
    <row r="78" spans="1:15" x14ac:dyDescent="0.25">
      <c r="A78" s="5" t="s">
        <v>114</v>
      </c>
      <c r="B78" s="5" t="s">
        <v>930</v>
      </c>
      <c r="C78" s="5" t="s">
        <v>62</v>
      </c>
      <c r="D78" s="5" t="s">
        <v>931</v>
      </c>
      <c r="E78" s="7">
        <v>45597</v>
      </c>
      <c r="F78" s="7">
        <v>46174</v>
      </c>
      <c r="G78" s="6">
        <v>692.4</v>
      </c>
      <c r="H78" s="5">
        <v>0.17499999999999999</v>
      </c>
      <c r="I78" s="6">
        <v>10.1</v>
      </c>
      <c r="J78" s="5" t="s">
        <v>34</v>
      </c>
      <c r="K78" s="5" t="s">
        <v>1393</v>
      </c>
      <c r="L78" s="8">
        <v>18754354</v>
      </c>
      <c r="M78" s="5" t="s">
        <v>1389</v>
      </c>
      <c r="N78" s="6">
        <f>Renewals6[[#This Row],[Earnings]]/Renewals6[[#This Row],[Rate]]</f>
        <v>57.714285714285715</v>
      </c>
      <c r="O78" s="6">
        <f>Renewals6[[#This Row],[Column5]]*Renewals6[[#This Row],[Rate]]</f>
        <v>10.1</v>
      </c>
    </row>
    <row r="79" spans="1:15" x14ac:dyDescent="0.25">
      <c r="A79" s="5" t="s">
        <v>220</v>
      </c>
      <c r="B79" s="5" t="s">
        <v>932</v>
      </c>
      <c r="C79" s="5" t="s">
        <v>62</v>
      </c>
      <c r="D79" s="5" t="s">
        <v>933</v>
      </c>
      <c r="E79" s="7">
        <v>45597</v>
      </c>
      <c r="F79" s="7">
        <v>46174</v>
      </c>
      <c r="G79" s="6">
        <v>1916.4</v>
      </c>
      <c r="H79" s="5">
        <v>0.17499999999999999</v>
      </c>
      <c r="I79" s="6">
        <v>27.95</v>
      </c>
      <c r="J79" s="5" t="s">
        <v>934</v>
      </c>
      <c r="K79" s="5" t="s">
        <v>1393</v>
      </c>
      <c r="L79" s="8">
        <v>16633294</v>
      </c>
      <c r="M79" s="5" t="s">
        <v>1389</v>
      </c>
      <c r="N79" s="6">
        <f>Renewals6[[#This Row],[Earnings]]/Renewals6[[#This Row],[Rate]]</f>
        <v>159.71428571428572</v>
      </c>
      <c r="O79" s="6">
        <f>Renewals6[[#This Row],[Column5]]*Renewals6[[#This Row],[Rate]]</f>
        <v>27.95</v>
      </c>
    </row>
    <row r="80" spans="1:15" x14ac:dyDescent="0.25">
      <c r="A80" s="5" t="s">
        <v>204</v>
      </c>
      <c r="B80" s="5" t="s">
        <v>935</v>
      </c>
      <c r="C80" s="5" t="s">
        <v>256</v>
      </c>
      <c r="D80" s="5" t="s">
        <v>936</v>
      </c>
      <c r="E80" s="7">
        <v>45597</v>
      </c>
      <c r="F80" s="7">
        <v>46174</v>
      </c>
      <c r="G80" s="6">
        <v>1166.22</v>
      </c>
      <c r="H80" s="5">
        <v>0.17499999999999999</v>
      </c>
      <c r="I80" s="6">
        <v>17.010000000000002</v>
      </c>
      <c r="J80" s="5" t="s">
        <v>112</v>
      </c>
      <c r="K80" s="5" t="s">
        <v>1393</v>
      </c>
      <c r="L80" s="8">
        <v>17425766</v>
      </c>
      <c r="M80" s="5" t="s">
        <v>1389</v>
      </c>
      <c r="N80" s="6">
        <f>Renewals6[[#This Row],[Earnings]]/Renewals6[[#This Row],[Rate]]</f>
        <v>97.200000000000017</v>
      </c>
      <c r="O80" s="6">
        <f>Renewals6[[#This Row],[Column5]]*Renewals6[[#This Row],[Rate]]</f>
        <v>17.010000000000002</v>
      </c>
    </row>
    <row r="81" spans="1:15" x14ac:dyDescent="0.25">
      <c r="A81" s="5" t="s">
        <v>938</v>
      </c>
      <c r="B81" s="5" t="s">
        <v>939</v>
      </c>
      <c r="C81" s="5" t="s">
        <v>162</v>
      </c>
      <c r="D81" s="5" t="s">
        <v>940</v>
      </c>
      <c r="E81" s="7">
        <v>45597</v>
      </c>
      <c r="F81" s="7">
        <v>46174</v>
      </c>
      <c r="G81" s="6">
        <v>1345.2</v>
      </c>
      <c r="H81" s="5">
        <v>0.17499999999999999</v>
      </c>
      <c r="I81" s="6">
        <v>19.62</v>
      </c>
      <c r="J81" s="5" t="s">
        <v>47</v>
      </c>
      <c r="K81" s="5" t="s">
        <v>1393</v>
      </c>
      <c r="L81" s="8">
        <v>16683808</v>
      </c>
      <c r="M81" s="5" t="s">
        <v>1389</v>
      </c>
      <c r="N81" s="6">
        <f>Renewals6[[#This Row],[Earnings]]/Renewals6[[#This Row],[Rate]]</f>
        <v>112.11428571428573</v>
      </c>
      <c r="O81" s="6">
        <f>Renewals6[[#This Row],[Column5]]*Renewals6[[#This Row],[Rate]]</f>
        <v>19.62</v>
      </c>
    </row>
    <row r="82" spans="1:15" x14ac:dyDescent="0.25">
      <c r="A82" s="5" t="s">
        <v>77</v>
      </c>
      <c r="B82" s="5" t="s">
        <v>941</v>
      </c>
      <c r="C82" s="5" t="s">
        <v>62</v>
      </c>
      <c r="D82" s="5" t="s">
        <v>942</v>
      </c>
      <c r="E82" s="7">
        <v>45658</v>
      </c>
      <c r="F82" s="7">
        <v>46174</v>
      </c>
      <c r="G82" s="6">
        <v>720</v>
      </c>
      <c r="H82" s="5">
        <v>0.17499999999999999</v>
      </c>
      <c r="I82" s="6">
        <v>10.5</v>
      </c>
      <c r="J82" s="5" t="s">
        <v>34</v>
      </c>
      <c r="K82" s="5" t="s">
        <v>1397</v>
      </c>
      <c r="L82" s="8">
        <v>9213293</v>
      </c>
      <c r="M82" s="5" t="s">
        <v>1389</v>
      </c>
      <c r="N82" s="6">
        <f>Renewals6[[#This Row],[Earnings]]/Renewals6[[#This Row],[Rate]]</f>
        <v>60.000000000000007</v>
      </c>
      <c r="O82" s="6">
        <f>Renewals6[[#This Row],[Column5]]*Renewals6[[#This Row],[Rate]]</f>
        <v>10.5</v>
      </c>
    </row>
    <row r="83" spans="1:15" x14ac:dyDescent="0.25">
      <c r="A83" s="5" t="s">
        <v>228</v>
      </c>
      <c r="B83" s="5" t="s">
        <v>943</v>
      </c>
      <c r="C83" s="5" t="s">
        <v>62</v>
      </c>
      <c r="D83" s="5" t="s">
        <v>944</v>
      </c>
      <c r="E83" s="7">
        <v>45658</v>
      </c>
      <c r="F83" s="7">
        <v>46174</v>
      </c>
      <c r="G83" s="6">
        <v>672</v>
      </c>
      <c r="H83" s="5">
        <v>0.17499999999999999</v>
      </c>
      <c r="I83" s="6">
        <v>9.8000000000000007</v>
      </c>
      <c r="J83" s="5" t="s">
        <v>34</v>
      </c>
      <c r="K83" s="5" t="s">
        <v>1397</v>
      </c>
      <c r="L83" s="8">
        <v>8814784</v>
      </c>
      <c r="M83" s="5" t="s">
        <v>1389</v>
      </c>
      <c r="N83" s="6">
        <f>Renewals6[[#This Row],[Earnings]]/Renewals6[[#This Row],[Rate]]</f>
        <v>56.000000000000007</v>
      </c>
      <c r="O83" s="6">
        <f>Renewals6[[#This Row],[Column5]]*Renewals6[[#This Row],[Rate]]</f>
        <v>9.8000000000000007</v>
      </c>
    </row>
    <row r="84" spans="1:15" x14ac:dyDescent="0.25">
      <c r="A84" s="5" t="s">
        <v>228</v>
      </c>
      <c r="B84" s="5" t="s">
        <v>945</v>
      </c>
      <c r="C84" s="5" t="s">
        <v>62</v>
      </c>
      <c r="D84" s="5" t="s">
        <v>946</v>
      </c>
      <c r="E84" s="7">
        <v>45597</v>
      </c>
      <c r="F84" s="7">
        <v>46174</v>
      </c>
      <c r="G84" s="6">
        <v>499.2</v>
      </c>
      <c r="H84" s="5">
        <v>0.17499999999999999</v>
      </c>
      <c r="I84" s="6">
        <v>7.28</v>
      </c>
      <c r="J84" s="5" t="s">
        <v>34</v>
      </c>
      <c r="K84" s="5" t="s">
        <v>1393</v>
      </c>
      <c r="L84" s="8">
        <v>8814784</v>
      </c>
      <c r="M84" s="5" t="s">
        <v>1389</v>
      </c>
      <c r="N84" s="6">
        <f>Renewals6[[#This Row],[Earnings]]/Renewals6[[#This Row],[Rate]]</f>
        <v>41.6</v>
      </c>
      <c r="O84" s="6">
        <f>Renewals6[[#This Row],[Column5]]*Renewals6[[#This Row],[Rate]]</f>
        <v>7.2799999999999994</v>
      </c>
    </row>
    <row r="85" spans="1:15" x14ac:dyDescent="0.25">
      <c r="A85" s="5" t="s">
        <v>868</v>
      </c>
      <c r="B85" s="5" t="s">
        <v>947</v>
      </c>
      <c r="C85" s="5" t="s">
        <v>62</v>
      </c>
      <c r="D85" s="5" t="s">
        <v>948</v>
      </c>
      <c r="E85" s="7">
        <v>45597</v>
      </c>
      <c r="F85" s="7">
        <v>46204</v>
      </c>
      <c r="G85" s="6">
        <v>544.79999999999995</v>
      </c>
      <c r="H85" s="5">
        <v>0.17499999999999999</v>
      </c>
      <c r="I85" s="6">
        <v>7.94</v>
      </c>
      <c r="J85" s="5" t="s">
        <v>34</v>
      </c>
      <c r="K85" s="5" t="s">
        <v>1393</v>
      </c>
      <c r="L85" s="8">
        <v>19645587</v>
      </c>
      <c r="M85" s="5" t="s">
        <v>1389</v>
      </c>
      <c r="N85" s="6">
        <f>Renewals6[[#This Row],[Earnings]]/Renewals6[[#This Row],[Rate]]</f>
        <v>45.371428571428574</v>
      </c>
      <c r="O85" s="6">
        <f>Renewals6[[#This Row],[Column5]]*Renewals6[[#This Row],[Rate]]</f>
        <v>7.9399999999999995</v>
      </c>
    </row>
    <row r="86" spans="1:15" x14ac:dyDescent="0.25">
      <c r="A86" s="5" t="s">
        <v>77</v>
      </c>
      <c r="B86" s="5" t="s">
        <v>949</v>
      </c>
      <c r="C86" s="5" t="s">
        <v>162</v>
      </c>
      <c r="D86" s="5" t="s">
        <v>950</v>
      </c>
      <c r="E86" s="7">
        <v>45688</v>
      </c>
      <c r="F86" s="7">
        <v>46173</v>
      </c>
      <c r="G86" s="6">
        <v>1132.8</v>
      </c>
      <c r="H86" s="5">
        <v>0.17499999999999999</v>
      </c>
      <c r="I86" s="6">
        <v>16.52</v>
      </c>
      <c r="J86" s="5" t="s">
        <v>951</v>
      </c>
      <c r="K86" s="5" t="s">
        <v>1397</v>
      </c>
      <c r="L86" s="8">
        <v>9213293</v>
      </c>
      <c r="M86" s="5" t="s">
        <v>1389</v>
      </c>
      <c r="N86" s="6">
        <f>Renewals6[[#This Row],[Earnings]]/Renewals6[[#This Row],[Rate]]</f>
        <v>94.4</v>
      </c>
      <c r="O86" s="6">
        <f>Renewals6[[#This Row],[Column5]]*Renewals6[[#This Row],[Rate]]</f>
        <v>16.52</v>
      </c>
    </row>
    <row r="87" spans="1:15" x14ac:dyDescent="0.25">
      <c r="A87" s="5" t="s">
        <v>868</v>
      </c>
      <c r="B87" s="5" t="s">
        <v>952</v>
      </c>
      <c r="C87" s="5" t="s">
        <v>162</v>
      </c>
      <c r="D87" s="5" t="s">
        <v>953</v>
      </c>
      <c r="E87" s="7">
        <v>45605</v>
      </c>
      <c r="F87" s="7">
        <v>46212</v>
      </c>
      <c r="G87" s="6">
        <v>815.79</v>
      </c>
      <c r="H87" s="5">
        <v>0.17499999999999999</v>
      </c>
      <c r="I87" s="6">
        <v>11.9</v>
      </c>
      <c r="J87" s="5" t="s">
        <v>47</v>
      </c>
      <c r="K87" s="5" t="s">
        <v>1393</v>
      </c>
      <c r="L87" s="8">
        <v>19645587</v>
      </c>
      <c r="M87" s="5" t="s">
        <v>1389</v>
      </c>
      <c r="N87" s="6">
        <f>Renewals6[[#This Row],[Earnings]]/Renewals6[[#This Row],[Rate]]</f>
        <v>68</v>
      </c>
      <c r="O87" s="6">
        <f>Renewals6[[#This Row],[Column5]]*Renewals6[[#This Row],[Rate]]</f>
        <v>11.899999999999999</v>
      </c>
    </row>
    <row r="88" spans="1:15" x14ac:dyDescent="0.25">
      <c r="A88" s="5" t="s">
        <v>478</v>
      </c>
      <c r="B88" s="5" t="s">
        <v>954</v>
      </c>
      <c r="C88" s="5" t="s">
        <v>62</v>
      </c>
      <c r="D88" s="5" t="s">
        <v>955</v>
      </c>
      <c r="E88" s="7">
        <v>45658</v>
      </c>
      <c r="F88" s="7">
        <v>46174</v>
      </c>
      <c r="G88" s="6">
        <v>1634.94</v>
      </c>
      <c r="H88" s="5">
        <v>0.17499999999999999</v>
      </c>
      <c r="I88" s="6">
        <v>23.84</v>
      </c>
      <c r="J88" s="5" t="s">
        <v>34</v>
      </c>
      <c r="K88" s="5" t="s">
        <v>1397</v>
      </c>
      <c r="L88" s="8">
        <v>19615078</v>
      </c>
      <c r="M88" s="5" t="s">
        <v>1389</v>
      </c>
      <c r="N88" s="6">
        <f>Renewals6[[#This Row],[Earnings]]/Renewals6[[#This Row],[Rate]]</f>
        <v>136.22857142857143</v>
      </c>
      <c r="O88" s="6">
        <f>Renewals6[[#This Row],[Column5]]*Renewals6[[#This Row],[Rate]]</f>
        <v>23.84</v>
      </c>
    </row>
    <row r="89" spans="1:15" x14ac:dyDescent="0.25">
      <c r="A89" s="5" t="s">
        <v>478</v>
      </c>
      <c r="B89" s="5" t="s">
        <v>956</v>
      </c>
      <c r="C89" s="5" t="s">
        <v>62</v>
      </c>
      <c r="D89" s="5" t="s">
        <v>957</v>
      </c>
      <c r="E89" s="7">
        <v>45658</v>
      </c>
      <c r="F89" s="7">
        <v>46174</v>
      </c>
      <c r="G89" s="6">
        <v>1306.8399999999999</v>
      </c>
      <c r="H89" s="5">
        <v>0.17499999999999999</v>
      </c>
      <c r="I89" s="6">
        <v>19.059999999999999</v>
      </c>
      <c r="J89" s="5" t="s">
        <v>34</v>
      </c>
      <c r="K89" s="5" t="s">
        <v>1397</v>
      </c>
      <c r="L89" s="8">
        <v>19615078</v>
      </c>
      <c r="M89" s="5" t="s">
        <v>1389</v>
      </c>
      <c r="N89" s="6">
        <f>Renewals6[[#This Row],[Earnings]]/Renewals6[[#This Row],[Rate]]</f>
        <v>108.91428571428571</v>
      </c>
      <c r="O89" s="6">
        <f>Renewals6[[#This Row],[Column5]]*Renewals6[[#This Row],[Rate]]</f>
        <v>19.059999999999999</v>
      </c>
    </row>
    <row r="90" spans="1:15" x14ac:dyDescent="0.25">
      <c r="A90" s="5" t="s">
        <v>228</v>
      </c>
      <c r="B90" s="5" t="s">
        <v>958</v>
      </c>
      <c r="C90" s="5" t="s">
        <v>162</v>
      </c>
      <c r="D90" s="5" t="s">
        <v>959</v>
      </c>
      <c r="E90" s="7">
        <v>45627</v>
      </c>
      <c r="F90" s="7">
        <v>46174</v>
      </c>
      <c r="G90" s="6">
        <v>588</v>
      </c>
      <c r="H90" s="5">
        <v>0.125</v>
      </c>
      <c r="I90" s="6">
        <v>6.12</v>
      </c>
      <c r="J90" s="5" t="s">
        <v>695</v>
      </c>
      <c r="K90" s="5" t="s">
        <v>1394</v>
      </c>
      <c r="L90" s="8">
        <v>8814784</v>
      </c>
      <c r="M90" s="5" t="s">
        <v>1389</v>
      </c>
      <c r="N90" s="6">
        <f>Renewals6[[#This Row],[Earnings]]/Renewals6[[#This Row],[Rate]]</f>
        <v>48.96</v>
      </c>
      <c r="O90" s="6">
        <f>Renewals6[[#This Row],[Column5]]*Renewals6[[#This Row],[Rate]]</f>
        <v>6.12</v>
      </c>
    </row>
    <row r="91" spans="1:15" x14ac:dyDescent="0.25">
      <c r="A91" s="5" t="s">
        <v>228</v>
      </c>
      <c r="B91" s="5" t="s">
        <v>960</v>
      </c>
      <c r="C91" s="5" t="s">
        <v>162</v>
      </c>
      <c r="D91" s="5" t="s">
        <v>961</v>
      </c>
      <c r="E91" s="7">
        <v>45627</v>
      </c>
      <c r="F91" s="7">
        <v>46174</v>
      </c>
      <c r="G91" s="6">
        <v>612</v>
      </c>
      <c r="H91" s="5">
        <v>0.125</v>
      </c>
      <c r="I91" s="6">
        <v>6.38</v>
      </c>
      <c r="J91" s="5" t="s">
        <v>695</v>
      </c>
      <c r="K91" s="5" t="s">
        <v>1394</v>
      </c>
      <c r="L91" s="8">
        <v>8814784</v>
      </c>
      <c r="M91" s="5" t="s">
        <v>1389</v>
      </c>
      <c r="N91" s="6">
        <f>Renewals6[[#This Row],[Earnings]]/Renewals6[[#This Row],[Rate]]</f>
        <v>51.04</v>
      </c>
      <c r="O91" s="6">
        <f>Renewals6[[#This Row],[Column5]]*Renewals6[[#This Row],[Rate]]</f>
        <v>6.38</v>
      </c>
    </row>
    <row r="92" spans="1:15" x14ac:dyDescent="0.25">
      <c r="A92" s="5" t="s">
        <v>100</v>
      </c>
      <c r="B92" s="5" t="s">
        <v>962</v>
      </c>
      <c r="C92" s="5" t="s">
        <v>62</v>
      </c>
      <c r="D92" s="5" t="s">
        <v>963</v>
      </c>
      <c r="E92" s="7">
        <v>45611</v>
      </c>
      <c r="F92" s="7">
        <v>46188</v>
      </c>
      <c r="G92" s="6">
        <v>410.4</v>
      </c>
      <c r="H92" s="5">
        <v>0.17499999999999999</v>
      </c>
      <c r="I92" s="6">
        <v>5.98</v>
      </c>
      <c r="J92" s="5" t="s">
        <v>34</v>
      </c>
      <c r="K92" s="5" t="s">
        <v>1393</v>
      </c>
      <c r="L92" s="8">
        <v>8244481</v>
      </c>
      <c r="M92" s="5" t="s">
        <v>1389</v>
      </c>
      <c r="N92" s="6">
        <f>Renewals6[[#This Row],[Earnings]]/Renewals6[[#This Row],[Rate]]</f>
        <v>34.171428571428578</v>
      </c>
      <c r="O92" s="6">
        <f>Renewals6[[#This Row],[Column5]]*Renewals6[[#This Row],[Rate]]</f>
        <v>5.98</v>
      </c>
    </row>
    <row r="93" spans="1:15" x14ac:dyDescent="0.25">
      <c r="A93" s="5" t="s">
        <v>228</v>
      </c>
      <c r="B93" s="5" t="s">
        <v>964</v>
      </c>
      <c r="C93" s="5" t="s">
        <v>62</v>
      </c>
      <c r="D93" s="5" t="s">
        <v>965</v>
      </c>
      <c r="E93" s="7">
        <v>45627</v>
      </c>
      <c r="F93" s="7">
        <v>46174</v>
      </c>
      <c r="G93" s="6">
        <v>883.2</v>
      </c>
      <c r="H93" s="5">
        <v>0.17499999999999999</v>
      </c>
      <c r="I93" s="6">
        <v>12.88</v>
      </c>
      <c r="J93" s="5" t="s">
        <v>34</v>
      </c>
      <c r="K93" s="5" t="s">
        <v>1393</v>
      </c>
      <c r="L93" s="8">
        <v>8814784</v>
      </c>
      <c r="M93" s="5" t="s">
        <v>1389</v>
      </c>
      <c r="N93" s="6">
        <f>Renewals6[[#This Row],[Earnings]]/Renewals6[[#This Row],[Rate]]</f>
        <v>73.600000000000009</v>
      </c>
      <c r="O93" s="6">
        <f>Renewals6[[#This Row],[Column5]]*Renewals6[[#This Row],[Rate]]</f>
        <v>12.88</v>
      </c>
    </row>
    <row r="94" spans="1:15" x14ac:dyDescent="0.25">
      <c r="A94" s="5" t="s">
        <v>77</v>
      </c>
      <c r="B94" s="5" t="s">
        <v>966</v>
      </c>
      <c r="C94" s="5" t="s">
        <v>62</v>
      </c>
      <c r="D94" s="5" t="s">
        <v>967</v>
      </c>
      <c r="E94" s="7">
        <v>45612</v>
      </c>
      <c r="F94" s="7">
        <v>46189</v>
      </c>
      <c r="G94" s="6">
        <v>614.4</v>
      </c>
      <c r="H94" s="5">
        <v>0.17499999999999999</v>
      </c>
      <c r="I94" s="6">
        <v>8.9600000000000009</v>
      </c>
      <c r="J94" s="5" t="s">
        <v>34</v>
      </c>
      <c r="K94" s="5" t="s">
        <v>1393</v>
      </c>
      <c r="L94" s="8">
        <v>9213293</v>
      </c>
      <c r="M94" s="5" t="s">
        <v>1389</v>
      </c>
      <c r="N94" s="6">
        <f>Renewals6[[#This Row],[Earnings]]/Renewals6[[#This Row],[Rate]]</f>
        <v>51.20000000000001</v>
      </c>
      <c r="O94" s="6">
        <f>Renewals6[[#This Row],[Column5]]*Renewals6[[#This Row],[Rate]]</f>
        <v>8.9600000000000009</v>
      </c>
    </row>
    <row r="95" spans="1:15" x14ac:dyDescent="0.25">
      <c r="A95" s="5" t="s">
        <v>228</v>
      </c>
      <c r="B95" s="5" t="s">
        <v>968</v>
      </c>
      <c r="C95" s="5" t="s">
        <v>162</v>
      </c>
      <c r="D95" s="5" t="s">
        <v>969</v>
      </c>
      <c r="E95" s="7">
        <v>45658</v>
      </c>
      <c r="F95" s="7">
        <v>46174</v>
      </c>
      <c r="G95" s="6">
        <v>420</v>
      </c>
      <c r="H95" s="5">
        <v>0.17499999999999999</v>
      </c>
      <c r="I95" s="6">
        <v>6.12</v>
      </c>
      <c r="J95" s="5" t="s">
        <v>34</v>
      </c>
      <c r="K95" s="5" t="s">
        <v>1397</v>
      </c>
      <c r="L95" s="8">
        <v>8814784</v>
      </c>
      <c r="M95" s="5" t="s">
        <v>1389</v>
      </c>
      <c r="N95" s="6">
        <f>Renewals6[[#This Row],[Earnings]]/Renewals6[[#This Row],[Rate]]</f>
        <v>34.971428571428575</v>
      </c>
      <c r="O95" s="6">
        <f>Renewals6[[#This Row],[Column5]]*Renewals6[[#This Row],[Rate]]</f>
        <v>6.12</v>
      </c>
    </row>
    <row r="96" spans="1:15" x14ac:dyDescent="0.25">
      <c r="A96" s="5" t="s">
        <v>83</v>
      </c>
      <c r="B96" s="5" t="s">
        <v>970</v>
      </c>
      <c r="C96" s="5" t="s">
        <v>110</v>
      </c>
      <c r="D96" s="5" t="s">
        <v>971</v>
      </c>
      <c r="E96" s="7">
        <v>45614</v>
      </c>
      <c r="F96" s="7">
        <v>46191</v>
      </c>
      <c r="G96" s="6">
        <v>631.20000000000005</v>
      </c>
      <c r="H96" s="5">
        <v>0.17499999999999999</v>
      </c>
      <c r="I96" s="6">
        <v>9.1999999999999993</v>
      </c>
      <c r="J96" s="5" t="s">
        <v>34</v>
      </c>
      <c r="K96" s="5" t="s">
        <v>1393</v>
      </c>
      <c r="L96" s="8">
        <v>8325282</v>
      </c>
      <c r="M96" s="5" t="s">
        <v>1389</v>
      </c>
      <c r="N96" s="6">
        <f>Renewals6[[#This Row],[Earnings]]/Renewals6[[#This Row],[Rate]]</f>
        <v>52.571428571428569</v>
      </c>
      <c r="O96" s="6">
        <f>Renewals6[[#This Row],[Column5]]*Renewals6[[#This Row],[Rate]]</f>
        <v>9.1999999999999993</v>
      </c>
    </row>
    <row r="97" spans="1:15" x14ac:dyDescent="0.25">
      <c r="A97" s="5" t="s">
        <v>94</v>
      </c>
      <c r="B97" s="5" t="s">
        <v>972</v>
      </c>
      <c r="C97" s="5" t="s">
        <v>62</v>
      </c>
      <c r="D97" s="5" t="s">
        <v>973</v>
      </c>
      <c r="E97" s="7">
        <v>45615</v>
      </c>
      <c r="F97" s="7">
        <v>46192</v>
      </c>
      <c r="G97" s="6">
        <v>997.2</v>
      </c>
      <c r="H97" s="5">
        <v>0.17499999999999999</v>
      </c>
      <c r="I97" s="6">
        <v>14.54</v>
      </c>
      <c r="J97" s="5" t="s">
        <v>34</v>
      </c>
      <c r="K97" s="5" t="s">
        <v>1393</v>
      </c>
      <c r="L97" s="8">
        <v>19200754</v>
      </c>
      <c r="M97" s="5" t="s">
        <v>1389</v>
      </c>
      <c r="N97" s="6">
        <f>Renewals6[[#This Row],[Earnings]]/Renewals6[[#This Row],[Rate]]</f>
        <v>83.085714285714289</v>
      </c>
      <c r="O97" s="6">
        <f>Renewals6[[#This Row],[Column5]]*Renewals6[[#This Row],[Rate]]</f>
        <v>14.54</v>
      </c>
    </row>
    <row r="98" spans="1:15" x14ac:dyDescent="0.25">
      <c r="A98" s="5" t="s">
        <v>77</v>
      </c>
      <c r="B98" s="5" t="s">
        <v>974</v>
      </c>
      <c r="C98" s="5" t="s">
        <v>62</v>
      </c>
      <c r="D98" s="5" t="s">
        <v>975</v>
      </c>
      <c r="E98" s="7">
        <v>45627</v>
      </c>
      <c r="F98" s="7">
        <v>46174</v>
      </c>
      <c r="G98" s="6">
        <v>499.2</v>
      </c>
      <c r="H98" s="5">
        <v>0.17499999999999999</v>
      </c>
      <c r="I98" s="6">
        <v>7.28</v>
      </c>
      <c r="J98" s="5" t="s">
        <v>34</v>
      </c>
      <c r="K98" s="5" t="s">
        <v>1393</v>
      </c>
      <c r="L98" s="8">
        <v>9213293</v>
      </c>
      <c r="M98" s="5" t="s">
        <v>1389</v>
      </c>
      <c r="N98" s="6">
        <f>Renewals6[[#This Row],[Earnings]]/Renewals6[[#This Row],[Rate]]</f>
        <v>41.6</v>
      </c>
      <c r="O98" s="6">
        <f>Renewals6[[#This Row],[Column5]]*Renewals6[[#This Row],[Rate]]</f>
        <v>7.2799999999999994</v>
      </c>
    </row>
    <row r="99" spans="1:15" x14ac:dyDescent="0.25">
      <c r="A99" s="5" t="s">
        <v>185</v>
      </c>
      <c r="B99" s="5" t="s">
        <v>976</v>
      </c>
      <c r="C99" s="5" t="s">
        <v>39</v>
      </c>
      <c r="D99" s="5" t="s">
        <v>977</v>
      </c>
      <c r="E99" s="7">
        <v>45658</v>
      </c>
      <c r="F99" s="7">
        <v>46204</v>
      </c>
      <c r="G99" s="6">
        <v>716.4</v>
      </c>
      <c r="H99" s="5">
        <v>0.17499999999999999</v>
      </c>
      <c r="I99" s="6">
        <v>10.45</v>
      </c>
      <c r="J99" s="5" t="s">
        <v>34</v>
      </c>
      <c r="K99" s="5" t="s">
        <v>1393</v>
      </c>
      <c r="L99" s="8">
        <v>18828278</v>
      </c>
      <c r="M99" s="5" t="s">
        <v>1389</v>
      </c>
      <c r="N99" s="6">
        <f>Renewals6[[#This Row],[Earnings]]/Renewals6[[#This Row],[Rate]]</f>
        <v>59.714285714285715</v>
      </c>
      <c r="O99" s="6">
        <f>Renewals6[[#This Row],[Column5]]*Renewals6[[#This Row],[Rate]]</f>
        <v>10.45</v>
      </c>
    </row>
    <row r="100" spans="1:15" x14ac:dyDescent="0.25">
      <c r="A100" s="5" t="s">
        <v>979</v>
      </c>
      <c r="B100" s="5" t="s">
        <v>980</v>
      </c>
      <c r="C100" s="5" t="s">
        <v>39</v>
      </c>
      <c r="D100" s="5" t="s">
        <v>981</v>
      </c>
      <c r="E100" s="7">
        <v>45658</v>
      </c>
      <c r="F100" s="7">
        <v>46204</v>
      </c>
      <c r="G100" s="6">
        <v>580.79999999999995</v>
      </c>
      <c r="H100" s="5">
        <v>0.17499999999999999</v>
      </c>
      <c r="I100" s="6">
        <v>8.4700000000000006</v>
      </c>
      <c r="J100" s="5" t="s">
        <v>34</v>
      </c>
      <c r="K100" s="5" t="s">
        <v>1393</v>
      </c>
      <c r="L100" s="8">
        <v>21104854</v>
      </c>
      <c r="M100" s="5" t="s">
        <v>1389</v>
      </c>
      <c r="N100" s="6">
        <f>Renewals6[[#This Row],[Earnings]]/Renewals6[[#This Row],[Rate]]</f>
        <v>48.400000000000006</v>
      </c>
      <c r="O100" s="6">
        <f>Renewals6[[#This Row],[Column5]]*Renewals6[[#This Row],[Rate]]</f>
        <v>8.4700000000000006</v>
      </c>
    </row>
    <row r="101" spans="1:15" x14ac:dyDescent="0.25">
      <c r="A101" s="5" t="s">
        <v>228</v>
      </c>
      <c r="B101" s="5" t="s">
        <v>982</v>
      </c>
      <c r="C101" s="5" t="s">
        <v>62</v>
      </c>
      <c r="D101" s="5" t="s">
        <v>983</v>
      </c>
      <c r="E101" s="7">
        <v>45627</v>
      </c>
      <c r="F101" s="7">
        <v>46174</v>
      </c>
      <c r="G101" s="6">
        <v>770.4</v>
      </c>
      <c r="H101" s="5">
        <v>0.17499999999999999</v>
      </c>
      <c r="I101" s="6">
        <v>11.24</v>
      </c>
      <c r="J101" s="5" t="s">
        <v>34</v>
      </c>
      <c r="K101" s="5" t="s">
        <v>1393</v>
      </c>
      <c r="L101" s="8">
        <v>8814784</v>
      </c>
      <c r="M101" s="5" t="s">
        <v>1389</v>
      </c>
      <c r="N101" s="6">
        <f>Renewals6[[#This Row],[Earnings]]/Renewals6[[#This Row],[Rate]]</f>
        <v>64.228571428571428</v>
      </c>
      <c r="O101" s="6">
        <f>Renewals6[[#This Row],[Column5]]*Renewals6[[#This Row],[Rate]]</f>
        <v>11.239999999999998</v>
      </c>
    </row>
    <row r="102" spans="1:15" x14ac:dyDescent="0.25">
      <c r="A102" s="5" t="s">
        <v>228</v>
      </c>
      <c r="B102" s="5" t="s">
        <v>984</v>
      </c>
      <c r="C102" s="5" t="s">
        <v>62</v>
      </c>
      <c r="D102" s="5" t="s">
        <v>985</v>
      </c>
      <c r="E102" s="7">
        <v>45627</v>
      </c>
      <c r="F102" s="7">
        <v>46174</v>
      </c>
      <c r="G102" s="6">
        <v>654</v>
      </c>
      <c r="H102" s="5">
        <v>0.17499999999999999</v>
      </c>
      <c r="I102" s="6">
        <v>9.5399999999999991</v>
      </c>
      <c r="J102" s="5" t="s">
        <v>34</v>
      </c>
      <c r="K102" s="5" t="s">
        <v>1393</v>
      </c>
      <c r="L102" s="8">
        <v>8814784</v>
      </c>
      <c r="M102" s="5" t="s">
        <v>1389</v>
      </c>
      <c r="N102" s="6">
        <f>Renewals6[[#This Row],[Earnings]]/Renewals6[[#This Row],[Rate]]</f>
        <v>54.514285714285712</v>
      </c>
      <c r="O102" s="6">
        <f>Renewals6[[#This Row],[Column5]]*Renewals6[[#This Row],[Rate]]</f>
        <v>9.5399999999999991</v>
      </c>
    </row>
    <row r="103" spans="1:15" x14ac:dyDescent="0.25">
      <c r="A103" s="5" t="s">
        <v>44</v>
      </c>
      <c r="B103" s="5" t="s">
        <v>986</v>
      </c>
      <c r="C103" s="5" t="s">
        <v>62</v>
      </c>
      <c r="D103" s="5" t="s">
        <v>987</v>
      </c>
      <c r="E103" s="7">
        <v>45658</v>
      </c>
      <c r="F103" s="7">
        <v>46174</v>
      </c>
      <c r="G103" s="6">
        <v>986.4</v>
      </c>
      <c r="H103" s="5">
        <v>0.17499999999999999</v>
      </c>
      <c r="I103" s="6">
        <v>14.38</v>
      </c>
      <c r="J103" s="5" t="s">
        <v>34</v>
      </c>
      <c r="K103" s="5" t="s">
        <v>1397</v>
      </c>
      <c r="L103" s="8" t="s">
        <v>1400</v>
      </c>
      <c r="M103" s="5" t="s">
        <v>1389</v>
      </c>
      <c r="N103" s="6">
        <f>Renewals6[[#This Row],[Earnings]]/Renewals6[[#This Row],[Rate]]</f>
        <v>82.171428571428578</v>
      </c>
      <c r="O103" s="6">
        <f>Renewals6[[#This Row],[Column5]]*Renewals6[[#This Row],[Rate]]</f>
        <v>14.38</v>
      </c>
    </row>
    <row r="104" spans="1:15" x14ac:dyDescent="0.25">
      <c r="A104" s="5" t="s">
        <v>77</v>
      </c>
      <c r="B104" s="5" t="s">
        <v>988</v>
      </c>
      <c r="C104" s="5" t="s">
        <v>62</v>
      </c>
      <c r="D104" s="5" t="s">
        <v>989</v>
      </c>
      <c r="E104" s="7">
        <v>45639</v>
      </c>
      <c r="F104" s="7">
        <v>46186</v>
      </c>
      <c r="G104" s="6">
        <v>523.20000000000005</v>
      </c>
      <c r="H104" s="5">
        <v>0.17499999999999999</v>
      </c>
      <c r="I104" s="6">
        <v>7.63</v>
      </c>
      <c r="J104" s="5" t="s">
        <v>34</v>
      </c>
      <c r="K104" s="5" t="s">
        <v>1393</v>
      </c>
      <c r="L104" s="8">
        <v>9213293</v>
      </c>
      <c r="M104" s="5" t="s">
        <v>1389</v>
      </c>
      <c r="N104" s="6">
        <f>Renewals6[[#This Row],[Earnings]]/Renewals6[[#This Row],[Rate]]</f>
        <v>43.6</v>
      </c>
      <c r="O104" s="6">
        <f>Renewals6[[#This Row],[Column5]]*Renewals6[[#This Row],[Rate]]</f>
        <v>7.63</v>
      </c>
    </row>
    <row r="105" spans="1:15" x14ac:dyDescent="0.25">
      <c r="A105" s="5" t="s">
        <v>132</v>
      </c>
      <c r="B105" s="5" t="s">
        <v>990</v>
      </c>
      <c r="C105" s="5" t="s">
        <v>62</v>
      </c>
      <c r="D105" s="5" t="s">
        <v>991</v>
      </c>
      <c r="E105" s="7">
        <v>45658</v>
      </c>
      <c r="F105" s="7">
        <v>46204</v>
      </c>
      <c r="G105" s="6">
        <v>1669.2</v>
      </c>
      <c r="H105" s="5">
        <v>0.17499999999999999</v>
      </c>
      <c r="I105" s="6">
        <v>24.34</v>
      </c>
      <c r="J105" s="5" t="s">
        <v>34</v>
      </c>
      <c r="K105" s="5" t="s">
        <v>1393</v>
      </c>
      <c r="L105" s="8">
        <v>16912722</v>
      </c>
      <c r="M105" s="5" t="s">
        <v>1389</v>
      </c>
      <c r="N105" s="6">
        <f>Renewals6[[#This Row],[Earnings]]/Renewals6[[#This Row],[Rate]]</f>
        <v>139.08571428571429</v>
      </c>
      <c r="O105" s="6">
        <f>Renewals6[[#This Row],[Column5]]*Renewals6[[#This Row],[Rate]]</f>
        <v>24.34</v>
      </c>
    </row>
    <row r="106" spans="1:15" x14ac:dyDescent="0.25">
      <c r="A106" s="5" t="s">
        <v>228</v>
      </c>
      <c r="B106" s="5" t="s">
        <v>992</v>
      </c>
      <c r="C106" s="5" t="s">
        <v>62</v>
      </c>
      <c r="D106" s="5" t="s">
        <v>993</v>
      </c>
      <c r="E106" s="7">
        <v>45658</v>
      </c>
      <c r="F106" s="7">
        <v>46174</v>
      </c>
      <c r="G106" s="6">
        <v>1188</v>
      </c>
      <c r="H106" s="5">
        <v>0.17499999999999999</v>
      </c>
      <c r="I106" s="6">
        <v>17.32</v>
      </c>
      <c r="J106" s="5" t="s">
        <v>34</v>
      </c>
      <c r="K106" s="5" t="s">
        <v>1397</v>
      </c>
      <c r="L106" s="8">
        <v>8814784</v>
      </c>
      <c r="M106" s="5" t="s">
        <v>1389</v>
      </c>
      <c r="N106" s="6">
        <f>Renewals6[[#This Row],[Earnings]]/Renewals6[[#This Row],[Rate]]</f>
        <v>98.971428571428575</v>
      </c>
      <c r="O106" s="6">
        <f>Renewals6[[#This Row],[Column5]]*Renewals6[[#This Row],[Rate]]</f>
        <v>17.32</v>
      </c>
    </row>
    <row r="107" spans="1:15" x14ac:dyDescent="0.25">
      <c r="A107" s="5" t="s">
        <v>77</v>
      </c>
      <c r="B107" s="5" t="s">
        <v>994</v>
      </c>
      <c r="C107" s="5" t="s">
        <v>62</v>
      </c>
      <c r="D107" s="5" t="s">
        <v>995</v>
      </c>
      <c r="E107" s="7">
        <v>45658</v>
      </c>
      <c r="F107" s="7">
        <v>46174</v>
      </c>
      <c r="G107" s="6">
        <v>841.2</v>
      </c>
      <c r="H107" s="5">
        <v>0.17499999999999999</v>
      </c>
      <c r="I107" s="6">
        <v>12.27</v>
      </c>
      <c r="J107" s="5" t="s">
        <v>34</v>
      </c>
      <c r="K107" s="5" t="s">
        <v>1397</v>
      </c>
      <c r="L107" s="8">
        <v>9213293</v>
      </c>
      <c r="M107" s="5" t="s">
        <v>1389</v>
      </c>
      <c r="N107" s="6">
        <f>Renewals6[[#This Row],[Earnings]]/Renewals6[[#This Row],[Rate]]</f>
        <v>70.114285714285714</v>
      </c>
      <c r="O107" s="6">
        <f>Renewals6[[#This Row],[Column5]]*Renewals6[[#This Row],[Rate]]</f>
        <v>12.27</v>
      </c>
    </row>
    <row r="108" spans="1:15" x14ac:dyDescent="0.25">
      <c r="A108" s="5" t="s">
        <v>132</v>
      </c>
      <c r="B108" s="5" t="s">
        <v>996</v>
      </c>
      <c r="C108" s="5" t="s">
        <v>62</v>
      </c>
      <c r="D108" s="5" t="s">
        <v>997</v>
      </c>
      <c r="E108" s="7">
        <v>45658</v>
      </c>
      <c r="F108" s="7">
        <v>46204</v>
      </c>
      <c r="G108" s="6">
        <v>1489.86</v>
      </c>
      <c r="H108" s="5">
        <v>0.17499999999999999</v>
      </c>
      <c r="I108" s="6">
        <v>21.73</v>
      </c>
      <c r="J108" s="5" t="s">
        <v>34</v>
      </c>
      <c r="K108" s="5" t="s">
        <v>1393</v>
      </c>
      <c r="L108" s="8">
        <v>16912722</v>
      </c>
      <c r="M108" s="5" t="s">
        <v>1389</v>
      </c>
      <c r="N108" s="6">
        <f>Renewals6[[#This Row],[Earnings]]/Renewals6[[#This Row],[Rate]]</f>
        <v>124.17142857142858</v>
      </c>
      <c r="O108" s="6">
        <f>Renewals6[[#This Row],[Column5]]*Renewals6[[#This Row],[Rate]]</f>
        <v>21.73</v>
      </c>
    </row>
    <row r="109" spans="1:15" x14ac:dyDescent="0.25">
      <c r="A109" s="5" t="s">
        <v>132</v>
      </c>
      <c r="B109" s="5" t="s">
        <v>998</v>
      </c>
      <c r="C109" s="5" t="s">
        <v>62</v>
      </c>
      <c r="D109" s="5" t="s">
        <v>999</v>
      </c>
      <c r="E109" s="7">
        <v>45658</v>
      </c>
      <c r="F109" s="7">
        <v>46204</v>
      </c>
      <c r="G109" s="6">
        <v>1389.42</v>
      </c>
      <c r="H109" s="5">
        <v>0.17499999999999999</v>
      </c>
      <c r="I109" s="6">
        <v>20.260000000000002</v>
      </c>
      <c r="J109" s="5" t="s">
        <v>34</v>
      </c>
      <c r="K109" s="5" t="s">
        <v>1393</v>
      </c>
      <c r="L109" s="8">
        <v>16912722</v>
      </c>
      <c r="M109" s="5" t="s">
        <v>1389</v>
      </c>
      <c r="N109" s="6">
        <f>Renewals6[[#This Row],[Earnings]]/Renewals6[[#This Row],[Rate]]</f>
        <v>115.77142857142859</v>
      </c>
      <c r="O109" s="6">
        <f>Renewals6[[#This Row],[Column5]]*Renewals6[[#This Row],[Rate]]</f>
        <v>20.260000000000002</v>
      </c>
    </row>
    <row r="110" spans="1:15" x14ac:dyDescent="0.25">
      <c r="A110" s="5" t="s">
        <v>132</v>
      </c>
      <c r="B110" s="5" t="s">
        <v>1000</v>
      </c>
      <c r="C110" s="5" t="s">
        <v>62</v>
      </c>
      <c r="D110" s="5" t="s">
        <v>1001</v>
      </c>
      <c r="E110" s="7">
        <v>45635</v>
      </c>
      <c r="F110" s="7">
        <v>46212</v>
      </c>
      <c r="G110" s="6">
        <v>2142</v>
      </c>
      <c r="H110" s="5">
        <v>0.17499999999999999</v>
      </c>
      <c r="I110" s="6">
        <v>31.24</v>
      </c>
      <c r="J110" s="5" t="s">
        <v>34</v>
      </c>
      <c r="K110" s="5" t="s">
        <v>1393</v>
      </c>
      <c r="L110" s="8">
        <v>16912722</v>
      </c>
      <c r="M110" s="5" t="s">
        <v>1389</v>
      </c>
      <c r="N110" s="6">
        <f>Renewals6[[#This Row],[Earnings]]/Renewals6[[#This Row],[Rate]]</f>
        <v>178.51428571428571</v>
      </c>
      <c r="O110" s="6">
        <f>Renewals6[[#This Row],[Column5]]*Renewals6[[#This Row],[Rate]]</f>
        <v>31.239999999999995</v>
      </c>
    </row>
    <row r="111" spans="1:15" x14ac:dyDescent="0.25">
      <c r="A111" s="5" t="s">
        <v>132</v>
      </c>
      <c r="B111" s="5" t="s">
        <v>1002</v>
      </c>
      <c r="C111" s="5" t="s">
        <v>62</v>
      </c>
      <c r="D111" s="5" t="s">
        <v>1003</v>
      </c>
      <c r="E111" s="7">
        <v>45635</v>
      </c>
      <c r="F111" s="7">
        <v>46212</v>
      </c>
      <c r="G111" s="6">
        <v>2041.2</v>
      </c>
      <c r="H111" s="5">
        <v>0.17499999999999999</v>
      </c>
      <c r="I111" s="6">
        <v>29.77</v>
      </c>
      <c r="J111" s="5" t="s">
        <v>34</v>
      </c>
      <c r="K111" s="5" t="s">
        <v>1393</v>
      </c>
      <c r="L111" s="8">
        <v>16912722</v>
      </c>
      <c r="M111" s="5" t="s">
        <v>1389</v>
      </c>
      <c r="N111" s="6">
        <f>Renewals6[[#This Row],[Earnings]]/Renewals6[[#This Row],[Rate]]</f>
        <v>170.11428571428573</v>
      </c>
      <c r="O111" s="6">
        <f>Renewals6[[#This Row],[Column5]]*Renewals6[[#This Row],[Rate]]</f>
        <v>29.77</v>
      </c>
    </row>
    <row r="112" spans="1:15" x14ac:dyDescent="0.25">
      <c r="A112" s="5" t="s">
        <v>44</v>
      </c>
      <c r="B112" s="5" t="s">
        <v>1004</v>
      </c>
      <c r="C112" s="5" t="s">
        <v>62</v>
      </c>
      <c r="D112" s="5" t="s">
        <v>1005</v>
      </c>
      <c r="E112" s="7">
        <v>45658</v>
      </c>
      <c r="F112" s="7">
        <v>46174</v>
      </c>
      <c r="G112" s="6">
        <v>921.6</v>
      </c>
      <c r="H112" s="5">
        <v>0.17499999999999999</v>
      </c>
      <c r="I112" s="6">
        <v>13.44</v>
      </c>
      <c r="J112" s="5" t="s">
        <v>1006</v>
      </c>
      <c r="K112" s="5" t="s">
        <v>1397</v>
      </c>
      <c r="L112" s="8" t="s">
        <v>1400</v>
      </c>
      <c r="M112" s="5" t="s">
        <v>1389</v>
      </c>
      <c r="N112" s="6">
        <f>Renewals6[[#This Row],[Earnings]]/Renewals6[[#This Row],[Rate]]</f>
        <v>76.8</v>
      </c>
      <c r="O112" s="6">
        <f>Renewals6[[#This Row],[Column5]]*Renewals6[[#This Row],[Rate]]</f>
        <v>13.44</v>
      </c>
    </row>
    <row r="113" spans="1:15" x14ac:dyDescent="0.25">
      <c r="A113" s="5" t="s">
        <v>132</v>
      </c>
      <c r="B113" s="5" t="s">
        <v>1007</v>
      </c>
      <c r="C113" s="5" t="s">
        <v>62</v>
      </c>
      <c r="D113" s="5" t="s">
        <v>543</v>
      </c>
      <c r="E113" s="7">
        <v>45658</v>
      </c>
      <c r="F113" s="7">
        <v>46204</v>
      </c>
      <c r="G113" s="6">
        <v>2160</v>
      </c>
      <c r="H113" s="5">
        <v>0.17499999999999999</v>
      </c>
      <c r="I113" s="6">
        <v>31.5</v>
      </c>
      <c r="J113" s="5" t="s">
        <v>34</v>
      </c>
      <c r="K113" s="5" t="s">
        <v>1393</v>
      </c>
      <c r="L113" s="8">
        <v>16912722</v>
      </c>
      <c r="M113" s="5" t="s">
        <v>1389</v>
      </c>
      <c r="N113" s="6">
        <f>Renewals6[[#This Row],[Earnings]]/Renewals6[[#This Row],[Rate]]</f>
        <v>180</v>
      </c>
      <c r="O113" s="6">
        <f>Renewals6[[#This Row],[Column5]]*Renewals6[[#This Row],[Rate]]</f>
        <v>31.499999999999996</v>
      </c>
    </row>
    <row r="114" spans="1:15" x14ac:dyDescent="0.25">
      <c r="A114" s="5" t="s">
        <v>132</v>
      </c>
      <c r="B114" s="5" t="s">
        <v>1008</v>
      </c>
      <c r="C114" s="5" t="s">
        <v>39</v>
      </c>
      <c r="D114" s="5" t="s">
        <v>1009</v>
      </c>
      <c r="E114" s="7">
        <v>45658</v>
      </c>
      <c r="F114" s="7">
        <v>46174</v>
      </c>
      <c r="G114" s="6">
        <v>1184.08</v>
      </c>
      <c r="H114" s="5">
        <v>0.17499999999999999</v>
      </c>
      <c r="I114" s="6">
        <v>17.27</v>
      </c>
      <c r="J114" s="5" t="s">
        <v>34</v>
      </c>
      <c r="K114" s="5" t="s">
        <v>1393</v>
      </c>
      <c r="L114" s="8">
        <v>16912722</v>
      </c>
      <c r="M114" s="5" t="s">
        <v>1389</v>
      </c>
      <c r="N114" s="6">
        <f>Renewals6[[#This Row],[Earnings]]/Renewals6[[#This Row],[Rate]]</f>
        <v>98.685714285714283</v>
      </c>
      <c r="O114" s="6">
        <f>Renewals6[[#This Row],[Column5]]*Renewals6[[#This Row],[Rate]]</f>
        <v>17.27</v>
      </c>
    </row>
    <row r="115" spans="1:15" x14ac:dyDescent="0.25">
      <c r="A115" s="5" t="s">
        <v>132</v>
      </c>
      <c r="B115" s="5" t="s">
        <v>1010</v>
      </c>
      <c r="C115" s="5" t="s">
        <v>39</v>
      </c>
      <c r="D115" s="5" t="s">
        <v>1011</v>
      </c>
      <c r="E115" s="7">
        <v>45658</v>
      </c>
      <c r="F115" s="7">
        <v>46174</v>
      </c>
      <c r="G115" s="6">
        <v>1099.26</v>
      </c>
      <c r="H115" s="5">
        <v>0.17499999999999999</v>
      </c>
      <c r="I115" s="6">
        <v>16.03</v>
      </c>
      <c r="J115" s="5" t="s">
        <v>34</v>
      </c>
      <c r="K115" s="5" t="s">
        <v>1397</v>
      </c>
      <c r="L115" s="8">
        <v>16912722</v>
      </c>
      <c r="M115" s="5" t="s">
        <v>1389</v>
      </c>
      <c r="N115" s="6">
        <f>Renewals6[[#This Row],[Earnings]]/Renewals6[[#This Row],[Rate]]</f>
        <v>91.600000000000009</v>
      </c>
      <c r="O115" s="6">
        <f>Renewals6[[#This Row],[Column5]]*Renewals6[[#This Row],[Rate]]</f>
        <v>16.03</v>
      </c>
    </row>
    <row r="116" spans="1:15" x14ac:dyDescent="0.25">
      <c r="A116" s="5" t="s">
        <v>868</v>
      </c>
      <c r="B116" s="5" t="s">
        <v>1012</v>
      </c>
      <c r="C116" s="5" t="s">
        <v>62</v>
      </c>
      <c r="D116" s="5" t="s">
        <v>1013</v>
      </c>
      <c r="E116" s="7">
        <v>45689</v>
      </c>
      <c r="F116" s="7">
        <v>46204</v>
      </c>
      <c r="G116" s="6">
        <v>724.28</v>
      </c>
      <c r="H116" s="5">
        <v>0.125</v>
      </c>
      <c r="I116" s="6">
        <v>7.54</v>
      </c>
      <c r="J116" s="5" t="s">
        <v>423</v>
      </c>
      <c r="K116" s="5" t="s">
        <v>1394</v>
      </c>
      <c r="L116" s="8">
        <v>19645587</v>
      </c>
      <c r="M116" s="5" t="s">
        <v>1389</v>
      </c>
      <c r="N116" s="6">
        <f>Renewals6[[#This Row],[Earnings]]/Renewals6[[#This Row],[Rate]]</f>
        <v>60.32</v>
      </c>
      <c r="O116" s="6">
        <f>Renewals6[[#This Row],[Column5]]*Renewals6[[#This Row],[Rate]]</f>
        <v>7.54</v>
      </c>
    </row>
    <row r="117" spans="1:15" x14ac:dyDescent="0.25">
      <c r="A117" s="5" t="s">
        <v>60</v>
      </c>
      <c r="B117" s="5" t="s">
        <v>1014</v>
      </c>
      <c r="C117" s="5" t="s">
        <v>62</v>
      </c>
      <c r="D117" s="5" t="s">
        <v>1015</v>
      </c>
      <c r="E117" s="7">
        <v>45717</v>
      </c>
      <c r="F117" s="7">
        <v>46204</v>
      </c>
      <c r="G117" s="6">
        <v>1418.4</v>
      </c>
      <c r="H117" s="5">
        <v>0.17499999999999999</v>
      </c>
      <c r="I117" s="6">
        <v>20.68</v>
      </c>
      <c r="J117" s="5" t="s">
        <v>34</v>
      </c>
      <c r="K117" s="5" t="s">
        <v>1397</v>
      </c>
      <c r="L117" s="8">
        <v>2158366</v>
      </c>
      <c r="M117" s="5" t="s">
        <v>1389</v>
      </c>
      <c r="N117" s="6">
        <f>Renewals6[[#This Row],[Earnings]]/Renewals6[[#This Row],[Rate]]</f>
        <v>118.17142857142858</v>
      </c>
      <c r="O117" s="6">
        <f>Renewals6[[#This Row],[Column5]]*Renewals6[[#This Row],[Rate]]</f>
        <v>20.68</v>
      </c>
    </row>
    <row r="118" spans="1:15" x14ac:dyDescent="0.25">
      <c r="A118" s="5" t="s">
        <v>77</v>
      </c>
      <c r="B118" s="5" t="s">
        <v>1016</v>
      </c>
      <c r="C118" s="5" t="s">
        <v>110</v>
      </c>
      <c r="D118" s="5" t="s">
        <v>1017</v>
      </c>
      <c r="E118" s="7">
        <v>45653</v>
      </c>
      <c r="F118" s="7">
        <v>46200</v>
      </c>
      <c r="G118" s="6">
        <v>654</v>
      </c>
      <c r="H118" s="5">
        <v>0.17499999999999999</v>
      </c>
      <c r="I118" s="6">
        <v>9.5399999999999991</v>
      </c>
      <c r="J118" s="5" t="s">
        <v>34</v>
      </c>
      <c r="K118" s="5" t="s">
        <v>1393</v>
      </c>
      <c r="L118" s="8">
        <v>9213293</v>
      </c>
      <c r="M118" s="5" t="s">
        <v>1389</v>
      </c>
      <c r="N118" s="6">
        <f>Renewals6[[#This Row],[Earnings]]/Renewals6[[#This Row],[Rate]]</f>
        <v>54.514285714285712</v>
      </c>
      <c r="O118" s="6">
        <f>Renewals6[[#This Row],[Column5]]*Renewals6[[#This Row],[Rate]]</f>
        <v>9.5399999999999991</v>
      </c>
    </row>
    <row r="119" spans="1:15" x14ac:dyDescent="0.25">
      <c r="A119" s="5" t="s">
        <v>94</v>
      </c>
      <c r="B119" s="5" t="s">
        <v>1018</v>
      </c>
      <c r="C119" s="5" t="s">
        <v>62</v>
      </c>
      <c r="D119" s="5" t="s">
        <v>1019</v>
      </c>
      <c r="E119" s="7">
        <v>45658</v>
      </c>
      <c r="F119" s="7">
        <v>46204</v>
      </c>
      <c r="G119" s="6">
        <v>1143.9100000000001</v>
      </c>
      <c r="H119" s="5">
        <v>0.17499999999999999</v>
      </c>
      <c r="I119" s="6">
        <v>16.68</v>
      </c>
      <c r="J119" s="5" t="s">
        <v>34</v>
      </c>
      <c r="K119" s="5" t="s">
        <v>1393</v>
      </c>
      <c r="L119" s="8">
        <v>19200754</v>
      </c>
      <c r="M119" s="5" t="s">
        <v>1389</v>
      </c>
      <c r="N119" s="6">
        <f>Renewals6[[#This Row],[Earnings]]/Renewals6[[#This Row],[Rate]]</f>
        <v>95.314285714285717</v>
      </c>
      <c r="O119" s="6">
        <f>Renewals6[[#This Row],[Column5]]*Renewals6[[#This Row],[Rate]]</f>
        <v>16.68</v>
      </c>
    </row>
    <row r="120" spans="1:15" x14ac:dyDescent="0.25">
      <c r="A120" s="5" t="s">
        <v>94</v>
      </c>
      <c r="B120" s="5" t="s">
        <v>1020</v>
      </c>
      <c r="C120" s="5" t="s">
        <v>62</v>
      </c>
      <c r="D120" s="5" t="s">
        <v>1021</v>
      </c>
      <c r="E120" s="7">
        <v>45658</v>
      </c>
      <c r="F120" s="7">
        <v>46204</v>
      </c>
      <c r="G120" s="6">
        <v>1143.9100000000001</v>
      </c>
      <c r="H120" s="5">
        <v>0.17499999999999999</v>
      </c>
      <c r="I120" s="6">
        <v>16.68</v>
      </c>
      <c r="J120" s="5" t="s">
        <v>34</v>
      </c>
      <c r="K120" s="5" t="s">
        <v>1393</v>
      </c>
      <c r="L120" s="8">
        <v>19200754</v>
      </c>
      <c r="M120" s="5" t="s">
        <v>1389</v>
      </c>
      <c r="N120" s="6">
        <f>Renewals6[[#This Row],[Earnings]]/Renewals6[[#This Row],[Rate]]</f>
        <v>95.314285714285717</v>
      </c>
      <c r="O120" s="6">
        <f>Renewals6[[#This Row],[Column5]]*Renewals6[[#This Row],[Rate]]</f>
        <v>16.68</v>
      </c>
    </row>
    <row r="121" spans="1:15" x14ac:dyDescent="0.25">
      <c r="A121" s="5" t="s">
        <v>581</v>
      </c>
      <c r="B121" s="5" t="s">
        <v>1022</v>
      </c>
      <c r="C121" s="5" t="s">
        <v>110</v>
      </c>
      <c r="D121" s="5" t="s">
        <v>1023</v>
      </c>
      <c r="E121" s="7">
        <v>45689</v>
      </c>
      <c r="F121" s="7">
        <v>46174</v>
      </c>
      <c r="G121" s="6">
        <v>873.6</v>
      </c>
      <c r="H121" s="5">
        <v>0.17499999999999999</v>
      </c>
      <c r="I121" s="6">
        <v>12.74</v>
      </c>
      <c r="J121" s="5" t="s">
        <v>34</v>
      </c>
      <c r="K121" s="5" t="s">
        <v>1397</v>
      </c>
      <c r="L121" s="8">
        <v>17126004</v>
      </c>
      <c r="M121" s="5" t="s">
        <v>1389</v>
      </c>
      <c r="N121" s="6">
        <f>Renewals6[[#This Row],[Earnings]]/Renewals6[[#This Row],[Rate]]</f>
        <v>72.800000000000011</v>
      </c>
      <c r="O121" s="6">
        <f>Renewals6[[#This Row],[Column5]]*Renewals6[[#This Row],[Rate]]</f>
        <v>12.740000000000002</v>
      </c>
    </row>
    <row r="122" spans="1:15" x14ac:dyDescent="0.25">
      <c r="A122" s="5" t="s">
        <v>377</v>
      </c>
      <c r="B122" s="5" t="s">
        <v>1024</v>
      </c>
      <c r="C122" s="5" t="s">
        <v>471</v>
      </c>
      <c r="D122" s="5" t="s">
        <v>1025</v>
      </c>
      <c r="E122" s="7">
        <v>45689</v>
      </c>
      <c r="F122" s="7">
        <v>46174</v>
      </c>
      <c r="G122" s="6">
        <v>1236</v>
      </c>
      <c r="H122" s="5">
        <v>0.17499999999999999</v>
      </c>
      <c r="I122" s="6">
        <v>18.02</v>
      </c>
      <c r="J122" s="5" t="s">
        <v>112</v>
      </c>
      <c r="K122" s="5" t="s">
        <v>1397</v>
      </c>
      <c r="L122" s="8" t="s">
        <v>1401</v>
      </c>
      <c r="M122" s="5" t="s">
        <v>1389</v>
      </c>
      <c r="N122" s="6">
        <f>Renewals6[[#This Row],[Earnings]]/Renewals6[[#This Row],[Rate]]</f>
        <v>102.97142857142858</v>
      </c>
      <c r="O122" s="6">
        <f>Renewals6[[#This Row],[Column5]]*Renewals6[[#This Row],[Rate]]</f>
        <v>18.02</v>
      </c>
    </row>
    <row r="123" spans="1:15" x14ac:dyDescent="0.25">
      <c r="A123" s="5" t="s">
        <v>37</v>
      </c>
      <c r="B123" s="5" t="s">
        <v>1026</v>
      </c>
      <c r="C123" s="5" t="s">
        <v>62</v>
      </c>
      <c r="D123" s="5" t="s">
        <v>1027</v>
      </c>
      <c r="E123" s="7">
        <v>45689</v>
      </c>
      <c r="F123" s="7">
        <v>46204</v>
      </c>
      <c r="G123" s="6">
        <v>1128</v>
      </c>
      <c r="H123" s="5">
        <v>0.17499999999999999</v>
      </c>
      <c r="I123" s="6">
        <v>16.45</v>
      </c>
      <c r="J123" s="5" t="s">
        <v>34</v>
      </c>
      <c r="K123" s="5" t="s">
        <v>1397</v>
      </c>
      <c r="L123" s="8">
        <v>7146581</v>
      </c>
      <c r="M123" s="5" t="s">
        <v>1389</v>
      </c>
      <c r="N123" s="6">
        <f>Renewals6[[#This Row],[Earnings]]/Renewals6[[#This Row],[Rate]]</f>
        <v>94</v>
      </c>
      <c r="O123" s="6">
        <f>Renewals6[[#This Row],[Column5]]*Renewals6[[#This Row],[Rate]]</f>
        <v>16.45</v>
      </c>
    </row>
    <row r="124" spans="1:15" x14ac:dyDescent="0.25">
      <c r="A124" s="5" t="s">
        <v>114</v>
      </c>
      <c r="B124" s="5" t="s">
        <v>1028</v>
      </c>
      <c r="C124" s="5" t="s">
        <v>62</v>
      </c>
      <c r="D124" s="5" t="s">
        <v>1029</v>
      </c>
      <c r="E124" s="7">
        <v>45748</v>
      </c>
      <c r="F124" s="7">
        <v>46174</v>
      </c>
      <c r="G124" s="6">
        <v>1003.2</v>
      </c>
      <c r="H124" s="5">
        <v>0.17499999999999999</v>
      </c>
      <c r="I124" s="6">
        <v>14.63</v>
      </c>
      <c r="J124" s="5" t="s">
        <v>34</v>
      </c>
      <c r="K124" s="5" t="s">
        <v>1395</v>
      </c>
      <c r="L124" s="8">
        <v>18754354</v>
      </c>
      <c r="M124" s="5" t="s">
        <v>1389</v>
      </c>
      <c r="N124" s="6">
        <f>Renewals6[[#This Row],[Earnings]]/Renewals6[[#This Row],[Rate]]</f>
        <v>83.600000000000009</v>
      </c>
      <c r="O124" s="6">
        <f>Renewals6[[#This Row],[Column5]]*Renewals6[[#This Row],[Rate]]</f>
        <v>14.63</v>
      </c>
    </row>
    <row r="125" spans="1:15" x14ac:dyDescent="0.25">
      <c r="A125" s="5" t="s">
        <v>154</v>
      </c>
      <c r="B125" s="5" t="s">
        <v>1030</v>
      </c>
      <c r="C125" s="5" t="s">
        <v>471</v>
      </c>
      <c r="D125" s="5" t="s">
        <v>1031</v>
      </c>
      <c r="E125" s="7">
        <v>45748</v>
      </c>
      <c r="F125" s="7">
        <v>46204</v>
      </c>
      <c r="G125" s="6">
        <v>1118.4000000000001</v>
      </c>
      <c r="H125" s="5">
        <v>0.17499999999999999</v>
      </c>
      <c r="I125" s="6">
        <v>16.309999999999999</v>
      </c>
      <c r="J125" s="5" t="s">
        <v>34</v>
      </c>
      <c r="K125" s="5" t="s">
        <v>1397</v>
      </c>
      <c r="L125" s="8">
        <v>19681796</v>
      </c>
      <c r="M125" s="5" t="s">
        <v>1389</v>
      </c>
      <c r="N125" s="6">
        <f>Renewals6[[#This Row],[Earnings]]/Renewals6[[#This Row],[Rate]]</f>
        <v>93.2</v>
      </c>
      <c r="O125" s="6">
        <f>Renewals6[[#This Row],[Column5]]*Renewals6[[#This Row],[Rate]]</f>
        <v>16.309999999999999</v>
      </c>
    </row>
    <row r="126" spans="1:15" x14ac:dyDescent="0.25">
      <c r="A126" s="5" t="s">
        <v>37</v>
      </c>
      <c r="B126" s="5" t="s">
        <v>1032</v>
      </c>
      <c r="C126" s="5" t="s">
        <v>39</v>
      </c>
      <c r="D126" s="5" t="s">
        <v>1033</v>
      </c>
      <c r="E126" s="7">
        <v>45748</v>
      </c>
      <c r="F126" s="7">
        <v>46204</v>
      </c>
      <c r="G126" s="6">
        <v>980.96</v>
      </c>
      <c r="H126" s="5">
        <v>0.17499999999999999</v>
      </c>
      <c r="I126" s="6">
        <v>14.3</v>
      </c>
      <c r="J126" s="5" t="s">
        <v>34</v>
      </c>
      <c r="K126" s="5" t="s">
        <v>1397</v>
      </c>
      <c r="L126" s="8">
        <v>7146581</v>
      </c>
      <c r="M126" s="5" t="s">
        <v>1389</v>
      </c>
      <c r="N126" s="6">
        <f>Renewals6[[#This Row],[Earnings]]/Renewals6[[#This Row],[Rate]]</f>
        <v>81.714285714285722</v>
      </c>
      <c r="O126" s="6">
        <f>Renewals6[[#This Row],[Column5]]*Renewals6[[#This Row],[Rate]]</f>
        <v>14.3</v>
      </c>
    </row>
    <row r="127" spans="1:15" x14ac:dyDescent="0.25">
      <c r="A127" s="5" t="s">
        <v>37</v>
      </c>
      <c r="B127" s="5" t="s">
        <v>1034</v>
      </c>
      <c r="C127" s="5" t="s">
        <v>39</v>
      </c>
      <c r="D127" s="5" t="s">
        <v>1035</v>
      </c>
      <c r="E127" s="7">
        <v>45748</v>
      </c>
      <c r="F127" s="7">
        <v>46204</v>
      </c>
      <c r="G127" s="6">
        <v>980.96</v>
      </c>
      <c r="H127" s="5">
        <v>0.17499999999999999</v>
      </c>
      <c r="I127" s="6">
        <v>14.3</v>
      </c>
      <c r="J127" s="5" t="s">
        <v>34</v>
      </c>
      <c r="K127" s="5" t="s">
        <v>1397</v>
      </c>
      <c r="L127" s="8">
        <v>7146581</v>
      </c>
      <c r="M127" s="5" t="s">
        <v>1389</v>
      </c>
      <c r="N127" s="6">
        <f>Renewals6[[#This Row],[Earnings]]/Renewals6[[#This Row],[Rate]]</f>
        <v>81.714285714285722</v>
      </c>
      <c r="O127" s="6">
        <f>Renewals6[[#This Row],[Column5]]*Renewals6[[#This Row],[Rate]]</f>
        <v>14.3</v>
      </c>
    </row>
    <row r="128" spans="1:15" x14ac:dyDescent="0.25">
      <c r="A128" s="5" t="s">
        <v>220</v>
      </c>
      <c r="B128" s="5" t="s">
        <v>1036</v>
      </c>
      <c r="C128" s="5" t="s">
        <v>62</v>
      </c>
      <c r="D128" s="5" t="s">
        <v>1037</v>
      </c>
      <c r="E128" s="7">
        <v>45748</v>
      </c>
      <c r="F128" s="7">
        <v>46174</v>
      </c>
      <c r="G128" s="6">
        <v>1771.2</v>
      </c>
      <c r="H128" s="5">
        <v>0.125</v>
      </c>
      <c r="I128" s="6">
        <v>18.45</v>
      </c>
      <c r="J128" s="5" t="s">
        <v>695</v>
      </c>
      <c r="K128" s="5" t="s">
        <v>1391</v>
      </c>
      <c r="L128" s="8">
        <v>16633294</v>
      </c>
      <c r="M128" s="5" t="s">
        <v>1389</v>
      </c>
      <c r="N128" s="6">
        <f>Renewals6[[#This Row],[Earnings]]/Renewals6[[#This Row],[Rate]]</f>
        <v>147.6</v>
      </c>
      <c r="O128" s="6">
        <f>Renewals6[[#This Row],[Column5]]*Renewals6[[#This Row],[Rate]]</f>
        <v>18.45</v>
      </c>
    </row>
    <row r="129" spans="1:15" x14ac:dyDescent="0.25">
      <c r="A129" s="5" t="s">
        <v>83</v>
      </c>
      <c r="B129" s="5" t="s">
        <v>1038</v>
      </c>
      <c r="C129" s="5" t="s">
        <v>62</v>
      </c>
      <c r="D129" s="5" t="s">
        <v>1039</v>
      </c>
      <c r="E129" s="7">
        <v>45748</v>
      </c>
      <c r="F129" s="7">
        <v>46174</v>
      </c>
      <c r="G129" s="6">
        <v>470.4</v>
      </c>
      <c r="H129" s="5">
        <v>0.17499999999999999</v>
      </c>
      <c r="I129" s="6">
        <v>6.86</v>
      </c>
      <c r="J129" s="5" t="s">
        <v>34</v>
      </c>
      <c r="K129" s="5" t="s">
        <v>1397</v>
      </c>
      <c r="L129" s="8">
        <v>8325282</v>
      </c>
      <c r="M129" s="5" t="s">
        <v>1389</v>
      </c>
      <c r="N129" s="6">
        <f>Renewals6[[#This Row],[Earnings]]/Renewals6[[#This Row],[Rate]]</f>
        <v>39.200000000000003</v>
      </c>
      <c r="O129" s="6">
        <f>Renewals6[[#This Row],[Column5]]*Renewals6[[#This Row],[Rate]]</f>
        <v>6.86</v>
      </c>
    </row>
    <row r="130" spans="1:15" x14ac:dyDescent="0.25">
      <c r="A130" s="5" t="s">
        <v>185</v>
      </c>
      <c r="B130" s="5" t="s">
        <v>1040</v>
      </c>
      <c r="C130" s="5" t="s">
        <v>39</v>
      </c>
      <c r="D130" s="5" t="s">
        <v>1041</v>
      </c>
      <c r="E130" s="7">
        <v>45721</v>
      </c>
      <c r="F130" s="7">
        <v>46178</v>
      </c>
      <c r="G130" s="6">
        <v>834.77</v>
      </c>
      <c r="H130" s="5">
        <v>0.17499999999999999</v>
      </c>
      <c r="I130" s="6">
        <v>12.17</v>
      </c>
      <c r="J130" s="5" t="s">
        <v>34</v>
      </c>
      <c r="K130" s="5" t="s">
        <v>1397</v>
      </c>
      <c r="L130" s="8">
        <v>18828278</v>
      </c>
      <c r="M130" s="5" t="s">
        <v>1389</v>
      </c>
      <c r="N130" s="6">
        <f>Renewals6[[#This Row],[Earnings]]/Renewals6[[#This Row],[Rate]]</f>
        <v>69.542857142857144</v>
      </c>
      <c r="O130" s="6">
        <f>Renewals6[[#This Row],[Column5]]*Renewals6[[#This Row],[Rate]]</f>
        <v>12.17</v>
      </c>
    </row>
    <row r="131" spans="1:15" x14ac:dyDescent="0.25">
      <c r="A131" s="5" t="s">
        <v>185</v>
      </c>
      <c r="B131" s="5" t="s">
        <v>1042</v>
      </c>
      <c r="C131" s="5" t="s">
        <v>39</v>
      </c>
      <c r="D131" s="5" t="s">
        <v>1043</v>
      </c>
      <c r="E131" s="7">
        <v>45721</v>
      </c>
      <c r="F131" s="7">
        <v>46178</v>
      </c>
      <c r="G131" s="6">
        <v>626.07000000000005</v>
      </c>
      <c r="H131" s="5">
        <v>0.17499999999999999</v>
      </c>
      <c r="I131" s="6">
        <v>9.1300000000000008</v>
      </c>
      <c r="J131" s="5" t="s">
        <v>34</v>
      </c>
      <c r="K131" s="5" t="s">
        <v>1397</v>
      </c>
      <c r="L131" s="8">
        <v>18828278</v>
      </c>
      <c r="M131" s="5" t="s">
        <v>1389</v>
      </c>
      <c r="N131" s="6">
        <f>Renewals6[[#This Row],[Earnings]]/Renewals6[[#This Row],[Rate]]</f>
        <v>52.171428571428578</v>
      </c>
      <c r="O131" s="6">
        <f>Renewals6[[#This Row],[Column5]]*Renewals6[[#This Row],[Rate]]</f>
        <v>9.1300000000000008</v>
      </c>
    </row>
    <row r="132" spans="1:15" x14ac:dyDescent="0.25">
      <c r="A132" s="5" t="s">
        <v>83</v>
      </c>
      <c r="B132" s="5" t="s">
        <v>1044</v>
      </c>
      <c r="C132" s="5" t="s">
        <v>62</v>
      </c>
      <c r="D132" s="5" t="s">
        <v>1045</v>
      </c>
      <c r="E132" s="7">
        <v>45727</v>
      </c>
      <c r="F132" s="7">
        <v>46184</v>
      </c>
      <c r="G132" s="6">
        <v>570.28</v>
      </c>
      <c r="H132" s="5">
        <v>0.17499999999999999</v>
      </c>
      <c r="I132" s="6">
        <v>8.32</v>
      </c>
      <c r="J132" s="5" t="s">
        <v>34</v>
      </c>
      <c r="K132" s="5" t="s">
        <v>1397</v>
      </c>
      <c r="L132" s="8">
        <v>8325282</v>
      </c>
      <c r="M132" s="5" t="s">
        <v>1389</v>
      </c>
      <c r="N132" s="6">
        <f>Renewals6[[#This Row],[Earnings]]/Renewals6[[#This Row],[Rate]]</f>
        <v>47.542857142857144</v>
      </c>
      <c r="O132" s="6">
        <f>Renewals6[[#This Row],[Column5]]*Renewals6[[#This Row],[Rate]]</f>
        <v>8.32</v>
      </c>
    </row>
    <row r="133" spans="1:15" x14ac:dyDescent="0.25">
      <c r="A133" s="5" t="s">
        <v>83</v>
      </c>
      <c r="B133" s="5" t="s">
        <v>1046</v>
      </c>
      <c r="C133" s="5" t="s">
        <v>62</v>
      </c>
      <c r="D133" s="5" t="s">
        <v>1047</v>
      </c>
      <c r="E133" s="7">
        <v>45727</v>
      </c>
      <c r="F133" s="7">
        <v>46184</v>
      </c>
      <c r="G133" s="6">
        <v>276.77</v>
      </c>
      <c r="H133" s="5">
        <v>0.17499999999999999</v>
      </c>
      <c r="I133" s="6">
        <v>4.04</v>
      </c>
      <c r="J133" s="5" t="s">
        <v>34</v>
      </c>
      <c r="K133" s="5" t="s">
        <v>1397</v>
      </c>
      <c r="L133" s="8">
        <v>8325282</v>
      </c>
      <c r="M133" s="5" t="s">
        <v>1389</v>
      </c>
      <c r="N133" s="6">
        <f>Renewals6[[#This Row],[Earnings]]/Renewals6[[#This Row],[Rate]]</f>
        <v>23.085714285714289</v>
      </c>
      <c r="O133" s="6">
        <f>Renewals6[[#This Row],[Column5]]*Renewals6[[#This Row],[Rate]]</f>
        <v>4.04</v>
      </c>
    </row>
    <row r="134" spans="1:15" x14ac:dyDescent="0.25">
      <c r="A134" s="5" t="s">
        <v>220</v>
      </c>
      <c r="B134" s="5" t="s">
        <v>1048</v>
      </c>
      <c r="C134" s="5" t="s">
        <v>62</v>
      </c>
      <c r="D134" s="5" t="s">
        <v>1049</v>
      </c>
      <c r="E134" s="7">
        <v>45748</v>
      </c>
      <c r="F134" s="7">
        <v>46174</v>
      </c>
      <c r="G134" s="6">
        <v>1916.4</v>
      </c>
      <c r="H134" s="5">
        <v>0.17499999999999999</v>
      </c>
      <c r="I134" s="6">
        <v>27.95</v>
      </c>
      <c r="J134" s="5" t="s">
        <v>34</v>
      </c>
      <c r="K134" s="5" t="s">
        <v>1397</v>
      </c>
      <c r="L134" s="8">
        <v>16633294</v>
      </c>
      <c r="M134" s="5" t="s">
        <v>1389</v>
      </c>
      <c r="N134" s="6">
        <f>Renewals6[[#This Row],[Earnings]]/Renewals6[[#This Row],[Rate]]</f>
        <v>159.71428571428572</v>
      </c>
      <c r="O134" s="6">
        <f>Renewals6[[#This Row],[Column5]]*Renewals6[[#This Row],[Rate]]</f>
        <v>27.95</v>
      </c>
    </row>
    <row r="135" spans="1:15" x14ac:dyDescent="0.25">
      <c r="A135" s="5" t="s">
        <v>114</v>
      </c>
      <c r="B135" s="5" t="s">
        <v>1050</v>
      </c>
      <c r="C135" s="5" t="s">
        <v>62</v>
      </c>
      <c r="D135" s="5" t="s">
        <v>1051</v>
      </c>
      <c r="E135" s="7">
        <v>45748</v>
      </c>
      <c r="F135" s="7">
        <v>46174</v>
      </c>
      <c r="G135" s="6">
        <v>790.8</v>
      </c>
      <c r="H135" s="5">
        <v>0.17499999999999999</v>
      </c>
      <c r="I135" s="6">
        <v>11.53</v>
      </c>
      <c r="J135" s="5" t="s">
        <v>34</v>
      </c>
      <c r="K135" s="5" t="s">
        <v>1397</v>
      </c>
      <c r="L135" s="8">
        <v>18754354</v>
      </c>
      <c r="M135" s="5" t="s">
        <v>1389</v>
      </c>
      <c r="N135" s="6">
        <f>Renewals6[[#This Row],[Earnings]]/Renewals6[[#This Row],[Rate]]</f>
        <v>65.885714285714286</v>
      </c>
      <c r="O135" s="6">
        <f>Renewals6[[#This Row],[Column5]]*Renewals6[[#This Row],[Rate]]</f>
        <v>11.53</v>
      </c>
    </row>
    <row r="136" spans="1:15" x14ac:dyDescent="0.25">
      <c r="A136" s="5" t="s">
        <v>160</v>
      </c>
      <c r="B136" s="5" t="s">
        <v>1052</v>
      </c>
      <c r="C136" s="5" t="s">
        <v>62</v>
      </c>
      <c r="D136" s="5" t="s">
        <v>1053</v>
      </c>
      <c r="E136" s="7">
        <v>45748</v>
      </c>
      <c r="F136" s="7">
        <v>46204</v>
      </c>
      <c r="G136" s="6">
        <v>2019.6</v>
      </c>
      <c r="H136" s="5">
        <v>0.17499999999999999</v>
      </c>
      <c r="I136" s="6">
        <v>29.45</v>
      </c>
      <c r="J136" s="5" t="s">
        <v>34</v>
      </c>
      <c r="K136" s="5" t="s">
        <v>1397</v>
      </c>
      <c r="L136" s="8" t="s">
        <v>1402</v>
      </c>
      <c r="M136" s="5" t="s">
        <v>1389</v>
      </c>
      <c r="N136" s="6">
        <f>Renewals6[[#This Row],[Earnings]]/Renewals6[[#This Row],[Rate]]</f>
        <v>168.28571428571431</v>
      </c>
      <c r="O136" s="6">
        <f>Renewals6[[#This Row],[Column5]]*Renewals6[[#This Row],[Rate]]</f>
        <v>29.450000000000003</v>
      </c>
    </row>
    <row r="137" spans="1:15" x14ac:dyDescent="0.25">
      <c r="A137" s="5" t="s">
        <v>114</v>
      </c>
      <c r="B137" s="5" t="s">
        <v>1054</v>
      </c>
      <c r="C137" s="5" t="s">
        <v>62</v>
      </c>
      <c r="D137" s="5" t="s">
        <v>1055</v>
      </c>
      <c r="E137" s="7">
        <v>45748</v>
      </c>
      <c r="F137" s="7">
        <v>46174</v>
      </c>
      <c r="G137" s="6">
        <v>1051.2</v>
      </c>
      <c r="H137" s="5">
        <v>0.17499999999999999</v>
      </c>
      <c r="I137" s="6">
        <v>15.33</v>
      </c>
      <c r="J137" s="5" t="s">
        <v>34</v>
      </c>
      <c r="K137" s="5" t="s">
        <v>1397</v>
      </c>
      <c r="L137" s="8">
        <v>18754354</v>
      </c>
      <c r="M137" s="5" t="s">
        <v>1389</v>
      </c>
      <c r="N137" s="6">
        <f>Renewals6[[#This Row],[Earnings]]/Renewals6[[#This Row],[Rate]]</f>
        <v>87.600000000000009</v>
      </c>
      <c r="O137" s="6">
        <f>Renewals6[[#This Row],[Column5]]*Renewals6[[#This Row],[Rate]]</f>
        <v>15.33</v>
      </c>
    </row>
    <row r="138" spans="1:15" x14ac:dyDescent="0.25">
      <c r="A138" s="5" t="s">
        <v>868</v>
      </c>
      <c r="B138" s="5" t="s">
        <v>1056</v>
      </c>
      <c r="C138" s="5" t="s">
        <v>62</v>
      </c>
      <c r="D138" s="5" t="s">
        <v>1057</v>
      </c>
      <c r="E138" s="7">
        <v>45778</v>
      </c>
      <c r="F138" s="7">
        <v>46508</v>
      </c>
      <c r="G138" s="6">
        <v>367.2</v>
      </c>
      <c r="H138" s="5">
        <v>0.17499999999999999</v>
      </c>
      <c r="I138" s="6">
        <v>64.260000000000005</v>
      </c>
      <c r="J138" s="5" t="s">
        <v>34</v>
      </c>
      <c r="K138" s="5" t="s">
        <v>1397</v>
      </c>
      <c r="L138" s="8">
        <v>19645587</v>
      </c>
      <c r="M138" s="5" t="s">
        <v>1396</v>
      </c>
      <c r="N138" s="6">
        <f>Renewals6[[#This Row],[Earnings]]/Renewals6[[#This Row],[Rate]]</f>
        <v>367.20000000000005</v>
      </c>
      <c r="O138" s="6">
        <f>Renewals6[[#This Row],[Column5]]*Renewals6[[#This Row],[Rate]]</f>
        <v>64.260000000000005</v>
      </c>
    </row>
    <row r="139" spans="1:15" x14ac:dyDescent="0.25">
      <c r="A139" s="5" t="s">
        <v>204</v>
      </c>
      <c r="B139" s="5" t="s">
        <v>1058</v>
      </c>
      <c r="C139" s="5" t="s">
        <v>110</v>
      </c>
      <c r="D139" s="5" t="s">
        <v>1059</v>
      </c>
      <c r="E139" s="7">
        <v>45778</v>
      </c>
      <c r="F139" s="7">
        <v>46174</v>
      </c>
      <c r="G139" s="6">
        <v>1072.8</v>
      </c>
      <c r="H139" s="5">
        <v>0.17499999999999999</v>
      </c>
      <c r="I139" s="6">
        <v>15.64</v>
      </c>
      <c r="J139" s="5" t="s">
        <v>112</v>
      </c>
      <c r="K139" s="5" t="s">
        <v>1397</v>
      </c>
      <c r="L139" s="8">
        <v>17425766</v>
      </c>
      <c r="M139" s="5" t="s">
        <v>1389</v>
      </c>
      <c r="N139" s="6">
        <f>Renewals6[[#This Row],[Earnings]]/Renewals6[[#This Row],[Rate]]</f>
        <v>89.371428571428581</v>
      </c>
      <c r="O139" s="6">
        <f>Renewals6[[#This Row],[Column5]]*Renewals6[[#This Row],[Rate]]</f>
        <v>15.64</v>
      </c>
    </row>
    <row r="140" spans="1:15" x14ac:dyDescent="0.25">
      <c r="A140" s="5" t="s">
        <v>44</v>
      </c>
      <c r="B140" s="5" t="s">
        <v>1060</v>
      </c>
      <c r="C140" s="5" t="s">
        <v>62</v>
      </c>
      <c r="D140" s="5" t="s">
        <v>1061</v>
      </c>
      <c r="E140" s="7">
        <v>45778</v>
      </c>
      <c r="F140" s="7">
        <v>46174</v>
      </c>
      <c r="G140" s="6">
        <v>1099.2</v>
      </c>
      <c r="H140" s="5">
        <v>0.125</v>
      </c>
      <c r="I140" s="6">
        <v>11.45</v>
      </c>
      <c r="J140" s="5" t="s">
        <v>1062</v>
      </c>
      <c r="K140" s="5" t="s">
        <v>1391</v>
      </c>
      <c r="L140" s="8" t="s">
        <v>1403</v>
      </c>
      <c r="M140" s="5" t="s">
        <v>1389</v>
      </c>
      <c r="N140" s="6">
        <f>Renewals6[[#This Row],[Earnings]]/Renewals6[[#This Row],[Rate]]</f>
        <v>91.6</v>
      </c>
      <c r="O140" s="6">
        <f>Renewals6[[#This Row],[Column5]]*Renewals6[[#This Row],[Rate]]</f>
        <v>11.45</v>
      </c>
    </row>
    <row r="141" spans="1:15" x14ac:dyDescent="0.25">
      <c r="A141" s="5" t="s">
        <v>114</v>
      </c>
      <c r="B141" s="5" t="s">
        <v>1063</v>
      </c>
      <c r="C141" s="5" t="s">
        <v>62</v>
      </c>
      <c r="D141" s="5" t="s">
        <v>1064</v>
      </c>
      <c r="E141" s="7">
        <v>45778</v>
      </c>
      <c r="F141" s="7">
        <v>46174</v>
      </c>
      <c r="G141" s="6">
        <v>1051.2</v>
      </c>
      <c r="H141" s="5">
        <v>0.17499999999999999</v>
      </c>
      <c r="I141" s="6">
        <v>15.33</v>
      </c>
      <c r="J141" s="5" t="s">
        <v>34</v>
      </c>
      <c r="K141" s="5" t="s">
        <v>1397</v>
      </c>
      <c r="L141" s="8">
        <v>18754354</v>
      </c>
      <c r="M141" s="5" t="s">
        <v>1389</v>
      </c>
      <c r="N141" s="6">
        <f>Renewals6[[#This Row],[Earnings]]/Renewals6[[#This Row],[Rate]]</f>
        <v>87.600000000000009</v>
      </c>
      <c r="O141" s="6">
        <f>Renewals6[[#This Row],[Column5]]*Renewals6[[#This Row],[Rate]]</f>
        <v>15.33</v>
      </c>
    </row>
    <row r="142" spans="1:15" x14ac:dyDescent="0.25">
      <c r="A142" s="5" t="s">
        <v>581</v>
      </c>
      <c r="B142" s="5" t="s">
        <v>1065</v>
      </c>
      <c r="C142" s="5" t="s">
        <v>32</v>
      </c>
      <c r="D142" s="5" t="s">
        <v>1066</v>
      </c>
      <c r="E142" s="7">
        <v>45791</v>
      </c>
      <c r="F142" s="7">
        <v>46187</v>
      </c>
      <c r="G142" s="6">
        <v>900.43</v>
      </c>
      <c r="H142" s="5">
        <v>0.13</v>
      </c>
      <c r="I142" s="6">
        <v>9.75</v>
      </c>
      <c r="J142" s="5" t="s">
        <v>34</v>
      </c>
      <c r="K142" s="5" t="s">
        <v>1390</v>
      </c>
      <c r="L142" s="8">
        <v>17126004</v>
      </c>
      <c r="M142" s="5" t="s">
        <v>1389</v>
      </c>
      <c r="N142" s="6">
        <f>Renewals6[[#This Row],[Earnings]]/Renewals6[[#This Row],[Rate]]</f>
        <v>75</v>
      </c>
      <c r="O142" s="6">
        <f>Renewals6[[#This Row],[Column5]]*Renewals6[[#This Row],[Rate]]</f>
        <v>9.75</v>
      </c>
    </row>
    <row r="143" spans="1:15" x14ac:dyDescent="0.25">
      <c r="A143" s="5" t="s">
        <v>581</v>
      </c>
      <c r="B143" s="5" t="s">
        <v>1067</v>
      </c>
      <c r="C143" s="5" t="s">
        <v>62</v>
      </c>
      <c r="D143" s="5" t="s">
        <v>1068</v>
      </c>
      <c r="E143" s="7">
        <v>45809</v>
      </c>
      <c r="F143" s="7">
        <v>46204</v>
      </c>
      <c r="G143" s="6">
        <v>1417.2</v>
      </c>
      <c r="H143" s="5">
        <v>0.17499999999999999</v>
      </c>
      <c r="I143" s="6">
        <v>20.67</v>
      </c>
      <c r="J143" s="5" t="s">
        <v>34</v>
      </c>
      <c r="K143" s="5" t="s">
        <v>1397</v>
      </c>
      <c r="L143" s="8" t="s">
        <v>1404</v>
      </c>
      <c r="M143" s="5" t="s">
        <v>1389</v>
      </c>
      <c r="N143" s="6">
        <f>Renewals6[[#This Row],[Earnings]]/Renewals6[[#This Row],[Rate]]</f>
        <v>118.11428571428573</v>
      </c>
      <c r="O143" s="6">
        <f>Renewals6[[#This Row],[Column5]]*Renewals6[[#This Row],[Rate]]</f>
        <v>20.67</v>
      </c>
    </row>
    <row r="144" spans="1:15" x14ac:dyDescent="0.25">
      <c r="A144" s="5" t="s">
        <v>581</v>
      </c>
      <c r="B144" s="5" t="s">
        <v>1069</v>
      </c>
      <c r="C144" s="5" t="s">
        <v>32</v>
      </c>
      <c r="D144" s="5" t="s">
        <v>1070</v>
      </c>
      <c r="E144" s="7">
        <v>45474</v>
      </c>
      <c r="F144" s="7">
        <v>46204</v>
      </c>
      <c r="G144" s="6">
        <v>1203.17</v>
      </c>
      <c r="H144" s="5">
        <v>0.12</v>
      </c>
      <c r="I144" s="6">
        <v>8.6199999999999992</v>
      </c>
      <c r="J144" s="5" t="s">
        <v>34</v>
      </c>
      <c r="K144" s="5" t="s">
        <v>1395</v>
      </c>
      <c r="L144" s="8">
        <v>17126004</v>
      </c>
      <c r="M144" s="5" t="s">
        <v>1389</v>
      </c>
      <c r="N144" s="6">
        <f>Renewals6[[#This Row],[Earnings]]/Renewals6[[#This Row],[Rate]]</f>
        <v>71.833333333333329</v>
      </c>
      <c r="O144" s="6">
        <f>Renewals6[[#This Row],[Column5]]*Renewals6[[#This Row],[Rate]]</f>
        <v>8.6199999999999992</v>
      </c>
    </row>
    <row r="145" spans="1:15" x14ac:dyDescent="0.25">
      <c r="A145" s="5" t="s">
        <v>581</v>
      </c>
      <c r="B145" s="5" t="s">
        <v>1071</v>
      </c>
      <c r="C145" s="5" t="s">
        <v>32</v>
      </c>
      <c r="D145" s="5" t="s">
        <v>1072</v>
      </c>
      <c r="E145" s="7">
        <v>45474</v>
      </c>
      <c r="F145" s="7">
        <v>46204</v>
      </c>
      <c r="G145" s="6">
        <v>862.54</v>
      </c>
      <c r="H145" s="5">
        <v>0.12</v>
      </c>
      <c r="I145" s="6">
        <v>8.6199999999999992</v>
      </c>
      <c r="J145" s="5" t="s">
        <v>34</v>
      </c>
      <c r="K145" s="5" t="s">
        <v>1395</v>
      </c>
      <c r="L145" s="8">
        <v>17126004</v>
      </c>
      <c r="M145" s="5" t="s">
        <v>1389</v>
      </c>
      <c r="N145" s="6">
        <f>Renewals6[[#This Row],[Earnings]]/Renewals6[[#This Row],[Rate]]</f>
        <v>71.833333333333329</v>
      </c>
      <c r="O145" s="6">
        <f>Renewals6[[#This Row],[Column5]]*Renewals6[[#This Row],[Rate]]</f>
        <v>8.6199999999999992</v>
      </c>
    </row>
    <row r="146" spans="1:15" x14ac:dyDescent="0.25">
      <c r="A146" s="5" t="s">
        <v>77</v>
      </c>
      <c r="B146" s="5" t="s">
        <v>1073</v>
      </c>
      <c r="C146" s="5" t="s">
        <v>32</v>
      </c>
      <c r="D146" s="5" t="s">
        <v>1074</v>
      </c>
      <c r="E146" s="7">
        <v>45505</v>
      </c>
      <c r="F146" s="7">
        <v>46174</v>
      </c>
      <c r="G146" s="6">
        <v>917.59</v>
      </c>
      <c r="H146" s="5">
        <v>0.12</v>
      </c>
      <c r="I146" s="6">
        <v>6.94</v>
      </c>
      <c r="J146" s="5" t="s">
        <v>34</v>
      </c>
      <c r="K146" s="5" t="s">
        <v>1395</v>
      </c>
      <c r="L146" s="8">
        <v>9213293</v>
      </c>
      <c r="M146" s="5" t="s">
        <v>1389</v>
      </c>
      <c r="N146" s="6">
        <f>Renewals6[[#This Row],[Earnings]]/Renewals6[[#This Row],[Rate]]</f>
        <v>57.833333333333336</v>
      </c>
      <c r="O146" s="6">
        <f>Renewals6[[#This Row],[Column5]]*Renewals6[[#This Row],[Rate]]</f>
        <v>6.94</v>
      </c>
    </row>
    <row r="147" spans="1:15" x14ac:dyDescent="0.25">
      <c r="A147" s="5" t="s">
        <v>154</v>
      </c>
      <c r="B147" s="5" t="s">
        <v>1075</v>
      </c>
      <c r="C147" s="5" t="s">
        <v>32</v>
      </c>
      <c r="D147" s="5" t="s">
        <v>1076</v>
      </c>
      <c r="E147" s="7">
        <v>45474</v>
      </c>
      <c r="F147" s="7">
        <v>46174</v>
      </c>
      <c r="G147" s="6">
        <v>467.79</v>
      </c>
      <c r="H147" s="5">
        <v>0.12</v>
      </c>
      <c r="I147" s="6">
        <v>4.68</v>
      </c>
      <c r="J147" s="5" t="s">
        <v>34</v>
      </c>
      <c r="K147" s="5" t="s">
        <v>1395</v>
      </c>
      <c r="L147" s="8">
        <v>19681796</v>
      </c>
      <c r="M147" s="5" t="s">
        <v>1389</v>
      </c>
      <c r="N147" s="6">
        <f>Renewals6[[#This Row],[Earnings]]/Renewals6[[#This Row],[Rate]]</f>
        <v>39</v>
      </c>
      <c r="O147" s="6">
        <f>Renewals6[[#This Row],[Column5]]*Renewals6[[#This Row],[Rate]]</f>
        <v>4.68</v>
      </c>
    </row>
    <row r="148" spans="1:15" x14ac:dyDescent="0.25">
      <c r="A148" s="5" t="s">
        <v>154</v>
      </c>
      <c r="B148" s="5" t="s">
        <v>1077</v>
      </c>
      <c r="C148" s="5" t="s">
        <v>32</v>
      </c>
      <c r="D148" s="5" t="s">
        <v>1078</v>
      </c>
      <c r="E148" s="7">
        <v>45474</v>
      </c>
      <c r="F148" s="7">
        <v>46174</v>
      </c>
      <c r="G148" s="6">
        <v>467.79</v>
      </c>
      <c r="H148" s="5">
        <v>0.12</v>
      </c>
      <c r="I148" s="6">
        <v>4.68</v>
      </c>
      <c r="J148" s="5" t="s">
        <v>34</v>
      </c>
      <c r="K148" s="5" t="s">
        <v>1395</v>
      </c>
      <c r="L148" s="8">
        <v>19681796</v>
      </c>
      <c r="M148" s="5" t="s">
        <v>1389</v>
      </c>
      <c r="N148" s="6">
        <f>Renewals6[[#This Row],[Earnings]]/Renewals6[[#This Row],[Rate]]</f>
        <v>39</v>
      </c>
      <c r="O148" s="6">
        <f>Renewals6[[#This Row],[Column5]]*Renewals6[[#This Row],[Rate]]</f>
        <v>4.68</v>
      </c>
    </row>
    <row r="149" spans="1:15" x14ac:dyDescent="0.25">
      <c r="A149" s="5" t="s">
        <v>77</v>
      </c>
      <c r="B149" s="5" t="s">
        <v>1079</v>
      </c>
      <c r="C149" s="5" t="s">
        <v>32</v>
      </c>
      <c r="D149" s="5" t="s">
        <v>1080</v>
      </c>
      <c r="E149" s="7">
        <v>45536</v>
      </c>
      <c r="F149" s="7">
        <v>46174</v>
      </c>
      <c r="G149" s="6">
        <v>884.95</v>
      </c>
      <c r="H149" s="5">
        <v>0.13</v>
      </c>
      <c r="I149" s="6">
        <v>9.59</v>
      </c>
      <c r="J149" s="5" t="s">
        <v>34</v>
      </c>
      <c r="K149" s="5" t="s">
        <v>1390</v>
      </c>
      <c r="L149" s="8">
        <v>9213293</v>
      </c>
      <c r="M149" s="5" t="s">
        <v>1389</v>
      </c>
      <c r="N149" s="6">
        <f>Renewals6[[#This Row],[Earnings]]/Renewals6[[#This Row],[Rate]]</f>
        <v>73.769230769230759</v>
      </c>
      <c r="O149" s="6">
        <f>Renewals6[[#This Row],[Column5]]*Renewals6[[#This Row],[Rate]]</f>
        <v>9.59</v>
      </c>
    </row>
    <row r="150" spans="1:15" x14ac:dyDescent="0.25">
      <c r="A150" s="5" t="s">
        <v>154</v>
      </c>
      <c r="B150" s="5" t="s">
        <v>1081</v>
      </c>
      <c r="C150" s="5" t="s">
        <v>32</v>
      </c>
      <c r="D150" s="5" t="s">
        <v>1082</v>
      </c>
      <c r="E150" s="7">
        <v>45480</v>
      </c>
      <c r="F150" s="7">
        <v>46180</v>
      </c>
      <c r="G150" s="6">
        <v>647.21</v>
      </c>
      <c r="H150" s="5">
        <v>0.13</v>
      </c>
      <c r="I150" s="6">
        <v>5.45</v>
      </c>
      <c r="J150" s="5" t="s">
        <v>34</v>
      </c>
      <c r="K150" s="5" t="s">
        <v>1390</v>
      </c>
      <c r="L150" s="8">
        <v>19681796</v>
      </c>
      <c r="M150" s="5" t="s">
        <v>1389</v>
      </c>
      <c r="N150" s="6">
        <f>Renewals6[[#This Row],[Earnings]]/Renewals6[[#This Row],[Rate]]</f>
        <v>41.92307692307692</v>
      </c>
      <c r="O150" s="6">
        <f>Renewals6[[#This Row],[Column5]]*Renewals6[[#This Row],[Rate]]</f>
        <v>5.45</v>
      </c>
    </row>
    <row r="151" spans="1:15" x14ac:dyDescent="0.25">
      <c r="A151" s="5" t="s">
        <v>154</v>
      </c>
      <c r="B151" s="5" t="s">
        <v>1083</v>
      </c>
      <c r="C151" s="5" t="s">
        <v>32</v>
      </c>
      <c r="D151" s="5" t="s">
        <v>1084</v>
      </c>
      <c r="E151" s="7">
        <v>45481</v>
      </c>
      <c r="F151" s="7">
        <v>46181</v>
      </c>
      <c r="G151" s="6">
        <v>607.15</v>
      </c>
      <c r="H151" s="5">
        <v>0.13</v>
      </c>
      <c r="I151" s="6">
        <v>6.58</v>
      </c>
      <c r="J151" s="5" t="s">
        <v>34</v>
      </c>
      <c r="K151" s="5" t="s">
        <v>1390</v>
      </c>
      <c r="L151" s="8">
        <v>19681796</v>
      </c>
      <c r="M151" s="5" t="s">
        <v>1389</v>
      </c>
      <c r="N151" s="6">
        <f>Renewals6[[#This Row],[Earnings]]/Renewals6[[#This Row],[Rate]]</f>
        <v>50.615384615384613</v>
      </c>
      <c r="O151" s="6">
        <f>Renewals6[[#This Row],[Column5]]*Renewals6[[#This Row],[Rate]]</f>
        <v>6.58</v>
      </c>
    </row>
    <row r="152" spans="1:15" x14ac:dyDescent="0.25">
      <c r="A152" s="5" t="s">
        <v>77</v>
      </c>
      <c r="B152" s="5" t="s">
        <v>1085</v>
      </c>
      <c r="C152" s="5" t="s">
        <v>32</v>
      </c>
      <c r="D152" s="5" t="s">
        <v>1086</v>
      </c>
      <c r="E152" s="7">
        <v>45536</v>
      </c>
      <c r="F152" s="7">
        <v>46174</v>
      </c>
      <c r="G152" s="6">
        <v>951.57</v>
      </c>
      <c r="H152" s="5">
        <v>0.13</v>
      </c>
      <c r="I152" s="6">
        <v>10.31</v>
      </c>
      <c r="J152" s="5" t="s">
        <v>34</v>
      </c>
      <c r="K152" s="5" t="s">
        <v>1390</v>
      </c>
      <c r="L152" s="8">
        <v>9213293</v>
      </c>
      <c r="M152" s="5" t="s">
        <v>1389</v>
      </c>
      <c r="N152" s="6">
        <f>Renewals6[[#This Row],[Earnings]]/Renewals6[[#This Row],[Rate]]</f>
        <v>79.307692307692307</v>
      </c>
      <c r="O152" s="6">
        <f>Renewals6[[#This Row],[Column5]]*Renewals6[[#This Row],[Rate]]</f>
        <v>10.31</v>
      </c>
    </row>
    <row r="153" spans="1:15" x14ac:dyDescent="0.25">
      <c r="A153" s="5" t="s">
        <v>581</v>
      </c>
      <c r="B153" s="5" t="s">
        <v>1087</v>
      </c>
      <c r="C153" s="5" t="s">
        <v>32</v>
      </c>
      <c r="D153" s="5" t="s">
        <v>1088</v>
      </c>
      <c r="E153" s="7">
        <v>45505</v>
      </c>
      <c r="F153" s="7">
        <v>46174</v>
      </c>
      <c r="G153" s="6">
        <v>891.32</v>
      </c>
      <c r="H153" s="5">
        <v>0.13</v>
      </c>
      <c r="I153" s="6">
        <v>7.18</v>
      </c>
      <c r="J153" s="5" t="s">
        <v>34</v>
      </c>
      <c r="K153" s="5" t="s">
        <v>1390</v>
      </c>
      <c r="L153" s="8">
        <v>17126004</v>
      </c>
      <c r="M153" s="5" t="s">
        <v>1389</v>
      </c>
      <c r="N153" s="6">
        <f>Renewals6[[#This Row],[Earnings]]/Renewals6[[#This Row],[Rate]]</f>
        <v>55.230769230769226</v>
      </c>
      <c r="O153" s="6">
        <f>Renewals6[[#This Row],[Column5]]*Renewals6[[#This Row],[Rate]]</f>
        <v>7.18</v>
      </c>
    </row>
    <row r="154" spans="1:15" x14ac:dyDescent="0.25">
      <c r="A154" s="5" t="s">
        <v>581</v>
      </c>
      <c r="B154" s="5" t="s">
        <v>1089</v>
      </c>
      <c r="C154" s="5" t="s">
        <v>32</v>
      </c>
      <c r="D154" s="5" t="s">
        <v>1090</v>
      </c>
      <c r="E154" s="7">
        <v>45505</v>
      </c>
      <c r="F154" s="7">
        <v>46174</v>
      </c>
      <c r="G154" s="6">
        <v>1169.55</v>
      </c>
      <c r="H154" s="5">
        <v>0.13</v>
      </c>
      <c r="I154" s="6">
        <v>12.67</v>
      </c>
      <c r="J154" s="5" t="s">
        <v>34</v>
      </c>
      <c r="K154" s="5" t="s">
        <v>1390</v>
      </c>
      <c r="L154" s="8">
        <v>17126004</v>
      </c>
      <c r="M154" s="5" t="s">
        <v>1389</v>
      </c>
      <c r="N154" s="6">
        <f>Renewals6[[#This Row],[Earnings]]/Renewals6[[#This Row],[Rate]]</f>
        <v>97.461538461538453</v>
      </c>
      <c r="O154" s="6">
        <f>Renewals6[[#This Row],[Column5]]*Renewals6[[#This Row],[Rate]]</f>
        <v>12.67</v>
      </c>
    </row>
    <row r="155" spans="1:15" x14ac:dyDescent="0.25">
      <c r="A155" s="5" t="s">
        <v>37</v>
      </c>
      <c r="B155" s="5" t="s">
        <v>1091</v>
      </c>
      <c r="C155" s="5" t="s">
        <v>32</v>
      </c>
      <c r="D155" s="5" t="s">
        <v>1092</v>
      </c>
      <c r="E155" s="7">
        <v>45484</v>
      </c>
      <c r="F155" s="7">
        <v>46184</v>
      </c>
      <c r="G155" s="6">
        <v>862.54</v>
      </c>
      <c r="H155" s="5">
        <v>0.13</v>
      </c>
      <c r="I155" s="6">
        <v>9.34</v>
      </c>
      <c r="J155" s="5" t="s">
        <v>34</v>
      </c>
      <c r="K155" s="5" t="s">
        <v>1390</v>
      </c>
      <c r="L155" s="8">
        <v>7146581</v>
      </c>
      <c r="M155" s="5" t="s">
        <v>1389</v>
      </c>
      <c r="N155" s="6">
        <f>Renewals6[[#This Row],[Earnings]]/Renewals6[[#This Row],[Rate]]</f>
        <v>71.84615384615384</v>
      </c>
      <c r="O155" s="6">
        <f>Renewals6[[#This Row],[Column5]]*Renewals6[[#This Row],[Rate]]</f>
        <v>9.34</v>
      </c>
    </row>
    <row r="156" spans="1:15" x14ac:dyDescent="0.25">
      <c r="A156" s="5" t="s">
        <v>154</v>
      </c>
      <c r="B156" s="5" t="s">
        <v>1093</v>
      </c>
      <c r="C156" s="5" t="s">
        <v>32</v>
      </c>
      <c r="D156" s="5" t="s">
        <v>1094</v>
      </c>
      <c r="E156" s="7">
        <v>45488</v>
      </c>
      <c r="F156" s="7">
        <v>46188</v>
      </c>
      <c r="G156" s="6">
        <v>922.84</v>
      </c>
      <c r="H156" s="5">
        <v>0.13</v>
      </c>
      <c r="I156" s="6">
        <v>10</v>
      </c>
      <c r="J156" s="5" t="s">
        <v>34</v>
      </c>
      <c r="K156" s="5" t="s">
        <v>1390</v>
      </c>
      <c r="L156" s="8">
        <v>19681796</v>
      </c>
      <c r="M156" s="5" t="s">
        <v>1389</v>
      </c>
      <c r="N156" s="6">
        <f>Renewals6[[#This Row],[Earnings]]/Renewals6[[#This Row],[Rate]]</f>
        <v>76.92307692307692</v>
      </c>
      <c r="O156" s="6">
        <f>Renewals6[[#This Row],[Column5]]*Renewals6[[#This Row],[Rate]]</f>
        <v>10</v>
      </c>
    </row>
    <row r="157" spans="1:15" x14ac:dyDescent="0.25">
      <c r="A157" s="5" t="s">
        <v>100</v>
      </c>
      <c r="B157" s="5" t="s">
        <v>1095</v>
      </c>
      <c r="C157" s="5" t="s">
        <v>91</v>
      </c>
      <c r="D157" s="5" t="s">
        <v>1096</v>
      </c>
      <c r="E157" s="7">
        <v>45505</v>
      </c>
      <c r="F157" s="7">
        <v>46174</v>
      </c>
      <c r="G157" s="6">
        <v>629.9</v>
      </c>
      <c r="H157" s="5">
        <v>0.13</v>
      </c>
      <c r="I157" s="6">
        <v>5.25</v>
      </c>
      <c r="J157" s="5" t="s">
        <v>34</v>
      </c>
      <c r="K157" s="5" t="s">
        <v>1390</v>
      </c>
      <c r="L157" s="8">
        <v>8244481</v>
      </c>
      <c r="M157" s="5" t="s">
        <v>1389</v>
      </c>
      <c r="N157" s="6">
        <f>Renewals6[[#This Row],[Earnings]]/Renewals6[[#This Row],[Rate]]</f>
        <v>40.38461538461538</v>
      </c>
      <c r="O157" s="6">
        <f>Renewals6[[#This Row],[Column5]]*Renewals6[[#This Row],[Rate]]</f>
        <v>5.2499999999999991</v>
      </c>
    </row>
    <row r="158" spans="1:15" x14ac:dyDescent="0.25">
      <c r="A158" s="5" t="s">
        <v>581</v>
      </c>
      <c r="B158" s="5" t="s">
        <v>1097</v>
      </c>
      <c r="C158" s="5" t="s">
        <v>32</v>
      </c>
      <c r="D158" s="5" t="s">
        <v>1098</v>
      </c>
      <c r="E158" s="7">
        <v>45505</v>
      </c>
      <c r="F158" s="7">
        <v>46174</v>
      </c>
      <c r="G158" s="6">
        <v>828.92</v>
      </c>
      <c r="H158" s="5">
        <v>0.13</v>
      </c>
      <c r="I158" s="6">
        <v>6.68</v>
      </c>
      <c r="J158" s="5" t="s">
        <v>34</v>
      </c>
      <c r="K158" s="5" t="s">
        <v>1390</v>
      </c>
      <c r="L158" s="8">
        <v>17126004</v>
      </c>
      <c r="M158" s="5" t="s">
        <v>1389</v>
      </c>
      <c r="N158" s="6">
        <f>Renewals6[[#This Row],[Earnings]]/Renewals6[[#This Row],[Rate]]</f>
        <v>51.38461538461538</v>
      </c>
      <c r="O158" s="6">
        <f>Renewals6[[#This Row],[Column5]]*Renewals6[[#This Row],[Rate]]</f>
        <v>6.68</v>
      </c>
    </row>
    <row r="159" spans="1:15" x14ac:dyDescent="0.25">
      <c r="A159" s="5" t="s">
        <v>154</v>
      </c>
      <c r="B159" s="5" t="s">
        <v>1099</v>
      </c>
      <c r="C159" s="5" t="s">
        <v>32</v>
      </c>
      <c r="D159" s="5" t="s">
        <v>1100</v>
      </c>
      <c r="E159" s="7">
        <v>45514</v>
      </c>
      <c r="F159" s="7">
        <v>46213</v>
      </c>
      <c r="G159" s="6">
        <v>652.86</v>
      </c>
      <c r="H159" s="5">
        <v>0.13</v>
      </c>
      <c r="I159" s="6">
        <v>7.07</v>
      </c>
      <c r="J159" s="5" t="s">
        <v>34</v>
      </c>
      <c r="K159" s="5" t="s">
        <v>1390</v>
      </c>
      <c r="L159" s="8">
        <v>19681796</v>
      </c>
      <c r="M159" s="5" t="s">
        <v>1389</v>
      </c>
      <c r="N159" s="6">
        <f>Renewals6[[#This Row],[Earnings]]/Renewals6[[#This Row],[Rate]]</f>
        <v>54.384615384615387</v>
      </c>
      <c r="O159" s="6">
        <f>Renewals6[[#This Row],[Column5]]*Renewals6[[#This Row],[Rate]]</f>
        <v>7.07</v>
      </c>
    </row>
    <row r="160" spans="1:15" x14ac:dyDescent="0.25">
      <c r="A160" s="5" t="s">
        <v>154</v>
      </c>
      <c r="B160" s="5" t="s">
        <v>1101</v>
      </c>
      <c r="C160" s="5" t="s">
        <v>32</v>
      </c>
      <c r="D160" s="5" t="s">
        <v>1102</v>
      </c>
      <c r="E160" s="7">
        <v>45524</v>
      </c>
      <c r="F160" s="7">
        <v>46193</v>
      </c>
      <c r="G160" s="6">
        <v>652.86</v>
      </c>
      <c r="H160" s="5">
        <v>0.13</v>
      </c>
      <c r="I160" s="6">
        <v>7.07</v>
      </c>
      <c r="J160" s="5" t="s">
        <v>34</v>
      </c>
      <c r="K160" s="5" t="s">
        <v>1390</v>
      </c>
      <c r="L160" s="8">
        <v>19681796</v>
      </c>
      <c r="M160" s="5" t="s">
        <v>1389</v>
      </c>
      <c r="N160" s="6">
        <f>Renewals6[[#This Row],[Earnings]]/Renewals6[[#This Row],[Rate]]</f>
        <v>54.384615384615387</v>
      </c>
      <c r="O160" s="6">
        <f>Renewals6[[#This Row],[Column5]]*Renewals6[[#This Row],[Rate]]</f>
        <v>7.07</v>
      </c>
    </row>
    <row r="161" spans="1:15" x14ac:dyDescent="0.25">
      <c r="A161" s="5" t="s">
        <v>37</v>
      </c>
      <c r="B161" s="5" t="s">
        <v>1103</v>
      </c>
      <c r="C161" s="5" t="s">
        <v>32</v>
      </c>
      <c r="D161" s="5" t="s">
        <v>1104</v>
      </c>
      <c r="E161" s="7">
        <v>45536</v>
      </c>
      <c r="F161" s="7">
        <v>46174</v>
      </c>
      <c r="G161" s="6">
        <v>915.42</v>
      </c>
      <c r="H161" s="5">
        <v>0.13</v>
      </c>
      <c r="I161" s="6">
        <v>9.92</v>
      </c>
      <c r="J161" s="5" t="s">
        <v>34</v>
      </c>
      <c r="K161" s="5" t="s">
        <v>1390</v>
      </c>
      <c r="L161" s="8">
        <v>7146581</v>
      </c>
      <c r="M161" s="5" t="s">
        <v>1389</v>
      </c>
      <c r="N161" s="6">
        <f>Renewals6[[#This Row],[Earnings]]/Renewals6[[#This Row],[Rate]]</f>
        <v>76.307692307692307</v>
      </c>
      <c r="O161" s="6">
        <f>Renewals6[[#This Row],[Column5]]*Renewals6[[#This Row],[Rate]]</f>
        <v>9.92</v>
      </c>
    </row>
    <row r="162" spans="1:15" x14ac:dyDescent="0.25">
      <c r="A162" s="5" t="s">
        <v>154</v>
      </c>
      <c r="B162" s="5" t="s">
        <v>1105</v>
      </c>
      <c r="C162" s="5" t="s">
        <v>32</v>
      </c>
      <c r="D162" s="5" t="s">
        <v>1106</v>
      </c>
      <c r="E162" s="7">
        <v>45558</v>
      </c>
      <c r="F162" s="7">
        <v>46196</v>
      </c>
      <c r="G162" s="6">
        <v>581.59</v>
      </c>
      <c r="H162" s="5">
        <v>0.13</v>
      </c>
      <c r="I162" s="6">
        <v>4.8499999999999996</v>
      </c>
      <c r="J162" s="5" t="s">
        <v>34</v>
      </c>
      <c r="K162" s="5" t="s">
        <v>1390</v>
      </c>
      <c r="L162" s="8">
        <v>19681796</v>
      </c>
      <c r="M162" s="5" t="s">
        <v>1389</v>
      </c>
      <c r="N162" s="6">
        <f>Renewals6[[#This Row],[Earnings]]/Renewals6[[#This Row],[Rate]]</f>
        <v>37.307692307692307</v>
      </c>
      <c r="O162" s="6">
        <f>Renewals6[[#This Row],[Column5]]*Renewals6[[#This Row],[Rate]]</f>
        <v>4.8499999999999996</v>
      </c>
    </row>
    <row r="163" spans="1:15" x14ac:dyDescent="0.25">
      <c r="A163" s="5" t="s">
        <v>220</v>
      </c>
      <c r="B163" s="5" t="s">
        <v>1107</v>
      </c>
      <c r="C163" s="5" t="s">
        <v>32</v>
      </c>
      <c r="D163" s="5" t="s">
        <v>1108</v>
      </c>
      <c r="E163" s="7">
        <v>45565</v>
      </c>
      <c r="F163" s="7">
        <v>46172</v>
      </c>
      <c r="G163" s="6">
        <v>607.15</v>
      </c>
      <c r="H163" s="5">
        <v>0.13</v>
      </c>
      <c r="I163" s="6">
        <v>6.58</v>
      </c>
      <c r="J163" s="5" t="s">
        <v>34</v>
      </c>
      <c r="K163" s="5" t="s">
        <v>1390</v>
      </c>
      <c r="L163" s="8">
        <v>16633294</v>
      </c>
      <c r="M163" s="5" t="s">
        <v>1389</v>
      </c>
      <c r="N163" s="6">
        <f>Renewals6[[#This Row],[Earnings]]/Renewals6[[#This Row],[Rate]]</f>
        <v>50.615384615384613</v>
      </c>
      <c r="O163" s="6">
        <f>Renewals6[[#This Row],[Column5]]*Renewals6[[#This Row],[Rate]]</f>
        <v>6.58</v>
      </c>
    </row>
    <row r="164" spans="1:15" x14ac:dyDescent="0.25">
      <c r="A164" s="5" t="s">
        <v>77</v>
      </c>
      <c r="B164" s="5" t="s">
        <v>1109</v>
      </c>
      <c r="C164" s="5" t="s">
        <v>32</v>
      </c>
      <c r="D164" s="5" t="s">
        <v>1110</v>
      </c>
      <c r="E164" s="7">
        <v>45566</v>
      </c>
      <c r="F164" s="7">
        <v>46174</v>
      </c>
      <c r="G164" s="6">
        <v>746.56</v>
      </c>
      <c r="H164" s="5">
        <v>0.13</v>
      </c>
      <c r="I164" s="6">
        <v>8.09</v>
      </c>
      <c r="J164" s="5" t="s">
        <v>34</v>
      </c>
      <c r="K164" s="5" t="s">
        <v>1390</v>
      </c>
      <c r="L164" s="8">
        <v>9213293</v>
      </c>
      <c r="M164" s="5" t="s">
        <v>1389</v>
      </c>
      <c r="N164" s="6">
        <f>Renewals6[[#This Row],[Earnings]]/Renewals6[[#This Row],[Rate]]</f>
        <v>62.230769230769226</v>
      </c>
      <c r="O164" s="6">
        <f>Renewals6[[#This Row],[Column5]]*Renewals6[[#This Row],[Rate]]</f>
        <v>8.09</v>
      </c>
    </row>
    <row r="165" spans="1:15" x14ac:dyDescent="0.25">
      <c r="A165" s="5" t="s">
        <v>220</v>
      </c>
      <c r="B165" s="5" t="s">
        <v>1111</v>
      </c>
      <c r="C165" s="5" t="s">
        <v>32</v>
      </c>
      <c r="D165" s="5" t="s">
        <v>1112</v>
      </c>
      <c r="E165" s="7">
        <v>45575</v>
      </c>
      <c r="F165" s="7">
        <v>46183</v>
      </c>
      <c r="G165" s="6">
        <v>616.71</v>
      </c>
      <c r="H165" s="5">
        <v>0.13</v>
      </c>
      <c r="I165" s="6">
        <v>6.68</v>
      </c>
      <c r="J165" s="5" t="s">
        <v>34</v>
      </c>
      <c r="K165" s="5" t="s">
        <v>1390</v>
      </c>
      <c r="L165" s="8">
        <v>16633294</v>
      </c>
      <c r="M165" s="5" t="s">
        <v>1389</v>
      </c>
      <c r="N165" s="6">
        <f>Renewals6[[#This Row],[Earnings]]/Renewals6[[#This Row],[Rate]]</f>
        <v>51.38461538461538</v>
      </c>
      <c r="O165" s="6">
        <f>Renewals6[[#This Row],[Column5]]*Renewals6[[#This Row],[Rate]]</f>
        <v>6.68</v>
      </c>
    </row>
    <row r="166" spans="1:15" x14ac:dyDescent="0.25">
      <c r="A166" s="5" t="s">
        <v>69</v>
      </c>
      <c r="B166" s="5" t="s">
        <v>1113</v>
      </c>
      <c r="C166" s="5" t="s">
        <v>32</v>
      </c>
      <c r="D166" s="5" t="s">
        <v>1114</v>
      </c>
      <c r="E166" s="7">
        <v>45576</v>
      </c>
      <c r="F166" s="7">
        <v>46184</v>
      </c>
      <c r="G166" s="6">
        <v>621.98</v>
      </c>
      <c r="H166" s="5">
        <v>0.13</v>
      </c>
      <c r="I166" s="6">
        <v>6.74</v>
      </c>
      <c r="J166" s="5" t="s">
        <v>34</v>
      </c>
      <c r="K166" s="5" t="s">
        <v>1390</v>
      </c>
      <c r="L166" s="8">
        <v>19586992</v>
      </c>
      <c r="M166" s="5" t="s">
        <v>1389</v>
      </c>
      <c r="N166" s="6">
        <f>Renewals6[[#This Row],[Earnings]]/Renewals6[[#This Row],[Rate]]</f>
        <v>51.846153846153847</v>
      </c>
      <c r="O166" s="6">
        <f>Renewals6[[#This Row],[Column5]]*Renewals6[[#This Row],[Rate]]</f>
        <v>6.74</v>
      </c>
    </row>
    <row r="167" spans="1:15" x14ac:dyDescent="0.25">
      <c r="A167" s="5" t="s">
        <v>220</v>
      </c>
      <c r="B167" s="5" t="s">
        <v>1115</v>
      </c>
      <c r="C167" s="5" t="s">
        <v>32</v>
      </c>
      <c r="D167" s="5" t="s">
        <v>1116</v>
      </c>
      <c r="E167" s="7">
        <v>45577</v>
      </c>
      <c r="F167" s="7">
        <v>46185</v>
      </c>
      <c r="G167" s="6">
        <v>652.86</v>
      </c>
      <c r="H167" s="5">
        <v>0.13</v>
      </c>
      <c r="I167" s="6">
        <v>7.07</v>
      </c>
      <c r="J167" s="5" t="s">
        <v>34</v>
      </c>
      <c r="K167" s="5" t="s">
        <v>1390</v>
      </c>
      <c r="L167" s="8">
        <v>16633294</v>
      </c>
      <c r="M167" s="5" t="s">
        <v>1389</v>
      </c>
      <c r="N167" s="6">
        <f>Renewals6[[#This Row],[Earnings]]/Renewals6[[#This Row],[Rate]]</f>
        <v>54.384615384615387</v>
      </c>
      <c r="O167" s="6">
        <f>Renewals6[[#This Row],[Column5]]*Renewals6[[#This Row],[Rate]]</f>
        <v>7.07</v>
      </c>
    </row>
    <row r="168" spans="1:15" x14ac:dyDescent="0.25">
      <c r="A168" s="5" t="s">
        <v>77</v>
      </c>
      <c r="B168" s="5" t="s">
        <v>1117</v>
      </c>
      <c r="C168" s="5" t="s">
        <v>32</v>
      </c>
      <c r="D168" s="5" t="s">
        <v>1118</v>
      </c>
      <c r="E168" s="7">
        <v>45636</v>
      </c>
      <c r="F168" s="7">
        <v>46183</v>
      </c>
      <c r="G168" s="6">
        <v>554.75</v>
      </c>
      <c r="H168" s="5">
        <v>0.13</v>
      </c>
      <c r="I168" s="6">
        <v>6.01</v>
      </c>
      <c r="J168" s="5" t="s">
        <v>34</v>
      </c>
      <c r="K168" s="5" t="s">
        <v>1390</v>
      </c>
      <c r="L168" s="8">
        <v>9213293</v>
      </c>
      <c r="M168" s="5" t="s">
        <v>1389</v>
      </c>
      <c r="N168" s="6">
        <f>Renewals6[[#This Row],[Earnings]]/Renewals6[[#This Row],[Rate]]</f>
        <v>46.230769230769226</v>
      </c>
      <c r="O168" s="6">
        <f>Renewals6[[#This Row],[Column5]]*Renewals6[[#This Row],[Rate]]</f>
        <v>6.01</v>
      </c>
    </row>
    <row r="169" spans="1:15" x14ac:dyDescent="0.25">
      <c r="A169" s="5" t="s">
        <v>83</v>
      </c>
      <c r="B169" s="5" t="s">
        <v>1119</v>
      </c>
      <c r="C169" s="5" t="s">
        <v>32</v>
      </c>
      <c r="D169" s="5" t="s">
        <v>1120</v>
      </c>
      <c r="E169" s="7">
        <v>45576</v>
      </c>
      <c r="F169" s="7">
        <v>46184</v>
      </c>
      <c r="G169" s="6">
        <v>1262.0999999999999</v>
      </c>
      <c r="H169" s="5">
        <v>6.5000000000000002E-2</v>
      </c>
      <c r="I169" s="6">
        <v>6.84</v>
      </c>
      <c r="J169" s="5" t="s">
        <v>34</v>
      </c>
      <c r="K169" s="5" t="s">
        <v>1398</v>
      </c>
      <c r="L169" s="8">
        <v>8325282</v>
      </c>
      <c r="M169" s="5" t="s">
        <v>1389</v>
      </c>
      <c r="N169" s="6">
        <f>Renewals6[[#This Row],[Earnings]]/Renewals6[[#This Row],[Rate]]</f>
        <v>105.23076923076923</v>
      </c>
      <c r="O169" s="6">
        <f>Renewals6[[#This Row],[Column5]]*Renewals6[[#This Row],[Rate]]</f>
        <v>6.84</v>
      </c>
    </row>
    <row r="170" spans="1:15" x14ac:dyDescent="0.25">
      <c r="A170" s="5" t="s">
        <v>83</v>
      </c>
      <c r="B170" s="5" t="s">
        <v>1121</v>
      </c>
      <c r="C170" s="5" t="s">
        <v>32</v>
      </c>
      <c r="D170" s="5" t="s">
        <v>1122</v>
      </c>
      <c r="E170" s="7">
        <v>45580</v>
      </c>
      <c r="F170" s="7">
        <v>46188</v>
      </c>
      <c r="G170" s="6">
        <v>620.57000000000005</v>
      </c>
      <c r="H170" s="5">
        <v>0.13</v>
      </c>
      <c r="I170" s="6">
        <v>6.72</v>
      </c>
      <c r="J170" s="5" t="s">
        <v>34</v>
      </c>
      <c r="K170" s="5" t="s">
        <v>1390</v>
      </c>
      <c r="L170" s="8">
        <v>8325282</v>
      </c>
      <c r="M170" s="5" t="s">
        <v>1389</v>
      </c>
      <c r="N170" s="6">
        <f>Renewals6[[#This Row],[Earnings]]/Renewals6[[#This Row],[Rate]]</f>
        <v>51.692307692307686</v>
      </c>
      <c r="O170" s="6">
        <f>Renewals6[[#This Row],[Column5]]*Renewals6[[#This Row],[Rate]]</f>
        <v>6.72</v>
      </c>
    </row>
    <row r="171" spans="1:15" x14ac:dyDescent="0.25">
      <c r="A171" s="5" t="s">
        <v>979</v>
      </c>
      <c r="B171" s="5" t="s">
        <v>1123</v>
      </c>
      <c r="C171" s="5" t="s">
        <v>91</v>
      </c>
      <c r="D171" s="5" t="s">
        <v>1124</v>
      </c>
      <c r="E171" s="7">
        <v>45597</v>
      </c>
      <c r="F171" s="7">
        <v>46174</v>
      </c>
      <c r="G171" s="6">
        <v>1342.52</v>
      </c>
      <c r="H171" s="5">
        <v>6.5000000000000002E-2</v>
      </c>
      <c r="I171" s="6">
        <v>7.27</v>
      </c>
      <c r="J171" s="5" t="s">
        <v>34</v>
      </c>
      <c r="K171" s="5" t="s">
        <v>1398</v>
      </c>
      <c r="L171" s="8">
        <v>21104854</v>
      </c>
      <c r="M171" s="5" t="s">
        <v>1389</v>
      </c>
      <c r="N171" s="6">
        <f>Renewals6[[#This Row],[Earnings]]/Renewals6[[#This Row],[Rate]]</f>
        <v>111.84615384615384</v>
      </c>
      <c r="O171" s="6">
        <f>Renewals6[[#This Row],[Column5]]*Renewals6[[#This Row],[Rate]]</f>
        <v>7.27</v>
      </c>
    </row>
    <row r="172" spans="1:15" x14ac:dyDescent="0.25">
      <c r="A172" s="5" t="s">
        <v>49</v>
      </c>
      <c r="B172" s="5" t="s">
        <v>1125</v>
      </c>
      <c r="C172" s="5" t="s">
        <v>32</v>
      </c>
      <c r="D172" s="5" t="s">
        <v>1126</v>
      </c>
      <c r="E172" s="7">
        <v>45582</v>
      </c>
      <c r="F172" s="7">
        <v>46190</v>
      </c>
      <c r="G172" s="6">
        <v>746.56</v>
      </c>
      <c r="H172" s="5">
        <v>0.13</v>
      </c>
      <c r="I172" s="6">
        <v>8.09</v>
      </c>
      <c r="J172" s="5" t="s">
        <v>34</v>
      </c>
      <c r="K172" s="5" t="s">
        <v>1390</v>
      </c>
      <c r="L172" s="8">
        <v>18581063</v>
      </c>
      <c r="M172" s="5" t="s">
        <v>1389</v>
      </c>
      <c r="N172" s="6">
        <f>Renewals6[[#This Row],[Earnings]]/Renewals6[[#This Row],[Rate]]</f>
        <v>62.230769230769226</v>
      </c>
      <c r="O172" s="6">
        <f>Renewals6[[#This Row],[Column5]]*Renewals6[[#This Row],[Rate]]</f>
        <v>8.09</v>
      </c>
    </row>
    <row r="173" spans="1:15" x14ac:dyDescent="0.25">
      <c r="A173" s="5" t="s">
        <v>228</v>
      </c>
      <c r="B173" s="5" t="s">
        <v>1127</v>
      </c>
      <c r="C173" s="5" t="s">
        <v>32</v>
      </c>
      <c r="D173" s="5" t="s">
        <v>1128</v>
      </c>
      <c r="E173" s="7">
        <v>45582</v>
      </c>
      <c r="F173" s="7">
        <v>46190</v>
      </c>
      <c r="G173" s="6">
        <v>1083.31</v>
      </c>
      <c r="H173" s="5">
        <v>6.5000000000000002E-2</v>
      </c>
      <c r="I173" s="6">
        <v>5.87</v>
      </c>
      <c r="J173" s="5" t="s">
        <v>34</v>
      </c>
      <c r="K173" s="5" t="s">
        <v>1398</v>
      </c>
      <c r="L173" s="8">
        <v>8814784</v>
      </c>
      <c r="M173" s="5" t="s">
        <v>1389</v>
      </c>
      <c r="N173" s="6">
        <f>Renewals6[[#This Row],[Earnings]]/Renewals6[[#This Row],[Rate]]</f>
        <v>90.307692307692307</v>
      </c>
      <c r="O173" s="6">
        <f>Renewals6[[#This Row],[Column5]]*Renewals6[[#This Row],[Rate]]</f>
        <v>5.87</v>
      </c>
    </row>
    <row r="174" spans="1:15" x14ac:dyDescent="0.25">
      <c r="A174" s="5" t="s">
        <v>220</v>
      </c>
      <c r="B174" s="5" t="s">
        <v>1129</v>
      </c>
      <c r="C174" s="5" t="s">
        <v>32</v>
      </c>
      <c r="D174" s="5" t="s">
        <v>1130</v>
      </c>
      <c r="E174" s="7">
        <v>45584</v>
      </c>
      <c r="F174" s="7">
        <v>46192</v>
      </c>
      <c r="G174" s="6">
        <v>652.86</v>
      </c>
      <c r="H174" s="5">
        <v>0.13</v>
      </c>
      <c r="I174" s="6">
        <v>7.07</v>
      </c>
      <c r="J174" s="5" t="s">
        <v>34</v>
      </c>
      <c r="K174" s="5" t="s">
        <v>1390</v>
      </c>
      <c r="L174" s="8">
        <v>16633294</v>
      </c>
      <c r="M174" s="5" t="s">
        <v>1389</v>
      </c>
      <c r="N174" s="6">
        <f>Renewals6[[#This Row],[Earnings]]/Renewals6[[#This Row],[Rate]]</f>
        <v>54.384615384615387</v>
      </c>
      <c r="O174" s="6">
        <f>Renewals6[[#This Row],[Column5]]*Renewals6[[#This Row],[Rate]]</f>
        <v>7.07</v>
      </c>
    </row>
    <row r="175" spans="1:15" x14ac:dyDescent="0.25">
      <c r="A175" s="5" t="s">
        <v>220</v>
      </c>
      <c r="B175" s="5" t="s">
        <v>1131</v>
      </c>
      <c r="C175" s="5" t="s">
        <v>32</v>
      </c>
      <c r="D175" s="5" t="s">
        <v>1132</v>
      </c>
      <c r="E175" s="7">
        <v>45584</v>
      </c>
      <c r="F175" s="7">
        <v>46192</v>
      </c>
      <c r="G175" s="6">
        <v>1840.36</v>
      </c>
      <c r="H175" s="5">
        <v>6.5000000000000002E-2</v>
      </c>
      <c r="I175" s="6">
        <v>9.9700000000000006</v>
      </c>
      <c r="J175" s="5" t="s">
        <v>34</v>
      </c>
      <c r="K175" s="5" t="s">
        <v>1398</v>
      </c>
      <c r="L175" s="8">
        <v>16633294</v>
      </c>
      <c r="M175" s="5" t="s">
        <v>1389</v>
      </c>
      <c r="N175" s="6">
        <f>Renewals6[[#This Row],[Earnings]]/Renewals6[[#This Row],[Rate]]</f>
        <v>153.38461538461539</v>
      </c>
      <c r="O175" s="6">
        <f>Renewals6[[#This Row],[Column5]]*Renewals6[[#This Row],[Rate]]</f>
        <v>9.9700000000000006</v>
      </c>
    </row>
    <row r="176" spans="1:15" x14ac:dyDescent="0.25">
      <c r="A176" s="5" t="s">
        <v>77</v>
      </c>
      <c r="B176" s="5" t="s">
        <v>1133</v>
      </c>
      <c r="C176" s="5" t="s">
        <v>32</v>
      </c>
      <c r="D176" s="5" t="s">
        <v>1134</v>
      </c>
      <c r="E176" s="7">
        <v>45583</v>
      </c>
      <c r="F176" s="7">
        <v>46191</v>
      </c>
      <c r="G176" s="6">
        <v>1340.99</v>
      </c>
      <c r="H176" s="5">
        <v>0.13</v>
      </c>
      <c r="I176" s="6">
        <v>14.53</v>
      </c>
      <c r="J176" s="5" t="s">
        <v>688</v>
      </c>
      <c r="K176" s="5" t="s">
        <v>1390</v>
      </c>
      <c r="L176" s="8">
        <v>9213293</v>
      </c>
      <c r="M176" s="5" t="s">
        <v>1389</v>
      </c>
      <c r="N176" s="6">
        <f>Renewals6[[#This Row],[Earnings]]/Renewals6[[#This Row],[Rate]]</f>
        <v>111.76923076923076</v>
      </c>
      <c r="O176" s="6">
        <f>Renewals6[[#This Row],[Column5]]*Renewals6[[#This Row],[Rate]]</f>
        <v>14.53</v>
      </c>
    </row>
    <row r="177" spans="1:15" x14ac:dyDescent="0.25">
      <c r="A177" s="5" t="s">
        <v>220</v>
      </c>
      <c r="B177" s="5" t="s">
        <v>1135</v>
      </c>
      <c r="C177" s="5" t="s">
        <v>32</v>
      </c>
      <c r="D177" s="5" t="s">
        <v>1136</v>
      </c>
      <c r="E177" s="7">
        <v>45584</v>
      </c>
      <c r="F177" s="7">
        <v>46192</v>
      </c>
      <c r="G177" s="6">
        <v>919.19</v>
      </c>
      <c r="H177" s="5">
        <v>0.13</v>
      </c>
      <c r="I177" s="6">
        <v>9.9600000000000009</v>
      </c>
      <c r="J177" s="5" t="s">
        <v>34</v>
      </c>
      <c r="K177" s="5" t="s">
        <v>1390</v>
      </c>
      <c r="L177" s="8">
        <v>16633294</v>
      </c>
      <c r="M177" s="5" t="s">
        <v>1389</v>
      </c>
      <c r="N177" s="6">
        <f>Renewals6[[#This Row],[Earnings]]/Renewals6[[#This Row],[Rate]]</f>
        <v>76.615384615384613</v>
      </c>
      <c r="O177" s="6">
        <f>Renewals6[[#This Row],[Column5]]*Renewals6[[#This Row],[Rate]]</f>
        <v>9.9600000000000009</v>
      </c>
    </row>
    <row r="178" spans="1:15" x14ac:dyDescent="0.25">
      <c r="A178" s="5" t="s">
        <v>220</v>
      </c>
      <c r="B178" s="5" t="s">
        <v>1137</v>
      </c>
      <c r="C178" s="5" t="s">
        <v>32</v>
      </c>
      <c r="D178" s="5" t="s">
        <v>933</v>
      </c>
      <c r="E178" s="7">
        <v>45585</v>
      </c>
      <c r="F178" s="7">
        <v>46193</v>
      </c>
      <c r="G178" s="6">
        <v>702.31</v>
      </c>
      <c r="H178" s="5">
        <v>0.13</v>
      </c>
      <c r="I178" s="6">
        <v>6.05</v>
      </c>
      <c r="J178" s="5" t="s">
        <v>934</v>
      </c>
      <c r="K178" s="5" t="s">
        <v>1390</v>
      </c>
      <c r="L178" s="8">
        <v>16633294</v>
      </c>
      <c r="M178" s="5" t="s">
        <v>1389</v>
      </c>
      <c r="N178" s="6">
        <f>Renewals6[[#This Row],[Earnings]]/Renewals6[[#This Row],[Rate]]</f>
        <v>46.538461538461533</v>
      </c>
      <c r="O178" s="6">
        <f>Renewals6[[#This Row],[Column5]]*Renewals6[[#This Row],[Rate]]</f>
        <v>6.05</v>
      </c>
    </row>
    <row r="179" spans="1:15" x14ac:dyDescent="0.25">
      <c r="A179" s="5" t="s">
        <v>220</v>
      </c>
      <c r="B179" s="5" t="s">
        <v>1138</v>
      </c>
      <c r="C179" s="5" t="s">
        <v>32</v>
      </c>
      <c r="D179" s="5" t="s">
        <v>1139</v>
      </c>
      <c r="E179" s="7">
        <v>45583</v>
      </c>
      <c r="F179" s="7">
        <v>46191</v>
      </c>
      <c r="G179" s="6">
        <v>652.86</v>
      </c>
      <c r="H179" s="5">
        <v>0.13</v>
      </c>
      <c r="I179" s="6">
        <v>7.07</v>
      </c>
      <c r="J179" s="5" t="s">
        <v>34</v>
      </c>
      <c r="K179" s="5" t="s">
        <v>1390</v>
      </c>
      <c r="L179" s="8">
        <v>16633294</v>
      </c>
      <c r="M179" s="5" t="s">
        <v>1389</v>
      </c>
      <c r="N179" s="6">
        <f>Renewals6[[#This Row],[Earnings]]/Renewals6[[#This Row],[Rate]]</f>
        <v>54.384615384615387</v>
      </c>
      <c r="O179" s="6">
        <f>Renewals6[[#This Row],[Column5]]*Renewals6[[#This Row],[Rate]]</f>
        <v>7.07</v>
      </c>
    </row>
    <row r="180" spans="1:15" x14ac:dyDescent="0.25">
      <c r="A180" s="5" t="s">
        <v>220</v>
      </c>
      <c r="B180" s="5" t="s">
        <v>1140</v>
      </c>
      <c r="C180" s="5" t="s">
        <v>32</v>
      </c>
      <c r="D180" s="5" t="s">
        <v>1141</v>
      </c>
      <c r="E180" s="7">
        <v>45589</v>
      </c>
      <c r="F180" s="7">
        <v>46197</v>
      </c>
      <c r="G180" s="6">
        <v>919.19</v>
      </c>
      <c r="H180" s="5">
        <v>0.13</v>
      </c>
      <c r="I180" s="6">
        <v>9.9600000000000009</v>
      </c>
      <c r="J180" s="5" t="s">
        <v>34</v>
      </c>
      <c r="K180" s="5" t="s">
        <v>1390</v>
      </c>
      <c r="L180" s="8">
        <v>16633294</v>
      </c>
      <c r="M180" s="5" t="s">
        <v>1389</v>
      </c>
      <c r="N180" s="6">
        <f>Renewals6[[#This Row],[Earnings]]/Renewals6[[#This Row],[Rate]]</f>
        <v>76.615384615384613</v>
      </c>
      <c r="O180" s="6">
        <f>Renewals6[[#This Row],[Column5]]*Renewals6[[#This Row],[Rate]]</f>
        <v>9.9600000000000009</v>
      </c>
    </row>
    <row r="181" spans="1:15" x14ac:dyDescent="0.25">
      <c r="A181" s="5" t="s">
        <v>220</v>
      </c>
      <c r="B181" s="5" t="s">
        <v>1142</v>
      </c>
      <c r="C181" s="5" t="s">
        <v>32</v>
      </c>
      <c r="D181" s="5" t="s">
        <v>1143</v>
      </c>
      <c r="E181" s="7">
        <v>45588</v>
      </c>
      <c r="F181" s="7">
        <v>46196</v>
      </c>
      <c r="G181" s="6">
        <v>607.15</v>
      </c>
      <c r="H181" s="5">
        <v>0.13</v>
      </c>
      <c r="I181" s="6">
        <v>6.58</v>
      </c>
      <c r="J181" s="5" t="s">
        <v>34</v>
      </c>
      <c r="K181" s="5" t="s">
        <v>1390</v>
      </c>
      <c r="L181" s="8">
        <v>16633294</v>
      </c>
      <c r="M181" s="5" t="s">
        <v>1389</v>
      </c>
      <c r="N181" s="6">
        <f>Renewals6[[#This Row],[Earnings]]/Renewals6[[#This Row],[Rate]]</f>
        <v>50.615384615384613</v>
      </c>
      <c r="O181" s="6">
        <f>Renewals6[[#This Row],[Column5]]*Renewals6[[#This Row],[Rate]]</f>
        <v>6.58</v>
      </c>
    </row>
    <row r="182" spans="1:15" x14ac:dyDescent="0.25">
      <c r="A182" s="5" t="s">
        <v>220</v>
      </c>
      <c r="B182" s="5" t="s">
        <v>1144</v>
      </c>
      <c r="C182" s="5" t="s">
        <v>32</v>
      </c>
      <c r="D182" s="5" t="s">
        <v>1145</v>
      </c>
      <c r="E182" s="7">
        <v>45591</v>
      </c>
      <c r="F182" s="7">
        <v>46199</v>
      </c>
      <c r="G182" s="6">
        <v>792.35</v>
      </c>
      <c r="H182" s="5">
        <v>0.13</v>
      </c>
      <c r="I182" s="6">
        <v>8.58</v>
      </c>
      <c r="J182" s="5" t="s">
        <v>34</v>
      </c>
      <c r="K182" s="5" t="s">
        <v>1390</v>
      </c>
      <c r="L182" s="8">
        <v>16633294</v>
      </c>
      <c r="M182" s="5" t="s">
        <v>1389</v>
      </c>
      <c r="N182" s="6">
        <f>Renewals6[[#This Row],[Earnings]]/Renewals6[[#This Row],[Rate]]</f>
        <v>66</v>
      </c>
      <c r="O182" s="6">
        <f>Renewals6[[#This Row],[Column5]]*Renewals6[[#This Row],[Rate]]</f>
        <v>8.58</v>
      </c>
    </row>
    <row r="183" spans="1:15" x14ac:dyDescent="0.25">
      <c r="A183" s="5" t="s">
        <v>132</v>
      </c>
      <c r="B183" s="5" t="s">
        <v>1146</v>
      </c>
      <c r="C183" s="5" t="s">
        <v>32</v>
      </c>
      <c r="D183" s="5" t="s">
        <v>1147</v>
      </c>
      <c r="E183" s="7">
        <v>45597</v>
      </c>
      <c r="F183" s="7">
        <v>46204</v>
      </c>
      <c r="G183" s="6">
        <v>2212.54</v>
      </c>
      <c r="H183" s="5">
        <v>6.5000000000000002E-2</v>
      </c>
      <c r="I183" s="6">
        <v>11.98</v>
      </c>
      <c r="J183" s="5" t="s">
        <v>34</v>
      </c>
      <c r="K183" s="5" t="s">
        <v>1398</v>
      </c>
      <c r="L183" s="8">
        <v>16912722</v>
      </c>
      <c r="M183" s="5" t="s">
        <v>1389</v>
      </c>
      <c r="N183" s="6">
        <f>Renewals6[[#This Row],[Earnings]]/Renewals6[[#This Row],[Rate]]</f>
        <v>184.30769230769232</v>
      </c>
      <c r="O183" s="6">
        <f>Renewals6[[#This Row],[Column5]]*Renewals6[[#This Row],[Rate]]</f>
        <v>11.98</v>
      </c>
    </row>
    <row r="184" spans="1:15" x14ac:dyDescent="0.25">
      <c r="A184" s="5" t="s">
        <v>220</v>
      </c>
      <c r="B184" s="5" t="s">
        <v>1148</v>
      </c>
      <c r="C184" s="5" t="s">
        <v>32</v>
      </c>
      <c r="D184" s="5" t="s">
        <v>1149</v>
      </c>
      <c r="E184" s="7">
        <v>45594</v>
      </c>
      <c r="F184" s="7">
        <v>46202</v>
      </c>
      <c r="G184" s="6">
        <v>1623.84</v>
      </c>
      <c r="H184" s="5">
        <v>6.5000000000000002E-2</v>
      </c>
      <c r="I184" s="6">
        <v>8.8000000000000007</v>
      </c>
      <c r="J184" s="5" t="s">
        <v>34</v>
      </c>
      <c r="K184" s="5" t="s">
        <v>1398</v>
      </c>
      <c r="L184" s="8">
        <v>16633294</v>
      </c>
      <c r="M184" s="5" t="s">
        <v>1389</v>
      </c>
      <c r="N184" s="6">
        <f>Renewals6[[#This Row],[Earnings]]/Renewals6[[#This Row],[Rate]]</f>
        <v>135.38461538461539</v>
      </c>
      <c r="O184" s="6">
        <f>Renewals6[[#This Row],[Column5]]*Renewals6[[#This Row],[Rate]]</f>
        <v>8.8000000000000007</v>
      </c>
    </row>
    <row r="185" spans="1:15" x14ac:dyDescent="0.25">
      <c r="A185" s="5" t="s">
        <v>77</v>
      </c>
      <c r="B185" s="5" t="s">
        <v>1150</v>
      </c>
      <c r="C185" s="5" t="s">
        <v>32</v>
      </c>
      <c r="D185" s="5" t="s">
        <v>1151</v>
      </c>
      <c r="E185" s="7">
        <v>45594</v>
      </c>
      <c r="F185" s="7">
        <v>46171</v>
      </c>
      <c r="G185" s="6">
        <v>735.64</v>
      </c>
      <c r="H185" s="5">
        <v>0.13</v>
      </c>
      <c r="I185" s="6">
        <v>7.97</v>
      </c>
      <c r="J185" s="5" t="s">
        <v>34</v>
      </c>
      <c r="K185" s="5" t="s">
        <v>1390</v>
      </c>
      <c r="L185" s="8">
        <v>9213293</v>
      </c>
      <c r="M185" s="5" t="s">
        <v>1389</v>
      </c>
      <c r="N185" s="6">
        <f>Renewals6[[#This Row],[Earnings]]/Renewals6[[#This Row],[Rate]]</f>
        <v>61.307692307692307</v>
      </c>
      <c r="O185" s="6">
        <f>Renewals6[[#This Row],[Column5]]*Renewals6[[#This Row],[Rate]]</f>
        <v>7.97</v>
      </c>
    </row>
    <row r="186" spans="1:15" x14ac:dyDescent="0.25">
      <c r="A186" s="5" t="s">
        <v>220</v>
      </c>
      <c r="B186" s="5" t="s">
        <v>1152</v>
      </c>
      <c r="C186" s="5" t="s">
        <v>32</v>
      </c>
      <c r="D186" s="5" t="s">
        <v>1153</v>
      </c>
      <c r="E186" s="7">
        <v>45595</v>
      </c>
      <c r="F186" s="7">
        <v>46203</v>
      </c>
      <c r="G186" s="6">
        <v>896.04</v>
      </c>
      <c r="H186" s="5">
        <v>0.13</v>
      </c>
      <c r="I186" s="6">
        <v>7.07</v>
      </c>
      <c r="J186" s="5" t="s">
        <v>34</v>
      </c>
      <c r="K186" s="5" t="s">
        <v>1390</v>
      </c>
      <c r="L186" s="8">
        <v>16633294</v>
      </c>
      <c r="M186" s="5" t="s">
        <v>1389</v>
      </c>
      <c r="N186" s="6">
        <f>Renewals6[[#This Row],[Earnings]]/Renewals6[[#This Row],[Rate]]</f>
        <v>54.384615384615387</v>
      </c>
      <c r="O186" s="6">
        <f>Renewals6[[#This Row],[Column5]]*Renewals6[[#This Row],[Rate]]</f>
        <v>7.07</v>
      </c>
    </row>
    <row r="187" spans="1:15" x14ac:dyDescent="0.25">
      <c r="A187" s="5" t="s">
        <v>220</v>
      </c>
      <c r="B187" s="5" t="s">
        <v>1154</v>
      </c>
      <c r="C187" s="5" t="s">
        <v>32</v>
      </c>
      <c r="D187" s="5" t="s">
        <v>1155</v>
      </c>
      <c r="E187" s="7">
        <v>45597</v>
      </c>
      <c r="F187" s="7">
        <v>46174</v>
      </c>
      <c r="G187" s="6">
        <v>854.84</v>
      </c>
      <c r="H187" s="5">
        <v>0.13</v>
      </c>
      <c r="I187" s="6">
        <v>9.26</v>
      </c>
      <c r="J187" s="5" t="s">
        <v>34</v>
      </c>
      <c r="K187" s="5" t="s">
        <v>1390</v>
      </c>
      <c r="L187" s="8">
        <v>16633294</v>
      </c>
      <c r="M187" s="5" t="s">
        <v>1389</v>
      </c>
      <c r="N187" s="6">
        <f>Renewals6[[#This Row],[Earnings]]/Renewals6[[#This Row],[Rate]]</f>
        <v>71.230769230769226</v>
      </c>
      <c r="O187" s="6">
        <f>Renewals6[[#This Row],[Column5]]*Renewals6[[#This Row],[Rate]]</f>
        <v>9.26</v>
      </c>
    </row>
    <row r="188" spans="1:15" x14ac:dyDescent="0.25">
      <c r="A188" s="5" t="s">
        <v>220</v>
      </c>
      <c r="B188" s="5" t="s">
        <v>1156</v>
      </c>
      <c r="C188" s="5" t="s">
        <v>32</v>
      </c>
      <c r="D188" s="5" t="s">
        <v>1157</v>
      </c>
      <c r="E188" s="7">
        <v>45599</v>
      </c>
      <c r="F188" s="7">
        <v>46176</v>
      </c>
      <c r="G188" s="6">
        <v>919.19</v>
      </c>
      <c r="H188" s="5">
        <v>0.13</v>
      </c>
      <c r="I188" s="6">
        <v>9.9600000000000009</v>
      </c>
      <c r="J188" s="5" t="s">
        <v>34</v>
      </c>
      <c r="K188" s="5" t="s">
        <v>1390</v>
      </c>
      <c r="L188" s="8">
        <v>16633294</v>
      </c>
      <c r="M188" s="5" t="s">
        <v>1389</v>
      </c>
      <c r="N188" s="6">
        <f>Renewals6[[#This Row],[Earnings]]/Renewals6[[#This Row],[Rate]]</f>
        <v>76.615384615384613</v>
      </c>
      <c r="O188" s="6">
        <f>Renewals6[[#This Row],[Column5]]*Renewals6[[#This Row],[Rate]]</f>
        <v>9.9600000000000009</v>
      </c>
    </row>
    <row r="189" spans="1:15" x14ac:dyDescent="0.25">
      <c r="A189" s="5" t="s">
        <v>220</v>
      </c>
      <c r="B189" s="5" t="s">
        <v>1158</v>
      </c>
      <c r="C189" s="5" t="s">
        <v>32</v>
      </c>
      <c r="D189" s="5" t="s">
        <v>1159</v>
      </c>
      <c r="E189" s="7">
        <v>45601</v>
      </c>
      <c r="F189" s="7">
        <v>46178</v>
      </c>
      <c r="G189" s="6">
        <v>652.86</v>
      </c>
      <c r="H189" s="5">
        <v>0.13</v>
      </c>
      <c r="I189" s="6">
        <v>7.07</v>
      </c>
      <c r="J189" s="5" t="s">
        <v>34</v>
      </c>
      <c r="K189" s="5" t="s">
        <v>1390</v>
      </c>
      <c r="L189" s="8">
        <v>16633294</v>
      </c>
      <c r="M189" s="5" t="s">
        <v>1389</v>
      </c>
      <c r="N189" s="6">
        <f>Renewals6[[#This Row],[Earnings]]/Renewals6[[#This Row],[Rate]]</f>
        <v>54.384615384615387</v>
      </c>
      <c r="O189" s="6">
        <f>Renewals6[[#This Row],[Column5]]*Renewals6[[#This Row],[Rate]]</f>
        <v>7.07</v>
      </c>
    </row>
    <row r="190" spans="1:15" x14ac:dyDescent="0.25">
      <c r="A190" s="5" t="s">
        <v>228</v>
      </c>
      <c r="B190" s="5" t="s">
        <v>1160</v>
      </c>
      <c r="C190" s="5" t="s">
        <v>32</v>
      </c>
      <c r="D190" s="5" t="s">
        <v>1161</v>
      </c>
      <c r="E190" s="7">
        <v>45627</v>
      </c>
      <c r="F190" s="7">
        <v>46174</v>
      </c>
      <c r="G190" s="6">
        <v>1683.46</v>
      </c>
      <c r="H190" s="5">
        <v>6.5000000000000002E-2</v>
      </c>
      <c r="I190" s="6">
        <v>9.1199999999999992</v>
      </c>
      <c r="J190" s="5" t="s">
        <v>34</v>
      </c>
      <c r="K190" s="5" t="s">
        <v>1398</v>
      </c>
      <c r="L190" s="8">
        <v>8814784</v>
      </c>
      <c r="M190" s="5" t="s">
        <v>1389</v>
      </c>
      <c r="N190" s="6">
        <f>Renewals6[[#This Row],[Earnings]]/Renewals6[[#This Row],[Rate]]</f>
        <v>140.30769230769229</v>
      </c>
      <c r="O190" s="6">
        <f>Renewals6[[#This Row],[Column5]]*Renewals6[[#This Row],[Rate]]</f>
        <v>9.1199999999999992</v>
      </c>
    </row>
    <row r="191" spans="1:15" x14ac:dyDescent="0.25">
      <c r="A191" s="5" t="s">
        <v>220</v>
      </c>
      <c r="B191" s="5" t="s">
        <v>1162</v>
      </c>
      <c r="C191" s="5" t="s">
        <v>32</v>
      </c>
      <c r="D191" s="5" t="s">
        <v>1163</v>
      </c>
      <c r="E191" s="7">
        <v>45602</v>
      </c>
      <c r="F191" s="7">
        <v>46179</v>
      </c>
      <c r="G191" s="6">
        <v>854.84</v>
      </c>
      <c r="H191" s="5">
        <v>0.13</v>
      </c>
      <c r="I191" s="6">
        <v>9.26</v>
      </c>
      <c r="J191" s="5" t="s">
        <v>34</v>
      </c>
      <c r="K191" s="5" t="s">
        <v>1390</v>
      </c>
      <c r="L191" s="8">
        <v>16633294</v>
      </c>
      <c r="M191" s="5" t="s">
        <v>1389</v>
      </c>
      <c r="N191" s="6">
        <f>Renewals6[[#This Row],[Earnings]]/Renewals6[[#This Row],[Rate]]</f>
        <v>71.230769230769226</v>
      </c>
      <c r="O191" s="6">
        <f>Renewals6[[#This Row],[Column5]]*Renewals6[[#This Row],[Rate]]</f>
        <v>9.26</v>
      </c>
    </row>
    <row r="192" spans="1:15" x14ac:dyDescent="0.25">
      <c r="A192" s="5" t="s">
        <v>154</v>
      </c>
      <c r="B192" s="5" t="s">
        <v>1164</v>
      </c>
      <c r="C192" s="5" t="s">
        <v>32</v>
      </c>
      <c r="D192" s="5" t="s">
        <v>1165</v>
      </c>
      <c r="E192" s="7">
        <v>45601</v>
      </c>
      <c r="F192" s="7">
        <v>46178</v>
      </c>
      <c r="G192" s="6">
        <v>551.12</v>
      </c>
      <c r="H192" s="5">
        <v>0.13</v>
      </c>
      <c r="I192" s="6">
        <v>5.97</v>
      </c>
      <c r="J192" s="5" t="s">
        <v>34</v>
      </c>
      <c r="K192" s="5" t="s">
        <v>1390</v>
      </c>
      <c r="L192" s="8">
        <v>19681796</v>
      </c>
      <c r="M192" s="5" t="s">
        <v>1389</v>
      </c>
      <c r="N192" s="6">
        <f>Renewals6[[#This Row],[Earnings]]/Renewals6[[#This Row],[Rate]]</f>
        <v>45.92307692307692</v>
      </c>
      <c r="O192" s="6">
        <f>Renewals6[[#This Row],[Column5]]*Renewals6[[#This Row],[Rate]]</f>
        <v>5.97</v>
      </c>
    </row>
    <row r="193" spans="1:15" x14ac:dyDescent="0.25">
      <c r="A193" s="5" t="s">
        <v>581</v>
      </c>
      <c r="B193" s="5" t="s">
        <v>1166</v>
      </c>
      <c r="C193" s="5" t="s">
        <v>32</v>
      </c>
      <c r="D193" s="5" t="s">
        <v>1167</v>
      </c>
      <c r="E193" s="7">
        <v>45627</v>
      </c>
      <c r="F193" s="7">
        <v>46174</v>
      </c>
      <c r="G193" s="6">
        <v>828.92</v>
      </c>
      <c r="H193" s="5">
        <v>0.13</v>
      </c>
      <c r="I193" s="6">
        <v>8.98</v>
      </c>
      <c r="J193" s="5" t="s">
        <v>34</v>
      </c>
      <c r="K193" s="5" t="s">
        <v>1390</v>
      </c>
      <c r="L193" s="8">
        <v>17126004</v>
      </c>
      <c r="M193" s="5" t="s">
        <v>1389</v>
      </c>
      <c r="N193" s="6">
        <f>Renewals6[[#This Row],[Earnings]]/Renewals6[[#This Row],[Rate]]</f>
        <v>69.07692307692308</v>
      </c>
      <c r="O193" s="6">
        <f>Renewals6[[#This Row],[Column5]]*Renewals6[[#This Row],[Rate]]</f>
        <v>8.98</v>
      </c>
    </row>
    <row r="194" spans="1:15" x14ac:dyDescent="0.25">
      <c r="A194" s="5" t="s">
        <v>94</v>
      </c>
      <c r="B194" s="5" t="s">
        <v>1168</v>
      </c>
      <c r="C194" s="5" t="s">
        <v>32</v>
      </c>
      <c r="D194" s="5" t="s">
        <v>1169</v>
      </c>
      <c r="E194" s="7">
        <v>45604</v>
      </c>
      <c r="F194" s="7">
        <v>46181</v>
      </c>
      <c r="G194" s="6">
        <v>1307.6300000000001</v>
      </c>
      <c r="H194" s="5">
        <v>0.13</v>
      </c>
      <c r="I194" s="6">
        <v>14.16</v>
      </c>
      <c r="J194" s="5" t="s">
        <v>34</v>
      </c>
      <c r="K194" s="5" t="s">
        <v>1390</v>
      </c>
      <c r="L194" s="8">
        <v>19200754</v>
      </c>
      <c r="M194" s="5" t="s">
        <v>1389</v>
      </c>
      <c r="N194" s="6">
        <f>Renewals6[[#This Row],[Earnings]]/Renewals6[[#This Row],[Rate]]</f>
        <v>108.92307692307692</v>
      </c>
      <c r="O194" s="6">
        <f>Renewals6[[#This Row],[Column5]]*Renewals6[[#This Row],[Rate]]</f>
        <v>14.16</v>
      </c>
    </row>
    <row r="195" spans="1:15" x14ac:dyDescent="0.25">
      <c r="A195" s="5" t="s">
        <v>69</v>
      </c>
      <c r="B195" s="5" t="s">
        <v>1170</v>
      </c>
      <c r="C195" s="5" t="s">
        <v>32</v>
      </c>
      <c r="D195" s="5" t="s">
        <v>1171</v>
      </c>
      <c r="E195" s="7">
        <v>45627</v>
      </c>
      <c r="F195" s="7">
        <v>46204</v>
      </c>
      <c r="G195" s="6">
        <v>1279.07</v>
      </c>
      <c r="H195" s="5">
        <v>0.13</v>
      </c>
      <c r="I195" s="6">
        <v>10</v>
      </c>
      <c r="J195" s="5" t="s">
        <v>34</v>
      </c>
      <c r="K195" s="5" t="s">
        <v>1390</v>
      </c>
      <c r="L195" s="8">
        <v>19586992</v>
      </c>
      <c r="M195" s="5" t="s">
        <v>1389</v>
      </c>
      <c r="N195" s="6">
        <f>Renewals6[[#This Row],[Earnings]]/Renewals6[[#This Row],[Rate]]</f>
        <v>76.92307692307692</v>
      </c>
      <c r="O195" s="6">
        <f>Renewals6[[#This Row],[Column5]]*Renewals6[[#This Row],[Rate]]</f>
        <v>10</v>
      </c>
    </row>
    <row r="196" spans="1:15" x14ac:dyDescent="0.25">
      <c r="A196" s="5" t="s">
        <v>189</v>
      </c>
      <c r="B196" s="5" t="s">
        <v>1172</v>
      </c>
      <c r="C196" s="5" t="s">
        <v>91</v>
      </c>
      <c r="D196" s="5" t="s">
        <v>1173</v>
      </c>
      <c r="E196" s="7">
        <v>45654</v>
      </c>
      <c r="F196" s="7">
        <v>46201</v>
      </c>
      <c r="G196" s="6">
        <v>1265.0899999999999</v>
      </c>
      <c r="H196" s="5">
        <v>6.5000000000000002E-2</v>
      </c>
      <c r="I196" s="6">
        <v>6.85</v>
      </c>
      <c r="J196" s="5" t="s">
        <v>34</v>
      </c>
      <c r="K196" s="5" t="s">
        <v>1398</v>
      </c>
      <c r="L196" s="8">
        <v>7470776</v>
      </c>
      <c r="M196" s="5" t="s">
        <v>1389</v>
      </c>
      <c r="N196" s="6">
        <f>Renewals6[[#This Row],[Earnings]]/Renewals6[[#This Row],[Rate]]</f>
        <v>105.38461538461537</v>
      </c>
      <c r="O196" s="6">
        <f>Renewals6[[#This Row],[Column5]]*Renewals6[[#This Row],[Rate]]</f>
        <v>6.85</v>
      </c>
    </row>
    <row r="197" spans="1:15" x14ac:dyDescent="0.25">
      <c r="A197" s="5" t="s">
        <v>220</v>
      </c>
      <c r="B197" s="5" t="s">
        <v>1174</v>
      </c>
      <c r="C197" s="5" t="s">
        <v>32</v>
      </c>
      <c r="D197" s="5" t="s">
        <v>1175</v>
      </c>
      <c r="E197" s="7">
        <v>45610</v>
      </c>
      <c r="F197" s="7">
        <v>46187</v>
      </c>
      <c r="G197" s="6">
        <v>1141.53</v>
      </c>
      <c r="H197" s="5">
        <v>6.5000000000000002E-2</v>
      </c>
      <c r="I197" s="6">
        <v>6.18</v>
      </c>
      <c r="J197" s="5" t="s">
        <v>34</v>
      </c>
      <c r="K197" s="5" t="s">
        <v>1398</v>
      </c>
      <c r="L197" s="8">
        <v>16633294</v>
      </c>
      <c r="M197" s="5" t="s">
        <v>1389</v>
      </c>
      <c r="N197" s="6">
        <f>Renewals6[[#This Row],[Earnings]]/Renewals6[[#This Row],[Rate]]</f>
        <v>95.076923076923066</v>
      </c>
      <c r="O197" s="6">
        <f>Renewals6[[#This Row],[Column5]]*Renewals6[[#This Row],[Rate]]</f>
        <v>6.18</v>
      </c>
    </row>
    <row r="198" spans="1:15" x14ac:dyDescent="0.25">
      <c r="A198" s="5" t="s">
        <v>220</v>
      </c>
      <c r="B198" s="5" t="s">
        <v>1176</v>
      </c>
      <c r="C198" s="5" t="s">
        <v>32</v>
      </c>
      <c r="D198" s="5" t="s">
        <v>1177</v>
      </c>
      <c r="E198" s="7">
        <v>45613</v>
      </c>
      <c r="F198" s="7">
        <v>46190</v>
      </c>
      <c r="G198" s="6">
        <v>854.84</v>
      </c>
      <c r="H198" s="5">
        <v>0.13</v>
      </c>
      <c r="I198" s="6">
        <v>9.26</v>
      </c>
      <c r="J198" s="5" t="s">
        <v>34</v>
      </c>
      <c r="K198" s="5" t="s">
        <v>1390</v>
      </c>
      <c r="L198" s="8">
        <v>16633294</v>
      </c>
      <c r="M198" s="5" t="s">
        <v>1389</v>
      </c>
      <c r="N198" s="6">
        <f>Renewals6[[#This Row],[Earnings]]/Renewals6[[#This Row],[Rate]]</f>
        <v>71.230769230769226</v>
      </c>
      <c r="O198" s="6">
        <f>Renewals6[[#This Row],[Column5]]*Renewals6[[#This Row],[Rate]]</f>
        <v>9.26</v>
      </c>
    </row>
    <row r="199" spans="1:15" x14ac:dyDescent="0.25">
      <c r="A199" s="5" t="s">
        <v>44</v>
      </c>
      <c r="B199" s="5" t="s">
        <v>1178</v>
      </c>
      <c r="C199" s="5" t="s">
        <v>32</v>
      </c>
      <c r="D199" s="5" t="s">
        <v>1179</v>
      </c>
      <c r="E199" s="7">
        <v>45658</v>
      </c>
      <c r="F199" s="7">
        <v>46174</v>
      </c>
      <c r="G199" s="6">
        <v>1590.95</v>
      </c>
      <c r="H199" s="5">
        <v>6.5000000000000002E-2</v>
      </c>
      <c r="I199" s="6">
        <v>8.6199999999999992</v>
      </c>
      <c r="J199" s="5" t="s">
        <v>423</v>
      </c>
      <c r="K199" s="5" t="s">
        <v>1398</v>
      </c>
      <c r="L199" s="8" t="s">
        <v>1400</v>
      </c>
      <c r="M199" s="5" t="s">
        <v>1389</v>
      </c>
      <c r="N199" s="6">
        <f>Renewals6[[#This Row],[Earnings]]/Renewals6[[#This Row],[Rate]]</f>
        <v>132.61538461538458</v>
      </c>
      <c r="O199" s="6">
        <f>Renewals6[[#This Row],[Column5]]*Renewals6[[#This Row],[Rate]]</f>
        <v>8.6199999999999974</v>
      </c>
    </row>
    <row r="200" spans="1:15" x14ac:dyDescent="0.25">
      <c r="A200" s="5" t="s">
        <v>140</v>
      </c>
      <c r="B200" s="5" t="s">
        <v>1180</v>
      </c>
      <c r="C200" s="5" t="s">
        <v>32</v>
      </c>
      <c r="D200" s="5" t="s">
        <v>1181</v>
      </c>
      <c r="E200" s="7">
        <v>45641</v>
      </c>
      <c r="F200" s="7">
        <v>46188</v>
      </c>
      <c r="G200" s="6">
        <v>777.28</v>
      </c>
      <c r="H200" s="5">
        <v>0.13</v>
      </c>
      <c r="I200" s="6">
        <v>8.42</v>
      </c>
      <c r="J200" s="5" t="s">
        <v>34</v>
      </c>
      <c r="K200" s="5" t="s">
        <v>1390</v>
      </c>
      <c r="L200" s="8" t="s">
        <v>1405</v>
      </c>
      <c r="M200" s="5" t="s">
        <v>1389</v>
      </c>
      <c r="N200" s="6">
        <f>Renewals6[[#This Row],[Earnings]]/Renewals6[[#This Row],[Rate]]</f>
        <v>64.769230769230759</v>
      </c>
      <c r="O200" s="6">
        <f>Renewals6[[#This Row],[Column5]]*Renewals6[[#This Row],[Rate]]</f>
        <v>8.4199999999999982</v>
      </c>
    </row>
    <row r="201" spans="1:15" x14ac:dyDescent="0.25">
      <c r="A201" s="5" t="s">
        <v>220</v>
      </c>
      <c r="B201" s="5" t="s">
        <v>1182</v>
      </c>
      <c r="C201" s="5" t="s">
        <v>32</v>
      </c>
      <c r="D201" s="5" t="s">
        <v>1183</v>
      </c>
      <c r="E201" s="7">
        <v>45623</v>
      </c>
      <c r="F201" s="7">
        <v>46200</v>
      </c>
      <c r="G201" s="6">
        <v>919.19</v>
      </c>
      <c r="H201" s="5">
        <v>0.13</v>
      </c>
      <c r="I201" s="6">
        <v>9.9600000000000009</v>
      </c>
      <c r="J201" s="5" t="s">
        <v>34</v>
      </c>
      <c r="K201" s="5" t="s">
        <v>1390</v>
      </c>
      <c r="L201" s="8">
        <v>16633294</v>
      </c>
      <c r="M201" s="5" t="s">
        <v>1389</v>
      </c>
      <c r="N201" s="6">
        <f>Renewals6[[#This Row],[Earnings]]/Renewals6[[#This Row],[Rate]]</f>
        <v>76.615384615384613</v>
      </c>
      <c r="O201" s="6">
        <f>Renewals6[[#This Row],[Column5]]*Renewals6[[#This Row],[Rate]]</f>
        <v>9.9600000000000009</v>
      </c>
    </row>
    <row r="202" spans="1:15" x14ac:dyDescent="0.25">
      <c r="A202" s="5" t="s">
        <v>581</v>
      </c>
      <c r="B202" s="5" t="s">
        <v>1184</v>
      </c>
      <c r="C202" s="5" t="s">
        <v>32</v>
      </c>
      <c r="D202" s="5" t="s">
        <v>1185</v>
      </c>
      <c r="E202" s="7">
        <v>45658</v>
      </c>
      <c r="F202" s="7">
        <v>46174</v>
      </c>
      <c r="G202" s="6">
        <v>691.96</v>
      </c>
      <c r="H202" s="5">
        <v>0.13</v>
      </c>
      <c r="I202" s="6">
        <v>7.5</v>
      </c>
      <c r="J202" s="5" t="s">
        <v>34</v>
      </c>
      <c r="K202" s="5" t="s">
        <v>1390</v>
      </c>
      <c r="L202" s="8">
        <v>17126004</v>
      </c>
      <c r="M202" s="5" t="s">
        <v>1389</v>
      </c>
      <c r="N202" s="6">
        <f>Renewals6[[#This Row],[Earnings]]/Renewals6[[#This Row],[Rate]]</f>
        <v>57.692307692307693</v>
      </c>
      <c r="O202" s="6">
        <f>Renewals6[[#This Row],[Column5]]*Renewals6[[#This Row],[Rate]]</f>
        <v>7.5</v>
      </c>
    </row>
    <row r="203" spans="1:15" x14ac:dyDescent="0.25">
      <c r="A203" s="5" t="s">
        <v>69</v>
      </c>
      <c r="B203" s="5" t="s">
        <v>1186</v>
      </c>
      <c r="C203" s="5" t="s">
        <v>32</v>
      </c>
      <c r="D203" s="5" t="s">
        <v>1187</v>
      </c>
      <c r="E203" s="7">
        <v>45658</v>
      </c>
      <c r="F203" s="7">
        <v>46174</v>
      </c>
      <c r="G203" s="6">
        <v>884.95</v>
      </c>
      <c r="H203" s="5">
        <v>0.13</v>
      </c>
      <c r="I203" s="6">
        <v>9.59</v>
      </c>
      <c r="J203" s="5" t="s">
        <v>34</v>
      </c>
      <c r="K203" s="5" t="s">
        <v>1390</v>
      </c>
      <c r="L203" s="8">
        <v>19586992</v>
      </c>
      <c r="M203" s="5" t="s">
        <v>1389</v>
      </c>
      <c r="N203" s="6">
        <f>Renewals6[[#This Row],[Earnings]]/Renewals6[[#This Row],[Rate]]</f>
        <v>73.769230769230759</v>
      </c>
      <c r="O203" s="6">
        <f>Renewals6[[#This Row],[Column5]]*Renewals6[[#This Row],[Rate]]</f>
        <v>9.59</v>
      </c>
    </row>
    <row r="204" spans="1:15" x14ac:dyDescent="0.25">
      <c r="A204" s="5" t="s">
        <v>189</v>
      </c>
      <c r="B204" s="5" t="s">
        <v>1188</v>
      </c>
      <c r="C204" s="5" t="s">
        <v>193</v>
      </c>
      <c r="D204" s="5" t="s">
        <v>1189</v>
      </c>
      <c r="E204" s="7">
        <v>45658</v>
      </c>
      <c r="F204" s="7">
        <v>46174</v>
      </c>
      <c r="G204" s="6">
        <v>788.12</v>
      </c>
      <c r="H204" s="5">
        <v>6.5000000000000002E-2</v>
      </c>
      <c r="I204" s="6">
        <v>4.2699999999999996</v>
      </c>
      <c r="J204" s="5" t="s">
        <v>695</v>
      </c>
      <c r="K204" s="5" t="s">
        <v>1398</v>
      </c>
      <c r="L204" s="8">
        <v>7470776</v>
      </c>
      <c r="M204" s="5" t="s">
        <v>1389</v>
      </c>
      <c r="N204" s="6">
        <f>Renewals6[[#This Row],[Earnings]]/Renewals6[[#This Row],[Rate]]</f>
        <v>65.692307692307679</v>
      </c>
      <c r="O204" s="6">
        <f>Renewals6[[#This Row],[Column5]]*Renewals6[[#This Row],[Rate]]</f>
        <v>4.2699999999999996</v>
      </c>
    </row>
    <row r="205" spans="1:15" x14ac:dyDescent="0.25">
      <c r="A205" s="5" t="s">
        <v>189</v>
      </c>
      <c r="B205" s="5" t="s">
        <v>1190</v>
      </c>
      <c r="C205" s="5" t="s">
        <v>91</v>
      </c>
      <c r="D205" s="5" t="s">
        <v>1191</v>
      </c>
      <c r="E205" s="7">
        <v>45658</v>
      </c>
      <c r="F205" s="7">
        <v>46174</v>
      </c>
      <c r="G205" s="6">
        <v>522.51</v>
      </c>
      <c r="H205" s="5">
        <v>0.13</v>
      </c>
      <c r="I205" s="6">
        <v>5.66</v>
      </c>
      <c r="J205" s="5" t="s">
        <v>34</v>
      </c>
      <c r="K205" s="5" t="s">
        <v>1390</v>
      </c>
      <c r="L205" s="8">
        <v>7470776</v>
      </c>
      <c r="M205" s="5" t="s">
        <v>1389</v>
      </c>
      <c r="N205" s="6">
        <f>Renewals6[[#This Row],[Earnings]]/Renewals6[[#This Row],[Rate]]</f>
        <v>43.53846153846154</v>
      </c>
      <c r="O205" s="6">
        <f>Renewals6[[#This Row],[Column5]]*Renewals6[[#This Row],[Rate]]</f>
        <v>5.66</v>
      </c>
    </row>
    <row r="206" spans="1:15" x14ac:dyDescent="0.25">
      <c r="A206" s="5" t="s">
        <v>220</v>
      </c>
      <c r="B206" s="5" t="s">
        <v>1192</v>
      </c>
      <c r="C206" s="5" t="s">
        <v>32</v>
      </c>
      <c r="D206" s="5" t="s">
        <v>1193</v>
      </c>
      <c r="E206" s="7">
        <v>45644</v>
      </c>
      <c r="F206" s="7">
        <v>46191</v>
      </c>
      <c r="G206" s="6">
        <v>1194.1500000000001</v>
      </c>
      <c r="H206" s="5">
        <v>6.5000000000000002E-2</v>
      </c>
      <c r="I206" s="6">
        <v>6.47</v>
      </c>
      <c r="J206" s="5" t="s">
        <v>34</v>
      </c>
      <c r="K206" s="5" t="s">
        <v>1398</v>
      </c>
      <c r="L206" s="8">
        <v>16633294</v>
      </c>
      <c r="M206" s="5" t="s">
        <v>1389</v>
      </c>
      <c r="N206" s="6">
        <f>Renewals6[[#This Row],[Earnings]]/Renewals6[[#This Row],[Rate]]</f>
        <v>99.538461538461533</v>
      </c>
      <c r="O206" s="6">
        <f>Renewals6[[#This Row],[Column5]]*Renewals6[[#This Row],[Rate]]</f>
        <v>6.47</v>
      </c>
    </row>
    <row r="207" spans="1:15" x14ac:dyDescent="0.25">
      <c r="A207" s="5" t="s">
        <v>228</v>
      </c>
      <c r="B207" s="5" t="s">
        <v>1194</v>
      </c>
      <c r="C207" s="5" t="s">
        <v>32</v>
      </c>
      <c r="D207" s="5" t="s">
        <v>1195</v>
      </c>
      <c r="E207" s="7">
        <v>45667</v>
      </c>
      <c r="F207" s="7">
        <v>46183</v>
      </c>
      <c r="G207" s="6">
        <v>798.78</v>
      </c>
      <c r="H207" s="5">
        <v>0.13</v>
      </c>
      <c r="I207" s="6">
        <v>8.65</v>
      </c>
      <c r="J207" s="5" t="s">
        <v>34</v>
      </c>
      <c r="K207" s="5" t="s">
        <v>1390</v>
      </c>
      <c r="L207" s="8">
        <v>8814784</v>
      </c>
      <c r="M207" s="5" t="s">
        <v>1389</v>
      </c>
      <c r="N207" s="6">
        <f>Renewals6[[#This Row],[Earnings]]/Renewals6[[#This Row],[Rate]]</f>
        <v>66.538461538461533</v>
      </c>
      <c r="O207" s="6">
        <f>Renewals6[[#This Row],[Column5]]*Renewals6[[#This Row],[Rate]]</f>
        <v>8.65</v>
      </c>
    </row>
    <row r="208" spans="1:15" x14ac:dyDescent="0.25">
      <c r="A208" s="5" t="s">
        <v>581</v>
      </c>
      <c r="B208" s="5" t="s">
        <v>1196</v>
      </c>
      <c r="C208" s="5" t="s">
        <v>32</v>
      </c>
      <c r="D208" s="5" t="s">
        <v>1197</v>
      </c>
      <c r="E208" s="7">
        <v>45689</v>
      </c>
      <c r="F208" s="7">
        <v>46174</v>
      </c>
      <c r="G208" s="6">
        <v>662.74</v>
      </c>
      <c r="H208" s="5">
        <v>0.13</v>
      </c>
      <c r="I208" s="6">
        <v>7.18</v>
      </c>
      <c r="J208" s="5" t="s">
        <v>34</v>
      </c>
      <c r="K208" s="5" t="s">
        <v>1390</v>
      </c>
      <c r="L208" s="8">
        <v>17126004</v>
      </c>
      <c r="M208" s="5" t="s">
        <v>1389</v>
      </c>
      <c r="N208" s="6">
        <f>Renewals6[[#This Row],[Earnings]]/Renewals6[[#This Row],[Rate]]</f>
        <v>55.230769230769226</v>
      </c>
      <c r="O208" s="6">
        <f>Renewals6[[#This Row],[Column5]]*Renewals6[[#This Row],[Rate]]</f>
        <v>7.18</v>
      </c>
    </row>
    <row r="209" spans="1:15" x14ac:dyDescent="0.25">
      <c r="A209" s="5" t="s">
        <v>83</v>
      </c>
      <c r="B209" s="5" t="s">
        <v>1198</v>
      </c>
      <c r="C209" s="5" t="s">
        <v>32</v>
      </c>
      <c r="D209" s="5" t="s">
        <v>1199</v>
      </c>
      <c r="E209" s="7">
        <v>45717</v>
      </c>
      <c r="F209" s="7">
        <v>46204</v>
      </c>
      <c r="G209" s="6">
        <v>667.29</v>
      </c>
      <c r="H209" s="5">
        <v>0.13</v>
      </c>
      <c r="I209" s="6">
        <v>7.23</v>
      </c>
      <c r="J209" s="5" t="s">
        <v>34</v>
      </c>
      <c r="K209" s="5" t="s">
        <v>1390</v>
      </c>
      <c r="L209" s="8">
        <v>8325282</v>
      </c>
      <c r="M209" s="5" t="s">
        <v>1389</v>
      </c>
      <c r="N209" s="6">
        <f>Renewals6[[#This Row],[Earnings]]/Renewals6[[#This Row],[Rate]]</f>
        <v>55.61538461538462</v>
      </c>
      <c r="O209" s="6">
        <f>Renewals6[[#This Row],[Column5]]*Renewals6[[#This Row],[Rate]]</f>
        <v>7.2300000000000013</v>
      </c>
    </row>
    <row r="210" spans="1:15" x14ac:dyDescent="0.25">
      <c r="A210" s="5" t="s">
        <v>77</v>
      </c>
      <c r="B210" s="5" t="s">
        <v>1200</v>
      </c>
      <c r="C210" s="5" t="s">
        <v>32</v>
      </c>
      <c r="D210" s="5" t="s">
        <v>1201</v>
      </c>
      <c r="E210" s="7">
        <v>45688</v>
      </c>
      <c r="F210" s="7">
        <v>1</v>
      </c>
      <c r="G210" s="6">
        <v>1247.1099999999999</v>
      </c>
      <c r="H210" s="5">
        <v>0.13</v>
      </c>
      <c r="I210" s="6">
        <v>13.51</v>
      </c>
      <c r="J210" s="5" t="s">
        <v>34</v>
      </c>
      <c r="K210" s="5" t="s">
        <v>1390</v>
      </c>
      <c r="L210" s="8">
        <v>9213293</v>
      </c>
      <c r="M210" s="5" t="s">
        <v>1389</v>
      </c>
      <c r="N210" s="6">
        <f>Renewals6[[#This Row],[Earnings]]/Renewals6[[#This Row],[Rate]]</f>
        <v>103.92307692307692</v>
      </c>
      <c r="O210" s="6">
        <f>Renewals6[[#This Row],[Column5]]*Renewals6[[#This Row],[Rate]]</f>
        <v>13.51</v>
      </c>
    </row>
    <row r="211" spans="1:15" x14ac:dyDescent="0.25">
      <c r="A211" s="5" t="s">
        <v>77</v>
      </c>
      <c r="B211" s="5" t="s">
        <v>1202</v>
      </c>
      <c r="C211" s="5" t="s">
        <v>91</v>
      </c>
      <c r="D211" s="5" t="s">
        <v>1203</v>
      </c>
      <c r="E211" s="7">
        <v>45748</v>
      </c>
      <c r="F211" s="7">
        <v>46174</v>
      </c>
      <c r="G211" s="6">
        <v>506.51</v>
      </c>
      <c r="H211" s="5">
        <v>0.13</v>
      </c>
      <c r="I211" s="6">
        <v>5.49</v>
      </c>
      <c r="J211" s="5" t="s">
        <v>34</v>
      </c>
      <c r="K211" s="5" t="s">
        <v>1390</v>
      </c>
      <c r="L211" s="8">
        <v>9213293</v>
      </c>
      <c r="M211" s="5" t="s">
        <v>1389</v>
      </c>
      <c r="N211" s="6">
        <f>Renewals6[[#This Row],[Earnings]]/Renewals6[[#This Row],[Rate]]</f>
        <v>42.230769230769234</v>
      </c>
      <c r="O211" s="6">
        <f>Renewals6[[#This Row],[Column5]]*Renewals6[[#This Row],[Rate]]</f>
        <v>5.49</v>
      </c>
    </row>
    <row r="212" spans="1:15" x14ac:dyDescent="0.25">
      <c r="A212" s="5" t="s">
        <v>69</v>
      </c>
      <c r="B212" s="5" t="s">
        <v>1204</v>
      </c>
      <c r="C212" s="5" t="s">
        <v>32</v>
      </c>
      <c r="D212" s="5" t="s">
        <v>1205</v>
      </c>
      <c r="E212" s="7">
        <v>45720</v>
      </c>
      <c r="F212" s="7">
        <v>46177</v>
      </c>
      <c r="G212" s="6">
        <v>951.57</v>
      </c>
      <c r="H212" s="5">
        <v>0.13</v>
      </c>
      <c r="I212" s="6">
        <v>10.31</v>
      </c>
      <c r="J212" s="5" t="s">
        <v>34</v>
      </c>
      <c r="K212" s="5" t="s">
        <v>1390</v>
      </c>
      <c r="L212" s="8">
        <v>19586992</v>
      </c>
      <c r="M212" s="5" t="s">
        <v>1389</v>
      </c>
      <c r="N212" s="6">
        <f>Renewals6[[#This Row],[Earnings]]/Renewals6[[#This Row],[Rate]]</f>
        <v>79.307692307692307</v>
      </c>
      <c r="O212" s="6">
        <f>Renewals6[[#This Row],[Column5]]*Renewals6[[#This Row],[Rate]]</f>
        <v>10.31</v>
      </c>
    </row>
    <row r="213" spans="1:15" x14ac:dyDescent="0.25">
      <c r="A213" s="5" t="s">
        <v>605</v>
      </c>
      <c r="B213" s="5" t="s">
        <v>1206</v>
      </c>
      <c r="C213" s="5" t="s">
        <v>32</v>
      </c>
      <c r="D213" s="5" t="s">
        <v>1207</v>
      </c>
      <c r="E213" s="7">
        <v>45702</v>
      </c>
      <c r="F213" s="7">
        <v>46187</v>
      </c>
      <c r="G213" s="6">
        <v>1116.99</v>
      </c>
      <c r="H213" s="5">
        <v>0.13</v>
      </c>
      <c r="I213" s="6">
        <v>12.1</v>
      </c>
      <c r="J213" s="5" t="s">
        <v>34</v>
      </c>
      <c r="K213" s="5" t="s">
        <v>1390</v>
      </c>
      <c r="L213" s="8">
        <v>17094718</v>
      </c>
      <c r="M213" s="5" t="s">
        <v>1389</v>
      </c>
      <c r="N213" s="6">
        <f>Renewals6[[#This Row],[Earnings]]/Renewals6[[#This Row],[Rate]]</f>
        <v>93.076923076923066</v>
      </c>
      <c r="O213" s="6">
        <f>Renewals6[[#This Row],[Column5]]*Renewals6[[#This Row],[Rate]]</f>
        <v>12.1</v>
      </c>
    </row>
    <row r="214" spans="1:15" x14ac:dyDescent="0.25">
      <c r="A214" s="5" t="s">
        <v>30</v>
      </c>
      <c r="B214" s="5" t="s">
        <v>1208</v>
      </c>
      <c r="C214" s="5" t="s">
        <v>32</v>
      </c>
      <c r="D214" s="5" t="s">
        <v>1209</v>
      </c>
      <c r="E214" s="7">
        <v>45717</v>
      </c>
      <c r="F214" s="7">
        <v>46174</v>
      </c>
      <c r="G214" s="6">
        <v>798.78</v>
      </c>
      <c r="H214" s="5">
        <v>0.13</v>
      </c>
      <c r="I214" s="6">
        <v>8.65</v>
      </c>
      <c r="J214" s="5" t="s">
        <v>34</v>
      </c>
      <c r="K214" s="5" t="s">
        <v>1390</v>
      </c>
      <c r="L214" s="8">
        <v>19481808</v>
      </c>
      <c r="M214" s="5" t="s">
        <v>1389</v>
      </c>
      <c r="N214" s="6">
        <f>Renewals6[[#This Row],[Earnings]]/Renewals6[[#This Row],[Rate]]</f>
        <v>66.538461538461533</v>
      </c>
      <c r="O214" s="6">
        <f>Renewals6[[#This Row],[Column5]]*Renewals6[[#This Row],[Rate]]</f>
        <v>8.65</v>
      </c>
    </row>
    <row r="215" spans="1:15" x14ac:dyDescent="0.25">
      <c r="A215" s="5" t="s">
        <v>905</v>
      </c>
      <c r="B215" s="5" t="s">
        <v>1210</v>
      </c>
      <c r="C215" s="5" t="s">
        <v>32</v>
      </c>
      <c r="D215" s="5" t="s">
        <v>1211</v>
      </c>
      <c r="E215" s="7">
        <v>45717</v>
      </c>
      <c r="F215" s="7">
        <v>46174</v>
      </c>
      <c r="G215" s="6">
        <v>417.01</v>
      </c>
      <c r="H215" s="5">
        <v>0.13</v>
      </c>
      <c r="I215" s="6">
        <v>4.5199999999999996</v>
      </c>
      <c r="J215" s="5" t="s">
        <v>34</v>
      </c>
      <c r="K215" s="5" t="s">
        <v>1390</v>
      </c>
      <c r="L215" s="8">
        <v>16983460</v>
      </c>
      <c r="M215" s="5" t="s">
        <v>1396</v>
      </c>
      <c r="N215" s="6">
        <f>Renewals6[[#This Row],[Earnings]]/Renewals6[[#This Row],[Rate]]</f>
        <v>34.769230769230766</v>
      </c>
      <c r="O215" s="6">
        <f>Renewals6[[#This Row],[Column5]]*Renewals6[[#This Row],[Rate]]</f>
        <v>4.5199999999999996</v>
      </c>
    </row>
    <row r="216" spans="1:15" x14ac:dyDescent="0.25">
      <c r="A216" s="5" t="s">
        <v>905</v>
      </c>
      <c r="B216" s="5" t="s">
        <v>1212</v>
      </c>
      <c r="C216" s="5" t="s">
        <v>32</v>
      </c>
      <c r="D216" s="5" t="s">
        <v>1213</v>
      </c>
      <c r="E216" s="7">
        <v>45717</v>
      </c>
      <c r="F216" s="7">
        <v>46174</v>
      </c>
      <c r="G216" s="6">
        <v>417.01</v>
      </c>
      <c r="H216" s="5">
        <v>0.13</v>
      </c>
      <c r="I216" s="6">
        <v>4.5199999999999996</v>
      </c>
      <c r="J216" s="5" t="s">
        <v>34</v>
      </c>
      <c r="K216" s="5" t="s">
        <v>1390</v>
      </c>
      <c r="L216" s="8">
        <v>16983460</v>
      </c>
      <c r="M216" s="5" t="s">
        <v>1396</v>
      </c>
      <c r="N216" s="6">
        <f>Renewals6[[#This Row],[Earnings]]/Renewals6[[#This Row],[Rate]]</f>
        <v>34.769230769230766</v>
      </c>
      <c r="O216" s="6">
        <f>Renewals6[[#This Row],[Column5]]*Renewals6[[#This Row],[Rate]]</f>
        <v>4.5199999999999996</v>
      </c>
    </row>
    <row r="217" spans="1:15" x14ac:dyDescent="0.25">
      <c r="A217" s="5" t="s">
        <v>114</v>
      </c>
      <c r="B217" s="5" t="s">
        <v>1214</v>
      </c>
      <c r="C217" s="5" t="s">
        <v>32</v>
      </c>
      <c r="D217" s="5" t="s">
        <v>1215</v>
      </c>
      <c r="E217" s="7">
        <v>45717</v>
      </c>
      <c r="F217" s="7">
        <v>46174</v>
      </c>
      <c r="G217" s="6">
        <v>570.82000000000005</v>
      </c>
      <c r="H217" s="5">
        <v>0.13</v>
      </c>
      <c r="I217" s="6">
        <v>4.6900000000000004</v>
      </c>
      <c r="J217" s="5" t="s">
        <v>34</v>
      </c>
      <c r="K217" s="5" t="s">
        <v>1390</v>
      </c>
      <c r="L217" s="8">
        <v>18754354</v>
      </c>
      <c r="M217" s="5" t="s">
        <v>1389</v>
      </c>
      <c r="N217" s="6">
        <f>Renewals6[[#This Row],[Earnings]]/Renewals6[[#This Row],[Rate]]</f>
        <v>36.07692307692308</v>
      </c>
      <c r="O217" s="6">
        <f>Renewals6[[#This Row],[Column5]]*Renewals6[[#This Row],[Rate]]</f>
        <v>4.6900000000000004</v>
      </c>
    </row>
    <row r="218" spans="1:15" x14ac:dyDescent="0.25">
      <c r="A218" s="5" t="s">
        <v>30</v>
      </c>
      <c r="B218" s="5" t="s">
        <v>1216</v>
      </c>
      <c r="C218" s="5" t="s">
        <v>32</v>
      </c>
      <c r="D218" s="5" t="s">
        <v>1217</v>
      </c>
      <c r="E218" s="7">
        <v>45717</v>
      </c>
      <c r="F218" s="7">
        <v>46174</v>
      </c>
      <c r="G218" s="6">
        <v>417.01</v>
      </c>
      <c r="H218" s="5">
        <v>0.13</v>
      </c>
      <c r="I218" s="6">
        <v>3.67</v>
      </c>
      <c r="J218" s="5" t="s">
        <v>34</v>
      </c>
      <c r="K218" s="5" t="s">
        <v>1390</v>
      </c>
      <c r="L218" s="8">
        <v>19481808</v>
      </c>
      <c r="M218" s="5" t="s">
        <v>1389</v>
      </c>
      <c r="N218" s="6">
        <f>Renewals6[[#This Row],[Earnings]]/Renewals6[[#This Row],[Rate]]</f>
        <v>28.23076923076923</v>
      </c>
      <c r="O218" s="6">
        <f>Renewals6[[#This Row],[Column5]]*Renewals6[[#This Row],[Rate]]</f>
        <v>3.67</v>
      </c>
    </row>
    <row r="219" spans="1:15" x14ac:dyDescent="0.25">
      <c r="A219" s="5" t="s">
        <v>30</v>
      </c>
      <c r="B219" s="5" t="s">
        <v>1218</v>
      </c>
      <c r="C219" s="5" t="s">
        <v>32</v>
      </c>
      <c r="D219" s="5" t="s">
        <v>1219</v>
      </c>
      <c r="E219" s="7">
        <v>45717</v>
      </c>
      <c r="F219" s="7">
        <v>46174</v>
      </c>
      <c r="G219" s="6">
        <v>448.39</v>
      </c>
      <c r="H219" s="5">
        <v>0.13</v>
      </c>
      <c r="I219" s="6">
        <v>4.8600000000000003</v>
      </c>
      <c r="J219" s="5" t="s">
        <v>34</v>
      </c>
      <c r="K219" s="5" t="s">
        <v>1390</v>
      </c>
      <c r="L219" s="8">
        <v>19481808</v>
      </c>
      <c r="M219" s="5" t="s">
        <v>1389</v>
      </c>
      <c r="N219" s="6">
        <f>Renewals6[[#This Row],[Earnings]]/Renewals6[[#This Row],[Rate]]</f>
        <v>37.384615384615387</v>
      </c>
      <c r="O219" s="6">
        <f>Renewals6[[#This Row],[Column5]]*Renewals6[[#This Row],[Rate]]</f>
        <v>4.8600000000000003</v>
      </c>
    </row>
    <row r="220" spans="1:15" x14ac:dyDescent="0.25">
      <c r="A220" s="5" t="s">
        <v>228</v>
      </c>
      <c r="B220" s="5" t="s">
        <v>1220</v>
      </c>
      <c r="C220" s="5" t="s">
        <v>32</v>
      </c>
      <c r="D220" s="5" t="s">
        <v>1221</v>
      </c>
      <c r="E220" s="7">
        <v>45717</v>
      </c>
      <c r="F220" s="7">
        <v>46174</v>
      </c>
      <c r="G220" s="6">
        <v>592.61</v>
      </c>
      <c r="H220" s="5">
        <v>0.13</v>
      </c>
      <c r="I220" s="6">
        <v>6.42</v>
      </c>
      <c r="J220" s="5" t="s">
        <v>34</v>
      </c>
      <c r="K220" s="5" t="s">
        <v>1390</v>
      </c>
      <c r="L220" s="8">
        <v>8814784</v>
      </c>
      <c r="M220" s="5" t="s">
        <v>1389</v>
      </c>
      <c r="N220" s="6">
        <f>Renewals6[[#This Row],[Earnings]]/Renewals6[[#This Row],[Rate]]</f>
        <v>49.38461538461538</v>
      </c>
      <c r="O220" s="6">
        <f>Renewals6[[#This Row],[Column5]]*Renewals6[[#This Row],[Rate]]</f>
        <v>6.42</v>
      </c>
    </row>
    <row r="221" spans="1:15" x14ac:dyDescent="0.25">
      <c r="A221" s="5" t="s">
        <v>707</v>
      </c>
      <c r="B221" s="5" t="s">
        <v>1222</v>
      </c>
      <c r="C221" s="5" t="s">
        <v>32</v>
      </c>
      <c r="D221" s="5" t="s">
        <v>1223</v>
      </c>
      <c r="E221" s="7">
        <v>45717</v>
      </c>
      <c r="F221" s="7">
        <v>46204</v>
      </c>
      <c r="G221" s="6">
        <v>674</v>
      </c>
      <c r="H221" s="5">
        <v>0.13</v>
      </c>
      <c r="I221" s="6">
        <v>7.3</v>
      </c>
      <c r="J221" s="5" t="s">
        <v>34</v>
      </c>
      <c r="K221" s="5" t="s">
        <v>1390</v>
      </c>
      <c r="L221" s="8">
        <v>20776610</v>
      </c>
      <c r="M221" s="5" t="s">
        <v>1389</v>
      </c>
      <c r="N221" s="6">
        <f>Renewals6[[#This Row],[Earnings]]/Renewals6[[#This Row],[Rate]]</f>
        <v>56.153846153846153</v>
      </c>
      <c r="O221" s="6">
        <f>Renewals6[[#This Row],[Column5]]*Renewals6[[#This Row],[Rate]]</f>
        <v>7.3</v>
      </c>
    </row>
    <row r="222" spans="1:15" x14ac:dyDescent="0.25">
      <c r="A222" s="5" t="s">
        <v>30</v>
      </c>
      <c r="B222" s="5" t="s">
        <v>1224</v>
      </c>
      <c r="C222" s="5" t="s">
        <v>32</v>
      </c>
      <c r="D222" s="5" t="s">
        <v>1225</v>
      </c>
      <c r="E222" s="7">
        <v>45715</v>
      </c>
      <c r="F222" s="7">
        <v>46169</v>
      </c>
      <c r="G222" s="6">
        <v>592.61</v>
      </c>
      <c r="H222" s="5">
        <v>0.13</v>
      </c>
      <c r="I222" s="6">
        <v>6.42</v>
      </c>
      <c r="J222" s="5" t="s">
        <v>34</v>
      </c>
      <c r="K222" s="5" t="s">
        <v>1390</v>
      </c>
      <c r="L222" s="8">
        <v>19481808</v>
      </c>
      <c r="M222" s="5" t="s">
        <v>1389</v>
      </c>
      <c r="N222" s="6">
        <f>Renewals6[[#This Row],[Earnings]]/Renewals6[[#This Row],[Rate]]</f>
        <v>49.38461538461538</v>
      </c>
      <c r="O222" s="6">
        <f>Renewals6[[#This Row],[Column5]]*Renewals6[[#This Row],[Rate]]</f>
        <v>6.42</v>
      </c>
    </row>
    <row r="223" spans="1:15" x14ac:dyDescent="0.25">
      <c r="A223" s="5" t="s">
        <v>69</v>
      </c>
      <c r="B223" s="5" t="s">
        <v>1226</v>
      </c>
      <c r="C223" s="5" t="s">
        <v>32</v>
      </c>
      <c r="D223" s="5" t="s">
        <v>1227</v>
      </c>
      <c r="E223" s="7">
        <v>45720</v>
      </c>
      <c r="F223" s="7">
        <v>46177</v>
      </c>
      <c r="G223" s="6">
        <v>1247.1099999999999</v>
      </c>
      <c r="H223" s="5">
        <v>0.13</v>
      </c>
      <c r="I223" s="6">
        <v>13.51</v>
      </c>
      <c r="J223" s="5" t="s">
        <v>34</v>
      </c>
      <c r="K223" s="5" t="s">
        <v>1390</v>
      </c>
      <c r="L223" s="8">
        <v>19586992</v>
      </c>
      <c r="M223" s="5" t="s">
        <v>1389</v>
      </c>
      <c r="N223" s="6">
        <f>Renewals6[[#This Row],[Earnings]]/Renewals6[[#This Row],[Rate]]</f>
        <v>103.92307692307692</v>
      </c>
      <c r="O223" s="6">
        <f>Renewals6[[#This Row],[Column5]]*Renewals6[[#This Row],[Rate]]</f>
        <v>13.51</v>
      </c>
    </row>
    <row r="224" spans="1:15" x14ac:dyDescent="0.25">
      <c r="A224" s="5" t="s">
        <v>77</v>
      </c>
      <c r="B224" s="5" t="s">
        <v>1228</v>
      </c>
      <c r="C224" s="5" t="s">
        <v>32</v>
      </c>
      <c r="D224" s="5" t="s">
        <v>1229</v>
      </c>
      <c r="E224" s="7">
        <v>45717</v>
      </c>
      <c r="F224" s="7">
        <v>46174</v>
      </c>
      <c r="G224" s="6">
        <v>828.92</v>
      </c>
      <c r="H224" s="5">
        <v>0.13</v>
      </c>
      <c r="I224" s="6">
        <v>8.98</v>
      </c>
      <c r="J224" s="5" t="s">
        <v>34</v>
      </c>
      <c r="K224" s="5" t="s">
        <v>1390</v>
      </c>
      <c r="L224" s="8">
        <v>9213293</v>
      </c>
      <c r="M224" s="5" t="s">
        <v>1389</v>
      </c>
      <c r="N224" s="6">
        <f>Renewals6[[#This Row],[Earnings]]/Renewals6[[#This Row],[Rate]]</f>
        <v>69.07692307692308</v>
      </c>
      <c r="O224" s="6">
        <f>Renewals6[[#This Row],[Column5]]*Renewals6[[#This Row],[Rate]]</f>
        <v>8.98</v>
      </c>
    </row>
    <row r="225" spans="1:15" x14ac:dyDescent="0.25">
      <c r="A225" s="5" t="s">
        <v>189</v>
      </c>
      <c r="B225" s="5" t="s">
        <v>1230</v>
      </c>
      <c r="C225" s="5" t="s">
        <v>455</v>
      </c>
      <c r="D225" s="5" t="s">
        <v>1231</v>
      </c>
      <c r="E225" s="7">
        <v>45748</v>
      </c>
      <c r="F225" s="7">
        <v>46174</v>
      </c>
      <c r="G225" s="6">
        <v>1164.8499999999999</v>
      </c>
      <c r="H225" s="5">
        <v>6.5000000000000002E-2</v>
      </c>
      <c r="I225" s="6">
        <v>6.31</v>
      </c>
      <c r="J225" s="5" t="s">
        <v>457</v>
      </c>
      <c r="K225" s="5" t="s">
        <v>1397</v>
      </c>
      <c r="L225" s="8">
        <v>7470776</v>
      </c>
      <c r="M225" s="5" t="s">
        <v>1389</v>
      </c>
      <c r="N225" s="6">
        <f>Renewals6[[#This Row],[Earnings]]/Renewals6[[#This Row],[Rate]]</f>
        <v>97.076923076923066</v>
      </c>
      <c r="O225" s="6">
        <f>Renewals6[[#This Row],[Column5]]*Renewals6[[#This Row],[Rate]]</f>
        <v>6.31</v>
      </c>
    </row>
    <row r="226" spans="1:15" x14ac:dyDescent="0.25">
      <c r="A226" s="5" t="s">
        <v>189</v>
      </c>
      <c r="B226" s="5" t="s">
        <v>1232</v>
      </c>
      <c r="C226" s="5" t="s">
        <v>32</v>
      </c>
      <c r="D226" s="5" t="s">
        <v>1233</v>
      </c>
      <c r="E226" s="7">
        <v>45720</v>
      </c>
      <c r="F226" s="7">
        <v>46177</v>
      </c>
      <c r="G226" s="6">
        <v>835.79</v>
      </c>
      <c r="H226" s="5">
        <v>0.13</v>
      </c>
      <c r="I226" s="6">
        <v>9.0500000000000007</v>
      </c>
      <c r="J226" s="5" t="s">
        <v>34</v>
      </c>
      <c r="K226" s="5" t="s">
        <v>1390</v>
      </c>
      <c r="L226" s="8">
        <v>7470776</v>
      </c>
      <c r="M226" s="5" t="s">
        <v>1389</v>
      </c>
      <c r="N226" s="6">
        <f>Renewals6[[#This Row],[Earnings]]/Renewals6[[#This Row],[Rate]]</f>
        <v>69.615384615384613</v>
      </c>
      <c r="O226" s="6">
        <f>Renewals6[[#This Row],[Column5]]*Renewals6[[#This Row],[Rate]]</f>
        <v>9.0500000000000007</v>
      </c>
    </row>
    <row r="227" spans="1:15" x14ac:dyDescent="0.25">
      <c r="A227" s="5" t="s">
        <v>189</v>
      </c>
      <c r="B227" s="5" t="s">
        <v>1234</v>
      </c>
      <c r="C227" s="5" t="s">
        <v>32</v>
      </c>
      <c r="D227" s="5" t="s">
        <v>1235</v>
      </c>
      <c r="E227" s="7">
        <v>45720</v>
      </c>
      <c r="F227" s="7">
        <v>46177</v>
      </c>
      <c r="G227" s="6">
        <v>592.61</v>
      </c>
      <c r="H227" s="5">
        <v>0.13</v>
      </c>
      <c r="I227" s="6">
        <v>6.42</v>
      </c>
      <c r="J227" s="5" t="s">
        <v>34</v>
      </c>
      <c r="K227" s="5" t="s">
        <v>1390</v>
      </c>
      <c r="L227" s="8">
        <v>7470776</v>
      </c>
      <c r="M227" s="5" t="s">
        <v>1389</v>
      </c>
      <c r="N227" s="6">
        <f>Renewals6[[#This Row],[Earnings]]/Renewals6[[#This Row],[Rate]]</f>
        <v>49.38461538461538</v>
      </c>
      <c r="O227" s="6">
        <f>Renewals6[[#This Row],[Column5]]*Renewals6[[#This Row],[Rate]]</f>
        <v>6.42</v>
      </c>
    </row>
    <row r="228" spans="1:15" x14ac:dyDescent="0.25">
      <c r="A228" s="5" t="s">
        <v>30</v>
      </c>
      <c r="B228" s="5" t="s">
        <v>1236</v>
      </c>
      <c r="C228" s="5" t="s">
        <v>32</v>
      </c>
      <c r="D228" s="5" t="s">
        <v>1237</v>
      </c>
      <c r="E228" s="7">
        <v>45723</v>
      </c>
      <c r="F228" s="7">
        <v>46180</v>
      </c>
      <c r="G228" s="6">
        <v>551.12</v>
      </c>
      <c r="H228" s="5">
        <v>0.13</v>
      </c>
      <c r="I228" s="6">
        <v>5.97</v>
      </c>
      <c r="J228" s="5" t="s">
        <v>34</v>
      </c>
      <c r="K228" s="5" t="s">
        <v>1390</v>
      </c>
      <c r="L228" s="8">
        <v>19481808</v>
      </c>
      <c r="M228" s="5" t="s">
        <v>1389</v>
      </c>
      <c r="N228" s="6">
        <f>Renewals6[[#This Row],[Earnings]]/Renewals6[[#This Row],[Rate]]</f>
        <v>45.92307692307692</v>
      </c>
      <c r="O228" s="6">
        <f>Renewals6[[#This Row],[Column5]]*Renewals6[[#This Row],[Rate]]</f>
        <v>5.97</v>
      </c>
    </row>
    <row r="229" spans="1:15" x14ac:dyDescent="0.25">
      <c r="A229" s="5" t="s">
        <v>224</v>
      </c>
      <c r="B229" s="5" t="s">
        <v>1238</v>
      </c>
      <c r="C229" s="5" t="s">
        <v>193</v>
      </c>
      <c r="D229" s="5" t="s">
        <v>1239</v>
      </c>
      <c r="E229" s="7">
        <v>45748</v>
      </c>
      <c r="F229" s="7">
        <v>46174</v>
      </c>
      <c r="G229" s="6">
        <v>420.3</v>
      </c>
      <c r="H229" s="5">
        <v>0.13</v>
      </c>
      <c r="I229" s="6">
        <v>4.55</v>
      </c>
      <c r="J229" s="5" t="s">
        <v>34</v>
      </c>
      <c r="K229" s="5" t="s">
        <v>1390</v>
      </c>
      <c r="L229" s="8">
        <v>8405446</v>
      </c>
      <c r="M229" s="5" t="s">
        <v>1389</v>
      </c>
      <c r="N229" s="6">
        <f>Renewals6[[#This Row],[Earnings]]/Renewals6[[#This Row],[Rate]]</f>
        <v>35</v>
      </c>
      <c r="O229" s="6">
        <f>Renewals6[[#This Row],[Column5]]*Renewals6[[#This Row],[Rate]]</f>
        <v>4.55</v>
      </c>
    </row>
    <row r="230" spans="1:15" x14ac:dyDescent="0.25">
      <c r="A230" s="5" t="s">
        <v>868</v>
      </c>
      <c r="B230" s="5" t="s">
        <v>1240</v>
      </c>
      <c r="C230" s="5" t="s">
        <v>91</v>
      </c>
      <c r="D230" s="5" t="s">
        <v>1241</v>
      </c>
      <c r="E230" s="7">
        <v>45729</v>
      </c>
      <c r="F230" s="7">
        <v>46186</v>
      </c>
      <c r="G230" s="6">
        <v>671.14</v>
      </c>
      <c r="H230" s="5">
        <v>0.13</v>
      </c>
      <c r="I230" s="6">
        <v>7.27</v>
      </c>
      <c r="J230" s="5" t="s">
        <v>34</v>
      </c>
      <c r="K230" s="5" t="s">
        <v>1390</v>
      </c>
      <c r="L230" s="8">
        <v>19645587</v>
      </c>
      <c r="M230" s="5" t="s">
        <v>1389</v>
      </c>
      <c r="N230" s="6">
        <f>Renewals6[[#This Row],[Earnings]]/Renewals6[[#This Row],[Rate]]</f>
        <v>55.92307692307692</v>
      </c>
      <c r="O230" s="6">
        <f>Renewals6[[#This Row],[Column5]]*Renewals6[[#This Row],[Rate]]</f>
        <v>7.27</v>
      </c>
    </row>
    <row r="231" spans="1:15" x14ac:dyDescent="0.25">
      <c r="A231" s="5" t="s">
        <v>49</v>
      </c>
      <c r="B231" s="5" t="s">
        <v>1242</v>
      </c>
      <c r="C231" s="5" t="s">
        <v>32</v>
      </c>
      <c r="D231" s="5" t="s">
        <v>1243</v>
      </c>
      <c r="E231" s="7">
        <v>45748</v>
      </c>
      <c r="F231" s="7">
        <v>46174</v>
      </c>
      <c r="G231" s="6">
        <v>1398.5</v>
      </c>
      <c r="H231" s="5">
        <v>0.13</v>
      </c>
      <c r="I231" s="6">
        <v>15.15</v>
      </c>
      <c r="J231" s="5" t="s">
        <v>34</v>
      </c>
      <c r="K231" s="5" t="s">
        <v>1390</v>
      </c>
      <c r="L231" s="8">
        <v>18581063</v>
      </c>
      <c r="M231" s="5" t="s">
        <v>1389</v>
      </c>
      <c r="N231" s="6">
        <f>Renewals6[[#This Row],[Earnings]]/Renewals6[[#This Row],[Rate]]</f>
        <v>116.53846153846153</v>
      </c>
      <c r="O231" s="6">
        <f>Renewals6[[#This Row],[Column5]]*Renewals6[[#This Row],[Rate]]</f>
        <v>15.15</v>
      </c>
    </row>
    <row r="232" spans="1:15" x14ac:dyDescent="0.25">
      <c r="A232" s="5" t="s">
        <v>185</v>
      </c>
      <c r="B232" s="5" t="s">
        <v>1244</v>
      </c>
      <c r="C232" s="5" t="s">
        <v>91</v>
      </c>
      <c r="D232" s="5" t="s">
        <v>1245</v>
      </c>
      <c r="E232" s="7">
        <v>45748</v>
      </c>
      <c r="F232" s="7">
        <v>46174</v>
      </c>
      <c r="G232" s="6">
        <v>839.99</v>
      </c>
      <c r="H232" s="5">
        <v>0.13</v>
      </c>
      <c r="I232" s="6">
        <v>9.1</v>
      </c>
      <c r="J232" s="5" t="s">
        <v>34</v>
      </c>
      <c r="K232" s="5" t="s">
        <v>1390</v>
      </c>
      <c r="L232" s="8">
        <v>18828278</v>
      </c>
      <c r="M232" s="5" t="s">
        <v>1389</v>
      </c>
      <c r="N232" s="6">
        <f>Renewals6[[#This Row],[Earnings]]/Renewals6[[#This Row],[Rate]]</f>
        <v>70</v>
      </c>
      <c r="O232" s="6">
        <f>Renewals6[[#This Row],[Column5]]*Renewals6[[#This Row],[Rate]]</f>
        <v>9.1</v>
      </c>
    </row>
    <row r="233" spans="1:15" x14ac:dyDescent="0.25">
      <c r="A233" s="5" t="s">
        <v>49</v>
      </c>
      <c r="B233" s="5" t="s">
        <v>1246</v>
      </c>
      <c r="C233" s="5" t="s">
        <v>32</v>
      </c>
      <c r="D233" s="5" t="s">
        <v>1247</v>
      </c>
      <c r="E233" s="7">
        <v>45748</v>
      </c>
      <c r="F233" s="7">
        <v>46174</v>
      </c>
      <c r="G233" s="6">
        <v>911.64</v>
      </c>
      <c r="H233" s="5">
        <v>0.13</v>
      </c>
      <c r="I233" s="6">
        <v>9.8800000000000008</v>
      </c>
      <c r="J233" s="5" t="s">
        <v>34</v>
      </c>
      <c r="K233" s="5" t="s">
        <v>1390</v>
      </c>
      <c r="L233" s="8">
        <v>18581063</v>
      </c>
      <c r="M233" s="5" t="s">
        <v>1389</v>
      </c>
      <c r="N233" s="6">
        <f>Renewals6[[#This Row],[Earnings]]/Renewals6[[#This Row],[Rate]]</f>
        <v>76</v>
      </c>
      <c r="O233" s="6">
        <f>Renewals6[[#This Row],[Column5]]*Renewals6[[#This Row],[Rate]]</f>
        <v>9.8800000000000008</v>
      </c>
    </row>
    <row r="234" spans="1:15" x14ac:dyDescent="0.25">
      <c r="A234" s="5" t="s">
        <v>77</v>
      </c>
      <c r="B234" s="5" t="s">
        <v>1248</v>
      </c>
      <c r="C234" s="5" t="s">
        <v>32</v>
      </c>
      <c r="D234" s="5" t="s">
        <v>1249</v>
      </c>
      <c r="E234" s="7">
        <v>45748</v>
      </c>
      <c r="F234" s="7">
        <v>46174</v>
      </c>
      <c r="G234" s="6">
        <v>777.28</v>
      </c>
      <c r="H234" s="5">
        <v>0.13</v>
      </c>
      <c r="I234" s="6">
        <v>8.42</v>
      </c>
      <c r="J234" s="5" t="s">
        <v>47</v>
      </c>
      <c r="K234" s="5" t="s">
        <v>1390</v>
      </c>
      <c r="L234" s="8">
        <v>9213293</v>
      </c>
      <c r="M234" s="5" t="s">
        <v>1389</v>
      </c>
      <c r="N234" s="6">
        <f>Renewals6[[#This Row],[Earnings]]/Renewals6[[#This Row],[Rate]]</f>
        <v>64.769230769230759</v>
      </c>
      <c r="O234" s="6">
        <f>Renewals6[[#This Row],[Column5]]*Renewals6[[#This Row],[Rate]]</f>
        <v>8.4199999999999982</v>
      </c>
    </row>
    <row r="235" spans="1:15" x14ac:dyDescent="0.25">
      <c r="A235" s="5" t="s">
        <v>77</v>
      </c>
      <c r="B235" s="5" t="s">
        <v>1250</v>
      </c>
      <c r="C235" s="5" t="s">
        <v>32</v>
      </c>
      <c r="D235" s="5" t="s">
        <v>1251</v>
      </c>
      <c r="E235" s="7">
        <v>45742</v>
      </c>
      <c r="F235" s="7">
        <v>46199</v>
      </c>
      <c r="G235" s="6">
        <v>777.28</v>
      </c>
      <c r="H235" s="5">
        <v>0.13</v>
      </c>
      <c r="I235" s="6">
        <v>8.42</v>
      </c>
      <c r="J235" s="5" t="s">
        <v>34</v>
      </c>
      <c r="K235" s="5" t="s">
        <v>1390</v>
      </c>
      <c r="L235" s="8">
        <v>9213293</v>
      </c>
      <c r="M235" s="5" t="s">
        <v>1389</v>
      </c>
      <c r="N235" s="6">
        <f>Renewals6[[#This Row],[Earnings]]/Renewals6[[#This Row],[Rate]]</f>
        <v>64.769230769230759</v>
      </c>
      <c r="O235" s="6">
        <f>Renewals6[[#This Row],[Column5]]*Renewals6[[#This Row],[Rate]]</f>
        <v>8.4199999999999982</v>
      </c>
    </row>
    <row r="236" spans="1:15" x14ac:dyDescent="0.25">
      <c r="A236" s="5" t="s">
        <v>224</v>
      </c>
      <c r="B236" s="5" t="s">
        <v>1252</v>
      </c>
      <c r="C236" s="5" t="s">
        <v>193</v>
      </c>
      <c r="D236" s="5" t="s">
        <v>1253</v>
      </c>
      <c r="E236" s="7">
        <v>45741</v>
      </c>
      <c r="F236" s="7">
        <v>46198</v>
      </c>
      <c r="G236" s="6">
        <v>390.87</v>
      </c>
      <c r="H236" s="5">
        <v>0.13</v>
      </c>
      <c r="I236" s="6">
        <v>4.2300000000000004</v>
      </c>
      <c r="J236" s="5" t="s">
        <v>34</v>
      </c>
      <c r="K236" s="5" t="s">
        <v>1390</v>
      </c>
      <c r="L236" s="8">
        <v>8405446</v>
      </c>
      <c r="M236" s="5" t="s">
        <v>1389</v>
      </c>
      <c r="N236" s="6">
        <f>Renewals6[[#This Row],[Earnings]]/Renewals6[[#This Row],[Rate]]</f>
        <v>32.53846153846154</v>
      </c>
      <c r="O236" s="6">
        <f>Renewals6[[#This Row],[Column5]]*Renewals6[[#This Row],[Rate]]</f>
        <v>4.2300000000000004</v>
      </c>
    </row>
    <row r="237" spans="1:15" x14ac:dyDescent="0.25">
      <c r="A237" s="5" t="s">
        <v>30</v>
      </c>
      <c r="B237" s="5" t="s">
        <v>1254</v>
      </c>
      <c r="C237" s="5" t="s">
        <v>32</v>
      </c>
      <c r="D237" s="5" t="s">
        <v>1255</v>
      </c>
      <c r="E237" s="7">
        <v>45743</v>
      </c>
      <c r="F237" s="7">
        <v>46169</v>
      </c>
      <c r="G237" s="6">
        <v>777.28</v>
      </c>
      <c r="H237" s="5">
        <v>0.13</v>
      </c>
      <c r="I237" s="6">
        <v>8.42</v>
      </c>
      <c r="J237" s="5" t="s">
        <v>34</v>
      </c>
      <c r="K237" s="5" t="s">
        <v>1390</v>
      </c>
      <c r="L237" s="8">
        <v>19481808</v>
      </c>
      <c r="M237" s="5" t="s">
        <v>1389</v>
      </c>
      <c r="N237" s="6">
        <f>Renewals6[[#This Row],[Earnings]]/Renewals6[[#This Row],[Rate]]</f>
        <v>64.769230769230759</v>
      </c>
      <c r="O237" s="6">
        <f>Renewals6[[#This Row],[Column5]]*Renewals6[[#This Row],[Rate]]</f>
        <v>8.4199999999999982</v>
      </c>
    </row>
    <row r="238" spans="1:15" x14ac:dyDescent="0.25">
      <c r="A238" s="5" t="s">
        <v>30</v>
      </c>
      <c r="B238" s="5" t="s">
        <v>1256</v>
      </c>
      <c r="C238" s="5" t="s">
        <v>32</v>
      </c>
      <c r="D238" s="5" t="s">
        <v>1257</v>
      </c>
      <c r="E238" s="7">
        <v>45743</v>
      </c>
      <c r="F238" s="7">
        <v>46169</v>
      </c>
      <c r="G238" s="6">
        <v>798.78</v>
      </c>
      <c r="H238" s="5">
        <v>0.13</v>
      </c>
      <c r="I238" s="6">
        <v>8.65</v>
      </c>
      <c r="J238" s="5" t="s">
        <v>34</v>
      </c>
      <c r="K238" s="5" t="s">
        <v>1390</v>
      </c>
      <c r="L238" s="8">
        <v>19481808</v>
      </c>
      <c r="M238" s="5" t="s">
        <v>1389</v>
      </c>
      <c r="N238" s="6">
        <f>Renewals6[[#This Row],[Earnings]]/Renewals6[[#This Row],[Rate]]</f>
        <v>66.538461538461533</v>
      </c>
      <c r="O238" s="6">
        <f>Renewals6[[#This Row],[Column5]]*Renewals6[[#This Row],[Rate]]</f>
        <v>8.65</v>
      </c>
    </row>
    <row r="239" spans="1:15" x14ac:dyDescent="0.25">
      <c r="A239" s="5" t="s">
        <v>140</v>
      </c>
      <c r="B239" s="5" t="s">
        <v>1258</v>
      </c>
      <c r="C239" s="5" t="s">
        <v>32</v>
      </c>
      <c r="D239" s="5" t="s">
        <v>1259</v>
      </c>
      <c r="E239" s="7">
        <v>45751</v>
      </c>
      <c r="F239" s="7">
        <v>46177</v>
      </c>
      <c r="G239" s="6">
        <v>405.16</v>
      </c>
      <c r="H239" s="5">
        <v>0.13</v>
      </c>
      <c r="I239" s="6">
        <v>4.3899999999999997</v>
      </c>
      <c r="J239" s="5" t="s">
        <v>1260</v>
      </c>
      <c r="K239" s="5" t="s">
        <v>1390</v>
      </c>
      <c r="L239" s="8" t="s">
        <v>1405</v>
      </c>
      <c r="M239" s="5" t="s">
        <v>1389</v>
      </c>
      <c r="N239" s="6">
        <f>Renewals6[[#This Row],[Earnings]]/Renewals6[[#This Row],[Rate]]</f>
        <v>33.769230769230766</v>
      </c>
      <c r="O239" s="6">
        <f>Renewals6[[#This Row],[Column5]]*Renewals6[[#This Row],[Rate]]</f>
        <v>4.3899999999999997</v>
      </c>
    </row>
    <row r="240" spans="1:15" x14ac:dyDescent="0.25">
      <c r="A240" s="5" t="s">
        <v>77</v>
      </c>
      <c r="B240" s="5" t="s">
        <v>1261</v>
      </c>
      <c r="C240" s="5" t="s">
        <v>32</v>
      </c>
      <c r="D240" s="5" t="s">
        <v>1262</v>
      </c>
      <c r="E240" s="7">
        <v>45748</v>
      </c>
      <c r="F240" s="7">
        <v>46174</v>
      </c>
      <c r="G240" s="6">
        <v>530.86</v>
      </c>
      <c r="H240" s="5">
        <v>0.13</v>
      </c>
      <c r="I240" s="6">
        <v>5.75</v>
      </c>
      <c r="J240" s="5" t="s">
        <v>34</v>
      </c>
      <c r="K240" s="5" t="s">
        <v>1390</v>
      </c>
      <c r="L240" s="8">
        <v>9213293</v>
      </c>
      <c r="M240" s="5" t="s">
        <v>1389</v>
      </c>
      <c r="N240" s="6">
        <f>Renewals6[[#This Row],[Earnings]]/Renewals6[[#This Row],[Rate]]</f>
        <v>44.230769230769226</v>
      </c>
      <c r="O240" s="6">
        <f>Renewals6[[#This Row],[Column5]]*Renewals6[[#This Row],[Rate]]</f>
        <v>5.75</v>
      </c>
    </row>
    <row r="241" spans="1:15" x14ac:dyDescent="0.25">
      <c r="A241" s="5" t="s">
        <v>30</v>
      </c>
      <c r="B241" s="5" t="s">
        <v>1263</v>
      </c>
      <c r="C241" s="5" t="s">
        <v>32</v>
      </c>
      <c r="D241" s="5" t="s">
        <v>1264</v>
      </c>
      <c r="E241" s="7">
        <v>45744</v>
      </c>
      <c r="F241" s="7">
        <v>46170</v>
      </c>
      <c r="G241" s="6">
        <v>835.79</v>
      </c>
      <c r="H241" s="5">
        <v>0.13</v>
      </c>
      <c r="I241" s="6">
        <v>9.0500000000000007</v>
      </c>
      <c r="J241" s="5" t="s">
        <v>695</v>
      </c>
      <c r="K241" s="5" t="s">
        <v>1390</v>
      </c>
      <c r="L241" s="8">
        <v>19481808</v>
      </c>
      <c r="M241" s="5" t="s">
        <v>1389</v>
      </c>
      <c r="N241" s="6">
        <f>Renewals6[[#This Row],[Earnings]]/Renewals6[[#This Row],[Rate]]</f>
        <v>69.615384615384613</v>
      </c>
      <c r="O241" s="6">
        <f>Renewals6[[#This Row],[Column5]]*Renewals6[[#This Row],[Rate]]</f>
        <v>9.0500000000000007</v>
      </c>
    </row>
    <row r="242" spans="1:15" x14ac:dyDescent="0.25">
      <c r="A242" s="5" t="s">
        <v>73</v>
      </c>
      <c r="B242" s="5" t="s">
        <v>1265</v>
      </c>
      <c r="C242" s="5" t="s">
        <v>32</v>
      </c>
      <c r="D242" s="5" t="s">
        <v>1266</v>
      </c>
      <c r="E242" s="7">
        <v>45745</v>
      </c>
      <c r="F242" s="7">
        <v>46202</v>
      </c>
      <c r="G242" s="6">
        <v>668.86</v>
      </c>
      <c r="H242" s="5">
        <v>0.13</v>
      </c>
      <c r="I242" s="6">
        <v>6.08</v>
      </c>
      <c r="J242" s="5" t="s">
        <v>34</v>
      </c>
      <c r="K242" s="5" t="s">
        <v>1390</v>
      </c>
      <c r="L242" s="8">
        <v>20220688</v>
      </c>
      <c r="M242" s="5" t="s">
        <v>1389</v>
      </c>
      <c r="N242" s="6">
        <f>Renewals6[[#This Row],[Earnings]]/Renewals6[[#This Row],[Rate]]</f>
        <v>46.769230769230766</v>
      </c>
      <c r="O242" s="6">
        <f>Renewals6[[#This Row],[Column5]]*Renewals6[[#This Row],[Rate]]</f>
        <v>6.08</v>
      </c>
    </row>
    <row r="243" spans="1:15" x14ac:dyDescent="0.25">
      <c r="A243" s="5" t="s">
        <v>73</v>
      </c>
      <c r="B243" s="5" t="s">
        <v>1267</v>
      </c>
      <c r="C243" s="5" t="s">
        <v>32</v>
      </c>
      <c r="D243" s="5" t="s">
        <v>1268</v>
      </c>
      <c r="E243" s="7">
        <v>45744</v>
      </c>
      <c r="F243" s="7">
        <v>46201</v>
      </c>
      <c r="G243" s="6">
        <v>499.13</v>
      </c>
      <c r="H243" s="5">
        <v>0.13</v>
      </c>
      <c r="I243" s="6">
        <v>5.41</v>
      </c>
      <c r="J243" s="5" t="s">
        <v>34</v>
      </c>
      <c r="K243" s="5" t="s">
        <v>1390</v>
      </c>
      <c r="L243" s="8">
        <v>20220688</v>
      </c>
      <c r="M243" s="5" t="s">
        <v>1389</v>
      </c>
      <c r="N243" s="6">
        <f>Renewals6[[#This Row],[Earnings]]/Renewals6[[#This Row],[Rate]]</f>
        <v>41.615384615384613</v>
      </c>
      <c r="O243" s="6">
        <f>Renewals6[[#This Row],[Column5]]*Renewals6[[#This Row],[Rate]]</f>
        <v>5.41</v>
      </c>
    </row>
    <row r="244" spans="1:15" x14ac:dyDescent="0.25">
      <c r="A244" s="5" t="s">
        <v>478</v>
      </c>
      <c r="B244" s="5" t="s">
        <v>1269</v>
      </c>
      <c r="C244" s="5" t="s">
        <v>32</v>
      </c>
      <c r="D244" s="5" t="s">
        <v>1270</v>
      </c>
      <c r="E244" s="7">
        <v>45748</v>
      </c>
      <c r="F244" s="7">
        <v>46174</v>
      </c>
      <c r="G244" s="6">
        <v>364.42</v>
      </c>
      <c r="H244" s="5">
        <v>0.13</v>
      </c>
      <c r="I244" s="6">
        <v>3.95</v>
      </c>
      <c r="J244" s="5" t="s">
        <v>34</v>
      </c>
      <c r="K244" s="5" t="s">
        <v>1390</v>
      </c>
      <c r="L244" s="8">
        <v>19615078</v>
      </c>
      <c r="M244" s="5" t="s">
        <v>1389</v>
      </c>
      <c r="N244" s="6">
        <f>Renewals6[[#This Row],[Earnings]]/Renewals6[[#This Row],[Rate]]</f>
        <v>30.384615384615383</v>
      </c>
      <c r="O244" s="6">
        <f>Renewals6[[#This Row],[Column5]]*Renewals6[[#This Row],[Rate]]</f>
        <v>3.95</v>
      </c>
    </row>
    <row r="245" spans="1:15" x14ac:dyDescent="0.25">
      <c r="A245" s="5" t="s">
        <v>154</v>
      </c>
      <c r="B245" s="5" t="s">
        <v>1271</v>
      </c>
      <c r="C245" s="5" t="s">
        <v>32</v>
      </c>
      <c r="D245" s="5" t="s">
        <v>1272</v>
      </c>
      <c r="E245" s="7">
        <v>45778</v>
      </c>
      <c r="F245" s="7">
        <v>46204</v>
      </c>
      <c r="G245" s="6">
        <v>917.59</v>
      </c>
      <c r="H245" s="5">
        <v>0.13</v>
      </c>
      <c r="I245" s="6">
        <v>7.52</v>
      </c>
      <c r="J245" s="5" t="s">
        <v>34</v>
      </c>
      <c r="K245" s="5" t="s">
        <v>1390</v>
      </c>
      <c r="L245" s="8" t="s">
        <v>1406</v>
      </c>
      <c r="M245" s="5" t="s">
        <v>1389</v>
      </c>
      <c r="N245" s="6">
        <f>Renewals6[[#This Row],[Earnings]]/Renewals6[[#This Row],[Rate]]</f>
        <v>57.84615384615384</v>
      </c>
      <c r="O245" s="6">
        <f>Renewals6[[#This Row],[Column5]]*Renewals6[[#This Row],[Rate]]</f>
        <v>7.52</v>
      </c>
    </row>
    <row r="246" spans="1:15" x14ac:dyDescent="0.25">
      <c r="A246" s="5" t="s">
        <v>77</v>
      </c>
      <c r="B246" s="5" t="s">
        <v>1273</v>
      </c>
      <c r="C246" s="5" t="s">
        <v>32</v>
      </c>
      <c r="D246" s="5" t="s">
        <v>1274</v>
      </c>
      <c r="E246" s="7">
        <v>45751</v>
      </c>
      <c r="F246" s="7">
        <v>46177</v>
      </c>
      <c r="G246" s="6">
        <v>551.12</v>
      </c>
      <c r="H246" s="5">
        <v>0.13</v>
      </c>
      <c r="I246" s="6">
        <v>5.97</v>
      </c>
      <c r="J246" s="5" t="s">
        <v>34</v>
      </c>
      <c r="K246" s="5" t="s">
        <v>1390</v>
      </c>
      <c r="L246" s="8">
        <v>9213293</v>
      </c>
      <c r="M246" s="5" t="s">
        <v>1389</v>
      </c>
      <c r="N246" s="6">
        <f>Renewals6[[#This Row],[Earnings]]/Renewals6[[#This Row],[Rate]]</f>
        <v>45.92307692307692</v>
      </c>
      <c r="O246" s="6">
        <f>Renewals6[[#This Row],[Column5]]*Renewals6[[#This Row],[Rate]]</f>
        <v>5.97</v>
      </c>
    </row>
    <row r="247" spans="1:15" x14ac:dyDescent="0.25">
      <c r="A247" s="5" t="s">
        <v>132</v>
      </c>
      <c r="B247" s="5" t="s">
        <v>1275</v>
      </c>
      <c r="C247" s="5" t="s">
        <v>32</v>
      </c>
      <c r="D247" s="5" t="s">
        <v>1276</v>
      </c>
      <c r="E247" s="7">
        <v>45753</v>
      </c>
      <c r="F247" s="7">
        <v>46179</v>
      </c>
      <c r="G247" s="6">
        <v>452.38</v>
      </c>
      <c r="H247" s="5">
        <v>0.13</v>
      </c>
      <c r="I247" s="6">
        <v>4.9000000000000004</v>
      </c>
      <c r="J247" s="5" t="s">
        <v>34</v>
      </c>
      <c r="K247" s="5" t="s">
        <v>1390</v>
      </c>
      <c r="L247" s="8" t="s">
        <v>1407</v>
      </c>
      <c r="M247" s="5" t="s">
        <v>1389</v>
      </c>
      <c r="N247" s="6">
        <f>Renewals6[[#This Row],[Earnings]]/Renewals6[[#This Row],[Rate]]</f>
        <v>37.692307692307693</v>
      </c>
      <c r="O247" s="6">
        <f>Renewals6[[#This Row],[Column5]]*Renewals6[[#This Row],[Rate]]</f>
        <v>4.9000000000000004</v>
      </c>
    </row>
    <row r="248" spans="1:15" x14ac:dyDescent="0.25">
      <c r="A248" s="5" t="s">
        <v>73</v>
      </c>
      <c r="B248" s="5" t="s">
        <v>1277</v>
      </c>
      <c r="C248" s="5" t="s">
        <v>32</v>
      </c>
      <c r="D248" s="5" t="s">
        <v>1278</v>
      </c>
      <c r="E248" s="7">
        <v>45764</v>
      </c>
      <c r="F248" s="7">
        <v>46190</v>
      </c>
      <c r="G248" s="6">
        <v>570.22</v>
      </c>
      <c r="H248" s="5">
        <v>0.13</v>
      </c>
      <c r="I248" s="6">
        <v>6.18</v>
      </c>
      <c r="J248" s="5" t="s">
        <v>34</v>
      </c>
      <c r="K248" s="5" t="s">
        <v>1390</v>
      </c>
      <c r="L248" s="8" t="s">
        <v>1408</v>
      </c>
      <c r="M248" s="5" t="s">
        <v>1389</v>
      </c>
      <c r="N248" s="6">
        <f>Renewals6[[#This Row],[Earnings]]/Renewals6[[#This Row],[Rate]]</f>
        <v>47.538461538461533</v>
      </c>
      <c r="O248" s="6">
        <f>Renewals6[[#This Row],[Column5]]*Renewals6[[#This Row],[Rate]]</f>
        <v>6.18</v>
      </c>
    </row>
    <row r="249" spans="1:15" x14ac:dyDescent="0.25">
      <c r="A249" s="5" t="s">
        <v>49</v>
      </c>
      <c r="B249" s="5" t="s">
        <v>1279</v>
      </c>
      <c r="C249" s="5" t="s">
        <v>32</v>
      </c>
      <c r="D249" s="5" t="s">
        <v>1280</v>
      </c>
      <c r="E249" s="7">
        <v>45768</v>
      </c>
      <c r="F249" s="7">
        <v>46194</v>
      </c>
      <c r="G249" s="6">
        <v>685.75</v>
      </c>
      <c r="H249" s="5">
        <v>0.13</v>
      </c>
      <c r="I249" s="6">
        <v>6.27</v>
      </c>
      <c r="J249" s="5" t="s">
        <v>34</v>
      </c>
      <c r="K249" s="5" t="s">
        <v>1390</v>
      </c>
      <c r="L249" s="8">
        <v>18581063</v>
      </c>
      <c r="M249" s="5" t="s">
        <v>1389</v>
      </c>
      <c r="N249" s="6">
        <f>Renewals6[[#This Row],[Earnings]]/Renewals6[[#This Row],[Rate]]</f>
        <v>48.230769230769226</v>
      </c>
      <c r="O249" s="6">
        <f>Renewals6[[#This Row],[Column5]]*Renewals6[[#This Row],[Rate]]</f>
        <v>6.27</v>
      </c>
    </row>
    <row r="250" spans="1:15" x14ac:dyDescent="0.25">
      <c r="A250" s="5" t="s">
        <v>77</v>
      </c>
      <c r="B250" s="5" t="s">
        <v>1281</v>
      </c>
      <c r="C250" s="5" t="s">
        <v>32</v>
      </c>
      <c r="D250" s="5" t="s">
        <v>1282</v>
      </c>
      <c r="E250" s="7">
        <v>45769</v>
      </c>
      <c r="F250" s="7">
        <v>46195</v>
      </c>
      <c r="G250" s="6">
        <v>1756.76</v>
      </c>
      <c r="H250" s="5">
        <v>6.5000000000000002E-2</v>
      </c>
      <c r="I250" s="6">
        <v>9.52</v>
      </c>
      <c r="J250" s="5" t="s">
        <v>34</v>
      </c>
      <c r="K250" s="5" t="s">
        <v>1397</v>
      </c>
      <c r="L250" s="8">
        <v>9213293</v>
      </c>
      <c r="M250" s="5" t="s">
        <v>1389</v>
      </c>
      <c r="N250" s="6">
        <f>Renewals6[[#This Row],[Earnings]]/Renewals6[[#This Row],[Rate]]</f>
        <v>146.46153846153845</v>
      </c>
      <c r="O250" s="6">
        <f>Renewals6[[#This Row],[Column5]]*Renewals6[[#This Row],[Rate]]</f>
        <v>9.52</v>
      </c>
    </row>
    <row r="251" spans="1:15" x14ac:dyDescent="0.25">
      <c r="A251" s="5" t="s">
        <v>189</v>
      </c>
      <c r="B251" s="5" t="s">
        <v>1283</v>
      </c>
      <c r="C251" s="5" t="s">
        <v>32</v>
      </c>
      <c r="D251" s="5" t="s">
        <v>1284</v>
      </c>
      <c r="E251" s="7">
        <v>45770</v>
      </c>
      <c r="F251" s="7">
        <v>46196</v>
      </c>
      <c r="G251" s="6">
        <v>530.86</v>
      </c>
      <c r="H251" s="5">
        <v>0.13</v>
      </c>
      <c r="I251" s="6">
        <v>5.75</v>
      </c>
      <c r="J251" s="5" t="s">
        <v>34</v>
      </c>
      <c r="K251" s="5" t="s">
        <v>1390</v>
      </c>
      <c r="L251" s="8" t="s">
        <v>1409</v>
      </c>
      <c r="M251" s="5" t="s">
        <v>1389</v>
      </c>
      <c r="N251" s="6">
        <f>Renewals6[[#This Row],[Earnings]]/Renewals6[[#This Row],[Rate]]</f>
        <v>44.230769230769226</v>
      </c>
      <c r="O251" s="6">
        <f>Renewals6[[#This Row],[Column5]]*Renewals6[[#This Row],[Rate]]</f>
        <v>5.75</v>
      </c>
    </row>
    <row r="252" spans="1:15" x14ac:dyDescent="0.25">
      <c r="A252" s="5" t="s">
        <v>224</v>
      </c>
      <c r="B252" s="5" t="s">
        <v>1285</v>
      </c>
      <c r="C252" s="5" t="s">
        <v>193</v>
      </c>
      <c r="D252" s="5" t="s">
        <v>1286</v>
      </c>
      <c r="E252" s="7">
        <v>45778</v>
      </c>
      <c r="F252" s="7">
        <v>46204</v>
      </c>
      <c r="G252" s="6">
        <v>529.76</v>
      </c>
      <c r="H252" s="5">
        <v>0.13</v>
      </c>
      <c r="I252" s="6">
        <v>4.2300000000000004</v>
      </c>
      <c r="J252" s="5" t="s">
        <v>34</v>
      </c>
      <c r="K252" s="5" t="s">
        <v>1390</v>
      </c>
      <c r="L252" s="8" t="s">
        <v>1410</v>
      </c>
      <c r="M252" s="5" t="s">
        <v>1389</v>
      </c>
      <c r="N252" s="6">
        <f>Renewals6[[#This Row],[Earnings]]/Renewals6[[#This Row],[Rate]]</f>
        <v>32.53846153846154</v>
      </c>
      <c r="O252" s="6">
        <f>Renewals6[[#This Row],[Column5]]*Renewals6[[#This Row],[Rate]]</f>
        <v>4.2300000000000004</v>
      </c>
    </row>
    <row r="253" spans="1:15" x14ac:dyDescent="0.25">
      <c r="A253" s="5" t="s">
        <v>154</v>
      </c>
      <c r="B253" s="5" t="s">
        <v>1287</v>
      </c>
      <c r="C253" s="5" t="s">
        <v>32</v>
      </c>
      <c r="D253" s="5" t="s">
        <v>1288</v>
      </c>
      <c r="E253" s="7">
        <v>45474</v>
      </c>
      <c r="F253" s="7">
        <v>46174</v>
      </c>
      <c r="G253" s="6">
        <v>467.79</v>
      </c>
      <c r="H253" s="5">
        <v>0.12</v>
      </c>
      <c r="I253" s="6">
        <v>4.68</v>
      </c>
      <c r="J253" s="5" t="s">
        <v>34</v>
      </c>
      <c r="K253" s="5" t="s">
        <v>1395</v>
      </c>
      <c r="L253" s="8">
        <v>19681796</v>
      </c>
      <c r="M253" s="5" t="s">
        <v>1389</v>
      </c>
      <c r="N253" s="6">
        <f>Renewals6[[#This Row],[Earnings]]/Renewals6[[#This Row],[Rate]]</f>
        <v>39</v>
      </c>
      <c r="O253" s="6">
        <f>Renewals6[[#This Row],[Column5]]*Renewals6[[#This Row],[Rate]]</f>
        <v>4.68</v>
      </c>
    </row>
    <row r="254" spans="1:15" x14ac:dyDescent="0.25">
      <c r="A254" s="5" t="s">
        <v>154</v>
      </c>
      <c r="B254" s="5" t="s">
        <v>1289</v>
      </c>
      <c r="C254" s="5" t="s">
        <v>32</v>
      </c>
      <c r="D254" s="5" t="s">
        <v>1290</v>
      </c>
      <c r="E254" s="7">
        <v>45474</v>
      </c>
      <c r="F254" s="7">
        <v>46174</v>
      </c>
      <c r="G254" s="6">
        <v>467.79</v>
      </c>
      <c r="H254" s="5">
        <v>0.12</v>
      </c>
      <c r="I254" s="6">
        <v>4.68</v>
      </c>
      <c r="J254" s="5" t="s">
        <v>34</v>
      </c>
      <c r="K254" s="5" t="s">
        <v>1395</v>
      </c>
      <c r="L254" s="8">
        <v>19681796</v>
      </c>
      <c r="M254" s="5" t="s">
        <v>1389</v>
      </c>
      <c r="N254" s="6">
        <f>Renewals6[[#This Row],[Earnings]]/Renewals6[[#This Row],[Rate]]</f>
        <v>39</v>
      </c>
      <c r="O254" s="6">
        <f>Renewals6[[#This Row],[Column5]]*Renewals6[[#This Row],[Rate]]</f>
        <v>4.68</v>
      </c>
    </row>
    <row r="255" spans="1:15" x14ac:dyDescent="0.25">
      <c r="A255" s="5" t="s">
        <v>77</v>
      </c>
      <c r="B255" s="5" t="s">
        <v>1291</v>
      </c>
      <c r="C255" s="5" t="s">
        <v>32</v>
      </c>
      <c r="D255" s="5" t="s">
        <v>1292</v>
      </c>
      <c r="E255" s="7">
        <v>45536</v>
      </c>
      <c r="F255" s="7">
        <v>46174</v>
      </c>
      <c r="G255" s="6">
        <v>884.95</v>
      </c>
      <c r="H255" s="5">
        <v>0.13</v>
      </c>
      <c r="I255" s="6">
        <v>9.59</v>
      </c>
      <c r="J255" s="5" t="s">
        <v>34</v>
      </c>
      <c r="K255" s="5" t="s">
        <v>1390</v>
      </c>
      <c r="L255" s="8">
        <v>9213293</v>
      </c>
      <c r="M255" s="5" t="s">
        <v>1389</v>
      </c>
      <c r="N255" s="6">
        <f>Renewals6[[#This Row],[Earnings]]/Renewals6[[#This Row],[Rate]]</f>
        <v>73.769230769230759</v>
      </c>
      <c r="O255" s="6">
        <f>Renewals6[[#This Row],[Column5]]*Renewals6[[#This Row],[Rate]]</f>
        <v>9.59</v>
      </c>
    </row>
    <row r="256" spans="1:15" x14ac:dyDescent="0.25">
      <c r="A256" s="5" t="s">
        <v>154</v>
      </c>
      <c r="B256" s="5" t="s">
        <v>1293</v>
      </c>
      <c r="C256" s="5" t="s">
        <v>32</v>
      </c>
      <c r="D256" s="5" t="s">
        <v>1294</v>
      </c>
      <c r="E256" s="7">
        <v>45481</v>
      </c>
      <c r="F256" s="7">
        <v>46181</v>
      </c>
      <c r="G256" s="6">
        <v>601.9</v>
      </c>
      <c r="H256" s="5">
        <v>0.13</v>
      </c>
      <c r="I256" s="6">
        <v>5.07</v>
      </c>
      <c r="J256" s="5" t="s">
        <v>34</v>
      </c>
      <c r="K256" s="5" t="s">
        <v>1390</v>
      </c>
      <c r="L256" s="8">
        <v>19681796</v>
      </c>
      <c r="M256" s="5" t="s">
        <v>1389</v>
      </c>
      <c r="N256" s="6">
        <f>Renewals6[[#This Row],[Earnings]]/Renewals6[[#This Row],[Rate]]</f>
        <v>39</v>
      </c>
      <c r="O256" s="6">
        <f>Renewals6[[#This Row],[Column5]]*Renewals6[[#This Row],[Rate]]</f>
        <v>5.07</v>
      </c>
    </row>
    <row r="257" spans="1:15" x14ac:dyDescent="0.25">
      <c r="A257" s="5" t="s">
        <v>154</v>
      </c>
      <c r="B257" s="5" t="s">
        <v>1295</v>
      </c>
      <c r="C257" s="5" t="s">
        <v>32</v>
      </c>
      <c r="D257" s="5" t="s">
        <v>1296</v>
      </c>
      <c r="E257" s="7">
        <v>45488</v>
      </c>
      <c r="F257" s="7">
        <v>46188</v>
      </c>
      <c r="G257" s="6">
        <v>922.84</v>
      </c>
      <c r="H257" s="5">
        <v>0.13</v>
      </c>
      <c r="I257" s="6">
        <v>10</v>
      </c>
      <c r="J257" s="5" t="s">
        <v>34</v>
      </c>
      <c r="K257" s="5" t="s">
        <v>1390</v>
      </c>
      <c r="L257" s="8">
        <v>19681796</v>
      </c>
      <c r="M257" s="5" t="s">
        <v>1389</v>
      </c>
      <c r="N257" s="6">
        <f>Renewals6[[#This Row],[Earnings]]/Renewals6[[#This Row],[Rate]]</f>
        <v>76.92307692307692</v>
      </c>
      <c r="O257" s="6">
        <f>Renewals6[[#This Row],[Column5]]*Renewals6[[#This Row],[Rate]]</f>
        <v>10</v>
      </c>
    </row>
    <row r="258" spans="1:15" x14ac:dyDescent="0.25">
      <c r="A258" s="5" t="s">
        <v>154</v>
      </c>
      <c r="B258" s="5" t="s">
        <v>1297</v>
      </c>
      <c r="C258" s="5" t="s">
        <v>32</v>
      </c>
      <c r="D258" s="5" t="s">
        <v>1298</v>
      </c>
      <c r="E258" s="7">
        <v>45566</v>
      </c>
      <c r="F258" s="7">
        <v>46174</v>
      </c>
      <c r="G258" s="6">
        <v>447.48</v>
      </c>
      <c r="H258" s="5">
        <v>0.13</v>
      </c>
      <c r="I258" s="6">
        <v>4.8499999999999996</v>
      </c>
      <c r="J258" s="5" t="s">
        <v>34</v>
      </c>
      <c r="K258" s="5" t="s">
        <v>1390</v>
      </c>
      <c r="L258" s="8">
        <v>19681796</v>
      </c>
      <c r="M258" s="5" t="s">
        <v>1389</v>
      </c>
      <c r="N258" s="6">
        <f>Renewals6[[#This Row],[Earnings]]/Renewals6[[#This Row],[Rate]]</f>
        <v>37.307692307692307</v>
      </c>
      <c r="O258" s="6">
        <f>Renewals6[[#This Row],[Column5]]*Renewals6[[#This Row],[Rate]]</f>
        <v>4.8499999999999996</v>
      </c>
    </row>
    <row r="259" spans="1:15" x14ac:dyDescent="0.25">
      <c r="A259" s="5" t="s">
        <v>154</v>
      </c>
      <c r="B259" s="5" t="s">
        <v>1299</v>
      </c>
      <c r="C259" s="5" t="s">
        <v>32</v>
      </c>
      <c r="D259" s="5" t="s">
        <v>1300</v>
      </c>
      <c r="E259" s="7">
        <v>45558</v>
      </c>
      <c r="F259" s="7">
        <v>46196</v>
      </c>
      <c r="G259" s="6">
        <v>447.48</v>
      </c>
      <c r="H259" s="5">
        <v>0.13</v>
      </c>
      <c r="I259" s="6">
        <v>4.8499999999999996</v>
      </c>
      <c r="J259" s="5" t="s">
        <v>34</v>
      </c>
      <c r="K259" s="5" t="s">
        <v>1390</v>
      </c>
      <c r="L259" s="8">
        <v>19681796</v>
      </c>
      <c r="M259" s="5" t="s">
        <v>1389</v>
      </c>
      <c r="N259" s="6">
        <f>Renewals6[[#This Row],[Earnings]]/Renewals6[[#This Row],[Rate]]</f>
        <v>37.307692307692307</v>
      </c>
      <c r="O259" s="6">
        <f>Renewals6[[#This Row],[Column5]]*Renewals6[[#This Row],[Rate]]</f>
        <v>4.8499999999999996</v>
      </c>
    </row>
    <row r="260" spans="1:15" x14ac:dyDescent="0.25">
      <c r="A260" s="5" t="s">
        <v>220</v>
      </c>
      <c r="B260" s="5" t="s">
        <v>1301</v>
      </c>
      <c r="C260" s="5" t="s">
        <v>32</v>
      </c>
      <c r="D260" s="5" t="s">
        <v>1302</v>
      </c>
      <c r="E260" s="7">
        <v>45565</v>
      </c>
      <c r="F260" s="7">
        <v>46172</v>
      </c>
      <c r="G260" s="6">
        <v>381.13</v>
      </c>
      <c r="H260" s="5">
        <v>0.13</v>
      </c>
      <c r="I260" s="6">
        <v>4.13</v>
      </c>
      <c r="J260" s="5" t="s">
        <v>34</v>
      </c>
      <c r="K260" s="5" t="s">
        <v>1390</v>
      </c>
      <c r="L260" s="8">
        <v>16633294</v>
      </c>
      <c r="M260" s="5" t="s">
        <v>1389</v>
      </c>
      <c r="N260" s="6">
        <f>Renewals6[[#This Row],[Earnings]]/Renewals6[[#This Row],[Rate]]</f>
        <v>31.769230769230766</v>
      </c>
      <c r="O260" s="6">
        <f>Renewals6[[#This Row],[Column5]]*Renewals6[[#This Row],[Rate]]</f>
        <v>4.13</v>
      </c>
    </row>
    <row r="261" spans="1:15" x14ac:dyDescent="0.25">
      <c r="A261" s="5" t="s">
        <v>83</v>
      </c>
      <c r="B261" s="5" t="s">
        <v>1303</v>
      </c>
      <c r="C261" s="5" t="s">
        <v>32</v>
      </c>
      <c r="D261" s="5" t="s">
        <v>1304</v>
      </c>
      <c r="E261" s="7">
        <v>45576</v>
      </c>
      <c r="F261" s="7">
        <v>46184</v>
      </c>
      <c r="G261" s="6">
        <v>1262.0999999999999</v>
      </c>
      <c r="H261" s="5">
        <v>6.5000000000000002E-2</v>
      </c>
      <c r="I261" s="6">
        <v>6.84</v>
      </c>
      <c r="J261" s="5" t="s">
        <v>34</v>
      </c>
      <c r="K261" s="5" t="s">
        <v>1398</v>
      </c>
      <c r="L261" s="8">
        <v>8325282</v>
      </c>
      <c r="M261" s="5" t="s">
        <v>1389</v>
      </c>
      <c r="N261" s="6">
        <f>Renewals6[[#This Row],[Earnings]]/Renewals6[[#This Row],[Rate]]</f>
        <v>105.23076923076923</v>
      </c>
      <c r="O261" s="6">
        <f>Renewals6[[#This Row],[Column5]]*Renewals6[[#This Row],[Rate]]</f>
        <v>6.84</v>
      </c>
    </row>
    <row r="262" spans="1:15" x14ac:dyDescent="0.25">
      <c r="A262" s="5" t="s">
        <v>83</v>
      </c>
      <c r="B262" s="5" t="s">
        <v>1305</v>
      </c>
      <c r="C262" s="5" t="s">
        <v>32</v>
      </c>
      <c r="D262" s="5" t="s">
        <v>1306</v>
      </c>
      <c r="E262" s="7">
        <v>45580</v>
      </c>
      <c r="F262" s="7">
        <v>46188</v>
      </c>
      <c r="G262" s="6">
        <v>620.57000000000005</v>
      </c>
      <c r="H262" s="5">
        <v>0.13</v>
      </c>
      <c r="I262" s="6">
        <v>6.72</v>
      </c>
      <c r="J262" s="5" t="s">
        <v>34</v>
      </c>
      <c r="K262" s="5" t="s">
        <v>1390</v>
      </c>
      <c r="L262" s="8">
        <v>8325282</v>
      </c>
      <c r="M262" s="5" t="s">
        <v>1389</v>
      </c>
      <c r="N262" s="6">
        <f>Renewals6[[#This Row],[Earnings]]/Renewals6[[#This Row],[Rate]]</f>
        <v>51.692307692307686</v>
      </c>
      <c r="O262" s="6">
        <f>Renewals6[[#This Row],[Column5]]*Renewals6[[#This Row],[Rate]]</f>
        <v>6.72</v>
      </c>
    </row>
    <row r="263" spans="1:15" x14ac:dyDescent="0.25">
      <c r="A263" s="5" t="s">
        <v>228</v>
      </c>
      <c r="B263" s="5" t="s">
        <v>1307</v>
      </c>
      <c r="C263" s="5" t="s">
        <v>32</v>
      </c>
      <c r="D263" s="5" t="s">
        <v>1308</v>
      </c>
      <c r="E263" s="7">
        <v>45582</v>
      </c>
      <c r="F263" s="7">
        <v>46190</v>
      </c>
      <c r="G263" s="6">
        <v>742.86</v>
      </c>
      <c r="H263" s="5">
        <v>0.13</v>
      </c>
      <c r="I263" s="6">
        <v>8.0500000000000007</v>
      </c>
      <c r="J263" s="5" t="s">
        <v>34</v>
      </c>
      <c r="K263" s="5" t="s">
        <v>1390</v>
      </c>
      <c r="L263" s="8">
        <v>8814784</v>
      </c>
      <c r="M263" s="5" t="s">
        <v>1389</v>
      </c>
      <c r="N263" s="6">
        <f>Renewals6[[#This Row],[Earnings]]/Renewals6[[#This Row],[Rate]]</f>
        <v>61.923076923076927</v>
      </c>
      <c r="O263" s="6">
        <f>Renewals6[[#This Row],[Column5]]*Renewals6[[#This Row],[Rate]]</f>
        <v>8.0500000000000007</v>
      </c>
    </row>
    <row r="264" spans="1:15" x14ac:dyDescent="0.25">
      <c r="A264" s="5" t="s">
        <v>220</v>
      </c>
      <c r="B264" s="5" t="s">
        <v>1309</v>
      </c>
      <c r="C264" s="5" t="s">
        <v>32</v>
      </c>
      <c r="D264" s="5" t="s">
        <v>1310</v>
      </c>
      <c r="E264" s="7">
        <v>45583</v>
      </c>
      <c r="F264" s="7">
        <v>46191</v>
      </c>
      <c r="G264" s="6">
        <v>652.86</v>
      </c>
      <c r="H264" s="5">
        <v>0.13</v>
      </c>
      <c r="I264" s="6">
        <v>7.07</v>
      </c>
      <c r="J264" s="5" t="s">
        <v>34</v>
      </c>
      <c r="K264" s="5" t="s">
        <v>1390</v>
      </c>
      <c r="L264" s="8">
        <v>16633294</v>
      </c>
      <c r="M264" s="5" t="s">
        <v>1389</v>
      </c>
      <c r="N264" s="6">
        <f>Renewals6[[#This Row],[Earnings]]/Renewals6[[#This Row],[Rate]]</f>
        <v>54.384615384615387</v>
      </c>
      <c r="O264" s="6">
        <f>Renewals6[[#This Row],[Column5]]*Renewals6[[#This Row],[Rate]]</f>
        <v>7.07</v>
      </c>
    </row>
    <row r="265" spans="1:15" x14ac:dyDescent="0.25">
      <c r="A265" s="5" t="s">
        <v>220</v>
      </c>
      <c r="B265" s="5" t="s">
        <v>1311</v>
      </c>
      <c r="C265" s="5" t="s">
        <v>32</v>
      </c>
      <c r="D265" s="5" t="s">
        <v>1312</v>
      </c>
      <c r="E265" s="7">
        <v>45589</v>
      </c>
      <c r="F265" s="7">
        <v>46197</v>
      </c>
      <c r="G265" s="6">
        <v>919.19</v>
      </c>
      <c r="H265" s="5">
        <v>0.13</v>
      </c>
      <c r="I265" s="6">
        <v>9.9600000000000009</v>
      </c>
      <c r="J265" s="5" t="s">
        <v>34</v>
      </c>
      <c r="K265" s="5" t="s">
        <v>1390</v>
      </c>
      <c r="L265" s="8">
        <v>16633294</v>
      </c>
      <c r="M265" s="5" t="s">
        <v>1389</v>
      </c>
      <c r="N265" s="6">
        <f>Renewals6[[#This Row],[Earnings]]/Renewals6[[#This Row],[Rate]]</f>
        <v>76.615384615384613</v>
      </c>
      <c r="O265" s="6">
        <f>Renewals6[[#This Row],[Column5]]*Renewals6[[#This Row],[Rate]]</f>
        <v>9.9600000000000009</v>
      </c>
    </row>
    <row r="266" spans="1:15" x14ac:dyDescent="0.25">
      <c r="A266" s="5" t="s">
        <v>220</v>
      </c>
      <c r="B266" s="5" t="s">
        <v>1313</v>
      </c>
      <c r="C266" s="5" t="s">
        <v>32</v>
      </c>
      <c r="D266" s="5" t="s">
        <v>1314</v>
      </c>
      <c r="E266" s="7">
        <v>45588</v>
      </c>
      <c r="F266" s="7">
        <v>46196</v>
      </c>
      <c r="G266" s="6">
        <v>607.15</v>
      </c>
      <c r="H266" s="5">
        <v>0.13</v>
      </c>
      <c r="I266" s="6">
        <v>6.58</v>
      </c>
      <c r="J266" s="5" t="s">
        <v>34</v>
      </c>
      <c r="K266" s="5" t="s">
        <v>1390</v>
      </c>
      <c r="L266" s="8">
        <v>16633294</v>
      </c>
      <c r="M266" s="5" t="s">
        <v>1389</v>
      </c>
      <c r="N266" s="6">
        <f>Renewals6[[#This Row],[Earnings]]/Renewals6[[#This Row],[Rate]]</f>
        <v>50.615384615384613</v>
      </c>
      <c r="O266" s="6">
        <f>Renewals6[[#This Row],[Column5]]*Renewals6[[#This Row],[Rate]]</f>
        <v>6.58</v>
      </c>
    </row>
    <row r="267" spans="1:15" x14ac:dyDescent="0.25">
      <c r="A267" s="5" t="s">
        <v>220</v>
      </c>
      <c r="B267" s="5" t="s">
        <v>1315</v>
      </c>
      <c r="C267" s="5" t="s">
        <v>32</v>
      </c>
      <c r="D267" s="5" t="s">
        <v>1316</v>
      </c>
      <c r="E267" s="7">
        <v>45591</v>
      </c>
      <c r="F267" s="7">
        <v>46199</v>
      </c>
      <c r="G267" s="6">
        <v>658.58</v>
      </c>
      <c r="H267" s="5">
        <v>0.13</v>
      </c>
      <c r="I267" s="6">
        <v>6.01</v>
      </c>
      <c r="J267" s="5" t="s">
        <v>34</v>
      </c>
      <c r="K267" s="5" t="s">
        <v>1390</v>
      </c>
      <c r="L267" s="8">
        <v>16633294</v>
      </c>
      <c r="M267" s="5" t="s">
        <v>1389</v>
      </c>
      <c r="N267" s="6">
        <f>Renewals6[[#This Row],[Earnings]]/Renewals6[[#This Row],[Rate]]</f>
        <v>46.230769230769226</v>
      </c>
      <c r="O267" s="6">
        <f>Renewals6[[#This Row],[Column5]]*Renewals6[[#This Row],[Rate]]</f>
        <v>6.01</v>
      </c>
    </row>
    <row r="268" spans="1:15" x14ac:dyDescent="0.25">
      <c r="A268" s="5" t="s">
        <v>220</v>
      </c>
      <c r="B268" s="5" t="s">
        <v>1317</v>
      </c>
      <c r="C268" s="5" t="s">
        <v>32</v>
      </c>
      <c r="D268" s="5" t="s">
        <v>1318</v>
      </c>
      <c r="E268" s="7">
        <v>45594</v>
      </c>
      <c r="F268" s="7">
        <v>46202</v>
      </c>
      <c r="G268" s="6">
        <v>777.28</v>
      </c>
      <c r="H268" s="5">
        <v>0.13</v>
      </c>
      <c r="I268" s="6">
        <v>8.42</v>
      </c>
      <c r="J268" s="5" t="s">
        <v>34</v>
      </c>
      <c r="K268" s="5" t="s">
        <v>1390</v>
      </c>
      <c r="L268" s="8">
        <v>16633294</v>
      </c>
      <c r="M268" s="5" t="s">
        <v>1389</v>
      </c>
      <c r="N268" s="6">
        <f>Renewals6[[#This Row],[Earnings]]/Renewals6[[#This Row],[Rate]]</f>
        <v>64.769230769230759</v>
      </c>
      <c r="O268" s="6">
        <f>Renewals6[[#This Row],[Column5]]*Renewals6[[#This Row],[Rate]]</f>
        <v>8.4199999999999982</v>
      </c>
    </row>
    <row r="269" spans="1:15" x14ac:dyDescent="0.25">
      <c r="A269" s="5" t="s">
        <v>220</v>
      </c>
      <c r="B269" s="5" t="s">
        <v>1319</v>
      </c>
      <c r="C269" s="5" t="s">
        <v>32</v>
      </c>
      <c r="D269" s="5" t="s">
        <v>1320</v>
      </c>
      <c r="E269" s="7">
        <v>45597</v>
      </c>
      <c r="F269" s="7">
        <v>46174</v>
      </c>
      <c r="G269" s="6">
        <v>1279.07</v>
      </c>
      <c r="H269" s="5">
        <v>0.13</v>
      </c>
      <c r="I269" s="6">
        <v>10</v>
      </c>
      <c r="J269" s="5" t="s">
        <v>34</v>
      </c>
      <c r="K269" s="5" t="s">
        <v>1390</v>
      </c>
      <c r="L269" s="8">
        <v>16633294</v>
      </c>
      <c r="M269" s="5" t="s">
        <v>1389</v>
      </c>
      <c r="N269" s="6">
        <f>Renewals6[[#This Row],[Earnings]]/Renewals6[[#This Row],[Rate]]</f>
        <v>76.92307692307692</v>
      </c>
      <c r="O269" s="6">
        <f>Renewals6[[#This Row],[Column5]]*Renewals6[[#This Row],[Rate]]</f>
        <v>10</v>
      </c>
    </row>
    <row r="270" spans="1:15" x14ac:dyDescent="0.25">
      <c r="A270" s="5" t="s">
        <v>220</v>
      </c>
      <c r="B270" s="5" t="s">
        <v>1321</v>
      </c>
      <c r="C270" s="5" t="s">
        <v>32</v>
      </c>
      <c r="D270" s="5" t="s">
        <v>1322</v>
      </c>
      <c r="E270" s="7">
        <v>45602</v>
      </c>
      <c r="F270" s="7">
        <v>46179</v>
      </c>
      <c r="G270" s="6">
        <v>607.15</v>
      </c>
      <c r="H270" s="5">
        <v>0.13</v>
      </c>
      <c r="I270" s="6">
        <v>6.58</v>
      </c>
      <c r="J270" s="5" t="s">
        <v>34</v>
      </c>
      <c r="K270" s="5" t="s">
        <v>1390</v>
      </c>
      <c r="L270" s="8">
        <v>16633294</v>
      </c>
      <c r="M270" s="5" t="s">
        <v>1389</v>
      </c>
      <c r="N270" s="6">
        <f>Renewals6[[#This Row],[Earnings]]/Renewals6[[#This Row],[Rate]]</f>
        <v>50.615384615384613</v>
      </c>
      <c r="O270" s="6">
        <f>Renewals6[[#This Row],[Column5]]*Renewals6[[#This Row],[Rate]]</f>
        <v>6.58</v>
      </c>
    </row>
    <row r="271" spans="1:15" x14ac:dyDescent="0.25">
      <c r="A271" s="5" t="s">
        <v>154</v>
      </c>
      <c r="B271" s="5" t="s">
        <v>1323</v>
      </c>
      <c r="C271" s="5" t="s">
        <v>32</v>
      </c>
      <c r="D271" s="5" t="s">
        <v>1324</v>
      </c>
      <c r="E271" s="7">
        <v>45601</v>
      </c>
      <c r="F271" s="7">
        <v>46178</v>
      </c>
      <c r="G271" s="6">
        <v>777.28</v>
      </c>
      <c r="H271" s="5">
        <v>0.13</v>
      </c>
      <c r="I271" s="6">
        <v>8.42</v>
      </c>
      <c r="J271" s="5" t="s">
        <v>34</v>
      </c>
      <c r="K271" s="5" t="s">
        <v>1390</v>
      </c>
      <c r="L271" s="8">
        <v>19681796</v>
      </c>
      <c r="M271" s="5" t="s">
        <v>1389</v>
      </c>
      <c r="N271" s="6">
        <f>Renewals6[[#This Row],[Earnings]]/Renewals6[[#This Row],[Rate]]</f>
        <v>64.769230769230759</v>
      </c>
      <c r="O271" s="6">
        <f>Renewals6[[#This Row],[Column5]]*Renewals6[[#This Row],[Rate]]</f>
        <v>8.4199999999999982</v>
      </c>
    </row>
    <row r="272" spans="1:15" x14ac:dyDescent="0.25">
      <c r="A272" s="5" t="s">
        <v>220</v>
      </c>
      <c r="B272" s="5" t="s">
        <v>1325</v>
      </c>
      <c r="C272" s="5" t="s">
        <v>32</v>
      </c>
      <c r="D272" s="5" t="s">
        <v>1326</v>
      </c>
      <c r="E272" s="7">
        <v>45610</v>
      </c>
      <c r="F272" s="7">
        <v>46187</v>
      </c>
      <c r="G272" s="6">
        <v>607.15</v>
      </c>
      <c r="H272" s="5">
        <v>0.13</v>
      </c>
      <c r="I272" s="6">
        <v>6.58</v>
      </c>
      <c r="J272" s="5" t="s">
        <v>34</v>
      </c>
      <c r="K272" s="5" t="s">
        <v>1390</v>
      </c>
      <c r="L272" s="8">
        <v>16633294</v>
      </c>
      <c r="M272" s="5" t="s">
        <v>1389</v>
      </c>
      <c r="N272" s="6">
        <f>Renewals6[[#This Row],[Earnings]]/Renewals6[[#This Row],[Rate]]</f>
        <v>50.615384615384613</v>
      </c>
      <c r="O272" s="6">
        <f>Renewals6[[#This Row],[Column5]]*Renewals6[[#This Row],[Rate]]</f>
        <v>6.58</v>
      </c>
    </row>
    <row r="273" spans="1:15" x14ac:dyDescent="0.25">
      <c r="A273" s="5" t="s">
        <v>220</v>
      </c>
      <c r="B273" s="5" t="s">
        <v>1327</v>
      </c>
      <c r="C273" s="5" t="s">
        <v>32</v>
      </c>
      <c r="D273" s="5" t="s">
        <v>1328</v>
      </c>
      <c r="E273" s="7">
        <v>45613</v>
      </c>
      <c r="F273" s="7">
        <v>46190</v>
      </c>
      <c r="G273" s="6">
        <v>854.84</v>
      </c>
      <c r="H273" s="5">
        <v>0.13</v>
      </c>
      <c r="I273" s="6">
        <v>9.26</v>
      </c>
      <c r="J273" s="5" t="s">
        <v>34</v>
      </c>
      <c r="K273" s="5" t="s">
        <v>1390</v>
      </c>
      <c r="L273" s="8">
        <v>16633294</v>
      </c>
      <c r="M273" s="5" t="s">
        <v>1389</v>
      </c>
      <c r="N273" s="6">
        <f>Renewals6[[#This Row],[Earnings]]/Renewals6[[#This Row],[Rate]]</f>
        <v>71.230769230769226</v>
      </c>
      <c r="O273" s="6">
        <f>Renewals6[[#This Row],[Column5]]*Renewals6[[#This Row],[Rate]]</f>
        <v>9.26</v>
      </c>
    </row>
    <row r="274" spans="1:15" x14ac:dyDescent="0.25">
      <c r="A274" s="5" t="s">
        <v>220</v>
      </c>
      <c r="B274" s="5" t="s">
        <v>1329</v>
      </c>
      <c r="C274" s="5" t="s">
        <v>32</v>
      </c>
      <c r="D274" s="5" t="s">
        <v>1330</v>
      </c>
      <c r="E274" s="7">
        <v>45617</v>
      </c>
      <c r="F274" s="7">
        <v>46194</v>
      </c>
      <c r="G274" s="6">
        <v>551.12</v>
      </c>
      <c r="H274" s="5">
        <v>0.13</v>
      </c>
      <c r="I274" s="6">
        <v>5.97</v>
      </c>
      <c r="J274" s="5" t="s">
        <v>34</v>
      </c>
      <c r="K274" s="5" t="s">
        <v>1390</v>
      </c>
      <c r="L274" s="8">
        <v>16633294</v>
      </c>
      <c r="M274" s="5" t="s">
        <v>1389</v>
      </c>
      <c r="N274" s="6">
        <f>Renewals6[[#This Row],[Earnings]]/Renewals6[[#This Row],[Rate]]</f>
        <v>45.92307692307692</v>
      </c>
      <c r="O274" s="6">
        <f>Renewals6[[#This Row],[Column5]]*Renewals6[[#This Row],[Rate]]</f>
        <v>5.97</v>
      </c>
    </row>
    <row r="275" spans="1:15" x14ac:dyDescent="0.25">
      <c r="A275" s="5" t="s">
        <v>140</v>
      </c>
      <c r="B275" s="5" t="s">
        <v>1331</v>
      </c>
      <c r="C275" s="5" t="s">
        <v>32</v>
      </c>
      <c r="D275" s="5" t="s">
        <v>1332</v>
      </c>
      <c r="E275" s="7">
        <v>45641</v>
      </c>
      <c r="F275" s="7">
        <v>46188</v>
      </c>
      <c r="G275" s="6">
        <v>1731.88</v>
      </c>
      <c r="H275" s="5">
        <v>6.5000000000000002E-2</v>
      </c>
      <c r="I275" s="6">
        <v>9.3800000000000008</v>
      </c>
      <c r="J275" s="5" t="s">
        <v>34</v>
      </c>
      <c r="K275" s="5" t="s">
        <v>1398</v>
      </c>
      <c r="L275" s="8" t="s">
        <v>1405</v>
      </c>
      <c r="M275" s="5" t="s">
        <v>1389</v>
      </c>
      <c r="N275" s="6">
        <f>Renewals6[[#This Row],[Earnings]]/Renewals6[[#This Row],[Rate]]</f>
        <v>144.30769230769232</v>
      </c>
      <c r="O275" s="6">
        <f>Renewals6[[#This Row],[Column5]]*Renewals6[[#This Row],[Rate]]</f>
        <v>9.3800000000000008</v>
      </c>
    </row>
    <row r="276" spans="1:15" x14ac:dyDescent="0.25">
      <c r="A276" s="5" t="s">
        <v>220</v>
      </c>
      <c r="B276" s="5" t="s">
        <v>1333</v>
      </c>
      <c r="C276" s="5" t="s">
        <v>32</v>
      </c>
      <c r="D276" s="5" t="s">
        <v>1334</v>
      </c>
      <c r="E276" s="7">
        <v>45623</v>
      </c>
      <c r="F276" s="7">
        <v>46200</v>
      </c>
      <c r="G276" s="6">
        <v>409.82</v>
      </c>
      <c r="H276" s="5">
        <v>0.13</v>
      </c>
      <c r="I276" s="6">
        <v>4.4400000000000004</v>
      </c>
      <c r="J276" s="5" t="s">
        <v>34</v>
      </c>
      <c r="K276" s="5" t="s">
        <v>1390</v>
      </c>
      <c r="L276" s="8">
        <v>16633294</v>
      </c>
      <c r="M276" s="5" t="s">
        <v>1389</v>
      </c>
      <c r="N276" s="6">
        <f>Renewals6[[#This Row],[Earnings]]/Renewals6[[#This Row],[Rate]]</f>
        <v>34.153846153846153</v>
      </c>
      <c r="O276" s="6">
        <f>Renewals6[[#This Row],[Column5]]*Renewals6[[#This Row],[Rate]]</f>
        <v>4.4400000000000004</v>
      </c>
    </row>
    <row r="277" spans="1:15" x14ac:dyDescent="0.25">
      <c r="A277" s="5" t="s">
        <v>220</v>
      </c>
      <c r="B277" s="5" t="s">
        <v>1335</v>
      </c>
      <c r="C277" s="5" t="s">
        <v>32</v>
      </c>
      <c r="D277" s="5" t="s">
        <v>1336</v>
      </c>
      <c r="E277" s="7">
        <v>45644</v>
      </c>
      <c r="F277" s="7">
        <v>46191</v>
      </c>
      <c r="G277" s="6">
        <v>1194.1500000000001</v>
      </c>
      <c r="H277" s="5">
        <v>6.5000000000000002E-2</v>
      </c>
      <c r="I277" s="6">
        <v>6.47</v>
      </c>
      <c r="J277" s="5" t="s">
        <v>34</v>
      </c>
      <c r="K277" s="5" t="s">
        <v>1398</v>
      </c>
      <c r="L277" s="8">
        <v>16633294</v>
      </c>
      <c r="M277" s="5" t="s">
        <v>1389</v>
      </c>
      <c r="N277" s="6">
        <f>Renewals6[[#This Row],[Earnings]]/Renewals6[[#This Row],[Rate]]</f>
        <v>99.538461538461533</v>
      </c>
      <c r="O277" s="6">
        <f>Renewals6[[#This Row],[Column5]]*Renewals6[[#This Row],[Rate]]</f>
        <v>6.47</v>
      </c>
    </row>
    <row r="278" spans="1:15" x14ac:dyDescent="0.25">
      <c r="A278" s="5" t="s">
        <v>30</v>
      </c>
      <c r="B278" s="5" t="s">
        <v>1337</v>
      </c>
      <c r="C278" s="5" t="s">
        <v>32</v>
      </c>
      <c r="D278" s="5" t="s">
        <v>1338</v>
      </c>
      <c r="E278" s="7">
        <v>45717</v>
      </c>
      <c r="F278" s="7">
        <v>46174</v>
      </c>
      <c r="G278" s="6">
        <v>293.39</v>
      </c>
      <c r="H278" s="5">
        <v>0.13</v>
      </c>
      <c r="I278" s="6">
        <v>3.18</v>
      </c>
      <c r="J278" s="5" t="s">
        <v>34</v>
      </c>
      <c r="K278" s="5" t="s">
        <v>1390</v>
      </c>
      <c r="L278" s="8">
        <v>19481808</v>
      </c>
      <c r="M278" s="5" t="s">
        <v>1389</v>
      </c>
      <c r="N278" s="6">
        <f>Renewals6[[#This Row],[Earnings]]/Renewals6[[#This Row],[Rate]]</f>
        <v>24.461538461538463</v>
      </c>
      <c r="O278" s="6">
        <f>Renewals6[[#This Row],[Column5]]*Renewals6[[#This Row],[Rate]]</f>
        <v>3.18</v>
      </c>
    </row>
    <row r="279" spans="1:15" x14ac:dyDescent="0.25">
      <c r="A279" s="5" t="s">
        <v>30</v>
      </c>
      <c r="B279" s="5" t="s">
        <v>1339</v>
      </c>
      <c r="C279" s="5" t="s">
        <v>32</v>
      </c>
      <c r="D279" s="5" t="s">
        <v>1340</v>
      </c>
      <c r="E279" s="7">
        <v>45717</v>
      </c>
      <c r="F279" s="7">
        <v>46174</v>
      </c>
      <c r="G279" s="6">
        <v>448.39</v>
      </c>
      <c r="H279" s="5">
        <v>0.13</v>
      </c>
      <c r="I279" s="6">
        <v>4.8600000000000003</v>
      </c>
      <c r="J279" s="5" t="s">
        <v>34</v>
      </c>
      <c r="K279" s="5" t="s">
        <v>1390</v>
      </c>
      <c r="L279" s="8">
        <v>19481808</v>
      </c>
      <c r="M279" s="5" t="s">
        <v>1389</v>
      </c>
      <c r="N279" s="6">
        <f>Renewals6[[#This Row],[Earnings]]/Renewals6[[#This Row],[Rate]]</f>
        <v>37.384615384615387</v>
      </c>
      <c r="O279" s="6">
        <f>Renewals6[[#This Row],[Column5]]*Renewals6[[#This Row],[Rate]]</f>
        <v>4.8600000000000003</v>
      </c>
    </row>
    <row r="280" spans="1:15" x14ac:dyDescent="0.25">
      <c r="A280" s="5" t="s">
        <v>707</v>
      </c>
      <c r="B280" s="5" t="s">
        <v>1341</v>
      </c>
      <c r="C280" s="5" t="s">
        <v>32</v>
      </c>
      <c r="D280" s="5" t="s">
        <v>709</v>
      </c>
      <c r="E280" s="7">
        <v>45717</v>
      </c>
      <c r="F280" s="7">
        <v>46204</v>
      </c>
      <c r="G280" s="6">
        <v>329.16</v>
      </c>
      <c r="H280" s="5">
        <v>0.13</v>
      </c>
      <c r="I280" s="6">
        <v>3.57</v>
      </c>
      <c r="J280" s="5" t="s">
        <v>34</v>
      </c>
      <c r="K280" s="5" t="s">
        <v>1390</v>
      </c>
      <c r="L280" s="8">
        <v>20776610</v>
      </c>
      <c r="M280" s="5" t="s">
        <v>1389</v>
      </c>
      <c r="N280" s="6">
        <f>Renewals6[[#This Row],[Earnings]]/Renewals6[[#This Row],[Rate]]</f>
        <v>27.46153846153846</v>
      </c>
      <c r="O280" s="6">
        <f>Renewals6[[#This Row],[Column5]]*Renewals6[[#This Row],[Rate]]</f>
        <v>3.57</v>
      </c>
    </row>
    <row r="281" spans="1:15" x14ac:dyDescent="0.25">
      <c r="A281" s="5" t="s">
        <v>30</v>
      </c>
      <c r="B281" s="5" t="s">
        <v>1342</v>
      </c>
      <c r="C281" s="5" t="s">
        <v>32</v>
      </c>
      <c r="D281" s="5" t="s">
        <v>1343</v>
      </c>
      <c r="E281" s="7">
        <v>45723</v>
      </c>
      <c r="F281" s="7">
        <v>46180</v>
      </c>
      <c r="G281" s="6">
        <v>417.01</v>
      </c>
      <c r="H281" s="5">
        <v>0.13</v>
      </c>
      <c r="I281" s="6">
        <v>3.67</v>
      </c>
      <c r="J281" s="5" t="s">
        <v>34</v>
      </c>
      <c r="K281" s="5" t="s">
        <v>1390</v>
      </c>
      <c r="L281" s="8">
        <v>19481808</v>
      </c>
      <c r="M281" s="5" t="s">
        <v>1389</v>
      </c>
      <c r="N281" s="6">
        <f>Renewals6[[#This Row],[Earnings]]/Renewals6[[#This Row],[Rate]]</f>
        <v>28.23076923076923</v>
      </c>
      <c r="O281" s="6">
        <f>Renewals6[[#This Row],[Column5]]*Renewals6[[#This Row],[Rate]]</f>
        <v>3.67</v>
      </c>
    </row>
    <row r="282" spans="1:15" x14ac:dyDescent="0.25">
      <c r="A282" s="5" t="s">
        <v>49</v>
      </c>
      <c r="B282" s="5" t="s">
        <v>1344</v>
      </c>
      <c r="C282" s="5" t="s">
        <v>32</v>
      </c>
      <c r="D282" s="5" t="s">
        <v>1345</v>
      </c>
      <c r="E282" s="7">
        <v>45748</v>
      </c>
      <c r="F282" s="7">
        <v>46174</v>
      </c>
      <c r="G282" s="6">
        <v>911.64</v>
      </c>
      <c r="H282" s="5">
        <v>0.13</v>
      </c>
      <c r="I282" s="6">
        <v>9.8800000000000008</v>
      </c>
      <c r="J282" s="5" t="s">
        <v>34</v>
      </c>
      <c r="K282" s="5" t="s">
        <v>1390</v>
      </c>
      <c r="L282" s="8">
        <v>18581063</v>
      </c>
      <c r="M282" s="5" t="s">
        <v>1389</v>
      </c>
      <c r="N282" s="6">
        <f>Renewals6[[#This Row],[Earnings]]/Renewals6[[#This Row],[Rate]]</f>
        <v>76</v>
      </c>
      <c r="O282" s="6">
        <f>Renewals6[[#This Row],[Column5]]*Renewals6[[#This Row],[Rate]]</f>
        <v>9.8800000000000008</v>
      </c>
    </row>
    <row r="283" spans="1:15" x14ac:dyDescent="0.25">
      <c r="A283" s="5" t="s">
        <v>140</v>
      </c>
      <c r="B283" s="5" t="s">
        <v>1346</v>
      </c>
      <c r="C283" s="5" t="s">
        <v>32</v>
      </c>
      <c r="D283" s="5" t="s">
        <v>1347</v>
      </c>
      <c r="E283" s="7">
        <v>45751</v>
      </c>
      <c r="F283" s="7">
        <v>46177</v>
      </c>
      <c r="G283" s="6">
        <v>405.16</v>
      </c>
      <c r="H283" s="5">
        <v>0.13</v>
      </c>
      <c r="I283" s="6">
        <v>4.3899999999999997</v>
      </c>
      <c r="J283" s="5" t="s">
        <v>1260</v>
      </c>
      <c r="K283" s="5" t="s">
        <v>1390</v>
      </c>
      <c r="L283" s="8" t="s">
        <v>1405</v>
      </c>
      <c r="M283" s="5" t="s">
        <v>1389</v>
      </c>
      <c r="N283" s="6">
        <f>Renewals6[[#This Row],[Earnings]]/Renewals6[[#This Row],[Rate]]</f>
        <v>33.769230769230766</v>
      </c>
      <c r="O283" s="6">
        <f>Renewals6[[#This Row],[Column5]]*Renewals6[[#This Row],[Rate]]</f>
        <v>4.3899999999999997</v>
      </c>
    </row>
    <row r="284" spans="1:15" x14ac:dyDescent="0.25">
      <c r="A284" s="5" t="s">
        <v>154</v>
      </c>
      <c r="B284" s="5" t="s">
        <v>1348</v>
      </c>
      <c r="C284" s="5" t="s">
        <v>32</v>
      </c>
      <c r="D284" s="5" t="s">
        <v>1349</v>
      </c>
      <c r="E284" s="7">
        <v>45778</v>
      </c>
      <c r="F284" s="7">
        <v>46204</v>
      </c>
      <c r="G284" s="6">
        <v>922.84</v>
      </c>
      <c r="H284" s="5">
        <v>0.13</v>
      </c>
      <c r="I284" s="6">
        <v>10</v>
      </c>
      <c r="J284" s="5" t="s">
        <v>34</v>
      </c>
      <c r="K284" s="5" t="s">
        <v>1390</v>
      </c>
      <c r="L284" s="8" t="s">
        <v>1406</v>
      </c>
      <c r="M284" s="5" t="s">
        <v>1389</v>
      </c>
      <c r="N284" s="6">
        <f>Renewals6[[#This Row],[Earnings]]/Renewals6[[#This Row],[Rate]]</f>
        <v>76.92307692307692</v>
      </c>
      <c r="O284" s="6">
        <f>Renewals6[[#This Row],[Column5]]*Renewals6[[#This Row],[Rate]]</f>
        <v>10</v>
      </c>
    </row>
    <row r="285" spans="1:15" x14ac:dyDescent="0.25">
      <c r="A285" s="5" t="s">
        <v>49</v>
      </c>
      <c r="B285" s="5" t="s">
        <v>1350</v>
      </c>
      <c r="C285" s="5" t="s">
        <v>32</v>
      </c>
      <c r="D285" s="5" t="s">
        <v>1351</v>
      </c>
      <c r="E285" s="7">
        <v>45768</v>
      </c>
      <c r="F285" s="7">
        <v>46194</v>
      </c>
      <c r="G285" s="6">
        <v>694.31</v>
      </c>
      <c r="H285" s="5">
        <v>0.13</v>
      </c>
      <c r="I285" s="6">
        <v>7.52</v>
      </c>
      <c r="J285" s="5" t="s">
        <v>34</v>
      </c>
      <c r="K285" s="5" t="s">
        <v>1390</v>
      </c>
      <c r="L285" s="8">
        <v>18581063</v>
      </c>
      <c r="M285" s="5" t="s">
        <v>1389</v>
      </c>
      <c r="N285" s="6">
        <f>Renewals6[[#This Row],[Earnings]]/Renewals6[[#This Row],[Rate]]</f>
        <v>57.84615384615384</v>
      </c>
      <c r="O285" s="6">
        <f>Renewals6[[#This Row],[Column5]]*Renewals6[[#This Row],[Rate]]</f>
        <v>7.52</v>
      </c>
    </row>
    <row r="286" spans="1:15" x14ac:dyDescent="0.25">
      <c r="A286" s="5" t="s">
        <v>189</v>
      </c>
      <c r="B286" s="5" t="s">
        <v>1352</v>
      </c>
      <c r="C286" s="5" t="s">
        <v>32</v>
      </c>
      <c r="D286" s="5" t="s">
        <v>1353</v>
      </c>
      <c r="E286" s="7">
        <v>45770</v>
      </c>
      <c r="F286" s="7">
        <v>46196</v>
      </c>
      <c r="G286" s="6">
        <v>530.86</v>
      </c>
      <c r="H286" s="5">
        <v>0.13</v>
      </c>
      <c r="I286" s="6">
        <v>5.75</v>
      </c>
      <c r="J286" s="5" t="s">
        <v>34</v>
      </c>
      <c r="K286" s="5" t="s">
        <v>1390</v>
      </c>
      <c r="L286" s="8" t="s">
        <v>1409</v>
      </c>
      <c r="M286" s="5" t="s">
        <v>1389</v>
      </c>
      <c r="N286" s="6">
        <f>Renewals6[[#This Row],[Earnings]]/Renewals6[[#This Row],[Rate]]</f>
        <v>44.230769230769226</v>
      </c>
      <c r="O286" s="6">
        <f>Renewals6[[#This Row],[Column5]]*Renewals6[[#This Row],[Rate]]</f>
        <v>5.75</v>
      </c>
    </row>
    <row r="287" spans="1:15" x14ac:dyDescent="0.25">
      <c r="A287" s="5" t="s">
        <v>77</v>
      </c>
      <c r="B287" s="5" t="s">
        <v>1354</v>
      </c>
      <c r="C287" s="5" t="s">
        <v>1355</v>
      </c>
      <c r="D287" s="5" t="s">
        <v>1356</v>
      </c>
      <c r="E287" s="7">
        <v>45546</v>
      </c>
      <c r="F287" s="7">
        <v>46184</v>
      </c>
      <c r="G287" s="6">
        <v>679.5</v>
      </c>
      <c r="H287" s="5">
        <v>0.04</v>
      </c>
      <c r="I287" s="6">
        <v>2.2599999999999998</v>
      </c>
      <c r="J287" s="5" t="s">
        <v>34</v>
      </c>
      <c r="K287" s="5" t="s">
        <v>1388</v>
      </c>
      <c r="L287" s="8">
        <v>9213293</v>
      </c>
      <c r="M287" s="5" t="s">
        <v>1389</v>
      </c>
      <c r="N287" s="6">
        <f>Renewals6[[#This Row],[Earnings]]/Renewals6[[#This Row],[Rate]]</f>
        <v>56.499999999999993</v>
      </c>
      <c r="O287" s="6">
        <f>Renewals6[[#This Row],[Column5]]*Renewals6[[#This Row],[Rate]]</f>
        <v>2.2599999999999998</v>
      </c>
    </row>
    <row r="288" spans="1:15" x14ac:dyDescent="0.25">
      <c r="A288" s="5" t="s">
        <v>77</v>
      </c>
      <c r="B288" s="5" t="s">
        <v>1357</v>
      </c>
      <c r="C288" s="5" t="s">
        <v>165</v>
      </c>
      <c r="D288" s="5" t="s">
        <v>1118</v>
      </c>
      <c r="E288" s="7">
        <v>45636</v>
      </c>
      <c r="F288" s="7">
        <v>46183</v>
      </c>
      <c r="G288" s="6">
        <v>476</v>
      </c>
      <c r="H288" s="5">
        <v>0.04</v>
      </c>
      <c r="I288" s="6">
        <v>1.59</v>
      </c>
      <c r="J288" s="5" t="s">
        <v>34</v>
      </c>
      <c r="K288" s="5" t="s">
        <v>1388</v>
      </c>
      <c r="L288" s="8">
        <v>9213293</v>
      </c>
      <c r="M288" s="5" t="s">
        <v>1389</v>
      </c>
      <c r="N288" s="6">
        <f>Renewals6[[#This Row],[Earnings]]/Renewals6[[#This Row],[Rate]]</f>
        <v>39.75</v>
      </c>
      <c r="O288" s="6">
        <f>Renewals6[[#This Row],[Column5]]*Renewals6[[#This Row],[Rate]]</f>
        <v>1.59</v>
      </c>
    </row>
    <row r="289" spans="1:15" x14ac:dyDescent="0.25">
      <c r="A289" s="5" t="s">
        <v>114</v>
      </c>
      <c r="B289" s="5" t="s">
        <v>1358</v>
      </c>
      <c r="C289" s="5" t="s">
        <v>165</v>
      </c>
      <c r="D289" s="5" t="s">
        <v>1215</v>
      </c>
      <c r="E289" s="7">
        <v>45597</v>
      </c>
      <c r="F289" s="7">
        <v>46174</v>
      </c>
      <c r="G289" s="6">
        <v>932</v>
      </c>
      <c r="H289" s="5">
        <v>0.04</v>
      </c>
      <c r="I289" s="6">
        <v>3.11</v>
      </c>
      <c r="J289" s="5" t="s">
        <v>34</v>
      </c>
      <c r="K289" s="5" t="s">
        <v>1388</v>
      </c>
      <c r="L289" s="8">
        <v>18754354</v>
      </c>
      <c r="M289" s="5" t="s">
        <v>1389</v>
      </c>
      <c r="N289" s="6">
        <f>Renewals6[[#This Row],[Earnings]]/Renewals6[[#This Row],[Rate]]</f>
        <v>77.75</v>
      </c>
      <c r="O289" s="6">
        <f>Renewals6[[#This Row],[Column5]]*Renewals6[[#This Row],[Rate]]</f>
        <v>3.11</v>
      </c>
    </row>
    <row r="290" spans="1:15" x14ac:dyDescent="0.25">
      <c r="A290" s="5" t="s">
        <v>77</v>
      </c>
      <c r="B290" s="5" t="s">
        <v>1359</v>
      </c>
      <c r="C290" s="5" t="s">
        <v>1355</v>
      </c>
      <c r="D290" s="5" t="s">
        <v>1360</v>
      </c>
      <c r="E290" s="7">
        <v>45587</v>
      </c>
      <c r="F290" s="7">
        <v>46195</v>
      </c>
      <c r="G290" s="6">
        <v>316.5</v>
      </c>
      <c r="H290" s="5">
        <v>0.04</v>
      </c>
      <c r="I290" s="6">
        <v>1.05</v>
      </c>
      <c r="J290" s="5" t="s">
        <v>34</v>
      </c>
      <c r="K290" s="5" t="s">
        <v>1388</v>
      </c>
      <c r="L290" s="8">
        <v>9213293</v>
      </c>
      <c r="M290" s="5" t="s">
        <v>1389</v>
      </c>
      <c r="N290" s="6">
        <f>Renewals6[[#This Row],[Earnings]]/Renewals6[[#This Row],[Rate]]</f>
        <v>26.25</v>
      </c>
      <c r="O290" s="6">
        <f>Renewals6[[#This Row],[Column5]]*Renewals6[[#This Row],[Rate]]</f>
        <v>1.05</v>
      </c>
    </row>
    <row r="291" spans="1:15" x14ac:dyDescent="0.25">
      <c r="A291" s="5" t="s">
        <v>114</v>
      </c>
      <c r="B291" s="5" t="s">
        <v>1361</v>
      </c>
      <c r="C291" s="5" t="s">
        <v>613</v>
      </c>
      <c r="D291" s="5" t="s">
        <v>1362</v>
      </c>
      <c r="E291" s="7">
        <v>45597</v>
      </c>
      <c r="F291" s="7">
        <v>46174</v>
      </c>
      <c r="G291" s="6">
        <v>691.9</v>
      </c>
      <c r="H291" s="5">
        <v>0.04</v>
      </c>
      <c r="I291" s="6">
        <v>2.31</v>
      </c>
      <c r="J291" s="5" t="s">
        <v>34</v>
      </c>
      <c r="K291" s="5" t="s">
        <v>1388</v>
      </c>
      <c r="L291" s="8">
        <v>18754354</v>
      </c>
      <c r="M291" s="5" t="s">
        <v>1389</v>
      </c>
      <c r="N291" s="6">
        <f>Renewals6[[#This Row],[Earnings]]/Renewals6[[#This Row],[Rate]]</f>
        <v>57.75</v>
      </c>
      <c r="O291" s="6">
        <f>Renewals6[[#This Row],[Column5]]*Renewals6[[#This Row],[Rate]]</f>
        <v>2.31</v>
      </c>
    </row>
    <row r="292" spans="1:15" x14ac:dyDescent="0.25">
      <c r="A292" s="5" t="s">
        <v>114</v>
      </c>
      <c r="B292" s="5" t="s">
        <v>1363</v>
      </c>
      <c r="C292" s="5" t="s">
        <v>165</v>
      </c>
      <c r="D292" s="5" t="s">
        <v>1364</v>
      </c>
      <c r="E292" s="7">
        <v>45597</v>
      </c>
      <c r="F292" s="7">
        <v>46174</v>
      </c>
      <c r="G292" s="6">
        <v>800</v>
      </c>
      <c r="H292" s="5">
        <v>0.04</v>
      </c>
      <c r="I292" s="6">
        <v>2.67</v>
      </c>
      <c r="J292" s="5" t="s">
        <v>34</v>
      </c>
      <c r="K292" s="5" t="s">
        <v>1388</v>
      </c>
      <c r="L292" s="8">
        <v>18754354</v>
      </c>
      <c r="M292" s="5" t="s">
        <v>1389</v>
      </c>
      <c r="N292" s="6">
        <f>Renewals6[[#This Row],[Earnings]]/Renewals6[[#This Row],[Rate]]</f>
        <v>66.75</v>
      </c>
      <c r="O292" s="6">
        <f>Renewals6[[#This Row],[Column5]]*Renewals6[[#This Row],[Rate]]</f>
        <v>2.67</v>
      </c>
    </row>
    <row r="293" spans="1:15" x14ac:dyDescent="0.25">
      <c r="A293" s="5" t="s">
        <v>114</v>
      </c>
      <c r="B293" s="5" t="s">
        <v>1365</v>
      </c>
      <c r="C293" s="5" t="s">
        <v>165</v>
      </c>
      <c r="D293" s="5" t="s">
        <v>1366</v>
      </c>
      <c r="E293" s="7">
        <v>45603</v>
      </c>
      <c r="F293" s="7">
        <v>46180</v>
      </c>
      <c r="G293" s="6">
        <v>312</v>
      </c>
      <c r="H293" s="5">
        <v>0.04</v>
      </c>
      <c r="I293" s="6">
        <v>1.04</v>
      </c>
      <c r="J293" s="5" t="s">
        <v>34</v>
      </c>
      <c r="K293" s="5" t="s">
        <v>1388</v>
      </c>
      <c r="L293" s="8">
        <v>18754354</v>
      </c>
      <c r="M293" s="5" t="s">
        <v>1389</v>
      </c>
      <c r="N293" s="6">
        <f>Renewals6[[#This Row],[Earnings]]/Renewals6[[#This Row],[Rate]]</f>
        <v>26</v>
      </c>
      <c r="O293" s="6">
        <f>Renewals6[[#This Row],[Column5]]*Renewals6[[#This Row],[Rate]]</f>
        <v>1.04</v>
      </c>
    </row>
    <row r="294" spans="1:15" x14ac:dyDescent="0.25">
      <c r="A294" s="5" t="s">
        <v>478</v>
      </c>
      <c r="B294" s="5" t="s">
        <v>1367</v>
      </c>
      <c r="C294" s="5" t="s">
        <v>165</v>
      </c>
      <c r="D294" s="5" t="s">
        <v>1368</v>
      </c>
      <c r="E294" s="7">
        <v>45658</v>
      </c>
      <c r="F294" s="7">
        <v>46174</v>
      </c>
      <c r="G294" s="6">
        <v>1860</v>
      </c>
      <c r="H294" s="5">
        <v>0.04</v>
      </c>
      <c r="I294" s="6">
        <v>6.2</v>
      </c>
      <c r="J294" s="5" t="s">
        <v>34</v>
      </c>
      <c r="K294" s="5" t="s">
        <v>1388</v>
      </c>
      <c r="L294" s="8">
        <v>19615078</v>
      </c>
      <c r="M294" s="5" t="s">
        <v>1389</v>
      </c>
      <c r="N294" s="6">
        <f>Renewals6[[#This Row],[Earnings]]/Renewals6[[#This Row],[Rate]]</f>
        <v>155</v>
      </c>
      <c r="O294" s="6">
        <f>Renewals6[[#This Row],[Column5]]*Renewals6[[#This Row],[Rate]]</f>
        <v>6.2</v>
      </c>
    </row>
    <row r="295" spans="1:15" x14ac:dyDescent="0.25">
      <c r="A295" s="5" t="s">
        <v>189</v>
      </c>
      <c r="B295" s="5" t="s">
        <v>1369</v>
      </c>
      <c r="C295" s="5" t="s">
        <v>613</v>
      </c>
      <c r="D295" s="5" t="s">
        <v>1370</v>
      </c>
      <c r="E295" s="7">
        <v>45651</v>
      </c>
      <c r="F295" s="7">
        <v>46198</v>
      </c>
      <c r="G295" s="6">
        <v>1168.32</v>
      </c>
      <c r="H295" s="5">
        <v>0.04</v>
      </c>
      <c r="I295" s="6">
        <v>3.89</v>
      </c>
      <c r="J295" s="5" t="s">
        <v>34</v>
      </c>
      <c r="K295" s="5" t="s">
        <v>1388</v>
      </c>
      <c r="L295" s="8">
        <v>7470776</v>
      </c>
      <c r="M295" s="5" t="s">
        <v>1389</v>
      </c>
      <c r="N295" s="6">
        <f>Renewals6[[#This Row],[Earnings]]/Renewals6[[#This Row],[Rate]]</f>
        <v>97.25</v>
      </c>
      <c r="O295" s="6">
        <f>Renewals6[[#This Row],[Column5]]*Renewals6[[#This Row],[Rate]]</f>
        <v>3.89</v>
      </c>
    </row>
    <row r="296" spans="1:15" x14ac:dyDescent="0.25">
      <c r="A296" s="5" t="s">
        <v>228</v>
      </c>
      <c r="B296" s="5" t="s">
        <v>1371</v>
      </c>
      <c r="C296" s="5" t="s">
        <v>32</v>
      </c>
      <c r="D296" s="5" t="s">
        <v>1372</v>
      </c>
      <c r="E296" s="7">
        <v>45801</v>
      </c>
      <c r="F296" s="7">
        <v>46197</v>
      </c>
      <c r="G296" s="6">
        <v>1321.75</v>
      </c>
      <c r="H296" s="5">
        <v>6.5000000000000002E-2</v>
      </c>
      <c r="I296" s="6">
        <v>7.16</v>
      </c>
      <c r="J296" s="5" t="s">
        <v>34</v>
      </c>
      <c r="K296" s="5" t="s">
        <v>1395</v>
      </c>
      <c r="L296" s="8" t="s">
        <v>1411</v>
      </c>
      <c r="M296" s="5" t="s">
        <v>1389</v>
      </c>
      <c r="N296" s="6">
        <f>Renewals6[[#This Row],[Earnings]]/Renewals6[[#This Row],[Rate]]</f>
        <v>110.15384615384615</v>
      </c>
      <c r="O296" s="6">
        <f>Renewals6[[#This Row],[Column5]]*Renewals6[[#This Row],[Rate]]</f>
        <v>7.16</v>
      </c>
    </row>
    <row r="297" spans="1:15" x14ac:dyDescent="0.25">
      <c r="A297" s="5" t="s">
        <v>228</v>
      </c>
      <c r="B297" s="5" t="s">
        <v>1373</v>
      </c>
      <c r="C297" s="5" t="s">
        <v>165</v>
      </c>
      <c r="D297" s="5" t="s">
        <v>1374</v>
      </c>
      <c r="E297" s="7">
        <v>45658</v>
      </c>
      <c r="F297" s="7">
        <v>46174</v>
      </c>
      <c r="G297" s="6">
        <v>476</v>
      </c>
      <c r="H297" s="5">
        <v>0.04</v>
      </c>
      <c r="I297" s="6">
        <v>1.59</v>
      </c>
      <c r="J297" s="5" t="s">
        <v>34</v>
      </c>
      <c r="K297" s="5" t="s">
        <v>1388</v>
      </c>
      <c r="L297" s="8">
        <v>8814784</v>
      </c>
      <c r="M297" s="5" t="s">
        <v>1389</v>
      </c>
      <c r="N297" s="6">
        <f>Renewals6[[#This Row],[Earnings]]/Renewals6[[#This Row],[Rate]]</f>
        <v>39.75</v>
      </c>
      <c r="O297" s="6">
        <f>Renewals6[[#This Row],[Column5]]*Renewals6[[#This Row],[Rate]]</f>
        <v>1.59</v>
      </c>
    </row>
    <row r="298" spans="1:15" x14ac:dyDescent="0.25">
      <c r="A298" s="5" t="s">
        <v>220</v>
      </c>
      <c r="B298" s="5" t="s">
        <v>1375</v>
      </c>
      <c r="C298" s="5" t="s">
        <v>165</v>
      </c>
      <c r="D298" s="5" t="s">
        <v>1330</v>
      </c>
      <c r="E298" s="7">
        <v>45658</v>
      </c>
      <c r="F298" s="7">
        <v>46174</v>
      </c>
      <c r="G298" s="6">
        <v>372</v>
      </c>
      <c r="H298" s="5">
        <v>0.04</v>
      </c>
      <c r="I298" s="6">
        <v>1.24</v>
      </c>
      <c r="J298" s="5" t="s">
        <v>34</v>
      </c>
      <c r="K298" s="5" t="s">
        <v>1388</v>
      </c>
      <c r="L298" s="8">
        <v>16633294</v>
      </c>
      <c r="M298" s="5" t="s">
        <v>1389</v>
      </c>
      <c r="N298" s="6">
        <f>Renewals6[[#This Row],[Earnings]]/Renewals6[[#This Row],[Rate]]</f>
        <v>31</v>
      </c>
      <c r="O298" s="6">
        <f>Renewals6[[#This Row],[Column5]]*Renewals6[[#This Row],[Rate]]</f>
        <v>1.24</v>
      </c>
    </row>
    <row r="299" spans="1:15" x14ac:dyDescent="0.25">
      <c r="A299" s="5" t="s">
        <v>189</v>
      </c>
      <c r="B299" s="5" t="s">
        <v>1376</v>
      </c>
      <c r="C299" s="5" t="s">
        <v>613</v>
      </c>
      <c r="D299" s="5" t="s">
        <v>1377</v>
      </c>
      <c r="E299" s="7">
        <v>45658</v>
      </c>
      <c r="F299" s="7">
        <v>46174</v>
      </c>
      <c r="G299" s="6">
        <v>1426.28</v>
      </c>
      <c r="H299" s="5">
        <v>0.04</v>
      </c>
      <c r="I299" s="6">
        <v>4.75</v>
      </c>
      <c r="J299" s="5" t="s">
        <v>34</v>
      </c>
      <c r="K299" s="5" t="s">
        <v>1388</v>
      </c>
      <c r="L299" s="8">
        <v>7470776</v>
      </c>
      <c r="M299" s="5" t="s">
        <v>1389</v>
      </c>
      <c r="N299" s="6">
        <f>Renewals6[[#This Row],[Earnings]]/Renewals6[[#This Row],[Rate]]</f>
        <v>118.75</v>
      </c>
      <c r="O299" s="6">
        <f>Renewals6[[#This Row],[Column5]]*Renewals6[[#This Row],[Rate]]</f>
        <v>4.75</v>
      </c>
    </row>
    <row r="300" spans="1:15" x14ac:dyDescent="0.25">
      <c r="A300" s="5" t="s">
        <v>132</v>
      </c>
      <c r="B300" s="5" t="s">
        <v>1378</v>
      </c>
      <c r="C300" s="5" t="s">
        <v>165</v>
      </c>
      <c r="D300" s="5" t="s">
        <v>1276</v>
      </c>
      <c r="E300" s="7">
        <v>45778</v>
      </c>
      <c r="F300" s="7">
        <v>46174</v>
      </c>
      <c r="G300" s="6">
        <v>1313.9</v>
      </c>
      <c r="H300" s="5">
        <v>0.04</v>
      </c>
      <c r="I300" s="6">
        <v>4.38</v>
      </c>
      <c r="J300" s="5" t="s">
        <v>34</v>
      </c>
      <c r="K300" s="5" t="s">
        <v>1388</v>
      </c>
      <c r="L300" s="8" t="s">
        <v>1407</v>
      </c>
      <c r="M300" s="5" t="s">
        <v>1389</v>
      </c>
      <c r="N300" s="6">
        <f>Renewals6[[#This Row],[Earnings]]/Renewals6[[#This Row],[Rate]]</f>
        <v>109.5</v>
      </c>
      <c r="O300" s="6">
        <f>Renewals6[[#This Row],[Column5]]*Renewals6[[#This Row],[Rate]]</f>
        <v>4.38</v>
      </c>
    </row>
    <row r="301" spans="1:15" x14ac:dyDescent="0.25">
      <c r="A301" s="5" t="s">
        <v>1380</v>
      </c>
      <c r="B301" s="5" t="s">
        <v>1381</v>
      </c>
      <c r="C301" s="5" t="s">
        <v>165</v>
      </c>
      <c r="D301" s="5" t="s">
        <v>1382</v>
      </c>
      <c r="E301" s="7">
        <v>45783</v>
      </c>
      <c r="F301" s="7">
        <v>46179</v>
      </c>
      <c r="G301" s="6">
        <v>596.4</v>
      </c>
      <c r="H301" s="5">
        <v>0.04</v>
      </c>
      <c r="I301" s="6">
        <v>1.99</v>
      </c>
      <c r="J301" s="5" t="s">
        <v>112</v>
      </c>
      <c r="K301" s="5" t="s">
        <v>1388</v>
      </c>
      <c r="L301" s="8" t="s">
        <v>1412</v>
      </c>
      <c r="M301" s="5" t="s">
        <v>1389</v>
      </c>
      <c r="N301" s="6">
        <f>Renewals6[[#This Row],[Earnings]]/Renewals6[[#This Row],[Rate]]</f>
        <v>49.75</v>
      </c>
      <c r="O301" s="6">
        <f>Renewals6[[#This Row],[Column5]]*Renewals6[[#This Row],[Rate]]</f>
        <v>1.99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28515625" customWidth="1"/>
    <col min="11" max="11" width="25.42578125" style="1" customWidth="1"/>
    <col min="12" max="12" width="7.7109375" customWidth="1"/>
    <col min="13" max="13" width="14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1383</v>
      </c>
      <c r="K1" s="1" t="s">
        <v>1384</v>
      </c>
      <c r="L1" t="s">
        <v>27</v>
      </c>
      <c r="M1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New Business</vt:lpstr>
      <vt:lpstr>Sheet2</vt:lpstr>
      <vt:lpstr>Renewals</vt:lpstr>
      <vt:lpstr>Sheet1</vt:lpstr>
      <vt:lpstr>Repayment of Advances</vt:lpstr>
      <vt:lpstr>Chargebacks and 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2026-05-30T10:26:37Z</dcterms:created>
  <dcterms:modified xsi:type="dcterms:W3CDTF">2026-06-02T20:27:08Z</dcterms:modified>
</cp:coreProperties>
</file>