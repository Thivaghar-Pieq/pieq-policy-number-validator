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3-1-25\"/>
    </mc:Choice>
  </mc:AlternateContent>
  <xr:revisionPtr revIDLastSave="0" documentId="13_ncr:1_{B71AF91E-D3E6-447B-B38A-1E0109ACD79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2" r:id="rId1"/>
    <sheet name="New Business" sheetId="3" r:id="rId2"/>
    <sheet name="Renewals" sheetId="4" r:id="rId3"/>
    <sheet name="Repayment of Advances" sheetId="5" r:id="rId4"/>
    <sheet name="Chargebacks and Adjustments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1" i="7"/>
  <c r="N288" i="3"/>
  <c r="N244" i="3"/>
  <c r="N245" i="3"/>
  <c r="N246" i="3"/>
  <c r="N247" i="3"/>
  <c r="N248" i="3"/>
  <c r="N249" i="3"/>
  <c r="N250" i="3"/>
  <c r="N251" i="3"/>
  <c r="N58" i="3"/>
  <c r="N59" i="3"/>
  <c r="N3" i="3"/>
  <c r="N2" i="3"/>
  <c r="N85" i="3"/>
  <c r="N89" i="3"/>
  <c r="N4" i="3"/>
  <c r="N62" i="3"/>
  <c r="N170" i="3"/>
  <c r="N202" i="3"/>
  <c r="N180" i="3"/>
  <c r="N105" i="3"/>
  <c r="N35" i="3"/>
  <c r="N194" i="3"/>
  <c r="N203" i="3"/>
  <c r="N31" i="3"/>
  <c r="N195" i="3"/>
  <c r="N209" i="3"/>
  <c r="N112" i="3"/>
  <c r="N174" i="3"/>
  <c r="N63" i="3"/>
  <c r="N42" i="3"/>
  <c r="N175" i="3"/>
  <c r="N86" i="3"/>
  <c r="N210" i="3"/>
  <c r="N64" i="3"/>
  <c r="N65" i="3"/>
  <c r="N26" i="3"/>
  <c r="N66" i="3"/>
  <c r="N29" i="3"/>
  <c r="N67" i="3"/>
  <c r="N68" i="3"/>
  <c r="N69" i="3"/>
  <c r="N30" i="3"/>
  <c r="N8" i="3"/>
  <c r="N9" i="3"/>
  <c r="N70" i="3"/>
  <c r="N71" i="3"/>
  <c r="N289" i="3"/>
  <c r="N304" i="3"/>
  <c r="N55" i="3"/>
  <c r="N54" i="3"/>
  <c r="N36" i="3"/>
  <c r="N33" i="3"/>
  <c r="N34" i="3"/>
  <c r="N232" i="3"/>
  <c r="N233" i="3"/>
  <c r="N283" i="3"/>
  <c r="N256" i="3"/>
  <c r="N234" i="3"/>
  <c r="N300" i="3"/>
  <c r="N259" i="3"/>
  <c r="N318" i="3"/>
  <c r="N319" i="3"/>
  <c r="N187" i="3"/>
  <c r="N159" i="3"/>
  <c r="N204" i="3"/>
  <c r="N205" i="3"/>
  <c r="N160" i="3"/>
  <c r="N22" i="3"/>
  <c r="N44" i="3"/>
  <c r="N186" i="3"/>
  <c r="N183" i="3"/>
  <c r="N154" i="3"/>
  <c r="N181" i="3"/>
  <c r="N43" i="3"/>
  <c r="N161" i="3"/>
  <c r="N162" i="3"/>
  <c r="N189" i="3"/>
  <c r="N242" i="3"/>
  <c r="N322" i="3"/>
  <c r="N324" i="3"/>
  <c r="N323" i="3"/>
  <c r="N227" i="3"/>
  <c r="N267" i="3"/>
  <c r="N271" i="3"/>
  <c r="N260" i="3"/>
  <c r="N282" i="3"/>
  <c r="N273" i="3"/>
  <c r="N272" i="3"/>
  <c r="N274" i="3"/>
  <c r="N301" i="3"/>
  <c r="N290" i="3"/>
  <c r="N241" i="3"/>
  <c r="N275" i="3"/>
  <c r="N261" i="3"/>
  <c r="N276" i="3"/>
  <c r="N262" i="3"/>
  <c r="N284" i="3"/>
  <c r="N309" i="3"/>
  <c r="N72" i="3"/>
  <c r="N73" i="3"/>
  <c r="N74" i="3"/>
  <c r="N75" i="3"/>
  <c r="N37" i="3"/>
  <c r="N76" i="3"/>
  <c r="N145" i="3"/>
  <c r="N77" i="3"/>
  <c r="N78" i="3"/>
  <c r="N79" i="3"/>
  <c r="N114" i="3"/>
  <c r="N60" i="3"/>
  <c r="N80" i="3"/>
  <c r="N40" i="3"/>
  <c r="N81" i="3"/>
  <c r="N115" i="3"/>
  <c r="N306" i="3"/>
  <c r="N235" i="3"/>
  <c r="N270" i="3"/>
  <c r="N253" i="3"/>
  <c r="N286" i="3"/>
  <c r="N258" i="3"/>
  <c r="N291" i="3"/>
  <c r="N252" i="3"/>
  <c r="N263" i="3"/>
  <c r="N257" i="3"/>
  <c r="N229" i="3"/>
  <c r="N279" i="3"/>
  <c r="N285" i="3"/>
  <c r="N315" i="3"/>
  <c r="N236" i="3"/>
  <c r="N310" i="3"/>
  <c r="N225" i="3"/>
  <c r="N312" i="3"/>
  <c r="N264" i="3"/>
  <c r="N280" i="3"/>
  <c r="N308" i="3"/>
  <c r="N302" i="3"/>
  <c r="N287" i="3"/>
  <c r="N243" i="3"/>
  <c r="N277" i="3"/>
  <c r="N240" i="3"/>
  <c r="N313" i="3"/>
  <c r="N226" i="3"/>
  <c r="N328" i="3"/>
  <c r="N254" i="3"/>
  <c r="N314" i="3"/>
  <c r="N238" i="3"/>
  <c r="N305" i="3"/>
  <c r="N307" i="3"/>
  <c r="N281" i="3"/>
  <c r="N311" i="3"/>
  <c r="N228" i="3"/>
  <c r="N299" i="3"/>
  <c r="N325" i="3"/>
  <c r="N255" i="3"/>
  <c r="N218" i="3"/>
  <c r="N12" i="3"/>
  <c r="N179" i="3"/>
  <c r="N146" i="3"/>
  <c r="N151" i="3"/>
  <c r="N41" i="3"/>
  <c r="N32" i="3"/>
  <c r="N316" i="3"/>
  <c r="N163" i="3"/>
  <c r="N320" i="3"/>
  <c r="N326" i="3"/>
  <c r="N327" i="3"/>
  <c r="N321" i="3"/>
  <c r="N82" i="3"/>
  <c r="N206" i="3"/>
  <c r="N164" i="3"/>
  <c r="N87" i="3"/>
  <c r="N83" i="3"/>
  <c r="N150" i="3"/>
  <c r="N165" i="3"/>
  <c r="N153" i="3"/>
  <c r="N88" i="3"/>
  <c r="N207" i="3"/>
  <c r="N52" i="3"/>
  <c r="N38" i="3"/>
  <c r="N172" i="3"/>
  <c r="N49" i="3"/>
  <c r="N113" i="3"/>
  <c r="N53" i="3"/>
  <c r="N5" i="3"/>
  <c r="N91" i="3"/>
  <c r="N61" i="3"/>
  <c r="N211" i="3"/>
  <c r="N168" i="3"/>
  <c r="N198" i="3"/>
  <c r="N196" i="3"/>
  <c r="N212" i="3"/>
  <c r="N95" i="3"/>
  <c r="N213" i="3"/>
  <c r="N185" i="3"/>
  <c r="N157" i="3"/>
  <c r="N166" i="3"/>
  <c r="N216" i="3"/>
  <c r="N200" i="3"/>
  <c r="N217" i="3"/>
  <c r="N199" i="3"/>
  <c r="N6" i="3"/>
  <c r="N177" i="3"/>
  <c r="N219" i="3"/>
  <c r="N201" i="3"/>
  <c r="N214" i="3"/>
  <c r="N7" i="3"/>
  <c r="N167" i="3"/>
  <c r="N169" i="3"/>
  <c r="N90" i="3"/>
  <c r="N156" i="3"/>
  <c r="N178" i="3"/>
  <c r="N158" i="3"/>
  <c r="N221" i="3"/>
  <c r="N220" i="3"/>
  <c r="N96" i="3"/>
  <c r="N14" i="3"/>
  <c r="N27" i="3"/>
  <c r="N28" i="3"/>
  <c r="N15" i="3"/>
  <c r="N23" i="3"/>
  <c r="N122" i="3"/>
  <c r="N100" i="3"/>
  <c r="N125" i="3"/>
  <c r="N45" i="3"/>
  <c r="N10" i="3"/>
  <c r="N182" i="3"/>
  <c r="N101" i="3"/>
  <c r="N176" i="3"/>
  <c r="N123" i="3"/>
  <c r="N13" i="3"/>
  <c r="N46" i="3"/>
  <c r="N102" i="3"/>
  <c r="N126" i="3"/>
  <c r="N11" i="3"/>
  <c r="N152" i="3"/>
  <c r="N50" i="3"/>
  <c r="N51" i="3"/>
  <c r="N47" i="3"/>
  <c r="N84" i="3"/>
  <c r="N190" i="3"/>
  <c r="N18" i="3"/>
  <c r="N16" i="3"/>
  <c r="N48" i="3"/>
  <c r="N120" i="3"/>
  <c r="N17" i="3"/>
  <c r="N188" i="3"/>
  <c r="N121" i="3"/>
  <c r="N223" i="3"/>
  <c r="N265" i="3"/>
  <c r="N239" i="3"/>
  <c r="N237" i="3"/>
  <c r="N268" i="3"/>
  <c r="N224" i="3"/>
  <c r="N266" i="3"/>
  <c r="N292" i="3"/>
  <c r="N230" i="3"/>
  <c r="N231" i="3"/>
  <c r="N294" i="3"/>
  <c r="N293" i="3"/>
  <c r="N317" i="3"/>
  <c r="N295" i="3"/>
  <c r="N298" i="3"/>
  <c r="N297" i="3"/>
  <c r="N269" i="3"/>
  <c r="N278" i="3"/>
  <c r="N296" i="3"/>
  <c r="N303" i="3"/>
  <c r="N191" i="3"/>
  <c r="N56" i="3"/>
  <c r="N92" i="3"/>
  <c r="N135" i="3"/>
  <c r="N98" i="3"/>
  <c r="N110" i="3"/>
  <c r="N94" i="3"/>
  <c r="N24" i="3"/>
  <c r="N133" i="3"/>
  <c r="N25" i="3"/>
  <c r="N93" i="3"/>
  <c r="N144" i="3"/>
  <c r="N155" i="3"/>
  <c r="N136" i="3"/>
  <c r="N124" i="3"/>
  <c r="N108" i="3"/>
  <c r="N192" i="3"/>
  <c r="N21" i="3"/>
  <c r="N193" i="3"/>
  <c r="N171" i="3"/>
  <c r="N184" i="3"/>
  <c r="N130" i="3"/>
  <c r="N173" i="3"/>
  <c r="N111" i="3"/>
  <c r="N106" i="3"/>
  <c r="N131" i="3"/>
  <c r="N147" i="3"/>
  <c r="N103" i="3"/>
  <c r="N142" i="3"/>
  <c r="N39" i="3"/>
  <c r="N97" i="3"/>
  <c r="N137" i="3"/>
  <c r="N107" i="3"/>
  <c r="N139" i="3"/>
  <c r="N141" i="3"/>
  <c r="N132" i="3"/>
  <c r="N57" i="3"/>
  <c r="N116" i="3"/>
  <c r="N134" i="3"/>
  <c r="N215" i="3"/>
  <c r="N99" i="3"/>
  <c r="N149" i="3"/>
  <c r="N148" i="3"/>
  <c r="N127" i="3"/>
  <c r="N128" i="3"/>
  <c r="N208" i="3"/>
  <c r="N222" i="3"/>
  <c r="N129" i="3"/>
  <c r="N197" i="3"/>
  <c r="N104" i="3"/>
  <c r="N143" i="3"/>
  <c r="N140" i="3"/>
  <c r="N118" i="3"/>
  <c r="N119" i="3"/>
  <c r="N117" i="3"/>
  <c r="N138" i="3"/>
  <c r="N109" i="3"/>
  <c r="N20" i="3"/>
  <c r="N19" i="3"/>
</calcChain>
</file>

<file path=xl/sharedStrings.xml><?xml version="1.0" encoding="utf-8"?>
<sst xmlns="http://schemas.openxmlformats.org/spreadsheetml/2006/main" count="2867" uniqueCount="765">
  <si>
    <t>March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</si>
  <si>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</si>
  <si>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</si>
  <si>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</si>
  <si>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</si>
  <si>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</si>
  <si>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</si>
  <si>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</si>
  <si>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</si>
  <si>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</si>
  <si>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</si>
  <si>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</si>
  <si>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</si>
  <si>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</si>
  <si>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</si>
  <si>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</si>
  <si>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</si>
  <si>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</si>
  <si>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</si>
  <si>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</si>
  <si>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</si>
  <si>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</si>
  <si>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</si>
  <si>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</si>
  <si>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</si>
  <si>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</si>
  <si>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</si>
  <si>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</si>
  <si>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</si>
  <si>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YALE, RICHARD</t>
  </si>
  <si>
    <t>HN20036845P1</t>
  </si>
  <si>
    <t>GINA DIVIZO</t>
  </si>
  <si>
    <t>IL</t>
  </si>
  <si>
    <t>Y</t>
  </si>
  <si>
    <t>LISKOVEC, FRANK</t>
  </si>
  <si>
    <t>HN30003841P1</t>
  </si>
  <si>
    <t>Suzanne Suffern</t>
  </si>
  <si>
    <t>HN3A003401P1</t>
  </si>
  <si>
    <t>janine adams</t>
  </si>
  <si>
    <t>HORN, JEFFREY</t>
  </si>
  <si>
    <t>HN20035099P1</t>
  </si>
  <si>
    <t>AMY OLSON</t>
  </si>
  <si>
    <t>DEATON, PAMELA</t>
  </si>
  <si>
    <t>HN50001138P1</t>
  </si>
  <si>
    <t>Steven Barnhill</t>
  </si>
  <si>
    <t>THANADABOUTH, PATSAMON</t>
  </si>
  <si>
    <t>HN30004152P1</t>
  </si>
  <si>
    <t>Khamo Siriboun</t>
  </si>
  <si>
    <t>HODGMAN, TIMOTHY</t>
  </si>
  <si>
    <t>HN3A004088P1</t>
  </si>
  <si>
    <t>Catherine Hutmacher</t>
  </si>
  <si>
    <t>HN50001749P1</t>
  </si>
  <si>
    <t>Vladimir Manev</t>
  </si>
  <si>
    <t>HN20044549P1</t>
  </si>
  <si>
    <t>SUSAN SEVESKA</t>
  </si>
  <si>
    <t>AZ</t>
  </si>
  <si>
    <t>PORTUGAL, GARY</t>
  </si>
  <si>
    <t>HN3A001715P1</t>
  </si>
  <si>
    <t>Steve Zafiriadis</t>
  </si>
  <si>
    <t>HN30004133P1</t>
  </si>
  <si>
    <t>Fred Lambert</t>
  </si>
  <si>
    <t>TX</t>
  </si>
  <si>
    <t>HANSFORD, GREGORY</t>
  </si>
  <si>
    <t>HN30003693P1</t>
  </si>
  <si>
    <t>John Hampton</t>
  </si>
  <si>
    <t>WUENSCH, RICHARD</t>
  </si>
  <si>
    <t>HN20045051P1</t>
  </si>
  <si>
    <t>NANCY WATSON</t>
  </si>
  <si>
    <t>HN20039485P1</t>
  </si>
  <si>
    <t>WILLIAM DOBLER</t>
  </si>
  <si>
    <t>HN20034570P1</t>
  </si>
  <si>
    <t>GARY RUTLEDGE</t>
  </si>
  <si>
    <t>YALE, JACOB</t>
  </si>
  <si>
    <t>HN20050461P1</t>
  </si>
  <si>
    <t>SCOTT JINDRA</t>
  </si>
  <si>
    <t>ARENSON, GREGG</t>
  </si>
  <si>
    <t>HN30003855P1</t>
  </si>
  <si>
    <t>Gregg Arenson</t>
  </si>
  <si>
    <t>HN20044951P1</t>
  </si>
  <si>
    <t>GWENDA KLINE</t>
  </si>
  <si>
    <t>SCHUMANN, BARRY</t>
  </si>
  <si>
    <t>HN20035600P1</t>
  </si>
  <si>
    <t>REGINA FIELDS</t>
  </si>
  <si>
    <t>HN20036236P1</t>
  </si>
  <si>
    <t>KEVIN BATES</t>
  </si>
  <si>
    <t>WERNER, STEVEN</t>
  </si>
  <si>
    <t>HN30003912P1</t>
  </si>
  <si>
    <t>Bob  Ribordy</t>
  </si>
  <si>
    <t>ROBINSON, PAUL</t>
  </si>
  <si>
    <t>HN20041215P1</t>
  </si>
  <si>
    <t>SCOTT WALLACH</t>
  </si>
  <si>
    <t>HUNSBERGER, ANTHONY</t>
  </si>
  <si>
    <t>HN30001524P1</t>
  </si>
  <si>
    <t>Kristy Dolph</t>
  </si>
  <si>
    <t>RICHTER, ADAM</t>
  </si>
  <si>
    <t>HN20037645P1</t>
  </si>
  <si>
    <t>JOYCE ANAZONWU</t>
  </si>
  <si>
    <t>MD</t>
  </si>
  <si>
    <t>HN30002721P1</t>
  </si>
  <si>
    <t>steven  bogolub</t>
  </si>
  <si>
    <t>HN30002537P1</t>
  </si>
  <si>
    <t>Reynold peters</t>
  </si>
  <si>
    <t>TAUGNER, CHRISTIAN</t>
  </si>
  <si>
    <t>HN3A001492P1</t>
  </si>
  <si>
    <t>Keith Hauschildt</t>
  </si>
  <si>
    <t>INSKIPT, DEBORAH</t>
  </si>
  <si>
    <t>HN20048002P1</t>
  </si>
  <si>
    <t>RAYMOND SELVA</t>
  </si>
  <si>
    <t>PA</t>
  </si>
  <si>
    <t>HN50001458P1</t>
  </si>
  <si>
    <t>Terri Eaton</t>
  </si>
  <si>
    <t>HN20042008P1</t>
  </si>
  <si>
    <t>KIM MORSE</t>
  </si>
  <si>
    <t>HN30002222P1</t>
  </si>
  <si>
    <t>Alisa Amaral</t>
  </si>
  <si>
    <t>HN30003933P1</t>
  </si>
  <si>
    <t>Phaengsy Phetthongsy</t>
  </si>
  <si>
    <t>WALENGA, DALE</t>
  </si>
  <si>
    <t>HN20049456P1</t>
  </si>
  <si>
    <t>JAMES CLOW</t>
  </si>
  <si>
    <t>HN30001896P1</t>
  </si>
  <si>
    <t>Thomas Welch</t>
  </si>
  <si>
    <t>HN3A003912P1</t>
  </si>
  <si>
    <t>Jill Walsh</t>
  </si>
  <si>
    <t>ZANA, NASANDELGER</t>
  </si>
  <si>
    <t>HN30004223P1</t>
  </si>
  <si>
    <t>Munkhnasan Mijiddorj</t>
  </si>
  <si>
    <t>HN30002812P1</t>
  </si>
  <si>
    <t>DONALD SILVERT</t>
  </si>
  <si>
    <t>HN30004170P1</t>
  </si>
  <si>
    <t>Sam Phomsopha</t>
  </si>
  <si>
    <t>HN20035795P1</t>
  </si>
  <si>
    <t>THOMAS CESAR</t>
  </si>
  <si>
    <t>FOLEY, CAROL</t>
  </si>
  <si>
    <t>HN20042593P1</t>
  </si>
  <si>
    <t>DOUGLAS MCCLURE</t>
  </si>
  <si>
    <t>HN30001665P1</t>
  </si>
  <si>
    <t>Sharon Korotka</t>
  </si>
  <si>
    <t>HN3A003178P1</t>
  </si>
  <si>
    <t>karen myers</t>
  </si>
  <si>
    <t>HN30002757P1</t>
  </si>
  <si>
    <t>david slack</t>
  </si>
  <si>
    <t>HN20050329P1</t>
  </si>
  <si>
    <t>LAURA SEWELL</t>
  </si>
  <si>
    <t>HN30001492P1</t>
  </si>
  <si>
    <t>Susan Hauschildt</t>
  </si>
  <si>
    <t>HN50001389P1</t>
  </si>
  <si>
    <t>Martin Bueno</t>
  </si>
  <si>
    <t>HN30002554P1</t>
  </si>
  <si>
    <t>BRUCE HIMMELBLAU</t>
  </si>
  <si>
    <t>HN20044111P1</t>
  </si>
  <si>
    <t>THOMAS TRITTHARDT</t>
  </si>
  <si>
    <t>GOODMAN, ANDREW</t>
  </si>
  <si>
    <t>HN20045380P1</t>
  </si>
  <si>
    <t>TIMOTHY PUCILOWSKI</t>
  </si>
  <si>
    <t>SC</t>
  </si>
  <si>
    <t>HN30003701P1</t>
  </si>
  <si>
    <t>michael  derex</t>
  </si>
  <si>
    <t>HN20042421P1</t>
  </si>
  <si>
    <t>ALFREDO BERUMEN</t>
  </si>
  <si>
    <t>HN20045837P1</t>
  </si>
  <si>
    <t>ALISON ABBOTT</t>
  </si>
  <si>
    <t>HN20041757P1</t>
  </si>
  <si>
    <t>SUSAN SMYTH</t>
  </si>
  <si>
    <t>HN20035315P1</t>
  </si>
  <si>
    <t>MARY TAYLOR</t>
  </si>
  <si>
    <t>DUNAVANT, MICHAEL</t>
  </si>
  <si>
    <t>HN20043311P1</t>
  </si>
  <si>
    <t>KATHIE SWIBAKER</t>
  </si>
  <si>
    <t>HN3A002224P1</t>
  </si>
  <si>
    <t>Harry Meneghini</t>
  </si>
  <si>
    <t>HN20050500P1</t>
  </si>
  <si>
    <t>JEFFREY LERNER</t>
  </si>
  <si>
    <t>DRAPAC, STEPHANIE</t>
  </si>
  <si>
    <t>HN30003469P1</t>
  </si>
  <si>
    <t>Stephen Milone</t>
  </si>
  <si>
    <t>HN30004073P1</t>
  </si>
  <si>
    <t>Barbara Beil</t>
  </si>
  <si>
    <t>HN30003875P1</t>
  </si>
  <si>
    <t>Edward White</t>
  </si>
  <si>
    <t>SANTOS, RICARDO</t>
  </si>
  <si>
    <t>HN20047090P1</t>
  </si>
  <si>
    <t>NESTOR RAMORAN</t>
  </si>
  <si>
    <t>HN30002350P1</t>
  </si>
  <si>
    <t>Martin Harrigan</t>
  </si>
  <si>
    <t>HN3A002721P1</t>
  </si>
  <si>
    <t>patricia bogolub</t>
  </si>
  <si>
    <t>HN20035599P1</t>
  </si>
  <si>
    <t>CHESTER ANTCZAK</t>
  </si>
  <si>
    <t>HN20043227P1</t>
  </si>
  <si>
    <t>SHANNAN WILSON</t>
  </si>
  <si>
    <t>PETRUNGARO, ANDREA</t>
  </si>
  <si>
    <t>HN20046263P1</t>
  </si>
  <si>
    <t>RAYMOND INGERSOLL</t>
  </si>
  <si>
    <t>HN30002352P1</t>
  </si>
  <si>
    <t>Dennis Naples</t>
  </si>
  <si>
    <t>PORTUGAL, STACEY</t>
  </si>
  <si>
    <t>HN20037348P1</t>
  </si>
  <si>
    <t>ALONZO GALVAN</t>
  </si>
  <si>
    <t>HN20041768P1</t>
  </si>
  <si>
    <t>RENEE COLLIGNON</t>
  </si>
  <si>
    <t>HN20042349P1</t>
  </si>
  <si>
    <t>ANNETTE KNOX</t>
  </si>
  <si>
    <t>IN</t>
  </si>
  <si>
    <t>HN30001594P1</t>
  </si>
  <si>
    <t>Karen Zinder</t>
  </si>
  <si>
    <t>HN50001051P1</t>
  </si>
  <si>
    <t>francine lasky</t>
  </si>
  <si>
    <t>il</t>
  </si>
  <si>
    <t>HN30004228P1</t>
  </si>
  <si>
    <t>Jay Wojtasik</t>
  </si>
  <si>
    <t>HN3A002537P1</t>
  </si>
  <si>
    <t>patrica peters</t>
  </si>
  <si>
    <t>HN30002639P1</t>
  </si>
  <si>
    <t>John Karuntzos</t>
  </si>
  <si>
    <t>HN20044073P1</t>
  </si>
  <si>
    <t>LAWRENCE WELSANDT</t>
  </si>
  <si>
    <t>HN20047024P1</t>
  </si>
  <si>
    <t>AMELIA BIELSKI</t>
  </si>
  <si>
    <t>HN30002206P1</t>
  </si>
  <si>
    <t>charles fitzgerald</t>
  </si>
  <si>
    <t>HN20046538P1</t>
  </si>
  <si>
    <t>JAMES RIEBANDT</t>
  </si>
  <si>
    <t>HN50001237P1</t>
  </si>
  <si>
    <t>Kim Morse</t>
  </si>
  <si>
    <t>HN20045707P1</t>
  </si>
  <si>
    <t>MINDY KOBUSCH</t>
  </si>
  <si>
    <t>HN30004072P1</t>
  </si>
  <si>
    <t>Peggy Allen</t>
  </si>
  <si>
    <t>HN20039865P1</t>
  </si>
  <si>
    <t>BETH GONSIEWSKI</t>
  </si>
  <si>
    <t>HN20042484P1</t>
  </si>
  <si>
    <t>WAYNE BRAVERMAN</t>
  </si>
  <si>
    <t>HN30002284P1</t>
  </si>
  <si>
    <t>Eva Golembiewski</t>
  </si>
  <si>
    <t>PARDUE, THOMAS</t>
  </si>
  <si>
    <t>HN20046387P1</t>
  </si>
  <si>
    <t>TRACY WILLIAMS</t>
  </si>
  <si>
    <t>OK</t>
  </si>
  <si>
    <t>HN30003570P1</t>
  </si>
  <si>
    <t>Laura Sulkin</t>
  </si>
  <si>
    <t>HN3A003414P1</t>
  </si>
  <si>
    <t>Mary Ella May Alindog</t>
  </si>
  <si>
    <t>HN30004084P1</t>
  </si>
  <si>
    <t>Carrie VanEtten</t>
  </si>
  <si>
    <t>HN20041710P1</t>
  </si>
  <si>
    <t>HERBERT LARSON</t>
  </si>
  <si>
    <t>FL</t>
  </si>
  <si>
    <t>HN3A002813P1</t>
  </si>
  <si>
    <t>JERRY O'KERNS</t>
  </si>
  <si>
    <t>HN30001438P1</t>
  </si>
  <si>
    <t>Frank Scardina</t>
  </si>
  <si>
    <t>HN20035606P1</t>
  </si>
  <si>
    <t>CYNDIE SIMMONS</t>
  </si>
  <si>
    <t>KY</t>
  </si>
  <si>
    <t>HN20049733P1</t>
  </si>
  <si>
    <t>MIRA KOVACEVIC</t>
  </si>
  <si>
    <t>HN50001030P1</t>
  </si>
  <si>
    <t>Annette Edwardson</t>
  </si>
  <si>
    <t>HN30003091P1</t>
  </si>
  <si>
    <t>WAYNE KARG</t>
  </si>
  <si>
    <t>HN30002612P1</t>
  </si>
  <si>
    <t>Herb Freiman</t>
  </si>
  <si>
    <t>HN20037690P1</t>
  </si>
  <si>
    <t>TERRANCE HALLMAN</t>
  </si>
  <si>
    <t>HN20041973P1</t>
  </si>
  <si>
    <t>PAULA MARINO</t>
  </si>
  <si>
    <t>HN20046238P1</t>
  </si>
  <si>
    <t>KAREN MEYER</t>
  </si>
  <si>
    <t>HN20036162P1</t>
  </si>
  <si>
    <t>EDWARD GOBBO</t>
  </si>
  <si>
    <t>HN20049443P1</t>
  </si>
  <si>
    <t>AIMEE COHEN</t>
  </si>
  <si>
    <t>HN20037874P1</t>
  </si>
  <si>
    <t>DEBBIE GOTHELF</t>
  </si>
  <si>
    <t>HN20044899P1</t>
  </si>
  <si>
    <t>SUSAN THOMAS</t>
  </si>
  <si>
    <t>HN30002172P1</t>
  </si>
  <si>
    <t>DEBRA BILSTEIN</t>
  </si>
  <si>
    <t>HN20044547P1</t>
  </si>
  <si>
    <t>DAVID SEVESKA</t>
  </si>
  <si>
    <t>HN20046268P1</t>
  </si>
  <si>
    <t>KENNETH HAMMOND</t>
  </si>
  <si>
    <t>HN3A003855P1</t>
  </si>
  <si>
    <t>Caron Arenson</t>
  </si>
  <si>
    <t>HN30001488P1</t>
  </si>
  <si>
    <t>Kathleen Learned</t>
  </si>
  <si>
    <t>HN20041618P1</t>
  </si>
  <si>
    <t>KATHY GAINES</t>
  </si>
  <si>
    <t>HN50001019P1</t>
  </si>
  <si>
    <t>kelly smith</t>
  </si>
  <si>
    <t>HN30003340P1</t>
  </si>
  <si>
    <t>Michael White</t>
  </si>
  <si>
    <t>HN20039993P1</t>
  </si>
  <si>
    <t>DENISE SOKOWLOWSKI</t>
  </si>
  <si>
    <t>HN30002384P1</t>
  </si>
  <si>
    <t>George York</t>
  </si>
  <si>
    <t>TN</t>
  </si>
  <si>
    <t>STROHMAN, BRIAN</t>
  </si>
  <si>
    <t>HN30002298P1</t>
  </si>
  <si>
    <t>John Waspi</t>
  </si>
  <si>
    <t>HN30001505P1</t>
  </si>
  <si>
    <t>Jody Susman</t>
  </si>
  <si>
    <t>HN30002203P1</t>
  </si>
  <si>
    <t>BARRY Schumann</t>
  </si>
  <si>
    <t>HN30002393P1</t>
  </si>
  <si>
    <t>michael pavlatos</t>
  </si>
  <si>
    <t>CHOI, ANDREW</t>
  </si>
  <si>
    <t>HN50001706P1</t>
  </si>
  <si>
    <t>Ryan Nader</t>
  </si>
  <si>
    <t>HN3A001948P1</t>
  </si>
  <si>
    <t>Kathy Whalen</t>
  </si>
  <si>
    <t>ROKEN, JOHN</t>
  </si>
  <si>
    <t>HN20038331P1</t>
  </si>
  <si>
    <t>CINDY VARDY</t>
  </si>
  <si>
    <t>HN30002972P1</t>
  </si>
  <si>
    <t>Richard Neumann</t>
  </si>
  <si>
    <t>HN20040339P1</t>
  </si>
  <si>
    <t>ANNETTE EDWARDSON</t>
  </si>
  <si>
    <t>HN20035838P1</t>
  </si>
  <si>
    <t>IRIS SOWLAT</t>
  </si>
  <si>
    <t>HN20035979P1</t>
  </si>
  <si>
    <t>KIRBY PASCUS</t>
  </si>
  <si>
    <t>HN30004191P1</t>
  </si>
  <si>
    <t>Sherry Nelson</t>
  </si>
  <si>
    <t>HN20033666P1</t>
  </si>
  <si>
    <t>JUDITH WEIDER</t>
  </si>
  <si>
    <t>HN20038680P1</t>
  </si>
  <si>
    <t>JEANA LASSITER</t>
  </si>
  <si>
    <t>NM</t>
  </si>
  <si>
    <t>HN30002853P1</t>
  </si>
  <si>
    <t>James Lofthouse</t>
  </si>
  <si>
    <t>HN50001595P1</t>
  </si>
  <si>
    <t>Gary Munks</t>
  </si>
  <si>
    <t>HN20041212P1</t>
  </si>
  <si>
    <t>RAY WHALEN</t>
  </si>
  <si>
    <t>HN20043071P1</t>
  </si>
  <si>
    <t>BETTY MOBERLY</t>
  </si>
  <si>
    <t>HN20036318P1</t>
  </si>
  <si>
    <t>ALLAN TESON</t>
  </si>
  <si>
    <t>HN20037000P1</t>
  </si>
  <si>
    <t>TIMOTHY KENNELLY</t>
  </si>
  <si>
    <t>HN30003178P1</t>
  </si>
  <si>
    <t>martin myers</t>
  </si>
  <si>
    <t>HN30003871P1</t>
  </si>
  <si>
    <t>Rick Lattanzio</t>
  </si>
  <si>
    <t>HN30003747P1</t>
  </si>
  <si>
    <t>Faye Pantazelos</t>
  </si>
  <si>
    <t>HN30002358P1</t>
  </si>
  <si>
    <t>John Harrigan</t>
  </si>
  <si>
    <t>HN30002704P1</t>
  </si>
  <si>
    <t>Maria Dennie</t>
  </si>
  <si>
    <t>HN3A001501P1</t>
  </si>
  <si>
    <t>Craig Geiger</t>
  </si>
  <si>
    <t>HN30004215P1</t>
  </si>
  <si>
    <t>Denise Martino</t>
  </si>
  <si>
    <t>HOFFMANN, JASON</t>
  </si>
  <si>
    <t>HN20041294P1</t>
  </si>
  <si>
    <t>LESLIE EHRIN</t>
  </si>
  <si>
    <t>HN3A001506P1</t>
  </si>
  <si>
    <t>Stephenie Crosetto</t>
  </si>
  <si>
    <t>HN20045841P1</t>
  </si>
  <si>
    <t>BLANCA CARDONA</t>
  </si>
  <si>
    <t>HN20041937P1</t>
  </si>
  <si>
    <t>JOEL GOLDWATER</t>
  </si>
  <si>
    <t>HN30001509P1</t>
  </si>
  <si>
    <t>John Keefe</t>
  </si>
  <si>
    <t>HN20046508P1</t>
  </si>
  <si>
    <t>JANICE GILBERT</t>
  </si>
  <si>
    <t>HN30001789P1</t>
  </si>
  <si>
    <t>Terry Ross</t>
  </si>
  <si>
    <t>HN20045533P1</t>
  </si>
  <si>
    <t>IVAN MLINARICH</t>
  </si>
  <si>
    <t>HN20044589P1</t>
  </si>
  <si>
    <t>KATHLEEN DOPLER</t>
  </si>
  <si>
    <t>HN20041483P1</t>
  </si>
  <si>
    <t>TINA CROW</t>
  </si>
  <si>
    <t>HN30001485P1</t>
  </si>
  <si>
    <t>Thomas Cesar</t>
  </si>
  <si>
    <t>HN30003897P1</t>
  </si>
  <si>
    <t>Donald Crosby</t>
  </si>
  <si>
    <t>HN30002774P1</t>
  </si>
  <si>
    <t>Ronald Kiefer</t>
  </si>
  <si>
    <t>HN30002887P1</t>
  </si>
  <si>
    <t>Alfonso Gaimari</t>
  </si>
  <si>
    <t>HN20039073P1</t>
  </si>
  <si>
    <t>TERRY BRYAN</t>
  </si>
  <si>
    <t>HN30003029P1</t>
  </si>
  <si>
    <t>wayne burchfield</t>
  </si>
  <si>
    <t>HN50001653P1</t>
  </si>
  <si>
    <t>Peggy Ketelsen</t>
  </si>
  <si>
    <t>HN20045307P1</t>
  </si>
  <si>
    <t>CHERYL CORDELL</t>
  </si>
  <si>
    <t>HN30001506P1</t>
  </si>
  <si>
    <t>Hansjorg Herzog</t>
  </si>
  <si>
    <t>HN20035796P1</t>
  </si>
  <si>
    <t>SANTINA CESAR</t>
  </si>
  <si>
    <t>HN30004169P1</t>
  </si>
  <si>
    <t>Khomsavat Keopanya</t>
  </si>
  <si>
    <t>HN20039355P1</t>
  </si>
  <si>
    <t>PETER MALONE</t>
  </si>
  <si>
    <t>HN20041856P1</t>
  </si>
  <si>
    <t>BARBARA BAKER</t>
  </si>
  <si>
    <t>HN20037232P1</t>
  </si>
  <si>
    <t>ROBERT JOYCE</t>
  </si>
  <si>
    <t>HN20045495P1</t>
  </si>
  <si>
    <t>SHEILA WARTELL</t>
  </si>
  <si>
    <t>HN20047091P1</t>
  </si>
  <si>
    <t>LOURDES RAMORAN</t>
  </si>
  <si>
    <t>HN30004158P1</t>
  </si>
  <si>
    <t>Bettie  Baker</t>
  </si>
  <si>
    <t>HN30004230P1</t>
  </si>
  <si>
    <t>Marc Goldsmith</t>
  </si>
  <si>
    <t>HN20046608P1</t>
  </si>
  <si>
    <t>THEODORA CAMPANELLA</t>
  </si>
  <si>
    <t>HN20044072P1</t>
  </si>
  <si>
    <t>DEBORAH WELSANDT</t>
  </si>
  <si>
    <t>HN20048113P1</t>
  </si>
  <si>
    <t>MARY KOGLIN</t>
  </si>
  <si>
    <t>HN30002378P1</t>
  </si>
  <si>
    <t>SCOTT SMITH</t>
  </si>
  <si>
    <t>HN50001011P1</t>
  </si>
  <si>
    <t>Janice Pietrucha</t>
  </si>
  <si>
    <t>HN20046609P1</t>
  </si>
  <si>
    <t>MARNE CHILSTROM</t>
  </si>
  <si>
    <t>HN20039254P1</t>
  </si>
  <si>
    <t>STEVEN MOOZAKIS</t>
  </si>
  <si>
    <t>HN30002011P1</t>
  </si>
  <si>
    <t>Peggy Obrien</t>
  </si>
  <si>
    <t>HN20041360P1</t>
  </si>
  <si>
    <t>ELLEN SHAKER</t>
  </si>
  <si>
    <t>HN30003713P1</t>
  </si>
  <si>
    <t>Rodolfo Del Rosario</t>
  </si>
  <si>
    <t>HN30003919P1</t>
  </si>
  <si>
    <t>Chris Taugner</t>
  </si>
  <si>
    <t>HN30002976P1</t>
  </si>
  <si>
    <t>dale Toriani</t>
  </si>
  <si>
    <t>HN3A002644P1</t>
  </si>
  <si>
    <t>mary halpert</t>
  </si>
  <si>
    <t>HN20033110P1</t>
  </si>
  <si>
    <t>REBECCA MAYHEW</t>
  </si>
  <si>
    <t>HN30002651P1</t>
  </si>
  <si>
    <t>William Stauffer</t>
  </si>
  <si>
    <t>HN20045574P1</t>
  </si>
  <si>
    <t>AGUSTIN AYALA</t>
  </si>
  <si>
    <t>YALE, CHAD</t>
  </si>
  <si>
    <t>HN20041972P1</t>
  </si>
  <si>
    <t>DEBRA TRONE</t>
  </si>
  <si>
    <t>HN20050606P1</t>
  </si>
  <si>
    <t>DAVID JANKURA</t>
  </si>
  <si>
    <t>HN50001596P1</t>
  </si>
  <si>
    <t>Donna Tritthardt</t>
  </si>
  <si>
    <t>HN50001804P1</t>
  </si>
  <si>
    <t>KATHLEEN KARG</t>
  </si>
  <si>
    <t>HN30003677P1</t>
  </si>
  <si>
    <t>steve werner</t>
  </si>
  <si>
    <t>HN30002771P1</t>
  </si>
  <si>
    <t>GWYN NANUS</t>
  </si>
  <si>
    <t>HN20036858P1</t>
  </si>
  <si>
    <t>LISA BERENYI</t>
  </si>
  <si>
    <t>HN3A002529P1</t>
  </si>
  <si>
    <t>CYNTHIA TRAUSCH</t>
  </si>
  <si>
    <t>HN30001735P1</t>
  </si>
  <si>
    <t>Debra Karlinski</t>
  </si>
  <si>
    <t>HN3A003029P1</t>
  </si>
  <si>
    <t>gloria burchfield</t>
  </si>
  <si>
    <t>HN20041295P1</t>
  </si>
  <si>
    <t>EVELYN GLOVER</t>
  </si>
  <si>
    <t>HN3A002625P1</t>
  </si>
  <si>
    <t>dyanne Richie</t>
  </si>
  <si>
    <t>HN30003934P1</t>
  </si>
  <si>
    <t>Bonnie O'Neal</t>
  </si>
  <si>
    <t>HN20036146P1</t>
  </si>
  <si>
    <t>LAVONNE MALANDRO</t>
  </si>
  <si>
    <t>HN30003524P1</t>
  </si>
  <si>
    <t>Theresa Stretch</t>
  </si>
  <si>
    <t>MS</t>
  </si>
  <si>
    <t>HN30003856P1</t>
  </si>
  <si>
    <t>Ronald Klawitter</t>
  </si>
  <si>
    <t>HN30002224P1</t>
  </si>
  <si>
    <t>Patricia Meneghini</t>
  </si>
  <si>
    <t>HN30002644P1</t>
  </si>
  <si>
    <t>richard halpert</t>
  </si>
  <si>
    <t>HN30002860P1</t>
  </si>
  <si>
    <t>Minerva Solis</t>
  </si>
  <si>
    <t>HN20032867P1</t>
  </si>
  <si>
    <t>JANIS FILIAGGI</t>
  </si>
  <si>
    <t>HN30002423P1</t>
  </si>
  <si>
    <t>PAUL WYNER</t>
  </si>
  <si>
    <t>MO</t>
  </si>
  <si>
    <t>HN20050017P1</t>
  </si>
  <si>
    <t>LESLIE HEARN</t>
  </si>
  <si>
    <t>HN20043492P1</t>
  </si>
  <si>
    <t>JEFFREY SANDERS</t>
  </si>
  <si>
    <t>HN30004157P1</t>
  </si>
  <si>
    <t>Henry Baker</t>
  </si>
  <si>
    <t>HN30003397P1</t>
  </si>
  <si>
    <t>Patrick Conforti</t>
  </si>
  <si>
    <t>HN20045179P1</t>
  </si>
  <si>
    <t>JANICE ELAM</t>
  </si>
  <si>
    <t>HN20044067P1</t>
  </si>
  <si>
    <t>SHIRLEY NELSON</t>
  </si>
  <si>
    <t>HN30003401P1</t>
  </si>
  <si>
    <t>charles adams</t>
  </si>
  <si>
    <t>HN50002023P1</t>
  </si>
  <si>
    <t>Perlita Castillo</t>
  </si>
  <si>
    <t>HN20047399P1</t>
  </si>
  <si>
    <t>BETH ROBERTSHAW</t>
  </si>
  <si>
    <t>HN20050099P1</t>
  </si>
  <si>
    <t>JACK DESIK</t>
  </si>
  <si>
    <t>HN20032868P1</t>
  </si>
  <si>
    <t>ROBERT FILIAGGI</t>
  </si>
  <si>
    <t>HN3A002284P1</t>
  </si>
  <si>
    <t>Jeffrey Golembiewski</t>
  </si>
  <si>
    <t>HN3A001530P1</t>
  </si>
  <si>
    <t>Marsha Webster</t>
  </si>
  <si>
    <t>HN30001561P1</t>
  </si>
  <si>
    <t>James Erdman</t>
  </si>
  <si>
    <t>HN3A001485P1</t>
  </si>
  <si>
    <t>Santina Cesar</t>
  </si>
  <si>
    <t>HN20033799P1</t>
  </si>
  <si>
    <t>TRACEY FASNACHT</t>
  </si>
  <si>
    <t>HN30003466P1</t>
  </si>
  <si>
    <t>Keith Felsenthal</t>
  </si>
  <si>
    <t>HN20046948P1</t>
  </si>
  <si>
    <t>JOANN LOMBARDI</t>
  </si>
  <si>
    <t>HN30001507P1</t>
  </si>
  <si>
    <t>Christine Kalis</t>
  </si>
  <si>
    <t>FUENTES, VICTOR</t>
  </si>
  <si>
    <t>HN30003150P1</t>
  </si>
  <si>
    <t>Donna  Frick</t>
  </si>
  <si>
    <t>HN3A001488P1</t>
  </si>
  <si>
    <t>Rodney Learned</t>
  </si>
  <si>
    <t>HN20046237P1</t>
  </si>
  <si>
    <t>RICHARD MEYER</t>
  </si>
  <si>
    <t>HN20040939P1</t>
  </si>
  <si>
    <t>THOMAS WELCH</t>
  </si>
  <si>
    <t>HN20044112P1</t>
  </si>
  <si>
    <t>DONNA TRITTHARDT</t>
  </si>
  <si>
    <t>MAX, RONALD</t>
  </si>
  <si>
    <t>HN20040170P1</t>
  </si>
  <si>
    <t>VICTORIA GILLESPIE</t>
  </si>
  <si>
    <t>HN20034569P1</t>
  </si>
  <si>
    <t>BARBARA RUTLEDGE</t>
  </si>
  <si>
    <t>HN50002058P1</t>
  </si>
  <si>
    <t>Lal Patel</t>
  </si>
  <si>
    <t>HN3A001896P1</t>
  </si>
  <si>
    <t>Susan DuBois</t>
  </si>
  <si>
    <t>HN30003603P1</t>
  </si>
  <si>
    <t>Crystal Seballos</t>
  </si>
  <si>
    <t>HN10037318P1</t>
  </si>
  <si>
    <t>MATTHEW MILLER</t>
  </si>
  <si>
    <t>HN30002810P1</t>
  </si>
  <si>
    <t>Mary Finger</t>
  </si>
  <si>
    <t>HN30003899P1</t>
  </si>
  <si>
    <t>Theresa Hunt</t>
  </si>
  <si>
    <t>HN20039797P1</t>
  </si>
  <si>
    <t>THERESA JONES</t>
  </si>
  <si>
    <t>HN50001509P1</t>
  </si>
  <si>
    <t>Theodore Mazola</t>
  </si>
  <si>
    <t>HN20043676P1</t>
  </si>
  <si>
    <t>BARBARA FALLON</t>
  </si>
  <si>
    <t>HN3A002554P1</t>
  </si>
  <si>
    <t>PHYLIS HIMMELBLAU</t>
  </si>
  <si>
    <t>HN30001883P1</t>
  </si>
  <si>
    <t>Rachel Riedler</t>
  </si>
  <si>
    <t>HN20045035P1</t>
  </si>
  <si>
    <t>VLADIMIR MANEV</t>
  </si>
  <si>
    <t>HN50001216P1</t>
  </si>
  <si>
    <t>HN20036254P1</t>
  </si>
  <si>
    <t>RICHARD YALE</t>
  </si>
  <si>
    <t>HN3A002812P1</t>
  </si>
  <si>
    <t>ANITA SILVERT</t>
  </si>
  <si>
    <t>HN30001501P1</t>
  </si>
  <si>
    <t>Kathy Geiger</t>
  </si>
  <si>
    <t>HN30002333P1</t>
  </si>
  <si>
    <t>annette knox</t>
  </si>
  <si>
    <t>HN20039779P1</t>
  </si>
  <si>
    <t>JEANNINE OROZCO</t>
  </si>
  <si>
    <t>HN30001948P1</t>
  </si>
  <si>
    <t>Ray Whalen</t>
  </si>
  <si>
    <t>HN20045534P1</t>
  </si>
  <si>
    <t>VESNA MLINARICH</t>
  </si>
  <si>
    <t>HN20043850P1</t>
  </si>
  <si>
    <t>SINAI RHAMES</t>
  </si>
  <si>
    <t>GA</t>
  </si>
  <si>
    <t>HN20043308P1</t>
  </si>
  <si>
    <t>DWIGHT MANESS</t>
  </si>
  <si>
    <t>HN30001479P1</t>
  </si>
  <si>
    <t>Pamela Thompson</t>
  </si>
  <si>
    <t>HN30003396P1</t>
  </si>
  <si>
    <t>John Sbarbaro</t>
  </si>
  <si>
    <t>HN20047536P1</t>
  </si>
  <si>
    <t>TREVOR SUNDQUIST</t>
  </si>
  <si>
    <t>HN20049464P1</t>
  </si>
  <si>
    <t>GARY BRAMMEIER</t>
  </si>
  <si>
    <t>HN20039391P1</t>
  </si>
  <si>
    <t>DOUGLAS LEIN</t>
  </si>
  <si>
    <t>HN30001715P1</t>
  </si>
  <si>
    <t>Piedad Zafiriadis</t>
  </si>
  <si>
    <t>HN20041500P1</t>
  </si>
  <si>
    <t>SUSAN MADETE</t>
  </si>
  <si>
    <t>HN30001536P1</t>
  </si>
  <si>
    <t>Karen Guss</t>
  </si>
  <si>
    <t>HN20042578P1</t>
  </si>
  <si>
    <t>HN3A002441P1</t>
  </si>
  <si>
    <t>COLLEEN KUHNS</t>
  </si>
  <si>
    <t>HN20037387P1</t>
  </si>
  <si>
    <t>LINDA MIHALKA</t>
  </si>
  <si>
    <t>HN3A003150P1</t>
  </si>
  <si>
    <t>Kenneth Frick</t>
  </si>
  <si>
    <t>HN50001105P1</t>
  </si>
  <si>
    <t>Janice Sivels</t>
  </si>
  <si>
    <t>HN30001508P1</t>
  </si>
  <si>
    <t>Patricia McGrail</t>
  </si>
  <si>
    <t>HN30002441P1</t>
  </si>
  <si>
    <t>MICHAEL KUHNS</t>
  </si>
  <si>
    <t>HN20033201P1</t>
  </si>
  <si>
    <t>CHARLES FITZGERALD</t>
  </si>
  <si>
    <t>HN20041755P1</t>
  </si>
  <si>
    <t>VIVIAN WARENS-GARCIA</t>
  </si>
  <si>
    <t>HN20045145P1</t>
  </si>
  <si>
    <t>AMALIA YEE ALVAREZ</t>
  </si>
  <si>
    <t>HN20040047P1</t>
  </si>
  <si>
    <t>DENISE EVANS</t>
  </si>
  <si>
    <t>HN30001530P1</t>
  </si>
  <si>
    <t>Stephen Webster</t>
  </si>
  <si>
    <t>HN30003215P1</t>
  </si>
  <si>
    <t>Helen Breidenbach</t>
  </si>
  <si>
    <t>HN20049730P1</t>
  </si>
  <si>
    <t>RAJKA RADOVANCEV</t>
  </si>
  <si>
    <t>HN20034862P1</t>
  </si>
  <si>
    <t>GREAGORY HUIRAS</t>
  </si>
  <si>
    <t>HN20043919P1</t>
  </si>
  <si>
    <t>FAYE MARSHALL</t>
  </si>
  <si>
    <t>HN30002379P1</t>
  </si>
  <si>
    <t>DONALD TACKITT</t>
  </si>
  <si>
    <t>HN20049465P1</t>
  </si>
  <si>
    <t>SHARI BRAMMEIER</t>
  </si>
  <si>
    <t>HN30004141P1</t>
  </si>
  <si>
    <t>Robert Weiss</t>
  </si>
  <si>
    <t>HN20035801P1</t>
  </si>
  <si>
    <t>STEPHEN CIRTON</t>
  </si>
  <si>
    <t>HN50001072P1</t>
  </si>
  <si>
    <t>Susan Stevens</t>
  </si>
  <si>
    <t>HN20035448P1</t>
  </si>
  <si>
    <t>BETH LOEB</t>
  </si>
  <si>
    <t>HN20036987P1</t>
  </si>
  <si>
    <t>JOHN ITALIANO</t>
  </si>
  <si>
    <t>HN20046783P1</t>
  </si>
  <si>
    <t>MICHAEL PIERSON SR</t>
  </si>
  <si>
    <t>HN3A002976P1</t>
  </si>
  <si>
    <t>donna toriani</t>
  </si>
  <si>
    <t>HN20041565P1</t>
  </si>
  <si>
    <t>ELLEN FARRELL</t>
  </si>
  <si>
    <t>HN30002661P1</t>
  </si>
  <si>
    <t>LANCE FRIEDMAN</t>
  </si>
  <si>
    <t>HN20048318P1</t>
  </si>
  <si>
    <t>PAMELA FREGOSO</t>
  </si>
  <si>
    <t>HN30002625P1</t>
  </si>
  <si>
    <t>william schroeder</t>
  </si>
  <si>
    <t>HN20038330P1</t>
  </si>
  <si>
    <t>JOEL M VARDY</t>
  </si>
  <si>
    <t>HN20045037P1</t>
  </si>
  <si>
    <t>SHELLEY BALICKI</t>
  </si>
  <si>
    <t>HN30002005P1</t>
  </si>
  <si>
    <t>richard yale</t>
  </si>
  <si>
    <t>HN30003118P1</t>
  </si>
  <si>
    <t>Anita Martin</t>
  </si>
  <si>
    <t>HN3A002352P1</t>
  </si>
  <si>
    <t>Nancy Naples</t>
  </si>
  <si>
    <t>HN20046269P1</t>
  </si>
  <si>
    <t>JILL HAMMOND</t>
  </si>
  <si>
    <t>HN3A002005P1</t>
  </si>
  <si>
    <t>Michelle Yale</t>
  </si>
  <si>
    <t>ALOFF, JONATHAN</t>
  </si>
  <si>
    <t>HN20043123P1</t>
  </si>
  <si>
    <t>AMY SUNSTRUM</t>
  </si>
  <si>
    <t>HN30001439P1</t>
  </si>
  <si>
    <t>Aliceann Scardina</t>
  </si>
  <si>
    <t>HN30003414P1</t>
  </si>
  <si>
    <t>George Alindog</t>
  </si>
  <si>
    <t>HN20033806P1</t>
  </si>
  <si>
    <t>ANNABEL IBARRA</t>
  </si>
  <si>
    <t>HN30003657P1</t>
  </si>
  <si>
    <t>Zelda Williams</t>
  </si>
  <si>
    <t>HN20041857P1</t>
  </si>
  <si>
    <t>RONALD BAKER</t>
  </si>
  <si>
    <t>HN20045675P1</t>
  </si>
  <si>
    <t>RENEE EMORY-WILLIAMS</t>
  </si>
  <si>
    <t>HN20046905P1</t>
  </si>
  <si>
    <t>JANICE BEDARD</t>
  </si>
  <si>
    <t>HN30004088P1</t>
  </si>
  <si>
    <t>William Hutmacher</t>
  </si>
  <si>
    <t>HN20046947P1</t>
  </si>
  <si>
    <t>PETER KING</t>
  </si>
  <si>
    <t>HN30002529P1</t>
  </si>
  <si>
    <t>PHILIP TRAUSCH</t>
  </si>
  <si>
    <t>HN30002813P1</t>
  </si>
  <si>
    <t>Nancy okerns</t>
  </si>
  <si>
    <t>HN3A003091P1</t>
  </si>
  <si>
    <t>HN20024744P1</t>
  </si>
  <si>
    <t>CYNTHIA ARENA</t>
  </si>
  <si>
    <t>HN10036025P1</t>
  </si>
  <si>
    <t>JEFFREY BROWN</t>
  </si>
  <si>
    <t>HN20028586P1</t>
  </si>
  <si>
    <t>SONIA CREARY</t>
  </si>
  <si>
    <t>HN20021776P1</t>
  </si>
  <si>
    <t>PATRICIA HECKMAN</t>
  </si>
  <si>
    <t>KOZACHECK, ANNE MARIE</t>
  </si>
  <si>
    <t>HN20024465P1</t>
  </si>
  <si>
    <t>WILLIAM HEFFERNAN</t>
  </si>
  <si>
    <t>HN20025102P1</t>
  </si>
  <si>
    <t>MARGARET ROBUS</t>
  </si>
  <si>
    <t>HN10036259P1</t>
  </si>
  <si>
    <t>RONALD RETHAGE</t>
  </si>
  <si>
    <t>HN20026880P1</t>
  </si>
  <si>
    <t>CATHERINE WEIDMAN</t>
  </si>
  <si>
    <t>HN20026359P1</t>
  </si>
  <si>
    <t>JOHN NELSON</t>
  </si>
  <si>
    <t>HN20022924P1</t>
  </si>
  <si>
    <t>HELENE CHARLES</t>
  </si>
  <si>
    <t>VA</t>
  </si>
  <si>
    <t>HN20023112P1</t>
  </si>
  <si>
    <t>JOSEPH STINSON</t>
  </si>
  <si>
    <t>HN20024650P1</t>
  </si>
  <si>
    <t>LINDA PEDEN</t>
  </si>
  <si>
    <t>HN20022864P1</t>
  </si>
  <si>
    <t>BUSTER JONES</t>
  </si>
  <si>
    <t>HN20029884P1</t>
  </si>
  <si>
    <t>KENNETH BRACKBILL</t>
  </si>
  <si>
    <t>HN20024309P1</t>
  </si>
  <si>
    <t>DAVID COOPER</t>
  </si>
  <si>
    <t>HN20021665P1</t>
  </si>
  <si>
    <t>ROBERT KUNKEL</t>
  </si>
  <si>
    <t>HN20022547P1</t>
  </si>
  <si>
    <t>TARA OWENS</t>
  </si>
  <si>
    <t>HN20030117P1</t>
  </si>
  <si>
    <t>PAUL EFFRIG</t>
  </si>
  <si>
    <t>HN20022013P1</t>
  </si>
  <si>
    <t>DOUGLAS PRESCOTT</t>
  </si>
  <si>
    <t>HN20028324P1</t>
  </si>
  <si>
    <t>LISA GROTHAUS</t>
  </si>
  <si>
    <t>HN20027571P1</t>
  </si>
  <si>
    <t>JOSEPH ROBUS</t>
  </si>
  <si>
    <t>Category</t>
  </si>
  <si>
    <t>Adjustment/Chargeback</t>
  </si>
  <si>
    <t>Column1</t>
  </si>
  <si>
    <t>Monthly premium</t>
  </si>
  <si>
    <t>Secure Advantage Flex Age 81-85 (55)</t>
  </si>
  <si>
    <t>2024 Secure Advantage Flex Age 0-80 (AZ, FL IN, KY, MD, MT, NE)</t>
  </si>
  <si>
    <t>2023 Secure Advantage Flex Age 0-80 (AL, AK, AR, DE, GA, HI, IL, IA, KS)</t>
  </si>
  <si>
    <t>2024 Secure Advantage Flex Age 0-80 (AL, AK, AR, DE, GA, HI, IL, IA, KS)80%</t>
  </si>
  <si>
    <t>Simply Secure Ages 18-84 (AR, DE, GA,IL, KS, KY, LA, MO, MS, NE)</t>
  </si>
  <si>
    <t>Secure Choice STHHC Ages 40-75- 85%</t>
  </si>
  <si>
    <t>Column2</t>
  </si>
  <si>
    <t>AV</t>
  </si>
  <si>
    <t>AV1</t>
  </si>
  <si>
    <t>AE</t>
  </si>
  <si>
    <t>Column3</t>
  </si>
  <si>
    <t>NB</t>
  </si>
  <si>
    <t>RN</t>
  </si>
  <si>
    <t>months</t>
  </si>
  <si>
    <t>monthly premium</t>
  </si>
  <si>
    <t>pay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</si>
</sst>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22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  <xf numFmtId="9" fontId="0" fillId="0" borderId="0" xfId="1" applyFont="1"/>
    <xf numFmtId="9" fontId="0" fillId="2" borderId="0" xfId="1" applyFont="1" applyFill="1"/>
    <xf numFmtId="9" fontId="0" fillId="0" borderId="0" xfId="1" applyFont="1" applyFill="1"/>
    <xf numFmtId="0" fontId="0" fillId="3" borderId="0" xfId="0" applyFill="1" applyAlignment="1">
      <alignment horizontal="left"/>
    </xf>
    <xf numFmtId="0" fontId="0" fillId="3" borderId="0" xfId="0" applyFill="1"/>
    <xf numFmtId="22" fontId="0" fillId="3" borderId="0" xfId="0" applyNumberFormat="1" applyFill="1"/>
    <xf numFmtId="14" fontId="0" fillId="3" borderId="0" xfId="0" applyNumberFormat="1" applyFill="1"/>
    <xf numFmtId="164" fontId="0" fillId="3" borderId="0" xfId="0" applyNumberFormat="1" applyFill="1"/>
    <xf numFmtId="9" fontId="0" fillId="3" borderId="0" xfId="1" applyFont="1" applyFill="1"/>
  </cellXfs>
  <cellStyles count="2">
    <cellStyle name="Normal" xfId="0" builtinId="0"/>
    <cellStyle name="Percent" xfId="1" builtinId="5"/>
  </cellStyles>
  <dxfs count="23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</dxf>
    <dxf>
      <numFmt numFmtId="0" formatCode="General"/>
    </dxf>
    <dxf>
      <numFmt numFmtId="19" formatCode="m/d/yyyy"/>
    </dxf>
    <dxf>
      <numFmt numFmtId="19" formatCode="m/d/yyyy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S328" totalsRowShown="0">
  <sortState xmlns:xlrd2="http://schemas.microsoft.com/office/spreadsheetml/2017/richdata2" ref="A2:S328">
    <sortCondition sortBy="cellColor" ref="A2:A328" dxfId="22"/>
    <sortCondition ref="L2:L328"/>
  </sortState>
  <tableColumns count="19">
    <tableColumn id="1" xr3:uid="{00000000-0010-0000-0000-000001000000}" name="Agent Writing Number" dataDxfId="21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21" xr3:uid="{10164897-8491-4BFC-97C5-2CBD61324257}" name="Column2" dataDxfId="20"/>
    <tableColumn id="22" xr3:uid="{AF852998-15CF-439D-81ED-A443DF0741ED}" name="Column3" dataDxfId="19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8"/>
    <tableColumn id="8" xr3:uid="{00000000-0010-0000-0000-000008000000}" name="Effective Date" dataDxfId="17"/>
    <tableColumn id="9" xr3:uid="{00000000-0010-0000-0000-000009000000}" name="Paid To Date" dataDxfId="16"/>
    <tableColumn id="18" xr3:uid="{CEBBE45B-A4E0-4BEB-91C0-06246850D87F}" name="months" dataDxfId="15"/>
    <tableColumn id="10" xr3:uid="{00000000-0010-0000-0000-00000A000000}" name="Premium" dataDxfId="14"/>
    <tableColumn id="17" xr3:uid="{4BF4AE3D-58A4-4385-AD74-649E0F414413}" name="Monthly premium" dataDxfId="13">
      <calculatedColumnFormula>SUM(NewBusiness[[#This Row],[Premium]]/12)</calculatedColumnFormula>
    </tableColumn>
    <tableColumn id="11" xr3:uid="{00000000-0010-0000-0000-00000B000000}" name="Rate" dataCellStyle="Percent"/>
    <tableColumn id="13" xr3:uid="{00000000-0010-0000-0000-00000D000000}" name="Advance" dataDxfId="12"/>
    <tableColumn id="14" xr3:uid="{00000000-0010-0000-0000-00000E000000}" name="Earnings" dataDxfId="11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S22" totalsRowShown="0">
  <sortState xmlns:xlrd2="http://schemas.microsoft.com/office/spreadsheetml/2017/richdata2" ref="A2:S22">
    <sortCondition ref="B1:B22"/>
  </sortState>
  <tableColumns count="19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19" xr3:uid="{1CE59EE2-E091-4399-896B-74951733FE08}" name="pay code"/>
    <tableColumn id="18" xr3:uid="{9BD07867-ED6D-44A0-88A0-D37B8946EED8}" name="Column1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10"/>
    <tableColumn id="8" xr3:uid="{00000000-0010-0000-0100-000008000000}" name="Effective Date" dataDxfId="9"/>
    <tableColumn id="9" xr3:uid="{00000000-0010-0000-0100-000009000000}" name="Paid To Date" dataDxfId="8"/>
    <tableColumn id="10" xr3:uid="{00000000-0010-0000-0100-00000A000000}" name="Premium" dataDxfId="7"/>
    <tableColumn id="17" xr3:uid="{BBB686A4-5133-4894-895C-EA6D79EE454A}" name="monthly premium" dataDxfId="6">
      <calculatedColumnFormula>SUM(Renewals[[#This Row],[Premium]]/12)</calculatedColumnFormula>
    </tableColumn>
    <tableColumn id="11" xr3:uid="{00000000-0010-0000-0100-00000B000000}" name="Rate" dataCellStyle="Percent"/>
    <tableColumn id="12" xr3:uid="{00000000-0010-0000-0100-00000C000000}" name="Share"/>
    <tableColumn id="13" xr3:uid="{00000000-0010-0000-0100-00000D000000}" name="Advance" dataDxfId="5"/>
    <tableColumn id="14" xr3:uid="{00000000-0010-0000-0100-00000E000000}" name="Earnings" dataDxfId="4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M18" sqref="M18"/>
    </sheetView>
  </sheetViews>
  <sheetFormatPr defaultRowHeight="15" x14ac:dyDescent="0.25"/>
  <cols>
    <col min="1" max="1" width="31.28515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18763.98</v>
      </c>
      <c r="D9" t="s">
        <v>6</v>
      </c>
      <c r="E9" s="1">
        <v>55260.109999999899</v>
      </c>
    </row>
    <row r="10" spans="1:5" x14ac:dyDescent="0.25">
      <c r="A10" t="s">
        <v>7</v>
      </c>
      <c r="B10" s="1">
        <v>189.23</v>
      </c>
      <c r="D10" t="s">
        <v>7</v>
      </c>
      <c r="E10" s="1">
        <v>533.75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55793.859999999899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-18953.21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8"/>
  <sheetViews>
    <sheetView tabSelected="1" topLeftCell="D160" workbookViewId="0">
      <selection activeCell="C23" sqref="C23"/>
    </sheetView>
  </sheetViews>
  <sheetFormatPr defaultRowHeight="15" x14ac:dyDescent="0.25"/>
  <cols>
    <col min="1" max="1" width="23.28515625" style="5" customWidth="1"/>
    <col min="2" max="2" width="27.85546875" customWidth="1"/>
    <col min="3" max="3" width="15.85546875" customWidth="1"/>
    <col min="4" max="4" width="70.28515625" customWidth="1"/>
    <col min="5" max="6" width="15.140625" customWidth="1"/>
    <col min="7" max="7" width="11.140625" customWidth="1"/>
    <col min="8" max="8" width="23.85546875" customWidth="1"/>
    <col min="9" max="9" width="18.28515625" customWidth="1"/>
    <col min="10" max="10" width="15.42578125" customWidth="1"/>
    <col min="11" max="12" width="14.28515625" customWidth="1"/>
    <col min="13" max="13" width="11.42578125" style="1" customWidth="1"/>
    <col min="14" max="14" width="18.85546875" style="1" bestFit="1" customWidth="1"/>
    <col min="15" max="15" width="7.140625" style="11" customWidth="1"/>
    <col min="16" max="16" width="10" bestFit="1" customWidth="1"/>
    <col min="17" max="18" width="10.85546875" style="1" customWidth="1"/>
    <col min="19" max="19" width="7.7109375" customWidth="1"/>
    <col min="20" max="20" width="14" customWidth="1"/>
  </cols>
  <sheetData>
    <row r="1" spans="1:19" x14ac:dyDescent="0.25">
      <c r="A1" s="5" t="s">
        <v>14</v>
      </c>
      <c r="B1" t="s">
        <v>15</v>
      </c>
      <c r="C1" t="s">
        <v>16</v>
      </c>
      <c r="D1" t="s">
        <v>17</v>
      </c>
      <c r="E1" t="s">
        <v>755</v>
      </c>
      <c r="F1" t="s">
        <v>759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762</v>
      </c>
      <c r="M1" s="1" t="s">
        <v>23</v>
      </c>
      <c r="N1" s="1" t="s">
        <v>748</v>
      </c>
      <c r="O1" s="11" t="s">
        <v>24</v>
      </c>
      <c r="P1" s="1" t="s">
        <v>26</v>
      </c>
      <c r="Q1" s="1" t="s">
        <v>11</v>
      </c>
      <c r="R1" t="s">
        <v>27</v>
      </c>
      <c r="S1" t="s">
        <v>28</v>
      </c>
    </row>
    <row r="2" spans="1:19" s="15" customFormat="1" x14ac:dyDescent="0.25">
      <c r="A2" s="14">
        <v>7470776</v>
      </c>
      <c r="B2" s="15" t="s">
        <v>307</v>
      </c>
      <c r="C2" s="15" t="s">
        <v>431</v>
      </c>
      <c r="D2" s="15" t="s">
        <v>752</v>
      </c>
      <c r="E2" s="15" t="s">
        <v>756</v>
      </c>
      <c r="F2" s="15" t="s">
        <v>760</v>
      </c>
      <c r="G2" s="15">
        <v>81</v>
      </c>
      <c r="H2" s="15" t="s">
        <v>432</v>
      </c>
      <c r="I2" s="16">
        <v>45747.8055439815</v>
      </c>
      <c r="J2" s="17">
        <v>45717</v>
      </c>
      <c r="K2" s="17">
        <v>45717</v>
      </c>
      <c r="L2" s="15">
        <v>1</v>
      </c>
      <c r="M2" s="18">
        <v>2506.83</v>
      </c>
      <c r="N2" s="18">
        <f>SUM(NewBusiness[[#This Row],[Premium]]/12)</f>
        <v>208.9025</v>
      </c>
      <c r="O2" s="19">
        <v>0.8</v>
      </c>
      <c r="P2" s="18">
        <v>0</v>
      </c>
      <c r="Q2" s="18">
        <v>-167.12</v>
      </c>
      <c r="R2" s="15" t="s">
        <v>32</v>
      </c>
      <c r="S2" s="15" t="s">
        <v>33</v>
      </c>
    </row>
    <row r="3" spans="1:19" x14ac:dyDescent="0.25">
      <c r="A3" s="6">
        <v>7470776</v>
      </c>
      <c r="B3" s="7" t="s">
        <v>307</v>
      </c>
      <c r="C3" s="7" t="s">
        <v>379</v>
      </c>
      <c r="D3" s="7" t="s">
        <v>754</v>
      </c>
      <c r="E3" s="7" t="s">
        <v>756</v>
      </c>
      <c r="F3" s="7" t="s">
        <v>760</v>
      </c>
      <c r="G3" s="7">
        <v>72</v>
      </c>
      <c r="H3" s="7" t="s">
        <v>380</v>
      </c>
      <c r="I3" s="8">
        <v>45747.8055439815</v>
      </c>
      <c r="J3" s="9">
        <v>45720</v>
      </c>
      <c r="K3" s="9">
        <v>45751</v>
      </c>
      <c r="L3" s="7">
        <v>1</v>
      </c>
      <c r="M3" s="10">
        <v>835.79</v>
      </c>
      <c r="N3" s="10">
        <f>SUM(NewBusiness[[#This Row],[Premium]]/12)</f>
        <v>69.649166666666659</v>
      </c>
      <c r="O3" s="12">
        <v>0.85</v>
      </c>
      <c r="P3" s="10">
        <v>0</v>
      </c>
      <c r="Q3" s="10">
        <v>59.19</v>
      </c>
      <c r="R3" s="7" t="s">
        <v>32</v>
      </c>
      <c r="S3" s="7" t="s">
        <v>33</v>
      </c>
    </row>
    <row r="4" spans="1:19" x14ac:dyDescent="0.25">
      <c r="A4" s="6">
        <v>7470776</v>
      </c>
      <c r="B4" s="7" t="s">
        <v>307</v>
      </c>
      <c r="C4" s="7" t="s">
        <v>554</v>
      </c>
      <c r="D4" s="7" t="s">
        <v>754</v>
      </c>
      <c r="E4" s="7" t="s">
        <v>756</v>
      </c>
      <c r="F4" s="7" t="s">
        <v>760</v>
      </c>
      <c r="G4" s="7">
        <v>66</v>
      </c>
      <c r="H4" s="7" t="s">
        <v>555</v>
      </c>
      <c r="I4" s="8">
        <v>45747.8055439815</v>
      </c>
      <c r="J4" s="9">
        <v>45720</v>
      </c>
      <c r="K4" s="9">
        <v>45751</v>
      </c>
      <c r="L4" s="7">
        <v>1</v>
      </c>
      <c r="M4" s="10">
        <v>592.61</v>
      </c>
      <c r="N4" s="10">
        <f>SUM(NewBusiness[[#This Row],[Premium]]/12)</f>
        <v>49.384166666666665</v>
      </c>
      <c r="O4" s="12">
        <v>0.85</v>
      </c>
      <c r="P4" s="10">
        <v>0</v>
      </c>
      <c r="Q4" s="10">
        <v>41.97</v>
      </c>
      <c r="R4" s="7" t="s">
        <v>32</v>
      </c>
      <c r="S4" s="7" t="s">
        <v>33</v>
      </c>
    </row>
    <row r="5" spans="1:19" x14ac:dyDescent="0.25">
      <c r="A5" s="6">
        <v>19586992</v>
      </c>
      <c r="B5" s="7" t="s">
        <v>80</v>
      </c>
      <c r="C5" s="7" t="s">
        <v>684</v>
      </c>
      <c r="D5" s="7" t="s">
        <v>754</v>
      </c>
      <c r="E5" s="7" t="s">
        <v>756</v>
      </c>
      <c r="F5" s="7" t="s">
        <v>760</v>
      </c>
      <c r="G5" s="7">
        <v>68</v>
      </c>
      <c r="H5" s="7" t="s">
        <v>685</v>
      </c>
      <c r="I5" s="8">
        <v>45747.8055439815</v>
      </c>
      <c r="J5" s="9">
        <v>45720</v>
      </c>
      <c r="K5" s="9">
        <v>45751</v>
      </c>
      <c r="L5" s="7">
        <v>1</v>
      </c>
      <c r="M5" s="10">
        <v>951.57</v>
      </c>
      <c r="N5" s="10">
        <f>SUM(NewBusiness[[#This Row],[Premium]]/12)</f>
        <v>79.297499999999999</v>
      </c>
      <c r="O5" s="12">
        <v>0.85</v>
      </c>
      <c r="P5" s="10">
        <v>0</v>
      </c>
      <c r="Q5" s="10">
        <v>67.400000000000006</v>
      </c>
      <c r="R5" s="7" t="s">
        <v>32</v>
      </c>
      <c r="S5" s="7" t="s">
        <v>33</v>
      </c>
    </row>
    <row r="6" spans="1:19" x14ac:dyDescent="0.25">
      <c r="A6" s="6">
        <v>19681796</v>
      </c>
      <c r="B6" s="7" t="s">
        <v>102</v>
      </c>
      <c r="C6" s="7" t="s">
        <v>433</v>
      </c>
      <c r="D6" s="7" t="s">
        <v>754</v>
      </c>
      <c r="E6" s="7" t="s">
        <v>756</v>
      </c>
      <c r="F6" s="7" t="s">
        <v>760</v>
      </c>
      <c r="G6" s="7">
        <v>57</v>
      </c>
      <c r="H6" s="7" t="s">
        <v>434</v>
      </c>
      <c r="I6" s="8">
        <v>45747.8055439815</v>
      </c>
      <c r="J6" s="9">
        <v>45720</v>
      </c>
      <c r="K6" s="9">
        <v>45720</v>
      </c>
      <c r="L6" s="7">
        <v>1</v>
      </c>
      <c r="M6" s="10">
        <v>409.82</v>
      </c>
      <c r="N6" s="10">
        <f>SUM(NewBusiness[[#This Row],[Premium]]/12)</f>
        <v>34.151666666666664</v>
      </c>
      <c r="O6" s="12">
        <v>0.85</v>
      </c>
      <c r="P6" s="10">
        <v>0</v>
      </c>
      <c r="Q6" s="10">
        <v>29.03</v>
      </c>
      <c r="R6" s="7" t="s">
        <v>32</v>
      </c>
      <c r="S6" s="7" t="s">
        <v>33</v>
      </c>
    </row>
    <row r="7" spans="1:19" s="15" customFormat="1" x14ac:dyDescent="0.25">
      <c r="A7" s="14">
        <v>19681796</v>
      </c>
      <c r="B7" s="15" t="s">
        <v>102</v>
      </c>
      <c r="C7" s="15" t="s">
        <v>433</v>
      </c>
      <c r="D7" s="15" t="s">
        <v>754</v>
      </c>
      <c r="E7" s="15" t="s">
        <v>756</v>
      </c>
      <c r="F7" s="15" t="s">
        <v>760</v>
      </c>
      <c r="G7" s="15">
        <v>57</v>
      </c>
      <c r="H7" s="15" t="s">
        <v>434</v>
      </c>
      <c r="I7" s="16">
        <v>45747.8055439815</v>
      </c>
      <c r="J7" s="17">
        <v>45720</v>
      </c>
      <c r="K7" s="17">
        <v>45720</v>
      </c>
      <c r="L7" s="15">
        <v>1</v>
      </c>
      <c r="M7" s="18">
        <v>409.82</v>
      </c>
      <c r="N7" s="18">
        <f>SUM(NewBusiness[[#This Row],[Premium]]/12)</f>
        <v>34.151666666666664</v>
      </c>
      <c r="O7" s="19">
        <v>0.85</v>
      </c>
      <c r="P7" s="18">
        <v>0</v>
      </c>
      <c r="Q7" s="18">
        <v>-29.03</v>
      </c>
      <c r="R7" s="15" t="s">
        <v>32</v>
      </c>
      <c r="S7" s="15" t="s">
        <v>33</v>
      </c>
    </row>
    <row r="8" spans="1:19" x14ac:dyDescent="0.25">
      <c r="A8" s="6">
        <v>18828278</v>
      </c>
      <c r="B8" s="7" t="s">
        <v>166</v>
      </c>
      <c r="C8" s="7" t="s">
        <v>594</v>
      </c>
      <c r="D8" s="7" t="s">
        <v>752</v>
      </c>
      <c r="E8" s="7" t="s">
        <v>756</v>
      </c>
      <c r="F8" s="7" t="s">
        <v>760</v>
      </c>
      <c r="G8" s="7">
        <v>74</v>
      </c>
      <c r="H8" s="7" t="s">
        <v>595</v>
      </c>
      <c r="I8" s="8">
        <v>45747.8055439815</v>
      </c>
      <c r="J8" s="9">
        <v>45721</v>
      </c>
      <c r="K8" s="9">
        <v>45752</v>
      </c>
      <c r="L8" s="7">
        <v>1</v>
      </c>
      <c r="M8" s="10">
        <v>834.77</v>
      </c>
      <c r="N8" s="10">
        <f>SUM(NewBusiness[[#This Row],[Premium]]/12)</f>
        <v>69.564166666666665</v>
      </c>
      <c r="O8" s="12">
        <v>0.8</v>
      </c>
      <c r="P8" s="10">
        <v>0</v>
      </c>
      <c r="Q8" s="10">
        <v>55.65</v>
      </c>
      <c r="R8" s="7" t="s">
        <v>32</v>
      </c>
      <c r="S8" s="7" t="s">
        <v>33</v>
      </c>
    </row>
    <row r="9" spans="1:19" x14ac:dyDescent="0.25">
      <c r="A9" s="6">
        <v>18828278</v>
      </c>
      <c r="B9" s="7" t="s">
        <v>166</v>
      </c>
      <c r="C9" s="7" t="s">
        <v>637</v>
      </c>
      <c r="D9" s="7" t="s">
        <v>752</v>
      </c>
      <c r="E9" s="7" t="s">
        <v>756</v>
      </c>
      <c r="F9" s="7" t="s">
        <v>760</v>
      </c>
      <c r="G9" s="7">
        <v>64</v>
      </c>
      <c r="H9" s="7" t="s">
        <v>638</v>
      </c>
      <c r="I9" s="8">
        <v>45747.8055439815</v>
      </c>
      <c r="J9" s="9">
        <v>45721</v>
      </c>
      <c r="K9" s="9">
        <v>45752</v>
      </c>
      <c r="L9" s="7">
        <v>1</v>
      </c>
      <c r="M9" s="10">
        <v>626.07000000000005</v>
      </c>
      <c r="N9" s="10">
        <f>SUM(NewBusiness[[#This Row],[Premium]]/12)</f>
        <v>52.172500000000007</v>
      </c>
      <c r="O9" s="12">
        <v>0.8</v>
      </c>
      <c r="P9" s="10">
        <v>0</v>
      </c>
      <c r="Q9" s="10">
        <v>41.74</v>
      </c>
      <c r="R9" s="7" t="s">
        <v>32</v>
      </c>
      <c r="S9" s="7" t="s">
        <v>33</v>
      </c>
    </row>
    <row r="10" spans="1:19" x14ac:dyDescent="0.25">
      <c r="A10" s="6">
        <v>8325282</v>
      </c>
      <c r="B10" s="7" t="s">
        <v>117</v>
      </c>
      <c r="C10" s="7" t="s">
        <v>255</v>
      </c>
      <c r="D10" s="7" t="s">
        <v>752</v>
      </c>
      <c r="E10" s="7" t="s">
        <v>756</v>
      </c>
      <c r="F10" s="7" t="s">
        <v>760</v>
      </c>
      <c r="G10" s="7">
        <v>71</v>
      </c>
      <c r="H10" s="7" t="s">
        <v>256</v>
      </c>
      <c r="I10" s="8">
        <v>45747.8055439815</v>
      </c>
      <c r="J10" s="9">
        <v>45727</v>
      </c>
      <c r="K10" s="9">
        <v>45758</v>
      </c>
      <c r="L10" s="7">
        <v>1</v>
      </c>
      <c r="M10" s="10">
        <v>276.77</v>
      </c>
      <c r="N10" s="10">
        <f>SUM(NewBusiness[[#This Row],[Premium]]/12)</f>
        <v>23.064166666666665</v>
      </c>
      <c r="O10" s="12">
        <v>0.8</v>
      </c>
      <c r="P10" s="10">
        <v>0</v>
      </c>
      <c r="Q10" s="10">
        <v>18.45</v>
      </c>
      <c r="R10" s="7" t="s">
        <v>32</v>
      </c>
      <c r="S10" s="7" t="s">
        <v>33</v>
      </c>
    </row>
    <row r="11" spans="1:19" x14ac:dyDescent="0.25">
      <c r="A11" s="6">
        <v>8325282</v>
      </c>
      <c r="B11" s="7" t="s">
        <v>117</v>
      </c>
      <c r="C11" s="7" t="s">
        <v>629</v>
      </c>
      <c r="D11" s="7" t="s">
        <v>752</v>
      </c>
      <c r="E11" s="7" t="s">
        <v>756</v>
      </c>
      <c r="F11" s="7" t="s">
        <v>760</v>
      </c>
      <c r="G11" s="7">
        <v>76</v>
      </c>
      <c r="H11" s="7" t="s">
        <v>630</v>
      </c>
      <c r="I11" s="8">
        <v>45747.8055439815</v>
      </c>
      <c r="J11" s="9">
        <v>45727</v>
      </c>
      <c r="K11" s="9">
        <v>45758</v>
      </c>
      <c r="L11" s="7">
        <v>1</v>
      </c>
      <c r="M11" s="10">
        <v>570.28</v>
      </c>
      <c r="N11" s="10">
        <f>SUM(NewBusiness[[#This Row],[Premium]]/12)</f>
        <v>47.523333333333333</v>
      </c>
      <c r="O11" s="12">
        <v>0.8</v>
      </c>
      <c r="P11" s="10">
        <v>0</v>
      </c>
      <c r="Q11" s="10">
        <v>38.020000000000003</v>
      </c>
      <c r="R11" s="7" t="s">
        <v>32</v>
      </c>
      <c r="S11" s="7" t="s">
        <v>33</v>
      </c>
    </row>
    <row r="12" spans="1:19" x14ac:dyDescent="0.25">
      <c r="A12" s="6">
        <v>19645587</v>
      </c>
      <c r="B12" s="7" t="s">
        <v>196</v>
      </c>
      <c r="C12" s="7" t="s">
        <v>470</v>
      </c>
      <c r="D12" s="7" t="s">
        <v>754</v>
      </c>
      <c r="E12" s="7" t="s">
        <v>756</v>
      </c>
      <c r="F12" s="7" t="s">
        <v>760</v>
      </c>
      <c r="G12" s="7">
        <v>66</v>
      </c>
      <c r="H12" s="7" t="s">
        <v>471</v>
      </c>
      <c r="I12" s="8">
        <v>45747.8055439815</v>
      </c>
      <c r="J12" s="9">
        <v>45729</v>
      </c>
      <c r="K12" s="9">
        <v>45760</v>
      </c>
      <c r="L12" s="7">
        <v>1</v>
      </c>
      <c r="M12" s="10">
        <v>671.14</v>
      </c>
      <c r="N12" s="10">
        <f>SUM(NewBusiness[[#This Row],[Premium]]/12)</f>
        <v>55.928333333333335</v>
      </c>
      <c r="O12" s="12">
        <v>0.85</v>
      </c>
      <c r="P12" s="10">
        <v>0</v>
      </c>
      <c r="Q12" s="10">
        <v>47.53</v>
      </c>
      <c r="R12" s="7" t="s">
        <v>32</v>
      </c>
      <c r="S12" s="7" t="s">
        <v>33</v>
      </c>
    </row>
    <row r="13" spans="1:19" x14ac:dyDescent="0.25">
      <c r="A13" s="6">
        <v>8325282</v>
      </c>
      <c r="B13" s="7" t="s">
        <v>117</v>
      </c>
      <c r="C13" s="7" t="s">
        <v>490</v>
      </c>
      <c r="D13" s="7" t="s">
        <v>752</v>
      </c>
      <c r="E13" s="7" t="s">
        <v>756</v>
      </c>
      <c r="F13" s="7" t="s">
        <v>760</v>
      </c>
      <c r="G13" s="7">
        <v>67</v>
      </c>
      <c r="H13" s="7" t="s">
        <v>491</v>
      </c>
      <c r="I13" s="8">
        <v>45747.8055439815</v>
      </c>
      <c r="J13" s="9">
        <v>45734</v>
      </c>
      <c r="K13" s="9">
        <v>45765</v>
      </c>
      <c r="L13" s="7">
        <v>1</v>
      </c>
      <c r="M13" s="10">
        <v>332.4</v>
      </c>
      <c r="N13" s="10">
        <f>SUM(NewBusiness[[#This Row],[Premium]]/12)</f>
        <v>27.7</v>
      </c>
      <c r="O13" s="12">
        <v>0.8</v>
      </c>
      <c r="P13" s="10">
        <v>0</v>
      </c>
      <c r="Q13" s="10">
        <v>22.16</v>
      </c>
      <c r="R13" s="7" t="s">
        <v>32</v>
      </c>
      <c r="S13" s="7" t="s">
        <v>33</v>
      </c>
    </row>
    <row r="14" spans="1:19" x14ac:dyDescent="0.25">
      <c r="A14" s="6">
        <v>8405446</v>
      </c>
      <c r="B14" s="7" t="s">
        <v>45</v>
      </c>
      <c r="C14" s="7" t="s">
        <v>46</v>
      </c>
      <c r="D14" s="7" t="s">
        <v>754</v>
      </c>
      <c r="E14" s="7" t="s">
        <v>756</v>
      </c>
      <c r="F14" s="7" t="s">
        <v>760</v>
      </c>
      <c r="G14" s="7">
        <v>68</v>
      </c>
      <c r="H14" s="7" t="s">
        <v>47</v>
      </c>
      <c r="I14" s="8">
        <v>45747.8055439815</v>
      </c>
      <c r="J14" s="9">
        <v>45741</v>
      </c>
      <c r="K14" s="9">
        <v>45772</v>
      </c>
      <c r="L14" s="7">
        <v>1</v>
      </c>
      <c r="M14" s="10">
        <v>390.87</v>
      </c>
      <c r="N14" s="10">
        <f>SUM(NewBusiness[[#This Row],[Premium]]/12)</f>
        <v>32.572499999999998</v>
      </c>
      <c r="O14" s="12">
        <v>0.85</v>
      </c>
      <c r="P14" s="10">
        <v>0</v>
      </c>
      <c r="Q14" s="10">
        <v>27.68</v>
      </c>
      <c r="R14" s="7" t="s">
        <v>32</v>
      </c>
      <c r="S14" s="7" t="s">
        <v>33</v>
      </c>
    </row>
    <row r="15" spans="1:19" x14ac:dyDescent="0.25">
      <c r="A15" s="6">
        <v>8405446</v>
      </c>
      <c r="B15" s="7" t="s">
        <v>45</v>
      </c>
      <c r="C15" s="7" t="s">
        <v>397</v>
      </c>
      <c r="D15" s="7" t="s">
        <v>754</v>
      </c>
      <c r="E15" s="7" t="s">
        <v>756</v>
      </c>
      <c r="F15" s="7" t="s">
        <v>760</v>
      </c>
      <c r="G15" s="7">
        <v>60</v>
      </c>
      <c r="H15" s="7" t="s">
        <v>398</v>
      </c>
      <c r="I15" s="8">
        <v>45747.8055439815</v>
      </c>
      <c r="J15" s="9">
        <v>45742</v>
      </c>
      <c r="K15" s="9">
        <v>45773</v>
      </c>
      <c r="L15" s="7">
        <v>1</v>
      </c>
      <c r="M15" s="10">
        <v>413.73</v>
      </c>
      <c r="N15" s="10">
        <f>SUM(NewBusiness[[#This Row],[Premium]]/12)</f>
        <v>34.477499999999999</v>
      </c>
      <c r="O15" s="12">
        <v>0.85</v>
      </c>
      <c r="P15" s="10">
        <v>0</v>
      </c>
      <c r="Q15" s="10">
        <v>29.3</v>
      </c>
      <c r="R15" s="7" t="s">
        <v>32</v>
      </c>
      <c r="S15" s="7" t="s">
        <v>33</v>
      </c>
    </row>
    <row r="16" spans="1:19" x14ac:dyDescent="0.25">
      <c r="A16" s="6">
        <v>19481808</v>
      </c>
      <c r="B16" s="7" t="s">
        <v>85</v>
      </c>
      <c r="C16" s="7" t="s">
        <v>409</v>
      </c>
      <c r="D16" s="7" t="s">
        <v>754</v>
      </c>
      <c r="E16" s="7" t="s">
        <v>756</v>
      </c>
      <c r="F16" s="7" t="s">
        <v>760</v>
      </c>
      <c r="G16" s="7">
        <v>71</v>
      </c>
      <c r="H16" s="7" t="s">
        <v>410</v>
      </c>
      <c r="I16" s="8">
        <v>45747.8055439815</v>
      </c>
      <c r="J16" s="9">
        <v>45743</v>
      </c>
      <c r="K16" s="9">
        <v>45774</v>
      </c>
      <c r="L16" s="7">
        <v>1</v>
      </c>
      <c r="M16" s="10">
        <v>798.78</v>
      </c>
      <c r="N16" s="10">
        <f>SUM(NewBusiness[[#This Row],[Premium]]/12)</f>
        <v>66.564999999999998</v>
      </c>
      <c r="O16" s="12">
        <v>0.85</v>
      </c>
      <c r="P16" s="10">
        <v>0</v>
      </c>
      <c r="Q16" s="10">
        <v>56.58</v>
      </c>
      <c r="R16" s="7" t="s">
        <v>32</v>
      </c>
      <c r="S16" s="7" t="s">
        <v>33</v>
      </c>
    </row>
    <row r="17" spans="1:19" x14ac:dyDescent="0.25">
      <c r="A17" s="6">
        <v>19481808</v>
      </c>
      <c r="B17" s="7" t="s">
        <v>85</v>
      </c>
      <c r="C17" s="7" t="s">
        <v>494</v>
      </c>
      <c r="D17" s="7" t="s">
        <v>754</v>
      </c>
      <c r="E17" s="7" t="s">
        <v>756</v>
      </c>
      <c r="F17" s="7" t="s">
        <v>760</v>
      </c>
      <c r="G17" s="7">
        <v>73</v>
      </c>
      <c r="H17" s="7" t="s">
        <v>495</v>
      </c>
      <c r="I17" s="8">
        <v>45747.8055439815</v>
      </c>
      <c r="J17" s="9">
        <v>45743</v>
      </c>
      <c r="K17" s="9">
        <v>45774</v>
      </c>
      <c r="L17" s="7">
        <v>1</v>
      </c>
      <c r="M17" s="10">
        <v>777.28</v>
      </c>
      <c r="N17" s="10">
        <f>SUM(NewBusiness[[#This Row],[Premium]]/12)</f>
        <v>64.773333333333326</v>
      </c>
      <c r="O17" s="12">
        <v>0.85</v>
      </c>
      <c r="P17" s="10">
        <v>0</v>
      </c>
      <c r="Q17" s="10">
        <v>55.05</v>
      </c>
      <c r="R17" s="7" t="s">
        <v>32</v>
      </c>
      <c r="S17" s="7" t="s">
        <v>33</v>
      </c>
    </row>
    <row r="18" spans="1:19" x14ac:dyDescent="0.25">
      <c r="A18" s="6">
        <v>19481808</v>
      </c>
      <c r="B18" s="7" t="s">
        <v>85</v>
      </c>
      <c r="C18" s="7" t="s">
        <v>354</v>
      </c>
      <c r="D18" s="7" t="s">
        <v>754</v>
      </c>
      <c r="E18" s="7" t="s">
        <v>756</v>
      </c>
      <c r="F18" s="7" t="s">
        <v>760</v>
      </c>
      <c r="G18" s="7">
        <v>72</v>
      </c>
      <c r="H18" s="7" t="s">
        <v>355</v>
      </c>
      <c r="I18" s="8">
        <v>45747.8055439815</v>
      </c>
      <c r="J18" s="9">
        <v>45744</v>
      </c>
      <c r="K18" s="9">
        <v>45744</v>
      </c>
      <c r="L18" s="7">
        <v>1</v>
      </c>
      <c r="M18" s="10">
        <v>835.79</v>
      </c>
      <c r="N18" s="10">
        <f>SUM(NewBusiness[[#This Row],[Premium]]/12)</f>
        <v>69.649166666666659</v>
      </c>
      <c r="O18" s="12">
        <v>0.85</v>
      </c>
      <c r="P18" s="10">
        <v>0</v>
      </c>
      <c r="Q18" s="10">
        <v>59.19</v>
      </c>
      <c r="R18" s="7" t="s">
        <v>55</v>
      </c>
      <c r="S18" s="7" t="s">
        <v>33</v>
      </c>
    </row>
    <row r="19" spans="1:19" x14ac:dyDescent="0.25">
      <c r="A19" s="6">
        <v>20220688</v>
      </c>
      <c r="B19" s="7" t="s">
        <v>124</v>
      </c>
      <c r="C19" s="7" t="s">
        <v>209</v>
      </c>
      <c r="D19" s="7" t="s">
        <v>754</v>
      </c>
      <c r="E19" s="7" t="s">
        <v>756</v>
      </c>
      <c r="F19" s="7" t="s">
        <v>760</v>
      </c>
      <c r="G19" s="7">
        <v>49</v>
      </c>
      <c r="H19" s="7" t="s">
        <v>210</v>
      </c>
      <c r="I19" s="8">
        <v>45747.8055439815</v>
      </c>
      <c r="J19" s="9">
        <v>45744</v>
      </c>
      <c r="K19" s="9">
        <v>45775</v>
      </c>
      <c r="L19" s="7">
        <v>1</v>
      </c>
      <c r="M19" s="10">
        <v>499.13</v>
      </c>
      <c r="N19" s="10">
        <f>SUM(NewBusiness[[#This Row],[Premium]]/12)</f>
        <v>41.594166666666666</v>
      </c>
      <c r="O19" s="12">
        <v>0.85</v>
      </c>
      <c r="P19" s="10">
        <v>0</v>
      </c>
      <c r="Q19" s="10">
        <v>35.35</v>
      </c>
      <c r="R19" s="7" t="s">
        <v>32</v>
      </c>
      <c r="S19" s="7" t="s">
        <v>33</v>
      </c>
    </row>
    <row r="20" spans="1:19" x14ac:dyDescent="0.25">
      <c r="A20" s="6">
        <v>20220688</v>
      </c>
      <c r="B20" s="7" t="s">
        <v>124</v>
      </c>
      <c r="C20" s="7" t="s">
        <v>125</v>
      </c>
      <c r="D20" s="7" t="s">
        <v>754</v>
      </c>
      <c r="E20" s="7" t="s">
        <v>756</v>
      </c>
      <c r="F20" s="7" t="s">
        <v>760</v>
      </c>
      <c r="G20" s="7">
        <v>60</v>
      </c>
      <c r="H20" s="7" t="s">
        <v>126</v>
      </c>
      <c r="I20" s="8">
        <v>45747.8055439815</v>
      </c>
      <c r="J20" s="9">
        <v>45745</v>
      </c>
      <c r="K20" s="9">
        <v>45776</v>
      </c>
      <c r="L20" s="7">
        <v>1</v>
      </c>
      <c r="M20" s="10">
        <v>561.54999999999995</v>
      </c>
      <c r="N20" s="10">
        <f>SUM(NewBusiness[[#This Row],[Premium]]/12)</f>
        <v>46.795833333333327</v>
      </c>
      <c r="O20" s="12">
        <v>0.85</v>
      </c>
      <c r="P20" s="10">
        <v>0</v>
      </c>
      <c r="Q20" s="10">
        <v>39.770000000000003</v>
      </c>
      <c r="R20" s="7" t="s">
        <v>32</v>
      </c>
      <c r="S20" s="7" t="s">
        <v>33</v>
      </c>
    </row>
    <row r="21" spans="1:19" x14ac:dyDescent="0.25">
      <c r="A21" s="6">
        <v>16633294</v>
      </c>
      <c r="B21" s="7" t="s">
        <v>29</v>
      </c>
      <c r="C21" s="7" t="s">
        <v>271</v>
      </c>
      <c r="D21" s="7" t="s">
        <v>751</v>
      </c>
      <c r="E21" s="7" t="s">
        <v>756</v>
      </c>
      <c r="F21" s="7" t="s">
        <v>760</v>
      </c>
      <c r="G21" s="7">
        <v>64</v>
      </c>
      <c r="H21" s="7" t="s">
        <v>272</v>
      </c>
      <c r="I21" s="8">
        <v>45747.8055439815</v>
      </c>
      <c r="J21" s="9">
        <v>45748</v>
      </c>
      <c r="K21" s="9">
        <v>45778</v>
      </c>
      <c r="L21" s="7">
        <v>1</v>
      </c>
      <c r="M21" s="10">
        <v>1771.2</v>
      </c>
      <c r="N21" s="10">
        <f>SUM(NewBusiness[[#This Row],[Premium]]/12)</f>
        <v>147.6</v>
      </c>
      <c r="O21" s="12">
        <v>0.75</v>
      </c>
      <c r="P21" s="10">
        <v>0</v>
      </c>
      <c r="Q21" s="10">
        <v>110.7</v>
      </c>
      <c r="R21" s="7" t="s">
        <v>55</v>
      </c>
      <c r="S21" s="7" t="s">
        <v>33</v>
      </c>
    </row>
    <row r="22" spans="1:19" x14ac:dyDescent="0.25">
      <c r="A22" s="6">
        <v>2158366</v>
      </c>
      <c r="B22" s="7" t="s">
        <v>39</v>
      </c>
      <c r="C22" s="7" t="s">
        <v>508</v>
      </c>
      <c r="D22" s="7" t="s">
        <v>752</v>
      </c>
      <c r="E22" s="7" t="s">
        <v>756</v>
      </c>
      <c r="F22" s="7" t="s">
        <v>760</v>
      </c>
      <c r="G22" s="7">
        <v>68</v>
      </c>
      <c r="H22" s="7" t="s">
        <v>509</v>
      </c>
      <c r="I22" s="8">
        <v>45747.8055439815</v>
      </c>
      <c r="J22" s="9">
        <v>45748</v>
      </c>
      <c r="K22" s="9">
        <v>45778</v>
      </c>
      <c r="L22" s="7">
        <v>1</v>
      </c>
      <c r="M22" s="10">
        <v>1305.5999999999999</v>
      </c>
      <c r="N22" s="10">
        <f>SUM(NewBusiness[[#This Row],[Premium]]/12)</f>
        <v>108.8</v>
      </c>
      <c r="O22" s="12">
        <v>0.8</v>
      </c>
      <c r="P22" s="10">
        <v>0</v>
      </c>
      <c r="Q22" s="10">
        <v>87.04</v>
      </c>
      <c r="R22" s="7" t="s">
        <v>32</v>
      </c>
      <c r="S22" s="7" t="s">
        <v>33</v>
      </c>
    </row>
    <row r="23" spans="1:19" x14ac:dyDescent="0.25">
      <c r="A23" s="6">
        <v>8325282</v>
      </c>
      <c r="B23" s="7" t="s">
        <v>117</v>
      </c>
      <c r="C23" s="7" t="s">
        <v>118</v>
      </c>
      <c r="D23" s="7" t="s">
        <v>752</v>
      </c>
      <c r="E23" s="7" t="s">
        <v>756</v>
      </c>
      <c r="F23" s="7" t="s">
        <v>760</v>
      </c>
      <c r="G23" s="7">
        <v>64</v>
      </c>
      <c r="H23" s="7" t="s">
        <v>119</v>
      </c>
      <c r="I23" s="8">
        <v>45747.8055439815</v>
      </c>
      <c r="J23" s="9">
        <v>45748</v>
      </c>
      <c r="K23" s="9">
        <v>45778</v>
      </c>
      <c r="L23" s="7">
        <v>1</v>
      </c>
      <c r="M23" s="10">
        <v>470.4</v>
      </c>
      <c r="N23" s="10">
        <f>SUM(NewBusiness[[#This Row],[Premium]]/12)</f>
        <v>39.199999999999996</v>
      </c>
      <c r="O23" s="12">
        <v>0.8</v>
      </c>
      <c r="P23" s="10">
        <v>0</v>
      </c>
      <c r="Q23" s="10">
        <v>31.36</v>
      </c>
      <c r="R23" s="7" t="s">
        <v>32</v>
      </c>
      <c r="S23" s="7" t="s">
        <v>33</v>
      </c>
    </row>
    <row r="24" spans="1:19" x14ac:dyDescent="0.25">
      <c r="A24" s="6">
        <v>16633294</v>
      </c>
      <c r="B24" s="7" t="s">
        <v>29</v>
      </c>
      <c r="C24" s="7" t="s">
        <v>142</v>
      </c>
      <c r="D24" s="7" t="s">
        <v>752</v>
      </c>
      <c r="E24" s="7" t="s">
        <v>756</v>
      </c>
      <c r="F24" s="7" t="s">
        <v>760</v>
      </c>
      <c r="G24" s="7">
        <v>64</v>
      </c>
      <c r="H24" s="7" t="s">
        <v>143</v>
      </c>
      <c r="I24" s="8">
        <v>45747.8055439815</v>
      </c>
      <c r="J24" s="9">
        <v>45748</v>
      </c>
      <c r="K24" s="9">
        <v>45778</v>
      </c>
      <c r="L24" s="7">
        <v>1</v>
      </c>
      <c r="M24" s="10">
        <v>1916.4</v>
      </c>
      <c r="N24" s="10">
        <f>SUM(NewBusiness[[#This Row],[Premium]]/12)</f>
        <v>159.70000000000002</v>
      </c>
      <c r="O24" s="12">
        <v>0.8</v>
      </c>
      <c r="P24" s="10">
        <v>0</v>
      </c>
      <c r="Q24" s="10">
        <v>127.76</v>
      </c>
      <c r="R24" s="7" t="s">
        <v>32</v>
      </c>
      <c r="S24" s="7" t="s">
        <v>33</v>
      </c>
    </row>
    <row r="25" spans="1:19" x14ac:dyDescent="0.25">
      <c r="A25" s="6">
        <v>16633294</v>
      </c>
      <c r="B25" s="7" t="s">
        <v>29</v>
      </c>
      <c r="C25" s="7" t="s">
        <v>171</v>
      </c>
      <c r="D25" s="7" t="s">
        <v>752</v>
      </c>
      <c r="E25" s="7" t="s">
        <v>756</v>
      </c>
      <c r="F25" s="7" t="s">
        <v>760</v>
      </c>
      <c r="G25" s="7">
        <v>71</v>
      </c>
      <c r="H25" s="7" t="s">
        <v>172</v>
      </c>
      <c r="I25" s="8">
        <v>45747.8055439815</v>
      </c>
      <c r="J25" s="9">
        <v>45748</v>
      </c>
      <c r="K25" s="9">
        <v>45778</v>
      </c>
      <c r="L25" s="7">
        <v>1</v>
      </c>
      <c r="M25" s="10">
        <v>1938</v>
      </c>
      <c r="N25" s="10">
        <f>SUM(NewBusiness[[#This Row],[Premium]]/12)</f>
        <v>161.5</v>
      </c>
      <c r="O25" s="12">
        <v>0.8</v>
      </c>
      <c r="P25" s="10">
        <v>0</v>
      </c>
      <c r="Q25" s="10">
        <v>129.19999999999999</v>
      </c>
      <c r="R25" s="7" t="s">
        <v>32</v>
      </c>
      <c r="S25" s="7" t="s">
        <v>33</v>
      </c>
    </row>
    <row r="26" spans="1:19" x14ac:dyDescent="0.25">
      <c r="A26" s="6">
        <v>18828278</v>
      </c>
      <c r="B26" s="7" t="s">
        <v>166</v>
      </c>
      <c r="C26" s="7" t="s">
        <v>243</v>
      </c>
      <c r="D26" s="7" t="s">
        <v>754</v>
      </c>
      <c r="E26" s="7" t="s">
        <v>756</v>
      </c>
      <c r="F26" s="7" t="s">
        <v>760</v>
      </c>
      <c r="G26" s="7">
        <v>72</v>
      </c>
      <c r="H26" s="7" t="s">
        <v>244</v>
      </c>
      <c r="I26" s="8">
        <v>45747.8055439815</v>
      </c>
      <c r="J26" s="9">
        <v>45748</v>
      </c>
      <c r="K26" s="9">
        <v>45778</v>
      </c>
      <c r="L26" s="7">
        <v>1</v>
      </c>
      <c r="M26" s="10">
        <v>839.99</v>
      </c>
      <c r="N26" s="10">
        <f>SUM(NewBusiness[[#This Row],[Premium]]/12)</f>
        <v>69.999166666666667</v>
      </c>
      <c r="O26" s="12">
        <v>0.85</v>
      </c>
      <c r="P26" s="10">
        <v>0</v>
      </c>
      <c r="Q26" s="10">
        <v>59.49</v>
      </c>
      <c r="R26" s="7" t="s">
        <v>32</v>
      </c>
      <c r="S26" s="7" t="s">
        <v>33</v>
      </c>
    </row>
    <row r="27" spans="1:19" x14ac:dyDescent="0.25">
      <c r="A27" s="6">
        <v>8405446</v>
      </c>
      <c r="B27" s="7" t="s">
        <v>45</v>
      </c>
      <c r="C27" s="7" t="s">
        <v>115</v>
      </c>
      <c r="D27" s="7" t="s">
        <v>754</v>
      </c>
      <c r="E27" s="7" t="s">
        <v>756</v>
      </c>
      <c r="F27" s="7" t="s">
        <v>760</v>
      </c>
      <c r="G27" s="7">
        <v>67</v>
      </c>
      <c r="H27" s="7" t="s">
        <v>116</v>
      </c>
      <c r="I27" s="8">
        <v>45747.8055439815</v>
      </c>
      <c r="J27" s="9">
        <v>45748</v>
      </c>
      <c r="K27" s="9">
        <v>45778</v>
      </c>
      <c r="L27" s="7">
        <v>1</v>
      </c>
      <c r="M27" s="10">
        <v>420.3</v>
      </c>
      <c r="N27" s="10">
        <f>SUM(NewBusiness[[#This Row],[Premium]]/12)</f>
        <v>35.024999999999999</v>
      </c>
      <c r="O27" s="12">
        <v>0.85</v>
      </c>
      <c r="P27" s="10">
        <v>0</v>
      </c>
      <c r="Q27" s="10">
        <v>29.77</v>
      </c>
      <c r="R27" s="7" t="s">
        <v>32</v>
      </c>
      <c r="S27" s="7" t="s">
        <v>33</v>
      </c>
    </row>
    <row r="28" spans="1:19" x14ac:dyDescent="0.25">
      <c r="A28" s="6">
        <v>8405446</v>
      </c>
      <c r="B28" s="7" t="s">
        <v>45</v>
      </c>
      <c r="C28" s="7" t="s">
        <v>129</v>
      </c>
      <c r="D28" s="7" t="s">
        <v>754</v>
      </c>
      <c r="E28" s="7" t="s">
        <v>756</v>
      </c>
      <c r="F28" s="7" t="s">
        <v>760</v>
      </c>
      <c r="G28" s="7">
        <v>68</v>
      </c>
      <c r="H28" s="7" t="s">
        <v>130</v>
      </c>
      <c r="I28" s="8">
        <v>45747.8055439815</v>
      </c>
      <c r="J28" s="9">
        <v>45748</v>
      </c>
      <c r="K28" s="9">
        <v>45748</v>
      </c>
      <c r="L28" s="7">
        <v>1</v>
      </c>
      <c r="M28" s="10">
        <v>420.3</v>
      </c>
      <c r="N28" s="10">
        <f>SUM(NewBusiness[[#This Row],[Premium]]/12)</f>
        <v>35.024999999999999</v>
      </c>
      <c r="O28" s="12">
        <v>0.85</v>
      </c>
      <c r="P28" s="10">
        <v>0</v>
      </c>
      <c r="Q28" s="10">
        <v>29.77</v>
      </c>
      <c r="R28" s="7" t="s">
        <v>32</v>
      </c>
      <c r="S28" s="7" t="s">
        <v>33</v>
      </c>
    </row>
    <row r="29" spans="1:19" x14ac:dyDescent="0.25">
      <c r="A29" s="6">
        <v>18828278</v>
      </c>
      <c r="B29" s="7" t="s">
        <v>166</v>
      </c>
      <c r="C29" s="7" t="s">
        <v>336</v>
      </c>
      <c r="D29" s="7" t="s">
        <v>752</v>
      </c>
      <c r="E29" s="7" t="s">
        <v>757</v>
      </c>
      <c r="F29" s="7" t="s">
        <v>761</v>
      </c>
      <c r="G29" s="7">
        <v>70</v>
      </c>
      <c r="H29" s="7" t="s">
        <v>337</v>
      </c>
      <c r="I29" s="8">
        <v>45747.8055439815</v>
      </c>
      <c r="J29" s="9">
        <v>45658</v>
      </c>
      <c r="K29" s="9">
        <v>45717</v>
      </c>
      <c r="L29" s="7">
        <v>2</v>
      </c>
      <c r="M29" s="10">
        <v>714</v>
      </c>
      <c r="N29" s="10">
        <f>SUM(NewBusiness[[#This Row],[Premium]]/12)</f>
        <v>59.5</v>
      </c>
      <c r="O29" s="12">
        <v>0.8</v>
      </c>
      <c r="P29" s="10">
        <v>0</v>
      </c>
      <c r="Q29" s="10">
        <v>47.6</v>
      </c>
      <c r="R29" s="7" t="s">
        <v>32</v>
      </c>
      <c r="S29" s="7" t="s">
        <v>33</v>
      </c>
    </row>
    <row r="30" spans="1:19" s="15" customFormat="1" x14ac:dyDescent="0.25">
      <c r="A30" s="14">
        <v>18828278</v>
      </c>
      <c r="B30" s="15" t="s">
        <v>166</v>
      </c>
      <c r="C30" s="15" t="s">
        <v>336</v>
      </c>
      <c r="D30" s="15" t="s">
        <v>752</v>
      </c>
      <c r="E30" s="15" t="s">
        <v>757</v>
      </c>
      <c r="F30" s="15" t="s">
        <v>761</v>
      </c>
      <c r="G30" s="15">
        <v>70</v>
      </c>
      <c r="H30" s="15" t="s">
        <v>337</v>
      </c>
      <c r="I30" s="16">
        <v>45747.8055439815</v>
      </c>
      <c r="J30" s="17">
        <v>45658</v>
      </c>
      <c r="K30" s="17">
        <v>45717</v>
      </c>
      <c r="L30" s="15">
        <v>2</v>
      </c>
      <c r="M30" s="18">
        <v>714</v>
      </c>
      <c r="N30" s="18">
        <f>SUM(NewBusiness[[#This Row],[Premium]]/12)</f>
        <v>59.5</v>
      </c>
      <c r="O30" s="19">
        <v>0.8</v>
      </c>
      <c r="P30" s="18">
        <v>0</v>
      </c>
      <c r="Q30" s="18">
        <v>-47.6</v>
      </c>
      <c r="R30" s="15" t="s">
        <v>32</v>
      </c>
      <c r="S30" s="15" t="s">
        <v>33</v>
      </c>
    </row>
    <row r="31" spans="1:19" x14ac:dyDescent="0.25">
      <c r="A31" s="6">
        <v>17126004</v>
      </c>
      <c r="B31" s="7" t="s">
        <v>173</v>
      </c>
      <c r="C31" s="7" t="s">
        <v>174</v>
      </c>
      <c r="D31" s="7" t="s">
        <v>754</v>
      </c>
      <c r="E31" s="7" t="s">
        <v>757</v>
      </c>
      <c r="F31" s="7" t="s">
        <v>761</v>
      </c>
      <c r="G31" s="7">
        <v>62</v>
      </c>
      <c r="H31" s="7" t="s">
        <v>175</v>
      </c>
      <c r="I31" s="8">
        <v>45747.8055439815</v>
      </c>
      <c r="J31" s="9">
        <v>45689</v>
      </c>
      <c r="K31" s="9">
        <v>45748</v>
      </c>
      <c r="L31" s="7">
        <v>2</v>
      </c>
      <c r="M31" s="10">
        <v>662.74</v>
      </c>
      <c r="N31" s="10">
        <f>SUM(NewBusiness[[#This Row],[Premium]]/12)</f>
        <v>55.228333333333332</v>
      </c>
      <c r="O31" s="12">
        <v>0.85</v>
      </c>
      <c r="P31" s="10">
        <v>0</v>
      </c>
      <c r="Q31" s="10">
        <v>46.95</v>
      </c>
      <c r="R31" s="7" t="s">
        <v>32</v>
      </c>
      <c r="S31" s="7" t="s">
        <v>33</v>
      </c>
    </row>
    <row r="32" spans="1:19" x14ac:dyDescent="0.25">
      <c r="A32" s="6">
        <v>19645587</v>
      </c>
      <c r="B32" s="7" t="s">
        <v>196</v>
      </c>
      <c r="C32" s="7" t="s">
        <v>657</v>
      </c>
      <c r="D32" s="7" t="s">
        <v>752</v>
      </c>
      <c r="E32" s="7" t="s">
        <v>757</v>
      </c>
      <c r="F32" s="7" t="s">
        <v>761</v>
      </c>
      <c r="G32" s="7">
        <v>65</v>
      </c>
      <c r="H32" s="7" t="s">
        <v>658</v>
      </c>
      <c r="I32" s="8">
        <v>45747.8055439815</v>
      </c>
      <c r="J32" s="9">
        <v>45694</v>
      </c>
      <c r="K32" s="9">
        <v>45753</v>
      </c>
      <c r="L32" s="7">
        <v>2</v>
      </c>
      <c r="M32" s="10">
        <v>559.20000000000005</v>
      </c>
      <c r="N32" s="10">
        <f>SUM(NewBusiness[[#This Row],[Premium]]/12)</f>
        <v>46.6</v>
      </c>
      <c r="O32" s="12">
        <v>0.8</v>
      </c>
      <c r="P32" s="10">
        <v>0</v>
      </c>
      <c r="Q32" s="10">
        <v>37.28</v>
      </c>
      <c r="R32" s="7" t="s">
        <v>32</v>
      </c>
      <c r="S32" s="7" t="s">
        <v>33</v>
      </c>
    </row>
    <row r="33" spans="1:19" x14ac:dyDescent="0.25">
      <c r="A33" s="6">
        <v>17094718</v>
      </c>
      <c r="B33" s="7" t="s">
        <v>62</v>
      </c>
      <c r="C33" s="7" t="s">
        <v>63</v>
      </c>
      <c r="D33" s="7" t="s">
        <v>754</v>
      </c>
      <c r="E33" s="7" t="s">
        <v>757</v>
      </c>
      <c r="F33" s="7" t="s">
        <v>761</v>
      </c>
      <c r="G33" s="7">
        <v>71</v>
      </c>
      <c r="H33" s="7" t="s">
        <v>64</v>
      </c>
      <c r="I33" s="8">
        <v>45747.8055439815</v>
      </c>
      <c r="J33" s="9">
        <v>45702</v>
      </c>
      <c r="K33" s="9">
        <v>45761</v>
      </c>
      <c r="L33" s="7">
        <v>2</v>
      </c>
      <c r="M33" s="10">
        <v>1116.99</v>
      </c>
      <c r="N33" s="10">
        <f>SUM(NewBusiness[[#This Row],[Premium]]/12)</f>
        <v>93.082499999999996</v>
      </c>
      <c r="O33" s="12">
        <v>0.85</v>
      </c>
      <c r="P33" s="10">
        <v>0</v>
      </c>
      <c r="Q33" s="10">
        <v>79.11</v>
      </c>
      <c r="R33" s="7" t="s">
        <v>32</v>
      </c>
      <c r="S33" s="7" t="s">
        <v>33</v>
      </c>
    </row>
    <row r="34" spans="1:19" x14ac:dyDescent="0.25">
      <c r="A34" s="6">
        <v>17094718</v>
      </c>
      <c r="B34" s="7" t="s">
        <v>62</v>
      </c>
      <c r="C34" s="7" t="s">
        <v>63</v>
      </c>
      <c r="D34" s="7" t="s">
        <v>754</v>
      </c>
      <c r="E34" s="7" t="s">
        <v>757</v>
      </c>
      <c r="F34" s="7" t="s">
        <v>761</v>
      </c>
      <c r="G34" s="7">
        <v>71</v>
      </c>
      <c r="H34" s="7" t="s">
        <v>64</v>
      </c>
      <c r="I34" s="8">
        <v>45747.8055439815</v>
      </c>
      <c r="J34" s="9">
        <v>45702</v>
      </c>
      <c r="K34" s="9">
        <v>45761</v>
      </c>
      <c r="L34" s="7">
        <v>2</v>
      </c>
      <c r="M34" s="10">
        <v>1116.99</v>
      </c>
      <c r="N34" s="10">
        <f>SUM(NewBusiness[[#This Row],[Premium]]/12)</f>
        <v>93.082499999999996</v>
      </c>
      <c r="O34" s="12">
        <v>0.85</v>
      </c>
      <c r="P34" s="10">
        <v>0</v>
      </c>
      <c r="Q34" s="10">
        <v>79.11</v>
      </c>
      <c r="R34" s="7" t="s">
        <v>32</v>
      </c>
      <c r="S34" s="7" t="s">
        <v>33</v>
      </c>
    </row>
    <row r="35" spans="1:19" x14ac:dyDescent="0.25">
      <c r="A35" s="6">
        <v>8244481</v>
      </c>
      <c r="B35" s="7" t="s">
        <v>42</v>
      </c>
      <c r="C35" s="7" t="s">
        <v>477</v>
      </c>
      <c r="D35" s="7" t="s">
        <v>754</v>
      </c>
      <c r="E35" s="7" t="s">
        <v>757</v>
      </c>
      <c r="F35" s="7" t="s">
        <v>761</v>
      </c>
      <c r="G35" s="7">
        <v>70</v>
      </c>
      <c r="H35" s="7" t="s">
        <v>478</v>
      </c>
      <c r="I35" s="8">
        <v>45747.8055439815</v>
      </c>
      <c r="J35" s="9">
        <v>45715</v>
      </c>
      <c r="K35" s="9">
        <v>45774</v>
      </c>
      <c r="L35" s="7">
        <v>2</v>
      </c>
      <c r="M35" s="10">
        <v>816.65</v>
      </c>
      <c r="N35" s="10">
        <f>SUM(NewBusiness[[#This Row],[Premium]]/12)</f>
        <v>68.05416666666666</v>
      </c>
      <c r="O35" s="12">
        <v>0.85</v>
      </c>
      <c r="P35" s="10">
        <v>0</v>
      </c>
      <c r="Q35" s="10">
        <v>57.84</v>
      </c>
      <c r="R35" s="7" t="s">
        <v>32</v>
      </c>
      <c r="S35" s="7" t="s">
        <v>33</v>
      </c>
    </row>
    <row r="36" spans="1:19" x14ac:dyDescent="0.25">
      <c r="A36" s="6">
        <v>593918</v>
      </c>
      <c r="B36" s="7" t="s">
        <v>152</v>
      </c>
      <c r="C36" s="7" t="s">
        <v>153</v>
      </c>
      <c r="D36" s="7" t="s">
        <v>751</v>
      </c>
      <c r="E36" s="7" t="s">
        <v>757</v>
      </c>
      <c r="F36" s="7" t="s">
        <v>761</v>
      </c>
      <c r="G36" s="7">
        <v>64</v>
      </c>
      <c r="H36" s="7" t="s">
        <v>154</v>
      </c>
      <c r="I36" s="8">
        <v>45747.8055439815</v>
      </c>
      <c r="J36" s="9">
        <v>45658</v>
      </c>
      <c r="K36" s="9">
        <v>45748</v>
      </c>
      <c r="L36" s="7">
        <v>3</v>
      </c>
      <c r="M36" s="10">
        <v>1771.2</v>
      </c>
      <c r="N36" s="10">
        <f>SUM(NewBusiness[[#This Row],[Premium]]/12)</f>
        <v>147.6</v>
      </c>
      <c r="O36" s="12">
        <v>0.75</v>
      </c>
      <c r="P36" s="10">
        <v>0</v>
      </c>
      <c r="Q36" s="10">
        <v>110.7</v>
      </c>
      <c r="R36" s="7" t="s">
        <v>155</v>
      </c>
      <c r="S36" s="7" t="s">
        <v>33</v>
      </c>
    </row>
    <row r="37" spans="1:19" x14ac:dyDescent="0.25">
      <c r="A37" s="6">
        <v>371819</v>
      </c>
      <c r="B37" s="7" t="s">
        <v>235</v>
      </c>
      <c r="C37" s="7" t="s">
        <v>667</v>
      </c>
      <c r="D37" s="7" t="s">
        <v>752</v>
      </c>
      <c r="E37" s="7" t="s">
        <v>757</v>
      </c>
      <c r="F37" s="7" t="s">
        <v>761</v>
      </c>
      <c r="G37" s="7">
        <v>78</v>
      </c>
      <c r="H37" s="7" t="s">
        <v>668</v>
      </c>
      <c r="I37" s="8">
        <v>45747.8055439815</v>
      </c>
      <c r="J37" s="9">
        <v>45658</v>
      </c>
      <c r="K37" s="9">
        <v>45748</v>
      </c>
      <c r="L37" s="7">
        <v>3</v>
      </c>
      <c r="M37" s="10">
        <v>1590.95</v>
      </c>
      <c r="N37" s="10">
        <f>SUM(NewBusiness[[#This Row],[Premium]]/12)</f>
        <v>132.57916666666668</v>
      </c>
      <c r="O37" s="12">
        <v>0.8</v>
      </c>
      <c r="P37" s="10">
        <v>0</v>
      </c>
      <c r="Q37" s="10">
        <v>106.06</v>
      </c>
      <c r="R37" s="7" t="s">
        <v>203</v>
      </c>
      <c r="S37" s="7" t="s">
        <v>33</v>
      </c>
    </row>
    <row r="38" spans="1:19" x14ac:dyDescent="0.25">
      <c r="A38" s="6">
        <v>19586992</v>
      </c>
      <c r="B38" s="7" t="s">
        <v>80</v>
      </c>
      <c r="C38" s="7" t="s">
        <v>291</v>
      </c>
      <c r="D38" s="7" t="s">
        <v>754</v>
      </c>
      <c r="E38" s="7" t="s">
        <v>757</v>
      </c>
      <c r="F38" s="7" t="s">
        <v>761</v>
      </c>
      <c r="G38" s="7">
        <v>67</v>
      </c>
      <c r="H38" s="7" t="s">
        <v>292</v>
      </c>
      <c r="I38" s="8">
        <v>45747.8055439815</v>
      </c>
      <c r="J38" s="9">
        <v>45658</v>
      </c>
      <c r="K38" s="9">
        <v>45748</v>
      </c>
      <c r="L38" s="7">
        <v>3</v>
      </c>
      <c r="M38" s="10">
        <v>884.95</v>
      </c>
      <c r="N38" s="10">
        <f>SUM(NewBusiness[[#This Row],[Premium]]/12)</f>
        <v>73.745833333333337</v>
      </c>
      <c r="O38" s="12">
        <v>0.85</v>
      </c>
      <c r="P38" s="10">
        <v>0</v>
      </c>
      <c r="Q38" s="10">
        <v>62.68</v>
      </c>
      <c r="R38" s="7" t="s">
        <v>32</v>
      </c>
      <c r="S38" s="7" t="s">
        <v>33</v>
      </c>
    </row>
    <row r="39" spans="1:19" x14ac:dyDescent="0.25">
      <c r="A39" s="6">
        <v>16633294</v>
      </c>
      <c r="B39" s="7" t="s">
        <v>29</v>
      </c>
      <c r="C39" s="7" t="s">
        <v>452</v>
      </c>
      <c r="D39" s="7" t="s">
        <v>753</v>
      </c>
      <c r="E39" s="7" t="s">
        <v>757</v>
      </c>
      <c r="F39" s="7" t="s">
        <v>761</v>
      </c>
      <c r="G39" s="7">
        <v>67</v>
      </c>
      <c r="H39" s="7" t="s">
        <v>453</v>
      </c>
      <c r="I39" s="8">
        <v>45747.8055439815</v>
      </c>
      <c r="J39" s="9">
        <v>45658</v>
      </c>
      <c r="K39" s="9">
        <v>45748</v>
      </c>
      <c r="L39" s="7">
        <v>3</v>
      </c>
      <c r="M39" s="10">
        <v>372</v>
      </c>
      <c r="N39" s="10">
        <f>SUM(NewBusiness[[#This Row],[Premium]]/12)</f>
        <v>31</v>
      </c>
      <c r="O39" s="12">
        <v>1.1000000000000001</v>
      </c>
      <c r="P39" s="10">
        <v>0</v>
      </c>
      <c r="Q39" s="10">
        <v>34.1</v>
      </c>
      <c r="R39" s="7" t="s">
        <v>32</v>
      </c>
      <c r="S39" s="7" t="s">
        <v>33</v>
      </c>
    </row>
    <row r="40" spans="1:19" x14ac:dyDescent="0.25">
      <c r="A40" s="6">
        <v>16912722</v>
      </c>
      <c r="B40" s="7" t="s">
        <v>191</v>
      </c>
      <c r="C40" s="7" t="s">
        <v>506</v>
      </c>
      <c r="D40" s="7" t="s">
        <v>752</v>
      </c>
      <c r="E40" s="7" t="s">
        <v>757</v>
      </c>
      <c r="F40" s="7" t="s">
        <v>761</v>
      </c>
      <c r="G40" s="7">
        <v>77</v>
      </c>
      <c r="H40" s="7" t="s">
        <v>507</v>
      </c>
      <c r="I40" s="8">
        <v>45747.8055439815</v>
      </c>
      <c r="J40" s="9">
        <v>45669</v>
      </c>
      <c r="K40" s="9">
        <v>45759</v>
      </c>
      <c r="L40" s="7">
        <v>3</v>
      </c>
      <c r="M40" s="10">
        <v>1062</v>
      </c>
      <c r="N40" s="10">
        <f>SUM(NewBusiness[[#This Row],[Premium]]/12)</f>
        <v>88.5</v>
      </c>
      <c r="O40" s="12">
        <v>0.8</v>
      </c>
      <c r="P40" s="10">
        <v>0</v>
      </c>
      <c r="Q40" s="10">
        <v>70.8</v>
      </c>
      <c r="R40" s="7" t="s">
        <v>32</v>
      </c>
      <c r="S40" s="7" t="s">
        <v>33</v>
      </c>
    </row>
    <row r="41" spans="1:19" x14ac:dyDescent="0.25">
      <c r="A41" s="6">
        <v>19645587</v>
      </c>
      <c r="B41" s="7" t="s">
        <v>196</v>
      </c>
      <c r="C41" s="7" t="s">
        <v>649</v>
      </c>
      <c r="D41" s="7" t="s">
        <v>751</v>
      </c>
      <c r="E41" s="7" t="s">
        <v>757</v>
      </c>
      <c r="F41" s="7" t="s">
        <v>761</v>
      </c>
      <c r="G41" s="7">
        <v>64</v>
      </c>
      <c r="H41" s="7" t="s">
        <v>650</v>
      </c>
      <c r="I41" s="8">
        <v>45747.8055439815</v>
      </c>
      <c r="J41" s="9">
        <v>45689</v>
      </c>
      <c r="K41" s="9">
        <v>45778</v>
      </c>
      <c r="L41" s="7">
        <v>3</v>
      </c>
      <c r="M41" s="10">
        <v>724.28</v>
      </c>
      <c r="N41" s="10">
        <f>SUM(NewBusiness[[#This Row],[Premium]]/12)</f>
        <v>60.356666666666662</v>
      </c>
      <c r="O41" s="12">
        <v>0.75</v>
      </c>
      <c r="P41" s="10">
        <v>0</v>
      </c>
      <c r="Q41" s="10">
        <v>45.26</v>
      </c>
      <c r="R41" s="7" t="s">
        <v>203</v>
      </c>
      <c r="S41" s="7" t="s">
        <v>33</v>
      </c>
    </row>
    <row r="42" spans="1:19" x14ac:dyDescent="0.25">
      <c r="A42" s="6">
        <v>17126004</v>
      </c>
      <c r="B42" s="7" t="s">
        <v>173</v>
      </c>
      <c r="C42" s="7" t="s">
        <v>592</v>
      </c>
      <c r="D42" s="7" t="s">
        <v>752</v>
      </c>
      <c r="E42" s="7" t="s">
        <v>757</v>
      </c>
      <c r="F42" s="7" t="s">
        <v>761</v>
      </c>
      <c r="G42" s="7">
        <v>26</v>
      </c>
      <c r="H42" s="7" t="s">
        <v>593</v>
      </c>
      <c r="I42" s="8">
        <v>45747.8055439815</v>
      </c>
      <c r="J42" s="9">
        <v>45689</v>
      </c>
      <c r="K42" s="9">
        <v>45778</v>
      </c>
      <c r="L42" s="7">
        <v>3</v>
      </c>
      <c r="M42" s="10">
        <v>873.6</v>
      </c>
      <c r="N42" s="10">
        <f>SUM(NewBusiness[[#This Row],[Premium]]/12)</f>
        <v>72.8</v>
      </c>
      <c r="O42" s="12">
        <v>0.8</v>
      </c>
      <c r="P42" s="10">
        <v>0</v>
      </c>
      <c r="Q42" s="10">
        <v>58.24</v>
      </c>
      <c r="R42" s="7" t="s">
        <v>32</v>
      </c>
      <c r="S42" s="7" t="s">
        <v>33</v>
      </c>
    </row>
    <row r="43" spans="1:19" x14ac:dyDescent="0.25">
      <c r="A43" s="6">
        <v>7146581</v>
      </c>
      <c r="B43" s="7" t="s">
        <v>91</v>
      </c>
      <c r="C43" s="7" t="s">
        <v>417</v>
      </c>
      <c r="D43" s="7" t="s">
        <v>752</v>
      </c>
      <c r="E43" s="7" t="s">
        <v>757</v>
      </c>
      <c r="F43" s="7" t="s">
        <v>761</v>
      </c>
      <c r="G43" s="7">
        <v>75</v>
      </c>
      <c r="H43" s="7" t="s">
        <v>418</v>
      </c>
      <c r="I43" s="8">
        <v>45747.8055439815</v>
      </c>
      <c r="J43" s="9">
        <v>45689</v>
      </c>
      <c r="K43" s="9">
        <v>45778</v>
      </c>
      <c r="L43" s="7">
        <v>3</v>
      </c>
      <c r="M43" s="10">
        <v>1128</v>
      </c>
      <c r="N43" s="10">
        <f>SUM(NewBusiness[[#This Row],[Premium]]/12)</f>
        <v>94</v>
      </c>
      <c r="O43" s="12">
        <v>0.8</v>
      </c>
      <c r="P43" s="10">
        <v>0</v>
      </c>
      <c r="Q43" s="10">
        <v>75.2</v>
      </c>
      <c r="R43" s="7" t="s">
        <v>32</v>
      </c>
      <c r="S43" s="7" t="s">
        <v>33</v>
      </c>
    </row>
    <row r="44" spans="1:19" x14ac:dyDescent="0.25">
      <c r="A44" s="6">
        <v>2158366</v>
      </c>
      <c r="B44" s="7" t="s">
        <v>39</v>
      </c>
      <c r="C44" s="7" t="s">
        <v>690</v>
      </c>
      <c r="D44" s="7" t="s">
        <v>752</v>
      </c>
      <c r="E44" s="7" t="s">
        <v>757</v>
      </c>
      <c r="F44" s="7" t="s">
        <v>761</v>
      </c>
      <c r="G44" s="7">
        <v>65</v>
      </c>
      <c r="H44" s="7" t="s">
        <v>691</v>
      </c>
      <c r="I44" s="8">
        <v>45747.8055439815</v>
      </c>
      <c r="J44" s="9">
        <v>45717</v>
      </c>
      <c r="K44" s="9">
        <v>45778</v>
      </c>
      <c r="L44" s="7">
        <v>3</v>
      </c>
      <c r="M44" s="10">
        <v>1418.4</v>
      </c>
      <c r="N44" s="10">
        <f>SUM(NewBusiness[[#This Row],[Premium]]/12)</f>
        <v>118.2</v>
      </c>
      <c r="O44" s="12">
        <v>0.8</v>
      </c>
      <c r="P44" s="10">
        <v>0</v>
      </c>
      <c r="Q44" s="10">
        <v>94.56</v>
      </c>
      <c r="R44" s="7" t="s">
        <v>32</v>
      </c>
      <c r="S44" s="7" t="s">
        <v>33</v>
      </c>
    </row>
    <row r="45" spans="1:19" x14ac:dyDescent="0.25">
      <c r="A45" s="6">
        <v>8325282</v>
      </c>
      <c r="B45" s="7" t="s">
        <v>117</v>
      </c>
      <c r="C45" s="7" t="s">
        <v>239</v>
      </c>
      <c r="D45" s="7" t="s">
        <v>754</v>
      </c>
      <c r="E45" s="7" t="s">
        <v>757</v>
      </c>
      <c r="F45" s="7" t="s">
        <v>761</v>
      </c>
      <c r="G45" s="7">
        <v>69</v>
      </c>
      <c r="H45" s="7" t="s">
        <v>240</v>
      </c>
      <c r="I45" s="8">
        <v>45747.8055439815</v>
      </c>
      <c r="J45" s="9">
        <v>45717</v>
      </c>
      <c r="K45" s="9">
        <v>45778</v>
      </c>
      <c r="L45" s="7">
        <v>3</v>
      </c>
      <c r="M45" s="10">
        <v>667.29</v>
      </c>
      <c r="N45" s="10">
        <f>SUM(NewBusiness[[#This Row],[Premium]]/12)</f>
        <v>55.607499999999995</v>
      </c>
      <c r="O45" s="12">
        <v>0.85</v>
      </c>
      <c r="P45" s="10">
        <v>0</v>
      </c>
      <c r="Q45" s="10">
        <v>47.27</v>
      </c>
      <c r="R45" s="7" t="s">
        <v>32</v>
      </c>
      <c r="S45" s="7" t="s">
        <v>33</v>
      </c>
    </row>
    <row r="46" spans="1:19" x14ac:dyDescent="0.25">
      <c r="A46" s="6">
        <v>8325282</v>
      </c>
      <c r="B46" s="7" t="s">
        <v>117</v>
      </c>
      <c r="C46" s="7" t="s">
        <v>239</v>
      </c>
      <c r="D46" s="7" t="s">
        <v>754</v>
      </c>
      <c r="E46" s="7" t="s">
        <v>757</v>
      </c>
      <c r="F46" s="7" t="s">
        <v>761</v>
      </c>
      <c r="G46" s="7">
        <v>69</v>
      </c>
      <c r="H46" s="7" t="s">
        <v>240</v>
      </c>
      <c r="I46" s="8">
        <v>45747.8055439815</v>
      </c>
      <c r="J46" s="9">
        <v>45717</v>
      </c>
      <c r="K46" s="9">
        <v>45778</v>
      </c>
      <c r="L46" s="7">
        <v>3</v>
      </c>
      <c r="M46" s="10">
        <v>667.29</v>
      </c>
      <c r="N46" s="10">
        <f>SUM(NewBusiness[[#This Row],[Premium]]/12)</f>
        <v>55.607499999999995</v>
      </c>
      <c r="O46" s="12">
        <v>0.85</v>
      </c>
      <c r="P46" s="10">
        <v>0</v>
      </c>
      <c r="Q46" s="10">
        <v>47.27</v>
      </c>
      <c r="R46" s="7" t="s">
        <v>32</v>
      </c>
      <c r="S46" s="7" t="s">
        <v>33</v>
      </c>
    </row>
    <row r="47" spans="1:19" x14ac:dyDescent="0.25">
      <c r="A47" s="6">
        <v>19481808</v>
      </c>
      <c r="B47" s="7" t="s">
        <v>85</v>
      </c>
      <c r="C47" s="7" t="s">
        <v>156</v>
      </c>
      <c r="D47" s="7" t="s">
        <v>754</v>
      </c>
      <c r="E47" s="7" t="s">
        <v>757</v>
      </c>
      <c r="F47" s="7" t="s">
        <v>761</v>
      </c>
      <c r="G47" s="7">
        <v>72</v>
      </c>
      <c r="H47" s="7" t="s">
        <v>157</v>
      </c>
      <c r="I47" s="8">
        <v>45747.8055439815</v>
      </c>
      <c r="J47" s="9">
        <v>45717</v>
      </c>
      <c r="K47" s="9">
        <v>45778</v>
      </c>
      <c r="L47" s="7">
        <v>3</v>
      </c>
      <c r="M47" s="10">
        <v>798.78</v>
      </c>
      <c r="N47" s="10">
        <f>SUM(NewBusiness[[#This Row],[Premium]]/12)</f>
        <v>66.564999999999998</v>
      </c>
      <c r="O47" s="12">
        <v>0.85</v>
      </c>
      <c r="P47" s="10">
        <v>0</v>
      </c>
      <c r="Q47" s="10">
        <v>56.58</v>
      </c>
      <c r="R47" s="7" t="s">
        <v>32</v>
      </c>
      <c r="S47" s="7" t="s">
        <v>33</v>
      </c>
    </row>
    <row r="48" spans="1:19" x14ac:dyDescent="0.25">
      <c r="A48" s="6">
        <v>19481808</v>
      </c>
      <c r="B48" s="7" t="s">
        <v>85</v>
      </c>
      <c r="C48" s="7" t="s">
        <v>454</v>
      </c>
      <c r="D48" s="7" t="s">
        <v>754</v>
      </c>
      <c r="E48" s="7" t="s">
        <v>757</v>
      </c>
      <c r="F48" s="7" t="s">
        <v>761</v>
      </c>
      <c r="G48" s="7">
        <v>65</v>
      </c>
      <c r="H48" s="7" t="s">
        <v>455</v>
      </c>
      <c r="I48" s="8">
        <v>45747.8055439815</v>
      </c>
      <c r="J48" s="9">
        <v>45717</v>
      </c>
      <c r="K48" s="9">
        <v>45778</v>
      </c>
      <c r="L48" s="7">
        <v>3</v>
      </c>
      <c r="M48" s="10">
        <v>551.12</v>
      </c>
      <c r="N48" s="10">
        <f>SUM(NewBusiness[[#This Row],[Premium]]/12)</f>
        <v>45.926666666666669</v>
      </c>
      <c r="O48" s="12">
        <v>0.85</v>
      </c>
      <c r="P48" s="10">
        <v>0</v>
      </c>
      <c r="Q48" s="10">
        <v>39.03</v>
      </c>
      <c r="R48" s="7" t="s">
        <v>32</v>
      </c>
      <c r="S48" s="7" t="s">
        <v>33</v>
      </c>
    </row>
    <row r="49" spans="1:19" x14ac:dyDescent="0.25">
      <c r="A49" s="6">
        <v>19586992</v>
      </c>
      <c r="B49" s="7" t="s">
        <v>80</v>
      </c>
      <c r="C49" s="7" t="s">
        <v>344</v>
      </c>
      <c r="D49" s="7" t="s">
        <v>754</v>
      </c>
      <c r="E49" s="7" t="s">
        <v>757</v>
      </c>
      <c r="F49" s="7" t="s">
        <v>761</v>
      </c>
      <c r="G49" s="7">
        <v>71</v>
      </c>
      <c r="H49" s="7" t="s">
        <v>345</v>
      </c>
      <c r="I49" s="8">
        <v>45747.8055439815</v>
      </c>
      <c r="J49" s="9">
        <v>45720</v>
      </c>
      <c r="K49" s="9">
        <v>45781</v>
      </c>
      <c r="L49" s="7">
        <v>3</v>
      </c>
      <c r="M49" s="10">
        <v>1247.1099999999999</v>
      </c>
      <c r="N49" s="10">
        <f>SUM(NewBusiness[[#This Row],[Premium]]/12)</f>
        <v>103.92583333333333</v>
      </c>
      <c r="O49" s="12">
        <v>0.85</v>
      </c>
      <c r="P49" s="10">
        <v>0</v>
      </c>
      <c r="Q49" s="10">
        <v>88.34</v>
      </c>
      <c r="R49" s="7" t="s">
        <v>32</v>
      </c>
      <c r="S49" s="7" t="s">
        <v>33</v>
      </c>
    </row>
    <row r="50" spans="1:19" x14ac:dyDescent="0.25">
      <c r="A50" s="6">
        <v>19481808</v>
      </c>
      <c r="B50" s="7" t="s">
        <v>85</v>
      </c>
      <c r="C50" s="7" t="s">
        <v>86</v>
      </c>
      <c r="D50" s="7" t="s">
        <v>754</v>
      </c>
      <c r="E50" s="7" t="s">
        <v>757</v>
      </c>
      <c r="F50" s="7" t="s">
        <v>761</v>
      </c>
      <c r="G50" s="7">
        <v>69</v>
      </c>
      <c r="H50" s="7" t="s">
        <v>87</v>
      </c>
      <c r="I50" s="8">
        <v>45747.8055439815</v>
      </c>
      <c r="J50" s="9">
        <v>45723</v>
      </c>
      <c r="K50" s="9">
        <v>45784</v>
      </c>
      <c r="L50" s="7">
        <v>3</v>
      </c>
      <c r="M50" s="10">
        <v>551.12</v>
      </c>
      <c r="N50" s="10">
        <f>SUM(NewBusiness[[#This Row],[Premium]]/12)</f>
        <v>45.926666666666669</v>
      </c>
      <c r="O50" s="12">
        <v>0.85</v>
      </c>
      <c r="P50" s="10">
        <v>0</v>
      </c>
      <c r="Q50" s="10">
        <v>39.03</v>
      </c>
      <c r="R50" s="7" t="s">
        <v>32</v>
      </c>
      <c r="S50" s="7" t="s">
        <v>33</v>
      </c>
    </row>
    <row r="51" spans="1:19" x14ac:dyDescent="0.25">
      <c r="A51" s="6">
        <v>19481808</v>
      </c>
      <c r="B51" s="7" t="s">
        <v>85</v>
      </c>
      <c r="C51" s="7" t="s">
        <v>122</v>
      </c>
      <c r="D51" s="7" t="s">
        <v>754</v>
      </c>
      <c r="E51" s="7" t="s">
        <v>757</v>
      </c>
      <c r="F51" s="7" t="s">
        <v>761</v>
      </c>
      <c r="G51" s="7">
        <v>60</v>
      </c>
      <c r="H51" s="7" t="s">
        <v>123</v>
      </c>
      <c r="I51" s="8">
        <v>45747.8055439815</v>
      </c>
      <c r="J51" s="9">
        <v>45723</v>
      </c>
      <c r="K51" s="9">
        <v>45784</v>
      </c>
      <c r="L51" s="7">
        <v>3</v>
      </c>
      <c r="M51" s="10">
        <v>338.91</v>
      </c>
      <c r="N51" s="10">
        <f>SUM(NewBusiness[[#This Row],[Premium]]/12)</f>
        <v>28.242500000000003</v>
      </c>
      <c r="O51" s="12">
        <v>0.85</v>
      </c>
      <c r="P51" s="10">
        <v>0</v>
      </c>
      <c r="Q51" s="10">
        <v>24</v>
      </c>
      <c r="R51" s="7" t="s">
        <v>32</v>
      </c>
      <c r="S51" s="7" t="s">
        <v>33</v>
      </c>
    </row>
    <row r="52" spans="1:19" s="15" customFormat="1" x14ac:dyDescent="0.25">
      <c r="A52" s="14">
        <v>19586992</v>
      </c>
      <c r="B52" s="15" t="s">
        <v>80</v>
      </c>
      <c r="C52" s="15" t="s">
        <v>261</v>
      </c>
      <c r="D52" s="15" t="s">
        <v>752</v>
      </c>
      <c r="E52" s="15" t="s">
        <v>757</v>
      </c>
      <c r="F52" s="15" t="s">
        <v>761</v>
      </c>
      <c r="G52" s="15">
        <v>83</v>
      </c>
      <c r="H52" s="15" t="s">
        <v>262</v>
      </c>
      <c r="I52" s="16">
        <v>45747.8055439815</v>
      </c>
      <c r="J52" s="17">
        <v>45597</v>
      </c>
      <c r="K52" s="17">
        <v>45717</v>
      </c>
      <c r="L52" s="15">
        <v>4</v>
      </c>
      <c r="M52" s="18">
        <v>2510.9299999999998</v>
      </c>
      <c r="N52" s="18">
        <f>SUM(NewBusiness[[#This Row],[Premium]]/12)</f>
        <v>209.24416666666664</v>
      </c>
      <c r="O52" s="19">
        <v>0.8</v>
      </c>
      <c r="P52" s="18">
        <v>0</v>
      </c>
      <c r="Q52" s="18">
        <v>-167.39</v>
      </c>
      <c r="R52" s="15" t="s">
        <v>32</v>
      </c>
      <c r="S52" s="15" t="s">
        <v>33</v>
      </c>
    </row>
    <row r="53" spans="1:19" x14ac:dyDescent="0.25">
      <c r="A53" s="6">
        <v>19586992</v>
      </c>
      <c r="B53" s="7" t="s">
        <v>80</v>
      </c>
      <c r="C53" s="7" t="s">
        <v>261</v>
      </c>
      <c r="D53" s="7" t="s">
        <v>752</v>
      </c>
      <c r="E53" s="7" t="s">
        <v>757</v>
      </c>
      <c r="F53" s="7" t="s">
        <v>761</v>
      </c>
      <c r="G53" s="7">
        <v>83</v>
      </c>
      <c r="H53" s="7" t="s">
        <v>262</v>
      </c>
      <c r="I53" s="8">
        <v>45747.8055439815</v>
      </c>
      <c r="J53" s="9">
        <v>45597</v>
      </c>
      <c r="K53" s="9">
        <v>45717</v>
      </c>
      <c r="L53" s="7">
        <v>4</v>
      </c>
      <c r="M53" s="10">
        <v>2510.9299999999998</v>
      </c>
      <c r="N53" s="10">
        <f>SUM(NewBusiness[[#This Row],[Premium]]/12)</f>
        <v>209.24416666666664</v>
      </c>
      <c r="O53" s="12">
        <v>0.8</v>
      </c>
      <c r="P53" s="10">
        <v>0</v>
      </c>
      <c r="Q53" s="10">
        <v>167.39</v>
      </c>
      <c r="R53" s="7" t="s">
        <v>32</v>
      </c>
      <c r="S53" s="7" t="s">
        <v>33</v>
      </c>
    </row>
    <row r="54" spans="1:19" x14ac:dyDescent="0.25">
      <c r="A54" s="6">
        <v>21283956</v>
      </c>
      <c r="B54" s="7" t="s">
        <v>528</v>
      </c>
      <c r="C54" s="7" t="s">
        <v>609</v>
      </c>
      <c r="D54" s="7" t="s">
        <v>752</v>
      </c>
      <c r="E54" s="7" t="s">
        <v>757</v>
      </c>
      <c r="F54" s="7" t="s">
        <v>761</v>
      </c>
      <c r="G54" s="7">
        <v>81</v>
      </c>
      <c r="H54" s="7" t="s">
        <v>610</v>
      </c>
      <c r="I54" s="8">
        <v>45747.8055439815</v>
      </c>
      <c r="J54" s="9">
        <v>45641</v>
      </c>
      <c r="K54" s="9">
        <v>45762</v>
      </c>
      <c r="L54" s="7">
        <v>4</v>
      </c>
      <c r="M54" s="10">
        <v>1731.88</v>
      </c>
      <c r="N54" s="10">
        <f>SUM(NewBusiness[[#This Row],[Premium]]/12)</f>
        <v>144.32333333333335</v>
      </c>
      <c r="O54" s="12">
        <v>0.8</v>
      </c>
      <c r="P54" s="10">
        <v>0</v>
      </c>
      <c r="Q54" s="10">
        <v>115.45</v>
      </c>
      <c r="R54" s="7" t="s">
        <v>32</v>
      </c>
      <c r="S54" s="7" t="s">
        <v>33</v>
      </c>
    </row>
    <row r="55" spans="1:19" x14ac:dyDescent="0.25">
      <c r="A55" s="6">
        <v>21283956</v>
      </c>
      <c r="B55" s="7" t="s">
        <v>528</v>
      </c>
      <c r="C55" s="7" t="s">
        <v>529</v>
      </c>
      <c r="D55" s="7" t="s">
        <v>754</v>
      </c>
      <c r="E55" s="7" t="s">
        <v>757</v>
      </c>
      <c r="F55" s="7" t="s">
        <v>761</v>
      </c>
      <c r="G55" s="7">
        <v>73</v>
      </c>
      <c r="H55" s="7" t="s">
        <v>530</v>
      </c>
      <c r="I55" s="8">
        <v>45747.8055439815</v>
      </c>
      <c r="J55" s="9">
        <v>45641</v>
      </c>
      <c r="K55" s="9">
        <v>45762</v>
      </c>
      <c r="L55" s="7">
        <v>4</v>
      </c>
      <c r="M55" s="10">
        <v>777.28</v>
      </c>
      <c r="N55" s="10">
        <f>SUM(NewBusiness[[#This Row],[Premium]]/12)</f>
        <v>64.773333333333326</v>
      </c>
      <c r="O55" s="12">
        <v>0.85</v>
      </c>
      <c r="P55" s="10">
        <v>0</v>
      </c>
      <c r="Q55" s="10">
        <v>55.05</v>
      </c>
      <c r="R55" s="7" t="s">
        <v>32</v>
      </c>
      <c r="S55" s="7" t="s">
        <v>33</v>
      </c>
    </row>
    <row r="56" spans="1:19" x14ac:dyDescent="0.25">
      <c r="A56" s="6">
        <v>16633294</v>
      </c>
      <c r="B56" s="7" t="s">
        <v>29</v>
      </c>
      <c r="C56" s="7" t="s">
        <v>37</v>
      </c>
      <c r="D56" s="7" t="s">
        <v>752</v>
      </c>
      <c r="E56" s="7" t="s">
        <v>757</v>
      </c>
      <c r="F56" s="7" t="s">
        <v>761</v>
      </c>
      <c r="G56" s="7">
        <v>76</v>
      </c>
      <c r="H56" s="7" t="s">
        <v>38</v>
      </c>
      <c r="I56" s="8">
        <v>45747.8055439815</v>
      </c>
      <c r="J56" s="9">
        <v>45644</v>
      </c>
      <c r="K56" s="9">
        <v>45765</v>
      </c>
      <c r="L56" s="7">
        <v>4</v>
      </c>
      <c r="M56" s="10">
        <v>1194.1500000000001</v>
      </c>
      <c r="N56" s="10">
        <f>SUM(NewBusiness[[#This Row],[Premium]]/12)</f>
        <v>99.512500000000003</v>
      </c>
      <c r="O56" s="12">
        <v>0.8</v>
      </c>
      <c r="P56" s="10">
        <v>0</v>
      </c>
      <c r="Q56" s="10">
        <v>79.599999999999994</v>
      </c>
      <c r="R56" s="7" t="s">
        <v>32</v>
      </c>
      <c r="S56" s="7" t="s">
        <v>33</v>
      </c>
    </row>
    <row r="57" spans="1:19" x14ac:dyDescent="0.25">
      <c r="A57" s="6">
        <v>16633294</v>
      </c>
      <c r="B57" s="7" t="s">
        <v>29</v>
      </c>
      <c r="C57" s="7" t="s">
        <v>502</v>
      </c>
      <c r="D57" s="7" t="s">
        <v>752</v>
      </c>
      <c r="E57" s="7" t="s">
        <v>757</v>
      </c>
      <c r="F57" s="7" t="s">
        <v>761</v>
      </c>
      <c r="G57" s="7">
        <v>76</v>
      </c>
      <c r="H57" s="7" t="s">
        <v>503</v>
      </c>
      <c r="I57" s="8">
        <v>45747.8055439815</v>
      </c>
      <c r="J57" s="9">
        <v>45644</v>
      </c>
      <c r="K57" s="9">
        <v>45765</v>
      </c>
      <c r="L57" s="7">
        <v>4</v>
      </c>
      <c r="M57" s="10">
        <v>1194.1500000000001</v>
      </c>
      <c r="N57" s="10">
        <f>SUM(NewBusiness[[#This Row],[Premium]]/12)</f>
        <v>99.512500000000003</v>
      </c>
      <c r="O57" s="12">
        <v>0.8</v>
      </c>
      <c r="P57" s="10">
        <v>0</v>
      </c>
      <c r="Q57" s="10">
        <v>79.599999999999994</v>
      </c>
      <c r="R57" s="7" t="s">
        <v>32</v>
      </c>
      <c r="S57" s="7" t="s">
        <v>33</v>
      </c>
    </row>
    <row r="58" spans="1:19" x14ac:dyDescent="0.25">
      <c r="A58" s="6">
        <v>7470776</v>
      </c>
      <c r="B58" s="7" t="s">
        <v>307</v>
      </c>
      <c r="C58" s="7" t="s">
        <v>308</v>
      </c>
      <c r="D58" s="7" t="s">
        <v>753</v>
      </c>
      <c r="E58" s="7" t="s">
        <v>757</v>
      </c>
      <c r="F58" s="7" t="s">
        <v>761</v>
      </c>
      <c r="G58" s="7">
        <v>27</v>
      </c>
      <c r="H58" s="7" t="s">
        <v>309</v>
      </c>
      <c r="I58" s="8">
        <v>45747.8055439815</v>
      </c>
      <c r="J58" s="9">
        <v>45651</v>
      </c>
      <c r="K58" s="9">
        <v>45772</v>
      </c>
      <c r="L58" s="7">
        <v>4</v>
      </c>
      <c r="M58" s="10">
        <v>1168.32</v>
      </c>
      <c r="N58" s="10">
        <f>SUM(NewBusiness[[#This Row],[Premium]]/12)</f>
        <v>97.36</v>
      </c>
      <c r="O58" s="12">
        <v>1.1000000000000001</v>
      </c>
      <c r="P58" s="10">
        <v>0</v>
      </c>
      <c r="Q58" s="10">
        <v>107.1</v>
      </c>
      <c r="R58" s="7" t="s">
        <v>32</v>
      </c>
      <c r="S58" s="7" t="s">
        <v>33</v>
      </c>
    </row>
    <row r="59" spans="1:19" x14ac:dyDescent="0.25">
      <c r="A59" s="6">
        <v>7470776</v>
      </c>
      <c r="B59" s="7" t="s">
        <v>307</v>
      </c>
      <c r="C59" s="7" t="s">
        <v>315</v>
      </c>
      <c r="D59" s="7" t="s">
        <v>752</v>
      </c>
      <c r="E59" s="7" t="s">
        <v>757</v>
      </c>
      <c r="F59" s="7" t="s">
        <v>761</v>
      </c>
      <c r="G59" s="7">
        <v>84</v>
      </c>
      <c r="H59" s="7" t="s">
        <v>316</v>
      </c>
      <c r="I59" s="8">
        <v>45747.8055439815</v>
      </c>
      <c r="J59" s="9">
        <v>45654</v>
      </c>
      <c r="K59" s="9">
        <v>45775</v>
      </c>
      <c r="L59" s="7">
        <v>4</v>
      </c>
      <c r="M59" s="10">
        <v>1265.0899999999999</v>
      </c>
      <c r="N59" s="10">
        <f>SUM(NewBusiness[[#This Row],[Premium]]/12)</f>
        <v>105.42416666666666</v>
      </c>
      <c r="O59" s="12">
        <v>0.8</v>
      </c>
      <c r="P59" s="10">
        <v>0</v>
      </c>
      <c r="Q59" s="10">
        <v>84.34</v>
      </c>
      <c r="R59" s="7" t="s">
        <v>32</v>
      </c>
      <c r="S59" s="7" t="s">
        <v>33</v>
      </c>
    </row>
    <row r="60" spans="1:19" x14ac:dyDescent="0.25">
      <c r="A60" s="6">
        <v>16912722</v>
      </c>
      <c r="B60" s="7" t="s">
        <v>191</v>
      </c>
      <c r="C60" s="7" t="s">
        <v>413</v>
      </c>
      <c r="D60" s="7" t="s">
        <v>749</v>
      </c>
      <c r="E60" s="7" t="s">
        <v>757</v>
      </c>
      <c r="F60" s="7" t="s">
        <v>761</v>
      </c>
      <c r="G60" s="7">
        <v>81</v>
      </c>
      <c r="H60" s="7" t="s">
        <v>414</v>
      </c>
      <c r="I60" s="8">
        <v>45747.8055439815</v>
      </c>
      <c r="J60" s="9">
        <v>45658</v>
      </c>
      <c r="K60" s="9">
        <v>45778</v>
      </c>
      <c r="L60" s="7">
        <v>4</v>
      </c>
      <c r="M60" s="10">
        <v>1184.08</v>
      </c>
      <c r="N60" s="10">
        <f>SUM(NewBusiness[[#This Row],[Premium]]/12)</f>
        <v>98.673333333333332</v>
      </c>
      <c r="O60" s="12">
        <v>0.55000000000000004</v>
      </c>
      <c r="P60" s="10">
        <v>0</v>
      </c>
      <c r="Q60" s="10">
        <v>54.27</v>
      </c>
      <c r="R60" s="7" t="s">
        <v>32</v>
      </c>
      <c r="S60" s="7" t="s">
        <v>33</v>
      </c>
    </row>
    <row r="61" spans="1:19" x14ac:dyDescent="0.25">
      <c r="A61" s="6">
        <v>21104854</v>
      </c>
      <c r="B61" s="7" t="s">
        <v>298</v>
      </c>
      <c r="C61" s="7" t="s">
        <v>405</v>
      </c>
      <c r="D61" s="7" t="s">
        <v>749</v>
      </c>
      <c r="E61" s="7" t="s">
        <v>757</v>
      </c>
      <c r="F61" s="7" t="s">
        <v>761</v>
      </c>
      <c r="G61" s="7">
        <v>84</v>
      </c>
      <c r="H61" s="7" t="s">
        <v>406</v>
      </c>
      <c r="I61" s="8">
        <v>45747.8055439815</v>
      </c>
      <c r="J61" s="9">
        <v>45658</v>
      </c>
      <c r="K61" s="9">
        <v>45778</v>
      </c>
      <c r="L61" s="7">
        <v>4</v>
      </c>
      <c r="M61" s="10">
        <v>580.79999999999995</v>
      </c>
      <c r="N61" s="10">
        <f>SUM(NewBusiness[[#This Row],[Premium]]/12)</f>
        <v>48.4</v>
      </c>
      <c r="O61" s="12">
        <v>0.55000000000000004</v>
      </c>
      <c r="P61" s="10">
        <v>0</v>
      </c>
      <c r="Q61" s="10">
        <v>26.62</v>
      </c>
      <c r="R61" s="7" t="s">
        <v>32</v>
      </c>
      <c r="S61" s="7" t="s">
        <v>33</v>
      </c>
    </row>
    <row r="62" spans="1:19" x14ac:dyDescent="0.25">
      <c r="A62" s="6">
        <v>7470776</v>
      </c>
      <c r="B62" s="7" t="s">
        <v>307</v>
      </c>
      <c r="C62" s="7" t="s">
        <v>590</v>
      </c>
      <c r="D62" s="7" t="s">
        <v>752</v>
      </c>
      <c r="E62" s="7" t="s">
        <v>757</v>
      </c>
      <c r="F62" s="7" t="s">
        <v>761</v>
      </c>
      <c r="G62" s="7">
        <v>84</v>
      </c>
      <c r="H62" s="7" t="s">
        <v>591</v>
      </c>
      <c r="I62" s="8">
        <v>45747.8055439815</v>
      </c>
      <c r="J62" s="9">
        <v>45658</v>
      </c>
      <c r="K62" s="9">
        <v>45778</v>
      </c>
      <c r="L62" s="7">
        <v>4</v>
      </c>
      <c r="M62" s="10">
        <v>788.12</v>
      </c>
      <c r="N62" s="10">
        <f>SUM(NewBusiness[[#This Row],[Premium]]/12)</f>
        <v>65.676666666666662</v>
      </c>
      <c r="O62" s="12">
        <v>0.8</v>
      </c>
      <c r="P62" s="10">
        <v>0</v>
      </c>
      <c r="Q62" s="10">
        <v>52.54</v>
      </c>
      <c r="R62" s="7" t="s">
        <v>55</v>
      </c>
      <c r="S62" s="7" t="s">
        <v>33</v>
      </c>
    </row>
    <row r="63" spans="1:19" x14ac:dyDescent="0.25">
      <c r="A63" s="6">
        <v>17126004</v>
      </c>
      <c r="B63" s="7" t="s">
        <v>173</v>
      </c>
      <c r="C63" s="7" t="s">
        <v>381</v>
      </c>
      <c r="D63" s="7" t="s">
        <v>752</v>
      </c>
      <c r="E63" s="7" t="s">
        <v>757</v>
      </c>
      <c r="F63" s="7" t="s">
        <v>761</v>
      </c>
      <c r="G63" s="7">
        <v>80</v>
      </c>
      <c r="H63" s="7" t="s">
        <v>382</v>
      </c>
      <c r="I63" s="8">
        <v>45747.8055439815</v>
      </c>
      <c r="J63" s="9">
        <v>45658</v>
      </c>
      <c r="K63" s="9">
        <v>45778</v>
      </c>
      <c r="L63" s="7">
        <v>4</v>
      </c>
      <c r="M63" s="10">
        <v>1141.53</v>
      </c>
      <c r="N63" s="10">
        <f>SUM(NewBusiness[[#This Row],[Premium]]/12)</f>
        <v>95.127499999999998</v>
      </c>
      <c r="O63" s="12">
        <v>0.8</v>
      </c>
      <c r="P63" s="10">
        <v>0</v>
      </c>
      <c r="Q63" s="10">
        <v>76.099999999999994</v>
      </c>
      <c r="R63" s="7" t="s">
        <v>32</v>
      </c>
      <c r="S63" s="7" t="s">
        <v>33</v>
      </c>
    </row>
    <row r="64" spans="1:19" x14ac:dyDescent="0.25">
      <c r="A64" s="6">
        <v>18828278</v>
      </c>
      <c r="B64" s="7" t="s">
        <v>166</v>
      </c>
      <c r="C64" s="7" t="s">
        <v>167</v>
      </c>
      <c r="D64" s="7" t="s">
        <v>752</v>
      </c>
      <c r="E64" s="7" t="s">
        <v>757</v>
      </c>
      <c r="F64" s="7" t="s">
        <v>761</v>
      </c>
      <c r="G64" s="7">
        <v>69</v>
      </c>
      <c r="H64" s="7" t="s">
        <v>168</v>
      </c>
      <c r="I64" s="8">
        <v>45747.8055439815</v>
      </c>
      <c r="J64" s="9">
        <v>45658</v>
      </c>
      <c r="K64" s="9">
        <v>45778</v>
      </c>
      <c r="L64" s="7">
        <v>4</v>
      </c>
      <c r="M64" s="10">
        <v>648</v>
      </c>
      <c r="N64" s="10">
        <f>SUM(NewBusiness[[#This Row],[Premium]]/12)</f>
        <v>54</v>
      </c>
      <c r="O64" s="12">
        <v>0.8</v>
      </c>
      <c r="P64" s="10">
        <v>0</v>
      </c>
      <c r="Q64" s="10">
        <v>43.2</v>
      </c>
      <c r="R64" s="7" t="s">
        <v>32</v>
      </c>
      <c r="S64" s="7" t="s">
        <v>33</v>
      </c>
    </row>
    <row r="65" spans="1:19" x14ac:dyDescent="0.25">
      <c r="A65" s="6">
        <v>18828278</v>
      </c>
      <c r="B65" s="7" t="s">
        <v>166</v>
      </c>
      <c r="C65" s="7" t="s">
        <v>199</v>
      </c>
      <c r="D65" s="7" t="s">
        <v>752</v>
      </c>
      <c r="E65" s="7" t="s">
        <v>757</v>
      </c>
      <c r="F65" s="7" t="s">
        <v>761</v>
      </c>
      <c r="G65" s="7">
        <v>65</v>
      </c>
      <c r="H65" s="7" t="s">
        <v>200</v>
      </c>
      <c r="I65" s="8">
        <v>45747.8055439815</v>
      </c>
      <c r="J65" s="9">
        <v>45658</v>
      </c>
      <c r="K65" s="9">
        <v>45778</v>
      </c>
      <c r="L65" s="7">
        <v>4</v>
      </c>
      <c r="M65" s="10">
        <v>345.6</v>
      </c>
      <c r="N65" s="10">
        <f>SUM(NewBusiness[[#This Row],[Premium]]/12)</f>
        <v>28.8</v>
      </c>
      <c r="O65" s="12">
        <v>0.8</v>
      </c>
      <c r="P65" s="10">
        <v>0</v>
      </c>
      <c r="Q65" s="10">
        <v>23.04</v>
      </c>
      <c r="R65" s="7" t="s">
        <v>32</v>
      </c>
      <c r="S65" s="7" t="s">
        <v>33</v>
      </c>
    </row>
    <row r="66" spans="1:19" x14ac:dyDescent="0.25">
      <c r="A66" s="6">
        <v>18828278</v>
      </c>
      <c r="B66" s="7" t="s">
        <v>166</v>
      </c>
      <c r="C66" s="7" t="s">
        <v>287</v>
      </c>
      <c r="D66" s="7" t="s">
        <v>752</v>
      </c>
      <c r="E66" s="7" t="s">
        <v>757</v>
      </c>
      <c r="F66" s="7" t="s">
        <v>761</v>
      </c>
      <c r="G66" s="7">
        <v>75</v>
      </c>
      <c r="H66" s="7" t="s">
        <v>288</v>
      </c>
      <c r="I66" s="8">
        <v>45747.8055439815</v>
      </c>
      <c r="J66" s="9">
        <v>45658</v>
      </c>
      <c r="K66" s="9">
        <v>45778</v>
      </c>
      <c r="L66" s="7">
        <v>4</v>
      </c>
      <c r="M66" s="10">
        <v>658.8</v>
      </c>
      <c r="N66" s="10">
        <f>SUM(NewBusiness[[#This Row],[Premium]]/12)</f>
        <v>54.9</v>
      </c>
      <c r="O66" s="12">
        <v>0.8</v>
      </c>
      <c r="P66" s="10">
        <v>0</v>
      </c>
      <c r="Q66" s="10">
        <v>43.92</v>
      </c>
      <c r="R66" s="7" t="s">
        <v>32</v>
      </c>
      <c r="S66" s="7" t="s">
        <v>33</v>
      </c>
    </row>
    <row r="67" spans="1:19" x14ac:dyDescent="0.25">
      <c r="A67" s="6">
        <v>18828278</v>
      </c>
      <c r="B67" s="7" t="s">
        <v>166</v>
      </c>
      <c r="C67" s="7" t="s">
        <v>375</v>
      </c>
      <c r="D67" s="7" t="s">
        <v>752</v>
      </c>
      <c r="E67" s="7" t="s">
        <v>757</v>
      </c>
      <c r="F67" s="7" t="s">
        <v>761</v>
      </c>
      <c r="G67" s="7">
        <v>65</v>
      </c>
      <c r="H67" s="7" t="s">
        <v>376</v>
      </c>
      <c r="I67" s="8">
        <v>45747.8055439815</v>
      </c>
      <c r="J67" s="9">
        <v>45658</v>
      </c>
      <c r="K67" s="9">
        <v>45778</v>
      </c>
      <c r="L67" s="7">
        <v>4</v>
      </c>
      <c r="M67" s="10">
        <v>716.4</v>
      </c>
      <c r="N67" s="10">
        <f>SUM(NewBusiness[[#This Row],[Premium]]/12)</f>
        <v>59.699999999999996</v>
      </c>
      <c r="O67" s="12">
        <v>0.8</v>
      </c>
      <c r="P67" s="10">
        <v>0</v>
      </c>
      <c r="Q67" s="10">
        <v>47.76</v>
      </c>
      <c r="R67" s="7" t="s">
        <v>32</v>
      </c>
      <c r="S67" s="7" t="s">
        <v>33</v>
      </c>
    </row>
    <row r="68" spans="1:19" x14ac:dyDescent="0.25">
      <c r="A68" s="6">
        <v>18828278</v>
      </c>
      <c r="B68" s="7" t="s">
        <v>166</v>
      </c>
      <c r="C68" s="7" t="s">
        <v>391</v>
      </c>
      <c r="D68" s="7" t="s">
        <v>752</v>
      </c>
      <c r="E68" s="7" t="s">
        <v>757</v>
      </c>
      <c r="F68" s="7" t="s">
        <v>761</v>
      </c>
      <c r="G68" s="7">
        <v>66</v>
      </c>
      <c r="H68" s="7" t="s">
        <v>392</v>
      </c>
      <c r="I68" s="8">
        <v>45747.8055439815</v>
      </c>
      <c r="J68" s="9">
        <v>45658</v>
      </c>
      <c r="K68" s="9">
        <v>45778</v>
      </c>
      <c r="L68" s="7">
        <v>4</v>
      </c>
      <c r="M68" s="10">
        <v>716.4</v>
      </c>
      <c r="N68" s="10">
        <f>SUM(NewBusiness[[#This Row],[Premium]]/12)</f>
        <v>59.699999999999996</v>
      </c>
      <c r="O68" s="12">
        <v>0.8</v>
      </c>
      <c r="P68" s="10">
        <v>0</v>
      </c>
      <c r="Q68" s="10">
        <v>47.76</v>
      </c>
      <c r="R68" s="7" t="s">
        <v>32</v>
      </c>
      <c r="S68" s="7" t="s">
        <v>33</v>
      </c>
    </row>
    <row r="69" spans="1:19" x14ac:dyDescent="0.25">
      <c r="A69" s="6">
        <v>18828278</v>
      </c>
      <c r="B69" s="7" t="s">
        <v>166</v>
      </c>
      <c r="C69" s="7" t="s">
        <v>401</v>
      </c>
      <c r="D69" s="7" t="s">
        <v>752</v>
      </c>
      <c r="E69" s="7" t="s">
        <v>757</v>
      </c>
      <c r="F69" s="7" t="s">
        <v>761</v>
      </c>
      <c r="G69" s="7">
        <v>74</v>
      </c>
      <c r="H69" s="7" t="s">
        <v>402</v>
      </c>
      <c r="I69" s="8">
        <v>45747.8055439815</v>
      </c>
      <c r="J69" s="9">
        <v>45658</v>
      </c>
      <c r="K69" s="9">
        <v>45778</v>
      </c>
      <c r="L69" s="7">
        <v>4</v>
      </c>
      <c r="M69" s="10">
        <v>622.79999999999995</v>
      </c>
      <c r="N69" s="10">
        <f>SUM(NewBusiness[[#This Row],[Premium]]/12)</f>
        <v>51.9</v>
      </c>
      <c r="O69" s="12">
        <v>0.8</v>
      </c>
      <c r="P69" s="10">
        <v>0</v>
      </c>
      <c r="Q69" s="10">
        <v>41.52</v>
      </c>
      <c r="R69" s="7" t="s">
        <v>32</v>
      </c>
      <c r="S69" s="7" t="s">
        <v>33</v>
      </c>
    </row>
    <row r="70" spans="1:19" x14ac:dyDescent="0.25">
      <c r="A70" s="6">
        <v>18828278</v>
      </c>
      <c r="B70" s="7" t="s">
        <v>166</v>
      </c>
      <c r="C70" s="7" t="s">
        <v>653</v>
      </c>
      <c r="D70" s="7" t="s">
        <v>752</v>
      </c>
      <c r="E70" s="7" t="s">
        <v>757</v>
      </c>
      <c r="F70" s="7" t="s">
        <v>761</v>
      </c>
      <c r="G70" s="7">
        <v>73</v>
      </c>
      <c r="H70" s="7" t="s">
        <v>654</v>
      </c>
      <c r="I70" s="8">
        <v>45747.8055439815</v>
      </c>
      <c r="J70" s="9">
        <v>45658</v>
      </c>
      <c r="K70" s="9">
        <v>45778</v>
      </c>
      <c r="L70" s="7">
        <v>4</v>
      </c>
      <c r="M70" s="10">
        <v>525.6</v>
      </c>
      <c r="N70" s="10">
        <f>SUM(NewBusiness[[#This Row],[Premium]]/12)</f>
        <v>43.800000000000004</v>
      </c>
      <c r="O70" s="12">
        <v>0.8</v>
      </c>
      <c r="P70" s="10">
        <v>0</v>
      </c>
      <c r="Q70" s="10">
        <v>35.04</v>
      </c>
      <c r="R70" s="7" t="s">
        <v>32</v>
      </c>
      <c r="S70" s="7" t="s">
        <v>33</v>
      </c>
    </row>
    <row r="71" spans="1:19" x14ac:dyDescent="0.25">
      <c r="A71" s="6">
        <v>18828278</v>
      </c>
      <c r="B71" s="7" t="s">
        <v>166</v>
      </c>
      <c r="C71" s="7" t="s">
        <v>686</v>
      </c>
      <c r="D71" s="7" t="s">
        <v>752</v>
      </c>
      <c r="E71" s="7" t="s">
        <v>757</v>
      </c>
      <c r="F71" s="7" t="s">
        <v>761</v>
      </c>
      <c r="G71" s="7">
        <v>75</v>
      </c>
      <c r="H71" s="7" t="s">
        <v>687</v>
      </c>
      <c r="I71" s="8">
        <v>45747.8055439815</v>
      </c>
      <c r="J71" s="9">
        <v>45658</v>
      </c>
      <c r="K71" s="9">
        <v>45778</v>
      </c>
      <c r="L71" s="7">
        <v>4</v>
      </c>
      <c r="M71" s="10">
        <v>640.79999999999995</v>
      </c>
      <c r="N71" s="10">
        <f>SUM(NewBusiness[[#This Row],[Premium]]/12)</f>
        <v>53.4</v>
      </c>
      <c r="O71" s="12">
        <v>0.8</v>
      </c>
      <c r="P71" s="10">
        <v>0</v>
      </c>
      <c r="Q71" s="10">
        <v>42.72</v>
      </c>
      <c r="R71" s="7" t="s">
        <v>32</v>
      </c>
      <c r="S71" s="7" t="s">
        <v>33</v>
      </c>
    </row>
    <row r="72" spans="1:19" x14ac:dyDescent="0.25">
      <c r="A72" s="6">
        <v>371819</v>
      </c>
      <c r="B72" s="7" t="s">
        <v>235</v>
      </c>
      <c r="C72" s="7" t="s">
        <v>236</v>
      </c>
      <c r="D72" s="7" t="s">
        <v>752</v>
      </c>
      <c r="E72" s="7" t="s">
        <v>757</v>
      </c>
      <c r="F72" s="7" t="s">
        <v>761</v>
      </c>
      <c r="G72" s="7">
        <v>67</v>
      </c>
      <c r="H72" s="7" t="s">
        <v>237</v>
      </c>
      <c r="I72" s="8">
        <v>45747.8055439815</v>
      </c>
      <c r="J72" s="9">
        <v>45658</v>
      </c>
      <c r="K72" s="9">
        <v>45778</v>
      </c>
      <c r="L72" s="7">
        <v>4</v>
      </c>
      <c r="M72" s="10">
        <v>921.6</v>
      </c>
      <c r="N72" s="10">
        <f>SUM(NewBusiness[[#This Row],[Premium]]/12)</f>
        <v>76.8</v>
      </c>
      <c r="O72" s="12">
        <v>0.8</v>
      </c>
      <c r="P72" s="10">
        <v>0</v>
      </c>
      <c r="Q72" s="10">
        <v>61.44</v>
      </c>
      <c r="R72" s="7" t="s">
        <v>238</v>
      </c>
      <c r="S72" s="7" t="s">
        <v>33</v>
      </c>
    </row>
    <row r="73" spans="1:19" x14ac:dyDescent="0.25">
      <c r="A73" s="6">
        <v>371819</v>
      </c>
      <c r="B73" s="7" t="s">
        <v>235</v>
      </c>
      <c r="C73" s="7" t="s">
        <v>236</v>
      </c>
      <c r="D73" s="7" t="s">
        <v>752</v>
      </c>
      <c r="E73" s="7" t="s">
        <v>757</v>
      </c>
      <c r="F73" s="7" t="s">
        <v>761</v>
      </c>
      <c r="G73" s="7">
        <v>67</v>
      </c>
      <c r="H73" s="7" t="s">
        <v>237</v>
      </c>
      <c r="I73" s="8">
        <v>45747.8055439815</v>
      </c>
      <c r="J73" s="9">
        <v>45658</v>
      </c>
      <c r="K73" s="9">
        <v>45778</v>
      </c>
      <c r="L73" s="7">
        <v>4</v>
      </c>
      <c r="M73" s="10">
        <v>921.6</v>
      </c>
      <c r="N73" s="10">
        <f>SUM(NewBusiness[[#This Row],[Premium]]/12)</f>
        <v>76.8</v>
      </c>
      <c r="O73" s="12">
        <v>0.8</v>
      </c>
      <c r="P73" s="10">
        <v>0</v>
      </c>
      <c r="Q73" s="10">
        <v>61.44</v>
      </c>
      <c r="R73" s="7" t="s">
        <v>238</v>
      </c>
      <c r="S73" s="7" t="s">
        <v>33</v>
      </c>
    </row>
    <row r="74" spans="1:19" x14ac:dyDescent="0.25">
      <c r="A74" s="6">
        <v>371819</v>
      </c>
      <c r="B74" s="7" t="s">
        <v>235</v>
      </c>
      <c r="C74" s="7" t="s">
        <v>443</v>
      </c>
      <c r="D74" s="7" t="s">
        <v>752</v>
      </c>
      <c r="E74" s="7" t="s">
        <v>757</v>
      </c>
      <c r="F74" s="7" t="s">
        <v>761</v>
      </c>
      <c r="G74" s="7">
        <v>68</v>
      </c>
      <c r="H74" s="7" t="s">
        <v>444</v>
      </c>
      <c r="I74" s="8">
        <v>45747.8055439815</v>
      </c>
      <c r="J74" s="9">
        <v>45658</v>
      </c>
      <c r="K74" s="9">
        <v>45778</v>
      </c>
      <c r="L74" s="7">
        <v>4</v>
      </c>
      <c r="M74" s="10">
        <v>986.4</v>
      </c>
      <c r="N74" s="10">
        <f>SUM(NewBusiness[[#This Row],[Premium]]/12)</f>
        <v>82.2</v>
      </c>
      <c r="O74" s="12">
        <v>0.8</v>
      </c>
      <c r="P74" s="10">
        <v>0</v>
      </c>
      <c r="Q74" s="10">
        <v>65.760000000000005</v>
      </c>
      <c r="R74" s="7" t="s">
        <v>32</v>
      </c>
      <c r="S74" s="7" t="s">
        <v>33</v>
      </c>
    </row>
    <row r="75" spans="1:19" s="15" customFormat="1" x14ac:dyDescent="0.25">
      <c r="A75" s="14">
        <v>371819</v>
      </c>
      <c r="B75" s="15" t="s">
        <v>235</v>
      </c>
      <c r="C75" s="15" t="s">
        <v>236</v>
      </c>
      <c r="D75" s="15" t="s">
        <v>752</v>
      </c>
      <c r="E75" s="15" t="s">
        <v>757</v>
      </c>
      <c r="F75" s="15" t="s">
        <v>761</v>
      </c>
      <c r="G75" s="15">
        <v>67</v>
      </c>
      <c r="H75" s="15" t="s">
        <v>237</v>
      </c>
      <c r="I75" s="16">
        <v>45747.8055439815</v>
      </c>
      <c r="J75" s="17">
        <v>45658</v>
      </c>
      <c r="K75" s="17">
        <v>45778</v>
      </c>
      <c r="L75" s="15">
        <v>4</v>
      </c>
      <c r="M75" s="18">
        <v>921.6</v>
      </c>
      <c r="N75" s="18">
        <f>SUM(NewBusiness[[#This Row],[Premium]]/12)</f>
        <v>76.8</v>
      </c>
      <c r="O75" s="19">
        <v>0.8</v>
      </c>
      <c r="P75" s="18">
        <v>0</v>
      </c>
      <c r="Q75" s="18">
        <v>-61.44</v>
      </c>
      <c r="R75" s="15" t="s">
        <v>238</v>
      </c>
      <c r="S75" s="15" t="s">
        <v>33</v>
      </c>
    </row>
    <row r="76" spans="1:19" x14ac:dyDescent="0.25">
      <c r="A76" s="6">
        <v>16912722</v>
      </c>
      <c r="B76" s="7" t="s">
        <v>191</v>
      </c>
      <c r="C76" s="7" t="s">
        <v>192</v>
      </c>
      <c r="D76" s="7" t="s">
        <v>752</v>
      </c>
      <c r="E76" s="7" t="s">
        <v>757</v>
      </c>
      <c r="F76" s="7" t="s">
        <v>761</v>
      </c>
      <c r="G76" s="7">
        <v>67</v>
      </c>
      <c r="H76" s="7" t="s">
        <v>193</v>
      </c>
      <c r="I76" s="8">
        <v>45747.8055439815</v>
      </c>
      <c r="J76" s="9">
        <v>45658</v>
      </c>
      <c r="K76" s="9">
        <v>45778</v>
      </c>
      <c r="L76" s="7">
        <v>4</v>
      </c>
      <c r="M76" s="10">
        <v>1266</v>
      </c>
      <c r="N76" s="10">
        <f>SUM(NewBusiness[[#This Row],[Premium]]/12)</f>
        <v>105.5</v>
      </c>
      <c r="O76" s="12">
        <v>0.8</v>
      </c>
      <c r="P76" s="10">
        <v>0</v>
      </c>
      <c r="Q76" s="10">
        <v>84.4</v>
      </c>
      <c r="R76" s="7" t="s">
        <v>32</v>
      </c>
      <c r="S76" s="7" t="s">
        <v>33</v>
      </c>
    </row>
    <row r="77" spans="1:19" x14ac:dyDescent="0.25">
      <c r="A77" s="6">
        <v>16912722</v>
      </c>
      <c r="B77" s="7" t="s">
        <v>191</v>
      </c>
      <c r="C77" s="7" t="s">
        <v>221</v>
      </c>
      <c r="D77" s="7" t="s">
        <v>752</v>
      </c>
      <c r="E77" s="7" t="s">
        <v>757</v>
      </c>
      <c r="F77" s="7" t="s">
        <v>761</v>
      </c>
      <c r="G77" s="7">
        <v>74</v>
      </c>
      <c r="H77" s="7" t="s">
        <v>222</v>
      </c>
      <c r="I77" s="8">
        <v>45747.8055439815</v>
      </c>
      <c r="J77" s="9">
        <v>45658</v>
      </c>
      <c r="K77" s="9">
        <v>45778</v>
      </c>
      <c r="L77" s="7">
        <v>4</v>
      </c>
      <c r="M77" s="10">
        <v>2160</v>
      </c>
      <c r="N77" s="10">
        <f>SUM(NewBusiness[[#This Row],[Premium]]/12)</f>
        <v>180</v>
      </c>
      <c r="O77" s="12">
        <v>0.8</v>
      </c>
      <c r="P77" s="10">
        <v>0</v>
      </c>
      <c r="Q77" s="10">
        <v>144</v>
      </c>
      <c r="R77" s="7" t="s">
        <v>32</v>
      </c>
      <c r="S77" s="7" t="s">
        <v>33</v>
      </c>
    </row>
    <row r="78" spans="1:19" x14ac:dyDescent="0.25">
      <c r="A78" s="6">
        <v>16912722</v>
      </c>
      <c r="B78" s="7" t="s">
        <v>191</v>
      </c>
      <c r="C78" s="7" t="s">
        <v>225</v>
      </c>
      <c r="D78" s="7" t="s">
        <v>752</v>
      </c>
      <c r="E78" s="7" t="s">
        <v>757</v>
      </c>
      <c r="F78" s="7" t="s">
        <v>761</v>
      </c>
      <c r="G78" s="7">
        <v>74</v>
      </c>
      <c r="H78" s="7" t="s">
        <v>226</v>
      </c>
      <c r="I78" s="8">
        <v>45747.8055439815</v>
      </c>
      <c r="J78" s="9">
        <v>45658</v>
      </c>
      <c r="K78" s="9">
        <v>45778</v>
      </c>
      <c r="L78" s="7">
        <v>4</v>
      </c>
      <c r="M78" s="10">
        <v>1669.2</v>
      </c>
      <c r="N78" s="10">
        <f>SUM(NewBusiness[[#This Row],[Premium]]/12)</f>
        <v>139.1</v>
      </c>
      <c r="O78" s="12">
        <v>0.8</v>
      </c>
      <c r="P78" s="10">
        <v>0</v>
      </c>
      <c r="Q78" s="10">
        <v>111.28</v>
      </c>
      <c r="R78" s="7" t="s">
        <v>32</v>
      </c>
      <c r="S78" s="7" t="s">
        <v>33</v>
      </c>
    </row>
    <row r="79" spans="1:19" x14ac:dyDescent="0.25">
      <c r="A79" s="6">
        <v>16912722</v>
      </c>
      <c r="B79" s="7" t="s">
        <v>191</v>
      </c>
      <c r="C79" s="7" t="s">
        <v>267</v>
      </c>
      <c r="D79" s="7" t="s">
        <v>752</v>
      </c>
      <c r="E79" s="7" t="s">
        <v>757</v>
      </c>
      <c r="F79" s="7" t="s">
        <v>761</v>
      </c>
      <c r="G79" s="7">
        <v>66</v>
      </c>
      <c r="H79" s="7" t="s">
        <v>268</v>
      </c>
      <c r="I79" s="8">
        <v>45747.8055439815</v>
      </c>
      <c r="J79" s="9">
        <v>45658</v>
      </c>
      <c r="K79" s="9">
        <v>45778</v>
      </c>
      <c r="L79" s="7">
        <v>4</v>
      </c>
      <c r="M79" s="10">
        <v>1389.42</v>
      </c>
      <c r="N79" s="10">
        <f>SUM(NewBusiness[[#This Row],[Premium]]/12)</f>
        <v>115.78500000000001</v>
      </c>
      <c r="O79" s="12">
        <v>0.8</v>
      </c>
      <c r="P79" s="10">
        <v>0</v>
      </c>
      <c r="Q79" s="10">
        <v>92.62</v>
      </c>
      <c r="R79" s="7" t="s">
        <v>32</v>
      </c>
      <c r="S79" s="7" t="s">
        <v>33</v>
      </c>
    </row>
    <row r="80" spans="1:19" x14ac:dyDescent="0.25">
      <c r="A80" s="6">
        <v>16912722</v>
      </c>
      <c r="B80" s="7" t="s">
        <v>191</v>
      </c>
      <c r="C80" s="7" t="s">
        <v>423</v>
      </c>
      <c r="D80" s="7" t="s">
        <v>752</v>
      </c>
      <c r="E80" s="7" t="s">
        <v>757</v>
      </c>
      <c r="F80" s="7" t="s">
        <v>761</v>
      </c>
      <c r="G80" s="7">
        <v>76</v>
      </c>
      <c r="H80" s="7" t="s">
        <v>424</v>
      </c>
      <c r="I80" s="8">
        <v>45747.8055439815</v>
      </c>
      <c r="J80" s="9">
        <v>45658</v>
      </c>
      <c r="K80" s="9">
        <v>45778</v>
      </c>
      <c r="L80" s="7">
        <v>4</v>
      </c>
      <c r="M80" s="10">
        <v>1099.26</v>
      </c>
      <c r="N80" s="10">
        <f>SUM(NewBusiness[[#This Row],[Premium]]/12)</f>
        <v>91.605000000000004</v>
      </c>
      <c r="O80" s="12">
        <v>0.8</v>
      </c>
      <c r="P80" s="10">
        <v>0</v>
      </c>
      <c r="Q80" s="10">
        <v>73.28</v>
      </c>
      <c r="R80" s="7" t="s">
        <v>32</v>
      </c>
      <c r="S80" s="7" t="s">
        <v>33</v>
      </c>
    </row>
    <row r="81" spans="1:19" x14ac:dyDescent="0.25">
      <c r="A81" s="6">
        <v>16912722</v>
      </c>
      <c r="B81" s="7" t="s">
        <v>191</v>
      </c>
      <c r="C81" s="7" t="s">
        <v>533</v>
      </c>
      <c r="D81" s="7" t="s">
        <v>752</v>
      </c>
      <c r="E81" s="7" t="s">
        <v>757</v>
      </c>
      <c r="F81" s="7" t="s">
        <v>761</v>
      </c>
      <c r="G81" s="7">
        <v>70</v>
      </c>
      <c r="H81" s="7" t="s">
        <v>534</v>
      </c>
      <c r="I81" s="8">
        <v>45747.8055439815</v>
      </c>
      <c r="J81" s="9">
        <v>45658</v>
      </c>
      <c r="K81" s="9">
        <v>45778</v>
      </c>
      <c r="L81" s="7">
        <v>4</v>
      </c>
      <c r="M81" s="10">
        <v>1489.86</v>
      </c>
      <c r="N81" s="10">
        <f>SUM(NewBusiness[[#This Row],[Premium]]/12)</f>
        <v>124.15499999999999</v>
      </c>
      <c r="O81" s="12">
        <v>0.8</v>
      </c>
      <c r="P81" s="10">
        <v>0</v>
      </c>
      <c r="Q81" s="10">
        <v>99.32</v>
      </c>
      <c r="R81" s="7" t="s">
        <v>32</v>
      </c>
      <c r="S81" s="7" t="s">
        <v>33</v>
      </c>
    </row>
    <row r="82" spans="1:19" x14ac:dyDescent="0.25">
      <c r="A82" s="6">
        <v>19200754</v>
      </c>
      <c r="B82" s="7" t="s">
        <v>180</v>
      </c>
      <c r="C82" s="7" t="s">
        <v>181</v>
      </c>
      <c r="D82" s="7" t="s">
        <v>752</v>
      </c>
      <c r="E82" s="7" t="s">
        <v>757</v>
      </c>
      <c r="F82" s="7" t="s">
        <v>761</v>
      </c>
      <c r="G82" s="7">
        <v>72</v>
      </c>
      <c r="H82" s="7" t="s">
        <v>182</v>
      </c>
      <c r="I82" s="8">
        <v>45747.8055439815</v>
      </c>
      <c r="J82" s="9">
        <v>45658</v>
      </c>
      <c r="K82" s="9">
        <v>45778</v>
      </c>
      <c r="L82" s="7">
        <v>4</v>
      </c>
      <c r="M82" s="10">
        <v>1143.9100000000001</v>
      </c>
      <c r="N82" s="10">
        <f>SUM(NewBusiness[[#This Row],[Premium]]/12)</f>
        <v>95.325833333333335</v>
      </c>
      <c r="O82" s="12">
        <v>0.8</v>
      </c>
      <c r="P82" s="10">
        <v>0</v>
      </c>
      <c r="Q82" s="10">
        <v>76.260000000000005</v>
      </c>
      <c r="R82" s="7" t="s">
        <v>32</v>
      </c>
      <c r="S82" s="7" t="s">
        <v>33</v>
      </c>
    </row>
    <row r="83" spans="1:19" x14ac:dyDescent="0.25">
      <c r="A83" s="6">
        <v>19200754</v>
      </c>
      <c r="B83" s="7" t="s">
        <v>180</v>
      </c>
      <c r="C83" s="7" t="s">
        <v>407</v>
      </c>
      <c r="D83" s="7" t="s">
        <v>752</v>
      </c>
      <c r="E83" s="7" t="s">
        <v>757</v>
      </c>
      <c r="F83" s="7" t="s">
        <v>761</v>
      </c>
      <c r="G83" s="7">
        <v>72</v>
      </c>
      <c r="H83" s="7" t="s">
        <v>408</v>
      </c>
      <c r="I83" s="8">
        <v>45747.8055439815</v>
      </c>
      <c r="J83" s="9">
        <v>45658</v>
      </c>
      <c r="K83" s="9">
        <v>45778</v>
      </c>
      <c r="L83" s="7">
        <v>4</v>
      </c>
      <c r="M83" s="10">
        <v>1143.9100000000001</v>
      </c>
      <c r="N83" s="10">
        <f>SUM(NewBusiness[[#This Row],[Premium]]/12)</f>
        <v>95.325833333333335</v>
      </c>
      <c r="O83" s="12">
        <v>0.8</v>
      </c>
      <c r="P83" s="10">
        <v>0</v>
      </c>
      <c r="Q83" s="10">
        <v>76.260000000000005</v>
      </c>
      <c r="R83" s="7" t="s">
        <v>32</v>
      </c>
      <c r="S83" s="7" t="s">
        <v>33</v>
      </c>
    </row>
    <row r="84" spans="1:19" x14ac:dyDescent="0.25">
      <c r="A84" s="6">
        <v>19481808</v>
      </c>
      <c r="B84" s="7" t="s">
        <v>85</v>
      </c>
      <c r="C84" s="7" t="s">
        <v>231</v>
      </c>
      <c r="D84" s="7" t="s">
        <v>752</v>
      </c>
      <c r="E84" s="7" t="s">
        <v>757</v>
      </c>
      <c r="F84" s="7" t="s">
        <v>761</v>
      </c>
      <c r="G84" s="7">
        <v>65</v>
      </c>
      <c r="H84" s="7" t="s">
        <v>232</v>
      </c>
      <c r="I84" s="8">
        <v>45747.8055439815</v>
      </c>
      <c r="J84" s="9">
        <v>45658</v>
      </c>
      <c r="K84" s="9">
        <v>45778</v>
      </c>
      <c r="L84" s="7">
        <v>4</v>
      </c>
      <c r="M84" s="10">
        <v>1435.2</v>
      </c>
      <c r="N84" s="10">
        <f>SUM(NewBusiness[[#This Row],[Premium]]/12)</f>
        <v>119.60000000000001</v>
      </c>
      <c r="O84" s="12">
        <v>0.8</v>
      </c>
      <c r="P84" s="10">
        <v>0</v>
      </c>
      <c r="Q84" s="10">
        <v>95.68</v>
      </c>
      <c r="R84" s="7" t="s">
        <v>32</v>
      </c>
      <c r="S84" s="7" t="s">
        <v>33</v>
      </c>
    </row>
    <row r="85" spans="1:19" x14ac:dyDescent="0.25">
      <c r="A85" s="6">
        <v>7470776</v>
      </c>
      <c r="B85" s="7" t="s">
        <v>307</v>
      </c>
      <c r="C85" s="7" t="s">
        <v>496</v>
      </c>
      <c r="D85" s="7" t="s">
        <v>754</v>
      </c>
      <c r="E85" s="7" t="s">
        <v>757</v>
      </c>
      <c r="F85" s="7" t="s">
        <v>761</v>
      </c>
      <c r="G85" s="7">
        <v>68</v>
      </c>
      <c r="H85" s="7" t="s">
        <v>497</v>
      </c>
      <c r="I85" s="8">
        <v>45747.8055439815</v>
      </c>
      <c r="J85" s="9">
        <v>45658</v>
      </c>
      <c r="K85" s="9">
        <v>45778</v>
      </c>
      <c r="L85" s="7">
        <v>4</v>
      </c>
      <c r="M85" s="10">
        <v>522.51</v>
      </c>
      <c r="N85" s="10">
        <f>SUM(NewBusiness[[#This Row],[Premium]]/12)</f>
        <v>43.542499999999997</v>
      </c>
      <c r="O85" s="12">
        <v>0.85</v>
      </c>
      <c r="P85" s="10">
        <v>0</v>
      </c>
      <c r="Q85" s="10">
        <v>37.01</v>
      </c>
      <c r="R85" s="7" t="s">
        <v>32</v>
      </c>
      <c r="S85" s="7" t="s">
        <v>33</v>
      </c>
    </row>
    <row r="86" spans="1:19" x14ac:dyDescent="0.25">
      <c r="A86" s="6">
        <v>17126004</v>
      </c>
      <c r="B86" s="7" t="s">
        <v>173</v>
      </c>
      <c r="C86" s="7" t="s">
        <v>627</v>
      </c>
      <c r="D86" s="7" t="s">
        <v>754</v>
      </c>
      <c r="E86" s="7" t="s">
        <v>757</v>
      </c>
      <c r="F86" s="7" t="s">
        <v>761</v>
      </c>
      <c r="G86" s="7">
        <v>62</v>
      </c>
      <c r="H86" s="7" t="s">
        <v>628</v>
      </c>
      <c r="I86" s="8">
        <v>45747.8055439815</v>
      </c>
      <c r="J86" s="9">
        <v>45658</v>
      </c>
      <c r="K86" s="9">
        <v>45778</v>
      </c>
      <c r="L86" s="7">
        <v>4</v>
      </c>
      <c r="M86" s="10">
        <v>691.96</v>
      </c>
      <c r="N86" s="10">
        <f>SUM(NewBusiness[[#This Row],[Premium]]/12)</f>
        <v>57.663333333333334</v>
      </c>
      <c r="O86" s="12">
        <v>0.85</v>
      </c>
      <c r="P86" s="10">
        <v>0</v>
      </c>
      <c r="Q86" s="10">
        <v>49.01</v>
      </c>
      <c r="R86" s="7" t="s">
        <v>32</v>
      </c>
      <c r="S86" s="7" t="s">
        <v>33</v>
      </c>
    </row>
    <row r="87" spans="1:19" x14ac:dyDescent="0.25">
      <c r="A87" s="6">
        <v>19200754</v>
      </c>
      <c r="B87" s="7" t="s">
        <v>180</v>
      </c>
      <c r="C87" s="7" t="s">
        <v>241</v>
      </c>
      <c r="D87" s="7" t="s">
        <v>754</v>
      </c>
      <c r="E87" s="7" t="s">
        <v>757</v>
      </c>
      <c r="F87" s="7" t="s">
        <v>761</v>
      </c>
      <c r="G87" s="7">
        <v>68</v>
      </c>
      <c r="H87" s="7" t="s">
        <v>242</v>
      </c>
      <c r="I87" s="8">
        <v>45747.8055439815</v>
      </c>
      <c r="J87" s="9">
        <v>45658</v>
      </c>
      <c r="K87" s="9">
        <v>45778</v>
      </c>
      <c r="L87" s="7">
        <v>4</v>
      </c>
      <c r="M87" s="10">
        <v>551.12</v>
      </c>
      <c r="N87" s="10">
        <f>SUM(NewBusiness[[#This Row],[Premium]]/12)</f>
        <v>45.926666666666669</v>
      </c>
      <c r="O87" s="12">
        <v>0.85</v>
      </c>
      <c r="P87" s="10">
        <v>0</v>
      </c>
      <c r="Q87" s="10">
        <v>39.03</v>
      </c>
      <c r="R87" s="7" t="s">
        <v>32</v>
      </c>
      <c r="S87" s="7" t="s">
        <v>33</v>
      </c>
    </row>
    <row r="88" spans="1:19" x14ac:dyDescent="0.25">
      <c r="A88" s="6">
        <v>19200754</v>
      </c>
      <c r="B88" s="7" t="s">
        <v>180</v>
      </c>
      <c r="C88" s="7" t="s">
        <v>680</v>
      </c>
      <c r="D88" s="7" t="s">
        <v>754</v>
      </c>
      <c r="E88" s="7" t="s">
        <v>757</v>
      </c>
      <c r="F88" s="7" t="s">
        <v>761</v>
      </c>
      <c r="G88" s="7">
        <v>72</v>
      </c>
      <c r="H88" s="7" t="s">
        <v>681</v>
      </c>
      <c r="I88" s="8">
        <v>45747.8055439815</v>
      </c>
      <c r="J88" s="9">
        <v>45658</v>
      </c>
      <c r="K88" s="9">
        <v>45778</v>
      </c>
      <c r="L88" s="7">
        <v>4</v>
      </c>
      <c r="M88" s="10">
        <v>358.76</v>
      </c>
      <c r="N88" s="10">
        <f>SUM(NewBusiness[[#This Row],[Premium]]/12)</f>
        <v>29.896666666666665</v>
      </c>
      <c r="O88" s="12">
        <v>0.85</v>
      </c>
      <c r="P88" s="10">
        <v>0</v>
      </c>
      <c r="Q88" s="10">
        <v>25.41</v>
      </c>
      <c r="R88" s="7" t="s">
        <v>32</v>
      </c>
      <c r="S88" s="7" t="s">
        <v>33</v>
      </c>
    </row>
    <row r="89" spans="1:19" x14ac:dyDescent="0.25">
      <c r="A89" s="6">
        <v>7470776</v>
      </c>
      <c r="B89" s="7" t="s">
        <v>307</v>
      </c>
      <c r="C89" s="7" t="s">
        <v>544</v>
      </c>
      <c r="D89" s="7" t="s">
        <v>753</v>
      </c>
      <c r="E89" s="7" t="s">
        <v>757</v>
      </c>
      <c r="F89" s="7" t="s">
        <v>761</v>
      </c>
      <c r="G89" s="7">
        <v>52</v>
      </c>
      <c r="H89" s="7" t="s">
        <v>545</v>
      </c>
      <c r="I89" s="8">
        <v>45747.8055439815</v>
      </c>
      <c r="J89" s="9">
        <v>45658</v>
      </c>
      <c r="K89" s="9">
        <v>45778</v>
      </c>
      <c r="L89" s="7">
        <v>4</v>
      </c>
      <c r="M89" s="10">
        <v>1426.28</v>
      </c>
      <c r="N89" s="10">
        <f>SUM(NewBusiness[[#This Row],[Premium]]/12)</f>
        <v>118.85666666666667</v>
      </c>
      <c r="O89" s="12">
        <v>1.1000000000000001</v>
      </c>
      <c r="P89" s="10">
        <v>0</v>
      </c>
      <c r="Q89" s="10">
        <v>130.75</v>
      </c>
      <c r="R89" s="7" t="s">
        <v>32</v>
      </c>
      <c r="S89" s="7" t="s">
        <v>33</v>
      </c>
    </row>
    <row r="90" spans="1:19" x14ac:dyDescent="0.25">
      <c r="A90" s="6">
        <v>19681796</v>
      </c>
      <c r="B90" s="7" t="s">
        <v>102</v>
      </c>
      <c r="C90" s="7" t="s">
        <v>550</v>
      </c>
      <c r="D90" s="7" t="s">
        <v>752</v>
      </c>
      <c r="E90" s="7" t="s">
        <v>757</v>
      </c>
      <c r="F90" s="7" t="s">
        <v>761</v>
      </c>
      <c r="G90" s="7">
        <v>65</v>
      </c>
      <c r="H90" s="7" t="s">
        <v>551</v>
      </c>
      <c r="I90" s="8">
        <v>45747.8055439815</v>
      </c>
      <c r="J90" s="9">
        <v>45717</v>
      </c>
      <c r="K90" s="9">
        <v>45809</v>
      </c>
      <c r="L90" s="7">
        <v>4</v>
      </c>
      <c r="M90" s="10">
        <v>1190.4000000000001</v>
      </c>
      <c r="N90" s="10">
        <f>SUM(NewBusiness[[#This Row],[Premium]]/12)</f>
        <v>99.2</v>
      </c>
      <c r="O90" s="12">
        <v>0.8</v>
      </c>
      <c r="P90" s="10">
        <v>0</v>
      </c>
      <c r="Q90" s="10">
        <v>238.08</v>
      </c>
      <c r="R90" s="7" t="s">
        <v>32</v>
      </c>
      <c r="S90" s="7" t="s">
        <v>33</v>
      </c>
    </row>
    <row r="91" spans="1:19" x14ac:dyDescent="0.25">
      <c r="A91" s="6">
        <v>21104854</v>
      </c>
      <c r="B91" s="7" t="s">
        <v>298</v>
      </c>
      <c r="C91" s="7" t="s">
        <v>299</v>
      </c>
      <c r="D91" s="7" t="s">
        <v>752</v>
      </c>
      <c r="E91" s="7" t="s">
        <v>757</v>
      </c>
      <c r="F91" s="7" t="s">
        <v>761</v>
      </c>
      <c r="G91" s="7">
        <v>77</v>
      </c>
      <c r="H91" s="7" t="s">
        <v>300</v>
      </c>
      <c r="I91" s="8">
        <v>45747.8055439815</v>
      </c>
      <c r="J91" s="9">
        <v>45597</v>
      </c>
      <c r="K91" s="9">
        <v>45748</v>
      </c>
      <c r="L91" s="7">
        <v>5</v>
      </c>
      <c r="M91" s="10">
        <v>1342.52</v>
      </c>
      <c r="N91" s="10">
        <f>SUM(NewBusiness[[#This Row],[Premium]]/12)</f>
        <v>111.87666666666667</v>
      </c>
      <c r="O91" s="12">
        <v>0.8</v>
      </c>
      <c r="P91" s="10">
        <v>0</v>
      </c>
      <c r="Q91" s="10">
        <v>89.5</v>
      </c>
      <c r="R91" s="7" t="s">
        <v>32</v>
      </c>
      <c r="S91" s="7" t="s">
        <v>33</v>
      </c>
    </row>
    <row r="92" spans="1:19" x14ac:dyDescent="0.25">
      <c r="A92" s="6">
        <v>16633294</v>
      </c>
      <c r="B92" s="7" t="s">
        <v>29</v>
      </c>
      <c r="C92" s="7" t="s">
        <v>98</v>
      </c>
      <c r="D92" s="7" t="s">
        <v>754</v>
      </c>
      <c r="E92" s="7" t="s">
        <v>757</v>
      </c>
      <c r="F92" s="7" t="s">
        <v>761</v>
      </c>
      <c r="G92" s="7">
        <v>72</v>
      </c>
      <c r="H92" s="7" t="s">
        <v>99</v>
      </c>
      <c r="I92" s="8">
        <v>45747.8055439815</v>
      </c>
      <c r="J92" s="9">
        <v>45597</v>
      </c>
      <c r="K92" s="9">
        <v>45748</v>
      </c>
      <c r="L92" s="7">
        <v>5</v>
      </c>
      <c r="M92" s="10">
        <v>854.84</v>
      </c>
      <c r="N92" s="10">
        <f>SUM(NewBusiness[[#This Row],[Premium]]/12)</f>
        <v>71.236666666666665</v>
      </c>
      <c r="O92" s="12">
        <v>0.85</v>
      </c>
      <c r="P92" s="10">
        <v>0</v>
      </c>
      <c r="Q92" s="10">
        <v>60.55</v>
      </c>
      <c r="R92" s="7" t="s">
        <v>32</v>
      </c>
      <c r="S92" s="7" t="s">
        <v>33</v>
      </c>
    </row>
    <row r="93" spans="1:19" x14ac:dyDescent="0.25">
      <c r="A93" s="6">
        <v>16633294</v>
      </c>
      <c r="B93" s="7" t="s">
        <v>29</v>
      </c>
      <c r="C93" s="7" t="s">
        <v>185</v>
      </c>
      <c r="D93" s="7" t="s">
        <v>754</v>
      </c>
      <c r="E93" s="7" t="s">
        <v>757</v>
      </c>
      <c r="F93" s="7" t="s">
        <v>761</v>
      </c>
      <c r="G93" s="7">
        <v>70</v>
      </c>
      <c r="H93" s="7" t="s">
        <v>186</v>
      </c>
      <c r="I93" s="8">
        <v>45747.8055439815</v>
      </c>
      <c r="J93" s="9">
        <v>45597</v>
      </c>
      <c r="K93" s="9">
        <v>45748</v>
      </c>
      <c r="L93" s="7">
        <v>5</v>
      </c>
      <c r="M93" s="10">
        <v>922.84</v>
      </c>
      <c r="N93" s="10">
        <f>SUM(NewBusiness[[#This Row],[Premium]]/12)</f>
        <v>76.903333333333336</v>
      </c>
      <c r="O93" s="12">
        <v>0.85</v>
      </c>
      <c r="P93" s="10">
        <v>0</v>
      </c>
      <c r="Q93" s="10">
        <v>65.37</v>
      </c>
      <c r="R93" s="7" t="s">
        <v>32</v>
      </c>
      <c r="S93" s="7" t="s">
        <v>33</v>
      </c>
    </row>
    <row r="94" spans="1:19" x14ac:dyDescent="0.25">
      <c r="A94" s="6">
        <v>16633294</v>
      </c>
      <c r="B94" s="7" t="s">
        <v>29</v>
      </c>
      <c r="C94" s="7" t="s">
        <v>140</v>
      </c>
      <c r="D94" s="7" t="s">
        <v>754</v>
      </c>
      <c r="E94" s="7" t="s">
        <v>757</v>
      </c>
      <c r="F94" s="7" t="s">
        <v>761</v>
      </c>
      <c r="G94" s="7">
        <v>71</v>
      </c>
      <c r="H94" s="7" t="s">
        <v>141</v>
      </c>
      <c r="I94" s="8">
        <v>45747.8055439815</v>
      </c>
      <c r="J94" s="9">
        <v>45599</v>
      </c>
      <c r="K94" s="9">
        <v>45750</v>
      </c>
      <c r="L94" s="7">
        <v>5</v>
      </c>
      <c r="M94" s="10">
        <v>919.19</v>
      </c>
      <c r="N94" s="10">
        <f>SUM(NewBusiness[[#This Row],[Premium]]/12)</f>
        <v>76.599166666666676</v>
      </c>
      <c r="O94" s="12">
        <v>0.85</v>
      </c>
      <c r="P94" s="10">
        <v>0</v>
      </c>
      <c r="Q94" s="10">
        <v>65.099999999999994</v>
      </c>
      <c r="R94" s="7" t="s">
        <v>32</v>
      </c>
      <c r="S94" s="7" t="s">
        <v>33</v>
      </c>
    </row>
    <row r="95" spans="1:19" x14ac:dyDescent="0.25">
      <c r="A95" s="6">
        <v>19681796</v>
      </c>
      <c r="B95" s="7" t="s">
        <v>102</v>
      </c>
      <c r="C95" s="7" t="s">
        <v>248</v>
      </c>
      <c r="D95" s="7" t="s">
        <v>754</v>
      </c>
      <c r="E95" s="7" t="s">
        <v>757</v>
      </c>
      <c r="F95" s="7" t="s">
        <v>761</v>
      </c>
      <c r="G95" s="7">
        <v>71</v>
      </c>
      <c r="H95" s="7" t="s">
        <v>249</v>
      </c>
      <c r="I95" s="8">
        <v>45747.8055439815</v>
      </c>
      <c r="J95" s="9">
        <v>45601</v>
      </c>
      <c r="K95" s="9">
        <v>45752</v>
      </c>
      <c r="L95" s="7">
        <v>5</v>
      </c>
      <c r="M95" s="10">
        <v>777.28</v>
      </c>
      <c r="N95" s="10">
        <f>SUM(NewBusiness[[#This Row],[Premium]]/12)</f>
        <v>64.773333333333326</v>
      </c>
      <c r="O95" s="12">
        <v>0.85</v>
      </c>
      <c r="P95" s="10">
        <v>0</v>
      </c>
      <c r="Q95" s="10">
        <v>55.05</v>
      </c>
      <c r="R95" s="7" t="s">
        <v>32</v>
      </c>
      <c r="S95" s="7" t="s">
        <v>33</v>
      </c>
    </row>
    <row r="96" spans="1:19" x14ac:dyDescent="0.25">
      <c r="A96" s="6">
        <v>19681796</v>
      </c>
      <c r="B96" s="7" t="s">
        <v>102</v>
      </c>
      <c r="C96" s="7" t="s">
        <v>698</v>
      </c>
      <c r="D96" s="7" t="s">
        <v>754</v>
      </c>
      <c r="E96" s="7" t="s">
        <v>757</v>
      </c>
      <c r="F96" s="7" t="s">
        <v>761</v>
      </c>
      <c r="G96" s="7">
        <v>69</v>
      </c>
      <c r="H96" s="7" t="s">
        <v>699</v>
      </c>
      <c r="I96" s="8">
        <v>45747.8055439815</v>
      </c>
      <c r="J96" s="9">
        <v>45601</v>
      </c>
      <c r="K96" s="9">
        <v>45752</v>
      </c>
      <c r="L96" s="7">
        <v>5</v>
      </c>
      <c r="M96" s="10">
        <v>551.12</v>
      </c>
      <c r="N96" s="10">
        <f>SUM(NewBusiness[[#This Row],[Premium]]/12)</f>
        <v>45.926666666666669</v>
      </c>
      <c r="O96" s="12">
        <v>0.85</v>
      </c>
      <c r="P96" s="10">
        <v>0</v>
      </c>
      <c r="Q96" s="10">
        <v>39.03</v>
      </c>
      <c r="R96" s="7" t="s">
        <v>32</v>
      </c>
      <c r="S96" s="7" t="s">
        <v>33</v>
      </c>
    </row>
    <row r="97" spans="1:19" x14ac:dyDescent="0.25">
      <c r="A97" s="6">
        <v>16633294</v>
      </c>
      <c r="B97" s="7" t="s">
        <v>29</v>
      </c>
      <c r="C97" s="7" t="s">
        <v>456</v>
      </c>
      <c r="D97" s="7" t="s">
        <v>754</v>
      </c>
      <c r="E97" s="7" t="s">
        <v>757</v>
      </c>
      <c r="F97" s="7" t="s">
        <v>761</v>
      </c>
      <c r="G97" s="7">
        <v>69</v>
      </c>
      <c r="H97" s="7" t="s">
        <v>457</v>
      </c>
      <c r="I97" s="8">
        <v>45747.8055439815</v>
      </c>
      <c r="J97" s="9">
        <v>45601</v>
      </c>
      <c r="K97" s="9">
        <v>45752</v>
      </c>
      <c r="L97" s="7">
        <v>5</v>
      </c>
      <c r="M97" s="10">
        <v>652.86</v>
      </c>
      <c r="N97" s="10">
        <f>SUM(NewBusiness[[#This Row],[Premium]]/12)</f>
        <v>54.405000000000001</v>
      </c>
      <c r="O97" s="12">
        <v>0.85</v>
      </c>
      <c r="P97" s="10">
        <v>0</v>
      </c>
      <c r="Q97" s="10">
        <v>46.24</v>
      </c>
      <c r="R97" s="7" t="s">
        <v>32</v>
      </c>
      <c r="S97" s="7" t="s">
        <v>33</v>
      </c>
    </row>
    <row r="98" spans="1:19" x14ac:dyDescent="0.25">
      <c r="A98" s="6">
        <v>16633294</v>
      </c>
      <c r="B98" s="7" t="s">
        <v>29</v>
      </c>
      <c r="C98" s="7" t="s">
        <v>127</v>
      </c>
      <c r="D98" s="7" t="s">
        <v>754</v>
      </c>
      <c r="E98" s="7" t="s">
        <v>757</v>
      </c>
      <c r="F98" s="7" t="s">
        <v>761</v>
      </c>
      <c r="G98" s="7">
        <v>71</v>
      </c>
      <c r="H98" s="7" t="s">
        <v>128</v>
      </c>
      <c r="I98" s="8">
        <v>45747.8055439815</v>
      </c>
      <c r="J98" s="9">
        <v>45602</v>
      </c>
      <c r="K98" s="9">
        <v>45753</v>
      </c>
      <c r="L98" s="7">
        <v>5</v>
      </c>
      <c r="M98" s="10">
        <v>854.84</v>
      </c>
      <c r="N98" s="10">
        <f>SUM(NewBusiness[[#This Row],[Premium]]/12)</f>
        <v>71.236666666666665</v>
      </c>
      <c r="O98" s="12">
        <v>0.85</v>
      </c>
      <c r="P98" s="10">
        <v>0</v>
      </c>
      <c r="Q98" s="10">
        <v>60.55</v>
      </c>
      <c r="R98" s="7" t="s">
        <v>32</v>
      </c>
      <c r="S98" s="7" t="s">
        <v>33</v>
      </c>
    </row>
    <row r="99" spans="1:19" x14ac:dyDescent="0.25">
      <c r="A99" s="6">
        <v>16633294</v>
      </c>
      <c r="B99" s="7" t="s">
        <v>29</v>
      </c>
      <c r="C99" s="7" t="s">
        <v>571</v>
      </c>
      <c r="D99" s="7" t="s">
        <v>754</v>
      </c>
      <c r="E99" s="7" t="s">
        <v>757</v>
      </c>
      <c r="F99" s="7" t="s">
        <v>761</v>
      </c>
      <c r="G99" s="7">
        <v>69</v>
      </c>
      <c r="H99" s="7" t="s">
        <v>572</v>
      </c>
      <c r="I99" s="8">
        <v>45747.8055439815</v>
      </c>
      <c r="J99" s="9">
        <v>45602</v>
      </c>
      <c r="K99" s="9">
        <v>45753</v>
      </c>
      <c r="L99" s="7">
        <v>5</v>
      </c>
      <c r="M99" s="10">
        <v>607.15</v>
      </c>
      <c r="N99" s="10">
        <f>SUM(NewBusiness[[#This Row],[Premium]]/12)</f>
        <v>50.595833333333331</v>
      </c>
      <c r="O99" s="12">
        <v>0.85</v>
      </c>
      <c r="P99" s="10">
        <v>0</v>
      </c>
      <c r="Q99" s="10">
        <v>43</v>
      </c>
      <c r="R99" s="7" t="s">
        <v>32</v>
      </c>
      <c r="S99" s="7" t="s">
        <v>33</v>
      </c>
    </row>
    <row r="100" spans="1:19" x14ac:dyDescent="0.25">
      <c r="A100" s="6">
        <v>8325282</v>
      </c>
      <c r="B100" s="7" t="s">
        <v>117</v>
      </c>
      <c r="C100" s="7" t="s">
        <v>215</v>
      </c>
      <c r="D100" s="7" t="s">
        <v>752</v>
      </c>
      <c r="E100" s="7" t="s">
        <v>757</v>
      </c>
      <c r="F100" s="7" t="s">
        <v>761</v>
      </c>
      <c r="G100" s="7">
        <v>67</v>
      </c>
      <c r="H100" s="7" t="s">
        <v>216</v>
      </c>
      <c r="I100" s="8">
        <v>45747.8055439815</v>
      </c>
      <c r="J100" s="9">
        <v>45604</v>
      </c>
      <c r="K100" s="9">
        <v>45755</v>
      </c>
      <c r="L100" s="7">
        <v>5</v>
      </c>
      <c r="M100" s="10">
        <v>323.64</v>
      </c>
      <c r="N100" s="10">
        <f>SUM(NewBusiness[[#This Row],[Premium]]/12)</f>
        <v>26.97</v>
      </c>
      <c r="O100" s="12">
        <v>0.8</v>
      </c>
      <c r="P100" s="10">
        <v>0</v>
      </c>
      <c r="Q100" s="10">
        <v>21.58</v>
      </c>
      <c r="R100" s="7" t="s">
        <v>32</v>
      </c>
      <c r="S100" s="7" t="s">
        <v>33</v>
      </c>
    </row>
    <row r="101" spans="1:19" x14ac:dyDescent="0.25">
      <c r="A101" s="6">
        <v>8325282</v>
      </c>
      <c r="B101" s="7" t="s">
        <v>117</v>
      </c>
      <c r="C101" s="7" t="s">
        <v>415</v>
      </c>
      <c r="D101" s="7" t="s">
        <v>752</v>
      </c>
      <c r="E101" s="7" t="s">
        <v>757</v>
      </c>
      <c r="F101" s="7" t="s">
        <v>761</v>
      </c>
      <c r="G101" s="7">
        <v>70</v>
      </c>
      <c r="H101" s="7" t="s">
        <v>416</v>
      </c>
      <c r="I101" s="8">
        <v>45747.8055439815</v>
      </c>
      <c r="J101" s="9">
        <v>45604</v>
      </c>
      <c r="K101" s="9">
        <v>45755</v>
      </c>
      <c r="L101" s="7">
        <v>5</v>
      </c>
      <c r="M101" s="10">
        <v>629.41999999999996</v>
      </c>
      <c r="N101" s="10">
        <f>SUM(NewBusiness[[#This Row],[Premium]]/12)</f>
        <v>52.451666666666661</v>
      </c>
      <c r="O101" s="12">
        <v>0.8</v>
      </c>
      <c r="P101" s="10">
        <v>0</v>
      </c>
      <c r="Q101" s="10">
        <v>41.96</v>
      </c>
      <c r="R101" s="7" t="s">
        <v>32</v>
      </c>
      <c r="S101" s="7" t="s">
        <v>33</v>
      </c>
    </row>
    <row r="102" spans="1:19" x14ac:dyDescent="0.25">
      <c r="A102" s="6">
        <v>8325282</v>
      </c>
      <c r="B102" s="7" t="s">
        <v>117</v>
      </c>
      <c r="C102" s="7" t="s">
        <v>500</v>
      </c>
      <c r="D102" s="7" t="s">
        <v>752</v>
      </c>
      <c r="E102" s="7" t="s">
        <v>757</v>
      </c>
      <c r="F102" s="7" t="s">
        <v>761</v>
      </c>
      <c r="G102" s="7">
        <v>68</v>
      </c>
      <c r="H102" s="7" t="s">
        <v>501</v>
      </c>
      <c r="I102" s="8">
        <v>45747.8055439815</v>
      </c>
      <c r="J102" s="9">
        <v>45604</v>
      </c>
      <c r="K102" s="9">
        <v>45755</v>
      </c>
      <c r="L102" s="7">
        <v>5</v>
      </c>
      <c r="M102" s="10">
        <v>648</v>
      </c>
      <c r="N102" s="10">
        <f>SUM(NewBusiness[[#This Row],[Premium]]/12)</f>
        <v>54</v>
      </c>
      <c r="O102" s="12">
        <v>0.8</v>
      </c>
      <c r="P102" s="10">
        <v>0</v>
      </c>
      <c r="Q102" s="10">
        <v>43.2</v>
      </c>
      <c r="R102" s="7" t="s">
        <v>32</v>
      </c>
      <c r="S102" s="7" t="s">
        <v>33</v>
      </c>
    </row>
    <row r="103" spans="1:19" x14ac:dyDescent="0.25">
      <c r="A103" s="6">
        <v>16633294</v>
      </c>
      <c r="B103" s="7" t="s">
        <v>29</v>
      </c>
      <c r="C103" s="7" t="s">
        <v>435</v>
      </c>
      <c r="D103" s="7" t="s">
        <v>752</v>
      </c>
      <c r="E103" s="7" t="s">
        <v>757</v>
      </c>
      <c r="F103" s="7" t="s">
        <v>761</v>
      </c>
      <c r="G103" s="7">
        <v>78</v>
      </c>
      <c r="H103" s="7" t="s">
        <v>436</v>
      </c>
      <c r="I103" s="8">
        <v>45747.8055439815</v>
      </c>
      <c r="J103" s="9">
        <v>45610</v>
      </c>
      <c r="K103" s="9">
        <v>45761</v>
      </c>
      <c r="L103" s="7">
        <v>5</v>
      </c>
      <c r="M103" s="10">
        <v>1141.53</v>
      </c>
      <c r="N103" s="10">
        <f>SUM(NewBusiness[[#This Row],[Premium]]/12)</f>
        <v>95.127499999999998</v>
      </c>
      <c r="O103" s="12">
        <v>0.8</v>
      </c>
      <c r="P103" s="10">
        <v>0</v>
      </c>
      <c r="Q103" s="10">
        <v>76.099999999999994</v>
      </c>
      <c r="R103" s="7" t="s">
        <v>32</v>
      </c>
      <c r="S103" s="7" t="s">
        <v>33</v>
      </c>
    </row>
    <row r="104" spans="1:19" x14ac:dyDescent="0.25">
      <c r="A104" s="6">
        <v>16633294</v>
      </c>
      <c r="B104" s="7" t="s">
        <v>29</v>
      </c>
      <c r="C104" s="7" t="s">
        <v>651</v>
      </c>
      <c r="D104" s="7" t="s">
        <v>754</v>
      </c>
      <c r="E104" s="7" t="s">
        <v>757</v>
      </c>
      <c r="F104" s="7" t="s">
        <v>761</v>
      </c>
      <c r="G104" s="7">
        <v>69</v>
      </c>
      <c r="H104" s="7" t="s">
        <v>652</v>
      </c>
      <c r="I104" s="8">
        <v>45747.8055439815</v>
      </c>
      <c r="J104" s="9">
        <v>45610</v>
      </c>
      <c r="K104" s="9">
        <v>45761</v>
      </c>
      <c r="L104" s="7">
        <v>5</v>
      </c>
      <c r="M104" s="10">
        <v>607.15</v>
      </c>
      <c r="N104" s="10">
        <f>SUM(NewBusiness[[#This Row],[Premium]]/12)</f>
        <v>50.595833333333331</v>
      </c>
      <c r="O104" s="12">
        <v>0.85</v>
      </c>
      <c r="P104" s="10">
        <v>0</v>
      </c>
      <c r="Q104" s="10">
        <v>43</v>
      </c>
      <c r="R104" s="7" t="s">
        <v>32</v>
      </c>
      <c r="S104" s="7" t="s">
        <v>33</v>
      </c>
    </row>
    <row r="105" spans="1:19" x14ac:dyDescent="0.25">
      <c r="A105" s="6">
        <v>8244481</v>
      </c>
      <c r="B105" s="7" t="s">
        <v>42</v>
      </c>
      <c r="C105" s="7" t="s">
        <v>373</v>
      </c>
      <c r="D105" s="7" t="s">
        <v>752</v>
      </c>
      <c r="E105" s="7" t="s">
        <v>757</v>
      </c>
      <c r="F105" s="7" t="s">
        <v>761</v>
      </c>
      <c r="G105" s="7">
        <v>69</v>
      </c>
      <c r="H105" s="7" t="s">
        <v>374</v>
      </c>
      <c r="I105" s="8">
        <v>45747.8055439815</v>
      </c>
      <c r="J105" s="9">
        <v>45611</v>
      </c>
      <c r="K105" s="9">
        <v>45762</v>
      </c>
      <c r="L105" s="7">
        <v>5</v>
      </c>
      <c r="M105" s="10">
        <v>410.4</v>
      </c>
      <c r="N105" s="10">
        <f>SUM(NewBusiness[[#This Row],[Premium]]/12)</f>
        <v>34.199999999999996</v>
      </c>
      <c r="O105" s="12">
        <v>0.8</v>
      </c>
      <c r="P105" s="10">
        <v>0</v>
      </c>
      <c r="Q105" s="10">
        <v>27.36</v>
      </c>
      <c r="R105" s="7" t="s">
        <v>32</v>
      </c>
      <c r="S105" s="7" t="s">
        <v>33</v>
      </c>
    </row>
    <row r="106" spans="1:19" x14ac:dyDescent="0.25">
      <c r="A106" s="6">
        <v>16633294</v>
      </c>
      <c r="B106" s="7" t="s">
        <v>29</v>
      </c>
      <c r="C106" s="7" t="s">
        <v>387</v>
      </c>
      <c r="D106" s="7" t="s">
        <v>754</v>
      </c>
      <c r="E106" s="7" t="s">
        <v>757</v>
      </c>
      <c r="F106" s="7" t="s">
        <v>761</v>
      </c>
      <c r="G106" s="7">
        <v>71</v>
      </c>
      <c r="H106" s="7" t="s">
        <v>388</v>
      </c>
      <c r="I106" s="8">
        <v>45747.8055439815</v>
      </c>
      <c r="J106" s="9">
        <v>45613</v>
      </c>
      <c r="K106" s="9">
        <v>45764</v>
      </c>
      <c r="L106" s="7">
        <v>5</v>
      </c>
      <c r="M106" s="10">
        <v>854.84</v>
      </c>
      <c r="N106" s="10">
        <f>SUM(NewBusiness[[#This Row],[Premium]]/12)</f>
        <v>71.236666666666665</v>
      </c>
      <c r="O106" s="12">
        <v>0.85</v>
      </c>
      <c r="P106" s="10">
        <v>0</v>
      </c>
      <c r="Q106" s="10">
        <v>60.55</v>
      </c>
      <c r="R106" s="7" t="s">
        <v>32</v>
      </c>
      <c r="S106" s="7" t="s">
        <v>33</v>
      </c>
    </row>
    <row r="107" spans="1:19" x14ac:dyDescent="0.25">
      <c r="A107" s="6">
        <v>16633294</v>
      </c>
      <c r="B107" s="7" t="s">
        <v>29</v>
      </c>
      <c r="C107" s="7" t="s">
        <v>464</v>
      </c>
      <c r="D107" s="7" t="s">
        <v>754</v>
      </c>
      <c r="E107" s="7" t="s">
        <v>757</v>
      </c>
      <c r="F107" s="7" t="s">
        <v>761</v>
      </c>
      <c r="G107" s="7">
        <v>74</v>
      </c>
      <c r="H107" s="7" t="s">
        <v>465</v>
      </c>
      <c r="I107" s="8">
        <v>45747.8055439815</v>
      </c>
      <c r="J107" s="9">
        <v>45613</v>
      </c>
      <c r="K107" s="9">
        <v>45764</v>
      </c>
      <c r="L107" s="7">
        <v>5</v>
      </c>
      <c r="M107" s="10">
        <v>854.84</v>
      </c>
      <c r="N107" s="10">
        <f>SUM(NewBusiness[[#This Row],[Premium]]/12)</f>
        <v>71.236666666666665</v>
      </c>
      <c r="O107" s="12">
        <v>0.85</v>
      </c>
      <c r="P107" s="10">
        <v>0</v>
      </c>
      <c r="Q107" s="10">
        <v>60.55</v>
      </c>
      <c r="R107" s="7" t="s">
        <v>32</v>
      </c>
      <c r="S107" s="7" t="s">
        <v>33</v>
      </c>
    </row>
    <row r="108" spans="1:19" x14ac:dyDescent="0.25">
      <c r="A108" s="6">
        <v>16633294</v>
      </c>
      <c r="B108" s="7" t="s">
        <v>29</v>
      </c>
      <c r="C108" s="7" t="s">
        <v>259</v>
      </c>
      <c r="D108" s="7" t="s">
        <v>754</v>
      </c>
      <c r="E108" s="7" t="s">
        <v>757</v>
      </c>
      <c r="F108" s="7" t="s">
        <v>761</v>
      </c>
      <c r="G108" s="7">
        <v>73</v>
      </c>
      <c r="H108" s="7" t="s">
        <v>260</v>
      </c>
      <c r="I108" s="8">
        <v>45747.8055439815</v>
      </c>
      <c r="J108" s="9">
        <v>45617</v>
      </c>
      <c r="K108" s="9">
        <v>45768</v>
      </c>
      <c r="L108" s="7">
        <v>5</v>
      </c>
      <c r="M108" s="10">
        <v>777.28</v>
      </c>
      <c r="N108" s="10">
        <f>SUM(NewBusiness[[#This Row],[Premium]]/12)</f>
        <v>64.773333333333326</v>
      </c>
      <c r="O108" s="12">
        <v>0.85</v>
      </c>
      <c r="P108" s="10">
        <v>0</v>
      </c>
      <c r="Q108" s="10">
        <v>55.05</v>
      </c>
      <c r="R108" s="7" t="s">
        <v>32</v>
      </c>
      <c r="S108" s="7" t="s">
        <v>33</v>
      </c>
    </row>
    <row r="109" spans="1:19" x14ac:dyDescent="0.25">
      <c r="A109" s="6">
        <v>16633294</v>
      </c>
      <c r="B109" s="7" t="s">
        <v>29</v>
      </c>
      <c r="C109" s="7" t="s">
        <v>700</v>
      </c>
      <c r="D109" s="7" t="s">
        <v>754</v>
      </c>
      <c r="E109" s="7" t="s">
        <v>757</v>
      </c>
      <c r="F109" s="7" t="s">
        <v>761</v>
      </c>
      <c r="G109" s="7">
        <v>67</v>
      </c>
      <c r="H109" s="7" t="s">
        <v>453</v>
      </c>
      <c r="I109" s="8">
        <v>45747.8055439815</v>
      </c>
      <c r="J109" s="9">
        <v>45617</v>
      </c>
      <c r="K109" s="9">
        <v>45768</v>
      </c>
      <c r="L109" s="7">
        <v>5</v>
      </c>
      <c r="M109" s="10">
        <v>551.12</v>
      </c>
      <c r="N109" s="10">
        <f>SUM(NewBusiness[[#This Row],[Premium]]/12)</f>
        <v>45.926666666666669</v>
      </c>
      <c r="O109" s="12">
        <v>0.85</v>
      </c>
      <c r="P109" s="10">
        <v>0</v>
      </c>
      <c r="Q109" s="10">
        <v>39.03</v>
      </c>
      <c r="R109" s="7" t="s">
        <v>32</v>
      </c>
      <c r="S109" s="7" t="s">
        <v>33</v>
      </c>
    </row>
    <row r="110" spans="1:19" x14ac:dyDescent="0.25">
      <c r="A110" s="6">
        <v>16633294</v>
      </c>
      <c r="B110" s="7" t="s">
        <v>29</v>
      </c>
      <c r="C110" s="7" t="s">
        <v>138</v>
      </c>
      <c r="D110" s="7" t="s">
        <v>754</v>
      </c>
      <c r="E110" s="7" t="s">
        <v>757</v>
      </c>
      <c r="F110" s="7" t="s">
        <v>761</v>
      </c>
      <c r="G110" s="7">
        <v>58</v>
      </c>
      <c r="H110" s="7" t="s">
        <v>139</v>
      </c>
      <c r="I110" s="8">
        <v>45747.8055439815</v>
      </c>
      <c r="J110" s="9">
        <v>45623</v>
      </c>
      <c r="K110" s="9">
        <v>45774</v>
      </c>
      <c r="L110" s="7">
        <v>5</v>
      </c>
      <c r="M110" s="10">
        <v>409.82</v>
      </c>
      <c r="N110" s="10">
        <f>SUM(NewBusiness[[#This Row],[Premium]]/12)</f>
        <v>34.151666666666664</v>
      </c>
      <c r="O110" s="12">
        <v>0.85</v>
      </c>
      <c r="P110" s="10">
        <v>0</v>
      </c>
      <c r="Q110" s="10">
        <v>29.03</v>
      </c>
      <c r="R110" s="7" t="s">
        <v>32</v>
      </c>
      <c r="S110" s="7" t="s">
        <v>33</v>
      </c>
    </row>
    <row r="111" spans="1:19" x14ac:dyDescent="0.25">
      <c r="A111" s="6">
        <v>16633294</v>
      </c>
      <c r="B111" s="7" t="s">
        <v>29</v>
      </c>
      <c r="C111" s="7" t="s">
        <v>342</v>
      </c>
      <c r="D111" s="7" t="s">
        <v>754</v>
      </c>
      <c r="E111" s="7" t="s">
        <v>757</v>
      </c>
      <c r="F111" s="7" t="s">
        <v>761</v>
      </c>
      <c r="G111" s="7">
        <v>71</v>
      </c>
      <c r="H111" s="7" t="s">
        <v>343</v>
      </c>
      <c r="I111" s="8">
        <v>45747.8055439815</v>
      </c>
      <c r="J111" s="9">
        <v>45623</v>
      </c>
      <c r="K111" s="9">
        <v>45774</v>
      </c>
      <c r="L111" s="7">
        <v>5</v>
      </c>
      <c r="M111" s="10">
        <v>919.19</v>
      </c>
      <c r="N111" s="10">
        <f>SUM(NewBusiness[[#This Row],[Premium]]/12)</f>
        <v>76.599166666666676</v>
      </c>
      <c r="O111" s="12">
        <v>0.85</v>
      </c>
      <c r="P111" s="10">
        <v>0</v>
      </c>
      <c r="Q111" s="10">
        <v>65.099999999999994</v>
      </c>
      <c r="R111" s="7" t="s">
        <v>32</v>
      </c>
      <c r="S111" s="7" t="s">
        <v>33</v>
      </c>
    </row>
    <row r="112" spans="1:19" x14ac:dyDescent="0.25">
      <c r="A112" s="6">
        <v>17126004</v>
      </c>
      <c r="B112" s="7" t="s">
        <v>173</v>
      </c>
      <c r="C112" s="7" t="s">
        <v>330</v>
      </c>
      <c r="D112" s="7" t="s">
        <v>754</v>
      </c>
      <c r="E112" s="7" t="s">
        <v>757</v>
      </c>
      <c r="F112" s="7" t="s">
        <v>761</v>
      </c>
      <c r="G112" s="7">
        <v>67</v>
      </c>
      <c r="H112" s="7" t="s">
        <v>331</v>
      </c>
      <c r="I112" s="8">
        <v>45747.8055439815</v>
      </c>
      <c r="J112" s="9">
        <v>45627</v>
      </c>
      <c r="K112" s="9">
        <v>45778</v>
      </c>
      <c r="L112" s="7">
        <v>5</v>
      </c>
      <c r="M112" s="10">
        <v>828.92</v>
      </c>
      <c r="N112" s="10">
        <f>SUM(NewBusiness[[#This Row],[Premium]]/12)</f>
        <v>69.076666666666668</v>
      </c>
      <c r="O112" s="12">
        <v>0.85</v>
      </c>
      <c r="P112" s="10">
        <v>0</v>
      </c>
      <c r="Q112" s="10">
        <v>58.71</v>
      </c>
      <c r="R112" s="7" t="s">
        <v>32</v>
      </c>
      <c r="S112" s="7" t="s">
        <v>33</v>
      </c>
    </row>
    <row r="113" spans="1:19" x14ac:dyDescent="0.25">
      <c r="A113" s="6">
        <v>19586992</v>
      </c>
      <c r="B113" s="7" t="s">
        <v>80</v>
      </c>
      <c r="C113" s="7" t="s">
        <v>383</v>
      </c>
      <c r="D113" s="7" t="s">
        <v>754</v>
      </c>
      <c r="E113" s="7" t="s">
        <v>757</v>
      </c>
      <c r="F113" s="7" t="s">
        <v>761</v>
      </c>
      <c r="G113" s="7">
        <v>70</v>
      </c>
      <c r="H113" s="7" t="s">
        <v>384</v>
      </c>
      <c r="I113" s="8">
        <v>45747.8055439815</v>
      </c>
      <c r="J113" s="9">
        <v>45627</v>
      </c>
      <c r="K113" s="9">
        <v>45778</v>
      </c>
      <c r="L113" s="7">
        <v>5</v>
      </c>
      <c r="M113" s="10">
        <v>922.84</v>
      </c>
      <c r="N113" s="10">
        <f>SUM(NewBusiness[[#This Row],[Premium]]/12)</f>
        <v>76.903333333333336</v>
      </c>
      <c r="O113" s="12">
        <v>0.85</v>
      </c>
      <c r="P113" s="10">
        <v>0</v>
      </c>
      <c r="Q113" s="10">
        <v>65.37</v>
      </c>
      <c r="R113" s="7" t="s">
        <v>32</v>
      </c>
      <c r="S113" s="7" t="s">
        <v>33</v>
      </c>
    </row>
    <row r="114" spans="1:19" x14ac:dyDescent="0.25">
      <c r="A114" s="6">
        <v>16912722</v>
      </c>
      <c r="B114" s="7" t="s">
        <v>191</v>
      </c>
      <c r="C114" s="7" t="s">
        <v>281</v>
      </c>
      <c r="D114" s="7" t="s">
        <v>752</v>
      </c>
      <c r="E114" s="7" t="s">
        <v>757</v>
      </c>
      <c r="F114" s="7" t="s">
        <v>761</v>
      </c>
      <c r="G114" s="7">
        <v>79</v>
      </c>
      <c r="H114" s="7" t="s">
        <v>282</v>
      </c>
      <c r="I114" s="8">
        <v>45747.8055439815</v>
      </c>
      <c r="J114" s="9">
        <v>45635</v>
      </c>
      <c r="K114" s="9">
        <v>45786</v>
      </c>
      <c r="L114" s="7">
        <v>5</v>
      </c>
      <c r="M114" s="10">
        <v>2142</v>
      </c>
      <c r="N114" s="10">
        <f>SUM(NewBusiness[[#This Row],[Premium]]/12)</f>
        <v>178.5</v>
      </c>
      <c r="O114" s="12">
        <v>0.8</v>
      </c>
      <c r="P114" s="10">
        <v>0</v>
      </c>
      <c r="Q114" s="10">
        <v>142.80000000000001</v>
      </c>
      <c r="R114" s="7" t="s">
        <v>32</v>
      </c>
      <c r="S114" s="7" t="s">
        <v>33</v>
      </c>
    </row>
    <row r="115" spans="1:19" x14ac:dyDescent="0.25">
      <c r="A115" s="6">
        <v>16912722</v>
      </c>
      <c r="B115" s="7" t="s">
        <v>191</v>
      </c>
      <c r="C115" s="7" t="s">
        <v>671</v>
      </c>
      <c r="D115" s="7" t="s">
        <v>752</v>
      </c>
      <c r="E115" s="7" t="s">
        <v>757</v>
      </c>
      <c r="F115" s="7" t="s">
        <v>761</v>
      </c>
      <c r="G115" s="7">
        <v>76</v>
      </c>
      <c r="H115" s="7" t="s">
        <v>672</v>
      </c>
      <c r="I115" s="8">
        <v>45747.8055439815</v>
      </c>
      <c r="J115" s="9">
        <v>45635</v>
      </c>
      <c r="K115" s="9">
        <v>45786</v>
      </c>
      <c r="L115" s="7">
        <v>5</v>
      </c>
      <c r="M115" s="10">
        <v>2041.2</v>
      </c>
      <c r="N115" s="10">
        <f>SUM(NewBusiness[[#This Row],[Premium]]/12)</f>
        <v>170.1</v>
      </c>
      <c r="O115" s="12">
        <v>0.8</v>
      </c>
      <c r="P115" s="10">
        <v>0</v>
      </c>
      <c r="Q115" s="10">
        <v>136.08000000000001</v>
      </c>
      <c r="R115" s="7" t="s">
        <v>32</v>
      </c>
      <c r="S115" s="7" t="s">
        <v>33</v>
      </c>
    </row>
    <row r="116" spans="1:19" x14ac:dyDescent="0.25">
      <c r="A116" s="6">
        <v>16633294</v>
      </c>
      <c r="B116" s="7" t="s">
        <v>29</v>
      </c>
      <c r="C116" s="7" t="s">
        <v>524</v>
      </c>
      <c r="D116" s="7" t="s">
        <v>751</v>
      </c>
      <c r="E116" s="7" t="s">
        <v>757</v>
      </c>
      <c r="F116" s="7" t="s">
        <v>761</v>
      </c>
      <c r="G116" s="7">
        <v>55</v>
      </c>
      <c r="H116" s="7" t="s">
        <v>525</v>
      </c>
      <c r="I116" s="8">
        <v>45747.8055439815</v>
      </c>
      <c r="J116" s="9">
        <v>45646</v>
      </c>
      <c r="K116" s="9">
        <v>45797</v>
      </c>
      <c r="L116" s="7">
        <v>5</v>
      </c>
      <c r="M116" s="10">
        <v>1219.2</v>
      </c>
      <c r="N116" s="10">
        <f>SUM(NewBusiness[[#This Row],[Premium]]/12)</f>
        <v>101.60000000000001</v>
      </c>
      <c r="O116" s="12">
        <v>0.75</v>
      </c>
      <c r="P116" s="10">
        <v>0</v>
      </c>
      <c r="Q116" s="10">
        <v>76.2</v>
      </c>
      <c r="R116" s="7" t="s">
        <v>247</v>
      </c>
      <c r="S116" s="7" t="s">
        <v>33</v>
      </c>
    </row>
    <row r="117" spans="1:19" x14ac:dyDescent="0.25">
      <c r="A117" s="6">
        <v>16633294</v>
      </c>
      <c r="B117" s="7" t="s">
        <v>29</v>
      </c>
      <c r="C117" s="7" t="s">
        <v>694</v>
      </c>
      <c r="D117" s="7" t="s">
        <v>751</v>
      </c>
      <c r="E117" s="7" t="s">
        <v>757</v>
      </c>
      <c r="F117" s="7" t="s">
        <v>761</v>
      </c>
      <c r="G117" s="7">
        <v>62</v>
      </c>
      <c r="H117" s="7" t="s">
        <v>695</v>
      </c>
      <c r="I117" s="8">
        <v>45747.8055439815</v>
      </c>
      <c r="J117" s="9">
        <v>45646</v>
      </c>
      <c r="K117" s="9">
        <v>45797</v>
      </c>
      <c r="L117" s="7">
        <v>5</v>
      </c>
      <c r="M117" s="10">
        <v>1742.4</v>
      </c>
      <c r="N117" s="10">
        <f>SUM(NewBusiness[[#This Row],[Premium]]/12)</f>
        <v>145.20000000000002</v>
      </c>
      <c r="O117" s="12">
        <v>0.75</v>
      </c>
      <c r="P117" s="10">
        <v>0</v>
      </c>
      <c r="Q117" s="10">
        <v>108.9</v>
      </c>
      <c r="R117" s="7" t="s">
        <v>247</v>
      </c>
      <c r="S117" s="7" t="s">
        <v>33</v>
      </c>
    </row>
    <row r="118" spans="1:19" x14ac:dyDescent="0.25">
      <c r="A118" s="6">
        <v>16633294</v>
      </c>
      <c r="B118" s="7" t="s">
        <v>29</v>
      </c>
      <c r="C118" s="7" t="s">
        <v>665</v>
      </c>
      <c r="D118" s="7" t="s">
        <v>754</v>
      </c>
      <c r="E118" s="7" t="s">
        <v>757</v>
      </c>
      <c r="F118" s="7" t="s">
        <v>761</v>
      </c>
      <c r="G118" s="7">
        <v>65</v>
      </c>
      <c r="H118" s="7" t="s">
        <v>666</v>
      </c>
      <c r="I118" s="8">
        <v>45747.8055439815</v>
      </c>
      <c r="J118" s="9">
        <v>45565</v>
      </c>
      <c r="K118" s="9">
        <v>45746</v>
      </c>
      <c r="L118" s="7">
        <v>6</v>
      </c>
      <c r="M118" s="10">
        <v>607.15</v>
      </c>
      <c r="N118" s="10">
        <f>SUM(NewBusiness[[#This Row],[Premium]]/12)</f>
        <v>50.595833333333331</v>
      </c>
      <c r="O118" s="12">
        <v>0.85</v>
      </c>
      <c r="P118" s="10">
        <v>0</v>
      </c>
      <c r="Q118" s="10">
        <v>43</v>
      </c>
      <c r="R118" s="7" t="s">
        <v>32</v>
      </c>
      <c r="S118" s="7" t="s">
        <v>33</v>
      </c>
    </row>
    <row r="119" spans="1:19" x14ac:dyDescent="0.25">
      <c r="A119" s="6">
        <v>16633294</v>
      </c>
      <c r="B119" s="7" t="s">
        <v>29</v>
      </c>
      <c r="C119" s="7" t="s">
        <v>673</v>
      </c>
      <c r="D119" s="7" t="s">
        <v>754</v>
      </c>
      <c r="E119" s="7" t="s">
        <v>757</v>
      </c>
      <c r="F119" s="7" t="s">
        <v>761</v>
      </c>
      <c r="G119" s="7">
        <v>57</v>
      </c>
      <c r="H119" s="7" t="s">
        <v>674</v>
      </c>
      <c r="I119" s="8">
        <v>45747.8055439815</v>
      </c>
      <c r="J119" s="9">
        <v>45565</v>
      </c>
      <c r="K119" s="9">
        <v>45746</v>
      </c>
      <c r="L119" s="7">
        <v>6</v>
      </c>
      <c r="M119" s="10">
        <v>381.13</v>
      </c>
      <c r="N119" s="10">
        <f>SUM(NewBusiness[[#This Row],[Premium]]/12)</f>
        <v>31.760833333333334</v>
      </c>
      <c r="O119" s="12">
        <v>0.85</v>
      </c>
      <c r="P119" s="10">
        <v>0</v>
      </c>
      <c r="Q119" s="10">
        <v>27</v>
      </c>
      <c r="R119" s="7" t="s">
        <v>32</v>
      </c>
      <c r="S119" s="7" t="s">
        <v>33</v>
      </c>
    </row>
    <row r="120" spans="1:19" x14ac:dyDescent="0.25">
      <c r="A120" s="6">
        <v>19481808</v>
      </c>
      <c r="B120" s="7" t="s">
        <v>85</v>
      </c>
      <c r="C120" s="7" t="s">
        <v>466</v>
      </c>
      <c r="D120" s="7" t="s">
        <v>752</v>
      </c>
      <c r="E120" s="7" t="s">
        <v>757</v>
      </c>
      <c r="F120" s="7" t="s">
        <v>761</v>
      </c>
      <c r="G120" s="7">
        <v>65</v>
      </c>
      <c r="H120" s="7" t="s">
        <v>467</v>
      </c>
      <c r="I120" s="8">
        <v>45747.8055439815</v>
      </c>
      <c r="J120" s="9">
        <v>45566</v>
      </c>
      <c r="K120" s="9">
        <v>45748</v>
      </c>
      <c r="L120" s="7">
        <v>6</v>
      </c>
      <c r="M120" s="10">
        <v>367.2</v>
      </c>
      <c r="N120" s="10">
        <f>SUM(NewBusiness[[#This Row],[Premium]]/12)</f>
        <v>30.599999999999998</v>
      </c>
      <c r="O120" s="12">
        <v>0.8</v>
      </c>
      <c r="P120" s="10">
        <v>0</v>
      </c>
      <c r="Q120" s="10">
        <v>24.48</v>
      </c>
      <c r="R120" s="7" t="s">
        <v>32</v>
      </c>
      <c r="S120" s="7" t="s">
        <v>33</v>
      </c>
    </row>
    <row r="121" spans="1:19" s="15" customFormat="1" x14ac:dyDescent="0.25">
      <c r="A121" s="14">
        <v>19481808</v>
      </c>
      <c r="B121" s="15" t="s">
        <v>85</v>
      </c>
      <c r="C121" s="15" t="s">
        <v>466</v>
      </c>
      <c r="D121" s="15" t="s">
        <v>752</v>
      </c>
      <c r="E121" s="15" t="s">
        <v>757</v>
      </c>
      <c r="F121" s="15" t="s">
        <v>761</v>
      </c>
      <c r="G121" s="15">
        <v>65</v>
      </c>
      <c r="H121" s="15" t="s">
        <v>467</v>
      </c>
      <c r="I121" s="16">
        <v>45747.8055439815</v>
      </c>
      <c r="J121" s="17">
        <v>45566</v>
      </c>
      <c r="K121" s="17">
        <v>45748</v>
      </c>
      <c r="L121" s="15">
        <v>6</v>
      </c>
      <c r="M121" s="18">
        <v>367.2</v>
      </c>
      <c r="N121" s="18">
        <f>SUM(NewBusiness[[#This Row],[Premium]]/12)</f>
        <v>30.599999999999998</v>
      </c>
      <c r="O121" s="19">
        <v>0.8</v>
      </c>
      <c r="P121" s="18">
        <v>0</v>
      </c>
      <c r="Q121" s="18">
        <v>-24.48</v>
      </c>
      <c r="R121" s="15" t="s">
        <v>32</v>
      </c>
      <c r="S121" s="15" t="s">
        <v>33</v>
      </c>
    </row>
    <row r="122" spans="1:19" x14ac:dyDescent="0.25">
      <c r="A122" s="6">
        <v>8325282</v>
      </c>
      <c r="B122" s="7" t="s">
        <v>117</v>
      </c>
      <c r="C122" s="7" t="s">
        <v>169</v>
      </c>
      <c r="D122" s="7" t="s">
        <v>752</v>
      </c>
      <c r="E122" s="7" t="s">
        <v>757</v>
      </c>
      <c r="F122" s="7" t="s">
        <v>761</v>
      </c>
      <c r="G122" s="7">
        <v>79</v>
      </c>
      <c r="H122" s="7" t="s">
        <v>170</v>
      </c>
      <c r="I122" s="8">
        <v>45747.8055439815</v>
      </c>
      <c r="J122" s="9">
        <v>45576</v>
      </c>
      <c r="K122" s="9">
        <v>45758</v>
      </c>
      <c r="L122" s="7">
        <v>6</v>
      </c>
      <c r="M122" s="10">
        <v>1262.0999999999999</v>
      </c>
      <c r="N122" s="10">
        <f>SUM(NewBusiness[[#This Row],[Premium]]/12)</f>
        <v>105.175</v>
      </c>
      <c r="O122" s="12">
        <v>0.8</v>
      </c>
      <c r="P122" s="10">
        <v>0</v>
      </c>
      <c r="Q122" s="10">
        <v>84.14</v>
      </c>
      <c r="R122" s="7" t="s">
        <v>32</v>
      </c>
      <c r="S122" s="7" t="s">
        <v>33</v>
      </c>
    </row>
    <row r="123" spans="1:19" x14ac:dyDescent="0.25">
      <c r="A123" s="6">
        <v>8325282</v>
      </c>
      <c r="B123" s="7" t="s">
        <v>117</v>
      </c>
      <c r="C123" s="7" t="s">
        <v>479</v>
      </c>
      <c r="D123" s="7" t="s">
        <v>752</v>
      </c>
      <c r="E123" s="7" t="s">
        <v>757</v>
      </c>
      <c r="F123" s="7" t="s">
        <v>761</v>
      </c>
      <c r="G123" s="7">
        <v>78</v>
      </c>
      <c r="H123" s="7" t="s">
        <v>480</v>
      </c>
      <c r="I123" s="8">
        <v>45747.8055439815</v>
      </c>
      <c r="J123" s="9">
        <v>45576</v>
      </c>
      <c r="K123" s="9">
        <v>45758</v>
      </c>
      <c r="L123" s="7">
        <v>6</v>
      </c>
      <c r="M123" s="10">
        <v>1262.0999999999999</v>
      </c>
      <c r="N123" s="10">
        <f>SUM(NewBusiness[[#This Row],[Premium]]/12)</f>
        <v>105.175</v>
      </c>
      <c r="O123" s="12">
        <v>0.8</v>
      </c>
      <c r="P123" s="10">
        <v>0</v>
      </c>
      <c r="Q123" s="10">
        <v>84.14</v>
      </c>
      <c r="R123" s="7" t="s">
        <v>32</v>
      </c>
      <c r="S123" s="7" t="s">
        <v>33</v>
      </c>
    </row>
    <row r="124" spans="1:19" x14ac:dyDescent="0.25">
      <c r="A124" s="6">
        <v>16633294</v>
      </c>
      <c r="B124" s="7" t="s">
        <v>29</v>
      </c>
      <c r="C124" s="7" t="s">
        <v>219</v>
      </c>
      <c r="D124" s="7" t="s">
        <v>754</v>
      </c>
      <c r="E124" s="7" t="s">
        <v>757</v>
      </c>
      <c r="F124" s="7" t="s">
        <v>761</v>
      </c>
      <c r="G124" s="7">
        <v>65</v>
      </c>
      <c r="H124" s="7" t="s">
        <v>220</v>
      </c>
      <c r="I124" s="8">
        <v>45747.8055439815</v>
      </c>
      <c r="J124" s="9">
        <v>45577</v>
      </c>
      <c r="K124" s="9">
        <v>45759</v>
      </c>
      <c r="L124" s="7">
        <v>6</v>
      </c>
      <c r="M124" s="10">
        <v>652.86</v>
      </c>
      <c r="N124" s="10">
        <f>SUM(NewBusiness[[#This Row],[Premium]]/12)</f>
        <v>54.405000000000001</v>
      </c>
      <c r="O124" s="12">
        <v>0.85</v>
      </c>
      <c r="P124" s="10">
        <v>0</v>
      </c>
      <c r="Q124" s="10">
        <v>46.24</v>
      </c>
      <c r="R124" s="7" t="s">
        <v>32</v>
      </c>
      <c r="S124" s="7" t="s">
        <v>33</v>
      </c>
    </row>
    <row r="125" spans="1:19" x14ac:dyDescent="0.25">
      <c r="A125" s="6">
        <v>8325282</v>
      </c>
      <c r="B125" s="7" t="s">
        <v>117</v>
      </c>
      <c r="C125" s="7" t="s">
        <v>233</v>
      </c>
      <c r="D125" s="7" t="s">
        <v>754</v>
      </c>
      <c r="E125" s="7" t="s">
        <v>757</v>
      </c>
      <c r="F125" s="7" t="s">
        <v>761</v>
      </c>
      <c r="G125" s="7">
        <v>68</v>
      </c>
      <c r="H125" s="7" t="s">
        <v>234</v>
      </c>
      <c r="I125" s="8">
        <v>45747.8055439815</v>
      </c>
      <c r="J125" s="9">
        <v>45580</v>
      </c>
      <c r="K125" s="9">
        <v>45762</v>
      </c>
      <c r="L125" s="7">
        <v>6</v>
      </c>
      <c r="M125" s="10">
        <v>620.57000000000005</v>
      </c>
      <c r="N125" s="10">
        <f>SUM(NewBusiness[[#This Row],[Premium]]/12)</f>
        <v>51.714166666666671</v>
      </c>
      <c r="O125" s="12">
        <v>0.85</v>
      </c>
      <c r="P125" s="10">
        <v>0</v>
      </c>
      <c r="Q125" s="10">
        <v>43.95</v>
      </c>
      <c r="R125" s="7" t="s">
        <v>32</v>
      </c>
      <c r="S125" s="7" t="s">
        <v>33</v>
      </c>
    </row>
    <row r="126" spans="1:19" x14ac:dyDescent="0.25">
      <c r="A126" s="6">
        <v>8325282</v>
      </c>
      <c r="B126" s="7" t="s">
        <v>117</v>
      </c>
      <c r="C126" s="7" t="s">
        <v>512</v>
      </c>
      <c r="D126" s="7" t="s">
        <v>754</v>
      </c>
      <c r="E126" s="7" t="s">
        <v>757</v>
      </c>
      <c r="F126" s="7" t="s">
        <v>761</v>
      </c>
      <c r="G126" s="7">
        <v>68</v>
      </c>
      <c r="H126" s="7" t="s">
        <v>513</v>
      </c>
      <c r="I126" s="8">
        <v>45747.8055439815</v>
      </c>
      <c r="J126" s="9">
        <v>45580</v>
      </c>
      <c r="K126" s="9">
        <v>45762</v>
      </c>
      <c r="L126" s="7">
        <v>6</v>
      </c>
      <c r="M126" s="10">
        <v>620.57000000000005</v>
      </c>
      <c r="N126" s="10">
        <f>SUM(NewBusiness[[#This Row],[Premium]]/12)</f>
        <v>51.714166666666671</v>
      </c>
      <c r="O126" s="12">
        <v>0.85</v>
      </c>
      <c r="P126" s="10">
        <v>0</v>
      </c>
      <c r="Q126" s="10">
        <v>43.95</v>
      </c>
      <c r="R126" s="7" t="s">
        <v>32</v>
      </c>
      <c r="S126" s="7" t="s">
        <v>33</v>
      </c>
    </row>
    <row r="127" spans="1:19" x14ac:dyDescent="0.25">
      <c r="A127" s="6">
        <v>16633294</v>
      </c>
      <c r="B127" s="7" t="s">
        <v>29</v>
      </c>
      <c r="C127" s="7" t="s">
        <v>605</v>
      </c>
      <c r="D127" s="7" t="s">
        <v>754</v>
      </c>
      <c r="E127" s="7" t="s">
        <v>757</v>
      </c>
      <c r="F127" s="7" t="s">
        <v>761</v>
      </c>
      <c r="G127" s="7">
        <v>65</v>
      </c>
      <c r="H127" s="7" t="s">
        <v>606</v>
      </c>
      <c r="I127" s="8">
        <v>45747.8055439815</v>
      </c>
      <c r="J127" s="9">
        <v>45583</v>
      </c>
      <c r="K127" s="9">
        <v>45765</v>
      </c>
      <c r="L127" s="7">
        <v>6</v>
      </c>
      <c r="M127" s="10">
        <v>652.86</v>
      </c>
      <c r="N127" s="10">
        <f>SUM(NewBusiness[[#This Row],[Premium]]/12)</f>
        <v>54.405000000000001</v>
      </c>
      <c r="O127" s="12">
        <v>0.85</v>
      </c>
      <c r="P127" s="10">
        <v>0</v>
      </c>
      <c r="Q127" s="10">
        <v>46.24</v>
      </c>
      <c r="R127" s="7" t="s">
        <v>32</v>
      </c>
      <c r="S127" s="7" t="s">
        <v>33</v>
      </c>
    </row>
    <row r="128" spans="1:19" x14ac:dyDescent="0.25">
      <c r="A128" s="6">
        <v>16633294</v>
      </c>
      <c r="B128" s="7" t="s">
        <v>29</v>
      </c>
      <c r="C128" s="7" t="s">
        <v>615</v>
      </c>
      <c r="D128" s="7" t="s">
        <v>754</v>
      </c>
      <c r="E128" s="7" t="s">
        <v>757</v>
      </c>
      <c r="F128" s="7" t="s">
        <v>761</v>
      </c>
      <c r="G128" s="7">
        <v>68</v>
      </c>
      <c r="H128" s="7" t="s">
        <v>616</v>
      </c>
      <c r="I128" s="8">
        <v>45747.8055439815</v>
      </c>
      <c r="J128" s="9">
        <v>45583</v>
      </c>
      <c r="K128" s="9">
        <v>45765</v>
      </c>
      <c r="L128" s="7">
        <v>6</v>
      </c>
      <c r="M128" s="10">
        <v>652.86</v>
      </c>
      <c r="N128" s="10">
        <f>SUM(NewBusiness[[#This Row],[Premium]]/12)</f>
        <v>54.405000000000001</v>
      </c>
      <c r="O128" s="12">
        <v>0.85</v>
      </c>
      <c r="P128" s="10">
        <v>0</v>
      </c>
      <c r="Q128" s="10">
        <v>46.24</v>
      </c>
      <c r="R128" s="7" t="s">
        <v>32</v>
      </c>
      <c r="S128" s="7" t="s">
        <v>33</v>
      </c>
    </row>
    <row r="129" spans="1:19" x14ac:dyDescent="0.25">
      <c r="A129" s="6">
        <v>16633294</v>
      </c>
      <c r="B129" s="7" t="s">
        <v>29</v>
      </c>
      <c r="C129" s="7" t="s">
        <v>635</v>
      </c>
      <c r="D129" s="7" t="s">
        <v>752</v>
      </c>
      <c r="E129" s="7" t="s">
        <v>757</v>
      </c>
      <c r="F129" s="7" t="s">
        <v>761</v>
      </c>
      <c r="G129" s="7">
        <v>76</v>
      </c>
      <c r="H129" s="7" t="s">
        <v>636</v>
      </c>
      <c r="I129" s="8">
        <v>45747.8055439815</v>
      </c>
      <c r="J129" s="9">
        <v>45584</v>
      </c>
      <c r="K129" s="9">
        <v>45766</v>
      </c>
      <c r="L129" s="7">
        <v>6</v>
      </c>
      <c r="M129" s="10">
        <v>1840.36</v>
      </c>
      <c r="N129" s="10">
        <f>SUM(NewBusiness[[#This Row],[Premium]]/12)</f>
        <v>153.36333333333332</v>
      </c>
      <c r="O129" s="12">
        <v>0.8</v>
      </c>
      <c r="P129" s="10">
        <v>0</v>
      </c>
      <c r="Q129" s="10">
        <v>122.69</v>
      </c>
      <c r="R129" s="7" t="s">
        <v>32</v>
      </c>
      <c r="S129" s="7" t="s">
        <v>33</v>
      </c>
    </row>
    <row r="130" spans="1:19" x14ac:dyDescent="0.25">
      <c r="A130" s="6">
        <v>16633294</v>
      </c>
      <c r="B130" s="7" t="s">
        <v>29</v>
      </c>
      <c r="C130" s="7" t="s">
        <v>305</v>
      </c>
      <c r="D130" s="7" t="s">
        <v>754</v>
      </c>
      <c r="E130" s="7" t="s">
        <v>757</v>
      </c>
      <c r="F130" s="7" t="s">
        <v>761</v>
      </c>
      <c r="G130" s="7">
        <v>72</v>
      </c>
      <c r="H130" s="7" t="s">
        <v>306</v>
      </c>
      <c r="I130" s="8">
        <v>45747.8055439815</v>
      </c>
      <c r="J130" s="9">
        <v>45584</v>
      </c>
      <c r="K130" s="9">
        <v>45766</v>
      </c>
      <c r="L130" s="7">
        <v>6</v>
      </c>
      <c r="M130" s="10">
        <v>919.19</v>
      </c>
      <c r="N130" s="10">
        <f>SUM(NewBusiness[[#This Row],[Premium]]/12)</f>
        <v>76.599166666666676</v>
      </c>
      <c r="O130" s="12">
        <v>0.85</v>
      </c>
      <c r="P130" s="10">
        <v>0</v>
      </c>
      <c r="Q130" s="10">
        <v>65.099999999999994</v>
      </c>
      <c r="R130" s="7" t="s">
        <v>32</v>
      </c>
      <c r="S130" s="7" t="s">
        <v>33</v>
      </c>
    </row>
    <row r="131" spans="1:19" x14ac:dyDescent="0.25">
      <c r="A131" s="6">
        <v>16633294</v>
      </c>
      <c r="B131" s="7" t="s">
        <v>29</v>
      </c>
      <c r="C131" s="7" t="s">
        <v>419</v>
      </c>
      <c r="D131" s="7" t="s">
        <v>754</v>
      </c>
      <c r="E131" s="7" t="s">
        <v>757</v>
      </c>
      <c r="F131" s="7" t="s">
        <v>761</v>
      </c>
      <c r="G131" s="7">
        <v>68</v>
      </c>
      <c r="H131" s="7" t="s">
        <v>420</v>
      </c>
      <c r="I131" s="8">
        <v>45747.8055439815</v>
      </c>
      <c r="J131" s="9">
        <v>45584</v>
      </c>
      <c r="K131" s="9">
        <v>45766</v>
      </c>
      <c r="L131" s="7">
        <v>6</v>
      </c>
      <c r="M131" s="10">
        <v>652.86</v>
      </c>
      <c r="N131" s="10">
        <f>SUM(NewBusiness[[#This Row],[Premium]]/12)</f>
        <v>54.405000000000001</v>
      </c>
      <c r="O131" s="12">
        <v>0.85</v>
      </c>
      <c r="P131" s="10">
        <v>0</v>
      </c>
      <c r="Q131" s="10">
        <v>46.24</v>
      </c>
      <c r="R131" s="7" t="s">
        <v>32</v>
      </c>
      <c r="S131" s="7" t="s">
        <v>33</v>
      </c>
    </row>
    <row r="132" spans="1:19" x14ac:dyDescent="0.25">
      <c r="A132" s="6">
        <v>16633294</v>
      </c>
      <c r="B132" s="7" t="s">
        <v>29</v>
      </c>
      <c r="C132" s="7" t="s">
        <v>487</v>
      </c>
      <c r="D132" s="7" t="s">
        <v>754</v>
      </c>
      <c r="E132" s="7" t="s">
        <v>757</v>
      </c>
      <c r="F132" s="7" t="s">
        <v>761</v>
      </c>
      <c r="G132" s="7">
        <v>64</v>
      </c>
      <c r="H132" s="7" t="s">
        <v>488</v>
      </c>
      <c r="I132" s="8">
        <v>45747.8055439815</v>
      </c>
      <c r="J132" s="9">
        <v>45585</v>
      </c>
      <c r="K132" s="9">
        <v>45767</v>
      </c>
      <c r="L132" s="7">
        <v>6</v>
      </c>
      <c r="M132" s="10">
        <v>558.09</v>
      </c>
      <c r="N132" s="10">
        <f>SUM(NewBusiness[[#This Row],[Premium]]/12)</f>
        <v>46.5075</v>
      </c>
      <c r="O132" s="12">
        <v>0.85</v>
      </c>
      <c r="P132" s="10">
        <v>0</v>
      </c>
      <c r="Q132" s="10">
        <v>39.53</v>
      </c>
      <c r="R132" s="7" t="s">
        <v>489</v>
      </c>
      <c r="S132" s="7" t="s">
        <v>33</v>
      </c>
    </row>
    <row r="133" spans="1:19" x14ac:dyDescent="0.25">
      <c r="A133" s="6">
        <v>16633294</v>
      </c>
      <c r="B133" s="7" t="s">
        <v>29</v>
      </c>
      <c r="C133" s="7" t="s">
        <v>148</v>
      </c>
      <c r="D133" s="7" t="s">
        <v>754</v>
      </c>
      <c r="E133" s="7" t="s">
        <v>757</v>
      </c>
      <c r="F133" s="7" t="s">
        <v>761</v>
      </c>
      <c r="G133" s="7">
        <v>66</v>
      </c>
      <c r="H133" s="7" t="s">
        <v>149</v>
      </c>
      <c r="I133" s="8">
        <v>45747.8055439815</v>
      </c>
      <c r="J133" s="9">
        <v>45588</v>
      </c>
      <c r="K133" s="9">
        <v>45770</v>
      </c>
      <c r="L133" s="7">
        <v>6</v>
      </c>
      <c r="M133" s="10">
        <v>607.15</v>
      </c>
      <c r="N133" s="10">
        <f>SUM(NewBusiness[[#This Row],[Premium]]/12)</f>
        <v>50.595833333333331</v>
      </c>
      <c r="O133" s="12">
        <v>0.85</v>
      </c>
      <c r="P133" s="10">
        <v>0</v>
      </c>
      <c r="Q133" s="10">
        <v>43</v>
      </c>
      <c r="R133" s="7" t="s">
        <v>32</v>
      </c>
      <c r="S133" s="7" t="s">
        <v>33</v>
      </c>
    </row>
    <row r="134" spans="1:19" x14ac:dyDescent="0.25">
      <c r="A134" s="6">
        <v>16633294</v>
      </c>
      <c r="B134" s="7" t="s">
        <v>29</v>
      </c>
      <c r="C134" s="7" t="s">
        <v>562</v>
      </c>
      <c r="D134" s="7" t="s">
        <v>754</v>
      </c>
      <c r="E134" s="7" t="s">
        <v>757</v>
      </c>
      <c r="F134" s="7" t="s">
        <v>761</v>
      </c>
      <c r="G134" s="7">
        <v>66</v>
      </c>
      <c r="H134" s="7" t="s">
        <v>563</v>
      </c>
      <c r="I134" s="8">
        <v>45747.8055439815</v>
      </c>
      <c r="J134" s="9">
        <v>45588</v>
      </c>
      <c r="K134" s="9">
        <v>45770</v>
      </c>
      <c r="L134" s="7">
        <v>6</v>
      </c>
      <c r="M134" s="10">
        <v>607.15</v>
      </c>
      <c r="N134" s="10">
        <f>SUM(NewBusiness[[#This Row],[Premium]]/12)</f>
        <v>50.595833333333331</v>
      </c>
      <c r="O134" s="12">
        <v>0.85</v>
      </c>
      <c r="P134" s="10">
        <v>0</v>
      </c>
      <c r="Q134" s="10">
        <v>43</v>
      </c>
      <c r="R134" s="7" t="s">
        <v>32</v>
      </c>
      <c r="S134" s="7" t="s">
        <v>33</v>
      </c>
    </row>
    <row r="135" spans="1:19" x14ac:dyDescent="0.25">
      <c r="A135" s="6">
        <v>16633294</v>
      </c>
      <c r="B135" s="7" t="s">
        <v>29</v>
      </c>
      <c r="C135" s="7" t="s">
        <v>100</v>
      </c>
      <c r="D135" s="7" t="s">
        <v>754</v>
      </c>
      <c r="E135" s="7" t="s">
        <v>757</v>
      </c>
      <c r="F135" s="7" t="s">
        <v>761</v>
      </c>
      <c r="G135" s="7">
        <v>74</v>
      </c>
      <c r="H135" s="7" t="s">
        <v>101</v>
      </c>
      <c r="I135" s="8">
        <v>45747.8055439815</v>
      </c>
      <c r="J135" s="9">
        <v>45589</v>
      </c>
      <c r="K135" s="9">
        <v>45771</v>
      </c>
      <c r="L135" s="7">
        <v>6</v>
      </c>
      <c r="M135" s="10">
        <v>919.19</v>
      </c>
      <c r="N135" s="10">
        <f>SUM(NewBusiness[[#This Row],[Premium]]/12)</f>
        <v>76.599166666666676</v>
      </c>
      <c r="O135" s="12">
        <v>0.85</v>
      </c>
      <c r="P135" s="10">
        <v>0</v>
      </c>
      <c r="Q135" s="10">
        <v>65.099999999999994</v>
      </c>
      <c r="R135" s="7" t="s">
        <v>32</v>
      </c>
      <c r="S135" s="7" t="s">
        <v>33</v>
      </c>
    </row>
    <row r="136" spans="1:19" x14ac:dyDescent="0.25">
      <c r="A136" s="6">
        <v>16633294</v>
      </c>
      <c r="B136" s="7" t="s">
        <v>29</v>
      </c>
      <c r="C136" s="7" t="s">
        <v>211</v>
      </c>
      <c r="D136" s="7" t="s">
        <v>754</v>
      </c>
      <c r="E136" s="7" t="s">
        <v>757</v>
      </c>
      <c r="F136" s="7" t="s">
        <v>761</v>
      </c>
      <c r="G136" s="7">
        <v>73</v>
      </c>
      <c r="H136" s="7" t="s">
        <v>212</v>
      </c>
      <c r="I136" s="8">
        <v>45747.8055439815</v>
      </c>
      <c r="J136" s="9">
        <v>45589</v>
      </c>
      <c r="K136" s="9">
        <v>45771</v>
      </c>
      <c r="L136" s="7">
        <v>6</v>
      </c>
      <c r="M136" s="10">
        <v>919.19</v>
      </c>
      <c r="N136" s="10">
        <f>SUM(NewBusiness[[#This Row],[Premium]]/12)</f>
        <v>76.599166666666676</v>
      </c>
      <c r="O136" s="12">
        <v>0.85</v>
      </c>
      <c r="P136" s="10">
        <v>0</v>
      </c>
      <c r="Q136" s="10">
        <v>65.099999999999994</v>
      </c>
      <c r="R136" s="7" t="s">
        <v>32</v>
      </c>
      <c r="S136" s="7" t="s">
        <v>33</v>
      </c>
    </row>
    <row r="137" spans="1:19" x14ac:dyDescent="0.25">
      <c r="A137" s="6">
        <v>16633294</v>
      </c>
      <c r="B137" s="7" t="s">
        <v>29</v>
      </c>
      <c r="C137" s="7" t="s">
        <v>460</v>
      </c>
      <c r="D137" s="7" t="s">
        <v>754</v>
      </c>
      <c r="E137" s="7" t="s">
        <v>757</v>
      </c>
      <c r="F137" s="7" t="s">
        <v>761</v>
      </c>
      <c r="G137" s="7">
        <v>67</v>
      </c>
      <c r="H137" s="7" t="s">
        <v>461</v>
      </c>
      <c r="I137" s="8">
        <v>45747.8055439815</v>
      </c>
      <c r="J137" s="9">
        <v>45589</v>
      </c>
      <c r="K137" s="9">
        <v>45771</v>
      </c>
      <c r="L137" s="7">
        <v>6</v>
      </c>
      <c r="M137" s="10">
        <v>652.86</v>
      </c>
      <c r="N137" s="10">
        <f>SUM(NewBusiness[[#This Row],[Premium]]/12)</f>
        <v>54.405000000000001</v>
      </c>
      <c r="O137" s="12">
        <v>0.85</v>
      </c>
      <c r="P137" s="10">
        <v>0</v>
      </c>
      <c r="Q137" s="10">
        <v>46.24</v>
      </c>
      <c r="R137" s="7" t="s">
        <v>32</v>
      </c>
      <c r="S137" s="7" t="s">
        <v>33</v>
      </c>
    </row>
    <row r="138" spans="1:19" x14ac:dyDescent="0.25">
      <c r="A138" s="6">
        <v>16633294</v>
      </c>
      <c r="B138" s="7" t="s">
        <v>29</v>
      </c>
      <c r="C138" s="7" t="s">
        <v>696</v>
      </c>
      <c r="D138" s="7" t="s">
        <v>754</v>
      </c>
      <c r="E138" s="7" t="s">
        <v>757</v>
      </c>
      <c r="F138" s="7" t="s">
        <v>761</v>
      </c>
      <c r="G138" s="7">
        <v>69</v>
      </c>
      <c r="H138" s="7" t="s">
        <v>697</v>
      </c>
      <c r="I138" s="8">
        <v>45747.8055439815</v>
      </c>
      <c r="J138" s="9">
        <v>45589</v>
      </c>
      <c r="K138" s="9">
        <v>45771</v>
      </c>
      <c r="L138" s="7">
        <v>6</v>
      </c>
      <c r="M138" s="10">
        <v>652.86</v>
      </c>
      <c r="N138" s="10">
        <f>SUM(NewBusiness[[#This Row],[Premium]]/12)</f>
        <v>54.405000000000001</v>
      </c>
      <c r="O138" s="12">
        <v>0.85</v>
      </c>
      <c r="P138" s="10">
        <v>0</v>
      </c>
      <c r="Q138" s="10">
        <v>46.24</v>
      </c>
      <c r="R138" s="7" t="s">
        <v>32</v>
      </c>
      <c r="S138" s="7" t="s">
        <v>33</v>
      </c>
    </row>
    <row r="139" spans="1:19" x14ac:dyDescent="0.25">
      <c r="A139" s="6">
        <v>16633294</v>
      </c>
      <c r="B139" s="7" t="s">
        <v>29</v>
      </c>
      <c r="C139" s="7" t="s">
        <v>468</v>
      </c>
      <c r="D139" s="7" t="s">
        <v>754</v>
      </c>
      <c r="E139" s="7" t="s">
        <v>757</v>
      </c>
      <c r="F139" s="7" t="s">
        <v>761</v>
      </c>
      <c r="G139" s="7">
        <v>60</v>
      </c>
      <c r="H139" s="7" t="s">
        <v>469</v>
      </c>
      <c r="I139" s="8">
        <v>45747.8055439815</v>
      </c>
      <c r="J139" s="9">
        <v>45591</v>
      </c>
      <c r="K139" s="9">
        <v>45773</v>
      </c>
      <c r="L139" s="7">
        <v>6</v>
      </c>
      <c r="M139" s="10">
        <v>554.75</v>
      </c>
      <c r="N139" s="10">
        <f>SUM(NewBusiness[[#This Row],[Premium]]/12)</f>
        <v>46.229166666666664</v>
      </c>
      <c r="O139" s="12">
        <v>0.85</v>
      </c>
      <c r="P139" s="10">
        <v>0</v>
      </c>
      <c r="Q139" s="10">
        <v>39.299999999999997</v>
      </c>
      <c r="R139" s="7" t="s">
        <v>32</v>
      </c>
      <c r="S139" s="7" t="s">
        <v>33</v>
      </c>
    </row>
    <row r="140" spans="1:19" x14ac:dyDescent="0.25">
      <c r="A140" s="6">
        <v>16633294</v>
      </c>
      <c r="B140" s="7" t="s">
        <v>29</v>
      </c>
      <c r="C140" s="7" t="s">
        <v>659</v>
      </c>
      <c r="D140" s="7" t="s">
        <v>754</v>
      </c>
      <c r="E140" s="7" t="s">
        <v>757</v>
      </c>
      <c r="F140" s="7" t="s">
        <v>761</v>
      </c>
      <c r="G140" s="7">
        <v>66</v>
      </c>
      <c r="H140" s="7" t="s">
        <v>660</v>
      </c>
      <c r="I140" s="8">
        <v>45747.8055439815</v>
      </c>
      <c r="J140" s="9">
        <v>45591</v>
      </c>
      <c r="K140" s="9">
        <v>45773</v>
      </c>
      <c r="L140" s="7">
        <v>6</v>
      </c>
      <c r="M140" s="10">
        <v>792.35</v>
      </c>
      <c r="N140" s="10">
        <f>SUM(NewBusiness[[#This Row],[Premium]]/12)</f>
        <v>66.029166666666669</v>
      </c>
      <c r="O140" s="12">
        <v>0.85</v>
      </c>
      <c r="P140" s="10">
        <v>0</v>
      </c>
      <c r="Q140" s="10">
        <v>56.12</v>
      </c>
      <c r="R140" s="7" t="s">
        <v>32</v>
      </c>
      <c r="S140" s="7" t="s">
        <v>33</v>
      </c>
    </row>
    <row r="141" spans="1:19" x14ac:dyDescent="0.25">
      <c r="A141" s="6">
        <v>16633294</v>
      </c>
      <c r="B141" s="7" t="s">
        <v>29</v>
      </c>
      <c r="C141" s="7" t="s">
        <v>481</v>
      </c>
      <c r="D141" s="7" t="s">
        <v>752</v>
      </c>
      <c r="E141" s="7" t="s">
        <v>757</v>
      </c>
      <c r="F141" s="7" t="s">
        <v>761</v>
      </c>
      <c r="G141" s="7">
        <v>76</v>
      </c>
      <c r="H141" s="7" t="s">
        <v>482</v>
      </c>
      <c r="I141" s="8">
        <v>45747.8055439815</v>
      </c>
      <c r="J141" s="9">
        <v>45594</v>
      </c>
      <c r="K141" s="9">
        <v>45776</v>
      </c>
      <c r="L141" s="7">
        <v>6</v>
      </c>
      <c r="M141" s="10">
        <v>1623.84</v>
      </c>
      <c r="N141" s="10">
        <f>SUM(NewBusiness[[#This Row],[Premium]]/12)</f>
        <v>135.32</v>
      </c>
      <c r="O141" s="12">
        <v>0.8</v>
      </c>
      <c r="P141" s="10">
        <v>0</v>
      </c>
      <c r="Q141" s="10">
        <v>108.25</v>
      </c>
      <c r="R141" s="7" t="s">
        <v>32</v>
      </c>
      <c r="S141" s="7" t="s">
        <v>33</v>
      </c>
    </row>
    <row r="142" spans="1:19" x14ac:dyDescent="0.25">
      <c r="A142" s="6">
        <v>16633294</v>
      </c>
      <c r="B142" s="7" t="s">
        <v>29</v>
      </c>
      <c r="C142" s="7" t="s">
        <v>437</v>
      </c>
      <c r="D142" s="7" t="s">
        <v>754</v>
      </c>
      <c r="E142" s="7" t="s">
        <v>757</v>
      </c>
      <c r="F142" s="7" t="s">
        <v>761</v>
      </c>
      <c r="G142" s="7">
        <v>74</v>
      </c>
      <c r="H142" s="7" t="s">
        <v>438</v>
      </c>
      <c r="I142" s="8">
        <v>45747.8055439815</v>
      </c>
      <c r="J142" s="9">
        <v>45594</v>
      </c>
      <c r="K142" s="9">
        <v>45776</v>
      </c>
      <c r="L142" s="7">
        <v>6</v>
      </c>
      <c r="M142" s="10">
        <v>777.28</v>
      </c>
      <c r="N142" s="10">
        <f>SUM(NewBusiness[[#This Row],[Premium]]/12)</f>
        <v>64.773333333333326</v>
      </c>
      <c r="O142" s="12">
        <v>0.85</v>
      </c>
      <c r="P142" s="10">
        <v>0</v>
      </c>
      <c r="Q142" s="10">
        <v>55.05</v>
      </c>
      <c r="R142" s="7" t="s">
        <v>32</v>
      </c>
      <c r="S142" s="7" t="s">
        <v>33</v>
      </c>
    </row>
    <row r="143" spans="1:19" x14ac:dyDescent="0.25">
      <c r="A143" s="6">
        <v>16633294</v>
      </c>
      <c r="B143" s="7" t="s">
        <v>29</v>
      </c>
      <c r="C143" s="7" t="s">
        <v>655</v>
      </c>
      <c r="D143" s="7" t="s">
        <v>754</v>
      </c>
      <c r="E143" s="7" t="s">
        <v>757</v>
      </c>
      <c r="F143" s="7" t="s">
        <v>761</v>
      </c>
      <c r="G143" s="7">
        <v>70</v>
      </c>
      <c r="H143" s="7" t="s">
        <v>656</v>
      </c>
      <c r="I143" s="8">
        <v>45747.8055439815</v>
      </c>
      <c r="J143" s="9">
        <v>45595</v>
      </c>
      <c r="K143" s="9">
        <v>45777</v>
      </c>
      <c r="L143" s="7">
        <v>6</v>
      </c>
      <c r="M143" s="10">
        <v>652.86</v>
      </c>
      <c r="N143" s="10">
        <f>SUM(NewBusiness[[#This Row],[Premium]]/12)</f>
        <v>54.405000000000001</v>
      </c>
      <c r="O143" s="12">
        <v>0.85</v>
      </c>
      <c r="P143" s="10">
        <v>0</v>
      </c>
      <c r="Q143" s="10">
        <v>46.24</v>
      </c>
      <c r="R143" s="7" t="s">
        <v>32</v>
      </c>
      <c r="S143" s="7" t="s">
        <v>33</v>
      </c>
    </row>
    <row r="144" spans="1:19" x14ac:dyDescent="0.25">
      <c r="A144" s="6">
        <v>16633294</v>
      </c>
      <c r="B144" s="7" t="s">
        <v>29</v>
      </c>
      <c r="C144" s="7" t="s">
        <v>201</v>
      </c>
      <c r="D144" s="7" t="s">
        <v>751</v>
      </c>
      <c r="E144" s="7" t="s">
        <v>757</v>
      </c>
      <c r="F144" s="7" t="s">
        <v>761</v>
      </c>
      <c r="G144" s="7">
        <v>64</v>
      </c>
      <c r="H144" s="7" t="s">
        <v>202</v>
      </c>
      <c r="I144" s="8">
        <v>45747.8055439815</v>
      </c>
      <c r="J144" s="9">
        <v>45597</v>
      </c>
      <c r="K144" s="9">
        <v>45778</v>
      </c>
      <c r="L144" s="7">
        <v>6</v>
      </c>
      <c r="M144" s="10">
        <v>405.6</v>
      </c>
      <c r="N144" s="10">
        <f>SUM(NewBusiness[[#This Row],[Premium]]/12)</f>
        <v>33.800000000000004</v>
      </c>
      <c r="O144" s="12">
        <v>0.75</v>
      </c>
      <c r="P144" s="10">
        <v>0</v>
      </c>
      <c r="Q144" s="10">
        <v>25.35</v>
      </c>
      <c r="R144" s="7" t="s">
        <v>203</v>
      </c>
      <c r="S144" s="7" t="s">
        <v>33</v>
      </c>
    </row>
    <row r="145" spans="1:19" x14ac:dyDescent="0.25">
      <c r="A145" s="6">
        <v>16912722</v>
      </c>
      <c r="B145" s="7" t="s">
        <v>191</v>
      </c>
      <c r="C145" s="7" t="s">
        <v>213</v>
      </c>
      <c r="D145" s="7" t="s">
        <v>752</v>
      </c>
      <c r="E145" s="7" t="s">
        <v>757</v>
      </c>
      <c r="F145" s="7" t="s">
        <v>761</v>
      </c>
      <c r="G145" s="7">
        <v>82</v>
      </c>
      <c r="H145" s="7" t="s">
        <v>214</v>
      </c>
      <c r="I145" s="8">
        <v>45747.8055439815</v>
      </c>
      <c r="J145" s="9">
        <v>45597</v>
      </c>
      <c r="K145" s="9">
        <v>45778</v>
      </c>
      <c r="L145" s="7">
        <v>6</v>
      </c>
      <c r="M145" s="10">
        <v>2212.54</v>
      </c>
      <c r="N145" s="10">
        <f>SUM(NewBusiness[[#This Row],[Premium]]/12)</f>
        <v>184.37833333333333</v>
      </c>
      <c r="O145" s="12">
        <v>0.8</v>
      </c>
      <c r="P145" s="10">
        <v>0</v>
      </c>
      <c r="Q145" s="10">
        <v>147.5</v>
      </c>
      <c r="R145" s="7" t="s">
        <v>32</v>
      </c>
      <c r="S145" s="7" t="s">
        <v>33</v>
      </c>
    </row>
    <row r="146" spans="1:19" x14ac:dyDescent="0.25">
      <c r="A146" s="6">
        <v>19645587</v>
      </c>
      <c r="B146" s="7" t="s">
        <v>196</v>
      </c>
      <c r="C146" s="7" t="s">
        <v>560</v>
      </c>
      <c r="D146" s="7" t="s">
        <v>752</v>
      </c>
      <c r="E146" s="7" t="s">
        <v>757</v>
      </c>
      <c r="F146" s="7" t="s">
        <v>761</v>
      </c>
      <c r="G146" s="7">
        <v>76</v>
      </c>
      <c r="H146" s="7" t="s">
        <v>561</v>
      </c>
      <c r="I146" s="8">
        <v>45747.8055439815</v>
      </c>
      <c r="J146" s="9">
        <v>45597</v>
      </c>
      <c r="K146" s="9">
        <v>45778</v>
      </c>
      <c r="L146" s="7">
        <v>6</v>
      </c>
      <c r="M146" s="10">
        <v>544.79999999999995</v>
      </c>
      <c r="N146" s="10">
        <f>SUM(NewBusiness[[#This Row],[Premium]]/12)</f>
        <v>45.4</v>
      </c>
      <c r="O146" s="12">
        <v>0.8</v>
      </c>
      <c r="P146" s="10">
        <v>0</v>
      </c>
      <c r="Q146" s="10">
        <v>36.32</v>
      </c>
      <c r="R146" s="7" t="s">
        <v>32</v>
      </c>
      <c r="S146" s="7" t="s">
        <v>33</v>
      </c>
    </row>
    <row r="147" spans="1:19" x14ac:dyDescent="0.25">
      <c r="A147" s="6">
        <v>16633294</v>
      </c>
      <c r="B147" s="7" t="s">
        <v>29</v>
      </c>
      <c r="C147" s="7" t="s">
        <v>429</v>
      </c>
      <c r="D147" s="7" t="s">
        <v>752</v>
      </c>
      <c r="E147" s="7" t="s">
        <v>757</v>
      </c>
      <c r="F147" s="7" t="s">
        <v>761</v>
      </c>
      <c r="G147" s="7">
        <v>64</v>
      </c>
      <c r="H147" s="7" t="s">
        <v>430</v>
      </c>
      <c r="I147" s="8">
        <v>45747.8055439815</v>
      </c>
      <c r="J147" s="9">
        <v>45597</v>
      </c>
      <c r="K147" s="9">
        <v>45778</v>
      </c>
      <c r="L147" s="7">
        <v>6</v>
      </c>
      <c r="M147" s="10">
        <v>1798.8</v>
      </c>
      <c r="N147" s="10">
        <f>SUM(NewBusiness[[#This Row],[Premium]]/12)</f>
        <v>149.9</v>
      </c>
      <c r="O147" s="12">
        <v>0.8</v>
      </c>
      <c r="P147" s="10">
        <v>0</v>
      </c>
      <c r="Q147" s="10">
        <v>119.92</v>
      </c>
      <c r="R147" s="7" t="s">
        <v>32</v>
      </c>
      <c r="S147" s="7" t="s">
        <v>33</v>
      </c>
    </row>
    <row r="148" spans="1:19" x14ac:dyDescent="0.25">
      <c r="A148" s="6">
        <v>16633294</v>
      </c>
      <c r="B148" s="7" t="s">
        <v>29</v>
      </c>
      <c r="C148" s="7" t="s">
        <v>604</v>
      </c>
      <c r="D148" s="7" t="s">
        <v>752</v>
      </c>
      <c r="E148" s="7" t="s">
        <v>757</v>
      </c>
      <c r="F148" s="7" t="s">
        <v>761</v>
      </c>
      <c r="G148" s="7">
        <v>64</v>
      </c>
      <c r="H148" s="7" t="s">
        <v>488</v>
      </c>
      <c r="I148" s="8">
        <v>45747.8055439815</v>
      </c>
      <c r="J148" s="9">
        <v>45597</v>
      </c>
      <c r="K148" s="9">
        <v>45778</v>
      </c>
      <c r="L148" s="7">
        <v>6</v>
      </c>
      <c r="M148" s="10">
        <v>1916.4</v>
      </c>
      <c r="N148" s="10">
        <f>SUM(NewBusiness[[#This Row],[Premium]]/12)</f>
        <v>159.70000000000002</v>
      </c>
      <c r="O148" s="12">
        <v>0.8</v>
      </c>
      <c r="P148" s="10">
        <v>0</v>
      </c>
      <c r="Q148" s="10">
        <v>127.76</v>
      </c>
      <c r="R148" s="7" t="s">
        <v>489</v>
      </c>
      <c r="S148" s="7" t="s">
        <v>33</v>
      </c>
    </row>
    <row r="149" spans="1:19" x14ac:dyDescent="0.25">
      <c r="A149" s="6">
        <v>16633294</v>
      </c>
      <c r="B149" s="7" t="s">
        <v>29</v>
      </c>
      <c r="C149" s="7" t="s">
        <v>575</v>
      </c>
      <c r="D149" s="7" t="s">
        <v>754</v>
      </c>
      <c r="E149" s="7" t="s">
        <v>757</v>
      </c>
      <c r="F149" s="7" t="s">
        <v>761</v>
      </c>
      <c r="G149" s="7">
        <v>64</v>
      </c>
      <c r="H149" s="7" t="s">
        <v>576</v>
      </c>
      <c r="I149" s="8">
        <v>45747.8055439815</v>
      </c>
      <c r="J149" s="9">
        <v>45597</v>
      </c>
      <c r="K149" s="9">
        <v>45778</v>
      </c>
      <c r="L149" s="7">
        <v>6</v>
      </c>
      <c r="M149" s="10">
        <v>801.66</v>
      </c>
      <c r="N149" s="10">
        <f>SUM(NewBusiness[[#This Row],[Premium]]/12)</f>
        <v>66.804999999999993</v>
      </c>
      <c r="O149" s="12">
        <v>0.85</v>
      </c>
      <c r="P149" s="10">
        <v>0</v>
      </c>
      <c r="Q149" s="10">
        <v>56.78</v>
      </c>
      <c r="R149" s="7" t="s">
        <v>203</v>
      </c>
      <c r="S149" s="7" t="s">
        <v>33</v>
      </c>
    </row>
    <row r="150" spans="1:19" x14ac:dyDescent="0.25">
      <c r="A150" s="6">
        <v>19200754</v>
      </c>
      <c r="B150" s="7" t="s">
        <v>180</v>
      </c>
      <c r="C150" s="7" t="s">
        <v>483</v>
      </c>
      <c r="D150" s="7" t="s">
        <v>754</v>
      </c>
      <c r="E150" s="7" t="s">
        <v>757</v>
      </c>
      <c r="F150" s="7" t="s">
        <v>761</v>
      </c>
      <c r="G150" s="7">
        <v>73</v>
      </c>
      <c r="H150" s="7" t="s">
        <v>484</v>
      </c>
      <c r="I150" s="8">
        <v>45747.8055439815</v>
      </c>
      <c r="J150" s="9">
        <v>45604</v>
      </c>
      <c r="K150" s="9">
        <v>45785</v>
      </c>
      <c r="L150" s="7">
        <v>6</v>
      </c>
      <c r="M150" s="10">
        <v>1307.6300000000001</v>
      </c>
      <c r="N150" s="10">
        <f>SUM(NewBusiness[[#This Row],[Premium]]/12)</f>
        <v>108.96916666666668</v>
      </c>
      <c r="O150" s="12">
        <v>0.85</v>
      </c>
      <c r="P150" s="10">
        <v>0</v>
      </c>
      <c r="Q150" s="10">
        <v>92.62</v>
      </c>
      <c r="R150" s="7" t="s">
        <v>32</v>
      </c>
      <c r="S150" s="7" t="s">
        <v>33</v>
      </c>
    </row>
    <row r="151" spans="1:19" x14ac:dyDescent="0.25">
      <c r="A151" s="6">
        <v>19645587</v>
      </c>
      <c r="B151" s="7" t="s">
        <v>196</v>
      </c>
      <c r="C151" s="7" t="s">
        <v>633</v>
      </c>
      <c r="D151" s="7" t="s">
        <v>752</v>
      </c>
      <c r="E151" s="7" t="s">
        <v>757</v>
      </c>
      <c r="F151" s="7" t="s">
        <v>761</v>
      </c>
      <c r="G151" s="7">
        <v>64</v>
      </c>
      <c r="H151" s="7" t="s">
        <v>634</v>
      </c>
      <c r="I151" s="8">
        <v>45747.8055439815</v>
      </c>
      <c r="J151" s="9">
        <v>45605</v>
      </c>
      <c r="K151" s="9">
        <v>45786</v>
      </c>
      <c r="L151" s="7">
        <v>6</v>
      </c>
      <c r="M151" s="10">
        <v>815.79</v>
      </c>
      <c r="N151" s="10">
        <f>SUM(NewBusiness[[#This Row],[Premium]]/12)</f>
        <v>67.982500000000002</v>
      </c>
      <c r="O151" s="12">
        <v>0.8</v>
      </c>
      <c r="P151" s="10">
        <v>0</v>
      </c>
      <c r="Q151" s="10">
        <v>54.38</v>
      </c>
      <c r="R151" s="7" t="s">
        <v>61</v>
      </c>
      <c r="S151" s="7" t="s">
        <v>33</v>
      </c>
    </row>
    <row r="152" spans="1:19" x14ac:dyDescent="0.25">
      <c r="A152" s="6">
        <v>8325282</v>
      </c>
      <c r="B152" s="7" t="s">
        <v>117</v>
      </c>
      <c r="C152" s="7" t="s">
        <v>663</v>
      </c>
      <c r="D152" s="7" t="s">
        <v>752</v>
      </c>
      <c r="E152" s="7" t="s">
        <v>757</v>
      </c>
      <c r="F152" s="7" t="s">
        <v>761</v>
      </c>
      <c r="G152" s="7">
        <v>70</v>
      </c>
      <c r="H152" s="7" t="s">
        <v>664</v>
      </c>
      <c r="I152" s="8">
        <v>45747.8055439815</v>
      </c>
      <c r="J152" s="9">
        <v>45614</v>
      </c>
      <c r="K152" s="9">
        <v>45795</v>
      </c>
      <c r="L152" s="7">
        <v>6</v>
      </c>
      <c r="M152" s="10">
        <v>631.20000000000005</v>
      </c>
      <c r="N152" s="10">
        <f>SUM(NewBusiness[[#This Row],[Premium]]/12)</f>
        <v>52.6</v>
      </c>
      <c r="O152" s="12">
        <v>0.8</v>
      </c>
      <c r="P152" s="10">
        <v>0</v>
      </c>
      <c r="Q152" s="10">
        <v>42.08</v>
      </c>
      <c r="R152" s="7" t="s">
        <v>32</v>
      </c>
      <c r="S152" s="7" t="s">
        <v>33</v>
      </c>
    </row>
    <row r="153" spans="1:19" x14ac:dyDescent="0.25">
      <c r="A153" s="6">
        <v>19200754</v>
      </c>
      <c r="B153" s="7" t="s">
        <v>180</v>
      </c>
      <c r="C153" s="7" t="s">
        <v>621</v>
      </c>
      <c r="D153" s="7" t="s">
        <v>752</v>
      </c>
      <c r="E153" s="7" t="s">
        <v>757</v>
      </c>
      <c r="F153" s="7" t="s">
        <v>761</v>
      </c>
      <c r="G153" s="7">
        <v>73</v>
      </c>
      <c r="H153" s="7" t="s">
        <v>622</v>
      </c>
      <c r="I153" s="8">
        <v>45747.8055439815</v>
      </c>
      <c r="J153" s="9">
        <v>45615</v>
      </c>
      <c r="K153" s="9">
        <v>45796</v>
      </c>
      <c r="L153" s="7">
        <v>6</v>
      </c>
      <c r="M153" s="10">
        <v>997.2</v>
      </c>
      <c r="N153" s="10">
        <f>SUM(NewBusiness[[#This Row],[Premium]]/12)</f>
        <v>83.100000000000009</v>
      </c>
      <c r="O153" s="12">
        <v>0.8</v>
      </c>
      <c r="P153" s="10">
        <v>0</v>
      </c>
      <c r="Q153" s="10">
        <v>66.48</v>
      </c>
      <c r="R153" s="7" t="s">
        <v>32</v>
      </c>
      <c r="S153" s="7" t="s">
        <v>33</v>
      </c>
    </row>
    <row r="154" spans="1:19" x14ac:dyDescent="0.25">
      <c r="A154" s="5">
        <v>7146581</v>
      </c>
      <c r="B154" t="s">
        <v>91</v>
      </c>
      <c r="C154" t="s">
        <v>385</v>
      </c>
      <c r="D154" t="s">
        <v>752</v>
      </c>
      <c r="E154" t="s">
        <v>758</v>
      </c>
      <c r="F154" t="s">
        <v>761</v>
      </c>
      <c r="G154">
        <v>64</v>
      </c>
      <c r="H154" t="s">
        <v>386</v>
      </c>
      <c r="I154" s="3">
        <v>45747.8055439815</v>
      </c>
      <c r="J154" s="4">
        <v>45536</v>
      </c>
      <c r="K154" s="4">
        <v>45748</v>
      </c>
      <c r="L154">
        <v>7</v>
      </c>
      <c r="M154" s="1">
        <v>973.2</v>
      </c>
      <c r="N154" s="1">
        <f>SUM(NewBusiness[[#This Row],[Premium]]/12)</f>
        <v>81.100000000000009</v>
      </c>
      <c r="O154" s="13">
        <v>0.8</v>
      </c>
      <c r="P154" s="1">
        <v>0</v>
      </c>
      <c r="Q154" s="1">
        <v>64.88</v>
      </c>
      <c r="R154" t="s">
        <v>32</v>
      </c>
      <c r="S154" t="s">
        <v>33</v>
      </c>
    </row>
    <row r="155" spans="1:19" x14ac:dyDescent="0.25">
      <c r="A155" s="5">
        <v>16633294</v>
      </c>
      <c r="B155" t="s">
        <v>29</v>
      </c>
      <c r="C155" t="s">
        <v>206</v>
      </c>
      <c r="D155" t="s">
        <v>753</v>
      </c>
      <c r="E155" t="s">
        <v>758</v>
      </c>
      <c r="F155" t="s">
        <v>761</v>
      </c>
      <c r="G155">
        <v>56</v>
      </c>
      <c r="H155" t="s">
        <v>207</v>
      </c>
      <c r="I155" s="3">
        <v>45747.8055439815</v>
      </c>
      <c r="J155" s="4">
        <v>45545</v>
      </c>
      <c r="K155" s="4">
        <v>45757</v>
      </c>
      <c r="L155">
        <v>7</v>
      </c>
      <c r="M155" s="1">
        <v>1464.5</v>
      </c>
      <c r="N155" s="1">
        <f>SUM(NewBusiness[[#This Row],[Premium]]/12)</f>
        <v>122.04166666666667</v>
      </c>
      <c r="O155" s="13">
        <v>1.1000000000000001</v>
      </c>
      <c r="P155" s="1">
        <v>0</v>
      </c>
      <c r="Q155" s="1">
        <v>134.24</v>
      </c>
      <c r="R155" t="s">
        <v>208</v>
      </c>
      <c r="S155" t="s">
        <v>33</v>
      </c>
    </row>
    <row r="156" spans="1:19" x14ac:dyDescent="0.25">
      <c r="A156" s="5">
        <v>19681796</v>
      </c>
      <c r="B156" t="s">
        <v>102</v>
      </c>
      <c r="C156" t="s">
        <v>564</v>
      </c>
      <c r="D156" t="s">
        <v>754</v>
      </c>
      <c r="E156" t="s">
        <v>758</v>
      </c>
      <c r="F156" t="s">
        <v>761</v>
      </c>
      <c r="G156">
        <v>64</v>
      </c>
      <c r="H156" t="s">
        <v>565</v>
      </c>
      <c r="I156" s="3">
        <v>45747.8055439815</v>
      </c>
      <c r="J156" s="4">
        <v>45548</v>
      </c>
      <c r="K156" s="4">
        <v>45760</v>
      </c>
      <c r="L156">
        <v>7</v>
      </c>
      <c r="M156" s="1">
        <v>724.72</v>
      </c>
      <c r="N156" s="1">
        <f>SUM(NewBusiness[[#This Row],[Premium]]/12)</f>
        <v>60.393333333333338</v>
      </c>
      <c r="O156" s="13">
        <v>0.85</v>
      </c>
      <c r="P156" s="1">
        <v>0</v>
      </c>
      <c r="Q156" s="1">
        <v>51.33</v>
      </c>
      <c r="R156" t="s">
        <v>32</v>
      </c>
      <c r="S156" t="s">
        <v>33</v>
      </c>
    </row>
    <row r="157" spans="1:19" x14ac:dyDescent="0.25">
      <c r="A157" s="5">
        <v>19681796</v>
      </c>
      <c r="B157" t="s">
        <v>102</v>
      </c>
      <c r="C157" t="s">
        <v>310</v>
      </c>
      <c r="D157" t="s">
        <v>754</v>
      </c>
      <c r="E157" t="s">
        <v>758</v>
      </c>
      <c r="F157" t="s">
        <v>761</v>
      </c>
      <c r="G157">
        <v>61</v>
      </c>
      <c r="H157" t="s">
        <v>311</v>
      </c>
      <c r="I157" s="3">
        <v>45747.8055439815</v>
      </c>
      <c r="J157" s="4">
        <v>45558</v>
      </c>
      <c r="K157" s="4">
        <v>45770</v>
      </c>
      <c r="L157">
        <v>7</v>
      </c>
      <c r="M157" s="1">
        <v>447.48</v>
      </c>
      <c r="N157" s="1">
        <f>SUM(NewBusiness[[#This Row],[Premium]]/12)</f>
        <v>37.29</v>
      </c>
      <c r="O157" s="13">
        <v>0.85</v>
      </c>
      <c r="P157" s="1">
        <v>0</v>
      </c>
      <c r="Q157" s="1">
        <v>31.7</v>
      </c>
      <c r="R157" t="s">
        <v>32</v>
      </c>
      <c r="S157" t="s">
        <v>33</v>
      </c>
    </row>
    <row r="158" spans="1:19" x14ac:dyDescent="0.25">
      <c r="A158" s="5">
        <v>19681796</v>
      </c>
      <c r="B158" t="s">
        <v>102</v>
      </c>
      <c r="C158" t="s">
        <v>579</v>
      </c>
      <c r="D158" t="s">
        <v>754</v>
      </c>
      <c r="E158" t="s">
        <v>758</v>
      </c>
      <c r="F158" t="s">
        <v>761</v>
      </c>
      <c r="G158">
        <v>64</v>
      </c>
      <c r="H158" t="s">
        <v>580</v>
      </c>
      <c r="I158" s="3">
        <v>45747.8055439815</v>
      </c>
      <c r="J158" s="4">
        <v>45558</v>
      </c>
      <c r="K158" s="4">
        <v>45770</v>
      </c>
      <c r="L158">
        <v>7</v>
      </c>
      <c r="M158" s="1">
        <v>447.48</v>
      </c>
      <c r="N158" s="1">
        <f>SUM(NewBusiness[[#This Row],[Premium]]/12)</f>
        <v>37.29</v>
      </c>
      <c r="O158" s="13">
        <v>0.85</v>
      </c>
      <c r="P158" s="1">
        <v>0</v>
      </c>
      <c r="Q158" s="1">
        <v>31.7</v>
      </c>
      <c r="R158" t="s">
        <v>32</v>
      </c>
      <c r="S158" t="s">
        <v>33</v>
      </c>
    </row>
    <row r="159" spans="1:19" x14ac:dyDescent="0.25">
      <c r="A159" s="5">
        <v>2158366</v>
      </c>
      <c r="B159" t="s">
        <v>39</v>
      </c>
      <c r="C159" t="s">
        <v>68</v>
      </c>
      <c r="D159" t="s">
        <v>752</v>
      </c>
      <c r="E159" t="s">
        <v>758</v>
      </c>
      <c r="F159" t="s">
        <v>761</v>
      </c>
      <c r="G159">
        <v>64</v>
      </c>
      <c r="H159" t="s">
        <v>69</v>
      </c>
      <c r="I159" s="3">
        <v>45747.8055439815</v>
      </c>
      <c r="J159" s="4">
        <v>45566</v>
      </c>
      <c r="K159" s="4">
        <v>45778</v>
      </c>
      <c r="L159">
        <v>7</v>
      </c>
      <c r="M159" s="1">
        <v>1530</v>
      </c>
      <c r="N159" s="1">
        <f>SUM(NewBusiness[[#This Row],[Premium]]/12)</f>
        <v>127.5</v>
      </c>
      <c r="O159" s="13">
        <v>0.8</v>
      </c>
      <c r="P159" s="1">
        <v>0</v>
      </c>
      <c r="Q159" s="1">
        <v>102</v>
      </c>
      <c r="R159" t="s">
        <v>32</v>
      </c>
      <c r="S159" t="s">
        <v>33</v>
      </c>
    </row>
    <row r="160" spans="1:19" x14ac:dyDescent="0.25">
      <c r="A160" s="5">
        <v>2158366</v>
      </c>
      <c r="B160" t="s">
        <v>39</v>
      </c>
      <c r="C160" t="s">
        <v>338</v>
      </c>
      <c r="D160" t="s">
        <v>752</v>
      </c>
      <c r="E160" t="s">
        <v>758</v>
      </c>
      <c r="F160" t="s">
        <v>761</v>
      </c>
      <c r="G160">
        <v>64</v>
      </c>
      <c r="H160" t="s">
        <v>339</v>
      </c>
      <c r="I160" s="3">
        <v>45747.8055439815</v>
      </c>
      <c r="J160" s="4">
        <v>45566</v>
      </c>
      <c r="K160" s="4">
        <v>45778</v>
      </c>
      <c r="L160">
        <v>7</v>
      </c>
      <c r="M160" s="1">
        <v>1530</v>
      </c>
      <c r="N160" s="1">
        <f>SUM(NewBusiness[[#This Row],[Premium]]/12)</f>
        <v>127.5</v>
      </c>
      <c r="O160" s="13">
        <v>0.8</v>
      </c>
      <c r="P160" s="1">
        <v>0</v>
      </c>
      <c r="Q160" s="1">
        <v>102</v>
      </c>
      <c r="R160" t="s">
        <v>32</v>
      </c>
      <c r="S160" t="s">
        <v>33</v>
      </c>
    </row>
    <row r="161" spans="1:19" x14ac:dyDescent="0.25">
      <c r="A161" s="5">
        <v>7146581</v>
      </c>
      <c r="B161" t="s">
        <v>91</v>
      </c>
      <c r="C161" t="s">
        <v>458</v>
      </c>
      <c r="D161" t="s">
        <v>752</v>
      </c>
      <c r="E161" t="s">
        <v>758</v>
      </c>
      <c r="F161" t="s">
        <v>761</v>
      </c>
      <c r="G161">
        <v>64</v>
      </c>
      <c r="H161" t="s">
        <v>459</v>
      </c>
      <c r="I161" s="3">
        <v>45747.8055439815</v>
      </c>
      <c r="J161" s="4">
        <v>45566</v>
      </c>
      <c r="K161" s="4">
        <v>45778</v>
      </c>
      <c r="L161">
        <v>7</v>
      </c>
      <c r="M161" s="1">
        <v>892.8</v>
      </c>
      <c r="N161" s="1">
        <f>SUM(NewBusiness[[#This Row],[Premium]]/12)</f>
        <v>74.399999999999991</v>
      </c>
      <c r="O161" s="13">
        <v>0.8</v>
      </c>
      <c r="P161" s="1">
        <v>0</v>
      </c>
      <c r="Q161" s="1">
        <v>59.52</v>
      </c>
      <c r="R161" t="s">
        <v>32</v>
      </c>
      <c r="S161" t="s">
        <v>33</v>
      </c>
    </row>
    <row r="162" spans="1:19" x14ac:dyDescent="0.25">
      <c r="A162" s="5">
        <v>7146581</v>
      </c>
      <c r="B162" t="s">
        <v>91</v>
      </c>
      <c r="C162" t="s">
        <v>596</v>
      </c>
      <c r="D162" t="s">
        <v>752</v>
      </c>
      <c r="E162" t="s">
        <v>758</v>
      </c>
      <c r="F162" t="s">
        <v>761</v>
      </c>
      <c r="G162">
        <v>64</v>
      </c>
      <c r="H162" t="s">
        <v>597</v>
      </c>
      <c r="I162" s="3">
        <v>45747.8055439815</v>
      </c>
      <c r="J162" s="4">
        <v>45566</v>
      </c>
      <c r="K162" s="4">
        <v>45778</v>
      </c>
      <c r="L162">
        <v>7</v>
      </c>
      <c r="M162" s="1">
        <v>712.8</v>
      </c>
      <c r="N162" s="1">
        <f>SUM(NewBusiness[[#This Row],[Premium]]/12)</f>
        <v>59.4</v>
      </c>
      <c r="O162" s="13">
        <v>0.8</v>
      </c>
      <c r="P162" s="1">
        <v>0</v>
      </c>
      <c r="Q162" s="1">
        <v>47.52</v>
      </c>
      <c r="R162" t="s">
        <v>32</v>
      </c>
      <c r="S162" t="s">
        <v>33</v>
      </c>
    </row>
    <row r="163" spans="1:19" x14ac:dyDescent="0.25">
      <c r="A163" s="5">
        <v>16983460</v>
      </c>
      <c r="B163" t="s">
        <v>88</v>
      </c>
      <c r="C163" t="s">
        <v>89</v>
      </c>
      <c r="D163" t="s">
        <v>752</v>
      </c>
      <c r="E163" t="s">
        <v>758</v>
      </c>
      <c r="F163" t="s">
        <v>761</v>
      </c>
      <c r="G163">
        <v>64</v>
      </c>
      <c r="H163" t="s">
        <v>90</v>
      </c>
      <c r="I163" s="3">
        <v>45747.8055439815</v>
      </c>
      <c r="J163" s="4">
        <v>45566</v>
      </c>
      <c r="K163" s="4">
        <v>45778</v>
      </c>
      <c r="L163">
        <v>7</v>
      </c>
      <c r="M163" s="1">
        <v>1723.2</v>
      </c>
      <c r="N163" s="1">
        <f>SUM(NewBusiness[[#This Row],[Premium]]/12)</f>
        <v>143.6</v>
      </c>
      <c r="O163" s="13">
        <v>0.8</v>
      </c>
      <c r="P163" s="1">
        <v>0</v>
      </c>
      <c r="Q163" s="1">
        <v>114.88</v>
      </c>
      <c r="R163" t="s">
        <v>32</v>
      </c>
      <c r="S163" t="s">
        <v>33</v>
      </c>
    </row>
    <row r="164" spans="1:19" x14ac:dyDescent="0.25">
      <c r="A164" s="5">
        <v>19200754</v>
      </c>
      <c r="B164" t="s">
        <v>180</v>
      </c>
      <c r="C164" t="s">
        <v>229</v>
      </c>
      <c r="D164" t="s">
        <v>752</v>
      </c>
      <c r="E164" t="s">
        <v>758</v>
      </c>
      <c r="F164" t="s">
        <v>761</v>
      </c>
      <c r="G164">
        <v>64</v>
      </c>
      <c r="H164" t="s">
        <v>230</v>
      </c>
      <c r="I164" s="3">
        <v>45747.8055439815</v>
      </c>
      <c r="J164" s="4">
        <v>45566</v>
      </c>
      <c r="K164" s="4">
        <v>45778</v>
      </c>
      <c r="L164">
        <v>7</v>
      </c>
      <c r="M164" s="1">
        <v>788.4</v>
      </c>
      <c r="N164" s="1">
        <f>SUM(NewBusiness[[#This Row],[Premium]]/12)</f>
        <v>65.7</v>
      </c>
      <c r="O164" s="13">
        <v>0.8</v>
      </c>
      <c r="P164" s="1">
        <v>0</v>
      </c>
      <c r="Q164" s="1">
        <v>52.56</v>
      </c>
      <c r="R164" t="s">
        <v>32</v>
      </c>
      <c r="S164" t="s">
        <v>33</v>
      </c>
    </row>
    <row r="165" spans="1:19" x14ac:dyDescent="0.25">
      <c r="A165" s="5">
        <v>19200754</v>
      </c>
      <c r="B165" t="s">
        <v>180</v>
      </c>
      <c r="C165" t="s">
        <v>600</v>
      </c>
      <c r="D165" t="s">
        <v>752</v>
      </c>
      <c r="E165" t="s">
        <v>758</v>
      </c>
      <c r="F165" t="s">
        <v>761</v>
      </c>
      <c r="G165">
        <v>67</v>
      </c>
      <c r="H165" t="s">
        <v>601</v>
      </c>
      <c r="I165" s="3">
        <v>45747.8055439815</v>
      </c>
      <c r="J165" s="4">
        <v>45566</v>
      </c>
      <c r="K165" s="4">
        <v>45778</v>
      </c>
      <c r="L165">
        <v>7</v>
      </c>
      <c r="M165" s="1">
        <v>504</v>
      </c>
      <c r="N165" s="1">
        <f>SUM(NewBusiness[[#This Row],[Premium]]/12)</f>
        <v>42</v>
      </c>
      <c r="O165" s="13">
        <v>0.8</v>
      </c>
      <c r="P165" s="1">
        <v>0</v>
      </c>
      <c r="Q165" s="1">
        <v>33.6</v>
      </c>
      <c r="R165" t="s">
        <v>32</v>
      </c>
      <c r="S165" t="s">
        <v>33</v>
      </c>
    </row>
    <row r="166" spans="1:19" x14ac:dyDescent="0.25">
      <c r="A166" s="5">
        <v>19681796</v>
      </c>
      <c r="B166" t="s">
        <v>102</v>
      </c>
      <c r="C166" t="s">
        <v>334</v>
      </c>
      <c r="D166" t="s">
        <v>752</v>
      </c>
      <c r="E166" t="s">
        <v>758</v>
      </c>
      <c r="F166" t="s">
        <v>761</v>
      </c>
      <c r="G166">
        <v>64</v>
      </c>
      <c r="H166" t="s">
        <v>335</v>
      </c>
      <c r="I166" s="3">
        <v>45747.8055439815</v>
      </c>
      <c r="J166" s="4">
        <v>45566</v>
      </c>
      <c r="K166" s="4">
        <v>45778</v>
      </c>
      <c r="L166">
        <v>7</v>
      </c>
      <c r="M166" s="1">
        <v>1200</v>
      </c>
      <c r="N166" s="1">
        <f>SUM(NewBusiness[[#This Row],[Premium]]/12)</f>
        <v>100</v>
      </c>
      <c r="O166" s="13">
        <v>0.8</v>
      </c>
      <c r="P166" s="1">
        <v>0</v>
      </c>
      <c r="Q166" s="1">
        <v>80</v>
      </c>
      <c r="R166" t="s">
        <v>32</v>
      </c>
      <c r="S166" t="s">
        <v>33</v>
      </c>
    </row>
    <row r="167" spans="1:19" x14ac:dyDescent="0.25">
      <c r="A167" s="5">
        <v>19681796</v>
      </c>
      <c r="B167" t="s">
        <v>102</v>
      </c>
      <c r="C167" t="s">
        <v>535</v>
      </c>
      <c r="D167" t="s">
        <v>752</v>
      </c>
      <c r="E167" t="s">
        <v>758</v>
      </c>
      <c r="F167" t="s">
        <v>761</v>
      </c>
      <c r="G167">
        <v>64</v>
      </c>
      <c r="H167" t="s">
        <v>536</v>
      </c>
      <c r="I167" s="3">
        <v>45747.8055439815</v>
      </c>
      <c r="J167" s="4">
        <v>45566</v>
      </c>
      <c r="K167" s="4">
        <v>45778</v>
      </c>
      <c r="L167">
        <v>7</v>
      </c>
      <c r="M167" s="1">
        <v>1098</v>
      </c>
      <c r="N167" s="1">
        <f>SUM(NewBusiness[[#This Row],[Premium]]/12)</f>
        <v>91.5</v>
      </c>
      <c r="O167" s="13">
        <v>0.8</v>
      </c>
      <c r="P167" s="1">
        <v>0</v>
      </c>
      <c r="Q167" s="1">
        <v>73.2</v>
      </c>
      <c r="R167" t="s">
        <v>32</v>
      </c>
      <c r="S167" t="s">
        <v>33</v>
      </c>
    </row>
    <row r="168" spans="1:19" x14ac:dyDescent="0.25">
      <c r="A168" s="5">
        <v>19681796</v>
      </c>
      <c r="B168" t="s">
        <v>102</v>
      </c>
      <c r="C168" t="s">
        <v>120</v>
      </c>
      <c r="D168" t="s">
        <v>754</v>
      </c>
      <c r="E168" t="s">
        <v>758</v>
      </c>
      <c r="F168" t="s">
        <v>761</v>
      </c>
      <c r="G168">
        <v>64</v>
      </c>
      <c r="H168" t="s">
        <v>121</v>
      </c>
      <c r="I168" s="3">
        <v>45747.8055439815</v>
      </c>
      <c r="J168" s="4">
        <v>45566</v>
      </c>
      <c r="K168" s="4">
        <v>45778</v>
      </c>
      <c r="L168">
        <v>7</v>
      </c>
      <c r="M168" s="1">
        <v>447.48</v>
      </c>
      <c r="N168" s="1">
        <f>SUM(NewBusiness[[#This Row],[Premium]]/12)</f>
        <v>37.29</v>
      </c>
      <c r="O168" s="13">
        <v>0.85</v>
      </c>
      <c r="P168" s="1">
        <v>0</v>
      </c>
      <c r="Q168" s="1">
        <v>31.7</v>
      </c>
      <c r="R168" t="s">
        <v>32</v>
      </c>
      <c r="S168" t="s">
        <v>33</v>
      </c>
    </row>
    <row r="169" spans="1:19" x14ac:dyDescent="0.25">
      <c r="A169" s="5">
        <v>19681796</v>
      </c>
      <c r="B169" t="s">
        <v>102</v>
      </c>
      <c r="C169" t="s">
        <v>546</v>
      </c>
      <c r="D169" t="s">
        <v>754</v>
      </c>
      <c r="E169" t="s">
        <v>758</v>
      </c>
      <c r="F169" t="s">
        <v>761</v>
      </c>
      <c r="G169">
        <v>63</v>
      </c>
      <c r="H169" t="s">
        <v>547</v>
      </c>
      <c r="I169" s="3">
        <v>45747.8055439815</v>
      </c>
      <c r="J169" s="4">
        <v>45566</v>
      </c>
      <c r="K169" s="4">
        <v>45778</v>
      </c>
      <c r="L169">
        <v>7</v>
      </c>
      <c r="M169" s="1">
        <v>447.48</v>
      </c>
      <c r="N169" s="1">
        <f>SUM(NewBusiness[[#This Row],[Premium]]/12)</f>
        <v>37.29</v>
      </c>
      <c r="O169" s="13">
        <v>0.85</v>
      </c>
      <c r="P169" s="1">
        <v>0</v>
      </c>
      <c r="Q169" s="1">
        <v>31.7</v>
      </c>
      <c r="R169" t="s">
        <v>32</v>
      </c>
      <c r="S169" t="s">
        <v>33</v>
      </c>
    </row>
    <row r="170" spans="1:19" x14ac:dyDescent="0.25">
      <c r="A170" s="5">
        <v>8244481</v>
      </c>
      <c r="B170" t="s">
        <v>42</v>
      </c>
      <c r="C170" t="s">
        <v>43</v>
      </c>
      <c r="D170" t="s">
        <v>753</v>
      </c>
      <c r="E170" t="s">
        <v>758</v>
      </c>
      <c r="F170" t="s">
        <v>761</v>
      </c>
      <c r="G170">
        <v>68</v>
      </c>
      <c r="H170" t="s">
        <v>44</v>
      </c>
      <c r="I170" s="3">
        <v>45747.8055439815</v>
      </c>
      <c r="J170" s="4">
        <v>45567</v>
      </c>
      <c r="K170" s="4">
        <v>45779</v>
      </c>
      <c r="L170">
        <v>7</v>
      </c>
      <c r="M170" s="1">
        <v>563.4</v>
      </c>
      <c r="N170" s="1">
        <f>SUM(NewBusiness[[#This Row],[Premium]]/12)</f>
        <v>46.949999999999996</v>
      </c>
      <c r="O170" s="13">
        <v>1.1000000000000001</v>
      </c>
      <c r="P170" s="1">
        <v>0</v>
      </c>
      <c r="Q170" s="1">
        <v>51.65</v>
      </c>
      <c r="R170" t="s">
        <v>32</v>
      </c>
      <c r="S170" t="s">
        <v>33</v>
      </c>
    </row>
    <row r="171" spans="1:19" x14ac:dyDescent="0.25">
      <c r="A171" s="5">
        <v>16633294</v>
      </c>
      <c r="B171" t="s">
        <v>29</v>
      </c>
      <c r="C171" t="s">
        <v>277</v>
      </c>
      <c r="D171" t="s">
        <v>754</v>
      </c>
      <c r="E171" t="s">
        <v>758</v>
      </c>
      <c r="F171" t="s">
        <v>761</v>
      </c>
      <c r="G171">
        <v>65</v>
      </c>
      <c r="H171" t="s">
        <v>278</v>
      </c>
      <c r="I171" s="3">
        <v>45747.8055439815</v>
      </c>
      <c r="J171" s="4">
        <v>45575</v>
      </c>
      <c r="K171" s="4">
        <v>45787</v>
      </c>
      <c r="L171">
        <v>7</v>
      </c>
      <c r="M171" s="1">
        <v>616.71</v>
      </c>
      <c r="N171" s="1">
        <f>SUM(NewBusiness[[#This Row],[Premium]]/12)</f>
        <v>51.392500000000005</v>
      </c>
      <c r="O171" s="13">
        <v>0.85</v>
      </c>
      <c r="P171" s="1">
        <v>0</v>
      </c>
      <c r="Q171" s="1">
        <v>43.68</v>
      </c>
      <c r="R171" t="s">
        <v>32</v>
      </c>
      <c r="S171" t="s">
        <v>33</v>
      </c>
    </row>
    <row r="172" spans="1:19" x14ac:dyDescent="0.25">
      <c r="A172" s="5">
        <v>19586992</v>
      </c>
      <c r="B172" t="s">
        <v>80</v>
      </c>
      <c r="C172" t="s">
        <v>303</v>
      </c>
      <c r="D172" t="s">
        <v>754</v>
      </c>
      <c r="E172" t="s">
        <v>758</v>
      </c>
      <c r="F172" t="s">
        <v>761</v>
      </c>
      <c r="G172">
        <v>57</v>
      </c>
      <c r="H172" t="s">
        <v>304</v>
      </c>
      <c r="I172" s="3">
        <v>45747.8055439815</v>
      </c>
      <c r="J172" s="4">
        <v>45576</v>
      </c>
      <c r="K172" s="4">
        <v>45788</v>
      </c>
      <c r="L172">
        <v>7</v>
      </c>
      <c r="M172" s="1">
        <v>621.98</v>
      </c>
      <c r="N172" s="1">
        <f>SUM(NewBusiness[[#This Row],[Premium]]/12)</f>
        <v>51.831666666666671</v>
      </c>
      <c r="O172" s="13">
        <v>0.85</v>
      </c>
      <c r="P172" s="1">
        <v>0</v>
      </c>
      <c r="Q172" s="1">
        <v>44.06</v>
      </c>
      <c r="R172" t="s">
        <v>32</v>
      </c>
      <c r="S172" t="s">
        <v>33</v>
      </c>
    </row>
    <row r="173" spans="1:19" x14ac:dyDescent="0.25">
      <c r="A173" s="5">
        <v>16633294</v>
      </c>
      <c r="B173" t="s">
        <v>29</v>
      </c>
      <c r="C173" t="s">
        <v>340</v>
      </c>
      <c r="D173" t="s">
        <v>752</v>
      </c>
      <c r="E173" t="s">
        <v>758</v>
      </c>
      <c r="F173" t="s">
        <v>761</v>
      </c>
      <c r="G173">
        <v>64</v>
      </c>
      <c r="H173" t="s">
        <v>341</v>
      </c>
      <c r="I173" s="3">
        <v>45747.8055439815</v>
      </c>
      <c r="J173" s="4">
        <v>45505</v>
      </c>
      <c r="K173" s="4">
        <v>45748</v>
      </c>
      <c r="L173">
        <v>8</v>
      </c>
      <c r="M173" s="1">
        <v>1664.4</v>
      </c>
      <c r="N173" s="1">
        <f>SUM(NewBusiness[[#This Row],[Premium]]/12)</f>
        <v>138.70000000000002</v>
      </c>
      <c r="O173" s="13">
        <v>0.8</v>
      </c>
      <c r="P173" s="1">
        <v>0</v>
      </c>
      <c r="Q173" s="1">
        <v>110.96</v>
      </c>
      <c r="R173" t="s">
        <v>32</v>
      </c>
      <c r="S173" t="s">
        <v>33</v>
      </c>
    </row>
    <row r="174" spans="1:19" x14ac:dyDescent="0.25">
      <c r="A174" s="5">
        <v>17126004</v>
      </c>
      <c r="B174" t="s">
        <v>173</v>
      </c>
      <c r="C174" t="s">
        <v>365</v>
      </c>
      <c r="D174" t="s">
        <v>754</v>
      </c>
      <c r="E174" t="s">
        <v>758</v>
      </c>
      <c r="F174" t="s">
        <v>761</v>
      </c>
      <c r="G174">
        <v>74</v>
      </c>
      <c r="H174" t="s">
        <v>366</v>
      </c>
      <c r="I174" s="3">
        <v>45747.8055439815</v>
      </c>
      <c r="J174" s="4">
        <v>45505</v>
      </c>
      <c r="K174" s="4">
        <v>45748</v>
      </c>
      <c r="L174">
        <v>8</v>
      </c>
      <c r="M174" s="1">
        <v>1169.55</v>
      </c>
      <c r="N174" s="1">
        <f>SUM(NewBusiness[[#This Row],[Premium]]/12)</f>
        <v>97.462499999999991</v>
      </c>
      <c r="O174" s="13">
        <v>0.85</v>
      </c>
      <c r="P174" s="1">
        <v>0</v>
      </c>
      <c r="Q174" s="1">
        <v>82.84</v>
      </c>
      <c r="R174" t="s">
        <v>32</v>
      </c>
      <c r="S174" t="s">
        <v>33</v>
      </c>
    </row>
    <row r="175" spans="1:19" x14ac:dyDescent="0.25">
      <c r="A175" s="5">
        <v>17126004</v>
      </c>
      <c r="B175" t="s">
        <v>173</v>
      </c>
      <c r="C175" t="s">
        <v>613</v>
      </c>
      <c r="D175" t="s">
        <v>754</v>
      </c>
      <c r="E175" t="s">
        <v>758</v>
      </c>
      <c r="F175" t="s">
        <v>761</v>
      </c>
      <c r="G175">
        <v>64</v>
      </c>
      <c r="H175" t="s">
        <v>614</v>
      </c>
      <c r="I175" s="3">
        <v>45747.8055439815</v>
      </c>
      <c r="J175" s="4">
        <v>45505</v>
      </c>
      <c r="K175" s="4">
        <v>45748</v>
      </c>
      <c r="L175">
        <v>8</v>
      </c>
      <c r="M175" s="1">
        <v>662.74</v>
      </c>
      <c r="N175" s="1">
        <f>SUM(NewBusiness[[#This Row],[Premium]]/12)</f>
        <v>55.228333333333332</v>
      </c>
      <c r="O175" s="13">
        <v>0.85</v>
      </c>
      <c r="P175" s="1">
        <v>0</v>
      </c>
      <c r="Q175" s="1">
        <v>46.95</v>
      </c>
      <c r="R175" t="s">
        <v>32</v>
      </c>
      <c r="S175" t="s">
        <v>33</v>
      </c>
    </row>
    <row r="176" spans="1:19" x14ac:dyDescent="0.25">
      <c r="A176" s="5">
        <v>8325282</v>
      </c>
      <c r="B176" t="s">
        <v>117</v>
      </c>
      <c r="C176" t="s">
        <v>425</v>
      </c>
      <c r="D176" t="s">
        <v>752</v>
      </c>
      <c r="E176" t="s">
        <v>758</v>
      </c>
      <c r="F176" t="s">
        <v>761</v>
      </c>
      <c r="G176">
        <v>30</v>
      </c>
      <c r="H176" t="s">
        <v>426</v>
      </c>
      <c r="I176" s="3">
        <v>45747.8055439815</v>
      </c>
      <c r="J176" s="4">
        <v>45519</v>
      </c>
      <c r="K176" s="4">
        <v>45762</v>
      </c>
      <c r="L176">
        <v>8</v>
      </c>
      <c r="M176" s="1">
        <v>961.2</v>
      </c>
      <c r="N176" s="1">
        <f>SUM(NewBusiness[[#This Row],[Premium]]/12)</f>
        <v>80.100000000000009</v>
      </c>
      <c r="O176" s="13">
        <v>0.8</v>
      </c>
      <c r="P176" s="1">
        <v>0</v>
      </c>
      <c r="Q176" s="1">
        <v>64.08</v>
      </c>
      <c r="R176" t="s">
        <v>32</v>
      </c>
      <c r="S176" t="s">
        <v>33</v>
      </c>
    </row>
    <row r="177" spans="1:19" x14ac:dyDescent="0.25">
      <c r="A177" s="5">
        <v>19681796</v>
      </c>
      <c r="B177" t="s">
        <v>102</v>
      </c>
      <c r="C177" t="s">
        <v>462</v>
      </c>
      <c r="D177" t="s">
        <v>754</v>
      </c>
      <c r="E177" t="s">
        <v>758</v>
      </c>
      <c r="F177" t="s">
        <v>761</v>
      </c>
      <c r="G177">
        <v>65</v>
      </c>
      <c r="H177" t="s">
        <v>463</v>
      </c>
      <c r="I177" s="3">
        <v>45747.8055439815</v>
      </c>
      <c r="J177" s="4">
        <v>45524</v>
      </c>
      <c r="K177" s="4">
        <v>45767</v>
      </c>
      <c r="L177">
        <v>8</v>
      </c>
      <c r="M177" s="1">
        <v>652.86</v>
      </c>
      <c r="N177" s="1">
        <f>SUM(NewBusiness[[#This Row],[Premium]]/12)</f>
        <v>54.405000000000001</v>
      </c>
      <c r="O177" s="13">
        <v>0.85</v>
      </c>
      <c r="P177" s="1">
        <v>0</v>
      </c>
      <c r="Q177" s="1">
        <v>46.24</v>
      </c>
      <c r="R177" t="s">
        <v>32</v>
      </c>
      <c r="S177" t="s">
        <v>33</v>
      </c>
    </row>
    <row r="178" spans="1:19" x14ac:dyDescent="0.25">
      <c r="A178" s="5">
        <v>19681796</v>
      </c>
      <c r="B178" t="s">
        <v>102</v>
      </c>
      <c r="C178" t="s">
        <v>577</v>
      </c>
      <c r="D178" t="s">
        <v>752</v>
      </c>
      <c r="E178" t="s">
        <v>758</v>
      </c>
      <c r="F178" t="s">
        <v>761</v>
      </c>
      <c r="G178">
        <v>42</v>
      </c>
      <c r="H178" t="s">
        <v>578</v>
      </c>
      <c r="I178" s="3">
        <v>45747.8055439815</v>
      </c>
      <c r="J178" s="4">
        <v>45527</v>
      </c>
      <c r="K178" s="4">
        <v>45770</v>
      </c>
      <c r="L178">
        <v>8</v>
      </c>
      <c r="M178" s="1">
        <v>952.8</v>
      </c>
      <c r="N178" s="1">
        <f>SUM(NewBusiness[[#This Row],[Premium]]/12)</f>
        <v>79.399999999999991</v>
      </c>
      <c r="O178" s="13">
        <v>0.8</v>
      </c>
      <c r="P178" s="1">
        <v>0</v>
      </c>
      <c r="Q178" s="1">
        <v>63.52</v>
      </c>
      <c r="R178" t="s">
        <v>32</v>
      </c>
      <c r="S178" t="s">
        <v>33</v>
      </c>
    </row>
    <row r="179" spans="1:19" x14ac:dyDescent="0.25">
      <c r="A179" s="5">
        <v>19645587</v>
      </c>
      <c r="B179" t="s">
        <v>196</v>
      </c>
      <c r="C179" t="s">
        <v>556</v>
      </c>
      <c r="D179" t="s">
        <v>752</v>
      </c>
      <c r="E179" t="s">
        <v>758</v>
      </c>
      <c r="F179" t="s">
        <v>761</v>
      </c>
      <c r="G179">
        <v>64</v>
      </c>
      <c r="H179" t="s">
        <v>557</v>
      </c>
      <c r="I179" s="3">
        <v>45747.8055439815</v>
      </c>
      <c r="J179" s="4">
        <v>45529</v>
      </c>
      <c r="K179" s="4">
        <v>45772</v>
      </c>
      <c r="L179">
        <v>8</v>
      </c>
      <c r="M179" s="1">
        <v>700.8</v>
      </c>
      <c r="N179" s="1">
        <f>SUM(NewBusiness[[#This Row],[Premium]]/12)</f>
        <v>58.4</v>
      </c>
      <c r="O179" s="13">
        <v>0.8</v>
      </c>
      <c r="P179" s="1">
        <v>0</v>
      </c>
      <c r="Q179" s="1">
        <v>46.72</v>
      </c>
      <c r="R179" t="s">
        <v>32</v>
      </c>
      <c r="S179" t="s">
        <v>33</v>
      </c>
    </row>
    <row r="180" spans="1:19" x14ac:dyDescent="0.25">
      <c r="A180" s="5">
        <v>8244481</v>
      </c>
      <c r="B180" t="s">
        <v>42</v>
      </c>
      <c r="C180" t="s">
        <v>83</v>
      </c>
      <c r="D180" t="s">
        <v>752</v>
      </c>
      <c r="E180" t="s">
        <v>758</v>
      </c>
      <c r="F180" t="s">
        <v>761</v>
      </c>
      <c r="G180">
        <v>64</v>
      </c>
      <c r="H180" t="s">
        <v>84</v>
      </c>
      <c r="I180" s="3">
        <v>45747.8055439815</v>
      </c>
      <c r="J180" s="4">
        <v>45536</v>
      </c>
      <c r="K180" s="4">
        <v>45778</v>
      </c>
      <c r="L180">
        <v>8</v>
      </c>
      <c r="M180" s="1">
        <v>588</v>
      </c>
      <c r="N180" s="1">
        <f>SUM(NewBusiness[[#This Row],[Premium]]/12)</f>
        <v>49</v>
      </c>
      <c r="O180" s="13">
        <v>0.8</v>
      </c>
      <c r="P180" s="1">
        <v>0</v>
      </c>
      <c r="Q180" s="1">
        <v>39.200000000000003</v>
      </c>
      <c r="R180" t="s">
        <v>32</v>
      </c>
      <c r="S180" t="s">
        <v>33</v>
      </c>
    </row>
    <row r="181" spans="1:19" x14ac:dyDescent="0.25">
      <c r="A181" s="5">
        <v>7146581</v>
      </c>
      <c r="B181" t="s">
        <v>91</v>
      </c>
      <c r="C181" t="s">
        <v>399</v>
      </c>
      <c r="D181" t="s">
        <v>752</v>
      </c>
      <c r="E181" t="s">
        <v>758</v>
      </c>
      <c r="F181" t="s">
        <v>761</v>
      </c>
      <c r="G181">
        <v>64</v>
      </c>
      <c r="H181" t="s">
        <v>400</v>
      </c>
      <c r="I181" s="3">
        <v>45747.8055439815</v>
      </c>
      <c r="J181" s="4">
        <v>45536</v>
      </c>
      <c r="K181" s="4">
        <v>45778</v>
      </c>
      <c r="L181">
        <v>8</v>
      </c>
      <c r="M181" s="1">
        <v>914.4</v>
      </c>
      <c r="N181" s="1">
        <f>SUM(NewBusiness[[#This Row],[Premium]]/12)</f>
        <v>76.2</v>
      </c>
      <c r="O181" s="13">
        <v>0.8</v>
      </c>
      <c r="P181" s="1">
        <v>0</v>
      </c>
      <c r="Q181" s="1">
        <v>60.96</v>
      </c>
      <c r="R181" t="s">
        <v>32</v>
      </c>
      <c r="S181" t="s">
        <v>33</v>
      </c>
    </row>
    <row r="182" spans="1:19" x14ac:dyDescent="0.25">
      <c r="A182" s="5">
        <v>8325282</v>
      </c>
      <c r="B182" t="s">
        <v>117</v>
      </c>
      <c r="C182" t="s">
        <v>293</v>
      </c>
      <c r="D182" t="s">
        <v>752</v>
      </c>
      <c r="E182" t="s">
        <v>758</v>
      </c>
      <c r="F182" t="s">
        <v>761</v>
      </c>
      <c r="G182">
        <v>65</v>
      </c>
      <c r="H182" t="s">
        <v>294</v>
      </c>
      <c r="I182" s="3">
        <v>45747.8055439815</v>
      </c>
      <c r="J182" s="4">
        <v>45536</v>
      </c>
      <c r="K182" s="4">
        <v>45778</v>
      </c>
      <c r="L182">
        <v>8</v>
      </c>
      <c r="M182" s="1">
        <v>873.6</v>
      </c>
      <c r="N182" s="1">
        <f>SUM(NewBusiness[[#This Row],[Premium]]/12)</f>
        <v>72.8</v>
      </c>
      <c r="O182" s="13">
        <v>0.8</v>
      </c>
      <c r="P182" s="1">
        <v>0</v>
      </c>
      <c r="Q182" s="1">
        <v>58.24</v>
      </c>
      <c r="R182" t="s">
        <v>32</v>
      </c>
      <c r="S182" t="s">
        <v>33</v>
      </c>
    </row>
    <row r="183" spans="1:19" x14ac:dyDescent="0.25">
      <c r="A183" s="5">
        <v>7146581</v>
      </c>
      <c r="B183" t="s">
        <v>91</v>
      </c>
      <c r="C183" t="s">
        <v>369</v>
      </c>
      <c r="D183" t="s">
        <v>754</v>
      </c>
      <c r="E183" t="s">
        <v>758</v>
      </c>
      <c r="F183" t="s">
        <v>761</v>
      </c>
      <c r="G183">
        <v>66</v>
      </c>
      <c r="H183" t="s">
        <v>370</v>
      </c>
      <c r="I183" s="3">
        <v>45747.8055439815</v>
      </c>
      <c r="J183" s="4">
        <v>45536</v>
      </c>
      <c r="K183" s="4">
        <v>45778</v>
      </c>
      <c r="L183">
        <v>8</v>
      </c>
      <c r="M183" s="1">
        <v>915.42</v>
      </c>
      <c r="N183" s="1">
        <f>SUM(NewBusiness[[#This Row],[Premium]]/12)</f>
        <v>76.284999999999997</v>
      </c>
      <c r="O183" s="13">
        <v>0.85</v>
      </c>
      <c r="P183" s="1">
        <v>0</v>
      </c>
      <c r="Q183" s="1">
        <v>64.84</v>
      </c>
      <c r="R183" t="s">
        <v>32</v>
      </c>
      <c r="S183" t="s">
        <v>33</v>
      </c>
    </row>
    <row r="184" spans="1:19" x14ac:dyDescent="0.25">
      <c r="A184" s="5">
        <v>16633294</v>
      </c>
      <c r="B184" t="s">
        <v>29</v>
      </c>
      <c r="C184" t="s">
        <v>289</v>
      </c>
      <c r="D184" t="s">
        <v>753</v>
      </c>
      <c r="E184" t="s">
        <v>758</v>
      </c>
      <c r="F184" t="s">
        <v>761</v>
      </c>
      <c r="G184">
        <v>41</v>
      </c>
      <c r="H184" t="s">
        <v>290</v>
      </c>
      <c r="I184" s="3">
        <v>45747.8055439815</v>
      </c>
      <c r="J184" s="4">
        <v>45536</v>
      </c>
      <c r="K184" s="4">
        <v>45778</v>
      </c>
      <c r="L184">
        <v>8</v>
      </c>
      <c r="M184" s="1">
        <v>858.5</v>
      </c>
      <c r="N184" s="1">
        <f>SUM(NewBusiness[[#This Row],[Premium]]/12)</f>
        <v>71.541666666666671</v>
      </c>
      <c r="O184" s="13">
        <v>1.1000000000000001</v>
      </c>
      <c r="P184" s="1">
        <v>0</v>
      </c>
      <c r="Q184" s="1">
        <v>78.69</v>
      </c>
      <c r="R184" t="s">
        <v>32</v>
      </c>
      <c r="S184" t="s">
        <v>33</v>
      </c>
    </row>
    <row r="185" spans="1:19" x14ac:dyDescent="0.25">
      <c r="A185" s="5">
        <v>19681796</v>
      </c>
      <c r="B185" t="s">
        <v>102</v>
      </c>
      <c r="C185" t="s">
        <v>301</v>
      </c>
      <c r="D185" t="s">
        <v>754</v>
      </c>
      <c r="E185" t="s">
        <v>758</v>
      </c>
      <c r="F185" t="s">
        <v>761</v>
      </c>
      <c r="G185">
        <v>64</v>
      </c>
      <c r="H185" t="s">
        <v>302</v>
      </c>
      <c r="I185" s="3">
        <v>45747.8055439815</v>
      </c>
      <c r="J185" s="4">
        <v>45480</v>
      </c>
      <c r="K185" s="4">
        <v>45754</v>
      </c>
      <c r="L185">
        <v>9</v>
      </c>
      <c r="M185" s="1">
        <v>502.99</v>
      </c>
      <c r="N185" s="1">
        <f>SUM(NewBusiness[[#This Row],[Premium]]/12)</f>
        <v>41.915833333333332</v>
      </c>
      <c r="O185" s="13">
        <v>0.85</v>
      </c>
      <c r="P185" s="1">
        <v>0</v>
      </c>
      <c r="Q185" s="1">
        <v>35.630000000000003</v>
      </c>
      <c r="R185" t="s">
        <v>32</v>
      </c>
      <c r="S185" t="s">
        <v>33</v>
      </c>
    </row>
    <row r="186" spans="1:19" x14ac:dyDescent="0.25">
      <c r="A186" s="5">
        <v>7146581</v>
      </c>
      <c r="B186" t="s">
        <v>91</v>
      </c>
      <c r="C186" t="s">
        <v>92</v>
      </c>
      <c r="D186" t="s">
        <v>754</v>
      </c>
      <c r="E186" t="s">
        <v>758</v>
      </c>
      <c r="F186" t="s">
        <v>761</v>
      </c>
      <c r="G186">
        <v>68</v>
      </c>
      <c r="H186" t="s">
        <v>93</v>
      </c>
      <c r="I186" s="3">
        <v>45747.8055439815</v>
      </c>
      <c r="J186" s="4">
        <v>45484</v>
      </c>
      <c r="K186" s="4">
        <v>45758</v>
      </c>
      <c r="L186">
        <v>9</v>
      </c>
      <c r="M186" s="1">
        <v>862.54</v>
      </c>
      <c r="N186" s="1">
        <f>SUM(NewBusiness[[#This Row],[Premium]]/12)</f>
        <v>71.87833333333333</v>
      </c>
      <c r="O186" s="13">
        <v>0.85</v>
      </c>
      <c r="P186" s="1">
        <v>0</v>
      </c>
      <c r="Q186" s="1">
        <v>61.09</v>
      </c>
      <c r="R186" t="s">
        <v>32</v>
      </c>
      <c r="S186" t="s">
        <v>33</v>
      </c>
    </row>
    <row r="187" spans="1:19" x14ac:dyDescent="0.25">
      <c r="A187" s="5">
        <v>2158366</v>
      </c>
      <c r="B187" t="s">
        <v>39</v>
      </c>
      <c r="C187" t="s">
        <v>40</v>
      </c>
      <c r="D187" t="s">
        <v>751</v>
      </c>
      <c r="E187" t="s">
        <v>758</v>
      </c>
      <c r="F187" t="s">
        <v>761</v>
      </c>
      <c r="G187">
        <v>64</v>
      </c>
      <c r="H187" t="s">
        <v>41</v>
      </c>
      <c r="I187" s="3">
        <v>45747.8055439815</v>
      </c>
      <c r="J187" s="4">
        <v>45505</v>
      </c>
      <c r="K187" s="4">
        <v>45778</v>
      </c>
      <c r="L187">
        <v>9</v>
      </c>
      <c r="M187" s="1">
        <v>1098</v>
      </c>
      <c r="N187" s="1">
        <f>SUM(NewBusiness[[#This Row],[Premium]]/12)</f>
        <v>91.5</v>
      </c>
      <c r="O187" s="13">
        <v>0.75</v>
      </c>
      <c r="P187" s="1">
        <v>0</v>
      </c>
      <c r="Q187" s="1">
        <v>68.62</v>
      </c>
      <c r="R187" t="s">
        <v>32</v>
      </c>
      <c r="S187" t="s">
        <v>33</v>
      </c>
    </row>
    <row r="188" spans="1:19" x14ac:dyDescent="0.25">
      <c r="A188" s="5">
        <v>19481808</v>
      </c>
      <c r="B188" t="s">
        <v>85</v>
      </c>
      <c r="C188" t="s">
        <v>641</v>
      </c>
      <c r="D188" t="s">
        <v>751</v>
      </c>
      <c r="E188" t="s">
        <v>758</v>
      </c>
      <c r="F188" t="s">
        <v>761</v>
      </c>
      <c r="G188">
        <v>64</v>
      </c>
      <c r="H188" t="s">
        <v>642</v>
      </c>
      <c r="I188" s="3">
        <v>45747.8055439815</v>
      </c>
      <c r="J188" s="4">
        <v>45505</v>
      </c>
      <c r="K188" s="4">
        <v>45778</v>
      </c>
      <c r="L188">
        <v>9</v>
      </c>
      <c r="M188" s="1">
        <v>1304.4000000000001</v>
      </c>
      <c r="N188" s="1">
        <f>SUM(NewBusiness[[#This Row],[Premium]]/12)</f>
        <v>108.7</v>
      </c>
      <c r="O188" s="13">
        <v>0.75</v>
      </c>
      <c r="P188" s="1">
        <v>0</v>
      </c>
      <c r="Q188" s="1">
        <v>81.53</v>
      </c>
      <c r="R188" t="s">
        <v>32</v>
      </c>
      <c r="S188" t="s">
        <v>33</v>
      </c>
    </row>
    <row r="189" spans="1:19" x14ac:dyDescent="0.25">
      <c r="A189" s="5">
        <v>7146581</v>
      </c>
      <c r="B189" t="s">
        <v>91</v>
      </c>
      <c r="C189" t="s">
        <v>607</v>
      </c>
      <c r="D189" t="s">
        <v>752</v>
      </c>
      <c r="E189" t="s">
        <v>758</v>
      </c>
      <c r="F189" t="s">
        <v>761</v>
      </c>
      <c r="G189">
        <v>68</v>
      </c>
      <c r="H189" t="s">
        <v>608</v>
      </c>
      <c r="I189" s="3">
        <v>45747.8055439815</v>
      </c>
      <c r="J189" s="4">
        <v>45505</v>
      </c>
      <c r="K189" s="4">
        <v>45778</v>
      </c>
      <c r="L189">
        <v>9</v>
      </c>
      <c r="M189" s="1">
        <v>996</v>
      </c>
      <c r="N189" s="1">
        <f>SUM(NewBusiness[[#This Row],[Premium]]/12)</f>
        <v>83</v>
      </c>
      <c r="O189" s="13">
        <v>0.8</v>
      </c>
      <c r="P189" s="1">
        <v>0</v>
      </c>
      <c r="Q189" s="1">
        <v>66.400000000000006</v>
      </c>
      <c r="R189" t="s">
        <v>32</v>
      </c>
      <c r="S189" t="s">
        <v>33</v>
      </c>
    </row>
    <row r="190" spans="1:19" x14ac:dyDescent="0.25">
      <c r="A190" s="5">
        <v>19481808</v>
      </c>
      <c r="B190" t="s">
        <v>85</v>
      </c>
      <c r="C190" t="s">
        <v>269</v>
      </c>
      <c r="D190" t="s">
        <v>752</v>
      </c>
      <c r="E190" t="s">
        <v>758</v>
      </c>
      <c r="F190" t="s">
        <v>761</v>
      </c>
      <c r="G190">
        <v>64</v>
      </c>
      <c r="H190" t="s">
        <v>270</v>
      </c>
      <c r="I190" s="3">
        <v>45747.8055439815</v>
      </c>
      <c r="J190" s="4">
        <v>45505</v>
      </c>
      <c r="K190" s="4">
        <v>45778</v>
      </c>
      <c r="L190">
        <v>9</v>
      </c>
      <c r="M190" s="1">
        <v>1664.4</v>
      </c>
      <c r="N190" s="1">
        <f>SUM(NewBusiness[[#This Row],[Premium]]/12)</f>
        <v>138.70000000000002</v>
      </c>
      <c r="O190" s="13">
        <v>0.8</v>
      </c>
      <c r="P190" s="1">
        <v>0</v>
      </c>
      <c r="Q190" s="1">
        <v>110.96</v>
      </c>
      <c r="R190" t="s">
        <v>32</v>
      </c>
      <c r="S190" t="s">
        <v>33</v>
      </c>
    </row>
    <row r="191" spans="1:19" x14ac:dyDescent="0.25">
      <c r="A191" s="5">
        <v>16633294</v>
      </c>
      <c r="B191" t="s">
        <v>29</v>
      </c>
      <c r="C191" t="s">
        <v>30</v>
      </c>
      <c r="D191" t="s">
        <v>752</v>
      </c>
      <c r="E191" t="s">
        <v>758</v>
      </c>
      <c r="F191" t="s">
        <v>761</v>
      </c>
      <c r="G191">
        <v>68</v>
      </c>
      <c r="H191" t="s">
        <v>31</v>
      </c>
      <c r="I191" s="3">
        <v>45747.8055439815</v>
      </c>
      <c r="J191" s="4">
        <v>45505</v>
      </c>
      <c r="K191" s="4">
        <v>45778</v>
      </c>
      <c r="L191">
        <v>9</v>
      </c>
      <c r="M191" s="1">
        <v>1844.4</v>
      </c>
      <c r="N191" s="1">
        <f>SUM(NewBusiness[[#This Row],[Premium]]/12)</f>
        <v>153.70000000000002</v>
      </c>
      <c r="O191" s="13">
        <v>0.8</v>
      </c>
      <c r="P191" s="1">
        <v>0</v>
      </c>
      <c r="Q191" s="1">
        <v>122.96</v>
      </c>
      <c r="R191" t="s">
        <v>32</v>
      </c>
      <c r="S191" t="s">
        <v>33</v>
      </c>
    </row>
    <row r="192" spans="1:19" x14ac:dyDescent="0.25">
      <c r="A192" s="5">
        <v>16633294</v>
      </c>
      <c r="B192" t="s">
        <v>29</v>
      </c>
      <c r="C192" t="s">
        <v>263</v>
      </c>
      <c r="D192" t="s">
        <v>752</v>
      </c>
      <c r="E192" t="s">
        <v>758</v>
      </c>
      <c r="F192" t="s">
        <v>761</v>
      </c>
      <c r="G192">
        <v>64</v>
      </c>
      <c r="H192" t="s">
        <v>264</v>
      </c>
      <c r="I192" s="3">
        <v>45747.8055439815</v>
      </c>
      <c r="J192" s="4">
        <v>45505</v>
      </c>
      <c r="K192" s="4">
        <v>45778</v>
      </c>
      <c r="L192">
        <v>9</v>
      </c>
      <c r="M192" s="1">
        <v>1723.2</v>
      </c>
      <c r="N192" s="1">
        <f>SUM(NewBusiness[[#This Row],[Premium]]/12)</f>
        <v>143.6</v>
      </c>
      <c r="O192" s="13">
        <v>0.8</v>
      </c>
      <c r="P192" s="1">
        <v>0</v>
      </c>
      <c r="Q192" s="1">
        <v>114.88</v>
      </c>
      <c r="R192" t="s">
        <v>32</v>
      </c>
      <c r="S192" t="s">
        <v>33</v>
      </c>
    </row>
    <row r="193" spans="1:19" x14ac:dyDescent="0.25">
      <c r="A193" s="5">
        <v>16633294</v>
      </c>
      <c r="B193" t="s">
        <v>29</v>
      </c>
      <c r="C193" t="s">
        <v>273</v>
      </c>
      <c r="D193" t="s">
        <v>752</v>
      </c>
      <c r="E193" t="s">
        <v>758</v>
      </c>
      <c r="F193" t="s">
        <v>761</v>
      </c>
      <c r="G193">
        <v>64</v>
      </c>
      <c r="H193" t="s">
        <v>274</v>
      </c>
      <c r="I193" s="3">
        <v>45747.8055439815</v>
      </c>
      <c r="J193" s="4">
        <v>45505</v>
      </c>
      <c r="K193" s="4">
        <v>45778</v>
      </c>
      <c r="L193">
        <v>9</v>
      </c>
      <c r="M193" s="1">
        <v>996</v>
      </c>
      <c r="N193" s="1">
        <f>SUM(NewBusiness[[#This Row],[Premium]]/12)</f>
        <v>83</v>
      </c>
      <c r="O193" s="13">
        <v>0.8</v>
      </c>
      <c r="P193" s="1">
        <v>0</v>
      </c>
      <c r="Q193" s="1">
        <v>66.400000000000006</v>
      </c>
      <c r="R193" t="s">
        <v>32</v>
      </c>
      <c r="S193" t="s">
        <v>33</v>
      </c>
    </row>
    <row r="194" spans="1:19" x14ac:dyDescent="0.25">
      <c r="A194" s="5">
        <v>8244481</v>
      </c>
      <c r="B194" t="s">
        <v>42</v>
      </c>
      <c r="C194" t="s">
        <v>516</v>
      </c>
      <c r="D194" t="s">
        <v>754</v>
      </c>
      <c r="E194" t="s">
        <v>758</v>
      </c>
      <c r="F194" t="s">
        <v>761</v>
      </c>
      <c r="G194">
        <v>64</v>
      </c>
      <c r="H194" t="s">
        <v>517</v>
      </c>
      <c r="I194" s="3">
        <v>45747.8055439815</v>
      </c>
      <c r="J194" s="4">
        <v>45505</v>
      </c>
      <c r="K194" s="4">
        <v>45778</v>
      </c>
      <c r="L194">
        <v>9</v>
      </c>
      <c r="M194" s="1">
        <v>484.48</v>
      </c>
      <c r="N194" s="1">
        <f>SUM(NewBusiness[[#This Row],[Premium]]/12)</f>
        <v>40.373333333333335</v>
      </c>
      <c r="O194" s="13">
        <v>0.85</v>
      </c>
      <c r="P194" s="1">
        <v>0</v>
      </c>
      <c r="Q194" s="1">
        <v>34.31</v>
      </c>
      <c r="R194" t="s">
        <v>32</v>
      </c>
      <c r="S194" t="s">
        <v>33</v>
      </c>
    </row>
    <row r="195" spans="1:19" x14ac:dyDescent="0.25">
      <c r="A195" s="5">
        <v>17126004</v>
      </c>
      <c r="B195" t="s">
        <v>173</v>
      </c>
      <c r="C195" t="s">
        <v>204</v>
      </c>
      <c r="D195" t="s">
        <v>754</v>
      </c>
      <c r="E195" t="s">
        <v>758</v>
      </c>
      <c r="F195" t="s">
        <v>761</v>
      </c>
      <c r="G195">
        <v>64</v>
      </c>
      <c r="H195" t="s">
        <v>205</v>
      </c>
      <c r="I195" s="3">
        <v>45747.8055439815</v>
      </c>
      <c r="J195" s="4">
        <v>45505</v>
      </c>
      <c r="K195" s="4">
        <v>45778</v>
      </c>
      <c r="L195">
        <v>9</v>
      </c>
      <c r="M195" s="1">
        <v>616.36</v>
      </c>
      <c r="N195" s="1">
        <f>SUM(NewBusiness[[#This Row],[Premium]]/12)</f>
        <v>51.363333333333337</v>
      </c>
      <c r="O195" s="13">
        <v>0.85</v>
      </c>
      <c r="P195" s="1">
        <v>0</v>
      </c>
      <c r="Q195" s="1">
        <v>43.66</v>
      </c>
      <c r="R195" t="s">
        <v>32</v>
      </c>
      <c r="S195" t="s">
        <v>33</v>
      </c>
    </row>
    <row r="196" spans="1:19" x14ac:dyDescent="0.25">
      <c r="A196" s="5">
        <v>19681796</v>
      </c>
      <c r="B196" t="s">
        <v>102</v>
      </c>
      <c r="C196" t="s">
        <v>136</v>
      </c>
      <c r="D196" t="s">
        <v>754</v>
      </c>
      <c r="E196" t="s">
        <v>758</v>
      </c>
      <c r="F196" t="s">
        <v>761</v>
      </c>
      <c r="G196">
        <v>67</v>
      </c>
      <c r="H196" t="s">
        <v>137</v>
      </c>
      <c r="I196" s="3">
        <v>45747.8055439815</v>
      </c>
      <c r="J196" s="4">
        <v>45514</v>
      </c>
      <c r="K196" s="4">
        <v>45787</v>
      </c>
      <c r="L196">
        <v>9</v>
      </c>
      <c r="M196" s="1">
        <v>652.86</v>
      </c>
      <c r="N196" s="1">
        <f>SUM(NewBusiness[[#This Row],[Premium]]/12)</f>
        <v>54.405000000000001</v>
      </c>
      <c r="O196" s="13">
        <v>0.85</v>
      </c>
      <c r="P196" s="1">
        <v>0</v>
      </c>
      <c r="Q196" s="1">
        <v>46.24</v>
      </c>
      <c r="R196" t="s">
        <v>32</v>
      </c>
      <c r="S196" t="s">
        <v>33</v>
      </c>
    </row>
    <row r="197" spans="1:19" x14ac:dyDescent="0.25">
      <c r="A197" s="5">
        <v>16633294</v>
      </c>
      <c r="B197" t="s">
        <v>29</v>
      </c>
      <c r="C197" t="s">
        <v>645</v>
      </c>
      <c r="D197" t="s">
        <v>751</v>
      </c>
      <c r="E197" t="s">
        <v>758</v>
      </c>
      <c r="F197" t="s">
        <v>761</v>
      </c>
      <c r="G197">
        <v>65</v>
      </c>
      <c r="H197" t="s">
        <v>646</v>
      </c>
      <c r="I197" s="3">
        <v>45747.8055439815</v>
      </c>
      <c r="J197" s="4">
        <v>45468</v>
      </c>
      <c r="K197" s="4">
        <v>45772</v>
      </c>
      <c r="L197">
        <v>10</v>
      </c>
      <c r="M197" s="1">
        <v>1758</v>
      </c>
      <c r="N197" s="1">
        <f>SUM(NewBusiness[[#This Row],[Premium]]/12)</f>
        <v>146.5</v>
      </c>
      <c r="O197" s="13">
        <v>0.75</v>
      </c>
      <c r="P197" s="1">
        <v>0</v>
      </c>
      <c r="Q197" s="1">
        <v>109.88</v>
      </c>
      <c r="R197" t="s">
        <v>32</v>
      </c>
      <c r="S197" t="s">
        <v>33</v>
      </c>
    </row>
    <row r="198" spans="1:19" x14ac:dyDescent="0.25">
      <c r="A198" s="5">
        <v>19681796</v>
      </c>
      <c r="B198" t="s">
        <v>102</v>
      </c>
      <c r="C198" t="s">
        <v>131</v>
      </c>
      <c r="D198" t="s">
        <v>751</v>
      </c>
      <c r="E198" t="s">
        <v>758</v>
      </c>
      <c r="F198" t="s">
        <v>761</v>
      </c>
      <c r="G198">
        <v>66</v>
      </c>
      <c r="H198" t="s">
        <v>132</v>
      </c>
      <c r="I198" s="3">
        <v>45747.8055439815</v>
      </c>
      <c r="J198" s="4">
        <v>45470</v>
      </c>
      <c r="K198" s="4">
        <v>45774</v>
      </c>
      <c r="L198">
        <v>10</v>
      </c>
      <c r="M198" s="1">
        <v>612.69000000000005</v>
      </c>
      <c r="N198" s="1">
        <f>SUM(NewBusiness[[#This Row],[Premium]]/12)</f>
        <v>51.057500000000005</v>
      </c>
      <c r="O198" s="13">
        <v>0.75</v>
      </c>
      <c r="P198" s="1">
        <v>0</v>
      </c>
      <c r="Q198" s="1">
        <v>38.29</v>
      </c>
      <c r="R198" t="s">
        <v>32</v>
      </c>
      <c r="S198" t="s">
        <v>33</v>
      </c>
    </row>
    <row r="199" spans="1:19" x14ac:dyDescent="0.25">
      <c r="A199" s="5">
        <v>19681796</v>
      </c>
      <c r="B199" t="s">
        <v>102</v>
      </c>
      <c r="C199" t="s">
        <v>395</v>
      </c>
      <c r="D199" t="s">
        <v>751</v>
      </c>
      <c r="E199" t="s">
        <v>758</v>
      </c>
      <c r="F199" t="s">
        <v>761</v>
      </c>
      <c r="G199">
        <v>64</v>
      </c>
      <c r="H199" t="s">
        <v>396</v>
      </c>
      <c r="I199" s="3">
        <v>45747.8055439815</v>
      </c>
      <c r="J199" s="4">
        <v>45470</v>
      </c>
      <c r="K199" s="4">
        <v>45774</v>
      </c>
      <c r="L199">
        <v>10</v>
      </c>
      <c r="M199" s="1">
        <v>581.42999999999995</v>
      </c>
      <c r="N199" s="1">
        <f>SUM(NewBusiness[[#This Row],[Premium]]/12)</f>
        <v>48.452499999999993</v>
      </c>
      <c r="O199" s="13">
        <v>0.75</v>
      </c>
      <c r="P199" s="1">
        <v>0</v>
      </c>
      <c r="Q199" s="1">
        <v>36.340000000000003</v>
      </c>
      <c r="R199" t="s">
        <v>32</v>
      </c>
      <c r="S199" t="s">
        <v>33</v>
      </c>
    </row>
    <row r="200" spans="1:19" x14ac:dyDescent="0.25">
      <c r="A200" s="5">
        <v>19681796</v>
      </c>
      <c r="B200" t="s">
        <v>102</v>
      </c>
      <c r="C200" t="s">
        <v>377</v>
      </c>
      <c r="D200" t="s">
        <v>752</v>
      </c>
      <c r="E200" t="s">
        <v>758</v>
      </c>
      <c r="F200" t="s">
        <v>761</v>
      </c>
      <c r="G200">
        <v>66</v>
      </c>
      <c r="H200" t="s">
        <v>378</v>
      </c>
      <c r="I200" s="3">
        <v>45747.8055439815</v>
      </c>
      <c r="J200" s="4">
        <v>45470</v>
      </c>
      <c r="K200" s="4">
        <v>45774</v>
      </c>
      <c r="L200">
        <v>10</v>
      </c>
      <c r="M200" s="1">
        <v>769.94</v>
      </c>
      <c r="N200" s="1">
        <f>SUM(NewBusiness[[#This Row],[Premium]]/12)</f>
        <v>64.161666666666676</v>
      </c>
      <c r="O200" s="13">
        <v>0.8</v>
      </c>
      <c r="P200" s="1">
        <v>0</v>
      </c>
      <c r="Q200" s="1">
        <v>51.32</v>
      </c>
      <c r="R200" t="s">
        <v>32</v>
      </c>
      <c r="S200" t="s">
        <v>33</v>
      </c>
    </row>
    <row r="201" spans="1:19" x14ac:dyDescent="0.25">
      <c r="A201" s="5">
        <v>19681796</v>
      </c>
      <c r="B201" t="s">
        <v>102</v>
      </c>
      <c r="C201" t="s">
        <v>518</v>
      </c>
      <c r="D201" t="s">
        <v>752</v>
      </c>
      <c r="E201" t="s">
        <v>758</v>
      </c>
      <c r="F201" t="s">
        <v>761</v>
      </c>
      <c r="G201">
        <v>64</v>
      </c>
      <c r="H201" t="s">
        <v>519</v>
      </c>
      <c r="I201" s="3">
        <v>45747.8055439815</v>
      </c>
      <c r="J201" s="4">
        <v>45470</v>
      </c>
      <c r="K201" s="4">
        <v>45774</v>
      </c>
      <c r="L201">
        <v>10</v>
      </c>
      <c r="M201" s="1">
        <v>580.38</v>
      </c>
      <c r="N201" s="1">
        <f>SUM(NewBusiness[[#This Row],[Premium]]/12)</f>
        <v>48.365000000000002</v>
      </c>
      <c r="O201" s="13">
        <v>0.8</v>
      </c>
      <c r="P201" s="1">
        <v>0</v>
      </c>
      <c r="Q201" s="1">
        <v>38.69</v>
      </c>
      <c r="R201" t="s">
        <v>32</v>
      </c>
      <c r="S201" t="s">
        <v>33</v>
      </c>
    </row>
    <row r="202" spans="1:19" x14ac:dyDescent="0.25">
      <c r="A202" s="5">
        <v>8244481</v>
      </c>
      <c r="B202" t="s">
        <v>42</v>
      </c>
      <c r="C202" t="s">
        <v>70</v>
      </c>
      <c r="D202" t="s">
        <v>751</v>
      </c>
      <c r="E202" t="s">
        <v>758</v>
      </c>
      <c r="F202" t="s">
        <v>761</v>
      </c>
      <c r="G202">
        <v>69</v>
      </c>
      <c r="H202" t="s">
        <v>71</v>
      </c>
      <c r="I202" s="3">
        <v>45747.8055439815</v>
      </c>
      <c r="J202" s="4">
        <v>45471</v>
      </c>
      <c r="K202" s="4">
        <v>45775</v>
      </c>
      <c r="L202">
        <v>10</v>
      </c>
      <c r="M202" s="1">
        <v>328.1</v>
      </c>
      <c r="N202" s="1">
        <f>SUM(NewBusiness[[#This Row],[Premium]]/12)</f>
        <v>27.341666666666669</v>
      </c>
      <c r="O202" s="13">
        <v>0.75</v>
      </c>
      <c r="P202" s="1">
        <v>0</v>
      </c>
      <c r="Q202" s="1">
        <v>20.5</v>
      </c>
      <c r="R202" t="s">
        <v>32</v>
      </c>
      <c r="S202" t="s">
        <v>33</v>
      </c>
    </row>
    <row r="203" spans="1:19" x14ac:dyDescent="0.25">
      <c r="A203" s="5">
        <v>8244481</v>
      </c>
      <c r="B203" t="s">
        <v>42</v>
      </c>
      <c r="C203" t="s">
        <v>542</v>
      </c>
      <c r="D203" t="s">
        <v>751</v>
      </c>
      <c r="E203" t="s">
        <v>758</v>
      </c>
      <c r="F203" t="s">
        <v>761</v>
      </c>
      <c r="G203">
        <v>71</v>
      </c>
      <c r="H203" t="s">
        <v>543</v>
      </c>
      <c r="I203" s="3">
        <v>45747.8055439815</v>
      </c>
      <c r="J203" s="4">
        <v>45471</v>
      </c>
      <c r="K203" s="4">
        <v>45775</v>
      </c>
      <c r="L203">
        <v>10</v>
      </c>
      <c r="M203" s="1">
        <v>354.89</v>
      </c>
      <c r="N203" s="1">
        <f>SUM(NewBusiness[[#This Row],[Premium]]/12)</f>
        <v>29.574166666666667</v>
      </c>
      <c r="O203" s="13">
        <v>0.75</v>
      </c>
      <c r="P203" s="1">
        <v>0</v>
      </c>
      <c r="Q203" s="1">
        <v>22.18</v>
      </c>
      <c r="R203" t="s">
        <v>32</v>
      </c>
      <c r="S203" t="s">
        <v>33</v>
      </c>
    </row>
    <row r="204" spans="1:19" x14ac:dyDescent="0.25">
      <c r="A204" s="5">
        <v>2158366</v>
      </c>
      <c r="B204" t="s">
        <v>39</v>
      </c>
      <c r="C204" t="s">
        <v>252</v>
      </c>
      <c r="D204" t="s">
        <v>750</v>
      </c>
      <c r="E204" t="s">
        <v>758</v>
      </c>
      <c r="F204" t="s">
        <v>761</v>
      </c>
      <c r="G204">
        <v>64</v>
      </c>
      <c r="H204" t="s">
        <v>253</v>
      </c>
      <c r="I204" s="3">
        <v>45747.8055439815</v>
      </c>
      <c r="J204" s="4">
        <v>45474</v>
      </c>
      <c r="K204" s="4">
        <v>45778</v>
      </c>
      <c r="L204">
        <v>10</v>
      </c>
      <c r="M204" s="1">
        <v>1167.3</v>
      </c>
      <c r="N204" s="1">
        <f>SUM(NewBusiness[[#This Row],[Premium]]/12)</f>
        <v>97.274999999999991</v>
      </c>
      <c r="O204" s="13">
        <v>0.7</v>
      </c>
      <c r="P204" s="1">
        <v>0</v>
      </c>
      <c r="Q204" s="1">
        <v>68.09</v>
      </c>
      <c r="R204" t="s">
        <v>254</v>
      </c>
      <c r="S204" t="s">
        <v>33</v>
      </c>
    </row>
    <row r="205" spans="1:19" x14ac:dyDescent="0.25">
      <c r="A205" s="5">
        <v>2158366</v>
      </c>
      <c r="B205" t="s">
        <v>39</v>
      </c>
      <c r="C205" t="s">
        <v>321</v>
      </c>
      <c r="D205" t="s">
        <v>751</v>
      </c>
      <c r="E205" t="s">
        <v>758</v>
      </c>
      <c r="F205" t="s">
        <v>761</v>
      </c>
      <c r="G205">
        <v>64</v>
      </c>
      <c r="H205" t="s">
        <v>322</v>
      </c>
      <c r="I205" s="3">
        <v>45747.8055439815</v>
      </c>
      <c r="J205" s="4">
        <v>45474</v>
      </c>
      <c r="K205" s="4">
        <v>45778</v>
      </c>
      <c r="L205">
        <v>10</v>
      </c>
      <c r="M205" s="1">
        <v>1530</v>
      </c>
      <c r="N205" s="1">
        <f>SUM(NewBusiness[[#This Row],[Premium]]/12)</f>
        <v>127.5</v>
      </c>
      <c r="O205" s="13">
        <v>0.75</v>
      </c>
      <c r="P205" s="1">
        <v>0</v>
      </c>
      <c r="Q205" s="1">
        <v>95.62</v>
      </c>
      <c r="R205" t="s">
        <v>32</v>
      </c>
      <c r="S205" t="s">
        <v>33</v>
      </c>
    </row>
    <row r="206" spans="1:19" x14ac:dyDescent="0.25">
      <c r="A206" s="5">
        <v>19200754</v>
      </c>
      <c r="B206" t="s">
        <v>180</v>
      </c>
      <c r="C206" t="s">
        <v>187</v>
      </c>
      <c r="D206" t="s">
        <v>751</v>
      </c>
      <c r="E206" t="s">
        <v>758</v>
      </c>
      <c r="F206" t="s">
        <v>761</v>
      </c>
      <c r="G206">
        <v>64</v>
      </c>
      <c r="H206" t="s">
        <v>188</v>
      </c>
      <c r="I206" s="3">
        <v>45747.8055439815</v>
      </c>
      <c r="J206" s="4">
        <v>45474</v>
      </c>
      <c r="K206" s="4">
        <v>45778</v>
      </c>
      <c r="L206">
        <v>10</v>
      </c>
      <c r="M206" s="1">
        <v>868.8</v>
      </c>
      <c r="N206" s="1">
        <f>SUM(NewBusiness[[#This Row],[Premium]]/12)</f>
        <v>72.399999999999991</v>
      </c>
      <c r="O206" s="13">
        <v>0.75</v>
      </c>
      <c r="P206" s="1">
        <v>0</v>
      </c>
      <c r="Q206" s="1">
        <v>54.3</v>
      </c>
      <c r="R206" t="s">
        <v>32</v>
      </c>
      <c r="S206" t="s">
        <v>33</v>
      </c>
    </row>
    <row r="207" spans="1:19" x14ac:dyDescent="0.25">
      <c r="A207" s="5">
        <v>19586992</v>
      </c>
      <c r="B207" t="s">
        <v>80</v>
      </c>
      <c r="C207" t="s">
        <v>81</v>
      </c>
      <c r="D207" t="s">
        <v>751</v>
      </c>
      <c r="E207" t="s">
        <v>758</v>
      </c>
      <c r="F207" t="s">
        <v>761</v>
      </c>
      <c r="G207">
        <v>64</v>
      </c>
      <c r="H207" t="s">
        <v>82</v>
      </c>
      <c r="I207" s="3">
        <v>45747.8055439815</v>
      </c>
      <c r="J207" s="4">
        <v>45474</v>
      </c>
      <c r="K207" s="4">
        <v>45778</v>
      </c>
      <c r="L207">
        <v>10</v>
      </c>
      <c r="M207" s="1">
        <v>583.20000000000005</v>
      </c>
      <c r="N207" s="1">
        <f>SUM(NewBusiness[[#This Row],[Premium]]/12)</f>
        <v>48.6</v>
      </c>
      <c r="O207" s="13">
        <v>0.75</v>
      </c>
      <c r="P207" s="1">
        <v>0</v>
      </c>
      <c r="Q207" s="1">
        <v>36.450000000000003</v>
      </c>
      <c r="R207" t="s">
        <v>32</v>
      </c>
      <c r="S207" t="s">
        <v>33</v>
      </c>
    </row>
    <row r="208" spans="1:19" x14ac:dyDescent="0.25">
      <c r="A208" s="5">
        <v>16633294</v>
      </c>
      <c r="B208" t="s">
        <v>29</v>
      </c>
      <c r="C208" t="s">
        <v>617</v>
      </c>
      <c r="D208" t="s">
        <v>751</v>
      </c>
      <c r="E208" t="s">
        <v>758</v>
      </c>
      <c r="F208" t="s">
        <v>761</v>
      </c>
      <c r="G208">
        <v>64</v>
      </c>
      <c r="H208" t="s">
        <v>618</v>
      </c>
      <c r="I208" s="3">
        <v>45747.8055439815</v>
      </c>
      <c r="J208" s="4">
        <v>45474</v>
      </c>
      <c r="K208" s="4">
        <v>45778</v>
      </c>
      <c r="L208">
        <v>10</v>
      </c>
      <c r="M208" s="1">
        <v>1203.5999999999999</v>
      </c>
      <c r="N208" s="1">
        <f>SUM(NewBusiness[[#This Row],[Premium]]/12)</f>
        <v>100.3</v>
      </c>
      <c r="O208" s="13">
        <v>0.75</v>
      </c>
      <c r="P208" s="1">
        <v>0</v>
      </c>
      <c r="Q208" s="1">
        <v>75.22</v>
      </c>
      <c r="R208" t="s">
        <v>32</v>
      </c>
      <c r="S208" t="s">
        <v>33</v>
      </c>
    </row>
    <row r="209" spans="1:19" x14ac:dyDescent="0.25">
      <c r="A209" s="5">
        <v>17126004</v>
      </c>
      <c r="B209" t="s">
        <v>173</v>
      </c>
      <c r="C209" t="s">
        <v>250</v>
      </c>
      <c r="D209" t="s">
        <v>752</v>
      </c>
      <c r="E209" t="s">
        <v>758</v>
      </c>
      <c r="F209" t="s">
        <v>761</v>
      </c>
      <c r="G209">
        <v>69</v>
      </c>
      <c r="H209" t="s">
        <v>251</v>
      </c>
      <c r="I209" s="3">
        <v>45747.8055439815</v>
      </c>
      <c r="J209" s="4">
        <v>45474</v>
      </c>
      <c r="K209" s="4">
        <v>45778</v>
      </c>
      <c r="L209">
        <v>10</v>
      </c>
      <c r="M209" s="1">
        <v>862.54</v>
      </c>
      <c r="N209" s="1">
        <f>SUM(NewBusiness[[#This Row],[Premium]]/12)</f>
        <v>71.87833333333333</v>
      </c>
      <c r="O209" s="13">
        <v>0.8</v>
      </c>
      <c r="P209" s="1">
        <v>0</v>
      </c>
      <c r="Q209" s="1">
        <v>57.5</v>
      </c>
      <c r="R209" t="s">
        <v>32</v>
      </c>
      <c r="S209" t="s">
        <v>33</v>
      </c>
    </row>
    <row r="210" spans="1:19" x14ac:dyDescent="0.25">
      <c r="A210" s="5">
        <v>17126004</v>
      </c>
      <c r="B210" t="s">
        <v>173</v>
      </c>
      <c r="C210" t="s">
        <v>678</v>
      </c>
      <c r="D210" t="s">
        <v>752</v>
      </c>
      <c r="E210" t="s">
        <v>758</v>
      </c>
      <c r="F210" t="s">
        <v>761</v>
      </c>
      <c r="G210">
        <v>65</v>
      </c>
      <c r="H210" t="s">
        <v>679</v>
      </c>
      <c r="I210" s="3">
        <v>45747.8055439815</v>
      </c>
      <c r="J210" s="4">
        <v>45474</v>
      </c>
      <c r="K210" s="4">
        <v>45778</v>
      </c>
      <c r="L210">
        <v>10</v>
      </c>
      <c r="M210" s="1">
        <v>862.54</v>
      </c>
      <c r="N210" s="1">
        <f>SUM(NewBusiness[[#This Row],[Premium]]/12)</f>
        <v>71.87833333333333</v>
      </c>
      <c r="O210" s="13">
        <v>0.8</v>
      </c>
      <c r="P210" s="1">
        <v>0</v>
      </c>
      <c r="Q210" s="1">
        <v>57.5</v>
      </c>
      <c r="R210" t="s">
        <v>32</v>
      </c>
      <c r="S210" t="s">
        <v>33</v>
      </c>
    </row>
    <row r="211" spans="1:19" x14ac:dyDescent="0.25">
      <c r="A211" s="5">
        <v>19681796</v>
      </c>
      <c r="B211" t="s">
        <v>102</v>
      </c>
      <c r="C211" t="s">
        <v>103</v>
      </c>
      <c r="D211" t="s">
        <v>752</v>
      </c>
      <c r="E211" t="s">
        <v>758</v>
      </c>
      <c r="F211" t="s">
        <v>761</v>
      </c>
      <c r="G211">
        <v>62</v>
      </c>
      <c r="H211" t="s">
        <v>104</v>
      </c>
      <c r="I211" s="3">
        <v>45747.8055439815</v>
      </c>
      <c r="J211" s="4">
        <v>45474</v>
      </c>
      <c r="K211" s="4">
        <v>45778</v>
      </c>
      <c r="L211">
        <v>10</v>
      </c>
      <c r="M211" s="1">
        <v>467.79</v>
      </c>
      <c r="N211" s="1">
        <f>SUM(NewBusiness[[#This Row],[Premium]]/12)</f>
        <v>38.982500000000002</v>
      </c>
      <c r="O211" s="13">
        <v>0.8</v>
      </c>
      <c r="P211" s="1">
        <v>0</v>
      </c>
      <c r="Q211" s="1">
        <v>31.18</v>
      </c>
      <c r="R211" t="s">
        <v>32</v>
      </c>
      <c r="S211" t="s">
        <v>33</v>
      </c>
    </row>
    <row r="212" spans="1:19" x14ac:dyDescent="0.25">
      <c r="A212" s="5">
        <v>19681796</v>
      </c>
      <c r="B212" t="s">
        <v>102</v>
      </c>
      <c r="C212" t="s">
        <v>144</v>
      </c>
      <c r="D212" t="s">
        <v>752</v>
      </c>
      <c r="E212" t="s">
        <v>758</v>
      </c>
      <c r="F212" t="s">
        <v>761</v>
      </c>
      <c r="G212">
        <v>63</v>
      </c>
      <c r="H212" t="s">
        <v>145</v>
      </c>
      <c r="I212" s="3">
        <v>45747.8055439815</v>
      </c>
      <c r="J212" s="4">
        <v>45474</v>
      </c>
      <c r="K212" s="4">
        <v>45778</v>
      </c>
      <c r="L212">
        <v>10</v>
      </c>
      <c r="M212" s="1">
        <v>467.79</v>
      </c>
      <c r="N212" s="1">
        <f>SUM(NewBusiness[[#This Row],[Premium]]/12)</f>
        <v>38.982500000000002</v>
      </c>
      <c r="O212" s="13">
        <v>0.8</v>
      </c>
      <c r="P212" s="1">
        <v>0</v>
      </c>
      <c r="Q212" s="1">
        <v>31.18</v>
      </c>
      <c r="R212" t="s">
        <v>32</v>
      </c>
      <c r="S212" t="s">
        <v>33</v>
      </c>
    </row>
    <row r="213" spans="1:19" x14ac:dyDescent="0.25">
      <c r="A213" s="5">
        <v>19681796</v>
      </c>
      <c r="B213" t="s">
        <v>102</v>
      </c>
      <c r="C213" t="s">
        <v>285</v>
      </c>
      <c r="D213" t="s">
        <v>752</v>
      </c>
      <c r="E213" t="s">
        <v>758</v>
      </c>
      <c r="F213" t="s">
        <v>761</v>
      </c>
      <c r="G213">
        <v>62</v>
      </c>
      <c r="H213" t="s">
        <v>286</v>
      </c>
      <c r="I213" s="3">
        <v>45747.8055439815</v>
      </c>
      <c r="J213" s="4">
        <v>45474</v>
      </c>
      <c r="K213" s="4">
        <v>45778</v>
      </c>
      <c r="L213">
        <v>10</v>
      </c>
      <c r="M213" s="1">
        <v>467.79</v>
      </c>
      <c r="N213" s="1">
        <f>SUM(NewBusiness[[#This Row],[Premium]]/12)</f>
        <v>38.982500000000002</v>
      </c>
      <c r="O213" s="13">
        <v>0.8</v>
      </c>
      <c r="P213" s="1">
        <v>0</v>
      </c>
      <c r="Q213" s="1">
        <v>31.18</v>
      </c>
      <c r="R213" t="s">
        <v>32</v>
      </c>
      <c r="S213" t="s">
        <v>33</v>
      </c>
    </row>
    <row r="214" spans="1:19" x14ac:dyDescent="0.25">
      <c r="A214" s="5">
        <v>19681796</v>
      </c>
      <c r="B214" t="s">
        <v>102</v>
      </c>
      <c r="C214" t="s">
        <v>531</v>
      </c>
      <c r="D214" t="s">
        <v>752</v>
      </c>
      <c r="E214" t="s">
        <v>758</v>
      </c>
      <c r="F214" t="s">
        <v>761</v>
      </c>
      <c r="G214">
        <v>61</v>
      </c>
      <c r="H214" t="s">
        <v>532</v>
      </c>
      <c r="I214" s="3">
        <v>45747.8055439815</v>
      </c>
      <c r="J214" s="4">
        <v>45474</v>
      </c>
      <c r="K214" s="4">
        <v>45778</v>
      </c>
      <c r="L214">
        <v>10</v>
      </c>
      <c r="M214" s="1">
        <v>467.79</v>
      </c>
      <c r="N214" s="1">
        <f>SUM(NewBusiness[[#This Row],[Premium]]/12)</f>
        <v>38.982500000000002</v>
      </c>
      <c r="O214" s="13">
        <v>0.8</v>
      </c>
      <c r="P214" s="1">
        <v>0</v>
      </c>
      <c r="Q214" s="1">
        <v>31.18</v>
      </c>
      <c r="R214" t="s">
        <v>32</v>
      </c>
      <c r="S214" t="s">
        <v>33</v>
      </c>
    </row>
    <row r="215" spans="1:19" x14ac:dyDescent="0.25">
      <c r="A215" s="5">
        <v>16633294</v>
      </c>
      <c r="B215" t="s">
        <v>29</v>
      </c>
      <c r="C215" t="s">
        <v>569</v>
      </c>
      <c r="D215" t="s">
        <v>752</v>
      </c>
      <c r="E215" t="s">
        <v>758</v>
      </c>
      <c r="F215" t="s">
        <v>761</v>
      </c>
      <c r="G215">
        <v>64</v>
      </c>
      <c r="H215" t="s">
        <v>570</v>
      </c>
      <c r="I215" s="3">
        <v>45747.8055439815</v>
      </c>
      <c r="J215" s="4">
        <v>45476</v>
      </c>
      <c r="K215" s="4">
        <v>45780</v>
      </c>
      <c r="L215">
        <v>10</v>
      </c>
      <c r="M215" s="1">
        <v>1664.4</v>
      </c>
      <c r="N215" s="1">
        <f>SUM(NewBusiness[[#This Row],[Premium]]/12)</f>
        <v>138.70000000000002</v>
      </c>
      <c r="O215" s="13">
        <v>0.8</v>
      </c>
      <c r="P215" s="1">
        <v>0</v>
      </c>
      <c r="Q215" s="1">
        <v>110.96</v>
      </c>
      <c r="R215" t="s">
        <v>32</v>
      </c>
      <c r="S215" t="s">
        <v>33</v>
      </c>
    </row>
    <row r="216" spans="1:19" x14ac:dyDescent="0.25">
      <c r="A216" s="5">
        <v>19681796</v>
      </c>
      <c r="B216" t="s">
        <v>102</v>
      </c>
      <c r="C216" t="s">
        <v>359</v>
      </c>
      <c r="D216" t="s">
        <v>754</v>
      </c>
      <c r="E216" t="s">
        <v>758</v>
      </c>
      <c r="F216" t="s">
        <v>761</v>
      </c>
      <c r="G216">
        <v>64</v>
      </c>
      <c r="H216" t="s">
        <v>360</v>
      </c>
      <c r="I216" s="3">
        <v>45747.8055439815</v>
      </c>
      <c r="J216" s="4">
        <v>45481</v>
      </c>
      <c r="K216" s="4">
        <v>45785</v>
      </c>
      <c r="L216">
        <v>10</v>
      </c>
      <c r="M216" s="1">
        <v>467.79</v>
      </c>
      <c r="N216" s="1">
        <f>SUM(NewBusiness[[#This Row],[Premium]]/12)</f>
        <v>38.982500000000002</v>
      </c>
      <c r="O216" s="13">
        <v>0.85</v>
      </c>
      <c r="P216" s="1">
        <v>0</v>
      </c>
      <c r="Q216" s="1">
        <v>33.130000000000003</v>
      </c>
      <c r="R216" t="s">
        <v>32</v>
      </c>
      <c r="S216" t="s">
        <v>33</v>
      </c>
    </row>
    <row r="217" spans="1:19" x14ac:dyDescent="0.25">
      <c r="A217" s="5">
        <v>19681796</v>
      </c>
      <c r="B217" t="s">
        <v>102</v>
      </c>
      <c r="C217" t="s">
        <v>393</v>
      </c>
      <c r="D217" t="s">
        <v>754</v>
      </c>
      <c r="E217" t="s">
        <v>758</v>
      </c>
      <c r="F217" t="s">
        <v>761</v>
      </c>
      <c r="G217">
        <v>65</v>
      </c>
      <c r="H217" t="s">
        <v>394</v>
      </c>
      <c r="I217" s="3">
        <v>45747.8055439815</v>
      </c>
      <c r="J217" s="4">
        <v>45481</v>
      </c>
      <c r="K217" s="4">
        <v>45785</v>
      </c>
      <c r="L217">
        <v>10</v>
      </c>
      <c r="M217" s="1">
        <v>607.15</v>
      </c>
      <c r="N217" s="1">
        <f>SUM(NewBusiness[[#This Row],[Premium]]/12)</f>
        <v>50.595833333333331</v>
      </c>
      <c r="O217" s="13">
        <v>0.85</v>
      </c>
      <c r="P217" s="1">
        <v>0</v>
      </c>
      <c r="Q217" s="1">
        <v>43</v>
      </c>
      <c r="R217" t="s">
        <v>32</v>
      </c>
      <c r="S217" t="s">
        <v>33</v>
      </c>
    </row>
    <row r="218" spans="1:19" x14ac:dyDescent="0.25">
      <c r="A218" s="5">
        <v>19645587</v>
      </c>
      <c r="B218" t="s">
        <v>196</v>
      </c>
      <c r="C218" t="s">
        <v>197</v>
      </c>
      <c r="D218" t="s">
        <v>752</v>
      </c>
      <c r="E218" t="s">
        <v>758</v>
      </c>
      <c r="F218" t="s">
        <v>761</v>
      </c>
      <c r="G218">
        <v>64</v>
      </c>
      <c r="H218" t="s">
        <v>198</v>
      </c>
      <c r="I218" s="3">
        <v>45747.8055439815</v>
      </c>
      <c r="J218" s="4">
        <v>45486</v>
      </c>
      <c r="K218" s="4">
        <v>45790</v>
      </c>
      <c r="L218">
        <v>10</v>
      </c>
      <c r="M218" s="1">
        <v>388.37</v>
      </c>
      <c r="N218" s="1">
        <f>SUM(NewBusiness[[#This Row],[Premium]]/12)</f>
        <v>32.364166666666669</v>
      </c>
      <c r="O218" s="13">
        <v>0.8</v>
      </c>
      <c r="P218" s="1">
        <v>0</v>
      </c>
      <c r="Q218" s="1">
        <v>25.89</v>
      </c>
      <c r="R218" t="s">
        <v>61</v>
      </c>
      <c r="S218" t="s">
        <v>33</v>
      </c>
    </row>
    <row r="219" spans="1:19" x14ac:dyDescent="0.25">
      <c r="A219" s="5">
        <v>19681796</v>
      </c>
      <c r="B219" t="s">
        <v>102</v>
      </c>
      <c r="C219" t="s">
        <v>514</v>
      </c>
      <c r="D219" t="s">
        <v>754</v>
      </c>
      <c r="E219" t="s">
        <v>758</v>
      </c>
      <c r="F219" t="s">
        <v>761</v>
      </c>
      <c r="G219">
        <v>65</v>
      </c>
      <c r="H219" t="s">
        <v>515</v>
      </c>
      <c r="I219" s="3">
        <v>45747.8055439815</v>
      </c>
      <c r="J219" s="4">
        <v>45488</v>
      </c>
      <c r="K219" s="4">
        <v>45792</v>
      </c>
      <c r="L219">
        <v>10</v>
      </c>
      <c r="M219" s="1">
        <v>922.84</v>
      </c>
      <c r="N219" s="1">
        <f>SUM(NewBusiness[[#This Row],[Premium]]/12)</f>
        <v>76.903333333333336</v>
      </c>
      <c r="O219" s="13">
        <v>0.85</v>
      </c>
      <c r="P219" s="1">
        <v>0</v>
      </c>
      <c r="Q219" s="1">
        <v>65.37</v>
      </c>
      <c r="R219" t="s">
        <v>32</v>
      </c>
      <c r="S219" t="s">
        <v>33</v>
      </c>
    </row>
    <row r="220" spans="1:19" x14ac:dyDescent="0.25">
      <c r="A220" s="5">
        <v>19681796</v>
      </c>
      <c r="B220" t="s">
        <v>102</v>
      </c>
      <c r="C220" t="s">
        <v>625</v>
      </c>
      <c r="D220" t="s">
        <v>754</v>
      </c>
      <c r="E220" t="s">
        <v>758</v>
      </c>
      <c r="F220" t="s">
        <v>761</v>
      </c>
      <c r="G220">
        <v>65</v>
      </c>
      <c r="H220" t="s">
        <v>626</v>
      </c>
      <c r="I220" s="3">
        <v>45747.8055439815</v>
      </c>
      <c r="J220" s="4">
        <v>45488</v>
      </c>
      <c r="K220" s="4">
        <v>45792</v>
      </c>
      <c r="L220">
        <v>10</v>
      </c>
      <c r="M220" s="1">
        <v>922.84</v>
      </c>
      <c r="N220" s="1">
        <f>SUM(NewBusiness[[#This Row],[Premium]]/12)</f>
        <v>76.903333333333336</v>
      </c>
      <c r="O220" s="13">
        <v>0.85</v>
      </c>
      <c r="P220" s="1">
        <v>0</v>
      </c>
      <c r="Q220" s="1">
        <v>65.37</v>
      </c>
      <c r="R220" t="s">
        <v>32</v>
      </c>
      <c r="S220" t="s">
        <v>33</v>
      </c>
    </row>
    <row r="221" spans="1:19" x14ac:dyDescent="0.25">
      <c r="A221" s="5">
        <v>19681796</v>
      </c>
      <c r="B221" t="s">
        <v>102</v>
      </c>
      <c r="C221" t="s">
        <v>602</v>
      </c>
      <c r="D221" t="s">
        <v>754</v>
      </c>
      <c r="E221" t="s">
        <v>758</v>
      </c>
      <c r="F221" t="s">
        <v>761</v>
      </c>
      <c r="G221">
        <v>64</v>
      </c>
      <c r="H221" t="s">
        <v>603</v>
      </c>
      <c r="I221" s="3">
        <v>45747.8055439815</v>
      </c>
      <c r="J221" s="4">
        <v>45489</v>
      </c>
      <c r="K221" s="4">
        <v>45793</v>
      </c>
      <c r="L221">
        <v>10</v>
      </c>
      <c r="M221" s="1">
        <v>502.99</v>
      </c>
      <c r="N221" s="1">
        <f>SUM(NewBusiness[[#This Row],[Premium]]/12)</f>
        <v>41.915833333333332</v>
      </c>
      <c r="O221" s="13">
        <v>0.85</v>
      </c>
      <c r="P221" s="1">
        <v>0</v>
      </c>
      <c r="Q221" s="1">
        <v>35.630000000000003</v>
      </c>
      <c r="R221" t="s">
        <v>32</v>
      </c>
      <c r="S221" t="s">
        <v>33</v>
      </c>
    </row>
    <row r="222" spans="1:19" x14ac:dyDescent="0.25">
      <c r="A222" s="5">
        <v>16633294</v>
      </c>
      <c r="B222" t="s">
        <v>29</v>
      </c>
      <c r="C222" t="s">
        <v>631</v>
      </c>
      <c r="D222" t="s">
        <v>751</v>
      </c>
      <c r="E222" t="s">
        <v>758</v>
      </c>
      <c r="F222" t="s">
        <v>761</v>
      </c>
      <c r="G222">
        <v>65</v>
      </c>
      <c r="H222" t="s">
        <v>632</v>
      </c>
      <c r="I222" s="3">
        <v>45747.8055439815</v>
      </c>
      <c r="J222" s="4">
        <v>45461</v>
      </c>
      <c r="K222" s="4">
        <v>45795</v>
      </c>
      <c r="L222">
        <v>11</v>
      </c>
      <c r="M222" s="1">
        <v>1374</v>
      </c>
      <c r="N222" s="1">
        <f>SUM(NewBusiness[[#This Row],[Premium]]/12)</f>
        <v>114.5</v>
      </c>
      <c r="O222" s="13">
        <v>0.75</v>
      </c>
      <c r="P222" s="1">
        <v>0</v>
      </c>
      <c r="Q222" s="1">
        <v>85.88</v>
      </c>
      <c r="R222" t="s">
        <v>32</v>
      </c>
      <c r="S222" t="s">
        <v>33</v>
      </c>
    </row>
    <row r="223" spans="1:19" x14ac:dyDescent="0.25">
      <c r="A223" s="5">
        <v>19615078</v>
      </c>
      <c r="B223" t="s">
        <v>65</v>
      </c>
      <c r="C223" t="s">
        <v>66</v>
      </c>
      <c r="D223" t="s">
        <v>752</v>
      </c>
      <c r="E223" t="s">
        <v>758</v>
      </c>
      <c r="F223" t="s">
        <v>761</v>
      </c>
      <c r="G223">
        <v>66</v>
      </c>
      <c r="H223" t="s">
        <v>67</v>
      </c>
      <c r="I223" s="3">
        <v>45747.8055439815</v>
      </c>
      <c r="J223" s="4">
        <v>45658</v>
      </c>
      <c r="K223" s="4">
        <v>45658</v>
      </c>
      <c r="L223">
        <v>1</v>
      </c>
      <c r="M223" s="1">
        <v>999.94</v>
      </c>
      <c r="N223" s="1">
        <f>SUM(NewBusiness[[#This Row],[Premium]]/12)</f>
        <v>83.328333333333333</v>
      </c>
      <c r="O223" s="13">
        <v>0.8</v>
      </c>
      <c r="P223" s="1">
        <v>0</v>
      </c>
      <c r="Q223" s="1">
        <v>66.66</v>
      </c>
      <c r="R223" t="s">
        <v>32</v>
      </c>
      <c r="S223" t="s">
        <v>33</v>
      </c>
    </row>
    <row r="224" spans="1:19" x14ac:dyDescent="0.25">
      <c r="A224" s="5">
        <v>19615078</v>
      </c>
      <c r="B224" t="s">
        <v>65</v>
      </c>
      <c r="C224" t="s">
        <v>66</v>
      </c>
      <c r="D224" t="s">
        <v>752</v>
      </c>
      <c r="E224" t="s">
        <v>758</v>
      </c>
      <c r="F224" t="s">
        <v>761</v>
      </c>
      <c r="G224">
        <v>66</v>
      </c>
      <c r="H224" t="s">
        <v>67</v>
      </c>
      <c r="I224" s="3">
        <v>45747.8055439815</v>
      </c>
      <c r="J224" s="4">
        <v>45658</v>
      </c>
      <c r="K224" s="4">
        <v>45658</v>
      </c>
      <c r="L224">
        <v>1</v>
      </c>
      <c r="M224" s="1">
        <v>999.94</v>
      </c>
      <c r="N224" s="1">
        <f>SUM(NewBusiness[[#This Row],[Premium]]/12)</f>
        <v>83.328333333333333</v>
      </c>
      <c r="O224" s="13">
        <v>0.8</v>
      </c>
      <c r="P224" s="1">
        <v>0</v>
      </c>
      <c r="Q224" s="1">
        <v>-66.66</v>
      </c>
      <c r="R224" t="s">
        <v>32</v>
      </c>
      <c r="S224" t="s">
        <v>33</v>
      </c>
    </row>
    <row r="225" spans="1:19" x14ac:dyDescent="0.25">
      <c r="A225" s="5">
        <v>9213293</v>
      </c>
      <c r="B225" t="s">
        <v>56</v>
      </c>
      <c r="C225" t="s">
        <v>346</v>
      </c>
      <c r="D225" t="s">
        <v>754</v>
      </c>
      <c r="E225" t="s">
        <v>758</v>
      </c>
      <c r="F225" t="s">
        <v>761</v>
      </c>
      <c r="G225">
        <v>73</v>
      </c>
      <c r="H225" t="s">
        <v>347</v>
      </c>
      <c r="I225" s="3">
        <v>45747.8055439815</v>
      </c>
      <c r="J225" s="4">
        <v>45705</v>
      </c>
      <c r="K225" s="4">
        <v>45733</v>
      </c>
      <c r="L225">
        <v>1</v>
      </c>
      <c r="M225" s="1">
        <v>1398.5</v>
      </c>
      <c r="N225" s="1">
        <f>SUM(NewBusiness[[#This Row],[Premium]]/12)</f>
        <v>116.54166666666667</v>
      </c>
      <c r="O225" s="13">
        <v>0.85</v>
      </c>
      <c r="P225" s="1">
        <v>0</v>
      </c>
      <c r="Q225" s="1">
        <v>99.05</v>
      </c>
      <c r="R225" t="s">
        <v>32</v>
      </c>
      <c r="S225" t="s">
        <v>33</v>
      </c>
    </row>
    <row r="226" spans="1:19" x14ac:dyDescent="0.25">
      <c r="A226" s="5">
        <v>9213293</v>
      </c>
      <c r="B226" t="s">
        <v>56</v>
      </c>
      <c r="C226" t="s">
        <v>346</v>
      </c>
      <c r="D226" t="s">
        <v>754</v>
      </c>
      <c r="E226" t="s">
        <v>758</v>
      </c>
      <c r="F226" t="s">
        <v>761</v>
      </c>
      <c r="G226">
        <v>73</v>
      </c>
      <c r="H226" t="s">
        <v>347</v>
      </c>
      <c r="I226" s="3">
        <v>45747.8055439815</v>
      </c>
      <c r="J226" s="4">
        <v>45705</v>
      </c>
      <c r="K226" s="4">
        <v>45733</v>
      </c>
      <c r="L226">
        <v>1</v>
      </c>
      <c r="M226" s="1">
        <v>1398.5</v>
      </c>
      <c r="N226" s="1">
        <f>SUM(NewBusiness[[#This Row],[Premium]]/12)</f>
        <v>116.54166666666667</v>
      </c>
      <c r="O226" s="13">
        <v>0.85</v>
      </c>
      <c r="P226" s="1">
        <v>0</v>
      </c>
      <c r="Q226" s="1">
        <v>-99.05</v>
      </c>
      <c r="R226" t="s">
        <v>32</v>
      </c>
      <c r="S226" t="s">
        <v>33</v>
      </c>
    </row>
    <row r="227" spans="1:19" x14ac:dyDescent="0.25">
      <c r="A227" s="5">
        <v>8814784</v>
      </c>
      <c r="B227" t="s">
        <v>34</v>
      </c>
      <c r="C227" t="s">
        <v>35</v>
      </c>
      <c r="D227" t="s">
        <v>754</v>
      </c>
      <c r="E227" t="s">
        <v>758</v>
      </c>
      <c r="F227" t="s">
        <v>761</v>
      </c>
      <c r="G227">
        <v>67</v>
      </c>
      <c r="H227" t="s">
        <v>36</v>
      </c>
      <c r="I227" s="3">
        <v>45747.8055439815</v>
      </c>
      <c r="J227" s="4">
        <v>45717</v>
      </c>
      <c r="K227" s="4">
        <v>45748</v>
      </c>
      <c r="L227">
        <v>1</v>
      </c>
      <c r="M227" s="1">
        <v>592.61</v>
      </c>
      <c r="N227" s="1">
        <f>SUM(NewBusiness[[#This Row],[Premium]]/12)</f>
        <v>49.384166666666665</v>
      </c>
      <c r="O227" s="13">
        <v>0.85</v>
      </c>
      <c r="P227" s="1">
        <v>0</v>
      </c>
      <c r="Q227" s="1">
        <v>41.97</v>
      </c>
      <c r="R227" t="s">
        <v>32</v>
      </c>
      <c r="S227" t="s">
        <v>33</v>
      </c>
    </row>
    <row r="228" spans="1:19" x14ac:dyDescent="0.25">
      <c r="A228" s="5">
        <v>9213293</v>
      </c>
      <c r="B228" t="s">
        <v>56</v>
      </c>
      <c r="C228" t="s">
        <v>639</v>
      </c>
      <c r="D228" t="s">
        <v>754</v>
      </c>
      <c r="E228" t="s">
        <v>758</v>
      </c>
      <c r="F228" t="s">
        <v>761</v>
      </c>
      <c r="G228">
        <v>74</v>
      </c>
      <c r="H228" t="s">
        <v>640</v>
      </c>
      <c r="I228" s="3">
        <v>45747.8055439815</v>
      </c>
      <c r="J228" s="4">
        <v>45742</v>
      </c>
      <c r="K228" s="4">
        <v>45773</v>
      </c>
      <c r="L228">
        <v>1</v>
      </c>
      <c r="M228" s="1">
        <v>777.28</v>
      </c>
      <c r="N228" s="1">
        <f>SUM(NewBusiness[[#This Row],[Premium]]/12)</f>
        <v>64.773333333333326</v>
      </c>
      <c r="O228" s="13">
        <v>0.85</v>
      </c>
      <c r="P228" s="1">
        <v>0</v>
      </c>
      <c r="Q228" s="1">
        <v>55.05</v>
      </c>
      <c r="R228" t="s">
        <v>32</v>
      </c>
      <c r="S228" t="s">
        <v>33</v>
      </c>
    </row>
    <row r="229" spans="1:19" x14ac:dyDescent="0.25">
      <c r="A229" s="5">
        <v>9213293</v>
      </c>
      <c r="B229" t="s">
        <v>56</v>
      </c>
      <c r="C229" t="s">
        <v>227</v>
      </c>
      <c r="D229" t="s">
        <v>754</v>
      </c>
      <c r="E229" t="s">
        <v>758</v>
      </c>
      <c r="F229" t="s">
        <v>761</v>
      </c>
      <c r="G229">
        <v>69</v>
      </c>
      <c r="H229" t="s">
        <v>228</v>
      </c>
      <c r="I229" s="3">
        <v>45747.8055439815</v>
      </c>
      <c r="J229" s="4">
        <v>45746</v>
      </c>
      <c r="K229" s="4">
        <v>45777</v>
      </c>
      <c r="L229">
        <v>1</v>
      </c>
      <c r="M229" s="1">
        <v>951.57</v>
      </c>
      <c r="N229" s="1">
        <f>SUM(NewBusiness[[#This Row],[Premium]]/12)</f>
        <v>79.297499999999999</v>
      </c>
      <c r="O229" s="13">
        <v>0.85</v>
      </c>
      <c r="P229" s="1">
        <v>0</v>
      </c>
      <c r="Q229" s="1">
        <v>67.400000000000006</v>
      </c>
      <c r="R229" t="s">
        <v>61</v>
      </c>
      <c r="S229" t="s">
        <v>33</v>
      </c>
    </row>
    <row r="230" spans="1:19" x14ac:dyDescent="0.25">
      <c r="A230" s="5">
        <v>20003537</v>
      </c>
      <c r="B230" t="s">
        <v>445</v>
      </c>
      <c r="C230" t="s">
        <v>448</v>
      </c>
      <c r="D230" t="s">
        <v>752</v>
      </c>
      <c r="E230" t="s">
        <v>758</v>
      </c>
      <c r="F230" t="s">
        <v>761</v>
      </c>
      <c r="G230">
        <v>65</v>
      </c>
      <c r="H230" t="s">
        <v>449</v>
      </c>
      <c r="I230" s="3">
        <v>45747.8055439815</v>
      </c>
      <c r="J230" s="4">
        <v>45748</v>
      </c>
      <c r="K230" s="4">
        <v>45778</v>
      </c>
      <c r="L230">
        <v>1</v>
      </c>
      <c r="M230" s="1">
        <v>2019.6</v>
      </c>
      <c r="N230" s="1">
        <f>SUM(NewBusiness[[#This Row],[Premium]]/12)</f>
        <v>168.29999999999998</v>
      </c>
      <c r="O230" s="13">
        <v>0.8</v>
      </c>
      <c r="P230" s="1">
        <v>0</v>
      </c>
      <c r="Q230" s="1">
        <v>134.63999999999999</v>
      </c>
      <c r="R230" t="s">
        <v>32</v>
      </c>
      <c r="S230" t="s">
        <v>33</v>
      </c>
    </row>
    <row r="231" spans="1:19" x14ac:dyDescent="0.25">
      <c r="A231" s="5">
        <v>18754354</v>
      </c>
      <c r="B231" t="s">
        <v>72</v>
      </c>
      <c r="C231" t="s">
        <v>73</v>
      </c>
      <c r="D231" t="s">
        <v>752</v>
      </c>
      <c r="E231" t="s">
        <v>758</v>
      </c>
      <c r="F231" t="s">
        <v>761</v>
      </c>
      <c r="G231">
        <v>60</v>
      </c>
      <c r="H231" t="s">
        <v>74</v>
      </c>
      <c r="I231" s="3">
        <v>45747.8055439815</v>
      </c>
      <c r="J231" s="4">
        <v>45748</v>
      </c>
      <c r="K231" s="4">
        <v>45778</v>
      </c>
      <c r="L231">
        <v>1</v>
      </c>
      <c r="M231" s="1">
        <v>790.8</v>
      </c>
      <c r="N231" s="1">
        <f>SUM(NewBusiness[[#This Row],[Premium]]/12)</f>
        <v>65.899999999999991</v>
      </c>
      <c r="O231" s="13">
        <v>0.8</v>
      </c>
      <c r="P231" s="1">
        <v>0</v>
      </c>
      <c r="Q231" s="1">
        <v>52.72</v>
      </c>
      <c r="R231" t="s">
        <v>32</v>
      </c>
      <c r="S231" t="s">
        <v>33</v>
      </c>
    </row>
    <row r="232" spans="1:19" x14ac:dyDescent="0.25">
      <c r="A232" s="5">
        <v>18581063</v>
      </c>
      <c r="B232" t="s">
        <v>48</v>
      </c>
      <c r="C232" t="s">
        <v>49</v>
      </c>
      <c r="D232" t="s">
        <v>754</v>
      </c>
      <c r="E232" t="s">
        <v>758</v>
      </c>
      <c r="F232" t="s">
        <v>761</v>
      </c>
      <c r="G232">
        <v>67</v>
      </c>
      <c r="H232" t="s">
        <v>50</v>
      </c>
      <c r="I232" s="3">
        <v>45747.8055439815</v>
      </c>
      <c r="J232" s="4">
        <v>45748</v>
      </c>
      <c r="K232" s="4">
        <v>45778</v>
      </c>
      <c r="L232">
        <v>1</v>
      </c>
      <c r="M232" s="1">
        <v>911.64</v>
      </c>
      <c r="N232" s="1">
        <f>SUM(NewBusiness[[#This Row],[Premium]]/12)</f>
        <v>75.97</v>
      </c>
      <c r="O232" s="13">
        <v>0.85</v>
      </c>
      <c r="P232" s="1">
        <v>0</v>
      </c>
      <c r="Q232" s="1">
        <v>64.569999999999993</v>
      </c>
      <c r="R232" t="s">
        <v>32</v>
      </c>
      <c r="S232" t="s">
        <v>33</v>
      </c>
    </row>
    <row r="233" spans="1:19" x14ac:dyDescent="0.25">
      <c r="A233" s="5">
        <v>18581063</v>
      </c>
      <c r="B233" t="s">
        <v>48</v>
      </c>
      <c r="C233" t="s">
        <v>176</v>
      </c>
      <c r="D233" t="s">
        <v>754</v>
      </c>
      <c r="E233" t="s">
        <v>758</v>
      </c>
      <c r="F233" t="s">
        <v>761</v>
      </c>
      <c r="G233">
        <v>71</v>
      </c>
      <c r="H233" t="s">
        <v>177</v>
      </c>
      <c r="I233" s="3">
        <v>45747.8055439815</v>
      </c>
      <c r="J233" s="4">
        <v>45748</v>
      </c>
      <c r="K233" s="4">
        <v>45778</v>
      </c>
      <c r="L233">
        <v>1</v>
      </c>
      <c r="M233" s="1">
        <v>1398.5</v>
      </c>
      <c r="N233" s="1">
        <f>SUM(NewBusiness[[#This Row],[Premium]]/12)</f>
        <v>116.54166666666667</v>
      </c>
      <c r="O233" s="13">
        <v>0.85</v>
      </c>
      <c r="P233" s="1">
        <v>0</v>
      </c>
      <c r="Q233" s="1">
        <v>99.05</v>
      </c>
      <c r="R233" t="s">
        <v>32</v>
      </c>
      <c r="S233" t="s">
        <v>33</v>
      </c>
    </row>
    <row r="234" spans="1:19" x14ac:dyDescent="0.25">
      <c r="A234" s="5">
        <v>18581063</v>
      </c>
      <c r="B234" t="s">
        <v>48</v>
      </c>
      <c r="C234" t="s">
        <v>692</v>
      </c>
      <c r="D234" t="s">
        <v>754</v>
      </c>
      <c r="E234" t="s">
        <v>758</v>
      </c>
      <c r="F234" t="s">
        <v>761</v>
      </c>
      <c r="G234">
        <v>68</v>
      </c>
      <c r="H234" t="s">
        <v>693</v>
      </c>
      <c r="I234" s="3">
        <v>45747.8055439815</v>
      </c>
      <c r="J234" s="4">
        <v>45748</v>
      </c>
      <c r="K234" s="4">
        <v>45778</v>
      </c>
      <c r="L234">
        <v>1</v>
      </c>
      <c r="M234" s="1">
        <v>911.64</v>
      </c>
      <c r="N234" s="1">
        <f>SUM(NewBusiness[[#This Row],[Premium]]/12)</f>
        <v>75.97</v>
      </c>
      <c r="O234" s="13">
        <v>0.85</v>
      </c>
      <c r="P234" s="1">
        <v>0</v>
      </c>
      <c r="Q234" s="1">
        <v>64.569999999999993</v>
      </c>
      <c r="R234" t="s">
        <v>32</v>
      </c>
      <c r="S234" t="s">
        <v>33</v>
      </c>
    </row>
    <row r="235" spans="1:19" x14ac:dyDescent="0.25">
      <c r="A235" s="5">
        <v>9213293</v>
      </c>
      <c r="B235" t="s">
        <v>56</v>
      </c>
      <c r="C235" t="s">
        <v>59</v>
      </c>
      <c r="D235" t="s">
        <v>754</v>
      </c>
      <c r="E235" t="s">
        <v>758</v>
      </c>
      <c r="F235" t="s">
        <v>761</v>
      </c>
      <c r="G235">
        <v>74</v>
      </c>
      <c r="H235" t="s">
        <v>60</v>
      </c>
      <c r="I235" s="3">
        <v>45747.8055439815</v>
      </c>
      <c r="J235" s="4">
        <v>45748</v>
      </c>
      <c r="K235" s="4">
        <v>45778</v>
      </c>
      <c r="L235">
        <v>1</v>
      </c>
      <c r="M235" s="1">
        <v>777.28</v>
      </c>
      <c r="N235" s="1">
        <f>SUM(NewBusiness[[#This Row],[Premium]]/12)</f>
        <v>64.773333333333326</v>
      </c>
      <c r="O235" s="13">
        <v>0.85</v>
      </c>
      <c r="P235" s="1">
        <v>0</v>
      </c>
      <c r="Q235" s="1">
        <v>55.05</v>
      </c>
      <c r="R235" t="s">
        <v>61</v>
      </c>
      <c r="S235" t="s">
        <v>33</v>
      </c>
    </row>
    <row r="236" spans="1:19" x14ac:dyDescent="0.25">
      <c r="A236" s="5">
        <v>9213293</v>
      </c>
      <c r="B236" t="s">
        <v>56</v>
      </c>
      <c r="C236" t="s">
        <v>323</v>
      </c>
      <c r="D236" t="s">
        <v>754</v>
      </c>
      <c r="E236" t="s">
        <v>758</v>
      </c>
      <c r="F236" t="s">
        <v>761</v>
      </c>
      <c r="G236">
        <v>65</v>
      </c>
      <c r="H236" t="s">
        <v>324</v>
      </c>
      <c r="I236" s="3">
        <v>45747.8055439815</v>
      </c>
      <c r="J236" s="4">
        <v>45748</v>
      </c>
      <c r="K236" s="4">
        <v>45778</v>
      </c>
      <c r="L236">
        <v>1</v>
      </c>
      <c r="M236" s="1">
        <v>530.86</v>
      </c>
      <c r="N236" s="1">
        <f>SUM(NewBusiness[[#This Row],[Premium]]/12)</f>
        <v>44.238333333333337</v>
      </c>
      <c r="O236" s="13">
        <v>0.85</v>
      </c>
      <c r="P236" s="1">
        <v>0</v>
      </c>
      <c r="Q236" s="1">
        <v>37.6</v>
      </c>
      <c r="R236" t="s">
        <v>32</v>
      </c>
      <c r="S236" t="s">
        <v>33</v>
      </c>
    </row>
    <row r="237" spans="1:19" x14ac:dyDescent="0.25">
      <c r="A237" s="5">
        <v>19615078</v>
      </c>
      <c r="B237" t="s">
        <v>65</v>
      </c>
      <c r="C237" t="s">
        <v>411</v>
      </c>
      <c r="D237" t="s">
        <v>754</v>
      </c>
      <c r="E237" t="s">
        <v>758</v>
      </c>
      <c r="F237" t="s">
        <v>761</v>
      </c>
      <c r="G237">
        <v>59</v>
      </c>
      <c r="H237" t="s">
        <v>412</v>
      </c>
      <c r="I237" s="3">
        <v>45747.8055439815</v>
      </c>
      <c r="J237" s="4">
        <v>45748</v>
      </c>
      <c r="K237" s="4">
        <v>45778</v>
      </c>
      <c r="L237">
        <v>1</v>
      </c>
      <c r="M237" s="1">
        <v>364.42</v>
      </c>
      <c r="N237" s="1">
        <f>SUM(NewBusiness[[#This Row],[Premium]]/12)</f>
        <v>30.368333333333336</v>
      </c>
      <c r="O237" s="13">
        <v>0.85</v>
      </c>
      <c r="P237" s="1">
        <v>0</v>
      </c>
      <c r="Q237" s="1">
        <v>25.81</v>
      </c>
      <c r="R237" t="s">
        <v>32</v>
      </c>
      <c r="S237" t="s">
        <v>33</v>
      </c>
    </row>
    <row r="238" spans="1:19" x14ac:dyDescent="0.25">
      <c r="A238" s="5">
        <v>9213293</v>
      </c>
      <c r="B238" t="s">
        <v>56</v>
      </c>
      <c r="C238" t="s">
        <v>583</v>
      </c>
      <c r="D238" t="s">
        <v>752</v>
      </c>
      <c r="E238" t="s">
        <v>758</v>
      </c>
      <c r="F238" t="s">
        <v>761</v>
      </c>
      <c r="G238">
        <v>64</v>
      </c>
      <c r="H238" t="s">
        <v>584</v>
      </c>
      <c r="I238" s="3">
        <v>45747.8055439815</v>
      </c>
      <c r="J238" s="4">
        <v>45688</v>
      </c>
      <c r="K238" s="4">
        <v>45747</v>
      </c>
      <c r="L238">
        <v>2</v>
      </c>
      <c r="M238" s="1">
        <v>1132.8</v>
      </c>
      <c r="N238" s="1">
        <f>SUM(NewBusiness[[#This Row],[Premium]]/12)</f>
        <v>94.399999999999991</v>
      </c>
      <c r="O238" s="13">
        <v>0.8</v>
      </c>
      <c r="P238" s="1">
        <v>0</v>
      </c>
      <c r="Q238" s="1">
        <v>75.52</v>
      </c>
      <c r="R238" t="s">
        <v>585</v>
      </c>
      <c r="S238" t="s">
        <v>33</v>
      </c>
    </row>
    <row r="239" spans="1:19" x14ac:dyDescent="0.25">
      <c r="A239" s="5">
        <v>19615078</v>
      </c>
      <c r="B239" t="s">
        <v>65</v>
      </c>
      <c r="C239" t="s">
        <v>350</v>
      </c>
      <c r="D239" t="s">
        <v>754</v>
      </c>
      <c r="E239" t="s">
        <v>758</v>
      </c>
      <c r="F239" t="s">
        <v>761</v>
      </c>
      <c r="G239">
        <v>68</v>
      </c>
      <c r="H239" t="s">
        <v>351</v>
      </c>
      <c r="I239" s="3">
        <v>45747.8055439815</v>
      </c>
      <c r="J239" s="4">
        <v>45627</v>
      </c>
      <c r="K239" s="4">
        <v>45717</v>
      </c>
      <c r="L239">
        <v>3</v>
      </c>
      <c r="M239" s="1">
        <v>724.96</v>
      </c>
      <c r="N239" s="1">
        <f>SUM(NewBusiness[[#This Row],[Premium]]/12)</f>
        <v>60.413333333333334</v>
      </c>
      <c r="O239" s="13">
        <v>0.85</v>
      </c>
      <c r="P239" s="1">
        <v>0</v>
      </c>
      <c r="Q239" s="1">
        <v>51.35</v>
      </c>
      <c r="R239" t="s">
        <v>203</v>
      </c>
      <c r="S239" t="s">
        <v>33</v>
      </c>
    </row>
    <row r="240" spans="1:19" x14ac:dyDescent="0.25">
      <c r="A240" s="5">
        <v>9213293</v>
      </c>
      <c r="B240" t="s">
        <v>56</v>
      </c>
      <c r="C240" t="s">
        <v>504</v>
      </c>
      <c r="D240" t="s">
        <v>753</v>
      </c>
      <c r="E240" t="s">
        <v>758</v>
      </c>
      <c r="F240" t="s">
        <v>761</v>
      </c>
      <c r="G240">
        <v>50</v>
      </c>
      <c r="H240" t="s">
        <v>505</v>
      </c>
      <c r="I240" s="3">
        <v>45747.8055439815</v>
      </c>
      <c r="J240" s="4">
        <v>45639</v>
      </c>
      <c r="K240" s="4">
        <v>45729</v>
      </c>
      <c r="L240">
        <v>3</v>
      </c>
      <c r="M240" s="1">
        <v>1215</v>
      </c>
      <c r="N240" s="1">
        <f>SUM(NewBusiness[[#This Row],[Premium]]/12)</f>
        <v>101.25</v>
      </c>
      <c r="O240" s="13">
        <v>1.1000000000000001</v>
      </c>
      <c r="P240" s="1">
        <v>0</v>
      </c>
      <c r="Q240" s="1">
        <v>-111.38</v>
      </c>
      <c r="R240" t="s">
        <v>32</v>
      </c>
      <c r="S240" t="s">
        <v>33</v>
      </c>
    </row>
    <row r="241" spans="1:19" x14ac:dyDescent="0.25">
      <c r="A241" s="5">
        <v>8814784</v>
      </c>
      <c r="B241" t="s">
        <v>34</v>
      </c>
      <c r="C241" t="s">
        <v>522</v>
      </c>
      <c r="D241" t="s">
        <v>754</v>
      </c>
      <c r="E241" t="s">
        <v>758</v>
      </c>
      <c r="F241" t="s">
        <v>761</v>
      </c>
      <c r="G241">
        <v>73</v>
      </c>
      <c r="H241" t="s">
        <v>523</v>
      </c>
      <c r="I241" s="3">
        <v>45747.8055439815</v>
      </c>
      <c r="J241" s="4">
        <v>45667</v>
      </c>
      <c r="K241" s="4">
        <v>45757</v>
      </c>
      <c r="L241">
        <v>3</v>
      </c>
      <c r="M241" s="1">
        <v>798.78</v>
      </c>
      <c r="N241" s="1">
        <f>SUM(NewBusiness[[#This Row],[Premium]]/12)</f>
        <v>66.564999999999998</v>
      </c>
      <c r="O241" s="13">
        <v>0.85</v>
      </c>
      <c r="P241" s="1">
        <v>0</v>
      </c>
      <c r="Q241" s="1">
        <v>56.58</v>
      </c>
      <c r="R241" t="s">
        <v>32</v>
      </c>
      <c r="S241" t="s">
        <v>33</v>
      </c>
    </row>
    <row r="242" spans="1:19" x14ac:dyDescent="0.25">
      <c r="A242" s="5">
        <v>17528908</v>
      </c>
      <c r="B242" t="s">
        <v>105</v>
      </c>
      <c r="C242" t="s">
        <v>106</v>
      </c>
      <c r="D242" t="s">
        <v>752</v>
      </c>
      <c r="E242" t="s">
        <v>758</v>
      </c>
      <c r="F242" t="s">
        <v>761</v>
      </c>
      <c r="G242">
        <v>66</v>
      </c>
      <c r="H242" t="s">
        <v>107</v>
      </c>
      <c r="I242" s="3">
        <v>45747.8055439815</v>
      </c>
      <c r="J242" s="4">
        <v>45689</v>
      </c>
      <c r="K242" s="4">
        <v>45778</v>
      </c>
      <c r="L242">
        <v>3</v>
      </c>
      <c r="M242" s="1">
        <v>1236</v>
      </c>
      <c r="N242" s="1">
        <f>SUM(NewBusiness[[#This Row],[Premium]]/12)</f>
        <v>103</v>
      </c>
      <c r="O242" s="13">
        <v>0.8</v>
      </c>
      <c r="P242" s="1">
        <v>0</v>
      </c>
      <c r="Q242" s="1">
        <v>82.4</v>
      </c>
      <c r="R242" t="s">
        <v>108</v>
      </c>
      <c r="S242" t="s">
        <v>33</v>
      </c>
    </row>
    <row r="243" spans="1:19" x14ac:dyDescent="0.25">
      <c r="A243" s="5">
        <v>9213293</v>
      </c>
      <c r="B243" t="s">
        <v>56</v>
      </c>
      <c r="C243" t="s">
        <v>474</v>
      </c>
      <c r="D243" t="s">
        <v>754</v>
      </c>
      <c r="E243" t="s">
        <v>758</v>
      </c>
      <c r="F243" t="s">
        <v>761</v>
      </c>
      <c r="G243">
        <v>66</v>
      </c>
      <c r="H243" t="s">
        <v>475</v>
      </c>
      <c r="I243" s="3">
        <v>45747.8055439815</v>
      </c>
      <c r="J243" s="4">
        <v>45689</v>
      </c>
      <c r="K243" s="4">
        <v>45778</v>
      </c>
      <c r="L243">
        <v>3</v>
      </c>
      <c r="M243" s="1">
        <v>664.71</v>
      </c>
      <c r="N243" s="1">
        <f>SUM(NewBusiness[[#This Row],[Premium]]/12)</f>
        <v>55.392500000000005</v>
      </c>
      <c r="O243" s="13">
        <v>0.85</v>
      </c>
      <c r="P243" s="1">
        <v>0</v>
      </c>
      <c r="Q243" s="1">
        <v>47.08</v>
      </c>
      <c r="R243" t="s">
        <v>476</v>
      </c>
      <c r="S243" t="s">
        <v>33</v>
      </c>
    </row>
    <row r="244" spans="1:19" x14ac:dyDescent="0.25">
      <c r="A244" s="5">
        <v>20776610</v>
      </c>
      <c r="B244" t="s">
        <v>75</v>
      </c>
      <c r="C244" t="s">
        <v>76</v>
      </c>
      <c r="D244" t="s">
        <v>754</v>
      </c>
      <c r="E244" t="s">
        <v>758</v>
      </c>
      <c r="F244" t="s">
        <v>761</v>
      </c>
      <c r="G244">
        <v>61</v>
      </c>
      <c r="H244" t="s">
        <v>77</v>
      </c>
      <c r="I244" s="3">
        <v>45747.8055439815</v>
      </c>
      <c r="J244" s="4">
        <v>45717</v>
      </c>
      <c r="K244" s="4">
        <v>45778</v>
      </c>
      <c r="L244">
        <v>3</v>
      </c>
      <c r="M244" s="1">
        <v>674</v>
      </c>
      <c r="N244" s="1">
        <f>SUM(NewBusiness[[#This Row],[Premium]]/12)</f>
        <v>56.166666666666664</v>
      </c>
      <c r="O244" s="13">
        <v>0.85</v>
      </c>
      <c r="P244" s="1">
        <v>0</v>
      </c>
      <c r="Q244" s="1">
        <v>-143.22</v>
      </c>
      <c r="R244" t="s">
        <v>32</v>
      </c>
      <c r="S244" t="s">
        <v>33</v>
      </c>
    </row>
    <row r="245" spans="1:19" x14ac:dyDescent="0.25">
      <c r="A245" s="5">
        <v>20776610</v>
      </c>
      <c r="B245" t="s">
        <v>75</v>
      </c>
      <c r="C245" t="s">
        <v>76</v>
      </c>
      <c r="D245" t="s">
        <v>754</v>
      </c>
      <c r="E245" t="s">
        <v>758</v>
      </c>
      <c r="F245" t="s">
        <v>761</v>
      </c>
      <c r="G245">
        <v>61</v>
      </c>
      <c r="H245" t="s">
        <v>77</v>
      </c>
      <c r="I245" s="3">
        <v>45747.8055439815</v>
      </c>
      <c r="J245" s="4">
        <v>45717</v>
      </c>
      <c r="K245" s="4">
        <v>45778</v>
      </c>
      <c r="L245">
        <v>3</v>
      </c>
      <c r="M245" s="1">
        <v>674</v>
      </c>
      <c r="N245" s="1">
        <f>SUM(NewBusiness[[#This Row],[Premium]]/12)</f>
        <v>56.166666666666664</v>
      </c>
      <c r="O245" s="13">
        <v>0.85</v>
      </c>
      <c r="P245" s="1">
        <v>0</v>
      </c>
      <c r="Q245" s="1">
        <v>143.22</v>
      </c>
      <c r="R245" t="s">
        <v>32</v>
      </c>
      <c r="S245" t="s">
        <v>33</v>
      </c>
    </row>
    <row r="246" spans="1:19" x14ac:dyDescent="0.25">
      <c r="A246" s="5">
        <v>20776610</v>
      </c>
      <c r="B246" t="s">
        <v>75</v>
      </c>
      <c r="C246" t="s">
        <v>76</v>
      </c>
      <c r="D246" t="s">
        <v>754</v>
      </c>
      <c r="E246" t="s">
        <v>758</v>
      </c>
      <c r="F246" t="s">
        <v>761</v>
      </c>
      <c r="G246">
        <v>61</v>
      </c>
      <c r="H246" t="s">
        <v>77</v>
      </c>
      <c r="I246" s="3">
        <v>45747.8055439815</v>
      </c>
      <c r="J246" s="4">
        <v>45717</v>
      </c>
      <c r="K246" s="4">
        <v>45778</v>
      </c>
      <c r="L246">
        <v>3</v>
      </c>
      <c r="M246" s="1">
        <v>674</v>
      </c>
      <c r="N246" s="1">
        <f>SUM(NewBusiness[[#This Row],[Premium]]/12)</f>
        <v>56.166666666666664</v>
      </c>
      <c r="O246" s="13">
        <v>0.85</v>
      </c>
      <c r="P246" s="1">
        <v>0</v>
      </c>
      <c r="Q246" s="1">
        <v>47.74</v>
      </c>
      <c r="R246" t="s">
        <v>32</v>
      </c>
      <c r="S246" t="s">
        <v>33</v>
      </c>
    </row>
    <row r="247" spans="1:19" x14ac:dyDescent="0.25">
      <c r="A247" s="5">
        <v>20776610</v>
      </c>
      <c r="B247" t="s">
        <v>75</v>
      </c>
      <c r="C247" t="s">
        <v>283</v>
      </c>
      <c r="D247" t="s">
        <v>754</v>
      </c>
      <c r="E247" t="s">
        <v>758</v>
      </c>
      <c r="F247" t="s">
        <v>761</v>
      </c>
      <c r="G247">
        <v>58</v>
      </c>
      <c r="H247" t="s">
        <v>284</v>
      </c>
      <c r="I247" s="3">
        <v>45747.8055439815</v>
      </c>
      <c r="J247" s="4">
        <v>45717</v>
      </c>
      <c r="K247" s="4">
        <v>45778</v>
      </c>
      <c r="L247">
        <v>3</v>
      </c>
      <c r="M247" s="1">
        <v>329.16</v>
      </c>
      <c r="N247" s="1">
        <f>SUM(NewBusiness[[#This Row],[Premium]]/12)</f>
        <v>27.430000000000003</v>
      </c>
      <c r="O247" s="13">
        <v>0.85</v>
      </c>
      <c r="P247" s="1">
        <v>0</v>
      </c>
      <c r="Q247" s="1">
        <v>23.32</v>
      </c>
      <c r="R247" t="s">
        <v>32</v>
      </c>
      <c r="S247" t="s">
        <v>33</v>
      </c>
    </row>
    <row r="248" spans="1:19" x14ac:dyDescent="0.25">
      <c r="A248" s="5">
        <v>20776610</v>
      </c>
      <c r="B248" t="s">
        <v>75</v>
      </c>
      <c r="C248" t="s">
        <v>283</v>
      </c>
      <c r="D248" t="s">
        <v>754</v>
      </c>
      <c r="E248" t="s">
        <v>758</v>
      </c>
      <c r="F248" t="s">
        <v>761</v>
      </c>
      <c r="G248">
        <v>58</v>
      </c>
      <c r="H248" t="s">
        <v>284</v>
      </c>
      <c r="I248" s="3">
        <v>45747.8055439815</v>
      </c>
      <c r="J248" s="4">
        <v>45717</v>
      </c>
      <c r="K248" s="4">
        <v>45778</v>
      </c>
      <c r="L248">
        <v>3</v>
      </c>
      <c r="M248" s="1">
        <v>329.16</v>
      </c>
      <c r="N248" s="1">
        <f>SUM(NewBusiness[[#This Row],[Premium]]/12)</f>
        <v>27.430000000000003</v>
      </c>
      <c r="O248" s="13">
        <v>0.85</v>
      </c>
      <c r="P248" s="1">
        <v>0</v>
      </c>
      <c r="Q248" s="1">
        <v>-69.95</v>
      </c>
      <c r="R248" t="s">
        <v>32</v>
      </c>
      <c r="S248" t="s">
        <v>33</v>
      </c>
    </row>
    <row r="249" spans="1:19" x14ac:dyDescent="0.25">
      <c r="A249" s="5">
        <v>20776610</v>
      </c>
      <c r="B249" t="s">
        <v>75</v>
      </c>
      <c r="C249" t="s">
        <v>283</v>
      </c>
      <c r="D249" t="s">
        <v>754</v>
      </c>
      <c r="E249" t="s">
        <v>758</v>
      </c>
      <c r="F249" t="s">
        <v>761</v>
      </c>
      <c r="G249">
        <v>58</v>
      </c>
      <c r="H249" t="s">
        <v>284</v>
      </c>
      <c r="I249" s="3">
        <v>45747.8055439815</v>
      </c>
      <c r="J249" s="4">
        <v>45717</v>
      </c>
      <c r="K249" s="4">
        <v>45778</v>
      </c>
      <c r="L249">
        <v>3</v>
      </c>
      <c r="M249" s="1">
        <v>329.16</v>
      </c>
      <c r="N249" s="1">
        <f>SUM(NewBusiness[[#This Row],[Premium]]/12)</f>
        <v>27.430000000000003</v>
      </c>
      <c r="O249" s="13">
        <v>0.85</v>
      </c>
      <c r="P249" s="1">
        <v>0</v>
      </c>
      <c r="Q249" s="1">
        <v>69.95</v>
      </c>
      <c r="R249" t="s">
        <v>32</v>
      </c>
      <c r="S249" t="s">
        <v>33</v>
      </c>
    </row>
    <row r="250" spans="1:19" x14ac:dyDescent="0.25">
      <c r="A250" s="5">
        <v>20776610</v>
      </c>
      <c r="B250" t="s">
        <v>75</v>
      </c>
      <c r="C250" t="s">
        <v>76</v>
      </c>
      <c r="D250" t="s">
        <v>754</v>
      </c>
      <c r="E250" t="s">
        <v>758</v>
      </c>
      <c r="F250" t="s">
        <v>761</v>
      </c>
      <c r="G250">
        <v>61</v>
      </c>
      <c r="H250" t="s">
        <v>77</v>
      </c>
      <c r="I250" s="3">
        <v>45747.8055439815</v>
      </c>
      <c r="J250" s="4">
        <v>45717</v>
      </c>
      <c r="K250" s="4">
        <v>45778</v>
      </c>
      <c r="L250">
        <v>3</v>
      </c>
      <c r="M250" s="1">
        <v>674</v>
      </c>
      <c r="N250" s="1">
        <f>SUM(NewBusiness[[#This Row],[Premium]]/12)</f>
        <v>56.166666666666664</v>
      </c>
      <c r="O250" s="13">
        <v>0.85</v>
      </c>
      <c r="P250" s="1">
        <v>0</v>
      </c>
      <c r="Q250" s="1">
        <v>47.74</v>
      </c>
      <c r="R250" t="s">
        <v>32</v>
      </c>
      <c r="S250" t="s">
        <v>33</v>
      </c>
    </row>
    <row r="251" spans="1:19" x14ac:dyDescent="0.25">
      <c r="A251" s="5">
        <v>20776610</v>
      </c>
      <c r="B251" t="s">
        <v>75</v>
      </c>
      <c r="C251" t="s">
        <v>283</v>
      </c>
      <c r="D251" t="s">
        <v>754</v>
      </c>
      <c r="E251" t="s">
        <v>758</v>
      </c>
      <c r="F251" t="s">
        <v>761</v>
      </c>
      <c r="G251">
        <v>58</v>
      </c>
      <c r="H251" t="s">
        <v>284</v>
      </c>
      <c r="I251" s="3">
        <v>45747.8055439815</v>
      </c>
      <c r="J251" s="4">
        <v>45717</v>
      </c>
      <c r="K251" s="4">
        <v>45778</v>
      </c>
      <c r="L251">
        <v>3</v>
      </c>
      <c r="M251" s="1">
        <v>329.16</v>
      </c>
      <c r="N251" s="1">
        <f>SUM(NewBusiness[[#This Row],[Premium]]/12)</f>
        <v>27.430000000000003</v>
      </c>
      <c r="O251" s="13">
        <v>0.85</v>
      </c>
      <c r="P251" s="1">
        <v>0</v>
      </c>
      <c r="Q251" s="1">
        <v>23.32</v>
      </c>
      <c r="R251" t="s">
        <v>32</v>
      </c>
      <c r="S251" t="s">
        <v>33</v>
      </c>
    </row>
    <row r="252" spans="1:19" x14ac:dyDescent="0.25">
      <c r="A252" s="5">
        <v>9213293</v>
      </c>
      <c r="B252" t="s">
        <v>56</v>
      </c>
      <c r="C252" t="s">
        <v>178</v>
      </c>
      <c r="D252" t="s">
        <v>754</v>
      </c>
      <c r="E252" t="s">
        <v>758</v>
      </c>
      <c r="F252" t="s">
        <v>761</v>
      </c>
      <c r="G252">
        <v>66</v>
      </c>
      <c r="H252" t="s">
        <v>179</v>
      </c>
      <c r="I252" s="3">
        <v>45747.8055439815</v>
      </c>
      <c r="J252" s="4">
        <v>45717</v>
      </c>
      <c r="K252" s="4">
        <v>45778</v>
      </c>
      <c r="L252">
        <v>3</v>
      </c>
      <c r="M252" s="1">
        <v>828.92</v>
      </c>
      <c r="N252" s="1">
        <f>SUM(NewBusiness[[#This Row],[Premium]]/12)</f>
        <v>69.076666666666668</v>
      </c>
      <c r="O252" s="13">
        <v>0.85</v>
      </c>
      <c r="P252" s="1">
        <v>0</v>
      </c>
      <c r="Q252" s="1">
        <v>58.71</v>
      </c>
      <c r="R252" t="s">
        <v>32</v>
      </c>
      <c r="S252" t="s">
        <v>33</v>
      </c>
    </row>
    <row r="253" spans="1:19" x14ac:dyDescent="0.25">
      <c r="A253" s="5">
        <v>9213293</v>
      </c>
      <c r="B253" t="s">
        <v>56</v>
      </c>
      <c r="C253" t="s">
        <v>113</v>
      </c>
      <c r="D253" t="s">
        <v>754</v>
      </c>
      <c r="E253" t="s">
        <v>758</v>
      </c>
      <c r="F253" t="s">
        <v>761</v>
      </c>
      <c r="G253">
        <v>57</v>
      </c>
      <c r="H253" t="s">
        <v>114</v>
      </c>
      <c r="I253" s="3">
        <v>45747.8055439815</v>
      </c>
      <c r="J253" s="4">
        <v>45636</v>
      </c>
      <c r="K253" s="4">
        <v>45757</v>
      </c>
      <c r="L253">
        <v>4</v>
      </c>
      <c r="M253" s="1">
        <v>554.75</v>
      </c>
      <c r="N253" s="1">
        <f>SUM(NewBusiness[[#This Row],[Premium]]/12)</f>
        <v>46.229166666666664</v>
      </c>
      <c r="O253" s="13">
        <v>0.85</v>
      </c>
      <c r="P253" s="1">
        <v>0</v>
      </c>
      <c r="Q253" s="1">
        <v>39.299999999999997</v>
      </c>
      <c r="R253" t="s">
        <v>32</v>
      </c>
      <c r="S253" t="s">
        <v>33</v>
      </c>
    </row>
    <row r="254" spans="1:19" x14ac:dyDescent="0.25">
      <c r="A254" s="5">
        <v>9213293</v>
      </c>
      <c r="B254" t="s">
        <v>56</v>
      </c>
      <c r="C254" t="s">
        <v>568</v>
      </c>
      <c r="D254" t="s">
        <v>753</v>
      </c>
      <c r="E254" t="s">
        <v>758</v>
      </c>
      <c r="F254" t="s">
        <v>761</v>
      </c>
      <c r="G254">
        <v>57</v>
      </c>
      <c r="H254" t="s">
        <v>114</v>
      </c>
      <c r="I254" s="3">
        <v>45747.8055439815</v>
      </c>
      <c r="J254" s="4">
        <v>45636</v>
      </c>
      <c r="K254" s="4">
        <v>45757</v>
      </c>
      <c r="L254">
        <v>4</v>
      </c>
      <c r="M254" s="1">
        <v>476</v>
      </c>
      <c r="N254" s="1">
        <f>SUM(NewBusiness[[#This Row],[Premium]]/12)</f>
        <v>39.666666666666664</v>
      </c>
      <c r="O254" s="13">
        <v>1.1000000000000001</v>
      </c>
      <c r="P254" s="1">
        <v>0</v>
      </c>
      <c r="Q254" s="1">
        <v>43.64</v>
      </c>
      <c r="R254" t="s">
        <v>32</v>
      </c>
      <c r="S254" t="s">
        <v>33</v>
      </c>
    </row>
    <row r="255" spans="1:19" x14ac:dyDescent="0.25">
      <c r="A255" s="5">
        <v>9213293</v>
      </c>
      <c r="B255" t="s">
        <v>56</v>
      </c>
      <c r="C255" t="s">
        <v>688</v>
      </c>
      <c r="D255" t="s">
        <v>752</v>
      </c>
      <c r="E255" t="s">
        <v>758</v>
      </c>
      <c r="F255" t="s">
        <v>761</v>
      </c>
      <c r="G255">
        <v>64</v>
      </c>
      <c r="H255" t="s">
        <v>689</v>
      </c>
      <c r="I255" s="3">
        <v>45747.8055439815</v>
      </c>
      <c r="J255" s="4">
        <v>45639</v>
      </c>
      <c r="K255" s="4">
        <v>45760</v>
      </c>
      <c r="L255">
        <v>4</v>
      </c>
      <c r="M255" s="1">
        <v>523.20000000000005</v>
      </c>
      <c r="N255" s="1">
        <f>SUM(NewBusiness[[#This Row],[Premium]]/12)</f>
        <v>43.6</v>
      </c>
      <c r="O255" s="13">
        <v>0.8</v>
      </c>
      <c r="P255" s="1">
        <v>0</v>
      </c>
      <c r="Q255" s="1">
        <v>34.880000000000003</v>
      </c>
      <c r="R255" t="s">
        <v>32</v>
      </c>
      <c r="S255" t="s">
        <v>33</v>
      </c>
    </row>
    <row r="256" spans="1:19" x14ac:dyDescent="0.25">
      <c r="A256" s="5">
        <v>18581063</v>
      </c>
      <c r="B256" t="s">
        <v>48</v>
      </c>
      <c r="C256" t="s">
        <v>348</v>
      </c>
      <c r="D256" t="s">
        <v>754</v>
      </c>
      <c r="E256" t="s">
        <v>758</v>
      </c>
      <c r="F256" t="s">
        <v>761</v>
      </c>
      <c r="G256">
        <v>66</v>
      </c>
      <c r="H256" t="s">
        <v>349</v>
      </c>
      <c r="I256" s="3">
        <v>45747.8055439815</v>
      </c>
      <c r="J256" s="4">
        <v>45642</v>
      </c>
      <c r="K256" s="4">
        <v>45763</v>
      </c>
      <c r="L256">
        <v>4</v>
      </c>
      <c r="M256" s="1">
        <v>992.31</v>
      </c>
      <c r="N256" s="1">
        <f>SUM(NewBusiness[[#This Row],[Premium]]/12)</f>
        <v>82.692499999999995</v>
      </c>
      <c r="O256" s="13">
        <v>0.85</v>
      </c>
      <c r="P256" s="1">
        <v>0</v>
      </c>
      <c r="Q256" s="1">
        <v>70.290000000000006</v>
      </c>
      <c r="R256" t="s">
        <v>32</v>
      </c>
      <c r="S256" t="s">
        <v>33</v>
      </c>
    </row>
    <row r="257" spans="1:19" x14ac:dyDescent="0.25">
      <c r="A257" s="5">
        <v>9213293</v>
      </c>
      <c r="B257" t="s">
        <v>56</v>
      </c>
      <c r="C257" t="s">
        <v>217</v>
      </c>
      <c r="D257" t="s">
        <v>752</v>
      </c>
      <c r="E257" t="s">
        <v>758</v>
      </c>
      <c r="F257" t="s">
        <v>761</v>
      </c>
      <c r="G257">
        <v>47</v>
      </c>
      <c r="H257" t="s">
        <v>218</v>
      </c>
      <c r="I257" s="3">
        <v>45747.8055439815</v>
      </c>
      <c r="J257" s="4">
        <v>45653</v>
      </c>
      <c r="K257" s="4">
        <v>45774</v>
      </c>
      <c r="L257">
        <v>4</v>
      </c>
      <c r="M257" s="1">
        <v>654</v>
      </c>
      <c r="N257" s="1">
        <f>SUM(NewBusiness[[#This Row],[Premium]]/12)</f>
        <v>54.5</v>
      </c>
      <c r="O257" s="13">
        <v>0.8</v>
      </c>
      <c r="P257" s="1">
        <v>0</v>
      </c>
      <c r="Q257" s="1">
        <v>43.6</v>
      </c>
      <c r="R257" t="s">
        <v>32</v>
      </c>
      <c r="S257" t="s">
        <v>33</v>
      </c>
    </row>
    <row r="258" spans="1:19" x14ac:dyDescent="0.25">
      <c r="A258" s="5">
        <v>9213293</v>
      </c>
      <c r="B258" t="s">
        <v>56</v>
      </c>
      <c r="C258" t="s">
        <v>158</v>
      </c>
      <c r="D258" t="s">
        <v>749</v>
      </c>
      <c r="E258" t="s">
        <v>758</v>
      </c>
      <c r="F258" t="s">
        <v>761</v>
      </c>
      <c r="G258">
        <v>82</v>
      </c>
      <c r="H258" t="s">
        <v>159</v>
      </c>
      <c r="I258" s="3">
        <v>45747.8055439815</v>
      </c>
      <c r="J258" s="4">
        <v>45658</v>
      </c>
      <c r="K258" s="4">
        <v>45778</v>
      </c>
      <c r="L258">
        <v>4</v>
      </c>
      <c r="M258" s="1">
        <v>560.23</v>
      </c>
      <c r="N258" s="1">
        <f>SUM(NewBusiness[[#This Row],[Premium]]/12)</f>
        <v>46.685833333333335</v>
      </c>
      <c r="O258" s="13">
        <v>0.55000000000000004</v>
      </c>
      <c r="P258" s="1">
        <v>0</v>
      </c>
      <c r="Q258" s="1">
        <v>25.68</v>
      </c>
      <c r="R258" t="s">
        <v>32</v>
      </c>
      <c r="S258" t="s">
        <v>33</v>
      </c>
    </row>
    <row r="259" spans="1:19" x14ac:dyDescent="0.25">
      <c r="A259" s="5">
        <v>15278437</v>
      </c>
      <c r="B259" t="s">
        <v>356</v>
      </c>
      <c r="C259" t="s">
        <v>367</v>
      </c>
      <c r="D259" t="s">
        <v>752</v>
      </c>
      <c r="E259" t="s">
        <v>758</v>
      </c>
      <c r="F259" t="s">
        <v>761</v>
      </c>
      <c r="G259">
        <v>71</v>
      </c>
      <c r="H259" t="s">
        <v>368</v>
      </c>
      <c r="I259" s="3">
        <v>45747.8055439815</v>
      </c>
      <c r="J259" s="4">
        <v>45658</v>
      </c>
      <c r="K259" s="4">
        <v>45778</v>
      </c>
      <c r="L259">
        <v>4</v>
      </c>
      <c r="M259" s="1">
        <v>1064.4000000000001</v>
      </c>
      <c r="N259" s="1">
        <f>SUM(NewBusiness[[#This Row],[Premium]]/12)</f>
        <v>88.7</v>
      </c>
      <c r="O259" s="13">
        <v>0.8</v>
      </c>
      <c r="P259" s="1">
        <v>0</v>
      </c>
      <c r="Q259" s="1">
        <v>70.959999999999994</v>
      </c>
      <c r="R259" t="s">
        <v>108</v>
      </c>
      <c r="S259" t="s">
        <v>33</v>
      </c>
    </row>
    <row r="260" spans="1:19" x14ac:dyDescent="0.25">
      <c r="A260" s="5">
        <v>8814784</v>
      </c>
      <c r="B260" t="s">
        <v>34</v>
      </c>
      <c r="C260" t="s">
        <v>160</v>
      </c>
      <c r="D260" t="s">
        <v>752</v>
      </c>
      <c r="E260" t="s">
        <v>758</v>
      </c>
      <c r="F260" t="s">
        <v>761</v>
      </c>
      <c r="G260">
        <v>77</v>
      </c>
      <c r="H260" t="s">
        <v>161</v>
      </c>
      <c r="I260" s="3">
        <v>45747.8055439815</v>
      </c>
      <c r="J260" s="4">
        <v>45658</v>
      </c>
      <c r="K260" s="4">
        <v>45778</v>
      </c>
      <c r="L260">
        <v>4</v>
      </c>
      <c r="M260" s="1">
        <v>1188</v>
      </c>
      <c r="N260" s="1">
        <f>SUM(NewBusiness[[#This Row],[Premium]]/12)</f>
        <v>99</v>
      </c>
      <c r="O260" s="13">
        <v>0.8</v>
      </c>
      <c r="P260" s="1">
        <v>0</v>
      </c>
      <c r="Q260" s="1">
        <v>79.2</v>
      </c>
      <c r="R260" t="s">
        <v>32</v>
      </c>
      <c r="S260" t="s">
        <v>33</v>
      </c>
    </row>
    <row r="261" spans="1:19" x14ac:dyDescent="0.25">
      <c r="A261" s="5">
        <v>8814784</v>
      </c>
      <c r="B261" t="s">
        <v>34</v>
      </c>
      <c r="C261" t="s">
        <v>566</v>
      </c>
      <c r="D261" t="s">
        <v>752</v>
      </c>
      <c r="E261" t="s">
        <v>758</v>
      </c>
      <c r="F261" t="s">
        <v>761</v>
      </c>
      <c r="G261">
        <v>58</v>
      </c>
      <c r="H261" t="s">
        <v>567</v>
      </c>
      <c r="I261" s="3">
        <v>45747.8055439815</v>
      </c>
      <c r="J261" s="4">
        <v>45658</v>
      </c>
      <c r="K261" s="4">
        <v>45778</v>
      </c>
      <c r="L261">
        <v>4</v>
      </c>
      <c r="M261" s="1">
        <v>420</v>
      </c>
      <c r="N261" s="1">
        <f>SUM(NewBusiness[[#This Row],[Premium]]/12)</f>
        <v>35</v>
      </c>
      <c r="O261" s="13">
        <v>0.8</v>
      </c>
      <c r="P261" s="1">
        <v>0</v>
      </c>
      <c r="Q261" s="1">
        <v>28</v>
      </c>
      <c r="R261" t="s">
        <v>32</v>
      </c>
      <c r="S261" t="s">
        <v>33</v>
      </c>
    </row>
    <row r="262" spans="1:19" x14ac:dyDescent="0.25">
      <c r="A262" s="5">
        <v>8814784</v>
      </c>
      <c r="B262" t="s">
        <v>34</v>
      </c>
      <c r="C262" t="s">
        <v>586</v>
      </c>
      <c r="D262" t="s">
        <v>752</v>
      </c>
      <c r="E262" t="s">
        <v>758</v>
      </c>
      <c r="F262" t="s">
        <v>761</v>
      </c>
      <c r="G262">
        <v>75</v>
      </c>
      <c r="H262" t="s">
        <v>587</v>
      </c>
      <c r="I262" s="3">
        <v>45747.8055439815</v>
      </c>
      <c r="J262" s="4">
        <v>45658</v>
      </c>
      <c r="K262" s="4">
        <v>45778</v>
      </c>
      <c r="L262">
        <v>4</v>
      </c>
      <c r="M262" s="1">
        <v>672</v>
      </c>
      <c r="N262" s="1">
        <f>SUM(NewBusiness[[#This Row],[Premium]]/12)</f>
        <v>56</v>
      </c>
      <c r="O262" s="13">
        <v>0.8</v>
      </c>
      <c r="P262" s="1">
        <v>0</v>
      </c>
      <c r="Q262" s="1">
        <v>44.8</v>
      </c>
      <c r="R262" t="s">
        <v>32</v>
      </c>
      <c r="S262" t="s">
        <v>33</v>
      </c>
    </row>
    <row r="263" spans="1:19" x14ac:dyDescent="0.25">
      <c r="A263" s="5">
        <v>9213293</v>
      </c>
      <c r="B263" t="s">
        <v>56</v>
      </c>
      <c r="C263" t="s">
        <v>189</v>
      </c>
      <c r="D263" t="s">
        <v>752</v>
      </c>
      <c r="E263" t="s">
        <v>758</v>
      </c>
      <c r="F263" t="s">
        <v>761</v>
      </c>
      <c r="G263">
        <v>68</v>
      </c>
      <c r="H263" t="s">
        <v>190</v>
      </c>
      <c r="I263" s="3">
        <v>45747.8055439815</v>
      </c>
      <c r="J263" s="4">
        <v>45658</v>
      </c>
      <c r="K263" s="4">
        <v>45778</v>
      </c>
      <c r="L263">
        <v>4</v>
      </c>
      <c r="M263" s="1">
        <v>720</v>
      </c>
      <c r="N263" s="1">
        <f>SUM(NewBusiness[[#This Row],[Premium]]/12)</f>
        <v>60</v>
      </c>
      <c r="O263" s="13">
        <v>0.8</v>
      </c>
      <c r="P263" s="1">
        <v>0</v>
      </c>
      <c r="Q263" s="1">
        <v>48</v>
      </c>
      <c r="R263" t="s">
        <v>32</v>
      </c>
      <c r="S263" t="s">
        <v>33</v>
      </c>
    </row>
    <row r="264" spans="1:19" x14ac:dyDescent="0.25">
      <c r="A264" s="5">
        <v>9213293</v>
      </c>
      <c r="B264" t="s">
        <v>56</v>
      </c>
      <c r="C264" t="s">
        <v>361</v>
      </c>
      <c r="D264" t="s">
        <v>752</v>
      </c>
      <c r="E264" t="s">
        <v>758</v>
      </c>
      <c r="F264" t="s">
        <v>761</v>
      </c>
      <c r="G264">
        <v>65</v>
      </c>
      <c r="H264" t="s">
        <v>362</v>
      </c>
      <c r="I264" s="3">
        <v>45747.8055439815</v>
      </c>
      <c r="J264" s="4">
        <v>45658</v>
      </c>
      <c r="K264" s="4">
        <v>45778</v>
      </c>
      <c r="L264">
        <v>4</v>
      </c>
      <c r="M264" s="1">
        <v>841.2</v>
      </c>
      <c r="N264" s="1">
        <f>SUM(NewBusiness[[#This Row],[Premium]]/12)</f>
        <v>70.100000000000009</v>
      </c>
      <c r="O264" s="13">
        <v>0.8</v>
      </c>
      <c r="P264" s="1">
        <v>0</v>
      </c>
      <c r="Q264" s="1">
        <v>56.08</v>
      </c>
      <c r="R264" t="s">
        <v>32</v>
      </c>
      <c r="S264" t="s">
        <v>33</v>
      </c>
    </row>
    <row r="265" spans="1:19" x14ac:dyDescent="0.25">
      <c r="A265" s="5">
        <v>19615078</v>
      </c>
      <c r="B265" t="s">
        <v>65</v>
      </c>
      <c r="C265" t="s">
        <v>150</v>
      </c>
      <c r="D265" t="s">
        <v>752</v>
      </c>
      <c r="E265" t="s">
        <v>758</v>
      </c>
      <c r="F265" t="s">
        <v>761</v>
      </c>
      <c r="G265">
        <v>75</v>
      </c>
      <c r="H265" t="s">
        <v>151</v>
      </c>
      <c r="I265" s="3">
        <v>45747.8055439815</v>
      </c>
      <c r="J265" s="4">
        <v>45658</v>
      </c>
      <c r="K265" s="4">
        <v>45778</v>
      </c>
      <c r="L265">
        <v>4</v>
      </c>
      <c r="M265" s="1">
        <v>1634.94</v>
      </c>
      <c r="N265" s="1">
        <f>SUM(NewBusiness[[#This Row],[Premium]]/12)</f>
        <v>136.245</v>
      </c>
      <c r="O265" s="13">
        <v>0.8</v>
      </c>
      <c r="P265" s="1">
        <v>0</v>
      </c>
      <c r="Q265" s="1">
        <v>108.99</v>
      </c>
      <c r="R265" t="s">
        <v>32</v>
      </c>
      <c r="S265" t="s">
        <v>33</v>
      </c>
    </row>
    <row r="266" spans="1:19" x14ac:dyDescent="0.25">
      <c r="A266" s="5">
        <v>19615078</v>
      </c>
      <c r="B266" t="s">
        <v>65</v>
      </c>
      <c r="C266" t="s">
        <v>537</v>
      </c>
      <c r="D266" t="s">
        <v>752</v>
      </c>
      <c r="E266" t="s">
        <v>758</v>
      </c>
      <c r="F266" t="s">
        <v>761</v>
      </c>
      <c r="G266">
        <v>69</v>
      </c>
      <c r="H266" t="s">
        <v>538</v>
      </c>
      <c r="I266" s="3">
        <v>45747.8055439815</v>
      </c>
      <c r="J266" s="4">
        <v>45658</v>
      </c>
      <c r="K266" s="4">
        <v>45778</v>
      </c>
      <c r="L266">
        <v>4</v>
      </c>
      <c r="M266" s="1">
        <v>1306.8399999999999</v>
      </c>
      <c r="N266" s="1">
        <f>SUM(NewBusiness[[#This Row],[Premium]]/12)</f>
        <v>108.90333333333332</v>
      </c>
      <c r="O266" s="13">
        <v>0.8</v>
      </c>
      <c r="P266" s="1">
        <v>0</v>
      </c>
      <c r="Q266" s="1">
        <v>87.11</v>
      </c>
      <c r="R266" t="s">
        <v>32</v>
      </c>
      <c r="S266" t="s">
        <v>33</v>
      </c>
    </row>
    <row r="267" spans="1:19" x14ac:dyDescent="0.25">
      <c r="A267" s="5">
        <v>8814784</v>
      </c>
      <c r="B267" t="s">
        <v>34</v>
      </c>
      <c r="C267" t="s">
        <v>51</v>
      </c>
      <c r="D267" t="s">
        <v>753</v>
      </c>
      <c r="E267" t="s">
        <v>758</v>
      </c>
      <c r="F267" t="s">
        <v>761</v>
      </c>
      <c r="G267">
        <v>58</v>
      </c>
      <c r="H267" t="s">
        <v>52</v>
      </c>
      <c r="I267" s="3">
        <v>45747.8055439815</v>
      </c>
      <c r="J267" s="4">
        <v>45658</v>
      </c>
      <c r="K267" s="4">
        <v>45778</v>
      </c>
      <c r="L267">
        <v>4</v>
      </c>
      <c r="M267" s="1">
        <v>476</v>
      </c>
      <c r="N267" s="1">
        <f>SUM(NewBusiness[[#This Row],[Premium]]/12)</f>
        <v>39.666666666666664</v>
      </c>
      <c r="O267" s="13">
        <v>1.1000000000000001</v>
      </c>
      <c r="P267" s="1">
        <v>0</v>
      </c>
      <c r="Q267" s="1">
        <v>43.64</v>
      </c>
      <c r="R267" t="s">
        <v>32</v>
      </c>
      <c r="S267" t="s">
        <v>33</v>
      </c>
    </row>
    <row r="268" spans="1:19" x14ac:dyDescent="0.25">
      <c r="A268" s="5">
        <v>19615078</v>
      </c>
      <c r="B268" t="s">
        <v>65</v>
      </c>
      <c r="C268" t="s">
        <v>450</v>
      </c>
      <c r="D268" t="s">
        <v>753</v>
      </c>
      <c r="E268" t="s">
        <v>758</v>
      </c>
      <c r="F268" t="s">
        <v>761</v>
      </c>
      <c r="G268">
        <v>69</v>
      </c>
      <c r="H268" t="s">
        <v>451</v>
      </c>
      <c r="I268" s="3">
        <v>45747.8055439815</v>
      </c>
      <c r="J268" s="4">
        <v>45658</v>
      </c>
      <c r="K268" s="4">
        <v>45778</v>
      </c>
      <c r="L268">
        <v>4</v>
      </c>
      <c r="M268" s="1">
        <v>1860</v>
      </c>
      <c r="N268" s="1">
        <f>SUM(NewBusiness[[#This Row],[Premium]]/12)</f>
        <v>155</v>
      </c>
      <c r="O268" s="13">
        <v>1.1000000000000001</v>
      </c>
      <c r="P268" s="1">
        <v>0</v>
      </c>
      <c r="Q268" s="1">
        <v>170.5</v>
      </c>
      <c r="R268" t="s">
        <v>32</v>
      </c>
      <c r="S268" t="s">
        <v>33</v>
      </c>
    </row>
    <row r="269" spans="1:19" x14ac:dyDescent="0.25">
      <c r="A269" s="5">
        <v>18754354</v>
      </c>
      <c r="B269" t="s">
        <v>72</v>
      </c>
      <c r="C269" t="s">
        <v>332</v>
      </c>
      <c r="D269" t="s">
        <v>753</v>
      </c>
      <c r="E269" t="s">
        <v>758</v>
      </c>
      <c r="F269" t="s">
        <v>761</v>
      </c>
      <c r="G269">
        <v>64</v>
      </c>
      <c r="H269" t="s">
        <v>333</v>
      </c>
      <c r="I269" s="3">
        <v>45747.8055439815</v>
      </c>
      <c r="J269" s="4">
        <v>45603</v>
      </c>
      <c r="K269" s="4">
        <v>45754</v>
      </c>
      <c r="L269">
        <v>5</v>
      </c>
      <c r="M269" s="1">
        <v>312</v>
      </c>
      <c r="N269" s="1">
        <f>SUM(NewBusiness[[#This Row],[Premium]]/12)</f>
        <v>26</v>
      </c>
      <c r="O269" s="13">
        <v>1.1000000000000001</v>
      </c>
      <c r="P269" s="1">
        <v>0</v>
      </c>
      <c r="Q269" s="1">
        <v>28.6</v>
      </c>
      <c r="R269" t="s">
        <v>32</v>
      </c>
      <c r="S269" t="s">
        <v>33</v>
      </c>
    </row>
    <row r="270" spans="1:19" x14ac:dyDescent="0.25">
      <c r="A270" s="5">
        <v>9213293</v>
      </c>
      <c r="B270" t="s">
        <v>56</v>
      </c>
      <c r="C270" t="s">
        <v>78</v>
      </c>
      <c r="D270" t="s">
        <v>752</v>
      </c>
      <c r="E270" t="s">
        <v>758</v>
      </c>
      <c r="F270" t="s">
        <v>761</v>
      </c>
      <c r="G270">
        <v>66</v>
      </c>
      <c r="H270" t="s">
        <v>79</v>
      </c>
      <c r="I270" s="3">
        <v>45747.8055439815</v>
      </c>
      <c r="J270" s="4">
        <v>45612</v>
      </c>
      <c r="K270" s="4">
        <v>45763</v>
      </c>
      <c r="L270">
        <v>5</v>
      </c>
      <c r="M270" s="1">
        <v>614.4</v>
      </c>
      <c r="N270" s="1">
        <f>SUM(NewBusiness[[#This Row],[Premium]]/12)</f>
        <v>51.199999999999996</v>
      </c>
      <c r="O270" s="13">
        <v>0.8</v>
      </c>
      <c r="P270" s="1">
        <v>0</v>
      </c>
      <c r="Q270" s="1">
        <v>40.96</v>
      </c>
      <c r="R270" t="s">
        <v>32</v>
      </c>
      <c r="S270" t="s">
        <v>33</v>
      </c>
    </row>
    <row r="271" spans="1:19" x14ac:dyDescent="0.25">
      <c r="A271" s="5">
        <v>8814784</v>
      </c>
      <c r="B271" t="s">
        <v>34</v>
      </c>
      <c r="C271" t="s">
        <v>53</v>
      </c>
      <c r="D271" t="s">
        <v>751</v>
      </c>
      <c r="E271" t="s">
        <v>758</v>
      </c>
      <c r="F271" t="s">
        <v>761</v>
      </c>
      <c r="G271">
        <v>66</v>
      </c>
      <c r="H271" t="s">
        <v>54</v>
      </c>
      <c r="I271" s="3">
        <v>45747.8055439815</v>
      </c>
      <c r="J271" s="4">
        <v>45627</v>
      </c>
      <c r="K271" s="4">
        <v>45778</v>
      </c>
      <c r="L271">
        <v>5</v>
      </c>
      <c r="M271" s="1">
        <v>612</v>
      </c>
      <c r="N271" s="1">
        <f>SUM(NewBusiness[[#This Row],[Premium]]/12)</f>
        <v>51</v>
      </c>
      <c r="O271" s="13">
        <v>0.75</v>
      </c>
      <c r="P271" s="1">
        <v>0</v>
      </c>
      <c r="Q271" s="1">
        <v>38.25</v>
      </c>
      <c r="R271" t="s">
        <v>55</v>
      </c>
      <c r="S271" t="s">
        <v>33</v>
      </c>
    </row>
    <row r="272" spans="1:19" x14ac:dyDescent="0.25">
      <c r="A272" s="5">
        <v>8814784</v>
      </c>
      <c r="B272" t="s">
        <v>34</v>
      </c>
      <c r="C272" t="s">
        <v>279</v>
      </c>
      <c r="D272" t="s">
        <v>751</v>
      </c>
      <c r="E272" t="s">
        <v>758</v>
      </c>
      <c r="F272" t="s">
        <v>761</v>
      </c>
      <c r="G272">
        <v>64</v>
      </c>
      <c r="H272" t="s">
        <v>280</v>
      </c>
      <c r="I272" s="3">
        <v>45747.8055439815</v>
      </c>
      <c r="J272" s="4">
        <v>45627</v>
      </c>
      <c r="K272" s="4">
        <v>45778</v>
      </c>
      <c r="L272">
        <v>5</v>
      </c>
      <c r="M272" s="1">
        <v>588</v>
      </c>
      <c r="N272" s="1">
        <f>SUM(NewBusiness[[#This Row],[Premium]]/12)</f>
        <v>49</v>
      </c>
      <c r="O272" s="13">
        <v>0.75</v>
      </c>
      <c r="P272" s="1">
        <v>0</v>
      </c>
      <c r="Q272" s="1">
        <v>36.75</v>
      </c>
      <c r="R272" t="s">
        <v>55</v>
      </c>
      <c r="S272" t="s">
        <v>33</v>
      </c>
    </row>
    <row r="273" spans="1:19" x14ac:dyDescent="0.25">
      <c r="A273" s="5">
        <v>8814784</v>
      </c>
      <c r="B273" t="s">
        <v>34</v>
      </c>
      <c r="C273" t="s">
        <v>275</v>
      </c>
      <c r="D273" t="s">
        <v>752</v>
      </c>
      <c r="E273" t="s">
        <v>758</v>
      </c>
      <c r="F273" t="s">
        <v>761</v>
      </c>
      <c r="G273">
        <v>66</v>
      </c>
      <c r="H273" t="s">
        <v>276</v>
      </c>
      <c r="I273" s="3">
        <v>45747.8055439815</v>
      </c>
      <c r="J273" s="4">
        <v>45627</v>
      </c>
      <c r="K273" s="4">
        <v>45778</v>
      </c>
      <c r="L273">
        <v>5</v>
      </c>
      <c r="M273" s="1">
        <v>883.2</v>
      </c>
      <c r="N273" s="1">
        <f>SUM(NewBusiness[[#This Row],[Premium]]/12)</f>
        <v>73.600000000000009</v>
      </c>
      <c r="O273" s="13">
        <v>0.8</v>
      </c>
      <c r="P273" s="1">
        <v>0</v>
      </c>
      <c r="Q273" s="1">
        <v>58.88</v>
      </c>
      <c r="R273" t="s">
        <v>32</v>
      </c>
      <c r="S273" t="s">
        <v>33</v>
      </c>
    </row>
    <row r="274" spans="1:19" x14ac:dyDescent="0.25">
      <c r="A274" s="5">
        <v>8814784</v>
      </c>
      <c r="B274" t="s">
        <v>34</v>
      </c>
      <c r="C274" t="s">
        <v>371</v>
      </c>
      <c r="D274" t="s">
        <v>752</v>
      </c>
      <c r="E274" t="s">
        <v>758</v>
      </c>
      <c r="F274" t="s">
        <v>761</v>
      </c>
      <c r="G274">
        <v>73</v>
      </c>
      <c r="H274" t="s">
        <v>372</v>
      </c>
      <c r="I274" s="3">
        <v>45747.8055439815</v>
      </c>
      <c r="J274" s="4">
        <v>45627</v>
      </c>
      <c r="K274" s="4">
        <v>45778</v>
      </c>
      <c r="L274">
        <v>5</v>
      </c>
      <c r="M274" s="1">
        <v>770.4</v>
      </c>
      <c r="N274" s="1">
        <f>SUM(NewBusiness[[#This Row],[Premium]]/12)</f>
        <v>64.2</v>
      </c>
      <c r="O274" s="13">
        <v>0.8</v>
      </c>
      <c r="P274" s="1">
        <v>0</v>
      </c>
      <c r="Q274" s="1">
        <v>51.36</v>
      </c>
      <c r="R274" t="s">
        <v>32</v>
      </c>
      <c r="S274" t="s">
        <v>33</v>
      </c>
    </row>
    <row r="275" spans="1:19" x14ac:dyDescent="0.25">
      <c r="A275" s="5">
        <v>8814784</v>
      </c>
      <c r="B275" t="s">
        <v>34</v>
      </c>
      <c r="C275" t="s">
        <v>552</v>
      </c>
      <c r="D275" t="s">
        <v>752</v>
      </c>
      <c r="E275" t="s">
        <v>758</v>
      </c>
      <c r="F275" t="s">
        <v>761</v>
      </c>
      <c r="G275">
        <v>78</v>
      </c>
      <c r="H275" t="s">
        <v>553</v>
      </c>
      <c r="I275" s="3">
        <v>45747.8055439815</v>
      </c>
      <c r="J275" s="4">
        <v>45627</v>
      </c>
      <c r="K275" s="4">
        <v>45778</v>
      </c>
      <c r="L275">
        <v>5</v>
      </c>
      <c r="M275" s="1">
        <v>1683.46</v>
      </c>
      <c r="N275" s="1">
        <f>SUM(NewBusiness[[#This Row],[Premium]]/12)</f>
        <v>140.28833333333333</v>
      </c>
      <c r="O275" s="13">
        <v>0.8</v>
      </c>
      <c r="P275" s="1">
        <v>0</v>
      </c>
      <c r="Q275" s="1">
        <v>112.23</v>
      </c>
      <c r="R275" t="s">
        <v>32</v>
      </c>
      <c r="S275" t="s">
        <v>33</v>
      </c>
    </row>
    <row r="276" spans="1:19" x14ac:dyDescent="0.25">
      <c r="A276" s="5">
        <v>8814784</v>
      </c>
      <c r="B276" t="s">
        <v>34</v>
      </c>
      <c r="C276" t="s">
        <v>581</v>
      </c>
      <c r="D276" t="s">
        <v>752</v>
      </c>
      <c r="E276" t="s">
        <v>758</v>
      </c>
      <c r="F276" t="s">
        <v>761</v>
      </c>
      <c r="G276">
        <v>68</v>
      </c>
      <c r="H276" t="s">
        <v>582</v>
      </c>
      <c r="I276" s="3">
        <v>45747.8055439815</v>
      </c>
      <c r="J276" s="4">
        <v>45627</v>
      </c>
      <c r="K276" s="4">
        <v>45778</v>
      </c>
      <c r="L276">
        <v>5</v>
      </c>
      <c r="M276" s="1">
        <v>654</v>
      </c>
      <c r="N276" s="1">
        <f>SUM(NewBusiness[[#This Row],[Premium]]/12)</f>
        <v>54.5</v>
      </c>
      <c r="O276" s="13">
        <v>0.8</v>
      </c>
      <c r="P276" s="1">
        <v>0</v>
      </c>
      <c r="Q276" s="1">
        <v>43.6</v>
      </c>
      <c r="R276" t="s">
        <v>32</v>
      </c>
      <c r="S276" t="s">
        <v>33</v>
      </c>
    </row>
    <row r="277" spans="1:19" x14ac:dyDescent="0.25">
      <c r="A277" s="5">
        <v>9213293</v>
      </c>
      <c r="B277" t="s">
        <v>56</v>
      </c>
      <c r="C277" t="s">
        <v>498</v>
      </c>
      <c r="D277" t="s">
        <v>752</v>
      </c>
      <c r="E277" t="s">
        <v>758</v>
      </c>
      <c r="F277" t="s">
        <v>761</v>
      </c>
      <c r="G277">
        <v>66</v>
      </c>
      <c r="H277" t="s">
        <v>499</v>
      </c>
      <c r="I277" s="3">
        <v>45747.8055439815</v>
      </c>
      <c r="J277" s="4">
        <v>45627</v>
      </c>
      <c r="K277" s="4">
        <v>45778</v>
      </c>
      <c r="L277">
        <v>5</v>
      </c>
      <c r="M277" s="1">
        <v>499.2</v>
      </c>
      <c r="N277" s="1">
        <f>SUM(NewBusiness[[#This Row],[Premium]]/12)</f>
        <v>41.6</v>
      </c>
      <c r="O277" s="13">
        <v>0.8</v>
      </c>
      <c r="P277" s="1">
        <v>0</v>
      </c>
      <c r="Q277" s="1">
        <v>33.28</v>
      </c>
      <c r="R277" t="s">
        <v>32</v>
      </c>
      <c r="S277" t="s">
        <v>33</v>
      </c>
    </row>
    <row r="278" spans="1:19" x14ac:dyDescent="0.25">
      <c r="A278" s="5">
        <v>18754354</v>
      </c>
      <c r="B278" t="s">
        <v>72</v>
      </c>
      <c r="C278" t="s">
        <v>389</v>
      </c>
      <c r="D278" t="s">
        <v>753</v>
      </c>
      <c r="E278" t="s">
        <v>758</v>
      </c>
      <c r="F278" t="s">
        <v>761</v>
      </c>
      <c r="G278">
        <v>60</v>
      </c>
      <c r="H278" t="s">
        <v>390</v>
      </c>
      <c r="I278" s="3">
        <v>45747.8055439815</v>
      </c>
      <c r="J278" s="4">
        <v>45627</v>
      </c>
      <c r="K278" s="4">
        <v>45778</v>
      </c>
      <c r="L278">
        <v>5</v>
      </c>
      <c r="M278" s="1">
        <v>1560</v>
      </c>
      <c r="N278" s="1">
        <f>SUM(NewBusiness[[#This Row],[Premium]]/12)</f>
        <v>130</v>
      </c>
      <c r="O278" s="13">
        <v>1.1000000000000001</v>
      </c>
      <c r="P278" s="1">
        <v>0</v>
      </c>
      <c r="Q278" s="1">
        <v>143</v>
      </c>
      <c r="R278" t="s">
        <v>32</v>
      </c>
      <c r="S278" t="s">
        <v>33</v>
      </c>
    </row>
    <row r="279" spans="1:19" x14ac:dyDescent="0.25">
      <c r="A279" s="5">
        <v>9213293</v>
      </c>
      <c r="B279" t="s">
        <v>56</v>
      </c>
      <c r="C279" t="s">
        <v>245</v>
      </c>
      <c r="D279" t="s">
        <v>751</v>
      </c>
      <c r="E279" t="s">
        <v>758</v>
      </c>
      <c r="F279" t="s">
        <v>761</v>
      </c>
      <c r="G279">
        <v>71</v>
      </c>
      <c r="H279" t="s">
        <v>246</v>
      </c>
      <c r="I279" s="3">
        <v>45747.8055439815</v>
      </c>
      <c r="J279" s="4">
        <v>45572</v>
      </c>
      <c r="K279" s="4">
        <v>45754</v>
      </c>
      <c r="L279">
        <v>6</v>
      </c>
      <c r="M279" s="1">
        <v>445.28</v>
      </c>
      <c r="N279" s="1">
        <f>SUM(NewBusiness[[#This Row],[Premium]]/12)</f>
        <v>37.106666666666662</v>
      </c>
      <c r="O279" s="13">
        <v>0.75</v>
      </c>
      <c r="P279" s="1">
        <v>0</v>
      </c>
      <c r="Q279" s="1">
        <v>27.83</v>
      </c>
      <c r="R279" t="s">
        <v>247</v>
      </c>
      <c r="S279" t="s">
        <v>33</v>
      </c>
    </row>
    <row r="280" spans="1:19" x14ac:dyDescent="0.25">
      <c r="A280" s="5">
        <v>9213293</v>
      </c>
      <c r="B280" t="s">
        <v>56</v>
      </c>
      <c r="C280" t="s">
        <v>363</v>
      </c>
      <c r="D280" t="s">
        <v>752</v>
      </c>
      <c r="E280" t="s">
        <v>758</v>
      </c>
      <c r="F280" t="s">
        <v>761</v>
      </c>
      <c r="G280">
        <v>64</v>
      </c>
      <c r="H280" t="s">
        <v>364</v>
      </c>
      <c r="I280" s="3">
        <v>45747.8055439815</v>
      </c>
      <c r="J280" s="4">
        <v>45576</v>
      </c>
      <c r="K280" s="4">
        <v>45758</v>
      </c>
      <c r="L280">
        <v>6</v>
      </c>
      <c r="M280" s="1">
        <v>1362</v>
      </c>
      <c r="N280" s="1">
        <f>SUM(NewBusiness[[#This Row],[Premium]]/12)</f>
        <v>113.5</v>
      </c>
      <c r="O280" s="13">
        <v>0.8</v>
      </c>
      <c r="P280" s="1">
        <v>0</v>
      </c>
      <c r="Q280" s="1">
        <v>90.8</v>
      </c>
      <c r="R280" t="s">
        <v>32</v>
      </c>
      <c r="S280" t="s">
        <v>33</v>
      </c>
    </row>
    <row r="281" spans="1:19" x14ac:dyDescent="0.25">
      <c r="A281" s="5">
        <v>9213293</v>
      </c>
      <c r="B281" t="s">
        <v>56</v>
      </c>
      <c r="C281" t="s">
        <v>619</v>
      </c>
      <c r="D281" t="s">
        <v>752</v>
      </c>
      <c r="E281" t="s">
        <v>758</v>
      </c>
      <c r="F281" t="s">
        <v>761</v>
      </c>
      <c r="G281">
        <v>66</v>
      </c>
      <c r="H281" t="s">
        <v>620</v>
      </c>
      <c r="I281" s="3">
        <v>45747.8055439815</v>
      </c>
      <c r="J281" s="4">
        <v>45576</v>
      </c>
      <c r="K281" s="4">
        <v>45758</v>
      </c>
      <c r="L281">
        <v>6</v>
      </c>
      <c r="M281" s="1">
        <v>934.8</v>
      </c>
      <c r="N281" s="1">
        <f>SUM(NewBusiness[[#This Row],[Premium]]/12)</f>
        <v>77.899999999999991</v>
      </c>
      <c r="O281" s="13">
        <v>0.8</v>
      </c>
      <c r="P281" s="1">
        <v>0</v>
      </c>
      <c r="Q281" s="1">
        <v>62.32</v>
      </c>
      <c r="R281" t="s">
        <v>32</v>
      </c>
      <c r="S281" t="s">
        <v>33</v>
      </c>
    </row>
    <row r="282" spans="1:19" x14ac:dyDescent="0.25">
      <c r="A282" s="5">
        <v>8814784</v>
      </c>
      <c r="B282" t="s">
        <v>34</v>
      </c>
      <c r="C282" t="s">
        <v>194</v>
      </c>
      <c r="D282" t="s">
        <v>752</v>
      </c>
      <c r="E282" t="s">
        <v>758</v>
      </c>
      <c r="F282" t="s">
        <v>761</v>
      </c>
      <c r="G282">
        <v>77</v>
      </c>
      <c r="H282" t="s">
        <v>195</v>
      </c>
      <c r="I282" s="3">
        <v>45747.8055439815</v>
      </c>
      <c r="J282" s="4">
        <v>45582</v>
      </c>
      <c r="K282" s="4">
        <v>45764</v>
      </c>
      <c r="L282">
        <v>6</v>
      </c>
      <c r="M282" s="1">
        <v>1083.31</v>
      </c>
      <c r="N282" s="1">
        <f>SUM(NewBusiness[[#This Row],[Premium]]/12)</f>
        <v>90.275833333333324</v>
      </c>
      <c r="O282" s="13">
        <v>0.8</v>
      </c>
      <c r="P282" s="1">
        <v>0</v>
      </c>
      <c r="Q282" s="1">
        <v>72.22</v>
      </c>
      <c r="R282" t="s">
        <v>32</v>
      </c>
      <c r="S282" t="s">
        <v>33</v>
      </c>
    </row>
    <row r="283" spans="1:19" x14ac:dyDescent="0.25">
      <c r="A283" s="5">
        <v>18581063</v>
      </c>
      <c r="B283" t="s">
        <v>48</v>
      </c>
      <c r="C283" t="s">
        <v>183</v>
      </c>
      <c r="D283" t="s">
        <v>754</v>
      </c>
      <c r="E283" t="s">
        <v>758</v>
      </c>
      <c r="F283" t="s">
        <v>761</v>
      </c>
      <c r="G283">
        <v>62</v>
      </c>
      <c r="H283" t="s">
        <v>184</v>
      </c>
      <c r="I283" s="3">
        <v>45747.8055439815</v>
      </c>
      <c r="J283" s="4">
        <v>45582</v>
      </c>
      <c r="K283" s="4">
        <v>45764</v>
      </c>
      <c r="L283">
        <v>6</v>
      </c>
      <c r="M283" s="1">
        <v>746.56</v>
      </c>
      <c r="N283" s="1">
        <f>SUM(NewBusiness[[#This Row],[Premium]]/12)</f>
        <v>62.213333333333331</v>
      </c>
      <c r="O283" s="13">
        <v>0.85</v>
      </c>
      <c r="P283" s="1">
        <v>0</v>
      </c>
      <c r="Q283" s="1">
        <v>52.88</v>
      </c>
      <c r="R283" t="s">
        <v>32</v>
      </c>
      <c r="S283" t="s">
        <v>33</v>
      </c>
    </row>
    <row r="284" spans="1:19" x14ac:dyDescent="0.25">
      <c r="A284" s="5">
        <v>8814784</v>
      </c>
      <c r="B284" t="s">
        <v>34</v>
      </c>
      <c r="C284" t="s">
        <v>669</v>
      </c>
      <c r="D284" t="s">
        <v>754</v>
      </c>
      <c r="E284" t="s">
        <v>758</v>
      </c>
      <c r="F284" t="s">
        <v>761</v>
      </c>
      <c r="G284">
        <v>72</v>
      </c>
      <c r="H284" t="s">
        <v>670</v>
      </c>
      <c r="I284" s="3">
        <v>45747.8055439815</v>
      </c>
      <c r="J284" s="4">
        <v>45582</v>
      </c>
      <c r="K284" s="4">
        <v>45764</v>
      </c>
      <c r="L284">
        <v>6</v>
      </c>
      <c r="M284" s="1">
        <v>742.86</v>
      </c>
      <c r="N284" s="1">
        <f>SUM(NewBusiness[[#This Row],[Premium]]/12)</f>
        <v>61.905000000000001</v>
      </c>
      <c r="O284" s="13">
        <v>0.85</v>
      </c>
      <c r="P284" s="1">
        <v>0</v>
      </c>
      <c r="Q284" s="1">
        <v>52.61</v>
      </c>
      <c r="R284" t="s">
        <v>32</v>
      </c>
      <c r="S284" t="s">
        <v>33</v>
      </c>
    </row>
    <row r="285" spans="1:19" x14ac:dyDescent="0.25">
      <c r="A285" s="5">
        <v>9213293</v>
      </c>
      <c r="B285" t="s">
        <v>56</v>
      </c>
      <c r="C285" t="s">
        <v>295</v>
      </c>
      <c r="D285" t="s">
        <v>754</v>
      </c>
      <c r="E285" t="s">
        <v>758</v>
      </c>
      <c r="F285" t="s">
        <v>761</v>
      </c>
      <c r="G285">
        <v>71</v>
      </c>
      <c r="H285" t="s">
        <v>296</v>
      </c>
      <c r="I285" s="3">
        <v>45747.8055439815</v>
      </c>
      <c r="J285" s="4">
        <v>45583</v>
      </c>
      <c r="K285" s="4">
        <v>45765</v>
      </c>
      <c r="L285">
        <v>6</v>
      </c>
      <c r="M285" s="1">
        <v>1340.99</v>
      </c>
      <c r="N285" s="1">
        <f>SUM(NewBusiness[[#This Row],[Premium]]/12)</f>
        <v>111.74916666666667</v>
      </c>
      <c r="O285" s="13">
        <v>0.85</v>
      </c>
      <c r="P285" s="1">
        <v>0</v>
      </c>
      <c r="Q285" s="1">
        <v>94.98</v>
      </c>
      <c r="R285" t="s">
        <v>297</v>
      </c>
      <c r="S285" t="s">
        <v>33</v>
      </c>
    </row>
    <row r="286" spans="1:19" x14ac:dyDescent="0.25">
      <c r="A286" s="5">
        <v>9213293</v>
      </c>
      <c r="B286" t="s">
        <v>56</v>
      </c>
      <c r="C286" t="s">
        <v>146</v>
      </c>
      <c r="D286" t="s">
        <v>753</v>
      </c>
      <c r="E286" t="s">
        <v>758</v>
      </c>
      <c r="F286" t="s">
        <v>761</v>
      </c>
      <c r="G286">
        <v>69</v>
      </c>
      <c r="H286" t="s">
        <v>147</v>
      </c>
      <c r="I286" s="3">
        <v>45747.8055439815</v>
      </c>
      <c r="J286" s="4">
        <v>45587</v>
      </c>
      <c r="K286" s="4">
        <v>45769</v>
      </c>
      <c r="L286">
        <v>6</v>
      </c>
      <c r="M286" s="1">
        <v>316.5</v>
      </c>
      <c r="N286" s="1">
        <f>SUM(NewBusiness[[#This Row],[Premium]]/12)</f>
        <v>26.375</v>
      </c>
      <c r="O286" s="13">
        <v>1.1000000000000001</v>
      </c>
      <c r="P286" s="1">
        <v>0</v>
      </c>
      <c r="Q286" s="1">
        <v>29.01</v>
      </c>
      <c r="R286" t="s">
        <v>32</v>
      </c>
      <c r="S286" t="s">
        <v>33</v>
      </c>
    </row>
    <row r="287" spans="1:19" x14ac:dyDescent="0.25">
      <c r="A287" s="5">
        <v>9213293</v>
      </c>
      <c r="B287" t="s">
        <v>56</v>
      </c>
      <c r="C287" t="s">
        <v>441</v>
      </c>
      <c r="D287" t="s">
        <v>754</v>
      </c>
      <c r="E287" t="s">
        <v>758</v>
      </c>
      <c r="F287" t="s">
        <v>761</v>
      </c>
      <c r="G287">
        <v>63</v>
      </c>
      <c r="H287" t="s">
        <v>442</v>
      </c>
      <c r="I287" s="3">
        <v>45747.8055439815</v>
      </c>
      <c r="J287" s="4">
        <v>45594</v>
      </c>
      <c r="K287" s="4">
        <v>45776</v>
      </c>
      <c r="L287">
        <v>6</v>
      </c>
      <c r="M287" s="1">
        <v>735.64</v>
      </c>
      <c r="N287" s="1">
        <f>SUM(NewBusiness[[#This Row],[Premium]]/12)</f>
        <v>61.303333333333335</v>
      </c>
      <c r="O287" s="13">
        <v>0.85</v>
      </c>
      <c r="P287" s="1">
        <v>0</v>
      </c>
      <c r="Q287" s="1">
        <v>52.1</v>
      </c>
      <c r="R287" t="s">
        <v>32</v>
      </c>
      <c r="S287" t="s">
        <v>33</v>
      </c>
    </row>
    <row r="288" spans="1:19" x14ac:dyDescent="0.25">
      <c r="A288" s="5">
        <v>3475518</v>
      </c>
      <c r="B288" t="s">
        <v>675</v>
      </c>
      <c r="C288" t="s">
        <v>676</v>
      </c>
      <c r="D288" t="s">
        <v>752</v>
      </c>
      <c r="E288" t="s">
        <v>758</v>
      </c>
      <c r="F288" t="s">
        <v>761</v>
      </c>
      <c r="G288">
        <v>64</v>
      </c>
      <c r="H288" t="s">
        <v>677</v>
      </c>
      <c r="I288" s="3">
        <v>45747.8055439815</v>
      </c>
      <c r="J288" s="4">
        <v>45597</v>
      </c>
      <c r="K288" s="4">
        <v>45778</v>
      </c>
      <c r="L288">
        <v>6</v>
      </c>
      <c r="M288" s="1">
        <v>1345.2</v>
      </c>
      <c r="N288" s="1">
        <f>SUM(NewBusiness[[#This Row],[Premium]]/12)</f>
        <v>112.10000000000001</v>
      </c>
      <c r="O288" s="13">
        <v>0.8</v>
      </c>
      <c r="P288" s="1">
        <v>0</v>
      </c>
      <c r="Q288" s="1">
        <v>89.68</v>
      </c>
      <c r="R288" t="s">
        <v>61</v>
      </c>
      <c r="S288" t="s">
        <v>33</v>
      </c>
    </row>
    <row r="289" spans="1:19" x14ac:dyDescent="0.25">
      <c r="A289" s="5">
        <v>17425766</v>
      </c>
      <c r="B289" t="s">
        <v>133</v>
      </c>
      <c r="C289" t="s">
        <v>134</v>
      </c>
      <c r="D289" t="s">
        <v>752</v>
      </c>
      <c r="E289" t="s">
        <v>758</v>
      </c>
      <c r="F289" t="s">
        <v>761</v>
      </c>
      <c r="G289">
        <v>73</v>
      </c>
      <c r="H289" t="s">
        <v>135</v>
      </c>
      <c r="I289" s="3">
        <v>45747.8055439815</v>
      </c>
      <c r="J289" s="4">
        <v>45597</v>
      </c>
      <c r="K289" s="4">
        <v>45778</v>
      </c>
      <c r="L289">
        <v>6</v>
      </c>
      <c r="M289" s="1">
        <v>1166.22</v>
      </c>
      <c r="N289" s="1">
        <f>SUM(NewBusiness[[#This Row],[Premium]]/12)</f>
        <v>97.185000000000002</v>
      </c>
      <c r="O289" s="13">
        <v>0.8</v>
      </c>
      <c r="P289" s="1">
        <v>0</v>
      </c>
      <c r="Q289" s="1">
        <v>77.739999999999995</v>
      </c>
      <c r="R289" t="s">
        <v>108</v>
      </c>
      <c r="S289" t="s">
        <v>33</v>
      </c>
    </row>
    <row r="290" spans="1:19" x14ac:dyDescent="0.25">
      <c r="A290" s="5">
        <v>8814784</v>
      </c>
      <c r="B290" t="s">
        <v>34</v>
      </c>
      <c r="C290" t="s">
        <v>492</v>
      </c>
      <c r="D290" t="s">
        <v>752</v>
      </c>
      <c r="E290" t="s">
        <v>758</v>
      </c>
      <c r="F290" t="s">
        <v>761</v>
      </c>
      <c r="G290">
        <v>66</v>
      </c>
      <c r="H290" t="s">
        <v>493</v>
      </c>
      <c r="I290" s="3">
        <v>45747.8055439815</v>
      </c>
      <c r="J290" s="4">
        <v>45597</v>
      </c>
      <c r="K290" s="4">
        <v>45778</v>
      </c>
      <c r="L290">
        <v>6</v>
      </c>
      <c r="M290" s="1">
        <v>499.2</v>
      </c>
      <c r="N290" s="1">
        <f>SUM(NewBusiness[[#This Row],[Premium]]/12)</f>
        <v>41.6</v>
      </c>
      <c r="O290" s="13">
        <v>0.8</v>
      </c>
      <c r="P290" s="1">
        <v>0</v>
      </c>
      <c r="Q290" s="1">
        <v>33.28</v>
      </c>
      <c r="R290" t="s">
        <v>32</v>
      </c>
      <c r="S290" t="s">
        <v>33</v>
      </c>
    </row>
    <row r="291" spans="1:19" x14ac:dyDescent="0.25">
      <c r="A291" s="5">
        <v>9213293</v>
      </c>
      <c r="B291" t="s">
        <v>56</v>
      </c>
      <c r="C291" t="s">
        <v>162</v>
      </c>
      <c r="D291" t="s">
        <v>752</v>
      </c>
      <c r="E291" t="s">
        <v>758</v>
      </c>
      <c r="F291" t="s">
        <v>761</v>
      </c>
      <c r="G291">
        <v>68</v>
      </c>
      <c r="H291" t="s">
        <v>163</v>
      </c>
      <c r="I291" s="3">
        <v>45747.8055439815</v>
      </c>
      <c r="J291" s="4">
        <v>45597</v>
      </c>
      <c r="K291" s="4">
        <v>45778</v>
      </c>
      <c r="L291">
        <v>6</v>
      </c>
      <c r="M291" s="1">
        <v>462</v>
      </c>
      <c r="N291" s="1">
        <f>SUM(NewBusiness[[#This Row],[Premium]]/12)</f>
        <v>38.5</v>
      </c>
      <c r="O291" s="13">
        <v>0.8</v>
      </c>
      <c r="P291" s="1">
        <v>0</v>
      </c>
      <c r="Q291" s="1">
        <v>30.8</v>
      </c>
      <c r="R291" t="s">
        <v>32</v>
      </c>
      <c r="S291" t="s">
        <v>33</v>
      </c>
    </row>
    <row r="292" spans="1:19" x14ac:dyDescent="0.25">
      <c r="A292" s="5">
        <v>20003537</v>
      </c>
      <c r="B292" t="s">
        <v>445</v>
      </c>
      <c r="C292" t="s">
        <v>446</v>
      </c>
      <c r="D292" t="s">
        <v>752</v>
      </c>
      <c r="E292" t="s">
        <v>758</v>
      </c>
      <c r="F292" t="s">
        <v>761</v>
      </c>
      <c r="G292">
        <v>64</v>
      </c>
      <c r="H292" t="s">
        <v>447</v>
      </c>
      <c r="I292" s="3">
        <v>45747.8055439815</v>
      </c>
      <c r="J292" s="4">
        <v>45597</v>
      </c>
      <c r="K292" s="4">
        <v>45778</v>
      </c>
      <c r="L292">
        <v>6</v>
      </c>
      <c r="M292" s="1">
        <v>1798.8</v>
      </c>
      <c r="N292" s="1">
        <f>SUM(NewBusiness[[#This Row],[Premium]]/12)</f>
        <v>149.9</v>
      </c>
      <c r="O292" s="13">
        <v>0.8</v>
      </c>
      <c r="P292" s="1">
        <v>0</v>
      </c>
      <c r="Q292" s="1">
        <v>119.92</v>
      </c>
      <c r="R292" t="s">
        <v>32</v>
      </c>
      <c r="S292" t="s">
        <v>33</v>
      </c>
    </row>
    <row r="293" spans="1:19" x14ac:dyDescent="0.25">
      <c r="A293" s="5">
        <v>18754354</v>
      </c>
      <c r="B293" t="s">
        <v>72</v>
      </c>
      <c r="C293" t="s">
        <v>111</v>
      </c>
      <c r="D293" t="s">
        <v>752</v>
      </c>
      <c r="E293" t="s">
        <v>758</v>
      </c>
      <c r="F293" t="s">
        <v>761</v>
      </c>
      <c r="G293">
        <v>64</v>
      </c>
      <c r="H293" t="s">
        <v>112</v>
      </c>
      <c r="I293" s="3">
        <v>45747.8055439815</v>
      </c>
      <c r="J293" s="4">
        <v>45597</v>
      </c>
      <c r="K293" s="4">
        <v>45778</v>
      </c>
      <c r="L293">
        <v>6</v>
      </c>
      <c r="M293" s="1">
        <v>692.4</v>
      </c>
      <c r="N293" s="1">
        <f>SUM(NewBusiness[[#This Row],[Premium]]/12)</f>
        <v>57.699999999999996</v>
      </c>
      <c r="O293" s="13">
        <v>0.8</v>
      </c>
      <c r="P293" s="1">
        <v>0</v>
      </c>
      <c r="Q293" s="1">
        <v>46.16</v>
      </c>
      <c r="R293" t="s">
        <v>32</v>
      </c>
      <c r="S293" t="s">
        <v>33</v>
      </c>
    </row>
    <row r="294" spans="1:19" x14ac:dyDescent="0.25">
      <c r="A294" s="5">
        <v>18754354</v>
      </c>
      <c r="B294" t="s">
        <v>72</v>
      </c>
      <c r="C294" t="s">
        <v>109</v>
      </c>
      <c r="D294" t="s">
        <v>753</v>
      </c>
      <c r="E294" t="s">
        <v>758</v>
      </c>
      <c r="F294" t="s">
        <v>761</v>
      </c>
      <c r="G294">
        <v>66</v>
      </c>
      <c r="H294" t="s">
        <v>110</v>
      </c>
      <c r="I294" s="3">
        <v>45747.8055439815</v>
      </c>
      <c r="J294" s="4">
        <v>45597</v>
      </c>
      <c r="K294" s="4">
        <v>45778</v>
      </c>
      <c r="L294">
        <v>6</v>
      </c>
      <c r="M294" s="1">
        <v>691.9</v>
      </c>
      <c r="N294" s="1">
        <f>SUM(NewBusiness[[#This Row],[Premium]]/12)</f>
        <v>57.658333333333331</v>
      </c>
      <c r="O294" s="13">
        <v>1.1000000000000001</v>
      </c>
      <c r="P294" s="1">
        <v>0</v>
      </c>
      <c r="Q294" s="1">
        <v>63.43</v>
      </c>
      <c r="R294" t="s">
        <v>32</v>
      </c>
      <c r="S294" t="s">
        <v>33</v>
      </c>
    </row>
    <row r="295" spans="1:19" x14ac:dyDescent="0.25">
      <c r="A295" s="5">
        <v>18754354</v>
      </c>
      <c r="B295" t="s">
        <v>72</v>
      </c>
      <c r="C295" t="s">
        <v>223</v>
      </c>
      <c r="D295" t="s">
        <v>753</v>
      </c>
      <c r="E295" t="s">
        <v>758</v>
      </c>
      <c r="F295" t="s">
        <v>761</v>
      </c>
      <c r="G295">
        <v>64</v>
      </c>
      <c r="H295" t="s">
        <v>224</v>
      </c>
      <c r="I295" s="3">
        <v>45747.8055439815</v>
      </c>
      <c r="J295" s="4">
        <v>45597</v>
      </c>
      <c r="K295" s="4">
        <v>45778</v>
      </c>
      <c r="L295">
        <v>6</v>
      </c>
      <c r="M295" s="1">
        <v>932</v>
      </c>
      <c r="N295" s="1">
        <f>SUM(NewBusiness[[#This Row],[Premium]]/12)</f>
        <v>77.666666666666671</v>
      </c>
      <c r="O295" s="13">
        <v>1.1000000000000001</v>
      </c>
      <c r="P295" s="1">
        <v>0</v>
      </c>
      <c r="Q295" s="1">
        <v>85.44</v>
      </c>
      <c r="R295" t="s">
        <v>32</v>
      </c>
      <c r="S295" t="s">
        <v>33</v>
      </c>
    </row>
    <row r="296" spans="1:19" x14ac:dyDescent="0.25">
      <c r="A296" s="5">
        <v>18754354</v>
      </c>
      <c r="B296" t="s">
        <v>72</v>
      </c>
      <c r="C296" t="s">
        <v>558</v>
      </c>
      <c r="D296" t="s">
        <v>753</v>
      </c>
      <c r="E296" t="s">
        <v>758</v>
      </c>
      <c r="F296" t="s">
        <v>761</v>
      </c>
      <c r="G296">
        <v>34</v>
      </c>
      <c r="H296" t="s">
        <v>559</v>
      </c>
      <c r="I296" s="3">
        <v>45747.8055439815</v>
      </c>
      <c r="J296" s="4">
        <v>45597</v>
      </c>
      <c r="K296" s="4">
        <v>45778</v>
      </c>
      <c r="L296">
        <v>6</v>
      </c>
      <c r="M296" s="1">
        <v>800</v>
      </c>
      <c r="N296" s="1">
        <f>SUM(NewBusiness[[#This Row],[Premium]]/12)</f>
        <v>66.666666666666671</v>
      </c>
      <c r="O296" s="13">
        <v>1.1000000000000001</v>
      </c>
      <c r="P296" s="1">
        <v>0</v>
      </c>
      <c r="Q296" s="1">
        <v>73.33</v>
      </c>
      <c r="R296" t="s">
        <v>32</v>
      </c>
      <c r="S296" t="s">
        <v>33</v>
      </c>
    </row>
    <row r="297" spans="1:19" x14ac:dyDescent="0.25">
      <c r="A297" s="5">
        <v>18754354</v>
      </c>
      <c r="B297" t="s">
        <v>72</v>
      </c>
      <c r="C297" t="s">
        <v>317</v>
      </c>
      <c r="D297" t="s">
        <v>752</v>
      </c>
      <c r="E297" t="s">
        <v>758</v>
      </c>
      <c r="F297" t="s">
        <v>761</v>
      </c>
      <c r="G297">
        <v>65</v>
      </c>
      <c r="H297" t="s">
        <v>318</v>
      </c>
      <c r="I297" s="3">
        <v>45747.8055439815</v>
      </c>
      <c r="J297" s="4">
        <v>45538</v>
      </c>
      <c r="K297" s="4">
        <v>45750</v>
      </c>
      <c r="L297">
        <v>7</v>
      </c>
      <c r="M297" s="1">
        <v>829.2</v>
      </c>
      <c r="N297" s="1">
        <f>SUM(NewBusiness[[#This Row],[Premium]]/12)</f>
        <v>69.100000000000009</v>
      </c>
      <c r="O297" s="13">
        <v>0.8</v>
      </c>
      <c r="P297" s="1">
        <v>0</v>
      </c>
      <c r="Q297" s="1">
        <v>55.28</v>
      </c>
      <c r="R297" t="s">
        <v>32</v>
      </c>
      <c r="S297" t="s">
        <v>33</v>
      </c>
    </row>
    <row r="298" spans="1:19" x14ac:dyDescent="0.25">
      <c r="A298" s="5">
        <v>18754354</v>
      </c>
      <c r="B298" t="s">
        <v>72</v>
      </c>
      <c r="C298" t="s">
        <v>257</v>
      </c>
      <c r="D298" t="s">
        <v>753</v>
      </c>
      <c r="E298" t="s">
        <v>758</v>
      </c>
      <c r="F298" t="s">
        <v>761</v>
      </c>
      <c r="G298">
        <v>65</v>
      </c>
      <c r="H298" t="s">
        <v>258</v>
      </c>
      <c r="I298" s="3">
        <v>45747.8055439815</v>
      </c>
      <c r="J298" s="4">
        <v>45538</v>
      </c>
      <c r="K298" s="4">
        <v>45750</v>
      </c>
      <c r="L298">
        <v>7</v>
      </c>
      <c r="M298" s="1">
        <v>922.8</v>
      </c>
      <c r="N298" s="1">
        <f>SUM(NewBusiness[[#This Row],[Premium]]/12)</f>
        <v>76.899999999999991</v>
      </c>
      <c r="O298" s="13">
        <v>1.1000000000000001</v>
      </c>
      <c r="P298" s="1">
        <v>0</v>
      </c>
      <c r="Q298" s="1">
        <v>84.59</v>
      </c>
      <c r="R298" t="s">
        <v>32</v>
      </c>
      <c r="S298" t="s">
        <v>33</v>
      </c>
    </row>
    <row r="299" spans="1:19" x14ac:dyDescent="0.25">
      <c r="A299" s="5">
        <v>9213293</v>
      </c>
      <c r="B299" t="s">
        <v>56</v>
      </c>
      <c r="C299" t="s">
        <v>643</v>
      </c>
      <c r="D299" t="s">
        <v>753</v>
      </c>
      <c r="E299" t="s">
        <v>758</v>
      </c>
      <c r="F299" t="s">
        <v>761</v>
      </c>
      <c r="G299">
        <v>60</v>
      </c>
      <c r="H299" t="s">
        <v>644</v>
      </c>
      <c r="I299" s="3">
        <v>45747.8055439815</v>
      </c>
      <c r="J299" s="4">
        <v>45546</v>
      </c>
      <c r="K299" s="4">
        <v>45758</v>
      </c>
      <c r="L299">
        <v>7</v>
      </c>
      <c r="M299" s="1">
        <v>679.5</v>
      </c>
      <c r="N299" s="1">
        <f>SUM(NewBusiness[[#This Row],[Premium]]/12)</f>
        <v>56.625</v>
      </c>
      <c r="O299" s="13">
        <v>1.1000000000000001</v>
      </c>
      <c r="P299" s="1">
        <v>0</v>
      </c>
      <c r="Q299" s="1">
        <v>62.28</v>
      </c>
      <c r="R299" t="s">
        <v>32</v>
      </c>
      <c r="S299" t="s">
        <v>33</v>
      </c>
    </row>
    <row r="300" spans="1:19" x14ac:dyDescent="0.25">
      <c r="A300" s="5">
        <v>15278437</v>
      </c>
      <c r="B300" t="s">
        <v>356</v>
      </c>
      <c r="C300" t="s">
        <v>357</v>
      </c>
      <c r="D300" t="s">
        <v>752</v>
      </c>
      <c r="E300" t="s">
        <v>758</v>
      </c>
      <c r="F300" t="s">
        <v>761</v>
      </c>
      <c r="G300">
        <v>66</v>
      </c>
      <c r="H300" t="s">
        <v>358</v>
      </c>
      <c r="I300" s="3">
        <v>45747.8055439815</v>
      </c>
      <c r="J300" s="4">
        <v>45566</v>
      </c>
      <c r="K300" s="4">
        <v>45778</v>
      </c>
      <c r="L300">
        <v>7</v>
      </c>
      <c r="M300" s="1">
        <v>822</v>
      </c>
      <c r="N300" s="1">
        <f>SUM(NewBusiness[[#This Row],[Premium]]/12)</f>
        <v>68.5</v>
      </c>
      <c r="O300" s="13">
        <v>0.8</v>
      </c>
      <c r="P300" s="1">
        <v>0</v>
      </c>
      <c r="Q300" s="1">
        <v>54.8</v>
      </c>
      <c r="R300" t="s">
        <v>108</v>
      </c>
      <c r="S300" t="s">
        <v>33</v>
      </c>
    </row>
    <row r="301" spans="1:19" x14ac:dyDescent="0.25">
      <c r="A301" s="5">
        <v>8814784</v>
      </c>
      <c r="B301" t="s">
        <v>34</v>
      </c>
      <c r="C301" t="s">
        <v>403</v>
      </c>
      <c r="D301" t="s">
        <v>752</v>
      </c>
      <c r="E301" t="s">
        <v>758</v>
      </c>
      <c r="F301" t="s">
        <v>761</v>
      </c>
      <c r="G301">
        <v>64</v>
      </c>
      <c r="H301" t="s">
        <v>404</v>
      </c>
      <c r="I301" s="3">
        <v>45747.8055439815</v>
      </c>
      <c r="J301" s="4">
        <v>45566</v>
      </c>
      <c r="K301" s="4">
        <v>45778</v>
      </c>
      <c r="L301">
        <v>7</v>
      </c>
      <c r="M301" s="1">
        <v>352.8</v>
      </c>
      <c r="N301" s="1">
        <f>SUM(NewBusiness[[#This Row],[Premium]]/12)</f>
        <v>29.400000000000002</v>
      </c>
      <c r="O301" s="13">
        <v>0.8</v>
      </c>
      <c r="P301" s="1">
        <v>0</v>
      </c>
      <c r="Q301" s="1">
        <v>23.52</v>
      </c>
      <c r="R301" t="s">
        <v>32</v>
      </c>
      <c r="S301" t="s">
        <v>33</v>
      </c>
    </row>
    <row r="302" spans="1:19" x14ac:dyDescent="0.25">
      <c r="A302" s="5">
        <v>9213293</v>
      </c>
      <c r="B302" t="s">
        <v>56</v>
      </c>
      <c r="C302" t="s">
        <v>427</v>
      </c>
      <c r="D302" t="s">
        <v>754</v>
      </c>
      <c r="E302" t="s">
        <v>758</v>
      </c>
      <c r="F302" t="s">
        <v>761</v>
      </c>
      <c r="G302">
        <v>63</v>
      </c>
      <c r="H302" t="s">
        <v>428</v>
      </c>
      <c r="I302" s="3">
        <v>45747.8055439815</v>
      </c>
      <c r="J302" s="4">
        <v>45566</v>
      </c>
      <c r="K302" s="4">
        <v>45778</v>
      </c>
      <c r="L302">
        <v>7</v>
      </c>
      <c r="M302" s="1">
        <v>746.56</v>
      </c>
      <c r="N302" s="1">
        <f>SUM(NewBusiness[[#This Row],[Premium]]/12)</f>
        <v>62.213333333333331</v>
      </c>
      <c r="O302" s="13">
        <v>0.85</v>
      </c>
      <c r="P302" s="1">
        <v>0</v>
      </c>
      <c r="Q302" s="1">
        <v>52.88</v>
      </c>
      <c r="R302" t="s">
        <v>32</v>
      </c>
      <c r="S302" t="s">
        <v>33</v>
      </c>
    </row>
    <row r="303" spans="1:19" x14ac:dyDescent="0.25">
      <c r="A303" s="5">
        <v>18754354</v>
      </c>
      <c r="B303" t="s">
        <v>72</v>
      </c>
      <c r="C303" t="s">
        <v>611</v>
      </c>
      <c r="D303" t="s">
        <v>753</v>
      </c>
      <c r="E303" t="s">
        <v>758</v>
      </c>
      <c r="F303" t="s">
        <v>761</v>
      </c>
      <c r="G303">
        <v>66</v>
      </c>
      <c r="H303" t="s">
        <v>612</v>
      </c>
      <c r="I303" s="3">
        <v>45747.8055439815</v>
      </c>
      <c r="J303" s="4">
        <v>45566</v>
      </c>
      <c r="K303" s="4">
        <v>45778</v>
      </c>
      <c r="L303">
        <v>7</v>
      </c>
      <c r="M303" s="1">
        <v>372</v>
      </c>
      <c r="N303" s="1">
        <f>SUM(NewBusiness[[#This Row],[Premium]]/12)</f>
        <v>31</v>
      </c>
      <c r="O303" s="13">
        <v>1.1000000000000001</v>
      </c>
      <c r="P303" s="1">
        <v>0</v>
      </c>
      <c r="Q303" s="1">
        <v>34.1</v>
      </c>
      <c r="R303" t="s">
        <v>32</v>
      </c>
      <c r="S303" t="s">
        <v>33</v>
      </c>
    </row>
    <row r="304" spans="1:19" x14ac:dyDescent="0.25">
      <c r="A304" s="5">
        <v>17425766</v>
      </c>
      <c r="B304" t="s">
        <v>133</v>
      </c>
      <c r="C304" t="s">
        <v>265</v>
      </c>
      <c r="D304" t="s">
        <v>752</v>
      </c>
      <c r="E304" t="s">
        <v>758</v>
      </c>
      <c r="F304" t="s">
        <v>761</v>
      </c>
      <c r="G304">
        <v>65</v>
      </c>
      <c r="H304" t="s">
        <v>266</v>
      </c>
      <c r="I304" s="3">
        <v>45747.8055439815</v>
      </c>
      <c r="J304" s="4">
        <v>45577</v>
      </c>
      <c r="K304" s="4">
        <v>45789</v>
      </c>
      <c r="L304">
        <v>7</v>
      </c>
      <c r="M304" s="1">
        <v>924</v>
      </c>
      <c r="N304" s="1">
        <f>SUM(NewBusiness[[#This Row],[Premium]]/12)</f>
        <v>77</v>
      </c>
      <c r="O304" s="13">
        <v>0.8</v>
      </c>
      <c r="P304" s="1">
        <v>0</v>
      </c>
      <c r="Q304" s="1">
        <v>61.6</v>
      </c>
      <c r="R304" t="s">
        <v>108</v>
      </c>
      <c r="S304" t="s">
        <v>33</v>
      </c>
    </row>
    <row r="305" spans="1:19" x14ac:dyDescent="0.25">
      <c r="A305" s="5">
        <v>9213293</v>
      </c>
      <c r="B305" t="s">
        <v>56</v>
      </c>
      <c r="C305" t="s">
        <v>588</v>
      </c>
      <c r="D305" t="s">
        <v>752</v>
      </c>
      <c r="E305" t="s">
        <v>758</v>
      </c>
      <c r="F305" t="s">
        <v>761</v>
      </c>
      <c r="G305">
        <v>64</v>
      </c>
      <c r="H305" t="s">
        <v>589</v>
      </c>
      <c r="I305" s="3">
        <v>45747.8055439815</v>
      </c>
      <c r="J305" s="4">
        <v>45505</v>
      </c>
      <c r="K305" s="4">
        <v>45748</v>
      </c>
      <c r="L305">
        <v>8</v>
      </c>
      <c r="M305" s="1">
        <v>694.31</v>
      </c>
      <c r="N305" s="1">
        <f>SUM(NewBusiness[[#This Row],[Premium]]/12)</f>
        <v>57.85916666666666</v>
      </c>
      <c r="O305" s="13">
        <v>0.8</v>
      </c>
      <c r="P305" s="1">
        <v>0</v>
      </c>
      <c r="Q305" s="1">
        <v>46.29</v>
      </c>
      <c r="R305" t="s">
        <v>32</v>
      </c>
      <c r="S305" t="s">
        <v>33</v>
      </c>
    </row>
    <row r="306" spans="1:19" x14ac:dyDescent="0.25">
      <c r="A306" s="5">
        <v>9213293</v>
      </c>
      <c r="B306" t="s">
        <v>56</v>
      </c>
      <c r="C306" t="s">
        <v>57</v>
      </c>
      <c r="D306" t="s">
        <v>754</v>
      </c>
      <c r="E306" t="s">
        <v>758</v>
      </c>
      <c r="F306" t="s">
        <v>761</v>
      </c>
      <c r="G306">
        <v>72</v>
      </c>
      <c r="H306" t="s">
        <v>58</v>
      </c>
      <c r="I306" s="3">
        <v>45747.8055439815</v>
      </c>
      <c r="J306" s="4">
        <v>45522</v>
      </c>
      <c r="K306" s="4">
        <v>45765</v>
      </c>
      <c r="L306">
        <v>8</v>
      </c>
      <c r="M306" s="1">
        <v>1247.1099999999999</v>
      </c>
      <c r="N306" s="1">
        <f>SUM(NewBusiness[[#This Row],[Premium]]/12)</f>
        <v>103.92583333333333</v>
      </c>
      <c r="O306" s="13">
        <v>0.85</v>
      </c>
      <c r="P306" s="1">
        <v>0</v>
      </c>
      <c r="Q306" s="1">
        <v>88.34</v>
      </c>
      <c r="R306" t="s">
        <v>32</v>
      </c>
      <c r="S306" t="s">
        <v>33</v>
      </c>
    </row>
    <row r="307" spans="1:19" x14ac:dyDescent="0.25">
      <c r="A307" s="5">
        <v>9213293</v>
      </c>
      <c r="B307" t="s">
        <v>56</v>
      </c>
      <c r="C307" t="s">
        <v>598</v>
      </c>
      <c r="D307" t="s">
        <v>754</v>
      </c>
      <c r="E307" t="s">
        <v>758</v>
      </c>
      <c r="F307" t="s">
        <v>761</v>
      </c>
      <c r="G307">
        <v>66</v>
      </c>
      <c r="H307" t="s">
        <v>599</v>
      </c>
      <c r="I307" s="3">
        <v>45747.8055439815</v>
      </c>
      <c r="J307" s="4">
        <v>45522</v>
      </c>
      <c r="K307" s="4">
        <v>45765</v>
      </c>
      <c r="L307">
        <v>8</v>
      </c>
      <c r="M307" s="1">
        <v>884.95</v>
      </c>
      <c r="N307" s="1">
        <f>SUM(NewBusiness[[#This Row],[Premium]]/12)</f>
        <v>73.745833333333337</v>
      </c>
      <c r="O307" s="13">
        <v>0.85</v>
      </c>
      <c r="P307" s="1">
        <v>0</v>
      </c>
      <c r="Q307" s="1">
        <v>62.68</v>
      </c>
      <c r="R307" t="s">
        <v>32</v>
      </c>
      <c r="S307" t="s">
        <v>33</v>
      </c>
    </row>
    <row r="308" spans="1:19" x14ac:dyDescent="0.25">
      <c r="A308" s="5">
        <v>9213293</v>
      </c>
      <c r="B308" t="s">
        <v>56</v>
      </c>
      <c r="C308" t="s">
        <v>421</v>
      </c>
      <c r="D308" t="s">
        <v>753</v>
      </c>
      <c r="E308" t="s">
        <v>758</v>
      </c>
      <c r="F308" t="s">
        <v>761</v>
      </c>
      <c r="G308">
        <v>73</v>
      </c>
      <c r="H308" t="s">
        <v>422</v>
      </c>
      <c r="I308" s="3">
        <v>45747.8055439815</v>
      </c>
      <c r="J308" s="4">
        <v>45524</v>
      </c>
      <c r="K308" s="4">
        <v>45767</v>
      </c>
      <c r="L308">
        <v>8</v>
      </c>
      <c r="M308" s="1">
        <v>1060</v>
      </c>
      <c r="N308" s="1">
        <f>SUM(NewBusiness[[#This Row],[Premium]]/12)</f>
        <v>88.333333333333329</v>
      </c>
      <c r="O308" s="13">
        <v>1.1000000000000001</v>
      </c>
      <c r="P308" s="1">
        <v>0</v>
      </c>
      <c r="Q308" s="1">
        <v>97.16</v>
      </c>
      <c r="R308" t="s">
        <v>32</v>
      </c>
      <c r="S308" t="s">
        <v>33</v>
      </c>
    </row>
    <row r="309" spans="1:19" x14ac:dyDescent="0.25">
      <c r="A309" s="5">
        <v>5442438</v>
      </c>
      <c r="B309" t="s">
        <v>539</v>
      </c>
      <c r="C309" t="s">
        <v>540</v>
      </c>
      <c r="D309" t="s">
        <v>751</v>
      </c>
      <c r="E309" t="s">
        <v>758</v>
      </c>
      <c r="F309" t="s">
        <v>761</v>
      </c>
      <c r="G309">
        <v>57</v>
      </c>
      <c r="H309" t="s">
        <v>541</v>
      </c>
      <c r="I309" s="3">
        <v>45747.8055439815</v>
      </c>
      <c r="J309" s="4">
        <v>45533</v>
      </c>
      <c r="K309" s="4">
        <v>45776</v>
      </c>
      <c r="L309">
        <v>8</v>
      </c>
      <c r="M309" s="1">
        <v>1288.98</v>
      </c>
      <c r="N309" s="1">
        <f>SUM(NewBusiness[[#This Row],[Premium]]/12)</f>
        <v>107.41500000000001</v>
      </c>
      <c r="O309" s="13">
        <v>0.75</v>
      </c>
      <c r="P309" s="1">
        <v>0</v>
      </c>
      <c r="Q309" s="1">
        <v>80.56</v>
      </c>
      <c r="R309" t="s">
        <v>97</v>
      </c>
      <c r="S309" t="s">
        <v>33</v>
      </c>
    </row>
    <row r="310" spans="1:19" x14ac:dyDescent="0.25">
      <c r="A310" s="5">
        <v>9213293</v>
      </c>
      <c r="B310" t="s">
        <v>56</v>
      </c>
      <c r="C310" t="s">
        <v>327</v>
      </c>
      <c r="D310" t="s">
        <v>752</v>
      </c>
      <c r="E310" t="s">
        <v>758</v>
      </c>
      <c r="F310" t="s">
        <v>761</v>
      </c>
      <c r="G310">
        <v>64</v>
      </c>
      <c r="H310" t="s">
        <v>328</v>
      </c>
      <c r="I310" s="3">
        <v>45747.8055439815</v>
      </c>
      <c r="J310" s="4">
        <v>45536</v>
      </c>
      <c r="K310" s="4">
        <v>45778</v>
      </c>
      <c r="L310">
        <v>8</v>
      </c>
      <c r="M310" s="1">
        <v>1142.78</v>
      </c>
      <c r="N310" s="1">
        <f>SUM(NewBusiness[[#This Row],[Premium]]/12)</f>
        <v>95.231666666666669</v>
      </c>
      <c r="O310" s="13">
        <v>0.8</v>
      </c>
      <c r="P310" s="1">
        <v>0</v>
      </c>
      <c r="Q310" s="1">
        <v>76.180000000000007</v>
      </c>
      <c r="R310" t="s">
        <v>329</v>
      </c>
      <c r="S310" t="s">
        <v>33</v>
      </c>
    </row>
    <row r="311" spans="1:19" x14ac:dyDescent="0.25">
      <c r="A311" s="5">
        <v>9213293</v>
      </c>
      <c r="B311" t="s">
        <v>56</v>
      </c>
      <c r="C311" t="s">
        <v>623</v>
      </c>
      <c r="D311" t="s">
        <v>752</v>
      </c>
      <c r="E311" t="s">
        <v>758</v>
      </c>
      <c r="F311" t="s">
        <v>761</v>
      </c>
      <c r="G311">
        <v>69</v>
      </c>
      <c r="H311" t="s">
        <v>624</v>
      </c>
      <c r="I311" s="3">
        <v>45747.8055439815</v>
      </c>
      <c r="J311" s="4">
        <v>45536</v>
      </c>
      <c r="K311" s="4">
        <v>45778</v>
      </c>
      <c r="L311">
        <v>8</v>
      </c>
      <c r="M311" s="1">
        <v>1220.4000000000001</v>
      </c>
      <c r="N311" s="1">
        <f>SUM(NewBusiness[[#This Row],[Premium]]/12)</f>
        <v>101.7</v>
      </c>
      <c r="O311" s="13">
        <v>0.8</v>
      </c>
      <c r="P311" s="1">
        <v>0</v>
      </c>
      <c r="Q311" s="1">
        <v>81.36</v>
      </c>
      <c r="R311" t="s">
        <v>32</v>
      </c>
      <c r="S311" t="s">
        <v>33</v>
      </c>
    </row>
    <row r="312" spans="1:19" x14ac:dyDescent="0.25">
      <c r="A312" s="5">
        <v>9213293</v>
      </c>
      <c r="B312" t="s">
        <v>56</v>
      </c>
      <c r="C312" t="s">
        <v>352</v>
      </c>
      <c r="D312" t="s">
        <v>754</v>
      </c>
      <c r="E312" t="s">
        <v>758</v>
      </c>
      <c r="F312" t="s">
        <v>761</v>
      </c>
      <c r="G312">
        <v>68</v>
      </c>
      <c r="H312" t="s">
        <v>353</v>
      </c>
      <c r="I312" s="3">
        <v>45747.8055439815</v>
      </c>
      <c r="J312" s="4">
        <v>45536</v>
      </c>
      <c r="K312" s="4">
        <v>45778</v>
      </c>
      <c r="L312">
        <v>8</v>
      </c>
      <c r="M312" s="1">
        <v>884.95</v>
      </c>
      <c r="N312" s="1">
        <f>SUM(NewBusiness[[#This Row],[Premium]]/12)</f>
        <v>73.745833333333337</v>
      </c>
      <c r="O312" s="13">
        <v>0.85</v>
      </c>
      <c r="P312" s="1">
        <v>0</v>
      </c>
      <c r="Q312" s="1">
        <v>62.68</v>
      </c>
      <c r="R312" t="s">
        <v>32</v>
      </c>
      <c r="S312" t="s">
        <v>33</v>
      </c>
    </row>
    <row r="313" spans="1:19" x14ac:dyDescent="0.25">
      <c r="A313" s="5">
        <v>9213293</v>
      </c>
      <c r="B313" t="s">
        <v>56</v>
      </c>
      <c r="C313" t="s">
        <v>526</v>
      </c>
      <c r="D313" t="s">
        <v>754</v>
      </c>
      <c r="E313" t="s">
        <v>758</v>
      </c>
      <c r="F313" t="s">
        <v>761</v>
      </c>
      <c r="G313">
        <v>65</v>
      </c>
      <c r="H313" t="s">
        <v>527</v>
      </c>
      <c r="I313" s="3">
        <v>45747.8055439815</v>
      </c>
      <c r="J313" s="4">
        <v>45536</v>
      </c>
      <c r="K313" s="4">
        <v>45778</v>
      </c>
      <c r="L313">
        <v>8</v>
      </c>
      <c r="M313" s="1">
        <v>951.57</v>
      </c>
      <c r="N313" s="1">
        <f>SUM(NewBusiness[[#This Row],[Premium]]/12)</f>
        <v>79.297499999999999</v>
      </c>
      <c r="O313" s="13">
        <v>0.85</v>
      </c>
      <c r="P313" s="1">
        <v>0</v>
      </c>
      <c r="Q313" s="1">
        <v>67.400000000000006</v>
      </c>
      <c r="R313" t="s">
        <v>32</v>
      </c>
      <c r="S313" t="s">
        <v>33</v>
      </c>
    </row>
    <row r="314" spans="1:19" x14ac:dyDescent="0.25">
      <c r="A314" s="5">
        <v>9213293</v>
      </c>
      <c r="B314" t="s">
        <v>56</v>
      </c>
      <c r="C314" t="s">
        <v>573</v>
      </c>
      <c r="D314" t="s">
        <v>754</v>
      </c>
      <c r="E314" t="s">
        <v>758</v>
      </c>
      <c r="F314" t="s">
        <v>761</v>
      </c>
      <c r="G314">
        <v>66</v>
      </c>
      <c r="H314" t="s">
        <v>574</v>
      </c>
      <c r="I314" s="3">
        <v>45747.8055439815</v>
      </c>
      <c r="J314" s="4">
        <v>45536</v>
      </c>
      <c r="K314" s="4">
        <v>45778</v>
      </c>
      <c r="L314">
        <v>8</v>
      </c>
      <c r="M314" s="1">
        <v>884.95</v>
      </c>
      <c r="N314" s="1">
        <f>SUM(NewBusiness[[#This Row],[Premium]]/12)</f>
        <v>73.745833333333337</v>
      </c>
      <c r="O314" s="13">
        <v>0.85</v>
      </c>
      <c r="P314" s="1">
        <v>0</v>
      </c>
      <c r="Q314" s="1">
        <v>62.68</v>
      </c>
      <c r="R314" t="s">
        <v>32</v>
      </c>
      <c r="S314" t="s">
        <v>33</v>
      </c>
    </row>
    <row r="315" spans="1:19" x14ac:dyDescent="0.25">
      <c r="A315" s="5">
        <v>9213293</v>
      </c>
      <c r="B315" t="s">
        <v>56</v>
      </c>
      <c r="C315" t="s">
        <v>319</v>
      </c>
      <c r="D315" t="s">
        <v>751</v>
      </c>
      <c r="E315" t="s">
        <v>758</v>
      </c>
      <c r="F315" t="s">
        <v>761</v>
      </c>
      <c r="G315">
        <v>30</v>
      </c>
      <c r="H315" t="s">
        <v>320</v>
      </c>
      <c r="I315" s="3">
        <v>45747.8055439815</v>
      </c>
      <c r="J315" s="4">
        <v>45505</v>
      </c>
      <c r="K315" s="4">
        <v>45778</v>
      </c>
      <c r="L315">
        <v>9</v>
      </c>
      <c r="M315" s="1">
        <v>802.8</v>
      </c>
      <c r="N315" s="1">
        <f>SUM(NewBusiness[[#This Row],[Premium]]/12)</f>
        <v>66.899999999999991</v>
      </c>
      <c r="O315" s="13">
        <v>0.75</v>
      </c>
      <c r="P315" s="1">
        <v>0</v>
      </c>
      <c r="Q315" s="1">
        <v>50.18</v>
      </c>
      <c r="R315" t="s">
        <v>32</v>
      </c>
      <c r="S315" t="s">
        <v>33</v>
      </c>
    </row>
    <row r="316" spans="1:19" x14ac:dyDescent="0.25">
      <c r="A316" s="5">
        <v>9079571</v>
      </c>
      <c r="B316" t="s">
        <v>94</v>
      </c>
      <c r="C316" t="s">
        <v>95</v>
      </c>
      <c r="D316" t="s">
        <v>751</v>
      </c>
      <c r="E316" t="s">
        <v>758</v>
      </c>
      <c r="F316" t="s">
        <v>761</v>
      </c>
      <c r="G316">
        <v>65</v>
      </c>
      <c r="H316" t="s">
        <v>96</v>
      </c>
      <c r="I316" s="3">
        <v>45747.8055439815</v>
      </c>
      <c r="J316" s="4">
        <v>45505</v>
      </c>
      <c r="K316" s="4">
        <v>45778</v>
      </c>
      <c r="L316">
        <v>9</v>
      </c>
      <c r="M316" s="1">
        <v>706.42</v>
      </c>
      <c r="N316" s="1">
        <f>SUM(NewBusiness[[#This Row],[Premium]]/12)</f>
        <v>58.868333333333332</v>
      </c>
      <c r="O316" s="13">
        <v>0.75</v>
      </c>
      <c r="P316" s="1">
        <v>0</v>
      </c>
      <c r="Q316" s="1">
        <v>44.14</v>
      </c>
      <c r="R316" t="s">
        <v>97</v>
      </c>
      <c r="S316" t="s">
        <v>33</v>
      </c>
    </row>
    <row r="317" spans="1:19" x14ac:dyDescent="0.25">
      <c r="A317" s="5">
        <v>18754354</v>
      </c>
      <c r="B317" t="s">
        <v>72</v>
      </c>
      <c r="C317" t="s">
        <v>164</v>
      </c>
      <c r="D317" t="s">
        <v>751</v>
      </c>
      <c r="E317" t="s">
        <v>758</v>
      </c>
      <c r="F317" t="s">
        <v>761</v>
      </c>
      <c r="G317">
        <v>64</v>
      </c>
      <c r="H317" t="s">
        <v>165</v>
      </c>
      <c r="I317" s="3">
        <v>45747.8055439815</v>
      </c>
      <c r="J317" s="4">
        <v>45505</v>
      </c>
      <c r="K317" s="4">
        <v>45778</v>
      </c>
      <c r="L317">
        <v>9</v>
      </c>
      <c r="M317" s="1">
        <v>633.6</v>
      </c>
      <c r="N317" s="1">
        <f>SUM(NewBusiness[[#This Row],[Premium]]/12)</f>
        <v>52.800000000000004</v>
      </c>
      <c r="O317" s="13">
        <v>0.75</v>
      </c>
      <c r="P317" s="1">
        <v>0</v>
      </c>
      <c r="Q317" s="1">
        <v>39.6</v>
      </c>
      <c r="R317" t="s">
        <v>32</v>
      </c>
      <c r="S317" t="s">
        <v>33</v>
      </c>
    </row>
    <row r="318" spans="1:19" x14ac:dyDescent="0.25">
      <c r="A318" s="5">
        <v>15278437</v>
      </c>
      <c r="B318" t="s">
        <v>356</v>
      </c>
      <c r="C318" t="s">
        <v>472</v>
      </c>
      <c r="D318" t="s">
        <v>752</v>
      </c>
      <c r="E318" t="s">
        <v>758</v>
      </c>
      <c r="F318" t="s">
        <v>761</v>
      </c>
      <c r="G318">
        <v>65</v>
      </c>
      <c r="H318" t="s">
        <v>473</v>
      </c>
      <c r="I318" s="3">
        <v>45747.8055439815</v>
      </c>
      <c r="J318" s="4">
        <v>45505</v>
      </c>
      <c r="K318" s="4">
        <v>45778</v>
      </c>
      <c r="L318">
        <v>9</v>
      </c>
      <c r="M318" s="1">
        <v>781.2</v>
      </c>
      <c r="N318" s="1">
        <f>SUM(NewBusiness[[#This Row],[Premium]]/12)</f>
        <v>65.100000000000009</v>
      </c>
      <c r="O318" s="13">
        <v>0.8</v>
      </c>
      <c r="P318" s="1">
        <v>0</v>
      </c>
      <c r="Q318" s="1">
        <v>52.08</v>
      </c>
      <c r="R318" t="s">
        <v>108</v>
      </c>
      <c r="S318" t="s">
        <v>33</v>
      </c>
    </row>
    <row r="319" spans="1:19" x14ac:dyDescent="0.25">
      <c r="A319" s="5">
        <v>15278437</v>
      </c>
      <c r="B319" t="s">
        <v>356</v>
      </c>
      <c r="C319" t="s">
        <v>647</v>
      </c>
      <c r="D319" t="s">
        <v>752</v>
      </c>
      <c r="E319" t="s">
        <v>758</v>
      </c>
      <c r="F319" t="s">
        <v>761</v>
      </c>
      <c r="G319">
        <v>66</v>
      </c>
      <c r="H319" t="s">
        <v>648</v>
      </c>
      <c r="I319" s="3">
        <v>45747.8055439815</v>
      </c>
      <c r="J319" s="4">
        <v>45505</v>
      </c>
      <c r="K319" s="4">
        <v>45778</v>
      </c>
      <c r="L319">
        <v>9</v>
      </c>
      <c r="M319" s="1">
        <v>664.02</v>
      </c>
      <c r="N319" s="1">
        <f>SUM(NewBusiness[[#This Row],[Premium]]/12)</f>
        <v>55.335000000000001</v>
      </c>
      <c r="O319" s="13">
        <v>0.8</v>
      </c>
      <c r="P319" s="1">
        <v>0</v>
      </c>
      <c r="Q319" s="1">
        <v>44.26</v>
      </c>
      <c r="R319" t="s">
        <v>108</v>
      </c>
      <c r="S319" t="s">
        <v>33</v>
      </c>
    </row>
    <row r="320" spans="1:19" x14ac:dyDescent="0.25">
      <c r="A320" s="5">
        <v>18781057</v>
      </c>
      <c r="B320" t="s">
        <v>312</v>
      </c>
      <c r="C320" t="s">
        <v>313</v>
      </c>
      <c r="D320" t="s">
        <v>752</v>
      </c>
      <c r="E320" t="s">
        <v>758</v>
      </c>
      <c r="F320" t="s">
        <v>761</v>
      </c>
      <c r="G320">
        <v>64</v>
      </c>
      <c r="H320" t="s">
        <v>314</v>
      </c>
      <c r="I320" s="3">
        <v>45747.8055439815</v>
      </c>
      <c r="J320" s="4">
        <v>45506</v>
      </c>
      <c r="K320" s="4">
        <v>45779</v>
      </c>
      <c r="L320">
        <v>9</v>
      </c>
      <c r="M320" s="1">
        <v>1485.39</v>
      </c>
      <c r="N320" s="1">
        <f>SUM(NewBusiness[[#This Row],[Premium]]/12)</f>
        <v>123.78250000000001</v>
      </c>
      <c r="O320" s="13">
        <v>0.8</v>
      </c>
      <c r="P320" s="1">
        <v>0</v>
      </c>
      <c r="Q320" s="1">
        <v>99.02</v>
      </c>
      <c r="R320" t="s">
        <v>108</v>
      </c>
      <c r="S320" t="s">
        <v>33</v>
      </c>
    </row>
    <row r="321" spans="1:19" x14ac:dyDescent="0.25">
      <c r="A321" s="5">
        <v>18781057</v>
      </c>
      <c r="B321" t="s">
        <v>312</v>
      </c>
      <c r="C321" t="s">
        <v>661</v>
      </c>
      <c r="D321" t="s">
        <v>752</v>
      </c>
      <c r="E321" t="s">
        <v>758</v>
      </c>
      <c r="F321" t="s">
        <v>761</v>
      </c>
      <c r="G321">
        <v>69</v>
      </c>
      <c r="H321" t="s">
        <v>662</v>
      </c>
      <c r="I321" s="3">
        <v>45747.8055439815</v>
      </c>
      <c r="J321" s="4">
        <v>45506</v>
      </c>
      <c r="K321" s="4">
        <v>45779</v>
      </c>
      <c r="L321">
        <v>9</v>
      </c>
      <c r="M321" s="1">
        <v>896.15</v>
      </c>
      <c r="N321" s="1">
        <f>SUM(NewBusiness[[#This Row],[Premium]]/12)</f>
        <v>74.67916666666666</v>
      </c>
      <c r="O321" s="13">
        <v>0.8</v>
      </c>
      <c r="P321" s="1">
        <v>0</v>
      </c>
      <c r="Q321" s="1">
        <v>59.74</v>
      </c>
      <c r="R321" t="s">
        <v>108</v>
      </c>
      <c r="S321" t="s">
        <v>33</v>
      </c>
    </row>
    <row r="322" spans="1:19" x14ac:dyDescent="0.25">
      <c r="A322" s="5">
        <v>17528908</v>
      </c>
      <c r="B322" t="s">
        <v>105</v>
      </c>
      <c r="C322" t="s">
        <v>325</v>
      </c>
      <c r="D322" t="s">
        <v>751</v>
      </c>
      <c r="E322" t="s">
        <v>758</v>
      </c>
      <c r="F322" t="s">
        <v>761</v>
      </c>
      <c r="G322">
        <v>64</v>
      </c>
      <c r="H322" t="s">
        <v>326</v>
      </c>
      <c r="I322" s="3">
        <v>45747.8055439815</v>
      </c>
      <c r="J322" s="4">
        <v>45444</v>
      </c>
      <c r="K322" s="4">
        <v>45748</v>
      </c>
      <c r="L322">
        <v>10</v>
      </c>
      <c r="M322" s="1">
        <v>502.2</v>
      </c>
      <c r="N322" s="1">
        <f>SUM(NewBusiness[[#This Row],[Premium]]/12)</f>
        <v>41.85</v>
      </c>
      <c r="O322" s="13">
        <v>0.75</v>
      </c>
      <c r="P322" s="1">
        <v>0</v>
      </c>
      <c r="Q322" s="1">
        <v>31.39</v>
      </c>
      <c r="R322" t="s">
        <v>108</v>
      </c>
      <c r="S322" t="s">
        <v>33</v>
      </c>
    </row>
    <row r="323" spans="1:19" x14ac:dyDescent="0.25">
      <c r="A323" s="5">
        <v>17528908</v>
      </c>
      <c r="B323" t="s">
        <v>105</v>
      </c>
      <c r="C323" t="s">
        <v>520</v>
      </c>
      <c r="D323" t="s">
        <v>751</v>
      </c>
      <c r="E323" t="s">
        <v>758</v>
      </c>
      <c r="F323" t="s">
        <v>761</v>
      </c>
      <c r="G323">
        <v>64</v>
      </c>
      <c r="H323" t="s">
        <v>521</v>
      </c>
      <c r="I323" s="3">
        <v>45747.8055439815</v>
      </c>
      <c r="J323" s="4">
        <v>45439</v>
      </c>
      <c r="K323" s="4">
        <v>45774</v>
      </c>
      <c r="L323">
        <v>11</v>
      </c>
      <c r="M323" s="1">
        <v>524.52</v>
      </c>
      <c r="N323" s="1">
        <f>SUM(NewBusiness[[#This Row],[Premium]]/12)</f>
        <v>43.71</v>
      </c>
      <c r="O323" s="13">
        <v>0.75</v>
      </c>
      <c r="P323" s="1">
        <v>0</v>
      </c>
      <c r="Q323" s="1">
        <v>32.78</v>
      </c>
      <c r="R323" t="s">
        <v>108</v>
      </c>
      <c r="S323" t="s">
        <v>33</v>
      </c>
    </row>
    <row r="324" spans="1:19" x14ac:dyDescent="0.25">
      <c r="A324" s="5">
        <v>17528908</v>
      </c>
      <c r="B324" t="s">
        <v>105</v>
      </c>
      <c r="C324" t="s">
        <v>439</v>
      </c>
      <c r="D324" t="s">
        <v>751</v>
      </c>
      <c r="E324" t="s">
        <v>758</v>
      </c>
      <c r="F324" t="s">
        <v>761</v>
      </c>
      <c r="G324">
        <v>63</v>
      </c>
      <c r="H324" t="s">
        <v>440</v>
      </c>
      <c r="I324" s="3">
        <v>45747.8055439815</v>
      </c>
      <c r="J324" s="4">
        <v>45444</v>
      </c>
      <c r="K324" s="4">
        <v>45778</v>
      </c>
      <c r="L324">
        <v>11</v>
      </c>
      <c r="M324" s="1">
        <v>540</v>
      </c>
      <c r="N324" s="1">
        <f>SUM(NewBusiness[[#This Row],[Premium]]/12)</f>
        <v>45</v>
      </c>
      <c r="O324" s="13">
        <v>0.75</v>
      </c>
      <c r="P324" s="1">
        <v>0</v>
      </c>
      <c r="Q324" s="1">
        <v>33.75</v>
      </c>
      <c r="R324" t="s">
        <v>108</v>
      </c>
      <c r="S324" t="s">
        <v>33</v>
      </c>
    </row>
    <row r="325" spans="1:19" x14ac:dyDescent="0.25">
      <c r="A325" s="5">
        <v>9213293</v>
      </c>
      <c r="B325" t="s">
        <v>56</v>
      </c>
      <c r="C325" t="s">
        <v>682</v>
      </c>
      <c r="D325" t="s">
        <v>751</v>
      </c>
      <c r="E325" t="s">
        <v>758</v>
      </c>
      <c r="F325" t="s">
        <v>761</v>
      </c>
      <c r="G325">
        <v>37</v>
      </c>
      <c r="H325" t="s">
        <v>683</v>
      </c>
      <c r="I325" s="3">
        <v>45747.8055439815</v>
      </c>
      <c r="J325" s="4">
        <v>45444</v>
      </c>
      <c r="K325" s="4">
        <v>45778</v>
      </c>
      <c r="L325">
        <v>11</v>
      </c>
      <c r="M325" s="1">
        <v>754.8</v>
      </c>
      <c r="N325" s="1">
        <f>SUM(NewBusiness[[#This Row],[Premium]]/12)</f>
        <v>62.9</v>
      </c>
      <c r="O325" s="13">
        <v>0.75</v>
      </c>
      <c r="P325" s="1">
        <v>0</v>
      </c>
      <c r="Q325" s="1">
        <v>47.18</v>
      </c>
      <c r="R325" t="s">
        <v>32</v>
      </c>
      <c r="S325" t="s">
        <v>33</v>
      </c>
    </row>
    <row r="326" spans="1:19" x14ac:dyDescent="0.25">
      <c r="A326" s="5">
        <v>18781057</v>
      </c>
      <c r="B326" t="s">
        <v>312</v>
      </c>
      <c r="C326" t="s">
        <v>485</v>
      </c>
      <c r="D326" t="s">
        <v>751</v>
      </c>
      <c r="E326" t="s">
        <v>758</v>
      </c>
      <c r="F326" t="s">
        <v>761</v>
      </c>
      <c r="G326">
        <v>65</v>
      </c>
      <c r="H326" t="s">
        <v>486</v>
      </c>
      <c r="I326" s="3">
        <v>45747.8055439815</v>
      </c>
      <c r="J326" s="4">
        <v>45413</v>
      </c>
      <c r="K326" s="4">
        <v>45778</v>
      </c>
      <c r="L326">
        <v>12</v>
      </c>
      <c r="M326" s="1">
        <v>2161.1999999999998</v>
      </c>
      <c r="N326" s="1">
        <f>SUM(NewBusiness[[#This Row],[Premium]]/12)</f>
        <v>180.1</v>
      </c>
      <c r="O326" s="13">
        <v>0.75</v>
      </c>
      <c r="P326" s="1">
        <v>0</v>
      </c>
      <c r="Q326" s="1">
        <v>135.07</v>
      </c>
      <c r="R326" t="s">
        <v>108</v>
      </c>
      <c r="S326" t="s">
        <v>33</v>
      </c>
    </row>
    <row r="327" spans="1:19" x14ac:dyDescent="0.25">
      <c r="A327" s="5">
        <v>18781057</v>
      </c>
      <c r="B327" t="s">
        <v>312</v>
      </c>
      <c r="C327" t="s">
        <v>510</v>
      </c>
      <c r="D327" t="s">
        <v>751</v>
      </c>
      <c r="E327" t="s">
        <v>758</v>
      </c>
      <c r="F327" t="s">
        <v>761</v>
      </c>
      <c r="G327">
        <v>64</v>
      </c>
      <c r="H327" t="s">
        <v>511</v>
      </c>
      <c r="I327" s="3">
        <v>45747.8055439815</v>
      </c>
      <c r="J327" s="4">
        <v>45413</v>
      </c>
      <c r="K327" s="4">
        <v>45778</v>
      </c>
      <c r="L327">
        <v>12</v>
      </c>
      <c r="M327" s="1">
        <v>1305.5999999999999</v>
      </c>
      <c r="N327" s="1">
        <f>SUM(NewBusiness[[#This Row],[Premium]]/12)</f>
        <v>108.8</v>
      </c>
      <c r="O327" s="13">
        <v>0.75</v>
      </c>
      <c r="P327" s="1">
        <v>0</v>
      </c>
      <c r="Q327" s="1">
        <v>81.599999999999994</v>
      </c>
      <c r="R327" t="s">
        <v>108</v>
      </c>
      <c r="S327" t="s">
        <v>33</v>
      </c>
    </row>
    <row r="328" spans="1:19" x14ac:dyDescent="0.25">
      <c r="A328" s="5">
        <v>9213293</v>
      </c>
      <c r="B328" t="s">
        <v>56</v>
      </c>
      <c r="C328" t="s">
        <v>548</v>
      </c>
      <c r="D328" t="s">
        <v>754</v>
      </c>
      <c r="E328" t="s">
        <v>758</v>
      </c>
      <c r="F328" t="s">
        <v>761</v>
      </c>
      <c r="G328">
        <v>73</v>
      </c>
      <c r="H328" t="s">
        <v>549</v>
      </c>
      <c r="I328" s="3">
        <v>45747.8055439815</v>
      </c>
      <c r="J328" s="4">
        <v>45688</v>
      </c>
      <c r="K328" s="4">
        <v>45778</v>
      </c>
      <c r="L328">
        <v>12</v>
      </c>
      <c r="M328" s="1">
        <v>1247.1099999999999</v>
      </c>
      <c r="N328" s="1">
        <f>SUM(NewBusiness[[#This Row],[Premium]]/12)</f>
        <v>103.92583333333333</v>
      </c>
      <c r="O328" s="13">
        <v>0.85</v>
      </c>
      <c r="P328" s="1">
        <v>0</v>
      </c>
      <c r="Q328" s="1">
        <v>88.34</v>
      </c>
      <c r="R328" t="s">
        <v>32</v>
      </c>
      <c r="S328" t="s">
        <v>33</v>
      </c>
    </row>
  </sheetData>
  <phoneticPr fontId="3" type="noConversion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topLeftCell="C1" workbookViewId="0">
      <selection activeCell="C12" sqref="C12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64.28515625" bestFit="1" customWidth="1"/>
    <col min="5" max="5" width="8.85546875" bestFit="1" customWidth="1"/>
    <col min="6" max="6" width="11.140625" customWidth="1"/>
    <col min="7" max="7" width="20.85546875" customWidth="1"/>
    <col min="8" max="8" width="18.28515625" customWidth="1"/>
    <col min="9" max="9" width="15.42578125" customWidth="1"/>
    <col min="10" max="10" width="14.28515625" customWidth="1"/>
    <col min="11" max="12" width="11.42578125" style="1" customWidth="1"/>
    <col min="13" max="13" width="18.7109375" bestFit="1" customWidth="1"/>
    <col min="14" max="14" width="8.140625" customWidth="1"/>
    <col min="15" max="16" width="10.85546875" style="1" customWidth="1"/>
    <col min="17" max="17" width="7.7109375" customWidth="1"/>
    <col min="18" max="18" width="14" customWidth="1"/>
  </cols>
  <sheetData>
    <row r="1" spans="1:19" x14ac:dyDescent="0.25">
      <c r="A1" t="s">
        <v>14</v>
      </c>
      <c r="B1" t="s">
        <v>15</v>
      </c>
      <c r="C1" t="s">
        <v>16</v>
      </c>
      <c r="D1" t="s">
        <v>17</v>
      </c>
      <c r="E1" t="s">
        <v>764</v>
      </c>
      <c r="F1" t="s">
        <v>747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s="1" t="s">
        <v>23</v>
      </c>
      <c r="M1" s="1" t="s">
        <v>763</v>
      </c>
      <c r="N1" t="s">
        <v>24</v>
      </c>
      <c r="O1" t="s">
        <v>25</v>
      </c>
      <c r="P1" s="1" t="s">
        <v>26</v>
      </c>
      <c r="Q1" s="1" t="s">
        <v>11</v>
      </c>
      <c r="R1" t="s">
        <v>27</v>
      </c>
      <c r="S1" t="s">
        <v>28</v>
      </c>
    </row>
    <row r="2" spans="1:19" x14ac:dyDescent="0.25">
      <c r="A2">
        <v>15278437</v>
      </c>
      <c r="B2" t="s">
        <v>356</v>
      </c>
      <c r="C2" t="s">
        <v>701</v>
      </c>
      <c r="D2" t="s">
        <v>751</v>
      </c>
      <c r="E2" t="s">
        <v>758</v>
      </c>
      <c r="F2" t="s">
        <v>761</v>
      </c>
      <c r="G2">
        <v>64</v>
      </c>
      <c r="H2" t="s">
        <v>702</v>
      </c>
      <c r="I2" s="3">
        <v>45747.8055439815</v>
      </c>
      <c r="J2" s="4">
        <v>45200</v>
      </c>
      <c r="K2" s="4">
        <v>45778</v>
      </c>
      <c r="L2" s="1">
        <v>789.6</v>
      </c>
      <c r="M2" s="1">
        <f>SUM(Renewals[[#This Row],[Premium]]/12)</f>
        <v>65.8</v>
      </c>
      <c r="N2" s="11">
        <v>0.15</v>
      </c>
      <c r="O2">
        <v>1</v>
      </c>
      <c r="P2" s="1">
        <v>0</v>
      </c>
      <c r="Q2" s="1">
        <v>9.8699999999999992</v>
      </c>
      <c r="R2" t="s">
        <v>108</v>
      </c>
      <c r="S2" t="s">
        <v>33</v>
      </c>
    </row>
    <row r="3" spans="1:19" x14ac:dyDescent="0.25">
      <c r="A3">
        <v>15278437</v>
      </c>
      <c r="B3" t="s">
        <v>356</v>
      </c>
      <c r="C3" t="s">
        <v>705</v>
      </c>
      <c r="D3" t="s">
        <v>751</v>
      </c>
      <c r="E3" t="s">
        <v>758</v>
      </c>
      <c r="F3" t="s">
        <v>761</v>
      </c>
      <c r="G3">
        <v>72</v>
      </c>
      <c r="H3" t="s">
        <v>706</v>
      </c>
      <c r="I3" s="3">
        <v>45747.8055439815</v>
      </c>
      <c r="J3" s="4">
        <v>45292</v>
      </c>
      <c r="K3" s="4">
        <v>45778</v>
      </c>
      <c r="L3" s="1">
        <v>684.11</v>
      </c>
      <c r="M3" s="1">
        <f>SUM(Renewals[[#This Row],[Premium]]/12)</f>
        <v>57.009166666666665</v>
      </c>
      <c r="N3" s="11">
        <v>0.15</v>
      </c>
      <c r="O3">
        <v>1</v>
      </c>
      <c r="P3" s="1">
        <v>0</v>
      </c>
      <c r="Q3" s="1">
        <v>8.5500000000000007</v>
      </c>
      <c r="R3" t="s">
        <v>108</v>
      </c>
      <c r="S3" t="s">
        <v>33</v>
      </c>
    </row>
    <row r="4" spans="1:19" x14ac:dyDescent="0.25">
      <c r="A4">
        <v>15278437</v>
      </c>
      <c r="B4" t="s">
        <v>356</v>
      </c>
      <c r="C4" t="s">
        <v>707</v>
      </c>
      <c r="D4" t="s">
        <v>751</v>
      </c>
      <c r="E4" t="s">
        <v>758</v>
      </c>
      <c r="F4" t="s">
        <v>761</v>
      </c>
      <c r="G4">
        <v>64</v>
      </c>
      <c r="H4" t="s">
        <v>708</v>
      </c>
      <c r="I4" s="3">
        <v>45747.8055439815</v>
      </c>
      <c r="J4" s="4">
        <v>45170</v>
      </c>
      <c r="K4" s="4">
        <v>45778</v>
      </c>
      <c r="L4" s="1">
        <v>599.29</v>
      </c>
      <c r="M4" s="1">
        <f>SUM(Renewals[[#This Row],[Premium]]/12)</f>
        <v>49.94083333333333</v>
      </c>
      <c r="N4" s="11">
        <v>0.15</v>
      </c>
      <c r="O4">
        <v>1</v>
      </c>
      <c r="P4" s="1">
        <v>0</v>
      </c>
      <c r="Q4" s="1">
        <v>7.49</v>
      </c>
      <c r="R4" t="s">
        <v>108</v>
      </c>
      <c r="S4" t="s">
        <v>33</v>
      </c>
    </row>
    <row r="5" spans="1:19" x14ac:dyDescent="0.25">
      <c r="A5">
        <v>15278437</v>
      </c>
      <c r="B5" t="s">
        <v>356</v>
      </c>
      <c r="C5" t="s">
        <v>712</v>
      </c>
      <c r="D5" t="s">
        <v>751</v>
      </c>
      <c r="E5" t="s">
        <v>758</v>
      </c>
      <c r="F5" t="s">
        <v>761</v>
      </c>
      <c r="G5">
        <v>64</v>
      </c>
      <c r="H5" t="s">
        <v>713</v>
      </c>
      <c r="I5" s="3">
        <v>45747.8055439815</v>
      </c>
      <c r="J5" s="4">
        <v>45231</v>
      </c>
      <c r="K5" s="4">
        <v>45778</v>
      </c>
      <c r="L5" s="1">
        <v>466.49</v>
      </c>
      <c r="M5" s="1">
        <f>SUM(Renewals[[#This Row],[Premium]]/12)</f>
        <v>38.874166666666667</v>
      </c>
      <c r="N5" s="11">
        <v>0.15</v>
      </c>
      <c r="O5">
        <v>1</v>
      </c>
      <c r="P5" s="1">
        <v>0</v>
      </c>
      <c r="Q5" s="1">
        <v>5.83</v>
      </c>
      <c r="R5" t="s">
        <v>108</v>
      </c>
      <c r="S5" t="s">
        <v>33</v>
      </c>
    </row>
    <row r="6" spans="1:19" x14ac:dyDescent="0.25">
      <c r="A6">
        <v>15278437</v>
      </c>
      <c r="B6" t="s">
        <v>356</v>
      </c>
      <c r="C6" t="s">
        <v>716</v>
      </c>
      <c r="D6" t="s">
        <v>751</v>
      </c>
      <c r="E6" t="s">
        <v>758</v>
      </c>
      <c r="F6" t="s">
        <v>761</v>
      </c>
      <c r="G6">
        <v>64</v>
      </c>
      <c r="H6" t="s">
        <v>717</v>
      </c>
      <c r="I6" s="3">
        <v>45747.8055439815</v>
      </c>
      <c r="J6" s="4">
        <v>45321</v>
      </c>
      <c r="K6" s="4">
        <v>45777</v>
      </c>
      <c r="L6" s="1">
        <v>734.33</v>
      </c>
      <c r="M6" s="1">
        <f>SUM(Renewals[[#This Row],[Premium]]/12)</f>
        <v>61.194166666666668</v>
      </c>
      <c r="N6" s="11">
        <v>0.15</v>
      </c>
      <c r="O6">
        <v>1</v>
      </c>
      <c r="P6" s="1">
        <v>0</v>
      </c>
      <c r="Q6" s="1">
        <v>9.18</v>
      </c>
      <c r="R6" t="s">
        <v>108</v>
      </c>
      <c r="S6" t="s">
        <v>33</v>
      </c>
    </row>
    <row r="7" spans="1:19" x14ac:dyDescent="0.25">
      <c r="A7">
        <v>15278437</v>
      </c>
      <c r="B7" t="s">
        <v>356</v>
      </c>
      <c r="C7" t="s">
        <v>718</v>
      </c>
      <c r="D7" t="s">
        <v>751</v>
      </c>
      <c r="E7" t="s">
        <v>758</v>
      </c>
      <c r="F7" t="s">
        <v>761</v>
      </c>
      <c r="G7">
        <v>66</v>
      </c>
      <c r="H7" t="s">
        <v>719</v>
      </c>
      <c r="I7" s="3">
        <v>45747.8055439815</v>
      </c>
      <c r="J7" s="4">
        <v>45231</v>
      </c>
      <c r="K7" s="4">
        <v>45778</v>
      </c>
      <c r="L7" s="1">
        <v>764.46</v>
      </c>
      <c r="M7" s="1">
        <f>SUM(Renewals[[#This Row],[Premium]]/12)</f>
        <v>63.705000000000005</v>
      </c>
      <c r="N7" s="11">
        <v>0.15</v>
      </c>
      <c r="O7">
        <v>1</v>
      </c>
      <c r="P7" s="1">
        <v>0</v>
      </c>
      <c r="Q7" s="1">
        <v>9.56</v>
      </c>
      <c r="R7" t="s">
        <v>108</v>
      </c>
      <c r="S7" t="s">
        <v>33</v>
      </c>
    </row>
    <row r="8" spans="1:19" x14ac:dyDescent="0.25">
      <c r="A8">
        <v>15278437</v>
      </c>
      <c r="B8" t="s">
        <v>356</v>
      </c>
      <c r="C8" t="s">
        <v>720</v>
      </c>
      <c r="D8" t="s">
        <v>751</v>
      </c>
      <c r="E8" t="s">
        <v>758</v>
      </c>
      <c r="F8" t="s">
        <v>761</v>
      </c>
      <c r="G8">
        <v>39</v>
      </c>
      <c r="H8" t="s">
        <v>721</v>
      </c>
      <c r="I8" s="3">
        <v>45747.8055439815</v>
      </c>
      <c r="J8" s="4">
        <v>45139</v>
      </c>
      <c r="K8" s="4">
        <v>45778</v>
      </c>
      <c r="L8" s="1">
        <v>465.6</v>
      </c>
      <c r="M8" s="1">
        <f>SUM(Renewals[[#This Row],[Premium]]/12)</f>
        <v>38.800000000000004</v>
      </c>
      <c r="N8" s="11">
        <v>0.1</v>
      </c>
      <c r="O8">
        <v>1</v>
      </c>
      <c r="P8" s="1">
        <v>0</v>
      </c>
      <c r="Q8" s="1">
        <v>3.88</v>
      </c>
      <c r="R8" t="s">
        <v>722</v>
      </c>
      <c r="S8" t="s">
        <v>33</v>
      </c>
    </row>
    <row r="9" spans="1:19" x14ac:dyDescent="0.25">
      <c r="A9">
        <v>15278437</v>
      </c>
      <c r="B9" t="s">
        <v>356</v>
      </c>
      <c r="C9" t="s">
        <v>723</v>
      </c>
      <c r="D9" t="s">
        <v>751</v>
      </c>
      <c r="E9" t="s">
        <v>758</v>
      </c>
      <c r="F9" t="s">
        <v>761</v>
      </c>
      <c r="G9">
        <v>64</v>
      </c>
      <c r="H9" t="s">
        <v>724</v>
      </c>
      <c r="I9" s="3">
        <v>45747.8055439815</v>
      </c>
      <c r="J9" s="4">
        <v>45139</v>
      </c>
      <c r="K9" s="4">
        <v>45778</v>
      </c>
      <c r="L9" s="1">
        <v>734.33</v>
      </c>
      <c r="M9" s="1">
        <f>SUM(Renewals[[#This Row],[Premium]]/12)</f>
        <v>61.194166666666668</v>
      </c>
      <c r="N9" s="11">
        <v>0.15</v>
      </c>
      <c r="O9">
        <v>1</v>
      </c>
      <c r="P9" s="1">
        <v>0</v>
      </c>
      <c r="Q9" s="1">
        <v>9.18</v>
      </c>
      <c r="R9" t="s">
        <v>108</v>
      </c>
      <c r="S9" t="s">
        <v>33</v>
      </c>
    </row>
    <row r="10" spans="1:19" x14ac:dyDescent="0.25">
      <c r="A10">
        <v>15278437</v>
      </c>
      <c r="B10" t="s">
        <v>356</v>
      </c>
      <c r="C10" t="s">
        <v>725</v>
      </c>
      <c r="D10" t="s">
        <v>751</v>
      </c>
      <c r="E10" t="s">
        <v>758</v>
      </c>
      <c r="F10" t="s">
        <v>761</v>
      </c>
      <c r="G10">
        <v>64</v>
      </c>
      <c r="H10" t="s">
        <v>726</v>
      </c>
      <c r="I10" s="3">
        <v>45747.8055439815</v>
      </c>
      <c r="J10" s="4">
        <v>45231</v>
      </c>
      <c r="K10" s="4">
        <v>45778</v>
      </c>
      <c r="L10" s="1">
        <v>789.6</v>
      </c>
      <c r="M10" s="1">
        <f>SUM(Renewals[[#This Row],[Premium]]/12)</f>
        <v>65.8</v>
      </c>
      <c r="N10" s="11">
        <v>0.15</v>
      </c>
      <c r="O10">
        <v>1</v>
      </c>
      <c r="P10" s="1">
        <v>0</v>
      </c>
      <c r="Q10" s="1">
        <v>9.8699999999999992</v>
      </c>
      <c r="R10" t="s">
        <v>108</v>
      </c>
      <c r="S10" t="s">
        <v>33</v>
      </c>
    </row>
    <row r="11" spans="1:19" x14ac:dyDescent="0.25">
      <c r="A11">
        <v>15278437</v>
      </c>
      <c r="B11" t="s">
        <v>356</v>
      </c>
      <c r="C11" t="s">
        <v>729</v>
      </c>
      <c r="D11" t="s">
        <v>751</v>
      </c>
      <c r="E11" t="s">
        <v>758</v>
      </c>
      <c r="F11" t="s">
        <v>761</v>
      </c>
      <c r="G11">
        <v>64</v>
      </c>
      <c r="H11" t="s">
        <v>730</v>
      </c>
      <c r="I11" s="3">
        <v>45747.8055439815</v>
      </c>
      <c r="J11" s="4">
        <v>45323</v>
      </c>
      <c r="K11" s="4">
        <v>45778</v>
      </c>
      <c r="L11" s="1">
        <v>780.09</v>
      </c>
      <c r="M11" s="1">
        <f>SUM(Renewals[[#This Row],[Premium]]/12)</f>
        <v>65.007500000000007</v>
      </c>
      <c r="N11" s="11">
        <v>0.15</v>
      </c>
      <c r="O11">
        <v>1</v>
      </c>
      <c r="P11" s="1">
        <v>0</v>
      </c>
      <c r="Q11" s="1">
        <v>9.75</v>
      </c>
      <c r="R11" t="s">
        <v>108</v>
      </c>
      <c r="S11" t="s">
        <v>33</v>
      </c>
    </row>
    <row r="12" spans="1:19" x14ac:dyDescent="0.25">
      <c r="A12">
        <v>15278437</v>
      </c>
      <c r="B12" t="s">
        <v>356</v>
      </c>
      <c r="C12" t="s">
        <v>731</v>
      </c>
      <c r="D12" t="s">
        <v>751</v>
      </c>
      <c r="E12" t="s">
        <v>758</v>
      </c>
      <c r="F12" t="s">
        <v>761</v>
      </c>
      <c r="G12">
        <v>36</v>
      </c>
      <c r="H12" t="s">
        <v>732</v>
      </c>
      <c r="I12" s="3">
        <v>45747.8055439815</v>
      </c>
      <c r="J12" s="4">
        <v>45170</v>
      </c>
      <c r="K12" s="4">
        <v>45778</v>
      </c>
      <c r="L12" s="1">
        <v>992.4</v>
      </c>
      <c r="M12" s="1">
        <f>SUM(Renewals[[#This Row],[Premium]]/12)</f>
        <v>82.7</v>
      </c>
      <c r="N12" s="11">
        <v>0.15</v>
      </c>
      <c r="O12">
        <v>1</v>
      </c>
      <c r="P12" s="1">
        <v>0</v>
      </c>
      <c r="Q12" s="1">
        <v>12.4</v>
      </c>
      <c r="R12" t="s">
        <v>108</v>
      </c>
      <c r="S12" t="s">
        <v>33</v>
      </c>
    </row>
    <row r="13" spans="1:19" x14ac:dyDescent="0.25">
      <c r="A13">
        <v>15278437</v>
      </c>
      <c r="B13" t="s">
        <v>356</v>
      </c>
      <c r="C13" t="s">
        <v>733</v>
      </c>
      <c r="D13" t="s">
        <v>751</v>
      </c>
      <c r="E13" t="s">
        <v>758</v>
      </c>
      <c r="F13" t="s">
        <v>761</v>
      </c>
      <c r="G13">
        <v>64</v>
      </c>
      <c r="H13" t="s">
        <v>734</v>
      </c>
      <c r="I13" s="3">
        <v>45747.8055439815</v>
      </c>
      <c r="J13" s="4">
        <v>45168</v>
      </c>
      <c r="K13" s="4">
        <v>45777</v>
      </c>
      <c r="L13" s="1">
        <v>466.49</v>
      </c>
      <c r="M13" s="1">
        <f>SUM(Renewals[[#This Row],[Premium]]/12)</f>
        <v>38.874166666666667</v>
      </c>
      <c r="N13" s="11">
        <v>0.15</v>
      </c>
      <c r="O13">
        <v>1</v>
      </c>
      <c r="P13" s="1">
        <v>0</v>
      </c>
      <c r="Q13" s="1">
        <v>5.83</v>
      </c>
      <c r="R13" t="s">
        <v>108</v>
      </c>
      <c r="S13" t="s">
        <v>33</v>
      </c>
    </row>
    <row r="14" spans="1:19" x14ac:dyDescent="0.25">
      <c r="A14">
        <v>15278437</v>
      </c>
      <c r="B14" t="s">
        <v>356</v>
      </c>
      <c r="C14" t="s">
        <v>735</v>
      </c>
      <c r="D14" t="s">
        <v>751</v>
      </c>
      <c r="E14" t="s">
        <v>758</v>
      </c>
      <c r="F14" t="s">
        <v>761</v>
      </c>
      <c r="G14">
        <v>26</v>
      </c>
      <c r="H14" t="s">
        <v>736</v>
      </c>
      <c r="I14" s="3">
        <v>45747.8055439815</v>
      </c>
      <c r="J14" s="4">
        <v>45108</v>
      </c>
      <c r="K14" s="4">
        <v>45778</v>
      </c>
      <c r="L14" s="1">
        <v>960</v>
      </c>
      <c r="M14" s="1">
        <f>SUM(Renewals[[#This Row],[Premium]]/12)</f>
        <v>80</v>
      </c>
      <c r="N14" s="11">
        <v>0.15</v>
      </c>
      <c r="O14">
        <v>1</v>
      </c>
      <c r="P14" s="1">
        <v>0</v>
      </c>
      <c r="Q14" s="1">
        <v>12</v>
      </c>
      <c r="R14" t="s">
        <v>108</v>
      </c>
      <c r="S14" t="s">
        <v>33</v>
      </c>
    </row>
    <row r="15" spans="1:19" x14ac:dyDescent="0.25">
      <c r="A15">
        <v>15278437</v>
      </c>
      <c r="B15" t="s">
        <v>356</v>
      </c>
      <c r="C15" t="s">
        <v>737</v>
      </c>
      <c r="D15" t="s">
        <v>751</v>
      </c>
      <c r="E15" t="s">
        <v>758</v>
      </c>
      <c r="F15" t="s">
        <v>761</v>
      </c>
      <c r="G15">
        <v>64</v>
      </c>
      <c r="H15" t="s">
        <v>738</v>
      </c>
      <c r="I15" s="3">
        <v>45747.8055439815</v>
      </c>
      <c r="J15" s="4">
        <v>45323</v>
      </c>
      <c r="K15" s="4">
        <v>45778</v>
      </c>
      <c r="L15" s="1">
        <v>734.33</v>
      </c>
      <c r="M15" s="1">
        <f>SUM(Renewals[[#This Row],[Premium]]/12)</f>
        <v>61.194166666666668</v>
      </c>
      <c r="N15" s="11">
        <v>0.15</v>
      </c>
      <c r="O15">
        <v>1</v>
      </c>
      <c r="P15" s="1">
        <v>0</v>
      </c>
      <c r="Q15" s="1">
        <v>9.18</v>
      </c>
      <c r="R15" t="s">
        <v>108</v>
      </c>
      <c r="S15" t="s">
        <v>33</v>
      </c>
    </row>
    <row r="16" spans="1:19" x14ac:dyDescent="0.25">
      <c r="A16">
        <v>15278437</v>
      </c>
      <c r="B16" t="s">
        <v>356</v>
      </c>
      <c r="C16" t="s">
        <v>739</v>
      </c>
      <c r="D16" t="s">
        <v>751</v>
      </c>
      <c r="E16" t="s">
        <v>758</v>
      </c>
      <c r="F16" t="s">
        <v>761</v>
      </c>
      <c r="G16">
        <v>64</v>
      </c>
      <c r="H16" t="s">
        <v>740</v>
      </c>
      <c r="I16" s="3">
        <v>45747.8055439815</v>
      </c>
      <c r="J16" s="4">
        <v>45108</v>
      </c>
      <c r="K16" s="4">
        <v>45778</v>
      </c>
      <c r="L16" s="1">
        <v>789.6</v>
      </c>
      <c r="M16" s="1">
        <f>SUM(Renewals[[#This Row],[Premium]]/12)</f>
        <v>65.8</v>
      </c>
      <c r="N16" s="11">
        <v>0.15</v>
      </c>
      <c r="O16">
        <v>1</v>
      </c>
      <c r="P16" s="1">
        <v>0</v>
      </c>
      <c r="Q16" s="1">
        <v>9.8699999999999992</v>
      </c>
      <c r="R16" t="s">
        <v>108</v>
      </c>
      <c r="S16" t="s">
        <v>33</v>
      </c>
    </row>
    <row r="17" spans="1:19" x14ac:dyDescent="0.25">
      <c r="A17">
        <v>15278437</v>
      </c>
      <c r="B17" t="s">
        <v>356</v>
      </c>
      <c r="C17" t="s">
        <v>741</v>
      </c>
      <c r="D17" t="s">
        <v>751</v>
      </c>
      <c r="E17" t="s">
        <v>758</v>
      </c>
      <c r="F17" t="s">
        <v>761</v>
      </c>
      <c r="G17">
        <v>66</v>
      </c>
      <c r="H17" t="s">
        <v>742</v>
      </c>
      <c r="I17" s="3">
        <v>45747.8055439815</v>
      </c>
      <c r="J17" s="4">
        <v>45292</v>
      </c>
      <c r="K17" s="4">
        <v>45778</v>
      </c>
      <c r="L17" s="1">
        <v>586.79999999999995</v>
      </c>
      <c r="M17" s="1">
        <f>SUM(Renewals[[#This Row],[Premium]]/12)</f>
        <v>48.9</v>
      </c>
      <c r="N17" s="11">
        <v>0.15</v>
      </c>
      <c r="O17">
        <v>1</v>
      </c>
      <c r="P17" s="1">
        <v>0</v>
      </c>
      <c r="Q17" s="1">
        <v>7.33</v>
      </c>
      <c r="R17" t="s">
        <v>108</v>
      </c>
      <c r="S17" t="s">
        <v>33</v>
      </c>
    </row>
    <row r="18" spans="1:19" x14ac:dyDescent="0.25">
      <c r="A18">
        <v>15278437</v>
      </c>
      <c r="B18" t="s">
        <v>356</v>
      </c>
      <c r="C18" t="s">
        <v>743</v>
      </c>
      <c r="D18" t="s">
        <v>751</v>
      </c>
      <c r="E18" t="s">
        <v>758</v>
      </c>
      <c r="F18" t="s">
        <v>761</v>
      </c>
      <c r="G18">
        <v>64</v>
      </c>
      <c r="H18" t="s">
        <v>744</v>
      </c>
      <c r="I18" s="3">
        <v>45747.8055439815</v>
      </c>
      <c r="J18" s="4">
        <v>45323</v>
      </c>
      <c r="K18" s="4">
        <v>45778</v>
      </c>
      <c r="L18" s="1">
        <v>466.49</v>
      </c>
      <c r="M18" s="1">
        <f>SUM(Renewals[[#This Row],[Premium]]/12)</f>
        <v>38.874166666666667</v>
      </c>
      <c r="N18" s="11">
        <v>0.15</v>
      </c>
      <c r="O18">
        <v>1</v>
      </c>
      <c r="P18" s="1">
        <v>0</v>
      </c>
      <c r="Q18" s="1">
        <v>5.83</v>
      </c>
      <c r="R18" t="s">
        <v>108</v>
      </c>
      <c r="S18" t="s">
        <v>33</v>
      </c>
    </row>
    <row r="19" spans="1:19" x14ac:dyDescent="0.25">
      <c r="A19">
        <v>17528908</v>
      </c>
      <c r="B19" t="s">
        <v>105</v>
      </c>
      <c r="C19" t="s">
        <v>703</v>
      </c>
      <c r="D19" t="s">
        <v>751</v>
      </c>
      <c r="E19" t="s">
        <v>758</v>
      </c>
      <c r="F19" t="s">
        <v>761</v>
      </c>
      <c r="G19">
        <v>64</v>
      </c>
      <c r="H19" t="s">
        <v>704</v>
      </c>
      <c r="I19" s="3">
        <v>45747.8055439815</v>
      </c>
      <c r="J19" s="4">
        <v>45108</v>
      </c>
      <c r="K19" s="4">
        <v>45778</v>
      </c>
      <c r="L19" s="1">
        <v>1202.4000000000001</v>
      </c>
      <c r="M19" s="1">
        <f>SUM(Renewals[[#This Row],[Premium]]/12)</f>
        <v>100.2</v>
      </c>
      <c r="N19" s="11">
        <v>0.15</v>
      </c>
      <c r="O19">
        <v>1</v>
      </c>
      <c r="P19" s="1">
        <v>0</v>
      </c>
      <c r="Q19" s="1">
        <v>15.03</v>
      </c>
      <c r="R19" t="s">
        <v>108</v>
      </c>
      <c r="S19" t="s">
        <v>33</v>
      </c>
    </row>
    <row r="20" spans="1:19" x14ac:dyDescent="0.25">
      <c r="A20">
        <v>17528908</v>
      </c>
      <c r="B20" t="s">
        <v>105</v>
      </c>
      <c r="C20" t="s">
        <v>714</v>
      </c>
      <c r="D20" t="s">
        <v>751</v>
      </c>
      <c r="E20" t="s">
        <v>758</v>
      </c>
      <c r="F20" t="s">
        <v>761</v>
      </c>
      <c r="G20">
        <v>64</v>
      </c>
      <c r="H20" t="s">
        <v>715</v>
      </c>
      <c r="I20" s="3">
        <v>45747.8055439815</v>
      </c>
      <c r="J20" s="4">
        <v>45261</v>
      </c>
      <c r="K20" s="4">
        <v>45778</v>
      </c>
      <c r="L20" s="1">
        <v>1004.4</v>
      </c>
      <c r="M20" s="1">
        <f>SUM(Renewals[[#This Row],[Premium]]/12)</f>
        <v>83.7</v>
      </c>
      <c r="N20" s="11">
        <v>0.15</v>
      </c>
      <c r="O20">
        <v>1</v>
      </c>
      <c r="P20" s="1">
        <v>0</v>
      </c>
      <c r="Q20" s="1">
        <v>12.56</v>
      </c>
      <c r="R20" t="s">
        <v>108</v>
      </c>
      <c r="S20" t="s">
        <v>33</v>
      </c>
    </row>
    <row r="21" spans="1:19" x14ac:dyDescent="0.25">
      <c r="A21">
        <v>17528908</v>
      </c>
      <c r="B21" t="s">
        <v>105</v>
      </c>
      <c r="C21" t="s">
        <v>727</v>
      </c>
      <c r="D21" t="s">
        <v>751</v>
      </c>
      <c r="E21" t="s">
        <v>758</v>
      </c>
      <c r="F21" t="s">
        <v>761</v>
      </c>
      <c r="G21">
        <v>64</v>
      </c>
      <c r="H21" t="s">
        <v>728</v>
      </c>
      <c r="I21" s="3">
        <v>45747.8055439815</v>
      </c>
      <c r="J21" s="4">
        <v>45200</v>
      </c>
      <c r="K21" s="4">
        <v>45778</v>
      </c>
      <c r="L21" s="1">
        <v>816.91</v>
      </c>
      <c r="M21" s="1">
        <f>SUM(Renewals[[#This Row],[Premium]]/12)</f>
        <v>68.075833333333335</v>
      </c>
      <c r="N21" s="11">
        <v>0.15</v>
      </c>
      <c r="O21">
        <v>1</v>
      </c>
      <c r="P21" s="1">
        <v>0</v>
      </c>
      <c r="Q21" s="1">
        <v>10.210000000000001</v>
      </c>
      <c r="R21" t="s">
        <v>108</v>
      </c>
      <c r="S21" t="s">
        <v>33</v>
      </c>
    </row>
    <row r="22" spans="1:19" x14ac:dyDescent="0.25">
      <c r="A22">
        <v>19278370</v>
      </c>
      <c r="B22" t="s">
        <v>709</v>
      </c>
      <c r="C22" t="s">
        <v>710</v>
      </c>
      <c r="D22" t="s">
        <v>751</v>
      </c>
      <c r="E22" t="s">
        <v>758</v>
      </c>
      <c r="F22" t="s">
        <v>761</v>
      </c>
      <c r="G22">
        <v>64</v>
      </c>
      <c r="H22" t="s">
        <v>711</v>
      </c>
      <c r="I22" s="3">
        <v>45747.8055439815</v>
      </c>
      <c r="J22" s="4">
        <v>45200</v>
      </c>
      <c r="K22" s="4">
        <v>45778</v>
      </c>
      <c r="L22" s="1">
        <v>466.49</v>
      </c>
      <c r="M22" s="1">
        <f>SUM(Renewals[[#This Row],[Premium]]/12)</f>
        <v>38.874166666666667</v>
      </c>
      <c r="N22" s="11">
        <v>0.15</v>
      </c>
      <c r="O22">
        <v>1</v>
      </c>
      <c r="P22" s="1">
        <v>0</v>
      </c>
      <c r="Q22" s="1">
        <v>5.83</v>
      </c>
      <c r="R22" t="s">
        <v>108</v>
      </c>
      <c r="S22" t="s">
        <v>33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745</v>
      </c>
      <c r="K1" s="1" t="s">
        <v>746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46A8-DA0B-4C49-9EF4-E97A771152CB}">
  <dimension ref="A1:C327"/>
  <sheetViews>
    <sheetView topLeftCell="A272" workbookViewId="0">
      <selection activeCell="D306" sqref="D306"/>
    </sheetView>
  </sheetViews>
  <sheetFormatPr defaultRowHeight="15" x14ac:dyDescent="0.25"/>
  <cols>
    <col min="1" max="1" width="10.7109375" bestFit="1" customWidth="1"/>
    <col min="2" max="2" width="9.7109375" bestFit="1" customWidth="1"/>
  </cols>
  <sheetData>
    <row r="1" spans="1:3" x14ac:dyDescent="0.25">
      <c r="A1" s="4">
        <v>45461</v>
      </c>
      <c r="B1" s="4">
        <v>45795</v>
      </c>
      <c r="C1">
        <f>MONTH(B1-A1)</f>
        <v>11</v>
      </c>
    </row>
    <row r="2" spans="1:3" x14ac:dyDescent="0.25">
      <c r="A2" s="4">
        <v>45468</v>
      </c>
      <c r="B2" s="4">
        <v>45772</v>
      </c>
      <c r="C2">
        <f t="shared" ref="C2:C65" si="0">MONTH(B2-A2)</f>
        <v>10</v>
      </c>
    </row>
    <row r="3" spans="1:3" x14ac:dyDescent="0.25">
      <c r="A3" s="4">
        <v>45470</v>
      </c>
      <c r="B3" s="4">
        <v>45774</v>
      </c>
      <c r="C3">
        <f t="shared" si="0"/>
        <v>10</v>
      </c>
    </row>
    <row r="4" spans="1:3" x14ac:dyDescent="0.25">
      <c r="A4" s="4">
        <v>45470</v>
      </c>
      <c r="B4" s="4">
        <v>45774</v>
      </c>
      <c r="C4">
        <f t="shared" si="0"/>
        <v>10</v>
      </c>
    </row>
    <row r="5" spans="1:3" x14ac:dyDescent="0.25">
      <c r="A5" s="4">
        <v>45470</v>
      </c>
      <c r="B5" s="4">
        <v>45774</v>
      </c>
      <c r="C5">
        <f t="shared" si="0"/>
        <v>10</v>
      </c>
    </row>
    <row r="6" spans="1:3" x14ac:dyDescent="0.25">
      <c r="A6" s="4">
        <v>45470</v>
      </c>
      <c r="B6" s="4">
        <v>45774</v>
      </c>
      <c r="C6">
        <f t="shared" si="0"/>
        <v>10</v>
      </c>
    </row>
    <row r="7" spans="1:3" x14ac:dyDescent="0.25">
      <c r="A7" s="4">
        <v>45471</v>
      </c>
      <c r="B7" s="4">
        <v>45775</v>
      </c>
      <c r="C7">
        <f t="shared" si="0"/>
        <v>10</v>
      </c>
    </row>
    <row r="8" spans="1:3" x14ac:dyDescent="0.25">
      <c r="A8" s="4">
        <v>45471</v>
      </c>
      <c r="B8" s="4">
        <v>45775</v>
      </c>
      <c r="C8">
        <f t="shared" si="0"/>
        <v>10</v>
      </c>
    </row>
    <row r="9" spans="1:3" x14ac:dyDescent="0.25">
      <c r="A9" s="4">
        <v>45474</v>
      </c>
      <c r="B9" s="4">
        <v>45778</v>
      </c>
      <c r="C9">
        <f t="shared" si="0"/>
        <v>10</v>
      </c>
    </row>
    <row r="10" spans="1:3" x14ac:dyDescent="0.25">
      <c r="A10" s="4">
        <v>45474</v>
      </c>
      <c r="B10" s="4">
        <v>45778</v>
      </c>
      <c r="C10">
        <f t="shared" si="0"/>
        <v>10</v>
      </c>
    </row>
    <row r="11" spans="1:3" x14ac:dyDescent="0.25">
      <c r="A11" s="4">
        <v>45474</v>
      </c>
      <c r="B11" s="4">
        <v>45778</v>
      </c>
      <c r="C11">
        <f t="shared" si="0"/>
        <v>10</v>
      </c>
    </row>
    <row r="12" spans="1:3" x14ac:dyDescent="0.25">
      <c r="A12" s="4">
        <v>45474</v>
      </c>
      <c r="B12" s="4">
        <v>45778</v>
      </c>
      <c r="C12">
        <f t="shared" si="0"/>
        <v>10</v>
      </c>
    </row>
    <row r="13" spans="1:3" x14ac:dyDescent="0.25">
      <c r="A13" s="4">
        <v>45474</v>
      </c>
      <c r="B13" s="4">
        <v>45778</v>
      </c>
      <c r="C13">
        <f t="shared" si="0"/>
        <v>10</v>
      </c>
    </row>
    <row r="14" spans="1:3" x14ac:dyDescent="0.25">
      <c r="A14" s="4">
        <v>45474</v>
      </c>
      <c r="B14" s="4">
        <v>45778</v>
      </c>
      <c r="C14">
        <f t="shared" si="0"/>
        <v>10</v>
      </c>
    </row>
    <row r="15" spans="1:3" x14ac:dyDescent="0.25">
      <c r="A15" s="4">
        <v>45474</v>
      </c>
      <c r="B15" s="4">
        <v>45778</v>
      </c>
      <c r="C15">
        <f t="shared" si="0"/>
        <v>10</v>
      </c>
    </row>
    <row r="16" spans="1:3" x14ac:dyDescent="0.25">
      <c r="A16" s="4">
        <v>45474</v>
      </c>
      <c r="B16" s="4">
        <v>45778</v>
      </c>
      <c r="C16">
        <f t="shared" si="0"/>
        <v>10</v>
      </c>
    </row>
    <row r="17" spans="1:3" x14ac:dyDescent="0.25">
      <c r="A17" s="4">
        <v>45474</v>
      </c>
      <c r="B17" s="4">
        <v>45778</v>
      </c>
      <c r="C17">
        <f t="shared" si="0"/>
        <v>10</v>
      </c>
    </row>
    <row r="18" spans="1:3" x14ac:dyDescent="0.25">
      <c r="A18" s="4">
        <v>45474</v>
      </c>
      <c r="B18" s="4">
        <v>45778</v>
      </c>
      <c r="C18">
        <f t="shared" si="0"/>
        <v>10</v>
      </c>
    </row>
    <row r="19" spans="1:3" x14ac:dyDescent="0.25">
      <c r="A19" s="4">
        <v>45474</v>
      </c>
      <c r="B19" s="4">
        <v>45778</v>
      </c>
      <c r="C19">
        <f t="shared" si="0"/>
        <v>10</v>
      </c>
    </row>
    <row r="20" spans="1:3" x14ac:dyDescent="0.25">
      <c r="A20" s="4">
        <v>45476</v>
      </c>
      <c r="B20" s="4">
        <v>45780</v>
      </c>
      <c r="C20">
        <f t="shared" si="0"/>
        <v>10</v>
      </c>
    </row>
    <row r="21" spans="1:3" x14ac:dyDescent="0.25">
      <c r="A21" s="4">
        <v>45480</v>
      </c>
      <c r="B21" s="4">
        <v>45754</v>
      </c>
      <c r="C21">
        <f t="shared" si="0"/>
        <v>9</v>
      </c>
    </row>
    <row r="22" spans="1:3" x14ac:dyDescent="0.25">
      <c r="A22" s="4">
        <v>45481</v>
      </c>
      <c r="B22" s="4">
        <v>45785</v>
      </c>
      <c r="C22">
        <f t="shared" si="0"/>
        <v>10</v>
      </c>
    </row>
    <row r="23" spans="1:3" x14ac:dyDescent="0.25">
      <c r="A23" s="4">
        <v>45481</v>
      </c>
      <c r="B23" s="4">
        <v>45785</v>
      </c>
      <c r="C23">
        <f t="shared" si="0"/>
        <v>10</v>
      </c>
    </row>
    <row r="24" spans="1:3" x14ac:dyDescent="0.25">
      <c r="A24" s="4">
        <v>45484</v>
      </c>
      <c r="B24" s="4">
        <v>45758</v>
      </c>
      <c r="C24">
        <f t="shared" si="0"/>
        <v>9</v>
      </c>
    </row>
    <row r="25" spans="1:3" x14ac:dyDescent="0.25">
      <c r="A25" s="4">
        <v>45486</v>
      </c>
      <c r="B25" s="4">
        <v>45790</v>
      </c>
      <c r="C25">
        <f t="shared" si="0"/>
        <v>10</v>
      </c>
    </row>
    <row r="26" spans="1:3" x14ac:dyDescent="0.25">
      <c r="A26" s="4">
        <v>45488</v>
      </c>
      <c r="B26" s="4">
        <v>45792</v>
      </c>
      <c r="C26">
        <f t="shared" si="0"/>
        <v>10</v>
      </c>
    </row>
    <row r="27" spans="1:3" x14ac:dyDescent="0.25">
      <c r="A27" s="4">
        <v>45488</v>
      </c>
      <c r="B27" s="4">
        <v>45792</v>
      </c>
      <c r="C27">
        <f t="shared" si="0"/>
        <v>10</v>
      </c>
    </row>
    <row r="28" spans="1:3" x14ac:dyDescent="0.25">
      <c r="A28" s="4">
        <v>45489</v>
      </c>
      <c r="B28" s="4">
        <v>45793</v>
      </c>
      <c r="C28">
        <f t="shared" si="0"/>
        <v>10</v>
      </c>
    </row>
    <row r="29" spans="1:3" x14ac:dyDescent="0.25">
      <c r="A29" s="4">
        <v>45505</v>
      </c>
      <c r="B29" s="4">
        <v>45778</v>
      </c>
      <c r="C29">
        <f t="shared" si="0"/>
        <v>9</v>
      </c>
    </row>
    <row r="30" spans="1:3" x14ac:dyDescent="0.25">
      <c r="A30" s="4">
        <v>45505</v>
      </c>
      <c r="B30" s="4">
        <v>45778</v>
      </c>
      <c r="C30">
        <f t="shared" si="0"/>
        <v>9</v>
      </c>
    </row>
    <row r="31" spans="1:3" x14ac:dyDescent="0.25">
      <c r="A31" s="4">
        <v>45505</v>
      </c>
      <c r="B31" s="4">
        <v>45778</v>
      </c>
      <c r="C31">
        <f t="shared" si="0"/>
        <v>9</v>
      </c>
    </row>
    <row r="32" spans="1:3" x14ac:dyDescent="0.25">
      <c r="A32" s="4">
        <v>45505</v>
      </c>
      <c r="B32" s="4">
        <v>45778</v>
      </c>
      <c r="C32">
        <f t="shared" si="0"/>
        <v>9</v>
      </c>
    </row>
    <row r="33" spans="1:3" x14ac:dyDescent="0.25">
      <c r="A33" s="4">
        <v>45505</v>
      </c>
      <c r="B33" s="4">
        <v>45778</v>
      </c>
      <c r="C33">
        <f t="shared" si="0"/>
        <v>9</v>
      </c>
    </row>
    <row r="34" spans="1:3" x14ac:dyDescent="0.25">
      <c r="A34" s="4">
        <v>45505</v>
      </c>
      <c r="B34" s="4">
        <v>45778</v>
      </c>
      <c r="C34">
        <f t="shared" si="0"/>
        <v>9</v>
      </c>
    </row>
    <row r="35" spans="1:3" x14ac:dyDescent="0.25">
      <c r="A35" s="4">
        <v>45505</v>
      </c>
      <c r="B35" s="4">
        <v>45778</v>
      </c>
      <c r="C35">
        <f t="shared" si="0"/>
        <v>9</v>
      </c>
    </row>
    <row r="36" spans="1:3" x14ac:dyDescent="0.25">
      <c r="A36" s="4">
        <v>45505</v>
      </c>
      <c r="B36" s="4">
        <v>45748</v>
      </c>
      <c r="C36">
        <f t="shared" si="0"/>
        <v>8</v>
      </c>
    </row>
    <row r="37" spans="1:3" x14ac:dyDescent="0.25">
      <c r="A37" s="4">
        <v>45505</v>
      </c>
      <c r="B37" s="4">
        <v>45778</v>
      </c>
      <c r="C37">
        <f t="shared" si="0"/>
        <v>9</v>
      </c>
    </row>
    <row r="38" spans="1:3" x14ac:dyDescent="0.25">
      <c r="A38" s="4">
        <v>45505</v>
      </c>
      <c r="B38" s="4">
        <v>45778</v>
      </c>
      <c r="C38">
        <f t="shared" si="0"/>
        <v>9</v>
      </c>
    </row>
    <row r="39" spans="1:3" x14ac:dyDescent="0.25">
      <c r="A39" s="4">
        <v>45505</v>
      </c>
      <c r="B39" s="4">
        <v>45748</v>
      </c>
      <c r="C39">
        <f t="shared" si="0"/>
        <v>8</v>
      </c>
    </row>
    <row r="40" spans="1:3" x14ac:dyDescent="0.25">
      <c r="A40" s="4">
        <v>45505</v>
      </c>
      <c r="B40" s="4">
        <v>45748</v>
      </c>
      <c r="C40">
        <f t="shared" si="0"/>
        <v>8</v>
      </c>
    </row>
    <row r="41" spans="1:3" x14ac:dyDescent="0.25">
      <c r="A41" s="4">
        <v>45514</v>
      </c>
      <c r="B41" s="4">
        <v>45787</v>
      </c>
      <c r="C41">
        <f t="shared" si="0"/>
        <v>9</v>
      </c>
    </row>
    <row r="42" spans="1:3" x14ac:dyDescent="0.25">
      <c r="A42" s="4">
        <v>45519</v>
      </c>
      <c r="B42" s="4">
        <v>45762</v>
      </c>
      <c r="C42">
        <f t="shared" si="0"/>
        <v>8</v>
      </c>
    </row>
    <row r="43" spans="1:3" x14ac:dyDescent="0.25">
      <c r="A43" s="4">
        <v>45524</v>
      </c>
      <c r="B43" s="4">
        <v>45767</v>
      </c>
      <c r="C43">
        <f t="shared" si="0"/>
        <v>8</v>
      </c>
    </row>
    <row r="44" spans="1:3" x14ac:dyDescent="0.25">
      <c r="A44" s="4">
        <v>45527</v>
      </c>
      <c r="B44" s="4">
        <v>45770</v>
      </c>
      <c r="C44">
        <f t="shared" si="0"/>
        <v>8</v>
      </c>
    </row>
    <row r="45" spans="1:3" x14ac:dyDescent="0.25">
      <c r="A45" s="4">
        <v>45529</v>
      </c>
      <c r="B45" s="4">
        <v>45772</v>
      </c>
      <c r="C45">
        <f t="shared" si="0"/>
        <v>8</v>
      </c>
    </row>
    <row r="46" spans="1:3" x14ac:dyDescent="0.25">
      <c r="A46" s="4">
        <v>45536</v>
      </c>
      <c r="B46" s="4">
        <v>45778</v>
      </c>
      <c r="C46">
        <f t="shared" si="0"/>
        <v>8</v>
      </c>
    </row>
    <row r="47" spans="1:3" x14ac:dyDescent="0.25">
      <c r="A47" s="4">
        <v>45536</v>
      </c>
      <c r="B47" s="4">
        <v>45748</v>
      </c>
      <c r="C47">
        <f t="shared" si="0"/>
        <v>7</v>
      </c>
    </row>
    <row r="48" spans="1:3" x14ac:dyDescent="0.25">
      <c r="A48" s="4">
        <v>45536</v>
      </c>
      <c r="B48" s="4">
        <v>45778</v>
      </c>
      <c r="C48">
        <f t="shared" si="0"/>
        <v>8</v>
      </c>
    </row>
    <row r="49" spans="1:3" x14ac:dyDescent="0.25">
      <c r="A49" s="4">
        <v>45536</v>
      </c>
      <c r="B49" s="4">
        <v>45778</v>
      </c>
      <c r="C49">
        <f t="shared" si="0"/>
        <v>8</v>
      </c>
    </row>
    <row r="50" spans="1:3" x14ac:dyDescent="0.25">
      <c r="A50" s="4">
        <v>45536</v>
      </c>
      <c r="B50" s="4">
        <v>45778</v>
      </c>
      <c r="C50">
        <f t="shared" si="0"/>
        <v>8</v>
      </c>
    </row>
    <row r="51" spans="1:3" x14ac:dyDescent="0.25">
      <c r="A51" s="4">
        <v>45536</v>
      </c>
      <c r="B51" s="4">
        <v>45778</v>
      </c>
      <c r="C51">
        <f t="shared" si="0"/>
        <v>8</v>
      </c>
    </row>
    <row r="52" spans="1:3" x14ac:dyDescent="0.25">
      <c r="A52" s="4">
        <v>45545</v>
      </c>
      <c r="B52" s="4">
        <v>45757</v>
      </c>
      <c r="C52">
        <f t="shared" si="0"/>
        <v>7</v>
      </c>
    </row>
    <row r="53" spans="1:3" x14ac:dyDescent="0.25">
      <c r="A53" s="4">
        <v>45548</v>
      </c>
      <c r="B53" s="4">
        <v>45760</v>
      </c>
      <c r="C53">
        <f t="shared" si="0"/>
        <v>7</v>
      </c>
    </row>
    <row r="54" spans="1:3" x14ac:dyDescent="0.25">
      <c r="A54" s="4">
        <v>45558</v>
      </c>
      <c r="B54" s="4">
        <v>45770</v>
      </c>
      <c r="C54">
        <f t="shared" si="0"/>
        <v>7</v>
      </c>
    </row>
    <row r="55" spans="1:3" x14ac:dyDescent="0.25">
      <c r="A55" s="4">
        <v>45558</v>
      </c>
      <c r="B55" s="4">
        <v>45770</v>
      </c>
      <c r="C55">
        <f t="shared" si="0"/>
        <v>7</v>
      </c>
    </row>
    <row r="56" spans="1:3" x14ac:dyDescent="0.25">
      <c r="A56" s="4">
        <v>45565</v>
      </c>
      <c r="B56" s="4">
        <v>45746</v>
      </c>
      <c r="C56">
        <f t="shared" si="0"/>
        <v>6</v>
      </c>
    </row>
    <row r="57" spans="1:3" x14ac:dyDescent="0.25">
      <c r="A57" s="4">
        <v>45565</v>
      </c>
      <c r="B57" s="4">
        <v>45746</v>
      </c>
      <c r="C57">
        <f t="shared" si="0"/>
        <v>6</v>
      </c>
    </row>
    <row r="58" spans="1:3" x14ac:dyDescent="0.25">
      <c r="A58" s="4">
        <v>45566</v>
      </c>
      <c r="B58" s="4">
        <v>45778</v>
      </c>
      <c r="C58">
        <f t="shared" si="0"/>
        <v>7</v>
      </c>
    </row>
    <row r="59" spans="1:3" x14ac:dyDescent="0.25">
      <c r="A59" s="4">
        <v>45566</v>
      </c>
      <c r="B59" s="4">
        <v>45778</v>
      </c>
      <c r="C59">
        <f t="shared" si="0"/>
        <v>7</v>
      </c>
    </row>
    <row r="60" spans="1:3" x14ac:dyDescent="0.25">
      <c r="A60" s="4">
        <v>45566</v>
      </c>
      <c r="B60" s="4">
        <v>45778</v>
      </c>
      <c r="C60">
        <f t="shared" si="0"/>
        <v>7</v>
      </c>
    </row>
    <row r="61" spans="1:3" x14ac:dyDescent="0.25">
      <c r="A61" s="4">
        <v>45566</v>
      </c>
      <c r="B61" s="4">
        <v>45778</v>
      </c>
      <c r="C61">
        <f t="shared" si="0"/>
        <v>7</v>
      </c>
    </row>
    <row r="62" spans="1:3" x14ac:dyDescent="0.25">
      <c r="A62" s="4">
        <v>45566</v>
      </c>
      <c r="B62" s="4">
        <v>45778</v>
      </c>
      <c r="C62">
        <f t="shared" si="0"/>
        <v>7</v>
      </c>
    </row>
    <row r="63" spans="1:3" x14ac:dyDescent="0.25">
      <c r="A63" s="4">
        <v>45566</v>
      </c>
      <c r="B63" s="4">
        <v>45778</v>
      </c>
      <c r="C63">
        <f t="shared" si="0"/>
        <v>7</v>
      </c>
    </row>
    <row r="64" spans="1:3" x14ac:dyDescent="0.25">
      <c r="A64" s="4">
        <v>45566</v>
      </c>
      <c r="B64" s="4">
        <v>45778</v>
      </c>
      <c r="C64">
        <f t="shared" si="0"/>
        <v>7</v>
      </c>
    </row>
    <row r="65" spans="1:3" x14ac:dyDescent="0.25">
      <c r="A65" s="4">
        <v>45566</v>
      </c>
      <c r="B65" s="4">
        <v>45778</v>
      </c>
      <c r="C65">
        <f t="shared" si="0"/>
        <v>7</v>
      </c>
    </row>
    <row r="66" spans="1:3" x14ac:dyDescent="0.25">
      <c r="A66" s="4">
        <v>45566</v>
      </c>
      <c r="B66" s="4">
        <v>45778</v>
      </c>
      <c r="C66">
        <f t="shared" ref="C66:C129" si="1">MONTH(B66-A66)</f>
        <v>7</v>
      </c>
    </row>
    <row r="67" spans="1:3" x14ac:dyDescent="0.25">
      <c r="A67" s="4">
        <v>45566</v>
      </c>
      <c r="B67" s="4">
        <v>45748</v>
      </c>
      <c r="C67">
        <f t="shared" si="1"/>
        <v>6</v>
      </c>
    </row>
    <row r="68" spans="1:3" x14ac:dyDescent="0.25">
      <c r="A68" s="4">
        <v>45566</v>
      </c>
      <c r="B68" s="4">
        <v>45748</v>
      </c>
      <c r="C68">
        <f t="shared" si="1"/>
        <v>6</v>
      </c>
    </row>
    <row r="69" spans="1:3" x14ac:dyDescent="0.25">
      <c r="A69" s="4">
        <v>45566</v>
      </c>
      <c r="B69" s="4">
        <v>45778</v>
      </c>
      <c r="C69">
        <f t="shared" si="1"/>
        <v>7</v>
      </c>
    </row>
    <row r="70" spans="1:3" x14ac:dyDescent="0.25">
      <c r="A70" s="4">
        <v>45566</v>
      </c>
      <c r="B70" s="4">
        <v>45778</v>
      </c>
      <c r="C70">
        <f t="shared" si="1"/>
        <v>7</v>
      </c>
    </row>
    <row r="71" spans="1:3" x14ac:dyDescent="0.25">
      <c r="A71" s="4">
        <v>45567</v>
      </c>
      <c r="B71" s="4">
        <v>45779</v>
      </c>
      <c r="C71">
        <f t="shared" si="1"/>
        <v>7</v>
      </c>
    </row>
    <row r="72" spans="1:3" x14ac:dyDescent="0.25">
      <c r="A72" s="4">
        <v>45575</v>
      </c>
      <c r="B72" s="4">
        <v>45787</v>
      </c>
      <c r="C72">
        <f t="shared" si="1"/>
        <v>7</v>
      </c>
    </row>
    <row r="73" spans="1:3" x14ac:dyDescent="0.25">
      <c r="A73" s="4">
        <v>45576</v>
      </c>
      <c r="B73" s="4">
        <v>45758</v>
      </c>
      <c r="C73">
        <f t="shared" si="1"/>
        <v>6</v>
      </c>
    </row>
    <row r="74" spans="1:3" x14ac:dyDescent="0.25">
      <c r="A74" s="4">
        <v>45576</v>
      </c>
      <c r="B74" s="4">
        <v>45758</v>
      </c>
      <c r="C74">
        <f t="shared" si="1"/>
        <v>6</v>
      </c>
    </row>
    <row r="75" spans="1:3" x14ac:dyDescent="0.25">
      <c r="A75" s="4">
        <v>45576</v>
      </c>
      <c r="B75" s="4">
        <v>45788</v>
      </c>
      <c r="C75">
        <f t="shared" si="1"/>
        <v>7</v>
      </c>
    </row>
    <row r="76" spans="1:3" x14ac:dyDescent="0.25">
      <c r="A76" s="4">
        <v>45577</v>
      </c>
      <c r="B76" s="4">
        <v>45759</v>
      </c>
      <c r="C76">
        <f t="shared" si="1"/>
        <v>6</v>
      </c>
    </row>
    <row r="77" spans="1:3" x14ac:dyDescent="0.25">
      <c r="A77" s="4">
        <v>45580</v>
      </c>
      <c r="B77" s="4">
        <v>45762</v>
      </c>
      <c r="C77">
        <f t="shared" si="1"/>
        <v>6</v>
      </c>
    </row>
    <row r="78" spans="1:3" x14ac:dyDescent="0.25">
      <c r="A78" s="4">
        <v>45580</v>
      </c>
      <c r="B78" s="4">
        <v>45762</v>
      </c>
      <c r="C78">
        <f t="shared" si="1"/>
        <v>6</v>
      </c>
    </row>
    <row r="79" spans="1:3" x14ac:dyDescent="0.25">
      <c r="A79" s="4">
        <v>45583</v>
      </c>
      <c r="B79" s="4">
        <v>45765</v>
      </c>
      <c r="C79">
        <f t="shared" si="1"/>
        <v>6</v>
      </c>
    </row>
    <row r="80" spans="1:3" x14ac:dyDescent="0.25">
      <c r="A80" s="4">
        <v>45583</v>
      </c>
      <c r="B80" s="4">
        <v>45765</v>
      </c>
      <c r="C80">
        <f t="shared" si="1"/>
        <v>6</v>
      </c>
    </row>
    <row r="81" spans="1:3" x14ac:dyDescent="0.25">
      <c r="A81" s="4">
        <v>45584</v>
      </c>
      <c r="B81" s="4">
        <v>45766</v>
      </c>
      <c r="C81">
        <f t="shared" si="1"/>
        <v>6</v>
      </c>
    </row>
    <row r="82" spans="1:3" x14ac:dyDescent="0.25">
      <c r="A82" s="4">
        <v>45584</v>
      </c>
      <c r="B82" s="4">
        <v>45766</v>
      </c>
      <c r="C82">
        <f t="shared" si="1"/>
        <v>6</v>
      </c>
    </row>
    <row r="83" spans="1:3" x14ac:dyDescent="0.25">
      <c r="A83" s="4">
        <v>45584</v>
      </c>
      <c r="B83" s="4">
        <v>45766</v>
      </c>
      <c r="C83">
        <f t="shared" si="1"/>
        <v>6</v>
      </c>
    </row>
    <row r="84" spans="1:3" x14ac:dyDescent="0.25">
      <c r="A84" s="4">
        <v>45585</v>
      </c>
      <c r="B84" s="4">
        <v>45767</v>
      </c>
      <c r="C84">
        <f t="shared" si="1"/>
        <v>6</v>
      </c>
    </row>
    <row r="85" spans="1:3" x14ac:dyDescent="0.25">
      <c r="A85" s="4">
        <v>45588</v>
      </c>
      <c r="B85" s="4">
        <v>45770</v>
      </c>
      <c r="C85">
        <f t="shared" si="1"/>
        <v>6</v>
      </c>
    </row>
    <row r="86" spans="1:3" x14ac:dyDescent="0.25">
      <c r="A86" s="4">
        <v>45588</v>
      </c>
      <c r="B86" s="4">
        <v>45770</v>
      </c>
      <c r="C86">
        <f t="shared" si="1"/>
        <v>6</v>
      </c>
    </row>
    <row r="87" spans="1:3" x14ac:dyDescent="0.25">
      <c r="A87" s="4">
        <v>45589</v>
      </c>
      <c r="B87" s="4">
        <v>45771</v>
      </c>
      <c r="C87">
        <f t="shared" si="1"/>
        <v>6</v>
      </c>
    </row>
    <row r="88" spans="1:3" x14ac:dyDescent="0.25">
      <c r="A88" s="4">
        <v>45589</v>
      </c>
      <c r="B88" s="4">
        <v>45771</v>
      </c>
      <c r="C88">
        <f t="shared" si="1"/>
        <v>6</v>
      </c>
    </row>
    <row r="89" spans="1:3" x14ac:dyDescent="0.25">
      <c r="A89" s="4">
        <v>45589</v>
      </c>
      <c r="B89" s="4">
        <v>45771</v>
      </c>
      <c r="C89">
        <f t="shared" si="1"/>
        <v>6</v>
      </c>
    </row>
    <row r="90" spans="1:3" x14ac:dyDescent="0.25">
      <c r="A90" s="4">
        <v>45589</v>
      </c>
      <c r="B90" s="4">
        <v>45771</v>
      </c>
      <c r="C90">
        <f t="shared" si="1"/>
        <v>6</v>
      </c>
    </row>
    <row r="91" spans="1:3" x14ac:dyDescent="0.25">
      <c r="A91" s="4">
        <v>45591</v>
      </c>
      <c r="B91" s="4">
        <v>45773</v>
      </c>
      <c r="C91">
        <f t="shared" si="1"/>
        <v>6</v>
      </c>
    </row>
    <row r="92" spans="1:3" x14ac:dyDescent="0.25">
      <c r="A92" s="4">
        <v>45591</v>
      </c>
      <c r="B92" s="4">
        <v>45773</v>
      </c>
      <c r="C92">
        <f t="shared" si="1"/>
        <v>6</v>
      </c>
    </row>
    <row r="93" spans="1:3" x14ac:dyDescent="0.25">
      <c r="A93" s="4">
        <v>45594</v>
      </c>
      <c r="B93" s="4">
        <v>45776</v>
      </c>
      <c r="C93">
        <f t="shared" si="1"/>
        <v>6</v>
      </c>
    </row>
    <row r="94" spans="1:3" x14ac:dyDescent="0.25">
      <c r="A94" s="4">
        <v>45594</v>
      </c>
      <c r="B94" s="4">
        <v>45776</v>
      </c>
      <c r="C94">
        <f t="shared" si="1"/>
        <v>6</v>
      </c>
    </row>
    <row r="95" spans="1:3" x14ac:dyDescent="0.25">
      <c r="A95" s="4">
        <v>45595</v>
      </c>
      <c r="B95" s="4">
        <v>45777</v>
      </c>
      <c r="C95">
        <f t="shared" si="1"/>
        <v>6</v>
      </c>
    </row>
    <row r="96" spans="1:3" x14ac:dyDescent="0.25">
      <c r="A96" s="4">
        <v>45597</v>
      </c>
      <c r="B96" s="4">
        <v>45778</v>
      </c>
      <c r="C96">
        <f t="shared" si="1"/>
        <v>6</v>
      </c>
    </row>
    <row r="97" spans="1:3" x14ac:dyDescent="0.25">
      <c r="A97" s="4">
        <v>45597</v>
      </c>
      <c r="B97" s="4">
        <v>45778</v>
      </c>
      <c r="C97">
        <f t="shared" si="1"/>
        <v>6</v>
      </c>
    </row>
    <row r="98" spans="1:3" x14ac:dyDescent="0.25">
      <c r="A98" s="4">
        <v>45597</v>
      </c>
      <c r="B98" s="4">
        <v>45778</v>
      </c>
      <c r="C98">
        <f t="shared" si="1"/>
        <v>6</v>
      </c>
    </row>
    <row r="99" spans="1:3" x14ac:dyDescent="0.25">
      <c r="A99" s="4">
        <v>45597</v>
      </c>
      <c r="B99" s="4">
        <v>45717</v>
      </c>
      <c r="C99">
        <f t="shared" si="1"/>
        <v>4</v>
      </c>
    </row>
    <row r="100" spans="1:3" x14ac:dyDescent="0.25">
      <c r="A100" s="4">
        <v>45597</v>
      </c>
      <c r="B100" s="4">
        <v>45717</v>
      </c>
      <c r="C100">
        <f t="shared" si="1"/>
        <v>4</v>
      </c>
    </row>
    <row r="101" spans="1:3" x14ac:dyDescent="0.25">
      <c r="A101" s="4">
        <v>45597</v>
      </c>
      <c r="B101" s="4">
        <v>45748</v>
      </c>
      <c r="C101">
        <f t="shared" si="1"/>
        <v>5</v>
      </c>
    </row>
    <row r="102" spans="1:3" x14ac:dyDescent="0.25">
      <c r="A102" s="4">
        <v>45597</v>
      </c>
      <c r="B102" s="4">
        <v>45778</v>
      </c>
      <c r="C102">
        <f t="shared" si="1"/>
        <v>6</v>
      </c>
    </row>
    <row r="103" spans="1:3" x14ac:dyDescent="0.25">
      <c r="A103" s="4">
        <v>45597</v>
      </c>
      <c r="B103" s="4">
        <v>45778</v>
      </c>
      <c r="C103">
        <f t="shared" si="1"/>
        <v>6</v>
      </c>
    </row>
    <row r="104" spans="1:3" x14ac:dyDescent="0.25">
      <c r="A104" s="4">
        <v>45597</v>
      </c>
      <c r="B104" s="4">
        <v>45748</v>
      </c>
      <c r="C104">
        <f t="shared" si="1"/>
        <v>5</v>
      </c>
    </row>
    <row r="105" spans="1:3" x14ac:dyDescent="0.25">
      <c r="A105" s="4">
        <v>45597</v>
      </c>
      <c r="B105" s="4">
        <v>45748</v>
      </c>
      <c r="C105">
        <f t="shared" si="1"/>
        <v>5</v>
      </c>
    </row>
    <row r="106" spans="1:3" x14ac:dyDescent="0.25">
      <c r="A106" s="4">
        <v>45597</v>
      </c>
      <c r="B106" s="4">
        <v>45778</v>
      </c>
      <c r="C106">
        <f t="shared" si="1"/>
        <v>6</v>
      </c>
    </row>
    <row r="107" spans="1:3" x14ac:dyDescent="0.25">
      <c r="A107" s="4">
        <v>45599</v>
      </c>
      <c r="B107" s="4">
        <v>45750</v>
      </c>
      <c r="C107">
        <f t="shared" si="1"/>
        <v>5</v>
      </c>
    </row>
    <row r="108" spans="1:3" x14ac:dyDescent="0.25">
      <c r="A108" s="4">
        <v>45601</v>
      </c>
      <c r="B108" s="4">
        <v>45752</v>
      </c>
      <c r="C108">
        <f t="shared" si="1"/>
        <v>5</v>
      </c>
    </row>
    <row r="109" spans="1:3" x14ac:dyDescent="0.25">
      <c r="A109" s="4">
        <v>45601</v>
      </c>
      <c r="B109" s="4">
        <v>45752</v>
      </c>
      <c r="C109">
        <f t="shared" si="1"/>
        <v>5</v>
      </c>
    </row>
    <row r="110" spans="1:3" x14ac:dyDescent="0.25">
      <c r="A110" s="4">
        <v>45601</v>
      </c>
      <c r="B110" s="4">
        <v>45752</v>
      </c>
      <c r="C110">
        <f t="shared" si="1"/>
        <v>5</v>
      </c>
    </row>
    <row r="111" spans="1:3" x14ac:dyDescent="0.25">
      <c r="A111" s="4">
        <v>45602</v>
      </c>
      <c r="B111" s="4">
        <v>45753</v>
      </c>
      <c r="C111">
        <f t="shared" si="1"/>
        <v>5</v>
      </c>
    </row>
    <row r="112" spans="1:3" x14ac:dyDescent="0.25">
      <c r="A112" s="4">
        <v>45602</v>
      </c>
      <c r="B112" s="4">
        <v>45753</v>
      </c>
      <c r="C112">
        <f t="shared" si="1"/>
        <v>5</v>
      </c>
    </row>
    <row r="113" spans="1:3" x14ac:dyDescent="0.25">
      <c r="A113" s="4">
        <v>45604</v>
      </c>
      <c r="B113" s="4">
        <v>45755</v>
      </c>
      <c r="C113">
        <f t="shared" si="1"/>
        <v>5</v>
      </c>
    </row>
    <row r="114" spans="1:3" x14ac:dyDescent="0.25">
      <c r="A114" s="4">
        <v>45604</v>
      </c>
      <c r="B114" s="4">
        <v>45755</v>
      </c>
      <c r="C114">
        <f t="shared" si="1"/>
        <v>5</v>
      </c>
    </row>
    <row r="115" spans="1:3" x14ac:dyDescent="0.25">
      <c r="A115" s="4">
        <v>45604</v>
      </c>
      <c r="B115" s="4">
        <v>45755</v>
      </c>
      <c r="C115">
        <f t="shared" si="1"/>
        <v>5</v>
      </c>
    </row>
    <row r="116" spans="1:3" x14ac:dyDescent="0.25">
      <c r="A116" s="4">
        <v>45604</v>
      </c>
      <c r="B116" s="4">
        <v>45785</v>
      </c>
      <c r="C116">
        <f t="shared" si="1"/>
        <v>6</v>
      </c>
    </row>
    <row r="117" spans="1:3" x14ac:dyDescent="0.25">
      <c r="A117" s="4">
        <v>45605</v>
      </c>
      <c r="B117" s="4">
        <v>45786</v>
      </c>
      <c r="C117">
        <f t="shared" si="1"/>
        <v>6</v>
      </c>
    </row>
    <row r="118" spans="1:3" x14ac:dyDescent="0.25">
      <c r="A118" s="4">
        <v>45610</v>
      </c>
      <c r="B118" s="4">
        <v>45761</v>
      </c>
      <c r="C118">
        <f t="shared" si="1"/>
        <v>5</v>
      </c>
    </row>
    <row r="119" spans="1:3" x14ac:dyDescent="0.25">
      <c r="A119" s="4">
        <v>45610</v>
      </c>
      <c r="B119" s="4">
        <v>45761</v>
      </c>
      <c r="C119">
        <f t="shared" si="1"/>
        <v>5</v>
      </c>
    </row>
    <row r="120" spans="1:3" x14ac:dyDescent="0.25">
      <c r="A120" s="4">
        <v>45611</v>
      </c>
      <c r="B120" s="4">
        <v>45762</v>
      </c>
      <c r="C120">
        <f t="shared" si="1"/>
        <v>5</v>
      </c>
    </row>
    <row r="121" spans="1:3" x14ac:dyDescent="0.25">
      <c r="A121" s="4">
        <v>45613</v>
      </c>
      <c r="B121" s="4">
        <v>45764</v>
      </c>
      <c r="C121">
        <f t="shared" si="1"/>
        <v>5</v>
      </c>
    </row>
    <row r="122" spans="1:3" x14ac:dyDescent="0.25">
      <c r="A122" s="4">
        <v>45613</v>
      </c>
      <c r="B122" s="4">
        <v>45764</v>
      </c>
      <c r="C122">
        <f t="shared" si="1"/>
        <v>5</v>
      </c>
    </row>
    <row r="123" spans="1:3" x14ac:dyDescent="0.25">
      <c r="A123" s="4">
        <v>45614</v>
      </c>
      <c r="B123" s="4">
        <v>45795</v>
      </c>
      <c r="C123">
        <f t="shared" si="1"/>
        <v>6</v>
      </c>
    </row>
    <row r="124" spans="1:3" x14ac:dyDescent="0.25">
      <c r="A124" s="4">
        <v>45615</v>
      </c>
      <c r="B124" s="4">
        <v>45796</v>
      </c>
      <c r="C124">
        <f t="shared" si="1"/>
        <v>6</v>
      </c>
    </row>
    <row r="125" spans="1:3" x14ac:dyDescent="0.25">
      <c r="A125" s="4">
        <v>45617</v>
      </c>
      <c r="B125" s="4">
        <v>45768</v>
      </c>
      <c r="C125">
        <f t="shared" si="1"/>
        <v>5</v>
      </c>
    </row>
    <row r="126" spans="1:3" x14ac:dyDescent="0.25">
      <c r="A126" s="4">
        <v>45617</v>
      </c>
      <c r="B126" s="4">
        <v>45768</v>
      </c>
      <c r="C126">
        <f t="shared" si="1"/>
        <v>5</v>
      </c>
    </row>
    <row r="127" spans="1:3" x14ac:dyDescent="0.25">
      <c r="A127" s="4">
        <v>45623</v>
      </c>
      <c r="B127" s="4">
        <v>45774</v>
      </c>
      <c r="C127">
        <f t="shared" si="1"/>
        <v>5</v>
      </c>
    </row>
    <row r="128" spans="1:3" x14ac:dyDescent="0.25">
      <c r="A128" s="4">
        <v>45623</v>
      </c>
      <c r="B128" s="4">
        <v>45774</v>
      </c>
      <c r="C128">
        <f t="shared" si="1"/>
        <v>5</v>
      </c>
    </row>
    <row r="129" spans="1:3" x14ac:dyDescent="0.25">
      <c r="A129" s="4">
        <v>45627</v>
      </c>
      <c r="B129" s="4">
        <v>45778</v>
      </c>
      <c r="C129">
        <f t="shared" si="1"/>
        <v>5</v>
      </c>
    </row>
    <row r="130" spans="1:3" x14ac:dyDescent="0.25">
      <c r="A130" s="4">
        <v>45627</v>
      </c>
      <c r="B130" s="4">
        <v>45778</v>
      </c>
      <c r="C130">
        <f t="shared" ref="C130:C193" si="2">MONTH(B130-A130)</f>
        <v>5</v>
      </c>
    </row>
    <row r="131" spans="1:3" x14ac:dyDescent="0.25">
      <c r="A131" s="4">
        <v>45635</v>
      </c>
      <c r="B131" s="4">
        <v>45786</v>
      </c>
      <c r="C131">
        <f t="shared" si="2"/>
        <v>5</v>
      </c>
    </row>
    <row r="132" spans="1:3" x14ac:dyDescent="0.25">
      <c r="A132" s="4">
        <v>45635</v>
      </c>
      <c r="B132" s="4">
        <v>45786</v>
      </c>
      <c r="C132">
        <f t="shared" si="2"/>
        <v>5</v>
      </c>
    </row>
    <row r="133" spans="1:3" x14ac:dyDescent="0.25">
      <c r="A133" s="4">
        <v>45641</v>
      </c>
      <c r="B133" s="4">
        <v>45762</v>
      </c>
      <c r="C133">
        <f t="shared" si="2"/>
        <v>4</v>
      </c>
    </row>
    <row r="134" spans="1:3" x14ac:dyDescent="0.25">
      <c r="A134" s="4">
        <v>45641</v>
      </c>
      <c r="B134" s="4">
        <v>45762</v>
      </c>
      <c r="C134">
        <f t="shared" si="2"/>
        <v>4</v>
      </c>
    </row>
    <row r="135" spans="1:3" x14ac:dyDescent="0.25">
      <c r="A135" s="4">
        <v>45644</v>
      </c>
      <c r="B135" s="4">
        <v>45765</v>
      </c>
      <c r="C135">
        <f t="shared" si="2"/>
        <v>4</v>
      </c>
    </row>
    <row r="136" spans="1:3" x14ac:dyDescent="0.25">
      <c r="A136" s="4">
        <v>45644</v>
      </c>
      <c r="B136" s="4">
        <v>45765</v>
      </c>
      <c r="C136">
        <f t="shared" si="2"/>
        <v>4</v>
      </c>
    </row>
    <row r="137" spans="1:3" x14ac:dyDescent="0.25">
      <c r="A137" s="4">
        <v>45646</v>
      </c>
      <c r="B137" s="4">
        <v>45797</v>
      </c>
      <c r="C137">
        <f t="shared" si="2"/>
        <v>5</v>
      </c>
    </row>
    <row r="138" spans="1:3" x14ac:dyDescent="0.25">
      <c r="A138" s="4">
        <v>45646</v>
      </c>
      <c r="B138" s="4">
        <v>45797</v>
      </c>
      <c r="C138">
        <f t="shared" si="2"/>
        <v>5</v>
      </c>
    </row>
    <row r="139" spans="1:3" x14ac:dyDescent="0.25">
      <c r="A139" s="4">
        <v>45651</v>
      </c>
      <c r="B139" s="4">
        <v>45772</v>
      </c>
      <c r="C139">
        <f t="shared" si="2"/>
        <v>4</v>
      </c>
    </row>
    <row r="140" spans="1:3" x14ac:dyDescent="0.25">
      <c r="A140" s="4">
        <v>45654</v>
      </c>
      <c r="B140" s="4">
        <v>45775</v>
      </c>
      <c r="C140">
        <f t="shared" si="2"/>
        <v>4</v>
      </c>
    </row>
    <row r="141" spans="1:3" x14ac:dyDescent="0.25">
      <c r="A141" s="4">
        <v>45658</v>
      </c>
      <c r="B141" s="4">
        <v>45778</v>
      </c>
      <c r="C141">
        <f t="shared" si="2"/>
        <v>4</v>
      </c>
    </row>
    <row r="142" spans="1:3" x14ac:dyDescent="0.25">
      <c r="A142" s="4">
        <v>45658</v>
      </c>
      <c r="B142" s="4">
        <v>45778</v>
      </c>
      <c r="C142">
        <f t="shared" si="2"/>
        <v>4</v>
      </c>
    </row>
    <row r="143" spans="1:3" x14ac:dyDescent="0.25">
      <c r="A143" s="4">
        <v>45658</v>
      </c>
      <c r="B143" s="4">
        <v>45748</v>
      </c>
      <c r="C143">
        <f t="shared" si="2"/>
        <v>3</v>
      </c>
    </row>
    <row r="144" spans="1:3" x14ac:dyDescent="0.25">
      <c r="A144" s="4">
        <v>45658</v>
      </c>
      <c r="B144" s="4">
        <v>45778</v>
      </c>
      <c r="C144">
        <f t="shared" si="2"/>
        <v>4</v>
      </c>
    </row>
    <row r="145" spans="1:3" x14ac:dyDescent="0.25">
      <c r="A145" s="4">
        <v>45658</v>
      </c>
      <c r="B145" s="4">
        <v>45778</v>
      </c>
      <c r="C145">
        <f t="shared" si="2"/>
        <v>4</v>
      </c>
    </row>
    <row r="146" spans="1:3" x14ac:dyDescent="0.25">
      <c r="A146" s="4">
        <v>45658</v>
      </c>
      <c r="B146" s="4">
        <v>45778</v>
      </c>
      <c r="C146">
        <f t="shared" si="2"/>
        <v>4</v>
      </c>
    </row>
    <row r="147" spans="1:3" x14ac:dyDescent="0.25">
      <c r="A147" s="4">
        <v>45658</v>
      </c>
      <c r="B147" s="4">
        <v>45778</v>
      </c>
      <c r="C147">
        <f t="shared" si="2"/>
        <v>4</v>
      </c>
    </row>
    <row r="148" spans="1:3" x14ac:dyDescent="0.25">
      <c r="A148" s="4">
        <v>45658</v>
      </c>
      <c r="B148" s="4">
        <v>45778</v>
      </c>
      <c r="C148">
        <f t="shared" si="2"/>
        <v>4</v>
      </c>
    </row>
    <row r="149" spans="1:3" x14ac:dyDescent="0.25">
      <c r="A149" s="4">
        <v>45658</v>
      </c>
      <c r="B149" s="4">
        <v>45717</v>
      </c>
      <c r="C149">
        <f t="shared" si="2"/>
        <v>2</v>
      </c>
    </row>
    <row r="150" spans="1:3" x14ac:dyDescent="0.25">
      <c r="A150" s="4">
        <v>45658</v>
      </c>
      <c r="B150" s="4">
        <v>45778</v>
      </c>
      <c r="C150">
        <f t="shared" si="2"/>
        <v>4</v>
      </c>
    </row>
    <row r="151" spans="1:3" x14ac:dyDescent="0.25">
      <c r="A151" s="4">
        <v>45658</v>
      </c>
      <c r="B151" s="4">
        <v>45778</v>
      </c>
      <c r="C151">
        <f t="shared" si="2"/>
        <v>4</v>
      </c>
    </row>
    <row r="152" spans="1:3" x14ac:dyDescent="0.25">
      <c r="A152" s="4">
        <v>45658</v>
      </c>
      <c r="B152" s="4">
        <v>45778</v>
      </c>
      <c r="C152">
        <f t="shared" si="2"/>
        <v>4</v>
      </c>
    </row>
    <row r="153" spans="1:3" x14ac:dyDescent="0.25">
      <c r="A153" s="4">
        <v>45658</v>
      </c>
      <c r="B153" s="4">
        <v>45717</v>
      </c>
      <c r="C153">
        <f t="shared" si="2"/>
        <v>2</v>
      </c>
    </row>
    <row r="154" spans="1:3" x14ac:dyDescent="0.25">
      <c r="A154" s="4">
        <v>45658</v>
      </c>
      <c r="B154" s="4">
        <v>45778</v>
      </c>
      <c r="C154">
        <f t="shared" si="2"/>
        <v>4</v>
      </c>
    </row>
    <row r="155" spans="1:3" x14ac:dyDescent="0.25">
      <c r="A155" s="4">
        <v>45658</v>
      </c>
      <c r="B155" s="4">
        <v>45778</v>
      </c>
      <c r="C155">
        <f t="shared" si="2"/>
        <v>4</v>
      </c>
    </row>
    <row r="156" spans="1:3" x14ac:dyDescent="0.25">
      <c r="A156" s="4">
        <v>45658</v>
      </c>
      <c r="B156" s="4">
        <v>45778</v>
      </c>
      <c r="C156">
        <f t="shared" si="2"/>
        <v>4</v>
      </c>
    </row>
    <row r="157" spans="1:3" x14ac:dyDescent="0.25">
      <c r="A157" s="4">
        <v>45658</v>
      </c>
      <c r="B157" s="4">
        <v>45778</v>
      </c>
      <c r="C157">
        <f t="shared" si="2"/>
        <v>4</v>
      </c>
    </row>
    <row r="158" spans="1:3" x14ac:dyDescent="0.25">
      <c r="A158" s="4">
        <v>45658</v>
      </c>
      <c r="B158" s="4">
        <v>45778</v>
      </c>
      <c r="C158">
        <f t="shared" si="2"/>
        <v>4</v>
      </c>
    </row>
    <row r="159" spans="1:3" x14ac:dyDescent="0.25">
      <c r="A159" s="4">
        <v>45658</v>
      </c>
      <c r="B159" s="4">
        <v>45778</v>
      </c>
      <c r="C159">
        <f t="shared" si="2"/>
        <v>4</v>
      </c>
    </row>
    <row r="160" spans="1:3" x14ac:dyDescent="0.25">
      <c r="A160" s="4">
        <v>45658</v>
      </c>
      <c r="B160" s="4">
        <v>45748</v>
      </c>
      <c r="C160">
        <f t="shared" si="2"/>
        <v>3</v>
      </c>
    </row>
    <row r="161" spans="1:3" x14ac:dyDescent="0.25">
      <c r="A161" s="4">
        <v>45658</v>
      </c>
      <c r="B161" s="4">
        <v>45778</v>
      </c>
      <c r="C161">
        <f t="shared" si="2"/>
        <v>4</v>
      </c>
    </row>
    <row r="162" spans="1:3" x14ac:dyDescent="0.25">
      <c r="A162" s="4">
        <v>45658</v>
      </c>
      <c r="B162" s="4">
        <v>45778</v>
      </c>
      <c r="C162">
        <f t="shared" si="2"/>
        <v>4</v>
      </c>
    </row>
    <row r="163" spans="1:3" x14ac:dyDescent="0.25">
      <c r="A163" s="4">
        <v>45658</v>
      </c>
      <c r="B163" s="4">
        <v>45778</v>
      </c>
      <c r="C163">
        <f t="shared" si="2"/>
        <v>4</v>
      </c>
    </row>
    <row r="164" spans="1:3" x14ac:dyDescent="0.25">
      <c r="A164" s="4">
        <v>45658</v>
      </c>
      <c r="B164" s="4">
        <v>45778</v>
      </c>
      <c r="C164">
        <f t="shared" si="2"/>
        <v>4</v>
      </c>
    </row>
    <row r="165" spans="1:3" x14ac:dyDescent="0.25">
      <c r="A165" s="4">
        <v>45658</v>
      </c>
      <c r="B165" s="4">
        <v>45778</v>
      </c>
      <c r="C165">
        <f t="shared" si="2"/>
        <v>4</v>
      </c>
    </row>
    <row r="166" spans="1:3" x14ac:dyDescent="0.25">
      <c r="A166" s="4">
        <v>45658</v>
      </c>
      <c r="B166" s="4">
        <v>45778</v>
      </c>
      <c r="C166">
        <f t="shared" si="2"/>
        <v>4</v>
      </c>
    </row>
    <row r="167" spans="1:3" x14ac:dyDescent="0.25">
      <c r="A167" s="4">
        <v>45658</v>
      </c>
      <c r="B167" s="4">
        <v>45778</v>
      </c>
      <c r="C167">
        <f t="shared" si="2"/>
        <v>4</v>
      </c>
    </row>
    <row r="168" spans="1:3" x14ac:dyDescent="0.25">
      <c r="A168" s="4">
        <v>45658</v>
      </c>
      <c r="B168" s="4">
        <v>45778</v>
      </c>
      <c r="C168">
        <f t="shared" si="2"/>
        <v>4</v>
      </c>
    </row>
    <row r="169" spans="1:3" x14ac:dyDescent="0.25">
      <c r="A169" s="4">
        <v>45658</v>
      </c>
      <c r="B169" s="4">
        <v>45778</v>
      </c>
      <c r="C169">
        <f t="shared" si="2"/>
        <v>4</v>
      </c>
    </row>
    <row r="170" spans="1:3" x14ac:dyDescent="0.25">
      <c r="A170" s="4">
        <v>45658</v>
      </c>
      <c r="B170" s="4">
        <v>45778</v>
      </c>
      <c r="C170">
        <f t="shared" si="2"/>
        <v>4</v>
      </c>
    </row>
    <row r="171" spans="1:3" x14ac:dyDescent="0.25">
      <c r="A171" s="4">
        <v>45658</v>
      </c>
      <c r="B171" s="4">
        <v>45778</v>
      </c>
      <c r="C171">
        <f t="shared" si="2"/>
        <v>4</v>
      </c>
    </row>
    <row r="172" spans="1:3" x14ac:dyDescent="0.25">
      <c r="A172" s="4">
        <v>45658</v>
      </c>
      <c r="B172" s="4">
        <v>45778</v>
      </c>
      <c r="C172">
        <f t="shared" si="2"/>
        <v>4</v>
      </c>
    </row>
    <row r="173" spans="1:3" x14ac:dyDescent="0.25">
      <c r="A173" s="4">
        <v>45658</v>
      </c>
      <c r="B173" s="4">
        <v>45778</v>
      </c>
      <c r="C173">
        <f t="shared" si="2"/>
        <v>4</v>
      </c>
    </row>
    <row r="174" spans="1:3" x14ac:dyDescent="0.25">
      <c r="A174" s="4">
        <v>45658</v>
      </c>
      <c r="B174" s="4">
        <v>45748</v>
      </c>
      <c r="C174">
        <f t="shared" si="2"/>
        <v>3</v>
      </c>
    </row>
    <row r="175" spans="1:3" x14ac:dyDescent="0.25">
      <c r="A175" s="4">
        <v>45658</v>
      </c>
      <c r="B175" s="4">
        <v>45778</v>
      </c>
      <c r="C175">
        <f t="shared" si="2"/>
        <v>4</v>
      </c>
    </row>
    <row r="176" spans="1:3" x14ac:dyDescent="0.25">
      <c r="A176" s="4">
        <v>45658</v>
      </c>
      <c r="B176" s="4">
        <v>45748</v>
      </c>
      <c r="C176">
        <f t="shared" si="2"/>
        <v>3</v>
      </c>
    </row>
    <row r="177" spans="1:3" x14ac:dyDescent="0.25">
      <c r="A177" s="4">
        <v>45669</v>
      </c>
      <c r="B177" s="4">
        <v>45759</v>
      </c>
      <c r="C177">
        <f t="shared" si="2"/>
        <v>3</v>
      </c>
    </row>
    <row r="178" spans="1:3" x14ac:dyDescent="0.25">
      <c r="A178" s="4">
        <v>45689</v>
      </c>
      <c r="B178" s="4">
        <v>45778</v>
      </c>
      <c r="C178">
        <f t="shared" si="2"/>
        <v>3</v>
      </c>
    </row>
    <row r="179" spans="1:3" x14ac:dyDescent="0.25">
      <c r="A179" s="4">
        <v>45689</v>
      </c>
      <c r="B179" s="4">
        <v>45778</v>
      </c>
      <c r="C179">
        <f t="shared" si="2"/>
        <v>3</v>
      </c>
    </row>
    <row r="180" spans="1:3" x14ac:dyDescent="0.25">
      <c r="A180" s="4">
        <v>45689</v>
      </c>
      <c r="B180" s="4">
        <v>45778</v>
      </c>
      <c r="C180">
        <f t="shared" si="2"/>
        <v>3</v>
      </c>
    </row>
    <row r="181" spans="1:3" x14ac:dyDescent="0.25">
      <c r="A181" s="4">
        <v>45689</v>
      </c>
      <c r="B181" s="4">
        <v>45748</v>
      </c>
      <c r="C181">
        <f t="shared" si="2"/>
        <v>2</v>
      </c>
    </row>
    <row r="182" spans="1:3" x14ac:dyDescent="0.25">
      <c r="A182" s="4">
        <v>45694</v>
      </c>
      <c r="B182" s="4">
        <v>45753</v>
      </c>
      <c r="C182">
        <f t="shared" si="2"/>
        <v>2</v>
      </c>
    </row>
    <row r="183" spans="1:3" x14ac:dyDescent="0.25">
      <c r="A183" s="4">
        <v>45702</v>
      </c>
      <c r="B183" s="4">
        <v>45761</v>
      </c>
      <c r="C183">
        <f t="shared" si="2"/>
        <v>2</v>
      </c>
    </row>
    <row r="184" spans="1:3" x14ac:dyDescent="0.25">
      <c r="A184" s="4">
        <v>45702</v>
      </c>
      <c r="B184" s="4">
        <v>45761</v>
      </c>
      <c r="C184">
        <f t="shared" si="2"/>
        <v>2</v>
      </c>
    </row>
    <row r="185" spans="1:3" x14ac:dyDescent="0.25">
      <c r="A185" s="4">
        <v>45715</v>
      </c>
      <c r="B185" s="4">
        <v>45774</v>
      </c>
      <c r="C185">
        <f t="shared" si="2"/>
        <v>2</v>
      </c>
    </row>
    <row r="186" spans="1:3" x14ac:dyDescent="0.25">
      <c r="A186" s="4">
        <v>45717</v>
      </c>
      <c r="B186" s="4">
        <v>45717</v>
      </c>
      <c r="C186">
        <f t="shared" si="2"/>
        <v>1</v>
      </c>
    </row>
    <row r="187" spans="1:3" x14ac:dyDescent="0.25">
      <c r="A187" s="4">
        <v>45717</v>
      </c>
      <c r="B187" s="4">
        <v>45778</v>
      </c>
      <c r="C187">
        <f t="shared" si="2"/>
        <v>3</v>
      </c>
    </row>
    <row r="188" spans="1:3" x14ac:dyDescent="0.25">
      <c r="A188" s="4">
        <v>45717</v>
      </c>
      <c r="B188" s="4">
        <v>45809</v>
      </c>
      <c r="C188">
        <f t="shared" si="2"/>
        <v>4</v>
      </c>
    </row>
    <row r="189" spans="1:3" x14ac:dyDescent="0.25">
      <c r="A189" s="4">
        <v>45717</v>
      </c>
      <c r="B189" s="4">
        <v>45778</v>
      </c>
      <c r="C189">
        <f t="shared" si="2"/>
        <v>3</v>
      </c>
    </row>
    <row r="190" spans="1:3" x14ac:dyDescent="0.25">
      <c r="A190" s="4">
        <v>45717</v>
      </c>
      <c r="B190" s="4">
        <v>45778</v>
      </c>
      <c r="C190">
        <f t="shared" si="2"/>
        <v>3</v>
      </c>
    </row>
    <row r="191" spans="1:3" x14ac:dyDescent="0.25">
      <c r="A191" s="4">
        <v>45717</v>
      </c>
      <c r="B191" s="4">
        <v>45778</v>
      </c>
      <c r="C191">
        <f t="shared" si="2"/>
        <v>3</v>
      </c>
    </row>
    <row r="192" spans="1:3" x14ac:dyDescent="0.25">
      <c r="A192" s="4">
        <v>45717</v>
      </c>
      <c r="B192" s="4">
        <v>45778</v>
      </c>
      <c r="C192">
        <f t="shared" si="2"/>
        <v>3</v>
      </c>
    </row>
    <row r="193" spans="1:3" x14ac:dyDescent="0.25">
      <c r="A193" s="4">
        <v>45720</v>
      </c>
      <c r="B193" s="4">
        <v>45751</v>
      </c>
      <c r="C193">
        <f t="shared" si="2"/>
        <v>1</v>
      </c>
    </row>
    <row r="194" spans="1:3" x14ac:dyDescent="0.25">
      <c r="A194" s="4">
        <v>45720</v>
      </c>
      <c r="B194" s="4">
        <v>45751</v>
      </c>
      <c r="C194">
        <f t="shared" ref="C194:C257" si="3">MONTH(B194-A194)</f>
        <v>1</v>
      </c>
    </row>
    <row r="195" spans="1:3" x14ac:dyDescent="0.25">
      <c r="A195" s="4">
        <v>45720</v>
      </c>
      <c r="B195" s="4">
        <v>45781</v>
      </c>
      <c r="C195">
        <f t="shared" si="3"/>
        <v>3</v>
      </c>
    </row>
    <row r="196" spans="1:3" x14ac:dyDescent="0.25">
      <c r="A196" s="4">
        <v>45720</v>
      </c>
      <c r="B196" s="4">
        <v>45751</v>
      </c>
      <c r="C196">
        <f t="shared" si="3"/>
        <v>1</v>
      </c>
    </row>
    <row r="197" spans="1:3" x14ac:dyDescent="0.25">
      <c r="A197" s="4">
        <v>45720</v>
      </c>
      <c r="B197" s="4">
        <v>45720</v>
      </c>
      <c r="C197">
        <f t="shared" si="3"/>
        <v>1</v>
      </c>
    </row>
    <row r="198" spans="1:3" x14ac:dyDescent="0.25">
      <c r="A198" s="4">
        <v>45720</v>
      </c>
      <c r="B198" s="4">
        <v>45720</v>
      </c>
      <c r="C198">
        <f t="shared" si="3"/>
        <v>1</v>
      </c>
    </row>
    <row r="199" spans="1:3" x14ac:dyDescent="0.25">
      <c r="A199" s="4">
        <v>45721</v>
      </c>
      <c r="B199" s="4">
        <v>45752</v>
      </c>
      <c r="C199">
        <f t="shared" si="3"/>
        <v>1</v>
      </c>
    </row>
    <row r="200" spans="1:3" x14ac:dyDescent="0.25">
      <c r="A200" s="4">
        <v>45721</v>
      </c>
      <c r="B200" s="4">
        <v>45752</v>
      </c>
      <c r="C200">
        <f t="shared" si="3"/>
        <v>1</v>
      </c>
    </row>
    <row r="201" spans="1:3" x14ac:dyDescent="0.25">
      <c r="A201" s="4">
        <v>45723</v>
      </c>
      <c r="B201" s="4">
        <v>45784</v>
      </c>
      <c r="C201">
        <f t="shared" si="3"/>
        <v>3</v>
      </c>
    </row>
    <row r="202" spans="1:3" x14ac:dyDescent="0.25">
      <c r="A202" s="4">
        <v>45723</v>
      </c>
      <c r="B202" s="4">
        <v>45784</v>
      </c>
      <c r="C202">
        <f t="shared" si="3"/>
        <v>3</v>
      </c>
    </row>
    <row r="203" spans="1:3" x14ac:dyDescent="0.25">
      <c r="A203" s="4">
        <v>45727</v>
      </c>
      <c r="B203" s="4">
        <v>45758</v>
      </c>
      <c r="C203">
        <f t="shared" si="3"/>
        <v>1</v>
      </c>
    </row>
    <row r="204" spans="1:3" x14ac:dyDescent="0.25">
      <c r="A204" s="4">
        <v>45727</v>
      </c>
      <c r="B204" s="4">
        <v>45758</v>
      </c>
      <c r="C204">
        <f t="shared" si="3"/>
        <v>1</v>
      </c>
    </row>
    <row r="205" spans="1:3" x14ac:dyDescent="0.25">
      <c r="A205" s="4">
        <v>45729</v>
      </c>
      <c r="B205" s="4">
        <v>45760</v>
      </c>
      <c r="C205">
        <f t="shared" si="3"/>
        <v>1</v>
      </c>
    </row>
    <row r="206" spans="1:3" x14ac:dyDescent="0.25">
      <c r="A206" s="4">
        <v>45734</v>
      </c>
      <c r="B206" s="4">
        <v>45765</v>
      </c>
      <c r="C206">
        <f t="shared" si="3"/>
        <v>1</v>
      </c>
    </row>
    <row r="207" spans="1:3" x14ac:dyDescent="0.25">
      <c r="A207" s="4">
        <v>45741</v>
      </c>
      <c r="B207" s="4">
        <v>45772</v>
      </c>
      <c r="C207">
        <f t="shared" si="3"/>
        <v>1</v>
      </c>
    </row>
    <row r="208" spans="1:3" x14ac:dyDescent="0.25">
      <c r="A208" s="4">
        <v>45742</v>
      </c>
      <c r="B208" s="4">
        <v>45773</v>
      </c>
      <c r="C208">
        <f t="shared" si="3"/>
        <v>1</v>
      </c>
    </row>
    <row r="209" spans="1:3" x14ac:dyDescent="0.25">
      <c r="A209" s="4">
        <v>45743</v>
      </c>
      <c r="B209" s="4">
        <v>45774</v>
      </c>
      <c r="C209">
        <f t="shared" si="3"/>
        <v>1</v>
      </c>
    </row>
    <row r="210" spans="1:3" x14ac:dyDescent="0.25">
      <c r="A210" s="4">
        <v>45743</v>
      </c>
      <c r="B210" s="4">
        <v>45774</v>
      </c>
      <c r="C210">
        <f t="shared" si="3"/>
        <v>1</v>
      </c>
    </row>
    <row r="211" spans="1:3" x14ac:dyDescent="0.25">
      <c r="A211" s="4">
        <v>45744</v>
      </c>
      <c r="B211" s="4">
        <v>45744</v>
      </c>
      <c r="C211">
        <f t="shared" si="3"/>
        <v>1</v>
      </c>
    </row>
    <row r="212" spans="1:3" x14ac:dyDescent="0.25">
      <c r="A212" s="4">
        <v>45744</v>
      </c>
      <c r="B212" s="4">
        <v>45775</v>
      </c>
      <c r="C212">
        <f t="shared" si="3"/>
        <v>1</v>
      </c>
    </row>
    <row r="213" spans="1:3" x14ac:dyDescent="0.25">
      <c r="A213" s="4">
        <v>45745</v>
      </c>
      <c r="B213" s="4">
        <v>45776</v>
      </c>
      <c r="C213">
        <f t="shared" si="3"/>
        <v>1</v>
      </c>
    </row>
    <row r="214" spans="1:3" x14ac:dyDescent="0.25">
      <c r="A214" s="4">
        <v>45748</v>
      </c>
      <c r="B214" s="4">
        <v>45778</v>
      </c>
      <c r="C214">
        <f t="shared" si="3"/>
        <v>1</v>
      </c>
    </row>
    <row r="215" spans="1:3" x14ac:dyDescent="0.25">
      <c r="A215" s="4">
        <v>45748</v>
      </c>
      <c r="B215" s="4">
        <v>45778</v>
      </c>
      <c r="C215">
        <f t="shared" si="3"/>
        <v>1</v>
      </c>
    </row>
    <row r="216" spans="1:3" x14ac:dyDescent="0.25">
      <c r="A216" s="4">
        <v>45748</v>
      </c>
      <c r="B216" s="4">
        <v>45778</v>
      </c>
      <c r="C216">
        <f t="shared" si="3"/>
        <v>1</v>
      </c>
    </row>
    <row r="217" spans="1:3" x14ac:dyDescent="0.25">
      <c r="A217" s="4">
        <v>45748</v>
      </c>
      <c r="B217" s="4">
        <v>45778</v>
      </c>
      <c r="C217">
        <f t="shared" si="3"/>
        <v>1</v>
      </c>
    </row>
    <row r="218" spans="1:3" x14ac:dyDescent="0.25">
      <c r="A218" s="4">
        <v>45748</v>
      </c>
      <c r="B218" s="4">
        <v>45778</v>
      </c>
      <c r="C218">
        <f t="shared" si="3"/>
        <v>1</v>
      </c>
    </row>
    <row r="219" spans="1:3" x14ac:dyDescent="0.25">
      <c r="A219" s="4">
        <v>45748</v>
      </c>
      <c r="B219" s="4">
        <v>45778</v>
      </c>
      <c r="C219">
        <f t="shared" si="3"/>
        <v>1</v>
      </c>
    </row>
    <row r="220" spans="1:3" x14ac:dyDescent="0.25">
      <c r="A220" s="4">
        <v>45748</v>
      </c>
      <c r="B220" s="4">
        <v>45778</v>
      </c>
      <c r="C220">
        <f t="shared" si="3"/>
        <v>1</v>
      </c>
    </row>
    <row r="221" spans="1:3" x14ac:dyDescent="0.25">
      <c r="A221" s="4">
        <v>45748</v>
      </c>
      <c r="B221" s="4">
        <v>45748</v>
      </c>
      <c r="C221">
        <f t="shared" si="3"/>
        <v>1</v>
      </c>
    </row>
    <row r="222" spans="1:3" x14ac:dyDescent="0.25">
      <c r="A222" s="4">
        <v>45413</v>
      </c>
      <c r="B222" s="4">
        <v>45778</v>
      </c>
      <c r="C222">
        <f t="shared" si="3"/>
        <v>12</v>
      </c>
    </row>
    <row r="223" spans="1:3" x14ac:dyDescent="0.25">
      <c r="A223" s="4">
        <v>45413</v>
      </c>
      <c r="B223" s="4">
        <v>45778</v>
      </c>
      <c r="C223">
        <f t="shared" si="3"/>
        <v>12</v>
      </c>
    </row>
    <row r="224" spans="1:3" x14ac:dyDescent="0.25">
      <c r="A224" s="4">
        <v>45439</v>
      </c>
      <c r="B224" s="4">
        <v>45774</v>
      </c>
      <c r="C224">
        <f t="shared" si="3"/>
        <v>11</v>
      </c>
    </row>
    <row r="225" spans="1:3" x14ac:dyDescent="0.25">
      <c r="A225" s="4">
        <v>45444</v>
      </c>
      <c r="B225" s="4">
        <v>45748</v>
      </c>
      <c r="C225">
        <f t="shared" si="3"/>
        <v>10</v>
      </c>
    </row>
    <row r="226" spans="1:3" x14ac:dyDescent="0.25">
      <c r="A226" s="4">
        <v>45444</v>
      </c>
      <c r="B226" s="4">
        <v>45778</v>
      </c>
      <c r="C226">
        <f t="shared" si="3"/>
        <v>11</v>
      </c>
    </row>
    <row r="227" spans="1:3" x14ac:dyDescent="0.25">
      <c r="A227" s="4">
        <v>45444</v>
      </c>
      <c r="B227" s="4">
        <v>45778</v>
      </c>
      <c r="C227">
        <f t="shared" si="3"/>
        <v>11</v>
      </c>
    </row>
    <row r="228" spans="1:3" x14ac:dyDescent="0.25">
      <c r="A228" s="4">
        <v>45505</v>
      </c>
      <c r="B228" s="4">
        <v>45778</v>
      </c>
      <c r="C228">
        <f t="shared" si="3"/>
        <v>9</v>
      </c>
    </row>
    <row r="229" spans="1:3" x14ac:dyDescent="0.25">
      <c r="A229" s="4">
        <v>45505</v>
      </c>
      <c r="B229" s="4">
        <v>45778</v>
      </c>
      <c r="C229">
        <f t="shared" si="3"/>
        <v>9</v>
      </c>
    </row>
    <row r="230" spans="1:3" x14ac:dyDescent="0.25">
      <c r="A230" s="4">
        <v>45505</v>
      </c>
      <c r="B230" s="4">
        <v>45778</v>
      </c>
      <c r="C230">
        <f t="shared" si="3"/>
        <v>9</v>
      </c>
    </row>
    <row r="231" spans="1:3" x14ac:dyDescent="0.25">
      <c r="A231" s="4">
        <v>45505</v>
      </c>
      <c r="B231" s="4">
        <v>45778</v>
      </c>
      <c r="C231">
        <f t="shared" si="3"/>
        <v>9</v>
      </c>
    </row>
    <row r="232" spans="1:3" x14ac:dyDescent="0.25">
      <c r="A232" s="4">
        <v>45505</v>
      </c>
      <c r="B232" s="4">
        <v>45778</v>
      </c>
      <c r="C232">
        <f t="shared" si="3"/>
        <v>9</v>
      </c>
    </row>
    <row r="233" spans="1:3" x14ac:dyDescent="0.25">
      <c r="A233" s="4">
        <v>45505</v>
      </c>
      <c r="B233" s="4">
        <v>45748</v>
      </c>
      <c r="C233">
        <f t="shared" si="3"/>
        <v>8</v>
      </c>
    </row>
    <row r="234" spans="1:3" x14ac:dyDescent="0.25">
      <c r="A234" s="4">
        <v>45506</v>
      </c>
      <c r="B234" s="4">
        <v>45779</v>
      </c>
      <c r="C234">
        <f t="shared" si="3"/>
        <v>9</v>
      </c>
    </row>
    <row r="235" spans="1:3" x14ac:dyDescent="0.25">
      <c r="A235" s="4">
        <v>45506</v>
      </c>
      <c r="B235" s="4">
        <v>45779</v>
      </c>
      <c r="C235">
        <f t="shared" si="3"/>
        <v>9</v>
      </c>
    </row>
    <row r="236" spans="1:3" x14ac:dyDescent="0.25">
      <c r="A236" s="4">
        <v>45522</v>
      </c>
      <c r="B236" s="4">
        <v>45765</v>
      </c>
      <c r="C236">
        <f t="shared" si="3"/>
        <v>8</v>
      </c>
    </row>
    <row r="237" spans="1:3" x14ac:dyDescent="0.25">
      <c r="A237" s="4">
        <v>45522</v>
      </c>
      <c r="B237" s="4">
        <v>45765</v>
      </c>
      <c r="C237">
        <f t="shared" si="3"/>
        <v>8</v>
      </c>
    </row>
    <row r="238" spans="1:3" x14ac:dyDescent="0.25">
      <c r="A238" s="4">
        <v>45524</v>
      </c>
      <c r="B238" s="4">
        <v>45767</v>
      </c>
      <c r="C238">
        <f t="shared" si="3"/>
        <v>8</v>
      </c>
    </row>
    <row r="239" spans="1:3" x14ac:dyDescent="0.25">
      <c r="A239" s="4">
        <v>45533</v>
      </c>
      <c r="B239" s="4">
        <v>45776</v>
      </c>
      <c r="C239">
        <f t="shared" si="3"/>
        <v>8</v>
      </c>
    </row>
    <row r="240" spans="1:3" x14ac:dyDescent="0.25">
      <c r="A240" s="4">
        <v>45536</v>
      </c>
      <c r="B240" s="4">
        <v>45778</v>
      </c>
      <c r="C240">
        <f t="shared" si="3"/>
        <v>8</v>
      </c>
    </row>
    <row r="241" spans="1:3" x14ac:dyDescent="0.25">
      <c r="A241" s="4">
        <v>45536</v>
      </c>
      <c r="B241" s="4">
        <v>45778</v>
      </c>
      <c r="C241">
        <f t="shared" si="3"/>
        <v>8</v>
      </c>
    </row>
    <row r="242" spans="1:3" x14ac:dyDescent="0.25">
      <c r="A242" s="4">
        <v>45536</v>
      </c>
      <c r="B242" s="4">
        <v>45778</v>
      </c>
      <c r="C242">
        <f t="shared" si="3"/>
        <v>8</v>
      </c>
    </row>
    <row r="243" spans="1:3" x14ac:dyDescent="0.25">
      <c r="A243" s="4">
        <v>45536</v>
      </c>
      <c r="B243" s="4">
        <v>45778</v>
      </c>
      <c r="C243">
        <f t="shared" si="3"/>
        <v>8</v>
      </c>
    </row>
    <row r="244" spans="1:3" x14ac:dyDescent="0.25">
      <c r="A244" s="4">
        <v>45536</v>
      </c>
      <c r="B244" s="4">
        <v>45778</v>
      </c>
      <c r="C244">
        <f t="shared" si="3"/>
        <v>8</v>
      </c>
    </row>
    <row r="245" spans="1:3" x14ac:dyDescent="0.25">
      <c r="A245" s="4">
        <v>45538</v>
      </c>
      <c r="B245" s="4">
        <v>45750</v>
      </c>
      <c r="C245">
        <f t="shared" si="3"/>
        <v>7</v>
      </c>
    </row>
    <row r="246" spans="1:3" x14ac:dyDescent="0.25">
      <c r="A246" s="4">
        <v>45538</v>
      </c>
      <c r="B246" s="4">
        <v>45750</v>
      </c>
      <c r="C246">
        <f t="shared" si="3"/>
        <v>7</v>
      </c>
    </row>
    <row r="247" spans="1:3" x14ac:dyDescent="0.25">
      <c r="A247" s="4">
        <v>45546</v>
      </c>
      <c r="B247" s="4">
        <v>45758</v>
      </c>
      <c r="C247">
        <f t="shared" si="3"/>
        <v>7</v>
      </c>
    </row>
    <row r="248" spans="1:3" x14ac:dyDescent="0.25">
      <c r="A248" s="4">
        <v>45566</v>
      </c>
      <c r="B248" s="4">
        <v>45778</v>
      </c>
      <c r="C248">
        <f t="shared" si="3"/>
        <v>7</v>
      </c>
    </row>
    <row r="249" spans="1:3" x14ac:dyDescent="0.25">
      <c r="A249" s="4">
        <v>45566</v>
      </c>
      <c r="B249" s="4">
        <v>45778</v>
      </c>
      <c r="C249">
        <f t="shared" si="3"/>
        <v>7</v>
      </c>
    </row>
    <row r="250" spans="1:3" x14ac:dyDescent="0.25">
      <c r="A250" s="4">
        <v>45566</v>
      </c>
      <c r="B250" s="4">
        <v>45778</v>
      </c>
      <c r="C250">
        <f t="shared" si="3"/>
        <v>7</v>
      </c>
    </row>
    <row r="251" spans="1:3" x14ac:dyDescent="0.25">
      <c r="A251" s="4">
        <v>45566</v>
      </c>
      <c r="B251" s="4">
        <v>45778</v>
      </c>
      <c r="C251">
        <f t="shared" si="3"/>
        <v>7</v>
      </c>
    </row>
    <row r="252" spans="1:3" x14ac:dyDescent="0.25">
      <c r="A252" s="4">
        <v>45572</v>
      </c>
      <c r="B252" s="4">
        <v>45754</v>
      </c>
      <c r="C252">
        <f t="shared" si="3"/>
        <v>6</v>
      </c>
    </row>
    <row r="253" spans="1:3" x14ac:dyDescent="0.25">
      <c r="A253" s="4">
        <v>45576</v>
      </c>
      <c r="B253" s="4">
        <v>45758</v>
      </c>
      <c r="C253">
        <f t="shared" si="3"/>
        <v>6</v>
      </c>
    </row>
    <row r="254" spans="1:3" x14ac:dyDescent="0.25">
      <c r="A254" s="4">
        <v>45576</v>
      </c>
      <c r="B254" s="4">
        <v>45758</v>
      </c>
      <c r="C254">
        <f t="shared" si="3"/>
        <v>6</v>
      </c>
    </row>
    <row r="255" spans="1:3" x14ac:dyDescent="0.25">
      <c r="A255" s="4">
        <v>45577</v>
      </c>
      <c r="B255" s="4">
        <v>45789</v>
      </c>
      <c r="C255">
        <f t="shared" si="3"/>
        <v>7</v>
      </c>
    </row>
    <row r="256" spans="1:3" x14ac:dyDescent="0.25">
      <c r="A256" s="4">
        <v>45582</v>
      </c>
      <c r="B256" s="4">
        <v>45764</v>
      </c>
      <c r="C256">
        <f t="shared" si="3"/>
        <v>6</v>
      </c>
    </row>
    <row r="257" spans="1:3" x14ac:dyDescent="0.25">
      <c r="A257" s="4">
        <v>45582</v>
      </c>
      <c r="B257" s="4">
        <v>45764</v>
      </c>
      <c r="C257">
        <f t="shared" si="3"/>
        <v>6</v>
      </c>
    </row>
    <row r="258" spans="1:3" x14ac:dyDescent="0.25">
      <c r="A258" s="4">
        <v>45582</v>
      </c>
      <c r="B258" s="4">
        <v>45764</v>
      </c>
      <c r="C258">
        <f t="shared" ref="C258:C321" si="4">MONTH(B258-A258)</f>
        <v>6</v>
      </c>
    </row>
    <row r="259" spans="1:3" x14ac:dyDescent="0.25">
      <c r="A259" s="4">
        <v>45583</v>
      </c>
      <c r="B259" s="4">
        <v>45765</v>
      </c>
      <c r="C259">
        <f t="shared" si="4"/>
        <v>6</v>
      </c>
    </row>
    <row r="260" spans="1:3" x14ac:dyDescent="0.25">
      <c r="A260" s="4">
        <v>45587</v>
      </c>
      <c r="B260" s="4">
        <v>45769</v>
      </c>
      <c r="C260">
        <f t="shared" si="4"/>
        <v>6</v>
      </c>
    </row>
    <row r="261" spans="1:3" x14ac:dyDescent="0.25">
      <c r="A261" s="4">
        <v>45594</v>
      </c>
      <c r="B261" s="4">
        <v>45776</v>
      </c>
      <c r="C261">
        <f t="shared" si="4"/>
        <v>6</v>
      </c>
    </row>
    <row r="262" spans="1:3" x14ac:dyDescent="0.25">
      <c r="A262" s="4">
        <v>45597</v>
      </c>
      <c r="B262" s="4">
        <v>45778</v>
      </c>
      <c r="C262">
        <f t="shared" si="4"/>
        <v>6</v>
      </c>
    </row>
    <row r="263" spans="1:3" x14ac:dyDescent="0.25">
      <c r="A263" s="4">
        <v>45597</v>
      </c>
      <c r="B263" s="4">
        <v>45778</v>
      </c>
      <c r="C263">
        <f t="shared" si="4"/>
        <v>6</v>
      </c>
    </row>
    <row r="264" spans="1:3" x14ac:dyDescent="0.25">
      <c r="A264" s="4">
        <v>45597</v>
      </c>
      <c r="B264" s="4">
        <v>45778</v>
      </c>
      <c r="C264">
        <f t="shared" si="4"/>
        <v>6</v>
      </c>
    </row>
    <row r="265" spans="1:3" x14ac:dyDescent="0.25">
      <c r="A265" s="4">
        <v>45597</v>
      </c>
      <c r="B265" s="4">
        <v>45778</v>
      </c>
      <c r="C265">
        <f t="shared" si="4"/>
        <v>6</v>
      </c>
    </row>
    <row r="266" spans="1:3" x14ac:dyDescent="0.25">
      <c r="A266" s="4">
        <v>45597</v>
      </c>
      <c r="B266" s="4">
        <v>45778</v>
      </c>
      <c r="C266">
        <f t="shared" si="4"/>
        <v>6</v>
      </c>
    </row>
    <row r="267" spans="1:3" x14ac:dyDescent="0.25">
      <c r="A267" s="4">
        <v>45597</v>
      </c>
      <c r="B267" s="4">
        <v>45778</v>
      </c>
      <c r="C267">
        <f t="shared" si="4"/>
        <v>6</v>
      </c>
    </row>
    <row r="268" spans="1:3" x14ac:dyDescent="0.25">
      <c r="A268" s="4">
        <v>45597</v>
      </c>
      <c r="B268" s="4">
        <v>45778</v>
      </c>
      <c r="C268">
        <f t="shared" si="4"/>
        <v>6</v>
      </c>
    </row>
    <row r="269" spans="1:3" x14ac:dyDescent="0.25">
      <c r="A269" s="4">
        <v>45597</v>
      </c>
      <c r="B269" s="4">
        <v>45778</v>
      </c>
      <c r="C269">
        <f t="shared" si="4"/>
        <v>6</v>
      </c>
    </row>
    <row r="270" spans="1:3" x14ac:dyDescent="0.25">
      <c r="A270" s="4">
        <v>45597</v>
      </c>
      <c r="B270" s="4">
        <v>45778</v>
      </c>
      <c r="C270">
        <f t="shared" si="4"/>
        <v>6</v>
      </c>
    </row>
    <row r="271" spans="1:3" x14ac:dyDescent="0.25">
      <c r="A271" s="4">
        <v>45603</v>
      </c>
      <c r="B271" s="4">
        <v>45754</v>
      </c>
      <c r="C271">
        <f t="shared" si="4"/>
        <v>5</v>
      </c>
    </row>
    <row r="272" spans="1:3" x14ac:dyDescent="0.25">
      <c r="A272" s="4">
        <v>45612</v>
      </c>
      <c r="B272" s="4">
        <v>45763</v>
      </c>
      <c r="C272">
        <f t="shared" si="4"/>
        <v>5</v>
      </c>
    </row>
    <row r="273" spans="1:3" x14ac:dyDescent="0.25">
      <c r="A273" s="4">
        <v>45627</v>
      </c>
      <c r="B273" s="4">
        <v>45778</v>
      </c>
      <c r="C273">
        <f t="shared" si="4"/>
        <v>5</v>
      </c>
    </row>
    <row r="274" spans="1:3" x14ac:dyDescent="0.25">
      <c r="A274" s="4">
        <v>45627</v>
      </c>
      <c r="B274" s="4">
        <v>45778</v>
      </c>
      <c r="C274">
        <f t="shared" si="4"/>
        <v>5</v>
      </c>
    </row>
    <row r="275" spans="1:3" x14ac:dyDescent="0.25">
      <c r="A275" s="4">
        <v>45627</v>
      </c>
      <c r="B275" s="4">
        <v>45778</v>
      </c>
      <c r="C275">
        <f t="shared" si="4"/>
        <v>5</v>
      </c>
    </row>
    <row r="276" spans="1:3" x14ac:dyDescent="0.25">
      <c r="A276" s="4">
        <v>45627</v>
      </c>
      <c r="B276" s="4">
        <v>45778</v>
      </c>
      <c r="C276">
        <f t="shared" si="4"/>
        <v>5</v>
      </c>
    </row>
    <row r="277" spans="1:3" x14ac:dyDescent="0.25">
      <c r="A277" s="4">
        <v>45627</v>
      </c>
      <c r="B277" s="4">
        <v>45778</v>
      </c>
      <c r="C277">
        <f t="shared" si="4"/>
        <v>5</v>
      </c>
    </row>
    <row r="278" spans="1:3" x14ac:dyDescent="0.25">
      <c r="A278" s="4">
        <v>45627</v>
      </c>
      <c r="B278" s="4">
        <v>45778</v>
      </c>
      <c r="C278">
        <f t="shared" si="4"/>
        <v>5</v>
      </c>
    </row>
    <row r="279" spans="1:3" x14ac:dyDescent="0.25">
      <c r="A279" s="4">
        <v>45627</v>
      </c>
      <c r="B279" s="4">
        <v>45778</v>
      </c>
      <c r="C279">
        <f t="shared" si="4"/>
        <v>5</v>
      </c>
    </row>
    <row r="280" spans="1:3" x14ac:dyDescent="0.25">
      <c r="A280" s="4">
        <v>45627</v>
      </c>
      <c r="B280" s="4">
        <v>45717</v>
      </c>
      <c r="C280">
        <f t="shared" si="4"/>
        <v>3</v>
      </c>
    </row>
    <row r="281" spans="1:3" x14ac:dyDescent="0.25">
      <c r="A281" s="4">
        <v>45627</v>
      </c>
      <c r="B281" s="4">
        <v>45778</v>
      </c>
      <c r="C281">
        <f t="shared" si="4"/>
        <v>5</v>
      </c>
    </row>
    <row r="282" spans="1:3" x14ac:dyDescent="0.25">
      <c r="A282" s="4">
        <v>45636</v>
      </c>
      <c r="B282" s="4">
        <v>45757</v>
      </c>
      <c r="C282">
        <f t="shared" si="4"/>
        <v>4</v>
      </c>
    </row>
    <row r="283" spans="1:3" x14ac:dyDescent="0.25">
      <c r="A283" s="4">
        <v>45636</v>
      </c>
      <c r="B283" s="4">
        <v>45757</v>
      </c>
      <c r="C283">
        <f t="shared" si="4"/>
        <v>4</v>
      </c>
    </row>
    <row r="284" spans="1:3" x14ac:dyDescent="0.25">
      <c r="A284" s="4">
        <v>45639</v>
      </c>
      <c r="B284" s="4">
        <v>45760</v>
      </c>
      <c r="C284">
        <f t="shared" si="4"/>
        <v>4</v>
      </c>
    </row>
    <row r="285" spans="1:3" x14ac:dyDescent="0.25">
      <c r="A285" s="4">
        <v>45639</v>
      </c>
      <c r="B285" s="4">
        <v>45729</v>
      </c>
      <c r="C285">
        <f t="shared" si="4"/>
        <v>3</v>
      </c>
    </row>
    <row r="286" spans="1:3" x14ac:dyDescent="0.25">
      <c r="A286" s="4">
        <v>45642</v>
      </c>
      <c r="B286" s="4">
        <v>45763</v>
      </c>
      <c r="C286">
        <f t="shared" si="4"/>
        <v>4</v>
      </c>
    </row>
    <row r="287" spans="1:3" x14ac:dyDescent="0.25">
      <c r="A287" s="4">
        <v>45653</v>
      </c>
      <c r="B287" s="4">
        <v>45774</v>
      </c>
      <c r="C287">
        <f t="shared" si="4"/>
        <v>4</v>
      </c>
    </row>
    <row r="288" spans="1:3" x14ac:dyDescent="0.25">
      <c r="A288" s="4">
        <v>45658</v>
      </c>
      <c r="B288" s="4">
        <v>45778</v>
      </c>
      <c r="C288">
        <f t="shared" si="4"/>
        <v>4</v>
      </c>
    </row>
    <row r="289" spans="1:3" x14ac:dyDescent="0.25">
      <c r="A289" s="4">
        <v>45658</v>
      </c>
      <c r="B289" s="4">
        <v>45778</v>
      </c>
      <c r="C289">
        <f t="shared" si="4"/>
        <v>4</v>
      </c>
    </row>
    <row r="290" spans="1:3" x14ac:dyDescent="0.25">
      <c r="A290" s="4">
        <v>45658</v>
      </c>
      <c r="B290" s="4">
        <v>45778</v>
      </c>
      <c r="C290">
        <f t="shared" si="4"/>
        <v>4</v>
      </c>
    </row>
    <row r="291" spans="1:3" x14ac:dyDescent="0.25">
      <c r="A291" s="4">
        <v>45658</v>
      </c>
      <c r="B291" s="4">
        <v>45778</v>
      </c>
      <c r="C291">
        <f t="shared" si="4"/>
        <v>4</v>
      </c>
    </row>
    <row r="292" spans="1:3" x14ac:dyDescent="0.25">
      <c r="A292" s="4">
        <v>45658</v>
      </c>
      <c r="B292" s="4">
        <v>45778</v>
      </c>
      <c r="C292">
        <f t="shared" si="4"/>
        <v>4</v>
      </c>
    </row>
    <row r="293" spans="1:3" x14ac:dyDescent="0.25">
      <c r="A293" s="4">
        <v>45658</v>
      </c>
      <c r="B293" s="4">
        <v>45778</v>
      </c>
      <c r="C293">
        <f t="shared" si="4"/>
        <v>4</v>
      </c>
    </row>
    <row r="294" spans="1:3" x14ac:dyDescent="0.25">
      <c r="A294" s="4">
        <v>45658</v>
      </c>
      <c r="B294" s="4">
        <v>45778</v>
      </c>
      <c r="C294">
        <f t="shared" si="4"/>
        <v>4</v>
      </c>
    </row>
    <row r="295" spans="1:3" x14ac:dyDescent="0.25">
      <c r="A295" s="4">
        <v>45658</v>
      </c>
      <c r="B295" s="4">
        <v>45658</v>
      </c>
      <c r="C295">
        <f t="shared" si="4"/>
        <v>1</v>
      </c>
    </row>
    <row r="296" spans="1:3" x14ac:dyDescent="0.25">
      <c r="A296" s="4">
        <v>45658</v>
      </c>
      <c r="B296" s="4">
        <v>45778</v>
      </c>
      <c r="C296">
        <f t="shared" si="4"/>
        <v>4</v>
      </c>
    </row>
    <row r="297" spans="1:3" x14ac:dyDescent="0.25">
      <c r="A297" s="4">
        <v>45658</v>
      </c>
      <c r="B297" s="4">
        <v>45658</v>
      </c>
      <c r="C297">
        <f t="shared" si="4"/>
        <v>1</v>
      </c>
    </row>
    <row r="298" spans="1:3" x14ac:dyDescent="0.25">
      <c r="A298" s="4">
        <v>45658</v>
      </c>
      <c r="B298" s="4">
        <v>45778</v>
      </c>
      <c r="C298">
        <f t="shared" si="4"/>
        <v>4</v>
      </c>
    </row>
    <row r="299" spans="1:3" x14ac:dyDescent="0.25">
      <c r="A299" s="4">
        <v>45658</v>
      </c>
      <c r="B299" s="4">
        <v>45778</v>
      </c>
      <c r="C299">
        <f t="shared" si="4"/>
        <v>4</v>
      </c>
    </row>
    <row r="300" spans="1:3" x14ac:dyDescent="0.25">
      <c r="A300" s="4">
        <v>45658</v>
      </c>
      <c r="B300" s="4">
        <v>45778</v>
      </c>
      <c r="C300">
        <f t="shared" si="4"/>
        <v>4</v>
      </c>
    </row>
    <row r="301" spans="1:3" x14ac:dyDescent="0.25">
      <c r="A301" s="4">
        <v>45667</v>
      </c>
      <c r="B301" s="4">
        <v>45757</v>
      </c>
      <c r="C301">
        <f t="shared" si="4"/>
        <v>3</v>
      </c>
    </row>
    <row r="302" spans="1:3" x14ac:dyDescent="0.25">
      <c r="A302" s="4">
        <v>45688</v>
      </c>
      <c r="B302" s="4">
        <v>45747</v>
      </c>
      <c r="C302">
        <f t="shared" si="4"/>
        <v>2</v>
      </c>
    </row>
    <row r="303" spans="1:3" x14ac:dyDescent="0.25">
      <c r="A303" s="4">
        <v>45688</v>
      </c>
      <c r="B303" s="4">
        <v>1</v>
      </c>
      <c r="C303" t="e">
        <f t="shared" si="4"/>
        <v>#NUM!</v>
      </c>
    </row>
    <row r="304" spans="1:3" x14ac:dyDescent="0.25">
      <c r="A304" s="4">
        <v>45689</v>
      </c>
      <c r="B304" s="4">
        <v>45778</v>
      </c>
      <c r="C304">
        <f t="shared" si="4"/>
        <v>3</v>
      </c>
    </row>
    <row r="305" spans="1:3" x14ac:dyDescent="0.25">
      <c r="A305" s="4">
        <v>45689</v>
      </c>
      <c r="B305" s="4">
        <v>45778</v>
      </c>
      <c r="C305">
        <f t="shared" si="4"/>
        <v>3</v>
      </c>
    </row>
    <row r="306" spans="1:3" x14ac:dyDescent="0.25">
      <c r="A306" s="4">
        <v>45705</v>
      </c>
      <c r="B306" s="4">
        <v>45733</v>
      </c>
      <c r="C306">
        <f t="shared" si="4"/>
        <v>1</v>
      </c>
    </row>
    <row r="307" spans="1:3" x14ac:dyDescent="0.25">
      <c r="A307" s="4">
        <v>45705</v>
      </c>
      <c r="B307" s="4">
        <v>45733</v>
      </c>
      <c r="C307">
        <f t="shared" si="4"/>
        <v>1</v>
      </c>
    </row>
    <row r="308" spans="1:3" x14ac:dyDescent="0.25">
      <c r="A308" s="4">
        <v>45717</v>
      </c>
      <c r="B308" s="4">
        <v>45778</v>
      </c>
      <c r="C308">
        <f t="shared" si="4"/>
        <v>3</v>
      </c>
    </row>
    <row r="309" spans="1:3" x14ac:dyDescent="0.25">
      <c r="A309" s="4">
        <v>45717</v>
      </c>
      <c r="B309" s="4">
        <v>45778</v>
      </c>
      <c r="C309">
        <f t="shared" si="4"/>
        <v>3</v>
      </c>
    </row>
    <row r="310" spans="1:3" x14ac:dyDescent="0.25">
      <c r="A310" s="4">
        <v>45717</v>
      </c>
      <c r="B310" s="4">
        <v>45778</v>
      </c>
      <c r="C310">
        <f t="shared" si="4"/>
        <v>3</v>
      </c>
    </row>
    <row r="311" spans="1:3" x14ac:dyDescent="0.25">
      <c r="A311" s="4">
        <v>45717</v>
      </c>
      <c r="B311" s="4">
        <v>45778</v>
      </c>
      <c r="C311">
        <f t="shared" si="4"/>
        <v>3</v>
      </c>
    </row>
    <row r="312" spans="1:3" x14ac:dyDescent="0.25">
      <c r="A312" s="4">
        <v>45717</v>
      </c>
      <c r="B312" s="4">
        <v>45778</v>
      </c>
      <c r="C312">
        <f t="shared" si="4"/>
        <v>3</v>
      </c>
    </row>
    <row r="313" spans="1:3" x14ac:dyDescent="0.25">
      <c r="A313" s="4">
        <v>45717</v>
      </c>
      <c r="B313" s="4">
        <v>45778</v>
      </c>
      <c r="C313">
        <f t="shared" si="4"/>
        <v>3</v>
      </c>
    </row>
    <row r="314" spans="1:3" x14ac:dyDescent="0.25">
      <c r="A314" s="4">
        <v>45717</v>
      </c>
      <c r="B314" s="4">
        <v>45778</v>
      </c>
      <c r="C314">
        <f t="shared" si="4"/>
        <v>3</v>
      </c>
    </row>
    <row r="315" spans="1:3" x14ac:dyDescent="0.25">
      <c r="A315" s="4">
        <v>45717</v>
      </c>
      <c r="B315" s="4">
        <v>45778</v>
      </c>
      <c r="C315">
        <f t="shared" si="4"/>
        <v>3</v>
      </c>
    </row>
    <row r="316" spans="1:3" x14ac:dyDescent="0.25">
      <c r="A316" s="4">
        <v>45717</v>
      </c>
      <c r="B316" s="4">
        <v>45748</v>
      </c>
      <c r="C316">
        <f t="shared" si="4"/>
        <v>1</v>
      </c>
    </row>
    <row r="317" spans="1:3" x14ac:dyDescent="0.25">
      <c r="A317" s="4">
        <v>45717</v>
      </c>
      <c r="B317" s="4">
        <v>45778</v>
      </c>
      <c r="C317">
        <f t="shared" si="4"/>
        <v>3</v>
      </c>
    </row>
    <row r="318" spans="1:3" x14ac:dyDescent="0.25">
      <c r="A318" s="4">
        <v>45742</v>
      </c>
      <c r="B318" s="4">
        <v>45773</v>
      </c>
      <c r="C318">
        <f t="shared" si="4"/>
        <v>1</v>
      </c>
    </row>
    <row r="319" spans="1:3" x14ac:dyDescent="0.25">
      <c r="A319" s="4">
        <v>45746</v>
      </c>
      <c r="B319" s="4">
        <v>45777</v>
      </c>
      <c r="C319">
        <f t="shared" si="4"/>
        <v>1</v>
      </c>
    </row>
    <row r="320" spans="1:3" x14ac:dyDescent="0.25">
      <c r="A320" s="4">
        <v>45748</v>
      </c>
      <c r="B320" s="4">
        <v>45778</v>
      </c>
      <c r="C320">
        <f t="shared" si="4"/>
        <v>1</v>
      </c>
    </row>
    <row r="321" spans="1:3" x14ac:dyDescent="0.25">
      <c r="A321" s="4">
        <v>45748</v>
      </c>
      <c r="B321" s="4">
        <v>45778</v>
      </c>
      <c r="C321">
        <f t="shared" si="4"/>
        <v>1</v>
      </c>
    </row>
    <row r="322" spans="1:3" x14ac:dyDescent="0.25">
      <c r="A322" s="4">
        <v>45748</v>
      </c>
      <c r="B322" s="4">
        <v>45778</v>
      </c>
      <c r="C322">
        <f t="shared" ref="C322:C327" si="5">MONTH(B322-A322)</f>
        <v>1</v>
      </c>
    </row>
    <row r="323" spans="1:3" x14ac:dyDescent="0.25">
      <c r="A323" s="4">
        <v>45748</v>
      </c>
      <c r="B323" s="4">
        <v>45778</v>
      </c>
      <c r="C323">
        <f t="shared" si="5"/>
        <v>1</v>
      </c>
    </row>
    <row r="324" spans="1:3" x14ac:dyDescent="0.25">
      <c r="A324" s="4">
        <v>45748</v>
      </c>
      <c r="B324" s="4">
        <v>45778</v>
      </c>
      <c r="C324">
        <f t="shared" si="5"/>
        <v>1</v>
      </c>
    </row>
    <row r="325" spans="1:3" x14ac:dyDescent="0.25">
      <c r="A325" s="4">
        <v>45748</v>
      </c>
      <c r="B325" s="4">
        <v>45778</v>
      </c>
      <c r="C325">
        <f t="shared" si="5"/>
        <v>1</v>
      </c>
    </row>
    <row r="326" spans="1:3" x14ac:dyDescent="0.25">
      <c r="A326" s="4">
        <v>45748</v>
      </c>
      <c r="B326" s="4">
        <v>45778</v>
      </c>
      <c r="C326">
        <f t="shared" si="5"/>
        <v>1</v>
      </c>
    </row>
    <row r="327" spans="1:3" x14ac:dyDescent="0.25">
      <c r="A327" s="4">
        <v>45748</v>
      </c>
      <c r="B327" s="4">
        <v>45778</v>
      </c>
      <c r="C327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New Business</vt:lpstr>
      <vt:lpstr>Renewals</vt:lpstr>
      <vt:lpstr>Repayment of Advances</vt:lpstr>
      <vt:lpstr>Chargebacks and Adjustments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2025-04-03T16:33:54Z</dcterms:created>
  <dcterms:modified xsi:type="dcterms:W3CDTF">2025-04-10T15:21:23Z</dcterms:modified>
</cp:coreProperties>
</file>