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Highmark MAPD 11-8-24 From Ritter\"/>
    </mc:Choice>
  </mc:AlternateContent>
  <xr:revisionPtr revIDLastSave="0" documentId="13_ncr:1_{494A5CAC-F70C-411F-AFAC-B0CF03FA4EA1}" xr6:coauthVersionLast="47" xr6:coauthVersionMax="47" xr10:uidLastSave="{00000000-0000-0000-0000-000000000000}"/>
  <bookViews>
    <workbookView xWindow="-57720" yWindow="-120" windowWidth="29040" windowHeight="15720" xr2:uid="{207386B2-58A3-ED47-B9D5-3654CEB3DF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<sst xmlns="http://schemas.openxmlformats.org/spreadsheetml/2006/main" count="53" uniqueCount="35">
  <si>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</si>
  <si>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</si>
  <si>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</si>
  <si>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</si>
  <si>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</si>
  <si>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</si>
  <si>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</si>
  <si>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</si>
  <si>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</si>
  <si>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</si>
  <si>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</si>
  <si>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</si>
  <si>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Harold</t>
  </si>
  <si>
    <t>Jones</t>
  </si>
  <si>
    <t>*****68460</t>
  </si>
  <si>
    <t>Highmark</t>
  </si>
  <si>
    <t>Highmark 2023- 2024 PA Replace OR (ProRata: 2)</t>
  </si>
  <si>
    <t>$12.50</t>
  </si>
  <si>
    <t>Blanche</t>
  </si>
  <si>
    <t>Heidengren</t>
  </si>
  <si>
    <t>*****06450</t>
  </si>
  <si>
    <t>Highmark 2023-2024  Comm Blue PA Full OR (ProRata: -3)</t>
  </si>
  <si>
    <t>($28.12)</t>
  </si>
  <si>
    <t>Highmark 2023-2024 PA/ WV Blue TrueUp OR</t>
  </si>
  <si>
    <t>$37.50</t>
  </si>
  <si>
    <t>Highmark 2024 PA Initial Street (ProRata: -3)</t>
  </si>
  <si>
    <t>($172.25)</t>
  </si>
  <si>
    <t>Highmark 2024 PA Replace Street / TrueUp (ProRata: 2)</t>
  </si>
  <si>
    <t>$57.50</t>
  </si>
  <si>
    <t>[%/$=75][prorate=2/12]</t>
  </si>
  <si>
    <t>[%/$=75][prorate=6/12]</t>
  </si>
  <si>
    <t>[%/$=345][prorate=2/12]</t>
  </si>
  <si>
    <t>[%/$=689][prorate=3/12]</t>
  </si>
  <si>
    <t>[%/$=345][prorate=1/12]</t>
  </si>
  <si>
    <t>member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</si>
</sst>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F0D0-D847-2B43-8978-91FE5522BD3C}">
  <dimension ref="A1:O8"/>
  <sheetViews>
    <sheetView tabSelected="1" workbookViewId="0">
      <selection activeCell="L15" sqref="L15"/>
    </sheetView>
  </sheetViews>
  <sheetFormatPr defaultColWidth="11" defaultRowHeight="15.75" x14ac:dyDescent="0.25"/>
  <cols>
    <col min="12" max="12" width="48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  <c r="H1" s="1" t="s">
        <v>34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 t="str">
        <f>CONCATENATE(D2, " ", E2)</f>
        <v>Harold Jones</v>
      </c>
      <c r="G2" s="1" t="s">
        <v>14</v>
      </c>
      <c r="H2">
        <v>68460</v>
      </c>
      <c r="I2" s="2">
        <v>45597</v>
      </c>
      <c r="J2" s="2">
        <v>45604</v>
      </c>
      <c r="K2" t="s">
        <v>15</v>
      </c>
      <c r="L2" t="s">
        <v>16</v>
      </c>
      <c r="M2" s="3" t="s">
        <v>17</v>
      </c>
      <c r="N2">
        <v>12.5</v>
      </c>
      <c r="O2" t="s">
        <v>29</v>
      </c>
    </row>
    <row r="3" spans="1:15" x14ac:dyDescent="0.25">
      <c r="A3" t="s">
        <v>11</v>
      </c>
      <c r="B3">
        <v>17528908</v>
      </c>
      <c r="C3">
        <v>17528908</v>
      </c>
      <c r="D3" t="s">
        <v>18</v>
      </c>
      <c r="E3" t="s">
        <v>19</v>
      </c>
      <c r="F3" t="str">
        <f t="shared" ref="F3:F6" si="0">CONCATENATE(D3, " ", E3)</f>
        <v>Blanche Heidengren</v>
      </c>
      <c r="G3" s="1" t="s">
        <v>20</v>
      </c>
      <c r="H3">
        <v>6450</v>
      </c>
      <c r="I3" s="2">
        <v>45292</v>
      </c>
      <c r="J3" s="2">
        <v>45604</v>
      </c>
      <c r="K3" t="s">
        <v>15</v>
      </c>
      <c r="L3" t="s">
        <v>21</v>
      </c>
      <c r="M3" s="3" t="s">
        <v>22</v>
      </c>
      <c r="N3">
        <v>-28.12</v>
      </c>
      <c r="O3" t="s">
        <v>33</v>
      </c>
    </row>
    <row r="4" spans="1:15" x14ac:dyDescent="0.25">
      <c r="A4" t="s">
        <v>11</v>
      </c>
      <c r="B4">
        <v>17528908</v>
      </c>
      <c r="C4">
        <v>17528908</v>
      </c>
      <c r="D4" t="s">
        <v>12</v>
      </c>
      <c r="E4" t="s">
        <v>13</v>
      </c>
      <c r="F4" t="str">
        <f t="shared" si="0"/>
        <v>Harold Jones</v>
      </c>
      <c r="G4" s="1" t="s">
        <v>14</v>
      </c>
      <c r="H4">
        <v>68460</v>
      </c>
      <c r="I4" s="2">
        <v>45597</v>
      </c>
      <c r="J4" s="2">
        <v>45604</v>
      </c>
      <c r="K4" t="s">
        <v>15</v>
      </c>
      <c r="L4" t="s">
        <v>23</v>
      </c>
      <c r="M4" s="3" t="s">
        <v>24</v>
      </c>
      <c r="N4">
        <v>37.5</v>
      </c>
      <c r="O4" t="s">
        <v>30</v>
      </c>
    </row>
    <row r="5" spans="1:15" x14ac:dyDescent="0.25">
      <c r="A5" t="s">
        <v>11</v>
      </c>
      <c r="B5">
        <v>17528908</v>
      </c>
      <c r="C5">
        <v>17528908</v>
      </c>
      <c r="D5" t="s">
        <v>18</v>
      </c>
      <c r="E5" t="s">
        <v>19</v>
      </c>
      <c r="F5" t="str">
        <f t="shared" si="0"/>
        <v>Blanche Heidengren</v>
      </c>
      <c r="G5" s="1" t="s">
        <v>20</v>
      </c>
      <c r="H5">
        <v>6450</v>
      </c>
      <c r="I5" s="2">
        <v>45292</v>
      </c>
      <c r="J5" s="2">
        <v>45604</v>
      </c>
      <c r="K5" t="s">
        <v>15</v>
      </c>
      <c r="L5" t="s">
        <v>25</v>
      </c>
      <c r="M5" s="3" t="s">
        <v>26</v>
      </c>
      <c r="N5">
        <v>-172.25</v>
      </c>
      <c r="O5" t="s">
        <v>32</v>
      </c>
    </row>
    <row r="6" spans="1:15" x14ac:dyDescent="0.25">
      <c r="A6" t="s">
        <v>11</v>
      </c>
      <c r="B6">
        <v>17528908</v>
      </c>
      <c r="C6">
        <v>17528908</v>
      </c>
      <c r="D6" t="s">
        <v>12</v>
      </c>
      <c r="E6" t="s">
        <v>13</v>
      </c>
      <c r="F6" t="str">
        <f t="shared" si="0"/>
        <v>Harold Jones</v>
      </c>
      <c r="G6" s="1" t="s">
        <v>14</v>
      </c>
      <c r="H6">
        <v>68460</v>
      </c>
      <c r="I6" s="2">
        <v>45597</v>
      </c>
      <c r="J6" s="2">
        <v>45604</v>
      </c>
      <c r="K6" t="s">
        <v>15</v>
      </c>
      <c r="L6" t="s">
        <v>27</v>
      </c>
      <c r="M6" s="3" t="s">
        <v>28</v>
      </c>
      <c r="N6">
        <v>57.5</v>
      </c>
      <c r="O6" t="s">
        <v>31</v>
      </c>
    </row>
    <row r="7" spans="1:15" x14ac:dyDescent="0.25">
      <c r="M7" s="4"/>
      <c r="N7">
        <f>SUM(N2:N6)</f>
        <v>-92.87</v>
      </c>
    </row>
    <row r="8" spans="1:15" x14ac:dyDescent="0.25"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68C8-35DC-49BA-BE97-8FAD77B421B6}">
  <dimension ref="A1:F6"/>
  <sheetViews>
    <sheetView workbookViewId="0">
      <selection activeCell="F2" sqref="F2:F6"/>
    </sheetView>
  </sheetViews>
  <sheetFormatPr defaultRowHeight="15.75" x14ac:dyDescent="0.25"/>
  <sheetData>
    <row r="1" spans="1:6" x14ac:dyDescent="0.25">
      <c r="A1" s="1" t="s">
        <v>5</v>
      </c>
    </row>
    <row r="2" spans="1:6" x14ac:dyDescent="0.25">
      <c r="A2" s="1"/>
      <c r="F2">
        <v>68460</v>
      </c>
    </row>
    <row r="3" spans="1:6" x14ac:dyDescent="0.25">
      <c r="A3" s="1"/>
      <c r="F3">
        <v>6450</v>
      </c>
    </row>
    <row r="4" spans="1:6" x14ac:dyDescent="0.25">
      <c r="A4" s="1"/>
      <c r="F4">
        <v>68460</v>
      </c>
    </row>
    <row r="5" spans="1:6" x14ac:dyDescent="0.25">
      <c r="A5" s="1"/>
      <c r="F5">
        <v>6450</v>
      </c>
    </row>
    <row r="6" spans="1:6" x14ac:dyDescent="0.25">
      <c r="A6" s="1"/>
      <c r="F6">
        <v>68460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2024-11-11T14:52:11Z</dcterms:created>
  <dcterms:modified xsi:type="dcterms:W3CDTF">2024-11-11T20:37:17Z</dcterms:modified>
</cp:coreProperties>
</file>