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DsZqSeFjEIS+tRLapwT2DBelgrZ1mqppYbK7jMbLpk="/>
    </ext>
  </extLst>
</workbook>
</file>

<file path=xl/sharedStrings.xml><?xml version="1.0" encoding="utf-8"?>
<sst xmlns="http://schemas.openxmlformats.org/spreadsheetml/2006/main" count="837" uniqueCount="181">
  <si>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</si>
  <si>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</si>
  <si>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</si>
  <si>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</si>
  <si>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</si>
  <si>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</si>
  <si>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</si>
  <si>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</si>
  <si>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</si>
  <si>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</si>
  <si>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</si>
  <si>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Stocker</t>
  </si>
  <si>
    <t>George</t>
  </si>
  <si>
    <t>Holup</t>
  </si>
  <si>
    <t>*****41410</t>
  </si>
  <si>
    <t>Highmark</t>
  </si>
  <si>
    <t>Highmark 2025-26 PA Street 4/1 True Up</t>
  </si>
  <si>
    <t>Deborah Inskipt</t>
  </si>
  <si>
    <t>Paula</t>
  </si>
  <si>
    <t>Stohlberg</t>
  </si>
  <si>
    <t>*****56720</t>
  </si>
  <si>
    <t>Michelle McCorkle</t>
  </si>
  <si>
    <t>Vickilynn</t>
  </si>
  <si>
    <t>Ellis</t>
  </si>
  <si>
    <t>*****06280</t>
  </si>
  <si>
    <t>Patricia Long</t>
  </si>
  <si>
    <t>Christopher</t>
  </si>
  <si>
    <t>Koller</t>
  </si>
  <si>
    <t>*****40070</t>
  </si>
  <si>
    <t>Martha</t>
  </si>
  <si>
    <t>Tapia Solorio</t>
  </si>
  <si>
    <t>*****19030</t>
  </si>
  <si>
    <t>Highmark 2025-26 PA Replace Street / TrueUp (ProRata: 4)</t>
  </si>
  <si>
    <t>Forrest</t>
  </si>
  <si>
    <t>Graver</t>
  </si>
  <si>
    <t>*****66990</t>
  </si>
  <si>
    <t>Highmark 2025-26 PA Replace Street / TrueUp (ProRata: -3)</t>
  </si>
  <si>
    <t>Donna</t>
  </si>
  <si>
    <t>Vitale</t>
  </si>
  <si>
    <t>*****87660</t>
  </si>
  <si>
    <t>Highmark 2025-26 PA Replace Street / TrueUp (ProRata: 8)</t>
  </si>
  <si>
    <t>Jeffrey</t>
  </si>
  <si>
    <t>Wilbert</t>
  </si>
  <si>
    <t>*****53900</t>
  </si>
  <si>
    <t>Highmark 2025-26 PA Replace Street / TrueUp (ProRata: -8)</t>
  </si>
  <si>
    <t>Lisa</t>
  </si>
  <si>
    <t>Worms</t>
  </si>
  <si>
    <t>*****14260</t>
  </si>
  <si>
    <t>Highmark 2025-26 PA Replace Street / TrueUp (ProRata: 6)</t>
  </si>
  <si>
    <t>Douglas</t>
  </si>
  <si>
    <t>Waxler</t>
  </si>
  <si>
    <t>*****36470</t>
  </si>
  <si>
    <t>Highmark 2026 PA Street 5/1 True Up</t>
  </si>
  <si>
    <t>April</t>
  </si>
  <si>
    <t>Brutt</t>
  </si>
  <si>
    <t>*****64730</t>
  </si>
  <si>
    <t>Mark</t>
  </si>
  <si>
    <t>Bonaccorsi</t>
  </si>
  <si>
    <t>*****51270</t>
  </si>
  <si>
    <t>Samuel</t>
  </si>
  <si>
    <t>Ginsberg</t>
  </si>
  <si>
    <t>*****01960</t>
  </si>
  <si>
    <t>Highmark 2025-26 PA Street 3/1 True Up</t>
  </si>
  <si>
    <t>Janice</t>
  </si>
  <si>
    <t>Kendall</t>
  </si>
  <si>
    <t>*****20220</t>
  </si>
  <si>
    <t>Highmark 2025-26 PA Replace Street / TrueUp (ProRata: -12)</t>
  </si>
  <si>
    <t>Highmark 2025-2026 PA Replace OR (ProRata: 8)</t>
  </si>
  <si>
    <t>Highmark 2025-26 Comm Blue PA Full OR 4/1 True Up</t>
  </si>
  <si>
    <t>Highmark 2025-2026 PA Replace OR (ProRata: -8)</t>
  </si>
  <si>
    <t>Highmark 2023-2026 PA/ WV Blue TrueUp OR (ProRata: 10)</t>
  </si>
  <si>
    <t>Highmark 2025-26 Comm Blue PA Full OR 5/1 True Up</t>
  </si>
  <si>
    <t>Timothy Powers</t>
  </si>
  <si>
    <t>Arthur</t>
  </si>
  <si>
    <t>Barton</t>
  </si>
  <si>
    <t>*****37710</t>
  </si>
  <si>
    <t>Highmark 2025-2026 PA Replace OR (ProRata: 7)</t>
  </si>
  <si>
    <t>Steven</t>
  </si>
  <si>
    <t>Draper</t>
  </si>
  <si>
    <t>*****41400</t>
  </si>
  <si>
    <t>Highmark 2025-26 Comm Blue PA Full OR	6/1 Trueup</t>
  </si>
  <si>
    <t>Linda</t>
  </si>
  <si>
    <t>Porter</t>
  </si>
  <si>
    <t>*****33900</t>
  </si>
  <si>
    <t>Highmark 2023-2026 PA Initial Freedom Blue (ProRata: 7)</t>
  </si>
  <si>
    <t>Diane</t>
  </si>
  <si>
    <t>Mullinary</t>
  </si>
  <si>
    <t>*****87560</t>
  </si>
  <si>
    <t>Sandra</t>
  </si>
  <si>
    <t>Binder</t>
  </si>
  <si>
    <t>*****32210</t>
  </si>
  <si>
    <t>David</t>
  </si>
  <si>
    <t>Wright</t>
  </si>
  <si>
    <t>*****35560</t>
  </si>
  <si>
    <t>Lynn</t>
  </si>
  <si>
    <t>Heffley</t>
  </si>
  <si>
    <t>*****52150</t>
  </si>
  <si>
    <t>Howard</t>
  </si>
  <si>
    <t>Gaurrich</t>
  </si>
  <si>
    <t>*****65620</t>
  </si>
  <si>
    <t>Louis</t>
  </si>
  <si>
    <t>Schoen</t>
  </si>
  <si>
    <t>*****56320</t>
  </si>
  <si>
    <t>Highmark 2023-2026 PA WV Renewal OR 4/1 Trueup</t>
  </si>
  <si>
    <t>Selene</t>
  </si>
  <si>
    <t>Lorenz</t>
  </si>
  <si>
    <t>*****40200</t>
  </si>
  <si>
    <t>Robert</t>
  </si>
  <si>
    <t>Zavacky</t>
  </si>
  <si>
    <t>*****52400</t>
  </si>
  <si>
    <t>Alex</t>
  </si>
  <si>
    <t>Mccomb</t>
  </si>
  <si>
    <t>*****34590</t>
  </si>
  <si>
    <t>Brandy</t>
  </si>
  <si>
    <t>Billotte</t>
  </si>
  <si>
    <t>*****35200</t>
  </si>
  <si>
    <t>Highmark 2025-26 Comm Blue PA Full OR 3/1 True Up</t>
  </si>
  <si>
    <t>Shirley</t>
  </si>
  <si>
    <t>Garner</t>
  </si>
  <si>
    <t>*****21370</t>
  </si>
  <si>
    <t>Highmark 2025-2026 PA Replace OR (ProRata: -9)</t>
  </si>
  <si>
    <t>Highmark 2025-2026 PA Replace OR (ProRata: -12)</t>
  </si>
  <si>
    <t>Highmark 2025-2026 PA Replace OR (ProRata: 4)</t>
  </si>
  <si>
    <t>Highmark 2025-2026 PA Replace OR (ProRata: -3)</t>
  </si>
  <si>
    <t>Margaret Smith</t>
  </si>
  <si>
    <t>Hawk</t>
  </si>
  <si>
    <t>*****43280</t>
  </si>
  <si>
    <t>Highmark 2025-2026 PA Replace OR (ProRata: 6)</t>
  </si>
  <si>
    <t>Felicia</t>
  </si>
  <si>
    <t>Tomaswick</t>
  </si>
  <si>
    <t>*****05650</t>
  </si>
  <si>
    <t>Jenny</t>
  </si>
  <si>
    <t>Flanagan</t>
  </si>
  <si>
    <t>*****36490</t>
  </si>
  <si>
    <t>Fountain</t>
  </si>
  <si>
    <t>*****71100</t>
  </si>
  <si>
    <t>Shawn</t>
  </si>
  <si>
    <t>Kiser</t>
  </si>
  <si>
    <t>*****34920</t>
  </si>
  <si>
    <t>Mary</t>
  </si>
  <si>
    <t>Barclay</t>
  </si>
  <si>
    <t>*****40750</t>
  </si>
  <si>
    <t>Jane</t>
  </si>
  <si>
    <t>Kimball</t>
  </si>
  <si>
    <t>*****65630</t>
  </si>
  <si>
    <t>Deborah</t>
  </si>
  <si>
    <t>Miller</t>
  </si>
  <si>
    <t>*****73320</t>
  </si>
  <si>
    <t>Joseph</t>
  </si>
  <si>
    <t>Kuntz</t>
  </si>
  <si>
    <t>*****35290</t>
  </si>
  <si>
    <t>Joanne</t>
  </si>
  <si>
    <t>Hetherington</t>
  </si>
  <si>
    <t>*****35650</t>
  </si>
  <si>
    <t>Emelina</t>
  </si>
  <si>
    <t>Swaney</t>
  </si>
  <si>
    <t>*****42100</t>
  </si>
  <si>
    <t>Deanna</t>
  </si>
  <si>
    <t>Purvis</t>
  </si>
  <si>
    <t>*****64530</t>
  </si>
  <si>
    <t>Matthew</t>
  </si>
  <si>
    <t>Nestler</t>
  </si>
  <si>
    <t>*****45830</t>
  </si>
  <si>
    <t>Smith</t>
  </si>
  <si>
    <t>*****30800</t>
  </si>
  <si>
    <t>Braun</t>
  </si>
  <si>
    <t>*****41270</t>
  </si>
  <si>
    <t>Main Line Benefits</t>
  </si>
  <si>
    <t>Highmark MAPD Ovr</t>
  </si>
  <si>
    <t>18710070N</t>
  </si>
  <si>
    <t>Highmark MAPD 2025..</t>
  </si>
  <si>
    <t>[%/$=353][prorate=12/12]</t>
  </si>
  <si>
    <t>17528908N</t>
  </si>
  <si>
    <t>Highmark MAPD 2025.</t>
  </si>
  <si>
    <t>[%/$=705]</t>
  </si>
  <si>
    <t>[%/$=353][prorate=6/12]</t>
  </si>
  <si>
    <t>[%/$=353][prorate=8/12]</t>
  </si>
  <si>
    <t>[%/$=353][prorate=9/12]</t>
  </si>
  <si>
    <t>[%/$=353][prorate=4/12]</t>
  </si>
  <si>
    <t>[%/$=353][prorate=10/12]</t>
  </si>
  <si>
    <t>[%/$=353][prorate=3/12]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</si>
</sst>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0" fillId="0" fontId="2" numFmtId="0" xfId="0" applyFont="1"/>
    <xf borderId="1" fillId="3" fontId="2" numFmtId="0" xfId="0" applyBorder="1" applyFill="1" applyFont="1"/>
    <xf borderId="1" fillId="3" fontId="2" numFmtId="14" xfId="0" applyBorder="1" applyFont="1" applyNumberFormat="1"/>
    <xf borderId="1" fillId="3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1.43"/>
    <col customWidth="1" min="5" max="5" width="12.86"/>
    <col customWidth="1" min="6" max="6" width="11.71"/>
    <col customWidth="1" min="7" max="7" width="11.86"/>
    <col customWidth="1" min="8" max="8" width="14.71"/>
    <col customWidth="1" min="9" max="9" width="12.71"/>
    <col customWidth="1" min="10" max="10" width="54.86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1.5950276E7</v>
      </c>
      <c r="D2" s="1" t="s">
        <v>12</v>
      </c>
      <c r="E2" s="1" t="s">
        <v>13</v>
      </c>
      <c r="F2" s="1" t="s">
        <v>14</v>
      </c>
      <c r="G2" s="2">
        <v>46113.0</v>
      </c>
      <c r="H2" s="2">
        <v>46150.0</v>
      </c>
      <c r="I2" s="1" t="s">
        <v>15</v>
      </c>
      <c r="J2" s="1" t="s">
        <v>16</v>
      </c>
      <c r="K2" s="3">
        <v>440.25</v>
      </c>
    </row>
    <row r="3">
      <c r="A3" s="1" t="s">
        <v>17</v>
      </c>
      <c r="C3" s="1">
        <v>1.7528908E7</v>
      </c>
      <c r="D3" s="1" t="s">
        <v>18</v>
      </c>
      <c r="E3" s="1" t="s">
        <v>19</v>
      </c>
      <c r="F3" s="1" t="s">
        <v>20</v>
      </c>
      <c r="G3" s="2">
        <v>46113.0</v>
      </c>
      <c r="H3" s="2">
        <v>46150.0</v>
      </c>
      <c r="I3" s="1" t="s">
        <v>15</v>
      </c>
      <c r="J3" s="1" t="s">
        <v>16</v>
      </c>
      <c r="K3" s="3">
        <v>440.25</v>
      </c>
    </row>
    <row r="4">
      <c r="A4" s="1" t="s">
        <v>21</v>
      </c>
      <c r="C4" s="1">
        <v>1.871007E7</v>
      </c>
      <c r="D4" s="1" t="s">
        <v>22</v>
      </c>
      <c r="E4" s="1" t="s">
        <v>23</v>
      </c>
      <c r="F4" s="1" t="s">
        <v>24</v>
      </c>
      <c r="G4" s="2">
        <v>46113.0</v>
      </c>
      <c r="H4" s="2">
        <v>46150.0</v>
      </c>
      <c r="I4" s="1" t="s">
        <v>15</v>
      </c>
      <c r="J4" s="1" t="s">
        <v>16</v>
      </c>
      <c r="K4" s="3">
        <v>440.25</v>
      </c>
    </row>
    <row r="5">
      <c r="A5" s="1" t="s">
        <v>25</v>
      </c>
      <c r="C5" s="1">
        <v>1.879474E7</v>
      </c>
      <c r="D5" s="1" t="s">
        <v>26</v>
      </c>
      <c r="E5" s="1" t="s">
        <v>27</v>
      </c>
      <c r="F5" s="1" t="s">
        <v>28</v>
      </c>
      <c r="G5" s="2">
        <v>46113.0</v>
      </c>
      <c r="H5" s="2">
        <v>46150.0</v>
      </c>
      <c r="I5" s="1" t="s">
        <v>15</v>
      </c>
      <c r="J5" s="1" t="s">
        <v>16</v>
      </c>
      <c r="K5" s="3">
        <v>440.25</v>
      </c>
    </row>
    <row r="6">
      <c r="A6" s="1" t="s">
        <v>21</v>
      </c>
      <c r="C6" s="1">
        <v>1.871007E7</v>
      </c>
      <c r="D6" s="1" t="s">
        <v>29</v>
      </c>
      <c r="E6" s="1" t="s">
        <v>30</v>
      </c>
      <c r="F6" s="1" t="s">
        <v>31</v>
      </c>
      <c r="G6" s="2">
        <v>45839.0</v>
      </c>
      <c r="H6" s="2">
        <v>46150.0</v>
      </c>
      <c r="I6" s="1" t="s">
        <v>15</v>
      </c>
      <c r="J6" s="1" t="s">
        <v>32</v>
      </c>
      <c r="K6" s="3">
        <v>117.66</v>
      </c>
    </row>
    <row r="7">
      <c r="A7" s="1" t="s">
        <v>25</v>
      </c>
      <c r="C7" s="1">
        <v>1.879474E7</v>
      </c>
      <c r="D7" s="1" t="s">
        <v>33</v>
      </c>
      <c r="E7" s="1" t="s">
        <v>34</v>
      </c>
      <c r="F7" s="1" t="s">
        <v>35</v>
      </c>
      <c r="G7" s="2">
        <v>45931.0</v>
      </c>
      <c r="H7" s="2">
        <v>46150.0</v>
      </c>
      <c r="I7" s="1" t="s">
        <v>15</v>
      </c>
      <c r="J7" s="1" t="s">
        <v>36</v>
      </c>
      <c r="K7" s="3">
        <v>-88.25</v>
      </c>
    </row>
    <row r="8">
      <c r="A8" s="1" t="s">
        <v>11</v>
      </c>
      <c r="C8" s="1">
        <v>1.5950276E7</v>
      </c>
      <c r="D8" s="1" t="s">
        <v>37</v>
      </c>
      <c r="E8" s="1" t="s">
        <v>38</v>
      </c>
      <c r="F8" s="1" t="s">
        <v>39</v>
      </c>
      <c r="G8" s="2">
        <v>46143.0</v>
      </c>
      <c r="H8" s="2">
        <v>46150.0</v>
      </c>
      <c r="I8" s="1" t="s">
        <v>15</v>
      </c>
      <c r="J8" s="1" t="s">
        <v>40</v>
      </c>
      <c r="K8" s="3">
        <v>235.33</v>
      </c>
    </row>
    <row r="9">
      <c r="A9" s="1" t="s">
        <v>17</v>
      </c>
      <c r="C9" s="1">
        <v>1.7528908E7</v>
      </c>
      <c r="D9" s="1" t="s">
        <v>41</v>
      </c>
      <c r="E9" s="1" t="s">
        <v>42</v>
      </c>
      <c r="F9" s="1" t="s">
        <v>43</v>
      </c>
      <c r="G9" s="2">
        <v>46143.0</v>
      </c>
      <c r="H9" s="2">
        <v>46150.0</v>
      </c>
      <c r="I9" s="1" t="s">
        <v>15</v>
      </c>
      <c r="J9" s="1" t="s">
        <v>44</v>
      </c>
      <c r="K9" s="3">
        <v>-235.33</v>
      </c>
    </row>
    <row r="10">
      <c r="A10" s="1" t="s">
        <v>17</v>
      </c>
      <c r="C10" s="1">
        <v>1.7528908E7</v>
      </c>
      <c r="D10" s="1" t="s">
        <v>45</v>
      </c>
      <c r="E10" s="1" t="s">
        <v>46</v>
      </c>
      <c r="F10" s="1" t="s">
        <v>47</v>
      </c>
      <c r="G10" s="2">
        <v>46204.0</v>
      </c>
      <c r="H10" s="2">
        <v>46150.0</v>
      </c>
      <c r="I10" s="1" t="s">
        <v>15</v>
      </c>
      <c r="J10" s="1" t="s">
        <v>48</v>
      </c>
      <c r="K10" s="3">
        <v>176.5</v>
      </c>
    </row>
    <row r="11">
      <c r="A11" s="1" t="s">
        <v>17</v>
      </c>
      <c r="C11" s="1">
        <v>1.7528908E7</v>
      </c>
      <c r="D11" s="1" t="s">
        <v>49</v>
      </c>
      <c r="E11" s="1" t="s">
        <v>50</v>
      </c>
      <c r="F11" s="1" t="s">
        <v>51</v>
      </c>
      <c r="G11" s="2">
        <v>46143.0</v>
      </c>
      <c r="H11" s="2">
        <v>46150.0</v>
      </c>
      <c r="I11" s="1" t="s">
        <v>15</v>
      </c>
      <c r="J11" s="1" t="s">
        <v>52</v>
      </c>
      <c r="K11" s="3">
        <v>469.67</v>
      </c>
    </row>
    <row r="12">
      <c r="A12" s="1" t="s">
        <v>17</v>
      </c>
      <c r="C12" s="1">
        <v>1.7528908E7</v>
      </c>
      <c r="D12" s="1" t="s">
        <v>53</v>
      </c>
      <c r="E12" s="1" t="s">
        <v>54</v>
      </c>
      <c r="F12" s="1" t="s">
        <v>55</v>
      </c>
      <c r="G12" s="2">
        <v>46143.0</v>
      </c>
      <c r="H12" s="2">
        <v>46150.0</v>
      </c>
      <c r="I12" s="1" t="s">
        <v>15</v>
      </c>
      <c r="J12" s="1" t="s">
        <v>40</v>
      </c>
      <c r="K12" s="3">
        <v>235.33</v>
      </c>
    </row>
    <row r="13">
      <c r="A13" s="1" t="s">
        <v>21</v>
      </c>
      <c r="C13" s="1">
        <v>1.871007E7</v>
      </c>
      <c r="D13" s="1" t="s">
        <v>56</v>
      </c>
      <c r="E13" s="1" t="s">
        <v>57</v>
      </c>
      <c r="F13" s="1" t="s">
        <v>58</v>
      </c>
      <c r="G13" s="2">
        <v>46143.0</v>
      </c>
      <c r="H13" s="2">
        <v>46150.0</v>
      </c>
      <c r="I13" s="1" t="s">
        <v>15</v>
      </c>
      <c r="J13" s="1" t="s">
        <v>40</v>
      </c>
      <c r="K13" s="3">
        <v>235.33</v>
      </c>
    </row>
    <row r="14">
      <c r="A14" s="1" t="s">
        <v>21</v>
      </c>
      <c r="C14" s="1">
        <v>1.871007E7</v>
      </c>
      <c r="D14" s="1" t="s">
        <v>59</v>
      </c>
      <c r="E14" s="1" t="s">
        <v>60</v>
      </c>
      <c r="F14" s="1" t="s">
        <v>61</v>
      </c>
      <c r="G14" s="2">
        <v>46082.0</v>
      </c>
      <c r="H14" s="2">
        <v>46150.0</v>
      </c>
      <c r="I14" s="1" t="s">
        <v>15</v>
      </c>
      <c r="J14" s="1" t="s">
        <v>62</v>
      </c>
      <c r="K14" s="3">
        <v>410.83</v>
      </c>
    </row>
    <row r="15">
      <c r="A15" s="1" t="s">
        <v>21</v>
      </c>
      <c r="C15" s="1">
        <v>1.871007E7</v>
      </c>
      <c r="D15" s="1" t="s">
        <v>63</v>
      </c>
      <c r="E15" s="1" t="s">
        <v>64</v>
      </c>
      <c r="F15" s="1" t="s">
        <v>65</v>
      </c>
      <c r="G15" s="2">
        <v>45992.0</v>
      </c>
      <c r="H15" s="2">
        <v>46150.0</v>
      </c>
      <c r="I15" s="1" t="s">
        <v>15</v>
      </c>
      <c r="J15" s="1" t="s">
        <v>66</v>
      </c>
      <c r="K15" s="3">
        <v>-353.0</v>
      </c>
    </row>
    <row r="16">
      <c r="A16" s="1" t="s">
        <v>11</v>
      </c>
      <c r="C16" s="1">
        <v>1.5950276E7</v>
      </c>
      <c r="D16" s="1" t="s">
        <v>37</v>
      </c>
      <c r="E16" s="1" t="s">
        <v>38</v>
      </c>
      <c r="F16" s="1" t="s">
        <v>39</v>
      </c>
      <c r="G16" s="2">
        <v>46143.0</v>
      </c>
      <c r="H16" s="2">
        <v>46150.0</v>
      </c>
      <c r="I16" s="1" t="s">
        <v>15</v>
      </c>
      <c r="J16" s="1" t="s">
        <v>67</v>
      </c>
      <c r="K16" s="3">
        <v>72.5</v>
      </c>
    </row>
    <row r="17">
      <c r="A17" s="1" t="s">
        <v>11</v>
      </c>
      <c r="C17" s="1">
        <v>1.5950276E7</v>
      </c>
      <c r="D17" s="1" t="s">
        <v>12</v>
      </c>
      <c r="E17" s="1" t="s">
        <v>13</v>
      </c>
      <c r="F17" s="1" t="s">
        <v>14</v>
      </c>
      <c r="G17" s="2">
        <v>46113.0</v>
      </c>
      <c r="H17" s="2">
        <v>46150.0</v>
      </c>
      <c r="I17" s="1" t="s">
        <v>15</v>
      </c>
      <c r="J17" s="1" t="s">
        <v>68</v>
      </c>
      <c r="K17" s="3">
        <v>83.44</v>
      </c>
    </row>
    <row r="18">
      <c r="A18" s="1" t="s">
        <v>17</v>
      </c>
      <c r="C18" s="1">
        <v>1.7528908E7</v>
      </c>
      <c r="D18" s="1" t="s">
        <v>41</v>
      </c>
      <c r="E18" s="1" t="s">
        <v>42</v>
      </c>
      <c r="F18" s="1" t="s">
        <v>43</v>
      </c>
      <c r="G18" s="2">
        <v>46143.0</v>
      </c>
      <c r="H18" s="2">
        <v>46150.0</v>
      </c>
      <c r="I18" s="1" t="s">
        <v>15</v>
      </c>
      <c r="J18" s="1" t="s">
        <v>69</v>
      </c>
      <c r="K18" s="3">
        <v>-72.5</v>
      </c>
    </row>
    <row r="19">
      <c r="A19" s="1" t="s">
        <v>17</v>
      </c>
      <c r="C19" s="1">
        <v>1.7528908E7</v>
      </c>
      <c r="D19" s="1" t="s">
        <v>45</v>
      </c>
      <c r="E19" s="1" t="s">
        <v>46</v>
      </c>
      <c r="F19" s="1" t="s">
        <v>47</v>
      </c>
      <c r="G19" s="2">
        <v>46204.0</v>
      </c>
      <c r="H19" s="2">
        <v>46150.0</v>
      </c>
      <c r="I19" s="1" t="s">
        <v>15</v>
      </c>
      <c r="J19" s="1" t="s">
        <v>70</v>
      </c>
      <c r="K19" s="3">
        <v>46.87</v>
      </c>
    </row>
    <row r="20">
      <c r="A20" s="1" t="s">
        <v>17</v>
      </c>
      <c r="C20" s="1">
        <v>1.7528908E7</v>
      </c>
      <c r="D20" s="1" t="s">
        <v>49</v>
      </c>
      <c r="E20" s="1" t="s">
        <v>50</v>
      </c>
      <c r="F20" s="1" t="s">
        <v>51</v>
      </c>
      <c r="G20" s="2">
        <v>46143.0</v>
      </c>
      <c r="H20" s="2">
        <v>46150.0</v>
      </c>
      <c r="I20" s="1" t="s">
        <v>15</v>
      </c>
      <c r="J20" s="1" t="s">
        <v>71</v>
      </c>
      <c r="K20" s="3">
        <v>92.5</v>
      </c>
    </row>
    <row r="21" ht="15.75" customHeight="1">
      <c r="A21" s="1" t="s">
        <v>17</v>
      </c>
      <c r="C21" s="1">
        <v>1.7528908E7</v>
      </c>
      <c r="D21" s="1" t="s">
        <v>53</v>
      </c>
      <c r="E21" s="1" t="s">
        <v>54</v>
      </c>
      <c r="F21" s="1" t="s">
        <v>55</v>
      </c>
      <c r="G21" s="2">
        <v>46143.0</v>
      </c>
      <c r="H21" s="2">
        <v>46150.0</v>
      </c>
      <c r="I21" s="1" t="s">
        <v>15</v>
      </c>
      <c r="J21" s="1" t="s">
        <v>67</v>
      </c>
      <c r="K21" s="3">
        <v>72.5</v>
      </c>
    </row>
    <row r="22" ht="15.75" customHeight="1">
      <c r="A22" s="1" t="s">
        <v>17</v>
      </c>
      <c r="C22" s="1">
        <v>1.7528908E7</v>
      </c>
      <c r="D22" s="1" t="s">
        <v>18</v>
      </c>
      <c r="E22" s="1" t="s">
        <v>19</v>
      </c>
      <c r="F22" s="1" t="s">
        <v>20</v>
      </c>
      <c r="G22" s="2">
        <v>46113.0</v>
      </c>
      <c r="H22" s="2">
        <v>46150.0</v>
      </c>
      <c r="I22" s="1" t="s">
        <v>15</v>
      </c>
      <c r="J22" s="1" t="s">
        <v>68</v>
      </c>
      <c r="K22" s="3">
        <v>83.44</v>
      </c>
    </row>
    <row r="23" ht="15.75" customHeight="1">
      <c r="A23" s="1" t="s">
        <v>72</v>
      </c>
      <c r="C23" s="1">
        <v>1.7886092E7</v>
      </c>
      <c r="D23" s="1" t="s">
        <v>73</v>
      </c>
      <c r="E23" s="1" t="s">
        <v>74</v>
      </c>
      <c r="F23" s="1" t="s">
        <v>75</v>
      </c>
      <c r="G23" s="2">
        <v>46174.0</v>
      </c>
      <c r="H23" s="2">
        <v>46150.0</v>
      </c>
      <c r="I23" s="1" t="s">
        <v>15</v>
      </c>
      <c r="J23" s="1" t="s">
        <v>76</v>
      </c>
      <c r="K23" s="3">
        <v>42.29</v>
      </c>
    </row>
    <row r="24" ht="15.75" customHeight="1">
      <c r="A24" s="1" t="s">
        <v>72</v>
      </c>
      <c r="C24" s="1">
        <v>1.7886092E7</v>
      </c>
      <c r="D24" s="1" t="s">
        <v>77</v>
      </c>
      <c r="E24" s="1" t="s">
        <v>78</v>
      </c>
      <c r="F24" s="1" t="s">
        <v>79</v>
      </c>
      <c r="G24" s="2">
        <v>46174.0</v>
      </c>
      <c r="H24" s="2">
        <v>46150.0</v>
      </c>
      <c r="I24" s="1" t="s">
        <v>15</v>
      </c>
      <c r="J24" s="1" t="s">
        <v>80</v>
      </c>
      <c r="K24" s="3">
        <v>67.71</v>
      </c>
    </row>
    <row r="25" ht="15.75" customHeight="1">
      <c r="A25" s="1" t="s">
        <v>72</v>
      </c>
      <c r="C25" s="1">
        <v>1.7886092E7</v>
      </c>
      <c r="D25" s="1" t="s">
        <v>81</v>
      </c>
      <c r="E25" s="1" t="s">
        <v>82</v>
      </c>
      <c r="F25" s="1" t="s">
        <v>83</v>
      </c>
      <c r="G25" s="2">
        <v>46143.0</v>
      </c>
      <c r="H25" s="2">
        <v>46150.0</v>
      </c>
      <c r="I25" s="1" t="s">
        <v>15</v>
      </c>
      <c r="J25" s="1" t="s">
        <v>84</v>
      </c>
      <c r="K25" s="3">
        <v>58.34</v>
      </c>
    </row>
    <row r="26" ht="15.75" customHeight="1">
      <c r="A26" s="1" t="s">
        <v>72</v>
      </c>
      <c r="C26" s="1">
        <v>1.7886092E7</v>
      </c>
      <c r="D26" s="1" t="s">
        <v>85</v>
      </c>
      <c r="E26" s="1" t="s">
        <v>86</v>
      </c>
      <c r="F26" s="1" t="s">
        <v>87</v>
      </c>
      <c r="G26" s="2">
        <v>46143.0</v>
      </c>
      <c r="H26" s="2">
        <v>46150.0</v>
      </c>
      <c r="I26" s="1" t="s">
        <v>15</v>
      </c>
      <c r="J26" s="1" t="s">
        <v>71</v>
      </c>
      <c r="K26" s="3">
        <v>61.67</v>
      </c>
    </row>
    <row r="27" ht="15.75" customHeight="1">
      <c r="A27" s="1" t="s">
        <v>72</v>
      </c>
      <c r="C27" s="1">
        <v>1.7886092E7</v>
      </c>
      <c r="D27" s="1" t="s">
        <v>88</v>
      </c>
      <c r="E27" s="1" t="s">
        <v>89</v>
      </c>
      <c r="F27" s="1" t="s">
        <v>90</v>
      </c>
      <c r="G27" s="2">
        <v>46143.0</v>
      </c>
      <c r="H27" s="2">
        <v>46150.0</v>
      </c>
      <c r="I27" s="1" t="s">
        <v>15</v>
      </c>
      <c r="J27" s="1" t="s">
        <v>71</v>
      </c>
      <c r="K27" s="3">
        <v>61.67</v>
      </c>
    </row>
    <row r="28" ht="15.75" customHeight="1">
      <c r="A28" s="1" t="s">
        <v>72</v>
      </c>
      <c r="C28" s="1">
        <v>1.7886092E7</v>
      </c>
      <c r="D28" s="1" t="s">
        <v>91</v>
      </c>
      <c r="E28" s="1" t="s">
        <v>92</v>
      </c>
      <c r="F28" s="1" t="s">
        <v>93</v>
      </c>
      <c r="G28" s="2">
        <v>46143.0</v>
      </c>
      <c r="H28" s="2">
        <v>46150.0</v>
      </c>
      <c r="I28" s="1" t="s">
        <v>15</v>
      </c>
      <c r="J28" s="1" t="s">
        <v>71</v>
      </c>
      <c r="K28" s="3">
        <v>61.67</v>
      </c>
    </row>
    <row r="29" ht="15.75" customHeight="1">
      <c r="A29" s="1" t="s">
        <v>72</v>
      </c>
      <c r="C29" s="1">
        <v>1.7886092E7</v>
      </c>
      <c r="D29" s="1" t="s">
        <v>94</v>
      </c>
      <c r="E29" s="1" t="s">
        <v>95</v>
      </c>
      <c r="F29" s="1" t="s">
        <v>96</v>
      </c>
      <c r="G29" s="2">
        <v>46143.0</v>
      </c>
      <c r="H29" s="2">
        <v>46150.0</v>
      </c>
      <c r="I29" s="1" t="s">
        <v>15</v>
      </c>
      <c r="J29" s="1" t="s">
        <v>71</v>
      </c>
      <c r="K29" s="3">
        <v>61.67</v>
      </c>
    </row>
    <row r="30" ht="15.75" customHeight="1">
      <c r="A30" s="1" t="s">
        <v>72</v>
      </c>
      <c r="C30" s="1">
        <v>1.7886092E7</v>
      </c>
      <c r="D30" s="1" t="s">
        <v>97</v>
      </c>
      <c r="E30" s="1" t="s">
        <v>98</v>
      </c>
      <c r="F30" s="1" t="s">
        <v>99</v>
      </c>
      <c r="G30" s="2">
        <v>46143.0</v>
      </c>
      <c r="H30" s="2">
        <v>46150.0</v>
      </c>
      <c r="I30" s="1" t="s">
        <v>15</v>
      </c>
      <c r="J30" s="1" t="s">
        <v>67</v>
      </c>
      <c r="K30" s="3">
        <v>48.34</v>
      </c>
    </row>
    <row r="31" ht="15.75" customHeight="1">
      <c r="A31" s="1" t="s">
        <v>72</v>
      </c>
      <c r="C31" s="1">
        <v>1.7886092E7</v>
      </c>
      <c r="D31" s="1" t="s">
        <v>100</v>
      </c>
      <c r="E31" s="1" t="s">
        <v>101</v>
      </c>
      <c r="F31" s="1" t="s">
        <v>102</v>
      </c>
      <c r="G31" s="2">
        <v>46113.0</v>
      </c>
      <c r="H31" s="2">
        <v>46150.0</v>
      </c>
      <c r="I31" s="1" t="s">
        <v>15</v>
      </c>
      <c r="J31" s="1" t="s">
        <v>103</v>
      </c>
      <c r="K31" s="3">
        <v>53.13</v>
      </c>
    </row>
    <row r="32" ht="15.75" customHeight="1">
      <c r="A32" s="1" t="s">
        <v>72</v>
      </c>
      <c r="C32" s="1">
        <v>1.7886092E7</v>
      </c>
      <c r="D32" s="1" t="s">
        <v>104</v>
      </c>
      <c r="E32" s="1" t="s">
        <v>105</v>
      </c>
      <c r="F32" s="1" t="s">
        <v>106</v>
      </c>
      <c r="G32" s="2">
        <v>46113.0</v>
      </c>
      <c r="H32" s="2">
        <v>46150.0</v>
      </c>
      <c r="I32" s="1" t="s">
        <v>15</v>
      </c>
      <c r="J32" s="1" t="s">
        <v>68</v>
      </c>
      <c r="K32" s="3">
        <v>55.63</v>
      </c>
    </row>
    <row r="33" ht="15.75" customHeight="1">
      <c r="A33" s="1" t="s">
        <v>72</v>
      </c>
      <c r="C33" s="1">
        <v>1.7886092E7</v>
      </c>
      <c r="D33" s="1" t="s">
        <v>107</v>
      </c>
      <c r="E33" s="1" t="s">
        <v>108</v>
      </c>
      <c r="F33" s="1" t="s">
        <v>109</v>
      </c>
      <c r="G33" s="2">
        <v>46113.0</v>
      </c>
      <c r="H33" s="2">
        <v>46150.0</v>
      </c>
      <c r="I33" s="1" t="s">
        <v>15</v>
      </c>
      <c r="J33" s="1" t="s">
        <v>68</v>
      </c>
      <c r="K33" s="3">
        <v>55.63</v>
      </c>
    </row>
    <row r="34" ht="15.75" customHeight="1">
      <c r="A34" s="1" t="s">
        <v>72</v>
      </c>
      <c r="C34" s="1">
        <v>1.7886092E7</v>
      </c>
      <c r="D34" s="1" t="s">
        <v>110</v>
      </c>
      <c r="E34" s="1" t="s">
        <v>111</v>
      </c>
      <c r="F34" s="1" t="s">
        <v>112</v>
      </c>
      <c r="G34" s="2">
        <v>46082.0</v>
      </c>
      <c r="H34" s="2">
        <v>46150.0</v>
      </c>
      <c r="I34" s="1" t="s">
        <v>15</v>
      </c>
      <c r="J34" s="1" t="s">
        <v>70</v>
      </c>
      <c r="K34" s="3">
        <v>31.25</v>
      </c>
    </row>
    <row r="35" ht="15.75" customHeight="1">
      <c r="A35" s="1" t="s">
        <v>72</v>
      </c>
      <c r="C35" s="1">
        <v>1.7886092E7</v>
      </c>
      <c r="D35" s="1" t="s">
        <v>113</v>
      </c>
      <c r="E35" s="1" t="s">
        <v>114</v>
      </c>
      <c r="F35" s="1" t="s">
        <v>115</v>
      </c>
      <c r="G35" s="2">
        <v>46082.0</v>
      </c>
      <c r="H35" s="2">
        <v>46150.0</v>
      </c>
      <c r="I35" s="1" t="s">
        <v>15</v>
      </c>
      <c r="J35" s="1" t="s">
        <v>70</v>
      </c>
      <c r="K35" s="3">
        <v>31.25</v>
      </c>
    </row>
    <row r="36" ht="15.75" customHeight="1">
      <c r="A36" s="1" t="s">
        <v>21</v>
      </c>
      <c r="C36" s="1">
        <v>1.871007E7</v>
      </c>
      <c r="D36" s="1" t="s">
        <v>56</v>
      </c>
      <c r="E36" s="1" t="s">
        <v>57</v>
      </c>
      <c r="F36" s="1" t="s">
        <v>58</v>
      </c>
      <c r="G36" s="2">
        <v>46143.0</v>
      </c>
      <c r="H36" s="2">
        <v>46150.0</v>
      </c>
      <c r="I36" s="1" t="s">
        <v>15</v>
      </c>
      <c r="J36" s="1" t="s">
        <v>67</v>
      </c>
      <c r="K36" s="3">
        <v>72.5</v>
      </c>
    </row>
    <row r="37" ht="15.75" customHeight="1">
      <c r="A37" s="1" t="s">
        <v>21</v>
      </c>
      <c r="C37" s="1">
        <v>1.871007E7</v>
      </c>
      <c r="D37" s="1" t="s">
        <v>22</v>
      </c>
      <c r="E37" s="1" t="s">
        <v>23</v>
      </c>
      <c r="F37" s="1" t="s">
        <v>24</v>
      </c>
      <c r="G37" s="2">
        <v>46113.0</v>
      </c>
      <c r="H37" s="2">
        <v>46150.0</v>
      </c>
      <c r="I37" s="1" t="s">
        <v>15</v>
      </c>
      <c r="J37" s="1" t="s">
        <v>68</v>
      </c>
      <c r="K37" s="3">
        <v>83.44</v>
      </c>
    </row>
    <row r="38" ht="15.75" customHeight="1">
      <c r="A38" s="1" t="s">
        <v>21</v>
      </c>
      <c r="C38" s="1">
        <v>1.871007E7</v>
      </c>
      <c r="D38" s="1" t="s">
        <v>59</v>
      </c>
      <c r="E38" s="1" t="s">
        <v>60</v>
      </c>
      <c r="F38" s="1" t="s">
        <v>61</v>
      </c>
      <c r="G38" s="2">
        <v>46082.0</v>
      </c>
      <c r="H38" s="2">
        <v>46150.0</v>
      </c>
      <c r="I38" s="1" t="s">
        <v>15</v>
      </c>
      <c r="J38" s="1" t="s">
        <v>116</v>
      </c>
      <c r="K38" s="3">
        <v>74.38</v>
      </c>
    </row>
    <row r="39" ht="15.75" customHeight="1">
      <c r="A39" s="1" t="s">
        <v>21</v>
      </c>
      <c r="C39" s="1">
        <v>1.871007E7</v>
      </c>
      <c r="D39" s="1" t="s">
        <v>117</v>
      </c>
      <c r="E39" s="1" t="s">
        <v>118</v>
      </c>
      <c r="F39" s="1" t="s">
        <v>119</v>
      </c>
      <c r="G39" s="2">
        <v>46023.0</v>
      </c>
      <c r="H39" s="2">
        <v>46150.0</v>
      </c>
      <c r="I39" s="1" t="s">
        <v>15</v>
      </c>
      <c r="J39" s="1" t="s">
        <v>120</v>
      </c>
      <c r="K39" s="3">
        <v>-81.56</v>
      </c>
    </row>
    <row r="40" ht="15.75" customHeight="1">
      <c r="A40" s="1" t="s">
        <v>21</v>
      </c>
      <c r="C40" s="1">
        <v>1.871007E7</v>
      </c>
      <c r="D40" s="1" t="s">
        <v>63</v>
      </c>
      <c r="E40" s="1" t="s">
        <v>64</v>
      </c>
      <c r="F40" s="1" t="s">
        <v>65</v>
      </c>
      <c r="G40" s="2">
        <v>45992.0</v>
      </c>
      <c r="H40" s="2">
        <v>46150.0</v>
      </c>
      <c r="I40" s="1" t="s">
        <v>15</v>
      </c>
      <c r="J40" s="1" t="s">
        <v>121</v>
      </c>
      <c r="K40" s="3">
        <v>-108.75</v>
      </c>
    </row>
    <row r="41" ht="15.75" customHeight="1">
      <c r="A41" s="1" t="s">
        <v>21</v>
      </c>
      <c r="C41" s="1">
        <v>1.871007E7</v>
      </c>
      <c r="D41" s="1" t="s">
        <v>29</v>
      </c>
      <c r="E41" s="1" t="s">
        <v>30</v>
      </c>
      <c r="F41" s="1" t="s">
        <v>31</v>
      </c>
      <c r="G41" s="2">
        <v>45839.0</v>
      </c>
      <c r="H41" s="2">
        <v>46150.0</v>
      </c>
      <c r="I41" s="1" t="s">
        <v>15</v>
      </c>
      <c r="J41" s="1" t="s">
        <v>122</v>
      </c>
      <c r="K41" s="3">
        <v>24.16</v>
      </c>
    </row>
    <row r="42" ht="15.75" customHeight="1">
      <c r="A42" s="1" t="s">
        <v>25</v>
      </c>
      <c r="C42" s="1">
        <v>1.879474E7</v>
      </c>
      <c r="D42" s="1" t="s">
        <v>33</v>
      </c>
      <c r="E42" s="1" t="s">
        <v>34</v>
      </c>
      <c r="F42" s="1" t="s">
        <v>35</v>
      </c>
      <c r="G42" s="2">
        <v>45931.0</v>
      </c>
      <c r="H42" s="2">
        <v>46150.0</v>
      </c>
      <c r="I42" s="1" t="s">
        <v>15</v>
      </c>
      <c r="J42" s="1" t="s">
        <v>123</v>
      </c>
      <c r="K42" s="3">
        <v>-27.18</v>
      </c>
    </row>
    <row r="43" ht="15.75" customHeight="1">
      <c r="A43" s="1" t="s">
        <v>25</v>
      </c>
      <c r="C43" s="1">
        <v>1.879474E7</v>
      </c>
      <c r="D43" s="1" t="s">
        <v>26</v>
      </c>
      <c r="E43" s="1" t="s">
        <v>27</v>
      </c>
      <c r="F43" s="1" t="s">
        <v>28</v>
      </c>
      <c r="G43" s="2">
        <v>46113.0</v>
      </c>
      <c r="H43" s="2">
        <v>46150.0</v>
      </c>
      <c r="I43" s="1" t="s">
        <v>15</v>
      </c>
      <c r="J43" s="1" t="s">
        <v>68</v>
      </c>
      <c r="K43" s="3">
        <v>83.44</v>
      </c>
    </row>
    <row r="44" ht="15.75" customHeight="1">
      <c r="A44" s="1" t="s">
        <v>124</v>
      </c>
      <c r="C44" s="1">
        <v>2.0253958E7</v>
      </c>
      <c r="D44" s="1" t="s">
        <v>85</v>
      </c>
      <c r="E44" s="1" t="s">
        <v>125</v>
      </c>
      <c r="F44" s="1" t="s">
        <v>126</v>
      </c>
      <c r="G44" s="2">
        <v>46204.0</v>
      </c>
      <c r="H44" s="2">
        <v>46150.0</v>
      </c>
      <c r="I44" s="1" t="s">
        <v>15</v>
      </c>
      <c r="J44" s="1" t="s">
        <v>127</v>
      </c>
      <c r="K44" s="3">
        <v>36.25</v>
      </c>
    </row>
    <row r="45" ht="15.75" customHeight="1">
      <c r="A45" s="1" t="s">
        <v>124</v>
      </c>
      <c r="C45" s="1">
        <v>2.0253958E7</v>
      </c>
      <c r="D45" s="1" t="s">
        <v>128</v>
      </c>
      <c r="E45" s="1" t="s">
        <v>129</v>
      </c>
      <c r="F45" s="1" t="s">
        <v>130</v>
      </c>
      <c r="G45" s="2">
        <v>46174.0</v>
      </c>
      <c r="H45" s="2">
        <v>46150.0</v>
      </c>
      <c r="I45" s="1" t="s">
        <v>15</v>
      </c>
      <c r="J45" s="1" t="s">
        <v>80</v>
      </c>
      <c r="K45" s="3">
        <v>67.71</v>
      </c>
    </row>
    <row r="46" ht="15.75" customHeight="1">
      <c r="A46" s="1" t="s">
        <v>124</v>
      </c>
      <c r="C46" s="1">
        <v>2.0253958E7</v>
      </c>
      <c r="D46" s="1" t="s">
        <v>131</v>
      </c>
      <c r="E46" s="1" t="s">
        <v>132</v>
      </c>
      <c r="F46" s="1" t="s">
        <v>133</v>
      </c>
      <c r="G46" s="2">
        <v>46174.0</v>
      </c>
      <c r="H46" s="2">
        <v>46150.0</v>
      </c>
      <c r="I46" s="1" t="s">
        <v>15</v>
      </c>
      <c r="J46" s="1" t="s">
        <v>80</v>
      </c>
      <c r="K46" s="3">
        <v>67.71</v>
      </c>
    </row>
    <row r="47" ht="15.75" customHeight="1">
      <c r="A47" s="1" t="s">
        <v>124</v>
      </c>
      <c r="C47" s="1">
        <v>2.0253958E7</v>
      </c>
      <c r="D47" s="1" t="s">
        <v>91</v>
      </c>
      <c r="E47" s="1" t="s">
        <v>134</v>
      </c>
      <c r="F47" s="1" t="s">
        <v>135</v>
      </c>
      <c r="G47" s="2">
        <v>46174.0</v>
      </c>
      <c r="H47" s="2">
        <v>46150.0</v>
      </c>
      <c r="I47" s="1" t="s">
        <v>15</v>
      </c>
      <c r="J47" s="1" t="s">
        <v>80</v>
      </c>
      <c r="K47" s="3">
        <v>67.71</v>
      </c>
    </row>
    <row r="48" ht="15.75" customHeight="1">
      <c r="A48" s="1" t="s">
        <v>124</v>
      </c>
      <c r="C48" s="1">
        <v>2.0253958E7</v>
      </c>
      <c r="D48" s="1" t="s">
        <v>136</v>
      </c>
      <c r="E48" s="1" t="s">
        <v>137</v>
      </c>
      <c r="F48" s="1" t="s">
        <v>138</v>
      </c>
      <c r="G48" s="2">
        <v>46174.0</v>
      </c>
      <c r="H48" s="2">
        <v>46150.0</v>
      </c>
      <c r="I48" s="1" t="s">
        <v>15</v>
      </c>
      <c r="J48" s="1" t="s">
        <v>80</v>
      </c>
      <c r="K48" s="3">
        <v>67.71</v>
      </c>
    </row>
    <row r="49" ht="15.75" customHeight="1">
      <c r="A49" s="1" t="s">
        <v>124</v>
      </c>
      <c r="C49" s="1">
        <v>2.0253958E7</v>
      </c>
      <c r="D49" s="1" t="s">
        <v>139</v>
      </c>
      <c r="E49" s="1" t="s">
        <v>140</v>
      </c>
      <c r="F49" s="1" t="s">
        <v>141</v>
      </c>
      <c r="G49" s="2">
        <v>46174.0</v>
      </c>
      <c r="H49" s="2">
        <v>46150.0</v>
      </c>
      <c r="I49" s="1" t="s">
        <v>15</v>
      </c>
      <c r="J49" s="1" t="s">
        <v>76</v>
      </c>
      <c r="K49" s="3">
        <v>42.29</v>
      </c>
    </row>
    <row r="50" ht="15.75" customHeight="1">
      <c r="A50" s="1" t="s">
        <v>124</v>
      </c>
      <c r="C50" s="1">
        <v>2.0253958E7</v>
      </c>
      <c r="D50" s="1" t="s">
        <v>142</v>
      </c>
      <c r="E50" s="1" t="s">
        <v>143</v>
      </c>
      <c r="F50" s="1" t="s">
        <v>144</v>
      </c>
      <c r="G50" s="2">
        <v>46174.0</v>
      </c>
      <c r="H50" s="2">
        <v>46150.0</v>
      </c>
      <c r="I50" s="1" t="s">
        <v>15</v>
      </c>
      <c r="J50" s="1" t="s">
        <v>76</v>
      </c>
      <c r="K50" s="3">
        <v>42.29</v>
      </c>
    </row>
    <row r="51" ht="15.75" customHeight="1">
      <c r="A51" s="1" t="s">
        <v>124</v>
      </c>
      <c r="C51" s="1">
        <v>2.0253958E7</v>
      </c>
      <c r="D51" s="1" t="s">
        <v>145</v>
      </c>
      <c r="E51" s="1" t="s">
        <v>146</v>
      </c>
      <c r="F51" s="1" t="s">
        <v>147</v>
      </c>
      <c r="G51" s="2">
        <v>46143.0</v>
      </c>
      <c r="H51" s="2">
        <v>46150.0</v>
      </c>
      <c r="I51" s="1" t="s">
        <v>15</v>
      </c>
      <c r="J51" s="1" t="s">
        <v>71</v>
      </c>
      <c r="K51" s="3">
        <v>61.67</v>
      </c>
    </row>
    <row r="52" ht="15.75" customHeight="1">
      <c r="A52" s="1" t="s">
        <v>124</v>
      </c>
      <c r="C52" s="1">
        <v>2.0253958E7</v>
      </c>
      <c r="D52" s="1" t="s">
        <v>148</v>
      </c>
      <c r="E52" s="1" t="s">
        <v>149</v>
      </c>
      <c r="F52" s="1" t="s">
        <v>150</v>
      </c>
      <c r="G52" s="2">
        <v>46143.0</v>
      </c>
      <c r="H52" s="2">
        <v>46150.0</v>
      </c>
      <c r="I52" s="1" t="s">
        <v>15</v>
      </c>
      <c r="J52" s="1" t="s">
        <v>71</v>
      </c>
      <c r="K52" s="3">
        <v>61.67</v>
      </c>
    </row>
    <row r="53" ht="15.75" customHeight="1">
      <c r="A53" s="1" t="s">
        <v>124</v>
      </c>
      <c r="C53" s="1">
        <v>2.0253958E7</v>
      </c>
      <c r="D53" s="1" t="s">
        <v>151</v>
      </c>
      <c r="E53" s="1" t="s">
        <v>152</v>
      </c>
      <c r="F53" s="1" t="s">
        <v>153</v>
      </c>
      <c r="G53" s="2">
        <v>46143.0</v>
      </c>
      <c r="H53" s="2">
        <v>46150.0</v>
      </c>
      <c r="I53" s="1" t="s">
        <v>15</v>
      </c>
      <c r="J53" s="1" t="s">
        <v>71</v>
      </c>
      <c r="K53" s="3">
        <v>61.67</v>
      </c>
    </row>
    <row r="54" ht="15.75" customHeight="1">
      <c r="A54" s="1" t="s">
        <v>124</v>
      </c>
      <c r="C54" s="1">
        <v>2.0253958E7</v>
      </c>
      <c r="D54" s="1" t="s">
        <v>154</v>
      </c>
      <c r="E54" s="1" t="s">
        <v>155</v>
      </c>
      <c r="F54" s="1" t="s">
        <v>156</v>
      </c>
      <c r="G54" s="2">
        <v>46143.0</v>
      </c>
      <c r="H54" s="2">
        <v>46150.0</v>
      </c>
      <c r="I54" s="1" t="s">
        <v>15</v>
      </c>
      <c r="J54" s="1" t="s">
        <v>71</v>
      </c>
      <c r="K54" s="3">
        <v>61.67</v>
      </c>
    </row>
    <row r="55" ht="15.75" customHeight="1">
      <c r="A55" s="1" t="s">
        <v>124</v>
      </c>
      <c r="C55" s="1">
        <v>2.0253958E7</v>
      </c>
      <c r="D55" s="1" t="s">
        <v>157</v>
      </c>
      <c r="E55" s="1" t="s">
        <v>158</v>
      </c>
      <c r="F55" s="1" t="s">
        <v>159</v>
      </c>
      <c r="G55" s="2">
        <v>46143.0</v>
      </c>
      <c r="H55" s="2">
        <v>46150.0</v>
      </c>
      <c r="I55" s="1" t="s">
        <v>15</v>
      </c>
      <c r="J55" s="1" t="s">
        <v>67</v>
      </c>
      <c r="K55" s="3">
        <v>48.34</v>
      </c>
    </row>
    <row r="56" ht="15.75" customHeight="1">
      <c r="A56" s="1" t="s">
        <v>124</v>
      </c>
      <c r="C56" s="1">
        <v>2.0253958E7</v>
      </c>
      <c r="D56" s="1" t="s">
        <v>160</v>
      </c>
      <c r="E56" s="1" t="s">
        <v>161</v>
      </c>
      <c r="F56" s="1" t="s">
        <v>162</v>
      </c>
      <c r="G56" s="2">
        <v>46113.0</v>
      </c>
      <c r="H56" s="2">
        <v>46150.0</v>
      </c>
      <c r="I56" s="1" t="s">
        <v>15</v>
      </c>
      <c r="J56" s="1" t="s">
        <v>68</v>
      </c>
      <c r="K56" s="3">
        <v>55.63</v>
      </c>
    </row>
    <row r="57" ht="15.75" customHeight="1">
      <c r="A57" s="1" t="s">
        <v>124</v>
      </c>
      <c r="C57" s="1">
        <v>2.0253958E7</v>
      </c>
      <c r="D57" s="1" t="s">
        <v>77</v>
      </c>
      <c r="E57" s="1" t="s">
        <v>163</v>
      </c>
      <c r="F57" s="1" t="s">
        <v>164</v>
      </c>
      <c r="G57" s="2">
        <v>46113.0</v>
      </c>
      <c r="H57" s="2">
        <v>46150.0</v>
      </c>
      <c r="I57" s="1" t="s">
        <v>15</v>
      </c>
      <c r="J57" s="1" t="s">
        <v>68</v>
      </c>
      <c r="K57" s="3">
        <v>55.63</v>
      </c>
    </row>
    <row r="58" ht="15.75" customHeight="1">
      <c r="A58" s="1" t="s">
        <v>124</v>
      </c>
      <c r="C58" s="1">
        <v>2.0253958E7</v>
      </c>
      <c r="D58" s="1" t="s">
        <v>41</v>
      </c>
      <c r="E58" s="1" t="s">
        <v>165</v>
      </c>
      <c r="F58" s="1" t="s">
        <v>166</v>
      </c>
      <c r="G58" s="2">
        <v>46113.0</v>
      </c>
      <c r="H58" s="2">
        <v>46150.0</v>
      </c>
      <c r="I58" s="1" t="s">
        <v>15</v>
      </c>
      <c r="J58" s="1" t="s">
        <v>68</v>
      </c>
      <c r="K58" s="3">
        <v>55.63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1.43"/>
    <col customWidth="1" min="5" max="6" width="12.86"/>
    <col customWidth="1" min="7" max="8" width="11.0"/>
    <col customWidth="1" min="9" max="9" width="11.86"/>
    <col customWidth="1" min="10" max="10" width="14.71"/>
    <col customWidth="1" min="11" max="11" width="12.71"/>
    <col customWidth="1" min="12" max="12" width="54.86"/>
    <col customWidth="1" min="13" max="13" width="15.71"/>
    <col customWidth="1" min="14" max="14" width="21.14"/>
    <col customWidth="1" min="15" max="15" width="24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A2" s="4" t="s">
        <v>72</v>
      </c>
      <c r="B2" s="4" t="s">
        <v>167</v>
      </c>
      <c r="C2" s="4">
        <v>2.0411454E7</v>
      </c>
      <c r="D2" s="4" t="s">
        <v>81</v>
      </c>
      <c r="E2" s="4" t="s">
        <v>82</v>
      </c>
      <c r="F2" s="4" t="str">
        <f t="shared" ref="F2:F64" si="1">CONCATENATE(D2," ",E2)</f>
        <v>Linda Porter</v>
      </c>
      <c r="G2" s="4">
        <v>33900.0</v>
      </c>
      <c r="H2" s="4" t="str">
        <f t="shared" ref="H2:H44" si="2">CONCATENATE(G2,"OVR")</f>
        <v>33900OVR</v>
      </c>
      <c r="I2" s="5">
        <v>46143.0</v>
      </c>
      <c r="J2" s="5">
        <v>46150.0</v>
      </c>
      <c r="K2" s="4" t="s">
        <v>15</v>
      </c>
      <c r="L2" s="4" t="s">
        <v>84</v>
      </c>
      <c r="M2" s="6">
        <v>58.34</v>
      </c>
      <c r="N2" s="4" t="s">
        <v>168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72</v>
      </c>
      <c r="B3" s="4" t="s">
        <v>167</v>
      </c>
      <c r="C3" s="4">
        <v>2.0411454E7</v>
      </c>
      <c r="D3" s="4" t="s">
        <v>100</v>
      </c>
      <c r="E3" s="4" t="s">
        <v>101</v>
      </c>
      <c r="F3" s="4" t="str">
        <f t="shared" si="1"/>
        <v>Louis Schoen</v>
      </c>
      <c r="G3" s="4">
        <v>56320.0</v>
      </c>
      <c r="H3" s="4" t="str">
        <f t="shared" si="2"/>
        <v>56320OVR</v>
      </c>
      <c r="I3" s="5">
        <v>46113.0</v>
      </c>
      <c r="J3" s="5">
        <v>46150.0</v>
      </c>
      <c r="K3" s="4" t="s">
        <v>15</v>
      </c>
      <c r="L3" s="4" t="s">
        <v>103</v>
      </c>
      <c r="M3" s="6">
        <v>53.13</v>
      </c>
      <c r="N3" s="4" t="s">
        <v>168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17</v>
      </c>
      <c r="B4" s="4" t="s">
        <v>167</v>
      </c>
      <c r="C4" s="4">
        <v>2.0411454E7</v>
      </c>
      <c r="D4" s="4" t="s">
        <v>45</v>
      </c>
      <c r="E4" s="4" t="s">
        <v>46</v>
      </c>
      <c r="F4" s="4" t="str">
        <f t="shared" si="1"/>
        <v>Lisa Worms</v>
      </c>
      <c r="G4" s="4">
        <v>14260.0</v>
      </c>
      <c r="H4" s="4" t="str">
        <f t="shared" si="2"/>
        <v>14260OVR</v>
      </c>
      <c r="I4" s="5">
        <v>46204.0</v>
      </c>
      <c r="J4" s="5">
        <v>46150.0</v>
      </c>
      <c r="K4" s="4" t="s">
        <v>15</v>
      </c>
      <c r="L4" s="4" t="s">
        <v>70</v>
      </c>
      <c r="M4" s="6">
        <v>46.87</v>
      </c>
      <c r="N4" s="4" t="s">
        <v>168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72</v>
      </c>
      <c r="B5" s="4" t="s">
        <v>167</v>
      </c>
      <c r="C5" s="4">
        <v>2.0411454E7</v>
      </c>
      <c r="D5" s="4" t="s">
        <v>110</v>
      </c>
      <c r="E5" s="4" t="s">
        <v>111</v>
      </c>
      <c r="F5" s="4" t="str">
        <f t="shared" si="1"/>
        <v>Alex Mccomb</v>
      </c>
      <c r="G5" s="4">
        <v>34590.0</v>
      </c>
      <c r="H5" s="4" t="str">
        <f t="shared" si="2"/>
        <v>34590OVR</v>
      </c>
      <c r="I5" s="5">
        <v>46082.0</v>
      </c>
      <c r="J5" s="5">
        <v>46150.0</v>
      </c>
      <c r="K5" s="4" t="s">
        <v>15</v>
      </c>
      <c r="L5" s="4" t="s">
        <v>70</v>
      </c>
      <c r="M5" s="6">
        <v>31.25</v>
      </c>
      <c r="N5" s="4" t="s">
        <v>168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72</v>
      </c>
      <c r="B6" s="4" t="s">
        <v>167</v>
      </c>
      <c r="C6" s="4">
        <v>2.0411454E7</v>
      </c>
      <c r="D6" s="4" t="s">
        <v>113</v>
      </c>
      <c r="E6" s="4" t="s">
        <v>114</v>
      </c>
      <c r="F6" s="4" t="str">
        <f t="shared" si="1"/>
        <v>Brandy Billotte</v>
      </c>
      <c r="G6" s="4">
        <v>35200.0</v>
      </c>
      <c r="H6" s="4" t="str">
        <f t="shared" si="2"/>
        <v>35200OVR</v>
      </c>
      <c r="I6" s="5">
        <v>46082.0</v>
      </c>
      <c r="J6" s="5">
        <v>46150.0</v>
      </c>
      <c r="K6" s="4" t="s">
        <v>15</v>
      </c>
      <c r="L6" s="4" t="s">
        <v>70</v>
      </c>
      <c r="M6" s="6">
        <v>31.25</v>
      </c>
      <c r="N6" s="4" t="s">
        <v>168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21</v>
      </c>
      <c r="B7" s="4" t="s">
        <v>167</v>
      </c>
      <c r="C7" s="4">
        <v>2.0411454E7</v>
      </c>
      <c r="D7" s="4" t="s">
        <v>63</v>
      </c>
      <c r="E7" s="4" t="s">
        <v>64</v>
      </c>
      <c r="F7" s="4" t="str">
        <f t="shared" si="1"/>
        <v>Janice Kendall</v>
      </c>
      <c r="G7" s="4">
        <v>20220.0</v>
      </c>
      <c r="H7" s="4" t="str">
        <f t="shared" si="2"/>
        <v>20220OVR</v>
      </c>
      <c r="I7" s="5">
        <v>45992.0</v>
      </c>
      <c r="J7" s="5">
        <v>46150.0</v>
      </c>
      <c r="K7" s="4" t="s">
        <v>15</v>
      </c>
      <c r="L7" s="4" t="s">
        <v>121</v>
      </c>
      <c r="M7" s="6">
        <v>-108.75</v>
      </c>
      <c r="N7" s="4" t="s">
        <v>168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25</v>
      </c>
      <c r="B8" s="4" t="s">
        <v>167</v>
      </c>
      <c r="C8" s="4">
        <v>2.0411454E7</v>
      </c>
      <c r="D8" s="4" t="s">
        <v>33</v>
      </c>
      <c r="E8" s="4" t="s">
        <v>34</v>
      </c>
      <c r="F8" s="4" t="str">
        <f t="shared" si="1"/>
        <v>Forrest Graver</v>
      </c>
      <c r="G8" s="4">
        <v>66990.0</v>
      </c>
      <c r="H8" s="4" t="str">
        <f t="shared" si="2"/>
        <v>66990OVR</v>
      </c>
      <c r="I8" s="5">
        <v>45931.0</v>
      </c>
      <c r="J8" s="5">
        <v>46150.0</v>
      </c>
      <c r="K8" s="4" t="s">
        <v>15</v>
      </c>
      <c r="L8" s="4" t="s">
        <v>123</v>
      </c>
      <c r="M8" s="6">
        <v>-27.18</v>
      </c>
      <c r="N8" s="4" t="s">
        <v>168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21</v>
      </c>
      <c r="B9" s="4" t="s">
        <v>167</v>
      </c>
      <c r="C9" s="4">
        <v>2.0411454E7</v>
      </c>
      <c r="D9" s="4" t="s">
        <v>29</v>
      </c>
      <c r="E9" s="4" t="s">
        <v>30</v>
      </c>
      <c r="F9" s="4" t="str">
        <f t="shared" si="1"/>
        <v>Martha Tapia Solorio</v>
      </c>
      <c r="G9" s="4">
        <v>19030.0</v>
      </c>
      <c r="H9" s="4" t="str">
        <f t="shared" si="2"/>
        <v>19030OVR</v>
      </c>
      <c r="I9" s="5">
        <v>45839.0</v>
      </c>
      <c r="J9" s="5">
        <v>46150.0</v>
      </c>
      <c r="K9" s="4" t="s">
        <v>15</v>
      </c>
      <c r="L9" s="4" t="s">
        <v>122</v>
      </c>
      <c r="M9" s="6">
        <v>24.16</v>
      </c>
      <c r="N9" s="4" t="s">
        <v>168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124</v>
      </c>
      <c r="B10" s="4" t="s">
        <v>167</v>
      </c>
      <c r="C10" s="4">
        <v>2.0411454E7</v>
      </c>
      <c r="D10" s="4" t="s">
        <v>85</v>
      </c>
      <c r="E10" s="4" t="s">
        <v>125</v>
      </c>
      <c r="F10" s="4" t="str">
        <f t="shared" si="1"/>
        <v>Diane Hawk</v>
      </c>
      <c r="G10" s="4">
        <v>43280.0</v>
      </c>
      <c r="H10" s="4" t="str">
        <f t="shared" si="2"/>
        <v>43280OVR</v>
      </c>
      <c r="I10" s="5">
        <v>46204.0</v>
      </c>
      <c r="J10" s="5">
        <v>46150.0</v>
      </c>
      <c r="K10" s="4" t="s">
        <v>15</v>
      </c>
      <c r="L10" s="4" t="s">
        <v>127</v>
      </c>
      <c r="M10" s="6">
        <v>36.25</v>
      </c>
      <c r="N10" s="4" t="s">
        <v>168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72</v>
      </c>
      <c r="B11" s="4" t="s">
        <v>167</v>
      </c>
      <c r="C11" s="4">
        <v>2.0411454E7</v>
      </c>
      <c r="D11" s="4" t="s">
        <v>73</v>
      </c>
      <c r="E11" s="4" t="s">
        <v>74</v>
      </c>
      <c r="F11" s="4" t="str">
        <f t="shared" si="1"/>
        <v>Arthur Barton</v>
      </c>
      <c r="G11" s="4">
        <v>37710.0</v>
      </c>
      <c r="H11" s="4" t="str">
        <f t="shared" si="2"/>
        <v>37710OVR</v>
      </c>
      <c r="I11" s="5">
        <v>46174.0</v>
      </c>
      <c r="J11" s="5">
        <v>46150.0</v>
      </c>
      <c r="K11" s="4" t="s">
        <v>15</v>
      </c>
      <c r="L11" s="4" t="s">
        <v>76</v>
      </c>
      <c r="M11" s="6">
        <v>42.29</v>
      </c>
      <c r="N11" s="4" t="s">
        <v>168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124</v>
      </c>
      <c r="B12" s="4" t="s">
        <v>167</v>
      </c>
      <c r="C12" s="4">
        <v>2.0411454E7</v>
      </c>
      <c r="D12" s="4" t="s">
        <v>139</v>
      </c>
      <c r="E12" s="4" t="s">
        <v>140</v>
      </c>
      <c r="F12" s="4" t="str">
        <f t="shared" si="1"/>
        <v>Mary Barclay</v>
      </c>
      <c r="G12" s="4">
        <v>40750.0</v>
      </c>
      <c r="H12" s="4" t="str">
        <f t="shared" si="2"/>
        <v>40750OVR</v>
      </c>
      <c r="I12" s="5">
        <v>46174.0</v>
      </c>
      <c r="J12" s="5">
        <v>46150.0</v>
      </c>
      <c r="K12" s="4" t="s">
        <v>15</v>
      </c>
      <c r="L12" s="4" t="s">
        <v>76</v>
      </c>
      <c r="M12" s="6">
        <v>42.29</v>
      </c>
      <c r="N12" s="4" t="s">
        <v>168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124</v>
      </c>
      <c r="B13" s="4" t="s">
        <v>167</v>
      </c>
      <c r="C13" s="4">
        <v>2.0411454E7</v>
      </c>
      <c r="D13" s="4" t="s">
        <v>142</v>
      </c>
      <c r="E13" s="4" t="s">
        <v>143</v>
      </c>
      <c r="F13" s="4" t="str">
        <f t="shared" si="1"/>
        <v>Jane Kimball</v>
      </c>
      <c r="G13" s="4">
        <v>65630.0</v>
      </c>
      <c r="H13" s="4" t="str">
        <f t="shared" si="2"/>
        <v>65630OVR</v>
      </c>
      <c r="I13" s="5">
        <v>46174.0</v>
      </c>
      <c r="J13" s="5">
        <v>46150.0</v>
      </c>
      <c r="K13" s="4" t="s">
        <v>15</v>
      </c>
      <c r="L13" s="4" t="s">
        <v>76</v>
      </c>
      <c r="M13" s="6">
        <v>42.29</v>
      </c>
      <c r="N13" s="4" t="s">
        <v>168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11</v>
      </c>
      <c r="B14" s="4" t="s">
        <v>167</v>
      </c>
      <c r="C14" s="4">
        <v>2.0411454E7</v>
      </c>
      <c r="D14" s="4" t="s">
        <v>37</v>
      </c>
      <c r="E14" s="4" t="s">
        <v>38</v>
      </c>
      <c r="F14" s="4" t="str">
        <f t="shared" si="1"/>
        <v>Donna Vitale</v>
      </c>
      <c r="G14" s="4">
        <v>87660.0</v>
      </c>
      <c r="H14" s="4" t="str">
        <f t="shared" si="2"/>
        <v>87660OVR</v>
      </c>
      <c r="I14" s="5">
        <v>46143.0</v>
      </c>
      <c r="J14" s="5">
        <v>46150.0</v>
      </c>
      <c r="K14" s="4" t="s">
        <v>15</v>
      </c>
      <c r="L14" s="4" t="s">
        <v>67</v>
      </c>
      <c r="M14" s="6">
        <v>72.5</v>
      </c>
      <c r="N14" s="4" t="s">
        <v>168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17</v>
      </c>
      <c r="B15" s="4" t="s">
        <v>167</v>
      </c>
      <c r="C15" s="4">
        <v>2.0411454E7</v>
      </c>
      <c r="D15" s="4" t="s">
        <v>53</v>
      </c>
      <c r="E15" s="4" t="s">
        <v>54</v>
      </c>
      <c r="F15" s="4" t="str">
        <f t="shared" si="1"/>
        <v>April Brutt</v>
      </c>
      <c r="G15" s="4">
        <v>64730.0</v>
      </c>
      <c r="H15" s="4" t="str">
        <f t="shared" si="2"/>
        <v>64730OVR</v>
      </c>
      <c r="I15" s="5">
        <v>46143.0</v>
      </c>
      <c r="J15" s="5">
        <v>46150.0</v>
      </c>
      <c r="K15" s="4" t="s">
        <v>15</v>
      </c>
      <c r="L15" s="4" t="s">
        <v>67</v>
      </c>
      <c r="M15" s="6">
        <v>72.5</v>
      </c>
      <c r="N15" s="4" t="s">
        <v>168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72</v>
      </c>
      <c r="B16" s="4" t="s">
        <v>167</v>
      </c>
      <c r="C16" s="4">
        <v>2.0411454E7</v>
      </c>
      <c r="D16" s="4" t="s">
        <v>97</v>
      </c>
      <c r="E16" s="4" t="s">
        <v>98</v>
      </c>
      <c r="F16" s="4" t="str">
        <f t="shared" si="1"/>
        <v>Howard Gaurrich</v>
      </c>
      <c r="G16" s="4">
        <v>65620.0</v>
      </c>
      <c r="H16" s="4" t="str">
        <f t="shared" si="2"/>
        <v>65620OVR</v>
      </c>
      <c r="I16" s="5">
        <v>46143.0</v>
      </c>
      <c r="J16" s="5">
        <v>46150.0</v>
      </c>
      <c r="K16" s="4" t="s">
        <v>15</v>
      </c>
      <c r="L16" s="4" t="s">
        <v>67</v>
      </c>
      <c r="M16" s="6">
        <v>48.34</v>
      </c>
      <c r="N16" s="4" t="s">
        <v>168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21</v>
      </c>
      <c r="B17" s="4" t="s">
        <v>167</v>
      </c>
      <c r="C17" s="4">
        <v>2.0411454E7</v>
      </c>
      <c r="D17" s="4" t="s">
        <v>56</v>
      </c>
      <c r="E17" s="4" t="s">
        <v>57</v>
      </c>
      <c r="F17" s="4" t="str">
        <f t="shared" si="1"/>
        <v>Mark Bonaccorsi</v>
      </c>
      <c r="G17" s="4">
        <v>51270.0</v>
      </c>
      <c r="H17" s="4" t="str">
        <f t="shared" si="2"/>
        <v>51270OVR</v>
      </c>
      <c r="I17" s="5">
        <v>46143.0</v>
      </c>
      <c r="J17" s="5">
        <v>46150.0</v>
      </c>
      <c r="K17" s="4" t="s">
        <v>15</v>
      </c>
      <c r="L17" s="4" t="s">
        <v>67</v>
      </c>
      <c r="M17" s="6">
        <v>72.5</v>
      </c>
      <c r="N17" s="4" t="s">
        <v>168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124</v>
      </c>
      <c r="B18" s="4" t="s">
        <v>167</v>
      </c>
      <c r="C18" s="4">
        <v>2.0411454E7</v>
      </c>
      <c r="D18" s="4" t="s">
        <v>157</v>
      </c>
      <c r="E18" s="4" t="s">
        <v>158</v>
      </c>
      <c r="F18" s="4" t="str">
        <f t="shared" si="1"/>
        <v>Deanna Purvis</v>
      </c>
      <c r="G18" s="4">
        <v>64530.0</v>
      </c>
      <c r="H18" s="4" t="str">
        <f t="shared" si="2"/>
        <v>64530OVR</v>
      </c>
      <c r="I18" s="5">
        <v>46143.0</v>
      </c>
      <c r="J18" s="5">
        <v>46150.0</v>
      </c>
      <c r="K18" s="4" t="s">
        <v>15</v>
      </c>
      <c r="L18" s="4" t="s">
        <v>67</v>
      </c>
      <c r="M18" s="6">
        <v>48.34</v>
      </c>
      <c r="N18" s="4" t="s">
        <v>168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17</v>
      </c>
      <c r="B19" s="4" t="s">
        <v>167</v>
      </c>
      <c r="C19" s="4">
        <v>2.0411454E7</v>
      </c>
      <c r="D19" s="4" t="s">
        <v>41</v>
      </c>
      <c r="E19" s="4" t="s">
        <v>42</v>
      </c>
      <c r="F19" s="4" t="str">
        <f t="shared" si="1"/>
        <v>Jeffrey Wilbert</v>
      </c>
      <c r="G19" s="4">
        <v>53900.0</v>
      </c>
      <c r="H19" s="4" t="str">
        <f t="shared" si="2"/>
        <v>53900OVR</v>
      </c>
      <c r="I19" s="5">
        <v>46143.0</v>
      </c>
      <c r="J19" s="5">
        <v>46150.0</v>
      </c>
      <c r="K19" s="4" t="s">
        <v>15</v>
      </c>
      <c r="L19" s="4" t="s">
        <v>69</v>
      </c>
      <c r="M19" s="6">
        <v>-72.5</v>
      </c>
      <c r="N19" s="4" t="s">
        <v>168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21</v>
      </c>
      <c r="B20" s="4" t="s">
        <v>167</v>
      </c>
      <c r="C20" s="4">
        <v>2.0411454E7</v>
      </c>
      <c r="D20" s="4" t="s">
        <v>117</v>
      </c>
      <c r="E20" s="4" t="s">
        <v>118</v>
      </c>
      <c r="F20" s="4" t="str">
        <f t="shared" si="1"/>
        <v>Shirley Garner</v>
      </c>
      <c r="G20" s="4">
        <v>21370.0</v>
      </c>
      <c r="H20" s="4" t="str">
        <f t="shared" si="2"/>
        <v>21370OVR</v>
      </c>
      <c r="I20" s="5">
        <v>46023.0</v>
      </c>
      <c r="J20" s="5">
        <v>46150.0</v>
      </c>
      <c r="K20" s="4" t="s">
        <v>15</v>
      </c>
      <c r="L20" s="4" t="s">
        <v>120</v>
      </c>
      <c r="M20" s="6">
        <v>-81.56</v>
      </c>
      <c r="N20" s="4" t="s">
        <v>168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21</v>
      </c>
      <c r="B21" s="4" t="s">
        <v>167</v>
      </c>
      <c r="C21" s="4">
        <v>2.0411454E7</v>
      </c>
      <c r="D21" s="4" t="s">
        <v>59</v>
      </c>
      <c r="E21" s="4" t="s">
        <v>60</v>
      </c>
      <c r="F21" s="4" t="str">
        <f t="shared" si="1"/>
        <v>Samuel Ginsberg</v>
      </c>
      <c r="G21" s="4">
        <v>1960.0</v>
      </c>
      <c r="H21" s="4" t="str">
        <f t="shared" si="2"/>
        <v>1960OVR</v>
      </c>
      <c r="I21" s="5">
        <v>46082.0</v>
      </c>
      <c r="J21" s="5">
        <v>46150.0</v>
      </c>
      <c r="K21" s="4" t="s">
        <v>15</v>
      </c>
      <c r="L21" s="4" t="s">
        <v>116</v>
      </c>
      <c r="M21" s="6">
        <v>74.38</v>
      </c>
      <c r="N21" s="4" t="s">
        <v>168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11</v>
      </c>
      <c r="B22" s="4" t="s">
        <v>167</v>
      </c>
      <c r="C22" s="4">
        <v>2.0411454E7</v>
      </c>
      <c r="D22" s="4" t="s">
        <v>12</v>
      </c>
      <c r="E22" s="4" t="s">
        <v>13</v>
      </c>
      <c r="F22" s="4" t="str">
        <f t="shared" si="1"/>
        <v>George Holup</v>
      </c>
      <c r="G22" s="4">
        <v>41410.0</v>
      </c>
      <c r="H22" s="4" t="str">
        <f t="shared" si="2"/>
        <v>41410OVR</v>
      </c>
      <c r="I22" s="5">
        <v>46113.0</v>
      </c>
      <c r="J22" s="5">
        <v>46150.0</v>
      </c>
      <c r="K22" s="4" t="s">
        <v>15</v>
      </c>
      <c r="L22" s="4" t="s">
        <v>68</v>
      </c>
      <c r="M22" s="6">
        <v>83.44</v>
      </c>
      <c r="N22" s="4" t="s">
        <v>168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17</v>
      </c>
      <c r="B23" s="4" t="s">
        <v>167</v>
      </c>
      <c r="C23" s="4">
        <v>2.0411454E7</v>
      </c>
      <c r="D23" s="4" t="s">
        <v>18</v>
      </c>
      <c r="E23" s="4" t="s">
        <v>19</v>
      </c>
      <c r="F23" s="4" t="str">
        <f t="shared" si="1"/>
        <v>Paula Stohlberg</v>
      </c>
      <c r="G23" s="4">
        <v>56720.0</v>
      </c>
      <c r="H23" s="4" t="str">
        <f t="shared" si="2"/>
        <v>56720OVR</v>
      </c>
      <c r="I23" s="5">
        <v>46113.0</v>
      </c>
      <c r="J23" s="5">
        <v>46150.0</v>
      </c>
      <c r="K23" s="4" t="s">
        <v>15</v>
      </c>
      <c r="L23" s="4" t="s">
        <v>68</v>
      </c>
      <c r="M23" s="6">
        <v>83.44</v>
      </c>
      <c r="N23" s="4" t="s">
        <v>168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72</v>
      </c>
      <c r="B24" s="4" t="s">
        <v>167</v>
      </c>
      <c r="C24" s="4">
        <v>2.0411454E7</v>
      </c>
      <c r="D24" s="4" t="s">
        <v>104</v>
      </c>
      <c r="E24" s="4" t="s">
        <v>105</v>
      </c>
      <c r="F24" s="4" t="str">
        <f t="shared" si="1"/>
        <v>Selene Lorenz</v>
      </c>
      <c r="G24" s="4">
        <v>40200.0</v>
      </c>
      <c r="H24" s="4" t="str">
        <f t="shared" si="2"/>
        <v>40200OVR</v>
      </c>
      <c r="I24" s="5">
        <v>46113.0</v>
      </c>
      <c r="J24" s="5">
        <v>46150.0</v>
      </c>
      <c r="K24" s="4" t="s">
        <v>15</v>
      </c>
      <c r="L24" s="4" t="s">
        <v>68</v>
      </c>
      <c r="M24" s="6">
        <v>55.63</v>
      </c>
      <c r="N24" s="4" t="s">
        <v>168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72</v>
      </c>
      <c r="B25" s="4" t="s">
        <v>167</v>
      </c>
      <c r="C25" s="4">
        <v>2.0411454E7</v>
      </c>
      <c r="D25" s="4" t="s">
        <v>107</v>
      </c>
      <c r="E25" s="4" t="s">
        <v>108</v>
      </c>
      <c r="F25" s="4" t="str">
        <f t="shared" si="1"/>
        <v>Robert Zavacky</v>
      </c>
      <c r="G25" s="4">
        <v>52400.0</v>
      </c>
      <c r="H25" s="4" t="str">
        <f t="shared" si="2"/>
        <v>52400OVR</v>
      </c>
      <c r="I25" s="5">
        <v>46113.0</v>
      </c>
      <c r="J25" s="5">
        <v>46150.0</v>
      </c>
      <c r="K25" s="4" t="s">
        <v>15</v>
      </c>
      <c r="L25" s="4" t="s">
        <v>68</v>
      </c>
      <c r="M25" s="6">
        <v>55.63</v>
      </c>
      <c r="N25" s="4" t="s">
        <v>168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21</v>
      </c>
      <c r="B26" s="4" t="s">
        <v>167</v>
      </c>
      <c r="C26" s="4">
        <v>2.0411454E7</v>
      </c>
      <c r="D26" s="4" t="s">
        <v>22</v>
      </c>
      <c r="E26" s="4" t="s">
        <v>23</v>
      </c>
      <c r="F26" s="4" t="str">
        <f t="shared" si="1"/>
        <v>Vickilynn Ellis</v>
      </c>
      <c r="G26" s="4">
        <v>6280.0</v>
      </c>
      <c r="H26" s="4" t="str">
        <f t="shared" si="2"/>
        <v>6280OVR</v>
      </c>
      <c r="I26" s="5">
        <v>46113.0</v>
      </c>
      <c r="J26" s="5">
        <v>46150.0</v>
      </c>
      <c r="K26" s="4" t="s">
        <v>15</v>
      </c>
      <c r="L26" s="4" t="s">
        <v>68</v>
      </c>
      <c r="M26" s="6">
        <v>83.44</v>
      </c>
      <c r="N26" s="4" t="s">
        <v>168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25</v>
      </c>
      <c r="B27" s="4" t="s">
        <v>167</v>
      </c>
      <c r="C27" s="4">
        <v>2.0411454E7</v>
      </c>
      <c r="D27" s="4" t="s">
        <v>26</v>
      </c>
      <c r="E27" s="4" t="s">
        <v>27</v>
      </c>
      <c r="F27" s="4" t="str">
        <f t="shared" si="1"/>
        <v>Christopher Koller</v>
      </c>
      <c r="G27" s="4">
        <v>40070.0</v>
      </c>
      <c r="H27" s="4" t="str">
        <f t="shared" si="2"/>
        <v>40070OVR</v>
      </c>
      <c r="I27" s="5">
        <v>46113.0</v>
      </c>
      <c r="J27" s="5">
        <v>46150.0</v>
      </c>
      <c r="K27" s="4" t="s">
        <v>15</v>
      </c>
      <c r="L27" s="4" t="s">
        <v>68</v>
      </c>
      <c r="M27" s="6">
        <v>83.44</v>
      </c>
      <c r="N27" s="4" t="s">
        <v>168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124</v>
      </c>
      <c r="B28" s="4" t="s">
        <v>167</v>
      </c>
      <c r="C28" s="4">
        <v>2.0411454E7</v>
      </c>
      <c r="D28" s="4" t="s">
        <v>160</v>
      </c>
      <c r="E28" s="4" t="s">
        <v>161</v>
      </c>
      <c r="F28" s="4" t="str">
        <f t="shared" si="1"/>
        <v>Matthew Nestler</v>
      </c>
      <c r="G28" s="4">
        <v>45830.0</v>
      </c>
      <c r="H28" s="4" t="str">
        <f t="shared" si="2"/>
        <v>45830OVR</v>
      </c>
      <c r="I28" s="5">
        <v>46113.0</v>
      </c>
      <c r="J28" s="5">
        <v>46150.0</v>
      </c>
      <c r="K28" s="4" t="s">
        <v>15</v>
      </c>
      <c r="L28" s="4" t="s">
        <v>68</v>
      </c>
      <c r="M28" s="6">
        <v>55.63</v>
      </c>
      <c r="N28" s="4" t="s">
        <v>168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124</v>
      </c>
      <c r="B29" s="4" t="s">
        <v>167</v>
      </c>
      <c r="C29" s="4">
        <v>2.0411454E7</v>
      </c>
      <c r="D29" s="4" t="s">
        <v>77</v>
      </c>
      <c r="E29" s="4" t="s">
        <v>163</v>
      </c>
      <c r="F29" s="4" t="str">
        <f t="shared" si="1"/>
        <v>Steven Smith</v>
      </c>
      <c r="G29" s="4">
        <v>30800.0</v>
      </c>
      <c r="H29" s="4" t="str">
        <f t="shared" si="2"/>
        <v>30800OVR</v>
      </c>
      <c r="I29" s="5">
        <v>46113.0</v>
      </c>
      <c r="J29" s="5">
        <v>46150.0</v>
      </c>
      <c r="K29" s="4" t="s">
        <v>15</v>
      </c>
      <c r="L29" s="4" t="s">
        <v>68</v>
      </c>
      <c r="M29" s="6">
        <v>55.63</v>
      </c>
      <c r="N29" s="4" t="s">
        <v>168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124</v>
      </c>
      <c r="B30" s="4" t="s">
        <v>167</v>
      </c>
      <c r="C30" s="4">
        <v>2.0411454E7</v>
      </c>
      <c r="D30" s="4" t="s">
        <v>41</v>
      </c>
      <c r="E30" s="4" t="s">
        <v>165</v>
      </c>
      <c r="F30" s="4" t="str">
        <f t="shared" si="1"/>
        <v>Jeffrey Braun</v>
      </c>
      <c r="G30" s="4">
        <v>41270.0</v>
      </c>
      <c r="H30" s="4" t="str">
        <f t="shared" si="2"/>
        <v>41270OVR</v>
      </c>
      <c r="I30" s="5">
        <v>46113.0</v>
      </c>
      <c r="J30" s="5">
        <v>46150.0</v>
      </c>
      <c r="K30" s="4" t="s">
        <v>15</v>
      </c>
      <c r="L30" s="4" t="s">
        <v>68</v>
      </c>
      <c r="M30" s="6">
        <v>55.63</v>
      </c>
      <c r="N30" s="4" t="s">
        <v>168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17</v>
      </c>
      <c r="B31" s="4" t="s">
        <v>167</v>
      </c>
      <c r="C31" s="4">
        <v>2.0411454E7</v>
      </c>
      <c r="D31" s="4" t="s">
        <v>49</v>
      </c>
      <c r="E31" s="4" t="s">
        <v>50</v>
      </c>
      <c r="F31" s="4" t="str">
        <f t="shared" si="1"/>
        <v>Douglas Waxler</v>
      </c>
      <c r="G31" s="4">
        <v>36470.0</v>
      </c>
      <c r="H31" s="4" t="str">
        <f t="shared" si="2"/>
        <v>36470OVR</v>
      </c>
      <c r="I31" s="5">
        <v>46143.0</v>
      </c>
      <c r="J31" s="5">
        <v>46150.0</v>
      </c>
      <c r="K31" s="4" t="s">
        <v>15</v>
      </c>
      <c r="L31" s="4" t="s">
        <v>71</v>
      </c>
      <c r="M31" s="6">
        <v>92.5</v>
      </c>
      <c r="N31" s="4" t="s">
        <v>168</v>
      </c>
      <c r="O31" s="4"/>
      <c r="P31" s="6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72</v>
      </c>
      <c r="B32" s="4" t="s">
        <v>167</v>
      </c>
      <c r="C32" s="4">
        <v>2.0411454E7</v>
      </c>
      <c r="D32" s="4" t="s">
        <v>85</v>
      </c>
      <c r="E32" s="4" t="s">
        <v>86</v>
      </c>
      <c r="F32" s="4" t="str">
        <f t="shared" si="1"/>
        <v>Diane Mullinary</v>
      </c>
      <c r="G32" s="4">
        <v>87560.0</v>
      </c>
      <c r="H32" s="4" t="str">
        <f t="shared" si="2"/>
        <v>87560OVR</v>
      </c>
      <c r="I32" s="5">
        <v>46143.0</v>
      </c>
      <c r="J32" s="5">
        <v>46150.0</v>
      </c>
      <c r="K32" s="4" t="s">
        <v>15</v>
      </c>
      <c r="L32" s="4" t="s">
        <v>71</v>
      </c>
      <c r="M32" s="6">
        <v>61.67</v>
      </c>
      <c r="N32" s="4" t="s">
        <v>168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72</v>
      </c>
      <c r="B33" s="4" t="s">
        <v>167</v>
      </c>
      <c r="C33" s="4">
        <v>2.0411454E7</v>
      </c>
      <c r="D33" s="4" t="s">
        <v>88</v>
      </c>
      <c r="E33" s="4" t="s">
        <v>89</v>
      </c>
      <c r="F33" s="4" t="str">
        <f t="shared" si="1"/>
        <v>Sandra Binder</v>
      </c>
      <c r="G33" s="4">
        <v>32210.0</v>
      </c>
      <c r="H33" s="4" t="str">
        <f t="shared" si="2"/>
        <v>32210OVR</v>
      </c>
      <c r="I33" s="5">
        <v>46143.0</v>
      </c>
      <c r="J33" s="5">
        <v>46150.0</v>
      </c>
      <c r="K33" s="4" t="s">
        <v>15</v>
      </c>
      <c r="L33" s="4" t="s">
        <v>71</v>
      </c>
      <c r="M33" s="6">
        <v>61.67</v>
      </c>
      <c r="N33" s="4" t="s">
        <v>168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72</v>
      </c>
      <c r="B34" s="4" t="s">
        <v>167</v>
      </c>
      <c r="C34" s="4">
        <v>2.0411454E7</v>
      </c>
      <c r="D34" s="4" t="s">
        <v>91</v>
      </c>
      <c r="E34" s="4" t="s">
        <v>92</v>
      </c>
      <c r="F34" s="4" t="str">
        <f t="shared" si="1"/>
        <v>David Wright</v>
      </c>
      <c r="G34" s="4">
        <v>35560.0</v>
      </c>
      <c r="H34" s="4" t="str">
        <f t="shared" si="2"/>
        <v>35560OVR</v>
      </c>
      <c r="I34" s="5">
        <v>46143.0</v>
      </c>
      <c r="J34" s="5">
        <v>46150.0</v>
      </c>
      <c r="K34" s="4" t="s">
        <v>15</v>
      </c>
      <c r="L34" s="4" t="s">
        <v>71</v>
      </c>
      <c r="M34" s="6">
        <v>61.67</v>
      </c>
      <c r="N34" s="4" t="s">
        <v>168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72</v>
      </c>
      <c r="B35" s="4" t="s">
        <v>167</v>
      </c>
      <c r="C35" s="4">
        <v>2.0411454E7</v>
      </c>
      <c r="D35" s="4" t="s">
        <v>94</v>
      </c>
      <c r="E35" s="4" t="s">
        <v>95</v>
      </c>
      <c r="F35" s="4" t="str">
        <f t="shared" si="1"/>
        <v>Lynn Heffley</v>
      </c>
      <c r="G35" s="4">
        <v>52150.0</v>
      </c>
      <c r="H35" s="4" t="str">
        <f t="shared" si="2"/>
        <v>52150OVR</v>
      </c>
      <c r="I35" s="5">
        <v>46143.0</v>
      </c>
      <c r="J35" s="5">
        <v>46150.0</v>
      </c>
      <c r="K35" s="4" t="s">
        <v>15</v>
      </c>
      <c r="L35" s="4" t="s">
        <v>71</v>
      </c>
      <c r="M35" s="6">
        <v>61.67</v>
      </c>
      <c r="N35" s="4" t="s">
        <v>168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124</v>
      </c>
      <c r="B36" s="4" t="s">
        <v>167</v>
      </c>
      <c r="C36" s="4">
        <v>2.0411454E7</v>
      </c>
      <c r="D36" s="4" t="s">
        <v>145</v>
      </c>
      <c r="E36" s="4" t="s">
        <v>146</v>
      </c>
      <c r="F36" s="4" t="str">
        <f t="shared" si="1"/>
        <v>Deborah Miller</v>
      </c>
      <c r="G36" s="4">
        <v>73320.0</v>
      </c>
      <c r="H36" s="4" t="str">
        <f t="shared" si="2"/>
        <v>73320OVR</v>
      </c>
      <c r="I36" s="5">
        <v>46143.0</v>
      </c>
      <c r="J36" s="5">
        <v>46150.0</v>
      </c>
      <c r="K36" s="4" t="s">
        <v>15</v>
      </c>
      <c r="L36" s="4" t="s">
        <v>71</v>
      </c>
      <c r="M36" s="6">
        <v>61.67</v>
      </c>
      <c r="N36" s="4" t="s">
        <v>168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124</v>
      </c>
      <c r="B37" s="4" t="s">
        <v>167</v>
      </c>
      <c r="C37" s="4">
        <v>2.0411454E7</v>
      </c>
      <c r="D37" s="4" t="s">
        <v>148</v>
      </c>
      <c r="E37" s="4" t="s">
        <v>149</v>
      </c>
      <c r="F37" s="4" t="str">
        <f t="shared" si="1"/>
        <v>Joseph Kuntz</v>
      </c>
      <c r="G37" s="4">
        <v>35290.0</v>
      </c>
      <c r="H37" s="4" t="str">
        <f t="shared" si="2"/>
        <v>35290OVR</v>
      </c>
      <c r="I37" s="5">
        <v>46143.0</v>
      </c>
      <c r="J37" s="5">
        <v>46150.0</v>
      </c>
      <c r="K37" s="4" t="s">
        <v>15</v>
      </c>
      <c r="L37" s="4" t="s">
        <v>71</v>
      </c>
      <c r="M37" s="6">
        <v>61.67</v>
      </c>
      <c r="N37" s="4" t="s">
        <v>168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124</v>
      </c>
      <c r="B38" s="4" t="s">
        <v>167</v>
      </c>
      <c r="C38" s="4">
        <v>2.0411454E7</v>
      </c>
      <c r="D38" s="4" t="s">
        <v>151</v>
      </c>
      <c r="E38" s="4" t="s">
        <v>152</v>
      </c>
      <c r="F38" s="4" t="str">
        <f t="shared" si="1"/>
        <v>Joanne Hetherington</v>
      </c>
      <c r="G38" s="4">
        <v>35650.0</v>
      </c>
      <c r="H38" s="4" t="str">
        <f t="shared" si="2"/>
        <v>35650OVR</v>
      </c>
      <c r="I38" s="5">
        <v>46143.0</v>
      </c>
      <c r="J38" s="5">
        <v>46150.0</v>
      </c>
      <c r="K38" s="4" t="s">
        <v>15</v>
      </c>
      <c r="L38" s="4" t="s">
        <v>71</v>
      </c>
      <c r="M38" s="6">
        <v>61.67</v>
      </c>
      <c r="N38" s="4" t="s">
        <v>168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124</v>
      </c>
      <c r="B39" s="4" t="s">
        <v>167</v>
      </c>
      <c r="C39" s="4">
        <v>2.0411454E7</v>
      </c>
      <c r="D39" s="4" t="s">
        <v>154</v>
      </c>
      <c r="E39" s="4" t="s">
        <v>155</v>
      </c>
      <c r="F39" s="4" t="str">
        <f t="shared" si="1"/>
        <v>Emelina Swaney</v>
      </c>
      <c r="G39" s="4">
        <v>42100.0</v>
      </c>
      <c r="H39" s="4" t="str">
        <f t="shared" si="2"/>
        <v>42100OVR</v>
      </c>
      <c r="I39" s="5">
        <v>46143.0</v>
      </c>
      <c r="J39" s="5">
        <v>46150.0</v>
      </c>
      <c r="K39" s="4" t="s">
        <v>15</v>
      </c>
      <c r="L39" s="4" t="s">
        <v>71</v>
      </c>
      <c r="M39" s="6">
        <v>61.67</v>
      </c>
      <c r="N39" s="4" t="s">
        <v>168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72</v>
      </c>
      <c r="B40" s="4" t="s">
        <v>167</v>
      </c>
      <c r="C40" s="4">
        <v>2.0411454E7</v>
      </c>
      <c r="D40" s="4" t="s">
        <v>77</v>
      </c>
      <c r="E40" s="4" t="s">
        <v>78</v>
      </c>
      <c r="F40" s="4" t="str">
        <f t="shared" si="1"/>
        <v>Steven Draper</v>
      </c>
      <c r="G40" s="4">
        <v>41400.0</v>
      </c>
      <c r="H40" s="4" t="str">
        <f t="shared" si="2"/>
        <v>41400OVR</v>
      </c>
      <c r="I40" s="5">
        <v>46174.0</v>
      </c>
      <c r="J40" s="5">
        <v>46150.0</v>
      </c>
      <c r="K40" s="4" t="s">
        <v>15</v>
      </c>
      <c r="L40" s="4" t="s">
        <v>80</v>
      </c>
      <c r="M40" s="6">
        <v>67.71</v>
      </c>
      <c r="N40" s="4" t="s">
        <v>168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124</v>
      </c>
      <c r="B41" s="4" t="s">
        <v>167</v>
      </c>
      <c r="C41" s="4">
        <v>2.0411454E7</v>
      </c>
      <c r="D41" s="4" t="s">
        <v>128</v>
      </c>
      <c r="E41" s="4" t="s">
        <v>129</v>
      </c>
      <c r="F41" s="4" t="str">
        <f t="shared" si="1"/>
        <v>Felicia Tomaswick</v>
      </c>
      <c r="G41" s="4">
        <v>5650.0</v>
      </c>
      <c r="H41" s="4" t="str">
        <f t="shared" si="2"/>
        <v>5650OVR</v>
      </c>
      <c r="I41" s="5">
        <v>46174.0</v>
      </c>
      <c r="J41" s="5">
        <v>46150.0</v>
      </c>
      <c r="K41" s="4" t="s">
        <v>15</v>
      </c>
      <c r="L41" s="4" t="s">
        <v>80</v>
      </c>
      <c r="M41" s="6">
        <v>67.71</v>
      </c>
      <c r="N41" s="4" t="s">
        <v>168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124</v>
      </c>
      <c r="B42" s="4" t="s">
        <v>167</v>
      </c>
      <c r="C42" s="4">
        <v>2.0411454E7</v>
      </c>
      <c r="D42" s="4" t="s">
        <v>131</v>
      </c>
      <c r="E42" s="4" t="s">
        <v>132</v>
      </c>
      <c r="F42" s="4" t="str">
        <f t="shared" si="1"/>
        <v>Jenny Flanagan</v>
      </c>
      <c r="G42" s="4">
        <v>36490.0</v>
      </c>
      <c r="H42" s="4" t="str">
        <f t="shared" si="2"/>
        <v>36490OVR</v>
      </c>
      <c r="I42" s="5">
        <v>46174.0</v>
      </c>
      <c r="J42" s="5">
        <v>46150.0</v>
      </c>
      <c r="K42" s="4" t="s">
        <v>15</v>
      </c>
      <c r="L42" s="4" t="s">
        <v>80</v>
      </c>
      <c r="M42" s="6">
        <v>67.71</v>
      </c>
      <c r="N42" s="4" t="s">
        <v>168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124</v>
      </c>
      <c r="B43" s="4" t="s">
        <v>167</v>
      </c>
      <c r="C43" s="4">
        <v>2.0411454E7</v>
      </c>
      <c r="D43" s="4" t="s">
        <v>91</v>
      </c>
      <c r="E43" s="4" t="s">
        <v>134</v>
      </c>
      <c r="F43" s="4" t="str">
        <f t="shared" si="1"/>
        <v>David Fountain</v>
      </c>
      <c r="G43" s="4">
        <v>71100.0</v>
      </c>
      <c r="H43" s="4" t="str">
        <f t="shared" si="2"/>
        <v>71100OVR</v>
      </c>
      <c r="I43" s="5">
        <v>46174.0</v>
      </c>
      <c r="J43" s="5">
        <v>46150.0</v>
      </c>
      <c r="K43" s="4" t="s">
        <v>15</v>
      </c>
      <c r="L43" s="4" t="s">
        <v>80</v>
      </c>
      <c r="M43" s="6">
        <v>67.71</v>
      </c>
      <c r="N43" s="4" t="s">
        <v>168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124</v>
      </c>
      <c r="B44" s="4" t="s">
        <v>167</v>
      </c>
      <c r="C44" s="4">
        <v>2.0411454E7</v>
      </c>
      <c r="D44" s="4" t="s">
        <v>136</v>
      </c>
      <c r="E44" s="4" t="s">
        <v>137</v>
      </c>
      <c r="F44" s="4" t="str">
        <f t="shared" si="1"/>
        <v>Shawn Kiser</v>
      </c>
      <c r="G44" s="4">
        <v>34920.0</v>
      </c>
      <c r="H44" s="4" t="str">
        <f t="shared" si="2"/>
        <v>34920OVR</v>
      </c>
      <c r="I44" s="5">
        <v>46174.0</v>
      </c>
      <c r="J44" s="5">
        <v>46150.0</v>
      </c>
      <c r="K44" s="4" t="s">
        <v>15</v>
      </c>
      <c r="L44" s="4" t="s">
        <v>80</v>
      </c>
      <c r="M44" s="6">
        <v>67.71</v>
      </c>
      <c r="N44" s="4" t="s">
        <v>168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" t="s">
        <v>21</v>
      </c>
      <c r="B45" s="7" t="s">
        <v>21</v>
      </c>
      <c r="C45" s="7" t="s">
        <v>169</v>
      </c>
      <c r="D45" s="7" t="s">
        <v>63</v>
      </c>
      <c r="E45" s="7" t="s">
        <v>64</v>
      </c>
      <c r="F45" s="7" t="str">
        <f t="shared" si="1"/>
        <v>Janice Kendall</v>
      </c>
      <c r="G45" s="7">
        <v>20220.0</v>
      </c>
      <c r="H45" s="7" t="str">
        <f>CONCATENATE(G45,55)</f>
        <v>2022055</v>
      </c>
      <c r="I45" s="2">
        <v>45992.0</v>
      </c>
      <c r="J45" s="2">
        <v>46150.0</v>
      </c>
      <c r="K45" s="7" t="s">
        <v>15</v>
      </c>
      <c r="L45" s="7" t="s">
        <v>66</v>
      </c>
      <c r="M45" s="3">
        <v>-353.0</v>
      </c>
      <c r="N45" s="7" t="s">
        <v>170</v>
      </c>
      <c r="O45" s="7" t="s">
        <v>171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 t="s">
        <v>17</v>
      </c>
      <c r="B46" s="8" t="s">
        <v>17</v>
      </c>
      <c r="C46" s="8" t="s">
        <v>172</v>
      </c>
      <c r="D46" s="8" t="s">
        <v>18</v>
      </c>
      <c r="E46" s="8" t="s">
        <v>19</v>
      </c>
      <c r="F46" s="8" t="str">
        <f t="shared" si="1"/>
        <v>Paula Stohlberg</v>
      </c>
      <c r="G46" s="8">
        <v>56720.0</v>
      </c>
      <c r="H46" s="8" t="str">
        <f t="shared" ref="H46:H47" si="3">CONCATENATE(G46,75)</f>
        <v>5672075</v>
      </c>
      <c r="I46" s="9">
        <v>46113.0</v>
      </c>
      <c r="J46" s="9">
        <v>46150.0</v>
      </c>
      <c r="K46" s="8" t="s">
        <v>15</v>
      </c>
      <c r="L46" s="8" t="s">
        <v>16</v>
      </c>
      <c r="M46" s="10">
        <v>705.0</v>
      </c>
      <c r="N46" s="8" t="s">
        <v>173</v>
      </c>
      <c r="O46" s="8" t="s">
        <v>174</v>
      </c>
      <c r="P46" s="8"/>
      <c r="Q46" s="8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 t="s">
        <v>17</v>
      </c>
      <c r="B47" s="8" t="s">
        <v>17</v>
      </c>
      <c r="C47" s="8" t="s">
        <v>172</v>
      </c>
      <c r="D47" s="8" t="s">
        <v>49</v>
      </c>
      <c r="E47" s="8" t="s">
        <v>50</v>
      </c>
      <c r="F47" s="8" t="str">
        <f t="shared" si="1"/>
        <v>Douglas Waxler</v>
      </c>
      <c r="G47" s="8">
        <v>36470.0</v>
      </c>
      <c r="H47" s="8" t="str">
        <f t="shared" si="3"/>
        <v>3647075</v>
      </c>
      <c r="I47" s="9">
        <v>46143.0</v>
      </c>
      <c r="J47" s="9">
        <v>46150.0</v>
      </c>
      <c r="K47" s="8" t="s">
        <v>15</v>
      </c>
      <c r="L47" s="8" t="s">
        <v>52</v>
      </c>
      <c r="M47" s="10">
        <v>705.0</v>
      </c>
      <c r="N47" s="8" t="s">
        <v>173</v>
      </c>
      <c r="O47" s="8" t="s">
        <v>174</v>
      </c>
      <c r="P47" s="8"/>
      <c r="Q47" s="8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17</v>
      </c>
      <c r="B48" s="7" t="s">
        <v>17</v>
      </c>
      <c r="C48" s="7" t="s">
        <v>172</v>
      </c>
      <c r="D48" s="7" t="s">
        <v>45</v>
      </c>
      <c r="E48" s="7" t="s">
        <v>46</v>
      </c>
      <c r="F48" s="7" t="str">
        <f t="shared" si="1"/>
        <v>Lisa Worms</v>
      </c>
      <c r="G48" s="7">
        <v>14260.0</v>
      </c>
      <c r="H48" s="7" t="str">
        <f t="shared" ref="H48:H52" si="4">CONCATENATE(G48,55)</f>
        <v>1426055</v>
      </c>
      <c r="I48" s="2">
        <v>46204.0</v>
      </c>
      <c r="J48" s="2">
        <v>46150.0</v>
      </c>
      <c r="K48" s="7" t="s">
        <v>15</v>
      </c>
      <c r="L48" s="7" t="s">
        <v>48</v>
      </c>
      <c r="M48" s="3">
        <v>176.5</v>
      </c>
      <c r="N48" s="7" t="s">
        <v>170</v>
      </c>
      <c r="O48" s="7" t="s">
        <v>175</v>
      </c>
      <c r="P48" s="7">
        <f>353/12*6</f>
        <v>176.5</v>
      </c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17</v>
      </c>
      <c r="B49" s="7" t="s">
        <v>17</v>
      </c>
      <c r="C49" s="7" t="s">
        <v>172</v>
      </c>
      <c r="D49" s="7" t="s">
        <v>53</v>
      </c>
      <c r="E49" s="7" t="s">
        <v>54</v>
      </c>
      <c r="F49" s="7" t="str">
        <f t="shared" si="1"/>
        <v>April Brutt</v>
      </c>
      <c r="G49" s="7">
        <v>64730.0</v>
      </c>
      <c r="H49" s="7" t="str">
        <f t="shared" si="4"/>
        <v>6473055</v>
      </c>
      <c r="I49" s="2">
        <v>46143.0</v>
      </c>
      <c r="J49" s="2">
        <v>46150.0</v>
      </c>
      <c r="K49" s="7" t="s">
        <v>15</v>
      </c>
      <c r="L49" s="7" t="s">
        <v>40</v>
      </c>
      <c r="M49" s="3">
        <v>235.33</v>
      </c>
      <c r="N49" s="7" t="s">
        <v>170</v>
      </c>
      <c r="O49" s="7" t="s">
        <v>176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17</v>
      </c>
      <c r="B50" s="7" t="s">
        <v>17</v>
      </c>
      <c r="C50" s="7" t="s">
        <v>172</v>
      </c>
      <c r="D50" s="7" t="s">
        <v>41</v>
      </c>
      <c r="E50" s="7" t="s">
        <v>42</v>
      </c>
      <c r="F50" s="7" t="str">
        <f t="shared" si="1"/>
        <v>Jeffrey Wilbert</v>
      </c>
      <c r="G50" s="7">
        <v>53900.0</v>
      </c>
      <c r="H50" s="7" t="str">
        <f t="shared" si="4"/>
        <v>5390055</v>
      </c>
      <c r="I50" s="2">
        <v>46143.0</v>
      </c>
      <c r="J50" s="2">
        <v>46150.0</v>
      </c>
      <c r="K50" s="7" t="s">
        <v>15</v>
      </c>
      <c r="L50" s="7" t="s">
        <v>44</v>
      </c>
      <c r="M50" s="3">
        <v>-235.33</v>
      </c>
      <c r="N50" s="7" t="s">
        <v>170</v>
      </c>
      <c r="O50" s="7" t="s">
        <v>176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" t="s">
        <v>17</v>
      </c>
      <c r="B51" s="8" t="s">
        <v>17</v>
      </c>
      <c r="C51" s="8" t="s">
        <v>172</v>
      </c>
      <c r="D51" s="8" t="s">
        <v>18</v>
      </c>
      <c r="E51" s="8" t="s">
        <v>19</v>
      </c>
      <c r="F51" s="8" t="str">
        <f t="shared" si="1"/>
        <v>Paula Stohlberg</v>
      </c>
      <c r="G51" s="8">
        <v>56720.0</v>
      </c>
      <c r="H51" s="8" t="str">
        <f t="shared" si="4"/>
        <v>5672055</v>
      </c>
      <c r="I51" s="9">
        <v>46113.0</v>
      </c>
      <c r="J51" s="9">
        <v>46150.0</v>
      </c>
      <c r="K51" s="8" t="s">
        <v>15</v>
      </c>
      <c r="L51" s="8" t="s">
        <v>16</v>
      </c>
      <c r="M51" s="10">
        <v>-264.75</v>
      </c>
      <c r="N51" s="8" t="s">
        <v>170</v>
      </c>
      <c r="O51" s="8" t="s">
        <v>177</v>
      </c>
      <c r="P51" s="8"/>
      <c r="Q51" s="8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 t="s">
        <v>17</v>
      </c>
      <c r="B52" s="8" t="s">
        <v>17</v>
      </c>
      <c r="C52" s="8" t="s">
        <v>172</v>
      </c>
      <c r="D52" s="8" t="s">
        <v>49</v>
      </c>
      <c r="E52" s="8" t="s">
        <v>50</v>
      </c>
      <c r="F52" s="8" t="str">
        <f t="shared" si="1"/>
        <v>Douglas Waxler</v>
      </c>
      <c r="G52" s="8">
        <v>36470.0</v>
      </c>
      <c r="H52" s="8" t="str">
        <f t="shared" si="4"/>
        <v>3647055</v>
      </c>
      <c r="I52" s="9">
        <v>46143.0</v>
      </c>
      <c r="J52" s="9">
        <v>46150.0</v>
      </c>
      <c r="K52" s="8" t="s">
        <v>15</v>
      </c>
      <c r="L52" s="8" t="s">
        <v>52</v>
      </c>
      <c r="M52" s="10">
        <v>-235.33</v>
      </c>
      <c r="N52" s="8" t="s">
        <v>170</v>
      </c>
      <c r="O52" s="8" t="s">
        <v>176</v>
      </c>
      <c r="P52" s="8">
        <v>235.33</v>
      </c>
      <c r="Q52" s="8">
        <v>469.67</v>
      </c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 t="s">
        <v>21</v>
      </c>
      <c r="B53" s="8" t="s">
        <v>21</v>
      </c>
      <c r="C53" s="8">
        <v>1.871007E7</v>
      </c>
      <c r="D53" s="8" t="s">
        <v>59</v>
      </c>
      <c r="E53" s="8" t="s">
        <v>60</v>
      </c>
      <c r="F53" s="8" t="str">
        <f t="shared" si="1"/>
        <v>Samuel Ginsberg</v>
      </c>
      <c r="G53" s="8">
        <v>1960.0</v>
      </c>
      <c r="H53" s="8" t="str">
        <f t="shared" ref="H53:H54" si="5">CONCATENATE(G53,75)</f>
        <v>196075</v>
      </c>
      <c r="I53" s="9">
        <v>46082.0</v>
      </c>
      <c r="J53" s="9">
        <v>46150.0</v>
      </c>
      <c r="K53" s="8" t="s">
        <v>15</v>
      </c>
      <c r="L53" s="8" t="s">
        <v>62</v>
      </c>
      <c r="M53" s="10">
        <v>705.0</v>
      </c>
      <c r="N53" s="8" t="s">
        <v>173</v>
      </c>
      <c r="O53" s="8" t="s">
        <v>174</v>
      </c>
      <c r="P53" s="8">
        <v>294.16</v>
      </c>
      <c r="Q53" s="8">
        <v>410.83</v>
      </c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 t="s">
        <v>21</v>
      </c>
      <c r="B54" s="8" t="s">
        <v>21</v>
      </c>
      <c r="C54" s="8">
        <v>1.871007E7</v>
      </c>
      <c r="D54" s="8" t="s">
        <v>22</v>
      </c>
      <c r="E54" s="8" t="s">
        <v>23</v>
      </c>
      <c r="F54" s="8" t="str">
        <f t="shared" si="1"/>
        <v>Vickilynn Ellis</v>
      </c>
      <c r="G54" s="8">
        <v>6280.0</v>
      </c>
      <c r="H54" s="8" t="str">
        <f t="shared" si="5"/>
        <v>628075</v>
      </c>
      <c r="I54" s="9">
        <v>46113.0</v>
      </c>
      <c r="J54" s="9">
        <v>46150.0</v>
      </c>
      <c r="K54" s="8" t="s">
        <v>15</v>
      </c>
      <c r="L54" s="8" t="s">
        <v>16</v>
      </c>
      <c r="M54" s="10">
        <v>705.0</v>
      </c>
      <c r="N54" s="8" t="s">
        <v>173</v>
      </c>
      <c r="O54" s="8" t="s">
        <v>174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" t="s">
        <v>21</v>
      </c>
      <c r="B55" s="7" t="s">
        <v>21</v>
      </c>
      <c r="C55" s="7" t="s">
        <v>169</v>
      </c>
      <c r="D55" s="7" t="s">
        <v>29</v>
      </c>
      <c r="E55" s="7" t="s">
        <v>30</v>
      </c>
      <c r="F55" s="7" t="str">
        <f t="shared" si="1"/>
        <v>Martha Tapia Solorio</v>
      </c>
      <c r="G55" s="7">
        <v>19030.0</v>
      </c>
      <c r="H55" s="7" t="str">
        <f t="shared" ref="H55:H58" si="6">CONCATENATE(G55,55)</f>
        <v>1903055</v>
      </c>
      <c r="I55" s="2">
        <v>45839.0</v>
      </c>
      <c r="J55" s="2">
        <v>46150.0</v>
      </c>
      <c r="K55" s="7" t="s">
        <v>15</v>
      </c>
      <c r="L55" s="7" t="s">
        <v>32</v>
      </c>
      <c r="M55" s="3">
        <v>117.66</v>
      </c>
      <c r="N55" s="7" t="s">
        <v>170</v>
      </c>
      <c r="O55" s="7" t="s">
        <v>178</v>
      </c>
      <c r="P55" s="7">
        <f>353/12*4</f>
        <v>117.6666667</v>
      </c>
      <c r="Q55" s="7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7" t="s">
        <v>21</v>
      </c>
      <c r="B56" s="7" t="s">
        <v>21</v>
      </c>
      <c r="C56" s="7" t="s">
        <v>169</v>
      </c>
      <c r="D56" s="7" t="s">
        <v>56</v>
      </c>
      <c r="E56" s="7" t="s">
        <v>57</v>
      </c>
      <c r="F56" s="7" t="str">
        <f t="shared" si="1"/>
        <v>Mark Bonaccorsi</v>
      </c>
      <c r="G56" s="7">
        <v>51270.0</v>
      </c>
      <c r="H56" s="7" t="str">
        <f t="shared" si="6"/>
        <v>5127055</v>
      </c>
      <c r="I56" s="2">
        <v>46143.0</v>
      </c>
      <c r="J56" s="2">
        <v>46150.0</v>
      </c>
      <c r="K56" s="7" t="s">
        <v>15</v>
      </c>
      <c r="L56" s="7" t="s">
        <v>40</v>
      </c>
      <c r="M56" s="3">
        <v>235.33</v>
      </c>
      <c r="N56" s="7" t="s">
        <v>170</v>
      </c>
      <c r="O56" s="7" t="s">
        <v>176</v>
      </c>
      <c r="P56" s="7"/>
      <c r="Q56" s="7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 t="s">
        <v>21</v>
      </c>
      <c r="B57" s="8" t="s">
        <v>21</v>
      </c>
      <c r="C57" s="8" t="s">
        <v>169</v>
      </c>
      <c r="D57" s="8" t="s">
        <v>59</v>
      </c>
      <c r="E57" s="8" t="s">
        <v>60</v>
      </c>
      <c r="F57" s="8" t="str">
        <f t="shared" si="1"/>
        <v>Samuel Ginsberg</v>
      </c>
      <c r="G57" s="8">
        <v>1960.0</v>
      </c>
      <c r="H57" s="8" t="str">
        <f t="shared" si="6"/>
        <v>196055</v>
      </c>
      <c r="I57" s="9">
        <v>46082.0</v>
      </c>
      <c r="J57" s="9">
        <v>46150.0</v>
      </c>
      <c r="K57" s="8" t="s">
        <v>15</v>
      </c>
      <c r="L57" s="8" t="s">
        <v>62</v>
      </c>
      <c r="M57" s="10">
        <v>-294.16</v>
      </c>
      <c r="N57" s="8" t="s">
        <v>170</v>
      </c>
      <c r="O57" s="8" t="s">
        <v>179</v>
      </c>
      <c r="P57" s="8">
        <v>294.16</v>
      </c>
      <c r="Q57" s="8">
        <v>410.83</v>
      </c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 t="s">
        <v>21</v>
      </c>
      <c r="B58" s="8" t="s">
        <v>21</v>
      </c>
      <c r="C58" s="8" t="s">
        <v>169</v>
      </c>
      <c r="D58" s="8" t="s">
        <v>22</v>
      </c>
      <c r="E58" s="8" t="s">
        <v>23</v>
      </c>
      <c r="F58" s="8" t="str">
        <f t="shared" si="1"/>
        <v>Vickilynn Ellis</v>
      </c>
      <c r="G58" s="8">
        <v>6280.0</v>
      </c>
      <c r="H58" s="8" t="str">
        <f t="shared" si="6"/>
        <v>628055</v>
      </c>
      <c r="I58" s="9">
        <v>46113.0</v>
      </c>
      <c r="J58" s="9">
        <v>46150.0</v>
      </c>
      <c r="K58" s="8" t="s">
        <v>15</v>
      </c>
      <c r="L58" s="8" t="s">
        <v>16</v>
      </c>
      <c r="M58" s="10">
        <v>-264.75</v>
      </c>
      <c r="N58" s="8" t="s">
        <v>170</v>
      </c>
      <c r="O58" s="8" t="s">
        <v>177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 t="s">
        <v>25</v>
      </c>
      <c r="B59" s="8" t="s">
        <v>25</v>
      </c>
      <c r="C59" s="8">
        <v>1.879474E7</v>
      </c>
      <c r="D59" s="8" t="s">
        <v>26</v>
      </c>
      <c r="E59" s="8" t="s">
        <v>27</v>
      </c>
      <c r="F59" s="8" t="str">
        <f t="shared" si="1"/>
        <v>Christopher Koller</v>
      </c>
      <c r="G59" s="8">
        <v>40070.0</v>
      </c>
      <c r="H59" s="8" t="str">
        <f>CONCATENATE(G59,75)</f>
        <v>4007075</v>
      </c>
      <c r="I59" s="9">
        <v>46113.0</v>
      </c>
      <c r="J59" s="9">
        <v>46150.0</v>
      </c>
      <c r="K59" s="8" t="s">
        <v>15</v>
      </c>
      <c r="L59" s="8" t="s">
        <v>16</v>
      </c>
      <c r="M59" s="10">
        <v>705.0</v>
      </c>
      <c r="N59" s="8" t="s">
        <v>173</v>
      </c>
      <c r="O59" s="8" t="s">
        <v>174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7" t="s">
        <v>25</v>
      </c>
      <c r="B60" s="7" t="s">
        <v>25</v>
      </c>
      <c r="C60" s="7">
        <v>1.879474E7</v>
      </c>
      <c r="D60" s="7" t="s">
        <v>33</v>
      </c>
      <c r="E60" s="7" t="s">
        <v>34</v>
      </c>
      <c r="F60" s="7" t="str">
        <f t="shared" si="1"/>
        <v>Forrest Graver</v>
      </c>
      <c r="G60" s="7">
        <v>66990.0</v>
      </c>
      <c r="H60" s="7" t="str">
        <f t="shared" ref="H60:H61" si="7">CONCATENATE(G60,55)</f>
        <v>6699055</v>
      </c>
      <c r="I60" s="2">
        <v>45931.0</v>
      </c>
      <c r="J60" s="2">
        <v>46150.0</v>
      </c>
      <c r="K60" s="7" t="s">
        <v>15</v>
      </c>
      <c r="L60" s="7" t="s">
        <v>36</v>
      </c>
      <c r="M60" s="3">
        <v>-88.25</v>
      </c>
      <c r="N60" s="7" t="s">
        <v>170</v>
      </c>
      <c r="O60" s="7" t="s">
        <v>180</v>
      </c>
      <c r="P60" s="7"/>
      <c r="Q60" s="7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 t="s">
        <v>25</v>
      </c>
      <c r="B61" s="8" t="s">
        <v>25</v>
      </c>
      <c r="C61" s="8">
        <v>1.879474E7</v>
      </c>
      <c r="D61" s="8" t="s">
        <v>26</v>
      </c>
      <c r="E61" s="8" t="s">
        <v>27</v>
      </c>
      <c r="F61" s="8" t="str">
        <f t="shared" si="1"/>
        <v>Christopher Koller</v>
      </c>
      <c r="G61" s="8">
        <v>40070.0</v>
      </c>
      <c r="H61" s="8" t="str">
        <f t="shared" si="7"/>
        <v>4007055</v>
      </c>
      <c r="I61" s="9">
        <v>46113.0</v>
      </c>
      <c r="J61" s="9">
        <v>46150.0</v>
      </c>
      <c r="K61" s="8" t="s">
        <v>15</v>
      </c>
      <c r="L61" s="8" t="s">
        <v>16</v>
      </c>
      <c r="M61" s="10">
        <v>-264.75</v>
      </c>
      <c r="N61" s="8" t="s">
        <v>170</v>
      </c>
      <c r="O61" s="8" t="s">
        <v>177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 t="s">
        <v>11</v>
      </c>
      <c r="B62" s="8" t="s">
        <v>11</v>
      </c>
      <c r="C62" s="8">
        <v>1.5950276E7</v>
      </c>
      <c r="D62" s="8" t="s">
        <v>12</v>
      </c>
      <c r="E62" s="8" t="s">
        <v>13</v>
      </c>
      <c r="F62" s="8" t="str">
        <f t="shared" si="1"/>
        <v>George Holup</v>
      </c>
      <c r="G62" s="8">
        <v>41410.0</v>
      </c>
      <c r="H62" s="8" t="str">
        <f>CONCATENATE(G62,75)</f>
        <v>4141075</v>
      </c>
      <c r="I62" s="9">
        <v>46113.0</v>
      </c>
      <c r="J62" s="9">
        <v>46150.0</v>
      </c>
      <c r="K62" s="8" t="s">
        <v>15</v>
      </c>
      <c r="L62" s="8" t="s">
        <v>16</v>
      </c>
      <c r="M62" s="10">
        <v>705.0</v>
      </c>
      <c r="N62" s="8" t="s">
        <v>173</v>
      </c>
      <c r="O62" s="8" t="s">
        <v>174</v>
      </c>
      <c r="P62" s="8">
        <v>264.75</v>
      </c>
      <c r="Q62" s="8">
        <v>440.25</v>
      </c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7" t="s">
        <v>11</v>
      </c>
      <c r="B63" s="7" t="s">
        <v>11</v>
      </c>
      <c r="C63" s="7">
        <v>1.5950276E7</v>
      </c>
      <c r="D63" s="7" t="s">
        <v>37</v>
      </c>
      <c r="E63" s="7" t="s">
        <v>38</v>
      </c>
      <c r="F63" s="7" t="str">
        <f t="shared" si="1"/>
        <v>Donna Vitale</v>
      </c>
      <c r="G63" s="7">
        <v>87660.0</v>
      </c>
      <c r="H63" s="7" t="str">
        <f t="shared" ref="H63:H64" si="8">CONCATENATE(G63,55)</f>
        <v>8766055</v>
      </c>
      <c r="I63" s="2">
        <v>46143.0</v>
      </c>
      <c r="J63" s="2">
        <v>46150.0</v>
      </c>
      <c r="K63" s="7" t="s">
        <v>15</v>
      </c>
      <c r="L63" s="7" t="s">
        <v>40</v>
      </c>
      <c r="M63" s="3">
        <v>235.33</v>
      </c>
      <c r="N63" s="7" t="s">
        <v>170</v>
      </c>
      <c r="O63" s="7" t="s">
        <v>176</v>
      </c>
      <c r="P63" s="7">
        <f>353/12*8</f>
        <v>235.3333333</v>
      </c>
      <c r="Q63" s="7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 t="s">
        <v>11</v>
      </c>
      <c r="B64" s="8" t="s">
        <v>11</v>
      </c>
      <c r="C64" s="8">
        <v>1.5950276E7</v>
      </c>
      <c r="D64" s="8" t="s">
        <v>12</v>
      </c>
      <c r="E64" s="8" t="s">
        <v>13</v>
      </c>
      <c r="F64" s="8" t="str">
        <f t="shared" si="1"/>
        <v>George Holup</v>
      </c>
      <c r="G64" s="8">
        <v>41410.0</v>
      </c>
      <c r="H64" s="8" t="str">
        <f t="shared" si="8"/>
        <v>4141055</v>
      </c>
      <c r="I64" s="9">
        <v>46113.0</v>
      </c>
      <c r="J64" s="9">
        <v>46150.0</v>
      </c>
      <c r="K64" s="8" t="s">
        <v>15</v>
      </c>
      <c r="L64" s="8" t="s">
        <v>16</v>
      </c>
      <c r="M64" s="10">
        <v>-264.75</v>
      </c>
      <c r="N64" s="8" t="s">
        <v>170</v>
      </c>
      <c r="O64" s="8" t="s">
        <v>177</v>
      </c>
      <c r="P64" s="8">
        <v>264.75</v>
      </c>
      <c r="Q64" s="8">
        <v>440.25</v>
      </c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2026-05-08T14:19:20Z</dcterms:created>
  <dc:creator>Bhushan patil</dc:creator>
</cp:coreProperties>
</file>