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3-5-26\"/>
    </mc:Choice>
  </mc:AlternateContent>
  <xr:revisionPtr revIDLastSave="0" documentId="13_ncr:1_{494DBCBB-23C8-44C2-932E-1AB5C263D4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E5" i="2" l="1"/>
  <c r="E6" i="2"/>
  <c r="E7" i="2"/>
  <c r="E8" i="2"/>
  <c r="E52" i="2"/>
  <c r="E57" i="2"/>
  <c r="E9" i="2"/>
  <c r="E10" i="2"/>
  <c r="E53" i="2"/>
  <c r="E2" i="2"/>
  <c r="E11" i="2"/>
  <c r="E12" i="2"/>
  <c r="E3" i="2"/>
  <c r="E56" i="2"/>
  <c r="E13" i="2"/>
  <c r="E14" i="2"/>
  <c r="E15" i="2"/>
  <c r="E16" i="2"/>
  <c r="E54" i="2"/>
  <c r="E58" i="2"/>
  <c r="E17" i="2"/>
  <c r="E18" i="2"/>
  <c r="E55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4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19" i="2"/>
  <c r="G55" i="2"/>
  <c r="G18" i="2"/>
  <c r="G17" i="2"/>
  <c r="G58" i="2"/>
  <c r="G54" i="2"/>
  <c r="G16" i="2"/>
  <c r="G15" i="2"/>
  <c r="G14" i="2"/>
  <c r="G13" i="2"/>
  <c r="G56" i="2"/>
  <c r="G3" i="2"/>
  <c r="G12" i="2"/>
  <c r="G11" i="2"/>
  <c r="G2" i="2"/>
  <c r="G53" i="2"/>
  <c r="G10" i="2"/>
  <c r="G9" i="2"/>
  <c r="G57" i="2"/>
  <c r="G52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<sst xmlns="http://schemas.openxmlformats.org/spreadsheetml/2006/main" count="689" uniqueCount="141">
  <si>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</si>
  <si>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</si>
  <si>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</si>
  <si>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</si>
  <si>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</si>
  <si>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</si>
  <si>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</si>
  <si>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</si>
  <si>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</si>
  <si>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</si>
  <si>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</si>
  <si>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</si>
  <si>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Mildred</t>
  </si>
  <si>
    <t>Rivera Silva</t>
  </si>
  <si>
    <t>*****61770</t>
  </si>
  <si>
    <t>Highmark</t>
  </si>
  <si>
    <t>Highmark 2025-26 PA Replace Street / TrueUp (ProRata: -12)</t>
  </si>
  <si>
    <t>Highmark 2025-26 PA Replace Street / TrueUp (ProRata: 10)</t>
  </si>
  <si>
    <t>Deborah Inskipt</t>
  </si>
  <si>
    <t>Otis</t>
  </si>
  <si>
    <t>Johnson</t>
  </si>
  <si>
    <t>*****95710</t>
  </si>
  <si>
    <t>Highmark 2025 PA Street 2/1 True Up</t>
  </si>
  <si>
    <t>Dennis</t>
  </si>
  <si>
    <t>Mcconnell</t>
  </si>
  <si>
    <t>*****72210</t>
  </si>
  <si>
    <t>Laurie</t>
  </si>
  <si>
    <t>Rosso</t>
  </si>
  <si>
    <t>*****19120</t>
  </si>
  <si>
    <t>John</t>
  </si>
  <si>
    <t>Senderling</t>
  </si>
  <si>
    <t>*****93850</t>
  </si>
  <si>
    <t>Patricia Long</t>
  </si>
  <si>
    <t>Mike</t>
  </si>
  <si>
    <t>Mashraky</t>
  </si>
  <si>
    <t>*****95730</t>
  </si>
  <si>
    <t>Ryan Stocker</t>
  </si>
  <si>
    <t>June</t>
  </si>
  <si>
    <t>Mcgrath</t>
  </si>
  <si>
    <t>*****81290</t>
  </si>
  <si>
    <t>Traci Barton</t>
  </si>
  <si>
    <t>Thomas</t>
  </si>
  <si>
    <t>Sams</t>
  </si>
  <si>
    <t>*****02010</t>
  </si>
  <si>
    <t>Highmark 2025-26 PA Street 3/1 True Up</t>
  </si>
  <si>
    <t>Diana</t>
  </si>
  <si>
    <t>Gianino</t>
  </si>
  <si>
    <t>*****74230</t>
  </si>
  <si>
    <t>Edna</t>
  </si>
  <si>
    <t>Kuklis</t>
  </si>
  <si>
    <t>*****55510</t>
  </si>
  <si>
    <t>Highmark 2025-26 PA Replace Street / TrueUp (ProRata: 1)</t>
  </si>
  <si>
    <t>Highmark 2025-26 PA Replace Street / TrueUp (ProRata: -1)</t>
  </si>
  <si>
    <t>Calvin</t>
  </si>
  <si>
    <t>Mullen</t>
  </si>
  <si>
    <t>*****76280</t>
  </si>
  <si>
    <t>Highmark 2025-26 PDP Replace Street (ProRata: 10)</t>
  </si>
  <si>
    <t>Jane</t>
  </si>
  <si>
    <t>Young</t>
  </si>
  <si>
    <t>*****26280</t>
  </si>
  <si>
    <t>Carol</t>
  </si>
  <si>
    <t>Tegyi</t>
  </si>
  <si>
    <t>*****90430</t>
  </si>
  <si>
    <t>Highmark 2025-26 Comm Blue PA Full OR 3/1 True Up</t>
  </si>
  <si>
    <t>Highmark 2025-2026 PA Replace OR (ProRata: -12)</t>
  </si>
  <si>
    <t>Highmark 2025-2026 PA Replace OR (ProRata: 10)</t>
  </si>
  <si>
    <t>Highmark 2025-26 Comm Blue PA Full OR	2/1 True Up</t>
  </si>
  <si>
    <t>Highmark 2025-2026 PA Replace OR (ProRata: 1)</t>
  </si>
  <si>
    <t>Highmark 2025-2026 PA Replace OR (ProRata: -1)</t>
  </si>
  <si>
    <t>Timothy Powers</t>
  </si>
  <si>
    <t>Sharon</t>
  </si>
  <si>
    <t>Carben</t>
  </si>
  <si>
    <t>*****90880</t>
  </si>
  <si>
    <t>David</t>
  </si>
  <si>
    <t>Cramer</t>
  </si>
  <si>
    <t>*****58370</t>
  </si>
  <si>
    <t>Highmark 2025-2026 PA Replace OR (ProRata: -11)</t>
  </si>
  <si>
    <t>James</t>
  </si>
  <si>
    <t>Gear</t>
  </si>
  <si>
    <t>*****11380</t>
  </si>
  <si>
    <t>Louis</t>
  </si>
  <si>
    <t>Hilliard</t>
  </si>
  <si>
    <t>*****10770</t>
  </si>
  <si>
    <t>Munier</t>
  </si>
  <si>
    <t>*****82710</t>
  </si>
  <si>
    <t>Highmark 2025-2026 PA Replace OR (ProRata: 11)</t>
  </si>
  <si>
    <t>Joshua</t>
  </si>
  <si>
    <t>Patton</t>
  </si>
  <si>
    <t>*****29480</t>
  </si>
  <si>
    <t>Edward</t>
  </si>
  <si>
    <t>Price</t>
  </si>
  <si>
    <t>*****72780</t>
  </si>
  <si>
    <t>Highmark 2025-26 Comm Blue PA Full OR 4/1 True Up</t>
  </si>
  <si>
    <t>Shuler</t>
  </si>
  <si>
    <t>*****42040</t>
  </si>
  <si>
    <t>Highmark 2026 WV, PA Freedom Blue Replacement OR (ProRata: 10)</t>
  </si>
  <si>
    <t>Jack</t>
  </si>
  <si>
    <t>West</t>
  </si>
  <si>
    <t>*****85630</t>
  </si>
  <si>
    <t>Marian</t>
  </si>
  <si>
    <t>*****85220</t>
  </si>
  <si>
    <t>Margaret Smith</t>
  </si>
  <si>
    <t>Frank</t>
  </si>
  <si>
    <t>Baker</t>
  </si>
  <si>
    <t>*****56890</t>
  </si>
  <si>
    <t>Highmark 2025-2026 PA Replace OR (ProRata: 8)</t>
  </si>
  <si>
    <t>Cindy</t>
  </si>
  <si>
    <t>Booher</t>
  </si>
  <si>
    <t>*****63770</t>
  </si>
  <si>
    <t>Stephen</t>
  </si>
  <si>
    <t>Cobern</t>
  </si>
  <si>
    <t>*****98490</t>
  </si>
  <si>
    <t>Lisa</t>
  </si>
  <si>
    <t>Edwards</t>
  </si>
  <si>
    <t>*****45230</t>
  </si>
  <si>
    <t>Mark</t>
  </si>
  <si>
    <t>Heade</t>
  </si>
  <si>
    <t>*****26260</t>
  </si>
  <si>
    <t>Marcey</t>
  </si>
  <si>
    <t>Kim</t>
  </si>
  <si>
    <t>*****66820</t>
  </si>
  <si>
    <t>Joyce</t>
  </si>
  <si>
    <t>Lesser</t>
  </si>
  <si>
    <t>*****76700</t>
  </si>
  <si>
    <t>Christopher</t>
  </si>
  <si>
    <t>Parinella</t>
  </si>
  <si>
    <t>*****85280</t>
  </si>
  <si>
    <t>Katherine</t>
  </si>
  <si>
    <t>Prady</t>
  </si>
  <si>
    <t>*****02120</t>
  </si>
  <si>
    <t>[%/$=353][prorate=11/12]</t>
  </si>
  <si>
    <t>Highmark MAPD 2025..</t>
  </si>
  <si>
    <t>Highmark MAPD 2025.</t>
  </si>
  <si>
    <t>[%/$=705]</t>
  </si>
  <si>
    <t>Highmark MAPD Ovr</t>
  </si>
  <si>
    <t>[%/$=353][prorate=1/12]</t>
  </si>
  <si>
    <t>[%/$=353][prorate=10/12]</t>
  </si>
  <si>
    <t>[%/$=353][prorate=12/12]</t>
  </si>
  <si>
    <t>Highmark 2025 PDP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</si>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</sst>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3" borderId="0" xfId="0" applyFill="1"/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4" borderId="0" xfId="0" applyFill="1"/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3" fillId="4" borderId="0" xfId="0" applyFont="1" applyFill="1"/>
    <xf numFmtId="0" fontId="3" fillId="0" borderId="0" xfId="0" applyFont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0" fillId="5" borderId="0" xfId="0" applyFill="1"/>
    <xf numFmtId="164" fontId="2" fillId="5" borderId="0" xfId="0" applyNumberFormat="1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3" fillId="3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 applyFill="1"/>
    <xf numFmtId="164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 applyAlignment="1">
      <alignment horizontal="right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9"/>
  <sheetViews>
    <sheetView tabSelected="1" workbookViewId="0">
      <selection activeCell="J11" sqref="J11"/>
    </sheetView>
  </sheetViews>
  <sheetFormatPr defaultColWidth="12.5703125" defaultRowHeight="15.75" customHeight="1" x14ac:dyDescent="0.2"/>
  <cols>
    <col min="10" max="10" width="5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/>
      <c r="C2" s="3">
        <v>18598357</v>
      </c>
      <c r="D2" s="2" t="s">
        <v>12</v>
      </c>
      <c r="E2" s="2" t="s">
        <v>13</v>
      </c>
      <c r="F2" s="2" t="s">
        <v>14</v>
      </c>
      <c r="G2" s="4">
        <v>45658</v>
      </c>
      <c r="H2" s="4">
        <v>46087</v>
      </c>
      <c r="I2" s="2" t="s">
        <v>15</v>
      </c>
      <c r="J2" s="2" t="s">
        <v>16</v>
      </c>
      <c r="K2" s="5">
        <v>-353</v>
      </c>
    </row>
    <row r="3" spans="1:11" x14ac:dyDescent="0.2">
      <c r="A3" s="2" t="s">
        <v>11</v>
      </c>
      <c r="B3" s="2"/>
      <c r="C3" s="3">
        <v>18598357</v>
      </c>
      <c r="D3" s="2" t="s">
        <v>12</v>
      </c>
      <c r="E3" s="2" t="s">
        <v>13</v>
      </c>
      <c r="F3" s="2" t="s">
        <v>14</v>
      </c>
      <c r="G3" s="4">
        <v>45658</v>
      </c>
      <c r="H3" s="4">
        <v>46087</v>
      </c>
      <c r="I3" s="2" t="s">
        <v>15</v>
      </c>
      <c r="J3" s="2" t="s">
        <v>17</v>
      </c>
      <c r="K3" s="5">
        <v>294.16000000000003</v>
      </c>
    </row>
    <row r="4" spans="1:11" x14ac:dyDescent="0.2">
      <c r="A4" s="2" t="s">
        <v>18</v>
      </c>
      <c r="B4" s="2"/>
      <c r="C4" s="3">
        <v>17528908</v>
      </c>
      <c r="D4" s="2" t="s">
        <v>19</v>
      </c>
      <c r="E4" s="2" t="s">
        <v>20</v>
      </c>
      <c r="F4" s="2" t="s">
        <v>21</v>
      </c>
      <c r="G4" s="4">
        <v>46054</v>
      </c>
      <c r="H4" s="4">
        <v>46087</v>
      </c>
      <c r="I4" s="2" t="s">
        <v>15</v>
      </c>
      <c r="J4" s="2" t="s">
        <v>22</v>
      </c>
      <c r="K4" s="5">
        <v>381.42</v>
      </c>
    </row>
    <row r="5" spans="1:11" x14ac:dyDescent="0.2">
      <c r="A5" s="2" t="s">
        <v>18</v>
      </c>
      <c r="B5" s="2"/>
      <c r="C5" s="3">
        <v>17528908</v>
      </c>
      <c r="D5" s="2" t="s">
        <v>23</v>
      </c>
      <c r="E5" s="2" t="s">
        <v>24</v>
      </c>
      <c r="F5" s="2" t="s">
        <v>25</v>
      </c>
      <c r="G5" s="4">
        <v>46054</v>
      </c>
      <c r="H5" s="4">
        <v>46087</v>
      </c>
      <c r="I5" s="2" t="s">
        <v>15</v>
      </c>
      <c r="J5" s="2" t="s">
        <v>22</v>
      </c>
      <c r="K5" s="5">
        <v>381.42</v>
      </c>
    </row>
    <row r="6" spans="1:11" x14ac:dyDescent="0.2">
      <c r="A6" s="2" t="s">
        <v>18</v>
      </c>
      <c r="B6" s="2"/>
      <c r="C6" s="3">
        <v>17528908</v>
      </c>
      <c r="D6" s="2" t="s">
        <v>26</v>
      </c>
      <c r="E6" s="2" t="s">
        <v>27</v>
      </c>
      <c r="F6" s="2" t="s">
        <v>28</v>
      </c>
      <c r="G6" s="4">
        <v>46054</v>
      </c>
      <c r="H6" s="4">
        <v>46087</v>
      </c>
      <c r="I6" s="2" t="s">
        <v>15</v>
      </c>
      <c r="J6" s="2" t="s">
        <v>22</v>
      </c>
      <c r="K6" s="5">
        <v>381.42</v>
      </c>
    </row>
    <row r="7" spans="1:11" x14ac:dyDescent="0.2">
      <c r="A7" s="2" t="s">
        <v>18</v>
      </c>
      <c r="B7" s="2"/>
      <c r="C7" s="3">
        <v>17528908</v>
      </c>
      <c r="D7" s="2" t="s">
        <v>29</v>
      </c>
      <c r="E7" s="2" t="s">
        <v>30</v>
      </c>
      <c r="F7" s="2" t="s">
        <v>31</v>
      </c>
      <c r="G7" s="4">
        <v>46054</v>
      </c>
      <c r="H7" s="4">
        <v>46087</v>
      </c>
      <c r="I7" s="2" t="s">
        <v>15</v>
      </c>
      <c r="J7" s="2" t="s">
        <v>22</v>
      </c>
      <c r="K7" s="5">
        <v>381.42</v>
      </c>
    </row>
    <row r="8" spans="1:11" x14ac:dyDescent="0.2">
      <c r="A8" s="2" t="s">
        <v>32</v>
      </c>
      <c r="B8" s="2"/>
      <c r="C8" s="3">
        <v>18794740</v>
      </c>
      <c r="D8" s="2" t="s">
        <v>33</v>
      </c>
      <c r="E8" s="2" t="s">
        <v>34</v>
      </c>
      <c r="F8" s="2" t="s">
        <v>35</v>
      </c>
      <c r="G8" s="4">
        <v>46054</v>
      </c>
      <c r="H8" s="4">
        <v>46087</v>
      </c>
      <c r="I8" s="2" t="s">
        <v>15</v>
      </c>
      <c r="J8" s="2" t="s">
        <v>22</v>
      </c>
      <c r="K8" s="5">
        <v>381.42</v>
      </c>
    </row>
    <row r="9" spans="1:11" x14ac:dyDescent="0.2">
      <c r="A9" s="2" t="s">
        <v>36</v>
      </c>
      <c r="B9" s="2"/>
      <c r="C9" s="3">
        <v>15950276</v>
      </c>
      <c r="D9" s="2" t="s">
        <v>37</v>
      </c>
      <c r="E9" s="2" t="s">
        <v>38</v>
      </c>
      <c r="F9" s="2" t="s">
        <v>39</v>
      </c>
      <c r="G9" s="4">
        <v>46082</v>
      </c>
      <c r="H9" s="4">
        <v>46087</v>
      </c>
      <c r="I9" s="2" t="s">
        <v>15</v>
      </c>
      <c r="J9" s="2" t="s">
        <v>17</v>
      </c>
      <c r="K9" s="5">
        <v>294.16000000000003</v>
      </c>
    </row>
    <row r="10" spans="1:11" x14ac:dyDescent="0.2">
      <c r="A10" s="2" t="s">
        <v>40</v>
      </c>
      <c r="B10" s="2"/>
      <c r="C10" s="3">
        <v>20678727</v>
      </c>
      <c r="D10" s="2" t="s">
        <v>41</v>
      </c>
      <c r="E10" s="2" t="s">
        <v>42</v>
      </c>
      <c r="F10" s="2" t="s">
        <v>43</v>
      </c>
      <c r="G10" s="4">
        <v>46082</v>
      </c>
      <c r="H10" s="4">
        <v>46087</v>
      </c>
      <c r="I10" s="2" t="s">
        <v>15</v>
      </c>
      <c r="J10" s="2" t="s">
        <v>44</v>
      </c>
      <c r="K10" s="5">
        <v>410.83</v>
      </c>
    </row>
    <row r="11" spans="1:11" x14ac:dyDescent="0.2">
      <c r="A11" s="2" t="s">
        <v>18</v>
      </c>
      <c r="B11" s="2"/>
      <c r="C11" s="3">
        <v>17528908</v>
      </c>
      <c r="D11" s="2" t="s">
        <v>45</v>
      </c>
      <c r="E11" s="2" t="s">
        <v>46</v>
      </c>
      <c r="F11" s="2" t="s">
        <v>47</v>
      </c>
      <c r="G11" s="4">
        <v>46082</v>
      </c>
      <c r="H11" s="4">
        <v>46087</v>
      </c>
      <c r="I11" s="2" t="s">
        <v>15</v>
      </c>
      <c r="J11" s="2" t="s">
        <v>44</v>
      </c>
      <c r="K11" s="5">
        <v>410.83</v>
      </c>
    </row>
    <row r="12" spans="1:11" x14ac:dyDescent="0.2">
      <c r="A12" s="2" t="s">
        <v>18</v>
      </c>
      <c r="B12" s="2"/>
      <c r="C12" s="3">
        <v>17528908</v>
      </c>
      <c r="D12" s="2" t="s">
        <v>48</v>
      </c>
      <c r="E12" s="2" t="s">
        <v>49</v>
      </c>
      <c r="F12" s="2" t="s">
        <v>50</v>
      </c>
      <c r="G12" s="4">
        <v>45870</v>
      </c>
      <c r="H12" s="4">
        <v>46087</v>
      </c>
      <c r="I12" s="2" t="s">
        <v>15</v>
      </c>
      <c r="J12" s="2" t="s">
        <v>51</v>
      </c>
      <c r="K12" s="5">
        <v>29.41</v>
      </c>
    </row>
    <row r="13" spans="1:11" x14ac:dyDescent="0.2">
      <c r="A13" s="2" t="s">
        <v>18</v>
      </c>
      <c r="B13" s="2"/>
      <c r="C13" s="3">
        <v>17528908</v>
      </c>
      <c r="D13" s="2" t="s">
        <v>48</v>
      </c>
      <c r="E13" s="2" t="s">
        <v>49</v>
      </c>
      <c r="F13" s="2" t="s">
        <v>50</v>
      </c>
      <c r="G13" s="4">
        <v>45870</v>
      </c>
      <c r="H13" s="4">
        <v>46087</v>
      </c>
      <c r="I13" s="2" t="s">
        <v>15</v>
      </c>
      <c r="J13" s="2" t="s">
        <v>52</v>
      </c>
      <c r="K13" s="5">
        <v>-29.41</v>
      </c>
    </row>
    <row r="14" spans="1:11" x14ac:dyDescent="0.2">
      <c r="A14" s="2" t="s">
        <v>18</v>
      </c>
      <c r="B14" s="2"/>
      <c r="C14" s="3">
        <v>17528908</v>
      </c>
      <c r="D14" s="2" t="s">
        <v>53</v>
      </c>
      <c r="E14" s="2" t="s">
        <v>54</v>
      </c>
      <c r="F14" s="2" t="s">
        <v>55</v>
      </c>
      <c r="G14" s="4">
        <v>46082</v>
      </c>
      <c r="H14" s="4">
        <v>46087</v>
      </c>
      <c r="I14" s="2" t="s">
        <v>15</v>
      </c>
      <c r="J14" s="2" t="s">
        <v>56</v>
      </c>
      <c r="K14" s="5">
        <v>45.83</v>
      </c>
    </row>
    <row r="15" spans="1:11" x14ac:dyDescent="0.2">
      <c r="A15" s="2" t="s">
        <v>18</v>
      </c>
      <c r="B15" s="2"/>
      <c r="C15" s="3">
        <v>17528908</v>
      </c>
      <c r="D15" s="2" t="s">
        <v>57</v>
      </c>
      <c r="E15" s="2" t="s">
        <v>58</v>
      </c>
      <c r="F15" s="2" t="s">
        <v>59</v>
      </c>
      <c r="G15" s="4">
        <v>46082</v>
      </c>
      <c r="H15" s="4">
        <v>46087</v>
      </c>
      <c r="I15" s="2" t="s">
        <v>15</v>
      </c>
      <c r="J15" s="2" t="s">
        <v>44</v>
      </c>
      <c r="K15" s="5">
        <v>410.83</v>
      </c>
    </row>
    <row r="16" spans="1:11" x14ac:dyDescent="0.2">
      <c r="A16" s="2" t="s">
        <v>32</v>
      </c>
      <c r="B16" s="2"/>
      <c r="C16" s="3">
        <v>18794740</v>
      </c>
      <c r="D16" s="2" t="s">
        <v>60</v>
      </c>
      <c r="E16" s="2" t="s">
        <v>61</v>
      </c>
      <c r="F16" s="2" t="s">
        <v>62</v>
      </c>
      <c r="G16" s="4">
        <v>46082</v>
      </c>
      <c r="H16" s="4">
        <v>46087</v>
      </c>
      <c r="I16" s="2" t="s">
        <v>15</v>
      </c>
      <c r="J16" s="2" t="s">
        <v>44</v>
      </c>
      <c r="K16" s="5">
        <v>410.83</v>
      </c>
    </row>
    <row r="17" spans="1:11" x14ac:dyDescent="0.2">
      <c r="A17" s="2" t="s">
        <v>40</v>
      </c>
      <c r="B17" s="2"/>
      <c r="C17" s="3">
        <v>20678727</v>
      </c>
      <c r="D17" s="2" t="s">
        <v>41</v>
      </c>
      <c r="E17" s="2" t="s">
        <v>42</v>
      </c>
      <c r="F17" s="2" t="s">
        <v>43</v>
      </c>
      <c r="G17" s="4">
        <v>46082</v>
      </c>
      <c r="H17" s="4">
        <v>46087</v>
      </c>
      <c r="I17" s="2" t="s">
        <v>15</v>
      </c>
      <c r="J17" s="2" t="s">
        <v>63</v>
      </c>
      <c r="K17" s="5">
        <v>74.38</v>
      </c>
    </row>
    <row r="18" spans="1:11" x14ac:dyDescent="0.2">
      <c r="A18" s="2" t="s">
        <v>11</v>
      </c>
      <c r="B18" s="2"/>
      <c r="C18" s="3">
        <v>18598357</v>
      </c>
      <c r="D18" s="2" t="s">
        <v>12</v>
      </c>
      <c r="E18" s="2" t="s">
        <v>13</v>
      </c>
      <c r="F18" s="2" t="s">
        <v>14</v>
      </c>
      <c r="G18" s="4">
        <v>45658</v>
      </c>
      <c r="H18" s="4">
        <v>46087</v>
      </c>
      <c r="I18" s="2" t="s">
        <v>15</v>
      </c>
      <c r="J18" s="2" t="s">
        <v>64</v>
      </c>
      <c r="K18" s="5">
        <v>-108.75</v>
      </c>
    </row>
    <row r="19" spans="1:11" x14ac:dyDescent="0.2">
      <c r="A19" s="2" t="s">
        <v>11</v>
      </c>
      <c r="B19" s="2"/>
      <c r="C19" s="3">
        <v>18598357</v>
      </c>
      <c r="D19" s="2" t="s">
        <v>12</v>
      </c>
      <c r="E19" s="2" t="s">
        <v>13</v>
      </c>
      <c r="F19" s="2" t="s">
        <v>14</v>
      </c>
      <c r="G19" s="4">
        <v>45658</v>
      </c>
      <c r="H19" s="4">
        <v>46087</v>
      </c>
      <c r="I19" s="2" t="s">
        <v>15</v>
      </c>
      <c r="J19" s="2" t="s">
        <v>65</v>
      </c>
      <c r="K19" s="5">
        <v>90.62</v>
      </c>
    </row>
    <row r="20" spans="1:11" x14ac:dyDescent="0.2">
      <c r="A20" s="2" t="s">
        <v>18</v>
      </c>
      <c r="B20" s="2"/>
      <c r="C20" s="3">
        <v>17528908</v>
      </c>
      <c r="D20" s="2" t="s">
        <v>45</v>
      </c>
      <c r="E20" s="2" t="s">
        <v>46</v>
      </c>
      <c r="F20" s="2" t="s">
        <v>47</v>
      </c>
      <c r="G20" s="4">
        <v>46082</v>
      </c>
      <c r="H20" s="4">
        <v>46087</v>
      </c>
      <c r="I20" s="2" t="s">
        <v>15</v>
      </c>
      <c r="J20" s="2" t="s">
        <v>63</v>
      </c>
      <c r="K20" s="5">
        <v>74.38</v>
      </c>
    </row>
    <row r="21" spans="1:11" x14ac:dyDescent="0.2">
      <c r="A21" s="2" t="s">
        <v>18</v>
      </c>
      <c r="B21" s="2"/>
      <c r="C21" s="3">
        <v>17528908</v>
      </c>
      <c r="D21" s="2" t="s">
        <v>19</v>
      </c>
      <c r="E21" s="2" t="s">
        <v>20</v>
      </c>
      <c r="F21" s="2" t="s">
        <v>21</v>
      </c>
      <c r="G21" s="4">
        <v>46054</v>
      </c>
      <c r="H21" s="4">
        <v>46087</v>
      </c>
      <c r="I21" s="2" t="s">
        <v>15</v>
      </c>
      <c r="J21" s="2" t="s">
        <v>66</v>
      </c>
      <c r="K21" s="5">
        <v>65.31</v>
      </c>
    </row>
    <row r="22" spans="1:11" x14ac:dyDescent="0.2">
      <c r="A22" s="2" t="s">
        <v>18</v>
      </c>
      <c r="B22" s="2"/>
      <c r="C22" s="3">
        <v>17528908</v>
      </c>
      <c r="D22" s="2" t="s">
        <v>48</v>
      </c>
      <c r="E22" s="2" t="s">
        <v>49</v>
      </c>
      <c r="F22" s="2" t="s">
        <v>50</v>
      </c>
      <c r="G22" s="4">
        <v>45870</v>
      </c>
      <c r="H22" s="4">
        <v>46087</v>
      </c>
      <c r="I22" s="2" t="s">
        <v>15</v>
      </c>
      <c r="J22" s="2" t="s">
        <v>67</v>
      </c>
      <c r="K22" s="5">
        <v>9.06</v>
      </c>
    </row>
    <row r="23" spans="1:11" x14ac:dyDescent="0.2">
      <c r="A23" s="2" t="s">
        <v>18</v>
      </c>
      <c r="B23" s="2"/>
      <c r="C23" s="3">
        <v>17528908</v>
      </c>
      <c r="D23" s="2" t="s">
        <v>48</v>
      </c>
      <c r="E23" s="2" t="s">
        <v>49</v>
      </c>
      <c r="F23" s="2" t="s">
        <v>50</v>
      </c>
      <c r="G23" s="4">
        <v>45870</v>
      </c>
      <c r="H23" s="4">
        <v>46087</v>
      </c>
      <c r="I23" s="2" t="s">
        <v>15</v>
      </c>
      <c r="J23" s="2" t="s">
        <v>68</v>
      </c>
      <c r="K23" s="5">
        <v>-9.06</v>
      </c>
    </row>
    <row r="24" spans="1:11" x14ac:dyDescent="0.2">
      <c r="A24" s="2" t="s">
        <v>18</v>
      </c>
      <c r="B24" s="2"/>
      <c r="C24" s="3">
        <v>17528908</v>
      </c>
      <c r="D24" s="2" t="s">
        <v>23</v>
      </c>
      <c r="E24" s="2" t="s">
        <v>24</v>
      </c>
      <c r="F24" s="2" t="s">
        <v>25</v>
      </c>
      <c r="G24" s="4">
        <v>46054</v>
      </c>
      <c r="H24" s="4">
        <v>46087</v>
      </c>
      <c r="I24" s="2" t="s">
        <v>15</v>
      </c>
      <c r="J24" s="2" t="s">
        <v>66</v>
      </c>
      <c r="K24" s="5">
        <v>65.31</v>
      </c>
    </row>
    <row r="25" spans="1:11" x14ac:dyDescent="0.2">
      <c r="A25" s="2" t="s">
        <v>18</v>
      </c>
      <c r="B25" s="2"/>
      <c r="C25" s="3">
        <v>17528908</v>
      </c>
      <c r="D25" s="2" t="s">
        <v>26</v>
      </c>
      <c r="E25" s="2" t="s">
        <v>27</v>
      </c>
      <c r="F25" s="2" t="s">
        <v>28</v>
      </c>
      <c r="G25" s="4">
        <v>46054</v>
      </c>
      <c r="H25" s="4">
        <v>46087</v>
      </c>
      <c r="I25" s="2" t="s">
        <v>15</v>
      </c>
      <c r="J25" s="2" t="s">
        <v>66</v>
      </c>
      <c r="K25" s="5">
        <v>65.31</v>
      </c>
    </row>
    <row r="26" spans="1:11" x14ac:dyDescent="0.2">
      <c r="A26" s="2" t="s">
        <v>18</v>
      </c>
      <c r="B26" s="2"/>
      <c r="C26" s="3">
        <v>17528908</v>
      </c>
      <c r="D26" s="2" t="s">
        <v>29</v>
      </c>
      <c r="E26" s="2" t="s">
        <v>30</v>
      </c>
      <c r="F26" s="2" t="s">
        <v>31</v>
      </c>
      <c r="G26" s="4">
        <v>46054</v>
      </c>
      <c r="H26" s="4">
        <v>46087</v>
      </c>
      <c r="I26" s="2" t="s">
        <v>15</v>
      </c>
      <c r="J26" s="2" t="s">
        <v>66</v>
      </c>
      <c r="K26" s="5">
        <v>65.31</v>
      </c>
    </row>
    <row r="27" spans="1:11" x14ac:dyDescent="0.2">
      <c r="A27" s="2" t="s">
        <v>18</v>
      </c>
      <c r="B27" s="2"/>
      <c r="C27" s="3">
        <v>17528908</v>
      </c>
      <c r="D27" s="2" t="s">
        <v>57</v>
      </c>
      <c r="E27" s="2" t="s">
        <v>58</v>
      </c>
      <c r="F27" s="2" t="s">
        <v>59</v>
      </c>
      <c r="G27" s="4">
        <v>46082</v>
      </c>
      <c r="H27" s="4">
        <v>46087</v>
      </c>
      <c r="I27" s="2" t="s">
        <v>15</v>
      </c>
      <c r="J27" s="2" t="s">
        <v>63</v>
      </c>
      <c r="K27" s="5">
        <v>74.38</v>
      </c>
    </row>
    <row r="28" spans="1:11" x14ac:dyDescent="0.2">
      <c r="A28" s="2" t="s">
        <v>32</v>
      </c>
      <c r="B28" s="2"/>
      <c r="C28" s="3">
        <v>18794740</v>
      </c>
      <c r="D28" s="2" t="s">
        <v>33</v>
      </c>
      <c r="E28" s="2" t="s">
        <v>34</v>
      </c>
      <c r="F28" s="2" t="s">
        <v>35</v>
      </c>
      <c r="G28" s="4">
        <v>46054</v>
      </c>
      <c r="H28" s="4">
        <v>46087</v>
      </c>
      <c r="I28" s="2" t="s">
        <v>15</v>
      </c>
      <c r="J28" s="2" t="s">
        <v>66</v>
      </c>
      <c r="K28" s="5">
        <v>65.31</v>
      </c>
    </row>
    <row r="29" spans="1:11" x14ac:dyDescent="0.2">
      <c r="A29" s="2" t="s">
        <v>32</v>
      </c>
      <c r="B29" s="2"/>
      <c r="C29" s="3">
        <v>18794740</v>
      </c>
      <c r="D29" s="2" t="s">
        <v>60</v>
      </c>
      <c r="E29" s="2" t="s">
        <v>61</v>
      </c>
      <c r="F29" s="2" t="s">
        <v>62</v>
      </c>
      <c r="G29" s="4">
        <v>46082</v>
      </c>
      <c r="H29" s="4">
        <v>46087</v>
      </c>
      <c r="I29" s="2" t="s">
        <v>15</v>
      </c>
      <c r="J29" s="2" t="s">
        <v>63</v>
      </c>
      <c r="K29" s="5">
        <v>74.38</v>
      </c>
    </row>
    <row r="30" spans="1:11" x14ac:dyDescent="0.2">
      <c r="A30" s="2" t="s">
        <v>69</v>
      </c>
      <c r="B30" s="2"/>
      <c r="C30" s="3">
        <v>17886092</v>
      </c>
      <c r="D30" s="2" t="s">
        <v>70</v>
      </c>
      <c r="E30" s="2" t="s">
        <v>71</v>
      </c>
      <c r="F30" s="2" t="s">
        <v>72</v>
      </c>
      <c r="G30" s="4">
        <v>46054</v>
      </c>
      <c r="H30" s="4">
        <v>46087</v>
      </c>
      <c r="I30" s="2" t="s">
        <v>15</v>
      </c>
      <c r="J30" s="2" t="s">
        <v>66</v>
      </c>
      <c r="K30" s="5">
        <v>43.54</v>
      </c>
    </row>
    <row r="31" spans="1:11" x14ac:dyDescent="0.2">
      <c r="A31" s="2" t="s">
        <v>69</v>
      </c>
      <c r="B31" s="2"/>
      <c r="C31" s="3">
        <v>17886092</v>
      </c>
      <c r="D31" s="2" t="s">
        <v>73</v>
      </c>
      <c r="E31" s="2" t="s">
        <v>74</v>
      </c>
      <c r="F31" s="2" t="s">
        <v>75</v>
      </c>
      <c r="G31" s="4">
        <v>46054</v>
      </c>
      <c r="H31" s="4">
        <v>46087</v>
      </c>
      <c r="I31" s="2" t="s">
        <v>15</v>
      </c>
      <c r="J31" s="2" t="s">
        <v>76</v>
      </c>
      <c r="K31" s="5">
        <v>-66.459999999999994</v>
      </c>
    </row>
    <row r="32" spans="1:11" x14ac:dyDescent="0.2">
      <c r="A32" s="2" t="s">
        <v>69</v>
      </c>
      <c r="B32" s="2"/>
      <c r="C32" s="3">
        <v>17886092</v>
      </c>
      <c r="D32" s="2" t="s">
        <v>77</v>
      </c>
      <c r="E32" s="2" t="s">
        <v>78</v>
      </c>
      <c r="F32" s="2" t="s">
        <v>79</v>
      </c>
      <c r="G32" s="4">
        <v>46082</v>
      </c>
      <c r="H32" s="4">
        <v>46087</v>
      </c>
      <c r="I32" s="2" t="s">
        <v>15</v>
      </c>
      <c r="J32" s="2" t="s">
        <v>65</v>
      </c>
      <c r="K32" s="5">
        <v>60.42</v>
      </c>
    </row>
    <row r="33" spans="1:11" x14ac:dyDescent="0.2">
      <c r="A33" s="2" t="s">
        <v>69</v>
      </c>
      <c r="B33" s="2"/>
      <c r="C33" s="3">
        <v>17886092</v>
      </c>
      <c r="D33" s="2" t="s">
        <v>80</v>
      </c>
      <c r="E33" s="2" t="s">
        <v>81</v>
      </c>
      <c r="F33" s="2" t="s">
        <v>82</v>
      </c>
      <c r="G33" s="4">
        <v>46054</v>
      </c>
      <c r="H33" s="4">
        <v>46087</v>
      </c>
      <c r="I33" s="2" t="s">
        <v>15</v>
      </c>
      <c r="J33" s="2" t="s">
        <v>76</v>
      </c>
      <c r="K33" s="5">
        <v>-66.459999999999994</v>
      </c>
    </row>
    <row r="34" spans="1:11" x14ac:dyDescent="0.2">
      <c r="A34" s="2" t="s">
        <v>69</v>
      </c>
      <c r="B34" s="2"/>
      <c r="C34" s="3">
        <v>17886092</v>
      </c>
      <c r="D34" s="2" t="s">
        <v>77</v>
      </c>
      <c r="E34" s="2" t="s">
        <v>83</v>
      </c>
      <c r="F34" s="2" t="s">
        <v>84</v>
      </c>
      <c r="G34" s="4">
        <v>46054</v>
      </c>
      <c r="H34" s="4">
        <v>46087</v>
      </c>
      <c r="I34" s="2" t="s">
        <v>15</v>
      </c>
      <c r="J34" s="2" t="s">
        <v>85</v>
      </c>
      <c r="K34" s="5">
        <v>66.459999999999994</v>
      </c>
    </row>
    <row r="35" spans="1:11" x14ac:dyDescent="0.2">
      <c r="A35" s="2" t="s">
        <v>69</v>
      </c>
      <c r="B35" s="2"/>
      <c r="C35" s="3">
        <v>17886092</v>
      </c>
      <c r="D35" s="2" t="s">
        <v>86</v>
      </c>
      <c r="E35" s="2" t="s">
        <v>87</v>
      </c>
      <c r="F35" s="2" t="s">
        <v>88</v>
      </c>
      <c r="G35" s="4">
        <v>46082</v>
      </c>
      <c r="H35" s="4">
        <v>46087</v>
      </c>
      <c r="I35" s="2" t="s">
        <v>15</v>
      </c>
      <c r="J35" s="2" t="s">
        <v>65</v>
      </c>
      <c r="K35" s="5">
        <v>60.42</v>
      </c>
    </row>
    <row r="36" spans="1:11" x14ac:dyDescent="0.2">
      <c r="A36" s="2" t="s">
        <v>69</v>
      </c>
      <c r="B36" s="2"/>
      <c r="C36" s="3">
        <v>17886092</v>
      </c>
      <c r="D36" s="2" t="s">
        <v>89</v>
      </c>
      <c r="E36" s="2" t="s">
        <v>90</v>
      </c>
      <c r="F36" s="2" t="s">
        <v>91</v>
      </c>
      <c r="G36" s="4">
        <v>46113</v>
      </c>
      <c r="H36" s="4">
        <v>46087</v>
      </c>
      <c r="I36" s="2" t="s">
        <v>15</v>
      </c>
      <c r="J36" s="2" t="s">
        <v>92</v>
      </c>
      <c r="K36" s="5">
        <v>55.63</v>
      </c>
    </row>
    <row r="37" spans="1:11" x14ac:dyDescent="0.2">
      <c r="A37" s="2" t="s">
        <v>69</v>
      </c>
      <c r="B37" s="2"/>
      <c r="C37" s="3">
        <v>17886092</v>
      </c>
      <c r="D37" s="2" t="s">
        <v>60</v>
      </c>
      <c r="E37" s="2" t="s">
        <v>93</v>
      </c>
      <c r="F37" s="2" t="s">
        <v>94</v>
      </c>
      <c r="G37" s="4">
        <v>46082</v>
      </c>
      <c r="H37" s="4">
        <v>46087</v>
      </c>
      <c r="I37" s="2" t="s">
        <v>15</v>
      </c>
      <c r="J37" s="2" t="s">
        <v>95</v>
      </c>
      <c r="K37" s="5">
        <v>52.08</v>
      </c>
    </row>
    <row r="38" spans="1:11" x14ac:dyDescent="0.2">
      <c r="A38" s="2" t="s">
        <v>69</v>
      </c>
      <c r="B38" s="2"/>
      <c r="C38" s="3">
        <v>17886092</v>
      </c>
      <c r="D38" s="2" t="s">
        <v>96</v>
      </c>
      <c r="E38" s="2" t="s">
        <v>97</v>
      </c>
      <c r="F38" s="2" t="s">
        <v>98</v>
      </c>
      <c r="G38" s="4">
        <v>46054</v>
      </c>
      <c r="H38" s="4">
        <v>46087</v>
      </c>
      <c r="I38" s="2" t="s">
        <v>15</v>
      </c>
      <c r="J38" s="2" t="s">
        <v>66</v>
      </c>
      <c r="K38" s="5">
        <v>43.54</v>
      </c>
    </row>
    <row r="39" spans="1:11" x14ac:dyDescent="0.2">
      <c r="A39" s="2" t="s">
        <v>69</v>
      </c>
      <c r="B39" s="2"/>
      <c r="C39" s="3">
        <v>17886092</v>
      </c>
      <c r="D39" s="2" t="s">
        <v>99</v>
      </c>
      <c r="E39" s="2" t="s">
        <v>97</v>
      </c>
      <c r="F39" s="2" t="s">
        <v>100</v>
      </c>
      <c r="G39" s="4">
        <v>46054</v>
      </c>
      <c r="H39" s="4">
        <v>46087</v>
      </c>
      <c r="I39" s="2" t="s">
        <v>15</v>
      </c>
      <c r="J39" s="2" t="s">
        <v>66</v>
      </c>
      <c r="K39" s="5">
        <v>43.54</v>
      </c>
    </row>
    <row r="40" spans="1:11" x14ac:dyDescent="0.2">
      <c r="A40" s="2" t="s">
        <v>101</v>
      </c>
      <c r="B40" s="2"/>
      <c r="C40" s="3">
        <v>20253958</v>
      </c>
      <c r="D40" s="2" t="s">
        <v>102</v>
      </c>
      <c r="E40" s="2" t="s">
        <v>103</v>
      </c>
      <c r="F40" s="2" t="s">
        <v>104</v>
      </c>
      <c r="G40" s="4">
        <v>46143</v>
      </c>
      <c r="H40" s="4">
        <v>46087</v>
      </c>
      <c r="I40" s="2" t="s">
        <v>15</v>
      </c>
      <c r="J40" s="2" t="s">
        <v>105</v>
      </c>
      <c r="K40" s="5">
        <v>48.34</v>
      </c>
    </row>
    <row r="41" spans="1:11" x14ac:dyDescent="0.2">
      <c r="A41" s="2" t="s">
        <v>101</v>
      </c>
      <c r="B41" s="2"/>
      <c r="C41" s="3">
        <v>20253958</v>
      </c>
      <c r="D41" s="2" t="s">
        <v>106</v>
      </c>
      <c r="E41" s="2" t="s">
        <v>107</v>
      </c>
      <c r="F41" s="2" t="s">
        <v>108</v>
      </c>
      <c r="G41" s="4">
        <v>46082</v>
      </c>
      <c r="H41" s="4">
        <v>46087</v>
      </c>
      <c r="I41" s="2" t="s">
        <v>15</v>
      </c>
      <c r="J41" s="2" t="s">
        <v>63</v>
      </c>
      <c r="K41" s="5">
        <v>49.59</v>
      </c>
    </row>
    <row r="42" spans="1:11" x14ac:dyDescent="0.2">
      <c r="A42" s="2" t="s">
        <v>101</v>
      </c>
      <c r="B42" s="2"/>
      <c r="C42" s="3">
        <v>20253958</v>
      </c>
      <c r="D42" s="2" t="s">
        <v>109</v>
      </c>
      <c r="E42" s="2" t="s">
        <v>110</v>
      </c>
      <c r="F42" s="2" t="s">
        <v>111</v>
      </c>
      <c r="G42" s="4">
        <v>46113</v>
      </c>
      <c r="H42" s="4">
        <v>46087</v>
      </c>
      <c r="I42" s="2" t="s">
        <v>15</v>
      </c>
      <c r="J42" s="2" t="s">
        <v>92</v>
      </c>
      <c r="K42" s="5">
        <v>55.63</v>
      </c>
    </row>
    <row r="43" spans="1:11" x14ac:dyDescent="0.2">
      <c r="A43" s="2" t="s">
        <v>101</v>
      </c>
      <c r="B43" s="2"/>
      <c r="C43" s="3">
        <v>20253958</v>
      </c>
      <c r="D43" s="2" t="s">
        <v>112</v>
      </c>
      <c r="E43" s="2" t="s">
        <v>113</v>
      </c>
      <c r="F43" s="2" t="s">
        <v>114</v>
      </c>
      <c r="G43" s="4">
        <v>46082</v>
      </c>
      <c r="H43" s="4">
        <v>46087</v>
      </c>
      <c r="I43" s="2" t="s">
        <v>15</v>
      </c>
      <c r="J43" s="2" t="s">
        <v>63</v>
      </c>
      <c r="K43" s="5">
        <v>49.59</v>
      </c>
    </row>
    <row r="44" spans="1:11" x14ac:dyDescent="0.2">
      <c r="A44" s="2" t="s">
        <v>101</v>
      </c>
      <c r="B44" s="2"/>
      <c r="C44" s="3">
        <v>20253958</v>
      </c>
      <c r="D44" s="2" t="s">
        <v>115</v>
      </c>
      <c r="E44" s="2" t="s">
        <v>116</v>
      </c>
      <c r="F44" s="2" t="s">
        <v>117</v>
      </c>
      <c r="G44" s="4">
        <v>46082</v>
      </c>
      <c r="H44" s="4">
        <v>46087</v>
      </c>
      <c r="I44" s="2" t="s">
        <v>15</v>
      </c>
      <c r="J44" s="2" t="s">
        <v>63</v>
      </c>
      <c r="K44" s="5">
        <v>49.59</v>
      </c>
    </row>
    <row r="45" spans="1:11" x14ac:dyDescent="0.2">
      <c r="A45" s="2" t="s">
        <v>101</v>
      </c>
      <c r="B45" s="2"/>
      <c r="C45" s="3">
        <v>20253958</v>
      </c>
      <c r="D45" s="2" t="s">
        <v>118</v>
      </c>
      <c r="E45" s="2" t="s">
        <v>119</v>
      </c>
      <c r="F45" s="2" t="s">
        <v>120</v>
      </c>
      <c r="G45" s="4">
        <v>46054</v>
      </c>
      <c r="H45" s="4">
        <v>46087</v>
      </c>
      <c r="I45" s="2" t="s">
        <v>15</v>
      </c>
      <c r="J45" s="2" t="s">
        <v>66</v>
      </c>
      <c r="K45" s="5">
        <v>43.54</v>
      </c>
    </row>
    <row r="46" spans="1:11" x14ac:dyDescent="0.2">
      <c r="A46" s="2" t="s">
        <v>101</v>
      </c>
      <c r="B46" s="2"/>
      <c r="C46" s="3">
        <v>20253958</v>
      </c>
      <c r="D46" s="2" t="s">
        <v>121</v>
      </c>
      <c r="E46" s="2" t="s">
        <v>122</v>
      </c>
      <c r="F46" s="2" t="s">
        <v>123</v>
      </c>
      <c r="G46" s="4">
        <v>46054</v>
      </c>
      <c r="H46" s="4">
        <v>46087</v>
      </c>
      <c r="I46" s="2" t="s">
        <v>15</v>
      </c>
      <c r="J46" s="2" t="s">
        <v>66</v>
      </c>
      <c r="K46" s="5">
        <v>43.54</v>
      </c>
    </row>
    <row r="47" spans="1:11" x14ac:dyDescent="0.2">
      <c r="A47" s="2" t="s">
        <v>101</v>
      </c>
      <c r="B47" s="2"/>
      <c r="C47" s="3">
        <v>20253958</v>
      </c>
      <c r="D47" s="2" t="s">
        <v>124</v>
      </c>
      <c r="E47" s="2" t="s">
        <v>125</v>
      </c>
      <c r="F47" s="2" t="s">
        <v>126</v>
      </c>
      <c r="G47" s="4">
        <v>46113</v>
      </c>
      <c r="H47" s="4">
        <v>46087</v>
      </c>
      <c r="I47" s="2" t="s">
        <v>15</v>
      </c>
      <c r="J47" s="2" t="s">
        <v>92</v>
      </c>
      <c r="K47" s="5">
        <v>55.63</v>
      </c>
    </row>
    <row r="48" spans="1:11" x14ac:dyDescent="0.2">
      <c r="A48" s="2" t="s">
        <v>101</v>
      </c>
      <c r="B48" s="2"/>
      <c r="C48" s="3">
        <v>20253958</v>
      </c>
      <c r="D48" s="2" t="s">
        <v>127</v>
      </c>
      <c r="E48" s="2" t="s">
        <v>128</v>
      </c>
      <c r="F48" s="2" t="s">
        <v>129</v>
      </c>
      <c r="G48" s="4">
        <v>46082</v>
      </c>
      <c r="H48" s="4">
        <v>46087</v>
      </c>
      <c r="I48" s="2" t="s">
        <v>15</v>
      </c>
      <c r="J48" s="2" t="s">
        <v>63</v>
      </c>
      <c r="K48" s="5">
        <v>49.59</v>
      </c>
    </row>
    <row r="49" spans="1:11" x14ac:dyDescent="0.2">
      <c r="A49" s="2" t="s">
        <v>36</v>
      </c>
      <c r="B49" s="2"/>
      <c r="C49" s="3">
        <v>15950276</v>
      </c>
      <c r="D49" s="2" t="s">
        <v>37</v>
      </c>
      <c r="E49" s="2" t="s">
        <v>38</v>
      </c>
      <c r="F49" s="2" t="s">
        <v>39</v>
      </c>
      <c r="G49" s="4">
        <v>46082</v>
      </c>
      <c r="H49" s="4">
        <v>46087</v>
      </c>
      <c r="I49" s="2" t="s">
        <v>15</v>
      </c>
      <c r="J49" s="2" t="s">
        <v>65</v>
      </c>
      <c r="K49" s="5">
        <v>90.62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5B22-B04D-40D9-9E5F-DB263B61FDB7}">
  <dimension ref="A1:S58"/>
  <sheetViews>
    <sheetView workbookViewId="0">
      <selection activeCell="O2" sqref="O2:O58"/>
    </sheetView>
  </sheetViews>
  <sheetFormatPr defaultColWidth="12.5703125" defaultRowHeight="12.75" x14ac:dyDescent="0.2"/>
  <cols>
    <col min="1" max="1" width="16.42578125" bestFit="1" customWidth="1"/>
    <col min="11" max="11" width="53" customWidth="1"/>
    <col min="14" max="14" width="25.5703125" bestFit="1" customWidth="1"/>
  </cols>
  <sheetData>
    <row r="1" spans="1:19" x14ac:dyDescent="0.2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</row>
    <row r="2" spans="1:19" s="13" customFormat="1" x14ac:dyDescent="0.2">
      <c r="A2" s="29" t="s">
        <v>11</v>
      </c>
      <c r="B2" s="30">
        <v>18598357</v>
      </c>
      <c r="C2" s="29" t="s">
        <v>12</v>
      </c>
      <c r="D2" s="29" t="s">
        <v>13</v>
      </c>
      <c r="E2" s="23" t="str">
        <f>CONCATENATE(C2," ", D2)</f>
        <v>Mildred Rivera Silva</v>
      </c>
      <c r="F2" s="31">
        <v>61770</v>
      </c>
      <c r="G2" s="31" t="str">
        <f>CONCATENATE(F2,55)</f>
        <v>6177055</v>
      </c>
      <c r="H2" s="32">
        <v>45658</v>
      </c>
      <c r="I2" s="32">
        <v>46087</v>
      </c>
      <c r="J2" s="29" t="s">
        <v>15</v>
      </c>
      <c r="K2" s="29" t="s">
        <v>16</v>
      </c>
      <c r="L2" s="33">
        <v>-353</v>
      </c>
      <c r="M2" s="33">
        <v>-353</v>
      </c>
      <c r="N2" s="31" t="s">
        <v>131</v>
      </c>
      <c r="O2" s="34" t="s">
        <v>137</v>
      </c>
      <c r="P2" s="31"/>
      <c r="Q2" s="31"/>
      <c r="R2" s="29"/>
      <c r="S2" s="31"/>
    </row>
    <row r="3" spans="1:19" s="13" customFormat="1" x14ac:dyDescent="0.2">
      <c r="A3" s="2" t="s">
        <v>11</v>
      </c>
      <c r="B3" s="3">
        <v>18598357</v>
      </c>
      <c r="C3" s="2" t="s">
        <v>12</v>
      </c>
      <c r="D3" s="2" t="s">
        <v>13</v>
      </c>
      <c r="E3" s="23" t="str">
        <f>CONCATENATE(C3," ", D3)</f>
        <v>Mildred Rivera Silva</v>
      </c>
      <c r="F3">
        <v>61770</v>
      </c>
      <c r="G3" s="31" t="str">
        <f>CONCATENATE(F3,55)</f>
        <v>6177055</v>
      </c>
      <c r="H3" s="4">
        <v>45658</v>
      </c>
      <c r="I3" s="4">
        <v>46087</v>
      </c>
      <c r="J3" s="2" t="s">
        <v>15</v>
      </c>
      <c r="K3" s="2" t="s">
        <v>17</v>
      </c>
      <c r="L3" s="5">
        <v>294.16000000000003</v>
      </c>
      <c r="M3" s="5">
        <v>294.16000000000003</v>
      </c>
      <c r="N3" t="s">
        <v>131</v>
      </c>
      <c r="O3" s="22" t="s">
        <v>136</v>
      </c>
      <c r="P3"/>
      <c r="Q3"/>
      <c r="R3" s="2"/>
      <c r="S3"/>
    </row>
    <row r="4" spans="1:19" s="13" customFormat="1" x14ac:dyDescent="0.2">
      <c r="A4" s="23" t="s">
        <v>18</v>
      </c>
      <c r="B4" s="24" t="s">
        <v>140</v>
      </c>
      <c r="C4" s="23" t="s">
        <v>53</v>
      </c>
      <c r="D4" s="23" t="s">
        <v>54</v>
      </c>
      <c r="E4" s="23" t="str">
        <f>CONCATENATE(C4," ", D4)</f>
        <v>Calvin Mullen</v>
      </c>
      <c r="F4" s="25">
        <v>76280</v>
      </c>
      <c r="G4" s="25" t="str">
        <f>CONCATENATE(F4,"PDP")</f>
        <v>76280PDP</v>
      </c>
      <c r="H4" s="26">
        <v>46082</v>
      </c>
      <c r="I4" s="26">
        <v>46087</v>
      </c>
      <c r="J4" s="23" t="s">
        <v>15</v>
      </c>
      <c r="K4" s="23" t="s">
        <v>56</v>
      </c>
      <c r="L4" s="27">
        <v>45.83</v>
      </c>
      <c r="M4" s="27">
        <v>45.83</v>
      </c>
      <c r="N4" s="25" t="s">
        <v>138</v>
      </c>
      <c r="O4" s="25"/>
      <c r="P4" s="25"/>
      <c r="Q4" s="25"/>
      <c r="R4" s="23"/>
      <c r="S4" s="25"/>
    </row>
    <row r="5" spans="1:19" s="13" customFormat="1" x14ac:dyDescent="0.2">
      <c r="A5" s="16" t="s">
        <v>18</v>
      </c>
      <c r="B5" s="17" t="s">
        <v>140</v>
      </c>
      <c r="C5" s="16" t="s">
        <v>19</v>
      </c>
      <c r="D5" s="16" t="s">
        <v>20</v>
      </c>
      <c r="E5" s="23" t="str">
        <f>CONCATENATE(C5," ", D5)</f>
        <v>Otis Johnson</v>
      </c>
      <c r="F5" s="18">
        <v>95710</v>
      </c>
      <c r="G5" s="18" t="str">
        <f>CONCATENATE(F5,75)</f>
        <v>9571075</v>
      </c>
      <c r="H5" s="19">
        <v>46054</v>
      </c>
      <c r="I5" s="19">
        <v>46087</v>
      </c>
      <c r="J5" s="16" t="s">
        <v>15</v>
      </c>
      <c r="K5" s="16" t="s">
        <v>22</v>
      </c>
      <c r="L5" s="20">
        <v>381.42</v>
      </c>
      <c r="M5" s="20">
        <v>705</v>
      </c>
      <c r="N5" s="18" t="s">
        <v>132</v>
      </c>
      <c r="O5" s="21" t="s">
        <v>133</v>
      </c>
      <c r="P5" s="18"/>
      <c r="Q5" s="18"/>
      <c r="R5" s="16"/>
      <c r="S5" s="18"/>
    </row>
    <row r="6" spans="1:19" s="13" customFormat="1" x14ac:dyDescent="0.2">
      <c r="A6" s="16" t="s">
        <v>18</v>
      </c>
      <c r="B6" s="17" t="s">
        <v>140</v>
      </c>
      <c r="C6" s="16" t="s">
        <v>23</v>
      </c>
      <c r="D6" s="16" t="s">
        <v>24</v>
      </c>
      <c r="E6" s="23" t="str">
        <f>CONCATENATE(C6," ", D6)</f>
        <v>Dennis Mcconnell</v>
      </c>
      <c r="F6" s="18">
        <v>72210</v>
      </c>
      <c r="G6" s="18" t="str">
        <f>CONCATENATE(F6,75)</f>
        <v>7221075</v>
      </c>
      <c r="H6" s="19">
        <v>46054</v>
      </c>
      <c r="I6" s="19">
        <v>46087</v>
      </c>
      <c r="J6" s="16" t="s">
        <v>15</v>
      </c>
      <c r="K6" s="16" t="s">
        <v>22</v>
      </c>
      <c r="L6" s="20">
        <v>381.42</v>
      </c>
      <c r="M6" s="20">
        <v>705</v>
      </c>
      <c r="N6" s="18" t="s">
        <v>132</v>
      </c>
      <c r="O6" s="21" t="s">
        <v>133</v>
      </c>
      <c r="P6" s="18"/>
      <c r="Q6" s="18"/>
      <c r="R6" s="16"/>
      <c r="S6" s="18"/>
    </row>
    <row r="7" spans="1:19" s="18" customFormat="1" x14ac:dyDescent="0.2">
      <c r="A7" s="16" t="s">
        <v>18</v>
      </c>
      <c r="B7" s="17" t="s">
        <v>140</v>
      </c>
      <c r="C7" s="16" t="s">
        <v>26</v>
      </c>
      <c r="D7" s="16" t="s">
        <v>27</v>
      </c>
      <c r="E7" s="23" t="str">
        <f>CONCATENATE(C7," ", D7)</f>
        <v>Laurie Rosso</v>
      </c>
      <c r="F7" s="18">
        <v>19120</v>
      </c>
      <c r="G7" s="18" t="str">
        <f>CONCATENATE(F7,75)</f>
        <v>1912075</v>
      </c>
      <c r="H7" s="19">
        <v>46054</v>
      </c>
      <c r="I7" s="19">
        <v>46087</v>
      </c>
      <c r="J7" s="16" t="s">
        <v>15</v>
      </c>
      <c r="K7" s="16" t="s">
        <v>22</v>
      </c>
      <c r="L7" s="20">
        <v>381.42</v>
      </c>
      <c r="M7" s="20">
        <v>705</v>
      </c>
      <c r="N7" s="18" t="s">
        <v>132</v>
      </c>
      <c r="O7" s="21" t="s">
        <v>133</v>
      </c>
      <c r="R7" s="16"/>
    </row>
    <row r="8" spans="1:19" s="18" customFormat="1" x14ac:dyDescent="0.2">
      <c r="A8" s="16" t="s">
        <v>18</v>
      </c>
      <c r="B8" s="17" t="s">
        <v>140</v>
      </c>
      <c r="C8" s="16" t="s">
        <v>29</v>
      </c>
      <c r="D8" s="16" t="s">
        <v>30</v>
      </c>
      <c r="E8" s="23" t="str">
        <f>CONCATENATE(C8," ", D8)</f>
        <v>John Senderling</v>
      </c>
      <c r="F8" s="18">
        <v>93850</v>
      </c>
      <c r="G8" s="18" t="str">
        <f>CONCATENATE(F8,75)</f>
        <v>9385075</v>
      </c>
      <c r="H8" s="19">
        <v>46054</v>
      </c>
      <c r="I8" s="19">
        <v>46087</v>
      </c>
      <c r="J8" s="16" t="s">
        <v>15</v>
      </c>
      <c r="K8" s="16" t="s">
        <v>22</v>
      </c>
      <c r="L8" s="20">
        <v>381.42</v>
      </c>
      <c r="M8" s="20">
        <v>705</v>
      </c>
      <c r="N8" s="18" t="s">
        <v>132</v>
      </c>
      <c r="O8" s="21" t="s">
        <v>133</v>
      </c>
      <c r="R8" s="16"/>
    </row>
    <row r="9" spans="1:19" s="18" customFormat="1" x14ac:dyDescent="0.2">
      <c r="A9" s="16" t="s">
        <v>18</v>
      </c>
      <c r="B9" s="17" t="s">
        <v>140</v>
      </c>
      <c r="C9" s="16" t="s">
        <v>45</v>
      </c>
      <c r="D9" s="16" t="s">
        <v>46</v>
      </c>
      <c r="E9" s="23" t="str">
        <f>CONCATENATE(C9," ", D9)</f>
        <v>Diana Gianino</v>
      </c>
      <c r="F9" s="18">
        <v>74230</v>
      </c>
      <c r="G9" s="18" t="str">
        <f>CONCATENATE(F9,75)</f>
        <v>7423075</v>
      </c>
      <c r="H9" s="19">
        <v>46082</v>
      </c>
      <c r="I9" s="19">
        <v>46087</v>
      </c>
      <c r="J9" s="16" t="s">
        <v>15</v>
      </c>
      <c r="K9" s="16" t="s">
        <v>44</v>
      </c>
      <c r="L9" s="20">
        <v>410.83</v>
      </c>
      <c r="M9" s="20">
        <v>705</v>
      </c>
      <c r="N9" s="18" t="s">
        <v>132</v>
      </c>
      <c r="O9" s="21" t="s">
        <v>133</v>
      </c>
      <c r="R9" s="16"/>
    </row>
    <row r="10" spans="1:19" s="18" customFormat="1" x14ac:dyDescent="0.2">
      <c r="A10" s="16" t="s">
        <v>18</v>
      </c>
      <c r="B10" s="17" t="s">
        <v>140</v>
      </c>
      <c r="C10" s="16" t="s">
        <v>57</v>
      </c>
      <c r="D10" s="16" t="s">
        <v>58</v>
      </c>
      <c r="E10" s="23" t="str">
        <f>CONCATENATE(C10," ", D10)</f>
        <v>Jane Young</v>
      </c>
      <c r="F10" s="18">
        <v>26280</v>
      </c>
      <c r="G10" s="18" t="str">
        <f>CONCATENATE(F10,75)</f>
        <v>2628075</v>
      </c>
      <c r="H10" s="19">
        <v>46082</v>
      </c>
      <c r="I10" s="19">
        <v>46087</v>
      </c>
      <c r="J10" s="16" t="s">
        <v>15</v>
      </c>
      <c r="K10" s="16" t="s">
        <v>44</v>
      </c>
      <c r="L10" s="20">
        <v>410.83</v>
      </c>
      <c r="M10" s="20">
        <v>705</v>
      </c>
      <c r="N10" s="18" t="s">
        <v>132</v>
      </c>
      <c r="O10" s="21" t="s">
        <v>133</v>
      </c>
      <c r="R10" s="16"/>
    </row>
    <row r="11" spans="1:19" s="18" customFormat="1" x14ac:dyDescent="0.2">
      <c r="A11" s="2" t="s">
        <v>18</v>
      </c>
      <c r="B11" s="3" t="s">
        <v>140</v>
      </c>
      <c r="C11" s="2" t="s">
        <v>48</v>
      </c>
      <c r="D11" s="2" t="s">
        <v>49</v>
      </c>
      <c r="E11" s="23" t="str">
        <f>CONCATENATE(C11," ", D11)</f>
        <v>Edna Kuklis</v>
      </c>
      <c r="F11">
        <v>55510</v>
      </c>
      <c r="G11" s="31" t="str">
        <f>CONCATENATE(F11,55)</f>
        <v>5551055</v>
      </c>
      <c r="H11" s="4">
        <v>45870</v>
      </c>
      <c r="I11" s="4">
        <v>46087</v>
      </c>
      <c r="J11" s="2" t="s">
        <v>15</v>
      </c>
      <c r="K11" s="2" t="s">
        <v>52</v>
      </c>
      <c r="L11" s="5">
        <v>-29.41</v>
      </c>
      <c r="M11" s="5">
        <v>-29.41</v>
      </c>
      <c r="N11" t="s">
        <v>131</v>
      </c>
      <c r="O11" s="22" t="s">
        <v>135</v>
      </c>
      <c r="P11"/>
      <c r="Q11"/>
      <c r="R11" s="2"/>
      <c r="S11"/>
    </row>
    <row r="12" spans="1:19" s="31" customFormat="1" x14ac:dyDescent="0.2">
      <c r="A12" s="2" t="s">
        <v>18</v>
      </c>
      <c r="B12" s="3" t="s">
        <v>140</v>
      </c>
      <c r="C12" s="2" t="s">
        <v>48</v>
      </c>
      <c r="D12" s="2" t="s">
        <v>49</v>
      </c>
      <c r="E12" s="23" t="str">
        <f>CONCATENATE(C12," ", D12)</f>
        <v>Edna Kuklis</v>
      </c>
      <c r="F12">
        <v>55510</v>
      </c>
      <c r="G12" s="31" t="str">
        <f>CONCATENATE(F12,55)</f>
        <v>5551055</v>
      </c>
      <c r="H12" s="4">
        <v>45870</v>
      </c>
      <c r="I12" s="4">
        <v>46087</v>
      </c>
      <c r="J12" s="2" t="s">
        <v>15</v>
      </c>
      <c r="K12" s="2" t="s">
        <v>51</v>
      </c>
      <c r="L12" s="5">
        <v>29.41</v>
      </c>
      <c r="M12" s="5">
        <v>29.41</v>
      </c>
      <c r="N12" t="s">
        <v>131</v>
      </c>
      <c r="O12" s="22" t="s">
        <v>135</v>
      </c>
      <c r="P12"/>
      <c r="Q12"/>
      <c r="R12" s="2"/>
      <c r="S12"/>
    </row>
    <row r="13" spans="1:19" s="10" customFormat="1" x14ac:dyDescent="0.2">
      <c r="A13" s="11" t="s">
        <v>18</v>
      </c>
      <c r="B13" s="12" t="s">
        <v>140</v>
      </c>
      <c r="C13" s="11" t="s">
        <v>19</v>
      </c>
      <c r="D13" s="11" t="s">
        <v>20</v>
      </c>
      <c r="E13" s="23" t="str">
        <f>CONCATENATE(C13," ", D13)</f>
        <v>Otis Johnson</v>
      </c>
      <c r="F13" s="13">
        <v>95710</v>
      </c>
      <c r="G13" s="13" t="str">
        <f>CONCATENATE(F13,55)</f>
        <v>9571055</v>
      </c>
      <c r="H13" s="14">
        <v>46054</v>
      </c>
      <c r="I13" s="14">
        <v>46087</v>
      </c>
      <c r="J13" s="11" t="s">
        <v>15</v>
      </c>
      <c r="K13" s="11" t="s">
        <v>22</v>
      </c>
      <c r="L13" s="15">
        <v>381.42</v>
      </c>
      <c r="M13" s="15">
        <v>-323.58</v>
      </c>
      <c r="N13" s="13" t="s">
        <v>131</v>
      </c>
      <c r="O13" s="13" t="s">
        <v>130</v>
      </c>
      <c r="P13" s="13"/>
      <c r="Q13" s="13"/>
      <c r="R13" s="11"/>
      <c r="S13" s="13"/>
    </row>
    <row r="14" spans="1:19" s="10" customFormat="1" x14ac:dyDescent="0.2">
      <c r="A14" s="11" t="s">
        <v>18</v>
      </c>
      <c r="B14" s="12" t="s">
        <v>140</v>
      </c>
      <c r="C14" s="11" t="s">
        <v>23</v>
      </c>
      <c r="D14" s="11" t="s">
        <v>24</v>
      </c>
      <c r="E14" s="23" t="str">
        <f>CONCATENATE(C14," ", D14)</f>
        <v>Dennis Mcconnell</v>
      </c>
      <c r="F14" s="13">
        <v>72210</v>
      </c>
      <c r="G14" s="13" t="str">
        <f>CONCATENATE(F14,55)</f>
        <v>7221055</v>
      </c>
      <c r="H14" s="14">
        <v>46054</v>
      </c>
      <c r="I14" s="14">
        <v>46087</v>
      </c>
      <c r="J14" s="11" t="s">
        <v>15</v>
      </c>
      <c r="K14" s="11" t="s">
        <v>22</v>
      </c>
      <c r="L14" s="15">
        <v>381.42</v>
      </c>
      <c r="M14" s="15">
        <v>-323.58</v>
      </c>
      <c r="N14" s="13" t="s">
        <v>131</v>
      </c>
      <c r="O14" s="13" t="s">
        <v>130</v>
      </c>
      <c r="P14" s="13"/>
      <c r="Q14" s="13"/>
      <c r="R14" s="11"/>
      <c r="S14" s="13"/>
    </row>
    <row r="15" spans="1:19" s="10" customFormat="1" x14ac:dyDescent="0.2">
      <c r="A15" s="11" t="s">
        <v>18</v>
      </c>
      <c r="B15" s="12" t="s">
        <v>140</v>
      </c>
      <c r="C15" s="11" t="s">
        <v>26</v>
      </c>
      <c r="D15" s="11" t="s">
        <v>27</v>
      </c>
      <c r="E15" s="23" t="str">
        <f>CONCATENATE(C15," ", D15)</f>
        <v>Laurie Rosso</v>
      </c>
      <c r="F15" s="13">
        <v>19120</v>
      </c>
      <c r="G15" s="13" t="str">
        <f>CONCATENATE(F15,55)</f>
        <v>1912055</v>
      </c>
      <c r="H15" s="14">
        <v>46054</v>
      </c>
      <c r="I15" s="14">
        <v>46087</v>
      </c>
      <c r="J15" s="11" t="s">
        <v>15</v>
      </c>
      <c r="K15" s="11" t="s">
        <v>22</v>
      </c>
      <c r="L15" s="15">
        <v>381.42</v>
      </c>
      <c r="M15" s="15">
        <v>-323.58</v>
      </c>
      <c r="N15" s="13" t="s">
        <v>131</v>
      </c>
      <c r="O15" s="13" t="s">
        <v>130</v>
      </c>
      <c r="P15" s="13"/>
      <c r="Q15" s="13"/>
      <c r="R15" s="11"/>
      <c r="S15" s="13"/>
    </row>
    <row r="16" spans="1:19" s="10" customFormat="1" x14ac:dyDescent="0.2">
      <c r="A16" s="11" t="s">
        <v>18</v>
      </c>
      <c r="B16" s="12" t="s">
        <v>140</v>
      </c>
      <c r="C16" s="11" t="s">
        <v>29</v>
      </c>
      <c r="D16" s="11" t="s">
        <v>30</v>
      </c>
      <c r="E16" s="23" t="str">
        <f>CONCATENATE(C16," ", D16)</f>
        <v>John Senderling</v>
      </c>
      <c r="F16" s="13">
        <v>93850</v>
      </c>
      <c r="G16" s="13" t="str">
        <f>CONCATENATE(F16,55)</f>
        <v>9385055</v>
      </c>
      <c r="H16" s="14">
        <v>46054</v>
      </c>
      <c r="I16" s="14">
        <v>46087</v>
      </c>
      <c r="J16" s="11" t="s">
        <v>15</v>
      </c>
      <c r="K16" s="11" t="s">
        <v>22</v>
      </c>
      <c r="L16" s="15">
        <v>381.42</v>
      </c>
      <c r="M16" s="15">
        <v>-323.58</v>
      </c>
      <c r="N16" s="13" t="s">
        <v>131</v>
      </c>
      <c r="O16" s="13" t="s">
        <v>130</v>
      </c>
      <c r="P16" s="13"/>
      <c r="Q16" s="13"/>
      <c r="R16" s="11"/>
      <c r="S16" s="13"/>
    </row>
    <row r="17" spans="1:19" s="10" customFormat="1" x14ac:dyDescent="0.2">
      <c r="A17" s="11" t="s">
        <v>18</v>
      </c>
      <c r="B17" s="12" t="s">
        <v>140</v>
      </c>
      <c r="C17" s="11" t="s">
        <v>45</v>
      </c>
      <c r="D17" s="11" t="s">
        <v>46</v>
      </c>
      <c r="E17" s="23" t="str">
        <f>CONCATENATE(C17," ", D17)</f>
        <v>Diana Gianino</v>
      </c>
      <c r="F17" s="13">
        <v>74230</v>
      </c>
      <c r="G17" s="13" t="str">
        <f>CONCATENATE(F17,55)</f>
        <v>7423055</v>
      </c>
      <c r="H17" s="14">
        <v>46082</v>
      </c>
      <c r="I17" s="14">
        <v>46087</v>
      </c>
      <c r="J17" s="11" t="s">
        <v>15</v>
      </c>
      <c r="K17" s="11" t="s">
        <v>44</v>
      </c>
      <c r="L17" s="15">
        <v>410.83</v>
      </c>
      <c r="M17" s="15">
        <v>-294.16000000000003</v>
      </c>
      <c r="N17" s="13" t="s">
        <v>131</v>
      </c>
      <c r="O17" s="28" t="s">
        <v>136</v>
      </c>
      <c r="P17" s="13"/>
      <c r="Q17" s="13"/>
      <c r="R17" s="11"/>
      <c r="S17" s="13"/>
    </row>
    <row r="18" spans="1:19" s="10" customFormat="1" x14ac:dyDescent="0.2">
      <c r="A18" s="11" t="s">
        <v>18</v>
      </c>
      <c r="B18" s="12" t="s">
        <v>140</v>
      </c>
      <c r="C18" s="11" t="s">
        <v>57</v>
      </c>
      <c r="D18" s="11" t="s">
        <v>58</v>
      </c>
      <c r="E18" s="23" t="str">
        <f>CONCATENATE(C18," ", D18)</f>
        <v>Jane Young</v>
      </c>
      <c r="F18" s="13">
        <v>26280</v>
      </c>
      <c r="G18" s="13" t="str">
        <f>CONCATENATE(F18,55)</f>
        <v>2628055</v>
      </c>
      <c r="H18" s="14">
        <v>46082</v>
      </c>
      <c r="I18" s="14">
        <v>46087</v>
      </c>
      <c r="J18" s="11" t="s">
        <v>15</v>
      </c>
      <c r="K18" s="11" t="s">
        <v>44</v>
      </c>
      <c r="L18" s="15">
        <v>410.83</v>
      </c>
      <c r="M18" s="15">
        <v>-294.16000000000003</v>
      </c>
      <c r="N18" s="13" t="s">
        <v>131</v>
      </c>
      <c r="O18" s="28" t="s">
        <v>136</v>
      </c>
      <c r="P18" s="13"/>
      <c r="Q18" s="13"/>
      <c r="R18" s="11"/>
      <c r="S18" s="13"/>
    </row>
    <row r="19" spans="1:19" s="10" customFormat="1" x14ac:dyDescent="0.2">
      <c r="A19" s="6" t="s">
        <v>139</v>
      </c>
      <c r="B19" s="7">
        <v>20411454</v>
      </c>
      <c r="C19" s="6" t="s">
        <v>12</v>
      </c>
      <c r="D19" s="6" t="s">
        <v>13</v>
      </c>
      <c r="E19" s="23" t="str">
        <f>CONCATENATE(C19," ", D19)</f>
        <v>Mildred Rivera Silva</v>
      </c>
      <c r="F19" s="10">
        <v>61770</v>
      </c>
      <c r="G19" s="10" t="str">
        <f>CONCATENATE(F19,"OVR")</f>
        <v>61770OVR</v>
      </c>
      <c r="H19" s="8">
        <v>45658</v>
      </c>
      <c r="I19" s="8">
        <v>46087</v>
      </c>
      <c r="J19" s="6" t="s">
        <v>15</v>
      </c>
      <c r="K19" s="6" t="s">
        <v>64</v>
      </c>
      <c r="L19" s="9">
        <v>-108.75</v>
      </c>
      <c r="M19" s="9">
        <v>-108.75</v>
      </c>
      <c r="N19" s="10" t="s">
        <v>134</v>
      </c>
      <c r="R19" s="6"/>
    </row>
    <row r="20" spans="1:19" s="10" customFormat="1" x14ac:dyDescent="0.2">
      <c r="A20" s="6" t="s">
        <v>139</v>
      </c>
      <c r="B20" s="7">
        <v>20411454</v>
      </c>
      <c r="C20" s="6" t="s">
        <v>73</v>
      </c>
      <c r="D20" s="6" t="s">
        <v>74</v>
      </c>
      <c r="E20" s="23" t="str">
        <f>CONCATENATE(C20," ", D20)</f>
        <v>David Cramer</v>
      </c>
      <c r="F20" s="10">
        <v>58370</v>
      </c>
      <c r="G20" s="10" t="str">
        <f>CONCATENATE(F20,"OVR")</f>
        <v>58370OVR</v>
      </c>
      <c r="H20" s="8">
        <v>46054</v>
      </c>
      <c r="I20" s="8">
        <v>46087</v>
      </c>
      <c r="J20" s="6" t="s">
        <v>15</v>
      </c>
      <c r="K20" s="6" t="s">
        <v>76</v>
      </c>
      <c r="L20" s="9">
        <v>-66.459999999999994</v>
      </c>
      <c r="M20" s="9">
        <v>-66.459999999999994</v>
      </c>
      <c r="N20" s="10" t="s">
        <v>134</v>
      </c>
      <c r="R20" s="6"/>
    </row>
    <row r="21" spans="1:19" s="10" customFormat="1" x14ac:dyDescent="0.2">
      <c r="A21" s="6" t="s">
        <v>139</v>
      </c>
      <c r="B21" s="7">
        <v>20411454</v>
      </c>
      <c r="C21" s="6" t="s">
        <v>80</v>
      </c>
      <c r="D21" s="6" t="s">
        <v>81</v>
      </c>
      <c r="E21" s="23" t="str">
        <f>CONCATENATE(C21," ", D21)</f>
        <v>Louis Hilliard</v>
      </c>
      <c r="F21" s="10">
        <v>10770</v>
      </c>
      <c r="G21" s="10" t="str">
        <f>CONCATENATE(F21,"OVR")</f>
        <v>10770OVR</v>
      </c>
      <c r="H21" s="8">
        <v>46054</v>
      </c>
      <c r="I21" s="8">
        <v>46087</v>
      </c>
      <c r="J21" s="6" t="s">
        <v>15</v>
      </c>
      <c r="K21" s="6" t="s">
        <v>76</v>
      </c>
      <c r="L21" s="9">
        <v>-66.459999999999994</v>
      </c>
      <c r="M21" s="9">
        <v>-66.459999999999994</v>
      </c>
      <c r="N21" s="10" t="s">
        <v>134</v>
      </c>
      <c r="R21" s="6"/>
    </row>
    <row r="22" spans="1:19" s="10" customFormat="1" x14ac:dyDescent="0.2">
      <c r="A22" s="6" t="s">
        <v>139</v>
      </c>
      <c r="B22" s="7">
        <v>20411454</v>
      </c>
      <c r="C22" s="6" t="s">
        <v>48</v>
      </c>
      <c r="D22" s="6" t="s">
        <v>49</v>
      </c>
      <c r="E22" s="23" t="str">
        <f>CONCATENATE(C22," ", D22)</f>
        <v>Edna Kuklis</v>
      </c>
      <c r="F22" s="10">
        <v>55510</v>
      </c>
      <c r="G22" s="10" t="str">
        <f>CONCATENATE(F22,"OVR")</f>
        <v>55510OVR</v>
      </c>
      <c r="H22" s="8">
        <v>45870</v>
      </c>
      <c r="I22" s="8">
        <v>46087</v>
      </c>
      <c r="J22" s="6" t="s">
        <v>15</v>
      </c>
      <c r="K22" s="6" t="s">
        <v>68</v>
      </c>
      <c r="L22" s="9">
        <v>-9.06</v>
      </c>
      <c r="M22" s="9">
        <v>-9.06</v>
      </c>
      <c r="N22" s="10" t="s">
        <v>134</v>
      </c>
      <c r="R22" s="6"/>
    </row>
    <row r="23" spans="1:19" s="10" customFormat="1" x14ac:dyDescent="0.2">
      <c r="A23" s="6" t="s">
        <v>139</v>
      </c>
      <c r="B23" s="7">
        <v>20411454</v>
      </c>
      <c r="C23" s="6" t="s">
        <v>48</v>
      </c>
      <c r="D23" s="6" t="s">
        <v>49</v>
      </c>
      <c r="E23" s="23" t="str">
        <f>CONCATENATE(C23," ", D23)</f>
        <v>Edna Kuklis</v>
      </c>
      <c r="F23" s="10">
        <v>55510</v>
      </c>
      <c r="G23" s="10" t="str">
        <f>CONCATENATE(F23,"OVR")</f>
        <v>55510OVR</v>
      </c>
      <c r="H23" s="8">
        <v>45870</v>
      </c>
      <c r="I23" s="8">
        <v>46087</v>
      </c>
      <c r="J23" s="6" t="s">
        <v>15</v>
      </c>
      <c r="K23" s="6" t="s">
        <v>67</v>
      </c>
      <c r="L23" s="9">
        <v>9.06</v>
      </c>
      <c r="M23" s="9">
        <v>9.06</v>
      </c>
      <c r="N23" s="10" t="s">
        <v>134</v>
      </c>
      <c r="R23" s="6"/>
    </row>
    <row r="24" spans="1:19" s="10" customFormat="1" x14ac:dyDescent="0.2">
      <c r="A24" s="6" t="s">
        <v>139</v>
      </c>
      <c r="B24" s="7">
        <v>20411454</v>
      </c>
      <c r="C24" s="6" t="s">
        <v>70</v>
      </c>
      <c r="D24" s="6" t="s">
        <v>71</v>
      </c>
      <c r="E24" s="23" t="str">
        <f>CONCATENATE(C24," ", D24)</f>
        <v>Sharon Carben</v>
      </c>
      <c r="F24" s="10">
        <v>90880</v>
      </c>
      <c r="G24" s="10" t="str">
        <f>CONCATENATE(F24,"OVR")</f>
        <v>90880OVR</v>
      </c>
      <c r="H24" s="8">
        <v>46054</v>
      </c>
      <c r="I24" s="8">
        <v>46087</v>
      </c>
      <c r="J24" s="6" t="s">
        <v>15</v>
      </c>
      <c r="K24" s="6" t="s">
        <v>66</v>
      </c>
      <c r="L24" s="9">
        <v>43.54</v>
      </c>
      <c r="M24" s="9">
        <v>43.54</v>
      </c>
      <c r="N24" s="10" t="s">
        <v>134</v>
      </c>
      <c r="R24" s="6"/>
    </row>
    <row r="25" spans="1:19" s="10" customFormat="1" x14ac:dyDescent="0.2">
      <c r="A25" s="6" t="s">
        <v>139</v>
      </c>
      <c r="B25" s="7">
        <v>20411454</v>
      </c>
      <c r="C25" s="6" t="s">
        <v>96</v>
      </c>
      <c r="D25" s="6" t="s">
        <v>97</v>
      </c>
      <c r="E25" s="23" t="str">
        <f>CONCATENATE(C25," ", D25)</f>
        <v>Jack West</v>
      </c>
      <c r="F25" s="10">
        <v>85630</v>
      </c>
      <c r="G25" s="10" t="str">
        <f>CONCATENATE(F25,"OVR")</f>
        <v>85630OVR</v>
      </c>
      <c r="H25" s="8">
        <v>46054</v>
      </c>
      <c r="I25" s="8">
        <v>46087</v>
      </c>
      <c r="J25" s="6" t="s">
        <v>15</v>
      </c>
      <c r="K25" s="6" t="s">
        <v>66</v>
      </c>
      <c r="L25" s="9">
        <v>43.54</v>
      </c>
      <c r="M25" s="9">
        <v>43.54</v>
      </c>
      <c r="N25" s="10" t="s">
        <v>134</v>
      </c>
      <c r="R25" s="6"/>
    </row>
    <row r="26" spans="1:19" s="10" customFormat="1" x14ac:dyDescent="0.2">
      <c r="A26" s="6" t="s">
        <v>139</v>
      </c>
      <c r="B26" s="7">
        <v>20411454</v>
      </c>
      <c r="C26" s="6" t="s">
        <v>99</v>
      </c>
      <c r="D26" s="6" t="s">
        <v>97</v>
      </c>
      <c r="E26" s="23" t="str">
        <f>CONCATENATE(C26," ", D26)</f>
        <v>Marian West</v>
      </c>
      <c r="F26" s="10">
        <v>85220</v>
      </c>
      <c r="G26" s="10" t="str">
        <f>CONCATENATE(F26,"OVR")</f>
        <v>85220OVR</v>
      </c>
      <c r="H26" s="8">
        <v>46054</v>
      </c>
      <c r="I26" s="8">
        <v>46087</v>
      </c>
      <c r="J26" s="6" t="s">
        <v>15</v>
      </c>
      <c r="K26" s="6" t="s">
        <v>66</v>
      </c>
      <c r="L26" s="9">
        <v>43.54</v>
      </c>
      <c r="M26" s="9">
        <v>43.54</v>
      </c>
      <c r="N26" s="10" t="s">
        <v>134</v>
      </c>
      <c r="R26" s="6"/>
    </row>
    <row r="27" spans="1:19" s="10" customFormat="1" x14ac:dyDescent="0.2">
      <c r="A27" s="6" t="s">
        <v>139</v>
      </c>
      <c r="B27" s="7">
        <v>20411454</v>
      </c>
      <c r="C27" s="6" t="s">
        <v>118</v>
      </c>
      <c r="D27" s="6" t="s">
        <v>119</v>
      </c>
      <c r="E27" s="23" t="str">
        <f>CONCATENATE(C27," ", D27)</f>
        <v>Marcey Kim</v>
      </c>
      <c r="F27" s="10">
        <v>66820</v>
      </c>
      <c r="G27" s="10" t="str">
        <f>CONCATENATE(F27,"OVR")</f>
        <v>66820OVR</v>
      </c>
      <c r="H27" s="8">
        <v>46054</v>
      </c>
      <c r="I27" s="8">
        <v>46087</v>
      </c>
      <c r="J27" s="6" t="s">
        <v>15</v>
      </c>
      <c r="K27" s="6" t="s">
        <v>66</v>
      </c>
      <c r="L27" s="9">
        <v>43.54</v>
      </c>
      <c r="M27" s="9">
        <v>43.54</v>
      </c>
      <c r="N27" s="10" t="s">
        <v>134</v>
      </c>
      <c r="R27" s="6"/>
    </row>
    <row r="28" spans="1:19" s="10" customFormat="1" x14ac:dyDescent="0.2">
      <c r="A28" s="6" t="s">
        <v>139</v>
      </c>
      <c r="B28" s="7">
        <v>20411454</v>
      </c>
      <c r="C28" s="6" t="s">
        <v>121</v>
      </c>
      <c r="D28" s="6" t="s">
        <v>122</v>
      </c>
      <c r="E28" s="23" t="str">
        <f>CONCATENATE(C28," ", D28)</f>
        <v>Joyce Lesser</v>
      </c>
      <c r="F28" s="10">
        <v>76700</v>
      </c>
      <c r="G28" s="10" t="str">
        <f>CONCATENATE(F28,"OVR")</f>
        <v>76700OVR</v>
      </c>
      <c r="H28" s="8">
        <v>46054</v>
      </c>
      <c r="I28" s="8">
        <v>46087</v>
      </c>
      <c r="J28" s="6" t="s">
        <v>15</v>
      </c>
      <c r="K28" s="6" t="s">
        <v>66</v>
      </c>
      <c r="L28" s="9">
        <v>43.54</v>
      </c>
      <c r="M28" s="9">
        <v>43.54</v>
      </c>
      <c r="N28" s="10" t="s">
        <v>134</v>
      </c>
      <c r="R28" s="6"/>
    </row>
    <row r="29" spans="1:19" s="10" customFormat="1" x14ac:dyDescent="0.2">
      <c r="A29" s="6" t="s">
        <v>139</v>
      </c>
      <c r="B29" s="7">
        <v>20411454</v>
      </c>
      <c r="C29" s="6" t="s">
        <v>102</v>
      </c>
      <c r="D29" s="6" t="s">
        <v>103</v>
      </c>
      <c r="E29" s="23" t="str">
        <f>CONCATENATE(C29," ", D29)</f>
        <v>Frank Baker</v>
      </c>
      <c r="F29" s="10">
        <v>56890</v>
      </c>
      <c r="G29" s="10" t="str">
        <f>CONCATENATE(F29,"OVR")</f>
        <v>56890OVR</v>
      </c>
      <c r="H29" s="8">
        <v>46143</v>
      </c>
      <c r="I29" s="8">
        <v>46087</v>
      </c>
      <c r="J29" s="6" t="s">
        <v>15</v>
      </c>
      <c r="K29" s="6" t="s">
        <v>105</v>
      </c>
      <c r="L29" s="9">
        <v>48.34</v>
      </c>
      <c r="M29" s="9">
        <v>48.34</v>
      </c>
      <c r="N29" s="10" t="s">
        <v>134</v>
      </c>
      <c r="R29" s="6"/>
    </row>
    <row r="30" spans="1:19" s="10" customFormat="1" x14ac:dyDescent="0.2">
      <c r="A30" s="6" t="s">
        <v>139</v>
      </c>
      <c r="B30" s="7">
        <v>20411454</v>
      </c>
      <c r="C30" s="6" t="s">
        <v>106</v>
      </c>
      <c r="D30" s="6" t="s">
        <v>107</v>
      </c>
      <c r="E30" s="23" t="str">
        <f>CONCATENATE(C30," ", D30)</f>
        <v>Cindy Booher</v>
      </c>
      <c r="F30" s="10">
        <v>63770</v>
      </c>
      <c r="G30" s="10" t="str">
        <f>CONCATENATE(F30,"OVR")</f>
        <v>63770OVR</v>
      </c>
      <c r="H30" s="8">
        <v>46082</v>
      </c>
      <c r="I30" s="8">
        <v>46087</v>
      </c>
      <c r="J30" s="6" t="s">
        <v>15</v>
      </c>
      <c r="K30" s="6" t="s">
        <v>63</v>
      </c>
      <c r="L30" s="9">
        <v>49.59</v>
      </c>
      <c r="M30" s="9">
        <v>49.59</v>
      </c>
      <c r="N30" s="10" t="s">
        <v>134</v>
      </c>
      <c r="R30" s="6"/>
    </row>
    <row r="31" spans="1:19" s="10" customFormat="1" x14ac:dyDescent="0.2">
      <c r="A31" s="6" t="s">
        <v>139</v>
      </c>
      <c r="B31" s="7">
        <v>20411454</v>
      </c>
      <c r="C31" s="6" t="s">
        <v>112</v>
      </c>
      <c r="D31" s="6" t="s">
        <v>113</v>
      </c>
      <c r="E31" s="23" t="str">
        <f>CONCATENATE(C31," ", D31)</f>
        <v>Lisa Edwards</v>
      </c>
      <c r="F31" s="10">
        <v>45230</v>
      </c>
      <c r="G31" s="10" t="str">
        <f>CONCATENATE(F31,"OVR")</f>
        <v>45230OVR</v>
      </c>
      <c r="H31" s="8">
        <v>46082</v>
      </c>
      <c r="I31" s="8">
        <v>46087</v>
      </c>
      <c r="J31" s="6" t="s">
        <v>15</v>
      </c>
      <c r="K31" s="6" t="s">
        <v>63</v>
      </c>
      <c r="L31" s="9">
        <v>49.59</v>
      </c>
      <c r="M31" s="9">
        <v>49.59</v>
      </c>
      <c r="N31" s="10" t="s">
        <v>134</v>
      </c>
      <c r="R31" s="6"/>
    </row>
    <row r="32" spans="1:19" s="10" customFormat="1" x14ac:dyDescent="0.2">
      <c r="A32" s="6" t="s">
        <v>139</v>
      </c>
      <c r="B32" s="7">
        <v>20411454</v>
      </c>
      <c r="C32" s="6" t="s">
        <v>115</v>
      </c>
      <c r="D32" s="6" t="s">
        <v>116</v>
      </c>
      <c r="E32" s="23" t="str">
        <f>CONCATENATE(C32," ", D32)</f>
        <v>Mark Heade</v>
      </c>
      <c r="F32" s="10">
        <v>26260</v>
      </c>
      <c r="G32" s="10" t="str">
        <f>CONCATENATE(F32,"OVR")</f>
        <v>26260OVR</v>
      </c>
      <c r="H32" s="8">
        <v>46082</v>
      </c>
      <c r="I32" s="8">
        <v>46087</v>
      </c>
      <c r="J32" s="6" t="s">
        <v>15</v>
      </c>
      <c r="K32" s="6" t="s">
        <v>63</v>
      </c>
      <c r="L32" s="9">
        <v>49.59</v>
      </c>
      <c r="M32" s="9">
        <v>49.59</v>
      </c>
      <c r="N32" s="10" t="s">
        <v>134</v>
      </c>
      <c r="R32" s="6"/>
    </row>
    <row r="33" spans="1:19" s="10" customFormat="1" x14ac:dyDescent="0.2">
      <c r="A33" s="6" t="s">
        <v>139</v>
      </c>
      <c r="B33" s="7">
        <v>20411454</v>
      </c>
      <c r="C33" s="6" t="s">
        <v>127</v>
      </c>
      <c r="D33" s="6" t="s">
        <v>128</v>
      </c>
      <c r="E33" s="23" t="str">
        <f>CONCATENATE(C33," ", D33)</f>
        <v>Katherine Prady</v>
      </c>
      <c r="F33" s="10">
        <v>2120</v>
      </c>
      <c r="G33" s="10" t="str">
        <f>CONCATENATE(F33,"OVR")</f>
        <v>2120OVR</v>
      </c>
      <c r="H33" s="8">
        <v>46082</v>
      </c>
      <c r="I33" s="8">
        <v>46087</v>
      </c>
      <c r="J33" s="6" t="s">
        <v>15</v>
      </c>
      <c r="K33" s="6" t="s">
        <v>63</v>
      </c>
      <c r="L33" s="9">
        <v>49.59</v>
      </c>
      <c r="M33" s="9">
        <v>49.59</v>
      </c>
      <c r="N33" s="10" t="s">
        <v>134</v>
      </c>
      <c r="R33" s="6"/>
    </row>
    <row r="34" spans="1:19" s="10" customFormat="1" x14ac:dyDescent="0.2">
      <c r="A34" s="6" t="s">
        <v>139</v>
      </c>
      <c r="B34" s="7">
        <v>20411454</v>
      </c>
      <c r="C34" s="6" t="s">
        <v>60</v>
      </c>
      <c r="D34" s="6" t="s">
        <v>93</v>
      </c>
      <c r="E34" s="23" t="str">
        <f>CONCATENATE(C34," ", D34)</f>
        <v>Carol Shuler</v>
      </c>
      <c r="F34" s="10">
        <v>42040</v>
      </c>
      <c r="G34" s="10" t="str">
        <f>CONCATENATE(F34,"OVR")</f>
        <v>42040OVR</v>
      </c>
      <c r="H34" s="8">
        <v>46082</v>
      </c>
      <c r="I34" s="8">
        <v>46087</v>
      </c>
      <c r="J34" s="6" t="s">
        <v>15</v>
      </c>
      <c r="K34" s="6" t="s">
        <v>95</v>
      </c>
      <c r="L34" s="9">
        <v>52.08</v>
      </c>
      <c r="M34" s="9">
        <v>52.08</v>
      </c>
      <c r="N34" s="10" t="s">
        <v>134</v>
      </c>
      <c r="R34" s="6"/>
    </row>
    <row r="35" spans="1:19" s="10" customFormat="1" x14ac:dyDescent="0.2">
      <c r="A35" s="6" t="s">
        <v>139</v>
      </c>
      <c r="B35" s="7">
        <v>20411454</v>
      </c>
      <c r="C35" s="6" t="s">
        <v>89</v>
      </c>
      <c r="D35" s="6" t="s">
        <v>90</v>
      </c>
      <c r="E35" s="23" t="str">
        <f>CONCATENATE(C35," ", D35)</f>
        <v>Edward Price</v>
      </c>
      <c r="F35" s="10">
        <v>72780</v>
      </c>
      <c r="G35" s="10" t="str">
        <f>CONCATENATE(F35,"OVR")</f>
        <v>72780OVR</v>
      </c>
      <c r="H35" s="8">
        <v>46113</v>
      </c>
      <c r="I35" s="8">
        <v>46087</v>
      </c>
      <c r="J35" s="6" t="s">
        <v>15</v>
      </c>
      <c r="K35" s="6" t="s">
        <v>92</v>
      </c>
      <c r="L35" s="9">
        <v>55.63</v>
      </c>
      <c r="M35" s="9">
        <v>55.63</v>
      </c>
      <c r="N35" s="10" t="s">
        <v>134</v>
      </c>
      <c r="R35" s="6"/>
    </row>
    <row r="36" spans="1:19" s="10" customFormat="1" x14ac:dyDescent="0.2">
      <c r="A36" s="6" t="s">
        <v>139</v>
      </c>
      <c r="B36" s="7">
        <v>20411454</v>
      </c>
      <c r="C36" s="6" t="s">
        <v>109</v>
      </c>
      <c r="D36" s="6" t="s">
        <v>110</v>
      </c>
      <c r="E36" s="23" t="str">
        <f>CONCATENATE(C36," ", D36)</f>
        <v>Stephen Cobern</v>
      </c>
      <c r="F36" s="10">
        <v>98490</v>
      </c>
      <c r="G36" s="10" t="str">
        <f>CONCATENATE(F36,"OVR")</f>
        <v>98490OVR</v>
      </c>
      <c r="H36" s="8">
        <v>46113</v>
      </c>
      <c r="I36" s="8">
        <v>46087</v>
      </c>
      <c r="J36" s="6" t="s">
        <v>15</v>
      </c>
      <c r="K36" s="6" t="s">
        <v>92</v>
      </c>
      <c r="L36" s="9">
        <v>55.63</v>
      </c>
      <c r="M36" s="9">
        <v>55.63</v>
      </c>
      <c r="N36" s="10" t="s">
        <v>134</v>
      </c>
      <c r="R36" s="6"/>
    </row>
    <row r="37" spans="1:19" s="10" customFormat="1" x14ac:dyDescent="0.2">
      <c r="A37" s="6" t="s">
        <v>139</v>
      </c>
      <c r="B37" s="7">
        <v>20411454</v>
      </c>
      <c r="C37" s="6" t="s">
        <v>124</v>
      </c>
      <c r="D37" s="6" t="s">
        <v>125</v>
      </c>
      <c r="E37" s="23" t="str">
        <f>CONCATENATE(C37," ", D37)</f>
        <v>Christopher Parinella</v>
      </c>
      <c r="F37" s="10">
        <v>85280</v>
      </c>
      <c r="G37" s="10" t="str">
        <f>CONCATENATE(F37,"OVR")</f>
        <v>85280OVR</v>
      </c>
      <c r="H37" s="8">
        <v>46113</v>
      </c>
      <c r="I37" s="8">
        <v>46087</v>
      </c>
      <c r="J37" s="6" t="s">
        <v>15</v>
      </c>
      <c r="K37" s="6" t="s">
        <v>92</v>
      </c>
      <c r="L37" s="9">
        <v>55.63</v>
      </c>
      <c r="M37" s="9">
        <v>55.63</v>
      </c>
      <c r="N37" s="10" t="s">
        <v>134</v>
      </c>
      <c r="R37" s="6"/>
    </row>
    <row r="38" spans="1:19" s="10" customFormat="1" x14ac:dyDescent="0.2">
      <c r="A38" s="6" t="s">
        <v>139</v>
      </c>
      <c r="B38" s="7">
        <v>20411454</v>
      </c>
      <c r="C38" s="6" t="s">
        <v>77</v>
      </c>
      <c r="D38" s="6" t="s">
        <v>78</v>
      </c>
      <c r="E38" s="23" t="str">
        <f>CONCATENATE(C38," ", D38)</f>
        <v>James Gear</v>
      </c>
      <c r="F38" s="10">
        <v>11380</v>
      </c>
      <c r="G38" s="10" t="str">
        <f>CONCATENATE(F38,"OVR")</f>
        <v>11380OVR</v>
      </c>
      <c r="H38" s="8">
        <v>46082</v>
      </c>
      <c r="I38" s="8">
        <v>46087</v>
      </c>
      <c r="J38" s="6" t="s">
        <v>15</v>
      </c>
      <c r="K38" s="6" t="s">
        <v>65</v>
      </c>
      <c r="L38" s="9">
        <v>60.42</v>
      </c>
      <c r="M38" s="9">
        <v>60.42</v>
      </c>
      <c r="N38" s="10" t="s">
        <v>134</v>
      </c>
      <c r="R38" s="6"/>
    </row>
    <row r="39" spans="1:19" s="10" customFormat="1" x14ac:dyDescent="0.2">
      <c r="A39" s="6" t="s">
        <v>139</v>
      </c>
      <c r="B39" s="7">
        <v>20411454</v>
      </c>
      <c r="C39" s="6" t="s">
        <v>86</v>
      </c>
      <c r="D39" s="6" t="s">
        <v>87</v>
      </c>
      <c r="E39" s="23" t="str">
        <f>CONCATENATE(C39," ", D39)</f>
        <v>Joshua Patton</v>
      </c>
      <c r="F39" s="10">
        <v>29480</v>
      </c>
      <c r="G39" s="10" t="str">
        <f>CONCATENATE(F39,"OVR")</f>
        <v>29480OVR</v>
      </c>
      <c r="H39" s="8">
        <v>46082</v>
      </c>
      <c r="I39" s="8">
        <v>46087</v>
      </c>
      <c r="J39" s="6" t="s">
        <v>15</v>
      </c>
      <c r="K39" s="6" t="s">
        <v>65</v>
      </c>
      <c r="L39" s="9">
        <v>60.42</v>
      </c>
      <c r="M39" s="9">
        <v>60.42</v>
      </c>
      <c r="N39" s="10" t="s">
        <v>134</v>
      </c>
      <c r="R39" s="6"/>
    </row>
    <row r="40" spans="1:19" s="10" customFormat="1" x14ac:dyDescent="0.2">
      <c r="A40" s="6" t="s">
        <v>139</v>
      </c>
      <c r="B40" s="7">
        <v>20411454</v>
      </c>
      <c r="C40" s="6" t="s">
        <v>19</v>
      </c>
      <c r="D40" s="6" t="s">
        <v>20</v>
      </c>
      <c r="E40" s="23" t="str">
        <f>CONCATENATE(C40," ", D40)</f>
        <v>Otis Johnson</v>
      </c>
      <c r="F40" s="10">
        <v>95710</v>
      </c>
      <c r="G40" s="10" t="str">
        <f>CONCATENATE(F40,"OVR")</f>
        <v>95710OVR</v>
      </c>
      <c r="H40" s="8">
        <v>46054</v>
      </c>
      <c r="I40" s="8">
        <v>46087</v>
      </c>
      <c r="J40" s="6" t="s">
        <v>15</v>
      </c>
      <c r="K40" s="6" t="s">
        <v>66</v>
      </c>
      <c r="L40" s="9">
        <v>65.31</v>
      </c>
      <c r="M40" s="9">
        <v>65.31</v>
      </c>
      <c r="N40" s="10" t="s">
        <v>134</v>
      </c>
      <c r="R40" s="6"/>
    </row>
    <row r="41" spans="1:19" s="10" customFormat="1" x14ac:dyDescent="0.2">
      <c r="A41" s="6" t="s">
        <v>139</v>
      </c>
      <c r="B41" s="7">
        <v>20411454</v>
      </c>
      <c r="C41" s="6" t="s">
        <v>23</v>
      </c>
      <c r="D41" s="6" t="s">
        <v>24</v>
      </c>
      <c r="E41" s="23" t="str">
        <f>CONCATENATE(C41," ", D41)</f>
        <v>Dennis Mcconnell</v>
      </c>
      <c r="F41" s="10">
        <v>72210</v>
      </c>
      <c r="G41" s="10" t="str">
        <f>CONCATENATE(F41,"OVR")</f>
        <v>72210OVR</v>
      </c>
      <c r="H41" s="8">
        <v>46054</v>
      </c>
      <c r="I41" s="8">
        <v>46087</v>
      </c>
      <c r="J41" s="6" t="s">
        <v>15</v>
      </c>
      <c r="K41" s="6" t="s">
        <v>66</v>
      </c>
      <c r="L41" s="9">
        <v>65.31</v>
      </c>
      <c r="M41" s="9">
        <v>65.31</v>
      </c>
      <c r="N41" s="10" t="s">
        <v>134</v>
      </c>
      <c r="R41" s="6"/>
    </row>
    <row r="42" spans="1:19" s="10" customFormat="1" x14ac:dyDescent="0.2">
      <c r="A42" s="6" t="s">
        <v>139</v>
      </c>
      <c r="B42" s="7">
        <v>20411454</v>
      </c>
      <c r="C42" s="6" t="s">
        <v>26</v>
      </c>
      <c r="D42" s="6" t="s">
        <v>27</v>
      </c>
      <c r="E42" s="23" t="str">
        <f>CONCATENATE(C42," ", D42)</f>
        <v>Laurie Rosso</v>
      </c>
      <c r="F42" s="10">
        <v>19120</v>
      </c>
      <c r="G42" s="10" t="str">
        <f>CONCATENATE(F42,"OVR")</f>
        <v>19120OVR</v>
      </c>
      <c r="H42" s="8">
        <v>46054</v>
      </c>
      <c r="I42" s="8">
        <v>46087</v>
      </c>
      <c r="J42" s="6" t="s">
        <v>15</v>
      </c>
      <c r="K42" s="6" t="s">
        <v>66</v>
      </c>
      <c r="L42" s="9">
        <v>65.31</v>
      </c>
      <c r="M42" s="9">
        <v>65.31</v>
      </c>
      <c r="N42" s="10" t="s">
        <v>134</v>
      </c>
      <c r="R42" s="6"/>
    </row>
    <row r="43" spans="1:19" s="10" customFormat="1" x14ac:dyDescent="0.2">
      <c r="A43" s="6" t="s">
        <v>139</v>
      </c>
      <c r="B43" s="7">
        <v>20411454</v>
      </c>
      <c r="C43" s="6" t="s">
        <v>29</v>
      </c>
      <c r="D43" s="6" t="s">
        <v>30</v>
      </c>
      <c r="E43" s="23" t="str">
        <f>CONCATENATE(C43," ", D43)</f>
        <v>John Senderling</v>
      </c>
      <c r="F43" s="10">
        <v>93850</v>
      </c>
      <c r="G43" s="10" t="str">
        <f>CONCATENATE(F43,"OVR")</f>
        <v>93850OVR</v>
      </c>
      <c r="H43" s="8">
        <v>46054</v>
      </c>
      <c r="I43" s="8">
        <v>46087</v>
      </c>
      <c r="J43" s="6" t="s">
        <v>15</v>
      </c>
      <c r="K43" s="6" t="s">
        <v>66</v>
      </c>
      <c r="L43" s="9">
        <v>65.31</v>
      </c>
      <c r="M43" s="9">
        <v>65.31</v>
      </c>
      <c r="N43" s="10" t="s">
        <v>134</v>
      </c>
      <c r="R43" s="6"/>
    </row>
    <row r="44" spans="1:19" x14ac:dyDescent="0.2">
      <c r="A44" s="6" t="s">
        <v>139</v>
      </c>
      <c r="B44" s="7">
        <v>20411454</v>
      </c>
      <c r="C44" s="6" t="s">
        <v>33</v>
      </c>
      <c r="D44" s="6" t="s">
        <v>34</v>
      </c>
      <c r="E44" s="23" t="str">
        <f>CONCATENATE(C44," ", D44)</f>
        <v>Mike Mashraky</v>
      </c>
      <c r="F44" s="10">
        <v>95730</v>
      </c>
      <c r="G44" s="10" t="str">
        <f>CONCATENATE(F44,"OVR")</f>
        <v>95730OVR</v>
      </c>
      <c r="H44" s="8">
        <v>46054</v>
      </c>
      <c r="I44" s="8">
        <v>46087</v>
      </c>
      <c r="J44" s="6" t="s">
        <v>15</v>
      </c>
      <c r="K44" s="6" t="s">
        <v>66</v>
      </c>
      <c r="L44" s="9">
        <v>65.31</v>
      </c>
      <c r="M44" s="9">
        <v>65.31</v>
      </c>
      <c r="N44" s="10" t="s">
        <v>134</v>
      </c>
      <c r="O44" s="10"/>
      <c r="P44" s="10"/>
      <c r="Q44" s="10"/>
      <c r="R44" s="6"/>
      <c r="S44" s="10"/>
    </row>
    <row r="45" spans="1:19" x14ac:dyDescent="0.2">
      <c r="A45" s="6" t="s">
        <v>139</v>
      </c>
      <c r="B45" s="7">
        <v>20411454</v>
      </c>
      <c r="C45" s="6" t="s">
        <v>77</v>
      </c>
      <c r="D45" s="6" t="s">
        <v>83</v>
      </c>
      <c r="E45" s="23" t="str">
        <f>CONCATENATE(C45," ", D45)</f>
        <v>James Munier</v>
      </c>
      <c r="F45" s="10">
        <v>82710</v>
      </c>
      <c r="G45" s="10" t="str">
        <f>CONCATENATE(F45,"OVR")</f>
        <v>82710OVR</v>
      </c>
      <c r="H45" s="8">
        <v>46054</v>
      </c>
      <c r="I45" s="8">
        <v>46087</v>
      </c>
      <c r="J45" s="6" t="s">
        <v>15</v>
      </c>
      <c r="K45" s="6" t="s">
        <v>85</v>
      </c>
      <c r="L45" s="9">
        <v>66.459999999999994</v>
      </c>
      <c r="M45" s="9">
        <v>66.459999999999994</v>
      </c>
      <c r="N45" s="10" t="s">
        <v>134</v>
      </c>
      <c r="O45" s="10"/>
      <c r="P45" s="10"/>
      <c r="Q45" s="10"/>
      <c r="R45" s="6"/>
      <c r="S45" s="10"/>
    </row>
    <row r="46" spans="1:19" x14ac:dyDescent="0.2">
      <c r="A46" s="6" t="s">
        <v>139</v>
      </c>
      <c r="B46" s="7">
        <v>20411454</v>
      </c>
      <c r="C46" s="6" t="s">
        <v>41</v>
      </c>
      <c r="D46" s="6" t="s">
        <v>42</v>
      </c>
      <c r="E46" s="23" t="str">
        <f>CONCATENATE(C46," ", D46)</f>
        <v>Thomas Sams</v>
      </c>
      <c r="F46" s="10">
        <v>2010</v>
      </c>
      <c r="G46" s="10" t="str">
        <f>CONCATENATE(F46,"OVR")</f>
        <v>2010OVR</v>
      </c>
      <c r="H46" s="8">
        <v>46082</v>
      </c>
      <c r="I46" s="8">
        <v>46087</v>
      </c>
      <c r="J46" s="6" t="s">
        <v>15</v>
      </c>
      <c r="K46" s="6" t="s">
        <v>63</v>
      </c>
      <c r="L46" s="9">
        <v>74.38</v>
      </c>
      <c r="M46" s="9">
        <v>74.38</v>
      </c>
      <c r="N46" s="10" t="s">
        <v>134</v>
      </c>
      <c r="O46" s="10"/>
      <c r="P46" s="10"/>
      <c r="Q46" s="10"/>
      <c r="R46" s="6"/>
      <c r="S46" s="10"/>
    </row>
    <row r="47" spans="1:19" x14ac:dyDescent="0.2">
      <c r="A47" s="6" t="s">
        <v>139</v>
      </c>
      <c r="B47" s="7">
        <v>20411454</v>
      </c>
      <c r="C47" s="6" t="s">
        <v>45</v>
      </c>
      <c r="D47" s="6" t="s">
        <v>46</v>
      </c>
      <c r="E47" s="23" t="str">
        <f>CONCATENATE(C47," ", D47)</f>
        <v>Diana Gianino</v>
      </c>
      <c r="F47" s="10">
        <v>74230</v>
      </c>
      <c r="G47" s="10" t="str">
        <f>CONCATENATE(F47,"OVR")</f>
        <v>74230OVR</v>
      </c>
      <c r="H47" s="8">
        <v>46082</v>
      </c>
      <c r="I47" s="8">
        <v>46087</v>
      </c>
      <c r="J47" s="6" t="s">
        <v>15</v>
      </c>
      <c r="K47" s="6" t="s">
        <v>63</v>
      </c>
      <c r="L47" s="9">
        <v>74.38</v>
      </c>
      <c r="M47" s="9">
        <v>74.38</v>
      </c>
      <c r="N47" s="10" t="s">
        <v>134</v>
      </c>
      <c r="O47" s="10"/>
      <c r="P47" s="10"/>
      <c r="Q47" s="10"/>
      <c r="R47" s="6"/>
      <c r="S47" s="10"/>
    </row>
    <row r="48" spans="1:19" x14ac:dyDescent="0.2">
      <c r="A48" s="6" t="s">
        <v>139</v>
      </c>
      <c r="B48" s="7">
        <v>20411454</v>
      </c>
      <c r="C48" s="6" t="s">
        <v>57</v>
      </c>
      <c r="D48" s="6" t="s">
        <v>58</v>
      </c>
      <c r="E48" s="23" t="str">
        <f>CONCATENATE(C48," ", D48)</f>
        <v>Jane Young</v>
      </c>
      <c r="F48" s="10">
        <v>26280</v>
      </c>
      <c r="G48" s="10" t="str">
        <f>CONCATENATE(F48,"OVR")</f>
        <v>26280OVR</v>
      </c>
      <c r="H48" s="8">
        <v>46082</v>
      </c>
      <c r="I48" s="8">
        <v>46087</v>
      </c>
      <c r="J48" s="6" t="s">
        <v>15</v>
      </c>
      <c r="K48" s="6" t="s">
        <v>63</v>
      </c>
      <c r="L48" s="9">
        <v>74.38</v>
      </c>
      <c r="M48" s="9">
        <v>74.38</v>
      </c>
      <c r="N48" s="10" t="s">
        <v>134</v>
      </c>
      <c r="O48" s="10"/>
      <c r="P48" s="10"/>
      <c r="Q48" s="10"/>
      <c r="R48" s="6"/>
      <c r="S48" s="10"/>
    </row>
    <row r="49" spans="1:19" s="13" customFormat="1" x14ac:dyDescent="0.2">
      <c r="A49" s="6" t="s">
        <v>139</v>
      </c>
      <c r="B49" s="7">
        <v>20411454</v>
      </c>
      <c r="C49" s="6" t="s">
        <v>60</v>
      </c>
      <c r="D49" s="6" t="s">
        <v>61</v>
      </c>
      <c r="E49" s="23" t="str">
        <f>CONCATENATE(C49," ", D49)</f>
        <v>Carol Tegyi</v>
      </c>
      <c r="F49" s="10">
        <v>90430</v>
      </c>
      <c r="G49" s="10" t="str">
        <f>CONCATENATE(F49,"OVR")</f>
        <v>90430OVR</v>
      </c>
      <c r="H49" s="8">
        <v>46082</v>
      </c>
      <c r="I49" s="8">
        <v>46087</v>
      </c>
      <c r="J49" s="6" t="s">
        <v>15</v>
      </c>
      <c r="K49" s="6" t="s">
        <v>63</v>
      </c>
      <c r="L49" s="9">
        <v>74.38</v>
      </c>
      <c r="M49" s="9">
        <v>74.38</v>
      </c>
      <c r="N49" s="10" t="s">
        <v>134</v>
      </c>
      <c r="O49" s="10"/>
      <c r="P49" s="10"/>
      <c r="Q49" s="10"/>
      <c r="R49" s="6"/>
      <c r="S49" s="10"/>
    </row>
    <row r="50" spans="1:19" s="13" customFormat="1" x14ac:dyDescent="0.2">
      <c r="A50" s="6" t="s">
        <v>139</v>
      </c>
      <c r="B50" s="7">
        <v>20411454</v>
      </c>
      <c r="C50" s="6" t="s">
        <v>12</v>
      </c>
      <c r="D50" s="6" t="s">
        <v>13</v>
      </c>
      <c r="E50" s="23" t="str">
        <f>CONCATENATE(C50," ", D50)</f>
        <v>Mildred Rivera Silva</v>
      </c>
      <c r="F50" s="10">
        <v>61770</v>
      </c>
      <c r="G50" s="10" t="str">
        <f>CONCATENATE(F50,"OVR")</f>
        <v>61770OVR</v>
      </c>
      <c r="H50" s="8">
        <v>45658</v>
      </c>
      <c r="I50" s="8">
        <v>46087</v>
      </c>
      <c r="J50" s="6" t="s">
        <v>15</v>
      </c>
      <c r="K50" s="6" t="s">
        <v>65</v>
      </c>
      <c r="L50" s="9">
        <v>90.62</v>
      </c>
      <c r="M50" s="9">
        <v>90.62</v>
      </c>
      <c r="N50" s="10" t="s">
        <v>134</v>
      </c>
      <c r="O50" s="10"/>
      <c r="P50" s="10"/>
      <c r="Q50" s="10"/>
      <c r="R50" s="6"/>
      <c r="S50" s="10"/>
    </row>
    <row r="51" spans="1:19" s="13" customFormat="1" x14ac:dyDescent="0.2">
      <c r="A51" s="6" t="s">
        <v>139</v>
      </c>
      <c r="B51" s="7">
        <v>20411454</v>
      </c>
      <c r="C51" s="6" t="s">
        <v>37</v>
      </c>
      <c r="D51" s="6" t="s">
        <v>38</v>
      </c>
      <c r="E51" s="23" t="str">
        <f>CONCATENATE(C51," ", D51)</f>
        <v>June Mcgrath</v>
      </c>
      <c r="F51" s="10">
        <v>81290</v>
      </c>
      <c r="G51" s="10" t="str">
        <f>CONCATENATE(F51,"OVR")</f>
        <v>81290OVR</v>
      </c>
      <c r="H51" s="8">
        <v>46082</v>
      </c>
      <c r="I51" s="8">
        <v>46087</v>
      </c>
      <c r="J51" s="6" t="s">
        <v>15</v>
      </c>
      <c r="K51" s="6" t="s">
        <v>65</v>
      </c>
      <c r="L51" s="9">
        <v>90.62</v>
      </c>
      <c r="M51" s="9">
        <v>90.62</v>
      </c>
      <c r="N51" s="10" t="s">
        <v>134</v>
      </c>
      <c r="O51" s="10"/>
      <c r="P51" s="10"/>
      <c r="Q51" s="10"/>
      <c r="R51" s="6"/>
      <c r="S51" s="10"/>
    </row>
    <row r="52" spans="1:19" s="13" customFormat="1" x14ac:dyDescent="0.2">
      <c r="A52" s="16" t="s">
        <v>32</v>
      </c>
      <c r="B52" s="17">
        <v>18794740</v>
      </c>
      <c r="C52" s="16" t="s">
        <v>33</v>
      </c>
      <c r="D52" s="16" t="s">
        <v>34</v>
      </c>
      <c r="E52" s="23" t="str">
        <f>CONCATENATE(C52," ", D52)</f>
        <v>Mike Mashraky</v>
      </c>
      <c r="F52" s="18">
        <v>95730</v>
      </c>
      <c r="G52" s="18" t="str">
        <f>CONCATENATE(F52,75)</f>
        <v>9573075</v>
      </c>
      <c r="H52" s="19">
        <v>46054</v>
      </c>
      <c r="I52" s="19">
        <v>46087</v>
      </c>
      <c r="J52" s="16" t="s">
        <v>15</v>
      </c>
      <c r="K52" s="16" t="s">
        <v>22</v>
      </c>
      <c r="L52" s="20">
        <v>381.42</v>
      </c>
      <c r="M52" s="20">
        <v>705</v>
      </c>
      <c r="N52" s="18" t="s">
        <v>132</v>
      </c>
      <c r="O52" s="21" t="s">
        <v>133</v>
      </c>
      <c r="P52" s="18"/>
      <c r="Q52" s="18"/>
      <c r="R52" s="16"/>
      <c r="S52" s="18"/>
    </row>
    <row r="53" spans="1:19" s="18" customFormat="1" x14ac:dyDescent="0.2">
      <c r="A53" s="16" t="s">
        <v>32</v>
      </c>
      <c r="B53" s="17">
        <v>18794740</v>
      </c>
      <c r="C53" s="16" t="s">
        <v>60</v>
      </c>
      <c r="D53" s="16" t="s">
        <v>61</v>
      </c>
      <c r="E53" s="23" t="str">
        <f>CONCATENATE(C53," ", D53)</f>
        <v>Carol Tegyi</v>
      </c>
      <c r="F53" s="18">
        <v>90430</v>
      </c>
      <c r="G53" s="18" t="str">
        <f>CONCATENATE(F53,75)</f>
        <v>9043075</v>
      </c>
      <c r="H53" s="19">
        <v>46082</v>
      </c>
      <c r="I53" s="19">
        <v>46087</v>
      </c>
      <c r="J53" s="16" t="s">
        <v>15</v>
      </c>
      <c r="K53" s="16" t="s">
        <v>44</v>
      </c>
      <c r="L53" s="20">
        <v>410.83</v>
      </c>
      <c r="M53" s="20">
        <v>705</v>
      </c>
      <c r="N53" s="18" t="s">
        <v>132</v>
      </c>
      <c r="O53" s="21" t="s">
        <v>133</v>
      </c>
      <c r="R53" s="16"/>
    </row>
    <row r="54" spans="1:19" s="18" customFormat="1" x14ac:dyDescent="0.2">
      <c r="A54" s="11" t="s">
        <v>32</v>
      </c>
      <c r="B54" s="12">
        <v>18794740</v>
      </c>
      <c r="C54" s="11" t="s">
        <v>33</v>
      </c>
      <c r="D54" s="11" t="s">
        <v>34</v>
      </c>
      <c r="E54" s="23" t="str">
        <f>CONCATENATE(C54," ", D54)</f>
        <v>Mike Mashraky</v>
      </c>
      <c r="F54" s="13">
        <v>95730</v>
      </c>
      <c r="G54" s="13" t="str">
        <f>CONCATENATE(F54,55)</f>
        <v>9573055</v>
      </c>
      <c r="H54" s="14">
        <v>46054</v>
      </c>
      <c r="I54" s="14">
        <v>46087</v>
      </c>
      <c r="J54" s="11" t="s">
        <v>15</v>
      </c>
      <c r="K54" s="11" t="s">
        <v>22</v>
      </c>
      <c r="L54" s="15">
        <v>381.42</v>
      </c>
      <c r="M54" s="15">
        <v>-323.58</v>
      </c>
      <c r="N54" s="13" t="s">
        <v>131</v>
      </c>
      <c r="O54" s="13" t="s">
        <v>130</v>
      </c>
      <c r="P54" s="13"/>
      <c r="Q54" s="13"/>
      <c r="R54" s="11"/>
      <c r="S54" s="13"/>
    </row>
    <row r="55" spans="1:19" s="18" customFormat="1" x14ac:dyDescent="0.2">
      <c r="A55" s="11" t="s">
        <v>32</v>
      </c>
      <c r="B55" s="12">
        <v>18794740</v>
      </c>
      <c r="C55" s="11" t="s">
        <v>60</v>
      </c>
      <c r="D55" s="11" t="s">
        <v>61</v>
      </c>
      <c r="E55" s="23" t="str">
        <f>CONCATENATE(C55," ", D55)</f>
        <v>Carol Tegyi</v>
      </c>
      <c r="F55" s="13">
        <v>90430</v>
      </c>
      <c r="G55" s="13" t="str">
        <f>CONCATENATE(F55,55)</f>
        <v>9043055</v>
      </c>
      <c r="H55" s="14">
        <v>46082</v>
      </c>
      <c r="I55" s="14">
        <v>46087</v>
      </c>
      <c r="J55" s="11" t="s">
        <v>15</v>
      </c>
      <c r="K55" s="11" t="s">
        <v>44</v>
      </c>
      <c r="L55" s="15">
        <v>410.83</v>
      </c>
      <c r="M55" s="15">
        <v>-294.16000000000003</v>
      </c>
      <c r="N55" s="13" t="s">
        <v>131</v>
      </c>
      <c r="O55" s="28" t="s">
        <v>136</v>
      </c>
      <c r="P55" s="13"/>
      <c r="Q55" s="13"/>
      <c r="R55" s="11"/>
      <c r="S55" s="13"/>
    </row>
    <row r="56" spans="1:19" s="18" customFormat="1" x14ac:dyDescent="0.2">
      <c r="A56" s="2" t="s">
        <v>36</v>
      </c>
      <c r="B56" s="3">
        <v>15950276</v>
      </c>
      <c r="C56" s="2" t="s">
        <v>37</v>
      </c>
      <c r="D56" s="2" t="s">
        <v>38</v>
      </c>
      <c r="E56" s="23" t="str">
        <f>CONCATENATE(C56," ", D56)</f>
        <v>June Mcgrath</v>
      </c>
      <c r="F56">
        <v>81290</v>
      </c>
      <c r="G56" s="31" t="str">
        <f>CONCATENATE(F56,55)</f>
        <v>8129055</v>
      </c>
      <c r="H56" s="4">
        <v>46082</v>
      </c>
      <c r="I56" s="4">
        <v>46087</v>
      </c>
      <c r="J56" s="2" t="s">
        <v>15</v>
      </c>
      <c r="K56" s="2" t="s">
        <v>17</v>
      </c>
      <c r="L56" s="5">
        <v>294.16000000000003</v>
      </c>
      <c r="M56" s="5">
        <v>294.16000000000003</v>
      </c>
      <c r="N56" t="s">
        <v>131</v>
      </c>
      <c r="O56" s="22" t="s">
        <v>136</v>
      </c>
      <c r="P56"/>
      <c r="Q56"/>
      <c r="R56" s="2"/>
      <c r="S56"/>
    </row>
    <row r="57" spans="1:19" s="25" customFormat="1" x14ac:dyDescent="0.2">
      <c r="A57" s="16" t="s">
        <v>40</v>
      </c>
      <c r="B57" s="17">
        <v>20678727</v>
      </c>
      <c r="C57" s="16" t="s">
        <v>41</v>
      </c>
      <c r="D57" s="16" t="s">
        <v>42</v>
      </c>
      <c r="E57" s="23" t="str">
        <f>CONCATENATE(C57," ", D57)</f>
        <v>Thomas Sams</v>
      </c>
      <c r="F57" s="18">
        <v>2010</v>
      </c>
      <c r="G57" s="18" t="str">
        <f>CONCATENATE(F57,75)</f>
        <v>201075</v>
      </c>
      <c r="H57" s="19">
        <v>46082</v>
      </c>
      <c r="I57" s="19">
        <v>46087</v>
      </c>
      <c r="J57" s="16" t="s">
        <v>15</v>
      </c>
      <c r="K57" s="16" t="s">
        <v>44</v>
      </c>
      <c r="L57" s="20">
        <v>410.83</v>
      </c>
      <c r="M57" s="20">
        <v>705</v>
      </c>
      <c r="N57" s="18" t="s">
        <v>132</v>
      </c>
      <c r="O57" s="21" t="s">
        <v>133</v>
      </c>
      <c r="P57" s="18"/>
      <c r="Q57" s="18"/>
      <c r="R57" s="16"/>
      <c r="S57" s="18"/>
    </row>
    <row r="58" spans="1:19" s="10" customFormat="1" x14ac:dyDescent="0.2">
      <c r="A58" s="11" t="s">
        <v>40</v>
      </c>
      <c r="B58" s="12">
        <v>20678727</v>
      </c>
      <c r="C58" s="11" t="s">
        <v>41</v>
      </c>
      <c r="D58" s="11" t="s">
        <v>42</v>
      </c>
      <c r="E58" s="23" t="str">
        <f>CONCATENATE(C58," ", D58)</f>
        <v>Thomas Sams</v>
      </c>
      <c r="F58" s="13">
        <v>2010</v>
      </c>
      <c r="G58" s="13" t="str">
        <f>CONCATENATE(F58,55)</f>
        <v>201055</v>
      </c>
      <c r="H58" s="14">
        <v>46082</v>
      </c>
      <c r="I58" s="14">
        <v>46087</v>
      </c>
      <c r="J58" s="11" t="s">
        <v>15</v>
      </c>
      <c r="K58" s="11" t="s">
        <v>44</v>
      </c>
      <c r="L58" s="15">
        <v>410.83</v>
      </c>
      <c r="M58" s="15">
        <v>-294.16000000000003</v>
      </c>
      <c r="N58" s="13" t="s">
        <v>131</v>
      </c>
      <c r="O58" s="28" t="s">
        <v>136</v>
      </c>
      <c r="P58" s="13"/>
      <c r="Q58" s="13"/>
      <c r="R58" s="11"/>
      <c r="S58" s="13"/>
    </row>
  </sheetData>
  <sortState xmlns:xlrd2="http://schemas.microsoft.com/office/spreadsheetml/2017/richdata2" ref="A2:S60"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2026-03-09T20:37:51Z</dcterms:modified>
</cp:coreProperties>
</file>