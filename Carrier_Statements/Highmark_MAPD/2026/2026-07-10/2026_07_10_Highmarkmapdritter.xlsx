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ighmark_MAPD\2026\2026-07-10\"/>
    </mc:Choice>
  </mc:AlternateContent>
  <xr:revisionPtr revIDLastSave="0" documentId="13_ncr:1_{22E43EDD-C530-4BE3-A6FC-D472DBD7A06D}" xr6:coauthVersionLast="47" xr6:coauthVersionMax="47" xr10:uidLastSave="{00000000-0000-0000-0000-000000000000}"/>
  <bookViews>
    <workbookView xWindow="-120" yWindow="-120" windowWidth="29040" windowHeight="15720" activeTab="1" xr2:uid="{C35942D2-DDBF-43B9-BA49-BEB7DF07EFDD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12" i="2"/>
  <c r="H11" i="2"/>
  <c r="H10" i="2"/>
  <c r="H9" i="2"/>
  <c r="H8" i="2"/>
  <c r="H7" i="2"/>
  <c r="H6" i="2"/>
  <c r="H5" i="2"/>
  <c r="H4" i="2"/>
  <c r="H3" i="2"/>
  <c r="H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1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2" i="2"/>
  <c r="R11" i="2"/>
  <c r="R5" i="2"/>
  <c r="R4" i="2"/>
  <c r="R3" i="2"/>
</calcChain>
</file>

<file path=xl/sharedStrings.xml><?xml version="1.0" encoding="utf-8"?>
<sst xmlns="http://schemas.openxmlformats.org/spreadsheetml/2006/main" count="436" uniqueCount="104">
  <si>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</si>
  <si>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</si>
  <si>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</si>
  <si>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</si>
  <si>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</si>
  <si>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</si>
  <si>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</si>
  <si>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</si>
  <si>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</si>
  <si>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</si>
  <si>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</si>
  <si>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</si>
  <si>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Joseph</t>
  </si>
  <si>
    <t>Grieco</t>
  </si>
  <si>
    <t>*****78130</t>
  </si>
  <si>
    <t>Highmark</t>
  </si>
  <si>
    <t>Highmark 2025-26 PA Replace Street / TrueUp (ProRata: 6)</t>
  </si>
  <si>
    <t>Deborah Inskipt</t>
  </si>
  <si>
    <t>Dorothy</t>
  </si>
  <si>
    <t>Alfred</t>
  </si>
  <si>
    <t>*****91110</t>
  </si>
  <si>
    <t>Highmark 2025-26 PA Replace Street / TrueUp (ProRata: -6)</t>
  </si>
  <si>
    <t>Diane</t>
  </si>
  <si>
    <t>Fornear</t>
  </si>
  <si>
    <t>*****86770</t>
  </si>
  <si>
    <t>Highmark 2025-26 PA Replace Street / TrueUp (ProRata: 4)</t>
  </si>
  <si>
    <t>Debra</t>
  </si>
  <si>
    <t>Murray</t>
  </si>
  <si>
    <t>*****76360</t>
  </si>
  <si>
    <t>Highmark 2025-26 PA Replace Street / TrueUp (ProRata: 5)</t>
  </si>
  <si>
    <t>Sharon</t>
  </si>
  <si>
    <t>Norcia</t>
  </si>
  <si>
    <t>*****73720</t>
  </si>
  <si>
    <t>Patricia</t>
  </si>
  <si>
    <t>Show</t>
  </si>
  <si>
    <t>*****19850</t>
  </si>
  <si>
    <t>Kimberly</t>
  </si>
  <si>
    <t>Durkin</t>
  </si>
  <si>
    <t>*****15310</t>
  </si>
  <si>
    <t>David</t>
  </si>
  <si>
    <t>Hall</t>
  </si>
  <si>
    <t>*****74090</t>
  </si>
  <si>
    <t>Michelle McCorkle</t>
  </si>
  <si>
    <t>Michael</t>
  </si>
  <si>
    <t>Marquardt</t>
  </si>
  <si>
    <t>*****09600</t>
  </si>
  <si>
    <t>Patricia Long</t>
  </si>
  <si>
    <t>Ida</t>
  </si>
  <si>
    <t>Howard</t>
  </si>
  <si>
    <t>*****28100</t>
  </si>
  <si>
    <t>Highmark 2025-26 PA Initial Street (ProRata: -6)</t>
  </si>
  <si>
    <t>Highmark 2026 WV, PA Freedom Blue Replacement OR (ProRata: 6)</t>
  </si>
  <si>
    <t>Highmark 2025-2026 PA Replace OR (ProRata: -3)</t>
  </si>
  <si>
    <t>Highmark 2025-2026 PA Replace OR (ProRata: 4)</t>
  </si>
  <si>
    <t>Highmark 2025-2026 PA Replace OR (ProRata: 5)</t>
  </si>
  <si>
    <t>Highmark 2025-2026 PA Replace OR (ProRata: 6)</t>
  </si>
  <si>
    <t>Timothy Powers</t>
  </si>
  <si>
    <t>Kenton</t>
  </si>
  <si>
    <t>Gilstrap</t>
  </si>
  <si>
    <t>*****74220</t>
  </si>
  <si>
    <t>Anthony</t>
  </si>
  <si>
    <t>Goodwin</t>
  </si>
  <si>
    <t>*****78960</t>
  </si>
  <si>
    <t>Larry</t>
  </si>
  <si>
    <t>Kobik</t>
  </si>
  <si>
    <t>*****15340</t>
  </si>
  <si>
    <t>Margaret Smith</t>
  </si>
  <si>
    <t>Kelly</t>
  </si>
  <si>
    <t>Ragan</t>
  </si>
  <si>
    <t>*****07920</t>
  </si>
  <si>
    <t>John</t>
  </si>
  <si>
    <t>Kasprowicz</t>
  </si>
  <si>
    <t>*****12300</t>
  </si>
  <si>
    <t>Ricky</t>
  </si>
  <si>
    <t>Kradel</t>
  </si>
  <si>
    <t>*****06950</t>
  </si>
  <si>
    <t>James</t>
  </si>
  <si>
    <t>Mullen</t>
  </si>
  <si>
    <t>*****27710</t>
  </si>
  <si>
    <t>Stephen</t>
  </si>
  <si>
    <t>Onufrak</t>
  </si>
  <si>
    <t>*****09330</t>
  </si>
  <si>
    <t>Dennis</t>
  </si>
  <si>
    <t>Rumbaugh</t>
  </si>
  <si>
    <t>*****52840</t>
  </si>
  <si>
    <t>Donald</t>
  </si>
  <si>
    <t>Tomasic</t>
  </si>
  <si>
    <t>*****06070</t>
  </si>
  <si>
    <t>Robert</t>
  </si>
  <si>
    <t>Watson</t>
  </si>
  <si>
    <t>*****80090</t>
  </si>
  <si>
    <t>Mary</t>
  </si>
  <si>
    <t>Wiley</t>
  </si>
  <si>
    <t>*****65620</t>
  </si>
  <si>
    <t>Highmark 2025-2026 Comm Blue PA Full OR (ProRata: -6)</t>
  </si>
  <si>
    <t>[%/$=353][prorate=6/12]</t>
  </si>
  <si>
    <t>[%/$=353][prorate=4/12]</t>
  </si>
  <si>
    <t>[%/$=353][prorate=5/12]</t>
  </si>
  <si>
    <t>Highmark MAPD 2025..</t>
  </si>
  <si>
    <t>[%/$=705][prorate=6/12]</t>
  </si>
  <si>
    <t>Highmark MAPD 2025.</t>
  </si>
  <si>
    <t>Highmark MAPD Ovr</t>
  </si>
  <si>
    <t>8971826N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</si>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</sst>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3619-3D78-423F-AAF4-BBD5E52A823F}">
  <dimension ref="A1:K34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855468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1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8971826</v>
      </c>
      <c r="D2" t="s">
        <v>12</v>
      </c>
      <c r="E2" t="s">
        <v>13</v>
      </c>
      <c r="F2" t="s">
        <v>14</v>
      </c>
      <c r="G2" s="1">
        <v>46204</v>
      </c>
      <c r="H2" s="1">
        <v>46213</v>
      </c>
      <c r="I2" t="s">
        <v>15</v>
      </c>
      <c r="J2" t="s">
        <v>16</v>
      </c>
      <c r="K2" s="2">
        <v>176.5</v>
      </c>
    </row>
    <row r="3" spans="1:11" x14ac:dyDescent="0.25">
      <c r="A3" t="s">
        <v>17</v>
      </c>
      <c r="C3">
        <v>17528908</v>
      </c>
      <c r="D3" t="s">
        <v>18</v>
      </c>
      <c r="E3" t="s">
        <v>19</v>
      </c>
      <c r="F3" t="s">
        <v>20</v>
      </c>
      <c r="G3" s="1">
        <v>46023</v>
      </c>
      <c r="H3" s="1">
        <v>46213</v>
      </c>
      <c r="I3" t="s">
        <v>15</v>
      </c>
      <c r="J3" t="s">
        <v>21</v>
      </c>
      <c r="K3" s="2">
        <v>-176.5</v>
      </c>
    </row>
    <row r="4" spans="1:11" x14ac:dyDescent="0.25">
      <c r="A4" t="s">
        <v>17</v>
      </c>
      <c r="C4">
        <v>17528908</v>
      </c>
      <c r="D4" t="s">
        <v>22</v>
      </c>
      <c r="E4" t="s">
        <v>23</v>
      </c>
      <c r="F4" t="s">
        <v>24</v>
      </c>
      <c r="G4" s="1">
        <v>46266</v>
      </c>
      <c r="H4" s="1">
        <v>46213</v>
      </c>
      <c r="I4" t="s">
        <v>15</v>
      </c>
      <c r="J4" t="s">
        <v>25</v>
      </c>
      <c r="K4" s="2">
        <v>117.66</v>
      </c>
    </row>
    <row r="5" spans="1:11" x14ac:dyDescent="0.25">
      <c r="A5" t="s">
        <v>17</v>
      </c>
      <c r="C5">
        <v>17528908</v>
      </c>
      <c r="D5" t="s">
        <v>26</v>
      </c>
      <c r="E5" t="s">
        <v>27</v>
      </c>
      <c r="F5" t="s">
        <v>28</v>
      </c>
      <c r="G5" s="1">
        <v>46235</v>
      </c>
      <c r="H5" s="1">
        <v>46213</v>
      </c>
      <c r="I5" t="s">
        <v>15</v>
      </c>
      <c r="J5" t="s">
        <v>29</v>
      </c>
      <c r="K5" s="2">
        <v>147.08000000000001</v>
      </c>
    </row>
    <row r="6" spans="1:11" x14ac:dyDescent="0.25">
      <c r="A6" t="s">
        <v>17</v>
      </c>
      <c r="C6">
        <v>17528908</v>
      </c>
      <c r="D6" t="s">
        <v>30</v>
      </c>
      <c r="E6" t="s">
        <v>31</v>
      </c>
      <c r="F6" t="s">
        <v>32</v>
      </c>
      <c r="G6" s="1">
        <v>46235</v>
      </c>
      <c r="H6" s="1">
        <v>46213</v>
      </c>
      <c r="I6" t="s">
        <v>15</v>
      </c>
      <c r="J6" t="s">
        <v>29</v>
      </c>
      <c r="K6" s="2">
        <v>147.08000000000001</v>
      </c>
    </row>
    <row r="7" spans="1:11" x14ac:dyDescent="0.25">
      <c r="A7" t="s">
        <v>17</v>
      </c>
      <c r="C7">
        <v>17528908</v>
      </c>
      <c r="D7" t="s">
        <v>33</v>
      </c>
      <c r="E7" t="s">
        <v>34</v>
      </c>
      <c r="F7" t="s">
        <v>35</v>
      </c>
      <c r="G7" s="1">
        <v>46204</v>
      </c>
      <c r="H7" s="1">
        <v>46213</v>
      </c>
      <c r="I7" t="s">
        <v>15</v>
      </c>
      <c r="J7" t="s">
        <v>16</v>
      </c>
      <c r="K7" s="2">
        <v>176.5</v>
      </c>
    </row>
    <row r="8" spans="1:11" x14ac:dyDescent="0.25">
      <c r="A8" t="s">
        <v>17</v>
      </c>
      <c r="C8">
        <v>17528908</v>
      </c>
      <c r="D8" t="s">
        <v>36</v>
      </c>
      <c r="E8" t="s">
        <v>37</v>
      </c>
      <c r="F8" t="s">
        <v>38</v>
      </c>
      <c r="G8" s="1">
        <v>46204</v>
      </c>
      <c r="H8" s="1">
        <v>46213</v>
      </c>
      <c r="I8" t="s">
        <v>15</v>
      </c>
      <c r="J8" t="s">
        <v>16</v>
      </c>
      <c r="K8" s="2">
        <v>176.5</v>
      </c>
    </row>
    <row r="9" spans="1:11" x14ac:dyDescent="0.25">
      <c r="A9" t="s">
        <v>17</v>
      </c>
      <c r="C9">
        <v>17528908</v>
      </c>
      <c r="D9" t="s">
        <v>39</v>
      </c>
      <c r="E9" t="s">
        <v>40</v>
      </c>
      <c r="F9" t="s">
        <v>41</v>
      </c>
      <c r="G9" s="1">
        <v>46204</v>
      </c>
      <c r="H9" s="1">
        <v>46213</v>
      </c>
      <c r="I9" t="s">
        <v>15</v>
      </c>
      <c r="J9" t="s">
        <v>16</v>
      </c>
      <c r="K9" s="2">
        <v>176.5</v>
      </c>
    </row>
    <row r="10" spans="1:11" x14ac:dyDescent="0.25">
      <c r="A10" t="s">
        <v>42</v>
      </c>
      <c r="C10">
        <v>18710070</v>
      </c>
      <c r="D10" t="s">
        <v>43</v>
      </c>
      <c r="E10" t="s">
        <v>44</v>
      </c>
      <c r="F10" t="s">
        <v>45</v>
      </c>
      <c r="G10" s="1">
        <v>46204</v>
      </c>
      <c r="H10" s="1">
        <v>46213</v>
      </c>
      <c r="I10" t="s">
        <v>15</v>
      </c>
      <c r="J10" t="s">
        <v>16</v>
      </c>
      <c r="K10" s="2">
        <v>176.5</v>
      </c>
    </row>
    <row r="11" spans="1:11" x14ac:dyDescent="0.25">
      <c r="A11" t="s">
        <v>46</v>
      </c>
      <c r="C11">
        <v>18794740</v>
      </c>
      <c r="D11" t="s">
        <v>47</v>
      </c>
      <c r="E11" t="s">
        <v>48</v>
      </c>
      <c r="F11" t="s">
        <v>49</v>
      </c>
      <c r="G11" s="1">
        <v>46023</v>
      </c>
      <c r="H11" s="1">
        <v>46213</v>
      </c>
      <c r="I11" t="s">
        <v>15</v>
      </c>
      <c r="J11" t="s">
        <v>50</v>
      </c>
      <c r="K11" s="2">
        <v>-352.5</v>
      </c>
    </row>
    <row r="12" spans="1:11" x14ac:dyDescent="0.25">
      <c r="A12" t="s">
        <v>11</v>
      </c>
      <c r="C12">
        <v>8971826</v>
      </c>
      <c r="D12" t="s">
        <v>12</v>
      </c>
      <c r="E12" t="s">
        <v>13</v>
      </c>
      <c r="F12" t="s">
        <v>14</v>
      </c>
      <c r="G12" s="1">
        <v>46204</v>
      </c>
      <c r="H12" s="1">
        <v>46213</v>
      </c>
      <c r="I12" t="s">
        <v>15</v>
      </c>
      <c r="J12" t="s">
        <v>51</v>
      </c>
      <c r="K12" s="2">
        <v>46.87</v>
      </c>
    </row>
    <row r="13" spans="1:11" x14ac:dyDescent="0.25">
      <c r="A13" t="s">
        <v>17</v>
      </c>
      <c r="C13">
        <v>17528908</v>
      </c>
      <c r="D13" t="s">
        <v>18</v>
      </c>
      <c r="E13" t="s">
        <v>19</v>
      </c>
      <c r="F13" t="s">
        <v>20</v>
      </c>
      <c r="G13" s="1">
        <v>46023</v>
      </c>
      <c r="H13" s="1">
        <v>46213</v>
      </c>
      <c r="I13" t="s">
        <v>15</v>
      </c>
      <c r="J13" t="s">
        <v>52</v>
      </c>
      <c r="K13" s="2">
        <v>-27.18</v>
      </c>
    </row>
    <row r="14" spans="1:11" x14ac:dyDescent="0.25">
      <c r="A14" t="s">
        <v>17</v>
      </c>
      <c r="C14">
        <v>17528908</v>
      </c>
      <c r="D14" t="s">
        <v>18</v>
      </c>
      <c r="E14" t="s">
        <v>19</v>
      </c>
      <c r="F14" t="s">
        <v>20</v>
      </c>
      <c r="G14" s="1">
        <v>46023</v>
      </c>
      <c r="H14" s="1">
        <v>46213</v>
      </c>
      <c r="I14" t="s">
        <v>15</v>
      </c>
      <c r="J14" t="s">
        <v>52</v>
      </c>
      <c r="K14" s="2">
        <v>-27.18</v>
      </c>
    </row>
    <row r="15" spans="1:11" x14ac:dyDescent="0.25">
      <c r="A15" t="s">
        <v>17</v>
      </c>
      <c r="C15">
        <v>17528908</v>
      </c>
      <c r="D15" t="s">
        <v>22</v>
      </c>
      <c r="E15" t="s">
        <v>23</v>
      </c>
      <c r="F15" t="s">
        <v>24</v>
      </c>
      <c r="G15" s="1">
        <v>46266</v>
      </c>
      <c r="H15" s="1">
        <v>46213</v>
      </c>
      <c r="I15" t="s">
        <v>15</v>
      </c>
      <c r="J15" t="s">
        <v>53</v>
      </c>
      <c r="K15" s="2">
        <v>36.25</v>
      </c>
    </row>
    <row r="16" spans="1:11" x14ac:dyDescent="0.25">
      <c r="A16" t="s">
        <v>17</v>
      </c>
      <c r="C16">
        <v>17528908</v>
      </c>
      <c r="D16" t="s">
        <v>26</v>
      </c>
      <c r="E16" t="s">
        <v>27</v>
      </c>
      <c r="F16" t="s">
        <v>28</v>
      </c>
      <c r="G16" s="1">
        <v>46235</v>
      </c>
      <c r="H16" s="1">
        <v>46213</v>
      </c>
      <c r="I16" t="s">
        <v>15</v>
      </c>
      <c r="J16" t="s">
        <v>54</v>
      </c>
      <c r="K16" s="2">
        <v>45.31</v>
      </c>
    </row>
    <row r="17" spans="1:11" x14ac:dyDescent="0.25">
      <c r="A17" t="s">
        <v>17</v>
      </c>
      <c r="C17">
        <v>17528908</v>
      </c>
      <c r="D17" t="s">
        <v>30</v>
      </c>
      <c r="E17" t="s">
        <v>31</v>
      </c>
      <c r="F17" t="s">
        <v>32</v>
      </c>
      <c r="G17" s="1">
        <v>46235</v>
      </c>
      <c r="H17" s="1">
        <v>46213</v>
      </c>
      <c r="I17" t="s">
        <v>15</v>
      </c>
      <c r="J17" t="s">
        <v>54</v>
      </c>
      <c r="K17" s="2">
        <v>45.31</v>
      </c>
    </row>
    <row r="18" spans="1:11" x14ac:dyDescent="0.25">
      <c r="A18" t="s">
        <v>17</v>
      </c>
      <c r="C18">
        <v>17528908</v>
      </c>
      <c r="D18" t="s">
        <v>33</v>
      </c>
      <c r="E18" t="s">
        <v>34</v>
      </c>
      <c r="F18" t="s">
        <v>35</v>
      </c>
      <c r="G18" s="1">
        <v>46204</v>
      </c>
      <c r="H18" s="1">
        <v>46213</v>
      </c>
      <c r="I18" t="s">
        <v>15</v>
      </c>
      <c r="J18" t="s">
        <v>55</v>
      </c>
      <c r="K18" s="2">
        <v>54.37</v>
      </c>
    </row>
    <row r="19" spans="1:11" x14ac:dyDescent="0.25">
      <c r="A19" t="s">
        <v>17</v>
      </c>
      <c r="C19">
        <v>17528908</v>
      </c>
      <c r="D19" t="s">
        <v>36</v>
      </c>
      <c r="E19" t="s">
        <v>37</v>
      </c>
      <c r="F19" t="s">
        <v>38</v>
      </c>
      <c r="G19" s="1">
        <v>46204</v>
      </c>
      <c r="H19" s="1">
        <v>46213</v>
      </c>
      <c r="I19" t="s">
        <v>15</v>
      </c>
      <c r="J19" t="s">
        <v>55</v>
      </c>
      <c r="K19" s="2">
        <v>54.37</v>
      </c>
    </row>
    <row r="20" spans="1:11" x14ac:dyDescent="0.25">
      <c r="A20" t="s">
        <v>17</v>
      </c>
      <c r="C20">
        <v>17528908</v>
      </c>
      <c r="D20" t="s">
        <v>39</v>
      </c>
      <c r="E20" t="s">
        <v>40</v>
      </c>
      <c r="F20" t="s">
        <v>41</v>
      </c>
      <c r="G20" s="1">
        <v>46204</v>
      </c>
      <c r="H20" s="1">
        <v>46213</v>
      </c>
      <c r="I20" t="s">
        <v>15</v>
      </c>
      <c r="J20" t="s">
        <v>51</v>
      </c>
      <c r="K20" s="2">
        <v>46.87</v>
      </c>
    </row>
    <row r="21" spans="1:11" x14ac:dyDescent="0.25">
      <c r="A21" t="s">
        <v>56</v>
      </c>
      <c r="C21">
        <v>17886092</v>
      </c>
      <c r="D21" t="s">
        <v>57</v>
      </c>
      <c r="E21" t="s">
        <v>58</v>
      </c>
      <c r="F21" t="s">
        <v>59</v>
      </c>
      <c r="G21" s="1">
        <v>46235</v>
      </c>
      <c r="H21" s="1">
        <v>46213</v>
      </c>
      <c r="I21" t="s">
        <v>15</v>
      </c>
      <c r="J21" t="s">
        <v>54</v>
      </c>
      <c r="K21" s="2">
        <v>30.21</v>
      </c>
    </row>
    <row r="22" spans="1:11" x14ac:dyDescent="0.25">
      <c r="A22" t="s">
        <v>56</v>
      </c>
      <c r="C22">
        <v>17886092</v>
      </c>
      <c r="D22" t="s">
        <v>60</v>
      </c>
      <c r="E22" t="s">
        <v>61</v>
      </c>
      <c r="F22" t="s">
        <v>62</v>
      </c>
      <c r="G22" s="1">
        <v>46204</v>
      </c>
      <c r="H22" s="1">
        <v>46213</v>
      </c>
      <c r="I22" t="s">
        <v>15</v>
      </c>
      <c r="J22" t="s">
        <v>55</v>
      </c>
      <c r="K22" s="2">
        <v>36.25</v>
      </c>
    </row>
    <row r="23" spans="1:11" x14ac:dyDescent="0.25">
      <c r="A23" t="s">
        <v>56</v>
      </c>
      <c r="C23">
        <v>17886092</v>
      </c>
      <c r="D23" t="s">
        <v>63</v>
      </c>
      <c r="E23" t="s">
        <v>64</v>
      </c>
      <c r="F23" t="s">
        <v>65</v>
      </c>
      <c r="G23" s="1">
        <v>46204</v>
      </c>
      <c r="H23" s="1">
        <v>46213</v>
      </c>
      <c r="I23" t="s">
        <v>15</v>
      </c>
      <c r="J23" t="s">
        <v>55</v>
      </c>
      <c r="K23" s="2">
        <v>36.25</v>
      </c>
    </row>
    <row r="24" spans="1:11" x14ac:dyDescent="0.25">
      <c r="A24" t="s">
        <v>42</v>
      </c>
      <c r="C24">
        <v>18710070</v>
      </c>
      <c r="D24" t="s">
        <v>43</v>
      </c>
      <c r="E24" t="s">
        <v>44</v>
      </c>
      <c r="F24" t="s">
        <v>45</v>
      </c>
      <c r="G24" s="1">
        <v>46204</v>
      </c>
      <c r="H24" s="1">
        <v>46213</v>
      </c>
      <c r="I24" t="s">
        <v>15</v>
      </c>
      <c r="J24" t="s">
        <v>55</v>
      </c>
      <c r="K24" s="2">
        <v>54.37</v>
      </c>
    </row>
    <row r="25" spans="1:11" x14ac:dyDescent="0.25">
      <c r="A25" t="s">
        <v>66</v>
      </c>
      <c r="C25">
        <v>20253958</v>
      </c>
      <c r="D25" t="s">
        <v>67</v>
      </c>
      <c r="E25" t="s">
        <v>68</v>
      </c>
      <c r="F25" t="s">
        <v>69</v>
      </c>
      <c r="G25" s="1">
        <v>46204</v>
      </c>
      <c r="H25" s="1">
        <v>46213</v>
      </c>
      <c r="I25" t="s">
        <v>15</v>
      </c>
      <c r="J25" t="s">
        <v>55</v>
      </c>
      <c r="K25" s="2">
        <v>36.25</v>
      </c>
    </row>
    <row r="26" spans="1:11" x14ac:dyDescent="0.25">
      <c r="A26" t="s">
        <v>66</v>
      </c>
      <c r="C26">
        <v>20253958</v>
      </c>
      <c r="D26" t="s">
        <v>70</v>
      </c>
      <c r="E26" t="s">
        <v>71</v>
      </c>
      <c r="F26" t="s">
        <v>72</v>
      </c>
      <c r="G26" s="1">
        <v>46235</v>
      </c>
      <c r="H26" s="1">
        <v>46213</v>
      </c>
      <c r="I26" t="s">
        <v>15</v>
      </c>
      <c r="J26" t="s">
        <v>54</v>
      </c>
      <c r="K26" s="2">
        <v>30.21</v>
      </c>
    </row>
    <row r="27" spans="1:11" x14ac:dyDescent="0.25">
      <c r="A27" t="s">
        <v>66</v>
      </c>
      <c r="C27">
        <v>20253958</v>
      </c>
      <c r="D27" t="s">
        <v>73</v>
      </c>
      <c r="E27" t="s">
        <v>74</v>
      </c>
      <c r="F27" t="s">
        <v>75</v>
      </c>
      <c r="G27" s="1">
        <v>46204</v>
      </c>
      <c r="H27" s="1">
        <v>46213</v>
      </c>
      <c r="I27" t="s">
        <v>15</v>
      </c>
      <c r="J27" t="s">
        <v>55</v>
      </c>
      <c r="K27" s="2">
        <v>36.25</v>
      </c>
    </row>
    <row r="28" spans="1:11" x14ac:dyDescent="0.25">
      <c r="A28" t="s">
        <v>66</v>
      </c>
      <c r="C28">
        <v>20253958</v>
      </c>
      <c r="D28" t="s">
        <v>76</v>
      </c>
      <c r="E28" t="s">
        <v>77</v>
      </c>
      <c r="F28" t="s">
        <v>78</v>
      </c>
      <c r="G28" s="1">
        <v>46204</v>
      </c>
      <c r="H28" s="1">
        <v>46213</v>
      </c>
      <c r="I28" t="s">
        <v>15</v>
      </c>
      <c r="J28" t="s">
        <v>55</v>
      </c>
      <c r="K28" s="2">
        <v>36.25</v>
      </c>
    </row>
    <row r="29" spans="1:11" x14ac:dyDescent="0.25">
      <c r="A29" t="s">
        <v>66</v>
      </c>
      <c r="C29">
        <v>20253958</v>
      </c>
      <c r="D29" t="s">
        <v>79</v>
      </c>
      <c r="E29" t="s">
        <v>80</v>
      </c>
      <c r="F29" t="s">
        <v>81</v>
      </c>
      <c r="G29" s="1">
        <v>46235</v>
      </c>
      <c r="H29" s="1">
        <v>46213</v>
      </c>
      <c r="I29" t="s">
        <v>15</v>
      </c>
      <c r="J29" t="s">
        <v>54</v>
      </c>
      <c r="K29" s="2">
        <v>30.21</v>
      </c>
    </row>
    <row r="30" spans="1:11" x14ac:dyDescent="0.25">
      <c r="A30" t="s">
        <v>66</v>
      </c>
      <c r="C30">
        <v>20253958</v>
      </c>
      <c r="D30" t="s">
        <v>82</v>
      </c>
      <c r="E30" t="s">
        <v>83</v>
      </c>
      <c r="F30" t="s">
        <v>84</v>
      </c>
      <c r="G30" s="1">
        <v>46204</v>
      </c>
      <c r="H30" s="1">
        <v>46213</v>
      </c>
      <c r="I30" t="s">
        <v>15</v>
      </c>
      <c r="J30" t="s">
        <v>55</v>
      </c>
      <c r="K30" s="2">
        <v>36.25</v>
      </c>
    </row>
    <row r="31" spans="1:11" x14ac:dyDescent="0.25">
      <c r="A31" t="s">
        <v>66</v>
      </c>
      <c r="C31">
        <v>20253958</v>
      </c>
      <c r="D31" t="s">
        <v>85</v>
      </c>
      <c r="E31" t="s">
        <v>86</v>
      </c>
      <c r="F31" t="s">
        <v>87</v>
      </c>
      <c r="G31" s="1">
        <v>46204</v>
      </c>
      <c r="H31" s="1">
        <v>46213</v>
      </c>
      <c r="I31" t="s">
        <v>15</v>
      </c>
      <c r="J31" t="s">
        <v>55</v>
      </c>
      <c r="K31" s="2">
        <v>36.25</v>
      </c>
    </row>
    <row r="32" spans="1:11" x14ac:dyDescent="0.25">
      <c r="A32" t="s">
        <v>66</v>
      </c>
      <c r="C32">
        <v>20253958</v>
      </c>
      <c r="D32" t="s">
        <v>88</v>
      </c>
      <c r="E32" t="s">
        <v>89</v>
      </c>
      <c r="F32" t="s">
        <v>90</v>
      </c>
      <c r="G32" s="1">
        <v>46204</v>
      </c>
      <c r="H32" s="1">
        <v>46213</v>
      </c>
      <c r="I32" t="s">
        <v>15</v>
      </c>
      <c r="J32" t="s">
        <v>55</v>
      </c>
      <c r="K32" s="2">
        <v>36.25</v>
      </c>
    </row>
    <row r="33" spans="1:11" x14ac:dyDescent="0.25">
      <c r="A33" t="s">
        <v>66</v>
      </c>
      <c r="C33">
        <v>20253958</v>
      </c>
      <c r="D33" t="s">
        <v>91</v>
      </c>
      <c r="E33" t="s">
        <v>92</v>
      </c>
      <c r="F33" t="s">
        <v>93</v>
      </c>
      <c r="G33" s="1">
        <v>46235</v>
      </c>
      <c r="H33" s="1">
        <v>46213</v>
      </c>
      <c r="I33" t="s">
        <v>15</v>
      </c>
      <c r="J33" t="s">
        <v>54</v>
      </c>
      <c r="K33" s="2">
        <v>30.21</v>
      </c>
    </row>
    <row r="34" spans="1:11" x14ac:dyDescent="0.25">
      <c r="A34" t="s">
        <v>46</v>
      </c>
      <c r="C34">
        <v>18794740</v>
      </c>
      <c r="D34" t="s">
        <v>47</v>
      </c>
      <c r="E34" t="s">
        <v>48</v>
      </c>
      <c r="F34" t="s">
        <v>49</v>
      </c>
      <c r="G34" s="1">
        <v>46023</v>
      </c>
      <c r="H34" s="1">
        <v>46213</v>
      </c>
      <c r="I34" t="s">
        <v>15</v>
      </c>
      <c r="J34" t="s">
        <v>94</v>
      </c>
      <c r="K34" s="2">
        <v>-82.5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368-2AE5-4305-ACA7-7DEA19F69AF4}">
  <dimension ref="A1:R34"/>
  <sheetViews>
    <sheetView tabSelected="1" topLeftCell="B1" workbookViewId="0">
      <selection activeCell="P2" sqref="P2:P11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7109375" customWidth="1"/>
    <col min="4" max="4" width="10.5703125" bestFit="1" customWidth="1"/>
    <col min="5" max="5" width="10.85546875" bestFit="1" customWidth="1"/>
    <col min="6" max="6" width="10.85546875" customWidth="1"/>
    <col min="7" max="7" width="11" bestFit="1" customWidth="1"/>
    <col min="8" max="8" width="11" customWidth="1"/>
    <col min="9" max="9" width="11.85546875" bestFit="1" customWidth="1"/>
    <col min="10" max="10" width="11.85546875" customWidth="1"/>
    <col min="11" max="11" width="14.7109375" bestFit="1" customWidth="1"/>
    <col min="12" max="12" width="12.7109375" bestFit="1" customWidth="1"/>
    <col min="13" max="13" width="61.28515625" bestFit="1" customWidth="1"/>
    <col min="14" max="14" width="15.7109375" bestFit="1" customWidth="1"/>
    <col min="15" max="15" width="21.140625" bestFit="1" customWidth="1"/>
    <col min="16" max="16" width="23.140625" bestFit="1" customWidth="1"/>
  </cols>
  <sheetData>
    <row r="1" spans="1:18" x14ac:dyDescent="0.25">
      <c r="A1" t="s">
        <v>0</v>
      </c>
      <c r="B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L1" t="s">
        <v>8</v>
      </c>
      <c r="M1" t="s">
        <v>9</v>
      </c>
      <c r="N1" t="s">
        <v>10</v>
      </c>
    </row>
    <row r="2" spans="1:18" x14ac:dyDescent="0.25">
      <c r="A2" t="s">
        <v>11</v>
      </c>
      <c r="B2">
        <v>8971826</v>
      </c>
      <c r="C2" t="s">
        <v>102</v>
      </c>
      <c r="D2" t="s">
        <v>12</v>
      </c>
      <c r="E2" t="s">
        <v>13</v>
      </c>
      <c r="F2" t="str">
        <f>CONCATENATE(D2," ",E2)</f>
        <v>Joseph Grieco</v>
      </c>
      <c r="G2">
        <v>78130</v>
      </c>
      <c r="H2" t="str">
        <f>CONCATENATE(G2,55)</f>
        <v>7813055</v>
      </c>
      <c r="I2" s="1">
        <v>46204</v>
      </c>
      <c r="J2" s="1">
        <v>46387</v>
      </c>
      <c r="K2" s="1">
        <v>46213</v>
      </c>
      <c r="L2" t="s">
        <v>15</v>
      </c>
      <c r="M2" t="s">
        <v>16</v>
      </c>
      <c r="N2" s="2">
        <v>176.5</v>
      </c>
      <c r="O2" t="s">
        <v>98</v>
      </c>
      <c r="P2" t="s">
        <v>95</v>
      </c>
    </row>
    <row r="3" spans="1:18" x14ac:dyDescent="0.25">
      <c r="A3" t="s">
        <v>17</v>
      </c>
      <c r="B3">
        <v>17528908</v>
      </c>
      <c r="C3" t="s">
        <v>103</v>
      </c>
      <c r="D3" t="s">
        <v>18</v>
      </c>
      <c r="E3" t="s">
        <v>19</v>
      </c>
      <c r="F3" t="str">
        <f t="shared" ref="F3:F34" si="0">CONCATENATE(D3," ",E3)</f>
        <v>Dorothy Alfred</v>
      </c>
      <c r="G3">
        <v>91110</v>
      </c>
      <c r="H3" t="str">
        <f t="shared" ref="H3:H10" si="1">CONCATENATE(G3,55)</f>
        <v>9111055</v>
      </c>
      <c r="I3" s="1">
        <v>46023</v>
      </c>
      <c r="J3" s="1">
        <v>46174</v>
      </c>
      <c r="K3" s="1">
        <v>46213</v>
      </c>
      <c r="L3" t="s">
        <v>15</v>
      </c>
      <c r="M3" t="s">
        <v>21</v>
      </c>
      <c r="N3" s="2">
        <v>-176.5</v>
      </c>
      <c r="O3" t="s">
        <v>98</v>
      </c>
      <c r="P3" t="s">
        <v>95</v>
      </c>
      <c r="R3">
        <f>353/12*6</f>
        <v>176.5</v>
      </c>
    </row>
    <row r="4" spans="1:18" x14ac:dyDescent="0.25">
      <c r="A4" t="s">
        <v>17</v>
      </c>
      <c r="B4">
        <v>17528908</v>
      </c>
      <c r="C4" t="s">
        <v>103</v>
      </c>
      <c r="D4" t="s">
        <v>22</v>
      </c>
      <c r="E4" t="s">
        <v>23</v>
      </c>
      <c r="F4" t="str">
        <f t="shared" si="0"/>
        <v>Diane Fornear</v>
      </c>
      <c r="G4">
        <v>86770</v>
      </c>
      <c r="H4" t="str">
        <f t="shared" si="1"/>
        <v>8677055</v>
      </c>
      <c r="I4" s="1">
        <v>46266</v>
      </c>
      <c r="J4" s="1">
        <v>46387</v>
      </c>
      <c r="K4" s="1">
        <v>46213</v>
      </c>
      <c r="L4" t="s">
        <v>15</v>
      </c>
      <c r="M4" t="s">
        <v>25</v>
      </c>
      <c r="N4" s="2">
        <v>117.66</v>
      </c>
      <c r="O4" t="s">
        <v>98</v>
      </c>
      <c r="P4" t="s">
        <v>96</v>
      </c>
      <c r="R4">
        <f>353/12*4</f>
        <v>117.66666666666667</v>
      </c>
    </row>
    <row r="5" spans="1:18" x14ac:dyDescent="0.25">
      <c r="A5" t="s">
        <v>17</v>
      </c>
      <c r="B5">
        <v>17528908</v>
      </c>
      <c r="C5" t="s">
        <v>103</v>
      </c>
      <c r="D5" t="s">
        <v>26</v>
      </c>
      <c r="E5" t="s">
        <v>27</v>
      </c>
      <c r="F5" t="str">
        <f t="shared" si="0"/>
        <v>Debra Murray</v>
      </c>
      <c r="G5">
        <v>76360</v>
      </c>
      <c r="H5" t="str">
        <f t="shared" si="1"/>
        <v>7636055</v>
      </c>
      <c r="I5" s="1">
        <v>46235</v>
      </c>
      <c r="J5" s="1">
        <v>46387</v>
      </c>
      <c r="K5" s="1">
        <v>46213</v>
      </c>
      <c r="L5" t="s">
        <v>15</v>
      </c>
      <c r="M5" t="s">
        <v>29</v>
      </c>
      <c r="N5" s="2">
        <v>147.08000000000001</v>
      </c>
      <c r="O5" t="s">
        <v>98</v>
      </c>
      <c r="P5" t="s">
        <v>97</v>
      </c>
      <c r="R5">
        <f>353/12*5</f>
        <v>147.08333333333334</v>
      </c>
    </row>
    <row r="6" spans="1:18" x14ac:dyDescent="0.25">
      <c r="A6" t="s">
        <v>17</v>
      </c>
      <c r="B6">
        <v>17528908</v>
      </c>
      <c r="C6" t="s">
        <v>103</v>
      </c>
      <c r="D6" t="s">
        <v>30</v>
      </c>
      <c r="E6" t="s">
        <v>31</v>
      </c>
      <c r="F6" t="str">
        <f t="shared" si="0"/>
        <v>Sharon Norcia</v>
      </c>
      <c r="G6">
        <v>73720</v>
      </c>
      <c r="H6" t="str">
        <f t="shared" si="1"/>
        <v>7372055</v>
      </c>
      <c r="I6" s="1">
        <v>46235</v>
      </c>
      <c r="J6" s="1">
        <v>46387</v>
      </c>
      <c r="K6" s="1">
        <v>46213</v>
      </c>
      <c r="L6" t="s">
        <v>15</v>
      </c>
      <c r="M6" t="s">
        <v>29</v>
      </c>
      <c r="N6" s="2">
        <v>147.08000000000001</v>
      </c>
      <c r="O6" t="s">
        <v>98</v>
      </c>
      <c r="P6" t="s">
        <v>97</v>
      </c>
    </row>
    <row r="7" spans="1:18" x14ac:dyDescent="0.25">
      <c r="A7" t="s">
        <v>17</v>
      </c>
      <c r="B7">
        <v>17528908</v>
      </c>
      <c r="C7" t="s">
        <v>103</v>
      </c>
      <c r="D7" t="s">
        <v>33</v>
      </c>
      <c r="E7" t="s">
        <v>34</v>
      </c>
      <c r="F7" t="str">
        <f t="shared" si="0"/>
        <v>Patricia Show</v>
      </c>
      <c r="G7">
        <v>19850</v>
      </c>
      <c r="H7" t="str">
        <f t="shared" si="1"/>
        <v>1985055</v>
      </c>
      <c r="I7" s="1">
        <v>46204</v>
      </c>
      <c r="J7" s="1">
        <v>46387</v>
      </c>
      <c r="K7" s="1">
        <v>46213</v>
      </c>
      <c r="L7" t="s">
        <v>15</v>
      </c>
      <c r="M7" t="s">
        <v>16</v>
      </c>
      <c r="N7" s="2">
        <v>176.5</v>
      </c>
      <c r="O7" t="s">
        <v>98</v>
      </c>
      <c r="P7" t="s">
        <v>95</v>
      </c>
    </row>
    <row r="8" spans="1:18" x14ac:dyDescent="0.25">
      <c r="A8" t="s">
        <v>17</v>
      </c>
      <c r="B8">
        <v>17528908</v>
      </c>
      <c r="C8" t="s">
        <v>103</v>
      </c>
      <c r="D8" t="s">
        <v>36</v>
      </c>
      <c r="E8" t="s">
        <v>37</v>
      </c>
      <c r="F8" t="str">
        <f t="shared" si="0"/>
        <v>Kimberly Durkin</v>
      </c>
      <c r="G8">
        <v>15310</v>
      </c>
      <c r="H8" t="str">
        <f t="shared" si="1"/>
        <v>1531055</v>
      </c>
      <c r="I8" s="1">
        <v>46204</v>
      </c>
      <c r="J8" s="1">
        <v>46387</v>
      </c>
      <c r="K8" s="1">
        <v>46213</v>
      </c>
      <c r="L8" t="s">
        <v>15</v>
      </c>
      <c r="M8" t="s">
        <v>16</v>
      </c>
      <c r="N8" s="2">
        <v>176.5</v>
      </c>
      <c r="O8" t="s">
        <v>98</v>
      </c>
      <c r="P8" t="s">
        <v>95</v>
      </c>
    </row>
    <row r="9" spans="1:18" x14ac:dyDescent="0.25">
      <c r="A9" t="s">
        <v>17</v>
      </c>
      <c r="B9">
        <v>17528908</v>
      </c>
      <c r="C9" t="s">
        <v>103</v>
      </c>
      <c r="D9" t="s">
        <v>39</v>
      </c>
      <c r="E9" t="s">
        <v>40</v>
      </c>
      <c r="F9" t="str">
        <f t="shared" si="0"/>
        <v>David Hall</v>
      </c>
      <c r="G9">
        <v>74090</v>
      </c>
      <c r="H9" t="str">
        <f t="shared" si="1"/>
        <v>7409055</v>
      </c>
      <c r="I9" s="1">
        <v>46204</v>
      </c>
      <c r="J9" s="1">
        <v>46387</v>
      </c>
      <c r="K9" s="1">
        <v>46213</v>
      </c>
      <c r="L9" t="s">
        <v>15</v>
      </c>
      <c r="M9" t="s">
        <v>16</v>
      </c>
      <c r="N9" s="2">
        <v>176.5</v>
      </c>
      <c r="O9" t="s">
        <v>98</v>
      </c>
      <c r="P9" t="s">
        <v>95</v>
      </c>
    </row>
    <row r="10" spans="1:18" x14ac:dyDescent="0.25">
      <c r="A10" t="s">
        <v>42</v>
      </c>
      <c r="B10">
        <v>18710070</v>
      </c>
      <c r="C10" t="s">
        <v>103</v>
      </c>
      <c r="D10" t="s">
        <v>43</v>
      </c>
      <c r="E10" t="s">
        <v>44</v>
      </c>
      <c r="F10" t="str">
        <f t="shared" si="0"/>
        <v>Michael Marquardt</v>
      </c>
      <c r="G10">
        <v>9600</v>
      </c>
      <c r="H10" t="str">
        <f t="shared" si="1"/>
        <v>960055</v>
      </c>
      <c r="I10" s="1">
        <v>46204</v>
      </c>
      <c r="J10" s="1">
        <v>46387</v>
      </c>
      <c r="K10" s="1">
        <v>46213</v>
      </c>
      <c r="L10" t="s">
        <v>15</v>
      </c>
      <c r="M10" t="s">
        <v>16</v>
      </c>
      <c r="N10" s="2">
        <v>176.5</v>
      </c>
      <c r="O10" t="s">
        <v>98</v>
      </c>
      <c r="P10" t="s">
        <v>95</v>
      </c>
    </row>
    <row r="11" spans="1:18" x14ac:dyDescent="0.25">
      <c r="A11" t="s">
        <v>46</v>
      </c>
      <c r="B11">
        <v>18794740</v>
      </c>
      <c r="C11">
        <v>18794740</v>
      </c>
      <c r="D11" t="s">
        <v>47</v>
      </c>
      <c r="E11" t="s">
        <v>48</v>
      </c>
      <c r="F11" t="str">
        <f t="shared" si="0"/>
        <v>Ida Howard</v>
      </c>
      <c r="G11">
        <v>28100</v>
      </c>
      <c r="H11" t="str">
        <f>CONCATENATE(G11,75)</f>
        <v>2810075</v>
      </c>
      <c r="I11" s="1">
        <v>46023</v>
      </c>
      <c r="J11" s="1">
        <v>46174</v>
      </c>
      <c r="K11" s="1">
        <v>46213</v>
      </c>
      <c r="L11" t="s">
        <v>15</v>
      </c>
      <c r="M11" t="s">
        <v>50</v>
      </c>
      <c r="N11" s="2">
        <v>-352.5</v>
      </c>
      <c r="O11" t="s">
        <v>100</v>
      </c>
      <c r="P11" t="s">
        <v>99</v>
      </c>
      <c r="R11">
        <f>705/12*6</f>
        <v>352.5</v>
      </c>
    </row>
    <row r="12" spans="1:18" s="3" customFormat="1" x14ac:dyDescent="0.25">
      <c r="A12" s="3" t="s">
        <v>11</v>
      </c>
      <c r="B12" s="3">
        <v>8971826</v>
      </c>
      <c r="C12" s="3" t="str">
        <f>CONCATENATE(B12,"OVR")</f>
        <v>8971826OVR</v>
      </c>
      <c r="D12" s="3" t="s">
        <v>12</v>
      </c>
      <c r="E12" s="3" t="s">
        <v>13</v>
      </c>
      <c r="F12" s="3" t="str">
        <f t="shared" si="0"/>
        <v>Joseph Grieco</v>
      </c>
      <c r="G12" s="3">
        <v>78130</v>
      </c>
      <c r="H12" s="3" t="str">
        <f>CONCATENATE(G12,"OVR")</f>
        <v>78130OVR</v>
      </c>
      <c r="I12" s="4">
        <v>46204</v>
      </c>
      <c r="J12" s="4">
        <v>46387</v>
      </c>
      <c r="K12" s="4">
        <v>46213</v>
      </c>
      <c r="L12" s="3" t="s">
        <v>15</v>
      </c>
      <c r="M12" s="3" t="s">
        <v>51</v>
      </c>
      <c r="N12" s="5">
        <v>46.87</v>
      </c>
      <c r="O12" s="3" t="s">
        <v>101</v>
      </c>
    </row>
    <row r="13" spans="1:18" s="3" customFormat="1" x14ac:dyDescent="0.25">
      <c r="A13" s="3" t="s">
        <v>17</v>
      </c>
      <c r="B13" s="3">
        <v>17528908</v>
      </c>
      <c r="C13" s="3" t="str">
        <f t="shared" ref="C13:C34" si="2">CONCATENATE(B13,"OVR")</f>
        <v>17528908OVR</v>
      </c>
      <c r="D13" s="3" t="s">
        <v>18</v>
      </c>
      <c r="E13" s="3" t="s">
        <v>19</v>
      </c>
      <c r="F13" s="3" t="str">
        <f t="shared" si="0"/>
        <v>Dorothy Alfred</v>
      </c>
      <c r="G13" s="3">
        <v>91110</v>
      </c>
      <c r="H13" s="3" t="str">
        <f t="shared" ref="H13:H34" si="3">CONCATENATE(G13,"OVR")</f>
        <v>91110OVR</v>
      </c>
      <c r="I13" s="4">
        <v>46023</v>
      </c>
      <c r="J13" s="4">
        <v>46174</v>
      </c>
      <c r="K13" s="4">
        <v>46213</v>
      </c>
      <c r="L13" s="3" t="s">
        <v>15</v>
      </c>
      <c r="M13" s="3" t="s">
        <v>52</v>
      </c>
      <c r="N13" s="5">
        <v>-27.18</v>
      </c>
      <c r="O13" s="3" t="s">
        <v>101</v>
      </c>
    </row>
    <row r="14" spans="1:18" s="3" customFormat="1" x14ac:dyDescent="0.25">
      <c r="A14" s="3" t="s">
        <v>17</v>
      </c>
      <c r="B14" s="3">
        <v>17528908</v>
      </c>
      <c r="C14" s="3" t="str">
        <f t="shared" si="2"/>
        <v>17528908OVR</v>
      </c>
      <c r="D14" s="3" t="s">
        <v>18</v>
      </c>
      <c r="E14" s="3" t="s">
        <v>19</v>
      </c>
      <c r="F14" s="3" t="str">
        <f t="shared" si="0"/>
        <v>Dorothy Alfred</v>
      </c>
      <c r="G14" s="3">
        <v>91110</v>
      </c>
      <c r="H14" s="3" t="str">
        <f t="shared" si="3"/>
        <v>91110OVR</v>
      </c>
      <c r="I14" s="4">
        <v>46023</v>
      </c>
      <c r="J14" s="4">
        <v>46174</v>
      </c>
      <c r="K14" s="4">
        <v>46213</v>
      </c>
      <c r="L14" s="3" t="s">
        <v>15</v>
      </c>
      <c r="M14" s="3" t="s">
        <v>52</v>
      </c>
      <c r="N14" s="5">
        <v>-27.18</v>
      </c>
      <c r="O14" s="3" t="s">
        <v>101</v>
      </c>
    </row>
    <row r="15" spans="1:18" s="3" customFormat="1" x14ac:dyDescent="0.25">
      <c r="A15" s="3" t="s">
        <v>17</v>
      </c>
      <c r="B15" s="3">
        <v>17528908</v>
      </c>
      <c r="C15" s="3" t="str">
        <f t="shared" si="2"/>
        <v>17528908OVR</v>
      </c>
      <c r="D15" s="3" t="s">
        <v>22</v>
      </c>
      <c r="E15" s="3" t="s">
        <v>23</v>
      </c>
      <c r="F15" s="3" t="str">
        <f t="shared" si="0"/>
        <v>Diane Fornear</v>
      </c>
      <c r="G15" s="3">
        <v>86770</v>
      </c>
      <c r="H15" s="3" t="str">
        <f t="shared" si="3"/>
        <v>86770OVR</v>
      </c>
      <c r="I15" s="4">
        <v>46266</v>
      </c>
      <c r="J15" s="4">
        <v>46387</v>
      </c>
      <c r="K15" s="4">
        <v>46213</v>
      </c>
      <c r="L15" s="3" t="s">
        <v>15</v>
      </c>
      <c r="M15" s="3" t="s">
        <v>53</v>
      </c>
      <c r="N15" s="5">
        <v>36.25</v>
      </c>
      <c r="O15" s="3" t="s">
        <v>101</v>
      </c>
    </row>
    <row r="16" spans="1:18" s="3" customFormat="1" x14ac:dyDescent="0.25">
      <c r="A16" s="3" t="s">
        <v>17</v>
      </c>
      <c r="B16" s="3">
        <v>17528908</v>
      </c>
      <c r="C16" s="3" t="str">
        <f t="shared" si="2"/>
        <v>17528908OVR</v>
      </c>
      <c r="D16" s="3" t="s">
        <v>26</v>
      </c>
      <c r="E16" s="3" t="s">
        <v>27</v>
      </c>
      <c r="F16" s="3" t="str">
        <f t="shared" si="0"/>
        <v>Debra Murray</v>
      </c>
      <c r="G16" s="3">
        <v>76360</v>
      </c>
      <c r="H16" s="3" t="str">
        <f t="shared" si="3"/>
        <v>76360OVR</v>
      </c>
      <c r="I16" s="4">
        <v>46235</v>
      </c>
      <c r="J16" s="4">
        <v>46387</v>
      </c>
      <c r="K16" s="4">
        <v>46213</v>
      </c>
      <c r="L16" s="3" t="s">
        <v>15</v>
      </c>
      <c r="M16" s="3" t="s">
        <v>54</v>
      </c>
      <c r="N16" s="5">
        <v>45.31</v>
      </c>
      <c r="O16" s="3" t="s">
        <v>101</v>
      </c>
    </row>
    <row r="17" spans="1:15" s="3" customFormat="1" x14ac:dyDescent="0.25">
      <c r="A17" s="3" t="s">
        <v>17</v>
      </c>
      <c r="B17" s="3">
        <v>17528908</v>
      </c>
      <c r="C17" s="3" t="str">
        <f t="shared" si="2"/>
        <v>17528908OVR</v>
      </c>
      <c r="D17" s="3" t="s">
        <v>30</v>
      </c>
      <c r="E17" s="3" t="s">
        <v>31</v>
      </c>
      <c r="F17" s="3" t="str">
        <f t="shared" si="0"/>
        <v>Sharon Norcia</v>
      </c>
      <c r="G17" s="3">
        <v>73720</v>
      </c>
      <c r="H17" s="3" t="str">
        <f t="shared" si="3"/>
        <v>73720OVR</v>
      </c>
      <c r="I17" s="4">
        <v>46235</v>
      </c>
      <c r="J17" s="4">
        <v>46387</v>
      </c>
      <c r="K17" s="4">
        <v>46213</v>
      </c>
      <c r="L17" s="3" t="s">
        <v>15</v>
      </c>
      <c r="M17" s="3" t="s">
        <v>54</v>
      </c>
      <c r="N17" s="5">
        <v>45.31</v>
      </c>
      <c r="O17" s="3" t="s">
        <v>101</v>
      </c>
    </row>
    <row r="18" spans="1:15" s="3" customFormat="1" x14ac:dyDescent="0.25">
      <c r="A18" s="3" t="s">
        <v>17</v>
      </c>
      <c r="B18" s="3">
        <v>17528908</v>
      </c>
      <c r="C18" s="3" t="str">
        <f t="shared" si="2"/>
        <v>17528908OVR</v>
      </c>
      <c r="D18" s="3" t="s">
        <v>33</v>
      </c>
      <c r="E18" s="3" t="s">
        <v>34</v>
      </c>
      <c r="F18" s="3" t="str">
        <f t="shared" si="0"/>
        <v>Patricia Show</v>
      </c>
      <c r="G18" s="3">
        <v>19850</v>
      </c>
      <c r="H18" s="3" t="str">
        <f t="shared" si="3"/>
        <v>19850OVR</v>
      </c>
      <c r="I18" s="4">
        <v>46204</v>
      </c>
      <c r="J18" s="4">
        <v>46387</v>
      </c>
      <c r="K18" s="4">
        <v>46213</v>
      </c>
      <c r="L18" s="3" t="s">
        <v>15</v>
      </c>
      <c r="M18" s="3" t="s">
        <v>55</v>
      </c>
      <c r="N18" s="5">
        <v>54.37</v>
      </c>
      <c r="O18" s="3" t="s">
        <v>101</v>
      </c>
    </row>
    <row r="19" spans="1:15" s="3" customFormat="1" x14ac:dyDescent="0.25">
      <c r="A19" s="3" t="s">
        <v>17</v>
      </c>
      <c r="B19" s="3">
        <v>17528908</v>
      </c>
      <c r="C19" s="3" t="str">
        <f t="shared" si="2"/>
        <v>17528908OVR</v>
      </c>
      <c r="D19" s="3" t="s">
        <v>36</v>
      </c>
      <c r="E19" s="3" t="s">
        <v>37</v>
      </c>
      <c r="F19" s="3" t="str">
        <f t="shared" si="0"/>
        <v>Kimberly Durkin</v>
      </c>
      <c r="G19" s="3">
        <v>15310</v>
      </c>
      <c r="H19" s="3" t="str">
        <f t="shared" si="3"/>
        <v>15310OVR</v>
      </c>
      <c r="I19" s="4">
        <v>46204</v>
      </c>
      <c r="J19" s="4">
        <v>46387</v>
      </c>
      <c r="K19" s="4">
        <v>46213</v>
      </c>
      <c r="L19" s="3" t="s">
        <v>15</v>
      </c>
      <c r="M19" s="3" t="s">
        <v>55</v>
      </c>
      <c r="N19" s="5">
        <v>54.37</v>
      </c>
      <c r="O19" s="3" t="s">
        <v>101</v>
      </c>
    </row>
    <row r="20" spans="1:15" s="3" customFormat="1" x14ac:dyDescent="0.25">
      <c r="A20" s="3" t="s">
        <v>17</v>
      </c>
      <c r="B20" s="3">
        <v>17528908</v>
      </c>
      <c r="C20" s="3" t="str">
        <f t="shared" si="2"/>
        <v>17528908OVR</v>
      </c>
      <c r="D20" s="3" t="s">
        <v>39</v>
      </c>
      <c r="E20" s="3" t="s">
        <v>40</v>
      </c>
      <c r="F20" s="3" t="str">
        <f t="shared" si="0"/>
        <v>David Hall</v>
      </c>
      <c r="G20" s="3">
        <v>74090</v>
      </c>
      <c r="H20" s="3" t="str">
        <f t="shared" si="3"/>
        <v>74090OVR</v>
      </c>
      <c r="I20" s="4">
        <v>46204</v>
      </c>
      <c r="J20" s="4">
        <v>46387</v>
      </c>
      <c r="K20" s="4">
        <v>46213</v>
      </c>
      <c r="L20" s="3" t="s">
        <v>15</v>
      </c>
      <c r="M20" s="3" t="s">
        <v>51</v>
      </c>
      <c r="N20" s="5">
        <v>46.87</v>
      </c>
      <c r="O20" s="3" t="s">
        <v>101</v>
      </c>
    </row>
    <row r="21" spans="1:15" s="3" customFormat="1" x14ac:dyDescent="0.25">
      <c r="A21" s="3" t="s">
        <v>56</v>
      </c>
      <c r="B21" s="3">
        <v>17886092</v>
      </c>
      <c r="C21" s="3" t="str">
        <f t="shared" si="2"/>
        <v>17886092OVR</v>
      </c>
      <c r="D21" s="3" t="s">
        <v>57</v>
      </c>
      <c r="E21" s="3" t="s">
        <v>58</v>
      </c>
      <c r="F21" s="3" t="str">
        <f t="shared" si="0"/>
        <v>Kenton Gilstrap</v>
      </c>
      <c r="G21" s="3">
        <v>74220</v>
      </c>
      <c r="H21" s="3" t="str">
        <f t="shared" si="3"/>
        <v>74220OVR</v>
      </c>
      <c r="I21" s="4">
        <v>46235</v>
      </c>
      <c r="J21" s="4">
        <v>46387</v>
      </c>
      <c r="K21" s="4">
        <v>46213</v>
      </c>
      <c r="L21" s="3" t="s">
        <v>15</v>
      </c>
      <c r="M21" s="3" t="s">
        <v>54</v>
      </c>
      <c r="N21" s="5">
        <v>30.21</v>
      </c>
      <c r="O21" s="3" t="s">
        <v>101</v>
      </c>
    </row>
    <row r="22" spans="1:15" s="3" customFormat="1" x14ac:dyDescent="0.25">
      <c r="A22" s="3" t="s">
        <v>56</v>
      </c>
      <c r="B22" s="3">
        <v>17886092</v>
      </c>
      <c r="C22" s="3" t="str">
        <f t="shared" si="2"/>
        <v>17886092OVR</v>
      </c>
      <c r="D22" s="3" t="s">
        <v>60</v>
      </c>
      <c r="E22" s="3" t="s">
        <v>61</v>
      </c>
      <c r="F22" s="3" t="str">
        <f t="shared" si="0"/>
        <v>Anthony Goodwin</v>
      </c>
      <c r="G22" s="3">
        <v>78960</v>
      </c>
      <c r="H22" s="3" t="str">
        <f t="shared" si="3"/>
        <v>78960OVR</v>
      </c>
      <c r="I22" s="4">
        <v>46204</v>
      </c>
      <c r="J22" s="4">
        <v>46387</v>
      </c>
      <c r="K22" s="4">
        <v>46213</v>
      </c>
      <c r="L22" s="3" t="s">
        <v>15</v>
      </c>
      <c r="M22" s="3" t="s">
        <v>55</v>
      </c>
      <c r="N22" s="5">
        <v>36.25</v>
      </c>
      <c r="O22" s="3" t="s">
        <v>101</v>
      </c>
    </row>
    <row r="23" spans="1:15" s="3" customFormat="1" x14ac:dyDescent="0.25">
      <c r="A23" s="3" t="s">
        <v>56</v>
      </c>
      <c r="B23" s="3">
        <v>17886092</v>
      </c>
      <c r="C23" s="3" t="str">
        <f t="shared" si="2"/>
        <v>17886092OVR</v>
      </c>
      <c r="D23" s="3" t="s">
        <v>63</v>
      </c>
      <c r="E23" s="3" t="s">
        <v>64</v>
      </c>
      <c r="F23" s="3" t="str">
        <f t="shared" si="0"/>
        <v>Larry Kobik</v>
      </c>
      <c r="G23" s="3">
        <v>15340</v>
      </c>
      <c r="H23" s="3" t="str">
        <f t="shared" si="3"/>
        <v>15340OVR</v>
      </c>
      <c r="I23" s="4">
        <v>46204</v>
      </c>
      <c r="J23" s="4">
        <v>46387</v>
      </c>
      <c r="K23" s="4">
        <v>46213</v>
      </c>
      <c r="L23" s="3" t="s">
        <v>15</v>
      </c>
      <c r="M23" s="3" t="s">
        <v>55</v>
      </c>
      <c r="N23" s="5">
        <v>36.25</v>
      </c>
      <c r="O23" s="3" t="s">
        <v>101</v>
      </c>
    </row>
    <row r="24" spans="1:15" s="3" customFormat="1" x14ac:dyDescent="0.25">
      <c r="A24" s="3" t="s">
        <v>42</v>
      </c>
      <c r="B24" s="3">
        <v>18710070</v>
      </c>
      <c r="C24" s="3" t="str">
        <f t="shared" si="2"/>
        <v>18710070OVR</v>
      </c>
      <c r="D24" s="3" t="s">
        <v>43</v>
      </c>
      <c r="E24" s="3" t="s">
        <v>44</v>
      </c>
      <c r="F24" s="3" t="str">
        <f t="shared" si="0"/>
        <v>Michael Marquardt</v>
      </c>
      <c r="G24" s="3">
        <v>9600</v>
      </c>
      <c r="H24" s="3" t="str">
        <f t="shared" si="3"/>
        <v>9600OVR</v>
      </c>
      <c r="I24" s="4">
        <v>46204</v>
      </c>
      <c r="J24" s="4">
        <v>46387</v>
      </c>
      <c r="K24" s="4">
        <v>46213</v>
      </c>
      <c r="L24" s="3" t="s">
        <v>15</v>
      </c>
      <c r="M24" s="3" t="s">
        <v>55</v>
      </c>
      <c r="N24" s="5">
        <v>54.37</v>
      </c>
      <c r="O24" s="3" t="s">
        <v>101</v>
      </c>
    </row>
    <row r="25" spans="1:15" s="3" customFormat="1" x14ac:dyDescent="0.25">
      <c r="A25" s="3" t="s">
        <v>66</v>
      </c>
      <c r="B25" s="3">
        <v>20253958</v>
      </c>
      <c r="C25" s="3" t="str">
        <f t="shared" si="2"/>
        <v>20253958OVR</v>
      </c>
      <c r="D25" s="3" t="s">
        <v>67</v>
      </c>
      <c r="E25" s="3" t="s">
        <v>68</v>
      </c>
      <c r="F25" s="3" t="str">
        <f t="shared" si="0"/>
        <v>Kelly Ragan</v>
      </c>
      <c r="G25" s="3">
        <v>7920</v>
      </c>
      <c r="H25" s="3" t="str">
        <f t="shared" si="3"/>
        <v>7920OVR</v>
      </c>
      <c r="I25" s="4">
        <v>46204</v>
      </c>
      <c r="J25" s="4">
        <v>46387</v>
      </c>
      <c r="K25" s="4">
        <v>46213</v>
      </c>
      <c r="L25" s="3" t="s">
        <v>15</v>
      </c>
      <c r="M25" s="3" t="s">
        <v>55</v>
      </c>
      <c r="N25" s="5">
        <v>36.25</v>
      </c>
      <c r="O25" s="3" t="s">
        <v>101</v>
      </c>
    </row>
    <row r="26" spans="1:15" s="3" customFormat="1" x14ac:dyDescent="0.25">
      <c r="A26" s="3" t="s">
        <v>66</v>
      </c>
      <c r="B26" s="3">
        <v>20253958</v>
      </c>
      <c r="C26" s="3" t="str">
        <f t="shared" si="2"/>
        <v>20253958OVR</v>
      </c>
      <c r="D26" s="3" t="s">
        <v>70</v>
      </c>
      <c r="E26" s="3" t="s">
        <v>71</v>
      </c>
      <c r="F26" s="3" t="str">
        <f t="shared" si="0"/>
        <v>John Kasprowicz</v>
      </c>
      <c r="G26" s="3">
        <v>12300</v>
      </c>
      <c r="H26" s="3" t="str">
        <f t="shared" si="3"/>
        <v>12300OVR</v>
      </c>
      <c r="I26" s="4">
        <v>46235</v>
      </c>
      <c r="J26" s="4">
        <v>46387</v>
      </c>
      <c r="K26" s="4">
        <v>46213</v>
      </c>
      <c r="L26" s="3" t="s">
        <v>15</v>
      </c>
      <c r="M26" s="3" t="s">
        <v>54</v>
      </c>
      <c r="N26" s="5">
        <v>30.21</v>
      </c>
      <c r="O26" s="3" t="s">
        <v>101</v>
      </c>
    </row>
    <row r="27" spans="1:15" s="3" customFormat="1" x14ac:dyDescent="0.25">
      <c r="A27" s="3" t="s">
        <v>66</v>
      </c>
      <c r="B27" s="3">
        <v>20253958</v>
      </c>
      <c r="C27" s="3" t="str">
        <f t="shared" si="2"/>
        <v>20253958OVR</v>
      </c>
      <c r="D27" s="3" t="s">
        <v>73</v>
      </c>
      <c r="E27" s="3" t="s">
        <v>74</v>
      </c>
      <c r="F27" s="3" t="str">
        <f t="shared" si="0"/>
        <v>Ricky Kradel</v>
      </c>
      <c r="G27" s="3">
        <v>6950</v>
      </c>
      <c r="H27" s="3" t="str">
        <f t="shared" si="3"/>
        <v>6950OVR</v>
      </c>
      <c r="I27" s="4">
        <v>46204</v>
      </c>
      <c r="J27" s="4">
        <v>46387</v>
      </c>
      <c r="K27" s="4">
        <v>46213</v>
      </c>
      <c r="L27" s="3" t="s">
        <v>15</v>
      </c>
      <c r="M27" s="3" t="s">
        <v>55</v>
      </c>
      <c r="N27" s="5">
        <v>36.25</v>
      </c>
      <c r="O27" s="3" t="s">
        <v>101</v>
      </c>
    </row>
    <row r="28" spans="1:15" s="3" customFormat="1" x14ac:dyDescent="0.25">
      <c r="A28" s="3" t="s">
        <v>66</v>
      </c>
      <c r="B28" s="3">
        <v>20253958</v>
      </c>
      <c r="C28" s="3" t="str">
        <f t="shared" si="2"/>
        <v>20253958OVR</v>
      </c>
      <c r="D28" s="3" t="s">
        <v>76</v>
      </c>
      <c r="E28" s="3" t="s">
        <v>77</v>
      </c>
      <c r="F28" s="3" t="str">
        <f t="shared" si="0"/>
        <v>James Mullen</v>
      </c>
      <c r="G28" s="3">
        <v>27710</v>
      </c>
      <c r="H28" s="3" t="str">
        <f t="shared" si="3"/>
        <v>27710OVR</v>
      </c>
      <c r="I28" s="4">
        <v>46204</v>
      </c>
      <c r="J28" s="4">
        <v>46387</v>
      </c>
      <c r="K28" s="4">
        <v>46213</v>
      </c>
      <c r="L28" s="3" t="s">
        <v>15</v>
      </c>
      <c r="M28" s="3" t="s">
        <v>55</v>
      </c>
      <c r="N28" s="5">
        <v>36.25</v>
      </c>
      <c r="O28" s="3" t="s">
        <v>101</v>
      </c>
    </row>
    <row r="29" spans="1:15" s="3" customFormat="1" x14ac:dyDescent="0.25">
      <c r="A29" s="3" t="s">
        <v>66</v>
      </c>
      <c r="B29" s="3">
        <v>20253958</v>
      </c>
      <c r="C29" s="3" t="str">
        <f t="shared" si="2"/>
        <v>20253958OVR</v>
      </c>
      <c r="D29" s="3" t="s">
        <v>79</v>
      </c>
      <c r="E29" s="3" t="s">
        <v>80</v>
      </c>
      <c r="F29" s="3" t="str">
        <f t="shared" si="0"/>
        <v>Stephen Onufrak</v>
      </c>
      <c r="G29" s="3">
        <v>9330</v>
      </c>
      <c r="H29" s="3" t="str">
        <f t="shared" si="3"/>
        <v>9330OVR</v>
      </c>
      <c r="I29" s="4">
        <v>46235</v>
      </c>
      <c r="J29" s="4">
        <v>46387</v>
      </c>
      <c r="K29" s="4">
        <v>46213</v>
      </c>
      <c r="L29" s="3" t="s">
        <v>15</v>
      </c>
      <c r="M29" s="3" t="s">
        <v>54</v>
      </c>
      <c r="N29" s="5">
        <v>30.21</v>
      </c>
      <c r="O29" s="3" t="s">
        <v>101</v>
      </c>
    </row>
    <row r="30" spans="1:15" s="3" customFormat="1" x14ac:dyDescent="0.25">
      <c r="A30" s="3" t="s">
        <v>66</v>
      </c>
      <c r="B30" s="3">
        <v>20253958</v>
      </c>
      <c r="C30" s="3" t="str">
        <f t="shared" si="2"/>
        <v>20253958OVR</v>
      </c>
      <c r="D30" s="3" t="s">
        <v>82</v>
      </c>
      <c r="E30" s="3" t="s">
        <v>83</v>
      </c>
      <c r="F30" s="3" t="str">
        <f t="shared" si="0"/>
        <v>Dennis Rumbaugh</v>
      </c>
      <c r="G30" s="3">
        <v>52840</v>
      </c>
      <c r="H30" s="3" t="str">
        <f t="shared" si="3"/>
        <v>52840OVR</v>
      </c>
      <c r="I30" s="4">
        <v>46204</v>
      </c>
      <c r="J30" s="4">
        <v>46387</v>
      </c>
      <c r="K30" s="4">
        <v>46213</v>
      </c>
      <c r="L30" s="3" t="s">
        <v>15</v>
      </c>
      <c r="M30" s="3" t="s">
        <v>55</v>
      </c>
      <c r="N30" s="5">
        <v>36.25</v>
      </c>
      <c r="O30" s="3" t="s">
        <v>101</v>
      </c>
    </row>
    <row r="31" spans="1:15" s="3" customFormat="1" x14ac:dyDescent="0.25">
      <c r="A31" s="3" t="s">
        <v>66</v>
      </c>
      <c r="B31" s="3">
        <v>20253958</v>
      </c>
      <c r="C31" s="3" t="str">
        <f t="shared" si="2"/>
        <v>20253958OVR</v>
      </c>
      <c r="D31" s="3" t="s">
        <v>85</v>
      </c>
      <c r="E31" s="3" t="s">
        <v>86</v>
      </c>
      <c r="F31" s="3" t="str">
        <f t="shared" si="0"/>
        <v>Donald Tomasic</v>
      </c>
      <c r="G31" s="3">
        <v>6070</v>
      </c>
      <c r="H31" s="3" t="str">
        <f t="shared" si="3"/>
        <v>6070OVR</v>
      </c>
      <c r="I31" s="4">
        <v>46204</v>
      </c>
      <c r="J31" s="4">
        <v>46387</v>
      </c>
      <c r="K31" s="4">
        <v>46213</v>
      </c>
      <c r="L31" s="3" t="s">
        <v>15</v>
      </c>
      <c r="M31" s="3" t="s">
        <v>55</v>
      </c>
      <c r="N31" s="5">
        <v>36.25</v>
      </c>
      <c r="O31" s="3" t="s">
        <v>101</v>
      </c>
    </row>
    <row r="32" spans="1:15" s="3" customFormat="1" x14ac:dyDescent="0.25">
      <c r="A32" s="3" t="s">
        <v>66</v>
      </c>
      <c r="B32" s="3">
        <v>20253958</v>
      </c>
      <c r="C32" s="3" t="str">
        <f t="shared" si="2"/>
        <v>20253958OVR</v>
      </c>
      <c r="D32" s="3" t="s">
        <v>88</v>
      </c>
      <c r="E32" s="3" t="s">
        <v>89</v>
      </c>
      <c r="F32" s="3" t="str">
        <f t="shared" si="0"/>
        <v>Robert Watson</v>
      </c>
      <c r="G32" s="3">
        <v>80090</v>
      </c>
      <c r="H32" s="3" t="str">
        <f t="shared" si="3"/>
        <v>80090OVR</v>
      </c>
      <c r="I32" s="4">
        <v>46204</v>
      </c>
      <c r="J32" s="4">
        <v>46387</v>
      </c>
      <c r="K32" s="4">
        <v>46213</v>
      </c>
      <c r="L32" s="3" t="s">
        <v>15</v>
      </c>
      <c r="M32" s="3" t="s">
        <v>55</v>
      </c>
      <c r="N32" s="5">
        <v>36.25</v>
      </c>
      <c r="O32" s="3" t="s">
        <v>101</v>
      </c>
    </row>
    <row r="33" spans="1:15" s="3" customFormat="1" x14ac:dyDescent="0.25">
      <c r="A33" s="3" t="s">
        <v>66</v>
      </c>
      <c r="B33" s="3">
        <v>20253958</v>
      </c>
      <c r="C33" s="3" t="str">
        <f t="shared" si="2"/>
        <v>20253958OVR</v>
      </c>
      <c r="D33" s="3" t="s">
        <v>91</v>
      </c>
      <c r="E33" s="3" t="s">
        <v>92</v>
      </c>
      <c r="F33" s="3" t="str">
        <f t="shared" si="0"/>
        <v>Mary Wiley</v>
      </c>
      <c r="G33" s="3">
        <v>65620</v>
      </c>
      <c r="H33" s="3" t="str">
        <f t="shared" si="3"/>
        <v>65620OVR</v>
      </c>
      <c r="I33" s="4">
        <v>46235</v>
      </c>
      <c r="J33" s="4">
        <v>46387</v>
      </c>
      <c r="K33" s="4">
        <v>46213</v>
      </c>
      <c r="L33" s="3" t="s">
        <v>15</v>
      </c>
      <c r="M33" s="3" t="s">
        <v>54</v>
      </c>
      <c r="N33" s="5">
        <v>30.21</v>
      </c>
      <c r="O33" s="3" t="s">
        <v>101</v>
      </c>
    </row>
    <row r="34" spans="1:15" s="3" customFormat="1" x14ac:dyDescent="0.25">
      <c r="A34" s="3" t="s">
        <v>46</v>
      </c>
      <c r="B34" s="3">
        <v>18794740</v>
      </c>
      <c r="C34" s="3" t="str">
        <f t="shared" si="2"/>
        <v>18794740OVR</v>
      </c>
      <c r="D34" s="3" t="s">
        <v>47</v>
      </c>
      <c r="E34" s="3" t="s">
        <v>48</v>
      </c>
      <c r="F34" s="3" t="str">
        <f t="shared" si="0"/>
        <v>Ida Howard</v>
      </c>
      <c r="G34" s="3">
        <v>28100</v>
      </c>
      <c r="H34" s="3" t="str">
        <f t="shared" si="3"/>
        <v>28100OVR</v>
      </c>
      <c r="I34" s="4">
        <v>46023</v>
      </c>
      <c r="J34" s="4">
        <v>46174</v>
      </c>
      <c r="K34" s="4">
        <v>46213</v>
      </c>
      <c r="L34" s="3" t="s">
        <v>15</v>
      </c>
      <c r="M34" s="3" t="s">
        <v>94</v>
      </c>
      <c r="N34" s="5">
        <v>-82.5</v>
      </c>
      <c r="O34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2026-07-10T14:03:47Z</dcterms:created>
  <dcterms:modified xsi:type="dcterms:W3CDTF">2026-07-10T15:19:03Z</dcterms:modified>
</cp:coreProperties>
</file>