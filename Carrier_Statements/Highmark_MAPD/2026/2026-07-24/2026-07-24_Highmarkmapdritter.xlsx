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Sheet1!$A$1:$Z$1000</definedName>
  </definedNames>
  <calcPr/>
  <extLst>
    <ext uri="GoogleSheetsCustomDataVersion2">
      <go:sheetsCustomData xmlns:go="http://customooxmlschemas.google.com/" r:id="rId6" roundtripDataChecksum="jS4qWk8vXjHZ8jChOvLHNqsaP3uv71eDp83RzctAhp0="/>
    </ext>
  </extLst>
</workbook>
</file>

<file path=xl/sharedStrings.xml><?xml version="1.0" encoding="utf-8"?>
<sst xmlns="http://schemas.openxmlformats.org/spreadsheetml/2006/main" count="5518" uniqueCount="642">
  <si>
    <t>Writing Agent</t>
  </si>
  <si>
    <t>Agent NPN</t>
  </si>
  <si>
    <t>First Name</t>
  </si>
  <si>
    <t>Writing Number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</si>
  <si>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</si>
  <si>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</si>
  <si>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</si>
  <si>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</si>
  <si>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</si>
  <si>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</si>
  <si>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</si>
  <si>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</si>
  <si>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Anne Kozacheck</t>
  </si>
  <si>
    <t>Suzanne</t>
  </si>
  <si>
    <t>Botta</t>
  </si>
  <si>
    <t>*****73190</t>
  </si>
  <si>
    <t>19278370old</t>
  </si>
  <si>
    <t>Delyn</t>
  </si>
  <si>
    <t>Byerly</t>
  </si>
  <si>
    <t>Highmark</t>
  </si>
  <si>
    <t>Highmark 2025-26 PA Replace Street / TrueUp (ProRata: 1)</t>
  </si>
  <si>
    <t>Karen</t>
  </si>
  <si>
    <t>Rush</t>
  </si>
  <si>
    <t>*****87660</t>
  </si>
  <si>
    <t>Alison Luse</t>
  </si>
  <si>
    <t>Mary</t>
  </si>
  <si>
    <t>Reese</t>
  </si>
  <si>
    <t>*****04770</t>
  </si>
  <si>
    <t>Beverly</t>
  </si>
  <si>
    <t>Sullivan</t>
  </si>
  <si>
    <t>*****13660</t>
  </si>
  <si>
    <t>Wayne</t>
  </si>
  <si>
    <t>White</t>
  </si>
  <si>
    <t>*****07620</t>
  </si>
  <si>
    <t>Jason Hoffmann</t>
  </si>
  <si>
    <t>Harvey</t>
  </si>
  <si>
    <t>Glantz</t>
  </si>
  <si>
    <t>*****81810</t>
  </si>
  <si>
    <t>Highmark 2025-26 PDP Replace Street (ProRata: 1)</t>
  </si>
  <si>
    <t>Highmark 2025 PDP</t>
  </si>
  <si>
    <t>John</t>
  </si>
  <si>
    <t>Sheridan</t>
  </si>
  <si>
    <t>*****05120</t>
  </si>
  <si>
    <t>Joseph</t>
  </si>
  <si>
    <t>Grande</t>
  </si>
  <si>
    <t>*****50650</t>
  </si>
  <si>
    <t>Carol Foley</t>
  </si>
  <si>
    <t>Linda</t>
  </si>
  <si>
    <t>Hans</t>
  </si>
  <si>
    <t>*****43070</t>
  </si>
  <si>
    <t>Deborah Inskipt</t>
  </si>
  <si>
    <t>Robert</t>
  </si>
  <si>
    <t>Allen</t>
  </si>
  <si>
    <t>*****89760</t>
  </si>
  <si>
    <t>Dane</t>
  </si>
  <si>
    <t>Barzanty</t>
  </si>
  <si>
    <t>*****17230</t>
  </si>
  <si>
    <t>Deborah</t>
  </si>
  <si>
    <t>Bordenick</t>
  </si>
  <si>
    <t>*****58760</t>
  </si>
  <si>
    <t>Theresa</t>
  </si>
  <si>
    <t>Culkin</t>
  </si>
  <si>
    <t>*****93170</t>
  </si>
  <si>
    <t>Lorraine</t>
  </si>
  <si>
    <t>Honeychuck</t>
  </si>
  <si>
    <t>*****37420</t>
  </si>
  <si>
    <t>Peggy</t>
  </si>
  <si>
    <t>Housley</t>
  </si>
  <si>
    <t>*****19870</t>
  </si>
  <si>
    <t>James</t>
  </si>
  <si>
    <t>Jenkins</t>
  </si>
  <si>
    <t>*****57590</t>
  </si>
  <si>
    <t>Thomas</t>
  </si>
  <si>
    <t>Koontz</t>
  </si>
  <si>
    <t>*****48640</t>
  </si>
  <si>
    <t>Joyce</t>
  </si>
  <si>
    <t>Kweder</t>
  </si>
  <si>
    <t>*****34550</t>
  </si>
  <si>
    <t>Vera</t>
  </si>
  <si>
    <t>Marencel</t>
  </si>
  <si>
    <t>*****56170</t>
  </si>
  <si>
    <t>Bette</t>
  </si>
  <si>
    <t>William</t>
  </si>
  <si>
    <t>*****99660</t>
  </si>
  <si>
    <t>4797B</t>
  </si>
  <si>
    <t>Michelle</t>
  </si>
  <si>
    <t>Milcic</t>
  </si>
  <si>
    <t>*****99420</t>
  </si>
  <si>
    <t>Michele</t>
  </si>
  <si>
    <t>Osborne</t>
  </si>
  <si>
    <t>*****01010</t>
  </si>
  <si>
    <t>Mark</t>
  </si>
  <si>
    <t>Serpa</t>
  </si>
  <si>
    <t>*****59760</t>
  </si>
  <si>
    <t>Highmark MS</t>
  </si>
  <si>
    <t>Highmark MS 2022-2025 65-80 years 1-6 ST (ProRata: 1)</t>
  </si>
  <si>
    <t>Vogelsberger</t>
  </si>
  <si>
    <t>Highmark 65-80 DE WV GI and OE</t>
  </si>
  <si>
    <t>*****61760</t>
  </si>
  <si>
    <t>Alice</t>
  </si>
  <si>
    <t>Whiteman</t>
  </si>
  <si>
    <t>*****38300</t>
  </si>
  <si>
    <t>Arlene</t>
  </si>
  <si>
    <t>Wiedmann</t>
  </si>
  <si>
    <t>*****85870</t>
  </si>
  <si>
    <t>Judith</t>
  </si>
  <si>
    <t>Black</t>
  </si>
  <si>
    <t>Jill</t>
  </si>
  <si>
    <t>Wokutch</t>
  </si>
  <si>
    <t>*****02060</t>
  </si>
  <si>
    <t>*****30610</t>
  </si>
  <si>
    <t>Betty</t>
  </si>
  <si>
    <t>Crooks</t>
  </si>
  <si>
    <t>*****41550</t>
  </si>
  <si>
    <t>Highmark 2025-26 WNY WV DE Renewal Street (ProRata: 1)</t>
  </si>
  <si>
    <t>Virginia</t>
  </si>
  <si>
    <t>Highmark MAPD 2025*</t>
  </si>
  <si>
    <t>*****19830</t>
  </si>
  <si>
    <t>[%/$=313][prorate=1/12]</t>
  </si>
  <si>
    <t>Terry</t>
  </si>
  <si>
    <t>Bain</t>
  </si>
  <si>
    <t>*****23380</t>
  </si>
  <si>
    <t>Patricia</t>
  </si>
  <si>
    <t>Barry</t>
  </si>
  <si>
    <t>17528908N</t>
  </si>
  <si>
    <t>*****33810</t>
  </si>
  <si>
    <t>Christy</t>
  </si>
  <si>
    <t>Russell</t>
  </si>
  <si>
    <t>Dan</t>
  </si>
  <si>
    <t>Bayliss</t>
  </si>
  <si>
    <t>*****88400</t>
  </si>
  <si>
    <t>Donna</t>
  </si>
  <si>
    <t>*****79240</t>
  </si>
  <si>
    <t>Michael</t>
  </si>
  <si>
    <t>Beck</t>
  </si>
  <si>
    <t>*****30390</t>
  </si>
  <si>
    <t>Frances</t>
  </si>
  <si>
    <t>Betarie</t>
  </si>
  <si>
    <t>*****65480</t>
  </si>
  <si>
    <t>David</t>
  </si>
  <si>
    <t>Bianco</t>
  </si>
  <si>
    <t>*****96980</t>
  </si>
  <si>
    <t>Brahler</t>
  </si>
  <si>
    <t>*****04190</t>
  </si>
  <si>
    <t>Phillip</t>
  </si>
  <si>
    <t>Buben</t>
  </si>
  <si>
    <t>*****44650</t>
  </si>
  <si>
    <t>Cain</t>
  </si>
  <si>
    <t>*****40680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</si>
  <si>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</si>
  <si>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</si>
  <si>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</si>
  <si>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</si>
  <si>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</si>
  <si>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</si>
  <si>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</si>
  <si>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</si>
  <si>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</si>
  <si>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</si>
  <si>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Highmark 2025 PA Street 9/1 True Up</t>
  </si>
  <si>
    <t>Veronica</t>
  </si>
  <si>
    <t>Daniels</t>
  </si>
  <si>
    <t>*****01030</t>
  </si>
  <si>
    <t>Highmark MAPD 2025.</t>
  </si>
  <si>
    <t>[%/$=705]</t>
  </si>
  <si>
    <t>Ellen</t>
  </si>
  <si>
    <t>Davenport</t>
  </si>
  <si>
    <t>*****15300</t>
  </si>
  <si>
    <t>Gertrude</t>
  </si>
  <si>
    <t>Dolcich</t>
  </si>
  <si>
    <t>*****49550</t>
  </si>
  <si>
    <t>Diane</t>
  </si>
  <si>
    <t>Fornear</t>
  </si>
  <si>
    <t>Jody</t>
  </si>
  <si>
    <t>Duffy</t>
  </si>
  <si>
    <t>*****27030</t>
  </si>
  <si>
    <t>Kevin</t>
  </si>
  <si>
    <t>*****23500</t>
  </si>
  <si>
    <t>Nancy</t>
  </si>
  <si>
    <t>Dunn</t>
  </si>
  <si>
    <t>*****10720</t>
  </si>
  <si>
    <t>Aldo</t>
  </si>
  <si>
    <t>Famoso</t>
  </si>
  <si>
    <t>*****32410</t>
  </si>
  <si>
    <t>Sharon</t>
  </si>
  <si>
    <t>Norcia</t>
  </si>
  <si>
    <t>Geraldine</t>
  </si>
  <si>
    <t>*****03480</t>
  </si>
  <si>
    <t>Charles</t>
  </si>
  <si>
    <t>Farina</t>
  </si>
  <si>
    <t>*****52240</t>
  </si>
  <si>
    <t>Highmark 2025 PA Street 8/1 True Up</t>
  </si>
  <si>
    <t>Lynn</t>
  </si>
  <si>
    <t>Gamcik</t>
  </si>
  <si>
    <t>*****43110</t>
  </si>
  <si>
    <t>*****40480</t>
  </si>
  <si>
    <t>Gordon</t>
  </si>
  <si>
    <t>Gathany</t>
  </si>
  <si>
    <t>*****55740</t>
  </si>
  <si>
    <t>Jeffrey</t>
  </si>
  <si>
    <t>Gaudino</t>
  </si>
  <si>
    <t>*****87120</t>
  </si>
  <si>
    <t>Debra</t>
  </si>
  <si>
    <t>Murray</t>
  </si>
  <si>
    <t>Teresa</t>
  </si>
  <si>
    <t>*****82650</t>
  </si>
  <si>
    <t>Kimberly</t>
  </si>
  <si>
    <t>Gilbert</t>
  </si>
  <si>
    <t>*****56120</t>
  </si>
  <si>
    <t>*****28840</t>
  </si>
  <si>
    <t>Gulish</t>
  </si>
  <si>
    <t>*****27050</t>
  </si>
  <si>
    <t>Emma</t>
  </si>
  <si>
    <t>Hatton</t>
  </si>
  <si>
    <t>*****09740</t>
  </si>
  <si>
    <t>*****12080</t>
  </si>
  <si>
    <t>Janet</t>
  </si>
  <si>
    <t>Lauff</t>
  </si>
  <si>
    <t>Harold</t>
  </si>
  <si>
    <t>Jones</t>
  </si>
  <si>
    <t>*****68460</t>
  </si>
  <si>
    <t>George</t>
  </si>
  <si>
    <t>Kiefer</t>
  </si>
  <si>
    <t>*****44430</t>
  </si>
  <si>
    <t>Korey</t>
  </si>
  <si>
    <t>*****72670</t>
  </si>
  <si>
    <t>*****74030</t>
  </si>
  <si>
    <t>Catherine</t>
  </si>
  <si>
    <t>Krajack</t>
  </si>
  <si>
    <t>*****49710</t>
  </si>
  <si>
    <t>Christopher</t>
  </si>
  <si>
    <t>*****23630</t>
  </si>
  <si>
    <t>Cheryl</t>
  </si>
  <si>
    <t>Little</t>
  </si>
  <si>
    <t>*****69790</t>
  </si>
  <si>
    <t>Durkin</t>
  </si>
  <si>
    <t>Chester</t>
  </si>
  <si>
    <t>*****42640</t>
  </si>
  <si>
    <t>*****26000</t>
  </si>
  <si>
    <t>Highmark 2025 PA Street 7/1 True Up</t>
  </si>
  <si>
    <t>Laura</t>
  </si>
  <si>
    <t>Marsico</t>
  </si>
  <si>
    <t>*****62510</t>
  </si>
  <si>
    <t>Mathies</t>
  </si>
  <si>
    <t>*****14690</t>
  </si>
  <si>
    <t>Kathleen</t>
  </si>
  <si>
    <t>Mccartney</t>
  </si>
  <si>
    <t>*****52620</t>
  </si>
  <si>
    <t>Kenneth</t>
  </si>
  <si>
    <t>Mcgregor</t>
  </si>
  <si>
    <t>*****33640</t>
  </si>
  <si>
    <t>Mckivitz</t>
  </si>
  <si>
    <t>*****74200</t>
  </si>
  <si>
    <t>Hall</t>
  </si>
  <si>
    <t>Kathryn</t>
  </si>
  <si>
    <t>Mcmanus</t>
  </si>
  <si>
    <t>*****12980</t>
  </si>
  <si>
    <t>Minear</t>
  </si>
  <si>
    <t>Mittenzwey</t>
  </si>
  <si>
    <t>*****85210</t>
  </si>
  <si>
    <t>Ann</t>
  </si>
  <si>
    <t>Murphy</t>
  </si>
  <si>
    <t>*****80870</t>
  </si>
  <si>
    <t>Novak</t>
  </si>
  <si>
    <t>*****35900</t>
  </si>
  <si>
    <t>*****41060</t>
  </si>
  <si>
    <t>Michelle McCorkle</t>
  </si>
  <si>
    <t>Otrhalik</t>
  </si>
  <si>
    <t>18710070N</t>
  </si>
  <si>
    <t>*****18480</t>
  </si>
  <si>
    <t>Marquardt</t>
  </si>
  <si>
    <t>Shu</t>
  </si>
  <si>
    <t>Peng</t>
  </si>
  <si>
    <t>*****94340</t>
  </si>
  <si>
    <t>Presutti</t>
  </si>
  <si>
    <t>*****91150</t>
  </si>
  <si>
    <t>Victoria</t>
  </si>
  <si>
    <t>Rasbach</t>
  </si>
  <si>
    <t>*****31860</t>
  </si>
  <si>
    <t>Redman</t>
  </si>
  <si>
    <t>*****94110</t>
  </si>
  <si>
    <t>Ronald</t>
  </si>
  <si>
    <t>Rethage</t>
  </si>
  <si>
    <t>*****92890</t>
  </si>
  <si>
    <t>8971826N</t>
  </si>
  <si>
    <t>Grieco</t>
  </si>
  <si>
    <t>Rice</t>
  </si>
  <si>
    <t>*****69910</t>
  </si>
  <si>
    <t>Richell</t>
  </si>
  <si>
    <t>*****72950</t>
  </si>
  <si>
    <t>Denise</t>
  </si>
  <si>
    <t>Rumpf</t>
  </si>
  <si>
    <t>*****32690</t>
  </si>
  <si>
    <t>Nicholas</t>
  </si>
  <si>
    <t>Sacco</t>
  </si>
  <si>
    <t>*****20880</t>
  </si>
  <si>
    <t>Randall</t>
  </si>
  <si>
    <t>Santucci</t>
  </si>
  <si>
    <t>*****24550</t>
  </si>
  <si>
    <t>Leslie</t>
  </si>
  <si>
    <t>Schoffstall</t>
  </si>
  <si>
    <t>9254978N</t>
  </si>
  <si>
    <t>*****39000</t>
  </si>
  <si>
    <t>Scribner</t>
  </si>
  <si>
    <t>*****23970</t>
  </si>
  <si>
    <t>Richard</t>
  </si>
  <si>
    <t>Sefchick</t>
  </si>
  <si>
    <t>*****35230</t>
  </si>
  <si>
    <t>Sgourakis</t>
  </si>
  <si>
    <t>*****06800</t>
  </si>
  <si>
    <t>Highmark MAPD 2025..</t>
  </si>
  <si>
    <t>[%/$=353][prorate=1/12]</t>
  </si>
  <si>
    <t>*****96660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</si>
  <si>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</si>
  <si>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</si>
  <si>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</si>
  <si>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</si>
  <si>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</si>
  <si>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</si>
  <si>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</si>
  <si>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</si>
  <si>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Smith</t>
  </si>
  <si>
    <t>*****04840</t>
  </si>
  <si>
    <t>*****04730</t>
  </si>
  <si>
    <t>Stang</t>
  </si>
  <si>
    <t>*****05200</t>
  </si>
  <si>
    <t>Stawiarski</t>
  </si>
  <si>
    <t>*****08500</t>
  </si>
  <si>
    <t>Tarquinio</t>
  </si>
  <si>
    <t>*****63080</t>
  </si>
  <si>
    <t>Karla</t>
  </si>
  <si>
    <t>*****36570</t>
  </si>
  <si>
    <t>*****10950</t>
  </si>
  <si>
    <t>Susan</t>
  </si>
  <si>
    <t>Thomson</t>
  </si>
  <si>
    <t>*****67770</t>
  </si>
  <si>
    <t>Cathleen</t>
  </si>
  <si>
    <t>Thurston</t>
  </si>
  <si>
    <t>*****00730</t>
  </si>
  <si>
    <t>Holmes</t>
  </si>
  <si>
    <t>Volkar Scribner</t>
  </si>
  <si>
    <t>*****59280</t>
  </si>
  <si>
    <t>Suzann</t>
  </si>
  <si>
    <t>Volz</t>
  </si>
  <si>
    <t>*****09160</t>
  </si>
  <si>
    <t>Wauthier</t>
  </si>
  <si>
    <t>*****11170</t>
  </si>
  <si>
    <t>Donald</t>
  </si>
  <si>
    <t>Waxler</t>
  </si>
  <si>
    <t>*****93670</t>
  </si>
  <si>
    <t>Pamela</t>
  </si>
  <si>
    <t>*****17090</t>
  </si>
  <si>
    <t>*****04230</t>
  </si>
  <si>
    <t>Weider</t>
  </si>
  <si>
    <t>*****98770</t>
  </si>
  <si>
    <t>Maria</t>
  </si>
  <si>
    <t>Welshons</t>
  </si>
  <si>
    <t>*****19300</t>
  </si>
  <si>
    <t>Worms</t>
  </si>
  <si>
    <t>*****00680</t>
  </si>
  <si>
    <t>Highmark 2025-26 PA Replace Street / TrueUp (ProRata: 3)</t>
  </si>
  <si>
    <t>Todd</t>
  </si>
  <si>
    <t>Yorgen</t>
  </si>
  <si>
    <t>*****15710</t>
  </si>
  <si>
    <t>[%/$=353][prorate=3/12]</t>
  </si>
  <si>
    <t>Cathy</t>
  </si>
  <si>
    <t>Zelina</t>
  </si>
  <si>
    <t>*****23440</t>
  </si>
  <si>
    <t>Stacy</t>
  </si>
  <si>
    <t>Zeno</t>
  </si>
  <si>
    <t>*****49260</t>
  </si>
  <si>
    <t>Edna</t>
  </si>
  <si>
    <t>Zielinski</t>
  </si>
  <si>
    <t>*****81290</t>
  </si>
  <si>
    <t>Bobbi</t>
  </si>
  <si>
    <t>Zimmerman</t>
  </si>
  <si>
    <t>*****45790</t>
  </si>
  <si>
    <t>Zorich</t>
  </si>
  <si>
    <t>*****25290</t>
  </si>
  <si>
    <t>Eli</t>
  </si>
  <si>
    <t>*****85420</t>
  </si>
  <si>
    <t>Karin</t>
  </si>
  <si>
    <t>Pekular</t>
  </si>
  <si>
    <t>*****08470</t>
  </si>
  <si>
    <t>Edward</t>
  </si>
  <si>
    <t>Boni</t>
  </si>
  <si>
    <t>*****32450</t>
  </si>
  <si>
    <t>[%/$=353][prorate=4/12]</t>
  </si>
  <si>
    <t>Diaz</t>
  </si>
  <si>
    <t>*****61280</t>
  </si>
  <si>
    <t>Hirtz</t>
  </si>
  <si>
    <t>*****56860</t>
  </si>
  <si>
    <t>Keith</t>
  </si>
  <si>
    <t>Kendra</t>
  </si>
  <si>
    <t>*****50770</t>
  </si>
  <si>
    <t>Kuklis</t>
  </si>
  <si>
    <t>*****55510</t>
  </si>
  <si>
    <t>Schaefer</t>
  </si>
  <si>
    <t>*****27480</t>
  </si>
  <si>
    <t>Caroline</t>
  </si>
  <si>
    <t>Venneri</t>
  </si>
  <si>
    <t>*****55010</t>
  </si>
  <si>
    <t>Roland</t>
  </si>
  <si>
    <t>*****18660</t>
  </si>
  <si>
    <t>Mitchell</t>
  </si>
  <si>
    <t>Giger</t>
  </si>
  <si>
    <t>Homer</t>
  </si>
  <si>
    <t>*****70720</t>
  </si>
  <si>
    <t>Huffman</t>
  </si>
  <si>
    <t>*****82260</t>
  </si>
  <si>
    <t>Highmark 2025-26 PA Replace Street / TrueUp (ProRata: 5)</t>
  </si>
  <si>
    <t>Melanie</t>
  </si>
  <si>
    <t>Leech</t>
  </si>
  <si>
    <t>*****31930</t>
  </si>
  <si>
    <t>[%/$=353][prorate=5/12]</t>
  </si>
  <si>
    <t>Marianne</t>
  </si>
  <si>
    <t>Zapora</t>
  </si>
  <si>
    <t>*****65800</t>
  </si>
  <si>
    <t>Georgiann</t>
  </si>
  <si>
    <t>Marshall</t>
  </si>
  <si>
    <t>*****97900</t>
  </si>
  <si>
    <t>Rosemarie</t>
  </si>
  <si>
    <t>Mixter</t>
  </si>
  <si>
    <t>*****06870</t>
  </si>
  <si>
    <t>Courtney</t>
  </si>
  <si>
    <t>*****78250</t>
  </si>
  <si>
    <t>Emerson</t>
  </si>
  <si>
    <t>Evans</t>
  </si>
  <si>
    <t>*****91260</t>
  </si>
  <si>
    <t>Noreen</t>
  </si>
  <si>
    <t>Hamm</t>
  </si>
  <si>
    <t>*****09350</t>
  </si>
  <si>
    <t>Paulikonis</t>
  </si>
  <si>
    <t>*****19440</t>
  </si>
  <si>
    <t>Dennis</t>
  </si>
  <si>
    <t>Pegher</t>
  </si>
  <si>
    <t>*****31880</t>
  </si>
  <si>
    <t>Meryle</t>
  </si>
  <si>
    <t>Brucker</t>
  </si>
  <si>
    <t>*****21100</t>
  </si>
  <si>
    <t>Wendell</t>
  </si>
  <si>
    <t>*****81890</t>
  </si>
  <si>
    <t>Eleta</t>
  </si>
  <si>
    <t>Rupp</t>
  </si>
  <si>
    <t>*****58650</t>
  </si>
  <si>
    <t>Daniel</t>
  </si>
  <si>
    <t>Burkleca</t>
  </si>
  <si>
    <t>*****12950</t>
  </si>
  <si>
    <t>Hoffman</t>
  </si>
  <si>
    <t>*****87560</t>
  </si>
  <si>
    <t>*****96280</t>
  </si>
  <si>
    <t>Terence</t>
  </si>
  <si>
    <t>Jacob</t>
  </si>
  <si>
    <t>*****67170</t>
  </si>
  <si>
    <t>Barbara</t>
  </si>
  <si>
    <t>Stoehr</t>
  </si>
  <si>
    <t>Romano</t>
  </si>
  <si>
    <t>*****99920</t>
  </si>
  <si>
    <t>Martha</t>
  </si>
  <si>
    <t>Tapia Solorio</t>
  </si>
  <si>
    <t>*****19030</t>
  </si>
  <si>
    <t>Carl</t>
  </si>
  <si>
    <t>Overly</t>
  </si>
  <si>
    <t>*****95310</t>
  </si>
  <si>
    <t>*****78130</t>
  </si>
  <si>
    <t>*****86770</t>
  </si>
  <si>
    <t>*****69580</t>
  </si>
  <si>
    <t>*****76360</t>
  </si>
  <si>
    <t>*****73720</t>
  </si>
  <si>
    <t>*****81450</t>
  </si>
  <si>
    <t>*****15310</t>
  </si>
  <si>
    <t>*****41880</t>
  </si>
  <si>
    <t>[%/$=353][prorate=6/12]</t>
  </si>
  <si>
    <t>*****67440</t>
  </si>
  <si>
    <t>Leonard</t>
  </si>
  <si>
    <t>Laird</t>
  </si>
  <si>
    <t>*****47180</t>
  </si>
  <si>
    <t>Highmark 2025-26 PA Replace Street / TrueUp (ProRata: 6)</t>
  </si>
  <si>
    <t>*****90960</t>
  </si>
  <si>
    <t>*****13800</t>
  </si>
  <si>
    <t>*****74090</t>
  </si>
  <si>
    <t>*****00350</t>
  </si>
  <si>
    <t>*****11460</t>
  </si>
  <si>
    <t>*****18410</t>
  </si>
  <si>
    <t>*****09600</t>
  </si>
  <si>
    <t>Rosa</t>
  </si>
  <si>
    <t>*****01760</t>
  </si>
  <si>
    <t>Highmark 2025-26 PA Replace Street / TrueUp (ProRata: -12)</t>
  </si>
  <si>
    <t>Patricia Long</t>
  </si>
  <si>
    <t>Sami</t>
  </si>
  <si>
    <t>Azar</t>
  </si>
  <si>
    <t>*****58970</t>
  </si>
  <si>
    <t>Bryon</t>
  </si>
  <si>
    <t>Rohrbach</t>
  </si>
  <si>
    <t>*****30500</t>
  </si>
  <si>
    <t>Eileen</t>
  </si>
  <si>
    <t>*****48470</t>
  </si>
  <si>
    <t>Rafael</t>
  </si>
  <si>
    <t>Rosario</t>
  </si>
  <si>
    <t>Halimah</t>
  </si>
  <si>
    <t>Sou</t>
  </si>
  <si>
    <t>*****35180</t>
  </si>
  <si>
    <t>Wynn</t>
  </si>
  <si>
    <t>*****94530</t>
  </si>
  <si>
    <t>*****84430</t>
  </si>
  <si>
    <t>Kurzawa</t>
  </si>
  <si>
    <t>*****72960</t>
  </si>
  <si>
    <t>*****65970</t>
  </si>
  <si>
    <t>*****13020</t>
  </si>
  <si>
    <t>Mark Roccia</t>
  </si>
  <si>
    <t>Yoder</t>
  </si>
  <si>
    <t>*****14390</t>
  </si>
  <si>
    <t>Brackbill</t>
  </si>
  <si>
    <t>*****87700</t>
  </si>
  <si>
    <t>Highmark 2025-2026 PA Replace OR (ProRata: 1)</t>
  </si>
  <si>
    <t>Highmark 2022-2026 PA DE &amp; WV Replace OR (ProRata: 1)</t>
  </si>
  <si>
    <t>Marina O'Brien</t>
  </si>
  <si>
    <t>Sujata</t>
  </si>
  <si>
    <t>Naik</t>
  </si>
  <si>
    <t>*****49730</t>
  </si>
  <si>
    <t>Wingard</t>
  </si>
  <si>
    <t>Timothy Powers</t>
  </si>
  <si>
    <t>Anderson</t>
  </si>
  <si>
    <t>*****82470</t>
  </si>
  <si>
    <t>Lori Tunstall</t>
  </si>
  <si>
    <t>Stebbins</t>
  </si>
  <si>
    <t>*****86870</t>
  </si>
  <si>
    <t>Adam</t>
  </si>
  <si>
    <t>Bottenfield</t>
  </si>
  <si>
    <t>*****00310</t>
  </si>
  <si>
    <t>Deborah Powers</t>
  </si>
  <si>
    <t>Theodore</t>
  </si>
  <si>
    <t>Czyzyk</t>
  </si>
  <si>
    <t>*****37340</t>
  </si>
  <si>
    <t>Jean</t>
  </si>
  <si>
    <t>Bowen</t>
  </si>
  <si>
    <t>*****32830</t>
  </si>
  <si>
    <t>Fazzoni</t>
  </si>
  <si>
    <t>*****75150</t>
  </si>
  <si>
    <t>Moser</t>
  </si>
  <si>
    <t>*****77170</t>
  </si>
  <si>
    <t>Becky</t>
  </si>
  <si>
    <t>Roupe</t>
  </si>
  <si>
    <t>*****03060</t>
  </si>
  <si>
    <t>*****56300</t>
  </si>
  <si>
    <t>*****84180</t>
  </si>
  <si>
    <t>Highmark 2023-26 PA WV&amp;DE Renewal OR 7/1 Trueup</t>
  </si>
  <si>
    <t>Highmark 2025-2026 PA Replace OR (ProRata: 5)</t>
  </si>
  <si>
    <t>Highmark 2025-26 Comm Blue PA Full OR 8/1 Trueup</t>
  </si>
  <si>
    <t>Highmark 2025-26 Comm Blue PA Full OR 7/1 Trueup</t>
  </si>
  <si>
    <t>Highmark 2025-2026 PA Replace OR (ProRata: 3)</t>
  </si>
  <si>
    <t>Highmark 2025-2026 PA Replace OR (ProRata: 6)</t>
  </si>
  <si>
    <t>Brandt</t>
  </si>
  <si>
    <t>*****96770</t>
  </si>
  <si>
    <t>Kelly</t>
  </si>
  <si>
    <t>*****18920</t>
  </si>
  <si>
    <t>Highmark 2025-2026 PA Replace OR (ProRata: -6)</t>
  </si>
  <si>
    <t>Kenton</t>
  </si>
  <si>
    <t>Gilstrap</t>
  </si>
  <si>
    <t>*****74220</t>
  </si>
  <si>
    <t>Goodwin</t>
  </si>
  <si>
    <t>*****78960</t>
  </si>
  <si>
    <t>Larry</t>
  </si>
  <si>
    <t>Kobik</t>
  </si>
  <si>
    <t>*****15340</t>
  </si>
  <si>
    <t>Malinak</t>
  </si>
  <si>
    <t>*****41410</t>
  </si>
  <si>
    <t>Wright</t>
  </si>
  <si>
    <t>*****44850</t>
  </si>
  <si>
    <t>Highmark 2025-2026 Comm Blue PA Full OR</t>
  </si>
  <si>
    <t>Binder</t>
  </si>
  <si>
    <t>*****96740</t>
  </si>
  <si>
    <t>Brody</t>
  </si>
  <si>
    <t>*****88590</t>
  </si>
  <si>
    <t>Highmark 2025-2026 PA Replace OR (ProRata: -12)</t>
  </si>
  <si>
    <t>Margaret Smith</t>
  </si>
  <si>
    <t>Ragan</t>
  </si>
  <si>
    <t>*****07920</t>
  </si>
  <si>
    <t>Hilliard</t>
  </si>
  <si>
    <t>*****42830</t>
  </si>
  <si>
    <t>Highmark 2025-2026 PA Replace OR (ProRata: 4)</t>
  </si>
  <si>
    <t>Kasprowicz</t>
  </si>
  <si>
    <t>*****12300</t>
  </si>
  <si>
    <t>Ricky</t>
  </si>
  <si>
    <t>Kradel</t>
  </si>
  <si>
    <t>*****06950</t>
  </si>
  <si>
    <t>Mullen</t>
  </si>
  <si>
    <t>*****27710</t>
  </si>
  <si>
    <t>Stephen</t>
  </si>
  <si>
    <t>Onufrak</t>
  </si>
  <si>
    <t>*****09330</t>
  </si>
  <si>
    <t>Jodi</t>
  </si>
  <si>
    <t>*****42960</t>
  </si>
  <si>
    <t>Rumbaugh</t>
  </si>
  <si>
    <t>*****52840</t>
  </si>
  <si>
    <t>Tomasic</t>
  </si>
  <si>
    <t>*****06070</t>
  </si>
  <si>
    <t>Yaklich</t>
  </si>
  <si>
    <t>*****29410</t>
  </si>
  <si>
    <t>Watson</t>
  </si>
  <si>
    <t>*****80090</t>
  </si>
  <si>
    <t>Wiley</t>
  </si>
  <si>
    <t>*****65620</t>
  </si>
  <si>
    <t>Brian</t>
  </si>
  <si>
    <t>Leroy</t>
  </si>
  <si>
    <t>*****17240</t>
  </si>
  <si>
    <t>Highmark 2023-2026 PA Initial Freedom Blue (ProRata: -6)</t>
  </si>
  <si>
    <t>Highmark 2023-2026 PA Initial Freedom Blue (ProRata: 6)</t>
  </si>
  <si>
    <t>Lisa</t>
  </si>
  <si>
    <t>Edwards</t>
  </si>
  <si>
    <t>*****45230</t>
  </si>
  <si>
    <t>Highmark 2025-2026 Comm Blue PA Full OR (ProRata: -12)</t>
  </si>
  <si>
    <t>Manjula</t>
  </si>
  <si>
    <t>Balasubramanian</t>
  </si>
  <si>
    <t>*****5011A</t>
  </si>
  <si>
    <t>Highmark MS 2026 PA - SW &amp; SE 65+ Yr 1-6 ST (ProRata: 6)</t>
  </si>
  <si>
    <t>*****4797B</t>
  </si>
  <si>
    <t>Highmark MS 2023 - 2026 65-80 years 1-6 OR (ProRata: 1)</t>
  </si>
  <si>
    <t>Gregg</t>
  </si>
  <si>
    <t>Psik</t>
  </si>
  <si>
    <t>*****0832A</t>
  </si>
  <si>
    <t>Highmark MS 2023 - 2026 65-80 years 1-6 OR (ProRata: 6)</t>
  </si>
  <si>
    <t>Highmark MS 2026 Plan GCF 65+ Yr 1-6 OR (ProRata: 6)</t>
  </si>
  <si>
    <t>[%/$=353][prorate=12/12]</t>
  </si>
  <si>
    <t>18134413OVR</t>
  </si>
  <si>
    <t>Highmark MAPD Ovr</t>
  </si>
  <si>
    <t>17528908OVR</t>
  </si>
  <si>
    <t>18710070OVR</t>
  </si>
  <si>
    <t>18794740OVR</t>
  </si>
  <si>
    <t>19606009OVR</t>
  </si>
  <si>
    <t>9254978OVR</t>
  </si>
  <si>
    <t>15278437OVR</t>
  </si>
  <si>
    <t>20253958OVR</t>
  </si>
  <si>
    <t>0832A</t>
  </si>
  <si>
    <t>21618313OVR</t>
  </si>
  <si>
    <t>17886092OVR</t>
  </si>
  <si>
    <t>17425766OVR</t>
  </si>
  <si>
    <t>19278370OVR</t>
  </si>
  <si>
    <t>16865242OVR</t>
  </si>
  <si>
    <t>5011A</t>
  </si>
  <si>
    <t>8971826OVR</t>
  </si>
  <si>
    <t>Highmark MS 2026 PA - SW &amp; SE 65+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</si>
</sst>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3" fontId="2" numFmtId="0" xfId="0" applyBorder="1" applyFill="1" applyFont="1"/>
    <xf borderId="1" fillId="3" fontId="2" numFmtId="0" xfId="0" applyAlignment="1" applyBorder="1" applyFont="1">
      <alignment horizontal="left"/>
    </xf>
    <xf borderId="1" fillId="3" fontId="2" numFmtId="14" xfId="0" applyBorder="1" applyFont="1" applyNumberFormat="1"/>
    <xf borderId="1" fillId="3" fontId="2" numFmtId="164" xfId="0" applyBorder="1" applyFont="1" applyNumberFormat="1"/>
    <xf borderId="1" fillId="2" fontId="2" numFmtId="0" xfId="0" applyAlignment="1" applyBorder="1" applyFont="1">
      <alignment horizontal="left"/>
    </xf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5" width="16.29"/>
    <col customWidth="1" min="6" max="6" width="11.29"/>
    <col customWidth="1" min="7" max="7" width="11.86"/>
    <col customWidth="1" min="8" max="8" width="14.71"/>
    <col customWidth="1" min="9" max="9" width="12.71"/>
    <col customWidth="1" min="10" max="10" width="54.86"/>
    <col customWidth="1" min="11" max="11" width="15.71"/>
    <col customWidth="1" min="12" max="26" width="8.71"/>
  </cols>
  <sheetData>
    <row r="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8971826.0</v>
      </c>
      <c r="C2" s="1">
        <v>8971826.0</v>
      </c>
      <c r="D2" s="1" t="s">
        <v>13</v>
      </c>
      <c r="E2" s="1" t="s">
        <v>14</v>
      </c>
      <c r="F2" s="1" t="s">
        <v>15</v>
      </c>
      <c r="G2" s="4">
        <v>45474.0</v>
      </c>
      <c r="H2" s="4">
        <v>46227.0</v>
      </c>
      <c r="I2" s="1" t="s">
        <v>19</v>
      </c>
      <c r="J2" s="1" t="s">
        <v>20</v>
      </c>
      <c r="K2" s="5">
        <v>29.41</v>
      </c>
    </row>
    <row r="3">
      <c r="A3" s="1" t="s">
        <v>11</v>
      </c>
      <c r="B3" s="1">
        <v>8971826.0</v>
      </c>
      <c r="C3" s="1">
        <v>8971826.0</v>
      </c>
      <c r="D3" s="1" t="s">
        <v>21</v>
      </c>
      <c r="E3" s="1" t="s">
        <v>22</v>
      </c>
      <c r="F3" s="1" t="s">
        <v>23</v>
      </c>
      <c r="G3" s="4">
        <v>45748.0</v>
      </c>
      <c r="H3" s="4">
        <v>46227.0</v>
      </c>
      <c r="I3" s="1" t="s">
        <v>19</v>
      </c>
      <c r="J3" s="1" t="s">
        <v>20</v>
      </c>
      <c r="K3" s="5">
        <v>29.41</v>
      </c>
    </row>
    <row r="4">
      <c r="A4" s="1" t="s">
        <v>24</v>
      </c>
      <c r="C4" s="1">
        <v>9254978.0</v>
      </c>
      <c r="D4" s="1" t="s">
        <v>25</v>
      </c>
      <c r="E4" s="1" t="s">
        <v>26</v>
      </c>
      <c r="F4" s="1" t="s">
        <v>27</v>
      </c>
      <c r="G4" s="4">
        <v>45901.0</v>
      </c>
      <c r="H4" s="4">
        <v>46227.0</v>
      </c>
      <c r="I4" s="1" t="s">
        <v>19</v>
      </c>
      <c r="J4" s="1" t="s">
        <v>20</v>
      </c>
      <c r="K4" s="5">
        <v>29.41</v>
      </c>
    </row>
    <row r="5">
      <c r="A5" s="1" t="s">
        <v>24</v>
      </c>
      <c r="B5" s="1">
        <v>9254978.0</v>
      </c>
      <c r="C5" s="1">
        <v>9254978.0</v>
      </c>
      <c r="D5" s="1" t="s">
        <v>28</v>
      </c>
      <c r="E5" s="1" t="s">
        <v>29</v>
      </c>
      <c r="F5" s="1" t="s">
        <v>30</v>
      </c>
      <c r="G5" s="4">
        <v>45658.0</v>
      </c>
      <c r="H5" s="4">
        <v>46227.0</v>
      </c>
      <c r="I5" s="1" t="s">
        <v>19</v>
      </c>
      <c r="J5" s="1" t="s">
        <v>20</v>
      </c>
      <c r="K5" s="5">
        <v>29.41</v>
      </c>
    </row>
    <row r="6">
      <c r="A6" s="1" t="s">
        <v>24</v>
      </c>
      <c r="C6" s="1">
        <v>9254978.0</v>
      </c>
      <c r="D6" s="1" t="s">
        <v>31</v>
      </c>
      <c r="E6" s="1" t="s">
        <v>32</v>
      </c>
      <c r="F6" s="1" t="s">
        <v>33</v>
      </c>
      <c r="G6" s="4">
        <v>45901.0</v>
      </c>
      <c r="H6" s="4">
        <v>46227.0</v>
      </c>
      <c r="I6" s="1" t="s">
        <v>19</v>
      </c>
      <c r="J6" s="1" t="s">
        <v>20</v>
      </c>
      <c r="K6" s="5">
        <v>29.41</v>
      </c>
    </row>
    <row r="7">
      <c r="A7" s="1" t="s">
        <v>34</v>
      </c>
      <c r="B7" s="1">
        <v>1.5278437E7</v>
      </c>
      <c r="C7" s="1">
        <v>1.5278437E7</v>
      </c>
      <c r="D7" s="1" t="s">
        <v>35</v>
      </c>
      <c r="E7" s="1" t="s">
        <v>36</v>
      </c>
      <c r="F7" s="1" t="s">
        <v>37</v>
      </c>
      <c r="G7" s="4">
        <v>45292.0</v>
      </c>
      <c r="H7" s="4">
        <v>46227.0</v>
      </c>
      <c r="I7" s="1" t="s">
        <v>19</v>
      </c>
      <c r="J7" s="1" t="s">
        <v>20</v>
      </c>
      <c r="K7" s="5">
        <v>29.41</v>
      </c>
    </row>
    <row r="8">
      <c r="A8" s="1" t="s">
        <v>34</v>
      </c>
      <c r="B8" s="1">
        <v>1.5278437E7</v>
      </c>
      <c r="C8" s="1">
        <v>1.5278437E7</v>
      </c>
      <c r="D8" s="1" t="s">
        <v>40</v>
      </c>
      <c r="E8" s="1" t="s">
        <v>41</v>
      </c>
      <c r="F8" s="1" t="s">
        <v>42</v>
      </c>
      <c r="G8" s="4">
        <v>45170.0</v>
      </c>
      <c r="H8" s="4">
        <v>46227.0</v>
      </c>
      <c r="I8" s="1" t="s">
        <v>19</v>
      </c>
      <c r="J8" s="1" t="s">
        <v>20</v>
      </c>
      <c r="K8" s="5">
        <v>29.41</v>
      </c>
    </row>
    <row r="9">
      <c r="A9" s="1" t="s">
        <v>34</v>
      </c>
      <c r="B9" s="1">
        <v>1.5278437E7</v>
      </c>
      <c r="C9" s="1">
        <v>1.5278437E7</v>
      </c>
      <c r="D9" s="1" t="s">
        <v>43</v>
      </c>
      <c r="E9" s="1" t="s">
        <v>44</v>
      </c>
      <c r="F9" s="1" t="s">
        <v>45</v>
      </c>
      <c r="G9" s="4">
        <v>45717.0</v>
      </c>
      <c r="H9" s="4">
        <v>46227.0</v>
      </c>
      <c r="I9" s="1" t="s">
        <v>19</v>
      </c>
      <c r="J9" s="1" t="s">
        <v>38</v>
      </c>
      <c r="K9" s="5">
        <v>4.58</v>
      </c>
    </row>
    <row r="10">
      <c r="A10" s="1" t="s">
        <v>46</v>
      </c>
      <c r="B10" s="1">
        <v>1.7425766E7</v>
      </c>
      <c r="C10" s="1">
        <v>1.7425766E7</v>
      </c>
      <c r="D10" s="1" t="s">
        <v>47</v>
      </c>
      <c r="E10" s="1" t="s">
        <v>48</v>
      </c>
      <c r="F10" s="1" t="s">
        <v>49</v>
      </c>
      <c r="G10" s="4">
        <v>45658.0</v>
      </c>
      <c r="H10" s="4">
        <v>46227.0</v>
      </c>
      <c r="I10" s="1" t="s">
        <v>19</v>
      </c>
      <c r="J10" s="1" t="s">
        <v>20</v>
      </c>
      <c r="K10" s="5">
        <v>29.41</v>
      </c>
    </row>
    <row r="11">
      <c r="A11" s="1" t="s">
        <v>50</v>
      </c>
      <c r="B11" s="1">
        <v>1.7528908E7</v>
      </c>
      <c r="C11" s="1">
        <v>1.7528908E7</v>
      </c>
      <c r="D11" s="1" t="s">
        <v>51</v>
      </c>
      <c r="E11" s="1" t="s">
        <v>52</v>
      </c>
      <c r="F11" s="1" t="s">
        <v>53</v>
      </c>
      <c r="G11" s="4">
        <v>45748.0</v>
      </c>
      <c r="H11" s="4">
        <v>46227.0</v>
      </c>
      <c r="I11" s="1" t="s">
        <v>19</v>
      </c>
      <c r="J11" s="1" t="s">
        <v>20</v>
      </c>
      <c r="K11" s="5">
        <v>29.41</v>
      </c>
    </row>
    <row r="12">
      <c r="A12" s="1" t="s">
        <v>50</v>
      </c>
      <c r="B12" s="1">
        <v>1.7528908E7</v>
      </c>
      <c r="C12" s="1">
        <v>1.7528908E7</v>
      </c>
      <c r="D12" s="1" t="s">
        <v>54</v>
      </c>
      <c r="E12" s="1" t="s">
        <v>55</v>
      </c>
      <c r="F12" s="1" t="s">
        <v>56</v>
      </c>
      <c r="G12" s="4">
        <v>45474.0</v>
      </c>
      <c r="H12" s="4">
        <v>46227.0</v>
      </c>
      <c r="I12" s="1" t="s">
        <v>19</v>
      </c>
      <c r="J12" s="1" t="s">
        <v>20</v>
      </c>
      <c r="K12" s="5">
        <v>29.41</v>
      </c>
    </row>
    <row r="13">
      <c r="A13" s="1" t="s">
        <v>50</v>
      </c>
      <c r="C13" s="1">
        <v>1.7528908E7</v>
      </c>
      <c r="D13" s="1" t="s">
        <v>57</v>
      </c>
      <c r="E13" s="1" t="s">
        <v>58</v>
      </c>
      <c r="F13" s="1" t="s">
        <v>59</v>
      </c>
      <c r="G13" s="4">
        <v>45931.0</v>
      </c>
      <c r="H13" s="4">
        <v>46227.0</v>
      </c>
      <c r="I13" s="1" t="s">
        <v>19</v>
      </c>
      <c r="J13" s="1" t="s">
        <v>20</v>
      </c>
      <c r="K13" s="5">
        <v>29.41</v>
      </c>
    </row>
    <row r="14">
      <c r="A14" s="1" t="s">
        <v>50</v>
      </c>
      <c r="B14" s="1">
        <v>1.7528908E7</v>
      </c>
      <c r="C14" s="1">
        <v>1.7528908E7</v>
      </c>
      <c r="D14" s="1" t="s">
        <v>60</v>
      </c>
      <c r="E14" s="1" t="s">
        <v>61</v>
      </c>
      <c r="F14" s="1" t="s">
        <v>62</v>
      </c>
      <c r="G14" s="4">
        <v>45323.0</v>
      </c>
      <c r="H14" s="4">
        <v>46227.0</v>
      </c>
      <c r="I14" s="1" t="s">
        <v>19</v>
      </c>
      <c r="J14" s="1" t="s">
        <v>20</v>
      </c>
      <c r="K14" s="5">
        <v>29.41</v>
      </c>
    </row>
    <row r="15">
      <c r="A15" s="1" t="s">
        <v>50</v>
      </c>
      <c r="B15" s="1">
        <v>1.7528908E7</v>
      </c>
      <c r="C15" s="1">
        <v>1.7528908E7</v>
      </c>
      <c r="D15" s="1" t="s">
        <v>63</v>
      </c>
      <c r="E15" s="1" t="s">
        <v>64</v>
      </c>
      <c r="F15" s="1" t="s">
        <v>65</v>
      </c>
      <c r="G15" s="4">
        <v>45658.0</v>
      </c>
      <c r="H15" s="4">
        <v>46227.0</v>
      </c>
      <c r="I15" s="1" t="s">
        <v>19</v>
      </c>
      <c r="J15" s="1" t="s">
        <v>20</v>
      </c>
      <c r="K15" s="5">
        <v>29.41</v>
      </c>
    </row>
    <row r="16">
      <c r="A16" s="1" t="s">
        <v>50</v>
      </c>
      <c r="B16" s="1">
        <v>1.7528908E7</v>
      </c>
      <c r="C16" s="1">
        <v>1.7528908E7</v>
      </c>
      <c r="D16" s="1" t="s">
        <v>66</v>
      </c>
      <c r="E16" s="1" t="s">
        <v>67</v>
      </c>
      <c r="F16" s="1" t="s">
        <v>68</v>
      </c>
      <c r="G16" s="4">
        <v>45444.0</v>
      </c>
      <c r="H16" s="4">
        <v>46227.0</v>
      </c>
      <c r="I16" s="1" t="s">
        <v>19</v>
      </c>
      <c r="J16" s="1" t="s">
        <v>20</v>
      </c>
      <c r="K16" s="5">
        <v>29.41</v>
      </c>
    </row>
    <row r="17">
      <c r="A17" s="1" t="s">
        <v>50</v>
      </c>
      <c r="B17" s="1">
        <v>1.7528908E7</v>
      </c>
      <c r="C17" s="1">
        <v>1.7528908E7</v>
      </c>
      <c r="D17" s="1" t="s">
        <v>69</v>
      </c>
      <c r="E17" s="1" t="s">
        <v>70</v>
      </c>
      <c r="F17" s="1" t="s">
        <v>71</v>
      </c>
      <c r="G17" s="4">
        <v>45658.0</v>
      </c>
      <c r="H17" s="4">
        <v>46227.0</v>
      </c>
      <c r="I17" s="1" t="s">
        <v>19</v>
      </c>
      <c r="J17" s="1" t="s">
        <v>20</v>
      </c>
      <c r="K17" s="5">
        <v>29.41</v>
      </c>
    </row>
    <row r="18">
      <c r="A18" s="1" t="s">
        <v>50</v>
      </c>
      <c r="B18" s="1">
        <v>1.7528908E7</v>
      </c>
      <c r="C18" s="1">
        <v>1.7528908E7</v>
      </c>
      <c r="D18" s="1" t="s">
        <v>72</v>
      </c>
      <c r="E18" s="1" t="s">
        <v>73</v>
      </c>
      <c r="F18" s="1" t="s">
        <v>74</v>
      </c>
      <c r="G18" s="4">
        <v>45689.0</v>
      </c>
      <c r="H18" s="4">
        <v>46227.0</v>
      </c>
      <c r="I18" s="1" t="s">
        <v>19</v>
      </c>
      <c r="J18" s="1" t="s">
        <v>20</v>
      </c>
      <c r="K18" s="5">
        <v>29.41</v>
      </c>
    </row>
    <row r="19">
      <c r="A19" s="1" t="s">
        <v>50</v>
      </c>
      <c r="C19" s="1">
        <v>1.7528908E7</v>
      </c>
      <c r="D19" s="1" t="s">
        <v>75</v>
      </c>
      <c r="E19" s="1" t="s">
        <v>76</v>
      </c>
      <c r="F19" s="1" t="s">
        <v>77</v>
      </c>
      <c r="G19" s="4">
        <v>45962.0</v>
      </c>
      <c r="H19" s="4">
        <v>46227.0</v>
      </c>
      <c r="I19" s="1" t="s">
        <v>19</v>
      </c>
      <c r="J19" s="1" t="s">
        <v>20</v>
      </c>
      <c r="K19" s="5">
        <v>29.41</v>
      </c>
    </row>
    <row r="20">
      <c r="A20" s="1" t="s">
        <v>50</v>
      </c>
      <c r="B20" s="1">
        <v>1.7528908E7</v>
      </c>
      <c r="C20" s="1">
        <v>1.7528908E7</v>
      </c>
      <c r="D20" s="1" t="s">
        <v>78</v>
      </c>
      <c r="E20" s="1" t="s">
        <v>79</v>
      </c>
      <c r="F20" s="1" t="s">
        <v>80</v>
      </c>
      <c r="G20" s="4">
        <v>45323.0</v>
      </c>
      <c r="H20" s="4">
        <v>46227.0</v>
      </c>
      <c r="I20" s="1" t="s">
        <v>19</v>
      </c>
      <c r="J20" s="1" t="s">
        <v>20</v>
      </c>
      <c r="K20" s="5">
        <v>29.41</v>
      </c>
    </row>
    <row r="21" ht="15.75" customHeight="1">
      <c r="A21" s="1" t="s">
        <v>50</v>
      </c>
      <c r="B21" s="1">
        <v>1.7528908E7</v>
      </c>
      <c r="C21" s="1">
        <v>1.7528908E7</v>
      </c>
      <c r="D21" s="1" t="s">
        <v>82</v>
      </c>
      <c r="E21" s="1" t="s">
        <v>79</v>
      </c>
      <c r="F21" s="1" t="s">
        <v>83</v>
      </c>
      <c r="G21" s="4">
        <v>45323.0</v>
      </c>
      <c r="H21" s="4">
        <v>46227.0</v>
      </c>
      <c r="I21" s="1" t="s">
        <v>19</v>
      </c>
      <c r="J21" s="1" t="s">
        <v>20</v>
      </c>
      <c r="K21" s="5">
        <v>29.41</v>
      </c>
    </row>
    <row r="22" ht="15.75" customHeight="1">
      <c r="A22" s="1" t="s">
        <v>50</v>
      </c>
      <c r="B22" s="1">
        <v>1.7528908E7</v>
      </c>
      <c r="C22" s="1">
        <v>1.7528908E7</v>
      </c>
      <c r="D22" s="1" t="s">
        <v>85</v>
      </c>
      <c r="E22" s="1" t="s">
        <v>86</v>
      </c>
      <c r="F22" s="1" t="s">
        <v>87</v>
      </c>
      <c r="G22" s="4">
        <v>45413.0</v>
      </c>
      <c r="H22" s="4">
        <v>46227.0</v>
      </c>
      <c r="I22" s="1" t="s">
        <v>19</v>
      </c>
      <c r="J22" s="1" t="s">
        <v>20</v>
      </c>
      <c r="K22" s="5">
        <v>29.41</v>
      </c>
    </row>
    <row r="23" ht="15.75" customHeight="1">
      <c r="A23" s="1" t="s">
        <v>50</v>
      </c>
      <c r="C23" s="1">
        <v>1.7528908E7</v>
      </c>
      <c r="D23" s="1" t="s">
        <v>88</v>
      </c>
      <c r="E23" s="1" t="s">
        <v>89</v>
      </c>
      <c r="F23" s="1" t="s">
        <v>90</v>
      </c>
      <c r="G23" s="4">
        <v>45931.0</v>
      </c>
      <c r="H23" s="4">
        <v>46227.0</v>
      </c>
      <c r="I23" s="1" t="s">
        <v>19</v>
      </c>
      <c r="J23" s="1" t="s">
        <v>20</v>
      </c>
      <c r="K23" s="5">
        <v>29.41</v>
      </c>
    </row>
    <row r="24" ht="15.75" customHeight="1">
      <c r="A24" s="1" t="s">
        <v>50</v>
      </c>
      <c r="C24" s="1">
        <v>1.7528908E7</v>
      </c>
      <c r="D24" s="1" t="s">
        <v>91</v>
      </c>
      <c r="E24" s="1" t="s">
        <v>92</v>
      </c>
      <c r="F24" s="1" t="s">
        <v>93</v>
      </c>
      <c r="G24" s="4">
        <v>45870.0</v>
      </c>
      <c r="H24" s="4">
        <v>46227.0</v>
      </c>
      <c r="I24" s="1" t="s">
        <v>19</v>
      </c>
      <c r="J24" s="1" t="s">
        <v>20</v>
      </c>
      <c r="K24" s="5">
        <v>29.41</v>
      </c>
    </row>
    <row r="25" ht="15.75" customHeight="1">
      <c r="A25" s="1" t="s">
        <v>50</v>
      </c>
      <c r="B25" s="1">
        <v>1.7528908E7</v>
      </c>
      <c r="C25" s="1">
        <v>1.7528908E7</v>
      </c>
      <c r="D25" s="1" t="s">
        <v>91</v>
      </c>
      <c r="E25" s="1" t="s">
        <v>96</v>
      </c>
      <c r="F25" s="1" t="s">
        <v>98</v>
      </c>
      <c r="G25" s="4">
        <v>45627.0</v>
      </c>
      <c r="H25" s="4">
        <v>46227.0</v>
      </c>
      <c r="I25" s="1" t="s">
        <v>19</v>
      </c>
      <c r="J25" s="1" t="s">
        <v>20</v>
      </c>
      <c r="K25" s="5">
        <v>29.41</v>
      </c>
    </row>
    <row r="26" ht="15.75" customHeight="1">
      <c r="A26" s="1" t="s">
        <v>50</v>
      </c>
      <c r="B26" s="1">
        <v>1.7528908E7</v>
      </c>
      <c r="C26" s="1">
        <v>1.7528908E7</v>
      </c>
      <c r="D26" s="1" t="s">
        <v>99</v>
      </c>
      <c r="E26" s="1" t="s">
        <v>100</v>
      </c>
      <c r="F26" s="1" t="s">
        <v>101</v>
      </c>
      <c r="G26" s="4">
        <v>45505.0</v>
      </c>
      <c r="H26" s="4">
        <v>46227.0</v>
      </c>
      <c r="I26" s="1" t="s">
        <v>19</v>
      </c>
      <c r="J26" s="1" t="s">
        <v>20</v>
      </c>
      <c r="K26" s="5">
        <v>29.41</v>
      </c>
    </row>
    <row r="27" ht="15.75" customHeight="1">
      <c r="A27" s="1" t="s">
        <v>50</v>
      </c>
      <c r="B27" s="1">
        <v>1.7528908E7</v>
      </c>
      <c r="C27" s="1">
        <v>1.7528908E7</v>
      </c>
      <c r="D27" s="1" t="s">
        <v>102</v>
      </c>
      <c r="E27" s="1" t="s">
        <v>103</v>
      </c>
      <c r="F27" s="1" t="s">
        <v>104</v>
      </c>
      <c r="G27" s="4">
        <v>45413.0</v>
      </c>
      <c r="H27" s="4">
        <v>46227.0</v>
      </c>
      <c r="I27" s="1" t="s">
        <v>19</v>
      </c>
      <c r="J27" s="1" t="s">
        <v>20</v>
      </c>
      <c r="K27" s="5">
        <v>29.41</v>
      </c>
    </row>
    <row r="28" ht="15.75" customHeight="1">
      <c r="A28" s="1" t="s">
        <v>50</v>
      </c>
      <c r="B28" s="1">
        <v>1.7528908E7</v>
      </c>
      <c r="C28" s="1">
        <v>1.7528908E7</v>
      </c>
      <c r="D28" s="1" t="s">
        <v>107</v>
      </c>
      <c r="E28" s="1" t="s">
        <v>108</v>
      </c>
      <c r="F28" s="1" t="s">
        <v>109</v>
      </c>
      <c r="G28" s="4">
        <v>45170.0</v>
      </c>
      <c r="H28" s="4">
        <v>46227.0</v>
      </c>
      <c r="I28" s="1" t="s">
        <v>19</v>
      </c>
      <c r="J28" s="1" t="s">
        <v>20</v>
      </c>
      <c r="K28" s="5">
        <v>29.41</v>
      </c>
    </row>
    <row r="29" ht="15.75" customHeight="1">
      <c r="A29" s="1" t="s">
        <v>50</v>
      </c>
      <c r="B29" s="1">
        <v>1.7528908E7</v>
      </c>
      <c r="C29" s="1">
        <v>1.7528908E7</v>
      </c>
      <c r="D29" s="1" t="s">
        <v>43</v>
      </c>
      <c r="E29" s="1" t="s">
        <v>108</v>
      </c>
      <c r="F29" s="1" t="s">
        <v>110</v>
      </c>
      <c r="G29" s="4">
        <v>45170.0</v>
      </c>
      <c r="H29" s="4">
        <v>46227.0</v>
      </c>
      <c r="I29" s="1" t="s">
        <v>19</v>
      </c>
      <c r="J29" s="1" t="s">
        <v>20</v>
      </c>
      <c r="K29" s="5">
        <v>29.41</v>
      </c>
    </row>
    <row r="30" ht="15.75" customHeight="1">
      <c r="A30" s="1" t="s">
        <v>50</v>
      </c>
      <c r="C30" s="1">
        <v>1.7528908E7</v>
      </c>
      <c r="D30" s="1" t="s">
        <v>111</v>
      </c>
      <c r="E30" s="1" t="s">
        <v>112</v>
      </c>
      <c r="F30" s="1" t="s">
        <v>113</v>
      </c>
      <c r="G30" s="4">
        <v>45931.0</v>
      </c>
      <c r="H30" s="4">
        <v>46227.0</v>
      </c>
      <c r="I30" s="1" t="s">
        <v>19</v>
      </c>
      <c r="J30" s="1" t="s">
        <v>20</v>
      </c>
      <c r="K30" s="5">
        <v>29.41</v>
      </c>
    </row>
    <row r="31" ht="15.75" customHeight="1">
      <c r="A31" s="1" t="s">
        <v>50</v>
      </c>
      <c r="B31" s="1">
        <v>1.7528908E7</v>
      </c>
      <c r="C31" s="1">
        <v>1.7528908E7</v>
      </c>
      <c r="D31" s="1" t="s">
        <v>115</v>
      </c>
      <c r="E31" s="1" t="s">
        <v>52</v>
      </c>
      <c r="F31" s="1" t="s">
        <v>117</v>
      </c>
      <c r="G31" s="4">
        <v>45658.0</v>
      </c>
      <c r="H31" s="4">
        <v>46227.0</v>
      </c>
      <c r="I31" s="1" t="s">
        <v>19</v>
      </c>
      <c r="J31" s="1" t="s">
        <v>20</v>
      </c>
      <c r="K31" s="5">
        <v>29.41</v>
      </c>
    </row>
    <row r="32" ht="15.75" customHeight="1">
      <c r="A32" s="1" t="s">
        <v>50</v>
      </c>
      <c r="B32" s="1">
        <v>1.7528908E7</v>
      </c>
      <c r="C32" s="1">
        <v>1.7528908E7</v>
      </c>
      <c r="D32" s="1" t="s">
        <v>119</v>
      </c>
      <c r="E32" s="1" t="s">
        <v>120</v>
      </c>
      <c r="F32" s="1" t="s">
        <v>121</v>
      </c>
      <c r="G32" s="4">
        <v>45778.0</v>
      </c>
      <c r="H32" s="4">
        <v>46227.0</v>
      </c>
      <c r="I32" s="1" t="s">
        <v>19</v>
      </c>
      <c r="J32" s="1" t="s">
        <v>20</v>
      </c>
      <c r="K32" s="5">
        <v>29.41</v>
      </c>
    </row>
    <row r="33" ht="15.75" customHeight="1">
      <c r="A33" s="1" t="s">
        <v>50</v>
      </c>
      <c r="B33" s="1">
        <v>1.7528908E7</v>
      </c>
      <c r="C33" s="1">
        <v>1.7528908E7</v>
      </c>
      <c r="D33" s="1" t="s">
        <v>122</v>
      </c>
      <c r="E33" s="1" t="s">
        <v>123</v>
      </c>
      <c r="F33" s="1" t="s">
        <v>125</v>
      </c>
      <c r="G33" s="4">
        <v>43831.0</v>
      </c>
      <c r="H33" s="4">
        <v>46227.0</v>
      </c>
      <c r="I33" s="1" t="s">
        <v>19</v>
      </c>
      <c r="J33" s="1" t="s">
        <v>20</v>
      </c>
      <c r="K33" s="5">
        <v>29.41</v>
      </c>
    </row>
    <row r="34" ht="15.75" customHeight="1">
      <c r="A34" s="1" t="s">
        <v>50</v>
      </c>
      <c r="B34" s="1">
        <v>1.7528908E7</v>
      </c>
      <c r="C34" s="1">
        <v>1.7528908E7</v>
      </c>
      <c r="D34" s="1" t="s">
        <v>128</v>
      </c>
      <c r="E34" s="1" t="s">
        <v>129</v>
      </c>
      <c r="F34" s="1" t="s">
        <v>130</v>
      </c>
      <c r="G34" s="4">
        <v>45536.0</v>
      </c>
      <c r="H34" s="4">
        <v>46227.0</v>
      </c>
      <c r="I34" s="1" t="s">
        <v>19</v>
      </c>
      <c r="J34" s="1" t="s">
        <v>20</v>
      </c>
      <c r="K34" s="5">
        <v>29.41</v>
      </c>
    </row>
    <row r="35" ht="15.75" customHeight="1">
      <c r="A35" s="1" t="s">
        <v>50</v>
      </c>
      <c r="B35" s="1">
        <v>1.7528908E7</v>
      </c>
      <c r="C35" s="1">
        <v>1.7528908E7</v>
      </c>
      <c r="D35" s="1" t="s">
        <v>131</v>
      </c>
      <c r="E35" s="1" t="s">
        <v>129</v>
      </c>
      <c r="F35" s="1" t="s">
        <v>132</v>
      </c>
      <c r="G35" s="4">
        <v>45536.0</v>
      </c>
      <c r="H35" s="4">
        <v>46227.0</v>
      </c>
      <c r="I35" s="1" t="s">
        <v>19</v>
      </c>
      <c r="J35" s="1" t="s">
        <v>20</v>
      </c>
      <c r="K35" s="5">
        <v>29.41</v>
      </c>
    </row>
    <row r="36" ht="15.75" customHeight="1">
      <c r="A36" s="1" t="s">
        <v>50</v>
      </c>
      <c r="B36" s="1">
        <v>1.7528908E7</v>
      </c>
      <c r="C36" s="1">
        <v>1.7528908E7</v>
      </c>
      <c r="D36" s="1" t="s">
        <v>133</v>
      </c>
      <c r="E36" s="1" t="s">
        <v>134</v>
      </c>
      <c r="F36" s="1" t="s">
        <v>135</v>
      </c>
      <c r="G36" s="4">
        <v>45689.0</v>
      </c>
      <c r="H36" s="4">
        <v>46227.0</v>
      </c>
      <c r="I36" s="1" t="s">
        <v>19</v>
      </c>
      <c r="J36" s="1" t="s">
        <v>20</v>
      </c>
      <c r="K36" s="5">
        <v>29.41</v>
      </c>
    </row>
    <row r="37" ht="15.75" customHeight="1">
      <c r="A37" s="1" t="s">
        <v>50</v>
      </c>
      <c r="B37" s="1">
        <v>1.7528908E7</v>
      </c>
      <c r="C37" s="1">
        <v>1.7528908E7</v>
      </c>
      <c r="D37" s="1" t="s">
        <v>136</v>
      </c>
      <c r="E37" s="1" t="s">
        <v>137</v>
      </c>
      <c r="F37" s="1" t="s">
        <v>138</v>
      </c>
      <c r="G37" s="4">
        <v>44531.0</v>
      </c>
      <c r="H37" s="4">
        <v>46227.0</v>
      </c>
      <c r="I37" s="1" t="s">
        <v>19</v>
      </c>
      <c r="J37" s="1" t="s">
        <v>20</v>
      </c>
      <c r="K37" s="5">
        <v>29.41</v>
      </c>
    </row>
    <row r="38" ht="15.75" customHeight="1">
      <c r="A38" s="1" t="s">
        <v>50</v>
      </c>
      <c r="B38" s="1">
        <v>1.7528908E7</v>
      </c>
      <c r="C38" s="1">
        <v>1.7528908E7</v>
      </c>
      <c r="D38" s="1" t="s">
        <v>25</v>
      </c>
      <c r="E38" s="1" t="s">
        <v>140</v>
      </c>
      <c r="F38" s="1" t="s">
        <v>141</v>
      </c>
      <c r="G38" s="4">
        <v>45292.0</v>
      </c>
      <c r="H38" s="4">
        <v>46227.0</v>
      </c>
      <c r="I38" s="1" t="s">
        <v>19</v>
      </c>
      <c r="J38" s="1" t="s">
        <v>20</v>
      </c>
      <c r="K38" s="5">
        <v>29.41</v>
      </c>
    </row>
    <row r="39" ht="15.75" customHeight="1">
      <c r="A39" s="1" t="s">
        <v>50</v>
      </c>
      <c r="B39" s="1">
        <v>1.7528908E7</v>
      </c>
      <c r="C39" s="1">
        <v>1.7528908E7</v>
      </c>
      <c r="D39" s="1" t="s">
        <v>47</v>
      </c>
      <c r="E39" s="1" t="s">
        <v>142</v>
      </c>
      <c r="F39" s="1" t="s">
        <v>143</v>
      </c>
      <c r="G39" s="4">
        <v>45292.0</v>
      </c>
      <c r="H39" s="4">
        <v>46227.0</v>
      </c>
      <c r="I39" s="1" t="s">
        <v>19</v>
      </c>
      <c r="J39" s="1" t="s">
        <v>20</v>
      </c>
      <c r="K39" s="5">
        <v>29.41</v>
      </c>
    </row>
    <row r="40" ht="15.75" customHeight="1">
      <c r="A40" s="1" t="s">
        <v>50</v>
      </c>
      <c r="B40" s="1">
        <v>1.7528908E7</v>
      </c>
      <c r="C40" s="1">
        <v>1.7528908E7</v>
      </c>
      <c r="D40" s="1" t="s">
        <v>144</v>
      </c>
      <c r="E40" s="1" t="s">
        <v>145</v>
      </c>
      <c r="F40" s="1" t="s">
        <v>146</v>
      </c>
      <c r="G40" s="4">
        <v>45717.0</v>
      </c>
      <c r="H40" s="4">
        <v>46227.0</v>
      </c>
      <c r="I40" s="1" t="s">
        <v>19</v>
      </c>
      <c r="J40" s="1" t="s">
        <v>20</v>
      </c>
      <c r="K40" s="5">
        <v>29.41</v>
      </c>
    </row>
    <row r="41" ht="15.75" customHeight="1">
      <c r="A41" s="1" t="s">
        <v>50</v>
      </c>
      <c r="B41" s="1">
        <v>1.7528908E7</v>
      </c>
      <c r="C41" s="1">
        <v>1.7528908E7</v>
      </c>
      <c r="D41" s="1" t="s">
        <v>82</v>
      </c>
      <c r="E41" s="1" t="s">
        <v>147</v>
      </c>
      <c r="F41" s="1" t="s">
        <v>148</v>
      </c>
      <c r="G41" s="4">
        <v>45717.0</v>
      </c>
      <c r="H41" s="4">
        <v>46227.0</v>
      </c>
      <c r="I41" s="1" t="s">
        <v>19</v>
      </c>
      <c r="J41" s="1" t="s">
        <v>20</v>
      </c>
      <c r="K41" s="5">
        <v>29.41</v>
      </c>
    </row>
    <row r="42" ht="15.75" customHeight="1">
      <c r="A42" s="1" t="s">
        <v>50</v>
      </c>
      <c r="B42" s="1">
        <v>1.7528908E7</v>
      </c>
      <c r="C42" s="1">
        <v>1.7528908E7</v>
      </c>
      <c r="D42" s="1" t="s">
        <v>149</v>
      </c>
      <c r="E42" s="1" t="s">
        <v>150</v>
      </c>
      <c r="F42" s="1" t="s">
        <v>151</v>
      </c>
      <c r="G42" s="4">
        <v>45139.0</v>
      </c>
      <c r="H42" s="4">
        <v>46227.0</v>
      </c>
      <c r="I42" s="1" t="s">
        <v>19</v>
      </c>
      <c r="J42" s="1" t="s">
        <v>20</v>
      </c>
      <c r="K42" s="5">
        <v>29.41</v>
      </c>
    </row>
    <row r="43" ht="15.75" customHeight="1">
      <c r="A43" s="1" t="s">
        <v>50</v>
      </c>
      <c r="B43" s="1">
        <v>1.7528908E7</v>
      </c>
      <c r="C43" s="1">
        <v>1.7528908E7</v>
      </c>
      <c r="D43" s="1" t="s">
        <v>152</v>
      </c>
      <c r="E43" s="1" t="s">
        <v>153</v>
      </c>
      <c r="F43" s="1" t="s">
        <v>154</v>
      </c>
      <c r="G43" s="4">
        <v>45383.0</v>
      </c>
      <c r="H43" s="4">
        <v>46227.0</v>
      </c>
      <c r="I43" s="1" t="s">
        <v>19</v>
      </c>
      <c r="J43" s="1" t="s">
        <v>20</v>
      </c>
      <c r="K43" s="5">
        <v>29.41</v>
      </c>
    </row>
    <row r="44" ht="15.75" customHeight="1">
      <c r="A44" s="1" t="s">
        <v>50</v>
      </c>
      <c r="B44" s="1">
        <v>1.7528908E7</v>
      </c>
      <c r="C44" s="1">
        <v>1.7528908E7</v>
      </c>
      <c r="D44" s="1" t="s">
        <v>155</v>
      </c>
      <c r="E44" s="1" t="s">
        <v>153</v>
      </c>
      <c r="F44" s="1" t="s">
        <v>156</v>
      </c>
      <c r="G44" s="4">
        <v>45292.0</v>
      </c>
      <c r="H44" s="4">
        <v>46227.0</v>
      </c>
      <c r="I44" s="1" t="s">
        <v>19</v>
      </c>
      <c r="J44" s="1" t="s">
        <v>20</v>
      </c>
      <c r="K44" s="5">
        <v>29.41</v>
      </c>
    </row>
    <row r="45" ht="15.75" customHeight="1">
      <c r="A45" s="1" t="s">
        <v>50</v>
      </c>
      <c r="B45" s="1">
        <v>1.7528908E7</v>
      </c>
      <c r="C45" s="1">
        <v>1.7528908E7</v>
      </c>
      <c r="D45" s="1" t="s">
        <v>57</v>
      </c>
      <c r="E45" s="1" t="s">
        <v>157</v>
      </c>
      <c r="F45" s="1" t="s">
        <v>158</v>
      </c>
      <c r="G45" s="4">
        <v>45444.0</v>
      </c>
      <c r="H45" s="4">
        <v>46227.0</v>
      </c>
      <c r="I45" s="1" t="s">
        <v>19</v>
      </c>
      <c r="J45" s="1" t="s">
        <v>20</v>
      </c>
      <c r="K45" s="5">
        <v>29.41</v>
      </c>
    </row>
    <row r="46" ht="15.75" customHeight="1">
      <c r="A46" s="1" t="s">
        <v>50</v>
      </c>
      <c r="B46" s="1">
        <v>1.7528908E7</v>
      </c>
      <c r="C46" s="1">
        <v>1.7528908E7</v>
      </c>
      <c r="D46" s="1" t="s">
        <v>160</v>
      </c>
      <c r="E46" s="1" t="s">
        <v>161</v>
      </c>
      <c r="F46" s="1" t="s">
        <v>162</v>
      </c>
      <c r="G46" s="4">
        <v>45108.0</v>
      </c>
      <c r="H46" s="4">
        <v>46227.0</v>
      </c>
      <c r="I46" s="1" t="s">
        <v>19</v>
      </c>
      <c r="J46" s="1" t="s">
        <v>20</v>
      </c>
      <c r="K46" s="5">
        <v>29.41</v>
      </c>
    </row>
    <row r="47" ht="15.75" customHeight="1">
      <c r="A47" s="1" t="s">
        <v>50</v>
      </c>
      <c r="B47" s="1">
        <v>1.7528908E7</v>
      </c>
      <c r="C47" s="1">
        <v>1.7528908E7</v>
      </c>
      <c r="D47" s="1" t="s">
        <v>165</v>
      </c>
      <c r="E47" s="1" t="s">
        <v>166</v>
      </c>
      <c r="F47" s="1" t="s">
        <v>167</v>
      </c>
      <c r="G47" s="4">
        <v>45383.0</v>
      </c>
      <c r="H47" s="4">
        <v>46227.0</v>
      </c>
      <c r="I47" s="1" t="s">
        <v>19</v>
      </c>
      <c r="J47" s="1" t="s">
        <v>20</v>
      </c>
      <c r="K47" s="5">
        <v>29.41</v>
      </c>
    </row>
    <row r="48" ht="15.75" customHeight="1">
      <c r="A48" s="1" t="s">
        <v>50</v>
      </c>
      <c r="B48" s="1">
        <v>1.7528908E7</v>
      </c>
      <c r="C48" s="1">
        <v>1.7528908E7</v>
      </c>
      <c r="D48" s="1" t="s">
        <v>168</v>
      </c>
      <c r="E48" s="1" t="s">
        <v>169</v>
      </c>
      <c r="F48" s="1" t="s">
        <v>170</v>
      </c>
      <c r="G48" s="4">
        <v>45717.0</v>
      </c>
      <c r="H48" s="4">
        <v>46227.0</v>
      </c>
      <c r="I48" s="1" t="s">
        <v>19</v>
      </c>
      <c r="J48" s="1" t="s">
        <v>20</v>
      </c>
      <c r="K48" s="5">
        <v>29.41</v>
      </c>
    </row>
    <row r="49" ht="15.75" customHeight="1">
      <c r="A49" s="1" t="s">
        <v>50</v>
      </c>
      <c r="C49" s="1">
        <v>1.7528908E7</v>
      </c>
      <c r="D49" s="1" t="s">
        <v>173</v>
      </c>
      <c r="E49" s="1" t="s">
        <v>174</v>
      </c>
      <c r="F49" s="1" t="s">
        <v>175</v>
      </c>
      <c r="G49" s="4">
        <v>45931.0</v>
      </c>
      <c r="H49" s="4">
        <v>46227.0</v>
      </c>
      <c r="I49" s="1" t="s">
        <v>19</v>
      </c>
      <c r="J49" s="1" t="s">
        <v>20</v>
      </c>
      <c r="K49" s="5">
        <v>29.41</v>
      </c>
    </row>
    <row r="50" ht="15.75" customHeight="1">
      <c r="A50" s="1" t="s">
        <v>50</v>
      </c>
      <c r="C50" s="1">
        <v>1.7528908E7</v>
      </c>
      <c r="D50" s="1" t="s">
        <v>176</v>
      </c>
      <c r="E50" s="1" t="s">
        <v>174</v>
      </c>
      <c r="F50" s="1" t="s">
        <v>177</v>
      </c>
      <c r="G50" s="4">
        <v>45931.0</v>
      </c>
      <c r="H50" s="4">
        <v>46227.0</v>
      </c>
      <c r="I50" s="1" t="s">
        <v>19</v>
      </c>
      <c r="J50" s="1" t="s">
        <v>20</v>
      </c>
      <c r="K50" s="5">
        <v>29.41</v>
      </c>
    </row>
    <row r="51" ht="15.75" customHeight="1">
      <c r="A51" s="1" t="s">
        <v>50</v>
      </c>
      <c r="B51" s="1">
        <v>1.7528908E7</v>
      </c>
      <c r="C51" s="1">
        <v>1.7528908E7</v>
      </c>
      <c r="D51" s="1" t="s">
        <v>178</v>
      </c>
      <c r="E51" s="1" t="s">
        <v>179</v>
      </c>
      <c r="F51" s="1" t="s">
        <v>180</v>
      </c>
      <c r="G51" s="4">
        <v>45292.0</v>
      </c>
      <c r="H51" s="4">
        <v>46227.0</v>
      </c>
      <c r="I51" s="1" t="s">
        <v>19</v>
      </c>
      <c r="J51" s="1" t="s">
        <v>20</v>
      </c>
      <c r="K51" s="5">
        <v>29.41</v>
      </c>
    </row>
    <row r="52" ht="15.75" customHeight="1">
      <c r="A52" s="1" t="s">
        <v>50</v>
      </c>
      <c r="B52" s="1">
        <v>1.7528908E7</v>
      </c>
      <c r="C52" s="1">
        <v>1.7528908E7</v>
      </c>
      <c r="D52" s="1" t="s">
        <v>181</v>
      </c>
      <c r="E52" s="1" t="s">
        <v>182</v>
      </c>
      <c r="F52" s="1" t="s">
        <v>183</v>
      </c>
      <c r="G52" s="4">
        <v>45658.0</v>
      </c>
      <c r="H52" s="4">
        <v>46227.0</v>
      </c>
      <c r="I52" s="1" t="s">
        <v>19</v>
      </c>
      <c r="J52" s="1" t="s">
        <v>20</v>
      </c>
      <c r="K52" s="5">
        <v>29.41</v>
      </c>
    </row>
    <row r="53" ht="15.75" customHeight="1">
      <c r="A53" s="1" t="s">
        <v>50</v>
      </c>
      <c r="B53" s="1">
        <v>1.7528908E7</v>
      </c>
      <c r="C53" s="1">
        <v>1.7528908E7</v>
      </c>
      <c r="D53" s="1" t="s">
        <v>186</v>
      </c>
      <c r="E53" s="1" t="s">
        <v>182</v>
      </c>
      <c r="F53" s="1" t="s">
        <v>187</v>
      </c>
      <c r="G53" s="4">
        <v>45658.0</v>
      </c>
      <c r="H53" s="4">
        <v>46227.0</v>
      </c>
      <c r="I53" s="1" t="s">
        <v>19</v>
      </c>
      <c r="J53" s="1" t="s">
        <v>20</v>
      </c>
      <c r="K53" s="5">
        <v>29.41</v>
      </c>
    </row>
    <row r="54" ht="15.75" customHeight="1">
      <c r="A54" s="1" t="s">
        <v>50</v>
      </c>
      <c r="B54" s="1">
        <v>1.7528908E7</v>
      </c>
      <c r="C54" s="1">
        <v>1.7528908E7</v>
      </c>
      <c r="D54" s="1" t="s">
        <v>188</v>
      </c>
      <c r="E54" s="1" t="s">
        <v>189</v>
      </c>
      <c r="F54" s="1" t="s">
        <v>190</v>
      </c>
      <c r="G54" s="4">
        <v>45536.0</v>
      </c>
      <c r="H54" s="4">
        <v>46227.0</v>
      </c>
      <c r="I54" s="1" t="s">
        <v>19</v>
      </c>
      <c r="J54" s="1" t="s">
        <v>20</v>
      </c>
      <c r="K54" s="5">
        <v>29.41</v>
      </c>
    </row>
    <row r="55" ht="15.75" customHeight="1">
      <c r="A55" s="1" t="s">
        <v>50</v>
      </c>
      <c r="B55" s="1">
        <v>1.7528908E7</v>
      </c>
      <c r="C55" s="1">
        <v>1.7528908E7</v>
      </c>
      <c r="D55" s="1" t="s">
        <v>192</v>
      </c>
      <c r="E55" s="1" t="s">
        <v>193</v>
      </c>
      <c r="F55" s="1" t="s">
        <v>194</v>
      </c>
      <c r="G55" s="4">
        <v>45839.0</v>
      </c>
      <c r="H55" s="4">
        <v>46227.0</v>
      </c>
      <c r="I55" s="1" t="s">
        <v>19</v>
      </c>
      <c r="J55" s="1" t="s">
        <v>20</v>
      </c>
      <c r="K55" s="5">
        <v>29.41</v>
      </c>
    </row>
    <row r="56" ht="15.75" customHeight="1">
      <c r="A56" s="1" t="s">
        <v>50</v>
      </c>
      <c r="B56" s="1">
        <v>1.7528908E7</v>
      </c>
      <c r="C56" s="1">
        <v>1.7528908E7</v>
      </c>
      <c r="D56" s="1" t="s">
        <v>72</v>
      </c>
      <c r="E56" s="1" t="s">
        <v>193</v>
      </c>
      <c r="F56" s="1" t="s">
        <v>195</v>
      </c>
      <c r="G56" s="4">
        <v>45809.0</v>
      </c>
      <c r="H56" s="4">
        <v>46227.0</v>
      </c>
      <c r="I56" s="1" t="s">
        <v>19</v>
      </c>
      <c r="J56" s="1" t="s">
        <v>20</v>
      </c>
      <c r="K56" s="5">
        <v>29.41</v>
      </c>
    </row>
    <row r="57" ht="15.75" customHeight="1">
      <c r="A57" s="1" t="s">
        <v>50</v>
      </c>
      <c r="B57" s="1">
        <v>1.7528908E7</v>
      </c>
      <c r="C57" s="1">
        <v>1.7528908E7</v>
      </c>
      <c r="D57" s="1" t="s">
        <v>196</v>
      </c>
      <c r="E57" s="1" t="s">
        <v>197</v>
      </c>
      <c r="F57" s="1" t="s">
        <v>198</v>
      </c>
      <c r="G57" s="4">
        <v>45809.0</v>
      </c>
      <c r="H57" s="4">
        <v>46227.0</v>
      </c>
      <c r="I57" s="1" t="s">
        <v>19</v>
      </c>
      <c r="J57" s="1" t="s">
        <v>20</v>
      </c>
      <c r="K57" s="5">
        <v>29.41</v>
      </c>
    </row>
    <row r="58" ht="15.75" customHeight="1">
      <c r="A58" s="1" t="s">
        <v>50</v>
      </c>
      <c r="B58" s="1">
        <v>1.7528908E7</v>
      </c>
      <c r="C58" s="1">
        <v>1.7528908E7</v>
      </c>
      <c r="D58" s="1" t="s">
        <v>199</v>
      </c>
      <c r="E58" s="1" t="s">
        <v>200</v>
      </c>
      <c r="F58" s="1" t="s">
        <v>201</v>
      </c>
      <c r="G58" s="4">
        <v>45748.0</v>
      </c>
      <c r="H58" s="4">
        <v>46227.0</v>
      </c>
      <c r="I58" s="1" t="s">
        <v>19</v>
      </c>
      <c r="J58" s="1" t="s">
        <v>20</v>
      </c>
      <c r="K58" s="5">
        <v>29.41</v>
      </c>
    </row>
    <row r="59" ht="15.75" customHeight="1">
      <c r="A59" s="1" t="s">
        <v>50</v>
      </c>
      <c r="B59" s="1">
        <v>1.7528908E7</v>
      </c>
      <c r="C59" s="1">
        <v>1.7528908E7</v>
      </c>
      <c r="D59" s="1" t="s">
        <v>204</v>
      </c>
      <c r="E59" s="1" t="s">
        <v>200</v>
      </c>
      <c r="F59" s="1" t="s">
        <v>205</v>
      </c>
      <c r="G59" s="4">
        <v>45689.0</v>
      </c>
      <c r="H59" s="4">
        <v>46227.0</v>
      </c>
      <c r="I59" s="1" t="s">
        <v>19</v>
      </c>
      <c r="J59" s="1" t="s">
        <v>20</v>
      </c>
      <c r="K59" s="5">
        <v>29.41</v>
      </c>
    </row>
    <row r="60" ht="15.75" customHeight="1">
      <c r="A60" s="1" t="s">
        <v>50</v>
      </c>
      <c r="B60" s="1">
        <v>1.7528908E7</v>
      </c>
      <c r="C60" s="1">
        <v>1.7528908E7</v>
      </c>
      <c r="D60" s="1" t="s">
        <v>206</v>
      </c>
      <c r="E60" s="1" t="s">
        <v>207</v>
      </c>
      <c r="F60" s="1" t="s">
        <v>208</v>
      </c>
      <c r="G60" s="4">
        <v>45658.0</v>
      </c>
      <c r="H60" s="4">
        <v>46227.0</v>
      </c>
      <c r="I60" s="1" t="s">
        <v>19</v>
      </c>
      <c r="J60" s="1" t="s">
        <v>20</v>
      </c>
      <c r="K60" s="5">
        <v>29.41</v>
      </c>
    </row>
    <row r="61" ht="15.75" customHeight="1">
      <c r="A61" s="1" t="s">
        <v>50</v>
      </c>
      <c r="B61" s="1">
        <v>1.7528908E7</v>
      </c>
      <c r="C61" s="1">
        <v>1.7528908E7</v>
      </c>
      <c r="D61" s="1" t="s">
        <v>51</v>
      </c>
      <c r="E61" s="1" t="s">
        <v>207</v>
      </c>
      <c r="F61" s="1" t="s">
        <v>209</v>
      </c>
      <c r="G61" s="4">
        <v>45658.0</v>
      </c>
      <c r="H61" s="4">
        <v>46227.0</v>
      </c>
      <c r="I61" s="1" t="s">
        <v>19</v>
      </c>
      <c r="J61" s="1" t="s">
        <v>20</v>
      </c>
      <c r="K61" s="5">
        <v>29.41</v>
      </c>
    </row>
    <row r="62" ht="15.75" customHeight="1">
      <c r="A62" s="1" t="s">
        <v>50</v>
      </c>
      <c r="B62" s="1">
        <v>1.7528908E7</v>
      </c>
      <c r="C62" s="1">
        <v>1.7528908E7</v>
      </c>
      <c r="D62" s="1" t="s">
        <v>72</v>
      </c>
      <c r="E62" s="1" t="s">
        <v>210</v>
      </c>
      <c r="F62" s="1" t="s">
        <v>211</v>
      </c>
      <c r="G62" s="4">
        <v>45078.0</v>
      </c>
      <c r="H62" s="4">
        <v>46227.0</v>
      </c>
      <c r="I62" s="1" t="s">
        <v>19</v>
      </c>
      <c r="J62" s="1" t="s">
        <v>20</v>
      </c>
      <c r="K62" s="5">
        <v>29.41</v>
      </c>
    </row>
    <row r="63" ht="15.75" customHeight="1">
      <c r="A63" s="1" t="s">
        <v>50</v>
      </c>
      <c r="B63" s="1">
        <v>1.7528908E7</v>
      </c>
      <c r="C63" s="1">
        <v>1.7528908E7</v>
      </c>
      <c r="D63" s="1" t="s">
        <v>212</v>
      </c>
      <c r="E63" s="1" t="s">
        <v>213</v>
      </c>
      <c r="F63" s="1" t="s">
        <v>214</v>
      </c>
      <c r="G63" s="4">
        <v>45689.0</v>
      </c>
      <c r="H63" s="4">
        <v>46227.0</v>
      </c>
      <c r="I63" s="1" t="s">
        <v>19</v>
      </c>
      <c r="J63" s="1" t="s">
        <v>20</v>
      </c>
      <c r="K63" s="5">
        <v>29.41</v>
      </c>
    </row>
    <row r="64" ht="15.75" customHeight="1">
      <c r="A64" s="1" t="s">
        <v>50</v>
      </c>
      <c r="B64" s="1">
        <v>1.7528908E7</v>
      </c>
      <c r="C64" s="1">
        <v>1.7528908E7</v>
      </c>
      <c r="D64" s="1" t="s">
        <v>69</v>
      </c>
      <c r="E64" s="1" t="s">
        <v>213</v>
      </c>
      <c r="F64" s="1" t="s">
        <v>215</v>
      </c>
      <c r="G64" s="4">
        <v>45689.0</v>
      </c>
      <c r="H64" s="4">
        <v>46227.0</v>
      </c>
      <c r="I64" s="1" t="s">
        <v>19</v>
      </c>
      <c r="J64" s="1" t="s">
        <v>20</v>
      </c>
      <c r="K64" s="5">
        <v>29.41</v>
      </c>
    </row>
    <row r="65" ht="15.75" customHeight="1">
      <c r="A65" s="1" t="s">
        <v>50</v>
      </c>
      <c r="B65" s="1">
        <v>1.7528908E7</v>
      </c>
      <c r="C65" s="1">
        <v>1.7528908E7</v>
      </c>
      <c r="D65" s="1" t="s">
        <v>218</v>
      </c>
      <c r="E65" s="1" t="s">
        <v>219</v>
      </c>
      <c r="F65" s="1" t="s">
        <v>220</v>
      </c>
      <c r="G65" s="4">
        <v>45597.0</v>
      </c>
      <c r="H65" s="4">
        <v>46227.0</v>
      </c>
      <c r="I65" s="1" t="s">
        <v>19</v>
      </c>
      <c r="J65" s="1" t="s">
        <v>20</v>
      </c>
      <c r="K65" s="5">
        <v>29.41</v>
      </c>
    </row>
    <row r="66" ht="15.75" customHeight="1">
      <c r="A66" s="1" t="s">
        <v>50</v>
      </c>
      <c r="C66" s="1">
        <v>1.7528908E7</v>
      </c>
      <c r="D66" s="1" t="s">
        <v>221</v>
      </c>
      <c r="E66" s="1" t="s">
        <v>222</v>
      </c>
      <c r="F66" s="1" t="s">
        <v>223</v>
      </c>
      <c r="G66" s="4">
        <v>45962.0</v>
      </c>
      <c r="H66" s="4">
        <v>46227.0</v>
      </c>
      <c r="I66" s="1" t="s">
        <v>19</v>
      </c>
      <c r="J66" s="1" t="s">
        <v>20</v>
      </c>
      <c r="K66" s="5">
        <v>29.41</v>
      </c>
    </row>
    <row r="67" ht="15.75" customHeight="1">
      <c r="A67" s="1" t="s">
        <v>50</v>
      </c>
      <c r="B67" s="1">
        <v>1.7528908E7</v>
      </c>
      <c r="C67" s="1">
        <v>1.7528908E7</v>
      </c>
      <c r="D67" s="1" t="s">
        <v>43</v>
      </c>
      <c r="E67" s="1" t="s">
        <v>224</v>
      </c>
      <c r="F67" s="1" t="s">
        <v>225</v>
      </c>
      <c r="G67" s="4">
        <v>45658.0</v>
      </c>
      <c r="H67" s="4">
        <v>46227.0</v>
      </c>
      <c r="I67" s="1" t="s">
        <v>19</v>
      </c>
      <c r="J67" s="1" t="s">
        <v>20</v>
      </c>
      <c r="K67" s="5">
        <v>29.41</v>
      </c>
    </row>
    <row r="68" ht="15.75" customHeight="1">
      <c r="A68" s="1" t="s">
        <v>50</v>
      </c>
      <c r="B68" s="1">
        <v>1.7528908E7</v>
      </c>
      <c r="C68" s="1">
        <v>1.7528908E7</v>
      </c>
      <c r="D68" s="1" t="s">
        <v>25</v>
      </c>
      <c r="E68" s="1" t="s">
        <v>224</v>
      </c>
      <c r="F68" s="1" t="s">
        <v>226</v>
      </c>
      <c r="G68" s="4">
        <v>45658.0</v>
      </c>
      <c r="H68" s="4">
        <v>46227.0</v>
      </c>
      <c r="I68" s="1" t="s">
        <v>19</v>
      </c>
      <c r="J68" s="1" t="s">
        <v>20</v>
      </c>
      <c r="K68" s="5">
        <v>29.41</v>
      </c>
    </row>
    <row r="69" ht="15.75" customHeight="1">
      <c r="A69" s="1" t="s">
        <v>50</v>
      </c>
      <c r="B69" s="1">
        <v>1.7528908E7</v>
      </c>
      <c r="C69" s="1">
        <v>1.7528908E7</v>
      </c>
      <c r="D69" s="1" t="s">
        <v>227</v>
      </c>
      <c r="E69" s="1" t="s">
        <v>228</v>
      </c>
      <c r="F69" s="1" t="s">
        <v>229</v>
      </c>
      <c r="G69" s="4">
        <v>45717.0</v>
      </c>
      <c r="H69" s="4">
        <v>46227.0</v>
      </c>
      <c r="I69" s="1" t="s">
        <v>19</v>
      </c>
      <c r="J69" s="1" t="s">
        <v>20</v>
      </c>
      <c r="K69" s="5">
        <v>29.41</v>
      </c>
    </row>
    <row r="70" ht="15.75" customHeight="1">
      <c r="A70" s="1" t="s">
        <v>50</v>
      </c>
      <c r="B70" s="1">
        <v>1.7528908E7</v>
      </c>
      <c r="C70" s="1">
        <v>1.7528908E7</v>
      </c>
      <c r="D70" s="1" t="s">
        <v>230</v>
      </c>
      <c r="E70" s="1" t="s">
        <v>217</v>
      </c>
      <c r="F70" s="1" t="s">
        <v>231</v>
      </c>
      <c r="G70" s="4">
        <v>45748.0</v>
      </c>
      <c r="H70" s="4">
        <v>46227.0</v>
      </c>
      <c r="I70" s="1" t="s">
        <v>19</v>
      </c>
      <c r="J70" s="1" t="s">
        <v>20</v>
      </c>
      <c r="K70" s="5">
        <v>29.41</v>
      </c>
    </row>
    <row r="71" ht="15.75" customHeight="1">
      <c r="A71" s="1" t="s">
        <v>50</v>
      </c>
      <c r="B71" s="1">
        <v>1.7528908E7</v>
      </c>
      <c r="C71" s="1">
        <v>1.7528908E7</v>
      </c>
      <c r="D71" s="1" t="s">
        <v>232</v>
      </c>
      <c r="E71" s="1" t="s">
        <v>233</v>
      </c>
      <c r="F71" s="1" t="s">
        <v>234</v>
      </c>
      <c r="G71" s="4">
        <v>45261.0</v>
      </c>
      <c r="H71" s="4">
        <v>46227.0</v>
      </c>
      <c r="I71" s="1" t="s">
        <v>19</v>
      </c>
      <c r="J71" s="1" t="s">
        <v>20</v>
      </c>
      <c r="K71" s="5">
        <v>29.41</v>
      </c>
    </row>
    <row r="72" ht="15.75" customHeight="1">
      <c r="A72" s="1" t="s">
        <v>50</v>
      </c>
      <c r="B72" s="1">
        <v>1.7528908E7</v>
      </c>
      <c r="C72" s="1">
        <v>1.7528908E7</v>
      </c>
      <c r="D72" s="1" t="s">
        <v>236</v>
      </c>
      <c r="E72" s="1" t="s">
        <v>233</v>
      </c>
      <c r="F72" s="1" t="s">
        <v>237</v>
      </c>
      <c r="G72" s="4">
        <v>45292.0</v>
      </c>
      <c r="H72" s="4">
        <v>46227.0</v>
      </c>
      <c r="I72" s="1" t="s">
        <v>19</v>
      </c>
      <c r="J72" s="1" t="s">
        <v>20</v>
      </c>
      <c r="K72" s="5">
        <v>29.41</v>
      </c>
    </row>
    <row r="73" ht="15.75" customHeight="1">
      <c r="A73" s="1" t="s">
        <v>50</v>
      </c>
      <c r="B73" s="1">
        <v>1.7528908E7</v>
      </c>
      <c r="C73" s="1">
        <v>1.7528908E7</v>
      </c>
      <c r="D73" s="1" t="s">
        <v>40</v>
      </c>
      <c r="E73" s="1" t="s">
        <v>192</v>
      </c>
      <c r="F73" s="1" t="s">
        <v>238</v>
      </c>
      <c r="G73" s="4">
        <v>45474.0</v>
      </c>
      <c r="H73" s="4">
        <v>46227.0</v>
      </c>
      <c r="I73" s="1" t="s">
        <v>19</v>
      </c>
      <c r="J73" s="1" t="s">
        <v>20</v>
      </c>
      <c r="K73" s="5">
        <v>29.41</v>
      </c>
    </row>
    <row r="74" ht="15.75" customHeight="1">
      <c r="A74" s="1" t="s">
        <v>50</v>
      </c>
      <c r="B74" s="1">
        <v>1.7528908E7</v>
      </c>
      <c r="C74" s="1">
        <v>1.7528908E7</v>
      </c>
      <c r="D74" s="1" t="s">
        <v>240</v>
      </c>
      <c r="E74" s="1" t="s">
        <v>241</v>
      </c>
      <c r="F74" s="1" t="s">
        <v>242</v>
      </c>
      <c r="G74" s="4">
        <v>45261.0</v>
      </c>
      <c r="H74" s="4">
        <v>46227.0</v>
      </c>
      <c r="I74" s="1" t="s">
        <v>19</v>
      </c>
      <c r="J74" s="1" t="s">
        <v>20</v>
      </c>
      <c r="K74" s="5">
        <v>29.41</v>
      </c>
    </row>
    <row r="75" ht="15.75" customHeight="1">
      <c r="A75" s="1" t="s">
        <v>50</v>
      </c>
      <c r="B75" s="1">
        <v>1.7528908E7</v>
      </c>
      <c r="C75" s="1">
        <v>1.7528908E7</v>
      </c>
      <c r="D75" s="1" t="s">
        <v>25</v>
      </c>
      <c r="E75" s="1" t="s">
        <v>243</v>
      </c>
      <c r="F75" s="1" t="s">
        <v>244</v>
      </c>
      <c r="G75" s="4">
        <v>45505.0</v>
      </c>
      <c r="H75" s="4">
        <v>46227.0</v>
      </c>
      <c r="I75" s="1" t="s">
        <v>19</v>
      </c>
      <c r="J75" s="1" t="s">
        <v>20</v>
      </c>
      <c r="K75" s="5">
        <v>29.41</v>
      </c>
    </row>
    <row r="76" ht="15.75" customHeight="1">
      <c r="A76" s="1" t="s">
        <v>50</v>
      </c>
      <c r="B76" s="1">
        <v>1.7528908E7</v>
      </c>
      <c r="C76" s="1">
        <v>1.7528908E7</v>
      </c>
      <c r="D76" s="1" t="s">
        <v>245</v>
      </c>
      <c r="E76" s="1" t="s">
        <v>246</v>
      </c>
      <c r="F76" s="1" t="s">
        <v>247</v>
      </c>
      <c r="G76" s="4">
        <v>45658.0</v>
      </c>
      <c r="H76" s="4">
        <v>46227.0</v>
      </c>
      <c r="I76" s="1" t="s">
        <v>19</v>
      </c>
      <c r="J76" s="1" t="s">
        <v>20</v>
      </c>
      <c r="K76" s="5">
        <v>29.41</v>
      </c>
    </row>
    <row r="77" ht="15.75" customHeight="1">
      <c r="A77" s="1" t="s">
        <v>50</v>
      </c>
      <c r="B77" s="1">
        <v>1.7528908E7</v>
      </c>
      <c r="C77" s="1">
        <v>1.7528908E7</v>
      </c>
      <c r="D77" s="1" t="s">
        <v>248</v>
      </c>
      <c r="E77" s="1" t="s">
        <v>249</v>
      </c>
      <c r="F77" s="1" t="s">
        <v>250</v>
      </c>
      <c r="G77" s="4">
        <v>45413.0</v>
      </c>
      <c r="H77" s="4">
        <v>46227.0</v>
      </c>
      <c r="I77" s="1" t="s">
        <v>19</v>
      </c>
      <c r="J77" s="1" t="s">
        <v>20</v>
      </c>
      <c r="K77" s="5">
        <v>29.41</v>
      </c>
    </row>
    <row r="78" ht="15.75" customHeight="1">
      <c r="A78" s="1" t="s">
        <v>50</v>
      </c>
      <c r="C78" s="1">
        <v>1.7528908E7</v>
      </c>
      <c r="D78" s="1" t="s">
        <v>139</v>
      </c>
      <c r="E78" s="1" t="s">
        <v>251</v>
      </c>
      <c r="F78" s="1" t="s">
        <v>252</v>
      </c>
      <c r="G78" s="4">
        <v>45901.0</v>
      </c>
      <c r="H78" s="4">
        <v>46227.0</v>
      </c>
      <c r="I78" s="1" t="s">
        <v>19</v>
      </c>
      <c r="J78" s="1" t="s">
        <v>20</v>
      </c>
      <c r="K78" s="5">
        <v>29.41</v>
      </c>
    </row>
    <row r="79" ht="15.75" customHeight="1">
      <c r="A79" s="1" t="s">
        <v>50</v>
      </c>
      <c r="B79" s="1">
        <v>1.7528908E7</v>
      </c>
      <c r="C79" s="1">
        <v>1.7528908E7</v>
      </c>
      <c r="D79" s="1" t="s">
        <v>254</v>
      </c>
      <c r="E79" s="1" t="s">
        <v>255</v>
      </c>
      <c r="F79" s="1" t="s">
        <v>256</v>
      </c>
      <c r="G79" s="4">
        <v>45292.0</v>
      </c>
      <c r="H79" s="4">
        <v>46227.0</v>
      </c>
      <c r="I79" s="1" t="s">
        <v>19</v>
      </c>
      <c r="J79" s="1" t="s">
        <v>20</v>
      </c>
      <c r="K79" s="5">
        <v>29.41</v>
      </c>
    </row>
    <row r="80" ht="15.75" customHeight="1">
      <c r="A80" s="1" t="s">
        <v>50</v>
      </c>
      <c r="B80" s="1">
        <v>1.7528908E7</v>
      </c>
      <c r="C80" s="1">
        <v>1.7528908E7</v>
      </c>
      <c r="D80" s="1" t="s">
        <v>82</v>
      </c>
      <c r="E80" s="1" t="s">
        <v>257</v>
      </c>
      <c r="F80" s="1" t="s">
        <v>187</v>
      </c>
      <c r="G80" s="4">
        <v>45748.0</v>
      </c>
      <c r="H80" s="4">
        <v>46227.0</v>
      </c>
      <c r="I80" s="1" t="s">
        <v>19</v>
      </c>
      <c r="J80" s="1" t="s">
        <v>20</v>
      </c>
      <c r="K80" s="5">
        <v>29.41</v>
      </c>
    </row>
    <row r="81" ht="15.75" customHeight="1">
      <c r="A81" s="1" t="s">
        <v>50</v>
      </c>
      <c r="B81" s="1">
        <v>1.7528908E7</v>
      </c>
      <c r="C81" s="1">
        <v>1.7528908E7</v>
      </c>
      <c r="D81" s="1" t="s">
        <v>131</v>
      </c>
      <c r="E81" s="1" t="s">
        <v>258</v>
      </c>
      <c r="F81" s="1" t="s">
        <v>259</v>
      </c>
      <c r="G81" s="4">
        <v>45689.0</v>
      </c>
      <c r="H81" s="4">
        <v>46227.0</v>
      </c>
      <c r="I81" s="1" t="s">
        <v>19</v>
      </c>
      <c r="J81" s="1" t="s">
        <v>20</v>
      </c>
      <c r="K81" s="5">
        <v>29.41</v>
      </c>
    </row>
    <row r="82" ht="15.75" customHeight="1">
      <c r="A82" s="1" t="s">
        <v>50</v>
      </c>
      <c r="B82" s="1">
        <v>1.7528908E7</v>
      </c>
      <c r="C82" s="1">
        <v>1.7528908E7</v>
      </c>
      <c r="D82" s="1" t="s">
        <v>260</v>
      </c>
      <c r="E82" s="1" t="s">
        <v>261</v>
      </c>
      <c r="F82" s="1" t="s">
        <v>262</v>
      </c>
      <c r="G82" s="4">
        <v>44713.0</v>
      </c>
      <c r="H82" s="4">
        <v>46227.0</v>
      </c>
      <c r="I82" s="1" t="s">
        <v>19</v>
      </c>
      <c r="J82" s="1" t="s">
        <v>20</v>
      </c>
      <c r="K82" s="5">
        <v>29.41</v>
      </c>
    </row>
    <row r="83" ht="15.75" customHeight="1">
      <c r="A83" s="1" t="s">
        <v>50</v>
      </c>
      <c r="B83" s="1">
        <v>1.7528908E7</v>
      </c>
      <c r="C83" s="1">
        <v>1.7528908E7</v>
      </c>
      <c r="D83" s="1" t="s">
        <v>139</v>
      </c>
      <c r="E83" s="1" t="s">
        <v>263</v>
      </c>
      <c r="F83" s="1" t="s">
        <v>264</v>
      </c>
      <c r="G83" s="4">
        <v>45444.0</v>
      </c>
      <c r="H83" s="4">
        <v>46227.0</v>
      </c>
      <c r="I83" s="1" t="s">
        <v>19</v>
      </c>
      <c r="J83" s="1" t="s">
        <v>20</v>
      </c>
      <c r="K83" s="5">
        <v>29.41</v>
      </c>
    </row>
    <row r="84" ht="15.75" customHeight="1">
      <c r="A84" s="1" t="s">
        <v>50</v>
      </c>
      <c r="B84" s="1">
        <v>1.7528908E7</v>
      </c>
      <c r="C84" s="1">
        <v>1.7528908E7</v>
      </c>
      <c r="D84" s="1" t="s">
        <v>88</v>
      </c>
      <c r="E84" s="1" t="s">
        <v>263</v>
      </c>
      <c r="F84" s="1" t="s">
        <v>265</v>
      </c>
      <c r="G84" s="4">
        <v>45536.0</v>
      </c>
      <c r="H84" s="4">
        <v>46227.0</v>
      </c>
      <c r="I84" s="1" t="s">
        <v>19</v>
      </c>
      <c r="J84" s="1" t="s">
        <v>20</v>
      </c>
      <c r="K84" s="5">
        <v>29.41</v>
      </c>
    </row>
    <row r="85" ht="15.75" customHeight="1">
      <c r="A85" s="1" t="s">
        <v>50</v>
      </c>
      <c r="B85" s="1">
        <v>1.7528908E7</v>
      </c>
      <c r="C85" s="1">
        <v>1.7528908E7</v>
      </c>
      <c r="D85" s="1" t="s">
        <v>57</v>
      </c>
      <c r="E85" s="1" t="s">
        <v>267</v>
      </c>
      <c r="F85" s="1" t="s">
        <v>269</v>
      </c>
      <c r="G85" s="4">
        <v>45566.0</v>
      </c>
      <c r="H85" s="4">
        <v>46227.0</v>
      </c>
      <c r="I85" s="1" t="s">
        <v>19</v>
      </c>
      <c r="J85" s="1" t="s">
        <v>20</v>
      </c>
      <c r="K85" s="5">
        <v>29.41</v>
      </c>
    </row>
    <row r="86" ht="15.75" customHeight="1">
      <c r="A86" s="1" t="s">
        <v>50</v>
      </c>
      <c r="B86" s="1">
        <v>1.7528908E7</v>
      </c>
      <c r="C86" s="1">
        <v>1.7528908E7</v>
      </c>
      <c r="D86" s="1" t="s">
        <v>271</v>
      </c>
      <c r="E86" s="1" t="s">
        <v>272</v>
      </c>
      <c r="F86" s="1" t="s">
        <v>273</v>
      </c>
      <c r="G86" s="4">
        <v>45839.0</v>
      </c>
      <c r="H86" s="4">
        <v>46227.0</v>
      </c>
      <c r="I86" s="1" t="s">
        <v>19</v>
      </c>
      <c r="J86" s="1" t="s">
        <v>20</v>
      </c>
      <c r="K86" s="5">
        <v>29.41</v>
      </c>
    </row>
    <row r="87" ht="15.75" customHeight="1">
      <c r="A87" s="1" t="s">
        <v>50</v>
      </c>
      <c r="B87" s="1">
        <v>1.7528908E7</v>
      </c>
      <c r="C87" s="1">
        <v>1.7528908E7</v>
      </c>
      <c r="D87" s="1" t="s">
        <v>202</v>
      </c>
      <c r="E87" s="1" t="s">
        <v>274</v>
      </c>
      <c r="F87" s="1" t="s">
        <v>275</v>
      </c>
      <c r="G87" s="4">
        <v>45352.0</v>
      </c>
      <c r="H87" s="4">
        <v>46227.0</v>
      </c>
      <c r="I87" s="1" t="s">
        <v>19</v>
      </c>
      <c r="J87" s="1" t="s">
        <v>20</v>
      </c>
      <c r="K87" s="5">
        <v>29.41</v>
      </c>
    </row>
    <row r="88" ht="15.75" customHeight="1">
      <c r="A88" s="1" t="s">
        <v>50</v>
      </c>
      <c r="B88" s="1">
        <v>1.7528908E7</v>
      </c>
      <c r="C88" s="1">
        <v>1.7528908E7</v>
      </c>
      <c r="D88" s="1" t="s">
        <v>276</v>
      </c>
      <c r="E88" s="1" t="s">
        <v>277</v>
      </c>
      <c r="F88" s="1" t="s">
        <v>278</v>
      </c>
      <c r="G88" s="4">
        <v>45536.0</v>
      </c>
      <c r="H88" s="4">
        <v>46227.0</v>
      </c>
      <c r="I88" s="1" t="s">
        <v>19</v>
      </c>
      <c r="J88" s="1" t="s">
        <v>20</v>
      </c>
      <c r="K88" s="5">
        <v>29.41</v>
      </c>
    </row>
    <row r="89" ht="15.75" customHeight="1">
      <c r="A89" s="1" t="s">
        <v>50</v>
      </c>
      <c r="B89" s="1">
        <v>1.7528908E7</v>
      </c>
      <c r="C89" s="1">
        <v>1.7528908E7</v>
      </c>
      <c r="D89" s="1" t="s">
        <v>72</v>
      </c>
      <c r="E89" s="1" t="s">
        <v>279</v>
      </c>
      <c r="F89" s="1" t="s">
        <v>280</v>
      </c>
      <c r="G89" s="4">
        <v>45323.0</v>
      </c>
      <c r="H89" s="4">
        <v>46227.0</v>
      </c>
      <c r="I89" s="1" t="s">
        <v>19</v>
      </c>
      <c r="J89" s="1" t="s">
        <v>20</v>
      </c>
      <c r="K89" s="5">
        <v>29.41</v>
      </c>
    </row>
    <row r="90" ht="15.75" customHeight="1">
      <c r="A90" s="1" t="s">
        <v>50</v>
      </c>
      <c r="B90" s="1">
        <v>1.7528908E7</v>
      </c>
      <c r="C90" s="1">
        <v>1.7528908E7</v>
      </c>
      <c r="D90" s="1" t="s">
        <v>281</v>
      </c>
      <c r="E90" s="1" t="s">
        <v>282</v>
      </c>
      <c r="F90" s="1" t="s">
        <v>283</v>
      </c>
      <c r="G90" s="4">
        <v>45261.0</v>
      </c>
      <c r="H90" s="4">
        <v>46227.0</v>
      </c>
      <c r="I90" s="1" t="s">
        <v>19</v>
      </c>
      <c r="J90" s="1" t="s">
        <v>20</v>
      </c>
      <c r="K90" s="5">
        <v>29.41</v>
      </c>
    </row>
    <row r="91" ht="15.75" customHeight="1">
      <c r="A91" s="1" t="s">
        <v>50</v>
      </c>
      <c r="C91" s="1">
        <v>1.7528908E7</v>
      </c>
      <c r="D91" s="1" t="s">
        <v>221</v>
      </c>
      <c r="E91" s="1" t="s">
        <v>286</v>
      </c>
      <c r="F91" s="1" t="s">
        <v>287</v>
      </c>
      <c r="G91" s="4">
        <v>45931.0</v>
      </c>
      <c r="H91" s="4">
        <v>46227.0</v>
      </c>
      <c r="I91" s="1" t="s">
        <v>19</v>
      </c>
      <c r="J91" s="1" t="s">
        <v>20</v>
      </c>
      <c r="K91" s="5">
        <v>29.41</v>
      </c>
    </row>
    <row r="92" ht="15.75" customHeight="1">
      <c r="A92" s="1" t="s">
        <v>50</v>
      </c>
      <c r="B92" s="1">
        <v>1.7528908E7</v>
      </c>
      <c r="C92" s="1">
        <v>1.7528908E7</v>
      </c>
      <c r="D92" s="1" t="s">
        <v>245</v>
      </c>
      <c r="E92" s="1" t="s">
        <v>288</v>
      </c>
      <c r="F92" s="1" t="s">
        <v>289</v>
      </c>
      <c r="G92" s="4">
        <v>44228.0</v>
      </c>
      <c r="H92" s="4">
        <v>46227.0</v>
      </c>
      <c r="I92" s="1" t="s">
        <v>19</v>
      </c>
      <c r="J92" s="1" t="s">
        <v>20</v>
      </c>
      <c r="K92" s="5">
        <v>29.41</v>
      </c>
    </row>
    <row r="93" ht="15.75" customHeight="1">
      <c r="A93" s="1" t="s">
        <v>50</v>
      </c>
      <c r="B93" s="1">
        <v>1.7528908E7</v>
      </c>
      <c r="C93" s="1">
        <v>1.7528908E7</v>
      </c>
      <c r="D93" s="1" t="s">
        <v>290</v>
      </c>
      <c r="E93" s="1" t="s">
        <v>291</v>
      </c>
      <c r="F93" s="1" t="s">
        <v>292</v>
      </c>
      <c r="G93" s="4">
        <v>45809.0</v>
      </c>
      <c r="H93" s="4">
        <v>46227.0</v>
      </c>
      <c r="I93" s="1" t="s">
        <v>19</v>
      </c>
      <c r="J93" s="1" t="s">
        <v>20</v>
      </c>
      <c r="K93" s="5">
        <v>29.41</v>
      </c>
    </row>
    <row r="94" ht="15.75" customHeight="1">
      <c r="A94" s="1" t="s">
        <v>50</v>
      </c>
      <c r="B94" s="1">
        <v>1.7528908E7</v>
      </c>
      <c r="C94" s="1">
        <v>1.7528908E7</v>
      </c>
      <c r="D94" s="1" t="s">
        <v>293</v>
      </c>
      <c r="E94" s="1" t="s">
        <v>294</v>
      </c>
      <c r="F94" s="1" t="s">
        <v>295</v>
      </c>
      <c r="G94" s="4">
        <v>45658.0</v>
      </c>
      <c r="H94" s="4">
        <v>46227.0</v>
      </c>
      <c r="I94" s="1" t="s">
        <v>19</v>
      </c>
      <c r="J94" s="1" t="s">
        <v>20</v>
      </c>
      <c r="K94" s="5">
        <v>29.41</v>
      </c>
    </row>
    <row r="95" ht="15.75" customHeight="1">
      <c r="A95" s="1" t="s">
        <v>50</v>
      </c>
      <c r="B95" s="1">
        <v>1.7528908E7</v>
      </c>
      <c r="C95" s="1">
        <v>1.7528908E7</v>
      </c>
      <c r="D95" s="1" t="s">
        <v>296</v>
      </c>
      <c r="E95" s="1" t="s">
        <v>297</v>
      </c>
      <c r="F95" s="1" t="s">
        <v>298</v>
      </c>
      <c r="G95" s="4">
        <v>45627.0</v>
      </c>
      <c r="H95" s="4">
        <v>46227.0</v>
      </c>
      <c r="I95" s="1" t="s">
        <v>19</v>
      </c>
      <c r="J95" s="1" t="s">
        <v>20</v>
      </c>
      <c r="K95" s="5">
        <v>29.41</v>
      </c>
    </row>
    <row r="96" ht="15.75" customHeight="1">
      <c r="A96" s="1" t="s">
        <v>50</v>
      </c>
      <c r="B96" s="1">
        <v>1.7528908E7</v>
      </c>
      <c r="C96" s="1">
        <v>1.7528908E7</v>
      </c>
      <c r="D96" s="1" t="s">
        <v>299</v>
      </c>
      <c r="E96" s="1" t="s">
        <v>300</v>
      </c>
      <c r="F96" s="1" t="s">
        <v>302</v>
      </c>
      <c r="G96" s="4">
        <v>45505.0</v>
      </c>
      <c r="H96" s="4">
        <v>46227.0</v>
      </c>
      <c r="I96" s="1" t="s">
        <v>19</v>
      </c>
      <c r="J96" s="1" t="s">
        <v>20</v>
      </c>
      <c r="K96" s="5">
        <v>29.41</v>
      </c>
    </row>
    <row r="97" ht="15.75" customHeight="1">
      <c r="A97" s="1" t="s">
        <v>50</v>
      </c>
      <c r="B97" s="1">
        <v>1.7528908E7</v>
      </c>
      <c r="C97" s="1">
        <v>1.7528908E7</v>
      </c>
      <c r="D97" s="1" t="s">
        <v>188</v>
      </c>
      <c r="E97" s="1" t="s">
        <v>303</v>
      </c>
      <c r="F97" s="1" t="s">
        <v>304</v>
      </c>
      <c r="G97" s="4">
        <v>45748.0</v>
      </c>
      <c r="H97" s="4">
        <v>46227.0</v>
      </c>
      <c r="I97" s="1" t="s">
        <v>19</v>
      </c>
      <c r="J97" s="1" t="s">
        <v>20</v>
      </c>
      <c r="K97" s="5">
        <v>29.41</v>
      </c>
    </row>
    <row r="98" ht="15.75" customHeight="1">
      <c r="A98" s="1" t="s">
        <v>50</v>
      </c>
      <c r="B98" s="1">
        <v>1.7528908E7</v>
      </c>
      <c r="C98" s="1">
        <v>1.7528908E7</v>
      </c>
      <c r="D98" s="1" t="s">
        <v>305</v>
      </c>
      <c r="E98" s="1" t="s">
        <v>306</v>
      </c>
      <c r="F98" s="1" t="s">
        <v>307</v>
      </c>
      <c r="G98" s="4">
        <v>45658.0</v>
      </c>
      <c r="H98" s="4">
        <v>46227.0</v>
      </c>
      <c r="I98" s="1" t="s">
        <v>19</v>
      </c>
      <c r="J98" s="1" t="s">
        <v>20</v>
      </c>
      <c r="K98" s="5">
        <v>29.41</v>
      </c>
    </row>
    <row r="99" ht="15.75" customHeight="1">
      <c r="A99" s="1" t="s">
        <v>50</v>
      </c>
      <c r="B99" s="1">
        <v>1.7528908E7</v>
      </c>
      <c r="C99" s="1">
        <v>1.7528908E7</v>
      </c>
      <c r="D99" s="1" t="s">
        <v>133</v>
      </c>
      <c r="E99" s="1" t="s">
        <v>308</v>
      </c>
      <c r="F99" s="1" t="s">
        <v>309</v>
      </c>
      <c r="G99" s="4">
        <v>45658.0</v>
      </c>
      <c r="H99" s="4">
        <v>46227.0</v>
      </c>
      <c r="I99" s="1" t="s">
        <v>19</v>
      </c>
      <c r="J99" s="1" t="s">
        <v>20</v>
      </c>
      <c r="K99" s="5">
        <v>29.41</v>
      </c>
    </row>
    <row r="100" ht="15.75" customHeight="1">
      <c r="A100" s="1" t="s">
        <v>50</v>
      </c>
      <c r="B100" s="1">
        <v>1.7528908E7</v>
      </c>
      <c r="C100" s="1">
        <v>1.7528908E7</v>
      </c>
      <c r="D100" s="1" t="s">
        <v>245</v>
      </c>
      <c r="E100" s="1" t="s">
        <v>41</v>
      </c>
      <c r="F100" s="1" t="s">
        <v>312</v>
      </c>
      <c r="G100" s="4">
        <v>44562.0</v>
      </c>
      <c r="H100" s="4">
        <v>46227.0</v>
      </c>
      <c r="I100" s="1" t="s">
        <v>19</v>
      </c>
      <c r="J100" s="1" t="s">
        <v>20</v>
      </c>
      <c r="K100" s="5">
        <v>29.41</v>
      </c>
    </row>
    <row r="101" ht="15.75" customHeight="1">
      <c r="A101" s="1" t="s">
        <v>50</v>
      </c>
      <c r="B101" s="1">
        <v>1.7528908E7</v>
      </c>
      <c r="C101" s="1">
        <v>1.7528908E7</v>
      </c>
      <c r="D101" s="1" t="s">
        <v>69</v>
      </c>
      <c r="E101" s="1" t="s">
        <v>313</v>
      </c>
      <c r="F101" s="1" t="s">
        <v>314</v>
      </c>
      <c r="G101" s="4">
        <v>45292.0</v>
      </c>
      <c r="H101" s="4">
        <v>46227.0</v>
      </c>
      <c r="I101" s="1" t="s">
        <v>19</v>
      </c>
      <c r="J101" s="1" t="s">
        <v>20</v>
      </c>
      <c r="K101" s="5">
        <v>29.41</v>
      </c>
    </row>
    <row r="102" ht="15.75" customHeight="1">
      <c r="A102" s="1" t="s">
        <v>50</v>
      </c>
      <c r="B102" s="1">
        <v>1.7528908E7</v>
      </c>
      <c r="C102" s="1">
        <v>1.7528908E7</v>
      </c>
      <c r="D102" s="1" t="s">
        <v>315</v>
      </c>
      <c r="E102" s="1" t="s">
        <v>313</v>
      </c>
      <c r="F102" s="1" t="s">
        <v>316</v>
      </c>
      <c r="G102" s="4">
        <v>45292.0</v>
      </c>
      <c r="H102" s="4">
        <v>46227.0</v>
      </c>
      <c r="I102" s="1" t="s">
        <v>19</v>
      </c>
      <c r="J102" s="1" t="s">
        <v>20</v>
      </c>
      <c r="K102" s="5">
        <v>29.41</v>
      </c>
    </row>
    <row r="103" ht="15.75" customHeight="1">
      <c r="A103" s="1" t="s">
        <v>50</v>
      </c>
      <c r="B103" s="1">
        <v>1.7528908E7</v>
      </c>
      <c r="C103" s="1">
        <v>1.7528908E7</v>
      </c>
      <c r="D103" s="1" t="s">
        <v>317</v>
      </c>
      <c r="E103" s="1" t="s">
        <v>318</v>
      </c>
      <c r="F103" s="1" t="s">
        <v>319</v>
      </c>
      <c r="G103" s="4">
        <v>43497.0</v>
      </c>
      <c r="H103" s="4">
        <v>46227.0</v>
      </c>
      <c r="I103" s="1" t="s">
        <v>19</v>
      </c>
      <c r="J103" s="1" t="s">
        <v>20</v>
      </c>
      <c r="K103" s="5">
        <v>29.41</v>
      </c>
    </row>
    <row r="104" ht="15.75" customHeight="1">
      <c r="A104" s="1" t="s">
        <v>50</v>
      </c>
      <c r="B104" s="1">
        <v>1.7528908E7</v>
      </c>
      <c r="C104" s="1">
        <v>1.7528908E7</v>
      </c>
      <c r="D104" s="1" t="s">
        <v>320</v>
      </c>
      <c r="E104" s="1" t="s">
        <v>321</v>
      </c>
      <c r="F104" s="1" t="s">
        <v>322</v>
      </c>
      <c r="G104" s="4">
        <v>45170.0</v>
      </c>
      <c r="H104" s="4">
        <v>46227.0</v>
      </c>
      <c r="I104" s="1" t="s">
        <v>19</v>
      </c>
      <c r="J104" s="1" t="s">
        <v>20</v>
      </c>
      <c r="K104" s="5">
        <v>29.41</v>
      </c>
    </row>
    <row r="105" ht="15.75" customHeight="1">
      <c r="A105" s="1" t="s">
        <v>50</v>
      </c>
      <c r="B105" s="1">
        <v>1.7528908E7</v>
      </c>
      <c r="C105" s="1">
        <v>1.7528908E7</v>
      </c>
      <c r="D105" s="1" t="s">
        <v>51</v>
      </c>
      <c r="E105" s="1" t="s">
        <v>321</v>
      </c>
      <c r="F105" s="1" t="s">
        <v>323</v>
      </c>
      <c r="G105" s="4">
        <v>45170.0</v>
      </c>
      <c r="H105" s="4">
        <v>46227.0</v>
      </c>
      <c r="I105" s="1" t="s">
        <v>19</v>
      </c>
      <c r="J105" s="1" t="s">
        <v>20</v>
      </c>
      <c r="K105" s="5">
        <v>29.41</v>
      </c>
    </row>
    <row r="106" ht="15.75" customHeight="1">
      <c r="A106" s="1" t="s">
        <v>50</v>
      </c>
      <c r="B106" s="1">
        <v>1.7528908E7</v>
      </c>
      <c r="C106" s="1">
        <v>1.7528908E7</v>
      </c>
      <c r="D106" s="1" t="s">
        <v>171</v>
      </c>
      <c r="E106" s="1" t="s">
        <v>324</v>
      </c>
      <c r="F106" s="1" t="s">
        <v>325</v>
      </c>
      <c r="G106" s="4">
        <v>45658.0</v>
      </c>
      <c r="H106" s="4">
        <v>46227.0</v>
      </c>
      <c r="I106" s="1" t="s">
        <v>19</v>
      </c>
      <c r="J106" s="1" t="s">
        <v>20</v>
      </c>
      <c r="K106" s="5">
        <v>29.41</v>
      </c>
    </row>
    <row r="107" ht="15.75" customHeight="1">
      <c r="A107" s="1" t="s">
        <v>50</v>
      </c>
      <c r="B107" s="1">
        <v>1.7528908E7</v>
      </c>
      <c r="C107" s="1">
        <v>1.7528908E7</v>
      </c>
      <c r="D107" s="1" t="s">
        <v>111</v>
      </c>
      <c r="E107" s="1" t="s">
        <v>326</v>
      </c>
      <c r="F107" s="1" t="s">
        <v>327</v>
      </c>
      <c r="G107" s="4">
        <v>45383.0</v>
      </c>
      <c r="H107" s="4">
        <v>46227.0</v>
      </c>
      <c r="I107" s="1" t="s">
        <v>19</v>
      </c>
      <c r="J107" s="1" t="s">
        <v>20</v>
      </c>
      <c r="K107" s="5">
        <v>29.41</v>
      </c>
    </row>
    <row r="108" ht="15.75" customHeight="1">
      <c r="A108" s="1" t="s">
        <v>50</v>
      </c>
      <c r="B108" s="1">
        <v>1.7528908E7</v>
      </c>
      <c r="C108" s="1">
        <v>1.7528908E7</v>
      </c>
      <c r="D108" s="1" t="s">
        <v>75</v>
      </c>
      <c r="E108" s="1" t="s">
        <v>328</v>
      </c>
      <c r="F108" s="1" t="s">
        <v>329</v>
      </c>
      <c r="G108" s="4">
        <v>45200.0</v>
      </c>
      <c r="H108" s="4">
        <v>46227.0</v>
      </c>
      <c r="I108" s="1" t="s">
        <v>19</v>
      </c>
      <c r="J108" s="1" t="s">
        <v>20</v>
      </c>
      <c r="K108" s="5">
        <v>29.41</v>
      </c>
    </row>
    <row r="109" ht="15.75" customHeight="1">
      <c r="A109" s="1" t="s">
        <v>50</v>
      </c>
      <c r="B109" s="1">
        <v>1.7528908E7</v>
      </c>
      <c r="C109" s="1">
        <v>1.7528908E7</v>
      </c>
      <c r="D109" s="1" t="s">
        <v>330</v>
      </c>
      <c r="E109" s="1" t="s">
        <v>72</v>
      </c>
      <c r="F109" s="1" t="s">
        <v>331</v>
      </c>
      <c r="G109" s="4">
        <v>45658.0</v>
      </c>
      <c r="H109" s="4">
        <v>46227.0</v>
      </c>
      <c r="I109" s="1" t="s">
        <v>19</v>
      </c>
      <c r="J109" s="1" t="s">
        <v>20</v>
      </c>
      <c r="K109" s="5">
        <v>29.41</v>
      </c>
    </row>
    <row r="110" ht="15.75" customHeight="1">
      <c r="A110" s="1" t="s">
        <v>50</v>
      </c>
      <c r="B110" s="1">
        <v>1.7528908E7</v>
      </c>
      <c r="C110" s="1">
        <v>1.7528908E7</v>
      </c>
      <c r="D110" s="1" t="s">
        <v>72</v>
      </c>
      <c r="E110" s="1" t="s">
        <v>72</v>
      </c>
      <c r="F110" s="1" t="s">
        <v>332</v>
      </c>
      <c r="G110" s="4">
        <v>45658.0</v>
      </c>
      <c r="H110" s="4">
        <v>46227.0</v>
      </c>
      <c r="I110" s="1" t="s">
        <v>19</v>
      </c>
      <c r="J110" s="1" t="s">
        <v>20</v>
      </c>
      <c r="K110" s="5">
        <v>29.41</v>
      </c>
    </row>
    <row r="111" ht="15.75" customHeight="1">
      <c r="A111" s="1" t="s">
        <v>50</v>
      </c>
      <c r="B111" s="1">
        <v>1.7528908E7</v>
      </c>
      <c r="C111" s="1">
        <v>1.7528908E7</v>
      </c>
      <c r="D111" s="1" t="s">
        <v>333</v>
      </c>
      <c r="E111" s="1" t="s">
        <v>334</v>
      </c>
      <c r="F111" s="1" t="s">
        <v>335</v>
      </c>
      <c r="G111" s="4">
        <v>45839.0</v>
      </c>
      <c r="H111" s="4">
        <v>46227.0</v>
      </c>
      <c r="I111" s="1" t="s">
        <v>19</v>
      </c>
      <c r="J111" s="1" t="s">
        <v>20</v>
      </c>
      <c r="K111" s="5">
        <v>29.41</v>
      </c>
    </row>
    <row r="112" ht="15.75" customHeight="1">
      <c r="A112" s="1" t="s">
        <v>50</v>
      </c>
      <c r="B112" s="1">
        <v>1.7528908E7</v>
      </c>
      <c r="C112" s="1">
        <v>1.7528908E7</v>
      </c>
      <c r="D112" s="1" t="s">
        <v>336</v>
      </c>
      <c r="E112" s="1" t="s">
        <v>337</v>
      </c>
      <c r="F112" s="1" t="s">
        <v>338</v>
      </c>
      <c r="G112" s="4">
        <v>45383.0</v>
      </c>
      <c r="H112" s="4">
        <v>46227.0</v>
      </c>
      <c r="I112" s="1" t="s">
        <v>19</v>
      </c>
      <c r="J112" s="1" t="s">
        <v>20</v>
      </c>
      <c r="K112" s="5">
        <v>29.41</v>
      </c>
    </row>
    <row r="113" ht="15.75" customHeight="1">
      <c r="A113" s="1" t="s">
        <v>50</v>
      </c>
      <c r="B113" s="1">
        <v>1.7528908E7</v>
      </c>
      <c r="C113" s="1">
        <v>1.7528908E7</v>
      </c>
      <c r="D113" s="1" t="s">
        <v>290</v>
      </c>
      <c r="E113" s="1" t="s">
        <v>340</v>
      </c>
      <c r="F113" s="1" t="s">
        <v>341</v>
      </c>
      <c r="G113" s="4">
        <v>45748.0</v>
      </c>
      <c r="H113" s="4">
        <v>46227.0</v>
      </c>
      <c r="I113" s="1" t="s">
        <v>19</v>
      </c>
      <c r="J113" s="1" t="s">
        <v>20</v>
      </c>
      <c r="K113" s="5">
        <v>29.41</v>
      </c>
    </row>
    <row r="114" ht="15.75" customHeight="1">
      <c r="A114" s="1" t="s">
        <v>50</v>
      </c>
      <c r="B114" s="1">
        <v>1.7528908E7</v>
      </c>
      <c r="C114" s="1">
        <v>1.7528908E7</v>
      </c>
      <c r="D114" s="1" t="s">
        <v>342</v>
      </c>
      <c r="E114" s="1" t="s">
        <v>343</v>
      </c>
      <c r="F114" s="1" t="s">
        <v>344</v>
      </c>
      <c r="G114" s="4">
        <v>45292.0</v>
      </c>
      <c r="H114" s="4">
        <v>46227.0</v>
      </c>
      <c r="I114" s="1" t="s">
        <v>19</v>
      </c>
      <c r="J114" s="1" t="s">
        <v>20</v>
      </c>
      <c r="K114" s="5">
        <v>29.41</v>
      </c>
    </row>
    <row r="115" ht="15.75" customHeight="1">
      <c r="A115" s="1" t="s">
        <v>50</v>
      </c>
      <c r="B115" s="1">
        <v>1.7528908E7</v>
      </c>
      <c r="C115" s="1">
        <v>1.7528908E7</v>
      </c>
      <c r="D115" s="1" t="s">
        <v>122</v>
      </c>
      <c r="E115" s="1" t="s">
        <v>345</v>
      </c>
      <c r="F115" s="1" t="s">
        <v>346</v>
      </c>
      <c r="G115" s="4">
        <v>42370.0</v>
      </c>
      <c r="H115" s="4">
        <v>46227.0</v>
      </c>
      <c r="I115" s="1" t="s">
        <v>19</v>
      </c>
      <c r="J115" s="1" t="s">
        <v>20</v>
      </c>
      <c r="K115" s="5">
        <v>29.41</v>
      </c>
    </row>
    <row r="116" ht="15.75" customHeight="1">
      <c r="A116" s="1" t="s">
        <v>50</v>
      </c>
      <c r="B116" s="1">
        <v>1.7528908E7</v>
      </c>
      <c r="C116" s="1">
        <v>1.7528908E7</v>
      </c>
      <c r="D116" s="1" t="s">
        <v>347</v>
      </c>
      <c r="E116" s="1" t="s">
        <v>348</v>
      </c>
      <c r="F116" s="1" t="s">
        <v>349</v>
      </c>
      <c r="G116" s="4">
        <v>45078.0</v>
      </c>
      <c r="H116" s="4">
        <v>46227.0</v>
      </c>
      <c r="I116" s="1" t="s">
        <v>19</v>
      </c>
      <c r="J116" s="1" t="s">
        <v>20</v>
      </c>
      <c r="K116" s="5">
        <v>29.41</v>
      </c>
    </row>
    <row r="117" ht="15.75" customHeight="1">
      <c r="A117" s="1" t="s">
        <v>50</v>
      </c>
      <c r="B117" s="1">
        <v>1.7528908E7</v>
      </c>
      <c r="C117" s="1">
        <v>1.7528908E7</v>
      </c>
      <c r="D117" s="1" t="s">
        <v>350</v>
      </c>
      <c r="E117" s="1" t="s">
        <v>348</v>
      </c>
      <c r="F117" s="1" t="s">
        <v>351</v>
      </c>
      <c r="G117" s="4">
        <v>45231.0</v>
      </c>
      <c r="H117" s="4">
        <v>46227.0</v>
      </c>
      <c r="I117" s="1" t="s">
        <v>19</v>
      </c>
      <c r="J117" s="1" t="s">
        <v>20</v>
      </c>
      <c r="K117" s="5">
        <v>29.41</v>
      </c>
    </row>
    <row r="118" ht="15.75" customHeight="1">
      <c r="A118" s="1" t="s">
        <v>50</v>
      </c>
      <c r="B118" s="1">
        <v>1.7528908E7</v>
      </c>
      <c r="C118" s="1">
        <v>1.7528908E7</v>
      </c>
      <c r="D118" s="1" t="s">
        <v>119</v>
      </c>
      <c r="E118" s="1" t="s">
        <v>348</v>
      </c>
      <c r="F118" s="1" t="s">
        <v>352</v>
      </c>
      <c r="G118" s="4">
        <v>45200.0</v>
      </c>
      <c r="H118" s="4">
        <v>46227.0</v>
      </c>
      <c r="I118" s="1" t="s">
        <v>19</v>
      </c>
      <c r="J118" s="1" t="s">
        <v>20</v>
      </c>
      <c r="K118" s="5">
        <v>29.41</v>
      </c>
    </row>
    <row r="119" ht="15.75" customHeight="1">
      <c r="A119" s="1" t="s">
        <v>50</v>
      </c>
      <c r="B119" s="1">
        <v>1.7528908E7</v>
      </c>
      <c r="C119" s="1">
        <v>1.7528908E7</v>
      </c>
      <c r="D119" s="1" t="s">
        <v>105</v>
      </c>
      <c r="E119" s="1" t="s">
        <v>353</v>
      </c>
      <c r="F119" s="1" t="s">
        <v>354</v>
      </c>
      <c r="G119" s="4">
        <v>42401.0</v>
      </c>
      <c r="H119" s="4">
        <v>46227.0</v>
      </c>
      <c r="I119" s="1" t="s">
        <v>19</v>
      </c>
      <c r="J119" s="1" t="s">
        <v>20</v>
      </c>
      <c r="K119" s="5">
        <v>29.41</v>
      </c>
    </row>
    <row r="120" ht="15.75" customHeight="1">
      <c r="A120" s="1" t="s">
        <v>50</v>
      </c>
      <c r="B120" s="1">
        <v>1.7528908E7</v>
      </c>
      <c r="C120" s="1">
        <v>1.7528908E7</v>
      </c>
      <c r="D120" s="1" t="s">
        <v>355</v>
      </c>
      <c r="E120" s="1" t="s">
        <v>356</v>
      </c>
      <c r="F120" s="1" t="s">
        <v>357</v>
      </c>
      <c r="G120" s="4">
        <v>45748.0</v>
      </c>
      <c r="H120" s="4">
        <v>46227.0</v>
      </c>
      <c r="I120" s="1" t="s">
        <v>19</v>
      </c>
      <c r="J120" s="1" t="s">
        <v>20</v>
      </c>
      <c r="K120" s="5">
        <v>29.41</v>
      </c>
    </row>
    <row r="121" ht="15.75" customHeight="1">
      <c r="A121" s="1" t="s">
        <v>50</v>
      </c>
      <c r="B121" s="1">
        <v>1.7528908E7</v>
      </c>
      <c r="C121" s="1">
        <v>1.7528908E7</v>
      </c>
      <c r="D121" s="1" t="s">
        <v>82</v>
      </c>
      <c r="E121" s="1" t="s">
        <v>358</v>
      </c>
      <c r="F121" s="1" t="s">
        <v>359</v>
      </c>
      <c r="G121" s="4">
        <v>45474.0</v>
      </c>
      <c r="H121" s="4">
        <v>46227.0</v>
      </c>
      <c r="I121" s="1" t="s">
        <v>19</v>
      </c>
      <c r="J121" s="1" t="s">
        <v>20</v>
      </c>
      <c r="K121" s="5">
        <v>29.41</v>
      </c>
    </row>
    <row r="122" ht="15.75" customHeight="1">
      <c r="A122" s="1" t="s">
        <v>50</v>
      </c>
      <c r="B122" s="1">
        <v>1.7528908E7</v>
      </c>
      <c r="C122" s="1">
        <v>1.7528908E7</v>
      </c>
      <c r="D122" s="1" t="s">
        <v>361</v>
      </c>
      <c r="E122" s="1" t="s">
        <v>362</v>
      </c>
      <c r="F122" s="1" t="s">
        <v>363</v>
      </c>
      <c r="G122" s="4">
        <v>45839.0</v>
      </c>
      <c r="H122" s="4">
        <v>46227.0</v>
      </c>
      <c r="I122" s="1" t="s">
        <v>19</v>
      </c>
      <c r="J122" s="1" t="s">
        <v>20</v>
      </c>
      <c r="K122" s="5">
        <v>29.41</v>
      </c>
    </row>
    <row r="123" ht="15.75" customHeight="1">
      <c r="A123" s="1" t="s">
        <v>50</v>
      </c>
      <c r="B123" s="1">
        <v>1.7528908E7</v>
      </c>
      <c r="C123" s="1">
        <v>1.7528908E7</v>
      </c>
      <c r="D123" s="1" t="s">
        <v>365</v>
      </c>
      <c r="E123" s="1" t="s">
        <v>366</v>
      </c>
      <c r="F123" s="1" t="s">
        <v>367</v>
      </c>
      <c r="G123" s="4">
        <v>45139.0</v>
      </c>
      <c r="H123" s="4">
        <v>46227.0</v>
      </c>
      <c r="I123" s="1" t="s">
        <v>19</v>
      </c>
      <c r="J123" s="1" t="s">
        <v>20</v>
      </c>
      <c r="K123" s="5">
        <v>29.41</v>
      </c>
    </row>
    <row r="124" ht="15.75" customHeight="1">
      <c r="A124" s="1" t="s">
        <v>50</v>
      </c>
      <c r="B124" s="1">
        <v>1.7528908E7</v>
      </c>
      <c r="C124" s="1">
        <v>1.7528908E7</v>
      </c>
      <c r="D124" s="1" t="s">
        <v>368</v>
      </c>
      <c r="E124" s="1" t="s">
        <v>369</v>
      </c>
      <c r="F124" s="1" t="s">
        <v>370</v>
      </c>
      <c r="G124" s="4">
        <v>45200.0</v>
      </c>
      <c r="H124" s="4">
        <v>46227.0</v>
      </c>
      <c r="I124" s="1" t="s">
        <v>19</v>
      </c>
      <c r="J124" s="1" t="s">
        <v>20</v>
      </c>
      <c r="K124" s="5">
        <v>29.41</v>
      </c>
    </row>
    <row r="125" ht="15.75" customHeight="1">
      <c r="A125" s="1" t="s">
        <v>50</v>
      </c>
      <c r="C125" s="1">
        <v>1.7528908E7</v>
      </c>
      <c r="D125" s="1" t="s">
        <v>371</v>
      </c>
      <c r="E125" s="1" t="s">
        <v>372</v>
      </c>
      <c r="F125" s="1" t="s">
        <v>373</v>
      </c>
      <c r="G125" s="4">
        <v>45870.0</v>
      </c>
      <c r="H125" s="4">
        <v>46227.0</v>
      </c>
      <c r="I125" s="1" t="s">
        <v>19</v>
      </c>
      <c r="J125" s="1" t="s">
        <v>20</v>
      </c>
      <c r="K125" s="5">
        <v>29.41</v>
      </c>
    </row>
    <row r="126" ht="15.75" customHeight="1">
      <c r="A126" s="1" t="s">
        <v>50</v>
      </c>
      <c r="C126" s="1">
        <v>1.7528908E7</v>
      </c>
      <c r="D126" s="1" t="s">
        <v>374</v>
      </c>
      <c r="E126" s="1" t="s">
        <v>375</v>
      </c>
      <c r="F126" s="1" t="s">
        <v>376</v>
      </c>
      <c r="G126" s="4">
        <v>45870.0</v>
      </c>
      <c r="H126" s="4">
        <v>46227.0</v>
      </c>
      <c r="I126" s="1" t="s">
        <v>19</v>
      </c>
      <c r="J126" s="1" t="s">
        <v>20</v>
      </c>
      <c r="K126" s="5">
        <v>29.41</v>
      </c>
    </row>
    <row r="127" ht="15.75" customHeight="1">
      <c r="A127" s="1" t="s">
        <v>50</v>
      </c>
      <c r="B127" s="1">
        <v>1.7528908E7</v>
      </c>
      <c r="C127" s="1">
        <v>1.7528908E7</v>
      </c>
      <c r="D127" s="1" t="s">
        <v>28</v>
      </c>
      <c r="E127" s="1" t="s">
        <v>377</v>
      </c>
      <c r="F127" s="1" t="s">
        <v>378</v>
      </c>
      <c r="G127" s="4">
        <v>45292.0</v>
      </c>
      <c r="H127" s="4">
        <v>46227.0</v>
      </c>
      <c r="I127" s="1" t="s">
        <v>19</v>
      </c>
      <c r="J127" s="1" t="s">
        <v>20</v>
      </c>
      <c r="K127" s="5">
        <v>29.41</v>
      </c>
    </row>
    <row r="128" ht="15.75" customHeight="1">
      <c r="A128" s="1" t="s">
        <v>50</v>
      </c>
      <c r="B128" s="1">
        <v>1.7528908E7</v>
      </c>
      <c r="C128" s="1">
        <v>1.7528908E7</v>
      </c>
      <c r="D128" s="1" t="s">
        <v>379</v>
      </c>
      <c r="E128" s="1" t="s">
        <v>377</v>
      </c>
      <c r="F128" s="1" t="s">
        <v>380</v>
      </c>
      <c r="G128" s="4">
        <v>45292.0</v>
      </c>
      <c r="H128" s="4">
        <v>46227.0</v>
      </c>
      <c r="I128" s="1" t="s">
        <v>19</v>
      </c>
      <c r="J128" s="1" t="s">
        <v>20</v>
      </c>
      <c r="K128" s="5">
        <v>29.41</v>
      </c>
    </row>
    <row r="129" ht="15.75" customHeight="1">
      <c r="A129" s="1" t="s">
        <v>50</v>
      </c>
      <c r="B129" s="1">
        <v>1.7528908E7</v>
      </c>
      <c r="C129" s="1">
        <v>1.7528908E7</v>
      </c>
      <c r="D129" s="1" t="s">
        <v>381</v>
      </c>
      <c r="E129" s="1" t="s">
        <v>382</v>
      </c>
      <c r="F129" s="1" t="s">
        <v>383</v>
      </c>
      <c r="G129" s="4">
        <v>45658.0</v>
      </c>
      <c r="H129" s="4">
        <v>46227.0</v>
      </c>
      <c r="I129" s="1" t="s">
        <v>19</v>
      </c>
      <c r="J129" s="1" t="s">
        <v>20</v>
      </c>
      <c r="K129" s="5">
        <v>29.41</v>
      </c>
    </row>
    <row r="130" ht="15.75" customHeight="1">
      <c r="A130" s="1" t="s">
        <v>50</v>
      </c>
      <c r="B130" s="1">
        <v>1.7528908E7</v>
      </c>
      <c r="C130" s="1">
        <v>1.7528908E7</v>
      </c>
      <c r="D130" s="1" t="s">
        <v>384</v>
      </c>
      <c r="E130" s="1" t="s">
        <v>385</v>
      </c>
      <c r="F130" s="1" t="s">
        <v>386</v>
      </c>
      <c r="G130" s="4">
        <v>44927.0</v>
      </c>
      <c r="H130" s="4">
        <v>46227.0</v>
      </c>
      <c r="I130" s="1" t="s">
        <v>19</v>
      </c>
      <c r="J130" s="1" t="s">
        <v>20</v>
      </c>
      <c r="K130" s="5">
        <v>29.41</v>
      </c>
    </row>
    <row r="131" ht="15.75" customHeight="1">
      <c r="A131" s="1" t="s">
        <v>50</v>
      </c>
      <c r="B131" s="1">
        <v>1.7528908E7</v>
      </c>
      <c r="C131" s="1">
        <v>1.7528908E7</v>
      </c>
      <c r="D131" s="1" t="s">
        <v>355</v>
      </c>
      <c r="E131" s="1" t="s">
        <v>388</v>
      </c>
      <c r="F131" s="1" t="s">
        <v>389</v>
      </c>
      <c r="G131" s="4">
        <v>45658.0</v>
      </c>
      <c r="H131" s="4">
        <v>46227.0</v>
      </c>
      <c r="I131" s="1" t="s">
        <v>19</v>
      </c>
      <c r="J131" s="1" t="s">
        <v>20</v>
      </c>
      <c r="K131" s="5">
        <v>29.41</v>
      </c>
    </row>
    <row r="132" ht="15.75" customHeight="1">
      <c r="A132" s="1" t="s">
        <v>50</v>
      </c>
      <c r="B132" s="1">
        <v>1.7528908E7</v>
      </c>
      <c r="C132" s="1">
        <v>1.7528908E7</v>
      </c>
      <c r="D132" s="1" t="s">
        <v>82</v>
      </c>
      <c r="E132" s="1" t="s">
        <v>390</v>
      </c>
      <c r="F132" s="1" t="s">
        <v>391</v>
      </c>
      <c r="G132" s="4">
        <v>43647.0</v>
      </c>
      <c r="H132" s="4">
        <v>46227.0</v>
      </c>
      <c r="I132" s="1" t="s">
        <v>19</v>
      </c>
      <c r="J132" s="1" t="s">
        <v>20</v>
      </c>
      <c r="K132" s="5">
        <v>29.41</v>
      </c>
    </row>
    <row r="133" ht="15.75" customHeight="1">
      <c r="A133" s="1" t="s">
        <v>50</v>
      </c>
      <c r="B133" s="1">
        <v>1.7528908E7</v>
      </c>
      <c r="C133" s="1">
        <v>1.7528908E7</v>
      </c>
      <c r="D133" s="1" t="s">
        <v>392</v>
      </c>
      <c r="E133" s="1" t="s">
        <v>393</v>
      </c>
      <c r="F133" s="1" t="s">
        <v>394</v>
      </c>
      <c r="G133" s="4">
        <v>45108.0</v>
      </c>
      <c r="H133" s="4">
        <v>46227.0</v>
      </c>
      <c r="I133" s="1" t="s">
        <v>19</v>
      </c>
      <c r="J133" s="1" t="s">
        <v>20</v>
      </c>
      <c r="K133" s="5">
        <v>29.41</v>
      </c>
    </row>
    <row r="134" ht="15.75" customHeight="1">
      <c r="A134" s="1" t="s">
        <v>50</v>
      </c>
      <c r="C134" s="1">
        <v>1.7528908E7</v>
      </c>
      <c r="D134" s="1" t="s">
        <v>371</v>
      </c>
      <c r="E134" s="1" t="s">
        <v>395</v>
      </c>
      <c r="F134" s="1" t="s">
        <v>396</v>
      </c>
      <c r="G134" s="4">
        <v>45870.0</v>
      </c>
      <c r="H134" s="4">
        <v>46227.0</v>
      </c>
      <c r="I134" s="1" t="s">
        <v>19</v>
      </c>
      <c r="J134" s="1" t="s">
        <v>20</v>
      </c>
      <c r="K134" s="5">
        <v>29.41</v>
      </c>
    </row>
    <row r="135" ht="15.75" customHeight="1">
      <c r="A135" s="1" t="s">
        <v>50</v>
      </c>
      <c r="B135" s="1">
        <v>1.7528908E7</v>
      </c>
      <c r="C135" s="1">
        <v>1.7528908E7</v>
      </c>
      <c r="D135" s="1" t="s">
        <v>333</v>
      </c>
      <c r="E135" s="1" t="s">
        <v>397</v>
      </c>
      <c r="F135" s="1" t="s">
        <v>398</v>
      </c>
      <c r="G135" s="4">
        <v>45658.0</v>
      </c>
      <c r="H135" s="4">
        <v>46227.0</v>
      </c>
      <c r="I135" s="1" t="s">
        <v>19</v>
      </c>
      <c r="J135" s="1" t="s">
        <v>20</v>
      </c>
      <c r="K135" s="5">
        <v>29.41</v>
      </c>
    </row>
    <row r="136" ht="15.75" customHeight="1">
      <c r="A136" s="1" t="s">
        <v>50</v>
      </c>
      <c r="B136" s="1">
        <v>1.7528908E7</v>
      </c>
      <c r="C136" s="1">
        <v>1.7528908E7</v>
      </c>
      <c r="D136" s="1" t="s">
        <v>399</v>
      </c>
      <c r="E136" s="1" t="s">
        <v>400</v>
      </c>
      <c r="F136" s="1" t="s">
        <v>401</v>
      </c>
      <c r="G136" s="4">
        <v>45231.0</v>
      </c>
      <c r="H136" s="4">
        <v>46227.0</v>
      </c>
      <c r="I136" s="1" t="s">
        <v>19</v>
      </c>
      <c r="J136" s="1" t="s">
        <v>20</v>
      </c>
      <c r="K136" s="5">
        <v>29.41</v>
      </c>
    </row>
    <row r="137" ht="15.75" customHeight="1">
      <c r="A137" s="1" t="s">
        <v>50</v>
      </c>
      <c r="B137" s="1">
        <v>1.7528908E7</v>
      </c>
      <c r="C137" s="1">
        <v>1.7528908E7</v>
      </c>
      <c r="D137" s="1" t="s">
        <v>402</v>
      </c>
      <c r="E137" s="1" t="s">
        <v>106</v>
      </c>
      <c r="F137" s="1" t="s">
        <v>403</v>
      </c>
      <c r="G137" s="4">
        <v>45536.0</v>
      </c>
      <c r="H137" s="4">
        <v>46227.0</v>
      </c>
      <c r="I137" s="1" t="s">
        <v>19</v>
      </c>
      <c r="J137" s="1" t="s">
        <v>20</v>
      </c>
      <c r="K137" s="5">
        <v>29.41</v>
      </c>
    </row>
    <row r="138" ht="15.75" customHeight="1">
      <c r="A138" s="1" t="s">
        <v>50</v>
      </c>
      <c r="B138" s="1">
        <v>1.7528908E7</v>
      </c>
      <c r="C138" s="1">
        <v>1.7528908E7</v>
      </c>
      <c r="D138" s="1" t="s">
        <v>404</v>
      </c>
      <c r="E138" s="1" t="s">
        <v>405</v>
      </c>
      <c r="F138" s="1" t="s">
        <v>407</v>
      </c>
      <c r="G138" s="4">
        <v>45474.0</v>
      </c>
      <c r="H138" s="4">
        <v>46227.0</v>
      </c>
      <c r="I138" s="1" t="s">
        <v>19</v>
      </c>
      <c r="J138" s="1" t="s">
        <v>20</v>
      </c>
      <c r="K138" s="5">
        <v>29.41</v>
      </c>
    </row>
    <row r="139" ht="15.75" customHeight="1">
      <c r="A139" s="1" t="s">
        <v>50</v>
      </c>
      <c r="B139" s="1">
        <v>1.7528908E7</v>
      </c>
      <c r="C139" s="1">
        <v>1.7528908E7</v>
      </c>
      <c r="D139" s="1" t="s">
        <v>199</v>
      </c>
      <c r="E139" s="1" t="s">
        <v>408</v>
      </c>
      <c r="F139" s="1" t="s">
        <v>409</v>
      </c>
      <c r="G139" s="4">
        <v>45170.0</v>
      </c>
      <c r="H139" s="4">
        <v>46227.0</v>
      </c>
      <c r="I139" s="1" t="s">
        <v>19</v>
      </c>
      <c r="J139" s="1" t="s">
        <v>20</v>
      </c>
      <c r="K139" s="5">
        <v>29.41</v>
      </c>
    </row>
    <row r="140" ht="15.75" customHeight="1">
      <c r="A140" s="1" t="s">
        <v>50</v>
      </c>
      <c r="B140" s="1">
        <v>1.7528908E7</v>
      </c>
      <c r="C140" s="1">
        <v>1.7528908E7</v>
      </c>
      <c r="D140" s="1" t="s">
        <v>411</v>
      </c>
      <c r="E140" s="1" t="s">
        <v>412</v>
      </c>
      <c r="F140" s="1" t="s">
        <v>413</v>
      </c>
      <c r="G140" s="4">
        <v>45413.0</v>
      </c>
      <c r="H140" s="4">
        <v>46227.0</v>
      </c>
      <c r="I140" s="1" t="s">
        <v>19</v>
      </c>
      <c r="J140" s="1" t="s">
        <v>20</v>
      </c>
      <c r="K140" s="5">
        <v>29.41</v>
      </c>
    </row>
    <row r="141" ht="15.75" customHeight="1">
      <c r="A141" s="1" t="s">
        <v>50</v>
      </c>
      <c r="B141" s="1">
        <v>1.7528908E7</v>
      </c>
      <c r="C141" s="1">
        <v>1.7528908E7</v>
      </c>
      <c r="D141" s="1" t="s">
        <v>415</v>
      </c>
      <c r="E141" s="1" t="s">
        <v>416</v>
      </c>
      <c r="F141" s="1" t="s">
        <v>417</v>
      </c>
      <c r="G141" s="4">
        <v>45658.0</v>
      </c>
      <c r="H141" s="4">
        <v>46227.0</v>
      </c>
      <c r="I141" s="1" t="s">
        <v>19</v>
      </c>
      <c r="J141" s="1" t="s">
        <v>20</v>
      </c>
      <c r="K141" s="5">
        <v>29.41</v>
      </c>
    </row>
    <row r="142" ht="15.75" customHeight="1">
      <c r="A142" s="1" t="s">
        <v>50</v>
      </c>
      <c r="B142" s="1">
        <v>1.7528908E7</v>
      </c>
      <c r="C142" s="1">
        <v>1.7528908E7</v>
      </c>
      <c r="D142" s="1" t="s">
        <v>418</v>
      </c>
      <c r="E142" s="1" t="s">
        <v>419</v>
      </c>
      <c r="F142" s="1" t="s">
        <v>420</v>
      </c>
      <c r="G142" s="4">
        <v>44958.0</v>
      </c>
      <c r="H142" s="4">
        <v>46227.0</v>
      </c>
      <c r="I142" s="1" t="s">
        <v>19</v>
      </c>
      <c r="J142" s="1" t="s">
        <v>20</v>
      </c>
      <c r="K142" s="5">
        <v>29.41</v>
      </c>
    </row>
    <row r="143" ht="15.75" customHeight="1">
      <c r="A143" s="1" t="s">
        <v>50</v>
      </c>
      <c r="B143" s="1">
        <v>1.7528908E7</v>
      </c>
      <c r="C143" s="1">
        <v>1.7528908E7</v>
      </c>
      <c r="D143" s="1" t="s">
        <v>133</v>
      </c>
      <c r="E143" s="1" t="s">
        <v>419</v>
      </c>
      <c r="F143" s="1" t="s">
        <v>423</v>
      </c>
      <c r="G143" s="4">
        <v>44958.0</v>
      </c>
      <c r="H143" s="4">
        <v>46227.0</v>
      </c>
      <c r="I143" s="1" t="s">
        <v>19</v>
      </c>
      <c r="J143" s="1" t="s">
        <v>20</v>
      </c>
      <c r="K143" s="5">
        <v>29.41</v>
      </c>
    </row>
    <row r="144" ht="15.75" customHeight="1">
      <c r="A144" s="1" t="s">
        <v>50</v>
      </c>
      <c r="B144" s="1">
        <v>1.7528908E7</v>
      </c>
      <c r="C144" s="1">
        <v>1.7528908E7</v>
      </c>
      <c r="D144" s="1" t="s">
        <v>131</v>
      </c>
      <c r="E144" s="1" t="s">
        <v>424</v>
      </c>
      <c r="F144" s="1" t="s">
        <v>425</v>
      </c>
      <c r="G144" s="4">
        <v>45839.0</v>
      </c>
      <c r="H144" s="4">
        <v>46227.0</v>
      </c>
      <c r="I144" s="1" t="s">
        <v>19</v>
      </c>
      <c r="J144" s="1" t="s">
        <v>20</v>
      </c>
      <c r="K144" s="5">
        <v>29.41</v>
      </c>
    </row>
    <row r="145" ht="15.75" customHeight="1">
      <c r="A145" s="1" t="s">
        <v>50</v>
      </c>
      <c r="C145" s="1">
        <v>1.7528908E7</v>
      </c>
      <c r="D145" s="1" t="s">
        <v>426</v>
      </c>
      <c r="E145" s="1" t="s">
        <v>427</v>
      </c>
      <c r="F145" s="1" t="s">
        <v>428</v>
      </c>
      <c r="G145" s="4">
        <v>45870.0</v>
      </c>
      <c r="H145" s="4">
        <v>46227.0</v>
      </c>
      <c r="I145" s="1" t="s">
        <v>19</v>
      </c>
      <c r="J145" s="1" t="s">
        <v>20</v>
      </c>
      <c r="K145" s="5">
        <v>29.41</v>
      </c>
    </row>
    <row r="146" ht="15.75" customHeight="1">
      <c r="A146" s="1" t="s">
        <v>50</v>
      </c>
      <c r="B146" s="1">
        <v>1.7528908E7</v>
      </c>
      <c r="C146" s="1">
        <v>1.7528908E7</v>
      </c>
      <c r="D146" s="1" t="s">
        <v>429</v>
      </c>
      <c r="E146" s="1" t="s">
        <v>430</v>
      </c>
      <c r="F146" s="1" t="s">
        <v>431</v>
      </c>
      <c r="G146" s="4">
        <v>45717.0</v>
      </c>
      <c r="H146" s="4">
        <v>46227.0</v>
      </c>
      <c r="I146" s="1" t="s">
        <v>19</v>
      </c>
      <c r="J146" s="1" t="s">
        <v>20</v>
      </c>
      <c r="K146" s="5">
        <v>29.41</v>
      </c>
    </row>
    <row r="147" ht="15.75" customHeight="1">
      <c r="A147" s="1" t="s">
        <v>50</v>
      </c>
      <c r="C147" s="1">
        <v>1.7528908E7</v>
      </c>
      <c r="D147" s="1" t="s">
        <v>260</v>
      </c>
      <c r="E147" s="1" t="s">
        <v>432</v>
      </c>
      <c r="F147" s="1" t="s">
        <v>433</v>
      </c>
      <c r="G147" s="4">
        <v>45901.0</v>
      </c>
      <c r="H147" s="4">
        <v>46227.0</v>
      </c>
      <c r="I147" s="1" t="s">
        <v>19</v>
      </c>
      <c r="J147" s="1" t="s">
        <v>20</v>
      </c>
      <c r="K147" s="5">
        <v>29.41</v>
      </c>
    </row>
    <row r="148" ht="15.75" customHeight="1">
      <c r="A148" s="1" t="s">
        <v>50</v>
      </c>
      <c r="B148" s="1">
        <v>1.7528908E7</v>
      </c>
      <c r="C148" s="1">
        <v>1.7528908E7</v>
      </c>
      <c r="D148" s="1" t="s">
        <v>434</v>
      </c>
      <c r="E148" s="1" t="s">
        <v>435</v>
      </c>
      <c r="F148" s="1" t="s">
        <v>436</v>
      </c>
      <c r="G148" s="4">
        <v>45809.0</v>
      </c>
      <c r="H148" s="4">
        <v>46227.0</v>
      </c>
      <c r="I148" s="1" t="s">
        <v>19</v>
      </c>
      <c r="J148" s="1" t="s">
        <v>20</v>
      </c>
      <c r="K148" s="5">
        <v>29.41</v>
      </c>
    </row>
    <row r="149" ht="15.75" customHeight="1">
      <c r="A149" s="1" t="s">
        <v>50</v>
      </c>
      <c r="B149" s="1">
        <v>1.7528908E7</v>
      </c>
      <c r="C149" s="1">
        <v>1.7528908E7</v>
      </c>
      <c r="D149" s="1" t="s">
        <v>437</v>
      </c>
      <c r="E149" s="1" t="s">
        <v>438</v>
      </c>
      <c r="F149" s="1" t="s">
        <v>439</v>
      </c>
      <c r="G149" s="4">
        <v>45597.0</v>
      </c>
      <c r="H149" s="4">
        <v>46227.0</v>
      </c>
      <c r="I149" s="1" t="s">
        <v>19</v>
      </c>
      <c r="J149" s="1" t="s">
        <v>20</v>
      </c>
      <c r="K149" s="5">
        <v>29.41</v>
      </c>
    </row>
    <row r="150" ht="15.75" customHeight="1">
      <c r="A150" s="1" t="s">
        <v>50</v>
      </c>
      <c r="B150" s="1">
        <v>1.7528908E7</v>
      </c>
      <c r="C150" s="1">
        <v>1.7528908E7</v>
      </c>
      <c r="D150" s="1" t="s">
        <v>440</v>
      </c>
      <c r="E150" s="1" t="s">
        <v>438</v>
      </c>
      <c r="F150" s="1" t="s">
        <v>441</v>
      </c>
      <c r="G150" s="4">
        <v>45474.0</v>
      </c>
      <c r="H150" s="4">
        <v>46227.0</v>
      </c>
      <c r="I150" s="1" t="s">
        <v>19</v>
      </c>
      <c r="J150" s="1" t="s">
        <v>20</v>
      </c>
      <c r="K150" s="5">
        <v>29.41</v>
      </c>
    </row>
    <row r="151" ht="15.75" customHeight="1">
      <c r="A151" s="1" t="s">
        <v>266</v>
      </c>
      <c r="C151" s="1">
        <v>1.871007E7</v>
      </c>
      <c r="D151" s="1" t="s">
        <v>442</v>
      </c>
      <c r="E151" s="1" t="s">
        <v>443</v>
      </c>
      <c r="F151" s="1" t="s">
        <v>444</v>
      </c>
      <c r="G151" s="4">
        <v>45658.0</v>
      </c>
      <c r="H151" s="4">
        <v>46227.0</v>
      </c>
      <c r="I151" s="1" t="s">
        <v>19</v>
      </c>
      <c r="J151" s="1" t="s">
        <v>20</v>
      </c>
      <c r="K151" s="5">
        <v>29.41</v>
      </c>
    </row>
    <row r="152" ht="15.75" customHeight="1">
      <c r="A152" s="1" t="s">
        <v>266</v>
      </c>
      <c r="C152" s="1">
        <v>1.871007E7</v>
      </c>
      <c r="D152" s="1" t="s">
        <v>445</v>
      </c>
      <c r="E152" s="1" t="s">
        <v>446</v>
      </c>
      <c r="F152" s="1" t="s">
        <v>447</v>
      </c>
      <c r="G152" s="4">
        <v>43101.0</v>
      </c>
      <c r="H152" s="4">
        <v>46227.0</v>
      </c>
      <c r="I152" s="1" t="s">
        <v>19</v>
      </c>
      <c r="J152" s="1" t="s">
        <v>20</v>
      </c>
      <c r="K152" s="5">
        <v>29.41</v>
      </c>
    </row>
    <row r="153" ht="15.75" customHeight="1">
      <c r="A153" s="1" t="s">
        <v>266</v>
      </c>
      <c r="C153" s="1">
        <v>1.871007E7</v>
      </c>
      <c r="D153" s="1" t="s">
        <v>176</v>
      </c>
      <c r="E153" s="1" t="s">
        <v>448</v>
      </c>
      <c r="F153" s="1" t="s">
        <v>449</v>
      </c>
      <c r="G153" s="4">
        <v>44593.0</v>
      </c>
      <c r="H153" s="4">
        <v>46227.0</v>
      </c>
      <c r="I153" s="1" t="s">
        <v>19</v>
      </c>
      <c r="J153" s="1" t="s">
        <v>20</v>
      </c>
      <c r="K153" s="5">
        <v>29.41</v>
      </c>
    </row>
    <row r="154" ht="15.75" customHeight="1">
      <c r="A154" s="1" t="s">
        <v>266</v>
      </c>
      <c r="C154" s="1">
        <v>1.871007E7</v>
      </c>
      <c r="D154" s="1" t="s">
        <v>333</v>
      </c>
      <c r="E154" s="1" t="s">
        <v>448</v>
      </c>
      <c r="F154" s="1" t="s">
        <v>450</v>
      </c>
      <c r="G154" s="4">
        <v>44927.0</v>
      </c>
      <c r="H154" s="4">
        <v>46227.0</v>
      </c>
      <c r="I154" s="1" t="s">
        <v>19</v>
      </c>
      <c r="J154" s="1" t="s">
        <v>20</v>
      </c>
      <c r="K154" s="5">
        <v>29.41</v>
      </c>
    </row>
    <row r="155" ht="15.75" customHeight="1">
      <c r="A155" s="1" t="s">
        <v>266</v>
      </c>
      <c r="C155" s="1">
        <v>1.871007E7</v>
      </c>
      <c r="D155" s="1" t="s">
        <v>451</v>
      </c>
      <c r="E155" s="1" t="s">
        <v>452</v>
      </c>
      <c r="F155" s="1" t="s">
        <v>453</v>
      </c>
      <c r="G155" s="4">
        <v>45778.0</v>
      </c>
      <c r="H155" s="4">
        <v>46227.0</v>
      </c>
      <c r="I155" s="1" t="s">
        <v>19</v>
      </c>
      <c r="J155" s="1" t="s">
        <v>20</v>
      </c>
      <c r="K155" s="5">
        <v>29.41</v>
      </c>
    </row>
    <row r="156" ht="15.75" customHeight="1">
      <c r="A156" s="1" t="s">
        <v>266</v>
      </c>
      <c r="C156" s="1">
        <v>1.871007E7</v>
      </c>
      <c r="D156" s="1" t="s">
        <v>281</v>
      </c>
      <c r="E156" s="1" t="s">
        <v>456</v>
      </c>
      <c r="F156" s="1" t="s">
        <v>457</v>
      </c>
      <c r="G156" s="4">
        <v>45108.0</v>
      </c>
      <c r="H156" s="4">
        <v>46227.0</v>
      </c>
      <c r="I156" s="1" t="s">
        <v>19</v>
      </c>
      <c r="J156" s="1" t="s">
        <v>20</v>
      </c>
      <c r="K156" s="5">
        <v>29.41</v>
      </c>
    </row>
    <row r="157" ht="15.75" customHeight="1">
      <c r="A157" s="1" t="s">
        <v>266</v>
      </c>
      <c r="C157" s="1">
        <v>1.871007E7</v>
      </c>
      <c r="D157" s="1" t="s">
        <v>458</v>
      </c>
      <c r="E157" s="1" t="s">
        <v>459</v>
      </c>
      <c r="F157" s="1" t="s">
        <v>460</v>
      </c>
      <c r="G157" s="4">
        <v>45839.0</v>
      </c>
      <c r="H157" s="4">
        <v>46227.0</v>
      </c>
      <c r="I157" s="1" t="s">
        <v>19</v>
      </c>
      <c r="J157" s="1" t="s">
        <v>20</v>
      </c>
      <c r="K157" s="5">
        <v>29.41</v>
      </c>
    </row>
    <row r="158" ht="15.75" customHeight="1">
      <c r="A158" s="1" t="s">
        <v>266</v>
      </c>
      <c r="C158" s="1">
        <v>1.871007E7</v>
      </c>
      <c r="D158" s="1" t="s">
        <v>461</v>
      </c>
      <c r="E158" s="1" t="s">
        <v>462</v>
      </c>
      <c r="F158" s="1" t="s">
        <v>463</v>
      </c>
      <c r="G158" s="4">
        <v>45962.0</v>
      </c>
      <c r="H158" s="4">
        <v>46227.0</v>
      </c>
      <c r="I158" s="1" t="s">
        <v>19</v>
      </c>
      <c r="J158" s="1" t="s">
        <v>20</v>
      </c>
      <c r="K158" s="5">
        <v>29.41</v>
      </c>
    </row>
    <row r="159" ht="15.75" customHeight="1">
      <c r="A159" s="1" t="s">
        <v>11</v>
      </c>
      <c r="C159" s="1">
        <v>8971826.0</v>
      </c>
      <c r="D159" s="1" t="s">
        <v>43</v>
      </c>
      <c r="E159" s="1" t="s">
        <v>285</v>
      </c>
      <c r="F159" s="1" t="s">
        <v>464</v>
      </c>
      <c r="G159" s="4">
        <v>46204.0</v>
      </c>
      <c r="H159" s="4">
        <v>46227.0</v>
      </c>
      <c r="I159" s="1" t="s">
        <v>19</v>
      </c>
      <c r="J159" s="1" t="s">
        <v>239</v>
      </c>
      <c r="K159" s="5">
        <v>528.5</v>
      </c>
    </row>
    <row r="160" ht="15.75" customHeight="1">
      <c r="A160" s="1" t="s">
        <v>50</v>
      </c>
      <c r="C160" s="1">
        <v>1.7528908E7</v>
      </c>
      <c r="D160" s="1" t="s">
        <v>171</v>
      </c>
      <c r="E160" s="1" t="s">
        <v>172</v>
      </c>
      <c r="F160" s="1" t="s">
        <v>465</v>
      </c>
      <c r="G160" s="4">
        <v>46266.0</v>
      </c>
      <c r="H160" s="4">
        <v>46227.0</v>
      </c>
      <c r="I160" s="1" t="s">
        <v>19</v>
      </c>
      <c r="J160" s="1" t="s">
        <v>159</v>
      </c>
      <c r="K160" s="5">
        <v>587.33</v>
      </c>
    </row>
    <row r="161" ht="15.75" customHeight="1">
      <c r="A161" s="1" t="s">
        <v>50</v>
      </c>
      <c r="C161" s="1">
        <v>1.7528908E7</v>
      </c>
      <c r="D161" s="1" t="s">
        <v>421</v>
      </c>
      <c r="E161" s="1" t="s">
        <v>422</v>
      </c>
      <c r="F161" s="1" t="s">
        <v>466</v>
      </c>
      <c r="G161" s="4">
        <v>46235.0</v>
      </c>
      <c r="H161" s="4">
        <v>46227.0</v>
      </c>
      <c r="I161" s="1" t="s">
        <v>19</v>
      </c>
      <c r="J161" s="1" t="s">
        <v>410</v>
      </c>
      <c r="K161" s="5">
        <v>147.08</v>
      </c>
    </row>
    <row r="162" ht="15.75" customHeight="1">
      <c r="A162" s="1" t="s">
        <v>50</v>
      </c>
      <c r="C162" s="1">
        <v>1.7528908E7</v>
      </c>
      <c r="D162" s="1" t="s">
        <v>202</v>
      </c>
      <c r="E162" s="1" t="s">
        <v>203</v>
      </c>
      <c r="F162" s="1" t="s">
        <v>467</v>
      </c>
      <c r="G162" s="4">
        <v>46235.0</v>
      </c>
      <c r="H162" s="4">
        <v>46227.0</v>
      </c>
      <c r="I162" s="1" t="s">
        <v>19</v>
      </c>
      <c r="J162" s="1" t="s">
        <v>191</v>
      </c>
      <c r="K162" s="5">
        <v>557.92</v>
      </c>
    </row>
    <row r="163" ht="15.75" customHeight="1">
      <c r="A163" s="1" t="s">
        <v>50</v>
      </c>
      <c r="C163" s="1">
        <v>1.7528908E7</v>
      </c>
      <c r="D163" s="1" t="s">
        <v>184</v>
      </c>
      <c r="E163" s="1" t="s">
        <v>185</v>
      </c>
      <c r="F163" s="1" t="s">
        <v>468</v>
      </c>
      <c r="G163" s="4">
        <v>46235.0</v>
      </c>
      <c r="H163" s="4">
        <v>46227.0</v>
      </c>
      <c r="I163" s="1" t="s">
        <v>19</v>
      </c>
      <c r="J163" s="1" t="s">
        <v>191</v>
      </c>
      <c r="K163" s="5">
        <v>557.92</v>
      </c>
    </row>
    <row r="164" ht="15.75" customHeight="1">
      <c r="A164" s="1" t="s">
        <v>50</v>
      </c>
      <c r="C164" s="1">
        <v>1.7528908E7</v>
      </c>
      <c r="D164" s="1" t="s">
        <v>454</v>
      </c>
      <c r="E164" s="1" t="s">
        <v>455</v>
      </c>
      <c r="F164" s="1" t="s">
        <v>469</v>
      </c>
      <c r="G164" s="4">
        <v>46235.0</v>
      </c>
      <c r="H164" s="4">
        <v>46227.0</v>
      </c>
      <c r="I164" s="1" t="s">
        <v>19</v>
      </c>
      <c r="J164" s="1" t="s">
        <v>410</v>
      </c>
      <c r="K164" s="5">
        <v>147.08</v>
      </c>
    </row>
    <row r="165" ht="15.75" customHeight="1">
      <c r="A165" s="1" t="s">
        <v>50</v>
      </c>
      <c r="C165" s="1">
        <v>1.7528908E7</v>
      </c>
      <c r="D165" s="1" t="s">
        <v>206</v>
      </c>
      <c r="E165" s="1" t="s">
        <v>235</v>
      </c>
      <c r="F165" s="1" t="s">
        <v>470</v>
      </c>
      <c r="G165" s="4">
        <v>46204.0</v>
      </c>
      <c r="H165" s="4">
        <v>46227.0</v>
      </c>
      <c r="I165" s="1" t="s">
        <v>19</v>
      </c>
      <c r="J165" s="1" t="s">
        <v>239</v>
      </c>
      <c r="K165" s="5">
        <v>528.5</v>
      </c>
    </row>
    <row r="166" ht="15.75" customHeight="1">
      <c r="A166" s="1" t="s">
        <v>50</v>
      </c>
      <c r="C166" s="1">
        <v>1.7528908E7</v>
      </c>
      <c r="D166" s="1" t="s">
        <v>28</v>
      </c>
      <c r="E166" s="1" t="s">
        <v>197</v>
      </c>
      <c r="F166" s="1" t="s">
        <v>471</v>
      </c>
      <c r="G166" s="4">
        <v>46296.0</v>
      </c>
      <c r="H166" s="4">
        <v>46227.0</v>
      </c>
      <c r="I166" s="1" t="s">
        <v>19</v>
      </c>
      <c r="J166" s="1" t="s">
        <v>360</v>
      </c>
      <c r="K166" s="5">
        <v>88.25</v>
      </c>
    </row>
    <row r="167" ht="15.75" customHeight="1">
      <c r="A167" s="1" t="s">
        <v>50</v>
      </c>
      <c r="C167" s="1">
        <v>1.7528908E7</v>
      </c>
      <c r="D167" s="1" t="s">
        <v>133</v>
      </c>
      <c r="E167" s="1" t="s">
        <v>406</v>
      </c>
      <c r="F167" s="1" t="s">
        <v>473</v>
      </c>
      <c r="G167" s="4">
        <v>46235.0</v>
      </c>
      <c r="H167" s="4">
        <v>46227.0</v>
      </c>
      <c r="I167" s="1" t="s">
        <v>19</v>
      </c>
      <c r="J167" s="1" t="s">
        <v>410</v>
      </c>
      <c r="K167" s="5">
        <v>147.08</v>
      </c>
    </row>
    <row r="168" ht="15.75" customHeight="1">
      <c r="A168" s="1" t="s">
        <v>50</v>
      </c>
      <c r="C168" s="1">
        <v>1.7528908E7</v>
      </c>
      <c r="D168" s="1" t="s">
        <v>474</v>
      </c>
      <c r="E168" s="1" t="s">
        <v>475</v>
      </c>
      <c r="F168" s="1" t="s">
        <v>476</v>
      </c>
      <c r="G168" s="4">
        <v>46204.0</v>
      </c>
      <c r="H168" s="4">
        <v>46227.0</v>
      </c>
      <c r="I168" s="1" t="s">
        <v>19</v>
      </c>
      <c r="J168" s="1" t="s">
        <v>477</v>
      </c>
      <c r="K168" s="5">
        <v>176.5</v>
      </c>
    </row>
    <row r="169" ht="15.75" customHeight="1">
      <c r="A169" s="1" t="s">
        <v>50</v>
      </c>
      <c r="C169" s="1">
        <v>1.7528908E7</v>
      </c>
      <c r="D169" s="1" t="s">
        <v>216</v>
      </c>
      <c r="E169" s="1" t="s">
        <v>217</v>
      </c>
      <c r="F169" s="1" t="s">
        <v>478</v>
      </c>
      <c r="G169" s="4">
        <v>46235.0</v>
      </c>
      <c r="H169" s="4">
        <v>46227.0</v>
      </c>
      <c r="I169" s="1" t="s">
        <v>19</v>
      </c>
      <c r="J169" s="1" t="s">
        <v>191</v>
      </c>
      <c r="K169" s="5">
        <v>557.92</v>
      </c>
    </row>
    <row r="170" ht="15.75" customHeight="1">
      <c r="A170" s="1" t="s">
        <v>50</v>
      </c>
      <c r="C170" s="1">
        <v>1.7528908E7</v>
      </c>
      <c r="D170" s="1" t="s">
        <v>47</v>
      </c>
      <c r="E170" s="1" t="s">
        <v>72</v>
      </c>
      <c r="F170" s="1" t="s">
        <v>479</v>
      </c>
      <c r="G170" s="4">
        <v>46266.0</v>
      </c>
      <c r="H170" s="4">
        <v>46227.0</v>
      </c>
      <c r="I170" s="1" t="s">
        <v>19</v>
      </c>
      <c r="J170" s="1" t="s">
        <v>159</v>
      </c>
      <c r="K170" s="5">
        <v>587.33</v>
      </c>
    </row>
    <row r="171" ht="15.75" customHeight="1">
      <c r="A171" s="1" t="s">
        <v>50</v>
      </c>
      <c r="C171" s="1">
        <v>1.7528908E7</v>
      </c>
      <c r="D171" s="1" t="s">
        <v>139</v>
      </c>
      <c r="E171" s="1" t="s">
        <v>253</v>
      </c>
      <c r="F171" s="1" t="s">
        <v>480</v>
      </c>
      <c r="G171" s="4">
        <v>46204.0</v>
      </c>
      <c r="H171" s="4">
        <v>46227.0</v>
      </c>
      <c r="I171" s="1" t="s">
        <v>19</v>
      </c>
      <c r="J171" s="1" t="s">
        <v>239</v>
      </c>
      <c r="K171" s="5">
        <v>528.5</v>
      </c>
    </row>
    <row r="172" ht="15.75" customHeight="1">
      <c r="A172" s="1" t="s">
        <v>50</v>
      </c>
      <c r="B172" s="1">
        <v>1.7528908E7</v>
      </c>
      <c r="C172" s="1">
        <v>1.7528908E7</v>
      </c>
      <c r="D172" s="1" t="s">
        <v>105</v>
      </c>
      <c r="E172" s="1" t="s">
        <v>106</v>
      </c>
      <c r="F172" s="1" t="s">
        <v>481</v>
      </c>
      <c r="G172" s="4">
        <v>45292.0</v>
      </c>
      <c r="H172" s="4">
        <v>46227.0</v>
      </c>
      <c r="I172" s="1" t="s">
        <v>19</v>
      </c>
      <c r="J172" s="1" t="s">
        <v>114</v>
      </c>
      <c r="K172" s="5">
        <v>26.08</v>
      </c>
    </row>
    <row r="173" ht="15.75" customHeight="1">
      <c r="A173" s="1" t="s">
        <v>50</v>
      </c>
      <c r="B173" s="1">
        <v>1.7528908E7</v>
      </c>
      <c r="C173" s="1">
        <v>1.7528908E7</v>
      </c>
      <c r="D173" s="1" t="s">
        <v>126</v>
      </c>
      <c r="E173" s="1" t="s">
        <v>127</v>
      </c>
      <c r="F173" s="1" t="s">
        <v>482</v>
      </c>
      <c r="G173" s="4">
        <v>45839.0</v>
      </c>
      <c r="H173" s="4">
        <v>46227.0</v>
      </c>
      <c r="I173" s="1" t="s">
        <v>19</v>
      </c>
      <c r="J173" s="1" t="s">
        <v>114</v>
      </c>
      <c r="K173" s="5">
        <v>26.08</v>
      </c>
    </row>
    <row r="174" ht="15.75" customHeight="1">
      <c r="A174" s="1" t="s">
        <v>50</v>
      </c>
      <c r="B174" s="1">
        <v>1.7528908E7</v>
      </c>
      <c r="C174" s="1">
        <v>1.7528908E7</v>
      </c>
      <c r="D174" s="1" t="s">
        <v>139</v>
      </c>
      <c r="E174" s="1" t="s">
        <v>127</v>
      </c>
      <c r="F174" s="1" t="s">
        <v>483</v>
      </c>
      <c r="G174" s="4">
        <v>45505.0</v>
      </c>
      <c r="H174" s="4">
        <v>46227.0</v>
      </c>
      <c r="I174" s="1" t="s">
        <v>19</v>
      </c>
      <c r="J174" s="1" t="s">
        <v>114</v>
      </c>
      <c r="K174" s="5">
        <v>26.08</v>
      </c>
    </row>
    <row r="175" ht="15.75" customHeight="1">
      <c r="A175" s="1" t="s">
        <v>266</v>
      </c>
      <c r="C175" s="1">
        <v>1.871007E7</v>
      </c>
      <c r="D175" s="1" t="s">
        <v>133</v>
      </c>
      <c r="E175" s="1" t="s">
        <v>270</v>
      </c>
      <c r="F175" s="1" t="s">
        <v>484</v>
      </c>
      <c r="G175" s="4">
        <v>46204.0</v>
      </c>
      <c r="H175" s="4">
        <v>46227.0</v>
      </c>
      <c r="I175" s="1" t="s">
        <v>19</v>
      </c>
      <c r="J175" s="1" t="s">
        <v>239</v>
      </c>
      <c r="K175" s="5">
        <v>528.5</v>
      </c>
    </row>
    <row r="176" ht="15.75" customHeight="1">
      <c r="A176" s="1" t="s">
        <v>266</v>
      </c>
      <c r="C176" s="1">
        <v>1.871007E7</v>
      </c>
      <c r="D176" s="1" t="s">
        <v>40</v>
      </c>
      <c r="E176" s="1" t="s">
        <v>485</v>
      </c>
      <c r="F176" s="1" t="s">
        <v>486</v>
      </c>
      <c r="G176" s="4">
        <v>46023.0</v>
      </c>
      <c r="H176" s="4">
        <v>46227.0</v>
      </c>
      <c r="I176" s="1" t="s">
        <v>19</v>
      </c>
      <c r="J176" s="1" t="s">
        <v>487</v>
      </c>
      <c r="K176" s="5">
        <v>-353.0</v>
      </c>
    </row>
    <row r="177" ht="15.75" customHeight="1">
      <c r="A177" s="1" t="s">
        <v>488</v>
      </c>
      <c r="B177" s="1">
        <v>1.879474E7</v>
      </c>
      <c r="C177" s="1">
        <v>1.879474E7</v>
      </c>
      <c r="D177" s="1" t="s">
        <v>489</v>
      </c>
      <c r="E177" s="1" t="s">
        <v>490</v>
      </c>
      <c r="F177" s="1" t="s">
        <v>491</v>
      </c>
      <c r="G177" s="4">
        <v>45566.0</v>
      </c>
      <c r="H177" s="4">
        <v>46227.0</v>
      </c>
      <c r="I177" s="1" t="s">
        <v>19</v>
      </c>
      <c r="J177" s="1" t="s">
        <v>20</v>
      </c>
      <c r="K177" s="5">
        <v>29.41</v>
      </c>
    </row>
    <row r="178" ht="15.75" customHeight="1">
      <c r="A178" s="1" t="s">
        <v>488</v>
      </c>
      <c r="B178" s="1">
        <v>1.879474E7</v>
      </c>
      <c r="C178" s="1">
        <v>1.879474E7</v>
      </c>
      <c r="D178" s="1" t="s">
        <v>492</v>
      </c>
      <c r="E178" s="1" t="s">
        <v>493</v>
      </c>
      <c r="F178" s="1" t="s">
        <v>494</v>
      </c>
      <c r="G178" s="4">
        <v>45292.0</v>
      </c>
      <c r="H178" s="4">
        <v>46227.0</v>
      </c>
      <c r="I178" s="1" t="s">
        <v>19</v>
      </c>
      <c r="J178" s="1" t="s">
        <v>20</v>
      </c>
      <c r="K178" s="5">
        <v>29.41</v>
      </c>
    </row>
    <row r="179" ht="15.75" customHeight="1">
      <c r="A179" s="1" t="s">
        <v>488</v>
      </c>
      <c r="B179" s="1">
        <v>1.879474E7</v>
      </c>
      <c r="C179" s="1">
        <v>1.879474E7</v>
      </c>
      <c r="D179" s="1" t="s">
        <v>495</v>
      </c>
      <c r="E179" s="1" t="s">
        <v>493</v>
      </c>
      <c r="F179" s="1" t="s">
        <v>496</v>
      </c>
      <c r="G179" s="4">
        <v>45292.0</v>
      </c>
      <c r="H179" s="4">
        <v>46227.0</v>
      </c>
      <c r="I179" s="1" t="s">
        <v>19</v>
      </c>
      <c r="J179" s="1" t="s">
        <v>20</v>
      </c>
      <c r="K179" s="5">
        <v>29.41</v>
      </c>
    </row>
    <row r="180" ht="15.75" customHeight="1">
      <c r="A180" s="1" t="s">
        <v>488</v>
      </c>
      <c r="B180" s="1">
        <v>1.879474E7</v>
      </c>
      <c r="C180" s="1">
        <v>1.879474E7</v>
      </c>
      <c r="D180" s="1" t="s">
        <v>497</v>
      </c>
      <c r="E180" s="1" t="s">
        <v>498</v>
      </c>
      <c r="F180" s="1" t="s">
        <v>109</v>
      </c>
      <c r="G180" s="4">
        <v>45658.0</v>
      </c>
      <c r="H180" s="4">
        <v>46227.0</v>
      </c>
      <c r="I180" s="1" t="s">
        <v>19</v>
      </c>
      <c r="J180" s="1" t="s">
        <v>20</v>
      </c>
      <c r="K180" s="5">
        <v>29.41</v>
      </c>
    </row>
    <row r="181" ht="15.75" customHeight="1">
      <c r="A181" s="1" t="s">
        <v>488</v>
      </c>
      <c r="B181" s="1">
        <v>1.879474E7</v>
      </c>
      <c r="C181" s="1">
        <v>1.879474E7</v>
      </c>
      <c r="D181" s="1" t="s">
        <v>499</v>
      </c>
      <c r="E181" s="1" t="s">
        <v>500</v>
      </c>
      <c r="F181" s="1" t="s">
        <v>501</v>
      </c>
      <c r="G181" s="4">
        <v>45292.0</v>
      </c>
      <c r="H181" s="4">
        <v>46227.0</v>
      </c>
      <c r="I181" s="1" t="s">
        <v>19</v>
      </c>
      <c r="J181" s="1" t="s">
        <v>20</v>
      </c>
      <c r="K181" s="5">
        <v>29.41</v>
      </c>
    </row>
    <row r="182" ht="15.75" customHeight="1">
      <c r="A182" s="1" t="s">
        <v>488</v>
      </c>
      <c r="B182" s="1">
        <v>1.879474E7</v>
      </c>
      <c r="C182" s="1">
        <v>1.879474E7</v>
      </c>
      <c r="D182" s="1" t="s">
        <v>347</v>
      </c>
      <c r="E182" s="1" t="s">
        <v>502</v>
      </c>
      <c r="F182" s="1" t="s">
        <v>503</v>
      </c>
      <c r="G182" s="4">
        <v>45292.0</v>
      </c>
      <c r="H182" s="4">
        <v>46227.0</v>
      </c>
      <c r="I182" s="1" t="s">
        <v>19</v>
      </c>
      <c r="J182" s="1" t="s">
        <v>20</v>
      </c>
      <c r="K182" s="5">
        <v>29.41</v>
      </c>
    </row>
    <row r="183" ht="15.75" customHeight="1">
      <c r="A183" s="1" t="s">
        <v>488</v>
      </c>
      <c r="B183" s="1">
        <v>1.879474E7</v>
      </c>
      <c r="C183" s="1">
        <v>1.879474E7</v>
      </c>
      <c r="D183" s="1" t="s">
        <v>122</v>
      </c>
      <c r="E183" s="1" t="s">
        <v>502</v>
      </c>
      <c r="F183" s="1" t="s">
        <v>504</v>
      </c>
      <c r="G183" s="4">
        <v>45292.0</v>
      </c>
      <c r="H183" s="4">
        <v>46227.0</v>
      </c>
      <c r="I183" s="1" t="s">
        <v>19</v>
      </c>
      <c r="J183" s="1" t="s">
        <v>20</v>
      </c>
      <c r="K183" s="5">
        <v>29.41</v>
      </c>
    </row>
    <row r="184" ht="15.75" customHeight="1">
      <c r="A184" s="1" t="s">
        <v>488</v>
      </c>
      <c r="B184" s="1">
        <v>1.879474E7</v>
      </c>
      <c r="C184" s="1">
        <v>1.879474E7</v>
      </c>
      <c r="D184" s="1" t="s">
        <v>60</v>
      </c>
      <c r="E184" s="1" t="s">
        <v>505</v>
      </c>
      <c r="F184" s="1" t="s">
        <v>506</v>
      </c>
      <c r="G184" s="4">
        <v>45689.0</v>
      </c>
      <c r="H184" s="4">
        <v>46227.0</v>
      </c>
      <c r="I184" s="1" t="s">
        <v>19</v>
      </c>
      <c r="J184" s="1" t="s">
        <v>20</v>
      </c>
      <c r="K184" s="5">
        <v>29.41</v>
      </c>
    </row>
    <row r="185" ht="15.75" customHeight="1">
      <c r="A185" s="1" t="s">
        <v>12</v>
      </c>
      <c r="B185" s="1">
        <v>1.927837E7</v>
      </c>
      <c r="C185" s="1">
        <v>1.927837E7</v>
      </c>
      <c r="D185" s="1" t="s">
        <v>51</v>
      </c>
      <c r="E185" s="1" t="s">
        <v>339</v>
      </c>
      <c r="F185" s="1" t="s">
        <v>507</v>
      </c>
      <c r="G185" s="4">
        <v>45413.0</v>
      </c>
      <c r="H185" s="4">
        <v>46227.0</v>
      </c>
      <c r="I185" s="1" t="s">
        <v>19</v>
      </c>
      <c r="J185" s="1" t="s">
        <v>20</v>
      </c>
      <c r="K185" s="5">
        <v>29.41</v>
      </c>
    </row>
    <row r="186" ht="15.75" customHeight="1">
      <c r="A186" s="1" t="s">
        <v>12</v>
      </c>
      <c r="C186" s="1">
        <v>1.927837E7</v>
      </c>
      <c r="D186" s="1" t="s">
        <v>17</v>
      </c>
      <c r="E186" s="1" t="s">
        <v>18</v>
      </c>
      <c r="F186" s="1" t="s">
        <v>508</v>
      </c>
      <c r="G186" s="4">
        <v>45931.0</v>
      </c>
      <c r="H186" s="4">
        <v>46227.0</v>
      </c>
      <c r="I186" s="1" t="s">
        <v>19</v>
      </c>
      <c r="J186" s="1" t="s">
        <v>38</v>
      </c>
      <c r="K186" s="5">
        <v>4.58</v>
      </c>
    </row>
    <row r="187" ht="15.75" customHeight="1">
      <c r="A187" s="1" t="s">
        <v>509</v>
      </c>
      <c r="C187" s="1">
        <v>2.1618313E7</v>
      </c>
      <c r="D187" s="1" t="s">
        <v>139</v>
      </c>
      <c r="E187" s="1" t="s">
        <v>510</v>
      </c>
      <c r="F187" s="1" t="s">
        <v>511</v>
      </c>
      <c r="G187" s="4">
        <v>45931.0</v>
      </c>
      <c r="H187" s="4">
        <v>46227.0</v>
      </c>
      <c r="I187" s="1" t="s">
        <v>19</v>
      </c>
      <c r="J187" s="1" t="s">
        <v>20</v>
      </c>
      <c r="K187" s="5">
        <v>29.41</v>
      </c>
    </row>
    <row r="188" ht="15.75" customHeight="1">
      <c r="A188" s="1" t="s">
        <v>509</v>
      </c>
      <c r="C188" s="1">
        <v>2.1618313E7</v>
      </c>
      <c r="D188" s="1" t="s">
        <v>171</v>
      </c>
      <c r="E188" s="1" t="s">
        <v>512</v>
      </c>
      <c r="F188" s="1" t="s">
        <v>513</v>
      </c>
      <c r="G188" s="4">
        <v>45901.0</v>
      </c>
      <c r="H188" s="4">
        <v>46227.0</v>
      </c>
      <c r="I188" s="1" t="s">
        <v>19</v>
      </c>
      <c r="J188" s="1" t="s">
        <v>20</v>
      </c>
      <c r="K188" s="5">
        <v>29.41</v>
      </c>
    </row>
    <row r="189" ht="15.75" customHeight="1">
      <c r="A189" s="1" t="s">
        <v>11</v>
      </c>
      <c r="B189" s="1">
        <v>8971826.0</v>
      </c>
      <c r="C189" s="1">
        <v>8971826.0</v>
      </c>
      <c r="D189" s="1" t="s">
        <v>13</v>
      </c>
      <c r="E189" s="1" t="s">
        <v>14</v>
      </c>
      <c r="F189" s="1" t="s">
        <v>15</v>
      </c>
      <c r="G189" s="4">
        <v>45474.0</v>
      </c>
      <c r="H189" s="4">
        <v>46227.0</v>
      </c>
      <c r="I189" s="1" t="s">
        <v>19</v>
      </c>
      <c r="J189" s="1" t="s">
        <v>514</v>
      </c>
      <c r="K189" s="5">
        <v>6.04</v>
      </c>
    </row>
    <row r="190" ht="15.75" customHeight="1">
      <c r="A190" s="1" t="s">
        <v>11</v>
      </c>
      <c r="B190" s="1">
        <v>8971826.0</v>
      </c>
      <c r="C190" s="1">
        <v>8971826.0</v>
      </c>
      <c r="D190" s="1" t="s">
        <v>21</v>
      </c>
      <c r="E190" s="1" t="s">
        <v>22</v>
      </c>
      <c r="F190" s="1" t="s">
        <v>23</v>
      </c>
      <c r="G190" s="4">
        <v>45748.0</v>
      </c>
      <c r="H190" s="4">
        <v>46227.0</v>
      </c>
      <c r="I190" s="1" t="s">
        <v>19</v>
      </c>
      <c r="J190" s="1" t="s">
        <v>515</v>
      </c>
      <c r="K190" s="5">
        <v>5.2</v>
      </c>
    </row>
    <row r="191" ht="15.75" customHeight="1">
      <c r="A191" s="1" t="s">
        <v>24</v>
      </c>
      <c r="C191" s="1">
        <v>9254978.0</v>
      </c>
      <c r="D191" s="1" t="s">
        <v>25</v>
      </c>
      <c r="E191" s="1" t="s">
        <v>26</v>
      </c>
      <c r="F191" s="1" t="s">
        <v>27</v>
      </c>
      <c r="G191" s="4">
        <v>45901.0</v>
      </c>
      <c r="H191" s="4">
        <v>46227.0</v>
      </c>
      <c r="I191" s="1" t="s">
        <v>19</v>
      </c>
      <c r="J191" s="1" t="s">
        <v>514</v>
      </c>
      <c r="K191" s="5">
        <v>9.06</v>
      </c>
    </row>
    <row r="192" ht="15.75" customHeight="1">
      <c r="A192" s="1" t="s">
        <v>24</v>
      </c>
      <c r="B192" s="1">
        <v>9254978.0</v>
      </c>
      <c r="C192" s="1">
        <v>9254978.0</v>
      </c>
      <c r="D192" s="1" t="s">
        <v>28</v>
      </c>
      <c r="E192" s="1" t="s">
        <v>29</v>
      </c>
      <c r="F192" s="1" t="s">
        <v>30</v>
      </c>
      <c r="G192" s="4">
        <v>45658.0</v>
      </c>
      <c r="H192" s="4">
        <v>46227.0</v>
      </c>
      <c r="I192" s="1" t="s">
        <v>19</v>
      </c>
      <c r="J192" s="1" t="s">
        <v>514</v>
      </c>
      <c r="K192" s="5">
        <v>6.04</v>
      </c>
    </row>
    <row r="193" ht="15.75" customHeight="1">
      <c r="A193" s="1" t="s">
        <v>24</v>
      </c>
      <c r="C193" s="1">
        <v>9254978.0</v>
      </c>
      <c r="D193" s="1" t="s">
        <v>31</v>
      </c>
      <c r="E193" s="1" t="s">
        <v>32</v>
      </c>
      <c r="F193" s="1" t="s">
        <v>33</v>
      </c>
      <c r="G193" s="4">
        <v>45901.0</v>
      </c>
      <c r="H193" s="4">
        <v>46227.0</v>
      </c>
      <c r="I193" s="1" t="s">
        <v>19</v>
      </c>
      <c r="J193" s="1" t="s">
        <v>515</v>
      </c>
      <c r="K193" s="5">
        <v>7.81</v>
      </c>
    </row>
    <row r="194" ht="15.75" customHeight="1">
      <c r="A194" s="1" t="s">
        <v>34</v>
      </c>
      <c r="B194" s="1">
        <v>1.5278437E7</v>
      </c>
      <c r="C194" s="1">
        <v>1.5278437E7</v>
      </c>
      <c r="D194" s="1" t="s">
        <v>35</v>
      </c>
      <c r="E194" s="1" t="s">
        <v>36</v>
      </c>
      <c r="F194" s="1" t="s">
        <v>37</v>
      </c>
      <c r="G194" s="4">
        <v>45292.0</v>
      </c>
      <c r="H194" s="4">
        <v>46227.0</v>
      </c>
      <c r="I194" s="1" t="s">
        <v>19</v>
      </c>
      <c r="J194" s="1" t="s">
        <v>514</v>
      </c>
      <c r="K194" s="5">
        <v>6.04</v>
      </c>
    </row>
    <row r="195" ht="15.75" customHeight="1">
      <c r="A195" s="1" t="s">
        <v>34</v>
      </c>
      <c r="B195" s="1">
        <v>1.5278437E7</v>
      </c>
      <c r="C195" s="1">
        <v>1.5278437E7</v>
      </c>
      <c r="D195" s="1" t="s">
        <v>40</v>
      </c>
      <c r="E195" s="1" t="s">
        <v>41</v>
      </c>
      <c r="F195" s="1" t="s">
        <v>42</v>
      </c>
      <c r="G195" s="4">
        <v>45170.0</v>
      </c>
      <c r="H195" s="4">
        <v>46227.0</v>
      </c>
      <c r="I195" s="1" t="s">
        <v>19</v>
      </c>
      <c r="J195" s="1" t="s">
        <v>514</v>
      </c>
      <c r="K195" s="5">
        <v>6.04</v>
      </c>
    </row>
    <row r="196" ht="15.75" customHeight="1">
      <c r="A196" s="1" t="s">
        <v>516</v>
      </c>
      <c r="C196" s="1">
        <v>1.6865242E7</v>
      </c>
      <c r="D196" s="1" t="s">
        <v>517</v>
      </c>
      <c r="E196" s="1" t="s">
        <v>518</v>
      </c>
      <c r="F196" s="1" t="s">
        <v>519</v>
      </c>
      <c r="G196" s="4">
        <v>45931.0</v>
      </c>
      <c r="H196" s="4">
        <v>46227.0</v>
      </c>
      <c r="I196" s="1" t="s">
        <v>19</v>
      </c>
      <c r="J196" s="1" t="s">
        <v>514</v>
      </c>
      <c r="K196" s="5">
        <v>9.06</v>
      </c>
    </row>
    <row r="197" ht="15.75" customHeight="1">
      <c r="A197" s="1" t="s">
        <v>516</v>
      </c>
      <c r="C197" s="1">
        <v>1.6865242E7</v>
      </c>
      <c r="D197" s="1" t="s">
        <v>123</v>
      </c>
      <c r="E197" s="1" t="s">
        <v>520</v>
      </c>
      <c r="F197" s="1" t="s">
        <v>513</v>
      </c>
      <c r="G197" s="4">
        <v>45839.0</v>
      </c>
      <c r="H197" s="4">
        <v>46227.0</v>
      </c>
      <c r="I197" s="1" t="s">
        <v>19</v>
      </c>
      <c r="J197" s="1" t="s">
        <v>514</v>
      </c>
      <c r="K197" s="5">
        <v>6.04</v>
      </c>
    </row>
    <row r="198" ht="15.75" customHeight="1">
      <c r="A198" s="1" t="s">
        <v>46</v>
      </c>
      <c r="B198" s="1">
        <v>1.7425766E7</v>
      </c>
      <c r="C198" s="1">
        <v>1.7425766E7</v>
      </c>
      <c r="D198" s="1" t="s">
        <v>47</v>
      </c>
      <c r="E198" s="1" t="s">
        <v>48</v>
      </c>
      <c r="F198" s="1" t="s">
        <v>49</v>
      </c>
      <c r="G198" s="4">
        <v>45658.0</v>
      </c>
      <c r="H198" s="4">
        <v>46227.0</v>
      </c>
      <c r="I198" s="1" t="s">
        <v>19</v>
      </c>
      <c r="J198" s="1" t="s">
        <v>514</v>
      </c>
      <c r="K198" s="5">
        <v>6.04</v>
      </c>
    </row>
    <row r="199" ht="15.75" customHeight="1">
      <c r="A199" s="1" t="s">
        <v>50</v>
      </c>
      <c r="B199" s="1">
        <v>1.7528908E7</v>
      </c>
      <c r="C199" s="1">
        <v>1.7528908E7</v>
      </c>
      <c r="D199" s="1" t="s">
        <v>51</v>
      </c>
      <c r="E199" s="1" t="s">
        <v>52</v>
      </c>
      <c r="F199" s="1" t="s">
        <v>53</v>
      </c>
      <c r="G199" s="4">
        <v>45748.0</v>
      </c>
      <c r="H199" s="4">
        <v>46227.0</v>
      </c>
      <c r="I199" s="1" t="s">
        <v>19</v>
      </c>
      <c r="J199" s="1" t="s">
        <v>514</v>
      </c>
      <c r="K199" s="5">
        <v>6.04</v>
      </c>
    </row>
    <row r="200" ht="15.75" customHeight="1">
      <c r="A200" s="1" t="s">
        <v>50</v>
      </c>
      <c r="B200" s="1">
        <v>1.7528908E7</v>
      </c>
      <c r="C200" s="1">
        <v>1.7528908E7</v>
      </c>
      <c r="D200" s="1" t="s">
        <v>54</v>
      </c>
      <c r="E200" s="1" t="s">
        <v>55</v>
      </c>
      <c r="F200" s="1" t="s">
        <v>56</v>
      </c>
      <c r="G200" s="4">
        <v>45474.0</v>
      </c>
      <c r="H200" s="4">
        <v>46227.0</v>
      </c>
      <c r="I200" s="1" t="s">
        <v>19</v>
      </c>
      <c r="J200" s="1" t="s">
        <v>514</v>
      </c>
      <c r="K200" s="5">
        <v>6.04</v>
      </c>
    </row>
    <row r="201" ht="15.75" customHeight="1">
      <c r="A201" s="1" t="s">
        <v>50</v>
      </c>
      <c r="C201" s="1">
        <v>1.7528908E7</v>
      </c>
      <c r="D201" s="1" t="s">
        <v>57</v>
      </c>
      <c r="E201" s="1" t="s">
        <v>58</v>
      </c>
      <c r="F201" s="1" t="s">
        <v>59</v>
      </c>
      <c r="G201" s="4">
        <v>45931.0</v>
      </c>
      <c r="H201" s="4">
        <v>46227.0</v>
      </c>
      <c r="I201" s="1" t="s">
        <v>19</v>
      </c>
      <c r="J201" s="1" t="s">
        <v>514</v>
      </c>
      <c r="K201" s="5">
        <v>9.06</v>
      </c>
    </row>
    <row r="202" ht="15.75" customHeight="1">
      <c r="A202" s="1" t="s">
        <v>50</v>
      </c>
      <c r="B202" s="1">
        <v>1.7528908E7</v>
      </c>
      <c r="C202" s="1">
        <v>1.7528908E7</v>
      </c>
      <c r="D202" s="1" t="s">
        <v>60</v>
      </c>
      <c r="E202" s="1" t="s">
        <v>61</v>
      </c>
      <c r="F202" s="1" t="s">
        <v>62</v>
      </c>
      <c r="G202" s="4">
        <v>45323.0</v>
      </c>
      <c r="H202" s="4">
        <v>46227.0</v>
      </c>
      <c r="I202" s="1" t="s">
        <v>19</v>
      </c>
      <c r="J202" s="1" t="s">
        <v>514</v>
      </c>
      <c r="K202" s="5">
        <v>6.04</v>
      </c>
    </row>
    <row r="203" ht="15.75" customHeight="1">
      <c r="A203" s="1" t="s">
        <v>50</v>
      </c>
      <c r="B203" s="1">
        <v>1.7528908E7</v>
      </c>
      <c r="C203" s="1">
        <v>1.7528908E7</v>
      </c>
      <c r="D203" s="1" t="s">
        <v>63</v>
      </c>
      <c r="E203" s="1" t="s">
        <v>64</v>
      </c>
      <c r="F203" s="1" t="s">
        <v>65</v>
      </c>
      <c r="G203" s="4">
        <v>45658.0</v>
      </c>
      <c r="H203" s="4">
        <v>46227.0</v>
      </c>
      <c r="I203" s="1" t="s">
        <v>19</v>
      </c>
      <c r="J203" s="1" t="s">
        <v>514</v>
      </c>
      <c r="K203" s="5">
        <v>6.04</v>
      </c>
    </row>
    <row r="204" ht="15.75" customHeight="1">
      <c r="A204" s="1" t="s">
        <v>50</v>
      </c>
      <c r="B204" s="1">
        <v>1.7528908E7</v>
      </c>
      <c r="C204" s="1">
        <v>1.7528908E7</v>
      </c>
      <c r="D204" s="1" t="s">
        <v>66</v>
      </c>
      <c r="E204" s="1" t="s">
        <v>67</v>
      </c>
      <c r="F204" s="1" t="s">
        <v>68</v>
      </c>
      <c r="G204" s="4">
        <v>45444.0</v>
      </c>
      <c r="H204" s="4">
        <v>46227.0</v>
      </c>
      <c r="I204" s="1" t="s">
        <v>19</v>
      </c>
      <c r="J204" s="1" t="s">
        <v>514</v>
      </c>
      <c r="K204" s="5">
        <v>6.04</v>
      </c>
    </row>
    <row r="205" ht="15.75" customHeight="1">
      <c r="A205" s="1" t="s">
        <v>50</v>
      </c>
      <c r="B205" s="1">
        <v>1.7528908E7</v>
      </c>
      <c r="C205" s="1">
        <v>1.7528908E7</v>
      </c>
      <c r="D205" s="1" t="s">
        <v>69</v>
      </c>
      <c r="E205" s="1" t="s">
        <v>70</v>
      </c>
      <c r="F205" s="1" t="s">
        <v>71</v>
      </c>
      <c r="G205" s="4">
        <v>45658.0</v>
      </c>
      <c r="H205" s="4">
        <v>46227.0</v>
      </c>
      <c r="I205" s="1" t="s">
        <v>19</v>
      </c>
      <c r="J205" s="1" t="s">
        <v>514</v>
      </c>
      <c r="K205" s="5">
        <v>6.04</v>
      </c>
    </row>
    <row r="206" ht="15.75" customHeight="1">
      <c r="A206" s="1" t="s">
        <v>50</v>
      </c>
      <c r="B206" s="1">
        <v>1.7528908E7</v>
      </c>
      <c r="C206" s="1">
        <v>1.7528908E7</v>
      </c>
      <c r="D206" s="1" t="s">
        <v>72</v>
      </c>
      <c r="E206" s="1" t="s">
        <v>73</v>
      </c>
      <c r="F206" s="1" t="s">
        <v>74</v>
      </c>
      <c r="G206" s="4">
        <v>45689.0</v>
      </c>
      <c r="H206" s="4">
        <v>46227.0</v>
      </c>
      <c r="I206" s="1" t="s">
        <v>19</v>
      </c>
      <c r="J206" s="1" t="s">
        <v>514</v>
      </c>
      <c r="K206" s="5">
        <v>6.04</v>
      </c>
    </row>
    <row r="207" ht="15.75" customHeight="1">
      <c r="A207" s="1" t="s">
        <v>50</v>
      </c>
      <c r="C207" s="1">
        <v>1.7528908E7</v>
      </c>
      <c r="D207" s="1" t="s">
        <v>75</v>
      </c>
      <c r="E207" s="1" t="s">
        <v>76</v>
      </c>
      <c r="F207" s="1" t="s">
        <v>77</v>
      </c>
      <c r="G207" s="4">
        <v>45962.0</v>
      </c>
      <c r="H207" s="4">
        <v>46227.0</v>
      </c>
      <c r="I207" s="1" t="s">
        <v>19</v>
      </c>
      <c r="J207" s="1" t="s">
        <v>514</v>
      </c>
      <c r="K207" s="5">
        <v>9.06</v>
      </c>
    </row>
    <row r="208" ht="15.75" customHeight="1">
      <c r="A208" s="1" t="s">
        <v>50</v>
      </c>
      <c r="B208" s="1">
        <v>1.7528908E7</v>
      </c>
      <c r="C208" s="1">
        <v>1.7528908E7</v>
      </c>
      <c r="D208" s="1" t="s">
        <v>78</v>
      </c>
      <c r="E208" s="1" t="s">
        <v>79</v>
      </c>
      <c r="F208" s="1" t="s">
        <v>80</v>
      </c>
      <c r="G208" s="4">
        <v>45323.0</v>
      </c>
      <c r="H208" s="4">
        <v>46227.0</v>
      </c>
      <c r="I208" s="1" t="s">
        <v>19</v>
      </c>
      <c r="J208" s="1" t="s">
        <v>514</v>
      </c>
      <c r="K208" s="5">
        <v>6.04</v>
      </c>
    </row>
    <row r="209" ht="15.75" customHeight="1">
      <c r="A209" s="1" t="s">
        <v>50</v>
      </c>
      <c r="B209" s="1">
        <v>1.7528908E7</v>
      </c>
      <c r="C209" s="1">
        <v>1.7528908E7</v>
      </c>
      <c r="D209" s="1" t="s">
        <v>82</v>
      </c>
      <c r="E209" s="1" t="s">
        <v>79</v>
      </c>
      <c r="F209" s="1" t="s">
        <v>83</v>
      </c>
      <c r="G209" s="4">
        <v>45323.0</v>
      </c>
      <c r="H209" s="4">
        <v>46227.0</v>
      </c>
      <c r="I209" s="1" t="s">
        <v>19</v>
      </c>
      <c r="J209" s="1" t="s">
        <v>514</v>
      </c>
      <c r="K209" s="5">
        <v>6.04</v>
      </c>
    </row>
    <row r="210" ht="15.75" customHeight="1">
      <c r="A210" s="1" t="s">
        <v>50</v>
      </c>
      <c r="B210" s="1">
        <v>1.7528908E7</v>
      </c>
      <c r="C210" s="1">
        <v>1.7528908E7</v>
      </c>
      <c r="D210" s="1" t="s">
        <v>85</v>
      </c>
      <c r="E210" s="1" t="s">
        <v>86</v>
      </c>
      <c r="F210" s="1" t="s">
        <v>87</v>
      </c>
      <c r="G210" s="4">
        <v>45413.0</v>
      </c>
      <c r="H210" s="4">
        <v>46227.0</v>
      </c>
      <c r="I210" s="1" t="s">
        <v>19</v>
      </c>
      <c r="J210" s="1" t="s">
        <v>514</v>
      </c>
      <c r="K210" s="5">
        <v>6.04</v>
      </c>
    </row>
    <row r="211" ht="15.75" customHeight="1">
      <c r="A211" s="1" t="s">
        <v>50</v>
      </c>
      <c r="C211" s="1">
        <v>1.7528908E7</v>
      </c>
      <c r="D211" s="1" t="s">
        <v>88</v>
      </c>
      <c r="E211" s="1" t="s">
        <v>89</v>
      </c>
      <c r="F211" s="1" t="s">
        <v>90</v>
      </c>
      <c r="G211" s="4">
        <v>45931.0</v>
      </c>
      <c r="H211" s="4">
        <v>46227.0</v>
      </c>
      <c r="I211" s="1" t="s">
        <v>19</v>
      </c>
      <c r="J211" s="1" t="s">
        <v>514</v>
      </c>
      <c r="K211" s="5">
        <v>9.06</v>
      </c>
    </row>
    <row r="212" ht="15.75" customHeight="1">
      <c r="A212" s="1" t="s">
        <v>50</v>
      </c>
      <c r="C212" s="1">
        <v>1.7528908E7</v>
      </c>
      <c r="D212" s="1" t="s">
        <v>91</v>
      </c>
      <c r="E212" s="1" t="s">
        <v>92</v>
      </c>
      <c r="F212" s="1" t="s">
        <v>93</v>
      </c>
      <c r="G212" s="4">
        <v>45870.0</v>
      </c>
      <c r="H212" s="4">
        <v>46227.0</v>
      </c>
      <c r="I212" s="1" t="s">
        <v>19</v>
      </c>
      <c r="J212" s="1" t="s">
        <v>514</v>
      </c>
      <c r="K212" s="5">
        <v>9.06</v>
      </c>
    </row>
    <row r="213" ht="15.75" customHeight="1">
      <c r="A213" s="1" t="s">
        <v>50</v>
      </c>
      <c r="B213" s="1">
        <v>1.7528908E7</v>
      </c>
      <c r="C213" s="1">
        <v>1.7528908E7</v>
      </c>
      <c r="D213" s="1" t="s">
        <v>91</v>
      </c>
      <c r="E213" s="1" t="s">
        <v>96</v>
      </c>
      <c r="F213" s="1" t="s">
        <v>98</v>
      </c>
      <c r="G213" s="4">
        <v>45627.0</v>
      </c>
      <c r="H213" s="4">
        <v>46227.0</v>
      </c>
      <c r="I213" s="1" t="s">
        <v>19</v>
      </c>
      <c r="J213" s="1" t="s">
        <v>514</v>
      </c>
      <c r="K213" s="5">
        <v>6.04</v>
      </c>
    </row>
    <row r="214" ht="15.75" customHeight="1">
      <c r="A214" s="1" t="s">
        <v>50</v>
      </c>
      <c r="B214" s="1">
        <v>1.7528908E7</v>
      </c>
      <c r="C214" s="1">
        <v>1.7528908E7</v>
      </c>
      <c r="D214" s="1" t="s">
        <v>99</v>
      </c>
      <c r="E214" s="1" t="s">
        <v>100</v>
      </c>
      <c r="F214" s="1" t="s">
        <v>101</v>
      </c>
      <c r="G214" s="4">
        <v>45505.0</v>
      </c>
      <c r="H214" s="4">
        <v>46227.0</v>
      </c>
      <c r="I214" s="1" t="s">
        <v>19</v>
      </c>
      <c r="J214" s="1" t="s">
        <v>514</v>
      </c>
      <c r="K214" s="5">
        <v>6.04</v>
      </c>
    </row>
    <row r="215" ht="15.75" customHeight="1">
      <c r="A215" s="1" t="s">
        <v>50</v>
      </c>
      <c r="B215" s="1">
        <v>1.7528908E7</v>
      </c>
      <c r="C215" s="1">
        <v>1.7528908E7</v>
      </c>
      <c r="D215" s="1" t="s">
        <v>102</v>
      </c>
      <c r="E215" s="1" t="s">
        <v>103</v>
      </c>
      <c r="F215" s="1" t="s">
        <v>104</v>
      </c>
      <c r="G215" s="4">
        <v>45413.0</v>
      </c>
      <c r="H215" s="4">
        <v>46227.0</v>
      </c>
      <c r="I215" s="1" t="s">
        <v>19</v>
      </c>
      <c r="J215" s="1" t="s">
        <v>514</v>
      </c>
      <c r="K215" s="5">
        <v>6.04</v>
      </c>
    </row>
    <row r="216" ht="15.75" customHeight="1">
      <c r="A216" s="1" t="s">
        <v>50</v>
      </c>
      <c r="B216" s="1">
        <v>1.7528908E7</v>
      </c>
      <c r="C216" s="1">
        <v>1.7528908E7</v>
      </c>
      <c r="D216" s="1" t="s">
        <v>107</v>
      </c>
      <c r="E216" s="1" t="s">
        <v>108</v>
      </c>
      <c r="F216" s="1" t="s">
        <v>109</v>
      </c>
      <c r="G216" s="4">
        <v>45170.0</v>
      </c>
      <c r="H216" s="4">
        <v>46227.0</v>
      </c>
      <c r="I216" s="1" t="s">
        <v>19</v>
      </c>
      <c r="J216" s="1" t="s">
        <v>514</v>
      </c>
      <c r="K216" s="5">
        <v>6.04</v>
      </c>
    </row>
    <row r="217" ht="15.75" customHeight="1">
      <c r="A217" s="1" t="s">
        <v>50</v>
      </c>
      <c r="B217" s="1">
        <v>1.7528908E7</v>
      </c>
      <c r="C217" s="1">
        <v>1.7528908E7</v>
      </c>
      <c r="D217" s="1" t="s">
        <v>43</v>
      </c>
      <c r="E217" s="1" t="s">
        <v>108</v>
      </c>
      <c r="F217" s="1" t="s">
        <v>110</v>
      </c>
      <c r="G217" s="4">
        <v>45170.0</v>
      </c>
      <c r="H217" s="4">
        <v>46227.0</v>
      </c>
      <c r="I217" s="1" t="s">
        <v>19</v>
      </c>
      <c r="J217" s="1" t="s">
        <v>514</v>
      </c>
      <c r="K217" s="5">
        <v>6.04</v>
      </c>
    </row>
    <row r="218" ht="15.75" customHeight="1">
      <c r="A218" s="1" t="s">
        <v>50</v>
      </c>
      <c r="C218" s="1">
        <v>1.7528908E7</v>
      </c>
      <c r="D218" s="1" t="s">
        <v>111</v>
      </c>
      <c r="E218" s="1" t="s">
        <v>112</v>
      </c>
      <c r="F218" s="1" t="s">
        <v>113</v>
      </c>
      <c r="G218" s="4">
        <v>45931.0</v>
      </c>
      <c r="H218" s="4">
        <v>46227.0</v>
      </c>
      <c r="I218" s="1" t="s">
        <v>19</v>
      </c>
      <c r="J218" s="1" t="s">
        <v>514</v>
      </c>
      <c r="K218" s="5">
        <v>9.06</v>
      </c>
    </row>
    <row r="219" ht="15.75" customHeight="1">
      <c r="A219" s="1" t="s">
        <v>50</v>
      </c>
      <c r="B219" s="1">
        <v>1.7528908E7</v>
      </c>
      <c r="C219" s="1">
        <v>1.7528908E7</v>
      </c>
      <c r="D219" s="1" t="s">
        <v>115</v>
      </c>
      <c r="E219" s="1" t="s">
        <v>52</v>
      </c>
      <c r="F219" s="1" t="s">
        <v>117</v>
      </c>
      <c r="G219" s="4">
        <v>45658.0</v>
      </c>
      <c r="H219" s="4">
        <v>46227.0</v>
      </c>
      <c r="I219" s="1" t="s">
        <v>19</v>
      </c>
      <c r="J219" s="1" t="s">
        <v>514</v>
      </c>
      <c r="K219" s="5">
        <v>6.04</v>
      </c>
    </row>
    <row r="220" ht="15.75" customHeight="1">
      <c r="A220" s="1" t="s">
        <v>50</v>
      </c>
      <c r="B220" s="1">
        <v>1.7528908E7</v>
      </c>
      <c r="C220" s="1">
        <v>1.7528908E7</v>
      </c>
      <c r="D220" s="1" t="s">
        <v>119</v>
      </c>
      <c r="E220" s="1" t="s">
        <v>120</v>
      </c>
      <c r="F220" s="1" t="s">
        <v>121</v>
      </c>
      <c r="G220" s="4">
        <v>45778.0</v>
      </c>
      <c r="H220" s="4">
        <v>46227.0</v>
      </c>
      <c r="I220" s="1" t="s">
        <v>19</v>
      </c>
      <c r="J220" s="1" t="s">
        <v>514</v>
      </c>
      <c r="K220" s="5">
        <v>6.04</v>
      </c>
    </row>
    <row r="221" ht="15.75" customHeight="1">
      <c r="A221" s="1" t="s">
        <v>50</v>
      </c>
      <c r="B221" s="1">
        <v>1.7528908E7</v>
      </c>
      <c r="C221" s="1">
        <v>1.7528908E7</v>
      </c>
      <c r="D221" s="1" t="s">
        <v>122</v>
      </c>
      <c r="E221" s="1" t="s">
        <v>123</v>
      </c>
      <c r="F221" s="1" t="s">
        <v>125</v>
      </c>
      <c r="G221" s="4">
        <v>43831.0</v>
      </c>
      <c r="H221" s="4">
        <v>46227.0</v>
      </c>
      <c r="I221" s="1" t="s">
        <v>19</v>
      </c>
      <c r="J221" s="1" t="s">
        <v>514</v>
      </c>
      <c r="K221" s="5">
        <v>6.04</v>
      </c>
    </row>
    <row r="222" ht="15.75" customHeight="1">
      <c r="A222" s="1" t="s">
        <v>50</v>
      </c>
      <c r="B222" s="1">
        <v>1.7528908E7</v>
      </c>
      <c r="C222" s="1">
        <v>1.7528908E7</v>
      </c>
      <c r="D222" s="1" t="s">
        <v>128</v>
      </c>
      <c r="E222" s="1" t="s">
        <v>129</v>
      </c>
      <c r="F222" s="1" t="s">
        <v>130</v>
      </c>
      <c r="G222" s="4">
        <v>45536.0</v>
      </c>
      <c r="H222" s="4">
        <v>46227.0</v>
      </c>
      <c r="I222" s="1" t="s">
        <v>19</v>
      </c>
      <c r="J222" s="1" t="s">
        <v>514</v>
      </c>
      <c r="K222" s="5">
        <v>6.04</v>
      </c>
    </row>
    <row r="223" ht="15.75" customHeight="1">
      <c r="A223" s="1" t="s">
        <v>50</v>
      </c>
      <c r="B223" s="1">
        <v>1.7528908E7</v>
      </c>
      <c r="C223" s="1">
        <v>1.7528908E7</v>
      </c>
      <c r="D223" s="1" t="s">
        <v>131</v>
      </c>
      <c r="E223" s="1" t="s">
        <v>129</v>
      </c>
      <c r="F223" s="1" t="s">
        <v>132</v>
      </c>
      <c r="G223" s="4">
        <v>45536.0</v>
      </c>
      <c r="H223" s="4">
        <v>46227.0</v>
      </c>
      <c r="I223" s="1" t="s">
        <v>19</v>
      </c>
      <c r="J223" s="1" t="s">
        <v>514</v>
      </c>
      <c r="K223" s="5">
        <v>6.04</v>
      </c>
    </row>
    <row r="224" ht="15.75" customHeight="1">
      <c r="A224" s="1" t="s">
        <v>50</v>
      </c>
      <c r="B224" s="1">
        <v>1.7528908E7</v>
      </c>
      <c r="C224" s="1">
        <v>1.7528908E7</v>
      </c>
      <c r="D224" s="1" t="s">
        <v>133</v>
      </c>
      <c r="E224" s="1" t="s">
        <v>134</v>
      </c>
      <c r="F224" s="1" t="s">
        <v>135</v>
      </c>
      <c r="G224" s="4">
        <v>45689.0</v>
      </c>
      <c r="H224" s="4">
        <v>46227.0</v>
      </c>
      <c r="I224" s="1" t="s">
        <v>19</v>
      </c>
      <c r="J224" s="1" t="s">
        <v>514</v>
      </c>
      <c r="K224" s="5">
        <v>6.04</v>
      </c>
    </row>
    <row r="225" ht="15.75" customHeight="1">
      <c r="A225" s="1" t="s">
        <v>50</v>
      </c>
      <c r="B225" s="1">
        <v>1.7528908E7</v>
      </c>
      <c r="C225" s="1">
        <v>1.7528908E7</v>
      </c>
      <c r="D225" s="1" t="s">
        <v>136</v>
      </c>
      <c r="E225" s="1" t="s">
        <v>137</v>
      </c>
      <c r="F225" s="1" t="s">
        <v>138</v>
      </c>
      <c r="G225" s="4">
        <v>44531.0</v>
      </c>
      <c r="H225" s="4">
        <v>46227.0</v>
      </c>
      <c r="I225" s="1" t="s">
        <v>19</v>
      </c>
      <c r="J225" s="1" t="s">
        <v>514</v>
      </c>
      <c r="K225" s="5">
        <v>6.04</v>
      </c>
    </row>
    <row r="226" ht="15.75" customHeight="1">
      <c r="A226" s="1" t="s">
        <v>50</v>
      </c>
      <c r="B226" s="1">
        <v>1.7528908E7</v>
      </c>
      <c r="C226" s="1">
        <v>1.7528908E7</v>
      </c>
      <c r="D226" s="1" t="s">
        <v>25</v>
      </c>
      <c r="E226" s="1" t="s">
        <v>140</v>
      </c>
      <c r="F226" s="1" t="s">
        <v>141</v>
      </c>
      <c r="G226" s="4">
        <v>45292.0</v>
      </c>
      <c r="H226" s="4">
        <v>46227.0</v>
      </c>
      <c r="I226" s="1" t="s">
        <v>19</v>
      </c>
      <c r="J226" s="1" t="s">
        <v>514</v>
      </c>
      <c r="K226" s="5">
        <v>6.04</v>
      </c>
    </row>
    <row r="227" ht="15.75" customHeight="1">
      <c r="A227" s="1" t="s">
        <v>50</v>
      </c>
      <c r="B227" s="1">
        <v>1.7528908E7</v>
      </c>
      <c r="C227" s="1">
        <v>1.7528908E7</v>
      </c>
      <c r="D227" s="1" t="s">
        <v>47</v>
      </c>
      <c r="E227" s="1" t="s">
        <v>142</v>
      </c>
      <c r="F227" s="1" t="s">
        <v>143</v>
      </c>
      <c r="G227" s="4">
        <v>45292.0</v>
      </c>
      <c r="H227" s="4">
        <v>46227.0</v>
      </c>
      <c r="I227" s="1" t="s">
        <v>19</v>
      </c>
      <c r="J227" s="1" t="s">
        <v>514</v>
      </c>
      <c r="K227" s="5">
        <v>6.04</v>
      </c>
    </row>
    <row r="228" ht="15.75" customHeight="1">
      <c r="A228" s="1" t="s">
        <v>50</v>
      </c>
      <c r="B228" s="1">
        <v>1.7528908E7</v>
      </c>
      <c r="C228" s="1">
        <v>1.7528908E7</v>
      </c>
      <c r="D228" s="1" t="s">
        <v>144</v>
      </c>
      <c r="E228" s="1" t="s">
        <v>145</v>
      </c>
      <c r="F228" s="1" t="s">
        <v>146</v>
      </c>
      <c r="G228" s="4">
        <v>45717.0</v>
      </c>
      <c r="H228" s="4">
        <v>46227.0</v>
      </c>
      <c r="I228" s="1" t="s">
        <v>19</v>
      </c>
      <c r="J228" s="1" t="s">
        <v>514</v>
      </c>
      <c r="K228" s="5">
        <v>6.04</v>
      </c>
    </row>
    <row r="229" ht="15.75" customHeight="1">
      <c r="A229" s="1" t="s">
        <v>50</v>
      </c>
      <c r="B229" s="1">
        <v>1.7528908E7</v>
      </c>
      <c r="C229" s="1">
        <v>1.7528908E7</v>
      </c>
      <c r="D229" s="1" t="s">
        <v>82</v>
      </c>
      <c r="E229" s="1" t="s">
        <v>147</v>
      </c>
      <c r="F229" s="1" t="s">
        <v>148</v>
      </c>
      <c r="G229" s="4">
        <v>45717.0</v>
      </c>
      <c r="H229" s="4">
        <v>46227.0</v>
      </c>
      <c r="I229" s="1" t="s">
        <v>19</v>
      </c>
      <c r="J229" s="1" t="s">
        <v>514</v>
      </c>
      <c r="K229" s="5">
        <v>6.04</v>
      </c>
    </row>
    <row r="230" ht="15.75" customHeight="1">
      <c r="A230" s="1" t="s">
        <v>50</v>
      </c>
      <c r="B230" s="1">
        <v>1.7528908E7</v>
      </c>
      <c r="C230" s="1">
        <v>1.7528908E7</v>
      </c>
      <c r="D230" s="1" t="s">
        <v>149</v>
      </c>
      <c r="E230" s="1" t="s">
        <v>150</v>
      </c>
      <c r="F230" s="1" t="s">
        <v>151</v>
      </c>
      <c r="G230" s="4">
        <v>45139.0</v>
      </c>
      <c r="H230" s="4">
        <v>46227.0</v>
      </c>
      <c r="I230" s="1" t="s">
        <v>19</v>
      </c>
      <c r="J230" s="1" t="s">
        <v>514</v>
      </c>
      <c r="K230" s="5">
        <v>6.04</v>
      </c>
    </row>
    <row r="231" ht="15.75" customHeight="1">
      <c r="A231" s="1" t="s">
        <v>50</v>
      </c>
      <c r="B231" s="1">
        <v>1.7528908E7</v>
      </c>
      <c r="C231" s="1">
        <v>1.7528908E7</v>
      </c>
      <c r="D231" s="1" t="s">
        <v>152</v>
      </c>
      <c r="E231" s="1" t="s">
        <v>153</v>
      </c>
      <c r="F231" s="1" t="s">
        <v>154</v>
      </c>
      <c r="G231" s="4">
        <v>45383.0</v>
      </c>
      <c r="H231" s="4">
        <v>46227.0</v>
      </c>
      <c r="I231" s="1" t="s">
        <v>19</v>
      </c>
      <c r="J231" s="1" t="s">
        <v>514</v>
      </c>
      <c r="K231" s="5">
        <v>6.04</v>
      </c>
    </row>
    <row r="232" ht="15.75" customHeight="1">
      <c r="A232" s="1" t="s">
        <v>50</v>
      </c>
      <c r="B232" s="1">
        <v>1.7528908E7</v>
      </c>
      <c r="C232" s="1">
        <v>1.7528908E7</v>
      </c>
      <c r="D232" s="1" t="s">
        <v>155</v>
      </c>
      <c r="E232" s="1" t="s">
        <v>153</v>
      </c>
      <c r="F232" s="1" t="s">
        <v>156</v>
      </c>
      <c r="G232" s="4">
        <v>45292.0</v>
      </c>
      <c r="H232" s="4">
        <v>46227.0</v>
      </c>
      <c r="I232" s="1" t="s">
        <v>19</v>
      </c>
      <c r="J232" s="1" t="s">
        <v>514</v>
      </c>
      <c r="K232" s="5">
        <v>6.04</v>
      </c>
    </row>
    <row r="233" ht="15.75" customHeight="1">
      <c r="A233" s="1" t="s">
        <v>50</v>
      </c>
      <c r="B233" s="1">
        <v>1.7528908E7</v>
      </c>
      <c r="C233" s="1">
        <v>1.7528908E7</v>
      </c>
      <c r="D233" s="1" t="s">
        <v>57</v>
      </c>
      <c r="E233" s="1" t="s">
        <v>157</v>
      </c>
      <c r="F233" s="1" t="s">
        <v>158</v>
      </c>
      <c r="G233" s="4">
        <v>45444.0</v>
      </c>
      <c r="H233" s="4">
        <v>46227.0</v>
      </c>
      <c r="I233" s="1" t="s">
        <v>19</v>
      </c>
      <c r="J233" s="1" t="s">
        <v>514</v>
      </c>
      <c r="K233" s="5">
        <v>6.04</v>
      </c>
    </row>
    <row r="234" ht="15.75" customHeight="1">
      <c r="A234" s="1" t="s">
        <v>50</v>
      </c>
      <c r="B234" s="1">
        <v>1.7528908E7</v>
      </c>
      <c r="C234" s="1">
        <v>1.7528908E7</v>
      </c>
      <c r="D234" s="1" t="s">
        <v>160</v>
      </c>
      <c r="E234" s="1" t="s">
        <v>161</v>
      </c>
      <c r="F234" s="1" t="s">
        <v>162</v>
      </c>
      <c r="G234" s="4">
        <v>45108.0</v>
      </c>
      <c r="H234" s="4">
        <v>46227.0</v>
      </c>
      <c r="I234" s="1" t="s">
        <v>19</v>
      </c>
      <c r="J234" s="1" t="s">
        <v>514</v>
      </c>
      <c r="K234" s="5">
        <v>6.04</v>
      </c>
    </row>
    <row r="235" ht="15.75" customHeight="1">
      <c r="A235" s="1" t="s">
        <v>50</v>
      </c>
      <c r="B235" s="1">
        <v>1.7528908E7</v>
      </c>
      <c r="C235" s="1">
        <v>1.7528908E7</v>
      </c>
      <c r="D235" s="1" t="s">
        <v>165</v>
      </c>
      <c r="E235" s="1" t="s">
        <v>166</v>
      </c>
      <c r="F235" s="1" t="s">
        <v>167</v>
      </c>
      <c r="G235" s="4">
        <v>45383.0</v>
      </c>
      <c r="H235" s="4">
        <v>46227.0</v>
      </c>
      <c r="I235" s="1" t="s">
        <v>19</v>
      </c>
      <c r="J235" s="1" t="s">
        <v>514</v>
      </c>
      <c r="K235" s="5">
        <v>6.04</v>
      </c>
    </row>
    <row r="236" ht="15.75" customHeight="1">
      <c r="A236" s="1" t="s">
        <v>50</v>
      </c>
      <c r="B236" s="1">
        <v>1.7528908E7</v>
      </c>
      <c r="C236" s="1">
        <v>1.7528908E7</v>
      </c>
      <c r="D236" s="1" t="s">
        <v>168</v>
      </c>
      <c r="E236" s="1" t="s">
        <v>169</v>
      </c>
      <c r="F236" s="1" t="s">
        <v>170</v>
      </c>
      <c r="G236" s="4">
        <v>45717.0</v>
      </c>
      <c r="H236" s="4">
        <v>46227.0</v>
      </c>
      <c r="I236" s="1" t="s">
        <v>19</v>
      </c>
      <c r="J236" s="1" t="s">
        <v>514</v>
      </c>
      <c r="K236" s="5">
        <v>6.04</v>
      </c>
    </row>
    <row r="237" ht="15.75" customHeight="1">
      <c r="A237" s="1" t="s">
        <v>50</v>
      </c>
      <c r="C237" s="1">
        <v>1.7528908E7</v>
      </c>
      <c r="D237" s="1" t="s">
        <v>173</v>
      </c>
      <c r="E237" s="1" t="s">
        <v>174</v>
      </c>
      <c r="F237" s="1" t="s">
        <v>175</v>
      </c>
      <c r="G237" s="4">
        <v>45931.0</v>
      </c>
      <c r="H237" s="4">
        <v>46227.0</v>
      </c>
      <c r="I237" s="1" t="s">
        <v>19</v>
      </c>
      <c r="J237" s="1" t="s">
        <v>514</v>
      </c>
      <c r="K237" s="5">
        <v>9.06</v>
      </c>
    </row>
    <row r="238" ht="15.75" customHeight="1">
      <c r="A238" s="1" t="s">
        <v>50</v>
      </c>
      <c r="C238" s="1">
        <v>1.7528908E7</v>
      </c>
      <c r="D238" s="1" t="s">
        <v>176</v>
      </c>
      <c r="E238" s="1" t="s">
        <v>174</v>
      </c>
      <c r="F238" s="1" t="s">
        <v>177</v>
      </c>
      <c r="G238" s="4">
        <v>45931.0</v>
      </c>
      <c r="H238" s="4">
        <v>46227.0</v>
      </c>
      <c r="I238" s="1" t="s">
        <v>19</v>
      </c>
      <c r="J238" s="1" t="s">
        <v>514</v>
      </c>
      <c r="K238" s="5">
        <v>9.06</v>
      </c>
    </row>
    <row r="239" ht="15.75" customHeight="1">
      <c r="A239" s="1" t="s">
        <v>50</v>
      </c>
      <c r="B239" s="1">
        <v>1.7528908E7</v>
      </c>
      <c r="C239" s="1">
        <v>1.7528908E7</v>
      </c>
      <c r="D239" s="1" t="s">
        <v>178</v>
      </c>
      <c r="E239" s="1" t="s">
        <v>179</v>
      </c>
      <c r="F239" s="1" t="s">
        <v>180</v>
      </c>
      <c r="G239" s="4">
        <v>45292.0</v>
      </c>
      <c r="H239" s="4">
        <v>46227.0</v>
      </c>
      <c r="I239" s="1" t="s">
        <v>19</v>
      </c>
      <c r="J239" s="1" t="s">
        <v>514</v>
      </c>
      <c r="K239" s="5">
        <v>6.04</v>
      </c>
    </row>
    <row r="240" ht="15.75" customHeight="1">
      <c r="A240" s="1" t="s">
        <v>50</v>
      </c>
      <c r="B240" s="1">
        <v>1.7528908E7</v>
      </c>
      <c r="C240" s="1">
        <v>1.7528908E7</v>
      </c>
      <c r="D240" s="1" t="s">
        <v>181</v>
      </c>
      <c r="E240" s="1" t="s">
        <v>182</v>
      </c>
      <c r="F240" s="1" t="s">
        <v>183</v>
      </c>
      <c r="G240" s="4">
        <v>45658.0</v>
      </c>
      <c r="H240" s="4">
        <v>46227.0</v>
      </c>
      <c r="I240" s="1" t="s">
        <v>19</v>
      </c>
      <c r="J240" s="1" t="s">
        <v>514</v>
      </c>
      <c r="K240" s="5">
        <v>6.04</v>
      </c>
    </row>
    <row r="241" ht="15.75" customHeight="1">
      <c r="A241" s="1" t="s">
        <v>50</v>
      </c>
      <c r="B241" s="1">
        <v>1.7528908E7</v>
      </c>
      <c r="C241" s="1">
        <v>1.7528908E7</v>
      </c>
      <c r="D241" s="1" t="s">
        <v>186</v>
      </c>
      <c r="E241" s="1" t="s">
        <v>182</v>
      </c>
      <c r="F241" s="1" t="s">
        <v>187</v>
      </c>
      <c r="G241" s="4">
        <v>45658.0</v>
      </c>
      <c r="H241" s="4">
        <v>46227.0</v>
      </c>
      <c r="I241" s="1" t="s">
        <v>19</v>
      </c>
      <c r="J241" s="1" t="s">
        <v>514</v>
      </c>
      <c r="K241" s="5">
        <v>6.04</v>
      </c>
    </row>
    <row r="242" ht="15.75" customHeight="1">
      <c r="A242" s="1" t="s">
        <v>50</v>
      </c>
      <c r="B242" s="1">
        <v>1.7528908E7</v>
      </c>
      <c r="C242" s="1">
        <v>1.7528908E7</v>
      </c>
      <c r="D242" s="1" t="s">
        <v>188</v>
      </c>
      <c r="E242" s="1" t="s">
        <v>189</v>
      </c>
      <c r="F242" s="1" t="s">
        <v>190</v>
      </c>
      <c r="G242" s="4">
        <v>45536.0</v>
      </c>
      <c r="H242" s="4">
        <v>46227.0</v>
      </c>
      <c r="I242" s="1" t="s">
        <v>19</v>
      </c>
      <c r="J242" s="1" t="s">
        <v>514</v>
      </c>
      <c r="K242" s="5">
        <v>6.04</v>
      </c>
    </row>
    <row r="243" ht="15.75" customHeight="1">
      <c r="A243" s="1" t="s">
        <v>50</v>
      </c>
      <c r="B243" s="1">
        <v>1.7528908E7</v>
      </c>
      <c r="C243" s="1">
        <v>1.7528908E7</v>
      </c>
      <c r="D243" s="1" t="s">
        <v>192</v>
      </c>
      <c r="E243" s="1" t="s">
        <v>193</v>
      </c>
      <c r="F243" s="1" t="s">
        <v>194</v>
      </c>
      <c r="G243" s="4">
        <v>45839.0</v>
      </c>
      <c r="H243" s="4">
        <v>46227.0</v>
      </c>
      <c r="I243" s="1" t="s">
        <v>19</v>
      </c>
      <c r="J243" s="1" t="s">
        <v>514</v>
      </c>
      <c r="K243" s="5">
        <v>6.04</v>
      </c>
    </row>
    <row r="244" ht="15.75" customHeight="1">
      <c r="A244" s="1" t="s">
        <v>50</v>
      </c>
      <c r="B244" s="1">
        <v>1.7528908E7</v>
      </c>
      <c r="C244" s="1">
        <v>1.7528908E7</v>
      </c>
      <c r="D244" s="1" t="s">
        <v>72</v>
      </c>
      <c r="E244" s="1" t="s">
        <v>193</v>
      </c>
      <c r="F244" s="1" t="s">
        <v>195</v>
      </c>
      <c r="G244" s="4">
        <v>45809.0</v>
      </c>
      <c r="H244" s="4">
        <v>46227.0</v>
      </c>
      <c r="I244" s="1" t="s">
        <v>19</v>
      </c>
      <c r="J244" s="1" t="s">
        <v>514</v>
      </c>
      <c r="K244" s="5">
        <v>6.04</v>
      </c>
    </row>
    <row r="245" ht="15.75" customHeight="1">
      <c r="A245" s="1" t="s">
        <v>50</v>
      </c>
      <c r="B245" s="1">
        <v>1.7528908E7</v>
      </c>
      <c r="C245" s="1">
        <v>1.7528908E7</v>
      </c>
      <c r="D245" s="1" t="s">
        <v>196</v>
      </c>
      <c r="E245" s="1" t="s">
        <v>197</v>
      </c>
      <c r="F245" s="1" t="s">
        <v>198</v>
      </c>
      <c r="G245" s="4">
        <v>45809.0</v>
      </c>
      <c r="H245" s="4">
        <v>46227.0</v>
      </c>
      <c r="I245" s="1" t="s">
        <v>19</v>
      </c>
      <c r="J245" s="1" t="s">
        <v>514</v>
      </c>
      <c r="K245" s="5">
        <v>6.04</v>
      </c>
    </row>
    <row r="246" ht="15.75" customHeight="1">
      <c r="A246" s="1" t="s">
        <v>50</v>
      </c>
      <c r="B246" s="1">
        <v>1.7528908E7</v>
      </c>
      <c r="C246" s="1">
        <v>1.7528908E7</v>
      </c>
      <c r="D246" s="1" t="s">
        <v>199</v>
      </c>
      <c r="E246" s="1" t="s">
        <v>200</v>
      </c>
      <c r="F246" s="1" t="s">
        <v>201</v>
      </c>
      <c r="G246" s="4">
        <v>45748.0</v>
      </c>
      <c r="H246" s="4">
        <v>46227.0</v>
      </c>
      <c r="I246" s="1" t="s">
        <v>19</v>
      </c>
      <c r="J246" s="1" t="s">
        <v>514</v>
      </c>
      <c r="K246" s="5">
        <v>6.04</v>
      </c>
    </row>
    <row r="247" ht="15.75" customHeight="1">
      <c r="A247" s="1" t="s">
        <v>50</v>
      </c>
      <c r="B247" s="1">
        <v>1.7528908E7</v>
      </c>
      <c r="C247" s="1">
        <v>1.7528908E7</v>
      </c>
      <c r="D247" s="1" t="s">
        <v>204</v>
      </c>
      <c r="E247" s="1" t="s">
        <v>200</v>
      </c>
      <c r="F247" s="1" t="s">
        <v>205</v>
      </c>
      <c r="G247" s="4">
        <v>45689.0</v>
      </c>
      <c r="H247" s="4">
        <v>46227.0</v>
      </c>
      <c r="I247" s="1" t="s">
        <v>19</v>
      </c>
      <c r="J247" s="1" t="s">
        <v>514</v>
      </c>
      <c r="K247" s="5">
        <v>6.04</v>
      </c>
    </row>
    <row r="248" ht="15.75" customHeight="1">
      <c r="A248" s="1" t="s">
        <v>50</v>
      </c>
      <c r="B248" s="1">
        <v>1.7528908E7</v>
      </c>
      <c r="C248" s="1">
        <v>1.7528908E7</v>
      </c>
      <c r="D248" s="1" t="s">
        <v>206</v>
      </c>
      <c r="E248" s="1" t="s">
        <v>207</v>
      </c>
      <c r="F248" s="1" t="s">
        <v>208</v>
      </c>
      <c r="G248" s="4">
        <v>45658.0</v>
      </c>
      <c r="H248" s="4">
        <v>46227.0</v>
      </c>
      <c r="I248" s="1" t="s">
        <v>19</v>
      </c>
      <c r="J248" s="1" t="s">
        <v>514</v>
      </c>
      <c r="K248" s="5">
        <v>6.04</v>
      </c>
    </row>
    <row r="249" ht="15.75" customHeight="1">
      <c r="A249" s="1" t="s">
        <v>50</v>
      </c>
      <c r="B249" s="1">
        <v>1.7528908E7</v>
      </c>
      <c r="C249" s="1">
        <v>1.7528908E7</v>
      </c>
      <c r="D249" s="1" t="s">
        <v>51</v>
      </c>
      <c r="E249" s="1" t="s">
        <v>207</v>
      </c>
      <c r="F249" s="1" t="s">
        <v>209</v>
      </c>
      <c r="G249" s="4">
        <v>45658.0</v>
      </c>
      <c r="H249" s="4">
        <v>46227.0</v>
      </c>
      <c r="I249" s="1" t="s">
        <v>19</v>
      </c>
      <c r="J249" s="1" t="s">
        <v>514</v>
      </c>
      <c r="K249" s="5">
        <v>6.04</v>
      </c>
    </row>
    <row r="250" ht="15.75" customHeight="1">
      <c r="A250" s="1" t="s">
        <v>50</v>
      </c>
      <c r="B250" s="1">
        <v>1.7528908E7</v>
      </c>
      <c r="C250" s="1">
        <v>1.7528908E7</v>
      </c>
      <c r="D250" s="1" t="s">
        <v>72</v>
      </c>
      <c r="E250" s="1" t="s">
        <v>210</v>
      </c>
      <c r="F250" s="1" t="s">
        <v>211</v>
      </c>
      <c r="G250" s="4">
        <v>45078.0</v>
      </c>
      <c r="H250" s="4">
        <v>46227.0</v>
      </c>
      <c r="I250" s="1" t="s">
        <v>19</v>
      </c>
      <c r="J250" s="1" t="s">
        <v>514</v>
      </c>
      <c r="K250" s="5">
        <v>6.04</v>
      </c>
    </row>
    <row r="251" ht="15.75" customHeight="1">
      <c r="A251" s="1" t="s">
        <v>50</v>
      </c>
      <c r="B251" s="1">
        <v>1.7528908E7</v>
      </c>
      <c r="C251" s="1">
        <v>1.7528908E7</v>
      </c>
      <c r="D251" s="1" t="s">
        <v>212</v>
      </c>
      <c r="E251" s="1" t="s">
        <v>213</v>
      </c>
      <c r="F251" s="1" t="s">
        <v>214</v>
      </c>
      <c r="G251" s="4">
        <v>45689.0</v>
      </c>
      <c r="H251" s="4">
        <v>46227.0</v>
      </c>
      <c r="I251" s="1" t="s">
        <v>19</v>
      </c>
      <c r="J251" s="1" t="s">
        <v>514</v>
      </c>
      <c r="K251" s="5">
        <v>6.04</v>
      </c>
    </row>
    <row r="252" ht="15.75" customHeight="1">
      <c r="A252" s="1" t="s">
        <v>50</v>
      </c>
      <c r="B252" s="1">
        <v>1.7528908E7</v>
      </c>
      <c r="C252" s="1">
        <v>1.7528908E7</v>
      </c>
      <c r="D252" s="1" t="s">
        <v>69</v>
      </c>
      <c r="E252" s="1" t="s">
        <v>213</v>
      </c>
      <c r="F252" s="1" t="s">
        <v>215</v>
      </c>
      <c r="G252" s="4">
        <v>45689.0</v>
      </c>
      <c r="H252" s="4">
        <v>46227.0</v>
      </c>
      <c r="I252" s="1" t="s">
        <v>19</v>
      </c>
      <c r="J252" s="1" t="s">
        <v>514</v>
      </c>
      <c r="K252" s="5">
        <v>6.04</v>
      </c>
    </row>
    <row r="253" ht="15.75" customHeight="1">
      <c r="A253" s="1" t="s">
        <v>50</v>
      </c>
      <c r="B253" s="1">
        <v>1.7528908E7</v>
      </c>
      <c r="C253" s="1">
        <v>1.7528908E7</v>
      </c>
      <c r="D253" s="1" t="s">
        <v>218</v>
      </c>
      <c r="E253" s="1" t="s">
        <v>219</v>
      </c>
      <c r="F253" s="1" t="s">
        <v>220</v>
      </c>
      <c r="G253" s="4">
        <v>45597.0</v>
      </c>
      <c r="H253" s="4">
        <v>46227.0</v>
      </c>
      <c r="I253" s="1" t="s">
        <v>19</v>
      </c>
      <c r="J253" s="1" t="s">
        <v>514</v>
      </c>
      <c r="K253" s="5">
        <v>6.04</v>
      </c>
    </row>
    <row r="254" ht="15.75" customHeight="1">
      <c r="A254" s="1" t="s">
        <v>50</v>
      </c>
      <c r="C254" s="1">
        <v>1.7528908E7</v>
      </c>
      <c r="D254" s="1" t="s">
        <v>221</v>
      </c>
      <c r="E254" s="1" t="s">
        <v>222</v>
      </c>
      <c r="F254" s="1" t="s">
        <v>223</v>
      </c>
      <c r="G254" s="4">
        <v>45962.0</v>
      </c>
      <c r="H254" s="4">
        <v>46227.0</v>
      </c>
      <c r="I254" s="1" t="s">
        <v>19</v>
      </c>
      <c r="J254" s="1" t="s">
        <v>514</v>
      </c>
      <c r="K254" s="5">
        <v>9.06</v>
      </c>
    </row>
    <row r="255" ht="15.75" customHeight="1">
      <c r="A255" s="1" t="s">
        <v>50</v>
      </c>
      <c r="B255" s="1">
        <v>1.7528908E7</v>
      </c>
      <c r="C255" s="1">
        <v>1.7528908E7</v>
      </c>
      <c r="D255" s="1" t="s">
        <v>43</v>
      </c>
      <c r="E255" s="1" t="s">
        <v>224</v>
      </c>
      <c r="F255" s="1" t="s">
        <v>225</v>
      </c>
      <c r="G255" s="4">
        <v>45658.0</v>
      </c>
      <c r="H255" s="4">
        <v>46227.0</v>
      </c>
      <c r="I255" s="1" t="s">
        <v>19</v>
      </c>
      <c r="J255" s="1" t="s">
        <v>514</v>
      </c>
      <c r="K255" s="5">
        <v>6.04</v>
      </c>
    </row>
    <row r="256" ht="15.75" customHeight="1">
      <c r="A256" s="1" t="s">
        <v>50</v>
      </c>
      <c r="B256" s="1">
        <v>1.7528908E7</v>
      </c>
      <c r="C256" s="1">
        <v>1.7528908E7</v>
      </c>
      <c r="D256" s="1" t="s">
        <v>25</v>
      </c>
      <c r="E256" s="1" t="s">
        <v>224</v>
      </c>
      <c r="F256" s="1" t="s">
        <v>226</v>
      </c>
      <c r="G256" s="4">
        <v>45658.0</v>
      </c>
      <c r="H256" s="4">
        <v>46227.0</v>
      </c>
      <c r="I256" s="1" t="s">
        <v>19</v>
      </c>
      <c r="J256" s="1" t="s">
        <v>514</v>
      </c>
      <c r="K256" s="5">
        <v>6.04</v>
      </c>
    </row>
    <row r="257" ht="15.75" customHeight="1">
      <c r="A257" s="1" t="s">
        <v>50</v>
      </c>
      <c r="B257" s="1">
        <v>1.7528908E7</v>
      </c>
      <c r="C257" s="1">
        <v>1.7528908E7</v>
      </c>
      <c r="D257" s="1" t="s">
        <v>227</v>
      </c>
      <c r="E257" s="1" t="s">
        <v>228</v>
      </c>
      <c r="F257" s="1" t="s">
        <v>229</v>
      </c>
      <c r="G257" s="4">
        <v>45717.0</v>
      </c>
      <c r="H257" s="4">
        <v>46227.0</v>
      </c>
      <c r="I257" s="1" t="s">
        <v>19</v>
      </c>
      <c r="J257" s="1" t="s">
        <v>514</v>
      </c>
      <c r="K257" s="5">
        <v>6.04</v>
      </c>
    </row>
    <row r="258" ht="15.75" customHeight="1">
      <c r="A258" s="1" t="s">
        <v>50</v>
      </c>
      <c r="B258" s="1">
        <v>1.7528908E7</v>
      </c>
      <c r="C258" s="1">
        <v>1.7528908E7</v>
      </c>
      <c r="D258" s="1" t="s">
        <v>230</v>
      </c>
      <c r="E258" s="1" t="s">
        <v>217</v>
      </c>
      <c r="F258" s="1" t="s">
        <v>231</v>
      </c>
      <c r="G258" s="4">
        <v>45748.0</v>
      </c>
      <c r="H258" s="4">
        <v>46227.0</v>
      </c>
      <c r="I258" s="1" t="s">
        <v>19</v>
      </c>
      <c r="J258" s="1" t="s">
        <v>514</v>
      </c>
      <c r="K258" s="5">
        <v>6.04</v>
      </c>
    </row>
    <row r="259" ht="15.75" customHeight="1">
      <c r="A259" s="1" t="s">
        <v>50</v>
      </c>
      <c r="B259" s="1">
        <v>1.7528908E7</v>
      </c>
      <c r="C259" s="1">
        <v>1.7528908E7</v>
      </c>
      <c r="D259" s="1" t="s">
        <v>232</v>
      </c>
      <c r="E259" s="1" t="s">
        <v>233</v>
      </c>
      <c r="F259" s="1" t="s">
        <v>234</v>
      </c>
      <c r="G259" s="4">
        <v>45261.0</v>
      </c>
      <c r="H259" s="4">
        <v>46227.0</v>
      </c>
      <c r="I259" s="1" t="s">
        <v>19</v>
      </c>
      <c r="J259" s="1" t="s">
        <v>514</v>
      </c>
      <c r="K259" s="5">
        <v>6.04</v>
      </c>
    </row>
    <row r="260" ht="15.75" customHeight="1">
      <c r="A260" s="1" t="s">
        <v>50</v>
      </c>
      <c r="B260" s="1">
        <v>1.7528908E7</v>
      </c>
      <c r="C260" s="1">
        <v>1.7528908E7</v>
      </c>
      <c r="D260" s="1" t="s">
        <v>236</v>
      </c>
      <c r="E260" s="1" t="s">
        <v>233</v>
      </c>
      <c r="F260" s="1" t="s">
        <v>237</v>
      </c>
      <c r="G260" s="4">
        <v>45292.0</v>
      </c>
      <c r="H260" s="4">
        <v>46227.0</v>
      </c>
      <c r="I260" s="1" t="s">
        <v>19</v>
      </c>
      <c r="J260" s="1" t="s">
        <v>514</v>
      </c>
      <c r="K260" s="5">
        <v>6.04</v>
      </c>
    </row>
    <row r="261" ht="15.75" customHeight="1">
      <c r="A261" s="1" t="s">
        <v>50</v>
      </c>
      <c r="B261" s="1">
        <v>1.7528908E7</v>
      </c>
      <c r="C261" s="1">
        <v>1.7528908E7</v>
      </c>
      <c r="D261" s="1" t="s">
        <v>40</v>
      </c>
      <c r="E261" s="1" t="s">
        <v>192</v>
      </c>
      <c r="F261" s="1" t="s">
        <v>238</v>
      </c>
      <c r="G261" s="4">
        <v>45474.0</v>
      </c>
      <c r="H261" s="4">
        <v>46227.0</v>
      </c>
      <c r="I261" s="1" t="s">
        <v>19</v>
      </c>
      <c r="J261" s="1" t="s">
        <v>514</v>
      </c>
      <c r="K261" s="5">
        <v>6.04</v>
      </c>
    </row>
    <row r="262" ht="15.75" customHeight="1">
      <c r="A262" s="1" t="s">
        <v>50</v>
      </c>
      <c r="B262" s="1">
        <v>1.7528908E7</v>
      </c>
      <c r="C262" s="1">
        <v>1.7528908E7</v>
      </c>
      <c r="D262" s="1" t="s">
        <v>240</v>
      </c>
      <c r="E262" s="1" t="s">
        <v>241</v>
      </c>
      <c r="F262" s="1" t="s">
        <v>242</v>
      </c>
      <c r="G262" s="4">
        <v>45261.0</v>
      </c>
      <c r="H262" s="4">
        <v>46227.0</v>
      </c>
      <c r="I262" s="1" t="s">
        <v>19</v>
      </c>
      <c r="J262" s="1" t="s">
        <v>514</v>
      </c>
      <c r="K262" s="5">
        <v>6.04</v>
      </c>
    </row>
    <row r="263" ht="15.75" customHeight="1">
      <c r="A263" s="1" t="s">
        <v>50</v>
      </c>
      <c r="B263" s="1">
        <v>1.7528908E7</v>
      </c>
      <c r="C263" s="1">
        <v>1.7528908E7</v>
      </c>
      <c r="D263" s="1" t="s">
        <v>25</v>
      </c>
      <c r="E263" s="1" t="s">
        <v>243</v>
      </c>
      <c r="F263" s="1" t="s">
        <v>244</v>
      </c>
      <c r="G263" s="4">
        <v>45505.0</v>
      </c>
      <c r="H263" s="4">
        <v>46227.0</v>
      </c>
      <c r="I263" s="1" t="s">
        <v>19</v>
      </c>
      <c r="J263" s="1" t="s">
        <v>514</v>
      </c>
      <c r="K263" s="5">
        <v>6.04</v>
      </c>
    </row>
    <row r="264" ht="15.75" customHeight="1">
      <c r="A264" s="1" t="s">
        <v>50</v>
      </c>
      <c r="B264" s="1">
        <v>1.7528908E7</v>
      </c>
      <c r="C264" s="1">
        <v>1.7528908E7</v>
      </c>
      <c r="D264" s="1" t="s">
        <v>245</v>
      </c>
      <c r="E264" s="1" t="s">
        <v>246</v>
      </c>
      <c r="F264" s="1" t="s">
        <v>247</v>
      </c>
      <c r="G264" s="4">
        <v>45658.0</v>
      </c>
      <c r="H264" s="4">
        <v>46227.0</v>
      </c>
      <c r="I264" s="1" t="s">
        <v>19</v>
      </c>
      <c r="J264" s="1" t="s">
        <v>514</v>
      </c>
      <c r="K264" s="5">
        <v>6.04</v>
      </c>
    </row>
    <row r="265" ht="15.75" customHeight="1">
      <c r="A265" s="1" t="s">
        <v>50</v>
      </c>
      <c r="B265" s="1">
        <v>1.7528908E7</v>
      </c>
      <c r="C265" s="1">
        <v>1.7528908E7</v>
      </c>
      <c r="D265" s="1" t="s">
        <v>248</v>
      </c>
      <c r="E265" s="1" t="s">
        <v>249</v>
      </c>
      <c r="F265" s="1" t="s">
        <v>250</v>
      </c>
      <c r="G265" s="4">
        <v>45413.0</v>
      </c>
      <c r="H265" s="4">
        <v>46227.0</v>
      </c>
      <c r="I265" s="1" t="s">
        <v>19</v>
      </c>
      <c r="J265" s="1" t="s">
        <v>514</v>
      </c>
      <c r="K265" s="5">
        <v>6.04</v>
      </c>
    </row>
    <row r="266" ht="15.75" customHeight="1">
      <c r="A266" s="1" t="s">
        <v>50</v>
      </c>
      <c r="C266" s="1">
        <v>1.7528908E7</v>
      </c>
      <c r="D266" s="1" t="s">
        <v>139</v>
      </c>
      <c r="E266" s="1" t="s">
        <v>251</v>
      </c>
      <c r="F266" s="1" t="s">
        <v>252</v>
      </c>
      <c r="G266" s="4">
        <v>45901.0</v>
      </c>
      <c r="H266" s="4">
        <v>46227.0</v>
      </c>
      <c r="I266" s="1" t="s">
        <v>19</v>
      </c>
      <c r="J266" s="1" t="s">
        <v>514</v>
      </c>
      <c r="K266" s="5">
        <v>9.06</v>
      </c>
    </row>
    <row r="267" ht="15.75" customHeight="1">
      <c r="A267" s="1" t="s">
        <v>50</v>
      </c>
      <c r="B267" s="1">
        <v>1.7528908E7</v>
      </c>
      <c r="C267" s="1">
        <v>1.7528908E7</v>
      </c>
      <c r="D267" s="1" t="s">
        <v>254</v>
      </c>
      <c r="E267" s="1" t="s">
        <v>255</v>
      </c>
      <c r="F267" s="1" t="s">
        <v>256</v>
      </c>
      <c r="G267" s="4">
        <v>45292.0</v>
      </c>
      <c r="H267" s="4">
        <v>46227.0</v>
      </c>
      <c r="I267" s="1" t="s">
        <v>19</v>
      </c>
      <c r="J267" s="1" t="s">
        <v>514</v>
      </c>
      <c r="K267" s="5">
        <v>6.04</v>
      </c>
    </row>
    <row r="268" ht="15.75" customHeight="1">
      <c r="A268" s="1" t="s">
        <v>50</v>
      </c>
      <c r="B268" s="1">
        <v>1.7528908E7</v>
      </c>
      <c r="C268" s="1">
        <v>1.7528908E7</v>
      </c>
      <c r="D268" s="1" t="s">
        <v>82</v>
      </c>
      <c r="E268" s="1" t="s">
        <v>257</v>
      </c>
      <c r="F268" s="1" t="s">
        <v>187</v>
      </c>
      <c r="G268" s="4">
        <v>45748.0</v>
      </c>
      <c r="H268" s="4">
        <v>46227.0</v>
      </c>
      <c r="I268" s="1" t="s">
        <v>19</v>
      </c>
      <c r="J268" s="1" t="s">
        <v>514</v>
      </c>
      <c r="K268" s="5">
        <v>6.04</v>
      </c>
    </row>
    <row r="269" ht="15.75" customHeight="1">
      <c r="A269" s="1" t="s">
        <v>50</v>
      </c>
      <c r="B269" s="1">
        <v>1.7528908E7</v>
      </c>
      <c r="C269" s="1">
        <v>1.7528908E7</v>
      </c>
      <c r="D269" s="1" t="s">
        <v>131</v>
      </c>
      <c r="E269" s="1" t="s">
        <v>258</v>
      </c>
      <c r="F269" s="1" t="s">
        <v>259</v>
      </c>
      <c r="G269" s="4">
        <v>45689.0</v>
      </c>
      <c r="H269" s="4">
        <v>46227.0</v>
      </c>
      <c r="I269" s="1" t="s">
        <v>19</v>
      </c>
      <c r="J269" s="1" t="s">
        <v>514</v>
      </c>
      <c r="K269" s="5">
        <v>6.04</v>
      </c>
    </row>
    <row r="270" ht="15.75" customHeight="1">
      <c r="A270" s="1" t="s">
        <v>50</v>
      </c>
      <c r="B270" s="1">
        <v>1.7528908E7</v>
      </c>
      <c r="C270" s="1">
        <v>1.7528908E7</v>
      </c>
      <c r="D270" s="1" t="s">
        <v>260</v>
      </c>
      <c r="E270" s="1" t="s">
        <v>261</v>
      </c>
      <c r="F270" s="1" t="s">
        <v>262</v>
      </c>
      <c r="G270" s="4">
        <v>44713.0</v>
      </c>
      <c r="H270" s="4">
        <v>46227.0</v>
      </c>
      <c r="I270" s="1" t="s">
        <v>19</v>
      </c>
      <c r="J270" s="1" t="s">
        <v>514</v>
      </c>
      <c r="K270" s="5">
        <v>6.04</v>
      </c>
    </row>
    <row r="271" ht="15.75" customHeight="1">
      <c r="A271" s="1" t="s">
        <v>50</v>
      </c>
      <c r="B271" s="1">
        <v>1.7528908E7</v>
      </c>
      <c r="C271" s="1">
        <v>1.7528908E7</v>
      </c>
      <c r="D271" s="1" t="s">
        <v>139</v>
      </c>
      <c r="E271" s="1" t="s">
        <v>263</v>
      </c>
      <c r="F271" s="1" t="s">
        <v>264</v>
      </c>
      <c r="G271" s="4">
        <v>45444.0</v>
      </c>
      <c r="H271" s="4">
        <v>46227.0</v>
      </c>
      <c r="I271" s="1" t="s">
        <v>19</v>
      </c>
      <c r="J271" s="1" t="s">
        <v>514</v>
      </c>
      <c r="K271" s="5">
        <v>6.04</v>
      </c>
    </row>
    <row r="272" ht="15.75" customHeight="1">
      <c r="A272" s="1" t="s">
        <v>50</v>
      </c>
      <c r="B272" s="1">
        <v>1.7528908E7</v>
      </c>
      <c r="C272" s="1">
        <v>1.7528908E7</v>
      </c>
      <c r="D272" s="1" t="s">
        <v>88</v>
      </c>
      <c r="E272" s="1" t="s">
        <v>263</v>
      </c>
      <c r="F272" s="1" t="s">
        <v>265</v>
      </c>
      <c r="G272" s="4">
        <v>45536.0</v>
      </c>
      <c r="H272" s="4">
        <v>46227.0</v>
      </c>
      <c r="I272" s="1" t="s">
        <v>19</v>
      </c>
      <c r="J272" s="1" t="s">
        <v>514</v>
      </c>
      <c r="K272" s="5">
        <v>6.04</v>
      </c>
    </row>
    <row r="273" ht="15.75" customHeight="1">
      <c r="A273" s="1" t="s">
        <v>50</v>
      </c>
      <c r="B273" s="1">
        <v>1.7528908E7</v>
      </c>
      <c r="C273" s="1">
        <v>1.7528908E7</v>
      </c>
      <c r="D273" s="1" t="s">
        <v>57</v>
      </c>
      <c r="E273" s="1" t="s">
        <v>267</v>
      </c>
      <c r="F273" s="1" t="s">
        <v>269</v>
      </c>
      <c r="G273" s="4">
        <v>45566.0</v>
      </c>
      <c r="H273" s="4">
        <v>46227.0</v>
      </c>
      <c r="I273" s="1" t="s">
        <v>19</v>
      </c>
      <c r="J273" s="1" t="s">
        <v>514</v>
      </c>
      <c r="K273" s="5">
        <v>6.04</v>
      </c>
    </row>
    <row r="274" ht="15.75" customHeight="1">
      <c r="A274" s="1" t="s">
        <v>50</v>
      </c>
      <c r="B274" s="1">
        <v>1.7528908E7</v>
      </c>
      <c r="C274" s="1">
        <v>1.7528908E7</v>
      </c>
      <c r="D274" s="1" t="s">
        <v>271</v>
      </c>
      <c r="E274" s="1" t="s">
        <v>272</v>
      </c>
      <c r="F274" s="1" t="s">
        <v>273</v>
      </c>
      <c r="G274" s="4">
        <v>45839.0</v>
      </c>
      <c r="H274" s="4">
        <v>46227.0</v>
      </c>
      <c r="I274" s="1" t="s">
        <v>19</v>
      </c>
      <c r="J274" s="1" t="s">
        <v>514</v>
      </c>
      <c r="K274" s="5">
        <v>6.04</v>
      </c>
    </row>
    <row r="275" ht="15.75" customHeight="1">
      <c r="A275" s="1" t="s">
        <v>50</v>
      </c>
      <c r="B275" s="1">
        <v>1.7528908E7</v>
      </c>
      <c r="C275" s="1">
        <v>1.7528908E7</v>
      </c>
      <c r="D275" s="1" t="s">
        <v>202</v>
      </c>
      <c r="E275" s="1" t="s">
        <v>274</v>
      </c>
      <c r="F275" s="1" t="s">
        <v>275</v>
      </c>
      <c r="G275" s="4">
        <v>45352.0</v>
      </c>
      <c r="H275" s="4">
        <v>46227.0</v>
      </c>
      <c r="I275" s="1" t="s">
        <v>19</v>
      </c>
      <c r="J275" s="1" t="s">
        <v>514</v>
      </c>
      <c r="K275" s="5">
        <v>6.04</v>
      </c>
    </row>
    <row r="276" ht="15.75" customHeight="1">
      <c r="A276" s="1" t="s">
        <v>50</v>
      </c>
      <c r="B276" s="1">
        <v>1.7528908E7</v>
      </c>
      <c r="C276" s="1">
        <v>1.7528908E7</v>
      </c>
      <c r="D276" s="1" t="s">
        <v>276</v>
      </c>
      <c r="E276" s="1" t="s">
        <v>277</v>
      </c>
      <c r="F276" s="1" t="s">
        <v>278</v>
      </c>
      <c r="G276" s="4">
        <v>45536.0</v>
      </c>
      <c r="H276" s="4">
        <v>46227.0</v>
      </c>
      <c r="I276" s="1" t="s">
        <v>19</v>
      </c>
      <c r="J276" s="1" t="s">
        <v>514</v>
      </c>
      <c r="K276" s="5">
        <v>6.04</v>
      </c>
    </row>
    <row r="277" ht="15.75" customHeight="1">
      <c r="A277" s="1" t="s">
        <v>50</v>
      </c>
      <c r="B277" s="1">
        <v>1.7528908E7</v>
      </c>
      <c r="C277" s="1">
        <v>1.7528908E7</v>
      </c>
      <c r="D277" s="1" t="s">
        <v>72</v>
      </c>
      <c r="E277" s="1" t="s">
        <v>279</v>
      </c>
      <c r="F277" s="1" t="s">
        <v>280</v>
      </c>
      <c r="G277" s="4">
        <v>45323.0</v>
      </c>
      <c r="H277" s="4">
        <v>46227.0</v>
      </c>
      <c r="I277" s="1" t="s">
        <v>19</v>
      </c>
      <c r="J277" s="1" t="s">
        <v>514</v>
      </c>
      <c r="K277" s="5">
        <v>6.04</v>
      </c>
    </row>
    <row r="278" ht="15.75" customHeight="1">
      <c r="A278" s="1" t="s">
        <v>50</v>
      </c>
      <c r="B278" s="1">
        <v>1.7528908E7</v>
      </c>
      <c r="C278" s="1">
        <v>1.7528908E7</v>
      </c>
      <c r="D278" s="1" t="s">
        <v>281</v>
      </c>
      <c r="E278" s="1" t="s">
        <v>282</v>
      </c>
      <c r="F278" s="1" t="s">
        <v>283</v>
      </c>
      <c r="G278" s="4">
        <v>45261.0</v>
      </c>
      <c r="H278" s="4">
        <v>46227.0</v>
      </c>
      <c r="I278" s="1" t="s">
        <v>19</v>
      </c>
      <c r="J278" s="1" t="s">
        <v>514</v>
      </c>
      <c r="K278" s="5">
        <v>6.04</v>
      </c>
    </row>
    <row r="279" ht="15.75" customHeight="1">
      <c r="A279" s="1" t="s">
        <v>50</v>
      </c>
      <c r="C279" s="1">
        <v>1.7528908E7</v>
      </c>
      <c r="D279" s="1" t="s">
        <v>221</v>
      </c>
      <c r="E279" s="1" t="s">
        <v>286</v>
      </c>
      <c r="F279" s="1" t="s">
        <v>287</v>
      </c>
      <c r="G279" s="4">
        <v>45931.0</v>
      </c>
      <c r="H279" s="4">
        <v>46227.0</v>
      </c>
      <c r="I279" s="1" t="s">
        <v>19</v>
      </c>
      <c r="J279" s="1" t="s">
        <v>514</v>
      </c>
      <c r="K279" s="5">
        <v>9.06</v>
      </c>
    </row>
    <row r="280" ht="15.75" customHeight="1">
      <c r="A280" s="1" t="s">
        <v>50</v>
      </c>
      <c r="B280" s="1">
        <v>1.7528908E7</v>
      </c>
      <c r="C280" s="1">
        <v>1.7528908E7</v>
      </c>
      <c r="D280" s="1" t="s">
        <v>245</v>
      </c>
      <c r="E280" s="1" t="s">
        <v>288</v>
      </c>
      <c r="F280" s="1" t="s">
        <v>289</v>
      </c>
      <c r="G280" s="4">
        <v>44228.0</v>
      </c>
      <c r="H280" s="4">
        <v>46227.0</v>
      </c>
      <c r="I280" s="1" t="s">
        <v>19</v>
      </c>
      <c r="J280" s="1" t="s">
        <v>514</v>
      </c>
      <c r="K280" s="5">
        <v>6.04</v>
      </c>
    </row>
    <row r="281" ht="15.75" customHeight="1">
      <c r="A281" s="1" t="s">
        <v>50</v>
      </c>
      <c r="B281" s="1">
        <v>1.7528908E7</v>
      </c>
      <c r="C281" s="1">
        <v>1.7528908E7</v>
      </c>
      <c r="D281" s="1" t="s">
        <v>290</v>
      </c>
      <c r="E281" s="1" t="s">
        <v>291</v>
      </c>
      <c r="F281" s="1" t="s">
        <v>292</v>
      </c>
      <c r="G281" s="4">
        <v>45809.0</v>
      </c>
      <c r="H281" s="4">
        <v>46227.0</v>
      </c>
      <c r="I281" s="1" t="s">
        <v>19</v>
      </c>
      <c r="J281" s="1" t="s">
        <v>514</v>
      </c>
      <c r="K281" s="5">
        <v>6.04</v>
      </c>
    </row>
    <row r="282" ht="15.75" customHeight="1">
      <c r="A282" s="1" t="s">
        <v>50</v>
      </c>
      <c r="B282" s="1">
        <v>1.7528908E7</v>
      </c>
      <c r="C282" s="1">
        <v>1.7528908E7</v>
      </c>
      <c r="D282" s="1" t="s">
        <v>293</v>
      </c>
      <c r="E282" s="1" t="s">
        <v>294</v>
      </c>
      <c r="F282" s="1" t="s">
        <v>295</v>
      </c>
      <c r="G282" s="4">
        <v>45658.0</v>
      </c>
      <c r="H282" s="4">
        <v>46227.0</v>
      </c>
      <c r="I282" s="1" t="s">
        <v>19</v>
      </c>
      <c r="J282" s="1" t="s">
        <v>514</v>
      </c>
      <c r="K282" s="5">
        <v>6.04</v>
      </c>
    </row>
    <row r="283" ht="15.75" customHeight="1">
      <c r="A283" s="1" t="s">
        <v>50</v>
      </c>
      <c r="B283" s="1">
        <v>1.7528908E7</v>
      </c>
      <c r="C283" s="1">
        <v>1.7528908E7</v>
      </c>
      <c r="D283" s="1" t="s">
        <v>296</v>
      </c>
      <c r="E283" s="1" t="s">
        <v>297</v>
      </c>
      <c r="F283" s="1" t="s">
        <v>298</v>
      </c>
      <c r="G283" s="4">
        <v>45627.0</v>
      </c>
      <c r="H283" s="4">
        <v>46227.0</v>
      </c>
      <c r="I283" s="1" t="s">
        <v>19</v>
      </c>
      <c r="J283" s="1" t="s">
        <v>514</v>
      </c>
      <c r="K283" s="5">
        <v>6.04</v>
      </c>
    </row>
    <row r="284" ht="15.75" customHeight="1">
      <c r="A284" s="1" t="s">
        <v>50</v>
      </c>
      <c r="B284" s="1">
        <v>1.7528908E7</v>
      </c>
      <c r="C284" s="1">
        <v>1.7528908E7</v>
      </c>
      <c r="D284" s="1" t="s">
        <v>299</v>
      </c>
      <c r="E284" s="1" t="s">
        <v>300</v>
      </c>
      <c r="F284" s="1" t="s">
        <v>302</v>
      </c>
      <c r="G284" s="4">
        <v>45505.0</v>
      </c>
      <c r="H284" s="4">
        <v>46227.0</v>
      </c>
      <c r="I284" s="1" t="s">
        <v>19</v>
      </c>
      <c r="J284" s="1" t="s">
        <v>514</v>
      </c>
      <c r="K284" s="5">
        <v>6.04</v>
      </c>
    </row>
    <row r="285" ht="15.75" customHeight="1">
      <c r="A285" s="1" t="s">
        <v>50</v>
      </c>
      <c r="B285" s="1">
        <v>1.7528908E7</v>
      </c>
      <c r="C285" s="1">
        <v>1.7528908E7</v>
      </c>
      <c r="D285" s="1" t="s">
        <v>188</v>
      </c>
      <c r="E285" s="1" t="s">
        <v>303</v>
      </c>
      <c r="F285" s="1" t="s">
        <v>304</v>
      </c>
      <c r="G285" s="4">
        <v>45748.0</v>
      </c>
      <c r="H285" s="4">
        <v>46227.0</v>
      </c>
      <c r="I285" s="1" t="s">
        <v>19</v>
      </c>
      <c r="J285" s="1" t="s">
        <v>514</v>
      </c>
      <c r="K285" s="5">
        <v>6.04</v>
      </c>
    </row>
    <row r="286" ht="15.75" customHeight="1">
      <c r="A286" s="1" t="s">
        <v>50</v>
      </c>
      <c r="B286" s="1">
        <v>1.7528908E7</v>
      </c>
      <c r="C286" s="1">
        <v>1.7528908E7</v>
      </c>
      <c r="D286" s="1" t="s">
        <v>305</v>
      </c>
      <c r="E286" s="1" t="s">
        <v>306</v>
      </c>
      <c r="F286" s="1" t="s">
        <v>307</v>
      </c>
      <c r="G286" s="4">
        <v>45658.0</v>
      </c>
      <c r="H286" s="4">
        <v>46227.0</v>
      </c>
      <c r="I286" s="1" t="s">
        <v>19</v>
      </c>
      <c r="J286" s="1" t="s">
        <v>514</v>
      </c>
      <c r="K286" s="5">
        <v>6.04</v>
      </c>
    </row>
    <row r="287" ht="15.75" customHeight="1">
      <c r="A287" s="1" t="s">
        <v>50</v>
      </c>
      <c r="B287" s="1">
        <v>1.7528908E7</v>
      </c>
      <c r="C287" s="1">
        <v>1.7528908E7</v>
      </c>
      <c r="D287" s="1" t="s">
        <v>133</v>
      </c>
      <c r="E287" s="1" t="s">
        <v>308</v>
      </c>
      <c r="F287" s="1" t="s">
        <v>309</v>
      </c>
      <c r="G287" s="4">
        <v>45658.0</v>
      </c>
      <c r="H287" s="4">
        <v>46227.0</v>
      </c>
      <c r="I287" s="1" t="s">
        <v>19</v>
      </c>
      <c r="J287" s="1" t="s">
        <v>514</v>
      </c>
      <c r="K287" s="5">
        <v>6.04</v>
      </c>
    </row>
    <row r="288" ht="15.75" customHeight="1">
      <c r="A288" s="1" t="s">
        <v>50</v>
      </c>
      <c r="B288" s="1">
        <v>1.7528908E7</v>
      </c>
      <c r="C288" s="1">
        <v>1.7528908E7</v>
      </c>
      <c r="D288" s="1" t="s">
        <v>245</v>
      </c>
      <c r="E288" s="1" t="s">
        <v>41</v>
      </c>
      <c r="F288" s="1" t="s">
        <v>312</v>
      </c>
      <c r="G288" s="4">
        <v>44562.0</v>
      </c>
      <c r="H288" s="4">
        <v>46227.0</v>
      </c>
      <c r="I288" s="1" t="s">
        <v>19</v>
      </c>
      <c r="J288" s="1" t="s">
        <v>514</v>
      </c>
      <c r="K288" s="5">
        <v>6.04</v>
      </c>
    </row>
    <row r="289" ht="15.75" customHeight="1">
      <c r="A289" s="1" t="s">
        <v>50</v>
      </c>
      <c r="B289" s="1">
        <v>1.7528908E7</v>
      </c>
      <c r="C289" s="1">
        <v>1.7528908E7</v>
      </c>
      <c r="D289" s="1" t="s">
        <v>69</v>
      </c>
      <c r="E289" s="1" t="s">
        <v>313</v>
      </c>
      <c r="F289" s="1" t="s">
        <v>314</v>
      </c>
      <c r="G289" s="4">
        <v>45292.0</v>
      </c>
      <c r="H289" s="4">
        <v>46227.0</v>
      </c>
      <c r="I289" s="1" t="s">
        <v>19</v>
      </c>
      <c r="J289" s="1" t="s">
        <v>514</v>
      </c>
      <c r="K289" s="5">
        <v>6.04</v>
      </c>
    </row>
    <row r="290" ht="15.75" customHeight="1">
      <c r="A290" s="1" t="s">
        <v>50</v>
      </c>
      <c r="B290" s="1">
        <v>1.7528908E7</v>
      </c>
      <c r="C290" s="1">
        <v>1.7528908E7</v>
      </c>
      <c r="D290" s="1" t="s">
        <v>315</v>
      </c>
      <c r="E290" s="1" t="s">
        <v>313</v>
      </c>
      <c r="F290" s="1" t="s">
        <v>316</v>
      </c>
      <c r="G290" s="4">
        <v>45292.0</v>
      </c>
      <c r="H290" s="4">
        <v>46227.0</v>
      </c>
      <c r="I290" s="1" t="s">
        <v>19</v>
      </c>
      <c r="J290" s="1" t="s">
        <v>514</v>
      </c>
      <c r="K290" s="5">
        <v>6.04</v>
      </c>
    </row>
    <row r="291" ht="15.75" customHeight="1">
      <c r="A291" s="1" t="s">
        <v>50</v>
      </c>
      <c r="B291" s="1">
        <v>1.7528908E7</v>
      </c>
      <c r="C291" s="1">
        <v>1.7528908E7</v>
      </c>
      <c r="D291" s="1" t="s">
        <v>317</v>
      </c>
      <c r="E291" s="1" t="s">
        <v>318</v>
      </c>
      <c r="F291" s="1" t="s">
        <v>319</v>
      </c>
      <c r="G291" s="4">
        <v>43497.0</v>
      </c>
      <c r="H291" s="4">
        <v>46227.0</v>
      </c>
      <c r="I291" s="1" t="s">
        <v>19</v>
      </c>
      <c r="J291" s="1" t="s">
        <v>514</v>
      </c>
      <c r="K291" s="5">
        <v>6.04</v>
      </c>
    </row>
    <row r="292" ht="15.75" customHeight="1">
      <c r="A292" s="1" t="s">
        <v>50</v>
      </c>
      <c r="B292" s="1">
        <v>1.7528908E7</v>
      </c>
      <c r="C292" s="1">
        <v>1.7528908E7</v>
      </c>
      <c r="D292" s="1" t="s">
        <v>320</v>
      </c>
      <c r="E292" s="1" t="s">
        <v>321</v>
      </c>
      <c r="F292" s="1" t="s">
        <v>322</v>
      </c>
      <c r="G292" s="4">
        <v>45170.0</v>
      </c>
      <c r="H292" s="4">
        <v>46227.0</v>
      </c>
      <c r="I292" s="1" t="s">
        <v>19</v>
      </c>
      <c r="J292" s="1" t="s">
        <v>514</v>
      </c>
      <c r="K292" s="5">
        <v>6.04</v>
      </c>
    </row>
    <row r="293" ht="15.75" customHeight="1">
      <c r="A293" s="1" t="s">
        <v>50</v>
      </c>
      <c r="B293" s="1">
        <v>1.7528908E7</v>
      </c>
      <c r="C293" s="1">
        <v>1.7528908E7</v>
      </c>
      <c r="D293" s="1" t="s">
        <v>51</v>
      </c>
      <c r="E293" s="1" t="s">
        <v>321</v>
      </c>
      <c r="F293" s="1" t="s">
        <v>323</v>
      </c>
      <c r="G293" s="4">
        <v>45170.0</v>
      </c>
      <c r="H293" s="4">
        <v>46227.0</v>
      </c>
      <c r="I293" s="1" t="s">
        <v>19</v>
      </c>
      <c r="J293" s="1" t="s">
        <v>514</v>
      </c>
      <c r="K293" s="5">
        <v>6.04</v>
      </c>
    </row>
    <row r="294" ht="15.75" customHeight="1">
      <c r="A294" s="1" t="s">
        <v>50</v>
      </c>
      <c r="B294" s="1">
        <v>1.7528908E7</v>
      </c>
      <c r="C294" s="1">
        <v>1.7528908E7</v>
      </c>
      <c r="D294" s="1" t="s">
        <v>171</v>
      </c>
      <c r="E294" s="1" t="s">
        <v>324</v>
      </c>
      <c r="F294" s="1" t="s">
        <v>325</v>
      </c>
      <c r="G294" s="4">
        <v>45658.0</v>
      </c>
      <c r="H294" s="4">
        <v>46227.0</v>
      </c>
      <c r="I294" s="1" t="s">
        <v>19</v>
      </c>
      <c r="J294" s="1" t="s">
        <v>514</v>
      </c>
      <c r="K294" s="5">
        <v>6.04</v>
      </c>
    </row>
    <row r="295" ht="15.75" customHeight="1">
      <c r="A295" s="1" t="s">
        <v>50</v>
      </c>
      <c r="B295" s="1">
        <v>1.7528908E7</v>
      </c>
      <c r="C295" s="1">
        <v>1.7528908E7</v>
      </c>
      <c r="D295" s="1" t="s">
        <v>111</v>
      </c>
      <c r="E295" s="1" t="s">
        <v>326</v>
      </c>
      <c r="F295" s="1" t="s">
        <v>327</v>
      </c>
      <c r="G295" s="4">
        <v>45383.0</v>
      </c>
      <c r="H295" s="4">
        <v>46227.0</v>
      </c>
      <c r="I295" s="1" t="s">
        <v>19</v>
      </c>
      <c r="J295" s="1" t="s">
        <v>514</v>
      </c>
      <c r="K295" s="5">
        <v>6.04</v>
      </c>
    </row>
    <row r="296" ht="15.75" customHeight="1">
      <c r="A296" s="1" t="s">
        <v>50</v>
      </c>
      <c r="B296" s="1">
        <v>1.7528908E7</v>
      </c>
      <c r="C296" s="1">
        <v>1.7528908E7</v>
      </c>
      <c r="D296" s="1" t="s">
        <v>75</v>
      </c>
      <c r="E296" s="1" t="s">
        <v>328</v>
      </c>
      <c r="F296" s="1" t="s">
        <v>329</v>
      </c>
      <c r="G296" s="4">
        <v>45200.0</v>
      </c>
      <c r="H296" s="4">
        <v>46227.0</v>
      </c>
      <c r="I296" s="1" t="s">
        <v>19</v>
      </c>
      <c r="J296" s="1" t="s">
        <v>514</v>
      </c>
      <c r="K296" s="5">
        <v>6.04</v>
      </c>
    </row>
    <row r="297" ht="15.75" customHeight="1">
      <c r="A297" s="1" t="s">
        <v>50</v>
      </c>
      <c r="B297" s="1">
        <v>1.7528908E7</v>
      </c>
      <c r="C297" s="1">
        <v>1.7528908E7</v>
      </c>
      <c r="D297" s="1" t="s">
        <v>330</v>
      </c>
      <c r="E297" s="1" t="s">
        <v>72</v>
      </c>
      <c r="F297" s="1" t="s">
        <v>331</v>
      </c>
      <c r="G297" s="4">
        <v>45658.0</v>
      </c>
      <c r="H297" s="4">
        <v>46227.0</v>
      </c>
      <c r="I297" s="1" t="s">
        <v>19</v>
      </c>
      <c r="J297" s="1" t="s">
        <v>514</v>
      </c>
      <c r="K297" s="5">
        <v>6.04</v>
      </c>
    </row>
    <row r="298" ht="15.75" customHeight="1">
      <c r="A298" s="1" t="s">
        <v>50</v>
      </c>
      <c r="B298" s="1">
        <v>1.7528908E7</v>
      </c>
      <c r="C298" s="1">
        <v>1.7528908E7</v>
      </c>
      <c r="D298" s="1" t="s">
        <v>72</v>
      </c>
      <c r="E298" s="1" t="s">
        <v>72</v>
      </c>
      <c r="F298" s="1" t="s">
        <v>332</v>
      </c>
      <c r="G298" s="4">
        <v>45658.0</v>
      </c>
      <c r="H298" s="4">
        <v>46227.0</v>
      </c>
      <c r="I298" s="1" t="s">
        <v>19</v>
      </c>
      <c r="J298" s="1" t="s">
        <v>514</v>
      </c>
      <c r="K298" s="5">
        <v>6.04</v>
      </c>
    </row>
    <row r="299" ht="15.75" customHeight="1">
      <c r="A299" s="1" t="s">
        <v>50</v>
      </c>
      <c r="B299" s="1">
        <v>1.7528908E7</v>
      </c>
      <c r="C299" s="1">
        <v>1.7528908E7</v>
      </c>
      <c r="D299" s="1" t="s">
        <v>333</v>
      </c>
      <c r="E299" s="1" t="s">
        <v>334</v>
      </c>
      <c r="F299" s="1" t="s">
        <v>335</v>
      </c>
      <c r="G299" s="4">
        <v>45839.0</v>
      </c>
      <c r="H299" s="4">
        <v>46227.0</v>
      </c>
      <c r="I299" s="1" t="s">
        <v>19</v>
      </c>
      <c r="J299" s="1" t="s">
        <v>514</v>
      </c>
      <c r="K299" s="5">
        <v>6.04</v>
      </c>
    </row>
    <row r="300" ht="15.75" customHeight="1">
      <c r="A300" s="1" t="s">
        <v>50</v>
      </c>
      <c r="B300" s="1">
        <v>1.7528908E7</v>
      </c>
      <c r="C300" s="1">
        <v>1.7528908E7</v>
      </c>
      <c r="D300" s="1" t="s">
        <v>336</v>
      </c>
      <c r="E300" s="1" t="s">
        <v>337</v>
      </c>
      <c r="F300" s="1" t="s">
        <v>338</v>
      </c>
      <c r="G300" s="4">
        <v>45383.0</v>
      </c>
      <c r="H300" s="4">
        <v>46227.0</v>
      </c>
      <c r="I300" s="1" t="s">
        <v>19</v>
      </c>
      <c r="J300" s="1" t="s">
        <v>514</v>
      </c>
      <c r="K300" s="5">
        <v>6.04</v>
      </c>
    </row>
    <row r="301" ht="15.75" customHeight="1">
      <c r="A301" s="1" t="s">
        <v>50</v>
      </c>
      <c r="B301" s="1">
        <v>1.7528908E7</v>
      </c>
      <c r="C301" s="1">
        <v>1.7528908E7</v>
      </c>
      <c r="D301" s="1" t="s">
        <v>290</v>
      </c>
      <c r="E301" s="1" t="s">
        <v>340</v>
      </c>
      <c r="F301" s="1" t="s">
        <v>341</v>
      </c>
      <c r="G301" s="4">
        <v>45748.0</v>
      </c>
      <c r="H301" s="4">
        <v>46227.0</v>
      </c>
      <c r="I301" s="1" t="s">
        <v>19</v>
      </c>
      <c r="J301" s="1" t="s">
        <v>514</v>
      </c>
      <c r="K301" s="5">
        <v>6.04</v>
      </c>
    </row>
    <row r="302" ht="15.75" customHeight="1">
      <c r="A302" s="1" t="s">
        <v>50</v>
      </c>
      <c r="B302" s="1">
        <v>1.7528908E7</v>
      </c>
      <c r="C302" s="1">
        <v>1.7528908E7</v>
      </c>
      <c r="D302" s="1" t="s">
        <v>342</v>
      </c>
      <c r="E302" s="1" t="s">
        <v>343</v>
      </c>
      <c r="F302" s="1" t="s">
        <v>344</v>
      </c>
      <c r="G302" s="4">
        <v>45292.0</v>
      </c>
      <c r="H302" s="4">
        <v>46227.0</v>
      </c>
      <c r="I302" s="1" t="s">
        <v>19</v>
      </c>
      <c r="J302" s="1" t="s">
        <v>514</v>
      </c>
      <c r="K302" s="5">
        <v>6.04</v>
      </c>
    </row>
    <row r="303" ht="15.75" customHeight="1">
      <c r="A303" s="1" t="s">
        <v>50</v>
      </c>
      <c r="B303" s="1">
        <v>1.7528908E7</v>
      </c>
      <c r="C303" s="1">
        <v>1.7528908E7</v>
      </c>
      <c r="D303" s="1" t="s">
        <v>122</v>
      </c>
      <c r="E303" s="1" t="s">
        <v>345</v>
      </c>
      <c r="F303" s="1" t="s">
        <v>346</v>
      </c>
      <c r="G303" s="4">
        <v>42370.0</v>
      </c>
      <c r="H303" s="4">
        <v>46227.0</v>
      </c>
      <c r="I303" s="1" t="s">
        <v>19</v>
      </c>
      <c r="J303" s="1" t="s">
        <v>514</v>
      </c>
      <c r="K303" s="5">
        <v>6.04</v>
      </c>
    </row>
    <row r="304" ht="15.75" customHeight="1">
      <c r="A304" s="1" t="s">
        <v>50</v>
      </c>
      <c r="B304" s="1">
        <v>1.7528908E7</v>
      </c>
      <c r="C304" s="1">
        <v>1.7528908E7</v>
      </c>
      <c r="D304" s="1" t="s">
        <v>347</v>
      </c>
      <c r="E304" s="1" t="s">
        <v>348</v>
      </c>
      <c r="F304" s="1" t="s">
        <v>349</v>
      </c>
      <c r="G304" s="4">
        <v>45078.0</v>
      </c>
      <c r="H304" s="4">
        <v>46227.0</v>
      </c>
      <c r="I304" s="1" t="s">
        <v>19</v>
      </c>
      <c r="J304" s="1" t="s">
        <v>514</v>
      </c>
      <c r="K304" s="5">
        <v>6.04</v>
      </c>
    </row>
    <row r="305" ht="15.75" customHeight="1">
      <c r="A305" s="1" t="s">
        <v>50</v>
      </c>
      <c r="B305" s="1">
        <v>1.7528908E7</v>
      </c>
      <c r="C305" s="1">
        <v>1.7528908E7</v>
      </c>
      <c r="D305" s="1" t="s">
        <v>350</v>
      </c>
      <c r="E305" s="1" t="s">
        <v>348</v>
      </c>
      <c r="F305" s="1" t="s">
        <v>351</v>
      </c>
      <c r="G305" s="4">
        <v>45231.0</v>
      </c>
      <c r="H305" s="4">
        <v>46227.0</v>
      </c>
      <c r="I305" s="1" t="s">
        <v>19</v>
      </c>
      <c r="J305" s="1" t="s">
        <v>514</v>
      </c>
      <c r="K305" s="5">
        <v>6.04</v>
      </c>
    </row>
    <row r="306" ht="15.75" customHeight="1">
      <c r="A306" s="1" t="s">
        <v>50</v>
      </c>
      <c r="B306" s="1">
        <v>1.7528908E7</v>
      </c>
      <c r="C306" s="1">
        <v>1.7528908E7</v>
      </c>
      <c r="D306" s="1" t="s">
        <v>119</v>
      </c>
      <c r="E306" s="1" t="s">
        <v>348</v>
      </c>
      <c r="F306" s="1" t="s">
        <v>352</v>
      </c>
      <c r="G306" s="4">
        <v>45200.0</v>
      </c>
      <c r="H306" s="4">
        <v>46227.0</v>
      </c>
      <c r="I306" s="1" t="s">
        <v>19</v>
      </c>
      <c r="J306" s="1" t="s">
        <v>514</v>
      </c>
      <c r="K306" s="5">
        <v>6.04</v>
      </c>
    </row>
    <row r="307" ht="15.75" customHeight="1">
      <c r="A307" s="1" t="s">
        <v>50</v>
      </c>
      <c r="B307" s="1">
        <v>1.7528908E7</v>
      </c>
      <c r="C307" s="1">
        <v>1.7528908E7</v>
      </c>
      <c r="D307" s="1" t="s">
        <v>105</v>
      </c>
      <c r="E307" s="1" t="s">
        <v>353</v>
      </c>
      <c r="F307" s="1" t="s">
        <v>354</v>
      </c>
      <c r="G307" s="4">
        <v>42401.0</v>
      </c>
      <c r="H307" s="4">
        <v>46227.0</v>
      </c>
      <c r="I307" s="1" t="s">
        <v>19</v>
      </c>
      <c r="J307" s="1" t="s">
        <v>514</v>
      </c>
      <c r="K307" s="5">
        <v>6.04</v>
      </c>
    </row>
    <row r="308" ht="15.75" customHeight="1">
      <c r="A308" s="1" t="s">
        <v>50</v>
      </c>
      <c r="B308" s="1">
        <v>1.7528908E7</v>
      </c>
      <c r="C308" s="1">
        <v>1.7528908E7</v>
      </c>
      <c r="D308" s="1" t="s">
        <v>355</v>
      </c>
      <c r="E308" s="1" t="s">
        <v>356</v>
      </c>
      <c r="F308" s="1" t="s">
        <v>357</v>
      </c>
      <c r="G308" s="4">
        <v>45748.0</v>
      </c>
      <c r="H308" s="4">
        <v>46227.0</v>
      </c>
      <c r="I308" s="1" t="s">
        <v>19</v>
      </c>
      <c r="J308" s="1" t="s">
        <v>514</v>
      </c>
      <c r="K308" s="5">
        <v>6.04</v>
      </c>
    </row>
    <row r="309" ht="15.75" customHeight="1">
      <c r="A309" s="1" t="s">
        <v>50</v>
      </c>
      <c r="B309" s="1">
        <v>1.7528908E7</v>
      </c>
      <c r="C309" s="1">
        <v>1.7528908E7</v>
      </c>
      <c r="D309" s="1" t="s">
        <v>82</v>
      </c>
      <c r="E309" s="1" t="s">
        <v>358</v>
      </c>
      <c r="F309" s="1" t="s">
        <v>359</v>
      </c>
      <c r="G309" s="4">
        <v>45474.0</v>
      </c>
      <c r="H309" s="4">
        <v>46227.0</v>
      </c>
      <c r="I309" s="1" t="s">
        <v>19</v>
      </c>
      <c r="J309" s="1" t="s">
        <v>514</v>
      </c>
      <c r="K309" s="5">
        <v>6.04</v>
      </c>
    </row>
    <row r="310" ht="15.75" customHeight="1">
      <c r="A310" s="1" t="s">
        <v>50</v>
      </c>
      <c r="B310" s="1">
        <v>1.7528908E7</v>
      </c>
      <c r="C310" s="1">
        <v>1.7528908E7</v>
      </c>
      <c r="D310" s="1" t="s">
        <v>361</v>
      </c>
      <c r="E310" s="1" t="s">
        <v>362</v>
      </c>
      <c r="F310" s="1" t="s">
        <v>363</v>
      </c>
      <c r="G310" s="4">
        <v>45839.0</v>
      </c>
      <c r="H310" s="4">
        <v>46227.0</v>
      </c>
      <c r="I310" s="1" t="s">
        <v>19</v>
      </c>
      <c r="J310" s="1" t="s">
        <v>514</v>
      </c>
      <c r="K310" s="5">
        <v>6.04</v>
      </c>
    </row>
    <row r="311" ht="15.75" customHeight="1">
      <c r="A311" s="1" t="s">
        <v>50</v>
      </c>
      <c r="B311" s="1">
        <v>1.7528908E7</v>
      </c>
      <c r="C311" s="1">
        <v>1.7528908E7</v>
      </c>
      <c r="D311" s="1" t="s">
        <v>365</v>
      </c>
      <c r="E311" s="1" t="s">
        <v>366</v>
      </c>
      <c r="F311" s="1" t="s">
        <v>367</v>
      </c>
      <c r="G311" s="4">
        <v>45139.0</v>
      </c>
      <c r="H311" s="4">
        <v>46227.0</v>
      </c>
      <c r="I311" s="1" t="s">
        <v>19</v>
      </c>
      <c r="J311" s="1" t="s">
        <v>514</v>
      </c>
      <c r="K311" s="5">
        <v>6.04</v>
      </c>
    </row>
    <row r="312" ht="15.75" customHeight="1">
      <c r="A312" s="1" t="s">
        <v>50</v>
      </c>
      <c r="B312" s="1">
        <v>1.7528908E7</v>
      </c>
      <c r="C312" s="1">
        <v>1.7528908E7</v>
      </c>
      <c r="D312" s="1" t="s">
        <v>368</v>
      </c>
      <c r="E312" s="1" t="s">
        <v>369</v>
      </c>
      <c r="F312" s="1" t="s">
        <v>370</v>
      </c>
      <c r="G312" s="4">
        <v>45200.0</v>
      </c>
      <c r="H312" s="4">
        <v>46227.0</v>
      </c>
      <c r="I312" s="1" t="s">
        <v>19</v>
      </c>
      <c r="J312" s="1" t="s">
        <v>514</v>
      </c>
      <c r="K312" s="5">
        <v>6.04</v>
      </c>
    </row>
    <row r="313" ht="15.75" customHeight="1">
      <c r="A313" s="1" t="s">
        <v>50</v>
      </c>
      <c r="C313" s="1">
        <v>1.7528908E7</v>
      </c>
      <c r="D313" s="1" t="s">
        <v>371</v>
      </c>
      <c r="E313" s="1" t="s">
        <v>372</v>
      </c>
      <c r="F313" s="1" t="s">
        <v>373</v>
      </c>
      <c r="G313" s="4">
        <v>45870.0</v>
      </c>
      <c r="H313" s="4">
        <v>46227.0</v>
      </c>
      <c r="I313" s="1" t="s">
        <v>19</v>
      </c>
      <c r="J313" s="1" t="s">
        <v>514</v>
      </c>
      <c r="K313" s="5">
        <v>9.06</v>
      </c>
    </row>
    <row r="314" ht="15.75" customHeight="1">
      <c r="A314" s="1" t="s">
        <v>50</v>
      </c>
      <c r="C314" s="1">
        <v>1.7528908E7</v>
      </c>
      <c r="D314" s="1" t="s">
        <v>374</v>
      </c>
      <c r="E314" s="1" t="s">
        <v>375</v>
      </c>
      <c r="F314" s="1" t="s">
        <v>376</v>
      </c>
      <c r="G314" s="4">
        <v>45870.0</v>
      </c>
      <c r="H314" s="4">
        <v>46227.0</v>
      </c>
      <c r="I314" s="1" t="s">
        <v>19</v>
      </c>
      <c r="J314" s="1" t="s">
        <v>514</v>
      </c>
      <c r="K314" s="5">
        <v>9.06</v>
      </c>
    </row>
    <row r="315" ht="15.75" customHeight="1">
      <c r="A315" s="1" t="s">
        <v>50</v>
      </c>
      <c r="B315" s="1">
        <v>1.7528908E7</v>
      </c>
      <c r="C315" s="1">
        <v>1.7528908E7</v>
      </c>
      <c r="D315" s="1" t="s">
        <v>28</v>
      </c>
      <c r="E315" s="1" t="s">
        <v>377</v>
      </c>
      <c r="F315" s="1" t="s">
        <v>378</v>
      </c>
      <c r="G315" s="4">
        <v>45292.0</v>
      </c>
      <c r="H315" s="4">
        <v>46227.0</v>
      </c>
      <c r="I315" s="1" t="s">
        <v>19</v>
      </c>
      <c r="J315" s="1" t="s">
        <v>514</v>
      </c>
      <c r="K315" s="5">
        <v>6.04</v>
      </c>
    </row>
    <row r="316" ht="15.75" customHeight="1">
      <c r="A316" s="1" t="s">
        <v>50</v>
      </c>
      <c r="B316" s="1">
        <v>1.7528908E7</v>
      </c>
      <c r="C316" s="1">
        <v>1.7528908E7</v>
      </c>
      <c r="D316" s="1" t="s">
        <v>379</v>
      </c>
      <c r="E316" s="1" t="s">
        <v>377</v>
      </c>
      <c r="F316" s="1" t="s">
        <v>380</v>
      </c>
      <c r="G316" s="4">
        <v>45292.0</v>
      </c>
      <c r="H316" s="4">
        <v>46227.0</v>
      </c>
      <c r="I316" s="1" t="s">
        <v>19</v>
      </c>
      <c r="J316" s="1" t="s">
        <v>514</v>
      </c>
      <c r="K316" s="5">
        <v>6.04</v>
      </c>
    </row>
    <row r="317" ht="15.75" customHeight="1">
      <c r="A317" s="1" t="s">
        <v>50</v>
      </c>
      <c r="B317" s="1">
        <v>1.7528908E7</v>
      </c>
      <c r="C317" s="1">
        <v>1.7528908E7</v>
      </c>
      <c r="D317" s="1" t="s">
        <v>381</v>
      </c>
      <c r="E317" s="1" t="s">
        <v>382</v>
      </c>
      <c r="F317" s="1" t="s">
        <v>383</v>
      </c>
      <c r="G317" s="4">
        <v>45658.0</v>
      </c>
      <c r="H317" s="4">
        <v>46227.0</v>
      </c>
      <c r="I317" s="1" t="s">
        <v>19</v>
      </c>
      <c r="J317" s="1" t="s">
        <v>514</v>
      </c>
      <c r="K317" s="5">
        <v>6.04</v>
      </c>
    </row>
    <row r="318" ht="15.75" customHeight="1">
      <c r="A318" s="1" t="s">
        <v>50</v>
      </c>
      <c r="B318" s="1">
        <v>1.7528908E7</v>
      </c>
      <c r="C318" s="1">
        <v>1.7528908E7</v>
      </c>
      <c r="D318" s="1" t="s">
        <v>384</v>
      </c>
      <c r="E318" s="1" t="s">
        <v>385</v>
      </c>
      <c r="F318" s="1" t="s">
        <v>386</v>
      </c>
      <c r="G318" s="4">
        <v>44927.0</v>
      </c>
      <c r="H318" s="4">
        <v>46227.0</v>
      </c>
      <c r="I318" s="1" t="s">
        <v>19</v>
      </c>
      <c r="J318" s="1" t="s">
        <v>514</v>
      </c>
      <c r="K318" s="5">
        <v>6.04</v>
      </c>
    </row>
    <row r="319" ht="15.75" customHeight="1">
      <c r="A319" s="1" t="s">
        <v>50</v>
      </c>
      <c r="B319" s="1">
        <v>1.7528908E7</v>
      </c>
      <c r="C319" s="1">
        <v>1.7528908E7</v>
      </c>
      <c r="D319" s="1" t="s">
        <v>355</v>
      </c>
      <c r="E319" s="1" t="s">
        <v>388</v>
      </c>
      <c r="F319" s="1" t="s">
        <v>389</v>
      </c>
      <c r="G319" s="4">
        <v>45658.0</v>
      </c>
      <c r="H319" s="4">
        <v>46227.0</v>
      </c>
      <c r="I319" s="1" t="s">
        <v>19</v>
      </c>
      <c r="J319" s="1" t="s">
        <v>514</v>
      </c>
      <c r="K319" s="5">
        <v>6.04</v>
      </c>
    </row>
    <row r="320" ht="15.75" customHeight="1">
      <c r="A320" s="1" t="s">
        <v>50</v>
      </c>
      <c r="B320" s="1">
        <v>1.7528908E7</v>
      </c>
      <c r="C320" s="1">
        <v>1.7528908E7</v>
      </c>
      <c r="D320" s="1" t="s">
        <v>82</v>
      </c>
      <c r="E320" s="1" t="s">
        <v>390</v>
      </c>
      <c r="F320" s="1" t="s">
        <v>391</v>
      </c>
      <c r="G320" s="4">
        <v>43647.0</v>
      </c>
      <c r="H320" s="4">
        <v>46227.0</v>
      </c>
      <c r="I320" s="1" t="s">
        <v>19</v>
      </c>
      <c r="J320" s="1" t="s">
        <v>514</v>
      </c>
      <c r="K320" s="5">
        <v>6.04</v>
      </c>
    </row>
    <row r="321" ht="15.75" customHeight="1">
      <c r="A321" s="1" t="s">
        <v>50</v>
      </c>
      <c r="B321" s="1">
        <v>1.7528908E7</v>
      </c>
      <c r="C321" s="1">
        <v>1.7528908E7</v>
      </c>
      <c r="D321" s="1" t="s">
        <v>392</v>
      </c>
      <c r="E321" s="1" t="s">
        <v>393</v>
      </c>
      <c r="F321" s="1" t="s">
        <v>394</v>
      </c>
      <c r="G321" s="4">
        <v>45108.0</v>
      </c>
      <c r="H321" s="4">
        <v>46227.0</v>
      </c>
      <c r="I321" s="1" t="s">
        <v>19</v>
      </c>
      <c r="J321" s="1" t="s">
        <v>514</v>
      </c>
      <c r="K321" s="5">
        <v>6.04</v>
      </c>
    </row>
    <row r="322" ht="15.75" customHeight="1">
      <c r="A322" s="1" t="s">
        <v>50</v>
      </c>
      <c r="C322" s="1">
        <v>1.7528908E7</v>
      </c>
      <c r="D322" s="1" t="s">
        <v>371</v>
      </c>
      <c r="E322" s="1" t="s">
        <v>395</v>
      </c>
      <c r="F322" s="1" t="s">
        <v>396</v>
      </c>
      <c r="G322" s="4">
        <v>45870.0</v>
      </c>
      <c r="H322" s="4">
        <v>46227.0</v>
      </c>
      <c r="I322" s="1" t="s">
        <v>19</v>
      </c>
      <c r="J322" s="1" t="s">
        <v>514</v>
      </c>
      <c r="K322" s="5">
        <v>9.06</v>
      </c>
    </row>
    <row r="323" ht="15.75" customHeight="1">
      <c r="A323" s="1" t="s">
        <v>50</v>
      </c>
      <c r="B323" s="1">
        <v>1.7528908E7</v>
      </c>
      <c r="C323" s="1">
        <v>1.7528908E7</v>
      </c>
      <c r="D323" s="1" t="s">
        <v>333</v>
      </c>
      <c r="E323" s="1" t="s">
        <v>397</v>
      </c>
      <c r="F323" s="1" t="s">
        <v>398</v>
      </c>
      <c r="G323" s="4">
        <v>45658.0</v>
      </c>
      <c r="H323" s="4">
        <v>46227.0</v>
      </c>
      <c r="I323" s="1" t="s">
        <v>19</v>
      </c>
      <c r="J323" s="1" t="s">
        <v>514</v>
      </c>
      <c r="K323" s="5">
        <v>6.04</v>
      </c>
    </row>
    <row r="324" ht="15.75" customHeight="1">
      <c r="A324" s="1" t="s">
        <v>50</v>
      </c>
      <c r="B324" s="1">
        <v>1.7528908E7</v>
      </c>
      <c r="C324" s="1">
        <v>1.7528908E7</v>
      </c>
      <c r="D324" s="1" t="s">
        <v>399</v>
      </c>
      <c r="E324" s="1" t="s">
        <v>400</v>
      </c>
      <c r="F324" s="1" t="s">
        <v>401</v>
      </c>
      <c r="G324" s="4">
        <v>45231.0</v>
      </c>
      <c r="H324" s="4">
        <v>46227.0</v>
      </c>
      <c r="I324" s="1" t="s">
        <v>19</v>
      </c>
      <c r="J324" s="1" t="s">
        <v>514</v>
      </c>
      <c r="K324" s="5">
        <v>6.04</v>
      </c>
    </row>
    <row r="325" ht="15.75" customHeight="1">
      <c r="A325" s="1" t="s">
        <v>50</v>
      </c>
      <c r="B325" s="1">
        <v>1.7528908E7</v>
      </c>
      <c r="C325" s="1">
        <v>1.7528908E7</v>
      </c>
      <c r="D325" s="1" t="s">
        <v>402</v>
      </c>
      <c r="E325" s="1" t="s">
        <v>106</v>
      </c>
      <c r="F325" s="1" t="s">
        <v>403</v>
      </c>
      <c r="G325" s="4">
        <v>45536.0</v>
      </c>
      <c r="H325" s="4">
        <v>46227.0</v>
      </c>
      <c r="I325" s="1" t="s">
        <v>19</v>
      </c>
      <c r="J325" s="1" t="s">
        <v>514</v>
      </c>
      <c r="K325" s="5">
        <v>6.04</v>
      </c>
    </row>
    <row r="326" ht="15.75" customHeight="1">
      <c r="A326" s="1" t="s">
        <v>50</v>
      </c>
      <c r="B326" s="1">
        <v>1.7528908E7</v>
      </c>
      <c r="C326" s="1">
        <v>1.7528908E7</v>
      </c>
      <c r="D326" s="1" t="s">
        <v>404</v>
      </c>
      <c r="E326" s="1" t="s">
        <v>405</v>
      </c>
      <c r="F326" s="1" t="s">
        <v>407</v>
      </c>
      <c r="G326" s="4">
        <v>45474.0</v>
      </c>
      <c r="H326" s="4">
        <v>46227.0</v>
      </c>
      <c r="I326" s="1" t="s">
        <v>19</v>
      </c>
      <c r="J326" s="1" t="s">
        <v>514</v>
      </c>
      <c r="K326" s="5">
        <v>6.04</v>
      </c>
    </row>
    <row r="327" ht="15.75" customHeight="1">
      <c r="A327" s="1" t="s">
        <v>50</v>
      </c>
      <c r="B327" s="1">
        <v>1.7528908E7</v>
      </c>
      <c r="C327" s="1">
        <v>1.7528908E7</v>
      </c>
      <c r="D327" s="1" t="s">
        <v>199</v>
      </c>
      <c r="E327" s="1" t="s">
        <v>408</v>
      </c>
      <c r="F327" s="1" t="s">
        <v>409</v>
      </c>
      <c r="G327" s="4">
        <v>45170.0</v>
      </c>
      <c r="H327" s="4">
        <v>46227.0</v>
      </c>
      <c r="I327" s="1" t="s">
        <v>19</v>
      </c>
      <c r="J327" s="1" t="s">
        <v>514</v>
      </c>
      <c r="K327" s="5">
        <v>6.04</v>
      </c>
    </row>
    <row r="328" ht="15.75" customHeight="1">
      <c r="A328" s="1" t="s">
        <v>50</v>
      </c>
      <c r="B328" s="1">
        <v>1.7528908E7</v>
      </c>
      <c r="C328" s="1">
        <v>1.7528908E7</v>
      </c>
      <c r="D328" s="1" t="s">
        <v>411</v>
      </c>
      <c r="E328" s="1" t="s">
        <v>412</v>
      </c>
      <c r="F328" s="1" t="s">
        <v>413</v>
      </c>
      <c r="G328" s="4">
        <v>45413.0</v>
      </c>
      <c r="H328" s="4">
        <v>46227.0</v>
      </c>
      <c r="I328" s="1" t="s">
        <v>19</v>
      </c>
      <c r="J328" s="1" t="s">
        <v>514</v>
      </c>
      <c r="K328" s="5">
        <v>6.04</v>
      </c>
    </row>
    <row r="329" ht="15.75" customHeight="1">
      <c r="A329" s="1" t="s">
        <v>50</v>
      </c>
      <c r="B329" s="1">
        <v>1.7528908E7</v>
      </c>
      <c r="C329" s="1">
        <v>1.7528908E7</v>
      </c>
      <c r="D329" s="1" t="s">
        <v>415</v>
      </c>
      <c r="E329" s="1" t="s">
        <v>416</v>
      </c>
      <c r="F329" s="1" t="s">
        <v>417</v>
      </c>
      <c r="G329" s="4">
        <v>45658.0</v>
      </c>
      <c r="H329" s="4">
        <v>46227.0</v>
      </c>
      <c r="I329" s="1" t="s">
        <v>19</v>
      </c>
      <c r="J329" s="1" t="s">
        <v>514</v>
      </c>
      <c r="K329" s="5">
        <v>6.04</v>
      </c>
    </row>
    <row r="330" ht="15.75" customHeight="1">
      <c r="A330" s="1" t="s">
        <v>50</v>
      </c>
      <c r="B330" s="1">
        <v>1.7528908E7</v>
      </c>
      <c r="C330" s="1">
        <v>1.7528908E7</v>
      </c>
      <c r="D330" s="1" t="s">
        <v>418</v>
      </c>
      <c r="E330" s="1" t="s">
        <v>419</v>
      </c>
      <c r="F330" s="1" t="s">
        <v>420</v>
      </c>
      <c r="G330" s="4">
        <v>44958.0</v>
      </c>
      <c r="H330" s="4">
        <v>46227.0</v>
      </c>
      <c r="I330" s="1" t="s">
        <v>19</v>
      </c>
      <c r="J330" s="1" t="s">
        <v>514</v>
      </c>
      <c r="K330" s="5">
        <v>6.04</v>
      </c>
    </row>
    <row r="331" ht="15.75" customHeight="1">
      <c r="A331" s="1" t="s">
        <v>50</v>
      </c>
      <c r="B331" s="1">
        <v>1.7528908E7</v>
      </c>
      <c r="C331" s="1">
        <v>1.7528908E7</v>
      </c>
      <c r="D331" s="1" t="s">
        <v>133</v>
      </c>
      <c r="E331" s="1" t="s">
        <v>419</v>
      </c>
      <c r="F331" s="1" t="s">
        <v>423</v>
      </c>
      <c r="G331" s="4">
        <v>44958.0</v>
      </c>
      <c r="H331" s="4">
        <v>46227.0</v>
      </c>
      <c r="I331" s="1" t="s">
        <v>19</v>
      </c>
      <c r="J331" s="1" t="s">
        <v>514</v>
      </c>
      <c r="K331" s="5">
        <v>6.04</v>
      </c>
    </row>
    <row r="332" ht="15.75" customHeight="1">
      <c r="A332" s="1" t="s">
        <v>50</v>
      </c>
      <c r="B332" s="1">
        <v>1.7528908E7</v>
      </c>
      <c r="C332" s="1">
        <v>1.7528908E7</v>
      </c>
      <c r="D332" s="1" t="s">
        <v>131</v>
      </c>
      <c r="E332" s="1" t="s">
        <v>424</v>
      </c>
      <c r="F332" s="1" t="s">
        <v>425</v>
      </c>
      <c r="G332" s="4">
        <v>45839.0</v>
      </c>
      <c r="H332" s="4">
        <v>46227.0</v>
      </c>
      <c r="I332" s="1" t="s">
        <v>19</v>
      </c>
      <c r="J332" s="1" t="s">
        <v>515</v>
      </c>
      <c r="K332" s="5">
        <v>5.2</v>
      </c>
    </row>
    <row r="333" ht="15.75" customHeight="1">
      <c r="A333" s="1" t="s">
        <v>50</v>
      </c>
      <c r="C333" s="1">
        <v>1.7528908E7</v>
      </c>
      <c r="D333" s="1" t="s">
        <v>426</v>
      </c>
      <c r="E333" s="1" t="s">
        <v>427</v>
      </c>
      <c r="F333" s="1" t="s">
        <v>428</v>
      </c>
      <c r="G333" s="4">
        <v>45870.0</v>
      </c>
      <c r="H333" s="4">
        <v>46227.0</v>
      </c>
      <c r="I333" s="1" t="s">
        <v>19</v>
      </c>
      <c r="J333" s="1" t="s">
        <v>515</v>
      </c>
      <c r="K333" s="5">
        <v>7.81</v>
      </c>
    </row>
    <row r="334" ht="15.75" customHeight="1">
      <c r="A334" s="1" t="s">
        <v>50</v>
      </c>
      <c r="B334" s="1">
        <v>1.7528908E7</v>
      </c>
      <c r="C334" s="1">
        <v>1.7528908E7</v>
      </c>
      <c r="D334" s="1" t="s">
        <v>429</v>
      </c>
      <c r="E334" s="1" t="s">
        <v>430</v>
      </c>
      <c r="F334" s="1" t="s">
        <v>431</v>
      </c>
      <c r="G334" s="4">
        <v>45717.0</v>
      </c>
      <c r="H334" s="4">
        <v>46227.0</v>
      </c>
      <c r="I334" s="1" t="s">
        <v>19</v>
      </c>
      <c r="J334" s="1" t="s">
        <v>515</v>
      </c>
      <c r="K334" s="5">
        <v>5.2</v>
      </c>
    </row>
    <row r="335" ht="15.75" customHeight="1">
      <c r="A335" s="1" t="s">
        <v>50</v>
      </c>
      <c r="C335" s="1">
        <v>1.7528908E7</v>
      </c>
      <c r="D335" s="1" t="s">
        <v>260</v>
      </c>
      <c r="E335" s="1" t="s">
        <v>432</v>
      </c>
      <c r="F335" s="1" t="s">
        <v>433</v>
      </c>
      <c r="G335" s="4">
        <v>45901.0</v>
      </c>
      <c r="H335" s="4">
        <v>46227.0</v>
      </c>
      <c r="I335" s="1" t="s">
        <v>19</v>
      </c>
      <c r="J335" s="1" t="s">
        <v>515</v>
      </c>
      <c r="K335" s="5">
        <v>7.81</v>
      </c>
    </row>
    <row r="336" ht="15.75" customHeight="1">
      <c r="A336" s="1" t="s">
        <v>50</v>
      </c>
      <c r="B336" s="1">
        <v>1.7528908E7</v>
      </c>
      <c r="C336" s="1">
        <v>1.7528908E7</v>
      </c>
      <c r="D336" s="1" t="s">
        <v>434</v>
      </c>
      <c r="E336" s="1" t="s">
        <v>435</v>
      </c>
      <c r="F336" s="1" t="s">
        <v>436</v>
      </c>
      <c r="G336" s="4">
        <v>45809.0</v>
      </c>
      <c r="H336" s="4">
        <v>46227.0</v>
      </c>
      <c r="I336" s="1" t="s">
        <v>19</v>
      </c>
      <c r="J336" s="1" t="s">
        <v>515</v>
      </c>
      <c r="K336" s="5">
        <v>5.2</v>
      </c>
    </row>
    <row r="337" ht="15.75" customHeight="1">
      <c r="A337" s="1" t="s">
        <v>50</v>
      </c>
      <c r="B337" s="1">
        <v>1.7528908E7</v>
      </c>
      <c r="C337" s="1">
        <v>1.7528908E7</v>
      </c>
      <c r="D337" s="1" t="s">
        <v>437</v>
      </c>
      <c r="E337" s="1" t="s">
        <v>438</v>
      </c>
      <c r="F337" s="1" t="s">
        <v>439</v>
      </c>
      <c r="G337" s="4">
        <v>45597.0</v>
      </c>
      <c r="H337" s="4">
        <v>46227.0</v>
      </c>
      <c r="I337" s="1" t="s">
        <v>19</v>
      </c>
      <c r="J337" s="1" t="s">
        <v>514</v>
      </c>
      <c r="K337" s="5">
        <v>6.04</v>
      </c>
    </row>
    <row r="338" ht="15.75" customHeight="1">
      <c r="A338" s="1" t="s">
        <v>50</v>
      </c>
      <c r="B338" s="1">
        <v>1.7528908E7</v>
      </c>
      <c r="C338" s="1">
        <v>1.7528908E7</v>
      </c>
      <c r="D338" s="1" t="s">
        <v>440</v>
      </c>
      <c r="E338" s="1" t="s">
        <v>438</v>
      </c>
      <c r="F338" s="1" t="s">
        <v>441</v>
      </c>
      <c r="G338" s="4">
        <v>45474.0</v>
      </c>
      <c r="H338" s="4">
        <v>46227.0</v>
      </c>
      <c r="I338" s="1" t="s">
        <v>19</v>
      </c>
      <c r="J338" s="1" t="s">
        <v>514</v>
      </c>
      <c r="K338" s="5">
        <v>6.04</v>
      </c>
    </row>
    <row r="339" ht="15.75" customHeight="1">
      <c r="A339" s="1" t="s">
        <v>50</v>
      </c>
      <c r="B339" s="1">
        <v>1.7528908E7</v>
      </c>
      <c r="C339" s="1">
        <v>1.7528908E7</v>
      </c>
      <c r="D339" s="1" t="s">
        <v>105</v>
      </c>
      <c r="E339" s="1" t="s">
        <v>106</v>
      </c>
      <c r="F339" s="1" t="s">
        <v>481</v>
      </c>
      <c r="G339" s="4">
        <v>45292.0</v>
      </c>
      <c r="H339" s="4">
        <v>46227.0</v>
      </c>
      <c r="I339" s="1" t="s">
        <v>19</v>
      </c>
      <c r="J339" s="1" t="s">
        <v>515</v>
      </c>
      <c r="K339" s="5">
        <v>5.2</v>
      </c>
    </row>
    <row r="340" ht="15.75" customHeight="1">
      <c r="A340" s="1" t="s">
        <v>50</v>
      </c>
      <c r="B340" s="1">
        <v>1.7528908E7</v>
      </c>
      <c r="C340" s="1">
        <v>1.7528908E7</v>
      </c>
      <c r="D340" s="1" t="s">
        <v>126</v>
      </c>
      <c r="E340" s="1" t="s">
        <v>127</v>
      </c>
      <c r="F340" s="1" t="s">
        <v>482</v>
      </c>
      <c r="G340" s="4">
        <v>45839.0</v>
      </c>
      <c r="H340" s="4">
        <v>46227.0</v>
      </c>
      <c r="I340" s="1" t="s">
        <v>19</v>
      </c>
      <c r="J340" s="1" t="s">
        <v>515</v>
      </c>
      <c r="K340" s="5">
        <v>5.2</v>
      </c>
    </row>
    <row r="341" ht="15.75" customHeight="1">
      <c r="A341" s="1" t="s">
        <v>50</v>
      </c>
      <c r="B341" s="1">
        <v>1.7528908E7</v>
      </c>
      <c r="C341" s="1">
        <v>1.7528908E7</v>
      </c>
      <c r="D341" s="1" t="s">
        <v>139</v>
      </c>
      <c r="E341" s="1" t="s">
        <v>127</v>
      </c>
      <c r="F341" s="1" t="s">
        <v>483</v>
      </c>
      <c r="G341" s="4">
        <v>45505.0</v>
      </c>
      <c r="H341" s="4">
        <v>46227.0</v>
      </c>
      <c r="I341" s="1" t="s">
        <v>19</v>
      </c>
      <c r="J341" s="1" t="s">
        <v>515</v>
      </c>
      <c r="K341" s="5">
        <v>5.2</v>
      </c>
    </row>
    <row r="342" ht="15.75" customHeight="1">
      <c r="A342" s="1" t="s">
        <v>521</v>
      </c>
      <c r="C342" s="1">
        <v>1.7886092E7</v>
      </c>
      <c r="D342" s="1" t="s">
        <v>40</v>
      </c>
      <c r="E342" s="1" t="s">
        <v>522</v>
      </c>
      <c r="F342" s="1" t="s">
        <v>523</v>
      </c>
      <c r="G342" s="4">
        <v>46113.0</v>
      </c>
      <c r="H342" s="4">
        <v>46227.0</v>
      </c>
      <c r="I342" s="1" t="s">
        <v>19</v>
      </c>
      <c r="J342" s="1" t="s">
        <v>514</v>
      </c>
      <c r="K342" s="5">
        <v>6.04</v>
      </c>
    </row>
    <row r="343" ht="15.75" customHeight="1">
      <c r="A343" s="1" t="s">
        <v>524</v>
      </c>
      <c r="B343" s="1">
        <v>1.8134413E7</v>
      </c>
      <c r="C343" s="1">
        <v>1.8134413E7</v>
      </c>
      <c r="D343" s="1" t="s">
        <v>248</v>
      </c>
      <c r="E343" s="1" t="s">
        <v>525</v>
      </c>
      <c r="F343" s="1" t="s">
        <v>526</v>
      </c>
      <c r="G343" s="4">
        <v>45658.0</v>
      </c>
      <c r="H343" s="4">
        <v>46227.0</v>
      </c>
      <c r="I343" s="1" t="s">
        <v>19</v>
      </c>
      <c r="J343" s="1" t="s">
        <v>514</v>
      </c>
      <c r="K343" s="5">
        <v>6.04</v>
      </c>
    </row>
    <row r="344" ht="15.75" customHeight="1">
      <c r="A344" s="1" t="s">
        <v>524</v>
      </c>
      <c r="C344" s="1">
        <v>1.8134413E7</v>
      </c>
      <c r="D344" s="1" t="s">
        <v>527</v>
      </c>
      <c r="E344" s="1" t="s">
        <v>528</v>
      </c>
      <c r="F344" s="1" t="s">
        <v>529</v>
      </c>
      <c r="G344" s="4">
        <v>45992.0</v>
      </c>
      <c r="H344" s="4">
        <v>46227.0</v>
      </c>
      <c r="I344" s="1" t="s">
        <v>19</v>
      </c>
      <c r="J344" s="1" t="s">
        <v>515</v>
      </c>
      <c r="K344" s="5">
        <v>7.81</v>
      </c>
    </row>
    <row r="345" ht="15.75" customHeight="1">
      <c r="A345" s="1" t="s">
        <v>266</v>
      </c>
      <c r="C345" s="1">
        <v>1.871007E7</v>
      </c>
      <c r="D345" s="1" t="s">
        <v>442</v>
      </c>
      <c r="E345" s="1" t="s">
        <v>443</v>
      </c>
      <c r="F345" s="1" t="s">
        <v>444</v>
      </c>
      <c r="G345" s="4">
        <v>45658.0</v>
      </c>
      <c r="H345" s="4">
        <v>46227.0</v>
      </c>
      <c r="I345" s="1" t="s">
        <v>19</v>
      </c>
      <c r="J345" s="1" t="s">
        <v>514</v>
      </c>
      <c r="K345" s="5">
        <v>6.04</v>
      </c>
    </row>
    <row r="346" ht="15.75" customHeight="1">
      <c r="A346" s="1" t="s">
        <v>266</v>
      </c>
      <c r="C346" s="1">
        <v>1.871007E7</v>
      </c>
      <c r="D346" s="1" t="s">
        <v>445</v>
      </c>
      <c r="E346" s="1" t="s">
        <v>446</v>
      </c>
      <c r="F346" s="1" t="s">
        <v>447</v>
      </c>
      <c r="G346" s="4">
        <v>43101.0</v>
      </c>
      <c r="H346" s="4">
        <v>46227.0</v>
      </c>
      <c r="I346" s="1" t="s">
        <v>19</v>
      </c>
      <c r="J346" s="1" t="s">
        <v>514</v>
      </c>
      <c r="K346" s="5">
        <v>6.04</v>
      </c>
    </row>
    <row r="347" ht="15.75" customHeight="1">
      <c r="A347" s="1" t="s">
        <v>266</v>
      </c>
      <c r="C347" s="1">
        <v>1.871007E7</v>
      </c>
      <c r="D347" s="1" t="s">
        <v>176</v>
      </c>
      <c r="E347" s="1" t="s">
        <v>448</v>
      </c>
      <c r="F347" s="1" t="s">
        <v>449</v>
      </c>
      <c r="G347" s="4">
        <v>44593.0</v>
      </c>
      <c r="H347" s="4">
        <v>46227.0</v>
      </c>
      <c r="I347" s="1" t="s">
        <v>19</v>
      </c>
      <c r="J347" s="1" t="s">
        <v>514</v>
      </c>
      <c r="K347" s="5">
        <v>6.04</v>
      </c>
    </row>
    <row r="348" ht="15.75" customHeight="1">
      <c r="A348" s="1" t="s">
        <v>266</v>
      </c>
      <c r="C348" s="1">
        <v>1.871007E7</v>
      </c>
      <c r="D348" s="1" t="s">
        <v>333</v>
      </c>
      <c r="E348" s="1" t="s">
        <v>448</v>
      </c>
      <c r="F348" s="1" t="s">
        <v>450</v>
      </c>
      <c r="G348" s="4">
        <v>44927.0</v>
      </c>
      <c r="H348" s="4">
        <v>46227.0</v>
      </c>
      <c r="I348" s="1" t="s">
        <v>19</v>
      </c>
      <c r="J348" s="1" t="s">
        <v>514</v>
      </c>
      <c r="K348" s="5">
        <v>6.04</v>
      </c>
    </row>
    <row r="349" ht="15.75" customHeight="1">
      <c r="A349" s="1" t="s">
        <v>266</v>
      </c>
      <c r="C349" s="1">
        <v>1.871007E7</v>
      </c>
      <c r="D349" s="1" t="s">
        <v>451</v>
      </c>
      <c r="E349" s="1" t="s">
        <v>452</v>
      </c>
      <c r="F349" s="1" t="s">
        <v>453</v>
      </c>
      <c r="G349" s="4">
        <v>45778.0</v>
      </c>
      <c r="H349" s="4">
        <v>46227.0</v>
      </c>
      <c r="I349" s="1" t="s">
        <v>19</v>
      </c>
      <c r="J349" s="1" t="s">
        <v>514</v>
      </c>
      <c r="K349" s="5">
        <v>6.04</v>
      </c>
    </row>
    <row r="350" ht="15.75" customHeight="1">
      <c r="A350" s="1" t="s">
        <v>266</v>
      </c>
      <c r="C350" s="1">
        <v>1.871007E7</v>
      </c>
      <c r="D350" s="1" t="s">
        <v>281</v>
      </c>
      <c r="E350" s="1" t="s">
        <v>456</v>
      </c>
      <c r="F350" s="1" t="s">
        <v>457</v>
      </c>
      <c r="G350" s="4">
        <v>45108.0</v>
      </c>
      <c r="H350" s="4">
        <v>46227.0</v>
      </c>
      <c r="I350" s="1" t="s">
        <v>19</v>
      </c>
      <c r="J350" s="1" t="s">
        <v>514</v>
      </c>
      <c r="K350" s="5">
        <v>6.04</v>
      </c>
    </row>
    <row r="351" ht="15.75" customHeight="1">
      <c r="A351" s="1" t="s">
        <v>266</v>
      </c>
      <c r="C351" s="1">
        <v>1.871007E7</v>
      </c>
      <c r="D351" s="1" t="s">
        <v>458</v>
      </c>
      <c r="E351" s="1" t="s">
        <v>459</v>
      </c>
      <c r="F351" s="1" t="s">
        <v>460</v>
      </c>
      <c r="G351" s="4">
        <v>45839.0</v>
      </c>
      <c r="H351" s="4">
        <v>46227.0</v>
      </c>
      <c r="I351" s="1" t="s">
        <v>19</v>
      </c>
      <c r="J351" s="1" t="s">
        <v>514</v>
      </c>
      <c r="K351" s="5">
        <v>6.04</v>
      </c>
    </row>
    <row r="352" ht="15.75" customHeight="1">
      <c r="A352" s="1" t="s">
        <v>266</v>
      </c>
      <c r="C352" s="1">
        <v>1.871007E7</v>
      </c>
      <c r="D352" s="1" t="s">
        <v>461</v>
      </c>
      <c r="E352" s="1" t="s">
        <v>462</v>
      </c>
      <c r="F352" s="1" t="s">
        <v>463</v>
      </c>
      <c r="G352" s="4">
        <v>45962.0</v>
      </c>
      <c r="H352" s="4">
        <v>46227.0</v>
      </c>
      <c r="I352" s="1" t="s">
        <v>19</v>
      </c>
      <c r="J352" s="1" t="s">
        <v>514</v>
      </c>
      <c r="K352" s="5">
        <v>9.06</v>
      </c>
    </row>
    <row r="353" ht="15.75" customHeight="1">
      <c r="A353" s="1" t="s">
        <v>488</v>
      </c>
      <c r="B353" s="1">
        <v>1.879474E7</v>
      </c>
      <c r="C353" s="1">
        <v>1.879474E7</v>
      </c>
      <c r="D353" s="1" t="s">
        <v>489</v>
      </c>
      <c r="E353" s="1" t="s">
        <v>490</v>
      </c>
      <c r="F353" s="1" t="s">
        <v>491</v>
      </c>
      <c r="G353" s="4">
        <v>45566.0</v>
      </c>
      <c r="H353" s="4">
        <v>46227.0</v>
      </c>
      <c r="I353" s="1" t="s">
        <v>19</v>
      </c>
      <c r="J353" s="1" t="s">
        <v>514</v>
      </c>
      <c r="K353" s="5">
        <v>6.04</v>
      </c>
    </row>
    <row r="354" ht="15.75" customHeight="1">
      <c r="A354" s="1" t="s">
        <v>488</v>
      </c>
      <c r="B354" s="1">
        <v>1.879474E7</v>
      </c>
      <c r="C354" s="1">
        <v>1.879474E7</v>
      </c>
      <c r="D354" s="1" t="s">
        <v>492</v>
      </c>
      <c r="E354" s="1" t="s">
        <v>493</v>
      </c>
      <c r="F354" s="1" t="s">
        <v>494</v>
      </c>
      <c r="G354" s="4">
        <v>45292.0</v>
      </c>
      <c r="H354" s="4">
        <v>46227.0</v>
      </c>
      <c r="I354" s="1" t="s">
        <v>19</v>
      </c>
      <c r="J354" s="1" t="s">
        <v>514</v>
      </c>
      <c r="K354" s="5">
        <v>6.04</v>
      </c>
    </row>
    <row r="355" ht="15.75" customHeight="1">
      <c r="A355" s="1" t="s">
        <v>488</v>
      </c>
      <c r="B355" s="1">
        <v>1.879474E7</v>
      </c>
      <c r="C355" s="1">
        <v>1.879474E7</v>
      </c>
      <c r="D355" s="1" t="s">
        <v>495</v>
      </c>
      <c r="E355" s="1" t="s">
        <v>493</v>
      </c>
      <c r="F355" s="1" t="s">
        <v>496</v>
      </c>
      <c r="G355" s="4">
        <v>45292.0</v>
      </c>
      <c r="H355" s="4">
        <v>46227.0</v>
      </c>
      <c r="I355" s="1" t="s">
        <v>19</v>
      </c>
      <c r="J355" s="1" t="s">
        <v>514</v>
      </c>
      <c r="K355" s="5">
        <v>6.04</v>
      </c>
    </row>
    <row r="356" ht="15.75" customHeight="1">
      <c r="A356" s="1" t="s">
        <v>488</v>
      </c>
      <c r="B356" s="1">
        <v>1.879474E7</v>
      </c>
      <c r="C356" s="1">
        <v>1.879474E7</v>
      </c>
      <c r="D356" s="1" t="s">
        <v>497</v>
      </c>
      <c r="E356" s="1" t="s">
        <v>498</v>
      </c>
      <c r="F356" s="1" t="s">
        <v>109</v>
      </c>
      <c r="G356" s="4">
        <v>45658.0</v>
      </c>
      <c r="H356" s="4">
        <v>46227.0</v>
      </c>
      <c r="I356" s="1" t="s">
        <v>19</v>
      </c>
      <c r="J356" s="1" t="s">
        <v>514</v>
      </c>
      <c r="K356" s="5">
        <v>6.04</v>
      </c>
    </row>
    <row r="357" ht="15.75" customHeight="1">
      <c r="A357" s="1" t="s">
        <v>488</v>
      </c>
      <c r="B357" s="1">
        <v>1.879474E7</v>
      </c>
      <c r="C357" s="1">
        <v>1.879474E7</v>
      </c>
      <c r="D357" s="1" t="s">
        <v>499</v>
      </c>
      <c r="E357" s="1" t="s">
        <v>500</v>
      </c>
      <c r="F357" s="1" t="s">
        <v>501</v>
      </c>
      <c r="G357" s="4">
        <v>45292.0</v>
      </c>
      <c r="H357" s="4">
        <v>46227.0</v>
      </c>
      <c r="I357" s="1" t="s">
        <v>19</v>
      </c>
      <c r="J357" s="1" t="s">
        <v>514</v>
      </c>
      <c r="K357" s="5">
        <v>6.04</v>
      </c>
    </row>
    <row r="358" ht="15.75" customHeight="1">
      <c r="A358" s="1" t="s">
        <v>488</v>
      </c>
      <c r="B358" s="1">
        <v>1.879474E7</v>
      </c>
      <c r="C358" s="1">
        <v>1.879474E7</v>
      </c>
      <c r="D358" s="1" t="s">
        <v>347</v>
      </c>
      <c r="E358" s="1" t="s">
        <v>502</v>
      </c>
      <c r="F358" s="1" t="s">
        <v>503</v>
      </c>
      <c r="G358" s="4">
        <v>45292.0</v>
      </c>
      <c r="H358" s="4">
        <v>46227.0</v>
      </c>
      <c r="I358" s="1" t="s">
        <v>19</v>
      </c>
      <c r="J358" s="1" t="s">
        <v>514</v>
      </c>
      <c r="K358" s="5">
        <v>6.04</v>
      </c>
    </row>
    <row r="359" ht="15.75" customHeight="1">
      <c r="A359" s="1" t="s">
        <v>488</v>
      </c>
      <c r="B359" s="1">
        <v>1.879474E7</v>
      </c>
      <c r="C359" s="1">
        <v>1.879474E7</v>
      </c>
      <c r="D359" s="1" t="s">
        <v>122</v>
      </c>
      <c r="E359" s="1" t="s">
        <v>502</v>
      </c>
      <c r="F359" s="1" t="s">
        <v>504</v>
      </c>
      <c r="G359" s="4">
        <v>45292.0</v>
      </c>
      <c r="H359" s="4">
        <v>46227.0</v>
      </c>
      <c r="I359" s="1" t="s">
        <v>19</v>
      </c>
      <c r="J359" s="1" t="s">
        <v>514</v>
      </c>
      <c r="K359" s="5">
        <v>6.04</v>
      </c>
    </row>
    <row r="360" ht="15.75" customHeight="1">
      <c r="A360" s="1" t="s">
        <v>488</v>
      </c>
      <c r="B360" s="1">
        <v>1.879474E7</v>
      </c>
      <c r="C360" s="1">
        <v>1.879474E7</v>
      </c>
      <c r="D360" s="1" t="s">
        <v>60</v>
      </c>
      <c r="E360" s="1" t="s">
        <v>505</v>
      </c>
      <c r="F360" s="1" t="s">
        <v>506</v>
      </c>
      <c r="G360" s="4">
        <v>45689.0</v>
      </c>
      <c r="H360" s="4">
        <v>46227.0</v>
      </c>
      <c r="I360" s="1" t="s">
        <v>19</v>
      </c>
      <c r="J360" s="1" t="s">
        <v>514</v>
      </c>
      <c r="K360" s="5">
        <v>6.04</v>
      </c>
    </row>
    <row r="361" ht="15.75" customHeight="1">
      <c r="A361" s="1" t="s">
        <v>12</v>
      </c>
      <c r="B361" s="1">
        <v>1.927837E7</v>
      </c>
      <c r="C361" s="1">
        <v>1.927837E7</v>
      </c>
      <c r="D361" s="1" t="s">
        <v>51</v>
      </c>
      <c r="E361" s="1" t="s">
        <v>339</v>
      </c>
      <c r="F361" s="1" t="s">
        <v>507</v>
      </c>
      <c r="G361" s="4">
        <v>45413.0</v>
      </c>
      <c r="H361" s="4">
        <v>46227.0</v>
      </c>
      <c r="I361" s="1" t="s">
        <v>19</v>
      </c>
      <c r="J361" s="1" t="s">
        <v>514</v>
      </c>
      <c r="K361" s="5">
        <v>6.04</v>
      </c>
    </row>
    <row r="362" ht="15.75" customHeight="1">
      <c r="A362" s="1" t="s">
        <v>530</v>
      </c>
      <c r="B362" s="1">
        <v>1.9606009E7</v>
      </c>
      <c r="C362" s="1">
        <v>1.9606009E7</v>
      </c>
      <c r="D362" s="1" t="s">
        <v>531</v>
      </c>
      <c r="E362" s="1" t="s">
        <v>532</v>
      </c>
      <c r="F362" s="1" t="s">
        <v>533</v>
      </c>
      <c r="G362" s="4">
        <v>45139.0</v>
      </c>
      <c r="H362" s="4">
        <v>46227.0</v>
      </c>
      <c r="I362" s="1" t="s">
        <v>19</v>
      </c>
      <c r="J362" s="1" t="s">
        <v>514</v>
      </c>
      <c r="K362" s="5">
        <v>6.04</v>
      </c>
    </row>
    <row r="363" ht="15.75" customHeight="1">
      <c r="A363" s="1" t="s">
        <v>530</v>
      </c>
      <c r="B363" s="1">
        <v>1.9606009E7</v>
      </c>
      <c r="C363" s="1">
        <v>1.9606009E7</v>
      </c>
      <c r="D363" s="1" t="s">
        <v>534</v>
      </c>
      <c r="E363" s="1" t="s">
        <v>535</v>
      </c>
      <c r="F363" s="1" t="s">
        <v>536</v>
      </c>
      <c r="G363" s="4">
        <v>45108.0</v>
      </c>
      <c r="H363" s="4">
        <v>46227.0</v>
      </c>
      <c r="I363" s="1" t="s">
        <v>19</v>
      </c>
      <c r="J363" s="1" t="s">
        <v>514</v>
      </c>
      <c r="K363" s="5">
        <v>6.04</v>
      </c>
    </row>
    <row r="364" ht="15.75" customHeight="1">
      <c r="A364" s="1" t="s">
        <v>530</v>
      </c>
      <c r="B364" s="1">
        <v>1.9606009E7</v>
      </c>
      <c r="C364" s="1">
        <v>1.9606009E7</v>
      </c>
      <c r="D364" s="1" t="s">
        <v>131</v>
      </c>
      <c r="E364" s="1" t="s">
        <v>537</v>
      </c>
      <c r="F364" s="1" t="s">
        <v>538</v>
      </c>
      <c r="G364" s="4">
        <v>45078.0</v>
      </c>
      <c r="H364" s="4">
        <v>46227.0</v>
      </c>
      <c r="I364" s="1" t="s">
        <v>19</v>
      </c>
      <c r="J364" s="1" t="s">
        <v>514</v>
      </c>
      <c r="K364" s="5">
        <v>6.04</v>
      </c>
    </row>
    <row r="365" ht="15.75" customHeight="1">
      <c r="A365" s="1" t="s">
        <v>530</v>
      </c>
      <c r="B365" s="1">
        <v>1.9606009E7</v>
      </c>
      <c r="C365" s="1">
        <v>1.9606009E7</v>
      </c>
      <c r="D365" s="1" t="s">
        <v>227</v>
      </c>
      <c r="E365" s="1" t="s">
        <v>539</v>
      </c>
      <c r="F365" s="1" t="s">
        <v>540</v>
      </c>
      <c r="G365" s="4">
        <v>45139.0</v>
      </c>
      <c r="H365" s="4">
        <v>46227.0</v>
      </c>
      <c r="I365" s="1" t="s">
        <v>19</v>
      </c>
      <c r="J365" s="1" t="s">
        <v>514</v>
      </c>
      <c r="K365" s="5">
        <v>6.04</v>
      </c>
    </row>
    <row r="366" ht="15.75" customHeight="1">
      <c r="A366" s="1" t="s">
        <v>530</v>
      </c>
      <c r="B366" s="1">
        <v>1.9606009E7</v>
      </c>
      <c r="C366" s="1">
        <v>1.9606009E7</v>
      </c>
      <c r="D366" s="1" t="s">
        <v>541</v>
      </c>
      <c r="E366" s="1" t="s">
        <v>542</v>
      </c>
      <c r="F366" s="1" t="s">
        <v>543</v>
      </c>
      <c r="G366" s="4">
        <v>45139.0</v>
      </c>
      <c r="H366" s="4">
        <v>46227.0</v>
      </c>
      <c r="I366" s="1" t="s">
        <v>19</v>
      </c>
      <c r="J366" s="1" t="s">
        <v>514</v>
      </c>
      <c r="K366" s="5">
        <v>6.04</v>
      </c>
    </row>
    <row r="367" ht="15.75" customHeight="1">
      <c r="A367" s="1" t="s">
        <v>530</v>
      </c>
      <c r="B367" s="1">
        <v>1.9606009E7</v>
      </c>
      <c r="C367" s="1">
        <v>1.9606009E7</v>
      </c>
      <c r="D367" s="1" t="s">
        <v>281</v>
      </c>
      <c r="E367" s="1" t="s">
        <v>542</v>
      </c>
      <c r="F367" s="1" t="s">
        <v>544</v>
      </c>
      <c r="G367" s="4">
        <v>45139.0</v>
      </c>
      <c r="H367" s="4">
        <v>46227.0</v>
      </c>
      <c r="I367" s="1" t="s">
        <v>19</v>
      </c>
      <c r="J367" s="1" t="s">
        <v>514</v>
      </c>
      <c r="K367" s="5">
        <v>6.04</v>
      </c>
    </row>
    <row r="368" ht="15.75" customHeight="1">
      <c r="A368" s="1" t="s">
        <v>530</v>
      </c>
      <c r="B368" s="1">
        <v>1.9606009E7</v>
      </c>
      <c r="C368" s="1">
        <v>1.9606009E7</v>
      </c>
      <c r="D368" s="1" t="s">
        <v>305</v>
      </c>
      <c r="E368" s="1" t="s">
        <v>192</v>
      </c>
      <c r="F368" s="1" t="s">
        <v>545</v>
      </c>
      <c r="G368" s="4">
        <v>45108.0</v>
      </c>
      <c r="H368" s="4">
        <v>46227.0</v>
      </c>
      <c r="I368" s="1" t="s">
        <v>19</v>
      </c>
      <c r="J368" s="1" t="s">
        <v>514</v>
      </c>
      <c r="K368" s="5">
        <v>6.04</v>
      </c>
    </row>
    <row r="369" ht="15.75" customHeight="1">
      <c r="A369" s="1" t="s">
        <v>509</v>
      </c>
      <c r="C369" s="1">
        <v>2.1618313E7</v>
      </c>
      <c r="D369" s="1" t="s">
        <v>139</v>
      </c>
      <c r="E369" s="1" t="s">
        <v>510</v>
      </c>
      <c r="F369" s="1" t="s">
        <v>511</v>
      </c>
      <c r="G369" s="4">
        <v>45931.0</v>
      </c>
      <c r="H369" s="4">
        <v>46227.0</v>
      </c>
      <c r="I369" s="1" t="s">
        <v>19</v>
      </c>
      <c r="J369" s="1" t="s">
        <v>514</v>
      </c>
      <c r="K369" s="5">
        <v>9.06</v>
      </c>
    </row>
    <row r="370" ht="15.75" customHeight="1">
      <c r="A370" s="1" t="s">
        <v>509</v>
      </c>
      <c r="C370" s="1">
        <v>2.1618313E7</v>
      </c>
      <c r="D370" s="1" t="s">
        <v>171</v>
      </c>
      <c r="E370" s="1" t="s">
        <v>512</v>
      </c>
      <c r="F370" s="1" t="s">
        <v>513</v>
      </c>
      <c r="G370" s="4">
        <v>45901.0</v>
      </c>
      <c r="H370" s="4">
        <v>46227.0</v>
      </c>
      <c r="I370" s="1" t="s">
        <v>19</v>
      </c>
      <c r="J370" s="1" t="s">
        <v>514</v>
      </c>
      <c r="K370" s="5">
        <v>9.06</v>
      </c>
    </row>
    <row r="371" ht="15.75" customHeight="1">
      <c r="A371" s="1" t="s">
        <v>11</v>
      </c>
      <c r="C371" s="1">
        <v>8971826.0</v>
      </c>
      <c r="D371" s="1" t="s">
        <v>43</v>
      </c>
      <c r="E371" s="1" t="s">
        <v>285</v>
      </c>
      <c r="F371" s="1" t="s">
        <v>464</v>
      </c>
      <c r="G371" s="4">
        <v>46204.0</v>
      </c>
      <c r="H371" s="4">
        <v>46227.0</v>
      </c>
      <c r="I371" s="1" t="s">
        <v>19</v>
      </c>
      <c r="J371" s="1" t="s">
        <v>546</v>
      </c>
      <c r="K371" s="5">
        <v>103.13</v>
      </c>
    </row>
    <row r="372" ht="15.75" customHeight="1">
      <c r="A372" s="1" t="s">
        <v>50</v>
      </c>
      <c r="C372" s="1">
        <v>1.7528908E7</v>
      </c>
      <c r="D372" s="1" t="s">
        <v>421</v>
      </c>
      <c r="E372" s="1" t="s">
        <v>422</v>
      </c>
      <c r="F372" s="1" t="s">
        <v>466</v>
      </c>
      <c r="G372" s="4">
        <v>46235.0</v>
      </c>
      <c r="H372" s="4">
        <v>46227.0</v>
      </c>
      <c r="I372" s="1" t="s">
        <v>19</v>
      </c>
      <c r="J372" s="1" t="s">
        <v>547</v>
      </c>
      <c r="K372" s="5">
        <v>45.31</v>
      </c>
    </row>
    <row r="373" ht="15.75" customHeight="1">
      <c r="A373" s="1" t="s">
        <v>50</v>
      </c>
      <c r="C373" s="1">
        <v>1.7528908E7</v>
      </c>
      <c r="D373" s="1" t="s">
        <v>202</v>
      </c>
      <c r="E373" s="1" t="s">
        <v>203</v>
      </c>
      <c r="F373" s="1" t="s">
        <v>467</v>
      </c>
      <c r="G373" s="4">
        <v>46235.0</v>
      </c>
      <c r="H373" s="4">
        <v>46227.0</v>
      </c>
      <c r="I373" s="1" t="s">
        <v>19</v>
      </c>
      <c r="J373" s="1" t="s">
        <v>548</v>
      </c>
      <c r="K373" s="5">
        <v>119.69</v>
      </c>
    </row>
    <row r="374" ht="15.75" customHeight="1">
      <c r="A374" s="1" t="s">
        <v>50</v>
      </c>
      <c r="C374" s="1">
        <v>1.7528908E7</v>
      </c>
      <c r="D374" s="1" t="s">
        <v>184</v>
      </c>
      <c r="E374" s="1" t="s">
        <v>185</v>
      </c>
      <c r="F374" s="1" t="s">
        <v>468</v>
      </c>
      <c r="G374" s="4">
        <v>46235.0</v>
      </c>
      <c r="H374" s="4">
        <v>46227.0</v>
      </c>
      <c r="I374" s="1" t="s">
        <v>19</v>
      </c>
      <c r="J374" s="1" t="s">
        <v>548</v>
      </c>
      <c r="K374" s="5">
        <v>119.69</v>
      </c>
    </row>
    <row r="375" ht="15.75" customHeight="1">
      <c r="A375" s="1" t="s">
        <v>50</v>
      </c>
      <c r="C375" s="1">
        <v>1.7528908E7</v>
      </c>
      <c r="D375" s="1" t="s">
        <v>454</v>
      </c>
      <c r="E375" s="1" t="s">
        <v>455</v>
      </c>
      <c r="F375" s="1" t="s">
        <v>469</v>
      </c>
      <c r="G375" s="4">
        <v>46235.0</v>
      </c>
      <c r="H375" s="4">
        <v>46227.0</v>
      </c>
      <c r="I375" s="1" t="s">
        <v>19</v>
      </c>
      <c r="J375" s="1" t="s">
        <v>547</v>
      </c>
      <c r="K375" s="5">
        <v>45.31</v>
      </c>
    </row>
    <row r="376" ht="15.75" customHeight="1">
      <c r="A376" s="1" t="s">
        <v>50</v>
      </c>
      <c r="C376" s="1">
        <v>1.7528908E7</v>
      </c>
      <c r="D376" s="1" t="s">
        <v>206</v>
      </c>
      <c r="E376" s="1" t="s">
        <v>235</v>
      </c>
      <c r="F376" s="1" t="s">
        <v>470</v>
      </c>
      <c r="G376" s="4">
        <v>46204.0</v>
      </c>
      <c r="H376" s="4">
        <v>46227.0</v>
      </c>
      <c r="I376" s="1" t="s">
        <v>19</v>
      </c>
      <c r="J376" s="1" t="s">
        <v>549</v>
      </c>
      <c r="K376" s="5">
        <v>110.63</v>
      </c>
    </row>
    <row r="377" ht="15.75" customHeight="1">
      <c r="A377" s="1" t="s">
        <v>50</v>
      </c>
      <c r="C377" s="1">
        <v>1.7528908E7</v>
      </c>
      <c r="D377" s="1" t="s">
        <v>28</v>
      </c>
      <c r="E377" s="1" t="s">
        <v>197</v>
      </c>
      <c r="F377" s="1" t="s">
        <v>471</v>
      </c>
      <c r="G377" s="4">
        <v>46296.0</v>
      </c>
      <c r="H377" s="4">
        <v>46227.0</v>
      </c>
      <c r="I377" s="1" t="s">
        <v>19</v>
      </c>
      <c r="J377" s="1" t="s">
        <v>550</v>
      </c>
      <c r="K377" s="5">
        <v>27.18</v>
      </c>
    </row>
    <row r="378" ht="15.75" customHeight="1">
      <c r="A378" s="1" t="s">
        <v>50</v>
      </c>
      <c r="C378" s="1">
        <v>1.7528908E7</v>
      </c>
      <c r="D378" s="1" t="s">
        <v>133</v>
      </c>
      <c r="E378" s="1" t="s">
        <v>406</v>
      </c>
      <c r="F378" s="1" t="s">
        <v>473</v>
      </c>
      <c r="G378" s="4">
        <v>46235.0</v>
      </c>
      <c r="H378" s="4">
        <v>46227.0</v>
      </c>
      <c r="I378" s="1" t="s">
        <v>19</v>
      </c>
      <c r="J378" s="1" t="s">
        <v>547</v>
      </c>
      <c r="K378" s="5">
        <v>45.31</v>
      </c>
    </row>
    <row r="379" ht="15.75" customHeight="1">
      <c r="A379" s="1" t="s">
        <v>50</v>
      </c>
      <c r="C379" s="1">
        <v>1.7528908E7</v>
      </c>
      <c r="D379" s="1" t="s">
        <v>474</v>
      </c>
      <c r="E379" s="1" t="s">
        <v>475</v>
      </c>
      <c r="F379" s="1" t="s">
        <v>476</v>
      </c>
      <c r="G379" s="4">
        <v>46204.0</v>
      </c>
      <c r="H379" s="4">
        <v>46227.0</v>
      </c>
      <c r="I379" s="1" t="s">
        <v>19</v>
      </c>
      <c r="J379" s="1" t="s">
        <v>551</v>
      </c>
      <c r="K379" s="5">
        <v>54.37</v>
      </c>
    </row>
    <row r="380" ht="15.75" customHeight="1">
      <c r="A380" s="1" t="s">
        <v>50</v>
      </c>
      <c r="C380" s="1">
        <v>1.7528908E7</v>
      </c>
      <c r="D380" s="1" t="s">
        <v>216</v>
      </c>
      <c r="E380" s="1" t="s">
        <v>217</v>
      </c>
      <c r="F380" s="1" t="s">
        <v>478</v>
      </c>
      <c r="G380" s="4">
        <v>46235.0</v>
      </c>
      <c r="H380" s="4">
        <v>46227.0</v>
      </c>
      <c r="I380" s="1" t="s">
        <v>19</v>
      </c>
      <c r="J380" s="1" t="s">
        <v>548</v>
      </c>
      <c r="K380" s="5">
        <v>119.69</v>
      </c>
    </row>
    <row r="381" ht="15.75" customHeight="1">
      <c r="A381" s="1" t="s">
        <v>50</v>
      </c>
      <c r="C381" s="1">
        <v>1.7528908E7</v>
      </c>
      <c r="D381" s="1" t="s">
        <v>139</v>
      </c>
      <c r="E381" s="1" t="s">
        <v>253</v>
      </c>
      <c r="F381" s="1" t="s">
        <v>480</v>
      </c>
      <c r="G381" s="4">
        <v>46204.0</v>
      </c>
      <c r="H381" s="4">
        <v>46227.0</v>
      </c>
      <c r="I381" s="1" t="s">
        <v>19</v>
      </c>
      <c r="J381" s="1" t="s">
        <v>546</v>
      </c>
      <c r="K381" s="5">
        <v>103.13</v>
      </c>
    </row>
    <row r="382" ht="15.75" customHeight="1">
      <c r="A382" s="1" t="s">
        <v>521</v>
      </c>
      <c r="C382" s="1">
        <v>1.7886092E7</v>
      </c>
      <c r="D382" s="1" t="s">
        <v>176</v>
      </c>
      <c r="E382" s="1" t="s">
        <v>552</v>
      </c>
      <c r="F382" s="1" t="s">
        <v>553</v>
      </c>
      <c r="G382" s="4">
        <v>46204.0</v>
      </c>
      <c r="H382" s="4">
        <v>46227.0</v>
      </c>
      <c r="I382" s="1" t="s">
        <v>19</v>
      </c>
      <c r="J382" s="1" t="s">
        <v>549</v>
      </c>
      <c r="K382" s="5">
        <v>73.75</v>
      </c>
    </row>
    <row r="383" ht="15.75" customHeight="1">
      <c r="A383" s="1" t="s">
        <v>521</v>
      </c>
      <c r="C383" s="1">
        <v>1.7886092E7</v>
      </c>
      <c r="D383" s="1" t="s">
        <v>554</v>
      </c>
      <c r="E383" s="1" t="s">
        <v>179</v>
      </c>
      <c r="F383" s="1" t="s">
        <v>555</v>
      </c>
      <c r="G383" s="4">
        <v>46204.0</v>
      </c>
      <c r="H383" s="4">
        <v>46227.0</v>
      </c>
      <c r="I383" s="1" t="s">
        <v>19</v>
      </c>
      <c r="J383" s="1" t="s">
        <v>556</v>
      </c>
      <c r="K383" s="5">
        <v>-36.25</v>
      </c>
    </row>
    <row r="384" ht="15.75" customHeight="1">
      <c r="A384" s="1" t="s">
        <v>521</v>
      </c>
      <c r="C384" s="1">
        <v>1.7886092E7</v>
      </c>
      <c r="D384" s="1" t="s">
        <v>557</v>
      </c>
      <c r="E384" s="1" t="s">
        <v>558</v>
      </c>
      <c r="F384" s="1" t="s">
        <v>559</v>
      </c>
      <c r="G384" s="4">
        <v>46235.0</v>
      </c>
      <c r="H384" s="4">
        <v>46227.0</v>
      </c>
      <c r="I384" s="1" t="s">
        <v>19</v>
      </c>
      <c r="J384" s="1" t="s">
        <v>548</v>
      </c>
      <c r="K384" s="5">
        <v>79.79</v>
      </c>
    </row>
    <row r="385" ht="15.75" customHeight="1">
      <c r="A385" s="1" t="s">
        <v>521</v>
      </c>
      <c r="C385" s="1">
        <v>1.7886092E7</v>
      </c>
      <c r="D385" s="1" t="s">
        <v>152</v>
      </c>
      <c r="E385" s="1" t="s">
        <v>560</v>
      </c>
      <c r="F385" s="1" t="s">
        <v>561</v>
      </c>
      <c r="G385" s="4">
        <v>46204.0</v>
      </c>
      <c r="H385" s="4">
        <v>46227.0</v>
      </c>
      <c r="I385" s="1" t="s">
        <v>19</v>
      </c>
      <c r="J385" s="1" t="s">
        <v>549</v>
      </c>
      <c r="K385" s="5">
        <v>73.75</v>
      </c>
    </row>
    <row r="386" ht="15.75" customHeight="1">
      <c r="A386" s="1" t="s">
        <v>521</v>
      </c>
      <c r="C386" s="1">
        <v>1.7886092E7</v>
      </c>
      <c r="D386" s="1" t="s">
        <v>562</v>
      </c>
      <c r="E386" s="1" t="s">
        <v>563</v>
      </c>
      <c r="F386" s="1" t="s">
        <v>564</v>
      </c>
      <c r="G386" s="4">
        <v>46204.0</v>
      </c>
      <c r="H386" s="4">
        <v>46227.0</v>
      </c>
      <c r="I386" s="1" t="s">
        <v>19</v>
      </c>
      <c r="J386" s="1" t="s">
        <v>549</v>
      </c>
      <c r="K386" s="5">
        <v>73.75</v>
      </c>
    </row>
    <row r="387" ht="15.75" customHeight="1">
      <c r="A387" s="1" t="s">
        <v>521</v>
      </c>
      <c r="C387" s="1">
        <v>1.7886092E7</v>
      </c>
      <c r="D387" s="1" t="s">
        <v>47</v>
      </c>
      <c r="E387" s="1" t="s">
        <v>565</v>
      </c>
      <c r="F387" s="1" t="s">
        <v>566</v>
      </c>
      <c r="G387" s="4">
        <v>46204.0</v>
      </c>
      <c r="H387" s="4">
        <v>46227.0</v>
      </c>
      <c r="I387" s="1" t="s">
        <v>19</v>
      </c>
      <c r="J387" s="1" t="s">
        <v>549</v>
      </c>
      <c r="K387" s="5">
        <v>73.75</v>
      </c>
    </row>
    <row r="388" ht="15.75" customHeight="1">
      <c r="A388" s="1" t="s">
        <v>521</v>
      </c>
      <c r="C388" s="1">
        <v>1.7886092E7</v>
      </c>
      <c r="D388" s="1" t="s">
        <v>133</v>
      </c>
      <c r="E388" s="1" t="s">
        <v>567</v>
      </c>
      <c r="F388" s="1" t="s">
        <v>568</v>
      </c>
      <c r="G388" s="4">
        <v>46235.0</v>
      </c>
      <c r="H388" s="4">
        <v>46227.0</v>
      </c>
      <c r="I388" s="1" t="s">
        <v>19</v>
      </c>
      <c r="J388" s="1" t="s">
        <v>547</v>
      </c>
      <c r="K388" s="5">
        <v>30.21</v>
      </c>
    </row>
    <row r="389" ht="15.75" customHeight="1">
      <c r="A389" s="1" t="s">
        <v>521</v>
      </c>
      <c r="C389" s="1">
        <v>1.7886092E7</v>
      </c>
      <c r="D389" s="1" t="s">
        <v>554</v>
      </c>
      <c r="E389" s="1" t="s">
        <v>179</v>
      </c>
      <c r="F389" s="1" t="s">
        <v>555</v>
      </c>
      <c r="G389" s="4">
        <v>46204.0</v>
      </c>
      <c r="H389" s="4">
        <v>46227.0</v>
      </c>
      <c r="I389" s="1" t="s">
        <v>19</v>
      </c>
      <c r="J389" s="1" t="s">
        <v>569</v>
      </c>
      <c r="K389" s="5">
        <v>110.0</v>
      </c>
    </row>
    <row r="390" ht="15.75" customHeight="1">
      <c r="A390" s="1" t="s">
        <v>521</v>
      </c>
      <c r="C390" s="1">
        <v>1.7886092E7</v>
      </c>
      <c r="D390" s="1" t="s">
        <v>139</v>
      </c>
      <c r="E390" s="1" t="s">
        <v>570</v>
      </c>
      <c r="F390" s="1" t="s">
        <v>571</v>
      </c>
      <c r="G390" s="4">
        <v>46204.0</v>
      </c>
      <c r="H390" s="4">
        <v>46227.0</v>
      </c>
      <c r="I390" s="1" t="s">
        <v>19</v>
      </c>
      <c r="J390" s="1" t="s">
        <v>549</v>
      </c>
      <c r="K390" s="5">
        <v>73.75</v>
      </c>
    </row>
    <row r="391" ht="15.75" customHeight="1">
      <c r="A391" s="1" t="s">
        <v>521</v>
      </c>
      <c r="C391" s="1">
        <v>1.7886092E7</v>
      </c>
      <c r="D391" s="1" t="s">
        <v>122</v>
      </c>
      <c r="E391" s="1" t="s">
        <v>572</v>
      </c>
      <c r="F391" s="1" t="s">
        <v>573</v>
      </c>
      <c r="G391" s="4">
        <v>46235.0</v>
      </c>
      <c r="H391" s="4">
        <v>46227.0</v>
      </c>
      <c r="I391" s="1" t="s">
        <v>19</v>
      </c>
      <c r="J391" s="1" t="s">
        <v>547</v>
      </c>
      <c r="K391" s="5">
        <v>30.21</v>
      </c>
    </row>
    <row r="392" ht="15.75" customHeight="1">
      <c r="A392" s="1" t="s">
        <v>266</v>
      </c>
      <c r="C392" s="1">
        <v>1.871007E7</v>
      </c>
      <c r="D392" s="1" t="s">
        <v>133</v>
      </c>
      <c r="E392" s="1" t="s">
        <v>270</v>
      </c>
      <c r="F392" s="1" t="s">
        <v>484</v>
      </c>
      <c r="G392" s="4">
        <v>46204.0</v>
      </c>
      <c r="H392" s="4">
        <v>46227.0</v>
      </c>
      <c r="I392" s="1" t="s">
        <v>19</v>
      </c>
      <c r="J392" s="1" t="s">
        <v>549</v>
      </c>
      <c r="K392" s="5">
        <v>110.63</v>
      </c>
    </row>
    <row r="393" ht="15.75" customHeight="1">
      <c r="A393" s="1" t="s">
        <v>266</v>
      </c>
      <c r="C393" s="1">
        <v>1.871007E7</v>
      </c>
      <c r="D393" s="1" t="s">
        <v>40</v>
      </c>
      <c r="E393" s="1" t="s">
        <v>485</v>
      </c>
      <c r="F393" s="1" t="s">
        <v>486</v>
      </c>
      <c r="G393" s="4">
        <v>46023.0</v>
      </c>
      <c r="H393" s="4">
        <v>46227.0</v>
      </c>
      <c r="I393" s="1" t="s">
        <v>19</v>
      </c>
      <c r="J393" s="1" t="s">
        <v>574</v>
      </c>
      <c r="K393" s="5">
        <v>-108.75</v>
      </c>
    </row>
    <row r="394" ht="15.75" customHeight="1">
      <c r="A394" s="1" t="s">
        <v>575</v>
      </c>
      <c r="C394" s="1">
        <v>2.0253958E7</v>
      </c>
      <c r="D394" s="1" t="s">
        <v>554</v>
      </c>
      <c r="E394" s="1" t="s">
        <v>576</v>
      </c>
      <c r="F394" s="1" t="s">
        <v>577</v>
      </c>
      <c r="G394" s="4">
        <v>46204.0</v>
      </c>
      <c r="H394" s="4">
        <v>46227.0</v>
      </c>
      <c r="I394" s="1" t="s">
        <v>19</v>
      </c>
      <c r="J394" s="1" t="s">
        <v>549</v>
      </c>
      <c r="K394" s="5">
        <v>73.75</v>
      </c>
    </row>
    <row r="395" ht="15.75" customHeight="1">
      <c r="A395" s="1" t="s">
        <v>575</v>
      </c>
      <c r="C395" s="1">
        <v>2.0253958E7</v>
      </c>
      <c r="D395" s="1" t="s">
        <v>21</v>
      </c>
      <c r="E395" s="1" t="s">
        <v>578</v>
      </c>
      <c r="F395" s="1" t="s">
        <v>579</v>
      </c>
      <c r="G395" s="4">
        <v>46266.0</v>
      </c>
      <c r="H395" s="4">
        <v>46227.0</v>
      </c>
      <c r="I395" s="1" t="s">
        <v>19</v>
      </c>
      <c r="J395" s="1" t="s">
        <v>580</v>
      </c>
      <c r="K395" s="5">
        <v>24.17</v>
      </c>
    </row>
    <row r="396" ht="15.75" customHeight="1">
      <c r="A396" s="1" t="s">
        <v>575</v>
      </c>
      <c r="C396" s="1">
        <v>2.0253958E7</v>
      </c>
      <c r="D396" s="1" t="s">
        <v>40</v>
      </c>
      <c r="E396" s="1" t="s">
        <v>581</v>
      </c>
      <c r="F396" s="1" t="s">
        <v>582</v>
      </c>
      <c r="G396" s="4">
        <v>46235.0</v>
      </c>
      <c r="H396" s="4">
        <v>46227.0</v>
      </c>
      <c r="I396" s="1" t="s">
        <v>19</v>
      </c>
      <c r="J396" s="1" t="s">
        <v>548</v>
      </c>
      <c r="K396" s="5">
        <v>79.79</v>
      </c>
    </row>
    <row r="397" ht="15.75" customHeight="1">
      <c r="A397" s="1" t="s">
        <v>575</v>
      </c>
      <c r="C397" s="1">
        <v>2.0253958E7</v>
      </c>
      <c r="D397" s="1" t="s">
        <v>583</v>
      </c>
      <c r="E397" s="1" t="s">
        <v>584</v>
      </c>
      <c r="F397" s="1" t="s">
        <v>585</v>
      </c>
      <c r="G397" s="4">
        <v>46204.0</v>
      </c>
      <c r="H397" s="4">
        <v>46227.0</v>
      </c>
      <c r="I397" s="1" t="s">
        <v>19</v>
      </c>
      <c r="J397" s="1" t="s">
        <v>549</v>
      </c>
      <c r="K397" s="5">
        <v>73.75</v>
      </c>
    </row>
    <row r="398" ht="15.75" customHeight="1">
      <c r="A398" s="1" t="s">
        <v>575</v>
      </c>
      <c r="C398" s="1">
        <v>2.0253958E7</v>
      </c>
      <c r="D398" s="1" t="s">
        <v>69</v>
      </c>
      <c r="E398" s="1" t="s">
        <v>586</v>
      </c>
      <c r="F398" s="1" t="s">
        <v>587</v>
      </c>
      <c r="G398" s="4">
        <v>46204.0</v>
      </c>
      <c r="H398" s="4">
        <v>46227.0</v>
      </c>
      <c r="I398" s="1" t="s">
        <v>19</v>
      </c>
      <c r="J398" s="1" t="s">
        <v>549</v>
      </c>
      <c r="K398" s="5">
        <v>73.75</v>
      </c>
    </row>
    <row r="399" ht="15.75" customHeight="1">
      <c r="A399" s="1" t="s">
        <v>575</v>
      </c>
      <c r="C399" s="1">
        <v>2.0253958E7</v>
      </c>
      <c r="D399" s="1" t="s">
        <v>588</v>
      </c>
      <c r="E399" s="1" t="s">
        <v>589</v>
      </c>
      <c r="F399" s="1" t="s">
        <v>590</v>
      </c>
      <c r="G399" s="4">
        <v>46235.0</v>
      </c>
      <c r="H399" s="4">
        <v>46227.0</v>
      </c>
      <c r="I399" s="1" t="s">
        <v>19</v>
      </c>
      <c r="J399" s="1" t="s">
        <v>548</v>
      </c>
      <c r="K399" s="5">
        <v>79.79</v>
      </c>
    </row>
    <row r="400" ht="15.75" customHeight="1">
      <c r="A400" s="1" t="s">
        <v>575</v>
      </c>
      <c r="C400" s="1">
        <v>2.0253958E7</v>
      </c>
      <c r="D400" s="1" t="s">
        <v>591</v>
      </c>
      <c r="E400" s="1" t="s">
        <v>26</v>
      </c>
      <c r="F400" s="1" t="s">
        <v>592</v>
      </c>
      <c r="G400" s="4">
        <v>46235.0</v>
      </c>
      <c r="H400" s="4">
        <v>46227.0</v>
      </c>
      <c r="I400" s="1" t="s">
        <v>19</v>
      </c>
      <c r="J400" s="1" t="s">
        <v>547</v>
      </c>
      <c r="K400" s="5">
        <v>30.21</v>
      </c>
    </row>
    <row r="401" ht="15.75" customHeight="1">
      <c r="A401" s="1" t="s">
        <v>575</v>
      </c>
      <c r="C401" s="1">
        <v>2.0253958E7</v>
      </c>
      <c r="D401" s="1" t="s">
        <v>434</v>
      </c>
      <c r="E401" s="1" t="s">
        <v>593</v>
      </c>
      <c r="F401" s="1" t="s">
        <v>594</v>
      </c>
      <c r="G401" s="4">
        <v>46204.0</v>
      </c>
      <c r="H401" s="4">
        <v>46227.0</v>
      </c>
      <c r="I401" s="1" t="s">
        <v>19</v>
      </c>
      <c r="J401" s="1" t="s">
        <v>549</v>
      </c>
      <c r="K401" s="5">
        <v>73.75</v>
      </c>
    </row>
    <row r="402" ht="15.75" customHeight="1">
      <c r="A402" s="1" t="s">
        <v>575</v>
      </c>
      <c r="C402" s="1">
        <v>2.0253958E7</v>
      </c>
      <c r="D402" s="1" t="s">
        <v>347</v>
      </c>
      <c r="E402" s="1" t="s">
        <v>595</v>
      </c>
      <c r="F402" s="1" t="s">
        <v>596</v>
      </c>
      <c r="G402" s="4">
        <v>46204.0</v>
      </c>
      <c r="H402" s="4">
        <v>46227.0</v>
      </c>
      <c r="I402" s="1" t="s">
        <v>19</v>
      </c>
      <c r="J402" s="1" t="s">
        <v>549</v>
      </c>
      <c r="K402" s="5">
        <v>73.75</v>
      </c>
    </row>
    <row r="403" ht="15.75" customHeight="1">
      <c r="A403" s="1" t="s">
        <v>575</v>
      </c>
      <c r="C403" s="1">
        <v>2.0253958E7</v>
      </c>
      <c r="D403" s="1" t="s">
        <v>122</v>
      </c>
      <c r="E403" s="1" t="s">
        <v>597</v>
      </c>
      <c r="F403" s="1" t="s">
        <v>598</v>
      </c>
      <c r="G403" s="4">
        <v>46266.0</v>
      </c>
      <c r="H403" s="4">
        <v>46227.0</v>
      </c>
      <c r="I403" s="1" t="s">
        <v>19</v>
      </c>
      <c r="J403" s="1" t="s">
        <v>580</v>
      </c>
      <c r="K403" s="5">
        <v>24.17</v>
      </c>
    </row>
    <row r="404" ht="15.75" customHeight="1">
      <c r="A404" s="1" t="s">
        <v>575</v>
      </c>
      <c r="C404" s="1">
        <v>2.0253958E7</v>
      </c>
      <c r="D404" s="1" t="s">
        <v>51</v>
      </c>
      <c r="E404" s="1" t="s">
        <v>599</v>
      </c>
      <c r="F404" s="1" t="s">
        <v>600</v>
      </c>
      <c r="G404" s="4">
        <v>46204.0</v>
      </c>
      <c r="H404" s="4">
        <v>46227.0</v>
      </c>
      <c r="I404" s="1" t="s">
        <v>19</v>
      </c>
      <c r="J404" s="1" t="s">
        <v>549</v>
      </c>
      <c r="K404" s="5">
        <v>73.75</v>
      </c>
    </row>
    <row r="405" ht="15.75" customHeight="1">
      <c r="A405" s="1" t="s">
        <v>575</v>
      </c>
      <c r="C405" s="1">
        <v>2.0253958E7</v>
      </c>
      <c r="D405" s="1" t="s">
        <v>25</v>
      </c>
      <c r="E405" s="1" t="s">
        <v>601</v>
      </c>
      <c r="F405" s="1" t="s">
        <v>602</v>
      </c>
      <c r="G405" s="4">
        <v>46235.0</v>
      </c>
      <c r="H405" s="4">
        <v>46227.0</v>
      </c>
      <c r="I405" s="1" t="s">
        <v>19</v>
      </c>
      <c r="J405" s="1" t="s">
        <v>548</v>
      </c>
      <c r="K405" s="5">
        <v>79.79</v>
      </c>
    </row>
    <row r="406" ht="15.75" customHeight="1">
      <c r="A406" s="1" t="s">
        <v>575</v>
      </c>
      <c r="C406" s="1">
        <v>2.0253958E7</v>
      </c>
      <c r="D406" s="1" t="s">
        <v>603</v>
      </c>
      <c r="E406" s="1" t="s">
        <v>604</v>
      </c>
      <c r="F406" s="1" t="s">
        <v>605</v>
      </c>
      <c r="G406" s="4">
        <v>46054.0</v>
      </c>
      <c r="H406" s="4">
        <v>46227.0</v>
      </c>
      <c r="I406" s="1" t="s">
        <v>19</v>
      </c>
      <c r="J406" s="1" t="s">
        <v>606</v>
      </c>
      <c r="K406" s="5">
        <v>-50.0</v>
      </c>
    </row>
    <row r="407" ht="15.75" customHeight="1">
      <c r="A407" s="1" t="s">
        <v>575</v>
      </c>
      <c r="C407" s="1">
        <v>2.0253958E7</v>
      </c>
      <c r="D407" s="1" t="s">
        <v>603</v>
      </c>
      <c r="E407" s="1" t="s">
        <v>604</v>
      </c>
      <c r="F407" s="1" t="s">
        <v>605</v>
      </c>
      <c r="G407" s="4">
        <v>46054.0</v>
      </c>
      <c r="H407" s="4">
        <v>46227.0</v>
      </c>
      <c r="I407" s="1" t="s">
        <v>19</v>
      </c>
      <c r="J407" s="1" t="s">
        <v>607</v>
      </c>
      <c r="K407" s="5">
        <v>50.0</v>
      </c>
    </row>
    <row r="408" ht="15.75" customHeight="1">
      <c r="A408" s="1" t="s">
        <v>575</v>
      </c>
      <c r="C408" s="1">
        <v>2.0253958E7</v>
      </c>
      <c r="D408" s="1" t="s">
        <v>608</v>
      </c>
      <c r="E408" s="1" t="s">
        <v>609</v>
      </c>
      <c r="F408" s="1" t="s">
        <v>610</v>
      </c>
      <c r="G408" s="4">
        <v>46082.0</v>
      </c>
      <c r="H408" s="4">
        <v>46227.0</v>
      </c>
      <c r="I408" s="1" t="s">
        <v>19</v>
      </c>
      <c r="J408" s="1" t="s">
        <v>611</v>
      </c>
      <c r="K408" s="5">
        <v>-110.0</v>
      </c>
    </row>
    <row r="409" ht="15.75" customHeight="1">
      <c r="A409" s="1" t="s">
        <v>509</v>
      </c>
      <c r="C409" s="1">
        <v>2.1618313E7</v>
      </c>
      <c r="D409" s="1" t="s">
        <v>612</v>
      </c>
      <c r="E409" s="1" t="s">
        <v>613</v>
      </c>
      <c r="F409" s="1" t="s">
        <v>614</v>
      </c>
      <c r="G409" s="4">
        <v>46204.0</v>
      </c>
      <c r="H409" s="4">
        <v>46227.0</v>
      </c>
      <c r="I409" s="1" t="s">
        <v>94</v>
      </c>
      <c r="J409" s="1" t="s">
        <v>615</v>
      </c>
      <c r="K409" s="5">
        <v>225.0</v>
      </c>
    </row>
    <row r="410" ht="15.75" customHeight="1">
      <c r="A410" s="1" t="s">
        <v>12</v>
      </c>
      <c r="C410" s="1">
        <v>1.927837E7</v>
      </c>
      <c r="D410" s="1" t="s">
        <v>81</v>
      </c>
      <c r="E410" s="1" t="s">
        <v>72</v>
      </c>
      <c r="F410" s="1" t="s">
        <v>616</v>
      </c>
      <c r="G410" s="4">
        <v>45748.0</v>
      </c>
      <c r="H410" s="4">
        <v>46227.0</v>
      </c>
      <c r="I410" s="1" t="s">
        <v>94</v>
      </c>
      <c r="J410" s="1" t="s">
        <v>95</v>
      </c>
      <c r="K410" s="5">
        <v>32.08</v>
      </c>
    </row>
    <row r="411" ht="15.75" customHeight="1">
      <c r="A411" s="1" t="s">
        <v>12</v>
      </c>
      <c r="C411" s="1">
        <v>1.927837E7</v>
      </c>
      <c r="D411" s="1" t="s">
        <v>81</v>
      </c>
      <c r="E411" s="1" t="s">
        <v>72</v>
      </c>
      <c r="F411" s="1" t="s">
        <v>616</v>
      </c>
      <c r="G411" s="4">
        <v>45748.0</v>
      </c>
      <c r="H411" s="4">
        <v>46227.0</v>
      </c>
      <c r="I411" s="1" t="s">
        <v>94</v>
      </c>
      <c r="J411" s="1" t="s">
        <v>617</v>
      </c>
      <c r="K411" s="5">
        <v>6.25</v>
      </c>
    </row>
    <row r="412" ht="15.75" customHeight="1">
      <c r="A412" s="1" t="s">
        <v>575</v>
      </c>
      <c r="C412" s="1">
        <v>2.0253958E7</v>
      </c>
      <c r="D412" s="1" t="s">
        <v>618</v>
      </c>
      <c r="E412" s="1" t="s">
        <v>619</v>
      </c>
      <c r="F412" s="1" t="s">
        <v>620</v>
      </c>
      <c r="G412" s="4">
        <v>46204.0</v>
      </c>
      <c r="H412" s="4">
        <v>46227.0</v>
      </c>
      <c r="I412" s="1" t="s">
        <v>94</v>
      </c>
      <c r="J412" s="1" t="s">
        <v>621</v>
      </c>
      <c r="K412" s="5">
        <v>37.5</v>
      </c>
    </row>
    <row r="413" ht="15.75" customHeight="1">
      <c r="A413" s="1" t="s">
        <v>509</v>
      </c>
      <c r="C413" s="1">
        <v>2.1618313E7</v>
      </c>
      <c r="D413" s="1" t="s">
        <v>612</v>
      </c>
      <c r="E413" s="1" t="s">
        <v>613</v>
      </c>
      <c r="F413" s="1" t="s">
        <v>614</v>
      </c>
      <c r="G413" s="4">
        <v>46204.0</v>
      </c>
      <c r="H413" s="4">
        <v>46227.0</v>
      </c>
      <c r="I413" s="1" t="s">
        <v>94</v>
      </c>
      <c r="J413" s="1" t="s">
        <v>622</v>
      </c>
      <c r="K413" s="5">
        <v>60.0</v>
      </c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0.71"/>
    <col customWidth="1" min="3" max="3" width="11.43"/>
    <col customWidth="1" min="4" max="5" width="16.29"/>
    <col customWidth="1" min="6" max="7" width="11.29"/>
    <col customWidth="1" min="8" max="9" width="11.86"/>
    <col customWidth="1" min="10" max="10" width="14.71"/>
    <col customWidth="1" min="11" max="11" width="12.71"/>
    <col customWidth="1" min="12" max="12" width="54.86"/>
    <col customWidth="1" min="13" max="13" width="15.71"/>
    <col customWidth="1" min="14" max="14" width="30.43"/>
    <col customWidth="1" min="15" max="15" width="23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F1" s="2" t="s">
        <v>5</v>
      </c>
      <c r="G1" s="2"/>
      <c r="H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3" t="s">
        <v>12</v>
      </c>
      <c r="B2" s="3" t="s">
        <v>16</v>
      </c>
      <c r="C2" s="3" t="s">
        <v>17</v>
      </c>
      <c r="D2" s="3" t="s">
        <v>18</v>
      </c>
      <c r="E2" s="3" t="str">
        <f t="shared" ref="E2:E422" si="1">CONCATENATE(C2," ",D2)</f>
        <v>Delyn Byerly</v>
      </c>
      <c r="F2" s="2">
        <v>13020.0</v>
      </c>
      <c r="G2" s="2" t="str">
        <f t="shared" ref="G2:G3" si="2">CONCATENATE(F2,"PDP")</f>
        <v>13020PDP</v>
      </c>
      <c r="H2" s="4">
        <v>45931.0</v>
      </c>
      <c r="I2" s="4">
        <v>46204.0</v>
      </c>
      <c r="J2" s="4">
        <v>46227.0</v>
      </c>
      <c r="K2" s="3" t="s">
        <v>19</v>
      </c>
      <c r="L2" s="3" t="s">
        <v>38</v>
      </c>
      <c r="M2" s="5">
        <v>4.58</v>
      </c>
      <c r="N2" s="3" t="s">
        <v>39</v>
      </c>
      <c r="O2" s="3"/>
      <c r="P2" s="3"/>
      <c r="Q2" s="3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34</v>
      </c>
      <c r="B3" s="3">
        <v>1.5278437E7</v>
      </c>
      <c r="C3" s="3" t="s">
        <v>43</v>
      </c>
      <c r="D3" s="3" t="s">
        <v>44</v>
      </c>
      <c r="E3" s="3" t="str">
        <f t="shared" si="1"/>
        <v>Joseph Grande</v>
      </c>
      <c r="F3" s="2">
        <v>50650.0</v>
      </c>
      <c r="G3" s="2" t="str">
        <f t="shared" si="2"/>
        <v>50650PDP</v>
      </c>
      <c r="H3" s="4">
        <v>45717.0</v>
      </c>
      <c r="I3" s="4">
        <v>46204.0</v>
      </c>
      <c r="J3" s="4">
        <v>46227.0</v>
      </c>
      <c r="K3" s="3" t="s">
        <v>19</v>
      </c>
      <c r="L3" s="3" t="s">
        <v>38</v>
      </c>
      <c r="M3" s="5">
        <v>4.58</v>
      </c>
      <c r="N3" s="3" t="s">
        <v>39</v>
      </c>
      <c r="O3" s="3"/>
      <c r="P3" s="3"/>
      <c r="Q3" s="3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12</v>
      </c>
      <c r="B4" s="3" t="s">
        <v>16</v>
      </c>
      <c r="C4" s="3" t="s">
        <v>81</v>
      </c>
      <c r="D4" s="3" t="s">
        <v>72</v>
      </c>
      <c r="E4" s="3" t="str">
        <f t="shared" si="1"/>
        <v>Bette Thomas</v>
      </c>
      <c r="F4" s="2" t="s">
        <v>84</v>
      </c>
      <c r="G4" s="2" t="str">
        <f>CONCATENATE(F4,"MS")</f>
        <v>4797BMS</v>
      </c>
      <c r="H4" s="4">
        <v>45748.0</v>
      </c>
      <c r="I4" s="4">
        <v>46204.0</v>
      </c>
      <c r="J4" s="4">
        <v>46227.0</v>
      </c>
      <c r="K4" s="3" t="s">
        <v>94</v>
      </c>
      <c r="L4" s="3" t="s">
        <v>95</v>
      </c>
      <c r="M4" s="5">
        <v>32.08</v>
      </c>
      <c r="N4" s="3" t="s">
        <v>97</v>
      </c>
      <c r="O4" s="3"/>
      <c r="P4" s="3"/>
      <c r="Q4" s="3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50</v>
      </c>
      <c r="B5" s="3">
        <v>1.7528908E7</v>
      </c>
      <c r="C5" s="3" t="s">
        <v>105</v>
      </c>
      <c r="D5" s="3" t="s">
        <v>106</v>
      </c>
      <c r="E5" s="3" t="str">
        <f t="shared" si="1"/>
        <v>Judith Black</v>
      </c>
      <c r="F5" s="2">
        <v>350.0</v>
      </c>
      <c r="G5" s="2" t="str">
        <f t="shared" ref="G5:G7" si="3">CONCATENATE(F5,55)</f>
        <v>35055</v>
      </c>
      <c r="H5" s="4">
        <v>45292.0</v>
      </c>
      <c r="I5" s="4">
        <v>46204.0</v>
      </c>
      <c r="J5" s="4">
        <v>46227.0</v>
      </c>
      <c r="K5" s="3" t="s">
        <v>19</v>
      </c>
      <c r="L5" s="3" t="s">
        <v>114</v>
      </c>
      <c r="M5" s="5">
        <v>26.08</v>
      </c>
      <c r="N5" s="3" t="s">
        <v>116</v>
      </c>
      <c r="O5" s="3" t="s">
        <v>118</v>
      </c>
      <c r="P5" s="3"/>
      <c r="Q5" s="3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50</v>
      </c>
      <c r="B6" s="3" t="s">
        <v>124</v>
      </c>
      <c r="C6" s="3" t="s">
        <v>126</v>
      </c>
      <c r="D6" s="3" t="s">
        <v>127</v>
      </c>
      <c r="E6" s="3" t="str">
        <f t="shared" si="1"/>
        <v>Christy Russell</v>
      </c>
      <c r="F6" s="2">
        <v>11460.0</v>
      </c>
      <c r="G6" s="2" t="str">
        <f t="shared" si="3"/>
        <v>1146055</v>
      </c>
      <c r="H6" s="4">
        <v>45839.0</v>
      </c>
      <c r="I6" s="4">
        <v>46204.0</v>
      </c>
      <c r="J6" s="4">
        <v>46227.0</v>
      </c>
      <c r="K6" s="3" t="s">
        <v>19</v>
      </c>
      <c r="L6" s="3" t="s">
        <v>114</v>
      </c>
      <c r="M6" s="5">
        <v>26.08</v>
      </c>
      <c r="N6" s="3" t="s">
        <v>116</v>
      </c>
      <c r="O6" s="3" t="s">
        <v>118</v>
      </c>
      <c r="P6" s="3"/>
      <c r="Q6" s="3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50</v>
      </c>
      <c r="B7" s="3">
        <v>1.7528908E7</v>
      </c>
      <c r="C7" s="3" t="s">
        <v>139</v>
      </c>
      <c r="D7" s="3" t="s">
        <v>127</v>
      </c>
      <c r="E7" s="3" t="str">
        <f t="shared" si="1"/>
        <v>David Russell</v>
      </c>
      <c r="F7" s="2">
        <v>18410.0</v>
      </c>
      <c r="G7" s="2" t="str">
        <f t="shared" si="3"/>
        <v>1841055</v>
      </c>
      <c r="H7" s="4">
        <v>45505.0</v>
      </c>
      <c r="I7" s="4">
        <v>46204.0</v>
      </c>
      <c r="J7" s="4">
        <v>46227.0</v>
      </c>
      <c r="K7" s="3" t="s">
        <v>19</v>
      </c>
      <c r="L7" s="3" t="s">
        <v>114</v>
      </c>
      <c r="M7" s="5">
        <v>26.08</v>
      </c>
      <c r="N7" s="3" t="s">
        <v>116</v>
      </c>
      <c r="O7" s="3" t="s">
        <v>118</v>
      </c>
      <c r="P7" s="3"/>
      <c r="Q7" s="3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50</v>
      </c>
      <c r="B8" s="7" t="s">
        <v>124</v>
      </c>
      <c r="C8" s="7" t="s">
        <v>47</v>
      </c>
      <c r="D8" s="7" t="s">
        <v>72</v>
      </c>
      <c r="E8" s="3" t="str">
        <f t="shared" si="1"/>
        <v>Linda Thomas</v>
      </c>
      <c r="F8" s="8">
        <v>13800.0</v>
      </c>
      <c r="G8" s="8" t="str">
        <f t="shared" ref="G8:G16" si="4">CONCATENATE(F8,75)</f>
        <v>1380075</v>
      </c>
      <c r="H8" s="9">
        <v>46266.0</v>
      </c>
      <c r="I8" s="9">
        <v>46387.0</v>
      </c>
      <c r="J8" s="9">
        <v>46227.0</v>
      </c>
      <c r="K8" s="7" t="s">
        <v>19</v>
      </c>
      <c r="L8" s="7" t="s">
        <v>159</v>
      </c>
      <c r="M8" s="10">
        <v>705.0</v>
      </c>
      <c r="N8" s="7" t="s">
        <v>163</v>
      </c>
      <c r="O8" s="7" t="s">
        <v>164</v>
      </c>
      <c r="P8" s="7"/>
      <c r="Q8" s="10">
        <v>587.33</v>
      </c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50</v>
      </c>
      <c r="B9" s="7" t="s">
        <v>124</v>
      </c>
      <c r="C9" s="7" t="s">
        <v>171</v>
      </c>
      <c r="D9" s="7" t="s">
        <v>172</v>
      </c>
      <c r="E9" s="3" t="str">
        <f t="shared" si="1"/>
        <v>Diane Fornear</v>
      </c>
      <c r="F9" s="8">
        <v>86770.0</v>
      </c>
      <c r="G9" s="8" t="str">
        <f t="shared" si="4"/>
        <v>8677075</v>
      </c>
      <c r="H9" s="9">
        <v>46266.0</v>
      </c>
      <c r="I9" s="9">
        <v>46387.0</v>
      </c>
      <c r="J9" s="9">
        <v>46227.0</v>
      </c>
      <c r="K9" s="7" t="s">
        <v>19</v>
      </c>
      <c r="L9" s="7" t="s">
        <v>159</v>
      </c>
      <c r="M9" s="10">
        <v>705.0</v>
      </c>
      <c r="N9" s="7" t="s">
        <v>163</v>
      </c>
      <c r="O9" s="7" t="s">
        <v>164</v>
      </c>
      <c r="P9" s="7">
        <v>117.67</v>
      </c>
      <c r="Q9" s="10">
        <v>587.33</v>
      </c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50</v>
      </c>
      <c r="B10" s="7" t="s">
        <v>124</v>
      </c>
      <c r="C10" s="7" t="s">
        <v>184</v>
      </c>
      <c r="D10" s="7" t="s">
        <v>185</v>
      </c>
      <c r="E10" s="3" t="str">
        <f t="shared" si="1"/>
        <v>Sharon Norcia</v>
      </c>
      <c r="F10" s="8">
        <v>73720.0</v>
      </c>
      <c r="G10" s="8" t="str">
        <f t="shared" si="4"/>
        <v>7372075</v>
      </c>
      <c r="H10" s="9">
        <v>46235.0</v>
      </c>
      <c r="I10" s="9">
        <v>46387.0</v>
      </c>
      <c r="J10" s="9">
        <v>46227.0</v>
      </c>
      <c r="K10" s="7" t="s">
        <v>19</v>
      </c>
      <c r="L10" s="7" t="s">
        <v>191</v>
      </c>
      <c r="M10" s="10">
        <v>705.0</v>
      </c>
      <c r="N10" s="7" t="s">
        <v>163</v>
      </c>
      <c r="O10" s="7" t="s">
        <v>164</v>
      </c>
      <c r="P10" s="7"/>
      <c r="Q10" s="10">
        <v>557.92</v>
      </c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50</v>
      </c>
      <c r="B11" s="7" t="s">
        <v>124</v>
      </c>
      <c r="C11" s="7" t="s">
        <v>202</v>
      </c>
      <c r="D11" s="7" t="s">
        <v>203</v>
      </c>
      <c r="E11" s="3" t="str">
        <f t="shared" si="1"/>
        <v>Debra Murray</v>
      </c>
      <c r="F11" s="8">
        <v>76360.0</v>
      </c>
      <c r="G11" s="8" t="str">
        <f t="shared" si="4"/>
        <v>7636075</v>
      </c>
      <c r="H11" s="9">
        <v>46235.0</v>
      </c>
      <c r="I11" s="9">
        <v>46387.0</v>
      </c>
      <c r="J11" s="9">
        <v>46227.0</v>
      </c>
      <c r="K11" s="7" t="s">
        <v>19</v>
      </c>
      <c r="L11" s="7" t="s">
        <v>191</v>
      </c>
      <c r="M11" s="10">
        <v>705.0</v>
      </c>
      <c r="N11" s="7" t="s">
        <v>163</v>
      </c>
      <c r="O11" s="7" t="s">
        <v>164</v>
      </c>
      <c r="P11" s="7"/>
      <c r="Q11" s="10">
        <v>557.92</v>
      </c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50</v>
      </c>
      <c r="B12" s="7" t="s">
        <v>124</v>
      </c>
      <c r="C12" s="7" t="s">
        <v>216</v>
      </c>
      <c r="D12" s="7" t="s">
        <v>217</v>
      </c>
      <c r="E12" s="3" t="str">
        <f t="shared" si="1"/>
        <v>Janet Lauff</v>
      </c>
      <c r="F12" s="8">
        <v>90960.0</v>
      </c>
      <c r="G12" s="8" t="str">
        <f t="shared" si="4"/>
        <v>9096075</v>
      </c>
      <c r="H12" s="9">
        <v>46235.0</v>
      </c>
      <c r="I12" s="9">
        <v>46387.0</v>
      </c>
      <c r="J12" s="9">
        <v>46227.0</v>
      </c>
      <c r="K12" s="7" t="s">
        <v>19</v>
      </c>
      <c r="L12" s="7" t="s">
        <v>191</v>
      </c>
      <c r="M12" s="10">
        <v>705.0</v>
      </c>
      <c r="N12" s="7" t="s">
        <v>163</v>
      </c>
      <c r="O12" s="7" t="s">
        <v>164</v>
      </c>
      <c r="P12" s="7"/>
      <c r="Q12" s="10">
        <v>557.92</v>
      </c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50</v>
      </c>
      <c r="B13" s="7" t="s">
        <v>124</v>
      </c>
      <c r="C13" s="7" t="s">
        <v>206</v>
      </c>
      <c r="D13" s="7" t="s">
        <v>235</v>
      </c>
      <c r="E13" s="3" t="str">
        <f t="shared" si="1"/>
        <v>Kimberly Durkin</v>
      </c>
      <c r="F13" s="8">
        <v>15310.0</v>
      </c>
      <c r="G13" s="8" t="str">
        <f t="shared" si="4"/>
        <v>1531075</v>
      </c>
      <c r="H13" s="9">
        <v>46204.0</v>
      </c>
      <c r="I13" s="9">
        <v>46387.0</v>
      </c>
      <c r="J13" s="9">
        <v>46227.0</v>
      </c>
      <c r="K13" s="7" t="s">
        <v>19</v>
      </c>
      <c r="L13" s="7" t="s">
        <v>239</v>
      </c>
      <c r="M13" s="10">
        <v>705.0</v>
      </c>
      <c r="N13" s="7" t="s">
        <v>163</v>
      </c>
      <c r="O13" s="7" t="s">
        <v>164</v>
      </c>
      <c r="P13" s="7"/>
      <c r="Q13" s="10">
        <v>528.5</v>
      </c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50</v>
      </c>
      <c r="B14" s="7" t="s">
        <v>124</v>
      </c>
      <c r="C14" s="7" t="s">
        <v>139</v>
      </c>
      <c r="D14" s="7" t="s">
        <v>253</v>
      </c>
      <c r="E14" s="3" t="str">
        <f t="shared" si="1"/>
        <v>David Hall</v>
      </c>
      <c r="F14" s="8">
        <v>74090.0</v>
      </c>
      <c r="G14" s="8" t="str">
        <f t="shared" si="4"/>
        <v>7409075</v>
      </c>
      <c r="H14" s="9">
        <v>46204.0</v>
      </c>
      <c r="I14" s="9">
        <v>46387.0</v>
      </c>
      <c r="J14" s="9">
        <v>46227.0</v>
      </c>
      <c r="K14" s="7" t="s">
        <v>19</v>
      </c>
      <c r="L14" s="7" t="s">
        <v>239</v>
      </c>
      <c r="M14" s="10">
        <v>705.0</v>
      </c>
      <c r="N14" s="7" t="s">
        <v>163</v>
      </c>
      <c r="O14" s="7" t="s">
        <v>164</v>
      </c>
      <c r="P14" s="7"/>
      <c r="Q14" s="10">
        <v>528.5</v>
      </c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266</v>
      </c>
      <c r="B15" s="7" t="s">
        <v>268</v>
      </c>
      <c r="C15" s="7" t="s">
        <v>133</v>
      </c>
      <c r="D15" s="7" t="s">
        <v>270</v>
      </c>
      <c r="E15" s="3" t="str">
        <f t="shared" si="1"/>
        <v>Michael Marquardt</v>
      </c>
      <c r="F15" s="8">
        <v>9600.0</v>
      </c>
      <c r="G15" s="8" t="str">
        <f t="shared" si="4"/>
        <v>960075</v>
      </c>
      <c r="H15" s="9">
        <v>46204.0</v>
      </c>
      <c r="I15" s="9">
        <v>46387.0</v>
      </c>
      <c r="J15" s="9">
        <v>46227.0</v>
      </c>
      <c r="K15" s="7" t="s">
        <v>19</v>
      </c>
      <c r="L15" s="7" t="s">
        <v>239</v>
      </c>
      <c r="M15" s="10">
        <v>705.0</v>
      </c>
      <c r="N15" s="7" t="s">
        <v>163</v>
      </c>
      <c r="O15" s="7" t="s">
        <v>164</v>
      </c>
      <c r="P15" s="7"/>
      <c r="Q15" s="10">
        <v>528.5</v>
      </c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11</v>
      </c>
      <c r="B16" s="7" t="s">
        <v>284</v>
      </c>
      <c r="C16" s="7" t="s">
        <v>43</v>
      </c>
      <c r="D16" s="7" t="s">
        <v>285</v>
      </c>
      <c r="E16" s="3" t="str">
        <f t="shared" si="1"/>
        <v>Joseph Grieco</v>
      </c>
      <c r="F16" s="8">
        <v>78130.0</v>
      </c>
      <c r="G16" s="8" t="str">
        <f t="shared" si="4"/>
        <v>7813075</v>
      </c>
      <c r="H16" s="9">
        <v>46204.0</v>
      </c>
      <c r="I16" s="9">
        <v>46387.0</v>
      </c>
      <c r="J16" s="9">
        <v>46227.0</v>
      </c>
      <c r="K16" s="7" t="s">
        <v>19</v>
      </c>
      <c r="L16" s="7" t="s">
        <v>239</v>
      </c>
      <c r="M16" s="10">
        <v>705.0</v>
      </c>
      <c r="N16" s="7" t="s">
        <v>163</v>
      </c>
      <c r="O16" s="7" t="s">
        <v>164</v>
      </c>
      <c r="P16" s="7">
        <v>176.5</v>
      </c>
      <c r="Q16" s="10">
        <v>528.5</v>
      </c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24</v>
      </c>
      <c r="B17" s="3" t="s">
        <v>301</v>
      </c>
      <c r="C17" s="3" t="s">
        <v>25</v>
      </c>
      <c r="D17" s="3" t="s">
        <v>26</v>
      </c>
      <c r="E17" s="3" t="str">
        <f t="shared" si="1"/>
        <v>Mary Reese</v>
      </c>
      <c r="F17" s="2">
        <v>4770.0</v>
      </c>
      <c r="G17" s="2" t="str">
        <f t="shared" ref="G17:G198" si="5">CONCATENATE(F17,55)</f>
        <v>477055</v>
      </c>
      <c r="H17" s="4">
        <v>45901.0</v>
      </c>
      <c r="I17" s="4">
        <v>46204.0</v>
      </c>
      <c r="J17" s="4">
        <v>46227.0</v>
      </c>
      <c r="K17" s="3" t="s">
        <v>19</v>
      </c>
      <c r="L17" s="3" t="s">
        <v>20</v>
      </c>
      <c r="M17" s="5">
        <v>29.41</v>
      </c>
      <c r="N17" s="3" t="s">
        <v>310</v>
      </c>
      <c r="O17" s="3" t="s">
        <v>311</v>
      </c>
      <c r="P17" s="3"/>
      <c r="Q17" s="3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24</v>
      </c>
      <c r="B18" s="3" t="s">
        <v>301</v>
      </c>
      <c r="C18" s="3" t="s">
        <v>31</v>
      </c>
      <c r="D18" s="3" t="s">
        <v>32</v>
      </c>
      <c r="E18" s="3" t="str">
        <f t="shared" si="1"/>
        <v>Wayne White</v>
      </c>
      <c r="F18" s="2">
        <v>7620.0</v>
      </c>
      <c r="G18" s="2" t="str">
        <f t="shared" si="5"/>
        <v>762055</v>
      </c>
      <c r="H18" s="4">
        <v>45901.0</v>
      </c>
      <c r="I18" s="4">
        <v>46204.0</v>
      </c>
      <c r="J18" s="4">
        <v>46227.0</v>
      </c>
      <c r="K18" s="3" t="s">
        <v>19</v>
      </c>
      <c r="L18" s="3" t="s">
        <v>20</v>
      </c>
      <c r="M18" s="5">
        <v>29.41</v>
      </c>
      <c r="N18" s="3" t="s">
        <v>310</v>
      </c>
      <c r="O18" s="3" t="s">
        <v>311</v>
      </c>
      <c r="P18" s="3"/>
      <c r="Q18" s="3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24</v>
      </c>
      <c r="B19" s="3">
        <v>9254978.0</v>
      </c>
      <c r="C19" s="3" t="s">
        <v>28</v>
      </c>
      <c r="D19" s="3" t="s">
        <v>29</v>
      </c>
      <c r="E19" s="3" t="str">
        <f t="shared" si="1"/>
        <v>Beverly Sullivan</v>
      </c>
      <c r="F19" s="2">
        <v>13660.0</v>
      </c>
      <c r="G19" s="2" t="str">
        <f t="shared" si="5"/>
        <v>1366055</v>
      </c>
      <c r="H19" s="4">
        <v>45658.0</v>
      </c>
      <c r="I19" s="4">
        <v>46204.0</v>
      </c>
      <c r="J19" s="4">
        <v>46227.0</v>
      </c>
      <c r="K19" s="3" t="s">
        <v>19</v>
      </c>
      <c r="L19" s="3" t="s">
        <v>20</v>
      </c>
      <c r="M19" s="5">
        <v>29.41</v>
      </c>
      <c r="N19" s="3" t="s">
        <v>310</v>
      </c>
      <c r="O19" s="3" t="s">
        <v>311</v>
      </c>
      <c r="P19" s="3"/>
      <c r="Q19" s="3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12</v>
      </c>
      <c r="B20" s="3" t="s">
        <v>16</v>
      </c>
      <c r="C20" s="3" t="s">
        <v>51</v>
      </c>
      <c r="D20" s="3" t="s">
        <v>339</v>
      </c>
      <c r="E20" s="3" t="str">
        <f t="shared" si="1"/>
        <v>Robert Holmes</v>
      </c>
      <c r="F20" s="2">
        <v>65970.0</v>
      </c>
      <c r="G20" s="2" t="str">
        <f t="shared" si="5"/>
        <v>6597055</v>
      </c>
      <c r="H20" s="4">
        <v>45413.0</v>
      </c>
      <c r="I20" s="4">
        <v>46204.0</v>
      </c>
      <c r="J20" s="4">
        <v>46227.0</v>
      </c>
      <c r="K20" s="3" t="s">
        <v>19</v>
      </c>
      <c r="L20" s="3" t="s">
        <v>20</v>
      </c>
      <c r="M20" s="5">
        <v>29.41</v>
      </c>
      <c r="N20" s="3" t="s">
        <v>310</v>
      </c>
      <c r="O20" s="3" t="s">
        <v>311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46</v>
      </c>
      <c r="B21" s="3">
        <v>1.7425766E7</v>
      </c>
      <c r="C21" s="3" t="s">
        <v>47</v>
      </c>
      <c r="D21" s="3" t="s">
        <v>48</v>
      </c>
      <c r="E21" s="3" t="str">
        <f t="shared" si="1"/>
        <v>Linda Hans</v>
      </c>
      <c r="F21" s="2">
        <v>43070.0</v>
      </c>
      <c r="G21" s="2" t="str">
        <f t="shared" si="5"/>
        <v>4307055</v>
      </c>
      <c r="H21" s="4">
        <v>45658.0</v>
      </c>
      <c r="I21" s="4">
        <v>46204.0</v>
      </c>
      <c r="J21" s="4">
        <v>46227.0</v>
      </c>
      <c r="K21" s="3" t="s">
        <v>19</v>
      </c>
      <c r="L21" s="3" t="s">
        <v>20</v>
      </c>
      <c r="M21" s="5">
        <v>29.41</v>
      </c>
      <c r="N21" s="3" t="s">
        <v>310</v>
      </c>
      <c r="O21" s="3" t="s">
        <v>311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50</v>
      </c>
      <c r="B22" s="3" t="s">
        <v>124</v>
      </c>
      <c r="C22" s="3" t="s">
        <v>28</v>
      </c>
      <c r="D22" s="3" t="s">
        <v>197</v>
      </c>
      <c r="E22" s="3" t="str">
        <f t="shared" si="1"/>
        <v>Beverly Gathany</v>
      </c>
      <c r="F22" s="2">
        <v>41880.0</v>
      </c>
      <c r="G22" s="2" t="str">
        <f t="shared" si="5"/>
        <v>4188055</v>
      </c>
      <c r="H22" s="4">
        <v>46296.0</v>
      </c>
      <c r="I22" s="4">
        <v>46387.0</v>
      </c>
      <c r="J22" s="4">
        <v>46227.0</v>
      </c>
      <c r="K22" s="3" t="s">
        <v>19</v>
      </c>
      <c r="L22" s="3" t="s">
        <v>360</v>
      </c>
      <c r="M22" s="5">
        <v>88.25</v>
      </c>
      <c r="N22" s="3" t="s">
        <v>310</v>
      </c>
      <c r="O22" s="3" t="s">
        <v>364</v>
      </c>
      <c r="P22" s="3">
        <f>353/12*3</f>
        <v>88.25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 t="s">
        <v>50</v>
      </c>
      <c r="B23" s="6" t="s">
        <v>124</v>
      </c>
      <c r="C23" s="6" t="s">
        <v>47</v>
      </c>
      <c r="D23" s="6" t="s">
        <v>72</v>
      </c>
      <c r="E23" s="3" t="str">
        <f t="shared" si="1"/>
        <v>Linda Thomas</v>
      </c>
      <c r="F23" s="11">
        <v>13800.0</v>
      </c>
      <c r="G23" s="2" t="str">
        <f t="shared" si="5"/>
        <v>1380055</v>
      </c>
      <c r="H23" s="12">
        <v>46266.0</v>
      </c>
      <c r="I23" s="12">
        <v>46296.0</v>
      </c>
      <c r="J23" s="12">
        <v>46227.0</v>
      </c>
      <c r="K23" s="6" t="s">
        <v>19</v>
      </c>
      <c r="L23" s="6" t="s">
        <v>159</v>
      </c>
      <c r="M23" s="13">
        <v>-117.67</v>
      </c>
      <c r="N23" s="6" t="s">
        <v>310</v>
      </c>
      <c r="O23" s="6" t="s">
        <v>387</v>
      </c>
      <c r="P23" s="6"/>
      <c r="Q23" s="13">
        <v>587.33</v>
      </c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" t="s">
        <v>50</v>
      </c>
      <c r="B24" s="6" t="s">
        <v>124</v>
      </c>
      <c r="C24" s="6" t="s">
        <v>171</v>
      </c>
      <c r="D24" s="6" t="s">
        <v>172</v>
      </c>
      <c r="E24" s="3" t="str">
        <f t="shared" si="1"/>
        <v>Diane Fornear</v>
      </c>
      <c r="F24" s="11">
        <v>86770.0</v>
      </c>
      <c r="G24" s="2" t="str">
        <f t="shared" si="5"/>
        <v>8677055</v>
      </c>
      <c r="H24" s="12">
        <v>46266.0</v>
      </c>
      <c r="I24" s="12">
        <v>46296.0</v>
      </c>
      <c r="J24" s="12">
        <v>46227.0</v>
      </c>
      <c r="K24" s="6" t="s">
        <v>19</v>
      </c>
      <c r="L24" s="6" t="s">
        <v>159</v>
      </c>
      <c r="M24" s="13">
        <v>-117.67</v>
      </c>
      <c r="N24" s="6" t="s">
        <v>310</v>
      </c>
      <c r="O24" s="6" t="s">
        <v>387</v>
      </c>
      <c r="P24" s="6"/>
      <c r="Q24" s="13">
        <v>587.33</v>
      </c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50</v>
      </c>
      <c r="B25" s="3" t="s">
        <v>124</v>
      </c>
      <c r="C25" s="3" t="s">
        <v>133</v>
      </c>
      <c r="D25" s="3" t="s">
        <v>406</v>
      </c>
      <c r="E25" s="3" t="str">
        <f t="shared" si="1"/>
        <v>Michael Homer</v>
      </c>
      <c r="F25" s="2">
        <v>67440.0</v>
      </c>
      <c r="G25" s="2" t="str">
        <f t="shared" si="5"/>
        <v>6744055</v>
      </c>
      <c r="H25" s="4">
        <v>46235.0</v>
      </c>
      <c r="I25" s="4">
        <v>46387.0</v>
      </c>
      <c r="J25" s="4">
        <v>46227.0</v>
      </c>
      <c r="K25" s="3" t="s">
        <v>19</v>
      </c>
      <c r="L25" s="3" t="s">
        <v>410</v>
      </c>
      <c r="M25" s="5">
        <v>147.08</v>
      </c>
      <c r="N25" s="3" t="s">
        <v>310</v>
      </c>
      <c r="O25" s="3" t="s">
        <v>414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50</v>
      </c>
      <c r="B26" s="3" t="s">
        <v>124</v>
      </c>
      <c r="C26" s="3" t="s">
        <v>421</v>
      </c>
      <c r="D26" s="3" t="s">
        <v>422</v>
      </c>
      <c r="E26" s="3" t="str">
        <f t="shared" si="1"/>
        <v>Rosemarie Mixter</v>
      </c>
      <c r="F26" s="2">
        <v>69580.0</v>
      </c>
      <c r="G26" s="2" t="str">
        <f t="shared" si="5"/>
        <v>6958055</v>
      </c>
      <c r="H26" s="4">
        <v>46235.0</v>
      </c>
      <c r="I26" s="4">
        <v>46387.0</v>
      </c>
      <c r="J26" s="4">
        <v>46227.0</v>
      </c>
      <c r="K26" s="3" t="s">
        <v>19</v>
      </c>
      <c r="L26" s="3" t="s">
        <v>410</v>
      </c>
      <c r="M26" s="5">
        <v>147.08</v>
      </c>
      <c r="N26" s="3" t="s">
        <v>310</v>
      </c>
      <c r="O26" s="3" t="s">
        <v>414</v>
      </c>
      <c r="P26" s="3">
        <f>353/12*5</f>
        <v>147.0833333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 t="s">
        <v>50</v>
      </c>
      <c r="B27" s="6" t="s">
        <v>124</v>
      </c>
      <c r="C27" s="6" t="s">
        <v>184</v>
      </c>
      <c r="D27" s="6" t="s">
        <v>185</v>
      </c>
      <c r="E27" s="3" t="str">
        <f t="shared" si="1"/>
        <v>Sharon Norcia</v>
      </c>
      <c r="F27" s="11">
        <v>73720.0</v>
      </c>
      <c r="G27" s="2" t="str">
        <f t="shared" si="5"/>
        <v>7372055</v>
      </c>
      <c r="H27" s="12">
        <v>46235.0</v>
      </c>
      <c r="I27" s="12">
        <v>46266.0</v>
      </c>
      <c r="J27" s="12">
        <v>46227.0</v>
      </c>
      <c r="K27" s="6" t="s">
        <v>19</v>
      </c>
      <c r="L27" s="6" t="s">
        <v>191</v>
      </c>
      <c r="M27" s="13">
        <v>-147.08</v>
      </c>
      <c r="N27" s="6" t="s">
        <v>310</v>
      </c>
      <c r="O27" s="6" t="s">
        <v>414</v>
      </c>
      <c r="P27" s="6"/>
      <c r="Q27" s="13">
        <v>557.92</v>
      </c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 t="s">
        <v>50</v>
      </c>
      <c r="B28" s="6" t="s">
        <v>124</v>
      </c>
      <c r="C28" s="6" t="s">
        <v>202</v>
      </c>
      <c r="D28" s="6" t="s">
        <v>203</v>
      </c>
      <c r="E28" s="3" t="str">
        <f t="shared" si="1"/>
        <v>Debra Murray</v>
      </c>
      <c r="F28" s="11">
        <v>76360.0</v>
      </c>
      <c r="G28" s="2" t="str">
        <f t="shared" si="5"/>
        <v>7636055</v>
      </c>
      <c r="H28" s="12">
        <v>46235.0</v>
      </c>
      <c r="I28" s="12">
        <v>46266.0</v>
      </c>
      <c r="J28" s="12">
        <v>46227.0</v>
      </c>
      <c r="K28" s="6" t="s">
        <v>19</v>
      </c>
      <c r="L28" s="6" t="s">
        <v>191</v>
      </c>
      <c r="M28" s="13">
        <v>-147.08</v>
      </c>
      <c r="N28" s="6" t="s">
        <v>310</v>
      </c>
      <c r="O28" s="6" t="s">
        <v>414</v>
      </c>
      <c r="P28" s="6">
        <v>147.08</v>
      </c>
      <c r="Q28" s="13">
        <v>557.92</v>
      </c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50</v>
      </c>
      <c r="B29" s="3" t="s">
        <v>124</v>
      </c>
      <c r="C29" s="3" t="s">
        <v>454</v>
      </c>
      <c r="D29" s="3" t="s">
        <v>455</v>
      </c>
      <c r="E29" s="3" t="str">
        <f t="shared" si="1"/>
        <v>Barbara Stoehr</v>
      </c>
      <c r="F29" s="2">
        <v>81450.0</v>
      </c>
      <c r="G29" s="2" t="str">
        <f t="shared" si="5"/>
        <v>8145055</v>
      </c>
      <c r="H29" s="4">
        <v>46235.0</v>
      </c>
      <c r="I29" s="4">
        <v>46387.0</v>
      </c>
      <c r="J29" s="4">
        <v>46227.0</v>
      </c>
      <c r="K29" s="3" t="s">
        <v>19</v>
      </c>
      <c r="L29" s="3" t="s">
        <v>410</v>
      </c>
      <c r="M29" s="5">
        <v>147.08</v>
      </c>
      <c r="N29" s="3" t="s">
        <v>310</v>
      </c>
      <c r="O29" s="3" t="s">
        <v>414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 t="s">
        <v>50</v>
      </c>
      <c r="B30" s="6" t="s">
        <v>124</v>
      </c>
      <c r="C30" s="6" t="s">
        <v>216</v>
      </c>
      <c r="D30" s="6" t="s">
        <v>217</v>
      </c>
      <c r="E30" s="3" t="str">
        <f t="shared" si="1"/>
        <v>Janet Lauff</v>
      </c>
      <c r="F30" s="11">
        <v>90960.0</v>
      </c>
      <c r="G30" s="2" t="str">
        <f t="shared" si="5"/>
        <v>9096055</v>
      </c>
      <c r="H30" s="12">
        <v>46235.0</v>
      </c>
      <c r="I30" s="12">
        <v>46266.0</v>
      </c>
      <c r="J30" s="12">
        <v>46227.0</v>
      </c>
      <c r="K30" s="6" t="s">
        <v>19</v>
      </c>
      <c r="L30" s="6" t="s">
        <v>191</v>
      </c>
      <c r="M30" s="13">
        <v>-147.08</v>
      </c>
      <c r="N30" s="6" t="s">
        <v>310</v>
      </c>
      <c r="O30" s="6" t="s">
        <v>414</v>
      </c>
      <c r="P30" s="6"/>
      <c r="Q30" s="13">
        <v>557.92</v>
      </c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 t="s">
        <v>50</v>
      </c>
      <c r="B31" s="6" t="s">
        <v>124</v>
      </c>
      <c r="C31" s="6" t="s">
        <v>206</v>
      </c>
      <c r="D31" s="6" t="s">
        <v>235</v>
      </c>
      <c r="E31" s="3" t="str">
        <f t="shared" si="1"/>
        <v>Kimberly Durkin</v>
      </c>
      <c r="F31" s="11">
        <v>15310.0</v>
      </c>
      <c r="G31" s="2" t="str">
        <f t="shared" si="5"/>
        <v>1531055</v>
      </c>
      <c r="H31" s="12">
        <v>46204.0</v>
      </c>
      <c r="I31" s="12">
        <v>46235.0</v>
      </c>
      <c r="J31" s="12">
        <v>46227.0</v>
      </c>
      <c r="K31" s="6" t="s">
        <v>19</v>
      </c>
      <c r="L31" s="6" t="s">
        <v>239</v>
      </c>
      <c r="M31" s="13">
        <v>-176.5</v>
      </c>
      <c r="N31" s="6" t="s">
        <v>310</v>
      </c>
      <c r="O31" s="6" t="s">
        <v>472</v>
      </c>
      <c r="P31" s="6"/>
      <c r="Q31" s="13">
        <v>528.5</v>
      </c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50</v>
      </c>
      <c r="B32" s="3" t="s">
        <v>124</v>
      </c>
      <c r="C32" s="3" t="s">
        <v>474</v>
      </c>
      <c r="D32" s="3" t="s">
        <v>475</v>
      </c>
      <c r="E32" s="3" t="str">
        <f t="shared" si="1"/>
        <v>Leonard Laird</v>
      </c>
      <c r="F32" s="2">
        <v>47180.0</v>
      </c>
      <c r="G32" s="2" t="str">
        <f t="shared" si="5"/>
        <v>4718055</v>
      </c>
      <c r="H32" s="4">
        <v>46204.0</v>
      </c>
      <c r="I32" s="4">
        <v>46387.0</v>
      </c>
      <c r="J32" s="4">
        <v>46227.0</v>
      </c>
      <c r="K32" s="3" t="s">
        <v>19</v>
      </c>
      <c r="L32" s="3" t="s">
        <v>477</v>
      </c>
      <c r="M32" s="5">
        <v>176.5</v>
      </c>
      <c r="N32" s="3" t="s">
        <v>310</v>
      </c>
      <c r="O32" s="3" t="s">
        <v>472</v>
      </c>
      <c r="P32" s="3">
        <f>353/12*6</f>
        <v>176.5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" t="s">
        <v>50</v>
      </c>
      <c r="B33" s="6" t="s">
        <v>124</v>
      </c>
      <c r="C33" s="6" t="s">
        <v>139</v>
      </c>
      <c r="D33" s="6" t="s">
        <v>253</v>
      </c>
      <c r="E33" s="3" t="str">
        <f t="shared" si="1"/>
        <v>David Hall</v>
      </c>
      <c r="F33" s="11">
        <v>74090.0</v>
      </c>
      <c r="G33" s="2" t="str">
        <f t="shared" si="5"/>
        <v>7409055</v>
      </c>
      <c r="H33" s="12">
        <v>46204.0</v>
      </c>
      <c r="I33" s="12">
        <v>46235.0</v>
      </c>
      <c r="J33" s="12">
        <v>46227.0</v>
      </c>
      <c r="K33" s="6" t="s">
        <v>19</v>
      </c>
      <c r="L33" s="6" t="s">
        <v>239</v>
      </c>
      <c r="M33" s="13">
        <v>-176.5</v>
      </c>
      <c r="N33" s="6" t="s">
        <v>310</v>
      </c>
      <c r="O33" s="6" t="s">
        <v>472</v>
      </c>
      <c r="P33" s="6"/>
      <c r="Q33" s="13">
        <v>528.5</v>
      </c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50</v>
      </c>
      <c r="B34" s="3" t="s">
        <v>124</v>
      </c>
      <c r="C34" s="3" t="s">
        <v>75</v>
      </c>
      <c r="D34" s="3" t="s">
        <v>76</v>
      </c>
      <c r="E34" s="3" t="str">
        <f t="shared" si="1"/>
        <v>Joyce Kweder</v>
      </c>
      <c r="F34" s="2">
        <v>34550.0</v>
      </c>
      <c r="G34" s="2" t="str">
        <f t="shared" si="5"/>
        <v>3455055</v>
      </c>
      <c r="H34" s="4">
        <v>45962.0</v>
      </c>
      <c r="I34" s="4">
        <v>46204.0</v>
      </c>
      <c r="J34" s="4">
        <v>46227.0</v>
      </c>
      <c r="K34" s="3" t="s">
        <v>19</v>
      </c>
      <c r="L34" s="3" t="s">
        <v>20</v>
      </c>
      <c r="M34" s="5">
        <v>29.41</v>
      </c>
      <c r="N34" s="3" t="s">
        <v>310</v>
      </c>
      <c r="O34" s="3" t="s">
        <v>311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50</v>
      </c>
      <c r="B35" s="3" t="s">
        <v>124</v>
      </c>
      <c r="C35" s="3" t="s">
        <v>221</v>
      </c>
      <c r="D35" s="3" t="s">
        <v>222</v>
      </c>
      <c r="E35" s="3" t="str">
        <f t="shared" si="1"/>
        <v>George Kiefer</v>
      </c>
      <c r="F35" s="2">
        <v>44430.0</v>
      </c>
      <c r="G35" s="2" t="str">
        <f t="shared" si="5"/>
        <v>4443055</v>
      </c>
      <c r="H35" s="4">
        <v>45962.0</v>
      </c>
      <c r="I35" s="4">
        <v>46204.0</v>
      </c>
      <c r="J35" s="4">
        <v>46227.0</v>
      </c>
      <c r="K35" s="3" t="s">
        <v>19</v>
      </c>
      <c r="L35" s="3" t="s">
        <v>20</v>
      </c>
      <c r="M35" s="5">
        <v>29.41</v>
      </c>
      <c r="N35" s="3" t="s">
        <v>310</v>
      </c>
      <c r="O35" s="3" t="s">
        <v>311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50</v>
      </c>
      <c r="B36" s="3" t="s">
        <v>124</v>
      </c>
      <c r="C36" s="3" t="s">
        <v>88</v>
      </c>
      <c r="D36" s="3" t="s">
        <v>89</v>
      </c>
      <c r="E36" s="3" t="str">
        <f t="shared" si="1"/>
        <v>Michele Osborne</v>
      </c>
      <c r="F36" s="2">
        <v>1010.0</v>
      </c>
      <c r="G36" s="2" t="str">
        <f t="shared" si="5"/>
        <v>101055</v>
      </c>
      <c r="H36" s="4">
        <v>45931.0</v>
      </c>
      <c r="I36" s="4">
        <v>46204.0</v>
      </c>
      <c r="J36" s="4">
        <v>46227.0</v>
      </c>
      <c r="K36" s="3" t="s">
        <v>19</v>
      </c>
      <c r="L36" s="3" t="s">
        <v>20</v>
      </c>
      <c r="M36" s="5">
        <v>29.41</v>
      </c>
      <c r="N36" s="3" t="s">
        <v>310</v>
      </c>
      <c r="O36" s="3" t="s">
        <v>311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50</v>
      </c>
      <c r="B37" s="3" t="s">
        <v>124</v>
      </c>
      <c r="C37" s="3" t="s">
        <v>176</v>
      </c>
      <c r="D37" s="3" t="s">
        <v>174</v>
      </c>
      <c r="E37" s="3" t="str">
        <f t="shared" si="1"/>
        <v>Kevin Duffy</v>
      </c>
      <c r="F37" s="2">
        <v>23500.0</v>
      </c>
      <c r="G37" s="2" t="str">
        <f t="shared" si="5"/>
        <v>2350055</v>
      </c>
      <c r="H37" s="4">
        <v>45931.0</v>
      </c>
      <c r="I37" s="4">
        <v>46204.0</v>
      </c>
      <c r="J37" s="4">
        <v>46227.0</v>
      </c>
      <c r="K37" s="3" t="s">
        <v>19</v>
      </c>
      <c r="L37" s="3" t="s">
        <v>20</v>
      </c>
      <c r="M37" s="5">
        <v>29.41</v>
      </c>
      <c r="N37" s="3" t="s">
        <v>310</v>
      </c>
      <c r="O37" s="3" t="s">
        <v>311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50</v>
      </c>
      <c r="B38" s="3" t="s">
        <v>124</v>
      </c>
      <c r="C38" s="3" t="s">
        <v>173</v>
      </c>
      <c r="D38" s="3" t="s">
        <v>174</v>
      </c>
      <c r="E38" s="3" t="str">
        <f t="shared" si="1"/>
        <v>Jody Duffy</v>
      </c>
      <c r="F38" s="2">
        <v>27030.0</v>
      </c>
      <c r="G38" s="2" t="str">
        <f t="shared" si="5"/>
        <v>2703055</v>
      </c>
      <c r="H38" s="4">
        <v>45931.0</v>
      </c>
      <c r="I38" s="4">
        <v>46204.0</v>
      </c>
      <c r="J38" s="4">
        <v>46227.0</v>
      </c>
      <c r="K38" s="3" t="s">
        <v>19</v>
      </c>
      <c r="L38" s="3" t="s">
        <v>20</v>
      </c>
      <c r="M38" s="5">
        <v>29.41</v>
      </c>
      <c r="N38" s="3" t="s">
        <v>310</v>
      </c>
      <c r="O38" s="3" t="s">
        <v>311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50</v>
      </c>
      <c r="B39" s="3" t="s">
        <v>124</v>
      </c>
      <c r="C39" s="3" t="s">
        <v>111</v>
      </c>
      <c r="D39" s="3" t="s">
        <v>112</v>
      </c>
      <c r="E39" s="3" t="str">
        <f t="shared" si="1"/>
        <v>Betty Crooks</v>
      </c>
      <c r="F39" s="2">
        <v>41550.0</v>
      </c>
      <c r="G39" s="2" t="str">
        <f t="shared" si="5"/>
        <v>4155055</v>
      </c>
      <c r="H39" s="4">
        <v>45931.0</v>
      </c>
      <c r="I39" s="4">
        <v>46204.0</v>
      </c>
      <c r="J39" s="4">
        <v>46227.0</v>
      </c>
      <c r="K39" s="3" t="s">
        <v>19</v>
      </c>
      <c r="L39" s="3" t="s">
        <v>20</v>
      </c>
      <c r="M39" s="5">
        <v>29.41</v>
      </c>
      <c r="N39" s="3" t="s">
        <v>310</v>
      </c>
      <c r="O39" s="3" t="s">
        <v>311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50</v>
      </c>
      <c r="B40" s="3" t="s">
        <v>124</v>
      </c>
      <c r="C40" s="3" t="s">
        <v>57</v>
      </c>
      <c r="D40" s="3" t="s">
        <v>58</v>
      </c>
      <c r="E40" s="3" t="str">
        <f t="shared" si="1"/>
        <v>Deborah Bordenick</v>
      </c>
      <c r="F40" s="2">
        <v>58760.0</v>
      </c>
      <c r="G40" s="2" t="str">
        <f t="shared" si="5"/>
        <v>5876055</v>
      </c>
      <c r="H40" s="4">
        <v>45931.0</v>
      </c>
      <c r="I40" s="4">
        <v>46204.0</v>
      </c>
      <c r="J40" s="4">
        <v>46227.0</v>
      </c>
      <c r="K40" s="3" t="s">
        <v>19</v>
      </c>
      <c r="L40" s="3" t="s">
        <v>20</v>
      </c>
      <c r="M40" s="5">
        <v>29.41</v>
      </c>
      <c r="N40" s="3" t="s">
        <v>310</v>
      </c>
      <c r="O40" s="3" t="s">
        <v>311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50</v>
      </c>
      <c r="B41" s="3" t="s">
        <v>124</v>
      </c>
      <c r="C41" s="3" t="s">
        <v>221</v>
      </c>
      <c r="D41" s="3" t="s">
        <v>286</v>
      </c>
      <c r="E41" s="3" t="str">
        <f t="shared" si="1"/>
        <v>George Rice</v>
      </c>
      <c r="F41" s="2">
        <v>69910.0</v>
      </c>
      <c r="G41" s="2" t="str">
        <f t="shared" si="5"/>
        <v>6991055</v>
      </c>
      <c r="H41" s="4">
        <v>45931.0</v>
      </c>
      <c r="I41" s="4">
        <v>46204.0</v>
      </c>
      <c r="J41" s="4">
        <v>46227.0</v>
      </c>
      <c r="K41" s="3" t="s">
        <v>19</v>
      </c>
      <c r="L41" s="3" t="s">
        <v>20</v>
      </c>
      <c r="M41" s="5">
        <v>29.41</v>
      </c>
      <c r="N41" s="3" t="s">
        <v>310</v>
      </c>
      <c r="O41" s="3" t="s">
        <v>311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50</v>
      </c>
      <c r="B42" s="3" t="s">
        <v>124</v>
      </c>
      <c r="C42" s="3" t="s">
        <v>260</v>
      </c>
      <c r="D42" s="3" t="s">
        <v>432</v>
      </c>
      <c r="E42" s="3" t="str">
        <f t="shared" si="1"/>
        <v>Ann Paulikonis</v>
      </c>
      <c r="F42" s="2">
        <v>19440.0</v>
      </c>
      <c r="G42" s="2" t="str">
        <f t="shared" si="5"/>
        <v>1944055</v>
      </c>
      <c r="H42" s="4">
        <v>45901.0</v>
      </c>
      <c r="I42" s="4">
        <v>46204.0</v>
      </c>
      <c r="J42" s="4">
        <v>46227.0</v>
      </c>
      <c r="K42" s="3" t="s">
        <v>19</v>
      </c>
      <c r="L42" s="3" t="s">
        <v>20</v>
      </c>
      <c r="M42" s="5">
        <v>29.41</v>
      </c>
      <c r="N42" s="3" t="s">
        <v>310</v>
      </c>
      <c r="O42" s="3" t="s">
        <v>311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50</v>
      </c>
      <c r="B43" s="3" t="s">
        <v>124</v>
      </c>
      <c r="C43" s="3" t="s">
        <v>139</v>
      </c>
      <c r="D43" s="3" t="s">
        <v>251</v>
      </c>
      <c r="E43" s="3" t="str">
        <f t="shared" si="1"/>
        <v>David Mckivitz</v>
      </c>
      <c r="F43" s="2">
        <v>74200.0</v>
      </c>
      <c r="G43" s="2" t="str">
        <f t="shared" si="5"/>
        <v>7420055</v>
      </c>
      <c r="H43" s="4">
        <v>45901.0</v>
      </c>
      <c r="I43" s="4">
        <v>46204.0</v>
      </c>
      <c r="J43" s="4">
        <v>46227.0</v>
      </c>
      <c r="K43" s="3" t="s">
        <v>19</v>
      </c>
      <c r="L43" s="3" t="s">
        <v>20</v>
      </c>
      <c r="M43" s="5">
        <v>29.41</v>
      </c>
      <c r="N43" s="3" t="s">
        <v>310</v>
      </c>
      <c r="O43" s="3" t="s">
        <v>311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50</v>
      </c>
      <c r="B44" s="3" t="s">
        <v>124</v>
      </c>
      <c r="C44" s="3" t="s">
        <v>374</v>
      </c>
      <c r="D44" s="3" t="s">
        <v>375</v>
      </c>
      <c r="E44" s="3" t="str">
        <f t="shared" si="1"/>
        <v>Bobbi Zimmerman</v>
      </c>
      <c r="F44" s="2">
        <v>45790.0</v>
      </c>
      <c r="G44" s="2" t="str">
        <f t="shared" si="5"/>
        <v>4579055</v>
      </c>
      <c r="H44" s="4">
        <v>45870.0</v>
      </c>
      <c r="I44" s="4">
        <v>46204.0</v>
      </c>
      <c r="J44" s="4">
        <v>46227.0</v>
      </c>
      <c r="K44" s="3" t="s">
        <v>19</v>
      </c>
      <c r="L44" s="3" t="s">
        <v>20</v>
      </c>
      <c r="M44" s="5">
        <v>29.41</v>
      </c>
      <c r="N44" s="3" t="s">
        <v>310</v>
      </c>
      <c r="O44" s="3" t="s">
        <v>311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50</v>
      </c>
      <c r="B45" s="3" t="s">
        <v>124</v>
      </c>
      <c r="C45" s="3" t="s">
        <v>371</v>
      </c>
      <c r="D45" s="3" t="s">
        <v>395</v>
      </c>
      <c r="E45" s="3" t="str">
        <f t="shared" si="1"/>
        <v>Edna Kuklis</v>
      </c>
      <c r="F45" s="2">
        <v>55510.0</v>
      </c>
      <c r="G45" s="2" t="str">
        <f t="shared" si="5"/>
        <v>5551055</v>
      </c>
      <c r="H45" s="4">
        <v>45870.0</v>
      </c>
      <c r="I45" s="4">
        <v>46204.0</v>
      </c>
      <c r="J45" s="4">
        <v>46227.0</v>
      </c>
      <c r="K45" s="3" t="s">
        <v>19</v>
      </c>
      <c r="L45" s="3" t="s">
        <v>20</v>
      </c>
      <c r="M45" s="5">
        <v>29.41</v>
      </c>
      <c r="N45" s="3" t="s">
        <v>310</v>
      </c>
      <c r="O45" s="3" t="s">
        <v>311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50</v>
      </c>
      <c r="B46" s="3" t="s">
        <v>124</v>
      </c>
      <c r="C46" s="3" t="s">
        <v>91</v>
      </c>
      <c r="D46" s="3" t="s">
        <v>92</v>
      </c>
      <c r="E46" s="3" t="str">
        <f t="shared" si="1"/>
        <v>Mark Serpa</v>
      </c>
      <c r="F46" s="2">
        <v>59760.0</v>
      </c>
      <c r="G46" s="2" t="str">
        <f t="shared" si="5"/>
        <v>5976055</v>
      </c>
      <c r="H46" s="4">
        <v>45870.0</v>
      </c>
      <c r="I46" s="4">
        <v>46204.0</v>
      </c>
      <c r="J46" s="4">
        <v>46227.0</v>
      </c>
      <c r="K46" s="3" t="s">
        <v>19</v>
      </c>
      <c r="L46" s="3" t="s">
        <v>20</v>
      </c>
      <c r="M46" s="5">
        <v>29.41</v>
      </c>
      <c r="N46" s="3" t="s">
        <v>310</v>
      </c>
      <c r="O46" s="3" t="s">
        <v>311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50</v>
      </c>
      <c r="B47" s="3" t="s">
        <v>124</v>
      </c>
      <c r="C47" s="3" t="s">
        <v>371</v>
      </c>
      <c r="D47" s="3" t="s">
        <v>372</v>
      </c>
      <c r="E47" s="3" t="str">
        <f t="shared" si="1"/>
        <v>Edna Zielinski</v>
      </c>
      <c r="F47" s="2">
        <v>81290.0</v>
      </c>
      <c r="G47" s="2" t="str">
        <f t="shared" si="5"/>
        <v>8129055</v>
      </c>
      <c r="H47" s="4">
        <v>45870.0</v>
      </c>
      <c r="I47" s="4">
        <v>46204.0</v>
      </c>
      <c r="J47" s="4">
        <v>46227.0</v>
      </c>
      <c r="K47" s="3" t="s">
        <v>19</v>
      </c>
      <c r="L47" s="3" t="s">
        <v>20</v>
      </c>
      <c r="M47" s="5">
        <v>29.41</v>
      </c>
      <c r="N47" s="3" t="s">
        <v>310</v>
      </c>
      <c r="O47" s="3" t="s">
        <v>311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50</v>
      </c>
      <c r="B48" s="3" t="s">
        <v>124</v>
      </c>
      <c r="C48" s="3" t="s">
        <v>426</v>
      </c>
      <c r="D48" s="3" t="s">
        <v>427</v>
      </c>
      <c r="E48" s="3" t="str">
        <f t="shared" si="1"/>
        <v>Emerson Evans</v>
      </c>
      <c r="F48" s="2">
        <v>91260.0</v>
      </c>
      <c r="G48" s="2" t="str">
        <f t="shared" si="5"/>
        <v>9126055</v>
      </c>
      <c r="H48" s="4">
        <v>45870.0</v>
      </c>
      <c r="I48" s="4">
        <v>46204.0</v>
      </c>
      <c r="J48" s="4">
        <v>46227.0</v>
      </c>
      <c r="K48" s="3" t="s">
        <v>19</v>
      </c>
      <c r="L48" s="3" t="s">
        <v>20</v>
      </c>
      <c r="M48" s="5">
        <v>29.41</v>
      </c>
      <c r="N48" s="3" t="s">
        <v>310</v>
      </c>
      <c r="O48" s="3" t="s">
        <v>311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50</v>
      </c>
      <c r="B49" s="3" t="s">
        <v>124</v>
      </c>
      <c r="C49" s="3" t="s">
        <v>361</v>
      </c>
      <c r="D49" s="3" t="s">
        <v>362</v>
      </c>
      <c r="E49" s="3" t="str">
        <f t="shared" si="1"/>
        <v>Todd Yorgen</v>
      </c>
      <c r="F49" s="2">
        <v>15710.0</v>
      </c>
      <c r="G49" s="2" t="str">
        <f t="shared" si="5"/>
        <v>1571055</v>
      </c>
      <c r="H49" s="4">
        <v>45839.0</v>
      </c>
      <c r="I49" s="4">
        <v>46204.0</v>
      </c>
      <c r="J49" s="4">
        <v>46227.0</v>
      </c>
      <c r="K49" s="3" t="s">
        <v>19</v>
      </c>
      <c r="L49" s="3" t="s">
        <v>20</v>
      </c>
      <c r="M49" s="5">
        <v>29.41</v>
      </c>
      <c r="N49" s="3" t="s">
        <v>310</v>
      </c>
      <c r="O49" s="3" t="s">
        <v>311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50</v>
      </c>
      <c r="B50" s="3" t="s">
        <v>124</v>
      </c>
      <c r="C50" s="3" t="s">
        <v>192</v>
      </c>
      <c r="D50" s="3" t="s">
        <v>193</v>
      </c>
      <c r="E50" s="3" t="str">
        <f t="shared" si="1"/>
        <v>Lynn Gamcik</v>
      </c>
      <c r="F50" s="2">
        <v>43110.0</v>
      </c>
      <c r="G50" s="2" t="str">
        <f t="shared" si="5"/>
        <v>4311055</v>
      </c>
      <c r="H50" s="4">
        <v>45839.0</v>
      </c>
      <c r="I50" s="4">
        <v>46204.0</v>
      </c>
      <c r="J50" s="4">
        <v>46227.0</v>
      </c>
      <c r="K50" s="3" t="s">
        <v>19</v>
      </c>
      <c r="L50" s="3" t="s">
        <v>20</v>
      </c>
      <c r="M50" s="5">
        <v>29.41</v>
      </c>
      <c r="N50" s="3" t="s">
        <v>310</v>
      </c>
      <c r="O50" s="3" t="s">
        <v>311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50</v>
      </c>
      <c r="B51" s="3" t="s">
        <v>124</v>
      </c>
      <c r="C51" s="3" t="s">
        <v>333</v>
      </c>
      <c r="D51" s="3" t="s">
        <v>334</v>
      </c>
      <c r="E51" s="3" t="str">
        <f t="shared" si="1"/>
        <v>Susan Thomson</v>
      </c>
      <c r="F51" s="2">
        <v>67770.0</v>
      </c>
      <c r="G51" s="2" t="str">
        <f t="shared" si="5"/>
        <v>6777055</v>
      </c>
      <c r="H51" s="4">
        <v>45839.0</v>
      </c>
      <c r="I51" s="4">
        <v>46204.0</v>
      </c>
      <c r="J51" s="4">
        <v>46227.0</v>
      </c>
      <c r="K51" s="3" t="s">
        <v>19</v>
      </c>
      <c r="L51" s="3" t="s">
        <v>20</v>
      </c>
      <c r="M51" s="5">
        <v>29.41</v>
      </c>
      <c r="N51" s="3" t="s">
        <v>310</v>
      </c>
      <c r="O51" s="3" t="s">
        <v>311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50</v>
      </c>
      <c r="B52" s="3" t="s">
        <v>124</v>
      </c>
      <c r="C52" s="3" t="s">
        <v>131</v>
      </c>
      <c r="D52" s="3" t="s">
        <v>424</v>
      </c>
      <c r="E52" s="3" t="str">
        <f t="shared" si="1"/>
        <v>Donna Courtney</v>
      </c>
      <c r="F52" s="2">
        <v>78250.0</v>
      </c>
      <c r="G52" s="2" t="str">
        <f t="shared" si="5"/>
        <v>7825055</v>
      </c>
      <c r="H52" s="4">
        <v>45839.0</v>
      </c>
      <c r="I52" s="4">
        <v>46204.0</v>
      </c>
      <c r="J52" s="4">
        <v>46227.0</v>
      </c>
      <c r="K52" s="3" t="s">
        <v>19</v>
      </c>
      <c r="L52" s="3" t="s">
        <v>20</v>
      </c>
      <c r="M52" s="5">
        <v>29.41</v>
      </c>
      <c r="N52" s="3" t="s">
        <v>310</v>
      </c>
      <c r="O52" s="3" t="s">
        <v>311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50</v>
      </c>
      <c r="B53" s="3" t="s">
        <v>124</v>
      </c>
      <c r="C53" s="3" t="s">
        <v>271</v>
      </c>
      <c r="D53" s="3" t="s">
        <v>272</v>
      </c>
      <c r="E53" s="3" t="str">
        <f t="shared" si="1"/>
        <v>Shu Peng</v>
      </c>
      <c r="F53" s="2">
        <v>94340.0</v>
      </c>
      <c r="G53" s="2" t="str">
        <f t="shared" si="5"/>
        <v>9434055</v>
      </c>
      <c r="H53" s="4">
        <v>45839.0</v>
      </c>
      <c r="I53" s="4">
        <v>46204.0</v>
      </c>
      <c r="J53" s="4">
        <v>46227.0</v>
      </c>
      <c r="K53" s="3" t="s">
        <v>19</v>
      </c>
      <c r="L53" s="3" t="s">
        <v>20</v>
      </c>
      <c r="M53" s="5">
        <v>29.41</v>
      </c>
      <c r="N53" s="3" t="s">
        <v>310</v>
      </c>
      <c r="O53" s="3" t="s">
        <v>311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50</v>
      </c>
      <c r="B54" s="3" t="s">
        <v>124</v>
      </c>
      <c r="C54" s="3" t="s">
        <v>434</v>
      </c>
      <c r="D54" s="3" t="s">
        <v>435</v>
      </c>
      <c r="E54" s="3" t="str">
        <f t="shared" si="1"/>
        <v>Dennis Pegher</v>
      </c>
      <c r="F54" s="2">
        <v>31880.0</v>
      </c>
      <c r="G54" s="2" t="str">
        <f t="shared" si="5"/>
        <v>3188055</v>
      </c>
      <c r="H54" s="4">
        <v>45809.0</v>
      </c>
      <c r="I54" s="4">
        <v>46204.0</v>
      </c>
      <c r="J54" s="4">
        <v>46227.0</v>
      </c>
      <c r="K54" s="3" t="s">
        <v>19</v>
      </c>
      <c r="L54" s="3" t="s">
        <v>20</v>
      </c>
      <c r="M54" s="5">
        <v>29.41</v>
      </c>
      <c r="N54" s="3" t="s">
        <v>310</v>
      </c>
      <c r="O54" s="3" t="s">
        <v>311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50</v>
      </c>
      <c r="B55" s="3" t="s">
        <v>124</v>
      </c>
      <c r="C55" s="3" t="s">
        <v>290</v>
      </c>
      <c r="D55" s="3" t="s">
        <v>291</v>
      </c>
      <c r="E55" s="3" t="str">
        <f t="shared" si="1"/>
        <v>Denise Rumpf</v>
      </c>
      <c r="F55" s="2">
        <v>32690.0</v>
      </c>
      <c r="G55" s="2" t="str">
        <f t="shared" si="5"/>
        <v>3269055</v>
      </c>
      <c r="H55" s="4">
        <v>45809.0</v>
      </c>
      <c r="I55" s="4">
        <v>46204.0</v>
      </c>
      <c r="J55" s="4">
        <v>46227.0</v>
      </c>
      <c r="K55" s="3" t="s">
        <v>19</v>
      </c>
      <c r="L55" s="3" t="s">
        <v>20</v>
      </c>
      <c r="M55" s="5">
        <v>29.41</v>
      </c>
      <c r="N55" s="3" t="s">
        <v>310</v>
      </c>
      <c r="O55" s="3" t="s">
        <v>311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50</v>
      </c>
      <c r="B56" s="3" t="s">
        <v>124</v>
      </c>
      <c r="C56" s="3" t="s">
        <v>72</v>
      </c>
      <c r="D56" s="3" t="s">
        <v>193</v>
      </c>
      <c r="E56" s="3" t="str">
        <f t="shared" si="1"/>
        <v>Thomas Gamcik</v>
      </c>
      <c r="F56" s="2">
        <v>40480.0</v>
      </c>
      <c r="G56" s="2" t="str">
        <f t="shared" si="5"/>
        <v>4048055</v>
      </c>
      <c r="H56" s="4">
        <v>45809.0</v>
      </c>
      <c r="I56" s="4">
        <v>46204.0</v>
      </c>
      <c r="J56" s="4">
        <v>46227.0</v>
      </c>
      <c r="K56" s="3" t="s">
        <v>19</v>
      </c>
      <c r="L56" s="3" t="s">
        <v>20</v>
      </c>
      <c r="M56" s="5">
        <v>29.41</v>
      </c>
      <c r="N56" s="3" t="s">
        <v>310</v>
      </c>
      <c r="O56" s="3" t="s">
        <v>311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50</v>
      </c>
      <c r="B57" s="3" t="s">
        <v>124</v>
      </c>
      <c r="C57" s="3" t="s">
        <v>196</v>
      </c>
      <c r="D57" s="3" t="s">
        <v>197</v>
      </c>
      <c r="E57" s="3" t="str">
        <f t="shared" si="1"/>
        <v>Gordon Gathany</v>
      </c>
      <c r="F57" s="2">
        <v>55740.0</v>
      </c>
      <c r="G57" s="2" t="str">
        <f t="shared" si="5"/>
        <v>5574055</v>
      </c>
      <c r="H57" s="4">
        <v>45809.0</v>
      </c>
      <c r="I57" s="4">
        <v>46204.0</v>
      </c>
      <c r="J57" s="4">
        <v>46227.0</v>
      </c>
      <c r="K57" s="3" t="s">
        <v>19</v>
      </c>
      <c r="L57" s="3" t="s">
        <v>20</v>
      </c>
      <c r="M57" s="5">
        <v>29.41</v>
      </c>
      <c r="N57" s="3" t="s">
        <v>310</v>
      </c>
      <c r="O57" s="3" t="s">
        <v>311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50</v>
      </c>
      <c r="B58" s="3" t="s">
        <v>124</v>
      </c>
      <c r="C58" s="3" t="s">
        <v>119</v>
      </c>
      <c r="D58" s="3" t="s">
        <v>120</v>
      </c>
      <c r="E58" s="3" t="str">
        <f t="shared" si="1"/>
        <v>Terry Bain</v>
      </c>
      <c r="F58" s="2">
        <v>23380.0</v>
      </c>
      <c r="G58" s="2" t="str">
        <f t="shared" si="5"/>
        <v>2338055</v>
      </c>
      <c r="H58" s="4">
        <v>45778.0</v>
      </c>
      <c r="I58" s="4">
        <v>46204.0</v>
      </c>
      <c r="J58" s="4">
        <v>46227.0</v>
      </c>
      <c r="K58" s="3" t="s">
        <v>19</v>
      </c>
      <c r="L58" s="3" t="s">
        <v>20</v>
      </c>
      <c r="M58" s="5">
        <v>29.41</v>
      </c>
      <c r="N58" s="3" t="s">
        <v>310</v>
      </c>
      <c r="O58" s="3" t="s">
        <v>311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50</v>
      </c>
      <c r="B59" s="3" t="s">
        <v>124</v>
      </c>
      <c r="C59" s="3" t="s">
        <v>82</v>
      </c>
      <c r="D59" s="3" t="s">
        <v>257</v>
      </c>
      <c r="E59" s="3" t="str">
        <f t="shared" si="1"/>
        <v>William Minear</v>
      </c>
      <c r="F59" s="2">
        <v>3480.0</v>
      </c>
      <c r="G59" s="2" t="str">
        <f t="shared" si="5"/>
        <v>348055</v>
      </c>
      <c r="H59" s="4">
        <v>45748.0</v>
      </c>
      <c r="I59" s="4">
        <v>46204.0</v>
      </c>
      <c r="J59" s="4">
        <v>46227.0</v>
      </c>
      <c r="K59" s="3" t="s">
        <v>19</v>
      </c>
      <c r="L59" s="3" t="s">
        <v>20</v>
      </c>
      <c r="M59" s="5">
        <v>29.41</v>
      </c>
      <c r="N59" s="3" t="s">
        <v>310</v>
      </c>
      <c r="O59" s="3" t="s">
        <v>311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50</v>
      </c>
      <c r="B60" s="3" t="s">
        <v>124</v>
      </c>
      <c r="C60" s="3" t="s">
        <v>355</v>
      </c>
      <c r="D60" s="3" t="s">
        <v>356</v>
      </c>
      <c r="E60" s="3" t="str">
        <f t="shared" si="1"/>
        <v>Maria Welshons</v>
      </c>
      <c r="F60" s="2">
        <v>19300.0</v>
      </c>
      <c r="G60" s="2" t="str">
        <f t="shared" si="5"/>
        <v>1930055</v>
      </c>
      <c r="H60" s="4">
        <v>45748.0</v>
      </c>
      <c r="I60" s="4">
        <v>46204.0</v>
      </c>
      <c r="J60" s="4">
        <v>46227.0</v>
      </c>
      <c r="K60" s="3" t="s">
        <v>19</v>
      </c>
      <c r="L60" s="3" t="s">
        <v>20</v>
      </c>
      <c r="M60" s="5">
        <v>29.41</v>
      </c>
      <c r="N60" s="3" t="s">
        <v>310</v>
      </c>
      <c r="O60" s="3" t="s">
        <v>311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50</v>
      </c>
      <c r="B61" s="3" t="s">
        <v>124</v>
      </c>
      <c r="C61" s="3" t="s">
        <v>230</v>
      </c>
      <c r="D61" s="3" t="s">
        <v>217</v>
      </c>
      <c r="E61" s="3" t="str">
        <f t="shared" si="1"/>
        <v>Christopher Lauff</v>
      </c>
      <c r="F61" s="2">
        <v>23630.0</v>
      </c>
      <c r="G61" s="2" t="str">
        <f t="shared" si="5"/>
        <v>2363055</v>
      </c>
      <c r="H61" s="4">
        <v>45748.0</v>
      </c>
      <c r="I61" s="4">
        <v>46204.0</v>
      </c>
      <c r="J61" s="4">
        <v>46227.0</v>
      </c>
      <c r="K61" s="3" t="s">
        <v>19</v>
      </c>
      <c r="L61" s="3" t="s">
        <v>20</v>
      </c>
      <c r="M61" s="5">
        <v>29.41</v>
      </c>
      <c r="N61" s="3" t="s">
        <v>310</v>
      </c>
      <c r="O61" s="3" t="s">
        <v>311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50</v>
      </c>
      <c r="B62" s="3" t="s">
        <v>124</v>
      </c>
      <c r="C62" s="3" t="s">
        <v>188</v>
      </c>
      <c r="D62" s="3" t="s">
        <v>303</v>
      </c>
      <c r="E62" s="3" t="str">
        <f t="shared" si="1"/>
        <v>Charles Scribner</v>
      </c>
      <c r="F62" s="2">
        <v>23970.0</v>
      </c>
      <c r="G62" s="2" t="str">
        <f t="shared" si="5"/>
        <v>2397055</v>
      </c>
      <c r="H62" s="4">
        <v>45748.0</v>
      </c>
      <c r="I62" s="4">
        <v>46204.0</v>
      </c>
      <c r="J62" s="4">
        <v>46227.0</v>
      </c>
      <c r="K62" s="3" t="s">
        <v>19</v>
      </c>
      <c r="L62" s="3" t="s">
        <v>20</v>
      </c>
      <c r="M62" s="5">
        <v>29.41</v>
      </c>
      <c r="N62" s="3" t="s">
        <v>310</v>
      </c>
      <c r="O62" s="3" t="s">
        <v>311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50</v>
      </c>
      <c r="B63" s="3" t="s">
        <v>124</v>
      </c>
      <c r="C63" s="3" t="s">
        <v>290</v>
      </c>
      <c r="D63" s="3" t="s">
        <v>340</v>
      </c>
      <c r="E63" s="3" t="str">
        <f t="shared" si="1"/>
        <v>Denise Volkar Scribner</v>
      </c>
      <c r="F63" s="2">
        <v>59280.0</v>
      </c>
      <c r="G63" s="2" t="str">
        <f t="shared" si="5"/>
        <v>5928055</v>
      </c>
      <c r="H63" s="4">
        <v>45748.0</v>
      </c>
      <c r="I63" s="4">
        <v>46204.0</v>
      </c>
      <c r="J63" s="4">
        <v>46227.0</v>
      </c>
      <c r="K63" s="3" t="s">
        <v>19</v>
      </c>
      <c r="L63" s="3" t="s">
        <v>20</v>
      </c>
      <c r="M63" s="5">
        <v>29.41</v>
      </c>
      <c r="N63" s="3" t="s">
        <v>310</v>
      </c>
      <c r="O63" s="3" t="s">
        <v>311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50</v>
      </c>
      <c r="B64" s="3" t="s">
        <v>124</v>
      </c>
      <c r="C64" s="3" t="s">
        <v>199</v>
      </c>
      <c r="D64" s="3" t="s">
        <v>200</v>
      </c>
      <c r="E64" s="3" t="str">
        <f t="shared" si="1"/>
        <v>Jeffrey Gaudino</v>
      </c>
      <c r="F64" s="2">
        <v>87120.0</v>
      </c>
      <c r="G64" s="2" t="str">
        <f t="shared" si="5"/>
        <v>8712055</v>
      </c>
      <c r="H64" s="4">
        <v>45748.0</v>
      </c>
      <c r="I64" s="4">
        <v>46204.0</v>
      </c>
      <c r="J64" s="4">
        <v>46227.0</v>
      </c>
      <c r="K64" s="3" t="s">
        <v>19</v>
      </c>
      <c r="L64" s="3" t="s">
        <v>20</v>
      </c>
      <c r="M64" s="5">
        <v>29.41</v>
      </c>
      <c r="N64" s="3" t="s">
        <v>310</v>
      </c>
      <c r="O64" s="3" t="s">
        <v>311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50</v>
      </c>
      <c r="B65" s="3" t="s">
        <v>124</v>
      </c>
      <c r="C65" s="3" t="s">
        <v>51</v>
      </c>
      <c r="D65" s="3" t="s">
        <v>52</v>
      </c>
      <c r="E65" s="3" t="str">
        <f t="shared" si="1"/>
        <v>Robert Allen</v>
      </c>
      <c r="F65" s="2">
        <v>89760.0</v>
      </c>
      <c r="G65" s="2" t="str">
        <f t="shared" si="5"/>
        <v>8976055</v>
      </c>
      <c r="H65" s="4">
        <v>45748.0</v>
      </c>
      <c r="I65" s="4">
        <v>46204.0</v>
      </c>
      <c r="J65" s="4">
        <v>46227.0</v>
      </c>
      <c r="K65" s="3" t="s">
        <v>19</v>
      </c>
      <c r="L65" s="3" t="s">
        <v>20</v>
      </c>
      <c r="M65" s="5">
        <v>29.41</v>
      </c>
      <c r="N65" s="3" t="s">
        <v>310</v>
      </c>
      <c r="O65" s="3" t="s">
        <v>311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50</v>
      </c>
      <c r="B66" s="3" t="s">
        <v>124</v>
      </c>
      <c r="C66" s="3" t="s">
        <v>429</v>
      </c>
      <c r="D66" s="3" t="s">
        <v>430</v>
      </c>
      <c r="E66" s="3" t="str">
        <f t="shared" si="1"/>
        <v>Noreen Hamm</v>
      </c>
      <c r="F66" s="2">
        <v>9350.0</v>
      </c>
      <c r="G66" s="2" t="str">
        <f t="shared" si="5"/>
        <v>935055</v>
      </c>
      <c r="H66" s="4">
        <v>45717.0</v>
      </c>
      <c r="I66" s="4">
        <v>46204.0</v>
      </c>
      <c r="J66" s="4">
        <v>46227.0</v>
      </c>
      <c r="K66" s="3" t="s">
        <v>19</v>
      </c>
      <c r="L66" s="3" t="s">
        <v>20</v>
      </c>
      <c r="M66" s="5">
        <v>29.41</v>
      </c>
      <c r="N66" s="3" t="s">
        <v>310</v>
      </c>
      <c r="O66" s="3" t="s">
        <v>311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50</v>
      </c>
      <c r="B67" s="3" t="s">
        <v>124</v>
      </c>
      <c r="C67" s="3" t="s">
        <v>82</v>
      </c>
      <c r="D67" s="3" t="s">
        <v>147</v>
      </c>
      <c r="E67" s="3" t="str">
        <f t="shared" si="1"/>
        <v>William Cain</v>
      </c>
      <c r="F67" s="2">
        <v>40680.0</v>
      </c>
      <c r="G67" s="2" t="str">
        <f t="shared" si="5"/>
        <v>4068055</v>
      </c>
      <c r="H67" s="4">
        <v>45717.0</v>
      </c>
      <c r="I67" s="4">
        <v>46204.0</v>
      </c>
      <c r="J67" s="4">
        <v>46227.0</v>
      </c>
      <c r="K67" s="3" t="s">
        <v>19</v>
      </c>
      <c r="L67" s="3" t="s">
        <v>20</v>
      </c>
      <c r="M67" s="5">
        <v>29.41</v>
      </c>
      <c r="N67" s="3" t="s">
        <v>310</v>
      </c>
      <c r="O67" s="3" t="s">
        <v>311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50</v>
      </c>
      <c r="B68" s="3" t="s">
        <v>124</v>
      </c>
      <c r="C68" s="3" t="s">
        <v>144</v>
      </c>
      <c r="D68" s="3" t="s">
        <v>145</v>
      </c>
      <c r="E68" s="3" t="str">
        <f t="shared" si="1"/>
        <v>Phillip Buben</v>
      </c>
      <c r="F68" s="2">
        <v>44650.0</v>
      </c>
      <c r="G68" s="2" t="str">
        <f t="shared" si="5"/>
        <v>4465055</v>
      </c>
      <c r="H68" s="4">
        <v>45717.0</v>
      </c>
      <c r="I68" s="4">
        <v>46204.0</v>
      </c>
      <c r="J68" s="4">
        <v>46227.0</v>
      </c>
      <c r="K68" s="3" t="s">
        <v>19</v>
      </c>
      <c r="L68" s="3" t="s">
        <v>20</v>
      </c>
      <c r="M68" s="5">
        <v>29.41</v>
      </c>
      <c r="N68" s="3" t="s">
        <v>310</v>
      </c>
      <c r="O68" s="3" t="s">
        <v>311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50</v>
      </c>
      <c r="B69" s="3" t="s">
        <v>124</v>
      </c>
      <c r="C69" s="3" t="s">
        <v>168</v>
      </c>
      <c r="D69" s="3" t="s">
        <v>169</v>
      </c>
      <c r="E69" s="3" t="str">
        <f t="shared" si="1"/>
        <v>Gertrude Dolcich</v>
      </c>
      <c r="F69" s="2">
        <v>49550.0</v>
      </c>
      <c r="G69" s="2" t="str">
        <f t="shared" si="5"/>
        <v>4955055</v>
      </c>
      <c r="H69" s="4">
        <v>45717.0</v>
      </c>
      <c r="I69" s="4">
        <v>46204.0</v>
      </c>
      <c r="J69" s="4">
        <v>46227.0</v>
      </c>
      <c r="K69" s="3" t="s">
        <v>19</v>
      </c>
      <c r="L69" s="3" t="s">
        <v>20</v>
      </c>
      <c r="M69" s="5">
        <v>29.41</v>
      </c>
      <c r="N69" s="3" t="s">
        <v>310</v>
      </c>
      <c r="O69" s="3" t="s">
        <v>311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50</v>
      </c>
      <c r="B70" s="3" t="s">
        <v>124</v>
      </c>
      <c r="C70" s="3" t="s">
        <v>227</v>
      </c>
      <c r="D70" s="3" t="s">
        <v>228</v>
      </c>
      <c r="E70" s="3" t="str">
        <f t="shared" si="1"/>
        <v>Catherine Krajack</v>
      </c>
      <c r="F70" s="2">
        <v>49710.0</v>
      </c>
      <c r="G70" s="2" t="str">
        <f t="shared" si="5"/>
        <v>4971055</v>
      </c>
      <c r="H70" s="4">
        <v>45717.0</v>
      </c>
      <c r="I70" s="4">
        <v>46204.0</v>
      </c>
      <c r="J70" s="4">
        <v>46227.0</v>
      </c>
      <c r="K70" s="3" t="s">
        <v>19</v>
      </c>
      <c r="L70" s="3" t="s">
        <v>20</v>
      </c>
      <c r="M70" s="5">
        <v>29.41</v>
      </c>
      <c r="N70" s="3" t="s">
        <v>310</v>
      </c>
      <c r="O70" s="3" t="s">
        <v>311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50</v>
      </c>
      <c r="B71" s="3" t="s">
        <v>124</v>
      </c>
      <c r="C71" s="3" t="s">
        <v>212</v>
      </c>
      <c r="D71" s="3" t="s">
        <v>213</v>
      </c>
      <c r="E71" s="3" t="str">
        <f t="shared" si="1"/>
        <v>Emma Hatton</v>
      </c>
      <c r="F71" s="2">
        <v>9740.0</v>
      </c>
      <c r="G71" s="2" t="str">
        <f t="shared" si="5"/>
        <v>974055</v>
      </c>
      <c r="H71" s="4">
        <v>45689.0</v>
      </c>
      <c r="I71" s="4">
        <v>46204.0</v>
      </c>
      <c r="J71" s="4">
        <v>46227.0</v>
      </c>
      <c r="K71" s="3" t="s">
        <v>19</v>
      </c>
      <c r="L71" s="3" t="s">
        <v>20</v>
      </c>
      <c r="M71" s="5">
        <v>29.41</v>
      </c>
      <c r="N71" s="3" t="s">
        <v>310</v>
      </c>
      <c r="O71" s="3" t="s">
        <v>311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50</v>
      </c>
      <c r="B72" s="3" t="s">
        <v>124</v>
      </c>
      <c r="C72" s="3" t="s">
        <v>69</v>
      </c>
      <c r="D72" s="3" t="s">
        <v>213</v>
      </c>
      <c r="E72" s="3" t="str">
        <f t="shared" si="1"/>
        <v>James Hatton</v>
      </c>
      <c r="F72" s="2">
        <v>12080.0</v>
      </c>
      <c r="G72" s="2" t="str">
        <f t="shared" si="5"/>
        <v>1208055</v>
      </c>
      <c r="H72" s="4">
        <v>45689.0</v>
      </c>
      <c r="I72" s="4">
        <v>46204.0</v>
      </c>
      <c r="J72" s="4">
        <v>46227.0</v>
      </c>
      <c r="K72" s="3" t="s">
        <v>19</v>
      </c>
      <c r="L72" s="3" t="s">
        <v>20</v>
      </c>
      <c r="M72" s="5">
        <v>29.41</v>
      </c>
      <c r="N72" s="3" t="s">
        <v>310</v>
      </c>
      <c r="O72" s="3" t="s">
        <v>311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50</v>
      </c>
      <c r="B73" s="3" t="s">
        <v>124</v>
      </c>
      <c r="C73" s="3" t="s">
        <v>133</v>
      </c>
      <c r="D73" s="3" t="s">
        <v>134</v>
      </c>
      <c r="E73" s="3" t="str">
        <f t="shared" si="1"/>
        <v>Michael Beck</v>
      </c>
      <c r="F73" s="2">
        <v>30390.0</v>
      </c>
      <c r="G73" s="2" t="str">
        <f t="shared" si="5"/>
        <v>3039055</v>
      </c>
      <c r="H73" s="4">
        <v>45689.0</v>
      </c>
      <c r="I73" s="4">
        <v>46204.0</v>
      </c>
      <c r="J73" s="4">
        <v>46227.0</v>
      </c>
      <c r="K73" s="3" t="s">
        <v>19</v>
      </c>
      <c r="L73" s="3" t="s">
        <v>20</v>
      </c>
      <c r="M73" s="5">
        <v>29.41</v>
      </c>
      <c r="N73" s="3" t="s">
        <v>310</v>
      </c>
      <c r="O73" s="3" t="s">
        <v>311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50</v>
      </c>
      <c r="B74" s="3" t="s">
        <v>124</v>
      </c>
      <c r="C74" s="3" t="s">
        <v>72</v>
      </c>
      <c r="D74" s="3" t="s">
        <v>73</v>
      </c>
      <c r="E74" s="3" t="str">
        <f t="shared" si="1"/>
        <v>Thomas Koontz</v>
      </c>
      <c r="F74" s="2">
        <v>48640.0</v>
      </c>
      <c r="G74" s="2" t="str">
        <f t="shared" si="5"/>
        <v>4864055</v>
      </c>
      <c r="H74" s="4">
        <v>45689.0</v>
      </c>
      <c r="I74" s="4">
        <v>46204.0</v>
      </c>
      <c r="J74" s="4">
        <v>46227.0</v>
      </c>
      <c r="K74" s="3" t="s">
        <v>19</v>
      </c>
      <c r="L74" s="3" t="s">
        <v>20</v>
      </c>
      <c r="M74" s="5">
        <v>29.41</v>
      </c>
      <c r="N74" s="3" t="s">
        <v>310</v>
      </c>
      <c r="O74" s="3" t="s">
        <v>311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50</v>
      </c>
      <c r="B75" s="3" t="s">
        <v>124</v>
      </c>
      <c r="C75" s="3" t="s">
        <v>204</v>
      </c>
      <c r="D75" s="3" t="s">
        <v>200</v>
      </c>
      <c r="E75" s="3" t="str">
        <f t="shared" si="1"/>
        <v>Teresa Gaudino</v>
      </c>
      <c r="F75" s="2">
        <v>82650.0</v>
      </c>
      <c r="G75" s="2" t="str">
        <f t="shared" si="5"/>
        <v>8265055</v>
      </c>
      <c r="H75" s="4">
        <v>45689.0</v>
      </c>
      <c r="I75" s="4">
        <v>46204.0</v>
      </c>
      <c r="J75" s="4">
        <v>46227.0</v>
      </c>
      <c r="K75" s="3" t="s">
        <v>19</v>
      </c>
      <c r="L75" s="3" t="s">
        <v>20</v>
      </c>
      <c r="M75" s="5">
        <v>29.41</v>
      </c>
      <c r="N75" s="3" t="s">
        <v>310</v>
      </c>
      <c r="O75" s="3" t="s">
        <v>311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50</v>
      </c>
      <c r="B76" s="3" t="s">
        <v>124</v>
      </c>
      <c r="C76" s="3" t="s">
        <v>131</v>
      </c>
      <c r="D76" s="3" t="s">
        <v>258</v>
      </c>
      <c r="E76" s="3" t="str">
        <f t="shared" si="1"/>
        <v>Donna Mittenzwey</v>
      </c>
      <c r="F76" s="2">
        <v>85210.0</v>
      </c>
      <c r="G76" s="2" t="str">
        <f t="shared" si="5"/>
        <v>8521055</v>
      </c>
      <c r="H76" s="4">
        <v>45689.0</v>
      </c>
      <c r="I76" s="4">
        <v>46204.0</v>
      </c>
      <c r="J76" s="4">
        <v>46227.0</v>
      </c>
      <c r="K76" s="3" t="s">
        <v>19</v>
      </c>
      <c r="L76" s="3" t="s">
        <v>20</v>
      </c>
      <c r="M76" s="5">
        <v>29.41</v>
      </c>
      <c r="N76" s="3" t="s">
        <v>310</v>
      </c>
      <c r="O76" s="3" t="s">
        <v>311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50</v>
      </c>
      <c r="B77" s="3">
        <v>1.7528908E7</v>
      </c>
      <c r="C77" s="3" t="s">
        <v>186</v>
      </c>
      <c r="D77" s="3" t="s">
        <v>182</v>
      </c>
      <c r="E77" s="3" t="str">
        <f t="shared" si="1"/>
        <v>Geraldine Famoso</v>
      </c>
      <c r="F77" s="2">
        <v>3480.0</v>
      </c>
      <c r="G77" s="2" t="str">
        <f t="shared" si="5"/>
        <v>348055</v>
      </c>
      <c r="H77" s="4">
        <v>45658.0</v>
      </c>
      <c r="I77" s="4">
        <v>46204.0</v>
      </c>
      <c r="J77" s="4">
        <v>46227.0</v>
      </c>
      <c r="K77" s="3" t="s">
        <v>19</v>
      </c>
      <c r="L77" s="3" t="s">
        <v>20</v>
      </c>
      <c r="M77" s="5">
        <v>29.41</v>
      </c>
      <c r="N77" s="3" t="s">
        <v>310</v>
      </c>
      <c r="O77" s="3" t="s">
        <v>311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50</v>
      </c>
      <c r="B78" s="3">
        <v>1.7528908E7</v>
      </c>
      <c r="C78" s="3" t="s">
        <v>171</v>
      </c>
      <c r="D78" s="3" t="s">
        <v>324</v>
      </c>
      <c r="E78" s="3" t="str">
        <f t="shared" si="1"/>
        <v>Diane Stang</v>
      </c>
      <c r="F78" s="2">
        <v>5200.0</v>
      </c>
      <c r="G78" s="2" t="str">
        <f t="shared" si="5"/>
        <v>520055</v>
      </c>
      <c r="H78" s="4">
        <v>45658.0</v>
      </c>
      <c r="I78" s="4">
        <v>46204.0</v>
      </c>
      <c r="J78" s="4">
        <v>46227.0</v>
      </c>
      <c r="K78" s="3" t="s">
        <v>19</v>
      </c>
      <c r="L78" s="3" t="s">
        <v>20</v>
      </c>
      <c r="M78" s="5">
        <v>29.41</v>
      </c>
      <c r="N78" s="3" t="s">
        <v>310</v>
      </c>
      <c r="O78" s="3" t="s">
        <v>311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50</v>
      </c>
      <c r="B79" s="3">
        <v>1.7528908E7</v>
      </c>
      <c r="C79" s="3" t="s">
        <v>133</v>
      </c>
      <c r="D79" s="3" t="s">
        <v>308</v>
      </c>
      <c r="E79" s="3" t="str">
        <f t="shared" si="1"/>
        <v>Michael Sgourakis</v>
      </c>
      <c r="F79" s="2">
        <v>6800.0</v>
      </c>
      <c r="G79" s="2" t="str">
        <f t="shared" si="5"/>
        <v>680055</v>
      </c>
      <c r="H79" s="4">
        <v>45658.0</v>
      </c>
      <c r="I79" s="4">
        <v>46204.0</v>
      </c>
      <c r="J79" s="4">
        <v>46227.0</v>
      </c>
      <c r="K79" s="3" t="s">
        <v>19</v>
      </c>
      <c r="L79" s="3" t="s">
        <v>20</v>
      </c>
      <c r="M79" s="5">
        <v>29.41</v>
      </c>
      <c r="N79" s="3" t="s">
        <v>310</v>
      </c>
      <c r="O79" s="3" t="s">
        <v>311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50</v>
      </c>
      <c r="B80" s="3">
        <v>1.7528908E7</v>
      </c>
      <c r="C80" s="3" t="s">
        <v>381</v>
      </c>
      <c r="D80" s="3" t="s">
        <v>382</v>
      </c>
      <c r="E80" s="3" t="str">
        <f t="shared" si="1"/>
        <v>Karin Pekular</v>
      </c>
      <c r="F80" s="2">
        <v>8470.0</v>
      </c>
      <c r="G80" s="2" t="str">
        <f t="shared" si="5"/>
        <v>847055</v>
      </c>
      <c r="H80" s="4">
        <v>45658.0</v>
      </c>
      <c r="I80" s="4">
        <v>46204.0</v>
      </c>
      <c r="J80" s="4">
        <v>46227.0</v>
      </c>
      <c r="K80" s="3" t="s">
        <v>19</v>
      </c>
      <c r="L80" s="3" t="s">
        <v>20</v>
      </c>
      <c r="M80" s="5">
        <v>29.41</v>
      </c>
      <c r="N80" s="3" t="s">
        <v>310</v>
      </c>
      <c r="O80" s="3" t="s">
        <v>311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50</v>
      </c>
      <c r="B81" s="3">
        <v>1.7528908E7</v>
      </c>
      <c r="C81" s="3" t="s">
        <v>72</v>
      </c>
      <c r="D81" s="3" t="s">
        <v>72</v>
      </c>
      <c r="E81" s="3" t="str">
        <f t="shared" si="1"/>
        <v>Thomas Thomas</v>
      </c>
      <c r="F81" s="2">
        <v>10950.0</v>
      </c>
      <c r="G81" s="2" t="str">
        <f t="shared" si="5"/>
        <v>1095055</v>
      </c>
      <c r="H81" s="4">
        <v>45658.0</v>
      </c>
      <c r="I81" s="4">
        <v>46204.0</v>
      </c>
      <c r="J81" s="4">
        <v>46227.0</v>
      </c>
      <c r="K81" s="3" t="s">
        <v>19</v>
      </c>
      <c r="L81" s="3" t="s">
        <v>20</v>
      </c>
      <c r="M81" s="5">
        <v>29.41</v>
      </c>
      <c r="N81" s="3" t="s">
        <v>310</v>
      </c>
      <c r="O81" s="3" t="s">
        <v>311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50</v>
      </c>
      <c r="B82" s="3">
        <v>1.7528908E7</v>
      </c>
      <c r="C82" s="3" t="s">
        <v>115</v>
      </c>
      <c r="D82" s="3" t="s">
        <v>52</v>
      </c>
      <c r="E82" s="3" t="str">
        <f t="shared" si="1"/>
        <v>Virginia Allen</v>
      </c>
      <c r="F82" s="2">
        <v>19830.0</v>
      </c>
      <c r="G82" s="2" t="str">
        <f t="shared" si="5"/>
        <v>1983055</v>
      </c>
      <c r="H82" s="4">
        <v>45658.0</v>
      </c>
      <c r="I82" s="4">
        <v>46204.0</v>
      </c>
      <c r="J82" s="4">
        <v>46227.0</v>
      </c>
      <c r="K82" s="3" t="s">
        <v>19</v>
      </c>
      <c r="L82" s="3" t="s">
        <v>20</v>
      </c>
      <c r="M82" s="5">
        <v>29.41</v>
      </c>
      <c r="N82" s="3" t="s">
        <v>310</v>
      </c>
      <c r="O82" s="3" t="s">
        <v>311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50</v>
      </c>
      <c r="B83" s="3">
        <v>1.7528908E7</v>
      </c>
      <c r="C83" s="3" t="s">
        <v>293</v>
      </c>
      <c r="D83" s="3" t="s">
        <v>294</v>
      </c>
      <c r="E83" s="3" t="str">
        <f t="shared" si="1"/>
        <v>Nicholas Sacco</v>
      </c>
      <c r="F83" s="2">
        <v>20880.0</v>
      </c>
      <c r="G83" s="2" t="str">
        <f t="shared" si="5"/>
        <v>2088055</v>
      </c>
      <c r="H83" s="4">
        <v>45658.0</v>
      </c>
      <c r="I83" s="4">
        <v>46204.0</v>
      </c>
      <c r="J83" s="4">
        <v>46227.0</v>
      </c>
      <c r="K83" s="3" t="s">
        <v>19</v>
      </c>
      <c r="L83" s="3" t="s">
        <v>20</v>
      </c>
      <c r="M83" s="5">
        <v>29.41</v>
      </c>
      <c r="N83" s="3" t="s">
        <v>310</v>
      </c>
      <c r="O83" s="3" t="s">
        <v>311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50</v>
      </c>
      <c r="B84" s="3">
        <v>1.7528908E7</v>
      </c>
      <c r="C84" s="3" t="s">
        <v>333</v>
      </c>
      <c r="D84" s="3" t="s">
        <v>397</v>
      </c>
      <c r="E84" s="3" t="str">
        <f t="shared" si="1"/>
        <v>Susan Schaefer</v>
      </c>
      <c r="F84" s="2">
        <v>27480.0</v>
      </c>
      <c r="G84" s="2" t="str">
        <f t="shared" si="5"/>
        <v>2748055</v>
      </c>
      <c r="H84" s="4">
        <v>45658.0</v>
      </c>
      <c r="I84" s="4">
        <v>46204.0</v>
      </c>
      <c r="J84" s="4">
        <v>46227.0</v>
      </c>
      <c r="K84" s="3" t="s">
        <v>19</v>
      </c>
      <c r="L84" s="3" t="s">
        <v>20</v>
      </c>
      <c r="M84" s="5">
        <v>29.41</v>
      </c>
      <c r="N84" s="3" t="s">
        <v>310</v>
      </c>
      <c r="O84" s="3" t="s">
        <v>311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50</v>
      </c>
      <c r="B85" s="3">
        <v>1.7528908E7</v>
      </c>
      <c r="C85" s="3" t="s">
        <v>51</v>
      </c>
      <c r="D85" s="3" t="s">
        <v>207</v>
      </c>
      <c r="E85" s="3" t="str">
        <f t="shared" si="1"/>
        <v>Robert Gilbert</v>
      </c>
      <c r="F85" s="2">
        <v>28840.0</v>
      </c>
      <c r="G85" s="2" t="str">
        <f t="shared" si="5"/>
        <v>2884055</v>
      </c>
      <c r="H85" s="4">
        <v>45658.0</v>
      </c>
      <c r="I85" s="4">
        <v>46204.0</v>
      </c>
      <c r="J85" s="4">
        <v>46227.0</v>
      </c>
      <c r="K85" s="3" t="s">
        <v>19</v>
      </c>
      <c r="L85" s="3" t="s">
        <v>20</v>
      </c>
      <c r="M85" s="5">
        <v>29.41</v>
      </c>
      <c r="N85" s="3" t="s">
        <v>310</v>
      </c>
      <c r="O85" s="3" t="s">
        <v>311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50</v>
      </c>
      <c r="B86" s="3">
        <v>1.7528908E7</v>
      </c>
      <c r="C86" s="3" t="s">
        <v>181</v>
      </c>
      <c r="D86" s="3" t="s">
        <v>182</v>
      </c>
      <c r="E86" s="3" t="str">
        <f t="shared" si="1"/>
        <v>Aldo Famoso</v>
      </c>
      <c r="F86" s="2">
        <v>32410.0</v>
      </c>
      <c r="G86" s="2" t="str">
        <f t="shared" si="5"/>
        <v>3241055</v>
      </c>
      <c r="H86" s="4">
        <v>45658.0</v>
      </c>
      <c r="I86" s="4">
        <v>46204.0</v>
      </c>
      <c r="J86" s="4">
        <v>46227.0</v>
      </c>
      <c r="K86" s="3" t="s">
        <v>19</v>
      </c>
      <c r="L86" s="3" t="s">
        <v>20</v>
      </c>
      <c r="M86" s="5">
        <v>29.41</v>
      </c>
      <c r="N86" s="3" t="s">
        <v>310</v>
      </c>
      <c r="O86" s="3" t="s">
        <v>311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50</v>
      </c>
      <c r="B87" s="3">
        <v>1.7528908E7</v>
      </c>
      <c r="C87" s="3" t="s">
        <v>305</v>
      </c>
      <c r="D87" s="3" t="s">
        <v>306</v>
      </c>
      <c r="E87" s="3" t="str">
        <f t="shared" si="1"/>
        <v>Richard Sefchick</v>
      </c>
      <c r="F87" s="2">
        <v>35230.0</v>
      </c>
      <c r="G87" s="2" t="str">
        <f t="shared" si="5"/>
        <v>3523055</v>
      </c>
      <c r="H87" s="4">
        <v>45658.0</v>
      </c>
      <c r="I87" s="4">
        <v>46204.0</v>
      </c>
      <c r="J87" s="4">
        <v>46227.0</v>
      </c>
      <c r="K87" s="3" t="s">
        <v>19</v>
      </c>
      <c r="L87" s="3" t="s">
        <v>20</v>
      </c>
      <c r="M87" s="5">
        <v>29.41</v>
      </c>
      <c r="N87" s="3" t="s">
        <v>310</v>
      </c>
      <c r="O87" s="3" t="s">
        <v>311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50</v>
      </c>
      <c r="B88" s="3">
        <v>1.7528908E7</v>
      </c>
      <c r="C88" s="3" t="s">
        <v>330</v>
      </c>
      <c r="D88" s="3" t="s">
        <v>72</v>
      </c>
      <c r="E88" s="3" t="str">
        <f t="shared" si="1"/>
        <v>Karla Thomas</v>
      </c>
      <c r="F88" s="2">
        <v>36570.0</v>
      </c>
      <c r="G88" s="2" t="str">
        <f t="shared" si="5"/>
        <v>3657055</v>
      </c>
      <c r="H88" s="4">
        <v>45658.0</v>
      </c>
      <c r="I88" s="4">
        <v>46204.0</v>
      </c>
      <c r="J88" s="4">
        <v>46227.0</v>
      </c>
      <c r="K88" s="3" t="s">
        <v>19</v>
      </c>
      <c r="L88" s="3" t="s">
        <v>20</v>
      </c>
      <c r="M88" s="5">
        <v>29.41</v>
      </c>
      <c r="N88" s="3" t="s">
        <v>310</v>
      </c>
      <c r="O88" s="3" t="s">
        <v>311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50</v>
      </c>
      <c r="B89" s="3">
        <v>1.7528908E7</v>
      </c>
      <c r="C89" s="3" t="s">
        <v>63</v>
      </c>
      <c r="D89" s="3" t="s">
        <v>64</v>
      </c>
      <c r="E89" s="3" t="str">
        <f t="shared" si="1"/>
        <v>Lorraine Honeychuck</v>
      </c>
      <c r="F89" s="2">
        <v>37420.0</v>
      </c>
      <c r="G89" s="2" t="str">
        <f t="shared" si="5"/>
        <v>3742055</v>
      </c>
      <c r="H89" s="4">
        <v>45658.0</v>
      </c>
      <c r="I89" s="4">
        <v>46204.0</v>
      </c>
      <c r="J89" s="4">
        <v>46227.0</v>
      </c>
      <c r="K89" s="3" t="s">
        <v>19</v>
      </c>
      <c r="L89" s="3" t="s">
        <v>20</v>
      </c>
      <c r="M89" s="5">
        <v>29.41</v>
      </c>
      <c r="N89" s="3" t="s">
        <v>310</v>
      </c>
      <c r="O89" s="3" t="s">
        <v>311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50</v>
      </c>
      <c r="B90" s="3">
        <v>1.7528908E7</v>
      </c>
      <c r="C90" s="3" t="s">
        <v>245</v>
      </c>
      <c r="D90" s="3" t="s">
        <v>246</v>
      </c>
      <c r="E90" s="3" t="str">
        <f t="shared" si="1"/>
        <v>Kathleen Mccartney</v>
      </c>
      <c r="F90" s="2">
        <v>52620.0</v>
      </c>
      <c r="G90" s="2" t="str">
        <f t="shared" si="5"/>
        <v>5262055</v>
      </c>
      <c r="H90" s="4">
        <v>45658.0</v>
      </c>
      <c r="I90" s="4">
        <v>46204.0</v>
      </c>
      <c r="J90" s="4">
        <v>46227.0</v>
      </c>
      <c r="K90" s="3" t="s">
        <v>19</v>
      </c>
      <c r="L90" s="3" t="s">
        <v>20</v>
      </c>
      <c r="M90" s="5">
        <v>29.41</v>
      </c>
      <c r="N90" s="3" t="s">
        <v>310</v>
      </c>
      <c r="O90" s="3" t="s">
        <v>311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50</v>
      </c>
      <c r="B91" s="3">
        <v>1.7528908E7</v>
      </c>
      <c r="C91" s="3" t="s">
        <v>206</v>
      </c>
      <c r="D91" s="3" t="s">
        <v>207</v>
      </c>
      <c r="E91" s="3" t="str">
        <f t="shared" si="1"/>
        <v>Kimberly Gilbert</v>
      </c>
      <c r="F91" s="2">
        <v>56120.0</v>
      </c>
      <c r="G91" s="2" t="str">
        <f t="shared" si="5"/>
        <v>5612055</v>
      </c>
      <c r="H91" s="4">
        <v>45658.0</v>
      </c>
      <c r="I91" s="4">
        <v>46204.0</v>
      </c>
      <c r="J91" s="4">
        <v>46227.0</v>
      </c>
      <c r="K91" s="3" t="s">
        <v>19</v>
      </c>
      <c r="L91" s="3" t="s">
        <v>20</v>
      </c>
      <c r="M91" s="5">
        <v>29.41</v>
      </c>
      <c r="N91" s="3" t="s">
        <v>310</v>
      </c>
      <c r="O91" s="3" t="s">
        <v>311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50</v>
      </c>
      <c r="B92" s="3">
        <v>1.7528908E7</v>
      </c>
      <c r="C92" s="3" t="s">
        <v>69</v>
      </c>
      <c r="D92" s="3" t="s">
        <v>70</v>
      </c>
      <c r="E92" s="3" t="str">
        <f t="shared" si="1"/>
        <v>James Jenkins</v>
      </c>
      <c r="F92" s="2">
        <v>57590.0</v>
      </c>
      <c r="G92" s="2" t="str">
        <f t="shared" si="5"/>
        <v>5759055</v>
      </c>
      <c r="H92" s="4">
        <v>45658.0</v>
      </c>
      <c r="I92" s="4">
        <v>46204.0</v>
      </c>
      <c r="J92" s="4">
        <v>46227.0</v>
      </c>
      <c r="K92" s="3" t="s">
        <v>19</v>
      </c>
      <c r="L92" s="3" t="s">
        <v>20</v>
      </c>
      <c r="M92" s="5">
        <v>29.41</v>
      </c>
      <c r="N92" s="3" t="s">
        <v>310</v>
      </c>
      <c r="O92" s="3" t="s">
        <v>311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50</v>
      </c>
      <c r="B93" s="3">
        <v>1.7528908E7</v>
      </c>
      <c r="C93" s="3" t="s">
        <v>355</v>
      </c>
      <c r="D93" s="3" t="s">
        <v>388</v>
      </c>
      <c r="E93" s="3" t="str">
        <f t="shared" si="1"/>
        <v>Maria Diaz</v>
      </c>
      <c r="F93" s="2">
        <v>61280.0</v>
      </c>
      <c r="G93" s="2" t="str">
        <f t="shared" si="5"/>
        <v>6128055</v>
      </c>
      <c r="H93" s="4">
        <v>45658.0</v>
      </c>
      <c r="I93" s="4">
        <v>46204.0</v>
      </c>
      <c r="J93" s="4">
        <v>46227.0</v>
      </c>
      <c r="K93" s="3" t="s">
        <v>19</v>
      </c>
      <c r="L93" s="3" t="s">
        <v>20</v>
      </c>
      <c r="M93" s="5">
        <v>29.41</v>
      </c>
      <c r="N93" s="3" t="s">
        <v>310</v>
      </c>
      <c r="O93" s="3" t="s">
        <v>311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50</v>
      </c>
      <c r="B94" s="3">
        <v>1.7528908E7</v>
      </c>
      <c r="C94" s="3" t="s">
        <v>415</v>
      </c>
      <c r="D94" s="3" t="s">
        <v>416</v>
      </c>
      <c r="E94" s="3" t="str">
        <f t="shared" si="1"/>
        <v>Marianne Zapora</v>
      </c>
      <c r="F94" s="2">
        <v>65800.0</v>
      </c>
      <c r="G94" s="2" t="str">
        <f t="shared" si="5"/>
        <v>6580055</v>
      </c>
      <c r="H94" s="4">
        <v>45658.0</v>
      </c>
      <c r="I94" s="4">
        <v>46204.0</v>
      </c>
      <c r="J94" s="4">
        <v>46227.0</v>
      </c>
      <c r="K94" s="3" t="s">
        <v>19</v>
      </c>
      <c r="L94" s="3" t="s">
        <v>20</v>
      </c>
      <c r="M94" s="5">
        <v>29.41</v>
      </c>
      <c r="N94" s="3" t="s">
        <v>310</v>
      </c>
      <c r="O94" s="3" t="s">
        <v>311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50</v>
      </c>
      <c r="B95" s="3">
        <v>1.7528908E7</v>
      </c>
      <c r="C95" s="3" t="s">
        <v>43</v>
      </c>
      <c r="D95" s="3" t="s">
        <v>224</v>
      </c>
      <c r="E95" s="3" t="str">
        <f t="shared" si="1"/>
        <v>Joseph Korey</v>
      </c>
      <c r="F95" s="2">
        <v>72670.0</v>
      </c>
      <c r="G95" s="2" t="str">
        <f t="shared" si="5"/>
        <v>7267055</v>
      </c>
      <c r="H95" s="4">
        <v>45658.0</v>
      </c>
      <c r="I95" s="4">
        <v>46204.0</v>
      </c>
      <c r="J95" s="4">
        <v>46227.0</v>
      </c>
      <c r="K95" s="3" t="s">
        <v>19</v>
      </c>
      <c r="L95" s="3" t="s">
        <v>20</v>
      </c>
      <c r="M95" s="5">
        <v>29.41</v>
      </c>
      <c r="N95" s="3" t="s">
        <v>310</v>
      </c>
      <c r="O95" s="3" t="s">
        <v>311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50</v>
      </c>
      <c r="B96" s="3">
        <v>1.7528908E7</v>
      </c>
      <c r="C96" s="3" t="s">
        <v>25</v>
      </c>
      <c r="D96" s="3" t="s">
        <v>224</v>
      </c>
      <c r="E96" s="3" t="str">
        <f t="shared" si="1"/>
        <v>Mary Korey</v>
      </c>
      <c r="F96" s="2">
        <v>74030.0</v>
      </c>
      <c r="G96" s="2" t="str">
        <f t="shared" si="5"/>
        <v>7403055</v>
      </c>
      <c r="H96" s="4">
        <v>45658.0</v>
      </c>
      <c r="I96" s="4">
        <v>46204.0</v>
      </c>
      <c r="J96" s="4">
        <v>46227.0</v>
      </c>
      <c r="K96" s="3" t="s">
        <v>19</v>
      </c>
      <c r="L96" s="3" t="s">
        <v>20</v>
      </c>
      <c r="M96" s="5">
        <v>29.41</v>
      </c>
      <c r="N96" s="3" t="s">
        <v>310</v>
      </c>
      <c r="O96" s="3" t="s">
        <v>311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50</v>
      </c>
      <c r="B97" s="3">
        <v>1.7528908E7</v>
      </c>
      <c r="C97" s="3" t="s">
        <v>296</v>
      </c>
      <c r="D97" s="3" t="s">
        <v>297</v>
      </c>
      <c r="E97" s="3" t="str">
        <f t="shared" si="1"/>
        <v>Randall Santucci</v>
      </c>
      <c r="F97" s="2">
        <v>24550.0</v>
      </c>
      <c r="G97" s="2" t="str">
        <f t="shared" si="5"/>
        <v>2455055</v>
      </c>
      <c r="H97" s="4">
        <v>45627.0</v>
      </c>
      <c r="I97" s="4">
        <v>46204.0</v>
      </c>
      <c r="J97" s="4">
        <v>46227.0</v>
      </c>
      <c r="K97" s="3" t="s">
        <v>19</v>
      </c>
      <c r="L97" s="3" t="s">
        <v>20</v>
      </c>
      <c r="M97" s="5">
        <v>29.41</v>
      </c>
      <c r="N97" s="3" t="s">
        <v>310</v>
      </c>
      <c r="O97" s="3" t="s">
        <v>311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50</v>
      </c>
      <c r="B98" s="3">
        <v>1.7528908E7</v>
      </c>
      <c r="C98" s="3" t="s">
        <v>91</v>
      </c>
      <c r="D98" s="3" t="s">
        <v>96</v>
      </c>
      <c r="E98" s="3" t="str">
        <f t="shared" si="1"/>
        <v>Mark Vogelsberger</v>
      </c>
      <c r="F98" s="2">
        <v>61760.0</v>
      </c>
      <c r="G98" s="2" t="str">
        <f t="shared" si="5"/>
        <v>6176055</v>
      </c>
      <c r="H98" s="4">
        <v>45627.0</v>
      </c>
      <c r="I98" s="4">
        <v>46204.0</v>
      </c>
      <c r="J98" s="4">
        <v>46227.0</v>
      </c>
      <c r="K98" s="3" t="s">
        <v>19</v>
      </c>
      <c r="L98" s="3" t="s">
        <v>20</v>
      </c>
      <c r="M98" s="5">
        <v>29.41</v>
      </c>
      <c r="N98" s="3" t="s">
        <v>310</v>
      </c>
      <c r="O98" s="3" t="s">
        <v>311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50</v>
      </c>
      <c r="B99" s="3">
        <v>1.7528908E7</v>
      </c>
      <c r="C99" s="3" t="s">
        <v>437</v>
      </c>
      <c r="D99" s="3" t="s">
        <v>438</v>
      </c>
      <c r="E99" s="3" t="str">
        <f t="shared" si="1"/>
        <v>Meryle Brucker</v>
      </c>
      <c r="F99" s="2">
        <v>21100.0</v>
      </c>
      <c r="G99" s="2" t="str">
        <f t="shared" si="5"/>
        <v>2110055</v>
      </c>
      <c r="H99" s="4">
        <v>45597.0</v>
      </c>
      <c r="I99" s="4">
        <v>46204.0</v>
      </c>
      <c r="J99" s="4">
        <v>46227.0</v>
      </c>
      <c r="K99" s="3" t="s">
        <v>19</v>
      </c>
      <c r="L99" s="3" t="s">
        <v>20</v>
      </c>
      <c r="M99" s="5">
        <v>29.41</v>
      </c>
      <c r="N99" s="3" t="s">
        <v>310</v>
      </c>
      <c r="O99" s="3" t="s">
        <v>311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50</v>
      </c>
      <c r="B100" s="3">
        <v>1.7528908E7</v>
      </c>
      <c r="C100" s="3" t="s">
        <v>218</v>
      </c>
      <c r="D100" s="3" t="s">
        <v>219</v>
      </c>
      <c r="E100" s="3" t="str">
        <f t="shared" si="1"/>
        <v>Harold Jones</v>
      </c>
      <c r="F100" s="2">
        <v>68460.0</v>
      </c>
      <c r="G100" s="2" t="str">
        <f t="shared" si="5"/>
        <v>6846055</v>
      </c>
      <c r="H100" s="4">
        <v>45597.0</v>
      </c>
      <c r="I100" s="4">
        <v>46204.0</v>
      </c>
      <c r="J100" s="4">
        <v>46227.0</v>
      </c>
      <c r="K100" s="3" t="s">
        <v>19</v>
      </c>
      <c r="L100" s="3" t="s">
        <v>20</v>
      </c>
      <c r="M100" s="5">
        <v>29.41</v>
      </c>
      <c r="N100" s="3" t="s">
        <v>310</v>
      </c>
      <c r="O100" s="3" t="s">
        <v>311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50</v>
      </c>
      <c r="B101" s="3">
        <v>1.7528908E7</v>
      </c>
      <c r="C101" s="3" t="s">
        <v>57</v>
      </c>
      <c r="D101" s="3" t="s">
        <v>267</v>
      </c>
      <c r="E101" s="3" t="str">
        <f t="shared" si="1"/>
        <v>Deborah Otrhalik</v>
      </c>
      <c r="F101" s="2">
        <v>18480.0</v>
      </c>
      <c r="G101" s="2" t="str">
        <f t="shared" si="5"/>
        <v>1848055</v>
      </c>
      <c r="H101" s="4">
        <v>45566.0</v>
      </c>
      <c r="I101" s="4">
        <v>46204.0</v>
      </c>
      <c r="J101" s="4">
        <v>46227.0</v>
      </c>
      <c r="K101" s="3" t="s">
        <v>19</v>
      </c>
      <c r="L101" s="3" t="s">
        <v>20</v>
      </c>
      <c r="M101" s="5">
        <v>29.41</v>
      </c>
      <c r="N101" s="3" t="s">
        <v>310</v>
      </c>
      <c r="O101" s="3" t="s">
        <v>311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50</v>
      </c>
      <c r="B102" s="3">
        <v>1.7528908E7</v>
      </c>
      <c r="C102" s="3" t="s">
        <v>402</v>
      </c>
      <c r="D102" s="3" t="s">
        <v>106</v>
      </c>
      <c r="E102" s="3" t="str">
        <f t="shared" si="1"/>
        <v>Roland Black</v>
      </c>
      <c r="F102" s="2">
        <v>18660.0</v>
      </c>
      <c r="G102" s="2" t="str">
        <f t="shared" si="5"/>
        <v>1866055</v>
      </c>
      <c r="H102" s="4">
        <v>45536.0</v>
      </c>
      <c r="I102" s="4">
        <v>46204.0</v>
      </c>
      <c r="J102" s="4">
        <v>46227.0</v>
      </c>
      <c r="K102" s="3" t="s">
        <v>19</v>
      </c>
      <c r="L102" s="3" t="s">
        <v>20</v>
      </c>
      <c r="M102" s="5">
        <v>29.41</v>
      </c>
      <c r="N102" s="3" t="s">
        <v>310</v>
      </c>
      <c r="O102" s="3" t="s">
        <v>311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50</v>
      </c>
      <c r="B103" s="3">
        <v>1.7528908E7</v>
      </c>
      <c r="C103" s="3" t="s">
        <v>276</v>
      </c>
      <c r="D103" s="3" t="s">
        <v>277</v>
      </c>
      <c r="E103" s="3" t="str">
        <f t="shared" si="1"/>
        <v>Victoria Rasbach</v>
      </c>
      <c r="F103" s="2">
        <v>31860.0</v>
      </c>
      <c r="G103" s="2" t="str">
        <f t="shared" si="5"/>
        <v>3186055</v>
      </c>
      <c r="H103" s="4">
        <v>45536.0</v>
      </c>
      <c r="I103" s="4">
        <v>46204.0</v>
      </c>
      <c r="J103" s="4">
        <v>46227.0</v>
      </c>
      <c r="K103" s="3" t="s">
        <v>19</v>
      </c>
      <c r="L103" s="3" t="s">
        <v>20</v>
      </c>
      <c r="M103" s="5">
        <v>29.41</v>
      </c>
      <c r="N103" s="3" t="s">
        <v>310</v>
      </c>
      <c r="O103" s="3" t="s">
        <v>311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50</v>
      </c>
      <c r="B104" s="3">
        <v>1.7528908E7</v>
      </c>
      <c r="C104" s="3" t="s">
        <v>88</v>
      </c>
      <c r="D104" s="3" t="s">
        <v>263</v>
      </c>
      <c r="E104" s="3" t="str">
        <f t="shared" si="1"/>
        <v>Michele Novak</v>
      </c>
      <c r="F104" s="2">
        <v>41060.0</v>
      </c>
      <c r="G104" s="2" t="str">
        <f t="shared" si="5"/>
        <v>4106055</v>
      </c>
      <c r="H104" s="4">
        <v>45536.0</v>
      </c>
      <c r="I104" s="4">
        <v>46204.0</v>
      </c>
      <c r="J104" s="4">
        <v>46227.0</v>
      </c>
      <c r="K104" s="3" t="s">
        <v>19</v>
      </c>
      <c r="L104" s="3" t="s">
        <v>20</v>
      </c>
      <c r="M104" s="5">
        <v>29.41</v>
      </c>
      <c r="N104" s="3" t="s">
        <v>310</v>
      </c>
      <c r="O104" s="3" t="s">
        <v>311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50</v>
      </c>
      <c r="B105" s="3">
        <v>1.7528908E7</v>
      </c>
      <c r="C105" s="3" t="s">
        <v>188</v>
      </c>
      <c r="D105" s="3" t="s">
        <v>189</v>
      </c>
      <c r="E105" s="3" t="str">
        <f t="shared" si="1"/>
        <v>Charles Farina</v>
      </c>
      <c r="F105" s="2">
        <v>52240.0</v>
      </c>
      <c r="G105" s="2" t="str">
        <f t="shared" si="5"/>
        <v>5224055</v>
      </c>
      <c r="H105" s="4">
        <v>45536.0</v>
      </c>
      <c r="I105" s="4">
        <v>46204.0</v>
      </c>
      <c r="J105" s="4">
        <v>46227.0</v>
      </c>
      <c r="K105" s="3" t="s">
        <v>19</v>
      </c>
      <c r="L105" s="3" t="s">
        <v>20</v>
      </c>
      <c r="M105" s="5">
        <v>29.41</v>
      </c>
      <c r="N105" s="3" t="s">
        <v>310</v>
      </c>
      <c r="O105" s="3" t="s">
        <v>311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50</v>
      </c>
      <c r="B106" s="3">
        <v>1.7528908E7</v>
      </c>
      <c r="C106" s="3" t="s">
        <v>131</v>
      </c>
      <c r="D106" s="3" t="s">
        <v>129</v>
      </c>
      <c r="E106" s="3" t="str">
        <f t="shared" si="1"/>
        <v>Donna Bayliss</v>
      </c>
      <c r="F106" s="2">
        <v>79240.0</v>
      </c>
      <c r="G106" s="2" t="str">
        <f t="shared" si="5"/>
        <v>7924055</v>
      </c>
      <c r="H106" s="4">
        <v>45536.0</v>
      </c>
      <c r="I106" s="4">
        <v>46204.0</v>
      </c>
      <c r="J106" s="4">
        <v>46227.0</v>
      </c>
      <c r="K106" s="3" t="s">
        <v>19</v>
      </c>
      <c r="L106" s="3" t="s">
        <v>20</v>
      </c>
      <c r="M106" s="5">
        <v>29.41</v>
      </c>
      <c r="N106" s="3" t="s">
        <v>310</v>
      </c>
      <c r="O106" s="3" t="s">
        <v>311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50</v>
      </c>
      <c r="B107" s="3">
        <v>1.7528908E7</v>
      </c>
      <c r="C107" s="3" t="s">
        <v>128</v>
      </c>
      <c r="D107" s="3" t="s">
        <v>129</v>
      </c>
      <c r="E107" s="3" t="str">
        <f t="shared" si="1"/>
        <v>Dan Bayliss</v>
      </c>
      <c r="F107" s="2">
        <v>88400.0</v>
      </c>
      <c r="G107" s="2" t="str">
        <f t="shared" si="5"/>
        <v>8840055</v>
      </c>
      <c r="H107" s="4">
        <v>45536.0</v>
      </c>
      <c r="I107" s="4">
        <v>46204.0</v>
      </c>
      <c r="J107" s="4">
        <v>46227.0</v>
      </c>
      <c r="K107" s="3" t="s">
        <v>19</v>
      </c>
      <c r="L107" s="3" t="s">
        <v>20</v>
      </c>
      <c r="M107" s="5">
        <v>29.41</v>
      </c>
      <c r="N107" s="3" t="s">
        <v>310</v>
      </c>
      <c r="O107" s="3" t="s">
        <v>311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50</v>
      </c>
      <c r="B108" s="3">
        <v>1.7528908E7</v>
      </c>
      <c r="C108" s="3" t="s">
        <v>25</v>
      </c>
      <c r="D108" s="3" t="s">
        <v>243</v>
      </c>
      <c r="E108" s="3" t="str">
        <f t="shared" si="1"/>
        <v>Mary Mathies</v>
      </c>
      <c r="F108" s="2">
        <v>14690.0</v>
      </c>
      <c r="G108" s="2" t="str">
        <f t="shared" si="5"/>
        <v>1469055</v>
      </c>
      <c r="H108" s="4">
        <v>45505.0</v>
      </c>
      <c r="I108" s="4">
        <v>46204.0</v>
      </c>
      <c r="J108" s="4">
        <v>46227.0</v>
      </c>
      <c r="K108" s="3" t="s">
        <v>19</v>
      </c>
      <c r="L108" s="3" t="s">
        <v>20</v>
      </c>
      <c r="M108" s="5">
        <v>29.41</v>
      </c>
      <c r="N108" s="3" t="s">
        <v>310</v>
      </c>
      <c r="O108" s="3" t="s">
        <v>311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50</v>
      </c>
      <c r="B109" s="3">
        <v>1.7528908E7</v>
      </c>
      <c r="C109" s="3" t="s">
        <v>99</v>
      </c>
      <c r="D109" s="3" t="s">
        <v>100</v>
      </c>
      <c r="E109" s="3" t="str">
        <f t="shared" si="1"/>
        <v>Alice Whiteman</v>
      </c>
      <c r="F109" s="2">
        <v>38300.0</v>
      </c>
      <c r="G109" s="2" t="str">
        <f t="shared" si="5"/>
        <v>3830055</v>
      </c>
      <c r="H109" s="4">
        <v>45505.0</v>
      </c>
      <c r="I109" s="4">
        <v>46204.0</v>
      </c>
      <c r="J109" s="4">
        <v>46227.0</v>
      </c>
      <c r="K109" s="3" t="s">
        <v>19</v>
      </c>
      <c r="L109" s="3" t="s">
        <v>20</v>
      </c>
      <c r="M109" s="5">
        <v>29.41</v>
      </c>
      <c r="N109" s="3" t="s">
        <v>310</v>
      </c>
      <c r="O109" s="3" t="s">
        <v>311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50</v>
      </c>
      <c r="B110" s="3">
        <v>1.7528908E7</v>
      </c>
      <c r="C110" s="3" t="s">
        <v>299</v>
      </c>
      <c r="D110" s="3" t="s">
        <v>300</v>
      </c>
      <c r="E110" s="3" t="str">
        <f t="shared" si="1"/>
        <v>Leslie Schoffstall</v>
      </c>
      <c r="F110" s="2">
        <v>39000.0</v>
      </c>
      <c r="G110" s="2" t="str">
        <f t="shared" si="5"/>
        <v>3900055</v>
      </c>
      <c r="H110" s="4">
        <v>45505.0</v>
      </c>
      <c r="I110" s="4">
        <v>46204.0</v>
      </c>
      <c r="J110" s="4">
        <v>46227.0</v>
      </c>
      <c r="K110" s="3" t="s">
        <v>19</v>
      </c>
      <c r="L110" s="3" t="s">
        <v>20</v>
      </c>
      <c r="M110" s="5">
        <v>29.41</v>
      </c>
      <c r="N110" s="3" t="s">
        <v>310</v>
      </c>
      <c r="O110" s="3" t="s">
        <v>311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50</v>
      </c>
      <c r="B111" s="3">
        <v>1.7528908E7</v>
      </c>
      <c r="C111" s="3" t="s">
        <v>82</v>
      </c>
      <c r="D111" s="3" t="s">
        <v>358</v>
      </c>
      <c r="E111" s="3" t="str">
        <f t="shared" si="1"/>
        <v>William Worms</v>
      </c>
      <c r="F111" s="2">
        <v>680.0</v>
      </c>
      <c r="G111" s="2" t="str">
        <f t="shared" si="5"/>
        <v>68055</v>
      </c>
      <c r="H111" s="4">
        <v>45474.0</v>
      </c>
      <c r="I111" s="4">
        <v>46204.0</v>
      </c>
      <c r="J111" s="4">
        <v>46227.0</v>
      </c>
      <c r="K111" s="3" t="s">
        <v>19</v>
      </c>
      <c r="L111" s="3" t="s">
        <v>20</v>
      </c>
      <c r="M111" s="5">
        <v>29.41</v>
      </c>
      <c r="N111" s="3" t="s">
        <v>310</v>
      </c>
      <c r="O111" s="3" t="s">
        <v>311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50</v>
      </c>
      <c r="B112" s="3">
        <v>1.7528908E7</v>
      </c>
      <c r="C112" s="3" t="s">
        <v>54</v>
      </c>
      <c r="D112" s="3" t="s">
        <v>55</v>
      </c>
      <c r="E112" s="3" t="str">
        <f t="shared" si="1"/>
        <v>Dane Barzanty</v>
      </c>
      <c r="F112" s="2">
        <v>17230.0</v>
      </c>
      <c r="G112" s="2" t="str">
        <f t="shared" si="5"/>
        <v>1723055</v>
      </c>
      <c r="H112" s="4">
        <v>45474.0</v>
      </c>
      <c r="I112" s="4">
        <v>46204.0</v>
      </c>
      <c r="J112" s="4">
        <v>46227.0</v>
      </c>
      <c r="K112" s="3" t="s">
        <v>19</v>
      </c>
      <c r="L112" s="3" t="s">
        <v>20</v>
      </c>
      <c r="M112" s="5">
        <v>29.41</v>
      </c>
      <c r="N112" s="3" t="s">
        <v>310</v>
      </c>
      <c r="O112" s="3" t="s">
        <v>311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50</v>
      </c>
      <c r="B113" s="3">
        <v>1.7528908E7</v>
      </c>
      <c r="C113" s="3" t="s">
        <v>40</v>
      </c>
      <c r="D113" s="3" t="s">
        <v>192</v>
      </c>
      <c r="E113" s="3" t="str">
        <f t="shared" si="1"/>
        <v>John Lynn</v>
      </c>
      <c r="F113" s="2">
        <v>26000.0</v>
      </c>
      <c r="G113" s="2" t="str">
        <f t="shared" si="5"/>
        <v>2600055</v>
      </c>
      <c r="H113" s="4">
        <v>45474.0</v>
      </c>
      <c r="I113" s="4">
        <v>46204.0</v>
      </c>
      <c r="J113" s="4">
        <v>46227.0</v>
      </c>
      <c r="K113" s="3" t="s">
        <v>19</v>
      </c>
      <c r="L113" s="3" t="s">
        <v>20</v>
      </c>
      <c r="M113" s="5">
        <v>29.41</v>
      </c>
      <c r="N113" s="3" t="s">
        <v>310</v>
      </c>
      <c r="O113" s="3" t="s">
        <v>311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50</v>
      </c>
      <c r="B114" s="3">
        <v>1.7528908E7</v>
      </c>
      <c r="C114" s="3" t="s">
        <v>404</v>
      </c>
      <c r="D114" s="3" t="s">
        <v>405</v>
      </c>
      <c r="E114" s="3" t="str">
        <f t="shared" si="1"/>
        <v>Mitchell Giger</v>
      </c>
      <c r="F114" s="2">
        <v>70720.0</v>
      </c>
      <c r="G114" s="2" t="str">
        <f t="shared" si="5"/>
        <v>7072055</v>
      </c>
      <c r="H114" s="4">
        <v>45474.0</v>
      </c>
      <c r="I114" s="4">
        <v>46204.0</v>
      </c>
      <c r="J114" s="4">
        <v>46227.0</v>
      </c>
      <c r="K114" s="3" t="s">
        <v>19</v>
      </c>
      <c r="L114" s="3" t="s">
        <v>20</v>
      </c>
      <c r="M114" s="5">
        <v>29.41</v>
      </c>
      <c r="N114" s="3" t="s">
        <v>310</v>
      </c>
      <c r="O114" s="3" t="s">
        <v>311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50</v>
      </c>
      <c r="B115" s="3">
        <v>1.7528908E7</v>
      </c>
      <c r="C115" s="3" t="s">
        <v>440</v>
      </c>
      <c r="D115" s="3" t="s">
        <v>438</v>
      </c>
      <c r="E115" s="3" t="str">
        <f t="shared" si="1"/>
        <v>Wendell Brucker</v>
      </c>
      <c r="F115" s="2">
        <v>81890.0</v>
      </c>
      <c r="G115" s="2" t="str">
        <f t="shared" si="5"/>
        <v>8189055</v>
      </c>
      <c r="H115" s="4">
        <v>45474.0</v>
      </c>
      <c r="I115" s="4">
        <v>46204.0</v>
      </c>
      <c r="J115" s="4">
        <v>46227.0</v>
      </c>
      <c r="K115" s="3" t="s">
        <v>19</v>
      </c>
      <c r="L115" s="3" t="s">
        <v>20</v>
      </c>
      <c r="M115" s="5">
        <v>29.41</v>
      </c>
      <c r="N115" s="3" t="s">
        <v>310</v>
      </c>
      <c r="O115" s="3" t="s">
        <v>311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50</v>
      </c>
      <c r="B116" s="3">
        <v>1.7528908E7</v>
      </c>
      <c r="C116" s="3" t="s">
        <v>66</v>
      </c>
      <c r="D116" s="3" t="s">
        <v>67</v>
      </c>
      <c r="E116" s="3" t="str">
        <f t="shared" si="1"/>
        <v>Peggy Housley</v>
      </c>
      <c r="F116" s="2">
        <v>19870.0</v>
      </c>
      <c r="G116" s="2" t="str">
        <f t="shared" si="5"/>
        <v>1987055</v>
      </c>
      <c r="H116" s="4">
        <v>45444.0</v>
      </c>
      <c r="I116" s="4">
        <v>46204.0</v>
      </c>
      <c r="J116" s="4">
        <v>46227.0</v>
      </c>
      <c r="K116" s="3" t="s">
        <v>19</v>
      </c>
      <c r="L116" s="3" t="s">
        <v>20</v>
      </c>
      <c r="M116" s="5">
        <v>29.41</v>
      </c>
      <c r="N116" s="3" t="s">
        <v>310</v>
      </c>
      <c r="O116" s="3" t="s">
        <v>311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50</v>
      </c>
      <c r="B117" s="3">
        <v>1.7528908E7</v>
      </c>
      <c r="C117" s="3" t="s">
        <v>139</v>
      </c>
      <c r="D117" s="3" t="s">
        <v>263</v>
      </c>
      <c r="E117" s="3" t="str">
        <f t="shared" si="1"/>
        <v>David Novak</v>
      </c>
      <c r="F117" s="2">
        <v>35900.0</v>
      </c>
      <c r="G117" s="2" t="str">
        <f t="shared" si="5"/>
        <v>3590055</v>
      </c>
      <c r="H117" s="4">
        <v>45444.0</v>
      </c>
      <c r="I117" s="4">
        <v>46204.0</v>
      </c>
      <c r="J117" s="4">
        <v>46227.0</v>
      </c>
      <c r="K117" s="3" t="s">
        <v>19</v>
      </c>
      <c r="L117" s="3" t="s">
        <v>20</v>
      </c>
      <c r="M117" s="5">
        <v>29.41</v>
      </c>
      <c r="N117" s="3" t="s">
        <v>310</v>
      </c>
      <c r="O117" s="3" t="s">
        <v>311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50</v>
      </c>
      <c r="B118" s="3">
        <v>1.7528908E7</v>
      </c>
      <c r="C118" s="3" t="s">
        <v>57</v>
      </c>
      <c r="D118" s="3" t="s">
        <v>157</v>
      </c>
      <c r="E118" s="3" t="str">
        <f t="shared" si="1"/>
        <v>Deborah Cowden</v>
      </c>
      <c r="F118" s="2">
        <v>83180.0</v>
      </c>
      <c r="G118" s="2" t="str">
        <f t="shared" si="5"/>
        <v>8318055</v>
      </c>
      <c r="H118" s="4">
        <v>45444.0</v>
      </c>
      <c r="I118" s="4">
        <v>46204.0</v>
      </c>
      <c r="J118" s="4">
        <v>46227.0</v>
      </c>
      <c r="K118" s="3" t="s">
        <v>19</v>
      </c>
      <c r="L118" s="3" t="s">
        <v>20</v>
      </c>
      <c r="M118" s="5">
        <v>29.41</v>
      </c>
      <c r="N118" s="3" t="s">
        <v>310</v>
      </c>
      <c r="O118" s="3" t="s">
        <v>311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50</v>
      </c>
      <c r="B119" s="3">
        <v>1.7528908E7</v>
      </c>
      <c r="C119" s="3" t="s">
        <v>411</v>
      </c>
      <c r="D119" s="3" t="s">
        <v>412</v>
      </c>
      <c r="E119" s="3" t="str">
        <f t="shared" si="1"/>
        <v>Melanie Leech</v>
      </c>
      <c r="F119" s="2">
        <v>31930.0</v>
      </c>
      <c r="G119" s="2" t="str">
        <f t="shared" si="5"/>
        <v>3193055</v>
      </c>
      <c r="H119" s="4">
        <v>45413.0</v>
      </c>
      <c r="I119" s="4">
        <v>46204.0</v>
      </c>
      <c r="J119" s="4">
        <v>46227.0</v>
      </c>
      <c r="K119" s="3" t="s">
        <v>19</v>
      </c>
      <c r="L119" s="3" t="s">
        <v>20</v>
      </c>
      <c r="M119" s="5">
        <v>29.41</v>
      </c>
      <c r="N119" s="3" t="s">
        <v>310</v>
      </c>
      <c r="O119" s="3" t="s">
        <v>311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50</v>
      </c>
      <c r="B120" s="3">
        <v>1.7528908E7</v>
      </c>
      <c r="C120" s="3" t="s">
        <v>248</v>
      </c>
      <c r="D120" s="3" t="s">
        <v>249</v>
      </c>
      <c r="E120" s="3" t="str">
        <f t="shared" si="1"/>
        <v>Kenneth Mcgregor</v>
      </c>
      <c r="F120" s="2">
        <v>33640.0</v>
      </c>
      <c r="G120" s="2" t="str">
        <f t="shared" si="5"/>
        <v>3364055</v>
      </c>
      <c r="H120" s="4">
        <v>45413.0</v>
      </c>
      <c r="I120" s="4">
        <v>46204.0</v>
      </c>
      <c r="J120" s="4">
        <v>46227.0</v>
      </c>
      <c r="K120" s="3" t="s">
        <v>19</v>
      </c>
      <c r="L120" s="3" t="s">
        <v>20</v>
      </c>
      <c r="M120" s="5">
        <v>29.41</v>
      </c>
      <c r="N120" s="3" t="s">
        <v>310</v>
      </c>
      <c r="O120" s="3" t="s">
        <v>311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50</v>
      </c>
      <c r="B121" s="3">
        <v>1.7528908E7</v>
      </c>
      <c r="C121" s="3" t="s">
        <v>102</v>
      </c>
      <c r="D121" s="3" t="s">
        <v>103</v>
      </c>
      <c r="E121" s="3" t="str">
        <f t="shared" si="1"/>
        <v>Arlene Wiedmann</v>
      </c>
      <c r="F121" s="2">
        <v>85870.0</v>
      </c>
      <c r="G121" s="2" t="str">
        <f t="shared" si="5"/>
        <v>8587055</v>
      </c>
      <c r="H121" s="4">
        <v>45413.0</v>
      </c>
      <c r="I121" s="4">
        <v>46204.0</v>
      </c>
      <c r="J121" s="4">
        <v>46227.0</v>
      </c>
      <c r="K121" s="3" t="s">
        <v>19</v>
      </c>
      <c r="L121" s="3" t="s">
        <v>20</v>
      </c>
      <c r="M121" s="5">
        <v>29.41</v>
      </c>
      <c r="N121" s="3" t="s">
        <v>310</v>
      </c>
      <c r="O121" s="3" t="s">
        <v>311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50</v>
      </c>
      <c r="B122" s="3">
        <v>1.7528908E7</v>
      </c>
      <c r="C122" s="3" t="s">
        <v>85</v>
      </c>
      <c r="D122" s="3" t="s">
        <v>86</v>
      </c>
      <c r="E122" s="3" t="str">
        <f t="shared" si="1"/>
        <v>Michelle Milcic</v>
      </c>
      <c r="F122" s="2">
        <v>99420.0</v>
      </c>
      <c r="G122" s="2" t="str">
        <f t="shared" si="5"/>
        <v>9942055</v>
      </c>
      <c r="H122" s="4">
        <v>45413.0</v>
      </c>
      <c r="I122" s="4">
        <v>46204.0</v>
      </c>
      <c r="J122" s="4">
        <v>46227.0</v>
      </c>
      <c r="K122" s="3" t="s">
        <v>19</v>
      </c>
      <c r="L122" s="3" t="s">
        <v>20</v>
      </c>
      <c r="M122" s="5">
        <v>29.41</v>
      </c>
      <c r="N122" s="3" t="s">
        <v>310</v>
      </c>
      <c r="O122" s="3" t="s">
        <v>311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50</v>
      </c>
      <c r="B123" s="3">
        <v>1.7528908E7</v>
      </c>
      <c r="C123" s="3" t="s">
        <v>336</v>
      </c>
      <c r="D123" s="3" t="s">
        <v>337</v>
      </c>
      <c r="E123" s="3" t="str">
        <f t="shared" si="1"/>
        <v>Cathleen Thurston</v>
      </c>
      <c r="F123" s="2">
        <v>730.0</v>
      </c>
      <c r="G123" s="2" t="str">
        <f t="shared" si="5"/>
        <v>73055</v>
      </c>
      <c r="H123" s="4">
        <v>45383.0</v>
      </c>
      <c r="I123" s="4">
        <v>46204.0</v>
      </c>
      <c r="J123" s="4">
        <v>46227.0</v>
      </c>
      <c r="K123" s="3" t="s">
        <v>19</v>
      </c>
      <c r="L123" s="3" t="s">
        <v>20</v>
      </c>
      <c r="M123" s="5">
        <v>29.41</v>
      </c>
      <c r="N123" s="3" t="s">
        <v>310</v>
      </c>
      <c r="O123" s="3" t="s">
        <v>311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50</v>
      </c>
      <c r="B124" s="3">
        <v>1.7528908E7</v>
      </c>
      <c r="C124" s="3" t="s">
        <v>111</v>
      </c>
      <c r="D124" s="3" t="s">
        <v>326</v>
      </c>
      <c r="E124" s="3" t="str">
        <f t="shared" si="1"/>
        <v>Betty Stawiarski</v>
      </c>
      <c r="F124" s="2">
        <v>8500.0</v>
      </c>
      <c r="G124" s="2" t="str">
        <f t="shared" si="5"/>
        <v>850055</v>
      </c>
      <c r="H124" s="4">
        <v>45383.0</v>
      </c>
      <c r="I124" s="4">
        <v>46204.0</v>
      </c>
      <c r="J124" s="4">
        <v>46227.0</v>
      </c>
      <c r="K124" s="3" t="s">
        <v>19</v>
      </c>
      <c r="L124" s="3" t="s">
        <v>20</v>
      </c>
      <c r="M124" s="5">
        <v>29.41</v>
      </c>
      <c r="N124" s="3" t="s">
        <v>310</v>
      </c>
      <c r="O124" s="3" t="s">
        <v>311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50</v>
      </c>
      <c r="B125" s="3">
        <v>1.7528908E7</v>
      </c>
      <c r="C125" s="3" t="s">
        <v>165</v>
      </c>
      <c r="D125" s="3" t="s">
        <v>166</v>
      </c>
      <c r="E125" s="3" t="str">
        <f t="shared" si="1"/>
        <v>Ellen Davenport</v>
      </c>
      <c r="F125" s="2">
        <v>15300.0</v>
      </c>
      <c r="G125" s="2" t="str">
        <f t="shared" si="5"/>
        <v>1530055</v>
      </c>
      <c r="H125" s="4">
        <v>45383.0</v>
      </c>
      <c r="I125" s="4">
        <v>46204.0</v>
      </c>
      <c r="J125" s="4">
        <v>46227.0</v>
      </c>
      <c r="K125" s="3" t="s">
        <v>19</v>
      </c>
      <c r="L125" s="3" t="s">
        <v>20</v>
      </c>
      <c r="M125" s="5">
        <v>29.41</v>
      </c>
      <c r="N125" s="3" t="s">
        <v>310</v>
      </c>
      <c r="O125" s="3" t="s">
        <v>311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50</v>
      </c>
      <c r="B126" s="3">
        <v>1.7528908E7</v>
      </c>
      <c r="C126" s="3" t="s">
        <v>152</v>
      </c>
      <c r="D126" s="3" t="s">
        <v>153</v>
      </c>
      <c r="E126" s="3" t="str">
        <f t="shared" si="1"/>
        <v>Anthony Costanzo</v>
      </c>
      <c r="F126" s="2">
        <v>97020.0</v>
      </c>
      <c r="G126" s="2" t="str">
        <f t="shared" si="5"/>
        <v>9702055</v>
      </c>
      <c r="H126" s="4">
        <v>45383.0</v>
      </c>
      <c r="I126" s="4">
        <v>46204.0</v>
      </c>
      <c r="J126" s="4">
        <v>46227.0</v>
      </c>
      <c r="K126" s="3" t="s">
        <v>19</v>
      </c>
      <c r="L126" s="3" t="s">
        <v>20</v>
      </c>
      <c r="M126" s="5">
        <v>29.41</v>
      </c>
      <c r="N126" s="3" t="s">
        <v>310</v>
      </c>
      <c r="O126" s="3" t="s">
        <v>311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50</v>
      </c>
      <c r="B127" s="3">
        <v>1.7528908E7</v>
      </c>
      <c r="C127" s="3" t="s">
        <v>202</v>
      </c>
      <c r="D127" s="3" t="s">
        <v>274</v>
      </c>
      <c r="E127" s="3" t="str">
        <f t="shared" si="1"/>
        <v>Debra Presutti</v>
      </c>
      <c r="F127" s="2">
        <v>91150.0</v>
      </c>
      <c r="G127" s="2" t="str">
        <f t="shared" si="5"/>
        <v>9115055</v>
      </c>
      <c r="H127" s="4">
        <v>45352.0</v>
      </c>
      <c r="I127" s="4">
        <v>46204.0</v>
      </c>
      <c r="J127" s="4">
        <v>46227.0</v>
      </c>
      <c r="K127" s="3" t="s">
        <v>19</v>
      </c>
      <c r="L127" s="3" t="s">
        <v>20</v>
      </c>
      <c r="M127" s="5">
        <v>29.41</v>
      </c>
      <c r="N127" s="3" t="s">
        <v>310</v>
      </c>
      <c r="O127" s="3" t="s">
        <v>311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50</v>
      </c>
      <c r="B128" s="3">
        <v>1.7528908E7</v>
      </c>
      <c r="C128" s="3" t="s">
        <v>78</v>
      </c>
      <c r="D128" s="3" t="s">
        <v>79</v>
      </c>
      <c r="E128" s="3" t="str">
        <f t="shared" si="1"/>
        <v>Vera Marencel</v>
      </c>
      <c r="F128" s="2">
        <v>56170.0</v>
      </c>
      <c r="G128" s="2" t="str">
        <f t="shared" si="5"/>
        <v>5617055</v>
      </c>
      <c r="H128" s="4">
        <v>45323.0</v>
      </c>
      <c r="I128" s="4">
        <v>46204.0</v>
      </c>
      <c r="J128" s="4">
        <v>46227.0</v>
      </c>
      <c r="K128" s="3" t="s">
        <v>19</v>
      </c>
      <c r="L128" s="3" t="s">
        <v>20</v>
      </c>
      <c r="M128" s="5">
        <v>29.41</v>
      </c>
      <c r="N128" s="3" t="s">
        <v>310</v>
      </c>
      <c r="O128" s="3" t="s">
        <v>311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50</v>
      </c>
      <c r="B129" s="3">
        <v>1.7528908E7</v>
      </c>
      <c r="C129" s="3" t="s">
        <v>60</v>
      </c>
      <c r="D129" s="3" t="s">
        <v>61</v>
      </c>
      <c r="E129" s="3" t="str">
        <f t="shared" si="1"/>
        <v>Theresa Culkin</v>
      </c>
      <c r="F129" s="2">
        <v>93170.0</v>
      </c>
      <c r="G129" s="2" t="str">
        <f t="shared" si="5"/>
        <v>9317055</v>
      </c>
      <c r="H129" s="4">
        <v>45323.0</v>
      </c>
      <c r="I129" s="4">
        <v>46204.0</v>
      </c>
      <c r="J129" s="4">
        <v>46227.0</v>
      </c>
      <c r="K129" s="3" t="s">
        <v>19</v>
      </c>
      <c r="L129" s="3" t="s">
        <v>20</v>
      </c>
      <c r="M129" s="5">
        <v>29.41</v>
      </c>
      <c r="N129" s="3" t="s">
        <v>310</v>
      </c>
      <c r="O129" s="3" t="s">
        <v>311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50</v>
      </c>
      <c r="B130" s="3">
        <v>1.7528908E7</v>
      </c>
      <c r="C130" s="3" t="s">
        <v>72</v>
      </c>
      <c r="D130" s="3" t="s">
        <v>279</v>
      </c>
      <c r="E130" s="3" t="str">
        <f t="shared" si="1"/>
        <v>Thomas Redman</v>
      </c>
      <c r="F130" s="2">
        <v>94110.0</v>
      </c>
      <c r="G130" s="2" t="str">
        <f t="shared" si="5"/>
        <v>9411055</v>
      </c>
      <c r="H130" s="4">
        <v>45323.0</v>
      </c>
      <c r="I130" s="4">
        <v>46204.0</v>
      </c>
      <c r="J130" s="4">
        <v>46227.0</v>
      </c>
      <c r="K130" s="3" t="s">
        <v>19</v>
      </c>
      <c r="L130" s="3" t="s">
        <v>20</v>
      </c>
      <c r="M130" s="5">
        <v>29.41</v>
      </c>
      <c r="N130" s="3" t="s">
        <v>310</v>
      </c>
      <c r="O130" s="3" t="s">
        <v>311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50</v>
      </c>
      <c r="B131" s="3">
        <v>1.7528908E7</v>
      </c>
      <c r="C131" s="3" t="s">
        <v>82</v>
      </c>
      <c r="D131" s="3" t="s">
        <v>79</v>
      </c>
      <c r="E131" s="3" t="str">
        <f t="shared" si="1"/>
        <v>William Marencel</v>
      </c>
      <c r="F131" s="2">
        <v>99660.0</v>
      </c>
      <c r="G131" s="2" t="str">
        <f t="shared" si="5"/>
        <v>9966055</v>
      </c>
      <c r="H131" s="4">
        <v>45323.0</v>
      </c>
      <c r="I131" s="4">
        <v>46204.0</v>
      </c>
      <c r="J131" s="4">
        <v>46227.0</v>
      </c>
      <c r="K131" s="3" t="s">
        <v>19</v>
      </c>
      <c r="L131" s="3" t="s">
        <v>20</v>
      </c>
      <c r="M131" s="5">
        <v>29.41</v>
      </c>
      <c r="N131" s="3" t="s">
        <v>310</v>
      </c>
      <c r="O131" s="3" t="s">
        <v>311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50</v>
      </c>
      <c r="B132" s="3">
        <v>1.7528908E7</v>
      </c>
      <c r="C132" s="3" t="s">
        <v>47</v>
      </c>
      <c r="D132" s="3" t="s">
        <v>142</v>
      </c>
      <c r="E132" s="3" t="str">
        <f t="shared" si="1"/>
        <v>Linda Brahler</v>
      </c>
      <c r="F132" s="2">
        <v>4190.0</v>
      </c>
      <c r="G132" s="2" t="str">
        <f t="shared" si="5"/>
        <v>419055</v>
      </c>
      <c r="H132" s="4">
        <v>45292.0</v>
      </c>
      <c r="I132" s="4">
        <v>46204.0</v>
      </c>
      <c r="J132" s="4">
        <v>46227.0</v>
      </c>
      <c r="K132" s="3" t="s">
        <v>19</v>
      </c>
      <c r="L132" s="3" t="s">
        <v>20</v>
      </c>
      <c r="M132" s="5">
        <v>29.41</v>
      </c>
      <c r="N132" s="3" t="s">
        <v>310</v>
      </c>
      <c r="O132" s="3" t="s">
        <v>311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50</v>
      </c>
      <c r="B133" s="3">
        <v>1.7528908E7</v>
      </c>
      <c r="C133" s="3" t="s">
        <v>342</v>
      </c>
      <c r="D133" s="3" t="s">
        <v>343</v>
      </c>
      <c r="E133" s="3" t="str">
        <f t="shared" si="1"/>
        <v>Suzann Volz</v>
      </c>
      <c r="F133" s="2">
        <v>9160.0</v>
      </c>
      <c r="G133" s="2" t="str">
        <f t="shared" si="5"/>
        <v>916055</v>
      </c>
      <c r="H133" s="4">
        <v>45292.0</v>
      </c>
      <c r="I133" s="4">
        <v>46204.0</v>
      </c>
      <c r="J133" s="4">
        <v>46227.0</v>
      </c>
      <c r="K133" s="3" t="s">
        <v>19</v>
      </c>
      <c r="L133" s="3" t="s">
        <v>20</v>
      </c>
      <c r="M133" s="5">
        <v>29.41</v>
      </c>
      <c r="N133" s="3" t="s">
        <v>310</v>
      </c>
      <c r="O133" s="3" t="s">
        <v>311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50</v>
      </c>
      <c r="B134" s="3">
        <v>1.7528908E7</v>
      </c>
      <c r="C134" s="3" t="s">
        <v>178</v>
      </c>
      <c r="D134" s="3" t="s">
        <v>179</v>
      </c>
      <c r="E134" s="3" t="str">
        <f t="shared" si="1"/>
        <v>Nancy Dunn</v>
      </c>
      <c r="F134" s="2">
        <v>10720.0</v>
      </c>
      <c r="G134" s="2" t="str">
        <f t="shared" si="5"/>
        <v>1072055</v>
      </c>
      <c r="H134" s="4">
        <v>45292.0</v>
      </c>
      <c r="I134" s="4">
        <v>46204.0</v>
      </c>
      <c r="J134" s="4">
        <v>46227.0</v>
      </c>
      <c r="K134" s="3" t="s">
        <v>19</v>
      </c>
      <c r="L134" s="3" t="s">
        <v>20</v>
      </c>
      <c r="M134" s="5">
        <v>29.41</v>
      </c>
      <c r="N134" s="3" t="s">
        <v>310</v>
      </c>
      <c r="O134" s="3" t="s">
        <v>311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50</v>
      </c>
      <c r="B135" s="3">
        <v>1.7528908E7</v>
      </c>
      <c r="C135" s="3" t="s">
        <v>254</v>
      </c>
      <c r="D135" s="3" t="s">
        <v>255</v>
      </c>
      <c r="E135" s="3" t="str">
        <f t="shared" si="1"/>
        <v>Kathryn Mcmanus</v>
      </c>
      <c r="F135" s="2">
        <v>12980.0</v>
      </c>
      <c r="G135" s="2" t="str">
        <f t="shared" si="5"/>
        <v>1298055</v>
      </c>
      <c r="H135" s="4">
        <v>45292.0</v>
      </c>
      <c r="I135" s="4">
        <v>46204.0</v>
      </c>
      <c r="J135" s="4">
        <v>46227.0</v>
      </c>
      <c r="K135" s="3" t="s">
        <v>19</v>
      </c>
      <c r="L135" s="3" t="s">
        <v>20</v>
      </c>
      <c r="M135" s="5">
        <v>29.41</v>
      </c>
      <c r="N135" s="3" t="s">
        <v>310</v>
      </c>
      <c r="O135" s="3" t="s">
        <v>311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50</v>
      </c>
      <c r="B136" s="3">
        <v>1.7528908E7</v>
      </c>
      <c r="C136" s="3" t="s">
        <v>69</v>
      </c>
      <c r="D136" s="3" t="s">
        <v>313</v>
      </c>
      <c r="E136" s="3" t="str">
        <f t="shared" si="1"/>
        <v>James Shoemaker</v>
      </c>
      <c r="F136" s="2">
        <v>17890.0</v>
      </c>
      <c r="G136" s="2" t="str">
        <f t="shared" si="5"/>
        <v>1789055</v>
      </c>
      <c r="H136" s="4">
        <v>45292.0</v>
      </c>
      <c r="I136" s="4">
        <v>46204.0</v>
      </c>
      <c r="J136" s="4">
        <v>46227.0</v>
      </c>
      <c r="K136" s="3" t="s">
        <v>19</v>
      </c>
      <c r="L136" s="3" t="s">
        <v>20</v>
      </c>
      <c r="M136" s="5">
        <v>29.41</v>
      </c>
      <c r="N136" s="3" t="s">
        <v>310</v>
      </c>
      <c r="O136" s="3" t="s">
        <v>311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50</v>
      </c>
      <c r="B137" s="3">
        <v>1.7528908E7</v>
      </c>
      <c r="C137" s="3" t="s">
        <v>28</v>
      </c>
      <c r="D137" s="3" t="s">
        <v>377</v>
      </c>
      <c r="E137" s="3" t="str">
        <f t="shared" si="1"/>
        <v>Beverly Zorich</v>
      </c>
      <c r="F137" s="2">
        <v>25290.0</v>
      </c>
      <c r="G137" s="2" t="str">
        <f t="shared" si="5"/>
        <v>2529055</v>
      </c>
      <c r="H137" s="4">
        <v>45292.0</v>
      </c>
      <c r="I137" s="4">
        <v>46204.0</v>
      </c>
      <c r="J137" s="4">
        <v>46227.0</v>
      </c>
      <c r="K137" s="3" t="s">
        <v>19</v>
      </c>
      <c r="L137" s="3" t="s">
        <v>20</v>
      </c>
      <c r="M137" s="5">
        <v>29.41</v>
      </c>
      <c r="N137" s="3" t="s">
        <v>310</v>
      </c>
      <c r="O137" s="3" t="s">
        <v>311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50</v>
      </c>
      <c r="B138" s="3">
        <v>1.7528908E7</v>
      </c>
      <c r="C138" s="3" t="s">
        <v>236</v>
      </c>
      <c r="D138" s="3" t="s">
        <v>233</v>
      </c>
      <c r="E138" s="3" t="str">
        <f t="shared" si="1"/>
        <v>Chester Little</v>
      </c>
      <c r="F138" s="2">
        <v>42640.0</v>
      </c>
      <c r="G138" s="2" t="str">
        <f t="shared" si="5"/>
        <v>4264055</v>
      </c>
      <c r="H138" s="4">
        <v>45292.0</v>
      </c>
      <c r="I138" s="4">
        <v>46204.0</v>
      </c>
      <c r="J138" s="4">
        <v>46227.0</v>
      </c>
      <c r="K138" s="3" t="s">
        <v>19</v>
      </c>
      <c r="L138" s="3" t="s">
        <v>20</v>
      </c>
      <c r="M138" s="5">
        <v>29.41</v>
      </c>
      <c r="N138" s="3" t="s">
        <v>310</v>
      </c>
      <c r="O138" s="3" t="s">
        <v>311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50</v>
      </c>
      <c r="B139" s="3">
        <v>1.7528908E7</v>
      </c>
      <c r="C139" s="3" t="s">
        <v>315</v>
      </c>
      <c r="D139" s="3" t="s">
        <v>313</v>
      </c>
      <c r="E139" s="3" t="str">
        <f t="shared" si="1"/>
        <v>Phyllis Shoemaker</v>
      </c>
      <c r="F139" s="2">
        <v>50010.0</v>
      </c>
      <c r="G139" s="2" t="str">
        <f t="shared" si="5"/>
        <v>5001055</v>
      </c>
      <c r="H139" s="4">
        <v>45292.0</v>
      </c>
      <c r="I139" s="4">
        <v>46204.0</v>
      </c>
      <c r="J139" s="4">
        <v>46227.0</v>
      </c>
      <c r="K139" s="3" t="s">
        <v>19</v>
      </c>
      <c r="L139" s="3" t="s">
        <v>20</v>
      </c>
      <c r="M139" s="5">
        <v>29.41</v>
      </c>
      <c r="N139" s="3" t="s">
        <v>310</v>
      </c>
      <c r="O139" s="3" t="s">
        <v>311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50</v>
      </c>
      <c r="B140" s="3">
        <v>1.7528908E7</v>
      </c>
      <c r="C140" s="3" t="s">
        <v>155</v>
      </c>
      <c r="D140" s="3" t="s">
        <v>153</v>
      </c>
      <c r="E140" s="3" t="str">
        <f t="shared" si="1"/>
        <v>Tina Costanzo</v>
      </c>
      <c r="F140" s="2">
        <v>80130.0</v>
      </c>
      <c r="G140" s="2" t="str">
        <f t="shared" si="5"/>
        <v>8013055</v>
      </c>
      <c r="H140" s="4">
        <v>45292.0</v>
      </c>
      <c r="I140" s="4">
        <v>46204.0</v>
      </c>
      <c r="J140" s="4">
        <v>46227.0</v>
      </c>
      <c r="K140" s="3" t="s">
        <v>19</v>
      </c>
      <c r="L140" s="3" t="s">
        <v>20</v>
      </c>
      <c r="M140" s="5">
        <v>29.41</v>
      </c>
      <c r="N140" s="3" t="s">
        <v>310</v>
      </c>
      <c r="O140" s="3" t="s">
        <v>311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50</v>
      </c>
      <c r="B141" s="3">
        <v>1.7528908E7</v>
      </c>
      <c r="C141" s="3" t="s">
        <v>379</v>
      </c>
      <c r="D141" s="3" t="s">
        <v>377</v>
      </c>
      <c r="E141" s="3" t="str">
        <f t="shared" si="1"/>
        <v>Eli Zorich</v>
      </c>
      <c r="F141" s="2">
        <v>85420.0</v>
      </c>
      <c r="G141" s="2" t="str">
        <f t="shared" si="5"/>
        <v>8542055</v>
      </c>
      <c r="H141" s="4">
        <v>45292.0</v>
      </c>
      <c r="I141" s="4">
        <v>46204.0</v>
      </c>
      <c r="J141" s="4">
        <v>46227.0</v>
      </c>
      <c r="K141" s="3" t="s">
        <v>19</v>
      </c>
      <c r="L141" s="3" t="s">
        <v>20</v>
      </c>
      <c r="M141" s="5">
        <v>29.41</v>
      </c>
      <c r="N141" s="3" t="s">
        <v>310</v>
      </c>
      <c r="O141" s="3" t="s">
        <v>311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50</v>
      </c>
      <c r="B142" s="3">
        <v>1.7528908E7</v>
      </c>
      <c r="C142" s="3" t="s">
        <v>25</v>
      </c>
      <c r="D142" s="3" t="s">
        <v>140</v>
      </c>
      <c r="E142" s="3" t="str">
        <f t="shared" si="1"/>
        <v>Mary Bianco</v>
      </c>
      <c r="F142" s="2">
        <v>96980.0</v>
      </c>
      <c r="G142" s="2" t="str">
        <f t="shared" si="5"/>
        <v>9698055</v>
      </c>
      <c r="H142" s="4">
        <v>45292.0</v>
      </c>
      <c r="I142" s="4">
        <v>46204.0</v>
      </c>
      <c r="J142" s="4">
        <v>46227.0</v>
      </c>
      <c r="K142" s="3" t="s">
        <v>19</v>
      </c>
      <c r="L142" s="3" t="s">
        <v>20</v>
      </c>
      <c r="M142" s="5">
        <v>29.41</v>
      </c>
      <c r="N142" s="3" t="s">
        <v>310</v>
      </c>
      <c r="O142" s="3" t="s">
        <v>311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50</v>
      </c>
      <c r="B143" s="3">
        <v>1.7528908E7</v>
      </c>
      <c r="C143" s="3" t="s">
        <v>240</v>
      </c>
      <c r="D143" s="3" t="s">
        <v>241</v>
      </c>
      <c r="E143" s="3" t="str">
        <f t="shared" si="1"/>
        <v>Laura Marsico</v>
      </c>
      <c r="F143" s="2">
        <v>62510.0</v>
      </c>
      <c r="G143" s="2" t="str">
        <f t="shared" si="5"/>
        <v>6251055</v>
      </c>
      <c r="H143" s="4">
        <v>45261.0</v>
      </c>
      <c r="I143" s="4">
        <v>46204.0</v>
      </c>
      <c r="J143" s="4">
        <v>46227.0</v>
      </c>
      <c r="K143" s="3" t="s">
        <v>19</v>
      </c>
      <c r="L143" s="3" t="s">
        <v>20</v>
      </c>
      <c r="M143" s="5">
        <v>29.41</v>
      </c>
      <c r="N143" s="3" t="s">
        <v>310</v>
      </c>
      <c r="O143" s="3" t="s">
        <v>311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50</v>
      </c>
      <c r="B144" s="3">
        <v>1.7528908E7</v>
      </c>
      <c r="C144" s="3" t="s">
        <v>232</v>
      </c>
      <c r="D144" s="3" t="s">
        <v>233</v>
      </c>
      <c r="E144" s="3" t="str">
        <f t="shared" si="1"/>
        <v>Cheryl Little</v>
      </c>
      <c r="F144" s="2">
        <v>69790.0</v>
      </c>
      <c r="G144" s="2" t="str">
        <f t="shared" si="5"/>
        <v>6979055</v>
      </c>
      <c r="H144" s="4">
        <v>45261.0</v>
      </c>
      <c r="I144" s="4">
        <v>46204.0</v>
      </c>
      <c r="J144" s="4">
        <v>46227.0</v>
      </c>
      <c r="K144" s="3" t="s">
        <v>19</v>
      </c>
      <c r="L144" s="3" t="s">
        <v>20</v>
      </c>
      <c r="M144" s="5">
        <v>29.41</v>
      </c>
      <c r="N144" s="3" t="s">
        <v>310</v>
      </c>
      <c r="O144" s="3" t="s">
        <v>311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50</v>
      </c>
      <c r="B145" s="3">
        <v>1.7528908E7</v>
      </c>
      <c r="C145" s="3" t="s">
        <v>281</v>
      </c>
      <c r="D145" s="3" t="s">
        <v>282</v>
      </c>
      <c r="E145" s="3" t="str">
        <f t="shared" si="1"/>
        <v>Ronald Rethage</v>
      </c>
      <c r="F145" s="2">
        <v>92890.0</v>
      </c>
      <c r="G145" s="2" t="str">
        <f t="shared" si="5"/>
        <v>9289055</v>
      </c>
      <c r="H145" s="4">
        <v>45261.0</v>
      </c>
      <c r="I145" s="4">
        <v>46204.0</v>
      </c>
      <c r="J145" s="4">
        <v>46227.0</v>
      </c>
      <c r="K145" s="3" t="s">
        <v>19</v>
      </c>
      <c r="L145" s="3" t="s">
        <v>20</v>
      </c>
      <c r="M145" s="5">
        <v>29.41</v>
      </c>
      <c r="N145" s="3" t="s">
        <v>310</v>
      </c>
      <c r="O145" s="3" t="s">
        <v>311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50</v>
      </c>
      <c r="B146" s="3">
        <v>1.7528908E7</v>
      </c>
      <c r="C146" s="3" t="s">
        <v>350</v>
      </c>
      <c r="D146" s="3" t="s">
        <v>348</v>
      </c>
      <c r="E146" s="3" t="str">
        <f t="shared" si="1"/>
        <v>Pamela Waxler</v>
      </c>
      <c r="F146" s="2">
        <v>17090.0</v>
      </c>
      <c r="G146" s="2" t="str">
        <f t="shared" si="5"/>
        <v>1709055</v>
      </c>
      <c r="H146" s="4">
        <v>45231.0</v>
      </c>
      <c r="I146" s="4">
        <v>46204.0</v>
      </c>
      <c r="J146" s="4">
        <v>46227.0</v>
      </c>
      <c r="K146" s="3" t="s">
        <v>19</v>
      </c>
      <c r="L146" s="3" t="s">
        <v>20</v>
      </c>
      <c r="M146" s="5">
        <v>29.41</v>
      </c>
      <c r="N146" s="3" t="s">
        <v>310</v>
      </c>
      <c r="O146" s="3" t="s">
        <v>311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50</v>
      </c>
      <c r="B147" s="3">
        <v>1.7528908E7</v>
      </c>
      <c r="C147" s="3" t="s">
        <v>399</v>
      </c>
      <c r="D147" s="3" t="s">
        <v>400</v>
      </c>
      <c r="E147" s="3" t="str">
        <f t="shared" si="1"/>
        <v>Caroline Venneri</v>
      </c>
      <c r="F147" s="2">
        <v>55010.0</v>
      </c>
      <c r="G147" s="2" t="str">
        <f t="shared" si="5"/>
        <v>5501055</v>
      </c>
      <c r="H147" s="4">
        <v>45231.0</v>
      </c>
      <c r="I147" s="4">
        <v>46204.0</v>
      </c>
      <c r="J147" s="4">
        <v>46227.0</v>
      </c>
      <c r="K147" s="3" t="s">
        <v>19</v>
      </c>
      <c r="L147" s="3" t="s">
        <v>20</v>
      </c>
      <c r="M147" s="5">
        <v>29.41</v>
      </c>
      <c r="N147" s="3" t="s">
        <v>310</v>
      </c>
      <c r="O147" s="3" t="s">
        <v>311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50</v>
      </c>
      <c r="B148" s="3">
        <v>1.7528908E7</v>
      </c>
      <c r="C148" s="3" t="s">
        <v>119</v>
      </c>
      <c r="D148" s="3" t="s">
        <v>348</v>
      </c>
      <c r="E148" s="3" t="str">
        <f t="shared" si="1"/>
        <v>Terry Waxler</v>
      </c>
      <c r="F148" s="2">
        <v>4230.0</v>
      </c>
      <c r="G148" s="2" t="str">
        <f t="shared" si="5"/>
        <v>423055</v>
      </c>
      <c r="H148" s="4">
        <v>45200.0</v>
      </c>
      <c r="I148" s="4">
        <v>46204.0</v>
      </c>
      <c r="J148" s="4">
        <v>46227.0</v>
      </c>
      <c r="K148" s="3" t="s">
        <v>19</v>
      </c>
      <c r="L148" s="3" t="s">
        <v>20</v>
      </c>
      <c r="M148" s="5">
        <v>29.41</v>
      </c>
      <c r="N148" s="3" t="s">
        <v>310</v>
      </c>
      <c r="O148" s="3" t="s">
        <v>311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50</v>
      </c>
      <c r="B149" s="3">
        <v>1.7528908E7</v>
      </c>
      <c r="C149" s="3" t="s">
        <v>368</v>
      </c>
      <c r="D149" s="3" t="s">
        <v>369</v>
      </c>
      <c r="E149" s="3" t="str">
        <f t="shared" si="1"/>
        <v>Stacy Zeno</v>
      </c>
      <c r="F149" s="2">
        <v>49260.0</v>
      </c>
      <c r="G149" s="2" t="str">
        <f t="shared" si="5"/>
        <v>4926055</v>
      </c>
      <c r="H149" s="4">
        <v>45200.0</v>
      </c>
      <c r="I149" s="4">
        <v>46204.0</v>
      </c>
      <c r="J149" s="4">
        <v>46227.0</v>
      </c>
      <c r="K149" s="3" t="s">
        <v>19</v>
      </c>
      <c r="L149" s="3" t="s">
        <v>20</v>
      </c>
      <c r="M149" s="5">
        <v>29.41</v>
      </c>
      <c r="N149" s="3" t="s">
        <v>310</v>
      </c>
      <c r="O149" s="3" t="s">
        <v>311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50</v>
      </c>
      <c r="B150" s="3">
        <v>1.7528908E7</v>
      </c>
      <c r="C150" s="3" t="s">
        <v>75</v>
      </c>
      <c r="D150" s="3" t="s">
        <v>328</v>
      </c>
      <c r="E150" s="3" t="str">
        <f t="shared" si="1"/>
        <v>Joyce Tarquinio</v>
      </c>
      <c r="F150" s="2">
        <v>63080.0</v>
      </c>
      <c r="G150" s="2" t="str">
        <f t="shared" si="5"/>
        <v>6308055</v>
      </c>
      <c r="H150" s="4">
        <v>45200.0</v>
      </c>
      <c r="I150" s="4">
        <v>46204.0</v>
      </c>
      <c r="J150" s="4">
        <v>46227.0</v>
      </c>
      <c r="K150" s="3" t="s">
        <v>19</v>
      </c>
      <c r="L150" s="3" t="s">
        <v>20</v>
      </c>
      <c r="M150" s="5">
        <v>29.41</v>
      </c>
      <c r="N150" s="3" t="s">
        <v>310</v>
      </c>
      <c r="O150" s="3" t="s">
        <v>311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50</v>
      </c>
      <c r="B151" s="3">
        <v>1.7528908E7</v>
      </c>
      <c r="C151" s="3" t="s">
        <v>107</v>
      </c>
      <c r="D151" s="3" t="s">
        <v>108</v>
      </c>
      <c r="E151" s="3" t="str">
        <f t="shared" si="1"/>
        <v>Jill Wokutch</v>
      </c>
      <c r="F151" s="2">
        <v>2060.0</v>
      </c>
      <c r="G151" s="2" t="str">
        <f t="shared" si="5"/>
        <v>206055</v>
      </c>
      <c r="H151" s="4">
        <v>45170.0</v>
      </c>
      <c r="I151" s="4">
        <v>46204.0</v>
      </c>
      <c r="J151" s="4">
        <v>46227.0</v>
      </c>
      <c r="K151" s="3" t="s">
        <v>19</v>
      </c>
      <c r="L151" s="3" t="s">
        <v>20</v>
      </c>
      <c r="M151" s="5">
        <v>29.41</v>
      </c>
      <c r="N151" s="3" t="s">
        <v>310</v>
      </c>
      <c r="O151" s="3" t="s">
        <v>311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50</v>
      </c>
      <c r="B152" s="3">
        <v>1.7528908E7</v>
      </c>
      <c r="C152" s="3" t="s">
        <v>51</v>
      </c>
      <c r="D152" s="3" t="s">
        <v>321</v>
      </c>
      <c r="E152" s="3" t="str">
        <f t="shared" si="1"/>
        <v>Robert Smith</v>
      </c>
      <c r="F152" s="2">
        <v>4730.0</v>
      </c>
      <c r="G152" s="2" t="str">
        <f t="shared" si="5"/>
        <v>473055</v>
      </c>
      <c r="H152" s="4">
        <v>45170.0</v>
      </c>
      <c r="I152" s="4">
        <v>46204.0</v>
      </c>
      <c r="J152" s="4">
        <v>46227.0</v>
      </c>
      <c r="K152" s="3" t="s">
        <v>19</v>
      </c>
      <c r="L152" s="3" t="s">
        <v>20</v>
      </c>
      <c r="M152" s="5">
        <v>29.41</v>
      </c>
      <c r="N152" s="3" t="s">
        <v>310</v>
      </c>
      <c r="O152" s="3" t="s">
        <v>311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50</v>
      </c>
      <c r="B153" s="3">
        <v>1.7528908E7</v>
      </c>
      <c r="C153" s="3" t="s">
        <v>320</v>
      </c>
      <c r="D153" s="3" t="s">
        <v>321</v>
      </c>
      <c r="E153" s="3" t="str">
        <f t="shared" si="1"/>
        <v>Dona Smith</v>
      </c>
      <c r="F153" s="2">
        <v>4840.0</v>
      </c>
      <c r="G153" s="2" t="str">
        <f t="shared" si="5"/>
        <v>484055</v>
      </c>
      <c r="H153" s="4">
        <v>45170.0</v>
      </c>
      <c r="I153" s="4">
        <v>46204.0</v>
      </c>
      <c r="J153" s="4">
        <v>46227.0</v>
      </c>
      <c r="K153" s="3" t="s">
        <v>19</v>
      </c>
      <c r="L153" s="3" t="s">
        <v>20</v>
      </c>
      <c r="M153" s="5">
        <v>29.41</v>
      </c>
      <c r="N153" s="3" t="s">
        <v>310</v>
      </c>
      <c r="O153" s="3" t="s">
        <v>311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50</v>
      </c>
      <c r="B154" s="3">
        <v>1.7528908E7</v>
      </c>
      <c r="C154" s="3" t="s">
        <v>43</v>
      </c>
      <c r="D154" s="3" t="s">
        <v>108</v>
      </c>
      <c r="E154" s="3" t="str">
        <f t="shared" si="1"/>
        <v>Joseph Wokutch</v>
      </c>
      <c r="F154" s="2">
        <v>30610.0</v>
      </c>
      <c r="G154" s="2" t="str">
        <f t="shared" si="5"/>
        <v>3061055</v>
      </c>
      <c r="H154" s="4">
        <v>45170.0</v>
      </c>
      <c r="I154" s="4">
        <v>46204.0</v>
      </c>
      <c r="J154" s="4">
        <v>46227.0</v>
      </c>
      <c r="K154" s="3" t="s">
        <v>19</v>
      </c>
      <c r="L154" s="3" t="s">
        <v>20</v>
      </c>
      <c r="M154" s="5">
        <v>29.41</v>
      </c>
      <c r="N154" s="3" t="s">
        <v>310</v>
      </c>
      <c r="O154" s="3" t="s">
        <v>311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50</v>
      </c>
      <c r="B155" s="3">
        <v>1.7528908E7</v>
      </c>
      <c r="C155" s="3" t="s">
        <v>199</v>
      </c>
      <c r="D155" s="3" t="s">
        <v>408</v>
      </c>
      <c r="E155" s="3" t="str">
        <f t="shared" si="1"/>
        <v>Jeffrey Huffman</v>
      </c>
      <c r="F155" s="2">
        <v>82260.0</v>
      </c>
      <c r="G155" s="2" t="str">
        <f t="shared" si="5"/>
        <v>8226055</v>
      </c>
      <c r="H155" s="4">
        <v>45170.0</v>
      </c>
      <c r="I155" s="4">
        <v>46204.0</v>
      </c>
      <c r="J155" s="4">
        <v>46227.0</v>
      </c>
      <c r="K155" s="3" t="s">
        <v>19</v>
      </c>
      <c r="L155" s="3" t="s">
        <v>20</v>
      </c>
      <c r="M155" s="5">
        <v>29.41</v>
      </c>
      <c r="N155" s="3" t="s">
        <v>310</v>
      </c>
      <c r="O155" s="3" t="s">
        <v>311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50</v>
      </c>
      <c r="B156" s="3">
        <v>1.7528908E7</v>
      </c>
      <c r="C156" s="3" t="s">
        <v>365</v>
      </c>
      <c r="D156" s="3" t="s">
        <v>366</v>
      </c>
      <c r="E156" s="3" t="str">
        <f t="shared" si="1"/>
        <v>Cathy Zelina</v>
      </c>
      <c r="F156" s="2">
        <v>23440.0</v>
      </c>
      <c r="G156" s="2" t="str">
        <f t="shared" si="5"/>
        <v>2344055</v>
      </c>
      <c r="H156" s="4">
        <v>45139.0</v>
      </c>
      <c r="I156" s="4">
        <v>46204.0</v>
      </c>
      <c r="J156" s="4">
        <v>46227.0</v>
      </c>
      <c r="K156" s="3" t="s">
        <v>19</v>
      </c>
      <c r="L156" s="3" t="s">
        <v>20</v>
      </c>
      <c r="M156" s="5">
        <v>29.41</v>
      </c>
      <c r="N156" s="3" t="s">
        <v>310</v>
      </c>
      <c r="O156" s="3" t="s">
        <v>311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50</v>
      </c>
      <c r="B157" s="3">
        <v>1.7528908E7</v>
      </c>
      <c r="C157" s="3" t="s">
        <v>149</v>
      </c>
      <c r="D157" s="3" t="s">
        <v>150</v>
      </c>
      <c r="E157" s="3" t="str">
        <f t="shared" si="1"/>
        <v>Teri Cirillo</v>
      </c>
      <c r="F157" s="2">
        <v>70560.0</v>
      </c>
      <c r="G157" s="2" t="str">
        <f t="shared" si="5"/>
        <v>7056055</v>
      </c>
      <c r="H157" s="4">
        <v>45139.0</v>
      </c>
      <c r="I157" s="4">
        <v>46204.0</v>
      </c>
      <c r="J157" s="4">
        <v>46227.0</v>
      </c>
      <c r="K157" s="3" t="s">
        <v>19</v>
      </c>
      <c r="L157" s="3" t="s">
        <v>20</v>
      </c>
      <c r="M157" s="5">
        <v>29.41</v>
      </c>
      <c r="N157" s="3" t="s">
        <v>310</v>
      </c>
      <c r="O157" s="3" t="s">
        <v>311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50</v>
      </c>
      <c r="B158" s="3">
        <v>1.7528908E7</v>
      </c>
      <c r="C158" s="3" t="s">
        <v>160</v>
      </c>
      <c r="D158" s="3" t="s">
        <v>161</v>
      </c>
      <c r="E158" s="3" t="str">
        <f t="shared" si="1"/>
        <v>Veronica Daniels</v>
      </c>
      <c r="F158" s="2">
        <v>1030.0</v>
      </c>
      <c r="G158" s="2" t="str">
        <f t="shared" si="5"/>
        <v>103055</v>
      </c>
      <c r="H158" s="4">
        <v>45108.0</v>
      </c>
      <c r="I158" s="4">
        <v>46204.0</v>
      </c>
      <c r="J158" s="4">
        <v>46227.0</v>
      </c>
      <c r="K158" s="3" t="s">
        <v>19</v>
      </c>
      <c r="L158" s="3" t="s">
        <v>20</v>
      </c>
      <c r="M158" s="5">
        <v>29.41</v>
      </c>
      <c r="N158" s="3" t="s">
        <v>310</v>
      </c>
      <c r="O158" s="3" t="s">
        <v>311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50</v>
      </c>
      <c r="B159" s="3">
        <v>1.7528908E7</v>
      </c>
      <c r="C159" s="3" t="s">
        <v>392</v>
      </c>
      <c r="D159" s="3" t="s">
        <v>393</v>
      </c>
      <c r="E159" s="3" t="str">
        <f t="shared" si="1"/>
        <v>Keith Kendra</v>
      </c>
      <c r="F159" s="2">
        <v>50770.0</v>
      </c>
      <c r="G159" s="2" t="str">
        <f t="shared" si="5"/>
        <v>5077055</v>
      </c>
      <c r="H159" s="4">
        <v>45108.0</v>
      </c>
      <c r="I159" s="4">
        <v>46204.0</v>
      </c>
      <c r="J159" s="4">
        <v>46227.0</v>
      </c>
      <c r="K159" s="3" t="s">
        <v>19</v>
      </c>
      <c r="L159" s="3" t="s">
        <v>20</v>
      </c>
      <c r="M159" s="5">
        <v>29.41</v>
      </c>
      <c r="N159" s="3" t="s">
        <v>310</v>
      </c>
      <c r="O159" s="3" t="s">
        <v>311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50</v>
      </c>
      <c r="B160" s="3">
        <v>1.7528908E7</v>
      </c>
      <c r="C160" s="3" t="s">
        <v>72</v>
      </c>
      <c r="D160" s="3" t="s">
        <v>210</v>
      </c>
      <c r="E160" s="3" t="str">
        <f t="shared" si="1"/>
        <v>Thomas Gulish</v>
      </c>
      <c r="F160" s="2">
        <v>27050.0</v>
      </c>
      <c r="G160" s="2" t="str">
        <f t="shared" si="5"/>
        <v>2705055</v>
      </c>
      <c r="H160" s="4">
        <v>45078.0</v>
      </c>
      <c r="I160" s="4">
        <v>46204.0</v>
      </c>
      <c r="J160" s="4">
        <v>46227.0</v>
      </c>
      <c r="K160" s="3" t="s">
        <v>19</v>
      </c>
      <c r="L160" s="3" t="s">
        <v>20</v>
      </c>
      <c r="M160" s="5">
        <v>29.41</v>
      </c>
      <c r="N160" s="3" t="s">
        <v>310</v>
      </c>
      <c r="O160" s="3" t="s">
        <v>311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50</v>
      </c>
      <c r="B161" s="3">
        <v>1.7528908E7</v>
      </c>
      <c r="C161" s="3" t="s">
        <v>347</v>
      </c>
      <c r="D161" s="3" t="s">
        <v>348</v>
      </c>
      <c r="E161" s="3" t="str">
        <f t="shared" si="1"/>
        <v>Donald Waxler</v>
      </c>
      <c r="F161" s="2">
        <v>93670.0</v>
      </c>
      <c r="G161" s="2" t="str">
        <f t="shared" si="5"/>
        <v>9367055</v>
      </c>
      <c r="H161" s="4">
        <v>45078.0</v>
      </c>
      <c r="I161" s="4">
        <v>46204.0</v>
      </c>
      <c r="J161" s="4">
        <v>46227.0</v>
      </c>
      <c r="K161" s="3" t="s">
        <v>19</v>
      </c>
      <c r="L161" s="3" t="s">
        <v>20</v>
      </c>
      <c r="M161" s="5">
        <v>29.41</v>
      </c>
      <c r="N161" s="3" t="s">
        <v>310</v>
      </c>
      <c r="O161" s="3" t="s">
        <v>311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50</v>
      </c>
      <c r="B162" s="3">
        <v>1.7528908E7</v>
      </c>
      <c r="C162" s="3" t="s">
        <v>133</v>
      </c>
      <c r="D162" s="3" t="s">
        <v>419</v>
      </c>
      <c r="E162" s="3" t="str">
        <f t="shared" si="1"/>
        <v>Michael Marshall</v>
      </c>
      <c r="F162" s="2">
        <v>6870.0</v>
      </c>
      <c r="G162" s="2" t="str">
        <f t="shared" si="5"/>
        <v>687055</v>
      </c>
      <c r="H162" s="4">
        <v>44958.0</v>
      </c>
      <c r="I162" s="4">
        <v>46204.0</v>
      </c>
      <c r="J162" s="4">
        <v>46227.0</v>
      </c>
      <c r="K162" s="3" t="s">
        <v>19</v>
      </c>
      <c r="L162" s="3" t="s">
        <v>20</v>
      </c>
      <c r="M162" s="5">
        <v>29.41</v>
      </c>
      <c r="N162" s="3" t="s">
        <v>310</v>
      </c>
      <c r="O162" s="3" t="s">
        <v>311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50</v>
      </c>
      <c r="B163" s="3">
        <v>1.7528908E7</v>
      </c>
      <c r="C163" s="3" t="s">
        <v>418</v>
      </c>
      <c r="D163" s="3" t="s">
        <v>419</v>
      </c>
      <c r="E163" s="3" t="str">
        <f t="shared" si="1"/>
        <v>Georgiann Marshall</v>
      </c>
      <c r="F163" s="2">
        <v>97900.0</v>
      </c>
      <c r="G163" s="2" t="str">
        <f t="shared" si="5"/>
        <v>9790055</v>
      </c>
      <c r="H163" s="4">
        <v>44958.0</v>
      </c>
      <c r="I163" s="4">
        <v>46204.0</v>
      </c>
      <c r="J163" s="4">
        <v>46227.0</v>
      </c>
      <c r="K163" s="3" t="s">
        <v>19</v>
      </c>
      <c r="L163" s="3" t="s">
        <v>20</v>
      </c>
      <c r="M163" s="5">
        <v>29.41</v>
      </c>
      <c r="N163" s="3" t="s">
        <v>310</v>
      </c>
      <c r="O163" s="3" t="s">
        <v>311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50</v>
      </c>
      <c r="B164" s="3">
        <v>1.7528908E7</v>
      </c>
      <c r="C164" s="3" t="s">
        <v>384</v>
      </c>
      <c r="D164" s="3" t="s">
        <v>385</v>
      </c>
      <c r="E164" s="3" t="str">
        <f t="shared" si="1"/>
        <v>Edward Boni</v>
      </c>
      <c r="F164" s="2">
        <v>32450.0</v>
      </c>
      <c r="G164" s="2" t="str">
        <f t="shared" si="5"/>
        <v>3245055</v>
      </c>
      <c r="H164" s="4">
        <v>44927.0</v>
      </c>
      <c r="I164" s="4">
        <v>46204.0</v>
      </c>
      <c r="J164" s="4">
        <v>46227.0</v>
      </c>
      <c r="K164" s="3" t="s">
        <v>19</v>
      </c>
      <c r="L164" s="3" t="s">
        <v>20</v>
      </c>
      <c r="M164" s="5">
        <v>29.41</v>
      </c>
      <c r="N164" s="3" t="s">
        <v>310</v>
      </c>
      <c r="O164" s="3" t="s">
        <v>311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50</v>
      </c>
      <c r="B165" s="3">
        <v>1.7528908E7</v>
      </c>
      <c r="C165" s="3" t="s">
        <v>260</v>
      </c>
      <c r="D165" s="3" t="s">
        <v>261</v>
      </c>
      <c r="E165" s="3" t="str">
        <f t="shared" si="1"/>
        <v>Ann Murphy</v>
      </c>
      <c r="F165" s="2">
        <v>80870.0</v>
      </c>
      <c r="G165" s="2" t="str">
        <f t="shared" si="5"/>
        <v>8087055</v>
      </c>
      <c r="H165" s="4">
        <v>44713.0</v>
      </c>
      <c r="I165" s="4">
        <v>46204.0</v>
      </c>
      <c r="J165" s="4">
        <v>46227.0</v>
      </c>
      <c r="K165" s="3" t="s">
        <v>19</v>
      </c>
      <c r="L165" s="3" t="s">
        <v>20</v>
      </c>
      <c r="M165" s="5">
        <v>29.41</v>
      </c>
      <c r="N165" s="3" t="s">
        <v>310</v>
      </c>
      <c r="O165" s="3" t="s">
        <v>311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50</v>
      </c>
      <c r="B166" s="3">
        <v>1.7528908E7</v>
      </c>
      <c r="C166" s="3" t="s">
        <v>245</v>
      </c>
      <c r="D166" s="3" t="s">
        <v>41</v>
      </c>
      <c r="E166" s="3" t="str">
        <f t="shared" si="1"/>
        <v>Kathleen Sheridan</v>
      </c>
      <c r="F166" s="2">
        <v>96660.0</v>
      </c>
      <c r="G166" s="2" t="str">
        <f t="shared" si="5"/>
        <v>9666055</v>
      </c>
      <c r="H166" s="4">
        <v>44562.0</v>
      </c>
      <c r="I166" s="4">
        <v>46204.0</v>
      </c>
      <c r="J166" s="4">
        <v>46227.0</v>
      </c>
      <c r="K166" s="3" t="s">
        <v>19</v>
      </c>
      <c r="L166" s="3" t="s">
        <v>20</v>
      </c>
      <c r="M166" s="5">
        <v>29.41</v>
      </c>
      <c r="N166" s="3" t="s">
        <v>310</v>
      </c>
      <c r="O166" s="3" t="s">
        <v>311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50</v>
      </c>
      <c r="B167" s="3">
        <v>1.7528908E7</v>
      </c>
      <c r="C167" s="3" t="s">
        <v>136</v>
      </c>
      <c r="D167" s="3" t="s">
        <v>137</v>
      </c>
      <c r="E167" s="3" t="str">
        <f t="shared" si="1"/>
        <v>Frances Betarie</v>
      </c>
      <c r="F167" s="2">
        <v>65480.0</v>
      </c>
      <c r="G167" s="2" t="str">
        <f t="shared" si="5"/>
        <v>6548055</v>
      </c>
      <c r="H167" s="4">
        <v>44531.0</v>
      </c>
      <c r="I167" s="4">
        <v>46204.0</v>
      </c>
      <c r="J167" s="4">
        <v>46227.0</v>
      </c>
      <c r="K167" s="3" t="s">
        <v>19</v>
      </c>
      <c r="L167" s="3" t="s">
        <v>20</v>
      </c>
      <c r="M167" s="5">
        <v>29.41</v>
      </c>
      <c r="N167" s="3" t="s">
        <v>310</v>
      </c>
      <c r="O167" s="3" t="s">
        <v>311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50</v>
      </c>
      <c r="B168" s="3">
        <v>1.7528908E7</v>
      </c>
      <c r="C168" s="3" t="s">
        <v>245</v>
      </c>
      <c r="D168" s="3" t="s">
        <v>288</v>
      </c>
      <c r="E168" s="3" t="str">
        <f t="shared" si="1"/>
        <v>Kathleen Richell</v>
      </c>
      <c r="F168" s="2">
        <v>72950.0</v>
      </c>
      <c r="G168" s="2" t="str">
        <f t="shared" si="5"/>
        <v>7295055</v>
      </c>
      <c r="H168" s="4">
        <v>44228.0</v>
      </c>
      <c r="I168" s="4">
        <v>46204.0</v>
      </c>
      <c r="J168" s="4">
        <v>46227.0</v>
      </c>
      <c r="K168" s="3" t="s">
        <v>19</v>
      </c>
      <c r="L168" s="3" t="s">
        <v>20</v>
      </c>
      <c r="M168" s="5">
        <v>29.41</v>
      </c>
      <c r="N168" s="3" t="s">
        <v>310</v>
      </c>
      <c r="O168" s="3" t="s">
        <v>311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50</v>
      </c>
      <c r="B169" s="3">
        <v>1.7528908E7</v>
      </c>
      <c r="C169" s="3" t="s">
        <v>122</v>
      </c>
      <c r="D169" s="3" t="s">
        <v>123</v>
      </c>
      <c r="E169" s="3" t="str">
        <f t="shared" si="1"/>
        <v>Patricia Barry</v>
      </c>
      <c r="F169" s="2">
        <v>33810.0</v>
      </c>
      <c r="G169" s="2" t="str">
        <f t="shared" si="5"/>
        <v>3381055</v>
      </c>
      <c r="H169" s="4">
        <v>43831.0</v>
      </c>
      <c r="I169" s="4">
        <v>46204.0</v>
      </c>
      <c r="J169" s="4">
        <v>46227.0</v>
      </c>
      <c r="K169" s="3" t="s">
        <v>19</v>
      </c>
      <c r="L169" s="3" t="s">
        <v>20</v>
      </c>
      <c r="M169" s="5">
        <v>29.41</v>
      </c>
      <c r="N169" s="3" t="s">
        <v>310</v>
      </c>
      <c r="O169" s="3" t="s">
        <v>311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50</v>
      </c>
      <c r="B170" s="3">
        <v>1.7528908E7</v>
      </c>
      <c r="C170" s="3" t="s">
        <v>82</v>
      </c>
      <c r="D170" s="3" t="s">
        <v>390</v>
      </c>
      <c r="E170" s="3" t="str">
        <f t="shared" si="1"/>
        <v>William Hirtz</v>
      </c>
      <c r="F170" s="2">
        <v>56860.0</v>
      </c>
      <c r="G170" s="2" t="str">
        <f t="shared" si="5"/>
        <v>5686055</v>
      </c>
      <c r="H170" s="4">
        <v>43647.0</v>
      </c>
      <c r="I170" s="4">
        <v>46204.0</v>
      </c>
      <c r="J170" s="4">
        <v>46227.0</v>
      </c>
      <c r="K170" s="3" t="s">
        <v>19</v>
      </c>
      <c r="L170" s="3" t="s">
        <v>20</v>
      </c>
      <c r="M170" s="5">
        <v>29.41</v>
      </c>
      <c r="N170" s="3" t="s">
        <v>310</v>
      </c>
      <c r="O170" s="3" t="s">
        <v>311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50</v>
      </c>
      <c r="B171" s="3">
        <v>1.7528908E7</v>
      </c>
      <c r="C171" s="3" t="s">
        <v>317</v>
      </c>
      <c r="D171" s="3" t="s">
        <v>318</v>
      </c>
      <c r="E171" s="3" t="str">
        <f t="shared" si="1"/>
        <v>Dawnelle Shrawder</v>
      </c>
      <c r="F171" s="2">
        <v>44740.0</v>
      </c>
      <c r="G171" s="2" t="str">
        <f t="shared" si="5"/>
        <v>4474055</v>
      </c>
      <c r="H171" s="4">
        <v>43497.0</v>
      </c>
      <c r="I171" s="4">
        <v>46204.0</v>
      </c>
      <c r="J171" s="4">
        <v>46227.0</v>
      </c>
      <c r="K171" s="3" t="s">
        <v>19</v>
      </c>
      <c r="L171" s="3" t="s">
        <v>20</v>
      </c>
      <c r="M171" s="5">
        <v>29.41</v>
      </c>
      <c r="N171" s="3" t="s">
        <v>310</v>
      </c>
      <c r="O171" s="3" t="s">
        <v>311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50</v>
      </c>
      <c r="B172" s="3">
        <v>1.7528908E7</v>
      </c>
      <c r="C172" s="3" t="s">
        <v>105</v>
      </c>
      <c r="D172" s="3" t="s">
        <v>353</v>
      </c>
      <c r="E172" s="3" t="str">
        <f t="shared" si="1"/>
        <v>Judith Weider</v>
      </c>
      <c r="F172" s="2">
        <v>98770.0</v>
      </c>
      <c r="G172" s="2" t="str">
        <f t="shared" si="5"/>
        <v>9877055</v>
      </c>
      <c r="H172" s="4">
        <v>42401.0</v>
      </c>
      <c r="I172" s="4">
        <v>46204.0</v>
      </c>
      <c r="J172" s="4">
        <v>46227.0</v>
      </c>
      <c r="K172" s="3" t="s">
        <v>19</v>
      </c>
      <c r="L172" s="3" t="s">
        <v>20</v>
      </c>
      <c r="M172" s="5">
        <v>29.41</v>
      </c>
      <c r="N172" s="3" t="s">
        <v>310</v>
      </c>
      <c r="O172" s="3" t="s">
        <v>311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50</v>
      </c>
      <c r="B173" s="3">
        <v>1.7528908E7</v>
      </c>
      <c r="C173" s="3" t="s">
        <v>122</v>
      </c>
      <c r="D173" s="3" t="s">
        <v>345</v>
      </c>
      <c r="E173" s="3" t="str">
        <f t="shared" si="1"/>
        <v>Patricia Wauthier</v>
      </c>
      <c r="F173" s="2">
        <v>11170.0</v>
      </c>
      <c r="G173" s="2" t="str">
        <f t="shared" si="5"/>
        <v>1117055</v>
      </c>
      <c r="H173" s="4">
        <v>42370.0</v>
      </c>
      <c r="I173" s="4">
        <v>46204.0</v>
      </c>
      <c r="J173" s="4">
        <v>46227.0</v>
      </c>
      <c r="K173" s="3" t="s">
        <v>19</v>
      </c>
      <c r="L173" s="3" t="s">
        <v>20</v>
      </c>
      <c r="M173" s="5">
        <v>29.41</v>
      </c>
      <c r="N173" s="3" t="s">
        <v>310</v>
      </c>
      <c r="O173" s="3" t="s">
        <v>311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34</v>
      </c>
      <c r="B174" s="3">
        <v>1.5278437E7</v>
      </c>
      <c r="C174" s="3" t="s">
        <v>40</v>
      </c>
      <c r="D174" s="3" t="s">
        <v>41</v>
      </c>
      <c r="E174" s="3" t="str">
        <f t="shared" si="1"/>
        <v>John Sheridan</v>
      </c>
      <c r="F174" s="2">
        <v>5120.0</v>
      </c>
      <c r="G174" s="2" t="str">
        <f t="shared" si="5"/>
        <v>512055</v>
      </c>
      <c r="H174" s="4">
        <v>45170.0</v>
      </c>
      <c r="I174" s="4">
        <v>46204.0</v>
      </c>
      <c r="J174" s="4">
        <v>46227.0</v>
      </c>
      <c r="K174" s="3" t="s">
        <v>19</v>
      </c>
      <c r="L174" s="3" t="s">
        <v>20</v>
      </c>
      <c r="M174" s="5">
        <v>29.41</v>
      </c>
      <c r="N174" s="3" t="s">
        <v>310</v>
      </c>
      <c r="O174" s="3" t="s">
        <v>311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34</v>
      </c>
      <c r="B175" s="3">
        <v>1.5278437E7</v>
      </c>
      <c r="C175" s="3" t="s">
        <v>35</v>
      </c>
      <c r="D175" s="3" t="s">
        <v>36</v>
      </c>
      <c r="E175" s="3" t="str">
        <f t="shared" si="1"/>
        <v>Harvey Glantz</v>
      </c>
      <c r="F175" s="2">
        <v>81810.0</v>
      </c>
      <c r="G175" s="2" t="str">
        <f t="shared" si="5"/>
        <v>8181055</v>
      </c>
      <c r="H175" s="4">
        <v>45292.0</v>
      </c>
      <c r="I175" s="4">
        <v>46204.0</v>
      </c>
      <c r="J175" s="4">
        <v>46227.0</v>
      </c>
      <c r="K175" s="3" t="s">
        <v>19</v>
      </c>
      <c r="L175" s="3" t="s">
        <v>20</v>
      </c>
      <c r="M175" s="5">
        <v>29.41</v>
      </c>
      <c r="N175" s="3" t="s">
        <v>310</v>
      </c>
      <c r="O175" s="3" t="s">
        <v>311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509</v>
      </c>
      <c r="B176" s="3">
        <v>2.1618313E7</v>
      </c>
      <c r="C176" s="3" t="s">
        <v>139</v>
      </c>
      <c r="D176" s="3" t="s">
        <v>510</v>
      </c>
      <c r="E176" s="3" t="str">
        <f t="shared" si="1"/>
        <v>David Yoder</v>
      </c>
      <c r="F176" s="2">
        <v>14390.0</v>
      </c>
      <c r="G176" s="2" t="str">
        <f t="shared" si="5"/>
        <v>1439055</v>
      </c>
      <c r="H176" s="4">
        <v>45931.0</v>
      </c>
      <c r="I176" s="4">
        <v>46204.0</v>
      </c>
      <c r="J176" s="4">
        <v>46227.0</v>
      </c>
      <c r="K176" s="3" t="s">
        <v>19</v>
      </c>
      <c r="L176" s="3" t="s">
        <v>20</v>
      </c>
      <c r="M176" s="5">
        <v>29.41</v>
      </c>
      <c r="N176" s="3" t="s">
        <v>310</v>
      </c>
      <c r="O176" s="3" t="s">
        <v>311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509</v>
      </c>
      <c r="B177" s="3">
        <v>2.1618313E7</v>
      </c>
      <c r="C177" s="3" t="s">
        <v>171</v>
      </c>
      <c r="D177" s="3" t="s">
        <v>512</v>
      </c>
      <c r="E177" s="3" t="str">
        <f t="shared" si="1"/>
        <v>Diane Brackbill</v>
      </c>
      <c r="F177" s="2">
        <v>87700.0</v>
      </c>
      <c r="G177" s="2" t="str">
        <f t="shared" si="5"/>
        <v>8770055</v>
      </c>
      <c r="H177" s="4">
        <v>45901.0</v>
      </c>
      <c r="I177" s="4">
        <v>46204.0</v>
      </c>
      <c r="J177" s="4">
        <v>46227.0</v>
      </c>
      <c r="K177" s="3" t="s">
        <v>19</v>
      </c>
      <c r="L177" s="3" t="s">
        <v>20</v>
      </c>
      <c r="M177" s="5">
        <v>29.41</v>
      </c>
      <c r="N177" s="3" t="s">
        <v>310</v>
      </c>
      <c r="O177" s="3" t="s">
        <v>311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6" t="s">
        <v>266</v>
      </c>
      <c r="B178" s="6" t="s">
        <v>268</v>
      </c>
      <c r="C178" s="6" t="s">
        <v>133</v>
      </c>
      <c r="D178" s="6" t="s">
        <v>270</v>
      </c>
      <c r="E178" s="3" t="str">
        <f t="shared" si="1"/>
        <v>Michael Marquardt</v>
      </c>
      <c r="F178" s="11">
        <v>9600.0</v>
      </c>
      <c r="G178" s="2" t="str">
        <f t="shared" si="5"/>
        <v>960055</v>
      </c>
      <c r="H178" s="12">
        <v>46204.0</v>
      </c>
      <c r="I178" s="12">
        <v>46235.0</v>
      </c>
      <c r="J178" s="12">
        <v>46227.0</v>
      </c>
      <c r="K178" s="6" t="s">
        <v>19</v>
      </c>
      <c r="L178" s="6" t="s">
        <v>239</v>
      </c>
      <c r="M178" s="13">
        <v>-176.5</v>
      </c>
      <c r="N178" s="6" t="s">
        <v>310</v>
      </c>
      <c r="O178" s="6" t="s">
        <v>472</v>
      </c>
      <c r="P178" s="6"/>
      <c r="Q178" s="13">
        <v>528.5</v>
      </c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266</v>
      </c>
      <c r="B179" s="3" t="s">
        <v>268</v>
      </c>
      <c r="C179" s="3" t="s">
        <v>40</v>
      </c>
      <c r="D179" s="3" t="s">
        <v>485</v>
      </c>
      <c r="E179" s="3" t="str">
        <f t="shared" si="1"/>
        <v>John Rosa</v>
      </c>
      <c r="F179" s="2">
        <v>1760.0</v>
      </c>
      <c r="G179" s="2" t="str">
        <f t="shared" si="5"/>
        <v>176055</v>
      </c>
      <c r="H179" s="4">
        <v>46023.0</v>
      </c>
      <c r="I179" s="4">
        <v>46204.0</v>
      </c>
      <c r="J179" s="4">
        <v>46227.0</v>
      </c>
      <c r="K179" s="3" t="s">
        <v>19</v>
      </c>
      <c r="L179" s="3" t="s">
        <v>487</v>
      </c>
      <c r="M179" s="5">
        <v>-353.0</v>
      </c>
      <c r="N179" s="3" t="s">
        <v>310</v>
      </c>
      <c r="O179" s="3" t="s">
        <v>623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266</v>
      </c>
      <c r="B180" s="3" t="s">
        <v>268</v>
      </c>
      <c r="C180" s="3" t="s">
        <v>461</v>
      </c>
      <c r="D180" s="3" t="s">
        <v>462</v>
      </c>
      <c r="E180" s="3" t="str">
        <f t="shared" si="1"/>
        <v>Carl Overly</v>
      </c>
      <c r="F180" s="2">
        <v>95310.0</v>
      </c>
      <c r="G180" s="2" t="str">
        <f t="shared" si="5"/>
        <v>9531055</v>
      </c>
      <c r="H180" s="4">
        <v>45962.0</v>
      </c>
      <c r="I180" s="4">
        <v>46204.0</v>
      </c>
      <c r="J180" s="4">
        <v>46227.0</v>
      </c>
      <c r="K180" s="3" t="s">
        <v>19</v>
      </c>
      <c r="L180" s="3" t="s">
        <v>20</v>
      </c>
      <c r="M180" s="5">
        <v>29.41</v>
      </c>
      <c r="N180" s="3" t="s">
        <v>310</v>
      </c>
      <c r="O180" s="3" t="s">
        <v>311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266</v>
      </c>
      <c r="B181" s="3" t="s">
        <v>268</v>
      </c>
      <c r="C181" s="3" t="s">
        <v>458</v>
      </c>
      <c r="D181" s="3" t="s">
        <v>459</v>
      </c>
      <c r="E181" s="3" t="str">
        <f t="shared" si="1"/>
        <v>Martha Tapia Solorio</v>
      </c>
      <c r="F181" s="2">
        <v>19030.0</v>
      </c>
      <c r="G181" s="2" t="str">
        <f t="shared" si="5"/>
        <v>1903055</v>
      </c>
      <c r="H181" s="4">
        <v>45839.0</v>
      </c>
      <c r="I181" s="4">
        <v>46204.0</v>
      </c>
      <c r="J181" s="4">
        <v>46227.0</v>
      </c>
      <c r="K181" s="3" t="s">
        <v>19</v>
      </c>
      <c r="L181" s="3" t="s">
        <v>20</v>
      </c>
      <c r="M181" s="5">
        <v>29.41</v>
      </c>
      <c r="N181" s="3" t="s">
        <v>310</v>
      </c>
      <c r="O181" s="3" t="s">
        <v>311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266</v>
      </c>
      <c r="B182" s="3" t="s">
        <v>268</v>
      </c>
      <c r="C182" s="3" t="s">
        <v>451</v>
      </c>
      <c r="D182" s="3" t="s">
        <v>452</v>
      </c>
      <c r="E182" s="3" t="str">
        <f t="shared" si="1"/>
        <v>Terence Jacob</v>
      </c>
      <c r="F182" s="2">
        <v>67170.0</v>
      </c>
      <c r="G182" s="2" t="str">
        <f t="shared" si="5"/>
        <v>6717055</v>
      </c>
      <c r="H182" s="4">
        <v>45778.0</v>
      </c>
      <c r="I182" s="4">
        <v>46204.0</v>
      </c>
      <c r="J182" s="4">
        <v>46227.0</v>
      </c>
      <c r="K182" s="3" t="s">
        <v>19</v>
      </c>
      <c r="L182" s="3" t="s">
        <v>20</v>
      </c>
      <c r="M182" s="5">
        <v>29.41</v>
      </c>
      <c r="N182" s="3" t="s">
        <v>310</v>
      </c>
      <c r="O182" s="3" t="s">
        <v>311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266</v>
      </c>
      <c r="B183" s="3">
        <v>1.871007E7</v>
      </c>
      <c r="C183" s="3" t="s">
        <v>442</v>
      </c>
      <c r="D183" s="3" t="s">
        <v>443</v>
      </c>
      <c r="E183" s="3" t="str">
        <f t="shared" si="1"/>
        <v>Eleta Rupp</v>
      </c>
      <c r="F183" s="2">
        <v>58650.0</v>
      </c>
      <c r="G183" s="2" t="str">
        <f t="shared" si="5"/>
        <v>5865055</v>
      </c>
      <c r="H183" s="4">
        <v>45658.0</v>
      </c>
      <c r="I183" s="4">
        <v>46204.0</v>
      </c>
      <c r="J183" s="4">
        <v>46227.0</v>
      </c>
      <c r="K183" s="3" t="s">
        <v>19</v>
      </c>
      <c r="L183" s="3" t="s">
        <v>20</v>
      </c>
      <c r="M183" s="5">
        <v>29.41</v>
      </c>
      <c r="N183" s="3" t="s">
        <v>310</v>
      </c>
      <c r="O183" s="3" t="s">
        <v>311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266</v>
      </c>
      <c r="B184" s="3">
        <v>1.871007E7</v>
      </c>
      <c r="C184" s="3" t="s">
        <v>281</v>
      </c>
      <c r="D184" s="3" t="s">
        <v>456</v>
      </c>
      <c r="E184" s="3" t="str">
        <f t="shared" si="1"/>
        <v>Ronald Romano</v>
      </c>
      <c r="F184" s="2">
        <v>99920.0</v>
      </c>
      <c r="G184" s="2" t="str">
        <f t="shared" si="5"/>
        <v>9992055</v>
      </c>
      <c r="H184" s="4">
        <v>45108.0</v>
      </c>
      <c r="I184" s="4">
        <v>46204.0</v>
      </c>
      <c r="J184" s="4">
        <v>46227.0</v>
      </c>
      <c r="K184" s="3" t="s">
        <v>19</v>
      </c>
      <c r="L184" s="3" t="s">
        <v>20</v>
      </c>
      <c r="M184" s="5">
        <v>29.41</v>
      </c>
      <c r="N184" s="3" t="s">
        <v>310</v>
      </c>
      <c r="O184" s="3" t="s">
        <v>311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266</v>
      </c>
      <c r="B185" s="3">
        <v>1.871007E7</v>
      </c>
      <c r="C185" s="3" t="s">
        <v>333</v>
      </c>
      <c r="D185" s="3" t="s">
        <v>448</v>
      </c>
      <c r="E185" s="3" t="str">
        <f t="shared" si="1"/>
        <v>Susan Hoffman</v>
      </c>
      <c r="F185" s="2">
        <v>96280.0</v>
      </c>
      <c r="G185" s="2" t="str">
        <f t="shared" si="5"/>
        <v>9628055</v>
      </c>
      <c r="H185" s="4">
        <v>44927.0</v>
      </c>
      <c r="I185" s="4">
        <v>46204.0</v>
      </c>
      <c r="J185" s="4">
        <v>46227.0</v>
      </c>
      <c r="K185" s="3" t="s">
        <v>19</v>
      </c>
      <c r="L185" s="3" t="s">
        <v>20</v>
      </c>
      <c r="M185" s="5">
        <v>29.41</v>
      </c>
      <c r="N185" s="3" t="s">
        <v>310</v>
      </c>
      <c r="O185" s="3" t="s">
        <v>311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266</v>
      </c>
      <c r="B186" s="3">
        <v>1.871007E7</v>
      </c>
      <c r="C186" s="3" t="s">
        <v>176</v>
      </c>
      <c r="D186" s="3" t="s">
        <v>448</v>
      </c>
      <c r="E186" s="3" t="str">
        <f t="shared" si="1"/>
        <v>Kevin Hoffman</v>
      </c>
      <c r="F186" s="2">
        <v>87560.0</v>
      </c>
      <c r="G186" s="2" t="str">
        <f t="shared" si="5"/>
        <v>8756055</v>
      </c>
      <c r="H186" s="4">
        <v>44593.0</v>
      </c>
      <c r="I186" s="4">
        <v>46204.0</v>
      </c>
      <c r="J186" s="4">
        <v>46227.0</v>
      </c>
      <c r="K186" s="3" t="s">
        <v>19</v>
      </c>
      <c r="L186" s="3" t="s">
        <v>20</v>
      </c>
      <c r="M186" s="5">
        <v>29.41</v>
      </c>
      <c r="N186" s="3" t="s">
        <v>310</v>
      </c>
      <c r="O186" s="3" t="s">
        <v>311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266</v>
      </c>
      <c r="B187" s="3">
        <v>1.871007E7</v>
      </c>
      <c r="C187" s="3" t="s">
        <v>445</v>
      </c>
      <c r="D187" s="3" t="s">
        <v>446</v>
      </c>
      <c r="E187" s="3" t="str">
        <f t="shared" si="1"/>
        <v>Daniel Burkleca</v>
      </c>
      <c r="F187" s="2">
        <v>12950.0</v>
      </c>
      <c r="G187" s="2" t="str">
        <f t="shared" si="5"/>
        <v>1295055</v>
      </c>
      <c r="H187" s="4">
        <v>43101.0</v>
      </c>
      <c r="I187" s="4">
        <v>46204.0</v>
      </c>
      <c r="J187" s="4">
        <v>46227.0</v>
      </c>
      <c r="K187" s="3" t="s">
        <v>19</v>
      </c>
      <c r="L187" s="3" t="s">
        <v>20</v>
      </c>
      <c r="M187" s="5">
        <v>29.41</v>
      </c>
      <c r="N187" s="3" t="s">
        <v>310</v>
      </c>
      <c r="O187" s="3" t="s">
        <v>311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488</v>
      </c>
      <c r="B188" s="3">
        <v>1.879474E7</v>
      </c>
      <c r="C188" s="3" t="s">
        <v>497</v>
      </c>
      <c r="D188" s="3" t="s">
        <v>498</v>
      </c>
      <c r="E188" s="3" t="str">
        <f t="shared" si="1"/>
        <v>Rafael Rosario</v>
      </c>
      <c r="F188" s="2">
        <v>2060.0</v>
      </c>
      <c r="G188" s="2" t="str">
        <f t="shared" si="5"/>
        <v>206055</v>
      </c>
      <c r="H188" s="4">
        <v>45658.0</v>
      </c>
      <c r="I188" s="4">
        <v>46204.0</v>
      </c>
      <c r="J188" s="4">
        <v>46227.0</v>
      </c>
      <c r="K188" s="3" t="s">
        <v>19</v>
      </c>
      <c r="L188" s="3" t="s">
        <v>20</v>
      </c>
      <c r="M188" s="5">
        <v>29.41</v>
      </c>
      <c r="N188" s="3" t="s">
        <v>310</v>
      </c>
      <c r="O188" s="3" t="s">
        <v>311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488</v>
      </c>
      <c r="B189" s="3">
        <v>1.879474E7</v>
      </c>
      <c r="C189" s="3" t="s">
        <v>492</v>
      </c>
      <c r="D189" s="3" t="s">
        <v>493</v>
      </c>
      <c r="E189" s="3" t="str">
        <f t="shared" si="1"/>
        <v>Bryon Rohrbach</v>
      </c>
      <c r="F189" s="2">
        <v>30500.0</v>
      </c>
      <c r="G189" s="2" t="str">
        <f t="shared" si="5"/>
        <v>3050055</v>
      </c>
      <c r="H189" s="4">
        <v>45292.0</v>
      </c>
      <c r="I189" s="4">
        <v>46204.0</v>
      </c>
      <c r="J189" s="4">
        <v>46227.0</v>
      </c>
      <c r="K189" s="3" t="s">
        <v>19</v>
      </c>
      <c r="L189" s="3" t="s">
        <v>20</v>
      </c>
      <c r="M189" s="5">
        <v>29.41</v>
      </c>
      <c r="N189" s="3" t="s">
        <v>310</v>
      </c>
      <c r="O189" s="3" t="s">
        <v>311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488</v>
      </c>
      <c r="B190" s="3">
        <v>1.879474E7</v>
      </c>
      <c r="C190" s="3" t="s">
        <v>499</v>
      </c>
      <c r="D190" s="3" t="s">
        <v>500</v>
      </c>
      <c r="E190" s="3" t="str">
        <f t="shared" si="1"/>
        <v>Halimah Sou</v>
      </c>
      <c r="F190" s="2">
        <v>35180.0</v>
      </c>
      <c r="G190" s="2" t="str">
        <f t="shared" si="5"/>
        <v>3518055</v>
      </c>
      <c r="H190" s="4">
        <v>45292.0</v>
      </c>
      <c r="I190" s="4">
        <v>46204.0</v>
      </c>
      <c r="J190" s="4">
        <v>46227.0</v>
      </c>
      <c r="K190" s="3" t="s">
        <v>19</v>
      </c>
      <c r="L190" s="3" t="s">
        <v>20</v>
      </c>
      <c r="M190" s="5">
        <v>29.41</v>
      </c>
      <c r="N190" s="3" t="s">
        <v>310</v>
      </c>
      <c r="O190" s="3" t="s">
        <v>311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488</v>
      </c>
      <c r="B191" s="3">
        <v>1.879474E7</v>
      </c>
      <c r="C191" s="3" t="s">
        <v>495</v>
      </c>
      <c r="D191" s="3" t="s">
        <v>493</v>
      </c>
      <c r="E191" s="3" t="str">
        <f t="shared" si="1"/>
        <v>Eileen Rohrbach</v>
      </c>
      <c r="F191" s="2">
        <v>48470.0</v>
      </c>
      <c r="G191" s="2" t="str">
        <f t="shared" si="5"/>
        <v>4847055</v>
      </c>
      <c r="H191" s="4">
        <v>45292.0</v>
      </c>
      <c r="I191" s="4">
        <v>46204.0</v>
      </c>
      <c r="J191" s="4">
        <v>46227.0</v>
      </c>
      <c r="K191" s="3" t="s">
        <v>19</v>
      </c>
      <c r="L191" s="3" t="s">
        <v>20</v>
      </c>
      <c r="M191" s="5">
        <v>29.41</v>
      </c>
      <c r="N191" s="3" t="s">
        <v>310</v>
      </c>
      <c r="O191" s="3" t="s">
        <v>311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488</v>
      </c>
      <c r="B192" s="3">
        <v>1.879474E7</v>
      </c>
      <c r="C192" s="3" t="s">
        <v>489</v>
      </c>
      <c r="D192" s="3" t="s">
        <v>490</v>
      </c>
      <c r="E192" s="3" t="str">
        <f t="shared" si="1"/>
        <v>Sami Azar</v>
      </c>
      <c r="F192" s="2">
        <v>58970.0</v>
      </c>
      <c r="G192" s="2" t="str">
        <f t="shared" si="5"/>
        <v>5897055</v>
      </c>
      <c r="H192" s="4">
        <v>45566.0</v>
      </c>
      <c r="I192" s="4">
        <v>46204.0</v>
      </c>
      <c r="J192" s="4">
        <v>46227.0</v>
      </c>
      <c r="K192" s="3" t="s">
        <v>19</v>
      </c>
      <c r="L192" s="3" t="s">
        <v>20</v>
      </c>
      <c r="M192" s="5">
        <v>29.41</v>
      </c>
      <c r="N192" s="3" t="s">
        <v>310</v>
      </c>
      <c r="O192" s="3" t="s">
        <v>311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488</v>
      </c>
      <c r="B193" s="3">
        <v>1.879474E7</v>
      </c>
      <c r="C193" s="3" t="s">
        <v>60</v>
      </c>
      <c r="D193" s="3" t="s">
        <v>505</v>
      </c>
      <c r="E193" s="3" t="str">
        <f t="shared" si="1"/>
        <v>Theresa Kurzawa</v>
      </c>
      <c r="F193" s="2">
        <v>72960.0</v>
      </c>
      <c r="G193" s="2" t="str">
        <f t="shared" si="5"/>
        <v>7296055</v>
      </c>
      <c r="H193" s="4">
        <v>45689.0</v>
      </c>
      <c r="I193" s="4">
        <v>46204.0</v>
      </c>
      <c r="J193" s="4">
        <v>46227.0</v>
      </c>
      <c r="K193" s="3" t="s">
        <v>19</v>
      </c>
      <c r="L193" s="3" t="s">
        <v>20</v>
      </c>
      <c r="M193" s="5">
        <v>29.41</v>
      </c>
      <c r="N193" s="3" t="s">
        <v>310</v>
      </c>
      <c r="O193" s="3" t="s">
        <v>311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488</v>
      </c>
      <c r="B194" s="3">
        <v>1.879474E7</v>
      </c>
      <c r="C194" s="3" t="s">
        <v>122</v>
      </c>
      <c r="D194" s="3" t="s">
        <v>502</v>
      </c>
      <c r="E194" s="3" t="str">
        <f t="shared" si="1"/>
        <v>Patricia Wynn</v>
      </c>
      <c r="F194" s="2">
        <v>84430.0</v>
      </c>
      <c r="G194" s="2" t="str">
        <f t="shared" si="5"/>
        <v>8443055</v>
      </c>
      <c r="H194" s="4">
        <v>45292.0</v>
      </c>
      <c r="I194" s="4">
        <v>46204.0</v>
      </c>
      <c r="J194" s="4">
        <v>46227.0</v>
      </c>
      <c r="K194" s="3" t="s">
        <v>19</v>
      </c>
      <c r="L194" s="3" t="s">
        <v>20</v>
      </c>
      <c r="M194" s="5">
        <v>29.41</v>
      </c>
      <c r="N194" s="3" t="s">
        <v>310</v>
      </c>
      <c r="O194" s="3" t="s">
        <v>311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488</v>
      </c>
      <c r="B195" s="3">
        <v>1.879474E7</v>
      </c>
      <c r="C195" s="3" t="s">
        <v>347</v>
      </c>
      <c r="D195" s="3" t="s">
        <v>502</v>
      </c>
      <c r="E195" s="3" t="str">
        <f t="shared" si="1"/>
        <v>Donald Wynn</v>
      </c>
      <c r="F195" s="2">
        <v>94530.0</v>
      </c>
      <c r="G195" s="2" t="str">
        <f t="shared" si="5"/>
        <v>9453055</v>
      </c>
      <c r="H195" s="4">
        <v>45292.0</v>
      </c>
      <c r="I195" s="4">
        <v>46204.0</v>
      </c>
      <c r="J195" s="4">
        <v>46227.0</v>
      </c>
      <c r="K195" s="3" t="s">
        <v>19</v>
      </c>
      <c r="L195" s="3" t="s">
        <v>20</v>
      </c>
      <c r="M195" s="5">
        <v>29.41</v>
      </c>
      <c r="N195" s="3" t="s">
        <v>310</v>
      </c>
      <c r="O195" s="3" t="s">
        <v>311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6" t="s">
        <v>11</v>
      </c>
      <c r="B196" s="6" t="s">
        <v>284</v>
      </c>
      <c r="C196" s="6" t="s">
        <v>43</v>
      </c>
      <c r="D196" s="6" t="s">
        <v>285</v>
      </c>
      <c r="E196" s="3" t="str">
        <f t="shared" si="1"/>
        <v>Joseph Grieco</v>
      </c>
      <c r="F196" s="11">
        <v>78130.0</v>
      </c>
      <c r="G196" s="2" t="str">
        <f t="shared" si="5"/>
        <v>7813055</v>
      </c>
      <c r="H196" s="12">
        <v>46204.0</v>
      </c>
      <c r="I196" s="12">
        <v>46235.0</v>
      </c>
      <c r="J196" s="12">
        <v>46227.0</v>
      </c>
      <c r="K196" s="6" t="s">
        <v>19</v>
      </c>
      <c r="L196" s="6" t="s">
        <v>239</v>
      </c>
      <c r="M196" s="13">
        <v>-176.5</v>
      </c>
      <c r="N196" s="6" t="s">
        <v>310</v>
      </c>
      <c r="O196" s="6" t="s">
        <v>472</v>
      </c>
      <c r="P196" s="6">
        <v>176.5</v>
      </c>
      <c r="Q196" s="13">
        <v>528.5</v>
      </c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11</v>
      </c>
      <c r="B197" s="3" t="s">
        <v>284</v>
      </c>
      <c r="C197" s="3" t="s">
        <v>21</v>
      </c>
      <c r="D197" s="3" t="s">
        <v>22</v>
      </c>
      <c r="E197" s="3" t="str">
        <f t="shared" si="1"/>
        <v>Karen Rush</v>
      </c>
      <c r="F197" s="2">
        <v>87660.0</v>
      </c>
      <c r="G197" s="2" t="str">
        <f t="shared" si="5"/>
        <v>8766055</v>
      </c>
      <c r="H197" s="4">
        <v>45748.0</v>
      </c>
      <c r="I197" s="4">
        <v>46204.0</v>
      </c>
      <c r="J197" s="4">
        <v>46227.0</v>
      </c>
      <c r="K197" s="3" t="s">
        <v>19</v>
      </c>
      <c r="L197" s="3" t="s">
        <v>20</v>
      </c>
      <c r="M197" s="5">
        <v>29.41</v>
      </c>
      <c r="N197" s="3" t="s">
        <v>310</v>
      </c>
      <c r="O197" s="3" t="s">
        <v>311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11</v>
      </c>
      <c r="B198" s="3">
        <v>8971826.0</v>
      </c>
      <c r="C198" s="3" t="s">
        <v>13</v>
      </c>
      <c r="D198" s="3" t="s">
        <v>14</v>
      </c>
      <c r="E198" s="3" t="str">
        <f t="shared" si="1"/>
        <v>Suzanne Botta</v>
      </c>
      <c r="F198" s="2">
        <v>73190.0</v>
      </c>
      <c r="G198" s="2" t="str">
        <f t="shared" si="5"/>
        <v>7319055</v>
      </c>
      <c r="H198" s="4">
        <v>45474.0</v>
      </c>
      <c r="I198" s="4">
        <v>46204.0</v>
      </c>
      <c r="J198" s="4">
        <v>46227.0</v>
      </c>
      <c r="K198" s="3" t="s">
        <v>19</v>
      </c>
      <c r="L198" s="3" t="s">
        <v>20</v>
      </c>
      <c r="M198" s="5">
        <v>29.41</v>
      </c>
      <c r="N198" s="3" t="s">
        <v>310</v>
      </c>
      <c r="O198" s="3" t="s">
        <v>311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6" t="s">
        <v>524</v>
      </c>
      <c r="B199" s="6" t="s">
        <v>624</v>
      </c>
      <c r="C199" s="6" t="s">
        <v>527</v>
      </c>
      <c r="D199" s="6" t="s">
        <v>528</v>
      </c>
      <c r="E199" s="3" t="str">
        <f t="shared" si="1"/>
        <v>Adam Bottenfield</v>
      </c>
      <c r="F199" s="11">
        <v>310.0</v>
      </c>
      <c r="G199" s="11" t="str">
        <f t="shared" ref="G199:G421" si="6">CONCATENATE(F199,"OVR")</f>
        <v>310OVR</v>
      </c>
      <c r="H199" s="12">
        <v>45992.0</v>
      </c>
      <c r="I199" s="12">
        <v>46204.0</v>
      </c>
      <c r="J199" s="12">
        <v>46227.0</v>
      </c>
      <c r="K199" s="6" t="s">
        <v>19</v>
      </c>
      <c r="L199" s="6" t="s">
        <v>515</v>
      </c>
      <c r="M199" s="13">
        <v>7.81</v>
      </c>
      <c r="N199" s="6" t="s">
        <v>625</v>
      </c>
      <c r="O199" s="6"/>
      <c r="P199" s="6"/>
      <c r="Q199" s="6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6" t="s">
        <v>50</v>
      </c>
      <c r="B200" s="6" t="s">
        <v>626</v>
      </c>
      <c r="C200" s="6" t="s">
        <v>105</v>
      </c>
      <c r="D200" s="6" t="s">
        <v>106</v>
      </c>
      <c r="E200" s="3" t="str">
        <f t="shared" si="1"/>
        <v>Judith Black</v>
      </c>
      <c r="F200" s="11">
        <v>350.0</v>
      </c>
      <c r="G200" s="11" t="str">
        <f t="shared" si="6"/>
        <v>350OVR</v>
      </c>
      <c r="H200" s="12">
        <v>45292.0</v>
      </c>
      <c r="I200" s="12">
        <v>46204.0</v>
      </c>
      <c r="J200" s="12">
        <v>46227.0</v>
      </c>
      <c r="K200" s="6" t="s">
        <v>19</v>
      </c>
      <c r="L200" s="6" t="s">
        <v>515</v>
      </c>
      <c r="M200" s="13">
        <v>5.2</v>
      </c>
      <c r="N200" s="6" t="s">
        <v>625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 t="s">
        <v>50</v>
      </c>
      <c r="B201" s="6" t="s">
        <v>626</v>
      </c>
      <c r="C201" s="6" t="s">
        <v>82</v>
      </c>
      <c r="D201" s="6" t="s">
        <v>358</v>
      </c>
      <c r="E201" s="3" t="str">
        <f t="shared" si="1"/>
        <v>William Worms</v>
      </c>
      <c r="F201" s="11">
        <v>680.0</v>
      </c>
      <c r="G201" s="11" t="str">
        <f t="shared" si="6"/>
        <v>680OVR</v>
      </c>
      <c r="H201" s="12">
        <v>45474.0</v>
      </c>
      <c r="I201" s="12">
        <v>46204.0</v>
      </c>
      <c r="J201" s="12">
        <v>46227.0</v>
      </c>
      <c r="K201" s="6" t="s">
        <v>19</v>
      </c>
      <c r="L201" s="6" t="s">
        <v>514</v>
      </c>
      <c r="M201" s="13">
        <v>6.04</v>
      </c>
      <c r="N201" s="6" t="s">
        <v>625</v>
      </c>
      <c r="O201" s="6"/>
      <c r="P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 t="s">
        <v>50</v>
      </c>
      <c r="B202" s="6" t="s">
        <v>626</v>
      </c>
      <c r="C202" s="6" t="s">
        <v>336</v>
      </c>
      <c r="D202" s="6" t="s">
        <v>337</v>
      </c>
      <c r="E202" s="3" t="str">
        <f t="shared" si="1"/>
        <v>Cathleen Thurston</v>
      </c>
      <c r="F202" s="11">
        <v>730.0</v>
      </c>
      <c r="G202" s="11" t="str">
        <f t="shared" si="6"/>
        <v>730OVR</v>
      </c>
      <c r="H202" s="12">
        <v>45383.0</v>
      </c>
      <c r="I202" s="12">
        <v>46204.0</v>
      </c>
      <c r="J202" s="12">
        <v>46227.0</v>
      </c>
      <c r="K202" s="6" t="s">
        <v>19</v>
      </c>
      <c r="L202" s="6" t="s">
        <v>514</v>
      </c>
      <c r="M202" s="13">
        <v>6.04</v>
      </c>
      <c r="N202" s="6" t="s">
        <v>625</v>
      </c>
      <c r="O202" s="6"/>
      <c r="P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 t="s">
        <v>50</v>
      </c>
      <c r="B203" s="6" t="s">
        <v>626</v>
      </c>
      <c r="C203" s="6" t="s">
        <v>88</v>
      </c>
      <c r="D203" s="6" t="s">
        <v>89</v>
      </c>
      <c r="E203" s="3" t="str">
        <f t="shared" si="1"/>
        <v>Michele Osborne</v>
      </c>
      <c r="F203" s="11">
        <v>1010.0</v>
      </c>
      <c r="G203" s="11" t="str">
        <f t="shared" si="6"/>
        <v>1010OVR</v>
      </c>
      <c r="H203" s="12">
        <v>45931.0</v>
      </c>
      <c r="I203" s="12">
        <v>46204.0</v>
      </c>
      <c r="J203" s="12">
        <v>46227.0</v>
      </c>
      <c r="K203" s="6" t="s">
        <v>19</v>
      </c>
      <c r="L203" s="6" t="s">
        <v>514</v>
      </c>
      <c r="M203" s="13">
        <v>9.06</v>
      </c>
      <c r="N203" s="6" t="s">
        <v>625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 t="s">
        <v>50</v>
      </c>
      <c r="B204" s="6" t="s">
        <v>626</v>
      </c>
      <c r="C204" s="6" t="s">
        <v>160</v>
      </c>
      <c r="D204" s="6" t="s">
        <v>161</v>
      </c>
      <c r="E204" s="3" t="str">
        <f t="shared" si="1"/>
        <v>Veronica Daniels</v>
      </c>
      <c r="F204" s="11">
        <v>1030.0</v>
      </c>
      <c r="G204" s="11" t="str">
        <f t="shared" si="6"/>
        <v>1030OVR</v>
      </c>
      <c r="H204" s="12">
        <v>45108.0</v>
      </c>
      <c r="I204" s="12">
        <v>46204.0</v>
      </c>
      <c r="J204" s="12">
        <v>46227.0</v>
      </c>
      <c r="K204" s="6" t="s">
        <v>19</v>
      </c>
      <c r="L204" s="6" t="s">
        <v>514</v>
      </c>
      <c r="M204" s="13">
        <v>6.04</v>
      </c>
      <c r="N204" s="6" t="s">
        <v>625</v>
      </c>
      <c r="O204" s="6"/>
      <c r="P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 t="s">
        <v>266</v>
      </c>
      <c r="B205" s="6" t="s">
        <v>627</v>
      </c>
      <c r="C205" s="6" t="s">
        <v>40</v>
      </c>
      <c r="D205" s="6" t="s">
        <v>485</v>
      </c>
      <c r="E205" s="3" t="str">
        <f t="shared" si="1"/>
        <v>John Rosa</v>
      </c>
      <c r="F205" s="11">
        <v>1760.0</v>
      </c>
      <c r="G205" s="11" t="str">
        <f t="shared" si="6"/>
        <v>1760OVR</v>
      </c>
      <c r="H205" s="12">
        <v>46023.0</v>
      </c>
      <c r="I205" s="12">
        <v>46204.0</v>
      </c>
      <c r="J205" s="12">
        <v>46227.0</v>
      </c>
      <c r="K205" s="6" t="s">
        <v>19</v>
      </c>
      <c r="L205" s="6" t="s">
        <v>574</v>
      </c>
      <c r="M205" s="13">
        <v>-108.75</v>
      </c>
      <c r="N205" s="6" t="s">
        <v>625</v>
      </c>
      <c r="O205" s="6"/>
      <c r="P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 t="s">
        <v>50</v>
      </c>
      <c r="B206" s="6" t="s">
        <v>626</v>
      </c>
      <c r="C206" s="6" t="s">
        <v>107</v>
      </c>
      <c r="D206" s="6" t="s">
        <v>108</v>
      </c>
      <c r="E206" s="3" t="str">
        <f t="shared" si="1"/>
        <v>Jill Wokutch</v>
      </c>
      <c r="F206" s="11">
        <v>2060.0</v>
      </c>
      <c r="G206" s="11" t="str">
        <f t="shared" si="6"/>
        <v>2060OVR</v>
      </c>
      <c r="H206" s="12">
        <v>45170.0</v>
      </c>
      <c r="I206" s="12">
        <v>46204.0</v>
      </c>
      <c r="J206" s="12">
        <v>46227.0</v>
      </c>
      <c r="K206" s="6" t="s">
        <v>19</v>
      </c>
      <c r="L206" s="6" t="s">
        <v>514</v>
      </c>
      <c r="M206" s="13">
        <v>6.04</v>
      </c>
      <c r="N206" s="6" t="s">
        <v>625</v>
      </c>
      <c r="O206" s="6"/>
      <c r="P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 t="s">
        <v>488</v>
      </c>
      <c r="B207" s="6" t="s">
        <v>628</v>
      </c>
      <c r="C207" s="6" t="s">
        <v>497</v>
      </c>
      <c r="D207" s="6" t="s">
        <v>498</v>
      </c>
      <c r="E207" s="3" t="str">
        <f t="shared" si="1"/>
        <v>Rafael Rosario</v>
      </c>
      <c r="F207" s="11">
        <v>2060.0</v>
      </c>
      <c r="G207" s="11" t="str">
        <f t="shared" si="6"/>
        <v>2060OVR</v>
      </c>
      <c r="H207" s="12">
        <v>45658.0</v>
      </c>
      <c r="I207" s="12">
        <v>46204.0</v>
      </c>
      <c r="J207" s="12">
        <v>46227.0</v>
      </c>
      <c r="K207" s="6" t="s">
        <v>19</v>
      </c>
      <c r="L207" s="6" t="s">
        <v>514</v>
      </c>
      <c r="M207" s="13">
        <v>6.04</v>
      </c>
      <c r="N207" s="6" t="s">
        <v>625</v>
      </c>
      <c r="O207" s="6"/>
      <c r="P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 t="s">
        <v>530</v>
      </c>
      <c r="B208" s="6" t="s">
        <v>629</v>
      </c>
      <c r="C208" s="6" t="s">
        <v>541</v>
      </c>
      <c r="D208" s="6" t="s">
        <v>542</v>
      </c>
      <c r="E208" s="3" t="str">
        <f t="shared" si="1"/>
        <v>Becky Roupe</v>
      </c>
      <c r="F208" s="11">
        <v>3060.0</v>
      </c>
      <c r="G208" s="11" t="str">
        <f t="shared" si="6"/>
        <v>3060OVR</v>
      </c>
      <c r="H208" s="12">
        <v>45139.0</v>
      </c>
      <c r="I208" s="12">
        <v>46204.0</v>
      </c>
      <c r="J208" s="12">
        <v>46227.0</v>
      </c>
      <c r="K208" s="6" t="s">
        <v>19</v>
      </c>
      <c r="L208" s="6" t="s">
        <v>514</v>
      </c>
      <c r="M208" s="13">
        <v>6.04</v>
      </c>
      <c r="N208" s="6" t="s">
        <v>625</v>
      </c>
      <c r="O208" s="6"/>
      <c r="P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 t="s">
        <v>50</v>
      </c>
      <c r="B209" s="6" t="s">
        <v>626</v>
      </c>
      <c r="C209" s="6" t="s">
        <v>186</v>
      </c>
      <c r="D209" s="6" t="s">
        <v>182</v>
      </c>
      <c r="E209" s="3" t="str">
        <f t="shared" si="1"/>
        <v>Geraldine Famoso</v>
      </c>
      <c r="F209" s="11">
        <v>3480.0</v>
      </c>
      <c r="G209" s="11" t="str">
        <f t="shared" si="6"/>
        <v>3480OVR</v>
      </c>
      <c r="H209" s="12">
        <v>45658.0</v>
      </c>
      <c r="I209" s="12">
        <v>46204.0</v>
      </c>
      <c r="J209" s="12">
        <v>46227.0</v>
      </c>
      <c r="K209" s="6" t="s">
        <v>19</v>
      </c>
      <c r="L209" s="6" t="s">
        <v>514</v>
      </c>
      <c r="M209" s="13">
        <v>6.04</v>
      </c>
      <c r="N209" s="6" t="s">
        <v>625</v>
      </c>
      <c r="O209" s="6"/>
      <c r="P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 t="s">
        <v>50</v>
      </c>
      <c r="B210" s="6" t="s">
        <v>626</v>
      </c>
      <c r="C210" s="6" t="s">
        <v>82</v>
      </c>
      <c r="D210" s="6" t="s">
        <v>257</v>
      </c>
      <c r="E210" s="3" t="str">
        <f t="shared" si="1"/>
        <v>William Minear</v>
      </c>
      <c r="F210" s="11">
        <v>3480.0</v>
      </c>
      <c r="G210" s="11" t="str">
        <f t="shared" si="6"/>
        <v>3480OVR</v>
      </c>
      <c r="H210" s="12">
        <v>45748.0</v>
      </c>
      <c r="I210" s="12">
        <v>46204.0</v>
      </c>
      <c r="J210" s="12">
        <v>46227.0</v>
      </c>
      <c r="K210" s="6" t="s">
        <v>19</v>
      </c>
      <c r="L210" s="6" t="s">
        <v>514</v>
      </c>
      <c r="M210" s="13">
        <v>6.04</v>
      </c>
      <c r="N210" s="6" t="s">
        <v>625</v>
      </c>
      <c r="O210" s="6"/>
      <c r="P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 t="s">
        <v>50</v>
      </c>
      <c r="B211" s="6" t="s">
        <v>626</v>
      </c>
      <c r="C211" s="6" t="s">
        <v>47</v>
      </c>
      <c r="D211" s="6" t="s">
        <v>142</v>
      </c>
      <c r="E211" s="3" t="str">
        <f t="shared" si="1"/>
        <v>Linda Brahler</v>
      </c>
      <c r="F211" s="11">
        <v>4190.0</v>
      </c>
      <c r="G211" s="11" t="str">
        <f t="shared" si="6"/>
        <v>4190OVR</v>
      </c>
      <c r="H211" s="12">
        <v>45292.0</v>
      </c>
      <c r="I211" s="12">
        <v>46204.0</v>
      </c>
      <c r="J211" s="12">
        <v>46227.0</v>
      </c>
      <c r="K211" s="6" t="s">
        <v>19</v>
      </c>
      <c r="L211" s="6" t="s">
        <v>514</v>
      </c>
      <c r="M211" s="13">
        <v>6.04</v>
      </c>
      <c r="N211" s="6" t="s">
        <v>625</v>
      </c>
      <c r="O211" s="6"/>
      <c r="P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 t="s">
        <v>50</v>
      </c>
      <c r="B212" s="6" t="s">
        <v>626</v>
      </c>
      <c r="C212" s="6" t="s">
        <v>119</v>
      </c>
      <c r="D212" s="6" t="s">
        <v>348</v>
      </c>
      <c r="E212" s="3" t="str">
        <f t="shared" si="1"/>
        <v>Terry Waxler</v>
      </c>
      <c r="F212" s="11">
        <v>4230.0</v>
      </c>
      <c r="G212" s="11" t="str">
        <f t="shared" si="6"/>
        <v>4230OVR</v>
      </c>
      <c r="H212" s="12">
        <v>45200.0</v>
      </c>
      <c r="I212" s="12">
        <v>46204.0</v>
      </c>
      <c r="J212" s="12">
        <v>46227.0</v>
      </c>
      <c r="K212" s="6" t="s">
        <v>19</v>
      </c>
      <c r="L212" s="6" t="s">
        <v>514</v>
      </c>
      <c r="M212" s="13">
        <v>6.04</v>
      </c>
      <c r="N212" s="6" t="s">
        <v>625</v>
      </c>
      <c r="O212" s="6"/>
      <c r="P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 t="s">
        <v>50</v>
      </c>
      <c r="B213" s="6" t="s">
        <v>626</v>
      </c>
      <c r="C213" s="6" t="s">
        <v>51</v>
      </c>
      <c r="D213" s="6" t="s">
        <v>321</v>
      </c>
      <c r="E213" s="3" t="str">
        <f t="shared" si="1"/>
        <v>Robert Smith</v>
      </c>
      <c r="F213" s="11">
        <v>4730.0</v>
      </c>
      <c r="G213" s="11" t="str">
        <f t="shared" si="6"/>
        <v>4730OVR</v>
      </c>
      <c r="H213" s="12">
        <v>45170.0</v>
      </c>
      <c r="I213" s="12">
        <v>46204.0</v>
      </c>
      <c r="J213" s="12">
        <v>46227.0</v>
      </c>
      <c r="K213" s="6" t="s">
        <v>19</v>
      </c>
      <c r="L213" s="6" t="s">
        <v>514</v>
      </c>
      <c r="M213" s="13">
        <v>6.04</v>
      </c>
      <c r="N213" s="6" t="s">
        <v>625</v>
      </c>
      <c r="O213" s="6"/>
      <c r="P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 t="s">
        <v>24</v>
      </c>
      <c r="B214" s="6" t="s">
        <v>630</v>
      </c>
      <c r="C214" s="6" t="s">
        <v>25</v>
      </c>
      <c r="D214" s="6" t="s">
        <v>26</v>
      </c>
      <c r="E214" s="3" t="str">
        <f t="shared" si="1"/>
        <v>Mary Reese</v>
      </c>
      <c r="F214" s="11">
        <v>4770.0</v>
      </c>
      <c r="G214" s="11" t="str">
        <f t="shared" si="6"/>
        <v>4770OVR</v>
      </c>
      <c r="H214" s="12">
        <v>45901.0</v>
      </c>
      <c r="I214" s="12">
        <v>46204.0</v>
      </c>
      <c r="J214" s="12">
        <v>46227.0</v>
      </c>
      <c r="K214" s="6" t="s">
        <v>19</v>
      </c>
      <c r="L214" s="6" t="s">
        <v>514</v>
      </c>
      <c r="M214" s="13">
        <v>9.06</v>
      </c>
      <c r="N214" s="6" t="s">
        <v>625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 t="s">
        <v>50</v>
      </c>
      <c r="B215" s="6" t="s">
        <v>626</v>
      </c>
      <c r="C215" s="6" t="s">
        <v>320</v>
      </c>
      <c r="D215" s="6" t="s">
        <v>321</v>
      </c>
      <c r="E215" s="3" t="str">
        <f t="shared" si="1"/>
        <v>Dona Smith</v>
      </c>
      <c r="F215" s="11">
        <v>4840.0</v>
      </c>
      <c r="G215" s="11" t="str">
        <f t="shared" si="6"/>
        <v>4840OVR</v>
      </c>
      <c r="H215" s="12">
        <v>45170.0</v>
      </c>
      <c r="I215" s="12">
        <v>46204.0</v>
      </c>
      <c r="J215" s="12">
        <v>46227.0</v>
      </c>
      <c r="K215" s="6" t="s">
        <v>19</v>
      </c>
      <c r="L215" s="6" t="s">
        <v>514</v>
      </c>
      <c r="M215" s="13">
        <v>6.04</v>
      </c>
      <c r="N215" s="6" t="s">
        <v>625</v>
      </c>
      <c r="O215" s="6"/>
      <c r="P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 t="s">
        <v>34</v>
      </c>
      <c r="B216" s="6" t="s">
        <v>631</v>
      </c>
      <c r="C216" s="6" t="s">
        <v>40</v>
      </c>
      <c r="D216" s="6" t="s">
        <v>41</v>
      </c>
      <c r="E216" s="3" t="str">
        <f t="shared" si="1"/>
        <v>John Sheridan</v>
      </c>
      <c r="F216" s="11">
        <v>5120.0</v>
      </c>
      <c r="G216" s="11" t="str">
        <f t="shared" si="6"/>
        <v>5120OVR</v>
      </c>
      <c r="H216" s="12">
        <v>45170.0</v>
      </c>
      <c r="I216" s="12">
        <v>46204.0</v>
      </c>
      <c r="J216" s="12">
        <v>46227.0</v>
      </c>
      <c r="K216" s="6" t="s">
        <v>19</v>
      </c>
      <c r="L216" s="6" t="s">
        <v>514</v>
      </c>
      <c r="M216" s="13">
        <v>6.04</v>
      </c>
      <c r="N216" s="6" t="s">
        <v>625</v>
      </c>
      <c r="O216" s="6"/>
      <c r="P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 t="s">
        <v>50</v>
      </c>
      <c r="B217" s="6" t="s">
        <v>626</v>
      </c>
      <c r="C217" s="6" t="s">
        <v>171</v>
      </c>
      <c r="D217" s="6" t="s">
        <v>324</v>
      </c>
      <c r="E217" s="3" t="str">
        <f t="shared" si="1"/>
        <v>Diane Stang</v>
      </c>
      <c r="F217" s="11">
        <v>5200.0</v>
      </c>
      <c r="G217" s="11" t="str">
        <f t="shared" si="6"/>
        <v>5200OVR</v>
      </c>
      <c r="H217" s="12">
        <v>45658.0</v>
      </c>
      <c r="I217" s="12">
        <v>46204.0</v>
      </c>
      <c r="J217" s="12">
        <v>46227.0</v>
      </c>
      <c r="K217" s="6" t="s">
        <v>19</v>
      </c>
      <c r="L217" s="6" t="s">
        <v>514</v>
      </c>
      <c r="M217" s="13">
        <v>6.04</v>
      </c>
      <c r="N217" s="6" t="s">
        <v>625</v>
      </c>
      <c r="O217" s="6"/>
      <c r="P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 t="s">
        <v>575</v>
      </c>
      <c r="B218" s="6" t="s">
        <v>632</v>
      </c>
      <c r="C218" s="6" t="s">
        <v>347</v>
      </c>
      <c r="D218" s="6" t="s">
        <v>595</v>
      </c>
      <c r="E218" s="3" t="str">
        <f t="shared" si="1"/>
        <v>Donald Tomasic</v>
      </c>
      <c r="F218" s="11">
        <v>6070.0</v>
      </c>
      <c r="G218" s="11" t="str">
        <f t="shared" si="6"/>
        <v>6070OVR</v>
      </c>
      <c r="H218" s="12">
        <v>46204.0</v>
      </c>
      <c r="I218" s="12">
        <v>46387.0</v>
      </c>
      <c r="J218" s="12">
        <v>46227.0</v>
      </c>
      <c r="K218" s="6" t="s">
        <v>19</v>
      </c>
      <c r="L218" s="6" t="s">
        <v>549</v>
      </c>
      <c r="M218" s="13">
        <v>73.75</v>
      </c>
      <c r="N218" s="6" t="s">
        <v>625</v>
      </c>
      <c r="O218" s="6"/>
      <c r="P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 t="s">
        <v>50</v>
      </c>
      <c r="B219" s="6" t="s">
        <v>626</v>
      </c>
      <c r="C219" s="6" t="s">
        <v>133</v>
      </c>
      <c r="D219" s="6" t="s">
        <v>308</v>
      </c>
      <c r="E219" s="3" t="str">
        <f t="shared" si="1"/>
        <v>Michael Sgourakis</v>
      </c>
      <c r="F219" s="11">
        <v>6800.0</v>
      </c>
      <c r="G219" s="11" t="str">
        <f t="shared" si="6"/>
        <v>6800OVR</v>
      </c>
      <c r="H219" s="12">
        <v>45658.0</v>
      </c>
      <c r="I219" s="12">
        <v>46204.0</v>
      </c>
      <c r="J219" s="12">
        <v>46227.0</v>
      </c>
      <c r="K219" s="6" t="s">
        <v>19</v>
      </c>
      <c r="L219" s="6" t="s">
        <v>514</v>
      </c>
      <c r="M219" s="13">
        <v>6.04</v>
      </c>
      <c r="N219" s="6" t="s">
        <v>625</v>
      </c>
      <c r="O219" s="6"/>
      <c r="P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 t="s">
        <v>50</v>
      </c>
      <c r="B220" s="6" t="s">
        <v>626</v>
      </c>
      <c r="C220" s="6" t="s">
        <v>133</v>
      </c>
      <c r="D220" s="6" t="s">
        <v>419</v>
      </c>
      <c r="E220" s="3" t="str">
        <f t="shared" si="1"/>
        <v>Michael Marshall</v>
      </c>
      <c r="F220" s="11">
        <v>6870.0</v>
      </c>
      <c r="G220" s="11" t="str">
        <f t="shared" si="6"/>
        <v>6870OVR</v>
      </c>
      <c r="H220" s="12">
        <v>44958.0</v>
      </c>
      <c r="I220" s="12">
        <v>46204.0</v>
      </c>
      <c r="J220" s="12">
        <v>46227.0</v>
      </c>
      <c r="K220" s="6" t="s">
        <v>19</v>
      </c>
      <c r="L220" s="6" t="s">
        <v>514</v>
      </c>
      <c r="M220" s="13">
        <v>6.04</v>
      </c>
      <c r="N220" s="6" t="s">
        <v>625</v>
      </c>
      <c r="O220" s="6"/>
      <c r="P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 t="s">
        <v>575</v>
      </c>
      <c r="B221" s="6" t="s">
        <v>632</v>
      </c>
      <c r="C221" s="6" t="s">
        <v>583</v>
      </c>
      <c r="D221" s="6" t="s">
        <v>584</v>
      </c>
      <c r="E221" s="3" t="str">
        <f t="shared" si="1"/>
        <v>Ricky Kradel</v>
      </c>
      <c r="F221" s="11">
        <v>6950.0</v>
      </c>
      <c r="G221" s="11" t="str">
        <f t="shared" si="6"/>
        <v>6950OVR</v>
      </c>
      <c r="H221" s="12">
        <v>46204.0</v>
      </c>
      <c r="I221" s="12">
        <v>46387.0</v>
      </c>
      <c r="J221" s="12">
        <v>46227.0</v>
      </c>
      <c r="K221" s="6" t="s">
        <v>19</v>
      </c>
      <c r="L221" s="6" t="s">
        <v>549</v>
      </c>
      <c r="M221" s="13">
        <v>73.75</v>
      </c>
      <c r="N221" s="6" t="s">
        <v>625</v>
      </c>
      <c r="O221" s="6"/>
      <c r="P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 t="s">
        <v>24</v>
      </c>
      <c r="B222" s="6" t="s">
        <v>630</v>
      </c>
      <c r="C222" s="6" t="s">
        <v>31</v>
      </c>
      <c r="D222" s="6" t="s">
        <v>32</v>
      </c>
      <c r="E222" s="3" t="str">
        <f t="shared" si="1"/>
        <v>Wayne White</v>
      </c>
      <c r="F222" s="11">
        <v>7620.0</v>
      </c>
      <c r="G222" s="11" t="str">
        <f t="shared" si="6"/>
        <v>7620OVR</v>
      </c>
      <c r="H222" s="12">
        <v>45901.0</v>
      </c>
      <c r="I222" s="12">
        <v>46204.0</v>
      </c>
      <c r="J222" s="12">
        <v>46227.0</v>
      </c>
      <c r="K222" s="6" t="s">
        <v>19</v>
      </c>
      <c r="L222" s="6" t="s">
        <v>515</v>
      </c>
      <c r="M222" s="13">
        <v>7.81</v>
      </c>
      <c r="N222" s="6" t="s">
        <v>625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 t="s">
        <v>575</v>
      </c>
      <c r="B223" s="6" t="s">
        <v>632</v>
      </c>
      <c r="C223" s="6" t="s">
        <v>554</v>
      </c>
      <c r="D223" s="6" t="s">
        <v>576</v>
      </c>
      <c r="E223" s="3" t="str">
        <f t="shared" si="1"/>
        <v>Kelly Ragan</v>
      </c>
      <c r="F223" s="11">
        <v>7920.0</v>
      </c>
      <c r="G223" s="11" t="str">
        <f t="shared" si="6"/>
        <v>7920OVR</v>
      </c>
      <c r="H223" s="12">
        <v>46204.0</v>
      </c>
      <c r="I223" s="12">
        <v>46387.0</v>
      </c>
      <c r="J223" s="12">
        <v>46227.0</v>
      </c>
      <c r="K223" s="6" t="s">
        <v>19</v>
      </c>
      <c r="L223" s="6" t="s">
        <v>549</v>
      </c>
      <c r="M223" s="13">
        <v>73.75</v>
      </c>
      <c r="N223" s="6" t="s">
        <v>625</v>
      </c>
      <c r="O223" s="6"/>
      <c r="P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 t="s">
        <v>575</v>
      </c>
      <c r="B224" s="6" t="s">
        <v>632</v>
      </c>
      <c r="C224" s="6" t="s">
        <v>618</v>
      </c>
      <c r="D224" s="6" t="s">
        <v>619</v>
      </c>
      <c r="E224" s="3" t="str">
        <f t="shared" si="1"/>
        <v>Gregg Psik</v>
      </c>
      <c r="F224" s="11" t="s">
        <v>633</v>
      </c>
      <c r="G224" s="11" t="str">
        <f t="shared" si="6"/>
        <v>0832AOVR</v>
      </c>
      <c r="H224" s="12">
        <v>46204.0</v>
      </c>
      <c r="I224" s="12">
        <v>46387.0</v>
      </c>
      <c r="J224" s="12">
        <v>46227.0</v>
      </c>
      <c r="K224" s="6" t="s">
        <v>94</v>
      </c>
      <c r="L224" s="6" t="s">
        <v>621</v>
      </c>
      <c r="M224" s="13">
        <v>37.5</v>
      </c>
      <c r="N224" s="6" t="s">
        <v>625</v>
      </c>
      <c r="O224" s="6"/>
      <c r="P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 t="s">
        <v>50</v>
      </c>
      <c r="B225" s="6" t="s">
        <v>626</v>
      </c>
      <c r="C225" s="6" t="s">
        <v>381</v>
      </c>
      <c r="D225" s="6" t="s">
        <v>382</v>
      </c>
      <c r="E225" s="3" t="str">
        <f t="shared" si="1"/>
        <v>Karin Pekular</v>
      </c>
      <c r="F225" s="11">
        <v>8470.0</v>
      </c>
      <c r="G225" s="11" t="str">
        <f t="shared" si="6"/>
        <v>8470OVR</v>
      </c>
      <c r="H225" s="12">
        <v>45658.0</v>
      </c>
      <c r="I225" s="12">
        <v>46204.0</v>
      </c>
      <c r="J225" s="12">
        <v>46227.0</v>
      </c>
      <c r="K225" s="6" t="s">
        <v>19</v>
      </c>
      <c r="L225" s="6" t="s">
        <v>514</v>
      </c>
      <c r="M225" s="13">
        <v>6.04</v>
      </c>
      <c r="N225" s="6" t="s">
        <v>625</v>
      </c>
      <c r="O225" s="6"/>
      <c r="P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 t="s">
        <v>50</v>
      </c>
      <c r="B226" s="6" t="s">
        <v>626</v>
      </c>
      <c r="C226" s="6" t="s">
        <v>111</v>
      </c>
      <c r="D226" s="6" t="s">
        <v>326</v>
      </c>
      <c r="E226" s="3" t="str">
        <f t="shared" si="1"/>
        <v>Betty Stawiarski</v>
      </c>
      <c r="F226" s="11">
        <v>8500.0</v>
      </c>
      <c r="G226" s="11" t="str">
        <f t="shared" si="6"/>
        <v>8500OVR</v>
      </c>
      <c r="H226" s="12">
        <v>45383.0</v>
      </c>
      <c r="I226" s="12">
        <v>46204.0</v>
      </c>
      <c r="J226" s="12">
        <v>46227.0</v>
      </c>
      <c r="K226" s="6" t="s">
        <v>19</v>
      </c>
      <c r="L226" s="6" t="s">
        <v>514</v>
      </c>
      <c r="M226" s="13">
        <v>6.04</v>
      </c>
      <c r="N226" s="6" t="s">
        <v>625</v>
      </c>
      <c r="O226" s="6"/>
      <c r="P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 t="s">
        <v>50</v>
      </c>
      <c r="B227" s="6" t="s">
        <v>626</v>
      </c>
      <c r="C227" s="6" t="s">
        <v>342</v>
      </c>
      <c r="D227" s="6" t="s">
        <v>343</v>
      </c>
      <c r="E227" s="3" t="str">
        <f t="shared" si="1"/>
        <v>Suzann Volz</v>
      </c>
      <c r="F227" s="11">
        <v>9160.0</v>
      </c>
      <c r="G227" s="11" t="str">
        <f t="shared" si="6"/>
        <v>9160OVR</v>
      </c>
      <c r="H227" s="12">
        <v>45292.0</v>
      </c>
      <c r="I227" s="12">
        <v>46204.0</v>
      </c>
      <c r="J227" s="12">
        <v>46227.0</v>
      </c>
      <c r="K227" s="6" t="s">
        <v>19</v>
      </c>
      <c r="L227" s="6" t="s">
        <v>514</v>
      </c>
      <c r="M227" s="13">
        <v>6.04</v>
      </c>
      <c r="N227" s="6" t="s">
        <v>625</v>
      </c>
      <c r="O227" s="6"/>
      <c r="P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 t="s">
        <v>575</v>
      </c>
      <c r="B228" s="6" t="s">
        <v>632</v>
      </c>
      <c r="C228" s="6" t="s">
        <v>588</v>
      </c>
      <c r="D228" s="6" t="s">
        <v>589</v>
      </c>
      <c r="E228" s="3" t="str">
        <f t="shared" si="1"/>
        <v>Stephen Onufrak</v>
      </c>
      <c r="F228" s="11">
        <v>9330.0</v>
      </c>
      <c r="G228" s="11" t="str">
        <f t="shared" si="6"/>
        <v>9330OVR</v>
      </c>
      <c r="H228" s="12">
        <v>46235.0</v>
      </c>
      <c r="I228" s="12">
        <v>46387.0</v>
      </c>
      <c r="J228" s="12">
        <v>46227.0</v>
      </c>
      <c r="K228" s="6" t="s">
        <v>19</v>
      </c>
      <c r="L228" s="6" t="s">
        <v>548</v>
      </c>
      <c r="M228" s="13">
        <v>79.79</v>
      </c>
      <c r="N228" s="6" t="s">
        <v>625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 t="s">
        <v>50</v>
      </c>
      <c r="B229" s="6" t="s">
        <v>626</v>
      </c>
      <c r="C229" s="6" t="s">
        <v>429</v>
      </c>
      <c r="D229" s="6" t="s">
        <v>430</v>
      </c>
      <c r="E229" s="3" t="str">
        <f t="shared" si="1"/>
        <v>Noreen Hamm</v>
      </c>
      <c r="F229" s="11">
        <v>9350.0</v>
      </c>
      <c r="G229" s="11" t="str">
        <f t="shared" si="6"/>
        <v>9350OVR</v>
      </c>
      <c r="H229" s="12">
        <v>45717.0</v>
      </c>
      <c r="I229" s="12">
        <v>46204.0</v>
      </c>
      <c r="J229" s="12">
        <v>46227.0</v>
      </c>
      <c r="K229" s="6" t="s">
        <v>19</v>
      </c>
      <c r="L229" s="6" t="s">
        <v>515</v>
      </c>
      <c r="M229" s="13">
        <v>5.2</v>
      </c>
      <c r="N229" s="6" t="s">
        <v>625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 t="s">
        <v>266</v>
      </c>
      <c r="B230" s="6" t="s">
        <v>627</v>
      </c>
      <c r="C230" s="6" t="s">
        <v>133</v>
      </c>
      <c r="D230" s="6" t="s">
        <v>270</v>
      </c>
      <c r="E230" s="3" t="str">
        <f t="shared" si="1"/>
        <v>Michael Marquardt</v>
      </c>
      <c r="F230" s="11">
        <v>9600.0</v>
      </c>
      <c r="G230" s="11" t="str">
        <f t="shared" si="6"/>
        <v>9600OVR</v>
      </c>
      <c r="H230" s="12">
        <v>46204.0</v>
      </c>
      <c r="I230" s="12">
        <v>46387.0</v>
      </c>
      <c r="J230" s="12">
        <v>46227.0</v>
      </c>
      <c r="K230" s="6" t="s">
        <v>19</v>
      </c>
      <c r="L230" s="6" t="s">
        <v>549</v>
      </c>
      <c r="M230" s="13">
        <v>110.63</v>
      </c>
      <c r="N230" s="6" t="s">
        <v>625</v>
      </c>
      <c r="O230" s="6"/>
      <c r="P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 t="s">
        <v>50</v>
      </c>
      <c r="B231" s="6" t="s">
        <v>626</v>
      </c>
      <c r="C231" s="6" t="s">
        <v>212</v>
      </c>
      <c r="D231" s="6" t="s">
        <v>213</v>
      </c>
      <c r="E231" s="3" t="str">
        <f t="shared" si="1"/>
        <v>Emma Hatton</v>
      </c>
      <c r="F231" s="11">
        <v>9740.0</v>
      </c>
      <c r="G231" s="11" t="str">
        <f t="shared" si="6"/>
        <v>9740OVR</v>
      </c>
      <c r="H231" s="12">
        <v>45689.0</v>
      </c>
      <c r="I231" s="12">
        <v>46204.0</v>
      </c>
      <c r="J231" s="12">
        <v>46227.0</v>
      </c>
      <c r="K231" s="6" t="s">
        <v>19</v>
      </c>
      <c r="L231" s="6" t="s">
        <v>514</v>
      </c>
      <c r="M231" s="13">
        <v>6.04</v>
      </c>
      <c r="N231" s="6" t="s">
        <v>625</v>
      </c>
      <c r="O231" s="6"/>
      <c r="P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 t="s">
        <v>50</v>
      </c>
      <c r="B232" s="6" t="s">
        <v>626</v>
      </c>
      <c r="C232" s="6" t="s">
        <v>178</v>
      </c>
      <c r="D232" s="6" t="s">
        <v>179</v>
      </c>
      <c r="E232" s="3" t="str">
        <f t="shared" si="1"/>
        <v>Nancy Dunn</v>
      </c>
      <c r="F232" s="11">
        <v>10720.0</v>
      </c>
      <c r="G232" s="11" t="str">
        <f t="shared" si="6"/>
        <v>10720OVR</v>
      </c>
      <c r="H232" s="12">
        <v>45292.0</v>
      </c>
      <c r="I232" s="12">
        <v>46204.0</v>
      </c>
      <c r="J232" s="12">
        <v>46227.0</v>
      </c>
      <c r="K232" s="6" t="s">
        <v>19</v>
      </c>
      <c r="L232" s="6" t="s">
        <v>514</v>
      </c>
      <c r="M232" s="13">
        <v>6.04</v>
      </c>
      <c r="N232" s="6" t="s">
        <v>625</v>
      </c>
      <c r="O232" s="6"/>
      <c r="P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 t="s">
        <v>50</v>
      </c>
      <c r="B233" s="6" t="s">
        <v>626</v>
      </c>
      <c r="C233" s="6" t="s">
        <v>72</v>
      </c>
      <c r="D233" s="6" t="s">
        <v>72</v>
      </c>
      <c r="E233" s="3" t="str">
        <f t="shared" si="1"/>
        <v>Thomas Thomas</v>
      </c>
      <c r="F233" s="11">
        <v>10950.0</v>
      </c>
      <c r="G233" s="11" t="str">
        <f t="shared" si="6"/>
        <v>10950OVR</v>
      </c>
      <c r="H233" s="12">
        <v>45658.0</v>
      </c>
      <c r="I233" s="12">
        <v>46204.0</v>
      </c>
      <c r="J233" s="12">
        <v>46227.0</v>
      </c>
      <c r="K233" s="6" t="s">
        <v>19</v>
      </c>
      <c r="L233" s="6" t="s">
        <v>514</v>
      </c>
      <c r="M233" s="13">
        <v>6.04</v>
      </c>
      <c r="N233" s="6" t="s">
        <v>625</v>
      </c>
      <c r="O233" s="6"/>
      <c r="P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 t="s">
        <v>50</v>
      </c>
      <c r="B234" s="6" t="s">
        <v>626</v>
      </c>
      <c r="C234" s="6" t="s">
        <v>122</v>
      </c>
      <c r="D234" s="6" t="s">
        <v>345</v>
      </c>
      <c r="E234" s="3" t="str">
        <f t="shared" si="1"/>
        <v>Patricia Wauthier</v>
      </c>
      <c r="F234" s="11">
        <v>11170.0</v>
      </c>
      <c r="G234" s="11" t="str">
        <f t="shared" si="6"/>
        <v>11170OVR</v>
      </c>
      <c r="H234" s="12">
        <v>42370.0</v>
      </c>
      <c r="I234" s="12">
        <v>46204.0</v>
      </c>
      <c r="J234" s="12">
        <v>46227.0</v>
      </c>
      <c r="K234" s="6" t="s">
        <v>19</v>
      </c>
      <c r="L234" s="6" t="s">
        <v>514</v>
      </c>
      <c r="M234" s="13">
        <v>6.04</v>
      </c>
      <c r="N234" s="6" t="s">
        <v>625</v>
      </c>
      <c r="O234" s="6"/>
      <c r="P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 t="s">
        <v>50</v>
      </c>
      <c r="B235" s="6" t="s">
        <v>626</v>
      </c>
      <c r="C235" s="6" t="s">
        <v>126</v>
      </c>
      <c r="D235" s="6" t="s">
        <v>127</v>
      </c>
      <c r="E235" s="3" t="str">
        <f t="shared" si="1"/>
        <v>Christy Russell</v>
      </c>
      <c r="F235" s="11">
        <v>11460.0</v>
      </c>
      <c r="G235" s="11" t="str">
        <f t="shared" si="6"/>
        <v>11460OVR</v>
      </c>
      <c r="H235" s="12">
        <v>45839.0</v>
      </c>
      <c r="I235" s="12">
        <v>46204.0</v>
      </c>
      <c r="J235" s="12">
        <v>46227.0</v>
      </c>
      <c r="K235" s="6" t="s">
        <v>19</v>
      </c>
      <c r="L235" s="6" t="s">
        <v>515</v>
      </c>
      <c r="M235" s="13">
        <v>5.2</v>
      </c>
      <c r="N235" s="6" t="s">
        <v>625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 t="s">
        <v>50</v>
      </c>
      <c r="B236" s="6" t="s">
        <v>626</v>
      </c>
      <c r="C236" s="6" t="s">
        <v>69</v>
      </c>
      <c r="D236" s="6" t="s">
        <v>213</v>
      </c>
      <c r="E236" s="3" t="str">
        <f t="shared" si="1"/>
        <v>James Hatton</v>
      </c>
      <c r="F236" s="11">
        <v>12080.0</v>
      </c>
      <c r="G236" s="11" t="str">
        <f t="shared" si="6"/>
        <v>12080OVR</v>
      </c>
      <c r="H236" s="12">
        <v>45689.0</v>
      </c>
      <c r="I236" s="12">
        <v>46204.0</v>
      </c>
      <c r="J236" s="12">
        <v>46227.0</v>
      </c>
      <c r="K236" s="6" t="s">
        <v>19</v>
      </c>
      <c r="L236" s="6" t="s">
        <v>514</v>
      </c>
      <c r="M236" s="13">
        <v>6.04</v>
      </c>
      <c r="N236" s="6" t="s">
        <v>625</v>
      </c>
      <c r="O236" s="6"/>
      <c r="P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 t="s">
        <v>575</v>
      </c>
      <c r="B237" s="6" t="s">
        <v>632</v>
      </c>
      <c r="C237" s="6" t="s">
        <v>40</v>
      </c>
      <c r="D237" s="6" t="s">
        <v>581</v>
      </c>
      <c r="E237" s="3" t="str">
        <f t="shared" si="1"/>
        <v>John Kasprowicz</v>
      </c>
      <c r="F237" s="11">
        <v>12300.0</v>
      </c>
      <c r="G237" s="11" t="str">
        <f t="shared" si="6"/>
        <v>12300OVR</v>
      </c>
      <c r="H237" s="12">
        <v>46235.0</v>
      </c>
      <c r="I237" s="12">
        <v>46387.0</v>
      </c>
      <c r="J237" s="12">
        <v>46227.0</v>
      </c>
      <c r="K237" s="6" t="s">
        <v>19</v>
      </c>
      <c r="L237" s="6" t="s">
        <v>548</v>
      </c>
      <c r="M237" s="13">
        <v>79.79</v>
      </c>
      <c r="N237" s="6" t="s">
        <v>625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 t="s">
        <v>266</v>
      </c>
      <c r="B238" s="6" t="s">
        <v>627</v>
      </c>
      <c r="C238" s="6" t="s">
        <v>445</v>
      </c>
      <c r="D238" s="6" t="s">
        <v>446</v>
      </c>
      <c r="E238" s="3" t="str">
        <f t="shared" si="1"/>
        <v>Daniel Burkleca</v>
      </c>
      <c r="F238" s="11">
        <v>12950.0</v>
      </c>
      <c r="G238" s="11" t="str">
        <f t="shared" si="6"/>
        <v>12950OVR</v>
      </c>
      <c r="H238" s="12">
        <v>43101.0</v>
      </c>
      <c r="I238" s="12">
        <v>46204.0</v>
      </c>
      <c r="J238" s="12">
        <v>46227.0</v>
      </c>
      <c r="K238" s="6" t="s">
        <v>19</v>
      </c>
      <c r="L238" s="6" t="s">
        <v>514</v>
      </c>
      <c r="M238" s="13">
        <v>6.04</v>
      </c>
      <c r="N238" s="6" t="s">
        <v>625</v>
      </c>
      <c r="O238" s="6"/>
      <c r="P238" s="6"/>
    </row>
    <row r="239" ht="15.75" customHeight="1">
      <c r="A239" s="6" t="s">
        <v>50</v>
      </c>
      <c r="B239" s="6" t="s">
        <v>626</v>
      </c>
      <c r="C239" s="6" t="s">
        <v>254</v>
      </c>
      <c r="D239" s="6" t="s">
        <v>255</v>
      </c>
      <c r="E239" s="3" t="str">
        <f t="shared" si="1"/>
        <v>Kathryn Mcmanus</v>
      </c>
      <c r="F239" s="11">
        <v>12980.0</v>
      </c>
      <c r="G239" s="11" t="str">
        <f t="shared" si="6"/>
        <v>12980OVR</v>
      </c>
      <c r="H239" s="12">
        <v>45292.0</v>
      </c>
      <c r="I239" s="12">
        <v>46204.0</v>
      </c>
      <c r="J239" s="12">
        <v>46227.0</v>
      </c>
      <c r="K239" s="6" t="s">
        <v>19</v>
      </c>
      <c r="L239" s="6" t="s">
        <v>514</v>
      </c>
      <c r="M239" s="13">
        <v>6.04</v>
      </c>
      <c r="N239" s="6" t="s">
        <v>625</v>
      </c>
      <c r="O239" s="6"/>
      <c r="P239" s="6"/>
    </row>
    <row r="240" ht="15.75" customHeight="1">
      <c r="A240" s="6" t="s">
        <v>24</v>
      </c>
      <c r="B240" s="6" t="s">
        <v>630</v>
      </c>
      <c r="C240" s="6" t="s">
        <v>28</v>
      </c>
      <c r="D240" s="6" t="s">
        <v>29</v>
      </c>
      <c r="E240" s="3" t="str">
        <f t="shared" si="1"/>
        <v>Beverly Sullivan</v>
      </c>
      <c r="F240" s="11">
        <v>13660.0</v>
      </c>
      <c r="G240" s="11" t="str">
        <f t="shared" si="6"/>
        <v>13660OVR</v>
      </c>
      <c r="H240" s="12">
        <v>45658.0</v>
      </c>
      <c r="I240" s="12">
        <v>46204.0</v>
      </c>
      <c r="J240" s="12">
        <v>46227.0</v>
      </c>
      <c r="K240" s="6" t="s">
        <v>19</v>
      </c>
      <c r="L240" s="6" t="s">
        <v>514</v>
      </c>
      <c r="M240" s="13">
        <v>6.04</v>
      </c>
      <c r="N240" s="6" t="s">
        <v>625</v>
      </c>
      <c r="O240" s="6"/>
      <c r="P240" s="6"/>
      <c r="Q240" s="6"/>
    </row>
    <row r="241" ht="15.75" customHeight="1">
      <c r="A241" s="6" t="s">
        <v>509</v>
      </c>
      <c r="B241" s="6" t="s">
        <v>634</v>
      </c>
      <c r="C241" s="6" t="s">
        <v>139</v>
      </c>
      <c r="D241" s="6" t="s">
        <v>510</v>
      </c>
      <c r="E241" s="3" t="str">
        <f t="shared" si="1"/>
        <v>David Yoder</v>
      </c>
      <c r="F241" s="11">
        <v>14390.0</v>
      </c>
      <c r="G241" s="11" t="str">
        <f t="shared" si="6"/>
        <v>14390OVR</v>
      </c>
      <c r="H241" s="12">
        <v>45931.0</v>
      </c>
      <c r="I241" s="12">
        <v>46204.0</v>
      </c>
      <c r="J241" s="12">
        <v>46227.0</v>
      </c>
      <c r="K241" s="6" t="s">
        <v>19</v>
      </c>
      <c r="L241" s="6" t="s">
        <v>514</v>
      </c>
      <c r="M241" s="13">
        <v>9.06</v>
      </c>
      <c r="N241" s="6" t="s">
        <v>625</v>
      </c>
      <c r="O241" s="6"/>
      <c r="P241" s="6"/>
      <c r="Q241" s="6"/>
    </row>
    <row r="242" ht="15.75" customHeight="1">
      <c r="A242" s="6" t="s">
        <v>50</v>
      </c>
      <c r="B242" s="6" t="s">
        <v>626</v>
      </c>
      <c r="C242" s="6" t="s">
        <v>25</v>
      </c>
      <c r="D242" s="6" t="s">
        <v>243</v>
      </c>
      <c r="E242" s="3" t="str">
        <f t="shared" si="1"/>
        <v>Mary Mathies</v>
      </c>
      <c r="F242" s="11">
        <v>14690.0</v>
      </c>
      <c r="G242" s="11" t="str">
        <f t="shared" si="6"/>
        <v>14690OVR</v>
      </c>
      <c r="H242" s="12">
        <v>45505.0</v>
      </c>
      <c r="I242" s="12">
        <v>46204.0</v>
      </c>
      <c r="J242" s="12">
        <v>46227.0</v>
      </c>
      <c r="K242" s="6" t="s">
        <v>19</v>
      </c>
      <c r="L242" s="6" t="s">
        <v>514</v>
      </c>
      <c r="M242" s="13">
        <v>6.04</v>
      </c>
      <c r="N242" s="6" t="s">
        <v>625</v>
      </c>
      <c r="O242" s="6"/>
      <c r="P242" s="6"/>
    </row>
    <row r="243" ht="15.75" customHeight="1">
      <c r="A243" s="6" t="s">
        <v>50</v>
      </c>
      <c r="B243" s="6" t="s">
        <v>626</v>
      </c>
      <c r="C243" s="6" t="s">
        <v>165</v>
      </c>
      <c r="D243" s="6" t="s">
        <v>166</v>
      </c>
      <c r="E243" s="3" t="str">
        <f t="shared" si="1"/>
        <v>Ellen Davenport</v>
      </c>
      <c r="F243" s="11">
        <v>15300.0</v>
      </c>
      <c r="G243" s="11" t="str">
        <f t="shared" si="6"/>
        <v>15300OVR</v>
      </c>
      <c r="H243" s="12">
        <v>45383.0</v>
      </c>
      <c r="I243" s="12">
        <v>46204.0</v>
      </c>
      <c r="J243" s="12">
        <v>46227.0</v>
      </c>
      <c r="K243" s="6" t="s">
        <v>19</v>
      </c>
      <c r="L243" s="6" t="s">
        <v>514</v>
      </c>
      <c r="M243" s="13">
        <v>6.04</v>
      </c>
      <c r="N243" s="6" t="s">
        <v>625</v>
      </c>
      <c r="O243" s="6"/>
      <c r="P243" s="6"/>
    </row>
    <row r="244" ht="15.75" customHeight="1">
      <c r="A244" s="6" t="s">
        <v>50</v>
      </c>
      <c r="B244" s="6" t="s">
        <v>626</v>
      </c>
      <c r="C244" s="6" t="s">
        <v>206</v>
      </c>
      <c r="D244" s="6" t="s">
        <v>235</v>
      </c>
      <c r="E244" s="3" t="str">
        <f t="shared" si="1"/>
        <v>Kimberly Durkin</v>
      </c>
      <c r="F244" s="11">
        <v>15310.0</v>
      </c>
      <c r="G244" s="11" t="str">
        <f t="shared" si="6"/>
        <v>15310OVR</v>
      </c>
      <c r="H244" s="12">
        <v>46204.0</v>
      </c>
      <c r="I244" s="12">
        <v>46387.0</v>
      </c>
      <c r="J244" s="12">
        <v>46227.0</v>
      </c>
      <c r="K244" s="6" t="s">
        <v>19</v>
      </c>
      <c r="L244" s="6" t="s">
        <v>549</v>
      </c>
      <c r="M244" s="13">
        <v>110.63</v>
      </c>
      <c r="N244" s="6" t="s">
        <v>625</v>
      </c>
      <c r="O244" s="6"/>
      <c r="P244" s="6"/>
    </row>
    <row r="245" ht="15.75" customHeight="1">
      <c r="A245" s="6" t="s">
        <v>521</v>
      </c>
      <c r="B245" s="6" t="s">
        <v>635</v>
      </c>
      <c r="C245" s="6" t="s">
        <v>562</v>
      </c>
      <c r="D245" s="6" t="s">
        <v>563</v>
      </c>
      <c r="E245" s="3" t="str">
        <f t="shared" si="1"/>
        <v>Larry Kobik</v>
      </c>
      <c r="F245" s="11">
        <v>15340.0</v>
      </c>
      <c r="G245" s="11" t="str">
        <f t="shared" si="6"/>
        <v>15340OVR</v>
      </c>
      <c r="H245" s="12">
        <v>46204.0</v>
      </c>
      <c r="I245" s="12">
        <v>46387.0</v>
      </c>
      <c r="J245" s="12">
        <v>46227.0</v>
      </c>
      <c r="K245" s="6" t="s">
        <v>19</v>
      </c>
      <c r="L245" s="6" t="s">
        <v>549</v>
      </c>
      <c r="M245" s="13">
        <v>73.75</v>
      </c>
      <c r="N245" s="6" t="s">
        <v>625</v>
      </c>
      <c r="O245" s="6"/>
      <c r="P245" s="6"/>
    </row>
    <row r="246" ht="15.75" customHeight="1">
      <c r="A246" s="6" t="s">
        <v>50</v>
      </c>
      <c r="B246" s="6" t="s">
        <v>626</v>
      </c>
      <c r="C246" s="6" t="s">
        <v>361</v>
      </c>
      <c r="D246" s="6" t="s">
        <v>362</v>
      </c>
      <c r="E246" s="3" t="str">
        <f t="shared" si="1"/>
        <v>Todd Yorgen</v>
      </c>
      <c r="F246" s="11">
        <v>15710.0</v>
      </c>
      <c r="G246" s="11" t="str">
        <f t="shared" si="6"/>
        <v>15710OVR</v>
      </c>
      <c r="H246" s="12">
        <v>45839.0</v>
      </c>
      <c r="I246" s="12">
        <v>46204.0</v>
      </c>
      <c r="J246" s="12">
        <v>46227.0</v>
      </c>
      <c r="K246" s="6" t="s">
        <v>19</v>
      </c>
      <c r="L246" s="6" t="s">
        <v>514</v>
      </c>
      <c r="M246" s="13">
        <v>6.04</v>
      </c>
      <c r="N246" s="6" t="s">
        <v>625</v>
      </c>
      <c r="O246" s="6"/>
      <c r="P246" s="6"/>
    </row>
    <row r="247" ht="15.75" customHeight="1">
      <c r="A247" s="6" t="s">
        <v>50</v>
      </c>
      <c r="B247" s="6" t="s">
        <v>626</v>
      </c>
      <c r="C247" s="6" t="s">
        <v>350</v>
      </c>
      <c r="D247" s="6" t="s">
        <v>348</v>
      </c>
      <c r="E247" s="3" t="str">
        <f t="shared" si="1"/>
        <v>Pamela Waxler</v>
      </c>
      <c r="F247" s="11">
        <v>17090.0</v>
      </c>
      <c r="G247" s="11" t="str">
        <f t="shared" si="6"/>
        <v>17090OVR</v>
      </c>
      <c r="H247" s="12">
        <v>45231.0</v>
      </c>
      <c r="I247" s="12">
        <v>46204.0</v>
      </c>
      <c r="J247" s="12">
        <v>46227.0</v>
      </c>
      <c r="K247" s="6" t="s">
        <v>19</v>
      </c>
      <c r="L247" s="6" t="s">
        <v>514</v>
      </c>
      <c r="M247" s="13">
        <v>6.04</v>
      </c>
      <c r="N247" s="6" t="s">
        <v>625</v>
      </c>
      <c r="O247" s="6"/>
      <c r="P247" s="6"/>
    </row>
    <row r="248" ht="15.75" customHeight="1">
      <c r="A248" s="6" t="s">
        <v>50</v>
      </c>
      <c r="B248" s="6" t="s">
        <v>626</v>
      </c>
      <c r="C248" s="6" t="s">
        <v>54</v>
      </c>
      <c r="D248" s="6" t="s">
        <v>55</v>
      </c>
      <c r="E248" s="3" t="str">
        <f t="shared" si="1"/>
        <v>Dane Barzanty</v>
      </c>
      <c r="F248" s="11">
        <v>17230.0</v>
      </c>
      <c r="G248" s="11" t="str">
        <f t="shared" si="6"/>
        <v>17230OVR</v>
      </c>
      <c r="H248" s="12">
        <v>45474.0</v>
      </c>
      <c r="I248" s="12">
        <v>46204.0</v>
      </c>
      <c r="J248" s="12">
        <v>46227.0</v>
      </c>
      <c r="K248" s="6" t="s">
        <v>19</v>
      </c>
      <c r="L248" s="6" t="s">
        <v>514</v>
      </c>
      <c r="M248" s="13">
        <v>6.04</v>
      </c>
      <c r="N248" s="6" t="s">
        <v>625</v>
      </c>
      <c r="O248" s="6"/>
      <c r="P248" s="6"/>
    </row>
    <row r="249" ht="15.75" customHeight="1">
      <c r="A249" s="6" t="s">
        <v>575</v>
      </c>
      <c r="B249" s="6" t="s">
        <v>632</v>
      </c>
      <c r="C249" s="6" t="s">
        <v>603</v>
      </c>
      <c r="D249" s="6" t="s">
        <v>604</v>
      </c>
      <c r="E249" s="3" t="str">
        <f t="shared" si="1"/>
        <v>Brian Leroy</v>
      </c>
      <c r="F249" s="11">
        <v>17240.0</v>
      </c>
      <c r="G249" s="11" t="str">
        <f t="shared" si="6"/>
        <v>17240OVR</v>
      </c>
      <c r="H249" s="12">
        <v>46054.0</v>
      </c>
      <c r="I249" s="12">
        <v>46204.0</v>
      </c>
      <c r="J249" s="12">
        <v>46227.0</v>
      </c>
      <c r="K249" s="6" t="s">
        <v>19</v>
      </c>
      <c r="L249" s="6" t="s">
        <v>607</v>
      </c>
      <c r="M249" s="13">
        <v>50.0</v>
      </c>
      <c r="N249" s="6" t="s">
        <v>625</v>
      </c>
      <c r="O249" s="6"/>
      <c r="P249" s="6"/>
      <c r="Q249" s="6"/>
    </row>
    <row r="250" ht="15.75" customHeight="1">
      <c r="A250" s="6" t="s">
        <v>575</v>
      </c>
      <c r="B250" s="6" t="s">
        <v>632</v>
      </c>
      <c r="C250" s="6" t="s">
        <v>603</v>
      </c>
      <c r="D250" s="6" t="s">
        <v>604</v>
      </c>
      <c r="E250" s="3" t="str">
        <f t="shared" si="1"/>
        <v>Brian Leroy</v>
      </c>
      <c r="F250" s="11">
        <v>17240.0</v>
      </c>
      <c r="G250" s="11" t="str">
        <f t="shared" si="6"/>
        <v>17240OVR</v>
      </c>
      <c r="H250" s="12">
        <v>46054.0</v>
      </c>
      <c r="I250" s="12">
        <v>46204.0</v>
      </c>
      <c r="J250" s="12">
        <v>46227.0</v>
      </c>
      <c r="K250" s="6" t="s">
        <v>19</v>
      </c>
      <c r="L250" s="6" t="s">
        <v>606</v>
      </c>
      <c r="M250" s="13">
        <v>-50.0</v>
      </c>
      <c r="N250" s="6" t="s">
        <v>625</v>
      </c>
      <c r="O250" s="6"/>
      <c r="P250" s="6"/>
      <c r="Q250" s="6"/>
    </row>
    <row r="251" ht="15.75" customHeight="1">
      <c r="A251" s="6" t="s">
        <v>50</v>
      </c>
      <c r="B251" s="6" t="s">
        <v>626</v>
      </c>
      <c r="C251" s="6" t="s">
        <v>69</v>
      </c>
      <c r="D251" s="6" t="s">
        <v>313</v>
      </c>
      <c r="E251" s="3" t="str">
        <f t="shared" si="1"/>
        <v>James Shoemaker</v>
      </c>
      <c r="F251" s="11">
        <v>17890.0</v>
      </c>
      <c r="G251" s="11" t="str">
        <f t="shared" si="6"/>
        <v>17890OVR</v>
      </c>
      <c r="H251" s="12">
        <v>45292.0</v>
      </c>
      <c r="I251" s="12">
        <v>46204.0</v>
      </c>
      <c r="J251" s="12">
        <v>46227.0</v>
      </c>
      <c r="K251" s="6" t="s">
        <v>19</v>
      </c>
      <c r="L251" s="6" t="s">
        <v>514</v>
      </c>
      <c r="M251" s="13">
        <v>6.04</v>
      </c>
      <c r="N251" s="6" t="s">
        <v>625</v>
      </c>
      <c r="O251" s="6"/>
      <c r="P251" s="6"/>
    </row>
    <row r="252" ht="15.75" customHeight="1">
      <c r="A252" s="6" t="s">
        <v>50</v>
      </c>
      <c r="B252" s="6" t="s">
        <v>626</v>
      </c>
      <c r="C252" s="6" t="s">
        <v>139</v>
      </c>
      <c r="D252" s="6" t="s">
        <v>127</v>
      </c>
      <c r="E252" s="3" t="str">
        <f t="shared" si="1"/>
        <v>David Russell</v>
      </c>
      <c r="F252" s="11">
        <v>18410.0</v>
      </c>
      <c r="G252" s="11" t="str">
        <f t="shared" si="6"/>
        <v>18410OVR</v>
      </c>
      <c r="H252" s="12">
        <v>45505.0</v>
      </c>
      <c r="I252" s="12">
        <v>46204.0</v>
      </c>
      <c r="J252" s="12">
        <v>46227.0</v>
      </c>
      <c r="K252" s="6" t="s">
        <v>19</v>
      </c>
      <c r="L252" s="6" t="s">
        <v>515</v>
      </c>
      <c r="M252" s="13">
        <v>5.2</v>
      </c>
      <c r="N252" s="6" t="s">
        <v>625</v>
      </c>
      <c r="O252" s="6"/>
      <c r="P252" s="6"/>
      <c r="Q252" s="6"/>
    </row>
    <row r="253" ht="15.75" customHeight="1">
      <c r="A253" s="6" t="s">
        <v>50</v>
      </c>
      <c r="B253" s="6" t="s">
        <v>626</v>
      </c>
      <c r="C253" s="6" t="s">
        <v>57</v>
      </c>
      <c r="D253" s="6" t="s">
        <v>267</v>
      </c>
      <c r="E253" s="3" t="str">
        <f t="shared" si="1"/>
        <v>Deborah Otrhalik</v>
      </c>
      <c r="F253" s="11">
        <v>18480.0</v>
      </c>
      <c r="G253" s="11" t="str">
        <f t="shared" si="6"/>
        <v>18480OVR</v>
      </c>
      <c r="H253" s="12">
        <v>45566.0</v>
      </c>
      <c r="I253" s="12">
        <v>46204.0</v>
      </c>
      <c r="J253" s="12">
        <v>46227.0</v>
      </c>
      <c r="K253" s="6" t="s">
        <v>19</v>
      </c>
      <c r="L253" s="6" t="s">
        <v>514</v>
      </c>
      <c r="M253" s="13">
        <v>6.04</v>
      </c>
      <c r="N253" s="6" t="s">
        <v>625</v>
      </c>
      <c r="O253" s="6"/>
      <c r="P253" s="6"/>
    </row>
    <row r="254" ht="15.75" customHeight="1">
      <c r="A254" s="6" t="s">
        <v>50</v>
      </c>
      <c r="B254" s="6" t="s">
        <v>626</v>
      </c>
      <c r="C254" s="6" t="s">
        <v>402</v>
      </c>
      <c r="D254" s="6" t="s">
        <v>106</v>
      </c>
      <c r="E254" s="3" t="str">
        <f t="shared" si="1"/>
        <v>Roland Black</v>
      </c>
      <c r="F254" s="11">
        <v>18660.0</v>
      </c>
      <c r="G254" s="11" t="str">
        <f t="shared" si="6"/>
        <v>18660OVR</v>
      </c>
      <c r="H254" s="12">
        <v>45536.0</v>
      </c>
      <c r="I254" s="12">
        <v>46204.0</v>
      </c>
      <c r="J254" s="12">
        <v>46227.0</v>
      </c>
      <c r="K254" s="6" t="s">
        <v>19</v>
      </c>
      <c r="L254" s="6" t="s">
        <v>514</v>
      </c>
      <c r="M254" s="13">
        <v>6.04</v>
      </c>
      <c r="N254" s="6" t="s">
        <v>625</v>
      </c>
      <c r="O254" s="6"/>
      <c r="P254" s="6"/>
    </row>
    <row r="255" ht="15.75" customHeight="1">
      <c r="A255" s="6" t="s">
        <v>521</v>
      </c>
      <c r="B255" s="6" t="s">
        <v>635</v>
      </c>
      <c r="C255" s="6" t="s">
        <v>554</v>
      </c>
      <c r="D255" s="6" t="s">
        <v>179</v>
      </c>
      <c r="E255" s="3" t="str">
        <f t="shared" si="1"/>
        <v>Kelly Dunn</v>
      </c>
      <c r="F255" s="11">
        <v>18920.0</v>
      </c>
      <c r="G255" s="11" t="str">
        <f t="shared" si="6"/>
        <v>18920OVR</v>
      </c>
      <c r="H255" s="12">
        <v>46204.0</v>
      </c>
      <c r="I255" s="12">
        <v>46387.0</v>
      </c>
      <c r="J255" s="12">
        <v>46227.0</v>
      </c>
      <c r="K255" s="6" t="s">
        <v>19</v>
      </c>
      <c r="L255" s="6" t="s">
        <v>569</v>
      </c>
      <c r="M255" s="13">
        <v>110.0</v>
      </c>
      <c r="N255" s="6" t="s">
        <v>625</v>
      </c>
      <c r="O255" s="6"/>
      <c r="P255" s="6"/>
      <c r="Q255" s="6"/>
    </row>
    <row r="256" ht="15.75" customHeight="1">
      <c r="A256" s="6" t="s">
        <v>521</v>
      </c>
      <c r="B256" s="6" t="s">
        <v>635</v>
      </c>
      <c r="C256" s="6" t="s">
        <v>554</v>
      </c>
      <c r="D256" s="6" t="s">
        <v>179</v>
      </c>
      <c r="E256" s="3" t="str">
        <f t="shared" si="1"/>
        <v>Kelly Dunn</v>
      </c>
      <c r="F256" s="11">
        <v>18920.0</v>
      </c>
      <c r="G256" s="11" t="str">
        <f t="shared" si="6"/>
        <v>18920OVR</v>
      </c>
      <c r="H256" s="12">
        <v>46204.0</v>
      </c>
      <c r="I256" s="12">
        <v>46387.0</v>
      </c>
      <c r="J256" s="12">
        <v>46227.0</v>
      </c>
      <c r="K256" s="6" t="s">
        <v>19</v>
      </c>
      <c r="L256" s="6" t="s">
        <v>556</v>
      </c>
      <c r="M256" s="13">
        <v>-36.25</v>
      </c>
      <c r="N256" s="6" t="s">
        <v>625</v>
      </c>
      <c r="O256" s="6"/>
      <c r="P256" s="6"/>
    </row>
    <row r="257" ht="15.75" customHeight="1">
      <c r="A257" s="6" t="s">
        <v>266</v>
      </c>
      <c r="B257" s="6" t="s">
        <v>627</v>
      </c>
      <c r="C257" s="6" t="s">
        <v>458</v>
      </c>
      <c r="D257" s="6" t="s">
        <v>459</v>
      </c>
      <c r="E257" s="3" t="str">
        <f t="shared" si="1"/>
        <v>Martha Tapia Solorio</v>
      </c>
      <c r="F257" s="11">
        <v>19030.0</v>
      </c>
      <c r="G257" s="11" t="str">
        <f t="shared" si="6"/>
        <v>19030OVR</v>
      </c>
      <c r="H257" s="12">
        <v>45839.0</v>
      </c>
      <c r="I257" s="12">
        <v>46204.0</v>
      </c>
      <c r="J257" s="12">
        <v>46227.0</v>
      </c>
      <c r="K257" s="6" t="s">
        <v>19</v>
      </c>
      <c r="L257" s="6" t="s">
        <v>514</v>
      </c>
      <c r="M257" s="13">
        <v>6.04</v>
      </c>
      <c r="N257" s="6" t="s">
        <v>625</v>
      </c>
      <c r="O257" s="6"/>
      <c r="P257" s="6"/>
    </row>
    <row r="258" ht="15.75" customHeight="1">
      <c r="A258" s="6" t="s">
        <v>50</v>
      </c>
      <c r="B258" s="6" t="s">
        <v>626</v>
      </c>
      <c r="C258" s="6" t="s">
        <v>355</v>
      </c>
      <c r="D258" s="6" t="s">
        <v>356</v>
      </c>
      <c r="E258" s="3" t="str">
        <f t="shared" si="1"/>
        <v>Maria Welshons</v>
      </c>
      <c r="F258" s="11">
        <v>19300.0</v>
      </c>
      <c r="G258" s="11" t="str">
        <f t="shared" si="6"/>
        <v>19300OVR</v>
      </c>
      <c r="H258" s="12">
        <v>45748.0</v>
      </c>
      <c r="I258" s="12">
        <v>46204.0</v>
      </c>
      <c r="J258" s="12">
        <v>46227.0</v>
      </c>
      <c r="K258" s="6" t="s">
        <v>19</v>
      </c>
      <c r="L258" s="6" t="s">
        <v>514</v>
      </c>
      <c r="M258" s="13">
        <v>6.04</v>
      </c>
      <c r="N258" s="6" t="s">
        <v>625</v>
      </c>
      <c r="O258" s="6"/>
      <c r="P258" s="6"/>
    </row>
    <row r="259" ht="15.75" customHeight="1">
      <c r="A259" s="6" t="s">
        <v>50</v>
      </c>
      <c r="B259" s="6" t="s">
        <v>626</v>
      </c>
      <c r="C259" s="6" t="s">
        <v>260</v>
      </c>
      <c r="D259" s="6" t="s">
        <v>432</v>
      </c>
      <c r="E259" s="3" t="str">
        <f t="shared" si="1"/>
        <v>Ann Paulikonis</v>
      </c>
      <c r="F259" s="11">
        <v>19440.0</v>
      </c>
      <c r="G259" s="11" t="str">
        <f t="shared" si="6"/>
        <v>19440OVR</v>
      </c>
      <c r="H259" s="12">
        <v>45901.0</v>
      </c>
      <c r="I259" s="12">
        <v>46204.0</v>
      </c>
      <c r="J259" s="12">
        <v>46227.0</v>
      </c>
      <c r="K259" s="6" t="s">
        <v>19</v>
      </c>
      <c r="L259" s="6" t="s">
        <v>515</v>
      </c>
      <c r="M259" s="13">
        <v>7.81</v>
      </c>
      <c r="N259" s="6" t="s">
        <v>625</v>
      </c>
      <c r="O259" s="6"/>
      <c r="P259" s="6"/>
      <c r="Q259" s="6"/>
    </row>
    <row r="260" ht="15.75" customHeight="1">
      <c r="A260" s="6" t="s">
        <v>50</v>
      </c>
      <c r="B260" s="6" t="s">
        <v>626</v>
      </c>
      <c r="C260" s="6" t="s">
        <v>115</v>
      </c>
      <c r="D260" s="6" t="s">
        <v>52</v>
      </c>
      <c r="E260" s="3" t="str">
        <f t="shared" si="1"/>
        <v>Virginia Allen</v>
      </c>
      <c r="F260" s="11">
        <v>19830.0</v>
      </c>
      <c r="G260" s="11" t="str">
        <f t="shared" si="6"/>
        <v>19830OVR</v>
      </c>
      <c r="H260" s="12">
        <v>45658.0</v>
      </c>
      <c r="I260" s="12">
        <v>46204.0</v>
      </c>
      <c r="J260" s="12">
        <v>46227.0</v>
      </c>
      <c r="K260" s="6" t="s">
        <v>19</v>
      </c>
      <c r="L260" s="6" t="s">
        <v>514</v>
      </c>
      <c r="M260" s="13">
        <v>6.04</v>
      </c>
      <c r="N260" s="6" t="s">
        <v>625</v>
      </c>
      <c r="O260" s="6"/>
      <c r="P260" s="6"/>
    </row>
    <row r="261" ht="15.75" customHeight="1">
      <c r="A261" s="6" t="s">
        <v>50</v>
      </c>
      <c r="B261" s="6" t="s">
        <v>626</v>
      </c>
      <c r="C261" s="6" t="s">
        <v>66</v>
      </c>
      <c r="D261" s="6" t="s">
        <v>67</v>
      </c>
      <c r="E261" s="3" t="str">
        <f t="shared" si="1"/>
        <v>Peggy Housley</v>
      </c>
      <c r="F261" s="11">
        <v>19870.0</v>
      </c>
      <c r="G261" s="11" t="str">
        <f t="shared" si="6"/>
        <v>19870OVR</v>
      </c>
      <c r="H261" s="12">
        <v>45444.0</v>
      </c>
      <c r="I261" s="12">
        <v>46204.0</v>
      </c>
      <c r="J261" s="12">
        <v>46227.0</v>
      </c>
      <c r="K261" s="6" t="s">
        <v>19</v>
      </c>
      <c r="L261" s="6" t="s">
        <v>514</v>
      </c>
      <c r="M261" s="13">
        <v>6.04</v>
      </c>
      <c r="N261" s="6" t="s">
        <v>625</v>
      </c>
      <c r="O261" s="6"/>
      <c r="P261" s="6"/>
    </row>
    <row r="262" ht="15.75" customHeight="1">
      <c r="A262" s="6" t="s">
        <v>50</v>
      </c>
      <c r="B262" s="6" t="s">
        <v>626</v>
      </c>
      <c r="C262" s="6" t="s">
        <v>293</v>
      </c>
      <c r="D262" s="6" t="s">
        <v>294</v>
      </c>
      <c r="E262" s="3" t="str">
        <f t="shared" si="1"/>
        <v>Nicholas Sacco</v>
      </c>
      <c r="F262" s="11">
        <v>20880.0</v>
      </c>
      <c r="G262" s="11" t="str">
        <f t="shared" si="6"/>
        <v>20880OVR</v>
      </c>
      <c r="H262" s="12">
        <v>45658.0</v>
      </c>
      <c r="I262" s="12">
        <v>46204.0</v>
      </c>
      <c r="J262" s="12">
        <v>46227.0</v>
      </c>
      <c r="K262" s="6" t="s">
        <v>19</v>
      </c>
      <c r="L262" s="6" t="s">
        <v>514</v>
      </c>
      <c r="M262" s="13">
        <v>6.04</v>
      </c>
      <c r="N262" s="6" t="s">
        <v>625</v>
      </c>
      <c r="O262" s="6"/>
      <c r="P262" s="6"/>
    </row>
    <row r="263" ht="15.75" customHeight="1">
      <c r="A263" s="6" t="s">
        <v>50</v>
      </c>
      <c r="B263" s="6" t="s">
        <v>626</v>
      </c>
      <c r="C263" s="6" t="s">
        <v>437</v>
      </c>
      <c r="D263" s="6" t="s">
        <v>438</v>
      </c>
      <c r="E263" s="3" t="str">
        <f t="shared" si="1"/>
        <v>Meryle Brucker</v>
      </c>
      <c r="F263" s="11">
        <v>21100.0</v>
      </c>
      <c r="G263" s="11" t="str">
        <f t="shared" si="6"/>
        <v>21100OVR</v>
      </c>
      <c r="H263" s="12">
        <v>45597.0</v>
      </c>
      <c r="I263" s="12">
        <v>46204.0</v>
      </c>
      <c r="J263" s="12">
        <v>46227.0</v>
      </c>
      <c r="K263" s="6" t="s">
        <v>19</v>
      </c>
      <c r="L263" s="6" t="s">
        <v>514</v>
      </c>
      <c r="M263" s="13">
        <v>6.04</v>
      </c>
      <c r="N263" s="6" t="s">
        <v>625</v>
      </c>
      <c r="O263" s="6"/>
      <c r="P263" s="6"/>
    </row>
    <row r="264" ht="15.75" customHeight="1">
      <c r="A264" s="6" t="s">
        <v>50</v>
      </c>
      <c r="B264" s="6" t="s">
        <v>626</v>
      </c>
      <c r="C264" s="6" t="s">
        <v>119</v>
      </c>
      <c r="D264" s="6" t="s">
        <v>120</v>
      </c>
      <c r="E264" s="3" t="str">
        <f t="shared" si="1"/>
        <v>Terry Bain</v>
      </c>
      <c r="F264" s="11">
        <v>23380.0</v>
      </c>
      <c r="G264" s="11" t="str">
        <f t="shared" si="6"/>
        <v>23380OVR</v>
      </c>
      <c r="H264" s="12">
        <v>45778.0</v>
      </c>
      <c r="I264" s="12">
        <v>46204.0</v>
      </c>
      <c r="J264" s="12">
        <v>46227.0</v>
      </c>
      <c r="K264" s="6" t="s">
        <v>19</v>
      </c>
      <c r="L264" s="6" t="s">
        <v>514</v>
      </c>
      <c r="M264" s="13">
        <v>6.04</v>
      </c>
      <c r="N264" s="6" t="s">
        <v>625</v>
      </c>
      <c r="O264" s="6"/>
      <c r="P264" s="6"/>
    </row>
    <row r="265" ht="15.75" customHeight="1">
      <c r="A265" s="6" t="s">
        <v>50</v>
      </c>
      <c r="B265" s="6" t="s">
        <v>626</v>
      </c>
      <c r="C265" s="6" t="s">
        <v>365</v>
      </c>
      <c r="D265" s="6" t="s">
        <v>366</v>
      </c>
      <c r="E265" s="3" t="str">
        <f t="shared" si="1"/>
        <v>Cathy Zelina</v>
      </c>
      <c r="F265" s="11">
        <v>23440.0</v>
      </c>
      <c r="G265" s="11" t="str">
        <f t="shared" si="6"/>
        <v>23440OVR</v>
      </c>
      <c r="H265" s="12">
        <v>45139.0</v>
      </c>
      <c r="I265" s="12">
        <v>46204.0</v>
      </c>
      <c r="J265" s="12">
        <v>46227.0</v>
      </c>
      <c r="K265" s="6" t="s">
        <v>19</v>
      </c>
      <c r="L265" s="6" t="s">
        <v>514</v>
      </c>
      <c r="M265" s="13">
        <v>6.04</v>
      </c>
      <c r="N265" s="6" t="s">
        <v>625</v>
      </c>
      <c r="O265" s="6"/>
      <c r="P265" s="6"/>
    </row>
    <row r="266" ht="15.75" customHeight="1">
      <c r="A266" s="6" t="s">
        <v>50</v>
      </c>
      <c r="B266" s="6" t="s">
        <v>626</v>
      </c>
      <c r="C266" s="6" t="s">
        <v>176</v>
      </c>
      <c r="D266" s="6" t="s">
        <v>174</v>
      </c>
      <c r="E266" s="3" t="str">
        <f t="shared" si="1"/>
        <v>Kevin Duffy</v>
      </c>
      <c r="F266" s="11">
        <v>23500.0</v>
      </c>
      <c r="G266" s="11" t="str">
        <f t="shared" si="6"/>
        <v>23500OVR</v>
      </c>
      <c r="H266" s="12">
        <v>45931.0</v>
      </c>
      <c r="I266" s="12">
        <v>46204.0</v>
      </c>
      <c r="J266" s="12">
        <v>46227.0</v>
      </c>
      <c r="K266" s="6" t="s">
        <v>19</v>
      </c>
      <c r="L266" s="6" t="s">
        <v>514</v>
      </c>
      <c r="M266" s="13">
        <v>9.06</v>
      </c>
      <c r="N266" s="6" t="s">
        <v>625</v>
      </c>
      <c r="O266" s="6"/>
      <c r="P266" s="6"/>
      <c r="Q266" s="6"/>
    </row>
    <row r="267" ht="15.75" customHeight="1">
      <c r="A267" s="6" t="s">
        <v>50</v>
      </c>
      <c r="B267" s="6" t="s">
        <v>626</v>
      </c>
      <c r="C267" s="6" t="s">
        <v>230</v>
      </c>
      <c r="D267" s="6" t="s">
        <v>217</v>
      </c>
      <c r="E267" s="3" t="str">
        <f t="shared" si="1"/>
        <v>Christopher Lauff</v>
      </c>
      <c r="F267" s="11">
        <v>23630.0</v>
      </c>
      <c r="G267" s="11" t="str">
        <f t="shared" si="6"/>
        <v>23630OVR</v>
      </c>
      <c r="H267" s="12">
        <v>45748.0</v>
      </c>
      <c r="I267" s="12">
        <v>46204.0</v>
      </c>
      <c r="J267" s="12">
        <v>46227.0</v>
      </c>
      <c r="K267" s="6" t="s">
        <v>19</v>
      </c>
      <c r="L267" s="6" t="s">
        <v>514</v>
      </c>
      <c r="M267" s="13">
        <v>6.04</v>
      </c>
      <c r="N267" s="6" t="s">
        <v>625</v>
      </c>
      <c r="O267" s="6"/>
      <c r="P267" s="6"/>
    </row>
    <row r="268" ht="15.75" customHeight="1">
      <c r="A268" s="6" t="s">
        <v>50</v>
      </c>
      <c r="B268" s="6" t="s">
        <v>626</v>
      </c>
      <c r="C268" s="6" t="s">
        <v>188</v>
      </c>
      <c r="D268" s="6" t="s">
        <v>303</v>
      </c>
      <c r="E268" s="3" t="str">
        <f t="shared" si="1"/>
        <v>Charles Scribner</v>
      </c>
      <c r="F268" s="11">
        <v>23970.0</v>
      </c>
      <c r="G268" s="11" t="str">
        <f t="shared" si="6"/>
        <v>23970OVR</v>
      </c>
      <c r="H268" s="12">
        <v>45748.0</v>
      </c>
      <c r="I268" s="12">
        <v>46204.0</v>
      </c>
      <c r="J268" s="12">
        <v>46227.0</v>
      </c>
      <c r="K268" s="6" t="s">
        <v>19</v>
      </c>
      <c r="L268" s="6" t="s">
        <v>514</v>
      </c>
      <c r="M268" s="13">
        <v>6.04</v>
      </c>
      <c r="N268" s="6" t="s">
        <v>625</v>
      </c>
      <c r="O268" s="6"/>
      <c r="P268" s="6"/>
    </row>
    <row r="269" ht="15.75" customHeight="1">
      <c r="A269" s="6" t="s">
        <v>50</v>
      </c>
      <c r="B269" s="6" t="s">
        <v>626</v>
      </c>
      <c r="C269" s="6" t="s">
        <v>296</v>
      </c>
      <c r="D269" s="6" t="s">
        <v>297</v>
      </c>
      <c r="E269" s="3" t="str">
        <f t="shared" si="1"/>
        <v>Randall Santucci</v>
      </c>
      <c r="F269" s="11">
        <v>24550.0</v>
      </c>
      <c r="G269" s="11" t="str">
        <f t="shared" si="6"/>
        <v>24550OVR</v>
      </c>
      <c r="H269" s="12">
        <v>45627.0</v>
      </c>
      <c r="I269" s="12">
        <v>46204.0</v>
      </c>
      <c r="J269" s="12">
        <v>46227.0</v>
      </c>
      <c r="K269" s="6" t="s">
        <v>19</v>
      </c>
      <c r="L269" s="6" t="s">
        <v>514</v>
      </c>
      <c r="M269" s="13">
        <v>6.04</v>
      </c>
      <c r="N269" s="6" t="s">
        <v>625</v>
      </c>
      <c r="O269" s="6"/>
      <c r="P269" s="6"/>
    </row>
    <row r="270" ht="15.75" customHeight="1">
      <c r="A270" s="6" t="s">
        <v>50</v>
      </c>
      <c r="B270" s="6" t="s">
        <v>626</v>
      </c>
      <c r="C270" s="6" t="s">
        <v>28</v>
      </c>
      <c r="D270" s="6" t="s">
        <v>377</v>
      </c>
      <c r="E270" s="3" t="str">
        <f t="shared" si="1"/>
        <v>Beverly Zorich</v>
      </c>
      <c r="F270" s="11">
        <v>25290.0</v>
      </c>
      <c r="G270" s="11" t="str">
        <f t="shared" si="6"/>
        <v>25290OVR</v>
      </c>
      <c r="H270" s="12">
        <v>45292.0</v>
      </c>
      <c r="I270" s="12">
        <v>46204.0</v>
      </c>
      <c r="J270" s="12">
        <v>46227.0</v>
      </c>
      <c r="K270" s="6" t="s">
        <v>19</v>
      </c>
      <c r="L270" s="6" t="s">
        <v>514</v>
      </c>
      <c r="M270" s="13">
        <v>6.04</v>
      </c>
      <c r="N270" s="6" t="s">
        <v>625</v>
      </c>
      <c r="O270" s="6"/>
      <c r="P270" s="6"/>
    </row>
    <row r="271" ht="15.75" customHeight="1">
      <c r="A271" s="6" t="s">
        <v>50</v>
      </c>
      <c r="B271" s="6" t="s">
        <v>626</v>
      </c>
      <c r="C271" s="6" t="s">
        <v>40</v>
      </c>
      <c r="D271" s="6" t="s">
        <v>192</v>
      </c>
      <c r="E271" s="3" t="str">
        <f t="shared" si="1"/>
        <v>John Lynn</v>
      </c>
      <c r="F271" s="11">
        <v>26000.0</v>
      </c>
      <c r="G271" s="11" t="str">
        <f t="shared" si="6"/>
        <v>26000OVR</v>
      </c>
      <c r="H271" s="12">
        <v>45474.0</v>
      </c>
      <c r="I271" s="12">
        <v>46204.0</v>
      </c>
      <c r="J271" s="12">
        <v>46227.0</v>
      </c>
      <c r="K271" s="6" t="s">
        <v>19</v>
      </c>
      <c r="L271" s="6" t="s">
        <v>514</v>
      </c>
      <c r="M271" s="13">
        <v>6.04</v>
      </c>
      <c r="N271" s="6" t="s">
        <v>625</v>
      </c>
      <c r="O271" s="6"/>
      <c r="P271" s="6"/>
    </row>
    <row r="272" ht="15.75" customHeight="1">
      <c r="A272" s="6" t="s">
        <v>50</v>
      </c>
      <c r="B272" s="6" t="s">
        <v>626</v>
      </c>
      <c r="C272" s="6" t="s">
        <v>173</v>
      </c>
      <c r="D272" s="6" t="s">
        <v>174</v>
      </c>
      <c r="E272" s="3" t="str">
        <f t="shared" si="1"/>
        <v>Jody Duffy</v>
      </c>
      <c r="F272" s="11">
        <v>27030.0</v>
      </c>
      <c r="G272" s="11" t="str">
        <f t="shared" si="6"/>
        <v>27030OVR</v>
      </c>
      <c r="H272" s="12">
        <v>45931.0</v>
      </c>
      <c r="I272" s="12">
        <v>46204.0</v>
      </c>
      <c r="J272" s="12">
        <v>46227.0</v>
      </c>
      <c r="K272" s="6" t="s">
        <v>19</v>
      </c>
      <c r="L272" s="6" t="s">
        <v>514</v>
      </c>
      <c r="M272" s="13">
        <v>9.06</v>
      </c>
      <c r="N272" s="6" t="s">
        <v>625</v>
      </c>
      <c r="O272" s="6"/>
      <c r="P272" s="6"/>
      <c r="Q272" s="6"/>
    </row>
    <row r="273" ht="15.75" customHeight="1">
      <c r="A273" s="6" t="s">
        <v>50</v>
      </c>
      <c r="B273" s="6" t="s">
        <v>626</v>
      </c>
      <c r="C273" s="6" t="s">
        <v>72</v>
      </c>
      <c r="D273" s="6" t="s">
        <v>210</v>
      </c>
      <c r="E273" s="3" t="str">
        <f t="shared" si="1"/>
        <v>Thomas Gulish</v>
      </c>
      <c r="F273" s="11">
        <v>27050.0</v>
      </c>
      <c r="G273" s="11" t="str">
        <f t="shared" si="6"/>
        <v>27050OVR</v>
      </c>
      <c r="H273" s="12">
        <v>45078.0</v>
      </c>
      <c r="I273" s="12">
        <v>46204.0</v>
      </c>
      <c r="J273" s="12">
        <v>46227.0</v>
      </c>
      <c r="K273" s="6" t="s">
        <v>19</v>
      </c>
      <c r="L273" s="6" t="s">
        <v>514</v>
      </c>
      <c r="M273" s="13">
        <v>6.04</v>
      </c>
      <c r="N273" s="6" t="s">
        <v>625</v>
      </c>
      <c r="O273" s="6"/>
      <c r="P273" s="6"/>
    </row>
    <row r="274" ht="15.75" customHeight="1">
      <c r="A274" s="6" t="s">
        <v>50</v>
      </c>
      <c r="B274" s="6" t="s">
        <v>626</v>
      </c>
      <c r="C274" s="6" t="s">
        <v>333</v>
      </c>
      <c r="D274" s="6" t="s">
        <v>397</v>
      </c>
      <c r="E274" s="3" t="str">
        <f t="shared" si="1"/>
        <v>Susan Schaefer</v>
      </c>
      <c r="F274" s="11">
        <v>27480.0</v>
      </c>
      <c r="G274" s="11" t="str">
        <f t="shared" si="6"/>
        <v>27480OVR</v>
      </c>
      <c r="H274" s="12">
        <v>45658.0</v>
      </c>
      <c r="I274" s="12">
        <v>46204.0</v>
      </c>
      <c r="J274" s="12">
        <v>46227.0</v>
      </c>
      <c r="K274" s="6" t="s">
        <v>19</v>
      </c>
      <c r="L274" s="6" t="s">
        <v>514</v>
      </c>
      <c r="M274" s="13">
        <v>6.04</v>
      </c>
      <c r="N274" s="6" t="s">
        <v>625</v>
      </c>
      <c r="O274" s="6"/>
      <c r="P274" s="6"/>
    </row>
    <row r="275" ht="15.75" customHeight="1">
      <c r="A275" s="6" t="s">
        <v>575</v>
      </c>
      <c r="B275" s="6" t="s">
        <v>632</v>
      </c>
      <c r="C275" s="6" t="s">
        <v>69</v>
      </c>
      <c r="D275" s="6" t="s">
        <v>586</v>
      </c>
      <c r="E275" s="3" t="str">
        <f t="shared" si="1"/>
        <v>James Mullen</v>
      </c>
      <c r="F275" s="11">
        <v>27710.0</v>
      </c>
      <c r="G275" s="11" t="str">
        <f t="shared" si="6"/>
        <v>27710OVR</v>
      </c>
      <c r="H275" s="12">
        <v>46204.0</v>
      </c>
      <c r="I275" s="12">
        <v>46387.0</v>
      </c>
      <c r="J275" s="12">
        <v>46227.0</v>
      </c>
      <c r="K275" s="6" t="s">
        <v>19</v>
      </c>
      <c r="L275" s="6" t="s">
        <v>549</v>
      </c>
      <c r="M275" s="13">
        <v>73.75</v>
      </c>
      <c r="N275" s="6" t="s">
        <v>625</v>
      </c>
      <c r="O275" s="6"/>
      <c r="P275" s="6"/>
    </row>
    <row r="276" ht="15.75" customHeight="1">
      <c r="A276" s="6" t="s">
        <v>50</v>
      </c>
      <c r="B276" s="6" t="s">
        <v>626</v>
      </c>
      <c r="C276" s="6" t="s">
        <v>51</v>
      </c>
      <c r="D276" s="6" t="s">
        <v>207</v>
      </c>
      <c r="E276" s="3" t="str">
        <f t="shared" si="1"/>
        <v>Robert Gilbert</v>
      </c>
      <c r="F276" s="11">
        <v>28840.0</v>
      </c>
      <c r="G276" s="11" t="str">
        <f t="shared" si="6"/>
        <v>28840OVR</v>
      </c>
      <c r="H276" s="12">
        <v>45658.0</v>
      </c>
      <c r="I276" s="12">
        <v>46204.0</v>
      </c>
      <c r="J276" s="12">
        <v>46227.0</v>
      </c>
      <c r="K276" s="6" t="s">
        <v>19</v>
      </c>
      <c r="L276" s="6" t="s">
        <v>514</v>
      </c>
      <c r="M276" s="13">
        <v>6.04</v>
      </c>
      <c r="N276" s="6" t="s">
        <v>625</v>
      </c>
      <c r="O276" s="6"/>
      <c r="P276" s="6"/>
    </row>
    <row r="277" ht="15.75" customHeight="1">
      <c r="A277" s="6" t="s">
        <v>575</v>
      </c>
      <c r="B277" s="6" t="s">
        <v>632</v>
      </c>
      <c r="C277" s="6" t="s">
        <v>122</v>
      </c>
      <c r="D277" s="6" t="s">
        <v>597</v>
      </c>
      <c r="E277" s="3" t="str">
        <f t="shared" si="1"/>
        <v>Patricia Yaklich</v>
      </c>
      <c r="F277" s="11">
        <v>29410.0</v>
      </c>
      <c r="G277" s="11" t="str">
        <f t="shared" si="6"/>
        <v>29410OVR</v>
      </c>
      <c r="H277" s="12">
        <v>46266.0</v>
      </c>
      <c r="I277" s="12">
        <v>46387.0</v>
      </c>
      <c r="J277" s="12">
        <v>46227.0</v>
      </c>
      <c r="K277" s="6" t="s">
        <v>19</v>
      </c>
      <c r="L277" s="6" t="s">
        <v>580</v>
      </c>
      <c r="M277" s="13">
        <v>24.17</v>
      </c>
      <c r="N277" s="6" t="s">
        <v>625</v>
      </c>
      <c r="O277" s="6"/>
      <c r="P277" s="6"/>
    </row>
    <row r="278" ht="15.75" customHeight="1">
      <c r="A278" s="6" t="s">
        <v>50</v>
      </c>
      <c r="B278" s="6" t="s">
        <v>626</v>
      </c>
      <c r="C278" s="6" t="s">
        <v>133</v>
      </c>
      <c r="D278" s="6" t="s">
        <v>134</v>
      </c>
      <c r="E278" s="3" t="str">
        <f t="shared" si="1"/>
        <v>Michael Beck</v>
      </c>
      <c r="F278" s="11">
        <v>30390.0</v>
      </c>
      <c r="G278" s="11" t="str">
        <f t="shared" si="6"/>
        <v>30390OVR</v>
      </c>
      <c r="H278" s="12">
        <v>45689.0</v>
      </c>
      <c r="I278" s="12">
        <v>46204.0</v>
      </c>
      <c r="J278" s="12">
        <v>46227.0</v>
      </c>
      <c r="K278" s="6" t="s">
        <v>19</v>
      </c>
      <c r="L278" s="6" t="s">
        <v>514</v>
      </c>
      <c r="M278" s="13">
        <v>6.04</v>
      </c>
      <c r="N278" s="6" t="s">
        <v>625</v>
      </c>
      <c r="O278" s="6"/>
      <c r="P278" s="6"/>
    </row>
    <row r="279" ht="15.75" customHeight="1">
      <c r="A279" s="6" t="s">
        <v>488</v>
      </c>
      <c r="B279" s="6" t="s">
        <v>628</v>
      </c>
      <c r="C279" s="6" t="s">
        <v>492</v>
      </c>
      <c r="D279" s="6" t="s">
        <v>493</v>
      </c>
      <c r="E279" s="3" t="str">
        <f t="shared" si="1"/>
        <v>Bryon Rohrbach</v>
      </c>
      <c r="F279" s="11">
        <v>30500.0</v>
      </c>
      <c r="G279" s="11" t="str">
        <f t="shared" si="6"/>
        <v>30500OVR</v>
      </c>
      <c r="H279" s="12">
        <v>45292.0</v>
      </c>
      <c r="I279" s="12">
        <v>46204.0</v>
      </c>
      <c r="J279" s="12">
        <v>46227.0</v>
      </c>
      <c r="K279" s="6" t="s">
        <v>19</v>
      </c>
      <c r="L279" s="6" t="s">
        <v>514</v>
      </c>
      <c r="M279" s="13">
        <v>6.04</v>
      </c>
      <c r="N279" s="6" t="s">
        <v>625</v>
      </c>
      <c r="O279" s="6"/>
      <c r="P279" s="6"/>
    </row>
    <row r="280" ht="15.75" customHeight="1">
      <c r="A280" s="6" t="s">
        <v>50</v>
      </c>
      <c r="B280" s="6" t="s">
        <v>626</v>
      </c>
      <c r="C280" s="6" t="s">
        <v>43</v>
      </c>
      <c r="D280" s="6" t="s">
        <v>108</v>
      </c>
      <c r="E280" s="3" t="str">
        <f t="shared" si="1"/>
        <v>Joseph Wokutch</v>
      </c>
      <c r="F280" s="11">
        <v>30610.0</v>
      </c>
      <c r="G280" s="11" t="str">
        <f t="shared" si="6"/>
        <v>30610OVR</v>
      </c>
      <c r="H280" s="12">
        <v>45170.0</v>
      </c>
      <c r="I280" s="12">
        <v>46204.0</v>
      </c>
      <c r="J280" s="12">
        <v>46227.0</v>
      </c>
      <c r="K280" s="6" t="s">
        <v>19</v>
      </c>
      <c r="L280" s="6" t="s">
        <v>514</v>
      </c>
      <c r="M280" s="13">
        <v>6.04</v>
      </c>
      <c r="N280" s="6" t="s">
        <v>625</v>
      </c>
      <c r="O280" s="6"/>
      <c r="P280" s="6"/>
    </row>
    <row r="281" ht="15.75" customHeight="1">
      <c r="A281" s="6" t="s">
        <v>50</v>
      </c>
      <c r="B281" s="6" t="s">
        <v>626</v>
      </c>
      <c r="C281" s="6" t="s">
        <v>276</v>
      </c>
      <c r="D281" s="6" t="s">
        <v>277</v>
      </c>
      <c r="E281" s="3" t="str">
        <f t="shared" si="1"/>
        <v>Victoria Rasbach</v>
      </c>
      <c r="F281" s="11">
        <v>31860.0</v>
      </c>
      <c r="G281" s="11" t="str">
        <f t="shared" si="6"/>
        <v>31860OVR</v>
      </c>
      <c r="H281" s="12">
        <v>45536.0</v>
      </c>
      <c r="I281" s="12">
        <v>46204.0</v>
      </c>
      <c r="J281" s="12">
        <v>46227.0</v>
      </c>
      <c r="K281" s="6" t="s">
        <v>19</v>
      </c>
      <c r="L281" s="6" t="s">
        <v>514</v>
      </c>
      <c r="M281" s="13">
        <v>6.04</v>
      </c>
      <c r="N281" s="6" t="s">
        <v>625</v>
      </c>
      <c r="O281" s="6"/>
      <c r="P281" s="6"/>
    </row>
    <row r="282" ht="15.75" customHeight="1">
      <c r="A282" s="6" t="s">
        <v>50</v>
      </c>
      <c r="B282" s="6" t="s">
        <v>626</v>
      </c>
      <c r="C282" s="6" t="s">
        <v>434</v>
      </c>
      <c r="D282" s="6" t="s">
        <v>435</v>
      </c>
      <c r="E282" s="3" t="str">
        <f t="shared" si="1"/>
        <v>Dennis Pegher</v>
      </c>
      <c r="F282" s="11">
        <v>31880.0</v>
      </c>
      <c r="G282" s="11" t="str">
        <f t="shared" si="6"/>
        <v>31880OVR</v>
      </c>
      <c r="H282" s="12">
        <v>45809.0</v>
      </c>
      <c r="I282" s="12">
        <v>46204.0</v>
      </c>
      <c r="J282" s="12">
        <v>46227.0</v>
      </c>
      <c r="K282" s="6" t="s">
        <v>19</v>
      </c>
      <c r="L282" s="6" t="s">
        <v>515</v>
      </c>
      <c r="M282" s="13">
        <v>5.2</v>
      </c>
      <c r="N282" s="6" t="s">
        <v>625</v>
      </c>
      <c r="O282" s="6"/>
      <c r="P282" s="6"/>
      <c r="Q282" s="6"/>
    </row>
    <row r="283" ht="15.75" customHeight="1">
      <c r="A283" s="6" t="s">
        <v>50</v>
      </c>
      <c r="B283" s="6" t="s">
        <v>626</v>
      </c>
      <c r="C283" s="6" t="s">
        <v>411</v>
      </c>
      <c r="D283" s="6" t="s">
        <v>412</v>
      </c>
      <c r="E283" s="3" t="str">
        <f t="shared" si="1"/>
        <v>Melanie Leech</v>
      </c>
      <c r="F283" s="11">
        <v>31930.0</v>
      </c>
      <c r="G283" s="11" t="str">
        <f t="shared" si="6"/>
        <v>31930OVR</v>
      </c>
      <c r="H283" s="12">
        <v>45413.0</v>
      </c>
      <c r="I283" s="12">
        <v>46204.0</v>
      </c>
      <c r="J283" s="12">
        <v>46227.0</v>
      </c>
      <c r="K283" s="6" t="s">
        <v>19</v>
      </c>
      <c r="L283" s="6" t="s">
        <v>514</v>
      </c>
      <c r="M283" s="13">
        <v>6.04</v>
      </c>
      <c r="N283" s="6" t="s">
        <v>625</v>
      </c>
      <c r="O283" s="6"/>
      <c r="P283" s="6"/>
    </row>
    <row r="284" ht="15.75" customHeight="1">
      <c r="A284" s="6" t="s">
        <v>50</v>
      </c>
      <c r="B284" s="6" t="s">
        <v>626</v>
      </c>
      <c r="C284" s="6" t="s">
        <v>181</v>
      </c>
      <c r="D284" s="6" t="s">
        <v>182</v>
      </c>
      <c r="E284" s="3" t="str">
        <f t="shared" si="1"/>
        <v>Aldo Famoso</v>
      </c>
      <c r="F284" s="11">
        <v>32410.0</v>
      </c>
      <c r="G284" s="11" t="str">
        <f t="shared" si="6"/>
        <v>32410OVR</v>
      </c>
      <c r="H284" s="12">
        <v>45658.0</v>
      </c>
      <c r="I284" s="12">
        <v>46204.0</v>
      </c>
      <c r="J284" s="12">
        <v>46227.0</v>
      </c>
      <c r="K284" s="6" t="s">
        <v>19</v>
      </c>
      <c r="L284" s="6" t="s">
        <v>514</v>
      </c>
      <c r="M284" s="13">
        <v>6.04</v>
      </c>
      <c r="N284" s="6" t="s">
        <v>625</v>
      </c>
      <c r="O284" s="6"/>
      <c r="P284" s="6"/>
    </row>
    <row r="285" ht="15.75" customHeight="1">
      <c r="A285" s="6" t="s">
        <v>50</v>
      </c>
      <c r="B285" s="6" t="s">
        <v>626</v>
      </c>
      <c r="C285" s="6" t="s">
        <v>384</v>
      </c>
      <c r="D285" s="6" t="s">
        <v>385</v>
      </c>
      <c r="E285" s="3" t="str">
        <f t="shared" si="1"/>
        <v>Edward Boni</v>
      </c>
      <c r="F285" s="11">
        <v>32450.0</v>
      </c>
      <c r="G285" s="11" t="str">
        <f t="shared" si="6"/>
        <v>32450OVR</v>
      </c>
      <c r="H285" s="12">
        <v>44927.0</v>
      </c>
      <c r="I285" s="12">
        <v>46204.0</v>
      </c>
      <c r="J285" s="12">
        <v>46227.0</v>
      </c>
      <c r="K285" s="6" t="s">
        <v>19</v>
      </c>
      <c r="L285" s="6" t="s">
        <v>514</v>
      </c>
      <c r="M285" s="13">
        <v>6.04</v>
      </c>
      <c r="N285" s="6" t="s">
        <v>625</v>
      </c>
      <c r="O285" s="6"/>
      <c r="P285" s="6"/>
    </row>
    <row r="286" ht="15.75" customHeight="1">
      <c r="A286" s="6" t="s">
        <v>50</v>
      </c>
      <c r="B286" s="6" t="s">
        <v>626</v>
      </c>
      <c r="C286" s="6" t="s">
        <v>290</v>
      </c>
      <c r="D286" s="6" t="s">
        <v>291</v>
      </c>
      <c r="E286" s="3" t="str">
        <f t="shared" si="1"/>
        <v>Denise Rumpf</v>
      </c>
      <c r="F286" s="11">
        <v>32690.0</v>
      </c>
      <c r="G286" s="11" t="str">
        <f t="shared" si="6"/>
        <v>32690OVR</v>
      </c>
      <c r="H286" s="12">
        <v>45809.0</v>
      </c>
      <c r="I286" s="12">
        <v>46204.0</v>
      </c>
      <c r="J286" s="12">
        <v>46227.0</v>
      </c>
      <c r="K286" s="6" t="s">
        <v>19</v>
      </c>
      <c r="L286" s="6" t="s">
        <v>514</v>
      </c>
      <c r="M286" s="13">
        <v>6.04</v>
      </c>
      <c r="N286" s="6" t="s">
        <v>625</v>
      </c>
      <c r="O286" s="6"/>
      <c r="P286" s="6"/>
    </row>
    <row r="287" ht="15.75" customHeight="1">
      <c r="A287" s="6" t="s">
        <v>530</v>
      </c>
      <c r="B287" s="6" t="s">
        <v>629</v>
      </c>
      <c r="C287" s="6" t="s">
        <v>534</v>
      </c>
      <c r="D287" s="6" t="s">
        <v>535</v>
      </c>
      <c r="E287" s="3" t="str">
        <f t="shared" si="1"/>
        <v>Jean Bowen</v>
      </c>
      <c r="F287" s="11">
        <v>32830.0</v>
      </c>
      <c r="G287" s="11" t="str">
        <f t="shared" si="6"/>
        <v>32830OVR</v>
      </c>
      <c r="H287" s="12">
        <v>45108.0</v>
      </c>
      <c r="I287" s="12">
        <v>46204.0</v>
      </c>
      <c r="J287" s="12">
        <v>46227.0</v>
      </c>
      <c r="K287" s="6" t="s">
        <v>19</v>
      </c>
      <c r="L287" s="6" t="s">
        <v>514</v>
      </c>
      <c r="M287" s="13">
        <v>6.04</v>
      </c>
      <c r="N287" s="6" t="s">
        <v>625</v>
      </c>
      <c r="O287" s="6"/>
      <c r="P287" s="6"/>
    </row>
    <row r="288" ht="15.75" customHeight="1">
      <c r="A288" s="6" t="s">
        <v>50</v>
      </c>
      <c r="B288" s="6" t="s">
        <v>626</v>
      </c>
      <c r="C288" s="6" t="s">
        <v>248</v>
      </c>
      <c r="D288" s="6" t="s">
        <v>249</v>
      </c>
      <c r="E288" s="3" t="str">
        <f t="shared" si="1"/>
        <v>Kenneth Mcgregor</v>
      </c>
      <c r="F288" s="11">
        <v>33640.0</v>
      </c>
      <c r="G288" s="11" t="str">
        <f t="shared" si="6"/>
        <v>33640OVR</v>
      </c>
      <c r="H288" s="12">
        <v>45413.0</v>
      </c>
      <c r="I288" s="12">
        <v>46204.0</v>
      </c>
      <c r="J288" s="12">
        <v>46227.0</v>
      </c>
      <c r="K288" s="6" t="s">
        <v>19</v>
      </c>
      <c r="L288" s="6" t="s">
        <v>514</v>
      </c>
      <c r="M288" s="13">
        <v>6.04</v>
      </c>
      <c r="N288" s="6" t="s">
        <v>625</v>
      </c>
      <c r="O288" s="6"/>
      <c r="P288" s="6"/>
    </row>
    <row r="289" ht="15.75" customHeight="1">
      <c r="A289" s="6" t="s">
        <v>50</v>
      </c>
      <c r="B289" s="6" t="s">
        <v>626</v>
      </c>
      <c r="C289" s="6" t="s">
        <v>122</v>
      </c>
      <c r="D289" s="6" t="s">
        <v>123</v>
      </c>
      <c r="E289" s="3" t="str">
        <f t="shared" si="1"/>
        <v>Patricia Barry</v>
      </c>
      <c r="F289" s="11">
        <v>33810.0</v>
      </c>
      <c r="G289" s="11" t="str">
        <f t="shared" si="6"/>
        <v>33810OVR</v>
      </c>
      <c r="H289" s="12">
        <v>43831.0</v>
      </c>
      <c r="I289" s="12">
        <v>46204.0</v>
      </c>
      <c r="J289" s="12">
        <v>46227.0</v>
      </c>
      <c r="K289" s="6" t="s">
        <v>19</v>
      </c>
      <c r="L289" s="6" t="s">
        <v>514</v>
      </c>
      <c r="M289" s="13">
        <v>6.04</v>
      </c>
      <c r="N289" s="6" t="s">
        <v>625</v>
      </c>
      <c r="O289" s="6"/>
      <c r="P289" s="6"/>
    </row>
    <row r="290" ht="15.75" customHeight="1">
      <c r="A290" s="6" t="s">
        <v>50</v>
      </c>
      <c r="B290" s="6" t="s">
        <v>626</v>
      </c>
      <c r="C290" s="6" t="s">
        <v>75</v>
      </c>
      <c r="D290" s="6" t="s">
        <v>76</v>
      </c>
      <c r="E290" s="3" t="str">
        <f t="shared" si="1"/>
        <v>Joyce Kweder</v>
      </c>
      <c r="F290" s="11">
        <v>34550.0</v>
      </c>
      <c r="G290" s="11" t="str">
        <f t="shared" si="6"/>
        <v>34550OVR</v>
      </c>
      <c r="H290" s="12">
        <v>45962.0</v>
      </c>
      <c r="I290" s="12">
        <v>46204.0</v>
      </c>
      <c r="J290" s="12">
        <v>46227.0</v>
      </c>
      <c r="K290" s="6" t="s">
        <v>19</v>
      </c>
      <c r="L290" s="6" t="s">
        <v>514</v>
      </c>
      <c r="M290" s="13">
        <v>9.06</v>
      </c>
      <c r="N290" s="6" t="s">
        <v>625</v>
      </c>
      <c r="O290" s="6"/>
      <c r="P290" s="6"/>
      <c r="Q290" s="6"/>
    </row>
    <row r="291" ht="15.75" customHeight="1">
      <c r="A291" s="6" t="s">
        <v>488</v>
      </c>
      <c r="B291" s="6" t="s">
        <v>628</v>
      </c>
      <c r="C291" s="6" t="s">
        <v>499</v>
      </c>
      <c r="D291" s="6" t="s">
        <v>500</v>
      </c>
      <c r="E291" s="3" t="str">
        <f t="shared" si="1"/>
        <v>Halimah Sou</v>
      </c>
      <c r="F291" s="11">
        <v>35180.0</v>
      </c>
      <c r="G291" s="11" t="str">
        <f t="shared" si="6"/>
        <v>35180OVR</v>
      </c>
      <c r="H291" s="12">
        <v>45292.0</v>
      </c>
      <c r="I291" s="12">
        <v>46204.0</v>
      </c>
      <c r="J291" s="12">
        <v>46227.0</v>
      </c>
      <c r="K291" s="6" t="s">
        <v>19</v>
      </c>
      <c r="L291" s="6" t="s">
        <v>514</v>
      </c>
      <c r="M291" s="13">
        <v>6.04</v>
      </c>
      <c r="N291" s="6" t="s">
        <v>625</v>
      </c>
      <c r="O291" s="6"/>
      <c r="P291" s="6"/>
    </row>
    <row r="292" ht="15.75" customHeight="1">
      <c r="A292" s="6" t="s">
        <v>50</v>
      </c>
      <c r="B292" s="6" t="s">
        <v>626</v>
      </c>
      <c r="C292" s="6" t="s">
        <v>305</v>
      </c>
      <c r="D292" s="6" t="s">
        <v>306</v>
      </c>
      <c r="E292" s="3" t="str">
        <f t="shared" si="1"/>
        <v>Richard Sefchick</v>
      </c>
      <c r="F292" s="11">
        <v>35230.0</v>
      </c>
      <c r="G292" s="11" t="str">
        <f t="shared" si="6"/>
        <v>35230OVR</v>
      </c>
      <c r="H292" s="12">
        <v>45658.0</v>
      </c>
      <c r="I292" s="12">
        <v>46204.0</v>
      </c>
      <c r="J292" s="12">
        <v>46227.0</v>
      </c>
      <c r="K292" s="6" t="s">
        <v>19</v>
      </c>
      <c r="L292" s="6" t="s">
        <v>514</v>
      </c>
      <c r="M292" s="13">
        <v>6.04</v>
      </c>
      <c r="N292" s="6" t="s">
        <v>625</v>
      </c>
      <c r="O292" s="6"/>
      <c r="P292" s="6"/>
    </row>
    <row r="293" ht="15.75" customHeight="1">
      <c r="A293" s="6" t="s">
        <v>50</v>
      </c>
      <c r="B293" s="6" t="s">
        <v>626</v>
      </c>
      <c r="C293" s="6" t="s">
        <v>139</v>
      </c>
      <c r="D293" s="6" t="s">
        <v>263</v>
      </c>
      <c r="E293" s="3" t="str">
        <f t="shared" si="1"/>
        <v>David Novak</v>
      </c>
      <c r="F293" s="11">
        <v>35900.0</v>
      </c>
      <c r="G293" s="11" t="str">
        <f t="shared" si="6"/>
        <v>35900OVR</v>
      </c>
      <c r="H293" s="12">
        <v>45444.0</v>
      </c>
      <c r="I293" s="12">
        <v>46204.0</v>
      </c>
      <c r="J293" s="12">
        <v>46227.0</v>
      </c>
      <c r="K293" s="6" t="s">
        <v>19</v>
      </c>
      <c r="L293" s="6" t="s">
        <v>514</v>
      </c>
      <c r="M293" s="13">
        <v>6.04</v>
      </c>
      <c r="N293" s="6" t="s">
        <v>625</v>
      </c>
      <c r="O293" s="6"/>
      <c r="P293" s="6"/>
    </row>
    <row r="294" ht="15.75" customHeight="1">
      <c r="A294" s="6" t="s">
        <v>50</v>
      </c>
      <c r="B294" s="6" t="s">
        <v>626</v>
      </c>
      <c r="C294" s="6" t="s">
        <v>330</v>
      </c>
      <c r="D294" s="6" t="s">
        <v>72</v>
      </c>
      <c r="E294" s="3" t="str">
        <f t="shared" si="1"/>
        <v>Karla Thomas</v>
      </c>
      <c r="F294" s="11">
        <v>36570.0</v>
      </c>
      <c r="G294" s="11" t="str">
        <f t="shared" si="6"/>
        <v>36570OVR</v>
      </c>
      <c r="H294" s="12">
        <v>45658.0</v>
      </c>
      <c r="I294" s="12">
        <v>46204.0</v>
      </c>
      <c r="J294" s="12">
        <v>46227.0</v>
      </c>
      <c r="K294" s="6" t="s">
        <v>19</v>
      </c>
      <c r="L294" s="6" t="s">
        <v>514</v>
      </c>
      <c r="M294" s="13">
        <v>6.04</v>
      </c>
      <c r="N294" s="6" t="s">
        <v>625</v>
      </c>
      <c r="O294" s="6"/>
      <c r="P294" s="6"/>
    </row>
    <row r="295" ht="15.75" customHeight="1">
      <c r="A295" s="6" t="s">
        <v>530</v>
      </c>
      <c r="B295" s="6" t="s">
        <v>629</v>
      </c>
      <c r="C295" s="6" t="s">
        <v>531</v>
      </c>
      <c r="D295" s="6" t="s">
        <v>532</v>
      </c>
      <c r="E295" s="3" t="str">
        <f t="shared" si="1"/>
        <v>Theodore Czyzyk</v>
      </c>
      <c r="F295" s="11">
        <v>37340.0</v>
      </c>
      <c r="G295" s="11" t="str">
        <f t="shared" si="6"/>
        <v>37340OVR</v>
      </c>
      <c r="H295" s="12">
        <v>45139.0</v>
      </c>
      <c r="I295" s="12">
        <v>46204.0</v>
      </c>
      <c r="J295" s="12">
        <v>46227.0</v>
      </c>
      <c r="K295" s="6" t="s">
        <v>19</v>
      </c>
      <c r="L295" s="6" t="s">
        <v>514</v>
      </c>
      <c r="M295" s="13">
        <v>6.04</v>
      </c>
      <c r="N295" s="6" t="s">
        <v>625</v>
      </c>
      <c r="O295" s="6"/>
      <c r="P295" s="6"/>
    </row>
    <row r="296" ht="15.75" customHeight="1">
      <c r="A296" s="6" t="s">
        <v>50</v>
      </c>
      <c r="B296" s="6" t="s">
        <v>626</v>
      </c>
      <c r="C296" s="6" t="s">
        <v>63</v>
      </c>
      <c r="D296" s="6" t="s">
        <v>64</v>
      </c>
      <c r="E296" s="3" t="str">
        <f t="shared" si="1"/>
        <v>Lorraine Honeychuck</v>
      </c>
      <c r="F296" s="11">
        <v>37420.0</v>
      </c>
      <c r="G296" s="11" t="str">
        <f t="shared" si="6"/>
        <v>37420OVR</v>
      </c>
      <c r="H296" s="12">
        <v>45658.0</v>
      </c>
      <c r="I296" s="12">
        <v>46204.0</v>
      </c>
      <c r="J296" s="12">
        <v>46227.0</v>
      </c>
      <c r="K296" s="6" t="s">
        <v>19</v>
      </c>
      <c r="L296" s="6" t="s">
        <v>514</v>
      </c>
      <c r="M296" s="13">
        <v>6.04</v>
      </c>
      <c r="N296" s="6" t="s">
        <v>625</v>
      </c>
      <c r="O296" s="6"/>
      <c r="P296" s="6"/>
    </row>
    <row r="297" ht="15.75" customHeight="1">
      <c r="A297" s="6" t="s">
        <v>50</v>
      </c>
      <c r="B297" s="6" t="s">
        <v>626</v>
      </c>
      <c r="C297" s="6" t="s">
        <v>99</v>
      </c>
      <c r="D297" s="6" t="s">
        <v>100</v>
      </c>
      <c r="E297" s="3" t="str">
        <f t="shared" si="1"/>
        <v>Alice Whiteman</v>
      </c>
      <c r="F297" s="11">
        <v>38300.0</v>
      </c>
      <c r="G297" s="11" t="str">
        <f t="shared" si="6"/>
        <v>38300OVR</v>
      </c>
      <c r="H297" s="12">
        <v>45505.0</v>
      </c>
      <c r="I297" s="12">
        <v>46204.0</v>
      </c>
      <c r="J297" s="12">
        <v>46227.0</v>
      </c>
      <c r="K297" s="6" t="s">
        <v>19</v>
      </c>
      <c r="L297" s="6" t="s">
        <v>514</v>
      </c>
      <c r="M297" s="13">
        <v>6.04</v>
      </c>
      <c r="N297" s="6" t="s">
        <v>625</v>
      </c>
      <c r="O297" s="6"/>
      <c r="P297" s="6"/>
    </row>
    <row r="298" ht="15.75" customHeight="1">
      <c r="A298" s="6" t="s">
        <v>50</v>
      </c>
      <c r="B298" s="6" t="s">
        <v>626</v>
      </c>
      <c r="C298" s="6" t="s">
        <v>299</v>
      </c>
      <c r="D298" s="6" t="s">
        <v>300</v>
      </c>
      <c r="E298" s="3" t="str">
        <f t="shared" si="1"/>
        <v>Leslie Schoffstall</v>
      </c>
      <c r="F298" s="11">
        <v>39000.0</v>
      </c>
      <c r="G298" s="11" t="str">
        <f t="shared" si="6"/>
        <v>39000OVR</v>
      </c>
      <c r="H298" s="12">
        <v>45505.0</v>
      </c>
      <c r="I298" s="12">
        <v>46204.0</v>
      </c>
      <c r="J298" s="12">
        <v>46227.0</v>
      </c>
      <c r="K298" s="6" t="s">
        <v>19</v>
      </c>
      <c r="L298" s="6" t="s">
        <v>514</v>
      </c>
      <c r="M298" s="13">
        <v>6.04</v>
      </c>
      <c r="N298" s="6" t="s">
        <v>625</v>
      </c>
      <c r="O298" s="6"/>
      <c r="P298" s="6"/>
    </row>
    <row r="299" ht="15.75" customHeight="1">
      <c r="A299" s="6" t="s">
        <v>50</v>
      </c>
      <c r="B299" s="6" t="s">
        <v>626</v>
      </c>
      <c r="C299" s="6" t="s">
        <v>72</v>
      </c>
      <c r="D299" s="6" t="s">
        <v>193</v>
      </c>
      <c r="E299" s="3" t="str">
        <f t="shared" si="1"/>
        <v>Thomas Gamcik</v>
      </c>
      <c r="F299" s="11">
        <v>40480.0</v>
      </c>
      <c r="G299" s="11" t="str">
        <f t="shared" si="6"/>
        <v>40480OVR</v>
      </c>
      <c r="H299" s="12">
        <v>45809.0</v>
      </c>
      <c r="I299" s="12">
        <v>46204.0</v>
      </c>
      <c r="J299" s="12">
        <v>46227.0</v>
      </c>
      <c r="K299" s="6" t="s">
        <v>19</v>
      </c>
      <c r="L299" s="6" t="s">
        <v>514</v>
      </c>
      <c r="M299" s="13">
        <v>6.04</v>
      </c>
      <c r="N299" s="6" t="s">
        <v>625</v>
      </c>
      <c r="O299" s="6"/>
      <c r="P299" s="6"/>
    </row>
    <row r="300" ht="15.75" customHeight="1">
      <c r="A300" s="6" t="s">
        <v>50</v>
      </c>
      <c r="B300" s="6" t="s">
        <v>626</v>
      </c>
      <c r="C300" s="6" t="s">
        <v>82</v>
      </c>
      <c r="D300" s="6" t="s">
        <v>147</v>
      </c>
      <c r="E300" s="3" t="str">
        <f t="shared" si="1"/>
        <v>William Cain</v>
      </c>
      <c r="F300" s="11">
        <v>40680.0</v>
      </c>
      <c r="G300" s="11" t="str">
        <f t="shared" si="6"/>
        <v>40680OVR</v>
      </c>
      <c r="H300" s="12">
        <v>45717.0</v>
      </c>
      <c r="I300" s="12">
        <v>46204.0</v>
      </c>
      <c r="J300" s="12">
        <v>46227.0</v>
      </c>
      <c r="K300" s="6" t="s">
        <v>19</v>
      </c>
      <c r="L300" s="6" t="s">
        <v>514</v>
      </c>
      <c r="M300" s="13">
        <v>6.04</v>
      </c>
      <c r="N300" s="6" t="s">
        <v>625</v>
      </c>
      <c r="O300" s="6"/>
      <c r="P300" s="6"/>
    </row>
    <row r="301" ht="15.75" customHeight="1">
      <c r="A301" s="6" t="s">
        <v>50</v>
      </c>
      <c r="B301" s="6" t="s">
        <v>626</v>
      </c>
      <c r="C301" s="6" t="s">
        <v>88</v>
      </c>
      <c r="D301" s="6" t="s">
        <v>263</v>
      </c>
      <c r="E301" s="3" t="str">
        <f t="shared" si="1"/>
        <v>Michele Novak</v>
      </c>
      <c r="F301" s="11">
        <v>41060.0</v>
      </c>
      <c r="G301" s="11" t="str">
        <f t="shared" si="6"/>
        <v>41060OVR</v>
      </c>
      <c r="H301" s="12">
        <v>45536.0</v>
      </c>
      <c r="I301" s="12">
        <v>46204.0</v>
      </c>
      <c r="J301" s="12">
        <v>46227.0</v>
      </c>
      <c r="K301" s="6" t="s">
        <v>19</v>
      </c>
      <c r="L301" s="6" t="s">
        <v>514</v>
      </c>
      <c r="M301" s="13">
        <v>6.04</v>
      </c>
      <c r="N301" s="6" t="s">
        <v>625</v>
      </c>
      <c r="O301" s="6"/>
      <c r="P301" s="6"/>
    </row>
    <row r="302" ht="15.75" customHeight="1">
      <c r="A302" s="6" t="s">
        <v>521</v>
      </c>
      <c r="B302" s="6" t="s">
        <v>635</v>
      </c>
      <c r="C302" s="6" t="s">
        <v>47</v>
      </c>
      <c r="D302" s="6" t="s">
        <v>565</v>
      </c>
      <c r="E302" s="3" t="str">
        <f t="shared" si="1"/>
        <v>Linda Malinak</v>
      </c>
      <c r="F302" s="11">
        <v>41410.0</v>
      </c>
      <c r="G302" s="11" t="str">
        <f t="shared" si="6"/>
        <v>41410OVR</v>
      </c>
      <c r="H302" s="12">
        <v>46204.0</v>
      </c>
      <c r="I302" s="12">
        <v>46387.0</v>
      </c>
      <c r="J302" s="12">
        <v>46227.0</v>
      </c>
      <c r="K302" s="6" t="s">
        <v>19</v>
      </c>
      <c r="L302" s="6" t="s">
        <v>549</v>
      </c>
      <c r="M302" s="13">
        <v>73.75</v>
      </c>
      <c r="N302" s="6" t="s">
        <v>625</v>
      </c>
      <c r="O302" s="6"/>
      <c r="P302" s="6"/>
    </row>
    <row r="303" ht="15.75" customHeight="1">
      <c r="A303" s="6" t="s">
        <v>50</v>
      </c>
      <c r="B303" s="6" t="s">
        <v>626</v>
      </c>
      <c r="C303" s="6" t="s">
        <v>111</v>
      </c>
      <c r="D303" s="6" t="s">
        <v>112</v>
      </c>
      <c r="E303" s="3" t="str">
        <f t="shared" si="1"/>
        <v>Betty Crooks</v>
      </c>
      <c r="F303" s="11">
        <v>41550.0</v>
      </c>
      <c r="G303" s="11" t="str">
        <f t="shared" si="6"/>
        <v>41550OVR</v>
      </c>
      <c r="H303" s="12">
        <v>45931.0</v>
      </c>
      <c r="I303" s="12">
        <v>46204.0</v>
      </c>
      <c r="J303" s="12">
        <v>46227.0</v>
      </c>
      <c r="K303" s="6" t="s">
        <v>19</v>
      </c>
      <c r="L303" s="6" t="s">
        <v>514</v>
      </c>
      <c r="M303" s="13">
        <v>9.06</v>
      </c>
      <c r="N303" s="6" t="s">
        <v>625</v>
      </c>
      <c r="O303" s="6"/>
      <c r="P303" s="6"/>
      <c r="Q303" s="6"/>
    </row>
    <row r="304" ht="15.75" customHeight="1">
      <c r="A304" s="6" t="s">
        <v>50</v>
      </c>
      <c r="B304" s="6" t="s">
        <v>626</v>
      </c>
      <c r="C304" s="6" t="s">
        <v>28</v>
      </c>
      <c r="D304" s="6" t="s">
        <v>197</v>
      </c>
      <c r="E304" s="3" t="str">
        <f t="shared" si="1"/>
        <v>Beverly Gathany</v>
      </c>
      <c r="F304" s="11">
        <v>41880.0</v>
      </c>
      <c r="G304" s="11" t="str">
        <f t="shared" si="6"/>
        <v>41880OVR</v>
      </c>
      <c r="H304" s="12">
        <v>46296.0</v>
      </c>
      <c r="I304" s="12">
        <v>46387.0</v>
      </c>
      <c r="J304" s="12">
        <v>46227.0</v>
      </c>
      <c r="K304" s="6" t="s">
        <v>19</v>
      </c>
      <c r="L304" s="6" t="s">
        <v>550</v>
      </c>
      <c r="M304" s="13">
        <v>27.18</v>
      </c>
      <c r="N304" s="6" t="s">
        <v>625</v>
      </c>
      <c r="O304" s="6"/>
      <c r="P304" s="6"/>
    </row>
    <row r="305" ht="15.75" customHeight="1">
      <c r="A305" s="6" t="s">
        <v>50</v>
      </c>
      <c r="B305" s="6" t="s">
        <v>626</v>
      </c>
      <c r="C305" s="6" t="s">
        <v>236</v>
      </c>
      <c r="D305" s="6" t="s">
        <v>233</v>
      </c>
      <c r="E305" s="3" t="str">
        <f t="shared" si="1"/>
        <v>Chester Little</v>
      </c>
      <c r="F305" s="11">
        <v>42640.0</v>
      </c>
      <c r="G305" s="11" t="str">
        <f t="shared" si="6"/>
        <v>42640OVR</v>
      </c>
      <c r="H305" s="12">
        <v>45292.0</v>
      </c>
      <c r="I305" s="12">
        <v>46204.0</v>
      </c>
      <c r="J305" s="12">
        <v>46227.0</v>
      </c>
      <c r="K305" s="6" t="s">
        <v>19</v>
      </c>
      <c r="L305" s="6" t="s">
        <v>514</v>
      </c>
      <c r="M305" s="13">
        <v>6.04</v>
      </c>
      <c r="N305" s="6" t="s">
        <v>625</v>
      </c>
      <c r="O305" s="6"/>
      <c r="P305" s="6"/>
    </row>
    <row r="306" ht="15.75" customHeight="1">
      <c r="A306" s="6" t="s">
        <v>575</v>
      </c>
      <c r="B306" s="6" t="s">
        <v>632</v>
      </c>
      <c r="C306" s="6" t="s">
        <v>21</v>
      </c>
      <c r="D306" s="6" t="s">
        <v>578</v>
      </c>
      <c r="E306" s="3" t="str">
        <f t="shared" si="1"/>
        <v>Karen Hilliard</v>
      </c>
      <c r="F306" s="11">
        <v>42830.0</v>
      </c>
      <c r="G306" s="11" t="str">
        <f t="shared" si="6"/>
        <v>42830OVR</v>
      </c>
      <c r="H306" s="12">
        <v>46266.0</v>
      </c>
      <c r="I306" s="12">
        <v>46387.0</v>
      </c>
      <c r="J306" s="12">
        <v>46227.0</v>
      </c>
      <c r="K306" s="6" t="s">
        <v>19</v>
      </c>
      <c r="L306" s="6" t="s">
        <v>580</v>
      </c>
      <c r="M306" s="13">
        <v>24.17</v>
      </c>
      <c r="N306" s="6" t="s">
        <v>625</v>
      </c>
      <c r="O306" s="6"/>
      <c r="P306" s="6"/>
    </row>
    <row r="307" ht="15.75" customHeight="1">
      <c r="A307" s="6" t="s">
        <v>575</v>
      </c>
      <c r="B307" s="6" t="s">
        <v>632</v>
      </c>
      <c r="C307" s="6" t="s">
        <v>591</v>
      </c>
      <c r="D307" s="6" t="s">
        <v>26</v>
      </c>
      <c r="E307" s="3" t="str">
        <f t="shared" si="1"/>
        <v>Jodi Reese</v>
      </c>
      <c r="F307" s="11">
        <v>42960.0</v>
      </c>
      <c r="G307" s="11" t="str">
        <f t="shared" si="6"/>
        <v>42960OVR</v>
      </c>
      <c r="H307" s="12">
        <v>46235.0</v>
      </c>
      <c r="I307" s="12">
        <v>46387.0</v>
      </c>
      <c r="J307" s="12">
        <v>46227.0</v>
      </c>
      <c r="K307" s="6" t="s">
        <v>19</v>
      </c>
      <c r="L307" s="6" t="s">
        <v>547</v>
      </c>
      <c r="M307" s="13">
        <v>30.21</v>
      </c>
      <c r="N307" s="6" t="s">
        <v>625</v>
      </c>
      <c r="O307" s="6"/>
      <c r="P307" s="6"/>
    </row>
    <row r="308" ht="15.75" customHeight="1">
      <c r="A308" s="6" t="s">
        <v>46</v>
      </c>
      <c r="B308" s="6" t="s">
        <v>636</v>
      </c>
      <c r="C308" s="6" t="s">
        <v>47</v>
      </c>
      <c r="D308" s="6" t="s">
        <v>48</v>
      </c>
      <c r="E308" s="3" t="str">
        <f t="shared" si="1"/>
        <v>Linda Hans</v>
      </c>
      <c r="F308" s="11">
        <v>43070.0</v>
      </c>
      <c r="G308" s="11" t="str">
        <f t="shared" si="6"/>
        <v>43070OVR</v>
      </c>
      <c r="H308" s="12">
        <v>45658.0</v>
      </c>
      <c r="I308" s="12">
        <v>46204.0</v>
      </c>
      <c r="J308" s="12">
        <v>46227.0</v>
      </c>
      <c r="K308" s="6" t="s">
        <v>19</v>
      </c>
      <c r="L308" s="6" t="s">
        <v>514</v>
      </c>
      <c r="M308" s="13">
        <v>6.04</v>
      </c>
      <c r="N308" s="6" t="s">
        <v>625</v>
      </c>
      <c r="O308" s="6"/>
      <c r="P308" s="6"/>
    </row>
    <row r="309" ht="15.75" customHeight="1">
      <c r="A309" s="6" t="s">
        <v>50</v>
      </c>
      <c r="B309" s="6" t="s">
        <v>626</v>
      </c>
      <c r="C309" s="6" t="s">
        <v>192</v>
      </c>
      <c r="D309" s="6" t="s">
        <v>193</v>
      </c>
      <c r="E309" s="3" t="str">
        <f t="shared" si="1"/>
        <v>Lynn Gamcik</v>
      </c>
      <c r="F309" s="11">
        <v>43110.0</v>
      </c>
      <c r="G309" s="11" t="str">
        <f t="shared" si="6"/>
        <v>43110OVR</v>
      </c>
      <c r="H309" s="12">
        <v>45839.0</v>
      </c>
      <c r="I309" s="12">
        <v>46204.0</v>
      </c>
      <c r="J309" s="12">
        <v>46227.0</v>
      </c>
      <c r="K309" s="6" t="s">
        <v>19</v>
      </c>
      <c r="L309" s="6" t="s">
        <v>514</v>
      </c>
      <c r="M309" s="13">
        <v>6.04</v>
      </c>
      <c r="N309" s="6" t="s">
        <v>625</v>
      </c>
      <c r="O309" s="6"/>
      <c r="P309" s="6"/>
    </row>
    <row r="310" ht="15.75" customHeight="1">
      <c r="A310" s="6" t="s">
        <v>50</v>
      </c>
      <c r="B310" s="6" t="s">
        <v>626</v>
      </c>
      <c r="C310" s="6" t="s">
        <v>221</v>
      </c>
      <c r="D310" s="6" t="s">
        <v>222</v>
      </c>
      <c r="E310" s="3" t="str">
        <f t="shared" si="1"/>
        <v>George Kiefer</v>
      </c>
      <c r="F310" s="11">
        <v>44430.0</v>
      </c>
      <c r="G310" s="11" t="str">
        <f t="shared" si="6"/>
        <v>44430OVR</v>
      </c>
      <c r="H310" s="12">
        <v>45962.0</v>
      </c>
      <c r="I310" s="12">
        <v>46204.0</v>
      </c>
      <c r="J310" s="12">
        <v>46227.0</v>
      </c>
      <c r="K310" s="6" t="s">
        <v>19</v>
      </c>
      <c r="L310" s="6" t="s">
        <v>514</v>
      </c>
      <c r="M310" s="13">
        <v>9.06</v>
      </c>
      <c r="N310" s="6" t="s">
        <v>625</v>
      </c>
      <c r="O310" s="6"/>
      <c r="P310" s="6"/>
      <c r="Q310" s="6"/>
    </row>
    <row r="311" ht="15.75" customHeight="1">
      <c r="A311" s="6" t="s">
        <v>50</v>
      </c>
      <c r="B311" s="6" t="s">
        <v>626</v>
      </c>
      <c r="C311" s="6" t="s">
        <v>144</v>
      </c>
      <c r="D311" s="6" t="s">
        <v>145</v>
      </c>
      <c r="E311" s="3" t="str">
        <f t="shared" si="1"/>
        <v>Phillip Buben</v>
      </c>
      <c r="F311" s="11">
        <v>44650.0</v>
      </c>
      <c r="G311" s="11" t="str">
        <f t="shared" si="6"/>
        <v>44650OVR</v>
      </c>
      <c r="H311" s="12">
        <v>45717.0</v>
      </c>
      <c r="I311" s="12">
        <v>46204.0</v>
      </c>
      <c r="J311" s="12">
        <v>46227.0</v>
      </c>
      <c r="K311" s="6" t="s">
        <v>19</v>
      </c>
      <c r="L311" s="6" t="s">
        <v>514</v>
      </c>
      <c r="M311" s="13">
        <v>6.04</v>
      </c>
      <c r="N311" s="6" t="s">
        <v>625</v>
      </c>
      <c r="O311" s="6"/>
      <c r="P311" s="6"/>
    </row>
    <row r="312" ht="15.75" customHeight="1">
      <c r="A312" s="6" t="s">
        <v>50</v>
      </c>
      <c r="B312" s="6" t="s">
        <v>626</v>
      </c>
      <c r="C312" s="6" t="s">
        <v>317</v>
      </c>
      <c r="D312" s="6" t="s">
        <v>318</v>
      </c>
      <c r="E312" s="3" t="str">
        <f t="shared" si="1"/>
        <v>Dawnelle Shrawder</v>
      </c>
      <c r="F312" s="11">
        <v>44740.0</v>
      </c>
      <c r="G312" s="11" t="str">
        <f t="shared" si="6"/>
        <v>44740OVR</v>
      </c>
      <c r="H312" s="12">
        <v>43497.0</v>
      </c>
      <c r="I312" s="12">
        <v>46204.0</v>
      </c>
      <c r="J312" s="12">
        <v>46227.0</v>
      </c>
      <c r="K312" s="6" t="s">
        <v>19</v>
      </c>
      <c r="L312" s="6" t="s">
        <v>514</v>
      </c>
      <c r="M312" s="13">
        <v>6.04</v>
      </c>
      <c r="N312" s="6" t="s">
        <v>625</v>
      </c>
      <c r="O312" s="6"/>
      <c r="P312" s="6"/>
    </row>
    <row r="313" ht="15.75" customHeight="1">
      <c r="A313" s="6" t="s">
        <v>521</v>
      </c>
      <c r="B313" s="6" t="s">
        <v>635</v>
      </c>
      <c r="C313" s="6" t="s">
        <v>133</v>
      </c>
      <c r="D313" s="6" t="s">
        <v>567</v>
      </c>
      <c r="E313" s="3" t="str">
        <f t="shared" si="1"/>
        <v>Michael Wright</v>
      </c>
      <c r="F313" s="11">
        <v>44850.0</v>
      </c>
      <c r="G313" s="11" t="str">
        <f t="shared" si="6"/>
        <v>44850OVR</v>
      </c>
      <c r="H313" s="12">
        <v>46235.0</v>
      </c>
      <c r="I313" s="12">
        <v>46387.0</v>
      </c>
      <c r="J313" s="12">
        <v>46227.0</v>
      </c>
      <c r="K313" s="6" t="s">
        <v>19</v>
      </c>
      <c r="L313" s="6" t="s">
        <v>547</v>
      </c>
      <c r="M313" s="13">
        <v>30.21</v>
      </c>
      <c r="N313" s="6" t="s">
        <v>625</v>
      </c>
      <c r="O313" s="6"/>
      <c r="P313" s="6"/>
    </row>
    <row r="314" ht="15.75" customHeight="1">
      <c r="A314" s="6" t="s">
        <v>575</v>
      </c>
      <c r="B314" s="6" t="s">
        <v>632</v>
      </c>
      <c r="C314" s="6" t="s">
        <v>608</v>
      </c>
      <c r="D314" s="6" t="s">
        <v>609</v>
      </c>
      <c r="E314" s="3" t="str">
        <f t="shared" si="1"/>
        <v>Lisa Edwards</v>
      </c>
      <c r="F314" s="11">
        <v>45230.0</v>
      </c>
      <c r="G314" s="11" t="str">
        <f t="shared" si="6"/>
        <v>45230OVR</v>
      </c>
      <c r="H314" s="12">
        <v>46082.0</v>
      </c>
      <c r="I314" s="12">
        <v>46204.0</v>
      </c>
      <c r="J314" s="12">
        <v>46227.0</v>
      </c>
      <c r="K314" s="6" t="s">
        <v>19</v>
      </c>
      <c r="L314" s="6" t="s">
        <v>611</v>
      </c>
      <c r="M314" s="13">
        <v>-110.0</v>
      </c>
      <c r="N314" s="6" t="s">
        <v>625</v>
      </c>
      <c r="O314" s="6"/>
      <c r="P314" s="6"/>
      <c r="Q314" s="6"/>
    </row>
    <row r="315" ht="15.75" customHeight="1">
      <c r="A315" s="6" t="s">
        <v>50</v>
      </c>
      <c r="B315" s="6" t="s">
        <v>626</v>
      </c>
      <c r="C315" s="6" t="s">
        <v>374</v>
      </c>
      <c r="D315" s="6" t="s">
        <v>375</v>
      </c>
      <c r="E315" s="3" t="str">
        <f t="shared" si="1"/>
        <v>Bobbi Zimmerman</v>
      </c>
      <c r="F315" s="11">
        <v>45790.0</v>
      </c>
      <c r="G315" s="11" t="str">
        <f t="shared" si="6"/>
        <v>45790OVR</v>
      </c>
      <c r="H315" s="12">
        <v>45870.0</v>
      </c>
      <c r="I315" s="12">
        <v>46204.0</v>
      </c>
      <c r="J315" s="12">
        <v>46227.0</v>
      </c>
      <c r="K315" s="6" t="s">
        <v>19</v>
      </c>
      <c r="L315" s="6" t="s">
        <v>514</v>
      </c>
      <c r="M315" s="13">
        <v>9.06</v>
      </c>
      <c r="N315" s="6" t="s">
        <v>625</v>
      </c>
      <c r="O315" s="6"/>
      <c r="P315" s="6"/>
      <c r="Q315" s="6"/>
    </row>
    <row r="316" ht="15.75" customHeight="1">
      <c r="A316" s="6" t="s">
        <v>50</v>
      </c>
      <c r="B316" s="6" t="s">
        <v>626</v>
      </c>
      <c r="C316" s="6" t="s">
        <v>474</v>
      </c>
      <c r="D316" s="6" t="s">
        <v>475</v>
      </c>
      <c r="E316" s="3" t="str">
        <f t="shared" si="1"/>
        <v>Leonard Laird</v>
      </c>
      <c r="F316" s="11">
        <v>47180.0</v>
      </c>
      <c r="G316" s="11" t="str">
        <f t="shared" si="6"/>
        <v>47180OVR</v>
      </c>
      <c r="H316" s="12">
        <v>46204.0</v>
      </c>
      <c r="I316" s="12">
        <v>46387.0</v>
      </c>
      <c r="J316" s="12">
        <v>46227.0</v>
      </c>
      <c r="K316" s="6" t="s">
        <v>19</v>
      </c>
      <c r="L316" s="6" t="s">
        <v>551</v>
      </c>
      <c r="M316" s="13">
        <v>54.37</v>
      </c>
      <c r="N316" s="6" t="s">
        <v>625</v>
      </c>
      <c r="O316" s="6"/>
      <c r="P316" s="6"/>
    </row>
    <row r="317" ht="15.75" customHeight="1">
      <c r="A317" s="6" t="s">
        <v>12</v>
      </c>
      <c r="B317" s="6" t="s">
        <v>637</v>
      </c>
      <c r="C317" s="6" t="s">
        <v>81</v>
      </c>
      <c r="D317" s="6" t="s">
        <v>72</v>
      </c>
      <c r="E317" s="3" t="str">
        <f t="shared" si="1"/>
        <v>Bette Thomas</v>
      </c>
      <c r="F317" s="11" t="s">
        <v>84</v>
      </c>
      <c r="G317" s="11" t="str">
        <f t="shared" si="6"/>
        <v>4797BOVR</v>
      </c>
      <c r="H317" s="12">
        <v>45748.0</v>
      </c>
      <c r="I317" s="12">
        <v>46204.0</v>
      </c>
      <c r="J317" s="12">
        <v>46227.0</v>
      </c>
      <c r="K317" s="6" t="s">
        <v>94</v>
      </c>
      <c r="L317" s="6" t="s">
        <v>617</v>
      </c>
      <c r="M317" s="13">
        <v>6.25</v>
      </c>
      <c r="N317" s="6" t="s">
        <v>625</v>
      </c>
      <c r="O317" s="6"/>
      <c r="P317" s="6"/>
      <c r="Q317" s="6"/>
    </row>
    <row r="318" ht="15.75" customHeight="1">
      <c r="A318" s="6" t="s">
        <v>488</v>
      </c>
      <c r="B318" s="6" t="s">
        <v>628</v>
      </c>
      <c r="C318" s="6" t="s">
        <v>495</v>
      </c>
      <c r="D318" s="6" t="s">
        <v>493</v>
      </c>
      <c r="E318" s="3" t="str">
        <f t="shared" si="1"/>
        <v>Eileen Rohrbach</v>
      </c>
      <c r="F318" s="11">
        <v>48470.0</v>
      </c>
      <c r="G318" s="11" t="str">
        <f t="shared" si="6"/>
        <v>48470OVR</v>
      </c>
      <c r="H318" s="12">
        <v>45292.0</v>
      </c>
      <c r="I318" s="12">
        <v>46204.0</v>
      </c>
      <c r="J318" s="12">
        <v>46227.0</v>
      </c>
      <c r="K318" s="6" t="s">
        <v>19</v>
      </c>
      <c r="L318" s="6" t="s">
        <v>514</v>
      </c>
      <c r="M318" s="13">
        <v>6.04</v>
      </c>
      <c r="N318" s="6" t="s">
        <v>625</v>
      </c>
      <c r="O318" s="6"/>
      <c r="P318" s="6"/>
    </row>
    <row r="319" ht="15.75" customHeight="1">
      <c r="A319" s="6" t="s">
        <v>50</v>
      </c>
      <c r="B319" s="6" t="s">
        <v>626</v>
      </c>
      <c r="C319" s="6" t="s">
        <v>72</v>
      </c>
      <c r="D319" s="6" t="s">
        <v>73</v>
      </c>
      <c r="E319" s="3" t="str">
        <f t="shared" si="1"/>
        <v>Thomas Koontz</v>
      </c>
      <c r="F319" s="11">
        <v>48640.0</v>
      </c>
      <c r="G319" s="11" t="str">
        <f t="shared" si="6"/>
        <v>48640OVR</v>
      </c>
      <c r="H319" s="12">
        <v>45689.0</v>
      </c>
      <c r="I319" s="12">
        <v>46204.0</v>
      </c>
      <c r="J319" s="12">
        <v>46227.0</v>
      </c>
      <c r="K319" s="6" t="s">
        <v>19</v>
      </c>
      <c r="L319" s="6" t="s">
        <v>514</v>
      </c>
      <c r="M319" s="13">
        <v>6.04</v>
      </c>
      <c r="N319" s="6" t="s">
        <v>625</v>
      </c>
      <c r="O319" s="6"/>
      <c r="P319" s="6"/>
    </row>
    <row r="320" ht="15.75" customHeight="1">
      <c r="A320" s="6" t="s">
        <v>50</v>
      </c>
      <c r="B320" s="6" t="s">
        <v>626</v>
      </c>
      <c r="C320" s="6" t="s">
        <v>368</v>
      </c>
      <c r="D320" s="6" t="s">
        <v>369</v>
      </c>
      <c r="E320" s="3" t="str">
        <f t="shared" si="1"/>
        <v>Stacy Zeno</v>
      </c>
      <c r="F320" s="11">
        <v>49260.0</v>
      </c>
      <c r="G320" s="11" t="str">
        <f t="shared" si="6"/>
        <v>49260OVR</v>
      </c>
      <c r="H320" s="12">
        <v>45200.0</v>
      </c>
      <c r="I320" s="12">
        <v>46204.0</v>
      </c>
      <c r="J320" s="12">
        <v>46227.0</v>
      </c>
      <c r="K320" s="6" t="s">
        <v>19</v>
      </c>
      <c r="L320" s="6" t="s">
        <v>514</v>
      </c>
      <c r="M320" s="13">
        <v>6.04</v>
      </c>
      <c r="N320" s="6" t="s">
        <v>625</v>
      </c>
      <c r="O320" s="6"/>
      <c r="P320" s="6"/>
    </row>
    <row r="321" ht="15.75" customHeight="1">
      <c r="A321" s="6" t="s">
        <v>50</v>
      </c>
      <c r="B321" s="6" t="s">
        <v>626</v>
      </c>
      <c r="C321" s="6" t="s">
        <v>168</v>
      </c>
      <c r="D321" s="6" t="s">
        <v>169</v>
      </c>
      <c r="E321" s="3" t="str">
        <f t="shared" si="1"/>
        <v>Gertrude Dolcich</v>
      </c>
      <c r="F321" s="11">
        <v>49550.0</v>
      </c>
      <c r="G321" s="11" t="str">
        <f t="shared" si="6"/>
        <v>49550OVR</v>
      </c>
      <c r="H321" s="12">
        <v>45717.0</v>
      </c>
      <c r="I321" s="12">
        <v>46204.0</v>
      </c>
      <c r="J321" s="12">
        <v>46227.0</v>
      </c>
      <c r="K321" s="6" t="s">
        <v>19</v>
      </c>
      <c r="L321" s="6" t="s">
        <v>514</v>
      </c>
      <c r="M321" s="13">
        <v>6.04</v>
      </c>
      <c r="N321" s="6" t="s">
        <v>625</v>
      </c>
      <c r="O321" s="6"/>
      <c r="P321" s="6"/>
    </row>
    <row r="322" ht="15.75" customHeight="1">
      <c r="A322" s="6" t="s">
        <v>50</v>
      </c>
      <c r="B322" s="6" t="s">
        <v>626</v>
      </c>
      <c r="C322" s="6" t="s">
        <v>227</v>
      </c>
      <c r="D322" s="6" t="s">
        <v>228</v>
      </c>
      <c r="E322" s="3" t="str">
        <f t="shared" si="1"/>
        <v>Catherine Krajack</v>
      </c>
      <c r="F322" s="11">
        <v>49710.0</v>
      </c>
      <c r="G322" s="11" t="str">
        <f t="shared" si="6"/>
        <v>49710OVR</v>
      </c>
      <c r="H322" s="12">
        <v>45717.0</v>
      </c>
      <c r="I322" s="12">
        <v>46204.0</v>
      </c>
      <c r="J322" s="12">
        <v>46227.0</v>
      </c>
      <c r="K322" s="6" t="s">
        <v>19</v>
      </c>
      <c r="L322" s="6" t="s">
        <v>514</v>
      </c>
      <c r="M322" s="13">
        <v>6.04</v>
      </c>
      <c r="N322" s="6" t="s">
        <v>625</v>
      </c>
      <c r="O322" s="6"/>
      <c r="P322" s="6"/>
    </row>
    <row r="323" ht="15.75" customHeight="1">
      <c r="A323" s="6" t="s">
        <v>516</v>
      </c>
      <c r="B323" s="6" t="s">
        <v>638</v>
      </c>
      <c r="C323" s="6" t="s">
        <v>517</v>
      </c>
      <c r="D323" s="6" t="s">
        <v>518</v>
      </c>
      <c r="E323" s="3" t="str">
        <f t="shared" si="1"/>
        <v>Sujata Naik</v>
      </c>
      <c r="F323" s="11">
        <v>49730.0</v>
      </c>
      <c r="G323" s="11" t="str">
        <f t="shared" si="6"/>
        <v>49730OVR</v>
      </c>
      <c r="H323" s="12">
        <v>45931.0</v>
      </c>
      <c r="I323" s="12">
        <v>46204.0</v>
      </c>
      <c r="J323" s="12">
        <v>46227.0</v>
      </c>
      <c r="K323" s="6" t="s">
        <v>19</v>
      </c>
      <c r="L323" s="6" t="s">
        <v>514</v>
      </c>
      <c r="M323" s="13">
        <v>9.06</v>
      </c>
      <c r="N323" s="6" t="s">
        <v>625</v>
      </c>
      <c r="O323" s="6"/>
      <c r="P323" s="6"/>
      <c r="Q323" s="6"/>
    </row>
    <row r="324" ht="15.75" customHeight="1">
      <c r="A324" s="6" t="s">
        <v>50</v>
      </c>
      <c r="B324" s="6" t="s">
        <v>626</v>
      </c>
      <c r="C324" s="6" t="s">
        <v>315</v>
      </c>
      <c r="D324" s="6" t="s">
        <v>313</v>
      </c>
      <c r="E324" s="3" t="str">
        <f t="shared" si="1"/>
        <v>Phyllis Shoemaker</v>
      </c>
      <c r="F324" s="11">
        <v>50010.0</v>
      </c>
      <c r="G324" s="11" t="str">
        <f t="shared" si="6"/>
        <v>50010OVR</v>
      </c>
      <c r="H324" s="12">
        <v>45292.0</v>
      </c>
      <c r="I324" s="12">
        <v>46204.0</v>
      </c>
      <c r="J324" s="12">
        <v>46227.0</v>
      </c>
      <c r="K324" s="6" t="s">
        <v>19</v>
      </c>
      <c r="L324" s="6" t="s">
        <v>514</v>
      </c>
      <c r="M324" s="13">
        <v>6.04</v>
      </c>
      <c r="N324" s="6" t="s">
        <v>625</v>
      </c>
      <c r="O324" s="6"/>
      <c r="P324" s="6"/>
    </row>
    <row r="325" ht="15.75" customHeight="1">
      <c r="A325" s="6" t="s">
        <v>509</v>
      </c>
      <c r="B325" s="6" t="s">
        <v>634</v>
      </c>
      <c r="C325" s="6" t="s">
        <v>612</v>
      </c>
      <c r="D325" s="6" t="s">
        <v>613</v>
      </c>
      <c r="E325" s="3" t="str">
        <f t="shared" si="1"/>
        <v>Manjula Balasubramanian</v>
      </c>
      <c r="F325" s="11" t="s">
        <v>639</v>
      </c>
      <c r="G325" s="11" t="str">
        <f t="shared" si="6"/>
        <v>5011AOVR</v>
      </c>
      <c r="H325" s="12">
        <v>46204.0</v>
      </c>
      <c r="I325" s="12">
        <v>46387.0</v>
      </c>
      <c r="J325" s="12">
        <v>46227.0</v>
      </c>
      <c r="K325" s="6" t="s">
        <v>94</v>
      </c>
      <c r="L325" s="6" t="s">
        <v>622</v>
      </c>
      <c r="M325" s="13">
        <v>60.0</v>
      </c>
      <c r="N325" s="6" t="s">
        <v>625</v>
      </c>
      <c r="O325" s="6"/>
      <c r="P325" s="6"/>
    </row>
    <row r="326" ht="15.75" customHeight="1">
      <c r="A326" s="6" t="s">
        <v>50</v>
      </c>
      <c r="B326" s="6" t="s">
        <v>626</v>
      </c>
      <c r="C326" s="6" t="s">
        <v>392</v>
      </c>
      <c r="D326" s="6" t="s">
        <v>393</v>
      </c>
      <c r="E326" s="3" t="str">
        <f t="shared" si="1"/>
        <v>Keith Kendra</v>
      </c>
      <c r="F326" s="11">
        <v>50770.0</v>
      </c>
      <c r="G326" s="11" t="str">
        <f t="shared" si="6"/>
        <v>50770OVR</v>
      </c>
      <c r="H326" s="12">
        <v>45108.0</v>
      </c>
      <c r="I326" s="12">
        <v>46204.0</v>
      </c>
      <c r="J326" s="12">
        <v>46227.0</v>
      </c>
      <c r="K326" s="6" t="s">
        <v>19</v>
      </c>
      <c r="L326" s="6" t="s">
        <v>514</v>
      </c>
      <c r="M326" s="13">
        <v>6.04</v>
      </c>
      <c r="N326" s="6" t="s">
        <v>625</v>
      </c>
      <c r="O326" s="6"/>
      <c r="P326" s="6"/>
    </row>
    <row r="327" ht="15.75" customHeight="1">
      <c r="A327" s="6" t="s">
        <v>50</v>
      </c>
      <c r="B327" s="6" t="s">
        <v>626</v>
      </c>
      <c r="C327" s="6" t="s">
        <v>188</v>
      </c>
      <c r="D327" s="6" t="s">
        <v>189</v>
      </c>
      <c r="E327" s="3" t="str">
        <f t="shared" si="1"/>
        <v>Charles Farina</v>
      </c>
      <c r="F327" s="11">
        <v>52240.0</v>
      </c>
      <c r="G327" s="11" t="str">
        <f t="shared" si="6"/>
        <v>52240OVR</v>
      </c>
      <c r="H327" s="12">
        <v>45536.0</v>
      </c>
      <c r="I327" s="12">
        <v>46204.0</v>
      </c>
      <c r="J327" s="12">
        <v>46227.0</v>
      </c>
      <c r="K327" s="6" t="s">
        <v>19</v>
      </c>
      <c r="L327" s="6" t="s">
        <v>514</v>
      </c>
      <c r="M327" s="13">
        <v>6.04</v>
      </c>
      <c r="N327" s="6" t="s">
        <v>625</v>
      </c>
      <c r="O327" s="6"/>
      <c r="P327" s="6"/>
    </row>
    <row r="328" ht="15.75" customHeight="1">
      <c r="A328" s="6" t="s">
        <v>50</v>
      </c>
      <c r="B328" s="6" t="s">
        <v>626</v>
      </c>
      <c r="C328" s="6" t="s">
        <v>245</v>
      </c>
      <c r="D328" s="6" t="s">
        <v>246</v>
      </c>
      <c r="E328" s="3" t="str">
        <f t="shared" si="1"/>
        <v>Kathleen Mccartney</v>
      </c>
      <c r="F328" s="11">
        <v>52620.0</v>
      </c>
      <c r="G328" s="11" t="str">
        <f t="shared" si="6"/>
        <v>52620OVR</v>
      </c>
      <c r="H328" s="12">
        <v>45658.0</v>
      </c>
      <c r="I328" s="12">
        <v>46204.0</v>
      </c>
      <c r="J328" s="12">
        <v>46227.0</v>
      </c>
      <c r="K328" s="6" t="s">
        <v>19</v>
      </c>
      <c r="L328" s="6" t="s">
        <v>514</v>
      </c>
      <c r="M328" s="13">
        <v>6.04</v>
      </c>
      <c r="N328" s="6" t="s">
        <v>625</v>
      </c>
      <c r="O328" s="6"/>
      <c r="P328" s="6"/>
    </row>
    <row r="329" ht="15.75" customHeight="1">
      <c r="A329" s="6" t="s">
        <v>575</v>
      </c>
      <c r="B329" s="6" t="s">
        <v>632</v>
      </c>
      <c r="C329" s="6" t="s">
        <v>434</v>
      </c>
      <c r="D329" s="6" t="s">
        <v>593</v>
      </c>
      <c r="E329" s="3" t="str">
        <f t="shared" si="1"/>
        <v>Dennis Rumbaugh</v>
      </c>
      <c r="F329" s="11">
        <v>52840.0</v>
      </c>
      <c r="G329" s="11" t="str">
        <f t="shared" si="6"/>
        <v>52840OVR</v>
      </c>
      <c r="H329" s="12">
        <v>46204.0</v>
      </c>
      <c r="I329" s="12">
        <v>46387.0</v>
      </c>
      <c r="J329" s="12">
        <v>46227.0</v>
      </c>
      <c r="K329" s="6" t="s">
        <v>19</v>
      </c>
      <c r="L329" s="6" t="s">
        <v>549</v>
      </c>
      <c r="M329" s="13">
        <v>73.75</v>
      </c>
      <c r="N329" s="6" t="s">
        <v>625</v>
      </c>
      <c r="O329" s="6"/>
      <c r="P329" s="6"/>
    </row>
    <row r="330" ht="15.75" customHeight="1">
      <c r="A330" s="6" t="s">
        <v>50</v>
      </c>
      <c r="B330" s="6" t="s">
        <v>626</v>
      </c>
      <c r="C330" s="6" t="s">
        <v>399</v>
      </c>
      <c r="D330" s="6" t="s">
        <v>400</v>
      </c>
      <c r="E330" s="3" t="str">
        <f t="shared" si="1"/>
        <v>Caroline Venneri</v>
      </c>
      <c r="F330" s="11">
        <v>55010.0</v>
      </c>
      <c r="G330" s="11" t="str">
        <f t="shared" si="6"/>
        <v>55010OVR</v>
      </c>
      <c r="H330" s="12">
        <v>45231.0</v>
      </c>
      <c r="I330" s="12">
        <v>46204.0</v>
      </c>
      <c r="J330" s="12">
        <v>46227.0</v>
      </c>
      <c r="K330" s="6" t="s">
        <v>19</v>
      </c>
      <c r="L330" s="6" t="s">
        <v>514</v>
      </c>
      <c r="M330" s="13">
        <v>6.04</v>
      </c>
      <c r="N330" s="6" t="s">
        <v>625</v>
      </c>
      <c r="O330" s="6"/>
      <c r="P330" s="6"/>
    </row>
    <row r="331" ht="15.75" customHeight="1">
      <c r="A331" s="6" t="s">
        <v>50</v>
      </c>
      <c r="B331" s="6" t="s">
        <v>626</v>
      </c>
      <c r="C331" s="6" t="s">
        <v>371</v>
      </c>
      <c r="D331" s="6" t="s">
        <v>395</v>
      </c>
      <c r="E331" s="3" t="str">
        <f t="shared" si="1"/>
        <v>Edna Kuklis</v>
      </c>
      <c r="F331" s="11">
        <v>55510.0</v>
      </c>
      <c r="G331" s="11" t="str">
        <f t="shared" si="6"/>
        <v>55510OVR</v>
      </c>
      <c r="H331" s="12">
        <v>45870.0</v>
      </c>
      <c r="I331" s="12">
        <v>46204.0</v>
      </c>
      <c r="J331" s="12">
        <v>46227.0</v>
      </c>
      <c r="K331" s="6" t="s">
        <v>19</v>
      </c>
      <c r="L331" s="6" t="s">
        <v>514</v>
      </c>
      <c r="M331" s="13">
        <v>9.06</v>
      </c>
      <c r="N331" s="6" t="s">
        <v>625</v>
      </c>
      <c r="O331" s="6"/>
      <c r="P331" s="6"/>
      <c r="Q331" s="6"/>
    </row>
    <row r="332" ht="15.75" customHeight="1">
      <c r="A332" s="6" t="s">
        <v>50</v>
      </c>
      <c r="B332" s="6" t="s">
        <v>626</v>
      </c>
      <c r="C332" s="6" t="s">
        <v>196</v>
      </c>
      <c r="D332" s="6" t="s">
        <v>197</v>
      </c>
      <c r="E332" s="3" t="str">
        <f t="shared" si="1"/>
        <v>Gordon Gathany</v>
      </c>
      <c r="F332" s="11">
        <v>55740.0</v>
      </c>
      <c r="G332" s="11" t="str">
        <f t="shared" si="6"/>
        <v>55740OVR</v>
      </c>
      <c r="H332" s="12">
        <v>45809.0</v>
      </c>
      <c r="I332" s="12">
        <v>46204.0</v>
      </c>
      <c r="J332" s="12">
        <v>46227.0</v>
      </c>
      <c r="K332" s="6" t="s">
        <v>19</v>
      </c>
      <c r="L332" s="6" t="s">
        <v>514</v>
      </c>
      <c r="M332" s="13">
        <v>6.04</v>
      </c>
      <c r="N332" s="6" t="s">
        <v>625</v>
      </c>
      <c r="O332" s="6"/>
      <c r="P332" s="6"/>
    </row>
    <row r="333" ht="15.75" customHeight="1">
      <c r="A333" s="6" t="s">
        <v>50</v>
      </c>
      <c r="B333" s="6" t="s">
        <v>626</v>
      </c>
      <c r="C333" s="6" t="s">
        <v>206</v>
      </c>
      <c r="D333" s="6" t="s">
        <v>207</v>
      </c>
      <c r="E333" s="3" t="str">
        <f t="shared" si="1"/>
        <v>Kimberly Gilbert</v>
      </c>
      <c r="F333" s="11">
        <v>56120.0</v>
      </c>
      <c r="G333" s="11" t="str">
        <f t="shared" si="6"/>
        <v>56120OVR</v>
      </c>
      <c r="H333" s="12">
        <v>45658.0</v>
      </c>
      <c r="I333" s="12">
        <v>46204.0</v>
      </c>
      <c r="J333" s="12">
        <v>46227.0</v>
      </c>
      <c r="K333" s="6" t="s">
        <v>19</v>
      </c>
      <c r="L333" s="6" t="s">
        <v>514</v>
      </c>
      <c r="M333" s="13">
        <v>6.04</v>
      </c>
      <c r="N333" s="6" t="s">
        <v>625</v>
      </c>
      <c r="O333" s="6"/>
      <c r="P333" s="6"/>
    </row>
    <row r="334" ht="15.75" customHeight="1">
      <c r="A334" s="6" t="s">
        <v>50</v>
      </c>
      <c r="B334" s="6" t="s">
        <v>626</v>
      </c>
      <c r="C334" s="6" t="s">
        <v>78</v>
      </c>
      <c r="D334" s="6" t="s">
        <v>79</v>
      </c>
      <c r="E334" s="3" t="str">
        <f t="shared" si="1"/>
        <v>Vera Marencel</v>
      </c>
      <c r="F334" s="11">
        <v>56170.0</v>
      </c>
      <c r="G334" s="11" t="str">
        <f t="shared" si="6"/>
        <v>56170OVR</v>
      </c>
      <c r="H334" s="12">
        <v>45323.0</v>
      </c>
      <c r="I334" s="12">
        <v>46204.0</v>
      </c>
      <c r="J334" s="12">
        <v>46227.0</v>
      </c>
      <c r="K334" s="6" t="s">
        <v>19</v>
      </c>
      <c r="L334" s="6" t="s">
        <v>514</v>
      </c>
      <c r="M334" s="13">
        <v>6.04</v>
      </c>
      <c r="N334" s="6" t="s">
        <v>625</v>
      </c>
      <c r="O334" s="6"/>
      <c r="P334" s="6"/>
    </row>
    <row r="335" ht="15.75" customHeight="1">
      <c r="A335" s="6" t="s">
        <v>530</v>
      </c>
      <c r="B335" s="6" t="s">
        <v>629</v>
      </c>
      <c r="C335" s="6" t="s">
        <v>281</v>
      </c>
      <c r="D335" s="6" t="s">
        <v>542</v>
      </c>
      <c r="E335" s="3" t="str">
        <f t="shared" si="1"/>
        <v>Ronald Roupe</v>
      </c>
      <c r="F335" s="11">
        <v>56300.0</v>
      </c>
      <c r="G335" s="11" t="str">
        <f t="shared" si="6"/>
        <v>56300OVR</v>
      </c>
      <c r="H335" s="12">
        <v>45139.0</v>
      </c>
      <c r="I335" s="12">
        <v>46204.0</v>
      </c>
      <c r="J335" s="12">
        <v>46227.0</v>
      </c>
      <c r="K335" s="6" t="s">
        <v>19</v>
      </c>
      <c r="L335" s="6" t="s">
        <v>514</v>
      </c>
      <c r="M335" s="13">
        <v>6.04</v>
      </c>
      <c r="N335" s="6" t="s">
        <v>625</v>
      </c>
      <c r="O335" s="6"/>
      <c r="P335" s="6"/>
    </row>
    <row r="336" ht="15.75" customHeight="1">
      <c r="A336" s="6" t="s">
        <v>50</v>
      </c>
      <c r="B336" s="6" t="s">
        <v>626</v>
      </c>
      <c r="C336" s="6" t="s">
        <v>82</v>
      </c>
      <c r="D336" s="6" t="s">
        <v>390</v>
      </c>
      <c r="E336" s="3" t="str">
        <f t="shared" si="1"/>
        <v>William Hirtz</v>
      </c>
      <c r="F336" s="11">
        <v>56860.0</v>
      </c>
      <c r="G336" s="11" t="str">
        <f t="shared" si="6"/>
        <v>56860OVR</v>
      </c>
      <c r="H336" s="12">
        <v>43647.0</v>
      </c>
      <c r="I336" s="12">
        <v>46204.0</v>
      </c>
      <c r="J336" s="12">
        <v>46227.0</v>
      </c>
      <c r="K336" s="6" t="s">
        <v>19</v>
      </c>
      <c r="L336" s="6" t="s">
        <v>514</v>
      </c>
      <c r="M336" s="13">
        <v>6.04</v>
      </c>
      <c r="N336" s="6" t="s">
        <v>625</v>
      </c>
      <c r="O336" s="6"/>
      <c r="P336" s="6"/>
    </row>
    <row r="337" ht="15.75" customHeight="1">
      <c r="A337" s="6" t="s">
        <v>50</v>
      </c>
      <c r="B337" s="6" t="s">
        <v>626</v>
      </c>
      <c r="C337" s="6" t="s">
        <v>69</v>
      </c>
      <c r="D337" s="6" t="s">
        <v>70</v>
      </c>
      <c r="E337" s="3" t="str">
        <f t="shared" si="1"/>
        <v>James Jenkins</v>
      </c>
      <c r="F337" s="11">
        <v>57590.0</v>
      </c>
      <c r="G337" s="11" t="str">
        <f t="shared" si="6"/>
        <v>57590OVR</v>
      </c>
      <c r="H337" s="12">
        <v>45658.0</v>
      </c>
      <c r="I337" s="12">
        <v>46204.0</v>
      </c>
      <c r="J337" s="12">
        <v>46227.0</v>
      </c>
      <c r="K337" s="6" t="s">
        <v>19</v>
      </c>
      <c r="L337" s="6" t="s">
        <v>514</v>
      </c>
      <c r="M337" s="13">
        <v>6.04</v>
      </c>
      <c r="N337" s="6" t="s">
        <v>625</v>
      </c>
      <c r="O337" s="6"/>
      <c r="P337" s="6"/>
    </row>
    <row r="338" ht="15.75" customHeight="1">
      <c r="A338" s="6" t="s">
        <v>266</v>
      </c>
      <c r="B338" s="6" t="s">
        <v>627</v>
      </c>
      <c r="C338" s="6" t="s">
        <v>442</v>
      </c>
      <c r="D338" s="6" t="s">
        <v>443</v>
      </c>
      <c r="E338" s="3" t="str">
        <f t="shared" si="1"/>
        <v>Eleta Rupp</v>
      </c>
      <c r="F338" s="11">
        <v>58650.0</v>
      </c>
      <c r="G338" s="11" t="str">
        <f t="shared" si="6"/>
        <v>58650OVR</v>
      </c>
      <c r="H338" s="12">
        <v>45658.0</v>
      </c>
      <c r="I338" s="12">
        <v>46204.0</v>
      </c>
      <c r="J338" s="12">
        <v>46227.0</v>
      </c>
      <c r="K338" s="6" t="s">
        <v>19</v>
      </c>
      <c r="L338" s="6" t="s">
        <v>514</v>
      </c>
      <c r="M338" s="13">
        <v>6.04</v>
      </c>
      <c r="N338" s="6" t="s">
        <v>625</v>
      </c>
      <c r="O338" s="6"/>
      <c r="P338" s="6"/>
    </row>
    <row r="339" ht="15.75" customHeight="1">
      <c r="A339" s="6" t="s">
        <v>50</v>
      </c>
      <c r="B339" s="6" t="s">
        <v>626</v>
      </c>
      <c r="C339" s="6" t="s">
        <v>57</v>
      </c>
      <c r="D339" s="6" t="s">
        <v>58</v>
      </c>
      <c r="E339" s="3" t="str">
        <f t="shared" si="1"/>
        <v>Deborah Bordenick</v>
      </c>
      <c r="F339" s="11">
        <v>58760.0</v>
      </c>
      <c r="G339" s="11" t="str">
        <f t="shared" si="6"/>
        <v>58760OVR</v>
      </c>
      <c r="H339" s="12">
        <v>45931.0</v>
      </c>
      <c r="I339" s="12">
        <v>46204.0</v>
      </c>
      <c r="J339" s="12">
        <v>46227.0</v>
      </c>
      <c r="K339" s="6" t="s">
        <v>19</v>
      </c>
      <c r="L339" s="6" t="s">
        <v>514</v>
      </c>
      <c r="M339" s="13">
        <v>9.06</v>
      </c>
      <c r="N339" s="6" t="s">
        <v>625</v>
      </c>
      <c r="O339" s="6"/>
      <c r="P339" s="6"/>
      <c r="Q339" s="6"/>
    </row>
    <row r="340" ht="15.75" customHeight="1">
      <c r="A340" s="6" t="s">
        <v>488</v>
      </c>
      <c r="B340" s="6" t="s">
        <v>628</v>
      </c>
      <c r="C340" s="6" t="s">
        <v>489</v>
      </c>
      <c r="D340" s="6" t="s">
        <v>490</v>
      </c>
      <c r="E340" s="3" t="str">
        <f t="shared" si="1"/>
        <v>Sami Azar</v>
      </c>
      <c r="F340" s="11">
        <v>58970.0</v>
      </c>
      <c r="G340" s="11" t="str">
        <f t="shared" si="6"/>
        <v>58970OVR</v>
      </c>
      <c r="H340" s="12">
        <v>45566.0</v>
      </c>
      <c r="I340" s="12">
        <v>46204.0</v>
      </c>
      <c r="J340" s="12">
        <v>46227.0</v>
      </c>
      <c r="K340" s="6" t="s">
        <v>19</v>
      </c>
      <c r="L340" s="6" t="s">
        <v>514</v>
      </c>
      <c r="M340" s="13">
        <v>6.04</v>
      </c>
      <c r="N340" s="6" t="s">
        <v>625</v>
      </c>
      <c r="O340" s="6"/>
      <c r="P340" s="6"/>
    </row>
    <row r="341" ht="15.75" customHeight="1">
      <c r="A341" s="6" t="s">
        <v>50</v>
      </c>
      <c r="B341" s="6" t="s">
        <v>626</v>
      </c>
      <c r="C341" s="6" t="s">
        <v>290</v>
      </c>
      <c r="D341" s="6" t="s">
        <v>340</v>
      </c>
      <c r="E341" s="3" t="str">
        <f t="shared" si="1"/>
        <v>Denise Volkar Scribner</v>
      </c>
      <c r="F341" s="11">
        <v>59280.0</v>
      </c>
      <c r="G341" s="11" t="str">
        <f t="shared" si="6"/>
        <v>59280OVR</v>
      </c>
      <c r="H341" s="12">
        <v>45748.0</v>
      </c>
      <c r="I341" s="12">
        <v>46204.0</v>
      </c>
      <c r="J341" s="12">
        <v>46227.0</v>
      </c>
      <c r="K341" s="6" t="s">
        <v>19</v>
      </c>
      <c r="L341" s="6" t="s">
        <v>514</v>
      </c>
      <c r="M341" s="13">
        <v>6.04</v>
      </c>
      <c r="N341" s="6" t="s">
        <v>625</v>
      </c>
      <c r="O341" s="6"/>
      <c r="P341" s="6"/>
    </row>
    <row r="342" ht="15.75" customHeight="1">
      <c r="A342" s="6" t="s">
        <v>50</v>
      </c>
      <c r="B342" s="6" t="s">
        <v>626</v>
      </c>
      <c r="C342" s="6" t="s">
        <v>91</v>
      </c>
      <c r="D342" s="6" t="s">
        <v>92</v>
      </c>
      <c r="E342" s="3" t="str">
        <f t="shared" si="1"/>
        <v>Mark Serpa</v>
      </c>
      <c r="F342" s="11">
        <v>59760.0</v>
      </c>
      <c r="G342" s="11" t="str">
        <f t="shared" si="6"/>
        <v>59760OVR</v>
      </c>
      <c r="H342" s="12">
        <v>45870.0</v>
      </c>
      <c r="I342" s="12">
        <v>46204.0</v>
      </c>
      <c r="J342" s="12">
        <v>46227.0</v>
      </c>
      <c r="K342" s="6" t="s">
        <v>19</v>
      </c>
      <c r="L342" s="6" t="s">
        <v>514</v>
      </c>
      <c r="M342" s="13">
        <v>9.06</v>
      </c>
      <c r="N342" s="6" t="s">
        <v>625</v>
      </c>
      <c r="O342" s="6"/>
      <c r="P342" s="6"/>
      <c r="Q342" s="6"/>
    </row>
    <row r="343" ht="15.75" customHeight="1">
      <c r="A343" s="6" t="s">
        <v>50</v>
      </c>
      <c r="B343" s="6" t="s">
        <v>626</v>
      </c>
      <c r="C343" s="6" t="s">
        <v>355</v>
      </c>
      <c r="D343" s="6" t="s">
        <v>388</v>
      </c>
      <c r="E343" s="3" t="str">
        <f t="shared" si="1"/>
        <v>Maria Diaz</v>
      </c>
      <c r="F343" s="11">
        <v>61280.0</v>
      </c>
      <c r="G343" s="11" t="str">
        <f t="shared" si="6"/>
        <v>61280OVR</v>
      </c>
      <c r="H343" s="12">
        <v>45658.0</v>
      </c>
      <c r="I343" s="12">
        <v>46204.0</v>
      </c>
      <c r="J343" s="12">
        <v>46227.0</v>
      </c>
      <c r="K343" s="6" t="s">
        <v>19</v>
      </c>
      <c r="L343" s="6" t="s">
        <v>514</v>
      </c>
      <c r="M343" s="13">
        <v>6.04</v>
      </c>
      <c r="N343" s="6" t="s">
        <v>625</v>
      </c>
      <c r="O343" s="6"/>
      <c r="P343" s="6"/>
    </row>
    <row r="344" ht="15.75" customHeight="1">
      <c r="A344" s="6" t="s">
        <v>50</v>
      </c>
      <c r="B344" s="6" t="s">
        <v>626</v>
      </c>
      <c r="C344" s="6" t="s">
        <v>91</v>
      </c>
      <c r="D344" s="6" t="s">
        <v>96</v>
      </c>
      <c r="E344" s="3" t="str">
        <f t="shared" si="1"/>
        <v>Mark Vogelsberger</v>
      </c>
      <c r="F344" s="11">
        <v>61760.0</v>
      </c>
      <c r="G344" s="11" t="str">
        <f t="shared" si="6"/>
        <v>61760OVR</v>
      </c>
      <c r="H344" s="12">
        <v>45627.0</v>
      </c>
      <c r="I344" s="12">
        <v>46204.0</v>
      </c>
      <c r="J344" s="12">
        <v>46227.0</v>
      </c>
      <c r="K344" s="6" t="s">
        <v>19</v>
      </c>
      <c r="L344" s="6" t="s">
        <v>514</v>
      </c>
      <c r="M344" s="13">
        <v>6.04</v>
      </c>
      <c r="N344" s="6" t="s">
        <v>625</v>
      </c>
      <c r="O344" s="6"/>
      <c r="P344" s="6"/>
    </row>
    <row r="345" ht="15.75" customHeight="1">
      <c r="A345" s="6" t="s">
        <v>50</v>
      </c>
      <c r="B345" s="6" t="s">
        <v>626</v>
      </c>
      <c r="C345" s="6" t="s">
        <v>240</v>
      </c>
      <c r="D345" s="6" t="s">
        <v>241</v>
      </c>
      <c r="E345" s="3" t="str">
        <f t="shared" si="1"/>
        <v>Laura Marsico</v>
      </c>
      <c r="F345" s="11">
        <v>62510.0</v>
      </c>
      <c r="G345" s="11" t="str">
        <f t="shared" si="6"/>
        <v>62510OVR</v>
      </c>
      <c r="H345" s="12">
        <v>45261.0</v>
      </c>
      <c r="I345" s="12">
        <v>46204.0</v>
      </c>
      <c r="J345" s="12">
        <v>46227.0</v>
      </c>
      <c r="K345" s="6" t="s">
        <v>19</v>
      </c>
      <c r="L345" s="6" t="s">
        <v>514</v>
      </c>
      <c r="M345" s="13">
        <v>6.04</v>
      </c>
      <c r="N345" s="6" t="s">
        <v>625</v>
      </c>
      <c r="O345" s="6"/>
      <c r="P345" s="6"/>
    </row>
    <row r="346" ht="15.75" customHeight="1">
      <c r="A346" s="6" t="s">
        <v>50</v>
      </c>
      <c r="B346" s="6" t="s">
        <v>626</v>
      </c>
      <c r="C346" s="6" t="s">
        <v>75</v>
      </c>
      <c r="D346" s="6" t="s">
        <v>328</v>
      </c>
      <c r="E346" s="3" t="str">
        <f t="shared" si="1"/>
        <v>Joyce Tarquinio</v>
      </c>
      <c r="F346" s="11">
        <v>63080.0</v>
      </c>
      <c r="G346" s="11" t="str">
        <f t="shared" si="6"/>
        <v>63080OVR</v>
      </c>
      <c r="H346" s="12">
        <v>45200.0</v>
      </c>
      <c r="I346" s="12">
        <v>46204.0</v>
      </c>
      <c r="J346" s="12">
        <v>46227.0</v>
      </c>
      <c r="K346" s="6" t="s">
        <v>19</v>
      </c>
      <c r="L346" s="6" t="s">
        <v>514</v>
      </c>
      <c r="M346" s="13">
        <v>6.04</v>
      </c>
      <c r="N346" s="6" t="s">
        <v>625</v>
      </c>
      <c r="O346" s="6"/>
      <c r="P346" s="6"/>
    </row>
    <row r="347" ht="15.75" customHeight="1">
      <c r="A347" s="6" t="s">
        <v>50</v>
      </c>
      <c r="B347" s="6" t="s">
        <v>626</v>
      </c>
      <c r="C347" s="6" t="s">
        <v>136</v>
      </c>
      <c r="D347" s="6" t="s">
        <v>137</v>
      </c>
      <c r="E347" s="3" t="str">
        <f t="shared" si="1"/>
        <v>Frances Betarie</v>
      </c>
      <c r="F347" s="11">
        <v>65480.0</v>
      </c>
      <c r="G347" s="11" t="str">
        <f t="shared" si="6"/>
        <v>65480OVR</v>
      </c>
      <c r="H347" s="12">
        <v>44531.0</v>
      </c>
      <c r="I347" s="12">
        <v>46204.0</v>
      </c>
      <c r="J347" s="12">
        <v>46227.0</v>
      </c>
      <c r="K347" s="6" t="s">
        <v>19</v>
      </c>
      <c r="L347" s="6" t="s">
        <v>514</v>
      </c>
      <c r="M347" s="13">
        <v>6.04</v>
      </c>
      <c r="N347" s="6" t="s">
        <v>625</v>
      </c>
      <c r="O347" s="6"/>
      <c r="P347" s="6"/>
    </row>
    <row r="348" ht="15.75" customHeight="1">
      <c r="A348" s="6" t="s">
        <v>575</v>
      </c>
      <c r="B348" s="6" t="s">
        <v>632</v>
      </c>
      <c r="C348" s="6" t="s">
        <v>25</v>
      </c>
      <c r="D348" s="6" t="s">
        <v>601</v>
      </c>
      <c r="E348" s="3" t="str">
        <f t="shared" si="1"/>
        <v>Mary Wiley</v>
      </c>
      <c r="F348" s="11">
        <v>65620.0</v>
      </c>
      <c r="G348" s="11" t="str">
        <f t="shared" si="6"/>
        <v>65620OVR</v>
      </c>
      <c r="H348" s="12">
        <v>46235.0</v>
      </c>
      <c r="I348" s="12">
        <v>46387.0</v>
      </c>
      <c r="J348" s="12">
        <v>46227.0</v>
      </c>
      <c r="K348" s="6" t="s">
        <v>19</v>
      </c>
      <c r="L348" s="6" t="s">
        <v>548</v>
      </c>
      <c r="M348" s="13">
        <v>79.79</v>
      </c>
      <c r="N348" s="6" t="s">
        <v>625</v>
      </c>
      <c r="O348" s="6"/>
      <c r="P348" s="6"/>
    </row>
    <row r="349" ht="15.75" customHeight="1">
      <c r="A349" s="6" t="s">
        <v>50</v>
      </c>
      <c r="B349" s="6" t="s">
        <v>626</v>
      </c>
      <c r="C349" s="6" t="s">
        <v>415</v>
      </c>
      <c r="D349" s="6" t="s">
        <v>416</v>
      </c>
      <c r="E349" s="3" t="str">
        <f t="shared" si="1"/>
        <v>Marianne Zapora</v>
      </c>
      <c r="F349" s="11">
        <v>65800.0</v>
      </c>
      <c r="G349" s="11" t="str">
        <f t="shared" si="6"/>
        <v>65800OVR</v>
      </c>
      <c r="H349" s="12">
        <v>45658.0</v>
      </c>
      <c r="I349" s="12">
        <v>46204.0</v>
      </c>
      <c r="J349" s="12">
        <v>46227.0</v>
      </c>
      <c r="K349" s="6" t="s">
        <v>19</v>
      </c>
      <c r="L349" s="6" t="s">
        <v>514</v>
      </c>
      <c r="M349" s="13">
        <v>6.04</v>
      </c>
      <c r="N349" s="6" t="s">
        <v>625</v>
      </c>
      <c r="O349" s="6"/>
      <c r="P349" s="6"/>
    </row>
    <row r="350" ht="15.75" customHeight="1">
      <c r="A350" s="6" t="s">
        <v>12</v>
      </c>
      <c r="B350" s="6" t="s">
        <v>637</v>
      </c>
      <c r="C350" s="6" t="s">
        <v>51</v>
      </c>
      <c r="D350" s="6" t="s">
        <v>339</v>
      </c>
      <c r="E350" s="3" t="str">
        <f t="shared" si="1"/>
        <v>Robert Holmes</v>
      </c>
      <c r="F350" s="11">
        <v>65970.0</v>
      </c>
      <c r="G350" s="11" t="str">
        <f t="shared" si="6"/>
        <v>65970OVR</v>
      </c>
      <c r="H350" s="12">
        <v>45413.0</v>
      </c>
      <c r="I350" s="12">
        <v>46204.0</v>
      </c>
      <c r="J350" s="12">
        <v>46227.0</v>
      </c>
      <c r="K350" s="6" t="s">
        <v>19</v>
      </c>
      <c r="L350" s="6" t="s">
        <v>514</v>
      </c>
      <c r="M350" s="13">
        <v>6.04</v>
      </c>
      <c r="N350" s="6" t="s">
        <v>625</v>
      </c>
      <c r="O350" s="6"/>
      <c r="P350" s="6"/>
    </row>
    <row r="351" ht="15.75" customHeight="1">
      <c r="A351" s="6" t="s">
        <v>266</v>
      </c>
      <c r="B351" s="6" t="s">
        <v>627</v>
      </c>
      <c r="C351" s="6" t="s">
        <v>451</v>
      </c>
      <c r="D351" s="6" t="s">
        <v>452</v>
      </c>
      <c r="E351" s="3" t="str">
        <f t="shared" si="1"/>
        <v>Terence Jacob</v>
      </c>
      <c r="F351" s="11">
        <v>67170.0</v>
      </c>
      <c r="G351" s="11" t="str">
        <f t="shared" si="6"/>
        <v>67170OVR</v>
      </c>
      <c r="H351" s="12">
        <v>45778.0</v>
      </c>
      <c r="I351" s="12">
        <v>46204.0</v>
      </c>
      <c r="J351" s="12">
        <v>46227.0</v>
      </c>
      <c r="K351" s="6" t="s">
        <v>19</v>
      </c>
      <c r="L351" s="6" t="s">
        <v>514</v>
      </c>
      <c r="M351" s="13">
        <v>6.04</v>
      </c>
      <c r="N351" s="6" t="s">
        <v>625</v>
      </c>
      <c r="O351" s="6"/>
      <c r="P351" s="6"/>
    </row>
    <row r="352" ht="15.75" customHeight="1">
      <c r="A352" s="6" t="s">
        <v>50</v>
      </c>
      <c r="B352" s="6" t="s">
        <v>626</v>
      </c>
      <c r="C352" s="6" t="s">
        <v>133</v>
      </c>
      <c r="D352" s="6" t="s">
        <v>406</v>
      </c>
      <c r="E352" s="3" t="str">
        <f t="shared" si="1"/>
        <v>Michael Homer</v>
      </c>
      <c r="F352" s="11">
        <v>67440.0</v>
      </c>
      <c r="G352" s="11" t="str">
        <f t="shared" si="6"/>
        <v>67440OVR</v>
      </c>
      <c r="H352" s="12">
        <v>46235.0</v>
      </c>
      <c r="I352" s="12">
        <v>46387.0</v>
      </c>
      <c r="J352" s="12">
        <v>46227.0</v>
      </c>
      <c r="K352" s="6" t="s">
        <v>19</v>
      </c>
      <c r="L352" s="6" t="s">
        <v>547</v>
      </c>
      <c r="M352" s="13">
        <v>45.31</v>
      </c>
      <c r="N352" s="6" t="s">
        <v>625</v>
      </c>
      <c r="O352" s="6"/>
      <c r="P352" s="6"/>
    </row>
    <row r="353" ht="15.75" customHeight="1">
      <c r="A353" s="6" t="s">
        <v>50</v>
      </c>
      <c r="B353" s="6" t="s">
        <v>626</v>
      </c>
      <c r="C353" s="6" t="s">
        <v>333</v>
      </c>
      <c r="D353" s="6" t="s">
        <v>334</v>
      </c>
      <c r="E353" s="3" t="str">
        <f t="shared" si="1"/>
        <v>Susan Thomson</v>
      </c>
      <c r="F353" s="11">
        <v>67770.0</v>
      </c>
      <c r="G353" s="11" t="str">
        <f t="shared" si="6"/>
        <v>67770OVR</v>
      </c>
      <c r="H353" s="12">
        <v>45839.0</v>
      </c>
      <c r="I353" s="12">
        <v>46204.0</v>
      </c>
      <c r="J353" s="12">
        <v>46227.0</v>
      </c>
      <c r="K353" s="6" t="s">
        <v>19</v>
      </c>
      <c r="L353" s="6" t="s">
        <v>514</v>
      </c>
      <c r="M353" s="13">
        <v>6.04</v>
      </c>
      <c r="N353" s="6" t="s">
        <v>625</v>
      </c>
      <c r="O353" s="6"/>
      <c r="P353" s="6"/>
    </row>
    <row r="354" ht="15.75" customHeight="1">
      <c r="A354" s="6" t="s">
        <v>50</v>
      </c>
      <c r="B354" s="6" t="s">
        <v>626</v>
      </c>
      <c r="C354" s="6" t="s">
        <v>218</v>
      </c>
      <c r="D354" s="6" t="s">
        <v>219</v>
      </c>
      <c r="E354" s="3" t="str">
        <f t="shared" si="1"/>
        <v>Harold Jones</v>
      </c>
      <c r="F354" s="11">
        <v>68460.0</v>
      </c>
      <c r="G354" s="11" t="str">
        <f t="shared" si="6"/>
        <v>68460OVR</v>
      </c>
      <c r="H354" s="12">
        <v>45597.0</v>
      </c>
      <c r="I354" s="12">
        <v>46204.0</v>
      </c>
      <c r="J354" s="12">
        <v>46227.0</v>
      </c>
      <c r="K354" s="6" t="s">
        <v>19</v>
      </c>
      <c r="L354" s="6" t="s">
        <v>514</v>
      </c>
      <c r="M354" s="13">
        <v>6.04</v>
      </c>
      <c r="N354" s="6" t="s">
        <v>625</v>
      </c>
      <c r="O354" s="6"/>
      <c r="P354" s="6"/>
    </row>
    <row r="355" ht="15.75" customHeight="1">
      <c r="A355" s="6" t="s">
        <v>50</v>
      </c>
      <c r="B355" s="6" t="s">
        <v>626</v>
      </c>
      <c r="C355" s="6" t="s">
        <v>421</v>
      </c>
      <c r="D355" s="6" t="s">
        <v>422</v>
      </c>
      <c r="E355" s="3" t="str">
        <f t="shared" si="1"/>
        <v>Rosemarie Mixter</v>
      </c>
      <c r="F355" s="11">
        <v>69580.0</v>
      </c>
      <c r="G355" s="11" t="str">
        <f t="shared" si="6"/>
        <v>69580OVR</v>
      </c>
      <c r="H355" s="12">
        <v>46235.0</v>
      </c>
      <c r="I355" s="12">
        <v>46387.0</v>
      </c>
      <c r="J355" s="12">
        <v>46227.0</v>
      </c>
      <c r="K355" s="6" t="s">
        <v>19</v>
      </c>
      <c r="L355" s="6" t="s">
        <v>547</v>
      </c>
      <c r="M355" s="13">
        <v>45.31</v>
      </c>
      <c r="N355" s="6" t="s">
        <v>625</v>
      </c>
      <c r="O355" s="6"/>
      <c r="P355" s="6"/>
    </row>
    <row r="356" ht="15.75" customHeight="1">
      <c r="A356" s="6" t="s">
        <v>50</v>
      </c>
      <c r="B356" s="6" t="s">
        <v>626</v>
      </c>
      <c r="C356" s="6" t="s">
        <v>232</v>
      </c>
      <c r="D356" s="6" t="s">
        <v>233</v>
      </c>
      <c r="E356" s="3" t="str">
        <f t="shared" si="1"/>
        <v>Cheryl Little</v>
      </c>
      <c r="F356" s="11">
        <v>69790.0</v>
      </c>
      <c r="G356" s="11" t="str">
        <f t="shared" si="6"/>
        <v>69790OVR</v>
      </c>
      <c r="H356" s="12">
        <v>45261.0</v>
      </c>
      <c r="I356" s="12">
        <v>46204.0</v>
      </c>
      <c r="J356" s="12">
        <v>46227.0</v>
      </c>
      <c r="K356" s="6" t="s">
        <v>19</v>
      </c>
      <c r="L356" s="6" t="s">
        <v>514</v>
      </c>
      <c r="M356" s="13">
        <v>6.04</v>
      </c>
      <c r="N356" s="6" t="s">
        <v>625</v>
      </c>
      <c r="O356" s="6"/>
      <c r="P356" s="6"/>
    </row>
    <row r="357" ht="15.75" customHeight="1">
      <c r="A357" s="6" t="s">
        <v>50</v>
      </c>
      <c r="B357" s="6" t="s">
        <v>626</v>
      </c>
      <c r="C357" s="6" t="s">
        <v>221</v>
      </c>
      <c r="D357" s="6" t="s">
        <v>286</v>
      </c>
      <c r="E357" s="3" t="str">
        <f t="shared" si="1"/>
        <v>George Rice</v>
      </c>
      <c r="F357" s="11">
        <v>69910.0</v>
      </c>
      <c r="G357" s="11" t="str">
        <f t="shared" si="6"/>
        <v>69910OVR</v>
      </c>
      <c r="H357" s="12">
        <v>45931.0</v>
      </c>
      <c r="I357" s="12">
        <v>46204.0</v>
      </c>
      <c r="J357" s="12">
        <v>46227.0</v>
      </c>
      <c r="K357" s="6" t="s">
        <v>19</v>
      </c>
      <c r="L357" s="6" t="s">
        <v>514</v>
      </c>
      <c r="M357" s="13">
        <v>9.06</v>
      </c>
      <c r="N357" s="6" t="s">
        <v>625</v>
      </c>
      <c r="O357" s="6"/>
      <c r="P357" s="6"/>
      <c r="Q357" s="6"/>
    </row>
    <row r="358" ht="15.75" customHeight="1">
      <c r="A358" s="6" t="s">
        <v>50</v>
      </c>
      <c r="B358" s="6" t="s">
        <v>626</v>
      </c>
      <c r="C358" s="6" t="s">
        <v>149</v>
      </c>
      <c r="D358" s="6" t="s">
        <v>150</v>
      </c>
      <c r="E358" s="3" t="str">
        <f t="shared" si="1"/>
        <v>Teri Cirillo</v>
      </c>
      <c r="F358" s="11">
        <v>70560.0</v>
      </c>
      <c r="G358" s="11" t="str">
        <f t="shared" si="6"/>
        <v>70560OVR</v>
      </c>
      <c r="H358" s="12">
        <v>45139.0</v>
      </c>
      <c r="I358" s="12">
        <v>46204.0</v>
      </c>
      <c r="J358" s="12">
        <v>46227.0</v>
      </c>
      <c r="K358" s="6" t="s">
        <v>19</v>
      </c>
      <c r="L358" s="6" t="s">
        <v>514</v>
      </c>
      <c r="M358" s="13">
        <v>6.04</v>
      </c>
      <c r="N358" s="6" t="s">
        <v>625</v>
      </c>
      <c r="O358" s="6"/>
      <c r="P358" s="6"/>
    </row>
    <row r="359" ht="15.75" customHeight="1">
      <c r="A359" s="6" t="s">
        <v>50</v>
      </c>
      <c r="B359" s="6" t="s">
        <v>626</v>
      </c>
      <c r="C359" s="6" t="s">
        <v>404</v>
      </c>
      <c r="D359" s="6" t="s">
        <v>405</v>
      </c>
      <c r="E359" s="3" t="str">
        <f t="shared" si="1"/>
        <v>Mitchell Giger</v>
      </c>
      <c r="F359" s="11">
        <v>70720.0</v>
      </c>
      <c r="G359" s="11" t="str">
        <f t="shared" si="6"/>
        <v>70720OVR</v>
      </c>
      <c r="H359" s="12">
        <v>45474.0</v>
      </c>
      <c r="I359" s="12">
        <v>46204.0</v>
      </c>
      <c r="J359" s="12">
        <v>46227.0</v>
      </c>
      <c r="K359" s="6" t="s">
        <v>19</v>
      </c>
      <c r="L359" s="6" t="s">
        <v>514</v>
      </c>
      <c r="M359" s="13">
        <v>6.04</v>
      </c>
      <c r="N359" s="6" t="s">
        <v>625</v>
      </c>
      <c r="O359" s="6"/>
      <c r="P359" s="6"/>
    </row>
    <row r="360" ht="15.75" customHeight="1">
      <c r="A360" s="6" t="s">
        <v>50</v>
      </c>
      <c r="B360" s="6" t="s">
        <v>626</v>
      </c>
      <c r="C360" s="6" t="s">
        <v>43</v>
      </c>
      <c r="D360" s="6" t="s">
        <v>224</v>
      </c>
      <c r="E360" s="3" t="str">
        <f t="shared" si="1"/>
        <v>Joseph Korey</v>
      </c>
      <c r="F360" s="11">
        <v>72670.0</v>
      </c>
      <c r="G360" s="11" t="str">
        <f t="shared" si="6"/>
        <v>72670OVR</v>
      </c>
      <c r="H360" s="12">
        <v>45658.0</v>
      </c>
      <c r="I360" s="12">
        <v>46204.0</v>
      </c>
      <c r="J360" s="12">
        <v>46227.0</v>
      </c>
      <c r="K360" s="6" t="s">
        <v>19</v>
      </c>
      <c r="L360" s="6" t="s">
        <v>514</v>
      </c>
      <c r="M360" s="13">
        <v>6.04</v>
      </c>
      <c r="N360" s="6" t="s">
        <v>625</v>
      </c>
      <c r="O360" s="6"/>
      <c r="P360" s="6"/>
    </row>
    <row r="361" ht="15.75" customHeight="1">
      <c r="A361" s="6" t="s">
        <v>50</v>
      </c>
      <c r="B361" s="6" t="s">
        <v>626</v>
      </c>
      <c r="C361" s="6" t="s">
        <v>245</v>
      </c>
      <c r="D361" s="6" t="s">
        <v>288</v>
      </c>
      <c r="E361" s="3" t="str">
        <f t="shared" si="1"/>
        <v>Kathleen Richell</v>
      </c>
      <c r="F361" s="11">
        <v>72950.0</v>
      </c>
      <c r="G361" s="11" t="str">
        <f t="shared" si="6"/>
        <v>72950OVR</v>
      </c>
      <c r="H361" s="12">
        <v>44228.0</v>
      </c>
      <c r="I361" s="12">
        <v>46204.0</v>
      </c>
      <c r="J361" s="12">
        <v>46227.0</v>
      </c>
      <c r="K361" s="6" t="s">
        <v>19</v>
      </c>
      <c r="L361" s="6" t="s">
        <v>514</v>
      </c>
      <c r="M361" s="13">
        <v>6.04</v>
      </c>
      <c r="N361" s="6" t="s">
        <v>625</v>
      </c>
      <c r="O361" s="6"/>
      <c r="P361" s="6"/>
    </row>
    <row r="362" ht="15.75" customHeight="1">
      <c r="A362" s="6" t="s">
        <v>488</v>
      </c>
      <c r="B362" s="6" t="s">
        <v>628</v>
      </c>
      <c r="C362" s="6" t="s">
        <v>60</v>
      </c>
      <c r="D362" s="6" t="s">
        <v>505</v>
      </c>
      <c r="E362" s="3" t="str">
        <f t="shared" si="1"/>
        <v>Theresa Kurzawa</v>
      </c>
      <c r="F362" s="11">
        <v>72960.0</v>
      </c>
      <c r="G362" s="11" t="str">
        <f t="shared" si="6"/>
        <v>72960OVR</v>
      </c>
      <c r="H362" s="12">
        <v>45689.0</v>
      </c>
      <c r="I362" s="12">
        <v>46204.0</v>
      </c>
      <c r="J362" s="12">
        <v>46227.0</v>
      </c>
      <c r="K362" s="6" t="s">
        <v>19</v>
      </c>
      <c r="L362" s="6" t="s">
        <v>514</v>
      </c>
      <c r="M362" s="13">
        <v>6.04</v>
      </c>
      <c r="N362" s="6" t="s">
        <v>625</v>
      </c>
      <c r="O362" s="6"/>
      <c r="P362" s="6"/>
    </row>
    <row r="363" ht="15.75" customHeight="1">
      <c r="A363" s="6" t="s">
        <v>11</v>
      </c>
      <c r="B363" s="6" t="s">
        <v>640</v>
      </c>
      <c r="C363" s="6" t="s">
        <v>13</v>
      </c>
      <c r="D363" s="6" t="s">
        <v>14</v>
      </c>
      <c r="E363" s="3" t="str">
        <f t="shared" si="1"/>
        <v>Suzanne Botta</v>
      </c>
      <c r="F363" s="11">
        <v>73190.0</v>
      </c>
      <c r="G363" s="11" t="str">
        <f t="shared" si="6"/>
        <v>73190OVR</v>
      </c>
      <c r="H363" s="12">
        <v>45474.0</v>
      </c>
      <c r="I363" s="12">
        <v>46204.0</v>
      </c>
      <c r="J363" s="12">
        <v>46227.0</v>
      </c>
      <c r="K363" s="6" t="s">
        <v>19</v>
      </c>
      <c r="L363" s="6" t="s">
        <v>514</v>
      </c>
      <c r="M363" s="13">
        <v>6.04</v>
      </c>
      <c r="N363" s="6" t="s">
        <v>625</v>
      </c>
      <c r="O363" s="6"/>
      <c r="P363" s="6"/>
      <c r="Q363" s="6"/>
    </row>
    <row r="364" ht="15.75" customHeight="1">
      <c r="A364" s="6" t="s">
        <v>50</v>
      </c>
      <c r="B364" s="6" t="s">
        <v>626</v>
      </c>
      <c r="C364" s="6" t="s">
        <v>184</v>
      </c>
      <c r="D364" s="6" t="s">
        <v>185</v>
      </c>
      <c r="E364" s="3" t="str">
        <f t="shared" si="1"/>
        <v>Sharon Norcia</v>
      </c>
      <c r="F364" s="11">
        <v>73720.0</v>
      </c>
      <c r="G364" s="11" t="str">
        <f t="shared" si="6"/>
        <v>73720OVR</v>
      </c>
      <c r="H364" s="12">
        <v>46235.0</v>
      </c>
      <c r="I364" s="12">
        <v>46387.0</v>
      </c>
      <c r="J364" s="12">
        <v>46227.0</v>
      </c>
      <c r="K364" s="6" t="s">
        <v>19</v>
      </c>
      <c r="L364" s="6" t="s">
        <v>548</v>
      </c>
      <c r="M364" s="13">
        <v>119.69</v>
      </c>
      <c r="N364" s="6" t="s">
        <v>625</v>
      </c>
      <c r="O364" s="6"/>
      <c r="P364" s="6"/>
    </row>
    <row r="365" ht="15.75" customHeight="1">
      <c r="A365" s="6" t="s">
        <v>50</v>
      </c>
      <c r="B365" s="6" t="s">
        <v>626</v>
      </c>
      <c r="C365" s="6" t="s">
        <v>25</v>
      </c>
      <c r="D365" s="6" t="s">
        <v>224</v>
      </c>
      <c r="E365" s="3" t="str">
        <f t="shared" si="1"/>
        <v>Mary Korey</v>
      </c>
      <c r="F365" s="11">
        <v>74030.0</v>
      </c>
      <c r="G365" s="11" t="str">
        <f t="shared" si="6"/>
        <v>74030OVR</v>
      </c>
      <c r="H365" s="12">
        <v>45658.0</v>
      </c>
      <c r="I365" s="12">
        <v>46204.0</v>
      </c>
      <c r="J365" s="12">
        <v>46227.0</v>
      </c>
      <c r="K365" s="6" t="s">
        <v>19</v>
      </c>
      <c r="L365" s="6" t="s">
        <v>514</v>
      </c>
      <c r="M365" s="13">
        <v>6.04</v>
      </c>
      <c r="N365" s="6" t="s">
        <v>625</v>
      </c>
      <c r="O365" s="6"/>
      <c r="P365" s="6"/>
    </row>
    <row r="366" ht="15.75" customHeight="1">
      <c r="A366" s="6" t="s">
        <v>50</v>
      </c>
      <c r="B366" s="6" t="s">
        <v>626</v>
      </c>
      <c r="C366" s="6" t="s">
        <v>139</v>
      </c>
      <c r="D366" s="6" t="s">
        <v>253</v>
      </c>
      <c r="E366" s="3" t="str">
        <f t="shared" si="1"/>
        <v>David Hall</v>
      </c>
      <c r="F366" s="11">
        <v>74090.0</v>
      </c>
      <c r="G366" s="11" t="str">
        <f t="shared" si="6"/>
        <v>74090OVR</v>
      </c>
      <c r="H366" s="12">
        <v>46204.0</v>
      </c>
      <c r="I366" s="12">
        <v>46387.0</v>
      </c>
      <c r="J366" s="12">
        <v>46227.0</v>
      </c>
      <c r="K366" s="6" t="s">
        <v>19</v>
      </c>
      <c r="L366" s="6" t="s">
        <v>546</v>
      </c>
      <c r="M366" s="13">
        <v>103.13</v>
      </c>
      <c r="N366" s="6" t="s">
        <v>625</v>
      </c>
      <c r="O366" s="6"/>
      <c r="P366" s="6"/>
      <c r="Q366" s="6"/>
    </row>
    <row r="367" ht="15.75" customHeight="1">
      <c r="A367" s="6" t="s">
        <v>50</v>
      </c>
      <c r="B367" s="6" t="s">
        <v>626</v>
      </c>
      <c r="C367" s="6" t="s">
        <v>139</v>
      </c>
      <c r="D367" s="6" t="s">
        <v>251</v>
      </c>
      <c r="E367" s="3" t="str">
        <f t="shared" si="1"/>
        <v>David Mckivitz</v>
      </c>
      <c r="F367" s="11">
        <v>74200.0</v>
      </c>
      <c r="G367" s="11" t="str">
        <f t="shared" si="6"/>
        <v>74200OVR</v>
      </c>
      <c r="H367" s="12">
        <v>45901.0</v>
      </c>
      <c r="I367" s="12">
        <v>46204.0</v>
      </c>
      <c r="J367" s="12">
        <v>46227.0</v>
      </c>
      <c r="K367" s="6" t="s">
        <v>19</v>
      </c>
      <c r="L367" s="6" t="s">
        <v>514</v>
      </c>
      <c r="M367" s="13">
        <v>9.06</v>
      </c>
      <c r="N367" s="6" t="s">
        <v>625</v>
      </c>
      <c r="O367" s="6"/>
      <c r="P367" s="6"/>
      <c r="Q367" s="6"/>
    </row>
    <row r="368" ht="15.75" customHeight="1">
      <c r="A368" s="6" t="s">
        <v>521</v>
      </c>
      <c r="B368" s="6" t="s">
        <v>635</v>
      </c>
      <c r="C368" s="6" t="s">
        <v>557</v>
      </c>
      <c r="D368" s="6" t="s">
        <v>558</v>
      </c>
      <c r="E368" s="3" t="str">
        <f t="shared" si="1"/>
        <v>Kenton Gilstrap</v>
      </c>
      <c r="F368" s="11">
        <v>74220.0</v>
      </c>
      <c r="G368" s="11" t="str">
        <f t="shared" si="6"/>
        <v>74220OVR</v>
      </c>
      <c r="H368" s="12">
        <v>46235.0</v>
      </c>
      <c r="I368" s="12">
        <v>46387.0</v>
      </c>
      <c r="J368" s="12">
        <v>46227.0</v>
      </c>
      <c r="K368" s="6" t="s">
        <v>19</v>
      </c>
      <c r="L368" s="6" t="s">
        <v>548</v>
      </c>
      <c r="M368" s="13">
        <v>79.79</v>
      </c>
      <c r="N368" s="6" t="s">
        <v>625</v>
      </c>
      <c r="O368" s="6"/>
      <c r="P368" s="6"/>
    </row>
    <row r="369" ht="15.75" customHeight="1">
      <c r="A369" s="6" t="s">
        <v>530</v>
      </c>
      <c r="B369" s="6" t="s">
        <v>629</v>
      </c>
      <c r="C369" s="6" t="s">
        <v>131</v>
      </c>
      <c r="D369" s="6" t="s">
        <v>537</v>
      </c>
      <c r="E369" s="3" t="str">
        <f t="shared" si="1"/>
        <v>Donna Fazzoni</v>
      </c>
      <c r="F369" s="11">
        <v>75150.0</v>
      </c>
      <c r="G369" s="11" t="str">
        <f t="shared" si="6"/>
        <v>75150OVR</v>
      </c>
      <c r="H369" s="12">
        <v>45078.0</v>
      </c>
      <c r="I369" s="12">
        <v>46204.0</v>
      </c>
      <c r="J369" s="12">
        <v>46227.0</v>
      </c>
      <c r="K369" s="6" t="s">
        <v>19</v>
      </c>
      <c r="L369" s="6" t="s">
        <v>514</v>
      </c>
      <c r="M369" s="13">
        <v>6.04</v>
      </c>
      <c r="N369" s="6" t="s">
        <v>625</v>
      </c>
      <c r="O369" s="6"/>
      <c r="P369" s="6"/>
    </row>
    <row r="370" ht="15.75" customHeight="1">
      <c r="A370" s="6" t="s">
        <v>50</v>
      </c>
      <c r="B370" s="6" t="s">
        <v>626</v>
      </c>
      <c r="C370" s="6" t="s">
        <v>202</v>
      </c>
      <c r="D370" s="6" t="s">
        <v>203</v>
      </c>
      <c r="E370" s="3" t="str">
        <f t="shared" si="1"/>
        <v>Debra Murray</v>
      </c>
      <c r="F370" s="11">
        <v>76360.0</v>
      </c>
      <c r="G370" s="11" t="str">
        <f t="shared" si="6"/>
        <v>76360OVR</v>
      </c>
      <c r="H370" s="12">
        <v>46235.0</v>
      </c>
      <c r="I370" s="12">
        <v>46387.0</v>
      </c>
      <c r="J370" s="12">
        <v>46227.0</v>
      </c>
      <c r="K370" s="6" t="s">
        <v>19</v>
      </c>
      <c r="L370" s="6" t="s">
        <v>548</v>
      </c>
      <c r="M370" s="13">
        <v>119.69</v>
      </c>
      <c r="N370" s="6" t="s">
        <v>625</v>
      </c>
      <c r="O370" s="6"/>
      <c r="P370" s="6"/>
    </row>
    <row r="371" ht="15.75" customHeight="1">
      <c r="A371" s="6" t="s">
        <v>530</v>
      </c>
      <c r="B371" s="6" t="s">
        <v>629</v>
      </c>
      <c r="C371" s="6" t="s">
        <v>227</v>
      </c>
      <c r="D371" s="6" t="s">
        <v>539</v>
      </c>
      <c r="E371" s="3" t="str">
        <f t="shared" si="1"/>
        <v>Catherine Moser</v>
      </c>
      <c r="F371" s="11">
        <v>77170.0</v>
      </c>
      <c r="G371" s="11" t="str">
        <f t="shared" si="6"/>
        <v>77170OVR</v>
      </c>
      <c r="H371" s="12">
        <v>45139.0</v>
      </c>
      <c r="I371" s="12">
        <v>46204.0</v>
      </c>
      <c r="J371" s="12">
        <v>46227.0</v>
      </c>
      <c r="K371" s="6" t="s">
        <v>19</v>
      </c>
      <c r="L371" s="6" t="s">
        <v>514</v>
      </c>
      <c r="M371" s="13">
        <v>6.04</v>
      </c>
      <c r="N371" s="6" t="s">
        <v>625</v>
      </c>
      <c r="O371" s="6"/>
      <c r="P371" s="6"/>
    </row>
    <row r="372" ht="15.75" customHeight="1">
      <c r="A372" s="6" t="s">
        <v>11</v>
      </c>
      <c r="B372" s="6" t="s">
        <v>640</v>
      </c>
      <c r="C372" s="6" t="s">
        <v>43</v>
      </c>
      <c r="D372" s="6" t="s">
        <v>285</v>
      </c>
      <c r="E372" s="3" t="str">
        <f t="shared" si="1"/>
        <v>Joseph Grieco</v>
      </c>
      <c r="F372" s="11">
        <v>78130.0</v>
      </c>
      <c r="G372" s="11" t="str">
        <f t="shared" si="6"/>
        <v>78130OVR</v>
      </c>
      <c r="H372" s="12">
        <v>46204.0</v>
      </c>
      <c r="I372" s="12">
        <v>46387.0</v>
      </c>
      <c r="J372" s="12">
        <v>46227.0</v>
      </c>
      <c r="K372" s="6" t="s">
        <v>19</v>
      </c>
      <c r="L372" s="6" t="s">
        <v>546</v>
      </c>
      <c r="M372" s="13">
        <v>103.13</v>
      </c>
      <c r="N372" s="6" t="s">
        <v>625</v>
      </c>
      <c r="O372" s="6"/>
      <c r="P372" s="6"/>
      <c r="Q372" s="6"/>
    </row>
    <row r="373" ht="15.75" customHeight="1">
      <c r="A373" s="6" t="s">
        <v>50</v>
      </c>
      <c r="B373" s="6" t="s">
        <v>626</v>
      </c>
      <c r="C373" s="6" t="s">
        <v>131</v>
      </c>
      <c r="D373" s="6" t="s">
        <v>424</v>
      </c>
      <c r="E373" s="3" t="str">
        <f t="shared" si="1"/>
        <v>Donna Courtney</v>
      </c>
      <c r="F373" s="11">
        <v>78250.0</v>
      </c>
      <c r="G373" s="11" t="str">
        <f t="shared" si="6"/>
        <v>78250OVR</v>
      </c>
      <c r="H373" s="12">
        <v>45839.0</v>
      </c>
      <c r="I373" s="12">
        <v>46204.0</v>
      </c>
      <c r="J373" s="12">
        <v>46227.0</v>
      </c>
      <c r="K373" s="6" t="s">
        <v>19</v>
      </c>
      <c r="L373" s="6" t="s">
        <v>515</v>
      </c>
      <c r="M373" s="13">
        <v>5.2</v>
      </c>
      <c r="N373" s="6" t="s">
        <v>625</v>
      </c>
      <c r="O373" s="6"/>
      <c r="P373" s="6"/>
      <c r="Q373" s="6"/>
    </row>
    <row r="374" ht="15.75" customHeight="1">
      <c r="A374" s="6" t="s">
        <v>521</v>
      </c>
      <c r="B374" s="6" t="s">
        <v>635</v>
      </c>
      <c r="C374" s="6" t="s">
        <v>152</v>
      </c>
      <c r="D374" s="6" t="s">
        <v>560</v>
      </c>
      <c r="E374" s="3" t="str">
        <f t="shared" si="1"/>
        <v>Anthony Goodwin</v>
      </c>
      <c r="F374" s="11">
        <v>78960.0</v>
      </c>
      <c r="G374" s="11" t="str">
        <f t="shared" si="6"/>
        <v>78960OVR</v>
      </c>
      <c r="H374" s="12">
        <v>46204.0</v>
      </c>
      <c r="I374" s="12">
        <v>46387.0</v>
      </c>
      <c r="J374" s="12">
        <v>46227.0</v>
      </c>
      <c r="K374" s="6" t="s">
        <v>19</v>
      </c>
      <c r="L374" s="6" t="s">
        <v>549</v>
      </c>
      <c r="M374" s="13">
        <v>73.75</v>
      </c>
      <c r="N374" s="6" t="s">
        <v>625</v>
      </c>
      <c r="O374" s="6"/>
      <c r="P374" s="6"/>
    </row>
    <row r="375" ht="15.75" customHeight="1">
      <c r="A375" s="6" t="s">
        <v>50</v>
      </c>
      <c r="B375" s="6" t="s">
        <v>626</v>
      </c>
      <c r="C375" s="6" t="s">
        <v>131</v>
      </c>
      <c r="D375" s="6" t="s">
        <v>129</v>
      </c>
      <c r="E375" s="3" t="str">
        <f t="shared" si="1"/>
        <v>Donna Bayliss</v>
      </c>
      <c r="F375" s="11">
        <v>79240.0</v>
      </c>
      <c r="G375" s="11" t="str">
        <f t="shared" si="6"/>
        <v>79240OVR</v>
      </c>
      <c r="H375" s="12">
        <v>45536.0</v>
      </c>
      <c r="I375" s="12">
        <v>46204.0</v>
      </c>
      <c r="J375" s="12">
        <v>46227.0</v>
      </c>
      <c r="K375" s="6" t="s">
        <v>19</v>
      </c>
      <c r="L375" s="6" t="s">
        <v>514</v>
      </c>
      <c r="M375" s="13">
        <v>6.04</v>
      </c>
      <c r="N375" s="6" t="s">
        <v>625</v>
      </c>
      <c r="O375" s="6"/>
      <c r="P375" s="6"/>
    </row>
    <row r="376" ht="15.75" customHeight="1">
      <c r="A376" s="6" t="s">
        <v>575</v>
      </c>
      <c r="B376" s="6" t="s">
        <v>632</v>
      </c>
      <c r="C376" s="6" t="s">
        <v>51</v>
      </c>
      <c r="D376" s="6" t="s">
        <v>599</v>
      </c>
      <c r="E376" s="3" t="str">
        <f t="shared" si="1"/>
        <v>Robert Watson</v>
      </c>
      <c r="F376" s="11">
        <v>80090.0</v>
      </c>
      <c r="G376" s="11" t="str">
        <f t="shared" si="6"/>
        <v>80090OVR</v>
      </c>
      <c r="H376" s="12">
        <v>46204.0</v>
      </c>
      <c r="I376" s="12">
        <v>46387.0</v>
      </c>
      <c r="J376" s="12">
        <v>46227.0</v>
      </c>
      <c r="K376" s="6" t="s">
        <v>19</v>
      </c>
      <c r="L376" s="6" t="s">
        <v>549</v>
      </c>
      <c r="M376" s="13">
        <v>73.75</v>
      </c>
      <c r="N376" s="6" t="s">
        <v>625</v>
      </c>
      <c r="O376" s="6"/>
      <c r="P376" s="6"/>
    </row>
    <row r="377" ht="15.75" customHeight="1">
      <c r="A377" s="6" t="s">
        <v>50</v>
      </c>
      <c r="B377" s="6" t="s">
        <v>626</v>
      </c>
      <c r="C377" s="6" t="s">
        <v>155</v>
      </c>
      <c r="D377" s="6" t="s">
        <v>153</v>
      </c>
      <c r="E377" s="3" t="str">
        <f t="shared" si="1"/>
        <v>Tina Costanzo</v>
      </c>
      <c r="F377" s="11">
        <v>80130.0</v>
      </c>
      <c r="G377" s="11" t="str">
        <f t="shared" si="6"/>
        <v>80130OVR</v>
      </c>
      <c r="H377" s="12">
        <v>45292.0</v>
      </c>
      <c r="I377" s="12">
        <v>46204.0</v>
      </c>
      <c r="J377" s="12">
        <v>46227.0</v>
      </c>
      <c r="K377" s="6" t="s">
        <v>19</v>
      </c>
      <c r="L377" s="6" t="s">
        <v>514</v>
      </c>
      <c r="M377" s="13">
        <v>6.04</v>
      </c>
      <c r="N377" s="6" t="s">
        <v>625</v>
      </c>
      <c r="O377" s="6"/>
      <c r="P377" s="6"/>
    </row>
    <row r="378" ht="15.75" customHeight="1">
      <c r="A378" s="6" t="s">
        <v>50</v>
      </c>
      <c r="B378" s="6" t="s">
        <v>626</v>
      </c>
      <c r="C378" s="6" t="s">
        <v>260</v>
      </c>
      <c r="D378" s="6" t="s">
        <v>261</v>
      </c>
      <c r="E378" s="3" t="str">
        <f t="shared" si="1"/>
        <v>Ann Murphy</v>
      </c>
      <c r="F378" s="11">
        <v>80870.0</v>
      </c>
      <c r="G378" s="11" t="str">
        <f t="shared" si="6"/>
        <v>80870OVR</v>
      </c>
      <c r="H378" s="12">
        <v>44713.0</v>
      </c>
      <c r="I378" s="12">
        <v>46204.0</v>
      </c>
      <c r="J378" s="12">
        <v>46227.0</v>
      </c>
      <c r="K378" s="6" t="s">
        <v>19</v>
      </c>
      <c r="L378" s="6" t="s">
        <v>514</v>
      </c>
      <c r="M378" s="13">
        <v>6.04</v>
      </c>
      <c r="N378" s="6" t="s">
        <v>625</v>
      </c>
      <c r="O378" s="6"/>
      <c r="P378" s="6"/>
    </row>
    <row r="379" ht="15.75" customHeight="1">
      <c r="A379" s="6" t="s">
        <v>50</v>
      </c>
      <c r="B379" s="6" t="s">
        <v>626</v>
      </c>
      <c r="C379" s="6" t="s">
        <v>371</v>
      </c>
      <c r="D379" s="6" t="s">
        <v>372</v>
      </c>
      <c r="E379" s="3" t="str">
        <f t="shared" si="1"/>
        <v>Edna Zielinski</v>
      </c>
      <c r="F379" s="11">
        <v>81290.0</v>
      </c>
      <c r="G379" s="11" t="str">
        <f t="shared" si="6"/>
        <v>81290OVR</v>
      </c>
      <c r="H379" s="12">
        <v>45870.0</v>
      </c>
      <c r="I379" s="12">
        <v>46204.0</v>
      </c>
      <c r="J379" s="12">
        <v>46227.0</v>
      </c>
      <c r="K379" s="6" t="s">
        <v>19</v>
      </c>
      <c r="L379" s="6" t="s">
        <v>514</v>
      </c>
      <c r="M379" s="13">
        <v>9.06</v>
      </c>
      <c r="N379" s="6" t="s">
        <v>625</v>
      </c>
      <c r="O379" s="6"/>
      <c r="P379" s="6"/>
      <c r="Q379" s="6"/>
    </row>
    <row r="380" ht="15.75" customHeight="1">
      <c r="A380" s="6" t="s">
        <v>50</v>
      </c>
      <c r="B380" s="6" t="s">
        <v>626</v>
      </c>
      <c r="C380" s="6" t="s">
        <v>454</v>
      </c>
      <c r="D380" s="6" t="s">
        <v>455</v>
      </c>
      <c r="E380" s="3" t="str">
        <f t="shared" si="1"/>
        <v>Barbara Stoehr</v>
      </c>
      <c r="F380" s="11">
        <v>81450.0</v>
      </c>
      <c r="G380" s="11" t="str">
        <f t="shared" si="6"/>
        <v>81450OVR</v>
      </c>
      <c r="H380" s="12">
        <v>46235.0</v>
      </c>
      <c r="I380" s="12">
        <v>46387.0</v>
      </c>
      <c r="J380" s="12">
        <v>46227.0</v>
      </c>
      <c r="K380" s="6" t="s">
        <v>19</v>
      </c>
      <c r="L380" s="6" t="s">
        <v>547</v>
      </c>
      <c r="M380" s="13">
        <v>45.31</v>
      </c>
      <c r="N380" s="6" t="s">
        <v>625</v>
      </c>
      <c r="O380" s="6"/>
      <c r="P380" s="6"/>
    </row>
    <row r="381" ht="15.75" customHeight="1">
      <c r="A381" s="6" t="s">
        <v>34</v>
      </c>
      <c r="B381" s="6" t="s">
        <v>631</v>
      </c>
      <c r="C381" s="6" t="s">
        <v>35</v>
      </c>
      <c r="D381" s="6" t="s">
        <v>36</v>
      </c>
      <c r="E381" s="3" t="str">
        <f t="shared" si="1"/>
        <v>Harvey Glantz</v>
      </c>
      <c r="F381" s="11">
        <v>81810.0</v>
      </c>
      <c r="G381" s="11" t="str">
        <f t="shared" si="6"/>
        <v>81810OVR</v>
      </c>
      <c r="H381" s="12">
        <v>45292.0</v>
      </c>
      <c r="I381" s="12">
        <v>46204.0</v>
      </c>
      <c r="J381" s="12">
        <v>46227.0</v>
      </c>
      <c r="K381" s="6" t="s">
        <v>19</v>
      </c>
      <c r="L381" s="6" t="s">
        <v>514</v>
      </c>
      <c r="M381" s="13">
        <v>6.04</v>
      </c>
      <c r="N381" s="6" t="s">
        <v>625</v>
      </c>
      <c r="O381" s="6"/>
      <c r="P381" s="6"/>
      <c r="Q381" s="6"/>
    </row>
    <row r="382" ht="15.75" customHeight="1">
      <c r="A382" s="6" t="s">
        <v>50</v>
      </c>
      <c r="B382" s="6" t="s">
        <v>626</v>
      </c>
      <c r="C382" s="6" t="s">
        <v>440</v>
      </c>
      <c r="D382" s="6" t="s">
        <v>438</v>
      </c>
      <c r="E382" s="3" t="str">
        <f t="shared" si="1"/>
        <v>Wendell Brucker</v>
      </c>
      <c r="F382" s="11">
        <v>81890.0</v>
      </c>
      <c r="G382" s="11" t="str">
        <f t="shared" si="6"/>
        <v>81890OVR</v>
      </c>
      <c r="H382" s="12">
        <v>45474.0</v>
      </c>
      <c r="I382" s="12">
        <v>46204.0</v>
      </c>
      <c r="J382" s="12">
        <v>46227.0</v>
      </c>
      <c r="K382" s="6" t="s">
        <v>19</v>
      </c>
      <c r="L382" s="6" t="s">
        <v>514</v>
      </c>
      <c r="M382" s="13">
        <v>6.04</v>
      </c>
      <c r="N382" s="6" t="s">
        <v>625</v>
      </c>
      <c r="O382" s="6"/>
      <c r="P382" s="6"/>
    </row>
    <row r="383" ht="15.75" customHeight="1">
      <c r="A383" s="6" t="s">
        <v>50</v>
      </c>
      <c r="B383" s="6" t="s">
        <v>626</v>
      </c>
      <c r="C383" s="6" t="s">
        <v>199</v>
      </c>
      <c r="D383" s="6" t="s">
        <v>408</v>
      </c>
      <c r="E383" s="3" t="str">
        <f t="shared" si="1"/>
        <v>Jeffrey Huffman</v>
      </c>
      <c r="F383" s="11">
        <v>82260.0</v>
      </c>
      <c r="G383" s="11" t="str">
        <f t="shared" si="6"/>
        <v>82260OVR</v>
      </c>
      <c r="H383" s="12">
        <v>45170.0</v>
      </c>
      <c r="I383" s="12">
        <v>46204.0</v>
      </c>
      <c r="J383" s="12">
        <v>46227.0</v>
      </c>
      <c r="K383" s="6" t="s">
        <v>19</v>
      </c>
      <c r="L383" s="6" t="s">
        <v>514</v>
      </c>
      <c r="M383" s="13">
        <v>6.04</v>
      </c>
      <c r="N383" s="6" t="s">
        <v>625</v>
      </c>
      <c r="O383" s="6"/>
      <c r="P383" s="6"/>
    </row>
    <row r="384" ht="15.75" customHeight="1">
      <c r="A384" s="6" t="s">
        <v>521</v>
      </c>
      <c r="B384" s="6" t="s">
        <v>635</v>
      </c>
      <c r="C384" s="6" t="s">
        <v>40</v>
      </c>
      <c r="D384" s="6" t="s">
        <v>522</v>
      </c>
      <c r="E384" s="3" t="str">
        <f t="shared" si="1"/>
        <v>John Anderson</v>
      </c>
      <c r="F384" s="11">
        <v>82470.0</v>
      </c>
      <c r="G384" s="11" t="str">
        <f t="shared" si="6"/>
        <v>82470OVR</v>
      </c>
      <c r="H384" s="12">
        <v>46113.0</v>
      </c>
      <c r="I384" s="12">
        <v>46204.0</v>
      </c>
      <c r="J384" s="12">
        <v>46227.0</v>
      </c>
      <c r="K384" s="6" t="s">
        <v>19</v>
      </c>
      <c r="L384" s="6" t="s">
        <v>514</v>
      </c>
      <c r="M384" s="13">
        <v>6.04</v>
      </c>
      <c r="N384" s="6" t="s">
        <v>625</v>
      </c>
      <c r="O384" s="6"/>
      <c r="P384" s="6"/>
    </row>
    <row r="385" ht="15.75" customHeight="1">
      <c r="A385" s="6" t="s">
        <v>50</v>
      </c>
      <c r="B385" s="6" t="s">
        <v>626</v>
      </c>
      <c r="C385" s="6" t="s">
        <v>204</v>
      </c>
      <c r="D385" s="6" t="s">
        <v>200</v>
      </c>
      <c r="E385" s="3" t="str">
        <f t="shared" si="1"/>
        <v>Teresa Gaudino</v>
      </c>
      <c r="F385" s="11">
        <v>82650.0</v>
      </c>
      <c r="G385" s="11" t="str">
        <f t="shared" si="6"/>
        <v>82650OVR</v>
      </c>
      <c r="H385" s="12">
        <v>45689.0</v>
      </c>
      <c r="I385" s="12">
        <v>46204.0</v>
      </c>
      <c r="J385" s="12">
        <v>46227.0</v>
      </c>
      <c r="K385" s="6" t="s">
        <v>19</v>
      </c>
      <c r="L385" s="6" t="s">
        <v>514</v>
      </c>
      <c r="M385" s="13">
        <v>6.04</v>
      </c>
      <c r="N385" s="6" t="s">
        <v>625</v>
      </c>
      <c r="O385" s="6"/>
      <c r="P385" s="6"/>
    </row>
    <row r="386" ht="15.75" customHeight="1">
      <c r="A386" s="6" t="s">
        <v>50</v>
      </c>
      <c r="B386" s="6" t="s">
        <v>626</v>
      </c>
      <c r="C386" s="6" t="s">
        <v>57</v>
      </c>
      <c r="D386" s="6" t="s">
        <v>157</v>
      </c>
      <c r="E386" s="3" t="str">
        <f t="shared" si="1"/>
        <v>Deborah Cowden</v>
      </c>
      <c r="F386" s="11">
        <v>83180.0</v>
      </c>
      <c r="G386" s="11" t="str">
        <f t="shared" si="6"/>
        <v>83180OVR</v>
      </c>
      <c r="H386" s="12">
        <v>45444.0</v>
      </c>
      <c r="I386" s="12">
        <v>46204.0</v>
      </c>
      <c r="J386" s="12">
        <v>46227.0</v>
      </c>
      <c r="K386" s="6" t="s">
        <v>19</v>
      </c>
      <c r="L386" s="6" t="s">
        <v>514</v>
      </c>
      <c r="M386" s="13">
        <v>6.04</v>
      </c>
      <c r="N386" s="6" t="s">
        <v>625</v>
      </c>
      <c r="O386" s="6"/>
      <c r="P386" s="6"/>
    </row>
    <row r="387" ht="15.75" customHeight="1">
      <c r="A387" s="6" t="s">
        <v>530</v>
      </c>
      <c r="B387" s="6" t="s">
        <v>629</v>
      </c>
      <c r="C387" s="6" t="s">
        <v>305</v>
      </c>
      <c r="D387" s="6" t="s">
        <v>192</v>
      </c>
      <c r="E387" s="3" t="str">
        <f t="shared" si="1"/>
        <v>Richard Lynn</v>
      </c>
      <c r="F387" s="11">
        <v>84180.0</v>
      </c>
      <c r="G387" s="11" t="str">
        <f t="shared" si="6"/>
        <v>84180OVR</v>
      </c>
      <c r="H387" s="12">
        <v>45108.0</v>
      </c>
      <c r="I387" s="12">
        <v>46204.0</v>
      </c>
      <c r="J387" s="12">
        <v>46227.0</v>
      </c>
      <c r="K387" s="6" t="s">
        <v>19</v>
      </c>
      <c r="L387" s="6" t="s">
        <v>514</v>
      </c>
      <c r="M387" s="13">
        <v>6.04</v>
      </c>
      <c r="N387" s="6" t="s">
        <v>625</v>
      </c>
      <c r="O387" s="6"/>
      <c r="P387" s="6"/>
    </row>
    <row r="388" ht="15.75" customHeight="1">
      <c r="A388" s="6" t="s">
        <v>488</v>
      </c>
      <c r="B388" s="6" t="s">
        <v>628</v>
      </c>
      <c r="C388" s="6" t="s">
        <v>122</v>
      </c>
      <c r="D388" s="6" t="s">
        <v>502</v>
      </c>
      <c r="E388" s="3" t="str">
        <f t="shared" si="1"/>
        <v>Patricia Wynn</v>
      </c>
      <c r="F388" s="11">
        <v>84430.0</v>
      </c>
      <c r="G388" s="11" t="str">
        <f t="shared" si="6"/>
        <v>84430OVR</v>
      </c>
      <c r="H388" s="12">
        <v>45292.0</v>
      </c>
      <c r="I388" s="12">
        <v>46204.0</v>
      </c>
      <c r="J388" s="12">
        <v>46227.0</v>
      </c>
      <c r="K388" s="6" t="s">
        <v>19</v>
      </c>
      <c r="L388" s="6" t="s">
        <v>514</v>
      </c>
      <c r="M388" s="13">
        <v>6.04</v>
      </c>
      <c r="N388" s="6" t="s">
        <v>625</v>
      </c>
      <c r="O388" s="6"/>
      <c r="P388" s="6"/>
    </row>
    <row r="389" ht="15.75" customHeight="1">
      <c r="A389" s="6" t="s">
        <v>50</v>
      </c>
      <c r="B389" s="6" t="s">
        <v>626</v>
      </c>
      <c r="C389" s="6" t="s">
        <v>131</v>
      </c>
      <c r="D389" s="6" t="s">
        <v>258</v>
      </c>
      <c r="E389" s="3" t="str">
        <f t="shared" si="1"/>
        <v>Donna Mittenzwey</v>
      </c>
      <c r="F389" s="11">
        <v>85210.0</v>
      </c>
      <c r="G389" s="11" t="str">
        <f t="shared" si="6"/>
        <v>85210OVR</v>
      </c>
      <c r="H389" s="12">
        <v>45689.0</v>
      </c>
      <c r="I389" s="12">
        <v>46204.0</v>
      </c>
      <c r="J389" s="12">
        <v>46227.0</v>
      </c>
      <c r="K389" s="6" t="s">
        <v>19</v>
      </c>
      <c r="L389" s="6" t="s">
        <v>514</v>
      </c>
      <c r="M389" s="13">
        <v>6.04</v>
      </c>
      <c r="N389" s="6" t="s">
        <v>625</v>
      </c>
      <c r="O389" s="6"/>
      <c r="P389" s="6"/>
    </row>
    <row r="390" ht="15.75" customHeight="1">
      <c r="A390" s="6" t="s">
        <v>50</v>
      </c>
      <c r="B390" s="6" t="s">
        <v>626</v>
      </c>
      <c r="C390" s="6" t="s">
        <v>379</v>
      </c>
      <c r="D390" s="6" t="s">
        <v>377</v>
      </c>
      <c r="E390" s="3" t="str">
        <f t="shared" si="1"/>
        <v>Eli Zorich</v>
      </c>
      <c r="F390" s="11">
        <v>85420.0</v>
      </c>
      <c r="G390" s="11" t="str">
        <f t="shared" si="6"/>
        <v>85420OVR</v>
      </c>
      <c r="H390" s="12">
        <v>45292.0</v>
      </c>
      <c r="I390" s="12">
        <v>46204.0</v>
      </c>
      <c r="J390" s="12">
        <v>46227.0</v>
      </c>
      <c r="K390" s="6" t="s">
        <v>19</v>
      </c>
      <c r="L390" s="6" t="s">
        <v>514</v>
      </c>
      <c r="M390" s="13">
        <v>6.04</v>
      </c>
      <c r="N390" s="6" t="s">
        <v>625</v>
      </c>
      <c r="O390" s="6"/>
      <c r="P390" s="6"/>
    </row>
    <row r="391" ht="15.75" customHeight="1">
      <c r="A391" s="6" t="s">
        <v>50</v>
      </c>
      <c r="B391" s="6" t="s">
        <v>626</v>
      </c>
      <c r="C391" s="6" t="s">
        <v>102</v>
      </c>
      <c r="D391" s="6" t="s">
        <v>103</v>
      </c>
      <c r="E391" s="3" t="str">
        <f t="shared" si="1"/>
        <v>Arlene Wiedmann</v>
      </c>
      <c r="F391" s="11">
        <v>85870.0</v>
      </c>
      <c r="G391" s="11" t="str">
        <f t="shared" si="6"/>
        <v>85870OVR</v>
      </c>
      <c r="H391" s="12">
        <v>45413.0</v>
      </c>
      <c r="I391" s="12">
        <v>46204.0</v>
      </c>
      <c r="J391" s="12">
        <v>46227.0</v>
      </c>
      <c r="K391" s="6" t="s">
        <v>19</v>
      </c>
      <c r="L391" s="6" t="s">
        <v>514</v>
      </c>
      <c r="M391" s="13">
        <v>6.04</v>
      </c>
      <c r="N391" s="6" t="s">
        <v>625</v>
      </c>
      <c r="O391" s="6"/>
      <c r="P391" s="6"/>
    </row>
    <row r="392" ht="15.75" customHeight="1">
      <c r="A392" s="6" t="s">
        <v>524</v>
      </c>
      <c r="B392" s="6" t="s">
        <v>624</v>
      </c>
      <c r="C392" s="6" t="s">
        <v>248</v>
      </c>
      <c r="D392" s="6" t="s">
        <v>525</v>
      </c>
      <c r="E392" s="3" t="str">
        <f t="shared" si="1"/>
        <v>Kenneth Stebbins</v>
      </c>
      <c r="F392" s="11">
        <v>86870.0</v>
      </c>
      <c r="G392" s="11" t="str">
        <f t="shared" si="6"/>
        <v>86870OVR</v>
      </c>
      <c r="H392" s="12">
        <v>45658.0</v>
      </c>
      <c r="I392" s="12">
        <v>46204.0</v>
      </c>
      <c r="J392" s="12">
        <v>46227.0</v>
      </c>
      <c r="K392" s="6" t="s">
        <v>19</v>
      </c>
      <c r="L392" s="6" t="s">
        <v>514</v>
      </c>
      <c r="M392" s="13">
        <v>6.04</v>
      </c>
      <c r="N392" s="6" t="s">
        <v>625</v>
      </c>
      <c r="O392" s="6"/>
      <c r="P392" s="6"/>
    </row>
    <row r="393" ht="15.75" customHeight="1">
      <c r="A393" s="6" t="s">
        <v>50</v>
      </c>
      <c r="B393" s="6" t="s">
        <v>626</v>
      </c>
      <c r="C393" s="6" t="s">
        <v>199</v>
      </c>
      <c r="D393" s="6" t="s">
        <v>200</v>
      </c>
      <c r="E393" s="3" t="str">
        <f t="shared" si="1"/>
        <v>Jeffrey Gaudino</v>
      </c>
      <c r="F393" s="11">
        <v>87120.0</v>
      </c>
      <c r="G393" s="11" t="str">
        <f t="shared" si="6"/>
        <v>87120OVR</v>
      </c>
      <c r="H393" s="12">
        <v>45748.0</v>
      </c>
      <c r="I393" s="12">
        <v>46204.0</v>
      </c>
      <c r="J393" s="12">
        <v>46227.0</v>
      </c>
      <c r="K393" s="6" t="s">
        <v>19</v>
      </c>
      <c r="L393" s="6" t="s">
        <v>514</v>
      </c>
      <c r="M393" s="13">
        <v>6.04</v>
      </c>
      <c r="N393" s="6" t="s">
        <v>625</v>
      </c>
      <c r="O393" s="6"/>
      <c r="P393" s="6"/>
    </row>
    <row r="394" ht="15.75" customHeight="1">
      <c r="A394" s="6" t="s">
        <v>266</v>
      </c>
      <c r="B394" s="6" t="s">
        <v>627</v>
      </c>
      <c r="C394" s="6" t="s">
        <v>176</v>
      </c>
      <c r="D394" s="6" t="s">
        <v>448</v>
      </c>
      <c r="E394" s="3" t="str">
        <f t="shared" si="1"/>
        <v>Kevin Hoffman</v>
      </c>
      <c r="F394" s="11">
        <v>87560.0</v>
      </c>
      <c r="G394" s="11" t="str">
        <f t="shared" si="6"/>
        <v>87560OVR</v>
      </c>
      <c r="H394" s="12">
        <v>44593.0</v>
      </c>
      <c r="I394" s="12">
        <v>46204.0</v>
      </c>
      <c r="J394" s="12">
        <v>46227.0</v>
      </c>
      <c r="K394" s="6" t="s">
        <v>19</v>
      </c>
      <c r="L394" s="6" t="s">
        <v>514</v>
      </c>
      <c r="M394" s="13">
        <v>6.04</v>
      </c>
      <c r="N394" s="6" t="s">
        <v>625</v>
      </c>
      <c r="O394" s="6"/>
      <c r="P394" s="6"/>
    </row>
    <row r="395" ht="15.75" customHeight="1">
      <c r="A395" s="6" t="s">
        <v>11</v>
      </c>
      <c r="B395" s="6" t="s">
        <v>640</v>
      </c>
      <c r="C395" s="6" t="s">
        <v>21</v>
      </c>
      <c r="D395" s="6" t="s">
        <v>22</v>
      </c>
      <c r="E395" s="3" t="str">
        <f t="shared" si="1"/>
        <v>Karen Rush</v>
      </c>
      <c r="F395" s="11">
        <v>87660.0</v>
      </c>
      <c r="G395" s="11" t="str">
        <f t="shared" si="6"/>
        <v>87660OVR</v>
      </c>
      <c r="H395" s="12">
        <v>45748.0</v>
      </c>
      <c r="I395" s="12">
        <v>46204.0</v>
      </c>
      <c r="J395" s="12">
        <v>46227.0</v>
      </c>
      <c r="K395" s="6" t="s">
        <v>19</v>
      </c>
      <c r="L395" s="6" t="s">
        <v>515</v>
      </c>
      <c r="M395" s="13">
        <v>5.2</v>
      </c>
      <c r="N395" s="6" t="s">
        <v>625</v>
      </c>
      <c r="O395" s="6"/>
      <c r="P395" s="6"/>
      <c r="Q395" s="6"/>
    </row>
    <row r="396" ht="15.75" customHeight="1">
      <c r="A396" s="6" t="s">
        <v>509</v>
      </c>
      <c r="B396" s="6" t="s">
        <v>634</v>
      </c>
      <c r="C396" s="6" t="s">
        <v>171</v>
      </c>
      <c r="D396" s="6" t="s">
        <v>512</v>
      </c>
      <c r="E396" s="3" t="str">
        <f t="shared" si="1"/>
        <v>Diane Brackbill</v>
      </c>
      <c r="F396" s="11">
        <v>87700.0</v>
      </c>
      <c r="G396" s="11" t="str">
        <f t="shared" si="6"/>
        <v>87700OVR</v>
      </c>
      <c r="H396" s="12">
        <v>45901.0</v>
      </c>
      <c r="I396" s="12">
        <v>46204.0</v>
      </c>
      <c r="J396" s="12">
        <v>46227.0</v>
      </c>
      <c r="K396" s="6" t="s">
        <v>19</v>
      </c>
      <c r="L396" s="6" t="s">
        <v>514</v>
      </c>
      <c r="M396" s="13">
        <v>9.06</v>
      </c>
      <c r="N396" s="6" t="s">
        <v>625</v>
      </c>
      <c r="O396" s="6"/>
      <c r="P396" s="6"/>
      <c r="Q396" s="6"/>
    </row>
    <row r="397" ht="15.75" customHeight="1">
      <c r="A397" s="6" t="s">
        <v>516</v>
      </c>
      <c r="B397" s="6" t="s">
        <v>638</v>
      </c>
      <c r="C397" s="6" t="s">
        <v>123</v>
      </c>
      <c r="D397" s="6" t="s">
        <v>520</v>
      </c>
      <c r="E397" s="3" t="str">
        <f t="shared" si="1"/>
        <v>Barry Wingard</v>
      </c>
      <c r="F397" s="11">
        <v>87700.0</v>
      </c>
      <c r="G397" s="11" t="str">
        <f t="shared" si="6"/>
        <v>87700OVR</v>
      </c>
      <c r="H397" s="12">
        <v>45839.0</v>
      </c>
      <c r="I397" s="12">
        <v>46204.0</v>
      </c>
      <c r="J397" s="12">
        <v>46227.0</v>
      </c>
      <c r="K397" s="6" t="s">
        <v>19</v>
      </c>
      <c r="L397" s="6" t="s">
        <v>514</v>
      </c>
      <c r="M397" s="13">
        <v>6.04</v>
      </c>
      <c r="N397" s="6" t="s">
        <v>625</v>
      </c>
      <c r="O397" s="6"/>
      <c r="P397" s="6"/>
    </row>
    <row r="398" ht="15.75" customHeight="1">
      <c r="A398" s="6" t="s">
        <v>50</v>
      </c>
      <c r="B398" s="6" t="s">
        <v>626</v>
      </c>
      <c r="C398" s="6" t="s">
        <v>128</v>
      </c>
      <c r="D398" s="6" t="s">
        <v>129</v>
      </c>
      <c r="E398" s="3" t="str">
        <f t="shared" si="1"/>
        <v>Dan Bayliss</v>
      </c>
      <c r="F398" s="11">
        <v>88400.0</v>
      </c>
      <c r="G398" s="11" t="str">
        <f t="shared" si="6"/>
        <v>88400OVR</v>
      </c>
      <c r="H398" s="12">
        <v>45536.0</v>
      </c>
      <c r="I398" s="12">
        <v>46204.0</v>
      </c>
      <c r="J398" s="12">
        <v>46227.0</v>
      </c>
      <c r="K398" s="6" t="s">
        <v>19</v>
      </c>
      <c r="L398" s="6" t="s">
        <v>514</v>
      </c>
      <c r="M398" s="13">
        <v>6.04</v>
      </c>
      <c r="N398" s="6" t="s">
        <v>625</v>
      </c>
      <c r="O398" s="6"/>
      <c r="P398" s="6"/>
    </row>
    <row r="399" ht="15.75" customHeight="1">
      <c r="A399" s="6" t="s">
        <v>521</v>
      </c>
      <c r="B399" s="6" t="s">
        <v>635</v>
      </c>
      <c r="C399" s="6" t="s">
        <v>122</v>
      </c>
      <c r="D399" s="6" t="s">
        <v>572</v>
      </c>
      <c r="E399" s="3" t="str">
        <f t="shared" si="1"/>
        <v>Patricia Brody</v>
      </c>
      <c r="F399" s="11">
        <v>88590.0</v>
      </c>
      <c r="G399" s="11" t="str">
        <f t="shared" si="6"/>
        <v>88590OVR</v>
      </c>
      <c r="H399" s="12">
        <v>46235.0</v>
      </c>
      <c r="I399" s="12">
        <v>46387.0</v>
      </c>
      <c r="J399" s="12">
        <v>46227.0</v>
      </c>
      <c r="K399" s="6" t="s">
        <v>19</v>
      </c>
      <c r="L399" s="6" t="s">
        <v>547</v>
      </c>
      <c r="M399" s="13">
        <v>30.21</v>
      </c>
      <c r="N399" s="6" t="s">
        <v>625</v>
      </c>
      <c r="O399" s="6"/>
      <c r="P399" s="6"/>
    </row>
    <row r="400" ht="15.75" customHeight="1">
      <c r="A400" s="6" t="s">
        <v>50</v>
      </c>
      <c r="B400" s="6" t="s">
        <v>626</v>
      </c>
      <c r="C400" s="6" t="s">
        <v>51</v>
      </c>
      <c r="D400" s="6" t="s">
        <v>52</v>
      </c>
      <c r="E400" s="3" t="str">
        <f t="shared" si="1"/>
        <v>Robert Allen</v>
      </c>
      <c r="F400" s="11">
        <v>89760.0</v>
      </c>
      <c r="G400" s="11" t="str">
        <f t="shared" si="6"/>
        <v>89760OVR</v>
      </c>
      <c r="H400" s="12">
        <v>45748.0</v>
      </c>
      <c r="I400" s="12">
        <v>46204.0</v>
      </c>
      <c r="J400" s="12">
        <v>46227.0</v>
      </c>
      <c r="K400" s="6" t="s">
        <v>19</v>
      </c>
      <c r="L400" s="6" t="s">
        <v>514</v>
      </c>
      <c r="M400" s="13">
        <v>6.04</v>
      </c>
      <c r="N400" s="6" t="s">
        <v>625</v>
      </c>
      <c r="O400" s="6"/>
      <c r="P400" s="6"/>
    </row>
    <row r="401" ht="15.75" customHeight="1">
      <c r="A401" s="6" t="s">
        <v>50</v>
      </c>
      <c r="B401" s="6" t="s">
        <v>626</v>
      </c>
      <c r="C401" s="6" t="s">
        <v>216</v>
      </c>
      <c r="D401" s="6" t="s">
        <v>217</v>
      </c>
      <c r="E401" s="3" t="str">
        <f t="shared" si="1"/>
        <v>Janet Lauff</v>
      </c>
      <c r="F401" s="11">
        <v>90960.0</v>
      </c>
      <c r="G401" s="11" t="str">
        <f t="shared" si="6"/>
        <v>90960OVR</v>
      </c>
      <c r="H401" s="12">
        <v>46235.0</v>
      </c>
      <c r="I401" s="12">
        <v>46387.0</v>
      </c>
      <c r="J401" s="12">
        <v>46227.0</v>
      </c>
      <c r="K401" s="6" t="s">
        <v>19</v>
      </c>
      <c r="L401" s="6" t="s">
        <v>548</v>
      </c>
      <c r="M401" s="13">
        <v>119.69</v>
      </c>
      <c r="N401" s="6" t="s">
        <v>625</v>
      </c>
      <c r="O401" s="6"/>
      <c r="P401" s="6"/>
    </row>
    <row r="402" ht="15.75" customHeight="1">
      <c r="A402" s="6" t="s">
        <v>50</v>
      </c>
      <c r="B402" s="6" t="s">
        <v>626</v>
      </c>
      <c r="C402" s="6" t="s">
        <v>202</v>
      </c>
      <c r="D402" s="6" t="s">
        <v>274</v>
      </c>
      <c r="E402" s="3" t="str">
        <f t="shared" si="1"/>
        <v>Debra Presutti</v>
      </c>
      <c r="F402" s="11">
        <v>91150.0</v>
      </c>
      <c r="G402" s="11" t="str">
        <f t="shared" si="6"/>
        <v>91150OVR</v>
      </c>
      <c r="H402" s="12">
        <v>45352.0</v>
      </c>
      <c r="I402" s="12">
        <v>46204.0</v>
      </c>
      <c r="J402" s="12">
        <v>46227.0</v>
      </c>
      <c r="K402" s="6" t="s">
        <v>19</v>
      </c>
      <c r="L402" s="6" t="s">
        <v>514</v>
      </c>
      <c r="M402" s="13">
        <v>6.04</v>
      </c>
      <c r="N402" s="6" t="s">
        <v>625</v>
      </c>
      <c r="O402" s="6"/>
      <c r="P402" s="6"/>
    </row>
    <row r="403" ht="15.75" customHeight="1">
      <c r="A403" s="6" t="s">
        <v>50</v>
      </c>
      <c r="B403" s="6" t="s">
        <v>626</v>
      </c>
      <c r="C403" s="6" t="s">
        <v>426</v>
      </c>
      <c r="D403" s="6" t="s">
        <v>427</v>
      </c>
      <c r="E403" s="3" t="str">
        <f t="shared" si="1"/>
        <v>Emerson Evans</v>
      </c>
      <c r="F403" s="11">
        <v>91260.0</v>
      </c>
      <c r="G403" s="11" t="str">
        <f t="shared" si="6"/>
        <v>91260OVR</v>
      </c>
      <c r="H403" s="12">
        <v>45870.0</v>
      </c>
      <c r="I403" s="12">
        <v>46204.0</v>
      </c>
      <c r="J403" s="12">
        <v>46227.0</v>
      </c>
      <c r="K403" s="6" t="s">
        <v>19</v>
      </c>
      <c r="L403" s="6" t="s">
        <v>515</v>
      </c>
      <c r="M403" s="13">
        <v>7.81</v>
      </c>
      <c r="N403" s="6" t="s">
        <v>625</v>
      </c>
      <c r="O403" s="6"/>
      <c r="P403" s="6"/>
      <c r="Q403" s="6"/>
    </row>
    <row r="404" ht="15.75" customHeight="1">
      <c r="A404" s="6" t="s">
        <v>50</v>
      </c>
      <c r="B404" s="6" t="s">
        <v>626</v>
      </c>
      <c r="C404" s="6" t="s">
        <v>281</v>
      </c>
      <c r="D404" s="6" t="s">
        <v>282</v>
      </c>
      <c r="E404" s="3" t="str">
        <f t="shared" si="1"/>
        <v>Ronald Rethage</v>
      </c>
      <c r="F404" s="11">
        <v>92890.0</v>
      </c>
      <c r="G404" s="11" t="str">
        <f t="shared" si="6"/>
        <v>92890OVR</v>
      </c>
      <c r="H404" s="12">
        <v>45261.0</v>
      </c>
      <c r="I404" s="12">
        <v>46204.0</v>
      </c>
      <c r="J404" s="12">
        <v>46227.0</v>
      </c>
      <c r="K404" s="6" t="s">
        <v>19</v>
      </c>
      <c r="L404" s="6" t="s">
        <v>514</v>
      </c>
      <c r="M404" s="13">
        <v>6.04</v>
      </c>
      <c r="N404" s="6" t="s">
        <v>625</v>
      </c>
      <c r="O404" s="6"/>
      <c r="P404" s="6"/>
    </row>
    <row r="405" ht="15.75" customHeight="1">
      <c r="A405" s="6" t="s">
        <v>50</v>
      </c>
      <c r="B405" s="6" t="s">
        <v>626</v>
      </c>
      <c r="C405" s="6" t="s">
        <v>60</v>
      </c>
      <c r="D405" s="6" t="s">
        <v>61</v>
      </c>
      <c r="E405" s="3" t="str">
        <f t="shared" si="1"/>
        <v>Theresa Culkin</v>
      </c>
      <c r="F405" s="11">
        <v>93170.0</v>
      </c>
      <c r="G405" s="11" t="str">
        <f t="shared" si="6"/>
        <v>93170OVR</v>
      </c>
      <c r="H405" s="12">
        <v>45323.0</v>
      </c>
      <c r="I405" s="12">
        <v>46204.0</v>
      </c>
      <c r="J405" s="12">
        <v>46227.0</v>
      </c>
      <c r="K405" s="6" t="s">
        <v>19</v>
      </c>
      <c r="L405" s="6" t="s">
        <v>514</v>
      </c>
      <c r="M405" s="13">
        <v>6.04</v>
      </c>
      <c r="N405" s="6" t="s">
        <v>625</v>
      </c>
      <c r="O405" s="6"/>
      <c r="P405" s="6"/>
    </row>
    <row r="406" ht="15.75" customHeight="1">
      <c r="A406" s="6" t="s">
        <v>50</v>
      </c>
      <c r="B406" s="6" t="s">
        <v>626</v>
      </c>
      <c r="C406" s="6" t="s">
        <v>347</v>
      </c>
      <c r="D406" s="6" t="s">
        <v>348</v>
      </c>
      <c r="E406" s="3" t="str">
        <f t="shared" si="1"/>
        <v>Donald Waxler</v>
      </c>
      <c r="F406" s="11">
        <v>93670.0</v>
      </c>
      <c r="G406" s="11" t="str">
        <f t="shared" si="6"/>
        <v>93670OVR</v>
      </c>
      <c r="H406" s="12">
        <v>45078.0</v>
      </c>
      <c r="I406" s="12">
        <v>46204.0</v>
      </c>
      <c r="J406" s="12">
        <v>46227.0</v>
      </c>
      <c r="K406" s="6" t="s">
        <v>19</v>
      </c>
      <c r="L406" s="6" t="s">
        <v>514</v>
      </c>
      <c r="M406" s="13">
        <v>6.04</v>
      </c>
      <c r="N406" s="6" t="s">
        <v>625</v>
      </c>
      <c r="O406" s="6"/>
      <c r="P406" s="6"/>
    </row>
    <row r="407" ht="15.75" customHeight="1">
      <c r="A407" s="6" t="s">
        <v>50</v>
      </c>
      <c r="B407" s="6" t="s">
        <v>626</v>
      </c>
      <c r="C407" s="6" t="s">
        <v>72</v>
      </c>
      <c r="D407" s="6" t="s">
        <v>279</v>
      </c>
      <c r="E407" s="3" t="str">
        <f t="shared" si="1"/>
        <v>Thomas Redman</v>
      </c>
      <c r="F407" s="11">
        <v>94110.0</v>
      </c>
      <c r="G407" s="11" t="str">
        <f t="shared" si="6"/>
        <v>94110OVR</v>
      </c>
      <c r="H407" s="12">
        <v>45323.0</v>
      </c>
      <c r="I407" s="12">
        <v>46204.0</v>
      </c>
      <c r="J407" s="12">
        <v>46227.0</v>
      </c>
      <c r="K407" s="6" t="s">
        <v>19</v>
      </c>
      <c r="L407" s="6" t="s">
        <v>514</v>
      </c>
      <c r="M407" s="13">
        <v>6.04</v>
      </c>
      <c r="N407" s="6" t="s">
        <v>625</v>
      </c>
      <c r="O407" s="6"/>
      <c r="P407" s="6"/>
    </row>
    <row r="408" ht="15.75" customHeight="1">
      <c r="A408" s="6" t="s">
        <v>50</v>
      </c>
      <c r="B408" s="6" t="s">
        <v>626</v>
      </c>
      <c r="C408" s="6" t="s">
        <v>271</v>
      </c>
      <c r="D408" s="6" t="s">
        <v>272</v>
      </c>
      <c r="E408" s="3" t="str">
        <f t="shared" si="1"/>
        <v>Shu Peng</v>
      </c>
      <c r="F408" s="11">
        <v>94340.0</v>
      </c>
      <c r="G408" s="11" t="str">
        <f t="shared" si="6"/>
        <v>94340OVR</v>
      </c>
      <c r="H408" s="12">
        <v>45839.0</v>
      </c>
      <c r="I408" s="12">
        <v>46204.0</v>
      </c>
      <c r="J408" s="12">
        <v>46227.0</v>
      </c>
      <c r="K408" s="6" t="s">
        <v>19</v>
      </c>
      <c r="L408" s="6" t="s">
        <v>514</v>
      </c>
      <c r="M408" s="13">
        <v>6.04</v>
      </c>
      <c r="N408" s="6" t="s">
        <v>625</v>
      </c>
      <c r="O408" s="6"/>
      <c r="P408" s="6"/>
    </row>
    <row r="409" ht="15.75" customHeight="1">
      <c r="A409" s="6" t="s">
        <v>488</v>
      </c>
      <c r="B409" s="6" t="s">
        <v>628</v>
      </c>
      <c r="C409" s="6" t="s">
        <v>347</v>
      </c>
      <c r="D409" s="6" t="s">
        <v>502</v>
      </c>
      <c r="E409" s="3" t="str">
        <f t="shared" si="1"/>
        <v>Donald Wynn</v>
      </c>
      <c r="F409" s="11">
        <v>94530.0</v>
      </c>
      <c r="G409" s="11" t="str">
        <f t="shared" si="6"/>
        <v>94530OVR</v>
      </c>
      <c r="H409" s="12">
        <v>45292.0</v>
      </c>
      <c r="I409" s="12">
        <v>46204.0</v>
      </c>
      <c r="J409" s="12">
        <v>46227.0</v>
      </c>
      <c r="K409" s="6" t="s">
        <v>19</v>
      </c>
      <c r="L409" s="6" t="s">
        <v>514</v>
      </c>
      <c r="M409" s="13">
        <v>6.04</v>
      </c>
      <c r="N409" s="6" t="s">
        <v>625</v>
      </c>
      <c r="O409" s="6"/>
      <c r="P409" s="6"/>
    </row>
    <row r="410" ht="15.75" customHeight="1">
      <c r="A410" s="6" t="s">
        <v>266</v>
      </c>
      <c r="B410" s="6" t="s">
        <v>627</v>
      </c>
      <c r="C410" s="6" t="s">
        <v>461</v>
      </c>
      <c r="D410" s="6" t="s">
        <v>462</v>
      </c>
      <c r="E410" s="3" t="str">
        <f t="shared" si="1"/>
        <v>Carl Overly</v>
      </c>
      <c r="F410" s="11">
        <v>95310.0</v>
      </c>
      <c r="G410" s="11" t="str">
        <f t="shared" si="6"/>
        <v>95310OVR</v>
      </c>
      <c r="H410" s="12">
        <v>45962.0</v>
      </c>
      <c r="I410" s="12">
        <v>46204.0</v>
      </c>
      <c r="J410" s="12">
        <v>46227.0</v>
      </c>
      <c r="K410" s="6" t="s">
        <v>19</v>
      </c>
      <c r="L410" s="6" t="s">
        <v>514</v>
      </c>
      <c r="M410" s="13">
        <v>9.06</v>
      </c>
      <c r="N410" s="6" t="s">
        <v>625</v>
      </c>
      <c r="O410" s="6"/>
      <c r="P410" s="6"/>
      <c r="Q410" s="6"/>
    </row>
    <row r="411" ht="15.75" customHeight="1">
      <c r="A411" s="6" t="s">
        <v>266</v>
      </c>
      <c r="B411" s="6" t="s">
        <v>627</v>
      </c>
      <c r="C411" s="6" t="s">
        <v>333</v>
      </c>
      <c r="D411" s="6" t="s">
        <v>448</v>
      </c>
      <c r="E411" s="3" t="str">
        <f t="shared" si="1"/>
        <v>Susan Hoffman</v>
      </c>
      <c r="F411" s="11">
        <v>96280.0</v>
      </c>
      <c r="G411" s="11" t="str">
        <f t="shared" si="6"/>
        <v>96280OVR</v>
      </c>
      <c r="H411" s="12">
        <v>44927.0</v>
      </c>
      <c r="I411" s="12">
        <v>46204.0</v>
      </c>
      <c r="J411" s="12">
        <v>46227.0</v>
      </c>
      <c r="K411" s="6" t="s">
        <v>19</v>
      </c>
      <c r="L411" s="6" t="s">
        <v>514</v>
      </c>
      <c r="M411" s="13">
        <v>6.04</v>
      </c>
      <c r="N411" s="6" t="s">
        <v>625</v>
      </c>
      <c r="O411" s="6"/>
      <c r="P411" s="6"/>
    </row>
    <row r="412" ht="15.75" customHeight="1">
      <c r="A412" s="6" t="s">
        <v>50</v>
      </c>
      <c r="B412" s="6" t="s">
        <v>626</v>
      </c>
      <c r="C412" s="6" t="s">
        <v>245</v>
      </c>
      <c r="D412" s="6" t="s">
        <v>41</v>
      </c>
      <c r="E412" s="3" t="str">
        <f t="shared" si="1"/>
        <v>Kathleen Sheridan</v>
      </c>
      <c r="F412" s="11">
        <v>96660.0</v>
      </c>
      <c r="G412" s="11" t="str">
        <f t="shared" si="6"/>
        <v>96660OVR</v>
      </c>
      <c r="H412" s="12">
        <v>44562.0</v>
      </c>
      <c r="I412" s="12">
        <v>46204.0</v>
      </c>
      <c r="J412" s="12">
        <v>46227.0</v>
      </c>
      <c r="K412" s="6" t="s">
        <v>19</v>
      </c>
      <c r="L412" s="6" t="s">
        <v>514</v>
      </c>
      <c r="M412" s="13">
        <v>6.04</v>
      </c>
      <c r="N412" s="6" t="s">
        <v>625</v>
      </c>
      <c r="O412" s="6"/>
      <c r="P412" s="6"/>
    </row>
    <row r="413" ht="15.75" customHeight="1">
      <c r="A413" s="6" t="s">
        <v>521</v>
      </c>
      <c r="B413" s="6" t="s">
        <v>635</v>
      </c>
      <c r="C413" s="6" t="s">
        <v>139</v>
      </c>
      <c r="D413" s="6" t="s">
        <v>570</v>
      </c>
      <c r="E413" s="3" t="str">
        <f t="shared" si="1"/>
        <v>David Binder</v>
      </c>
      <c r="F413" s="11">
        <v>96740.0</v>
      </c>
      <c r="G413" s="11" t="str">
        <f t="shared" si="6"/>
        <v>96740OVR</v>
      </c>
      <c r="H413" s="12">
        <v>46204.0</v>
      </c>
      <c r="I413" s="12">
        <v>46387.0</v>
      </c>
      <c r="J413" s="12">
        <v>46227.0</v>
      </c>
      <c r="K413" s="6" t="s">
        <v>19</v>
      </c>
      <c r="L413" s="6" t="s">
        <v>549</v>
      </c>
      <c r="M413" s="13">
        <v>73.75</v>
      </c>
      <c r="N413" s="6" t="s">
        <v>625</v>
      </c>
      <c r="O413" s="6"/>
      <c r="P413" s="6"/>
    </row>
    <row r="414" ht="15.75" customHeight="1">
      <c r="A414" s="6" t="s">
        <v>521</v>
      </c>
      <c r="B414" s="6" t="s">
        <v>635</v>
      </c>
      <c r="C414" s="6" t="s">
        <v>176</v>
      </c>
      <c r="D414" s="6" t="s">
        <v>552</v>
      </c>
      <c r="E414" s="3" t="str">
        <f t="shared" si="1"/>
        <v>Kevin Brandt</v>
      </c>
      <c r="F414" s="11">
        <v>96770.0</v>
      </c>
      <c r="G414" s="11" t="str">
        <f t="shared" si="6"/>
        <v>96770OVR</v>
      </c>
      <c r="H414" s="12">
        <v>46204.0</v>
      </c>
      <c r="I414" s="12">
        <v>46387.0</v>
      </c>
      <c r="J414" s="12">
        <v>46227.0</v>
      </c>
      <c r="K414" s="6" t="s">
        <v>19</v>
      </c>
      <c r="L414" s="6" t="s">
        <v>549</v>
      </c>
      <c r="M414" s="13">
        <v>73.75</v>
      </c>
      <c r="N414" s="6" t="s">
        <v>625</v>
      </c>
      <c r="O414" s="6"/>
      <c r="P414" s="6"/>
    </row>
    <row r="415" ht="15.75" customHeight="1">
      <c r="A415" s="6" t="s">
        <v>50</v>
      </c>
      <c r="B415" s="6" t="s">
        <v>626</v>
      </c>
      <c r="C415" s="6" t="s">
        <v>25</v>
      </c>
      <c r="D415" s="6" t="s">
        <v>140</v>
      </c>
      <c r="E415" s="3" t="str">
        <f t="shared" si="1"/>
        <v>Mary Bianco</v>
      </c>
      <c r="F415" s="11">
        <v>96980.0</v>
      </c>
      <c r="G415" s="11" t="str">
        <f t="shared" si="6"/>
        <v>96980OVR</v>
      </c>
      <c r="H415" s="12">
        <v>45292.0</v>
      </c>
      <c r="I415" s="12">
        <v>46204.0</v>
      </c>
      <c r="J415" s="12">
        <v>46227.0</v>
      </c>
      <c r="K415" s="6" t="s">
        <v>19</v>
      </c>
      <c r="L415" s="6" t="s">
        <v>514</v>
      </c>
      <c r="M415" s="13">
        <v>6.04</v>
      </c>
      <c r="N415" s="6" t="s">
        <v>625</v>
      </c>
      <c r="O415" s="6"/>
      <c r="P415" s="6"/>
    </row>
    <row r="416" ht="15.75" customHeight="1">
      <c r="A416" s="6" t="s">
        <v>50</v>
      </c>
      <c r="B416" s="6" t="s">
        <v>626</v>
      </c>
      <c r="C416" s="6" t="s">
        <v>152</v>
      </c>
      <c r="D416" s="6" t="s">
        <v>153</v>
      </c>
      <c r="E416" s="3" t="str">
        <f t="shared" si="1"/>
        <v>Anthony Costanzo</v>
      </c>
      <c r="F416" s="11">
        <v>97020.0</v>
      </c>
      <c r="G416" s="11" t="str">
        <f t="shared" si="6"/>
        <v>97020OVR</v>
      </c>
      <c r="H416" s="12">
        <v>45383.0</v>
      </c>
      <c r="I416" s="12">
        <v>46204.0</v>
      </c>
      <c r="J416" s="12">
        <v>46227.0</v>
      </c>
      <c r="K416" s="6" t="s">
        <v>19</v>
      </c>
      <c r="L416" s="6" t="s">
        <v>514</v>
      </c>
      <c r="M416" s="13">
        <v>6.04</v>
      </c>
      <c r="N416" s="6" t="s">
        <v>625</v>
      </c>
      <c r="O416" s="6"/>
      <c r="P416" s="6"/>
    </row>
    <row r="417" ht="15.75" customHeight="1">
      <c r="A417" s="6" t="s">
        <v>50</v>
      </c>
      <c r="B417" s="6" t="s">
        <v>626</v>
      </c>
      <c r="C417" s="6" t="s">
        <v>418</v>
      </c>
      <c r="D417" s="6" t="s">
        <v>419</v>
      </c>
      <c r="E417" s="3" t="str">
        <f t="shared" si="1"/>
        <v>Georgiann Marshall</v>
      </c>
      <c r="F417" s="11">
        <v>97900.0</v>
      </c>
      <c r="G417" s="11" t="str">
        <f t="shared" si="6"/>
        <v>97900OVR</v>
      </c>
      <c r="H417" s="12">
        <v>44958.0</v>
      </c>
      <c r="I417" s="12">
        <v>46204.0</v>
      </c>
      <c r="J417" s="12">
        <v>46227.0</v>
      </c>
      <c r="K417" s="6" t="s">
        <v>19</v>
      </c>
      <c r="L417" s="6" t="s">
        <v>514</v>
      </c>
      <c r="M417" s="13">
        <v>6.04</v>
      </c>
      <c r="N417" s="6" t="s">
        <v>625</v>
      </c>
      <c r="O417" s="6"/>
      <c r="P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 t="s">
        <v>50</v>
      </c>
      <c r="B418" s="6" t="s">
        <v>626</v>
      </c>
      <c r="C418" s="6" t="s">
        <v>105</v>
      </c>
      <c r="D418" s="6" t="s">
        <v>353</v>
      </c>
      <c r="E418" s="3" t="str">
        <f t="shared" si="1"/>
        <v>Judith Weider</v>
      </c>
      <c r="F418" s="11">
        <v>98770.0</v>
      </c>
      <c r="G418" s="11" t="str">
        <f t="shared" si="6"/>
        <v>98770OVR</v>
      </c>
      <c r="H418" s="12">
        <v>42401.0</v>
      </c>
      <c r="I418" s="12">
        <v>46204.0</v>
      </c>
      <c r="J418" s="12">
        <v>46227.0</v>
      </c>
      <c r="K418" s="6" t="s">
        <v>19</v>
      </c>
      <c r="L418" s="6" t="s">
        <v>514</v>
      </c>
      <c r="M418" s="13">
        <v>6.04</v>
      </c>
      <c r="N418" s="6" t="s">
        <v>625</v>
      </c>
      <c r="O418" s="6"/>
      <c r="P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 t="s">
        <v>50</v>
      </c>
      <c r="B419" s="6" t="s">
        <v>626</v>
      </c>
      <c r="C419" s="6" t="s">
        <v>85</v>
      </c>
      <c r="D419" s="6" t="s">
        <v>86</v>
      </c>
      <c r="E419" s="3" t="str">
        <f t="shared" si="1"/>
        <v>Michelle Milcic</v>
      </c>
      <c r="F419" s="11">
        <v>99420.0</v>
      </c>
      <c r="G419" s="11" t="str">
        <f t="shared" si="6"/>
        <v>99420OVR</v>
      </c>
      <c r="H419" s="12">
        <v>45413.0</v>
      </c>
      <c r="I419" s="12">
        <v>46204.0</v>
      </c>
      <c r="J419" s="12">
        <v>46227.0</v>
      </c>
      <c r="K419" s="6" t="s">
        <v>19</v>
      </c>
      <c r="L419" s="6" t="s">
        <v>514</v>
      </c>
      <c r="M419" s="13">
        <v>6.04</v>
      </c>
      <c r="N419" s="6" t="s">
        <v>625</v>
      </c>
      <c r="O419" s="6"/>
      <c r="P419" s="6"/>
    </row>
    <row r="420" ht="15.75" customHeight="1">
      <c r="A420" s="6" t="s">
        <v>50</v>
      </c>
      <c r="B420" s="6" t="s">
        <v>626</v>
      </c>
      <c r="C420" s="6" t="s">
        <v>82</v>
      </c>
      <c r="D420" s="6" t="s">
        <v>79</v>
      </c>
      <c r="E420" s="3" t="str">
        <f t="shared" si="1"/>
        <v>William Marencel</v>
      </c>
      <c r="F420" s="11">
        <v>99660.0</v>
      </c>
      <c r="G420" s="11" t="str">
        <f t="shared" si="6"/>
        <v>99660OVR</v>
      </c>
      <c r="H420" s="12">
        <v>45323.0</v>
      </c>
      <c r="I420" s="12">
        <v>46204.0</v>
      </c>
      <c r="J420" s="12">
        <v>46227.0</v>
      </c>
      <c r="K420" s="6" t="s">
        <v>19</v>
      </c>
      <c r="L420" s="6" t="s">
        <v>514</v>
      </c>
      <c r="M420" s="13">
        <v>6.04</v>
      </c>
      <c r="N420" s="6" t="s">
        <v>625</v>
      </c>
      <c r="O420" s="6"/>
      <c r="P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 t="s">
        <v>266</v>
      </c>
      <c r="B421" s="6" t="s">
        <v>627</v>
      </c>
      <c r="C421" s="6" t="s">
        <v>281</v>
      </c>
      <c r="D421" s="6" t="s">
        <v>456</v>
      </c>
      <c r="E421" s="3" t="str">
        <f t="shared" si="1"/>
        <v>Ronald Romano</v>
      </c>
      <c r="F421" s="11">
        <v>99920.0</v>
      </c>
      <c r="G421" s="11" t="str">
        <f t="shared" si="6"/>
        <v>99920OVR</v>
      </c>
      <c r="H421" s="12">
        <v>45108.0</v>
      </c>
      <c r="I421" s="12">
        <v>46204.0</v>
      </c>
      <c r="J421" s="12">
        <v>46227.0</v>
      </c>
      <c r="K421" s="6" t="s">
        <v>19</v>
      </c>
      <c r="L421" s="6" t="s">
        <v>514</v>
      </c>
      <c r="M421" s="13">
        <v>6.04</v>
      </c>
      <c r="N421" s="6" t="s">
        <v>625</v>
      </c>
      <c r="O421" s="6"/>
      <c r="P421" s="6"/>
    </row>
    <row r="422" ht="15.75" customHeight="1">
      <c r="A422" s="3" t="s">
        <v>509</v>
      </c>
      <c r="B422" s="3">
        <v>2.1618313E7</v>
      </c>
      <c r="C422" s="3" t="s">
        <v>612</v>
      </c>
      <c r="D422" s="3" t="s">
        <v>613</v>
      </c>
      <c r="E422" s="3" t="str">
        <f t="shared" si="1"/>
        <v>Manjula Balasubramanian</v>
      </c>
      <c r="F422" s="2" t="s">
        <v>639</v>
      </c>
      <c r="G422" s="2" t="str">
        <f>CONCATENATE(F422,"MS")</f>
        <v>5011AMS</v>
      </c>
      <c r="H422" s="4">
        <v>46204.0</v>
      </c>
      <c r="I422" s="4">
        <v>46388.0</v>
      </c>
      <c r="J422" s="4">
        <v>46227.0</v>
      </c>
      <c r="K422" s="3" t="s">
        <v>94</v>
      </c>
      <c r="L422" s="3" t="s">
        <v>615</v>
      </c>
      <c r="M422" s="5">
        <v>225.0</v>
      </c>
      <c r="N422" s="3" t="s">
        <v>641</v>
      </c>
      <c r="O422" s="3"/>
      <c r="P422" s="3">
        <f>225/6</f>
        <v>37.5</v>
      </c>
      <c r="Q422" s="3"/>
    </row>
    <row r="423" ht="15.75" customHeight="1">
      <c r="F423" s="2"/>
      <c r="G423" s="2"/>
    </row>
    <row r="424" ht="15.75" customHeight="1">
      <c r="F424" s="2"/>
      <c r="G424" s="2"/>
    </row>
    <row r="425" ht="15.75" customHeight="1">
      <c r="F425" s="2"/>
      <c r="G425" s="2"/>
    </row>
    <row r="426" ht="15.75" customHeight="1">
      <c r="F426" s="2"/>
      <c r="G426" s="2"/>
    </row>
    <row r="427" ht="15.75" customHeight="1">
      <c r="F427" s="2"/>
      <c r="G427" s="2"/>
    </row>
    <row r="428" ht="15.75" customHeight="1">
      <c r="F428" s="2"/>
      <c r="G428" s="2"/>
    </row>
    <row r="429" ht="15.75" customHeight="1">
      <c r="F429" s="2"/>
      <c r="G429" s="2"/>
    </row>
    <row r="430" ht="15.75" customHeight="1">
      <c r="F430" s="2"/>
      <c r="G430" s="2"/>
    </row>
    <row r="431" ht="15.75" customHeight="1">
      <c r="F431" s="2"/>
      <c r="G431" s="2"/>
    </row>
    <row r="432" ht="15.75" customHeight="1">
      <c r="F432" s="2"/>
      <c r="G432" s="2"/>
    </row>
    <row r="433" ht="15.75" customHeight="1">
      <c r="F433" s="2"/>
      <c r="G433" s="2"/>
    </row>
    <row r="434" ht="15.75" customHeight="1">
      <c r="F434" s="2"/>
      <c r="G434" s="2"/>
    </row>
    <row r="435" ht="15.75" customHeight="1">
      <c r="F435" s="2"/>
      <c r="G435" s="2"/>
    </row>
    <row r="436" ht="15.75" customHeight="1">
      <c r="F436" s="2"/>
      <c r="G436" s="2"/>
    </row>
    <row r="437" ht="15.75" customHeight="1">
      <c r="F437" s="2"/>
      <c r="G437" s="2"/>
    </row>
    <row r="438" ht="15.75" customHeight="1">
      <c r="F438" s="2"/>
      <c r="G438" s="2"/>
    </row>
    <row r="439" ht="15.75" customHeight="1">
      <c r="F439" s="2"/>
      <c r="G439" s="2"/>
    </row>
    <row r="440" ht="15.75" customHeight="1">
      <c r="F440" s="2"/>
      <c r="G440" s="2"/>
    </row>
    <row r="441" ht="15.75" customHeight="1">
      <c r="F441" s="2"/>
      <c r="G441" s="2"/>
    </row>
    <row r="442" ht="15.75" customHeight="1">
      <c r="F442" s="2"/>
      <c r="G442" s="2"/>
    </row>
    <row r="443" ht="15.75" customHeight="1">
      <c r="F443" s="2"/>
      <c r="G443" s="2"/>
    </row>
    <row r="444" ht="15.75" customHeight="1">
      <c r="F444" s="2"/>
      <c r="G444" s="2"/>
    </row>
    <row r="445" ht="15.75" customHeight="1">
      <c r="F445" s="2"/>
      <c r="G445" s="2"/>
    </row>
    <row r="446" ht="15.75" customHeight="1">
      <c r="F446" s="2"/>
      <c r="G446" s="2"/>
    </row>
    <row r="447" ht="15.75" customHeight="1">
      <c r="F447" s="2"/>
      <c r="G447" s="2"/>
    </row>
    <row r="448" ht="15.75" customHeight="1">
      <c r="F448" s="2"/>
      <c r="G448" s="2"/>
    </row>
    <row r="449" ht="15.75" customHeight="1">
      <c r="F449" s="2"/>
      <c r="G449" s="2"/>
    </row>
    <row r="450" ht="15.75" customHeight="1">
      <c r="F450" s="2"/>
      <c r="G450" s="2"/>
    </row>
    <row r="451" ht="15.75" customHeight="1">
      <c r="F451" s="2"/>
      <c r="G451" s="2"/>
    </row>
    <row r="452" ht="15.75" customHeight="1">
      <c r="F452" s="2"/>
      <c r="G452" s="2"/>
    </row>
    <row r="453" ht="15.75" customHeight="1">
      <c r="F453" s="2"/>
      <c r="G453" s="2"/>
    </row>
    <row r="454" ht="15.75" customHeight="1">
      <c r="F454" s="2"/>
      <c r="G454" s="2"/>
    </row>
    <row r="455" ht="15.75" customHeight="1">
      <c r="F455" s="2"/>
      <c r="G455" s="2"/>
    </row>
    <row r="456" ht="15.75" customHeight="1">
      <c r="F456" s="2"/>
      <c r="G456" s="2"/>
    </row>
    <row r="457" ht="15.75" customHeight="1">
      <c r="F457" s="2"/>
      <c r="G457" s="2"/>
    </row>
    <row r="458" ht="15.75" customHeight="1">
      <c r="F458" s="2"/>
      <c r="G458" s="2"/>
    </row>
    <row r="459" ht="15.75" customHeight="1">
      <c r="F459" s="2"/>
      <c r="G459" s="2"/>
    </row>
    <row r="460" ht="15.75" customHeight="1">
      <c r="F460" s="2"/>
      <c r="G460" s="2"/>
    </row>
    <row r="461" ht="15.75" customHeight="1">
      <c r="F461" s="2"/>
      <c r="G461" s="2"/>
    </row>
    <row r="462" ht="15.75" customHeight="1">
      <c r="F462" s="2"/>
      <c r="G462" s="2"/>
    </row>
    <row r="463" ht="15.75" customHeight="1">
      <c r="F463" s="2"/>
      <c r="G463" s="2"/>
    </row>
    <row r="464" ht="15.75" customHeight="1">
      <c r="F464" s="2"/>
      <c r="G464" s="2"/>
    </row>
    <row r="465" ht="15.75" customHeight="1">
      <c r="F465" s="2"/>
      <c r="G465" s="2"/>
    </row>
    <row r="466" ht="15.75" customHeight="1">
      <c r="F466" s="2"/>
      <c r="G466" s="2"/>
    </row>
    <row r="467" ht="15.75" customHeight="1">
      <c r="F467" s="2"/>
      <c r="G467" s="2"/>
    </row>
    <row r="468" ht="15.75" customHeight="1">
      <c r="F468" s="2"/>
      <c r="G468" s="2"/>
    </row>
    <row r="469" ht="15.75" customHeight="1">
      <c r="F469" s="2"/>
      <c r="G469" s="2"/>
    </row>
    <row r="470" ht="15.75" customHeight="1">
      <c r="F470" s="2"/>
      <c r="G470" s="2"/>
    </row>
    <row r="471" ht="15.75" customHeight="1">
      <c r="F471" s="2"/>
      <c r="G471" s="2"/>
    </row>
    <row r="472" ht="15.75" customHeight="1">
      <c r="F472" s="2"/>
      <c r="G472" s="2"/>
    </row>
    <row r="473" ht="15.75" customHeight="1">
      <c r="F473" s="2"/>
      <c r="G473" s="2"/>
    </row>
    <row r="474" ht="15.75" customHeight="1">
      <c r="F474" s="2"/>
      <c r="G474" s="2"/>
    </row>
    <row r="475" ht="15.75" customHeight="1">
      <c r="F475" s="2"/>
      <c r="G475" s="2"/>
    </row>
    <row r="476" ht="15.75" customHeight="1">
      <c r="F476" s="2"/>
      <c r="G476" s="2"/>
    </row>
    <row r="477" ht="15.75" customHeight="1">
      <c r="F477" s="2"/>
      <c r="G477" s="2"/>
    </row>
    <row r="478" ht="15.75" customHeight="1">
      <c r="F478" s="2"/>
      <c r="G478" s="2"/>
    </row>
    <row r="479" ht="15.75" customHeight="1">
      <c r="F479" s="2"/>
      <c r="G479" s="2"/>
    </row>
    <row r="480" ht="15.75" customHeight="1">
      <c r="F480" s="2"/>
      <c r="G480" s="2"/>
    </row>
    <row r="481" ht="15.75" customHeight="1">
      <c r="F481" s="2"/>
      <c r="G481" s="2"/>
    </row>
    <row r="482" ht="15.75" customHeight="1">
      <c r="F482" s="2"/>
      <c r="G482" s="2"/>
    </row>
    <row r="483" ht="15.75" customHeight="1">
      <c r="F483" s="2"/>
      <c r="G483" s="2"/>
    </row>
    <row r="484" ht="15.75" customHeight="1">
      <c r="F484" s="2"/>
      <c r="G484" s="2"/>
    </row>
    <row r="485" ht="15.75" customHeight="1">
      <c r="F485" s="2"/>
      <c r="G485" s="2"/>
    </row>
    <row r="486" ht="15.75" customHeight="1">
      <c r="F486" s="2"/>
      <c r="G486" s="2"/>
    </row>
    <row r="487" ht="15.75" customHeight="1">
      <c r="F487" s="2"/>
      <c r="G487" s="2"/>
    </row>
    <row r="488" ht="15.75" customHeight="1">
      <c r="F488" s="2"/>
      <c r="G488" s="2"/>
    </row>
    <row r="489" ht="15.75" customHeight="1">
      <c r="F489" s="2"/>
      <c r="G489" s="2"/>
    </row>
    <row r="490" ht="15.75" customHeight="1">
      <c r="F490" s="2"/>
      <c r="G490" s="2"/>
    </row>
    <row r="491" ht="15.75" customHeight="1">
      <c r="F491" s="2"/>
      <c r="G491" s="2"/>
    </row>
    <row r="492" ht="15.75" customHeight="1">
      <c r="F492" s="2"/>
      <c r="G492" s="2"/>
    </row>
    <row r="493" ht="15.75" customHeight="1">
      <c r="F493" s="2"/>
      <c r="G493" s="2"/>
    </row>
    <row r="494" ht="15.75" customHeight="1">
      <c r="F494" s="2"/>
      <c r="G494" s="2"/>
    </row>
    <row r="495" ht="15.75" customHeight="1">
      <c r="F495" s="2"/>
      <c r="G495" s="2"/>
    </row>
    <row r="496" ht="15.75" customHeight="1">
      <c r="F496" s="2"/>
      <c r="G496" s="2"/>
    </row>
    <row r="497" ht="15.75" customHeight="1">
      <c r="F497" s="2"/>
      <c r="G497" s="2"/>
    </row>
    <row r="498" ht="15.75" customHeight="1">
      <c r="F498" s="2"/>
      <c r="G498" s="2"/>
    </row>
    <row r="499" ht="15.75" customHeight="1">
      <c r="F499" s="2"/>
      <c r="G499" s="2"/>
    </row>
    <row r="500" ht="15.75" customHeight="1">
      <c r="F500" s="2"/>
      <c r="G500" s="2"/>
    </row>
    <row r="501" ht="15.75" customHeight="1">
      <c r="F501" s="2"/>
      <c r="G501" s="2"/>
    </row>
    <row r="502" ht="15.75" customHeight="1">
      <c r="F502" s="2"/>
      <c r="G502" s="2"/>
    </row>
    <row r="503" ht="15.75" customHeight="1">
      <c r="F503" s="2"/>
      <c r="G503" s="2"/>
    </row>
    <row r="504" ht="15.75" customHeight="1">
      <c r="F504" s="2"/>
      <c r="G504" s="2"/>
    </row>
    <row r="505" ht="15.75" customHeight="1">
      <c r="F505" s="2"/>
      <c r="G505" s="2"/>
    </row>
    <row r="506" ht="15.75" customHeight="1">
      <c r="F506" s="2"/>
      <c r="G506" s="2"/>
    </row>
    <row r="507" ht="15.75" customHeight="1">
      <c r="F507" s="2"/>
      <c r="G507" s="2"/>
    </row>
    <row r="508" ht="15.75" customHeight="1">
      <c r="F508" s="2"/>
      <c r="G508" s="2"/>
    </row>
    <row r="509" ht="15.75" customHeight="1">
      <c r="F509" s="2"/>
      <c r="G509" s="2"/>
    </row>
    <row r="510" ht="15.75" customHeight="1">
      <c r="F510" s="2"/>
      <c r="G510" s="2"/>
    </row>
    <row r="511" ht="15.75" customHeight="1">
      <c r="F511" s="2"/>
      <c r="G511" s="2"/>
    </row>
    <row r="512" ht="15.75" customHeight="1">
      <c r="F512" s="2"/>
      <c r="G512" s="2"/>
    </row>
    <row r="513" ht="15.75" customHeight="1">
      <c r="F513" s="2"/>
      <c r="G513" s="2"/>
    </row>
    <row r="514" ht="15.75" customHeight="1">
      <c r="F514" s="2"/>
      <c r="G514" s="2"/>
    </row>
    <row r="515" ht="15.75" customHeight="1">
      <c r="F515" s="2"/>
      <c r="G515" s="2"/>
    </row>
    <row r="516" ht="15.75" customHeight="1">
      <c r="F516" s="2"/>
      <c r="G516" s="2"/>
    </row>
    <row r="517" ht="15.75" customHeight="1">
      <c r="F517" s="2"/>
      <c r="G517" s="2"/>
    </row>
    <row r="518" ht="15.75" customHeight="1">
      <c r="F518" s="2"/>
      <c r="G518" s="2"/>
    </row>
    <row r="519" ht="15.75" customHeight="1">
      <c r="F519" s="2"/>
      <c r="G519" s="2"/>
    </row>
    <row r="520" ht="15.75" customHeight="1">
      <c r="F520" s="2"/>
      <c r="G520" s="2"/>
    </row>
    <row r="521" ht="15.75" customHeight="1">
      <c r="F521" s="2"/>
      <c r="G521" s="2"/>
    </row>
    <row r="522" ht="15.75" customHeight="1">
      <c r="F522" s="2"/>
      <c r="G522" s="2"/>
    </row>
    <row r="523" ht="15.75" customHeight="1">
      <c r="F523" s="2"/>
      <c r="G523" s="2"/>
    </row>
    <row r="524" ht="15.75" customHeight="1">
      <c r="F524" s="2"/>
      <c r="G524" s="2"/>
    </row>
    <row r="525" ht="15.75" customHeight="1">
      <c r="F525" s="2"/>
      <c r="G525" s="2"/>
    </row>
    <row r="526" ht="15.75" customHeight="1">
      <c r="F526" s="2"/>
      <c r="G526" s="2"/>
    </row>
    <row r="527" ht="15.75" customHeight="1">
      <c r="F527" s="2"/>
      <c r="G527" s="2"/>
    </row>
    <row r="528" ht="15.75" customHeight="1">
      <c r="F528" s="2"/>
      <c r="G528" s="2"/>
    </row>
    <row r="529" ht="15.75" customHeight="1">
      <c r="F529" s="2"/>
      <c r="G529" s="2"/>
    </row>
    <row r="530" ht="15.75" customHeight="1">
      <c r="F530" s="2"/>
      <c r="G530" s="2"/>
    </row>
    <row r="531" ht="15.75" customHeight="1">
      <c r="F531" s="2"/>
      <c r="G531" s="2"/>
    </row>
    <row r="532" ht="15.75" customHeight="1">
      <c r="F532" s="2"/>
      <c r="G532" s="2"/>
    </row>
    <row r="533" ht="15.75" customHeight="1">
      <c r="F533" s="2"/>
      <c r="G533" s="2"/>
    </row>
    <row r="534" ht="15.75" customHeight="1">
      <c r="F534" s="2"/>
      <c r="G534" s="2"/>
    </row>
    <row r="535" ht="15.75" customHeight="1">
      <c r="F535" s="2"/>
      <c r="G535" s="2"/>
    </row>
    <row r="536" ht="15.75" customHeight="1">
      <c r="F536" s="2"/>
      <c r="G536" s="2"/>
    </row>
    <row r="537" ht="15.75" customHeight="1">
      <c r="F537" s="2"/>
      <c r="G537" s="2"/>
    </row>
    <row r="538" ht="15.75" customHeight="1">
      <c r="F538" s="2"/>
      <c r="G538" s="2"/>
    </row>
    <row r="539" ht="15.75" customHeight="1">
      <c r="F539" s="2"/>
      <c r="G539" s="2"/>
    </row>
    <row r="540" ht="15.75" customHeight="1">
      <c r="F540" s="2"/>
      <c r="G540" s="2"/>
    </row>
    <row r="541" ht="15.75" customHeight="1">
      <c r="F541" s="2"/>
      <c r="G541" s="2"/>
    </row>
    <row r="542" ht="15.75" customHeight="1">
      <c r="F542" s="2"/>
      <c r="G542" s="2"/>
    </row>
    <row r="543" ht="15.75" customHeight="1">
      <c r="F543" s="2"/>
      <c r="G543" s="2"/>
    </row>
    <row r="544" ht="15.75" customHeight="1">
      <c r="F544" s="2"/>
      <c r="G544" s="2"/>
    </row>
    <row r="545" ht="15.75" customHeight="1">
      <c r="F545" s="2"/>
      <c r="G545" s="2"/>
    </row>
    <row r="546" ht="15.75" customHeight="1">
      <c r="F546" s="2"/>
      <c r="G546" s="2"/>
    </row>
    <row r="547" ht="15.75" customHeight="1">
      <c r="F547" s="2"/>
      <c r="G547" s="2"/>
    </row>
    <row r="548" ht="15.75" customHeight="1">
      <c r="F548" s="2"/>
      <c r="G548" s="2"/>
    </row>
    <row r="549" ht="15.75" customHeight="1">
      <c r="F549" s="2"/>
      <c r="G549" s="2"/>
    </row>
    <row r="550" ht="15.75" customHeight="1">
      <c r="F550" s="2"/>
      <c r="G550" s="2"/>
    </row>
    <row r="551" ht="15.75" customHeight="1">
      <c r="F551" s="2"/>
      <c r="G551" s="2"/>
    </row>
    <row r="552" ht="15.75" customHeight="1">
      <c r="F552" s="2"/>
      <c r="G552" s="2"/>
    </row>
    <row r="553" ht="15.75" customHeight="1">
      <c r="F553" s="2"/>
      <c r="G553" s="2"/>
    </row>
    <row r="554" ht="15.75" customHeight="1">
      <c r="F554" s="2"/>
      <c r="G554" s="2"/>
    </row>
    <row r="555" ht="15.75" customHeight="1">
      <c r="F555" s="2"/>
      <c r="G555" s="2"/>
    </row>
    <row r="556" ht="15.75" customHeight="1">
      <c r="F556" s="2"/>
      <c r="G556" s="2"/>
    </row>
    <row r="557" ht="15.75" customHeight="1">
      <c r="F557" s="2"/>
      <c r="G557" s="2"/>
    </row>
    <row r="558" ht="15.75" customHeight="1">
      <c r="F558" s="2"/>
      <c r="G558" s="2"/>
    </row>
    <row r="559" ht="15.75" customHeight="1">
      <c r="F559" s="2"/>
      <c r="G559" s="2"/>
    </row>
    <row r="560" ht="15.75" customHeight="1">
      <c r="F560" s="2"/>
      <c r="G560" s="2"/>
    </row>
    <row r="561" ht="15.75" customHeight="1">
      <c r="F561" s="2"/>
      <c r="G561" s="2"/>
    </row>
    <row r="562" ht="15.75" customHeight="1">
      <c r="F562" s="2"/>
      <c r="G562" s="2"/>
    </row>
    <row r="563" ht="15.75" customHeight="1">
      <c r="F563" s="2"/>
      <c r="G563" s="2"/>
    </row>
    <row r="564" ht="15.75" customHeight="1">
      <c r="F564" s="2"/>
      <c r="G564" s="2"/>
    </row>
    <row r="565" ht="15.75" customHeight="1">
      <c r="F565" s="2"/>
      <c r="G565" s="2"/>
    </row>
    <row r="566" ht="15.75" customHeight="1">
      <c r="F566" s="2"/>
      <c r="G566" s="2"/>
    </row>
    <row r="567" ht="15.75" customHeight="1">
      <c r="F567" s="2"/>
      <c r="G567" s="2"/>
    </row>
    <row r="568" ht="15.75" customHeight="1">
      <c r="F568" s="2"/>
      <c r="G568" s="2"/>
    </row>
    <row r="569" ht="15.75" customHeight="1">
      <c r="F569" s="2"/>
      <c r="G569" s="2"/>
    </row>
    <row r="570" ht="15.75" customHeight="1">
      <c r="F570" s="2"/>
      <c r="G570" s="2"/>
    </row>
    <row r="571" ht="15.75" customHeight="1">
      <c r="F571" s="2"/>
      <c r="G571" s="2"/>
    </row>
    <row r="572" ht="15.75" customHeight="1">
      <c r="F572" s="2"/>
      <c r="G572" s="2"/>
    </row>
    <row r="573" ht="15.75" customHeight="1">
      <c r="F573" s="2"/>
      <c r="G573" s="2"/>
    </row>
    <row r="574" ht="15.75" customHeight="1">
      <c r="F574" s="2"/>
      <c r="G574" s="2"/>
    </row>
    <row r="575" ht="15.75" customHeight="1">
      <c r="F575" s="2"/>
      <c r="G575" s="2"/>
    </row>
    <row r="576" ht="15.75" customHeight="1">
      <c r="F576" s="2"/>
      <c r="G576" s="2"/>
    </row>
    <row r="577" ht="15.75" customHeight="1">
      <c r="F577" s="2"/>
      <c r="G577" s="2"/>
    </row>
    <row r="578" ht="15.75" customHeight="1">
      <c r="F578" s="2"/>
      <c r="G578" s="2"/>
    </row>
    <row r="579" ht="15.75" customHeight="1">
      <c r="F579" s="2"/>
      <c r="G579" s="2"/>
    </row>
    <row r="580" ht="15.75" customHeight="1">
      <c r="F580" s="2"/>
      <c r="G580" s="2"/>
    </row>
    <row r="581" ht="15.75" customHeight="1">
      <c r="F581" s="2"/>
      <c r="G581" s="2"/>
    </row>
    <row r="582" ht="15.75" customHeight="1">
      <c r="F582" s="2"/>
      <c r="G582" s="2"/>
    </row>
    <row r="583" ht="15.75" customHeight="1">
      <c r="F583" s="2"/>
      <c r="G583" s="2"/>
    </row>
    <row r="584" ht="15.75" customHeight="1">
      <c r="F584" s="2"/>
      <c r="G584" s="2"/>
    </row>
    <row r="585" ht="15.75" customHeight="1">
      <c r="F585" s="2"/>
      <c r="G585" s="2"/>
    </row>
    <row r="586" ht="15.75" customHeight="1">
      <c r="F586" s="2"/>
      <c r="G586" s="2"/>
    </row>
    <row r="587" ht="15.75" customHeight="1">
      <c r="F587" s="2"/>
      <c r="G587" s="2"/>
    </row>
    <row r="588" ht="15.75" customHeight="1">
      <c r="F588" s="2"/>
      <c r="G588" s="2"/>
    </row>
    <row r="589" ht="15.75" customHeight="1">
      <c r="F589" s="2"/>
      <c r="G589" s="2"/>
    </row>
    <row r="590" ht="15.75" customHeight="1">
      <c r="F590" s="2"/>
      <c r="G590" s="2"/>
    </row>
    <row r="591" ht="15.75" customHeight="1">
      <c r="F591" s="2"/>
      <c r="G591" s="2"/>
    </row>
    <row r="592" ht="15.75" customHeight="1">
      <c r="F592" s="2"/>
      <c r="G592" s="2"/>
    </row>
    <row r="593" ht="15.75" customHeight="1">
      <c r="F593" s="2"/>
      <c r="G593" s="2"/>
    </row>
    <row r="594" ht="15.75" customHeight="1">
      <c r="F594" s="2"/>
      <c r="G594" s="2"/>
    </row>
    <row r="595" ht="15.75" customHeight="1">
      <c r="F595" s="2"/>
      <c r="G595" s="2"/>
    </row>
    <row r="596" ht="15.75" customHeight="1">
      <c r="F596" s="2"/>
      <c r="G596" s="2"/>
    </row>
    <row r="597" ht="15.75" customHeight="1">
      <c r="F597" s="2"/>
      <c r="G597" s="2"/>
    </row>
    <row r="598" ht="15.75" customHeight="1">
      <c r="F598" s="2"/>
      <c r="G598" s="2"/>
    </row>
    <row r="599" ht="15.75" customHeight="1">
      <c r="F599" s="2"/>
      <c r="G599" s="2"/>
    </row>
    <row r="600" ht="15.75" customHeight="1">
      <c r="F600" s="2"/>
      <c r="G600" s="2"/>
    </row>
    <row r="601" ht="15.75" customHeight="1">
      <c r="F601" s="2"/>
      <c r="G601" s="2"/>
    </row>
    <row r="602" ht="15.75" customHeight="1">
      <c r="F602" s="2"/>
      <c r="G602" s="2"/>
    </row>
    <row r="603" ht="15.75" customHeight="1">
      <c r="F603" s="2"/>
      <c r="G603" s="2"/>
    </row>
    <row r="604" ht="15.75" customHeight="1">
      <c r="F604" s="2"/>
      <c r="G604" s="2"/>
    </row>
    <row r="605" ht="15.75" customHeight="1">
      <c r="F605" s="2"/>
      <c r="G605" s="2"/>
    </row>
    <row r="606" ht="15.75" customHeight="1">
      <c r="F606" s="2"/>
      <c r="G606" s="2"/>
    </row>
    <row r="607" ht="15.75" customHeight="1">
      <c r="F607" s="2"/>
      <c r="G607" s="2"/>
    </row>
    <row r="608" ht="15.75" customHeight="1">
      <c r="F608" s="2"/>
      <c r="G608" s="2"/>
    </row>
    <row r="609" ht="15.75" customHeight="1">
      <c r="F609" s="2"/>
      <c r="G609" s="2"/>
    </row>
    <row r="610" ht="15.75" customHeight="1">
      <c r="F610" s="2"/>
      <c r="G610" s="2"/>
    </row>
    <row r="611" ht="15.75" customHeight="1">
      <c r="F611" s="2"/>
      <c r="G611" s="2"/>
    </row>
    <row r="612" ht="15.75" customHeight="1">
      <c r="F612" s="2"/>
      <c r="G612" s="2"/>
    </row>
    <row r="613" ht="15.75" customHeight="1">
      <c r="F613" s="2"/>
      <c r="G613" s="2"/>
    </row>
    <row r="614" ht="15.75" customHeight="1">
      <c r="F614" s="2"/>
      <c r="G614" s="2"/>
    </row>
    <row r="615" ht="15.75" customHeight="1">
      <c r="F615" s="2"/>
      <c r="G615" s="2"/>
    </row>
    <row r="616" ht="15.75" customHeight="1">
      <c r="F616" s="2"/>
      <c r="G616" s="2"/>
    </row>
    <row r="617" ht="15.75" customHeight="1">
      <c r="F617" s="2"/>
      <c r="G617" s="2"/>
    </row>
    <row r="618" ht="15.75" customHeight="1">
      <c r="F618" s="2"/>
      <c r="G618" s="2"/>
    </row>
    <row r="619" ht="15.75" customHeight="1">
      <c r="F619" s="2"/>
      <c r="G619" s="2"/>
    </row>
    <row r="620" ht="15.75" customHeight="1">
      <c r="F620" s="2"/>
      <c r="G620" s="2"/>
    </row>
    <row r="621" ht="15.75" customHeight="1">
      <c r="F621" s="2"/>
      <c r="G621" s="2"/>
    </row>
    <row r="622" ht="15.75" customHeight="1">
      <c r="F622" s="2"/>
      <c r="G622" s="2"/>
    </row>
    <row r="623" ht="15.75" customHeight="1">
      <c r="F623" s="2"/>
      <c r="G623" s="2"/>
    </row>
    <row r="624" ht="15.75" customHeight="1">
      <c r="F624" s="2"/>
      <c r="G624" s="2"/>
    </row>
    <row r="625" ht="15.75" customHeight="1">
      <c r="F625" s="2"/>
      <c r="G625" s="2"/>
    </row>
    <row r="626" ht="15.75" customHeight="1">
      <c r="F626" s="2"/>
      <c r="G626" s="2"/>
    </row>
    <row r="627" ht="15.75" customHeight="1">
      <c r="F627" s="2"/>
      <c r="G627" s="2"/>
    </row>
    <row r="628" ht="15.75" customHeight="1">
      <c r="F628" s="2"/>
      <c r="G628" s="2"/>
    </row>
    <row r="629" ht="15.75" customHeight="1">
      <c r="F629" s="2"/>
      <c r="G629" s="2"/>
    </row>
    <row r="630" ht="15.75" customHeight="1">
      <c r="F630" s="2"/>
      <c r="G630" s="2"/>
    </row>
    <row r="631" ht="15.75" customHeight="1">
      <c r="F631" s="2"/>
      <c r="G631" s="2"/>
    </row>
    <row r="632" ht="15.75" customHeight="1">
      <c r="F632" s="2"/>
      <c r="G632" s="2"/>
    </row>
    <row r="633" ht="15.75" customHeight="1">
      <c r="F633" s="2"/>
      <c r="G633" s="2"/>
    </row>
    <row r="634" ht="15.75" customHeight="1">
      <c r="F634" s="2"/>
      <c r="G634" s="2"/>
    </row>
    <row r="635" ht="15.75" customHeight="1">
      <c r="F635" s="2"/>
      <c r="G635" s="2"/>
    </row>
    <row r="636" ht="15.75" customHeight="1">
      <c r="F636" s="2"/>
      <c r="G636" s="2"/>
    </row>
    <row r="637" ht="15.75" customHeight="1">
      <c r="F637" s="2"/>
      <c r="G637" s="2"/>
    </row>
    <row r="638" ht="15.75" customHeight="1">
      <c r="F638" s="2"/>
      <c r="G638" s="2"/>
    </row>
    <row r="639" ht="15.75" customHeight="1">
      <c r="F639" s="2"/>
      <c r="G639" s="2"/>
    </row>
    <row r="640" ht="15.75" customHeight="1">
      <c r="F640" s="2"/>
      <c r="G640" s="2"/>
    </row>
    <row r="641" ht="15.75" customHeight="1">
      <c r="F641" s="2"/>
      <c r="G641" s="2"/>
    </row>
    <row r="642" ht="15.75" customHeight="1">
      <c r="F642" s="2"/>
      <c r="G642" s="2"/>
    </row>
    <row r="643" ht="15.75" customHeight="1">
      <c r="F643" s="2"/>
      <c r="G643" s="2"/>
    </row>
    <row r="644" ht="15.75" customHeight="1">
      <c r="F644" s="2"/>
      <c r="G644" s="2"/>
    </row>
    <row r="645" ht="15.75" customHeight="1">
      <c r="F645" s="2"/>
      <c r="G645" s="2"/>
    </row>
    <row r="646" ht="15.75" customHeight="1">
      <c r="F646" s="2"/>
      <c r="G646" s="2"/>
    </row>
    <row r="647" ht="15.75" customHeight="1">
      <c r="F647" s="2"/>
      <c r="G647" s="2"/>
    </row>
    <row r="648" ht="15.75" customHeight="1">
      <c r="F648" s="2"/>
      <c r="G648" s="2"/>
    </row>
    <row r="649" ht="15.75" customHeight="1">
      <c r="F649" s="2"/>
      <c r="G649" s="2"/>
    </row>
    <row r="650" ht="15.75" customHeight="1">
      <c r="F650" s="2"/>
      <c r="G650" s="2"/>
    </row>
    <row r="651" ht="15.75" customHeight="1">
      <c r="F651" s="2"/>
      <c r="G651" s="2"/>
    </row>
    <row r="652" ht="15.75" customHeight="1">
      <c r="F652" s="2"/>
      <c r="G652" s="2"/>
    </row>
    <row r="653" ht="15.75" customHeight="1">
      <c r="F653" s="2"/>
      <c r="G653" s="2"/>
    </row>
    <row r="654" ht="15.75" customHeight="1">
      <c r="F654" s="2"/>
      <c r="G654" s="2"/>
    </row>
    <row r="655" ht="15.75" customHeight="1">
      <c r="F655" s="2"/>
      <c r="G655" s="2"/>
    </row>
    <row r="656" ht="15.75" customHeight="1">
      <c r="F656" s="2"/>
      <c r="G656" s="2"/>
    </row>
    <row r="657" ht="15.75" customHeight="1">
      <c r="F657" s="2"/>
      <c r="G657" s="2"/>
    </row>
    <row r="658" ht="15.75" customHeight="1">
      <c r="F658" s="2"/>
      <c r="G658" s="2"/>
    </row>
    <row r="659" ht="15.75" customHeight="1">
      <c r="F659" s="2"/>
      <c r="G659" s="2"/>
    </row>
    <row r="660" ht="15.75" customHeight="1">
      <c r="F660" s="2"/>
      <c r="G660" s="2"/>
    </row>
    <row r="661" ht="15.75" customHeight="1">
      <c r="F661" s="2"/>
      <c r="G661" s="2"/>
    </row>
    <row r="662" ht="15.75" customHeight="1">
      <c r="F662" s="2"/>
      <c r="G662" s="2"/>
    </row>
    <row r="663" ht="15.75" customHeight="1">
      <c r="F663" s="2"/>
      <c r="G663" s="2"/>
    </row>
    <row r="664" ht="15.75" customHeight="1">
      <c r="F664" s="2"/>
      <c r="G664" s="2"/>
    </row>
    <row r="665" ht="15.75" customHeight="1">
      <c r="F665" s="2"/>
      <c r="G665" s="2"/>
    </row>
    <row r="666" ht="15.75" customHeight="1">
      <c r="F666" s="2"/>
      <c r="G666" s="2"/>
    </row>
    <row r="667" ht="15.75" customHeight="1">
      <c r="F667" s="2"/>
      <c r="G667" s="2"/>
    </row>
    <row r="668" ht="15.75" customHeight="1">
      <c r="F668" s="2"/>
      <c r="G668" s="2"/>
    </row>
    <row r="669" ht="15.75" customHeight="1">
      <c r="F669" s="2"/>
      <c r="G669" s="2"/>
    </row>
    <row r="670" ht="15.75" customHeight="1">
      <c r="F670" s="2"/>
      <c r="G670" s="2"/>
    </row>
    <row r="671" ht="15.75" customHeight="1">
      <c r="F671" s="2"/>
      <c r="G671" s="2"/>
    </row>
    <row r="672" ht="15.75" customHeight="1">
      <c r="F672" s="2"/>
      <c r="G672" s="2"/>
    </row>
    <row r="673" ht="15.75" customHeight="1">
      <c r="F673" s="2"/>
      <c r="G673" s="2"/>
    </row>
    <row r="674" ht="15.75" customHeight="1">
      <c r="F674" s="2"/>
      <c r="G674" s="2"/>
    </row>
    <row r="675" ht="15.75" customHeight="1">
      <c r="F675" s="2"/>
      <c r="G675" s="2"/>
    </row>
    <row r="676" ht="15.75" customHeight="1">
      <c r="F676" s="2"/>
      <c r="G676" s="2"/>
    </row>
    <row r="677" ht="15.75" customHeight="1">
      <c r="F677" s="2"/>
      <c r="G677" s="2"/>
    </row>
    <row r="678" ht="15.75" customHeight="1">
      <c r="F678" s="2"/>
      <c r="G678" s="2"/>
    </row>
    <row r="679" ht="15.75" customHeight="1">
      <c r="F679" s="2"/>
      <c r="G679" s="2"/>
    </row>
    <row r="680" ht="15.75" customHeight="1">
      <c r="F680" s="2"/>
      <c r="G680" s="2"/>
    </row>
    <row r="681" ht="15.75" customHeight="1">
      <c r="F681" s="2"/>
      <c r="G681" s="2"/>
    </row>
    <row r="682" ht="15.75" customHeight="1">
      <c r="F682" s="2"/>
      <c r="G682" s="2"/>
    </row>
    <row r="683" ht="15.75" customHeight="1">
      <c r="F683" s="2"/>
      <c r="G683" s="2"/>
    </row>
    <row r="684" ht="15.75" customHeight="1">
      <c r="F684" s="2"/>
      <c r="G684" s="2"/>
    </row>
    <row r="685" ht="15.75" customHeight="1">
      <c r="F685" s="2"/>
      <c r="G685" s="2"/>
    </row>
    <row r="686" ht="15.75" customHeight="1">
      <c r="F686" s="2"/>
      <c r="G686" s="2"/>
    </row>
    <row r="687" ht="15.75" customHeight="1">
      <c r="F687" s="2"/>
      <c r="G687" s="2"/>
    </row>
    <row r="688" ht="15.75" customHeight="1">
      <c r="F688" s="2"/>
      <c r="G688" s="2"/>
    </row>
    <row r="689" ht="15.75" customHeight="1">
      <c r="F689" s="2"/>
      <c r="G689" s="2"/>
    </row>
    <row r="690" ht="15.75" customHeight="1">
      <c r="F690" s="2"/>
      <c r="G690" s="2"/>
    </row>
    <row r="691" ht="15.75" customHeight="1">
      <c r="F691" s="2"/>
      <c r="G691" s="2"/>
    </row>
    <row r="692" ht="15.75" customHeight="1">
      <c r="F692" s="2"/>
      <c r="G692" s="2"/>
    </row>
    <row r="693" ht="15.75" customHeight="1">
      <c r="F693" s="2"/>
      <c r="G693" s="2"/>
    </row>
    <row r="694" ht="15.75" customHeight="1">
      <c r="F694" s="2"/>
      <c r="G694" s="2"/>
    </row>
    <row r="695" ht="15.75" customHeight="1">
      <c r="F695" s="2"/>
      <c r="G695" s="2"/>
    </row>
    <row r="696" ht="15.75" customHeight="1">
      <c r="F696" s="2"/>
      <c r="G696" s="2"/>
    </row>
    <row r="697" ht="15.75" customHeight="1">
      <c r="F697" s="2"/>
      <c r="G697" s="2"/>
    </row>
    <row r="698" ht="15.75" customHeight="1">
      <c r="F698" s="2"/>
      <c r="G698" s="2"/>
    </row>
    <row r="699" ht="15.75" customHeight="1">
      <c r="F699" s="2"/>
      <c r="G699" s="2"/>
    </row>
    <row r="700" ht="15.75" customHeight="1">
      <c r="F700" s="2"/>
      <c r="G700" s="2"/>
    </row>
    <row r="701" ht="15.75" customHeight="1">
      <c r="F701" s="2"/>
      <c r="G701" s="2"/>
    </row>
    <row r="702" ht="15.75" customHeight="1">
      <c r="F702" s="2"/>
      <c r="G702" s="2"/>
    </row>
    <row r="703" ht="15.75" customHeight="1">
      <c r="F703" s="2"/>
      <c r="G703" s="2"/>
    </row>
    <row r="704" ht="15.75" customHeight="1">
      <c r="F704" s="2"/>
      <c r="G704" s="2"/>
    </row>
    <row r="705" ht="15.75" customHeight="1">
      <c r="F705" s="2"/>
      <c r="G705" s="2"/>
    </row>
    <row r="706" ht="15.75" customHeight="1">
      <c r="F706" s="2"/>
      <c r="G706" s="2"/>
    </row>
    <row r="707" ht="15.75" customHeight="1">
      <c r="F707" s="2"/>
      <c r="G707" s="2"/>
    </row>
    <row r="708" ht="15.75" customHeight="1">
      <c r="F708" s="2"/>
      <c r="G708" s="2"/>
    </row>
    <row r="709" ht="15.75" customHeight="1">
      <c r="F709" s="2"/>
      <c r="G709" s="2"/>
    </row>
    <row r="710" ht="15.75" customHeight="1">
      <c r="F710" s="2"/>
      <c r="G710" s="2"/>
    </row>
    <row r="711" ht="15.75" customHeight="1">
      <c r="F711" s="2"/>
      <c r="G711" s="2"/>
    </row>
    <row r="712" ht="15.75" customHeight="1">
      <c r="F712" s="2"/>
      <c r="G712" s="2"/>
    </row>
    <row r="713" ht="15.75" customHeight="1">
      <c r="F713" s="2"/>
      <c r="G713" s="2"/>
    </row>
    <row r="714" ht="15.75" customHeight="1">
      <c r="F714" s="2"/>
      <c r="G714" s="2"/>
    </row>
    <row r="715" ht="15.75" customHeight="1">
      <c r="F715" s="2"/>
      <c r="G715" s="2"/>
    </row>
    <row r="716" ht="15.75" customHeight="1">
      <c r="F716" s="2"/>
      <c r="G716" s="2"/>
    </row>
    <row r="717" ht="15.75" customHeight="1">
      <c r="F717" s="2"/>
      <c r="G717" s="2"/>
    </row>
    <row r="718" ht="15.75" customHeight="1">
      <c r="F718" s="2"/>
      <c r="G718" s="2"/>
    </row>
    <row r="719" ht="15.75" customHeight="1">
      <c r="F719" s="2"/>
      <c r="G719" s="2"/>
    </row>
    <row r="720" ht="15.75" customHeight="1">
      <c r="F720" s="2"/>
      <c r="G720" s="2"/>
    </row>
    <row r="721" ht="15.75" customHeight="1">
      <c r="F721" s="2"/>
      <c r="G721" s="2"/>
    </row>
    <row r="722" ht="15.75" customHeight="1">
      <c r="F722" s="2"/>
      <c r="G722" s="2"/>
    </row>
    <row r="723" ht="15.75" customHeight="1">
      <c r="F723" s="2"/>
      <c r="G723" s="2"/>
    </row>
    <row r="724" ht="15.75" customHeight="1">
      <c r="F724" s="2"/>
      <c r="G724" s="2"/>
    </row>
    <row r="725" ht="15.75" customHeight="1">
      <c r="F725" s="2"/>
      <c r="G725" s="2"/>
    </row>
    <row r="726" ht="15.75" customHeight="1">
      <c r="F726" s="2"/>
      <c r="G726" s="2"/>
    </row>
    <row r="727" ht="15.75" customHeight="1">
      <c r="F727" s="2"/>
      <c r="G727" s="2"/>
    </row>
    <row r="728" ht="15.75" customHeight="1">
      <c r="F728" s="2"/>
      <c r="G728" s="2"/>
    </row>
    <row r="729" ht="15.75" customHeight="1">
      <c r="F729" s="2"/>
      <c r="G729" s="2"/>
    </row>
    <row r="730" ht="15.75" customHeight="1">
      <c r="F730" s="2"/>
      <c r="G730" s="2"/>
    </row>
    <row r="731" ht="15.75" customHeight="1">
      <c r="F731" s="2"/>
      <c r="G731" s="2"/>
    </row>
    <row r="732" ht="15.75" customHeight="1">
      <c r="F732" s="2"/>
      <c r="G732" s="2"/>
    </row>
    <row r="733" ht="15.75" customHeight="1">
      <c r="F733" s="2"/>
      <c r="G733" s="2"/>
    </row>
    <row r="734" ht="15.75" customHeight="1">
      <c r="F734" s="2"/>
      <c r="G734" s="2"/>
    </row>
    <row r="735" ht="15.75" customHeight="1">
      <c r="F735" s="2"/>
      <c r="G735" s="2"/>
    </row>
    <row r="736" ht="15.75" customHeight="1">
      <c r="F736" s="2"/>
      <c r="G736" s="2"/>
    </row>
    <row r="737" ht="15.75" customHeight="1">
      <c r="F737" s="2"/>
      <c r="G737" s="2"/>
    </row>
    <row r="738" ht="15.75" customHeight="1">
      <c r="F738" s="2"/>
      <c r="G738" s="2"/>
    </row>
    <row r="739" ht="15.75" customHeight="1">
      <c r="F739" s="2"/>
      <c r="G739" s="2"/>
    </row>
    <row r="740" ht="15.75" customHeight="1">
      <c r="F740" s="2"/>
      <c r="G740" s="2"/>
    </row>
    <row r="741" ht="15.75" customHeight="1">
      <c r="F741" s="2"/>
      <c r="G741" s="2"/>
    </row>
    <row r="742" ht="15.75" customHeight="1">
      <c r="F742" s="2"/>
      <c r="G742" s="2"/>
    </row>
    <row r="743" ht="15.75" customHeight="1">
      <c r="F743" s="2"/>
      <c r="G743" s="2"/>
    </row>
    <row r="744" ht="15.75" customHeight="1">
      <c r="F744" s="2"/>
      <c r="G744" s="2"/>
    </row>
    <row r="745" ht="15.75" customHeight="1">
      <c r="F745" s="2"/>
      <c r="G745" s="2"/>
    </row>
    <row r="746" ht="15.75" customHeight="1">
      <c r="F746" s="2"/>
      <c r="G746" s="2"/>
    </row>
    <row r="747" ht="15.75" customHeight="1">
      <c r="F747" s="2"/>
      <c r="G747" s="2"/>
    </row>
    <row r="748" ht="15.75" customHeight="1">
      <c r="F748" s="2"/>
      <c r="G748" s="2"/>
    </row>
    <row r="749" ht="15.75" customHeight="1">
      <c r="F749" s="2"/>
      <c r="G749" s="2"/>
    </row>
    <row r="750" ht="15.75" customHeight="1">
      <c r="F750" s="2"/>
      <c r="G750" s="2"/>
    </row>
    <row r="751" ht="15.75" customHeight="1">
      <c r="F751" s="2"/>
      <c r="G751" s="2"/>
    </row>
    <row r="752" ht="15.75" customHeight="1">
      <c r="F752" s="2"/>
      <c r="G752" s="2"/>
    </row>
    <row r="753" ht="15.75" customHeight="1">
      <c r="F753" s="2"/>
      <c r="G753" s="2"/>
    </row>
    <row r="754" ht="15.75" customHeight="1">
      <c r="F754" s="2"/>
      <c r="G754" s="2"/>
    </row>
    <row r="755" ht="15.75" customHeight="1">
      <c r="F755" s="2"/>
      <c r="G755" s="2"/>
    </row>
    <row r="756" ht="15.75" customHeight="1">
      <c r="F756" s="2"/>
      <c r="G756" s="2"/>
    </row>
    <row r="757" ht="15.75" customHeight="1">
      <c r="F757" s="2"/>
      <c r="G757" s="2"/>
    </row>
    <row r="758" ht="15.75" customHeight="1">
      <c r="F758" s="2"/>
      <c r="G758" s="2"/>
    </row>
    <row r="759" ht="15.75" customHeight="1">
      <c r="F759" s="2"/>
      <c r="G759" s="2"/>
    </row>
    <row r="760" ht="15.75" customHeight="1">
      <c r="F760" s="2"/>
      <c r="G760" s="2"/>
    </row>
    <row r="761" ht="15.75" customHeight="1">
      <c r="F761" s="2"/>
      <c r="G761" s="2"/>
    </row>
    <row r="762" ht="15.75" customHeight="1">
      <c r="F762" s="2"/>
      <c r="G762" s="2"/>
    </row>
    <row r="763" ht="15.75" customHeight="1">
      <c r="F763" s="2"/>
      <c r="G763" s="2"/>
    </row>
    <row r="764" ht="15.75" customHeight="1">
      <c r="F764" s="2"/>
      <c r="G764" s="2"/>
    </row>
    <row r="765" ht="15.75" customHeight="1">
      <c r="F765" s="2"/>
      <c r="G765" s="2"/>
    </row>
    <row r="766" ht="15.75" customHeight="1">
      <c r="F766" s="2"/>
      <c r="G766" s="2"/>
    </row>
    <row r="767" ht="15.75" customHeight="1">
      <c r="F767" s="2"/>
      <c r="G767" s="2"/>
    </row>
    <row r="768" ht="15.75" customHeight="1">
      <c r="F768" s="2"/>
      <c r="G768" s="2"/>
    </row>
    <row r="769" ht="15.75" customHeight="1">
      <c r="F769" s="2"/>
      <c r="G769" s="2"/>
    </row>
    <row r="770" ht="15.75" customHeight="1">
      <c r="F770" s="2"/>
      <c r="G770" s="2"/>
    </row>
    <row r="771" ht="15.75" customHeight="1">
      <c r="F771" s="2"/>
      <c r="G771" s="2"/>
    </row>
    <row r="772" ht="15.75" customHeight="1">
      <c r="F772" s="2"/>
      <c r="G772" s="2"/>
    </row>
    <row r="773" ht="15.75" customHeight="1">
      <c r="F773" s="2"/>
      <c r="G773" s="2"/>
    </row>
    <row r="774" ht="15.75" customHeight="1">
      <c r="F774" s="2"/>
      <c r="G774" s="2"/>
    </row>
    <row r="775" ht="15.75" customHeight="1">
      <c r="F775" s="2"/>
      <c r="G775" s="2"/>
    </row>
    <row r="776" ht="15.75" customHeight="1">
      <c r="F776" s="2"/>
      <c r="G776" s="2"/>
    </row>
    <row r="777" ht="15.75" customHeight="1">
      <c r="F777" s="2"/>
      <c r="G777" s="2"/>
    </row>
    <row r="778" ht="15.75" customHeight="1">
      <c r="F778" s="2"/>
      <c r="G778" s="2"/>
    </row>
    <row r="779" ht="15.75" customHeight="1">
      <c r="F779" s="2"/>
      <c r="G779" s="2"/>
    </row>
    <row r="780" ht="15.75" customHeight="1">
      <c r="F780" s="2"/>
      <c r="G780" s="2"/>
    </row>
    <row r="781" ht="15.75" customHeight="1">
      <c r="F781" s="2"/>
      <c r="G781" s="2"/>
    </row>
    <row r="782" ht="15.75" customHeight="1">
      <c r="F782" s="2"/>
      <c r="G782" s="2"/>
    </row>
    <row r="783" ht="15.75" customHeight="1">
      <c r="F783" s="2"/>
      <c r="G783" s="2"/>
    </row>
    <row r="784" ht="15.75" customHeight="1">
      <c r="F784" s="2"/>
      <c r="G784" s="2"/>
    </row>
    <row r="785" ht="15.75" customHeight="1">
      <c r="F785" s="2"/>
      <c r="G785" s="2"/>
    </row>
    <row r="786" ht="15.75" customHeight="1">
      <c r="F786" s="2"/>
      <c r="G786" s="2"/>
    </row>
    <row r="787" ht="15.75" customHeight="1">
      <c r="F787" s="2"/>
      <c r="G787" s="2"/>
    </row>
    <row r="788" ht="15.75" customHeight="1">
      <c r="F788" s="2"/>
      <c r="G788" s="2"/>
    </row>
    <row r="789" ht="15.75" customHeight="1">
      <c r="F789" s="2"/>
      <c r="G789" s="2"/>
    </row>
    <row r="790" ht="15.75" customHeight="1">
      <c r="F790" s="2"/>
      <c r="G790" s="2"/>
    </row>
    <row r="791" ht="15.75" customHeight="1">
      <c r="F791" s="2"/>
      <c r="G791" s="2"/>
    </row>
    <row r="792" ht="15.75" customHeight="1">
      <c r="F792" s="2"/>
      <c r="G792" s="2"/>
    </row>
    <row r="793" ht="15.75" customHeight="1">
      <c r="F793" s="2"/>
      <c r="G793" s="2"/>
    </row>
    <row r="794" ht="15.75" customHeight="1">
      <c r="F794" s="2"/>
      <c r="G794" s="2"/>
    </row>
    <row r="795" ht="15.75" customHeight="1">
      <c r="F795" s="2"/>
      <c r="G795" s="2"/>
    </row>
    <row r="796" ht="15.75" customHeight="1">
      <c r="F796" s="2"/>
      <c r="G796" s="2"/>
    </row>
    <row r="797" ht="15.75" customHeight="1">
      <c r="F797" s="2"/>
      <c r="G797" s="2"/>
    </row>
    <row r="798" ht="15.75" customHeight="1">
      <c r="F798" s="2"/>
      <c r="G798" s="2"/>
    </row>
    <row r="799" ht="15.75" customHeight="1">
      <c r="F799" s="2"/>
      <c r="G799" s="2"/>
    </row>
    <row r="800" ht="15.75" customHeight="1">
      <c r="F800" s="2"/>
      <c r="G800" s="2"/>
    </row>
    <row r="801" ht="15.75" customHeight="1">
      <c r="F801" s="2"/>
      <c r="G801" s="2"/>
    </row>
    <row r="802" ht="15.75" customHeight="1">
      <c r="F802" s="2"/>
      <c r="G802" s="2"/>
    </row>
    <row r="803" ht="15.75" customHeight="1">
      <c r="F803" s="2"/>
      <c r="G803" s="2"/>
    </row>
    <row r="804" ht="15.75" customHeight="1">
      <c r="F804" s="2"/>
      <c r="G804" s="2"/>
    </row>
    <row r="805" ht="15.75" customHeight="1">
      <c r="F805" s="2"/>
      <c r="G805" s="2"/>
    </row>
    <row r="806" ht="15.75" customHeight="1">
      <c r="F806" s="2"/>
      <c r="G806" s="2"/>
    </row>
    <row r="807" ht="15.75" customHeight="1">
      <c r="F807" s="2"/>
      <c r="G807" s="2"/>
    </row>
    <row r="808" ht="15.75" customHeight="1">
      <c r="F808" s="2"/>
      <c r="G808" s="2"/>
    </row>
    <row r="809" ht="15.75" customHeight="1">
      <c r="F809" s="2"/>
      <c r="G809" s="2"/>
    </row>
    <row r="810" ht="15.75" customHeight="1">
      <c r="F810" s="2"/>
      <c r="G810" s="2"/>
    </row>
    <row r="811" ht="15.75" customHeight="1">
      <c r="F811" s="2"/>
      <c r="G811" s="2"/>
    </row>
    <row r="812" ht="15.75" customHeight="1">
      <c r="F812" s="2"/>
      <c r="G812" s="2"/>
    </row>
    <row r="813" ht="15.75" customHeight="1">
      <c r="F813" s="2"/>
      <c r="G813" s="2"/>
    </row>
    <row r="814" ht="15.75" customHeight="1">
      <c r="F814" s="2"/>
      <c r="G814" s="2"/>
    </row>
    <row r="815" ht="15.75" customHeight="1">
      <c r="F815" s="2"/>
      <c r="G815" s="2"/>
    </row>
    <row r="816" ht="15.75" customHeight="1">
      <c r="F816" s="2"/>
      <c r="G816" s="2"/>
    </row>
    <row r="817" ht="15.75" customHeight="1">
      <c r="F817" s="2"/>
      <c r="G817" s="2"/>
    </row>
    <row r="818" ht="15.75" customHeight="1">
      <c r="F818" s="2"/>
      <c r="G818" s="2"/>
    </row>
    <row r="819" ht="15.75" customHeight="1">
      <c r="F819" s="2"/>
      <c r="G819" s="2"/>
    </row>
    <row r="820" ht="15.75" customHeight="1">
      <c r="F820" s="2"/>
      <c r="G820" s="2"/>
    </row>
    <row r="821" ht="15.75" customHeight="1">
      <c r="F821" s="2"/>
      <c r="G821" s="2"/>
    </row>
    <row r="822" ht="15.75" customHeight="1">
      <c r="F822" s="2"/>
      <c r="G822" s="2"/>
    </row>
    <row r="823" ht="15.75" customHeight="1">
      <c r="F823" s="2"/>
      <c r="G823" s="2"/>
    </row>
    <row r="824" ht="15.75" customHeight="1">
      <c r="F824" s="2"/>
      <c r="G824" s="2"/>
    </row>
    <row r="825" ht="15.75" customHeight="1">
      <c r="F825" s="2"/>
      <c r="G825" s="2"/>
    </row>
    <row r="826" ht="15.75" customHeight="1">
      <c r="F826" s="2"/>
      <c r="G826" s="2"/>
    </row>
    <row r="827" ht="15.75" customHeight="1">
      <c r="F827" s="2"/>
      <c r="G827" s="2"/>
    </row>
    <row r="828" ht="15.75" customHeight="1">
      <c r="F828" s="2"/>
      <c r="G828" s="2"/>
    </row>
    <row r="829" ht="15.75" customHeight="1">
      <c r="F829" s="2"/>
      <c r="G829" s="2"/>
    </row>
    <row r="830" ht="15.75" customHeight="1">
      <c r="F830" s="2"/>
      <c r="G830" s="2"/>
    </row>
    <row r="831" ht="15.75" customHeight="1">
      <c r="F831" s="2"/>
      <c r="G831" s="2"/>
    </row>
    <row r="832" ht="15.75" customHeight="1">
      <c r="F832" s="2"/>
      <c r="G832" s="2"/>
    </row>
    <row r="833" ht="15.75" customHeight="1">
      <c r="F833" s="2"/>
      <c r="G833" s="2"/>
    </row>
    <row r="834" ht="15.75" customHeight="1">
      <c r="F834" s="2"/>
      <c r="G834" s="2"/>
    </row>
    <row r="835" ht="15.75" customHeight="1">
      <c r="F835" s="2"/>
      <c r="G835" s="2"/>
    </row>
    <row r="836" ht="15.75" customHeight="1">
      <c r="F836" s="2"/>
      <c r="G836" s="2"/>
    </row>
    <row r="837" ht="15.75" customHeight="1">
      <c r="F837" s="2"/>
      <c r="G837" s="2"/>
    </row>
    <row r="838" ht="15.75" customHeight="1">
      <c r="F838" s="2"/>
      <c r="G838" s="2"/>
    </row>
    <row r="839" ht="15.75" customHeight="1">
      <c r="F839" s="2"/>
      <c r="G839" s="2"/>
    </row>
    <row r="840" ht="15.75" customHeight="1">
      <c r="F840" s="2"/>
      <c r="G840" s="2"/>
    </row>
    <row r="841" ht="15.75" customHeight="1">
      <c r="F841" s="2"/>
      <c r="G841" s="2"/>
    </row>
    <row r="842" ht="15.75" customHeight="1">
      <c r="F842" s="2"/>
      <c r="G842" s="2"/>
    </row>
    <row r="843" ht="15.75" customHeight="1">
      <c r="F843" s="2"/>
      <c r="G843" s="2"/>
    </row>
    <row r="844" ht="15.75" customHeight="1">
      <c r="F844" s="2"/>
      <c r="G844" s="2"/>
    </row>
    <row r="845" ht="15.75" customHeight="1">
      <c r="F845" s="2"/>
      <c r="G845" s="2"/>
    </row>
    <row r="846" ht="15.75" customHeight="1">
      <c r="F846" s="2"/>
      <c r="G846" s="2"/>
    </row>
    <row r="847" ht="15.75" customHeight="1">
      <c r="F847" s="2"/>
      <c r="G847" s="2"/>
    </row>
    <row r="848" ht="15.75" customHeight="1">
      <c r="F848" s="2"/>
      <c r="G848" s="2"/>
    </row>
    <row r="849" ht="15.75" customHeight="1">
      <c r="F849" s="2"/>
      <c r="G849" s="2"/>
    </row>
    <row r="850" ht="15.75" customHeight="1">
      <c r="F850" s="2"/>
      <c r="G850" s="2"/>
    </row>
    <row r="851" ht="15.75" customHeight="1">
      <c r="F851" s="2"/>
      <c r="G851" s="2"/>
    </row>
    <row r="852" ht="15.75" customHeight="1">
      <c r="F852" s="2"/>
      <c r="G852" s="2"/>
    </row>
    <row r="853" ht="15.75" customHeight="1">
      <c r="F853" s="2"/>
      <c r="G853" s="2"/>
    </row>
    <row r="854" ht="15.75" customHeight="1">
      <c r="F854" s="2"/>
      <c r="G854" s="2"/>
    </row>
    <row r="855" ht="15.75" customHeight="1">
      <c r="F855" s="2"/>
      <c r="G855" s="2"/>
    </row>
    <row r="856" ht="15.75" customHeight="1">
      <c r="F856" s="2"/>
      <c r="G856" s="2"/>
    </row>
    <row r="857" ht="15.75" customHeight="1">
      <c r="F857" s="2"/>
      <c r="G857" s="2"/>
    </row>
    <row r="858" ht="15.75" customHeight="1">
      <c r="F858" s="2"/>
      <c r="G858" s="2"/>
    </row>
    <row r="859" ht="15.75" customHeight="1">
      <c r="F859" s="2"/>
      <c r="G859" s="2"/>
    </row>
    <row r="860" ht="15.75" customHeight="1">
      <c r="F860" s="2"/>
      <c r="G860" s="2"/>
    </row>
    <row r="861" ht="15.75" customHeight="1">
      <c r="F861" s="2"/>
      <c r="G861" s="2"/>
    </row>
    <row r="862" ht="15.75" customHeight="1">
      <c r="F862" s="2"/>
      <c r="G862" s="2"/>
    </row>
    <row r="863" ht="15.75" customHeight="1">
      <c r="F863" s="2"/>
      <c r="G863" s="2"/>
    </row>
    <row r="864" ht="15.75" customHeight="1">
      <c r="F864" s="2"/>
      <c r="G864" s="2"/>
    </row>
    <row r="865" ht="15.75" customHeight="1">
      <c r="F865" s="2"/>
      <c r="G865" s="2"/>
    </row>
    <row r="866" ht="15.75" customHeight="1">
      <c r="F866" s="2"/>
      <c r="G866" s="2"/>
    </row>
    <row r="867" ht="15.75" customHeight="1">
      <c r="F867" s="2"/>
      <c r="G867" s="2"/>
    </row>
    <row r="868" ht="15.75" customHeight="1">
      <c r="F868" s="2"/>
      <c r="G868" s="2"/>
    </row>
    <row r="869" ht="15.75" customHeight="1">
      <c r="F869" s="2"/>
      <c r="G869" s="2"/>
    </row>
    <row r="870" ht="15.75" customHeight="1">
      <c r="F870" s="2"/>
      <c r="G870" s="2"/>
    </row>
    <row r="871" ht="15.75" customHeight="1">
      <c r="F871" s="2"/>
      <c r="G871" s="2"/>
    </row>
    <row r="872" ht="15.75" customHeight="1">
      <c r="F872" s="2"/>
      <c r="G872" s="2"/>
    </row>
    <row r="873" ht="15.75" customHeight="1">
      <c r="F873" s="2"/>
      <c r="G873" s="2"/>
    </row>
    <row r="874" ht="15.75" customHeight="1">
      <c r="F874" s="2"/>
      <c r="G874" s="2"/>
    </row>
    <row r="875" ht="15.75" customHeight="1">
      <c r="F875" s="2"/>
      <c r="G875" s="2"/>
    </row>
    <row r="876" ht="15.75" customHeight="1">
      <c r="F876" s="2"/>
      <c r="G876" s="2"/>
    </row>
    <row r="877" ht="15.75" customHeight="1">
      <c r="F877" s="2"/>
      <c r="G877" s="2"/>
    </row>
    <row r="878" ht="15.75" customHeight="1">
      <c r="F878" s="2"/>
      <c r="G878" s="2"/>
    </row>
    <row r="879" ht="15.75" customHeight="1">
      <c r="F879" s="2"/>
      <c r="G879" s="2"/>
    </row>
    <row r="880" ht="15.75" customHeight="1">
      <c r="F880" s="2"/>
      <c r="G880" s="2"/>
    </row>
    <row r="881" ht="15.75" customHeight="1">
      <c r="F881" s="2"/>
      <c r="G881" s="2"/>
    </row>
    <row r="882" ht="15.75" customHeight="1">
      <c r="F882" s="2"/>
      <c r="G882" s="2"/>
    </row>
    <row r="883" ht="15.75" customHeight="1">
      <c r="F883" s="2"/>
      <c r="G883" s="2"/>
    </row>
    <row r="884" ht="15.75" customHeight="1">
      <c r="F884" s="2"/>
      <c r="G884" s="2"/>
    </row>
    <row r="885" ht="15.75" customHeight="1">
      <c r="F885" s="2"/>
      <c r="G885" s="2"/>
    </row>
    <row r="886" ht="15.75" customHeight="1">
      <c r="F886" s="2"/>
      <c r="G886" s="2"/>
    </row>
    <row r="887" ht="15.75" customHeight="1">
      <c r="F887" s="2"/>
      <c r="G887" s="2"/>
    </row>
    <row r="888" ht="15.75" customHeight="1">
      <c r="F888" s="2"/>
      <c r="G888" s="2"/>
    </row>
    <row r="889" ht="15.75" customHeight="1">
      <c r="F889" s="2"/>
      <c r="G889" s="2"/>
    </row>
    <row r="890" ht="15.75" customHeight="1">
      <c r="F890" s="2"/>
      <c r="G890" s="2"/>
    </row>
    <row r="891" ht="15.75" customHeight="1">
      <c r="F891" s="2"/>
      <c r="G891" s="2"/>
    </row>
    <row r="892" ht="15.75" customHeight="1">
      <c r="F892" s="2"/>
      <c r="G892" s="2"/>
    </row>
    <row r="893" ht="15.75" customHeight="1">
      <c r="F893" s="2"/>
      <c r="G893" s="2"/>
    </row>
    <row r="894" ht="15.75" customHeight="1">
      <c r="F894" s="2"/>
      <c r="G894" s="2"/>
    </row>
    <row r="895" ht="15.75" customHeight="1">
      <c r="F895" s="2"/>
      <c r="G895" s="2"/>
    </row>
    <row r="896" ht="15.75" customHeight="1">
      <c r="F896" s="2"/>
      <c r="G896" s="2"/>
    </row>
    <row r="897" ht="15.75" customHeight="1">
      <c r="F897" s="2"/>
      <c r="G897" s="2"/>
    </row>
    <row r="898" ht="15.75" customHeight="1">
      <c r="F898" s="2"/>
      <c r="G898" s="2"/>
    </row>
    <row r="899" ht="15.75" customHeight="1">
      <c r="F899" s="2"/>
      <c r="G899" s="2"/>
    </row>
    <row r="900" ht="15.75" customHeight="1">
      <c r="F900" s="2"/>
      <c r="G900" s="2"/>
    </row>
    <row r="901" ht="15.75" customHeight="1">
      <c r="F901" s="2"/>
      <c r="G901" s="2"/>
    </row>
    <row r="902" ht="15.75" customHeight="1">
      <c r="F902" s="2"/>
      <c r="G902" s="2"/>
    </row>
    <row r="903" ht="15.75" customHeight="1">
      <c r="F903" s="2"/>
      <c r="G903" s="2"/>
    </row>
    <row r="904" ht="15.75" customHeight="1">
      <c r="F904" s="2"/>
      <c r="G904" s="2"/>
    </row>
    <row r="905" ht="15.75" customHeight="1">
      <c r="F905" s="2"/>
      <c r="G905" s="2"/>
    </row>
    <row r="906" ht="15.75" customHeight="1">
      <c r="F906" s="2"/>
      <c r="G906" s="2"/>
    </row>
    <row r="907" ht="15.75" customHeight="1">
      <c r="F907" s="2"/>
      <c r="G907" s="2"/>
    </row>
    <row r="908" ht="15.75" customHeight="1">
      <c r="F908" s="2"/>
      <c r="G908" s="2"/>
    </row>
    <row r="909" ht="15.75" customHeight="1">
      <c r="F909" s="2"/>
      <c r="G909" s="2"/>
    </row>
    <row r="910" ht="15.75" customHeight="1">
      <c r="F910" s="2"/>
      <c r="G910" s="2"/>
    </row>
    <row r="911" ht="15.75" customHeight="1">
      <c r="F911" s="2"/>
      <c r="G911" s="2"/>
    </row>
    <row r="912" ht="15.75" customHeight="1">
      <c r="F912" s="2"/>
      <c r="G912" s="2"/>
    </row>
    <row r="913" ht="15.75" customHeight="1">
      <c r="F913" s="2"/>
      <c r="G913" s="2"/>
    </row>
    <row r="914" ht="15.75" customHeight="1">
      <c r="F914" s="2"/>
      <c r="G914" s="2"/>
    </row>
    <row r="915" ht="15.75" customHeight="1">
      <c r="F915" s="2"/>
      <c r="G915" s="2"/>
    </row>
    <row r="916" ht="15.75" customHeight="1">
      <c r="F916" s="2"/>
      <c r="G916" s="2"/>
    </row>
    <row r="917" ht="15.75" customHeight="1">
      <c r="F917" s="2"/>
      <c r="G917" s="2"/>
    </row>
    <row r="918" ht="15.75" customHeight="1">
      <c r="F918" s="2"/>
      <c r="G918" s="2"/>
    </row>
    <row r="919" ht="15.75" customHeight="1">
      <c r="F919" s="2"/>
      <c r="G919" s="2"/>
    </row>
    <row r="920" ht="15.75" customHeight="1">
      <c r="F920" s="2"/>
      <c r="G920" s="2"/>
    </row>
    <row r="921" ht="15.75" customHeight="1">
      <c r="F921" s="2"/>
      <c r="G921" s="2"/>
    </row>
    <row r="922" ht="15.75" customHeight="1">
      <c r="F922" s="2"/>
      <c r="G922" s="2"/>
    </row>
    <row r="923" ht="15.75" customHeight="1">
      <c r="F923" s="2"/>
      <c r="G923" s="2"/>
    </row>
    <row r="924" ht="15.75" customHeight="1">
      <c r="F924" s="2"/>
      <c r="G924" s="2"/>
    </row>
    <row r="925" ht="15.75" customHeight="1">
      <c r="F925" s="2"/>
      <c r="G925" s="2"/>
    </row>
    <row r="926" ht="15.75" customHeight="1">
      <c r="F926" s="2"/>
      <c r="G926" s="2"/>
    </row>
    <row r="927" ht="15.75" customHeight="1">
      <c r="F927" s="2"/>
      <c r="G927" s="2"/>
    </row>
    <row r="928" ht="15.75" customHeight="1">
      <c r="F928" s="2"/>
      <c r="G928" s="2"/>
    </row>
    <row r="929" ht="15.75" customHeight="1">
      <c r="F929" s="2"/>
      <c r="G929" s="2"/>
    </row>
    <row r="930" ht="15.75" customHeight="1">
      <c r="F930" s="2"/>
      <c r="G930" s="2"/>
    </row>
    <row r="931" ht="15.75" customHeight="1">
      <c r="F931" s="2"/>
      <c r="G931" s="2"/>
    </row>
    <row r="932" ht="15.75" customHeight="1">
      <c r="F932" s="2"/>
      <c r="G932" s="2"/>
    </row>
    <row r="933" ht="15.75" customHeight="1">
      <c r="F933" s="2"/>
      <c r="G933" s="2"/>
    </row>
    <row r="934" ht="15.75" customHeight="1">
      <c r="F934" s="2"/>
      <c r="G934" s="2"/>
    </row>
    <row r="935" ht="15.75" customHeight="1">
      <c r="F935" s="2"/>
      <c r="G935" s="2"/>
    </row>
    <row r="936" ht="15.75" customHeight="1">
      <c r="F936" s="2"/>
      <c r="G936" s="2"/>
    </row>
    <row r="937" ht="15.75" customHeight="1">
      <c r="F937" s="2"/>
      <c r="G937" s="2"/>
    </row>
    <row r="938" ht="15.75" customHeight="1">
      <c r="F938" s="2"/>
      <c r="G938" s="2"/>
    </row>
    <row r="939" ht="15.75" customHeight="1">
      <c r="F939" s="2"/>
      <c r="G939" s="2"/>
    </row>
    <row r="940" ht="15.75" customHeight="1">
      <c r="F940" s="2"/>
      <c r="G940" s="2"/>
    </row>
    <row r="941" ht="15.75" customHeight="1">
      <c r="F941" s="2"/>
      <c r="G941" s="2"/>
    </row>
    <row r="942" ht="15.75" customHeight="1">
      <c r="F942" s="2"/>
      <c r="G942" s="2"/>
    </row>
    <row r="943" ht="15.75" customHeight="1">
      <c r="F943" s="2"/>
      <c r="G943" s="2"/>
    </row>
    <row r="944" ht="15.75" customHeight="1">
      <c r="F944" s="2"/>
      <c r="G944" s="2"/>
    </row>
    <row r="945" ht="15.75" customHeight="1">
      <c r="F945" s="2"/>
      <c r="G945" s="2"/>
    </row>
    <row r="946" ht="15.75" customHeight="1">
      <c r="F946" s="2"/>
      <c r="G946" s="2"/>
    </row>
    <row r="947" ht="15.75" customHeight="1">
      <c r="F947" s="2"/>
      <c r="G947" s="2"/>
    </row>
    <row r="948" ht="15.75" customHeight="1">
      <c r="F948" s="2"/>
      <c r="G948" s="2"/>
    </row>
    <row r="949" ht="15.75" customHeight="1">
      <c r="F949" s="2"/>
      <c r="G949" s="2"/>
    </row>
    <row r="950" ht="15.75" customHeight="1">
      <c r="F950" s="2"/>
      <c r="G950" s="2"/>
    </row>
    <row r="951" ht="15.75" customHeight="1">
      <c r="F951" s="2"/>
      <c r="G951" s="2"/>
    </row>
    <row r="952" ht="15.75" customHeight="1">
      <c r="F952" s="2"/>
      <c r="G952" s="2"/>
    </row>
    <row r="953" ht="15.75" customHeight="1">
      <c r="F953" s="2"/>
      <c r="G953" s="2"/>
    </row>
    <row r="954" ht="15.75" customHeight="1">
      <c r="F954" s="2"/>
      <c r="G954" s="2"/>
    </row>
    <row r="955" ht="15.75" customHeight="1">
      <c r="F955" s="2"/>
      <c r="G955" s="2"/>
    </row>
    <row r="956" ht="15.75" customHeight="1">
      <c r="F956" s="2"/>
      <c r="G956" s="2"/>
    </row>
    <row r="957" ht="15.75" customHeight="1">
      <c r="F957" s="2"/>
      <c r="G957" s="2"/>
    </row>
    <row r="958" ht="15.75" customHeight="1">
      <c r="F958" s="2"/>
      <c r="G958" s="2"/>
    </row>
    <row r="959" ht="15.75" customHeight="1">
      <c r="F959" s="2"/>
      <c r="G959" s="2"/>
    </row>
    <row r="960" ht="15.75" customHeight="1">
      <c r="F960" s="2"/>
      <c r="G960" s="2"/>
    </row>
    <row r="961" ht="15.75" customHeight="1">
      <c r="F961" s="2"/>
      <c r="G961" s="2"/>
    </row>
    <row r="962" ht="15.75" customHeight="1">
      <c r="F962" s="2"/>
      <c r="G962" s="2"/>
    </row>
    <row r="963" ht="15.75" customHeight="1">
      <c r="F963" s="2"/>
      <c r="G963" s="2"/>
    </row>
    <row r="964" ht="15.75" customHeight="1">
      <c r="F964" s="2"/>
      <c r="G964" s="2"/>
    </row>
    <row r="965" ht="15.75" customHeight="1">
      <c r="F965" s="2"/>
      <c r="G965" s="2"/>
    </row>
    <row r="966" ht="15.75" customHeight="1">
      <c r="F966" s="2"/>
      <c r="G966" s="2"/>
    </row>
    <row r="967" ht="15.75" customHeight="1">
      <c r="F967" s="2"/>
      <c r="G967" s="2"/>
    </row>
    <row r="968" ht="15.75" customHeight="1">
      <c r="F968" s="2"/>
      <c r="G968" s="2"/>
    </row>
    <row r="969" ht="15.75" customHeight="1">
      <c r="F969" s="2"/>
      <c r="G969" s="2"/>
    </row>
    <row r="970" ht="15.75" customHeight="1">
      <c r="F970" s="2"/>
      <c r="G970" s="2"/>
    </row>
    <row r="971" ht="15.75" customHeight="1">
      <c r="F971" s="2"/>
      <c r="G971" s="2"/>
    </row>
    <row r="972" ht="15.75" customHeight="1">
      <c r="F972" s="2"/>
      <c r="G972" s="2"/>
    </row>
    <row r="973" ht="15.75" customHeight="1">
      <c r="F973" s="2"/>
      <c r="G973" s="2"/>
    </row>
    <row r="974" ht="15.75" customHeight="1">
      <c r="F974" s="2"/>
      <c r="G974" s="2"/>
    </row>
    <row r="975" ht="15.75" customHeight="1">
      <c r="F975" s="2"/>
      <c r="G975" s="2"/>
    </row>
    <row r="976" ht="15.75" customHeight="1">
      <c r="F976" s="2"/>
      <c r="G976" s="2"/>
    </row>
    <row r="977" ht="15.75" customHeight="1">
      <c r="F977" s="2"/>
      <c r="G977" s="2"/>
    </row>
    <row r="978" ht="15.75" customHeight="1">
      <c r="F978" s="2"/>
      <c r="G978" s="2"/>
    </row>
    <row r="979" ht="15.75" customHeight="1">
      <c r="F979" s="2"/>
      <c r="G979" s="2"/>
    </row>
    <row r="980" ht="15.75" customHeight="1">
      <c r="F980" s="2"/>
      <c r="G980" s="2"/>
    </row>
    <row r="981" ht="15.75" customHeight="1">
      <c r="F981" s="2"/>
      <c r="G981" s="2"/>
    </row>
    <row r="982" ht="15.75" customHeight="1">
      <c r="F982" s="2"/>
      <c r="G982" s="2"/>
    </row>
    <row r="983" ht="15.75" customHeight="1">
      <c r="F983" s="2"/>
      <c r="G983" s="2"/>
    </row>
    <row r="984" ht="15.75" customHeight="1">
      <c r="F984" s="2"/>
      <c r="G984" s="2"/>
    </row>
    <row r="985" ht="15.75" customHeight="1">
      <c r="F985" s="2"/>
      <c r="G985" s="2"/>
    </row>
    <row r="986" ht="15.75" customHeight="1">
      <c r="F986" s="2"/>
      <c r="G986" s="2"/>
    </row>
    <row r="987" ht="15.75" customHeight="1">
      <c r="F987" s="2"/>
      <c r="G987" s="2"/>
    </row>
    <row r="988" ht="15.75" customHeight="1">
      <c r="F988" s="2"/>
      <c r="G988" s="2"/>
    </row>
    <row r="989" ht="15.75" customHeight="1">
      <c r="F989" s="2"/>
      <c r="G989" s="2"/>
    </row>
    <row r="990" ht="15.75" customHeight="1">
      <c r="F990" s="2"/>
      <c r="G990" s="2"/>
    </row>
    <row r="991" ht="15.75" customHeight="1">
      <c r="F991" s="2"/>
      <c r="G991" s="2"/>
    </row>
    <row r="992" ht="15.75" customHeight="1">
      <c r="F992" s="2"/>
      <c r="G992" s="2"/>
    </row>
    <row r="993" ht="15.75" customHeight="1">
      <c r="F993" s="2"/>
      <c r="G993" s="2"/>
    </row>
    <row r="994" ht="15.75" customHeight="1">
      <c r="F994" s="2"/>
      <c r="G994" s="2"/>
    </row>
    <row r="995" ht="15.75" customHeight="1">
      <c r="F995" s="2"/>
      <c r="G995" s="2"/>
    </row>
    <row r="996" ht="15.75" customHeight="1">
      <c r="F996" s="2"/>
      <c r="G996" s="2"/>
    </row>
    <row r="997" ht="15.75" customHeight="1">
      <c r="F997" s="2"/>
      <c r="G997" s="2"/>
    </row>
    <row r="998" ht="15.75" customHeight="1">
      <c r="F998" s="2"/>
      <c r="G998" s="2"/>
    </row>
    <row r="999" ht="15.75" customHeight="1">
      <c r="F999" s="2"/>
      <c r="G999" s="2"/>
    </row>
    <row r="1000" ht="15.75" customHeight="1">
      <c r="F1000" s="2"/>
      <c r="G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2026-07-24T15:32:28Z</dcterms:created>
  <dc:creator>Darpan Patel</dc:creator>
</cp:coreProperties>
</file>