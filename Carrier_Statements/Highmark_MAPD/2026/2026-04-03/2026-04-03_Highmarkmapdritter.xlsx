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4-3-26\"/>
    </mc:Choice>
  </mc:AlternateContent>
  <xr:revisionPtr revIDLastSave="0" documentId="13_ncr:1_{4DC1CE14-D37E-408B-B6AC-F3A5C256A88F}" xr6:coauthVersionLast="47" xr6:coauthVersionMax="47" xr10:uidLastSave="{00000000-0000-0000-0000-000000000000}"/>
  <bookViews>
    <workbookView xWindow="-120" yWindow="-120" windowWidth="29040" windowHeight="16440" activeTab="1" xr2:uid="{A1F62B72-1DC7-4E9B-BD2D-5AC0AE77A85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O9" i="2"/>
  <c r="O12" i="2"/>
  <c r="O71" i="2"/>
</calcChain>
</file>

<file path=xl/sharedStrings.xml><?xml version="1.0" encoding="utf-8"?>
<sst xmlns="http://schemas.openxmlformats.org/spreadsheetml/2006/main" count="2061" uniqueCount="288">
  <si>
    <t>Deborah Inskipt</t>
  </si>
  <si>
    <t>Donna</t>
  </si>
  <si>
    <t>Courtney</t>
  </si>
  <si>
    <t>*****78250</t>
  </si>
  <si>
    <t>Highmark</t>
  </si>
  <si>
    <t>Highmark 2025-26 PA Replace Street / TrueUp (ProRata: -1)</t>
  </si>
  <si>
    <t>Highmark 2025-26 PA Replace Street / TrueUp (ProRata: 1)</t>
  </si>
  <si>
    <t>Michelle McCorkle</t>
  </si>
  <si>
    <t>Daniel</t>
  </si>
  <si>
    <t>Burkleca</t>
  </si>
  <si>
    <t>*****12950</t>
  </si>
  <si>
    <t>Highmark 2025-26 PA Replace Street / TrueUp (ProRata: 3)</t>
  </si>
  <si>
    <t>Karen</t>
  </si>
  <si>
    <t>Robertson</t>
  </si>
  <si>
    <t>*****51250</t>
  </si>
  <si>
    <t>Kevin</t>
  </si>
  <si>
    <t>Hoffman</t>
  </si>
  <si>
    <t>*****87560</t>
  </si>
  <si>
    <t>Susan</t>
  </si>
  <si>
    <t>*****96280</t>
  </si>
  <si>
    <t>Ronald</t>
  </si>
  <si>
    <t>Romano</t>
  </si>
  <si>
    <t>*****99920</t>
  </si>
  <si>
    <t>Jean</t>
  </si>
  <si>
    <t>Mullenix</t>
  </si>
  <si>
    <t>*****19090</t>
  </si>
  <si>
    <t>Mark</t>
  </si>
  <si>
    <t>Siwik</t>
  </si>
  <si>
    <t>*****47820</t>
  </si>
  <si>
    <t>Luann</t>
  </si>
  <si>
    <t>Casteel</t>
  </si>
  <si>
    <t>*****26570</t>
  </si>
  <si>
    <t>Gerald</t>
  </si>
  <si>
    <t>Vitale</t>
  </si>
  <si>
    <t>*****48560</t>
  </si>
  <si>
    <t>Kathy</t>
  </si>
  <si>
    <t>*****20120</t>
  </si>
  <si>
    <t>Genevieve</t>
  </si>
  <si>
    <t>Miller</t>
  </si>
  <si>
    <t>*****36040</t>
  </si>
  <si>
    <t>Bartman</t>
  </si>
  <si>
    <t>*****31240</t>
  </si>
  <si>
    <t>Tina</t>
  </si>
  <si>
    <t>Cassidy</t>
  </si>
  <si>
    <t>*****72580</t>
  </si>
  <si>
    <t>William</t>
  </si>
  <si>
    <t>Lenhart</t>
  </si>
  <si>
    <t>*****93190</t>
  </si>
  <si>
    <t>David</t>
  </si>
  <si>
    <t>Wasko</t>
  </si>
  <si>
    <t>*****73120</t>
  </si>
  <si>
    <t>Kathleen</t>
  </si>
  <si>
    <t>Vennare</t>
  </si>
  <si>
    <t>*****80240</t>
  </si>
  <si>
    <t>Jayne</t>
  </si>
  <si>
    <t>Capane</t>
  </si>
  <si>
    <t>*****69680</t>
  </si>
  <si>
    <t>Terence</t>
  </si>
  <si>
    <t>Jacob</t>
  </si>
  <si>
    <t>*****67170</t>
  </si>
  <si>
    <t>James</t>
  </si>
  <si>
    <t>Cox</t>
  </si>
  <si>
    <t>*****35830</t>
  </si>
  <si>
    <t>Steinmetz</t>
  </si>
  <si>
    <t>*****71450</t>
  </si>
  <si>
    <t>Martha</t>
  </si>
  <si>
    <t>Tapia Solorio</t>
  </si>
  <si>
    <t>*****19030</t>
  </si>
  <si>
    <t>Marylou</t>
  </si>
  <si>
    <t>Bichler</t>
  </si>
  <si>
    <t>*****94210</t>
  </si>
  <si>
    <t>Michelle</t>
  </si>
  <si>
    <t>Mcknight</t>
  </si>
  <si>
    <t>*****09640</t>
  </si>
  <si>
    <t>*****11490</t>
  </si>
  <si>
    <t>Richard</t>
  </si>
  <si>
    <t>Hartman</t>
  </si>
  <si>
    <t>*****06530</t>
  </si>
  <si>
    <t>Vickilynn</t>
  </si>
  <si>
    <t>Ellis</t>
  </si>
  <si>
    <t>*****06280</t>
  </si>
  <si>
    <t>Highmark 2025-26 PA Replace Street / TrueUp (ProRata: 9)</t>
  </si>
  <si>
    <t>Patricia</t>
  </si>
  <si>
    <t>Wilbert</t>
  </si>
  <si>
    <t>*****47430</t>
  </si>
  <si>
    <t>Patrick</t>
  </si>
  <si>
    <t>Woodford</t>
  </si>
  <si>
    <t>*****38540</t>
  </si>
  <si>
    <t>Highmark 2025-26 PA Replace Street / TrueUp</t>
  </si>
  <si>
    <t>Rosanne</t>
  </si>
  <si>
    <t>Leszcynski</t>
  </si>
  <si>
    <t>*****09110</t>
  </si>
  <si>
    <t>Hecht</t>
  </si>
  <si>
    <t>*****19380</t>
  </si>
  <si>
    <t>Jeff</t>
  </si>
  <si>
    <t>Dean</t>
  </si>
  <si>
    <t>*****24780</t>
  </si>
  <si>
    <t>Bernadette</t>
  </si>
  <si>
    <t>Little</t>
  </si>
  <si>
    <t>*****39920</t>
  </si>
  <si>
    <t>Donald</t>
  </si>
  <si>
    <t>Hillgartner</t>
  </si>
  <si>
    <t>*****56100</t>
  </si>
  <si>
    <t>Alan</t>
  </si>
  <si>
    <t>Shaffer</t>
  </si>
  <si>
    <t>*****76470</t>
  </si>
  <si>
    <t>Barbra</t>
  </si>
  <si>
    <t>Zagurasky</t>
  </si>
  <si>
    <t>*****73030</t>
  </si>
  <si>
    <t>Elaine</t>
  </si>
  <si>
    <t>*****43480</t>
  </si>
  <si>
    <t>Theresa</t>
  </si>
  <si>
    <t>Bonetti</t>
  </si>
  <si>
    <t>*****96330</t>
  </si>
  <si>
    <t>*****88580</t>
  </si>
  <si>
    <t>Janice</t>
  </si>
  <si>
    <t>Kendall</t>
  </si>
  <si>
    <t>*****20220</t>
  </si>
  <si>
    <t>Barbara</t>
  </si>
  <si>
    <t>Allemang</t>
  </si>
  <si>
    <t>*****45380</t>
  </si>
  <si>
    <t>*****74370</t>
  </si>
  <si>
    <t>Kenneth</t>
  </si>
  <si>
    <t>Barna</t>
  </si>
  <si>
    <t>*****23190</t>
  </si>
  <si>
    <t>Darlene</t>
  </si>
  <si>
    <t>Boehm</t>
  </si>
  <si>
    <t>*****72460</t>
  </si>
  <si>
    <t>Ann</t>
  </si>
  <si>
    <t>Germond</t>
  </si>
  <si>
    <t>*****98740</t>
  </si>
  <si>
    <t>Stephen</t>
  </si>
  <si>
    <t>Gronsky</t>
  </si>
  <si>
    <t>*****67110</t>
  </si>
  <si>
    <t>Koerbel</t>
  </si>
  <si>
    <t>*****20670</t>
  </si>
  <si>
    <t>Rosemary</t>
  </si>
  <si>
    <t>Marks</t>
  </si>
  <si>
    <t>*****72070</t>
  </si>
  <si>
    <t>Moses</t>
  </si>
  <si>
    <t>*****05780</t>
  </si>
  <si>
    <t>Denise</t>
  </si>
  <si>
    <t>Robinson</t>
  </si>
  <si>
    <t>*****39160</t>
  </si>
  <si>
    <t>Pamela</t>
  </si>
  <si>
    <t>*****90820</t>
  </si>
  <si>
    <t>Shirley</t>
  </si>
  <si>
    <t>Garner</t>
  </si>
  <si>
    <t>*****21370</t>
  </si>
  <si>
    <t>Rana</t>
  </si>
  <si>
    <t>Khan</t>
  </si>
  <si>
    <t>*****27420</t>
  </si>
  <si>
    <t>Meckley</t>
  </si>
  <si>
    <t>*****96670</t>
  </si>
  <si>
    <t>Bonnie</t>
  </si>
  <si>
    <t>Neher</t>
  </si>
  <si>
    <t>*****97270</t>
  </si>
  <si>
    <t>Timothy</t>
  </si>
  <si>
    <t>*****05000</t>
  </si>
  <si>
    <t>Hufnagel</t>
  </si>
  <si>
    <t>*****63190</t>
  </si>
  <si>
    <t>Jeffrey</t>
  </si>
  <si>
    <t>King</t>
  </si>
  <si>
    <t>*****93470</t>
  </si>
  <si>
    <t>Joseph</t>
  </si>
  <si>
    <t>Maglicco</t>
  </si>
  <si>
    <t>*****81240</t>
  </si>
  <si>
    <t>*****72730</t>
  </si>
  <si>
    <t>Cheryl</t>
  </si>
  <si>
    <t>Martorana</t>
  </si>
  <si>
    <t>*****15000</t>
  </si>
  <si>
    <t>Moon</t>
  </si>
  <si>
    <t>*****12630</t>
  </si>
  <si>
    <t>Robert</t>
  </si>
  <si>
    <t>Mitchell</t>
  </si>
  <si>
    <t>*****97580</t>
  </si>
  <si>
    <t>Highmark 2025-26 PA Initial Street</t>
  </si>
  <si>
    <t>Buck</t>
  </si>
  <si>
    <t>*****83490</t>
  </si>
  <si>
    <t>Highmark 2025-26 PA Replace Street / TrueUp (ProRata: 11)</t>
  </si>
  <si>
    <t>Dzumela</t>
  </si>
  <si>
    <t>*****93430</t>
  </si>
  <si>
    <t>Gary</t>
  </si>
  <si>
    <t>*****68120</t>
  </si>
  <si>
    <t>Michael</t>
  </si>
  <si>
    <t>Hill</t>
  </si>
  <si>
    <t>*****24220</t>
  </si>
  <si>
    <t>Christopher</t>
  </si>
  <si>
    <t>Rochez</t>
  </si>
  <si>
    <t>*****75740</t>
  </si>
  <si>
    <t>Gornick</t>
  </si>
  <si>
    <t>*****90670</t>
  </si>
  <si>
    <t>Margaret Smith</t>
  </si>
  <si>
    <t>Lisa</t>
  </si>
  <si>
    <t>Edwards</t>
  </si>
  <si>
    <t>*****45230</t>
  </si>
  <si>
    <t>Highmark 2025-2026 Comm Blue PA Full OR (ProRata: -12)</t>
  </si>
  <si>
    <t>Timothy Powers</t>
  </si>
  <si>
    <t>Chamberlain</t>
  </si>
  <si>
    <t>*****03630</t>
  </si>
  <si>
    <t>Highmark 2025-2026 PA Replace OR (ProRata: -11)</t>
  </si>
  <si>
    <t>Highmark 2022-2026 PA DE &amp; WV Replace OR (ProRata: -1)</t>
  </si>
  <si>
    <t>Highmark 2022-2026 PA DE &amp; WV Replace OR (ProRata: 1)</t>
  </si>
  <si>
    <t>Highmark 2022-2026 PA DE &amp; WV Replace OR (ProRata: 3)</t>
  </si>
  <si>
    <t>Highmark 2025-2026 PA Replace OR (ProRata: 3)</t>
  </si>
  <si>
    <t>Linda</t>
  </si>
  <si>
    <t>Porter</t>
  </si>
  <si>
    <t>*****33900</t>
  </si>
  <si>
    <t>Highmark 2022-2026 PA DE &amp; WV Replace OR (ProRata: 8)</t>
  </si>
  <si>
    <t>Jenny</t>
  </si>
  <si>
    <t>Flanagan</t>
  </si>
  <si>
    <t>*****36490</t>
  </si>
  <si>
    <t>Highmark 2025-2026 PA Replace OR (ProRata: 7)</t>
  </si>
  <si>
    <t>Felicia</t>
  </si>
  <si>
    <t>Tomaswick</t>
  </si>
  <si>
    <t>*****05650</t>
  </si>
  <si>
    <t>Louis</t>
  </si>
  <si>
    <t>Schoen</t>
  </si>
  <si>
    <t>*****56320</t>
  </si>
  <si>
    <t>Highmark 2022-2026 PA DE &amp; WV Replace OR (ProRata: 9)</t>
  </si>
  <si>
    <t>Sandra</t>
  </si>
  <si>
    <t>Binder</t>
  </si>
  <si>
    <t>*****32210</t>
  </si>
  <si>
    <t>Highmark 2025-2026 PA Replace OR (ProRata: 8)</t>
  </si>
  <si>
    <t>Deborah</t>
  </si>
  <si>
    <t>*****73320</t>
  </si>
  <si>
    <t>Highmark 2025-2026 PA Replace OR (ProRata: 9)</t>
  </si>
  <si>
    <t>Macdonald</t>
  </si>
  <si>
    <t>*****92210</t>
  </si>
  <si>
    <t>Matthew</t>
  </si>
  <si>
    <t>Nestler</t>
  </si>
  <si>
    <t>*****45830</t>
  </si>
  <si>
    <t>Schuler</t>
  </si>
  <si>
    <t>*****06400</t>
  </si>
  <si>
    <t>Steven</t>
  </si>
  <si>
    <t>Smith</t>
  </si>
  <si>
    <t>*****30800</t>
  </si>
  <si>
    <t>Marcia</t>
  </si>
  <si>
    <t>Wathall</t>
  </si>
  <si>
    <t>*****54130</t>
  </si>
  <si>
    <t>Zavacky</t>
  </si>
  <si>
    <t>*****52400</t>
  </si>
  <si>
    <t>Highmark 2022-2026 PA DE &amp; WV Replace OR (ProRata: 11)</t>
  </si>
  <si>
    <t>Carol</t>
  </si>
  <si>
    <t>Mcpherson</t>
  </si>
  <si>
    <t>*****52680</t>
  </si>
  <si>
    <t>Highmark 2025-2026 PA Replace OR (ProRata: 11)</t>
  </si>
  <si>
    <t>Highmark 2025-2026 PA Replace OR</t>
  </si>
  <si>
    <t>Highmark 2025-2026 Comm Blue PA Full OR</t>
  </si>
  <si>
    <t>Welter</t>
  </si>
  <si>
    <t>*****8354A</t>
  </si>
  <si>
    <t>Highmark MS</t>
  </si>
  <si>
    <t>Highmark MS 2026 64 or less OR (ProRata: 9)</t>
  </si>
  <si>
    <t>Deborah Powers</t>
  </si>
  <si>
    <t>Brown</t>
  </si>
  <si>
    <t>*****4887A</t>
  </si>
  <si>
    <t>Connie</t>
  </si>
  <si>
    <t>Zanoni</t>
  </si>
  <si>
    <t>*****8182B</t>
  </si>
  <si>
    <t>Lewis</t>
  </si>
  <si>
    <t>*****4052A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</si>
  <si>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</si>
  <si>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</si>
  <si>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</si>
  <si>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</si>
  <si>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</si>
  <si>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</si>
  <si>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</si>
  <si>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</si>
  <si>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</si>
  <si>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</si>
  <si>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</si>
  <si>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8354A</t>
  </si>
  <si>
    <t>4887A</t>
  </si>
  <si>
    <t>8182B</t>
  </si>
  <si>
    <t>4052A</t>
  </si>
  <si>
    <t>Main Line Benefits</t>
  </si>
  <si>
    <t>Highmark MAPD 2025..</t>
  </si>
  <si>
    <t>[%/$=353][prorate=1/12]</t>
  </si>
  <si>
    <t>[%/$=353][prorate=3/12]</t>
  </si>
  <si>
    <t>[%/$=353][prorate=9/12]</t>
  </si>
  <si>
    <t>[%/$=353][prorate=12/12]</t>
  </si>
  <si>
    <t>[%/$=353][prorate=11/12]</t>
  </si>
  <si>
    <t>Highmark MAPD 2025.</t>
  </si>
  <si>
    <t>[%/$=705]</t>
  </si>
  <si>
    <t>Highmark MAPD Ovr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</si>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</sst>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742C-2192-4A3B-B301-A445D124B54A}">
  <dimension ref="A1:K161"/>
  <sheetViews>
    <sheetView topLeftCell="A133" workbookViewId="0">
      <selection activeCell="E10" sqref="E10"/>
    </sheetView>
  </sheetViews>
  <sheetFormatPr defaultRowHeight="15" x14ac:dyDescent="0.25"/>
  <cols>
    <col min="1" max="1" width="17.7109375" style="8" bestFit="1" customWidth="1"/>
    <col min="2" max="2" width="15.42578125" style="8" bestFit="1" customWidth="1"/>
    <col min="3" max="3" width="10.7109375" style="8" bestFit="1" customWidth="1"/>
    <col min="4" max="4" width="11.42578125" style="8" bestFit="1" customWidth="1"/>
    <col min="5" max="5" width="12.42578125" style="8" bestFit="1" customWidth="1"/>
    <col min="6" max="6" width="11.28515625" style="8" bestFit="1" customWidth="1"/>
    <col min="7" max="7" width="11.85546875" style="8" bestFit="1" customWidth="1"/>
    <col min="8" max="8" width="14.7109375" style="8" bestFit="1" customWidth="1"/>
    <col min="9" max="9" width="12.7109375" style="8" bestFit="1" customWidth="1"/>
    <col min="10" max="10" width="54" style="8" bestFit="1" customWidth="1"/>
    <col min="11" max="11" width="15.7109375" style="8" bestFit="1" customWidth="1"/>
    <col min="12" max="16384" width="9.140625" style="8"/>
  </cols>
  <sheetData>
    <row r="1" spans="1:11" x14ac:dyDescent="0.25">
      <c r="A1" s="8" t="s">
        <v>261</v>
      </c>
      <c r="B1" s="8" t="s">
        <v>262</v>
      </c>
      <c r="C1" s="8" t="s">
        <v>263</v>
      </c>
      <c r="D1" s="8" t="s">
        <v>264</v>
      </c>
      <c r="E1" s="8" t="s">
        <v>265</v>
      </c>
      <c r="F1" s="8" t="s">
        <v>266</v>
      </c>
      <c r="G1" s="8" t="s">
        <v>267</v>
      </c>
      <c r="H1" s="8" t="s">
        <v>268</v>
      </c>
      <c r="I1" s="8" t="s">
        <v>269</v>
      </c>
      <c r="J1" s="8" t="s">
        <v>270</v>
      </c>
      <c r="K1" s="8" t="s">
        <v>271</v>
      </c>
    </row>
    <row r="2" spans="1:11" x14ac:dyDescent="0.25">
      <c r="A2" s="8" t="s">
        <v>0</v>
      </c>
      <c r="B2" s="8">
        <v>17528908</v>
      </c>
      <c r="C2" s="8">
        <v>17528908</v>
      </c>
      <c r="D2" s="8" t="s">
        <v>1</v>
      </c>
      <c r="E2" s="8" t="s">
        <v>2</v>
      </c>
      <c r="F2" s="8" t="s">
        <v>3</v>
      </c>
      <c r="G2" s="9">
        <v>45839</v>
      </c>
      <c r="H2" s="9">
        <v>46114</v>
      </c>
      <c r="I2" s="8" t="s">
        <v>4</v>
      </c>
      <c r="J2" s="8" t="s">
        <v>5</v>
      </c>
      <c r="K2" s="10">
        <v>-29.41</v>
      </c>
    </row>
    <row r="3" spans="1:11" x14ac:dyDescent="0.25">
      <c r="A3" s="8" t="s">
        <v>0</v>
      </c>
      <c r="B3" s="8">
        <v>17528908</v>
      </c>
      <c r="C3" s="8">
        <v>17528908</v>
      </c>
      <c r="D3" s="8" t="s">
        <v>1</v>
      </c>
      <c r="E3" s="8" t="s">
        <v>2</v>
      </c>
      <c r="F3" s="8" t="s">
        <v>3</v>
      </c>
      <c r="G3" s="9">
        <v>45839</v>
      </c>
      <c r="H3" s="9">
        <v>46114</v>
      </c>
      <c r="I3" s="8" t="s">
        <v>4</v>
      </c>
      <c r="J3" s="8" t="s">
        <v>6</v>
      </c>
      <c r="K3" s="10">
        <v>29.41</v>
      </c>
    </row>
    <row r="4" spans="1:11" x14ac:dyDescent="0.25">
      <c r="A4" s="8" t="s">
        <v>7</v>
      </c>
      <c r="C4" s="8">
        <v>18710070</v>
      </c>
      <c r="D4" s="8" t="s">
        <v>8</v>
      </c>
      <c r="E4" s="8" t="s">
        <v>9</v>
      </c>
      <c r="F4" s="8" t="s">
        <v>10</v>
      </c>
      <c r="G4" s="9">
        <v>43101</v>
      </c>
      <c r="H4" s="9">
        <v>46114</v>
      </c>
      <c r="I4" s="8" t="s">
        <v>4</v>
      </c>
      <c r="J4" s="8" t="s">
        <v>11</v>
      </c>
      <c r="K4" s="10">
        <v>88.25</v>
      </c>
    </row>
    <row r="5" spans="1:11" x14ac:dyDescent="0.25">
      <c r="A5" s="8" t="s">
        <v>7</v>
      </c>
      <c r="C5" s="8">
        <v>18710070</v>
      </c>
      <c r="D5" s="8" t="s">
        <v>12</v>
      </c>
      <c r="E5" s="8" t="s">
        <v>13</v>
      </c>
      <c r="F5" s="8" t="s">
        <v>14</v>
      </c>
      <c r="G5" s="9">
        <v>44562</v>
      </c>
      <c r="H5" s="9">
        <v>46114</v>
      </c>
      <c r="I5" s="8" t="s">
        <v>4</v>
      </c>
      <c r="J5" s="8" t="s">
        <v>11</v>
      </c>
      <c r="K5" s="10">
        <v>88.25</v>
      </c>
    </row>
    <row r="6" spans="1:11" x14ac:dyDescent="0.25">
      <c r="A6" s="8" t="s">
        <v>7</v>
      </c>
      <c r="C6" s="8">
        <v>18710070</v>
      </c>
      <c r="D6" s="8" t="s">
        <v>15</v>
      </c>
      <c r="E6" s="8" t="s">
        <v>16</v>
      </c>
      <c r="F6" s="8" t="s">
        <v>17</v>
      </c>
      <c r="G6" s="9">
        <v>44593</v>
      </c>
      <c r="H6" s="9">
        <v>46114</v>
      </c>
      <c r="I6" s="8" t="s">
        <v>4</v>
      </c>
      <c r="J6" s="8" t="s">
        <v>11</v>
      </c>
      <c r="K6" s="10">
        <v>88.25</v>
      </c>
    </row>
    <row r="7" spans="1:11" x14ac:dyDescent="0.25">
      <c r="A7" s="8" t="s">
        <v>7</v>
      </c>
      <c r="C7" s="8">
        <v>18710070</v>
      </c>
      <c r="D7" s="8" t="s">
        <v>18</v>
      </c>
      <c r="E7" s="8" t="s">
        <v>16</v>
      </c>
      <c r="F7" s="8" t="s">
        <v>19</v>
      </c>
      <c r="G7" s="9">
        <v>44927</v>
      </c>
      <c r="H7" s="9">
        <v>46114</v>
      </c>
      <c r="I7" s="8" t="s">
        <v>4</v>
      </c>
      <c r="J7" s="8" t="s">
        <v>11</v>
      </c>
      <c r="K7" s="10">
        <v>88.25</v>
      </c>
    </row>
    <row r="8" spans="1:11" x14ac:dyDescent="0.25">
      <c r="A8" s="8" t="s">
        <v>7</v>
      </c>
      <c r="C8" s="8">
        <v>18710070</v>
      </c>
      <c r="D8" s="8" t="s">
        <v>20</v>
      </c>
      <c r="E8" s="8" t="s">
        <v>21</v>
      </c>
      <c r="F8" s="8" t="s">
        <v>22</v>
      </c>
      <c r="G8" s="9">
        <v>45108</v>
      </c>
      <c r="H8" s="9">
        <v>46114</v>
      </c>
      <c r="I8" s="8" t="s">
        <v>4</v>
      </c>
      <c r="J8" s="8" t="s">
        <v>11</v>
      </c>
      <c r="K8" s="10">
        <v>88.25</v>
      </c>
    </row>
    <row r="9" spans="1:11" x14ac:dyDescent="0.25">
      <c r="A9" s="8" t="s">
        <v>7</v>
      </c>
      <c r="C9" s="8">
        <v>18710070</v>
      </c>
      <c r="D9" s="8" t="s">
        <v>23</v>
      </c>
      <c r="E9" s="8" t="s">
        <v>24</v>
      </c>
      <c r="F9" s="8" t="s">
        <v>25</v>
      </c>
      <c r="G9" s="9">
        <v>45566</v>
      </c>
      <c r="H9" s="9">
        <v>46114</v>
      </c>
      <c r="I9" s="8" t="s">
        <v>4</v>
      </c>
      <c r="J9" s="8" t="s">
        <v>11</v>
      </c>
      <c r="K9" s="10">
        <v>88.25</v>
      </c>
    </row>
    <row r="10" spans="1:11" x14ac:dyDescent="0.25">
      <c r="A10" s="8" t="s">
        <v>7</v>
      </c>
      <c r="C10" s="8">
        <v>18710070</v>
      </c>
      <c r="D10" s="8" t="s">
        <v>26</v>
      </c>
      <c r="E10" s="8" t="s">
        <v>27</v>
      </c>
      <c r="F10" s="8" t="s">
        <v>28</v>
      </c>
      <c r="G10" s="9">
        <v>45566</v>
      </c>
      <c r="H10" s="9">
        <v>46114</v>
      </c>
      <c r="I10" s="8" t="s">
        <v>4</v>
      </c>
      <c r="J10" s="8" t="s">
        <v>11</v>
      </c>
      <c r="K10" s="10">
        <v>88.25</v>
      </c>
    </row>
    <row r="11" spans="1:11" x14ac:dyDescent="0.25">
      <c r="A11" s="8" t="s">
        <v>7</v>
      </c>
      <c r="C11" s="8">
        <v>18710070</v>
      </c>
      <c r="D11" s="8" t="s">
        <v>29</v>
      </c>
      <c r="E11" s="8" t="s">
        <v>30</v>
      </c>
      <c r="F11" s="8" t="s">
        <v>31</v>
      </c>
      <c r="G11" s="9">
        <v>45658</v>
      </c>
      <c r="H11" s="9">
        <v>46114</v>
      </c>
      <c r="I11" s="8" t="s">
        <v>4</v>
      </c>
      <c r="J11" s="8" t="s">
        <v>11</v>
      </c>
      <c r="K11" s="10">
        <v>88.25</v>
      </c>
    </row>
    <row r="12" spans="1:11" x14ac:dyDescent="0.25">
      <c r="A12" s="8" t="s">
        <v>7</v>
      </c>
      <c r="C12" s="8">
        <v>18710070</v>
      </c>
      <c r="D12" s="8" t="s">
        <v>32</v>
      </c>
      <c r="E12" s="8" t="s">
        <v>33</v>
      </c>
      <c r="F12" s="8" t="s">
        <v>34</v>
      </c>
      <c r="G12" s="9">
        <v>45658</v>
      </c>
      <c r="H12" s="9">
        <v>46114</v>
      </c>
      <c r="I12" s="8" t="s">
        <v>4</v>
      </c>
      <c r="J12" s="8" t="s">
        <v>11</v>
      </c>
      <c r="K12" s="10">
        <v>88.25</v>
      </c>
    </row>
    <row r="13" spans="1:11" x14ac:dyDescent="0.25">
      <c r="A13" s="8" t="s">
        <v>7</v>
      </c>
      <c r="C13" s="8">
        <v>18710070</v>
      </c>
      <c r="D13" s="8" t="s">
        <v>35</v>
      </c>
      <c r="E13" s="8" t="s">
        <v>33</v>
      </c>
      <c r="F13" s="8" t="s">
        <v>36</v>
      </c>
      <c r="G13" s="9">
        <v>45658</v>
      </c>
      <c r="H13" s="9">
        <v>46114</v>
      </c>
      <c r="I13" s="8" t="s">
        <v>4</v>
      </c>
      <c r="J13" s="8" t="s">
        <v>11</v>
      </c>
      <c r="K13" s="10">
        <v>88.25</v>
      </c>
    </row>
    <row r="14" spans="1:11" x14ac:dyDescent="0.25">
      <c r="A14" s="8" t="s">
        <v>7</v>
      </c>
      <c r="C14" s="8">
        <v>18710070</v>
      </c>
      <c r="D14" s="8" t="s">
        <v>37</v>
      </c>
      <c r="E14" s="8" t="s">
        <v>38</v>
      </c>
      <c r="F14" s="8" t="s">
        <v>39</v>
      </c>
      <c r="G14" s="9">
        <v>45658</v>
      </c>
      <c r="H14" s="9">
        <v>46114</v>
      </c>
      <c r="I14" s="8" t="s">
        <v>4</v>
      </c>
      <c r="J14" s="8" t="s">
        <v>11</v>
      </c>
      <c r="K14" s="10">
        <v>88.25</v>
      </c>
    </row>
    <row r="15" spans="1:11" x14ac:dyDescent="0.25">
      <c r="A15" s="8" t="s">
        <v>7</v>
      </c>
      <c r="C15" s="8">
        <v>18710070</v>
      </c>
      <c r="D15" s="8" t="s">
        <v>20</v>
      </c>
      <c r="E15" s="8" t="s">
        <v>40</v>
      </c>
      <c r="F15" s="8" t="s">
        <v>41</v>
      </c>
      <c r="G15" s="9">
        <v>45658</v>
      </c>
      <c r="H15" s="9">
        <v>46114</v>
      </c>
      <c r="I15" s="8" t="s">
        <v>4</v>
      </c>
      <c r="J15" s="8" t="s">
        <v>11</v>
      </c>
      <c r="K15" s="10">
        <v>88.25</v>
      </c>
    </row>
    <row r="16" spans="1:11" x14ac:dyDescent="0.25">
      <c r="A16" s="8" t="s">
        <v>7</v>
      </c>
      <c r="C16" s="8">
        <v>18710070</v>
      </c>
      <c r="D16" s="8" t="s">
        <v>42</v>
      </c>
      <c r="E16" s="8" t="s">
        <v>43</v>
      </c>
      <c r="F16" s="8" t="s">
        <v>44</v>
      </c>
      <c r="G16" s="9">
        <v>45658</v>
      </c>
      <c r="H16" s="9">
        <v>46114</v>
      </c>
      <c r="I16" s="8" t="s">
        <v>4</v>
      </c>
      <c r="J16" s="8" t="s">
        <v>11</v>
      </c>
      <c r="K16" s="10">
        <v>88.25</v>
      </c>
    </row>
    <row r="17" spans="1:11" x14ac:dyDescent="0.25">
      <c r="A17" s="8" t="s">
        <v>7</v>
      </c>
      <c r="C17" s="8">
        <v>18710070</v>
      </c>
      <c r="D17" s="8" t="s">
        <v>45</v>
      </c>
      <c r="E17" s="8" t="s">
        <v>46</v>
      </c>
      <c r="F17" s="8" t="s">
        <v>47</v>
      </c>
      <c r="G17" s="9">
        <v>45658</v>
      </c>
      <c r="H17" s="9">
        <v>46114</v>
      </c>
      <c r="I17" s="8" t="s">
        <v>4</v>
      </c>
      <c r="J17" s="8" t="s">
        <v>11</v>
      </c>
      <c r="K17" s="10">
        <v>88.25</v>
      </c>
    </row>
    <row r="18" spans="1:11" x14ac:dyDescent="0.25">
      <c r="A18" s="8" t="s">
        <v>7</v>
      </c>
      <c r="C18" s="8">
        <v>18710070</v>
      </c>
      <c r="D18" s="8" t="s">
        <v>48</v>
      </c>
      <c r="E18" s="8" t="s">
        <v>49</v>
      </c>
      <c r="F18" s="8" t="s">
        <v>50</v>
      </c>
      <c r="G18" s="9">
        <v>45658</v>
      </c>
      <c r="H18" s="9">
        <v>46114</v>
      </c>
      <c r="I18" s="8" t="s">
        <v>4</v>
      </c>
      <c r="J18" s="8" t="s">
        <v>11</v>
      </c>
      <c r="K18" s="10">
        <v>88.25</v>
      </c>
    </row>
    <row r="19" spans="1:11" x14ac:dyDescent="0.25">
      <c r="A19" s="8" t="s">
        <v>7</v>
      </c>
      <c r="C19" s="8">
        <v>18710070</v>
      </c>
      <c r="D19" s="8" t="s">
        <v>51</v>
      </c>
      <c r="E19" s="8" t="s">
        <v>52</v>
      </c>
      <c r="F19" s="8" t="s">
        <v>53</v>
      </c>
      <c r="G19" s="9">
        <v>45689</v>
      </c>
      <c r="H19" s="9">
        <v>46114</v>
      </c>
      <c r="I19" s="8" t="s">
        <v>4</v>
      </c>
      <c r="J19" s="8" t="s">
        <v>11</v>
      </c>
      <c r="K19" s="10">
        <v>88.25</v>
      </c>
    </row>
    <row r="20" spans="1:11" x14ac:dyDescent="0.25">
      <c r="A20" s="8" t="s">
        <v>7</v>
      </c>
      <c r="C20" s="8">
        <v>18710070</v>
      </c>
      <c r="D20" s="8" t="s">
        <v>54</v>
      </c>
      <c r="E20" s="8" t="s">
        <v>55</v>
      </c>
      <c r="F20" s="8" t="s">
        <v>56</v>
      </c>
      <c r="G20" s="9">
        <v>45748</v>
      </c>
      <c r="H20" s="9">
        <v>46114</v>
      </c>
      <c r="I20" s="8" t="s">
        <v>4</v>
      </c>
      <c r="J20" s="8" t="s">
        <v>11</v>
      </c>
      <c r="K20" s="10">
        <v>88.25</v>
      </c>
    </row>
    <row r="21" spans="1:11" x14ac:dyDescent="0.25">
      <c r="A21" s="8" t="s">
        <v>7</v>
      </c>
      <c r="C21" s="8">
        <v>18710070</v>
      </c>
      <c r="D21" s="8" t="s">
        <v>57</v>
      </c>
      <c r="E21" s="8" t="s">
        <v>58</v>
      </c>
      <c r="F21" s="8" t="s">
        <v>59</v>
      </c>
      <c r="G21" s="9">
        <v>45778</v>
      </c>
      <c r="H21" s="9">
        <v>46114</v>
      </c>
      <c r="I21" s="8" t="s">
        <v>4</v>
      </c>
      <c r="J21" s="8" t="s">
        <v>11</v>
      </c>
      <c r="K21" s="10">
        <v>88.25</v>
      </c>
    </row>
    <row r="22" spans="1:11" x14ac:dyDescent="0.25">
      <c r="A22" s="8" t="s">
        <v>7</v>
      </c>
      <c r="C22" s="8">
        <v>18710070</v>
      </c>
      <c r="D22" s="8" t="s">
        <v>60</v>
      </c>
      <c r="E22" s="8" t="s">
        <v>61</v>
      </c>
      <c r="F22" s="8" t="s">
        <v>62</v>
      </c>
      <c r="G22" s="9">
        <v>45809</v>
      </c>
      <c r="H22" s="9">
        <v>46114</v>
      </c>
      <c r="I22" s="8" t="s">
        <v>4</v>
      </c>
      <c r="J22" s="8" t="s">
        <v>11</v>
      </c>
      <c r="K22" s="10">
        <v>88.25</v>
      </c>
    </row>
    <row r="23" spans="1:11" x14ac:dyDescent="0.25">
      <c r="A23" s="8" t="s">
        <v>7</v>
      </c>
      <c r="C23" s="8">
        <v>18710070</v>
      </c>
      <c r="D23" s="8" t="s">
        <v>45</v>
      </c>
      <c r="E23" s="8" t="s">
        <v>63</v>
      </c>
      <c r="F23" s="8" t="s">
        <v>64</v>
      </c>
      <c r="G23" s="9">
        <v>45839</v>
      </c>
      <c r="H23" s="9">
        <v>46114</v>
      </c>
      <c r="I23" s="8" t="s">
        <v>4</v>
      </c>
      <c r="J23" s="8" t="s">
        <v>11</v>
      </c>
      <c r="K23" s="10">
        <v>88.25</v>
      </c>
    </row>
    <row r="24" spans="1:11" x14ac:dyDescent="0.25">
      <c r="A24" s="8" t="s">
        <v>7</v>
      </c>
      <c r="C24" s="8">
        <v>18710070</v>
      </c>
      <c r="D24" s="8" t="s">
        <v>65</v>
      </c>
      <c r="E24" s="8" t="s">
        <v>66</v>
      </c>
      <c r="F24" s="8" t="s">
        <v>67</v>
      </c>
      <c r="G24" s="9">
        <v>45839</v>
      </c>
      <c r="H24" s="9">
        <v>46114</v>
      </c>
      <c r="I24" s="8" t="s">
        <v>4</v>
      </c>
      <c r="J24" s="8" t="s">
        <v>11</v>
      </c>
      <c r="K24" s="10">
        <v>88.25</v>
      </c>
    </row>
    <row r="25" spans="1:11" x14ac:dyDescent="0.25">
      <c r="A25" s="8" t="s">
        <v>7</v>
      </c>
      <c r="C25" s="8">
        <v>18710070</v>
      </c>
      <c r="D25" s="8" t="s">
        <v>68</v>
      </c>
      <c r="E25" s="8" t="s">
        <v>69</v>
      </c>
      <c r="F25" s="8" t="s">
        <v>70</v>
      </c>
      <c r="G25" s="9">
        <v>45931</v>
      </c>
      <c r="H25" s="9">
        <v>46114</v>
      </c>
      <c r="I25" s="8" t="s">
        <v>4</v>
      </c>
      <c r="J25" s="8" t="s">
        <v>11</v>
      </c>
      <c r="K25" s="10">
        <v>88.25</v>
      </c>
    </row>
    <row r="26" spans="1:11" x14ac:dyDescent="0.25">
      <c r="A26" s="8" t="s">
        <v>7</v>
      </c>
      <c r="C26" s="8">
        <v>18710070</v>
      </c>
      <c r="D26" s="8" t="s">
        <v>71</v>
      </c>
      <c r="E26" s="8" t="s">
        <v>72</v>
      </c>
      <c r="F26" s="8" t="s">
        <v>73</v>
      </c>
      <c r="G26" s="9">
        <v>45931</v>
      </c>
      <c r="H26" s="9">
        <v>46114</v>
      </c>
      <c r="I26" s="8" t="s">
        <v>4</v>
      </c>
      <c r="J26" s="8" t="s">
        <v>11</v>
      </c>
      <c r="K26" s="10">
        <v>88.25</v>
      </c>
    </row>
    <row r="27" spans="1:11" x14ac:dyDescent="0.25">
      <c r="A27" s="8" t="s">
        <v>7</v>
      </c>
      <c r="C27" s="8">
        <v>18710070</v>
      </c>
      <c r="D27" s="8" t="s">
        <v>8</v>
      </c>
      <c r="E27" s="8" t="s">
        <v>49</v>
      </c>
      <c r="F27" s="8" t="s">
        <v>74</v>
      </c>
      <c r="G27" s="9">
        <v>45931</v>
      </c>
      <c r="H27" s="9">
        <v>46114</v>
      </c>
      <c r="I27" s="8" t="s">
        <v>4</v>
      </c>
      <c r="J27" s="8" t="s">
        <v>11</v>
      </c>
      <c r="K27" s="10">
        <v>88.25</v>
      </c>
    </row>
    <row r="28" spans="1:11" x14ac:dyDescent="0.25">
      <c r="A28" s="8" t="s">
        <v>7</v>
      </c>
      <c r="C28" s="8">
        <v>18710070</v>
      </c>
      <c r="D28" s="8" t="s">
        <v>75</v>
      </c>
      <c r="E28" s="8" t="s">
        <v>76</v>
      </c>
      <c r="F28" s="8" t="s">
        <v>77</v>
      </c>
      <c r="G28" s="9">
        <v>45962</v>
      </c>
      <c r="H28" s="9">
        <v>46114</v>
      </c>
      <c r="I28" s="8" t="s">
        <v>4</v>
      </c>
      <c r="J28" s="8" t="s">
        <v>11</v>
      </c>
      <c r="K28" s="10">
        <v>88.25</v>
      </c>
    </row>
    <row r="29" spans="1:11" x14ac:dyDescent="0.25">
      <c r="A29" s="8" t="s">
        <v>7</v>
      </c>
      <c r="C29" s="8">
        <v>18710070</v>
      </c>
      <c r="D29" s="8" t="s">
        <v>78</v>
      </c>
      <c r="E29" s="8" t="s">
        <v>79</v>
      </c>
      <c r="F29" s="8" t="s">
        <v>80</v>
      </c>
      <c r="G29" s="9">
        <v>46113</v>
      </c>
      <c r="H29" s="9">
        <v>46114</v>
      </c>
      <c r="I29" s="8" t="s">
        <v>4</v>
      </c>
      <c r="J29" s="8" t="s">
        <v>81</v>
      </c>
      <c r="K29" s="10">
        <v>264.75</v>
      </c>
    </row>
    <row r="30" spans="1:11" x14ac:dyDescent="0.25">
      <c r="A30" s="8" t="s">
        <v>0</v>
      </c>
      <c r="C30" s="8">
        <v>17528908</v>
      </c>
      <c r="D30" s="8" t="s">
        <v>82</v>
      </c>
      <c r="E30" s="8" t="s">
        <v>83</v>
      </c>
      <c r="F30" s="8" t="s">
        <v>84</v>
      </c>
      <c r="G30" s="9">
        <v>46113</v>
      </c>
      <c r="H30" s="9">
        <v>46114</v>
      </c>
      <c r="I30" s="8" t="s">
        <v>4</v>
      </c>
      <c r="J30" s="8" t="s">
        <v>81</v>
      </c>
      <c r="K30" s="10">
        <v>264.75</v>
      </c>
    </row>
    <row r="31" spans="1:11" x14ac:dyDescent="0.25">
      <c r="A31" s="8" t="s">
        <v>7</v>
      </c>
      <c r="C31" s="8">
        <v>18710070</v>
      </c>
      <c r="D31" s="8" t="s">
        <v>85</v>
      </c>
      <c r="E31" s="8" t="s">
        <v>86</v>
      </c>
      <c r="F31" s="8" t="s">
        <v>87</v>
      </c>
      <c r="G31" s="9">
        <v>44562</v>
      </c>
      <c r="H31" s="9">
        <v>46114</v>
      </c>
      <c r="I31" s="8" t="s">
        <v>4</v>
      </c>
      <c r="J31" s="8" t="s">
        <v>88</v>
      </c>
      <c r="K31" s="10">
        <v>353</v>
      </c>
    </row>
    <row r="32" spans="1:11" x14ac:dyDescent="0.25">
      <c r="A32" s="8" t="s">
        <v>7</v>
      </c>
      <c r="C32" s="8">
        <v>18710070</v>
      </c>
      <c r="D32" s="8" t="s">
        <v>89</v>
      </c>
      <c r="E32" s="8" t="s">
        <v>90</v>
      </c>
      <c r="F32" s="8" t="s">
        <v>91</v>
      </c>
      <c r="G32" s="9">
        <v>44866</v>
      </c>
      <c r="H32" s="9">
        <v>46114</v>
      </c>
      <c r="I32" s="8" t="s">
        <v>4</v>
      </c>
      <c r="J32" s="8" t="s">
        <v>88</v>
      </c>
      <c r="K32" s="10">
        <v>353</v>
      </c>
    </row>
    <row r="33" spans="1:11" x14ac:dyDescent="0.25">
      <c r="A33" s="8" t="s">
        <v>7</v>
      </c>
      <c r="C33" s="8">
        <v>18710070</v>
      </c>
      <c r="D33" s="8" t="s">
        <v>18</v>
      </c>
      <c r="E33" s="8" t="s">
        <v>92</v>
      </c>
      <c r="F33" s="8" t="s">
        <v>93</v>
      </c>
      <c r="G33" s="9">
        <v>45078</v>
      </c>
      <c r="H33" s="9">
        <v>46114</v>
      </c>
      <c r="I33" s="8" t="s">
        <v>4</v>
      </c>
      <c r="J33" s="8" t="s">
        <v>88</v>
      </c>
      <c r="K33" s="10">
        <v>353</v>
      </c>
    </row>
    <row r="34" spans="1:11" x14ac:dyDescent="0.25">
      <c r="A34" s="8" t="s">
        <v>7</v>
      </c>
      <c r="C34" s="8">
        <v>18710070</v>
      </c>
      <c r="D34" s="8" t="s">
        <v>94</v>
      </c>
      <c r="E34" s="8" t="s">
        <v>95</v>
      </c>
      <c r="F34" s="8" t="s">
        <v>96</v>
      </c>
      <c r="G34" s="9">
        <v>45292</v>
      </c>
      <c r="H34" s="9">
        <v>46114</v>
      </c>
      <c r="I34" s="8" t="s">
        <v>4</v>
      </c>
      <c r="J34" s="8" t="s">
        <v>88</v>
      </c>
      <c r="K34" s="10">
        <v>353</v>
      </c>
    </row>
    <row r="35" spans="1:11" x14ac:dyDescent="0.25">
      <c r="A35" s="8" t="s">
        <v>7</v>
      </c>
      <c r="C35" s="8">
        <v>18710070</v>
      </c>
      <c r="D35" s="8" t="s">
        <v>97</v>
      </c>
      <c r="E35" s="8" t="s">
        <v>98</v>
      </c>
      <c r="F35" s="8" t="s">
        <v>99</v>
      </c>
      <c r="G35" s="9">
        <v>45292</v>
      </c>
      <c r="H35" s="9">
        <v>46114</v>
      </c>
      <c r="I35" s="8" t="s">
        <v>4</v>
      </c>
      <c r="J35" s="8" t="s">
        <v>88</v>
      </c>
      <c r="K35" s="10">
        <v>353</v>
      </c>
    </row>
    <row r="36" spans="1:11" x14ac:dyDescent="0.25">
      <c r="A36" s="8" t="s">
        <v>7</v>
      </c>
      <c r="C36" s="8">
        <v>18710070</v>
      </c>
      <c r="D36" s="8" t="s">
        <v>100</v>
      </c>
      <c r="E36" s="8" t="s">
        <v>101</v>
      </c>
      <c r="F36" s="8" t="s">
        <v>102</v>
      </c>
      <c r="G36" s="9">
        <v>45292</v>
      </c>
      <c r="H36" s="9">
        <v>46114</v>
      </c>
      <c r="I36" s="8" t="s">
        <v>4</v>
      </c>
      <c r="J36" s="8" t="s">
        <v>88</v>
      </c>
      <c r="K36" s="10">
        <v>353</v>
      </c>
    </row>
    <row r="37" spans="1:11" x14ac:dyDescent="0.25">
      <c r="A37" s="8" t="s">
        <v>7</v>
      </c>
      <c r="C37" s="8">
        <v>18710070</v>
      </c>
      <c r="D37" s="8" t="s">
        <v>103</v>
      </c>
      <c r="E37" s="8" t="s">
        <v>104</v>
      </c>
      <c r="F37" s="8" t="s">
        <v>105</v>
      </c>
      <c r="G37" s="9">
        <v>45658</v>
      </c>
      <c r="H37" s="9">
        <v>46114</v>
      </c>
      <c r="I37" s="8" t="s">
        <v>4</v>
      </c>
      <c r="J37" s="8" t="s">
        <v>88</v>
      </c>
      <c r="K37" s="10">
        <v>353</v>
      </c>
    </row>
    <row r="38" spans="1:11" x14ac:dyDescent="0.25">
      <c r="A38" s="8" t="s">
        <v>7</v>
      </c>
      <c r="C38" s="8">
        <v>18710070</v>
      </c>
      <c r="D38" s="8" t="s">
        <v>106</v>
      </c>
      <c r="E38" s="8" t="s">
        <v>107</v>
      </c>
      <c r="F38" s="8" t="s">
        <v>108</v>
      </c>
      <c r="G38" s="9">
        <v>45658</v>
      </c>
      <c r="H38" s="9">
        <v>46114</v>
      </c>
      <c r="I38" s="8" t="s">
        <v>4</v>
      </c>
      <c r="J38" s="8" t="s">
        <v>88</v>
      </c>
      <c r="K38" s="10">
        <v>353</v>
      </c>
    </row>
    <row r="39" spans="1:11" x14ac:dyDescent="0.25">
      <c r="A39" s="8" t="s">
        <v>7</v>
      </c>
      <c r="C39" s="8">
        <v>18710070</v>
      </c>
      <c r="D39" s="8" t="s">
        <v>109</v>
      </c>
      <c r="E39" s="8" t="s">
        <v>101</v>
      </c>
      <c r="F39" s="8" t="s">
        <v>110</v>
      </c>
      <c r="G39" s="9">
        <v>45658</v>
      </c>
      <c r="H39" s="9">
        <v>46114</v>
      </c>
      <c r="I39" s="8" t="s">
        <v>4</v>
      </c>
      <c r="J39" s="8" t="s">
        <v>88</v>
      </c>
      <c r="K39" s="10">
        <v>353</v>
      </c>
    </row>
    <row r="40" spans="1:11" x14ac:dyDescent="0.25">
      <c r="A40" s="8" t="s">
        <v>7</v>
      </c>
      <c r="C40" s="8">
        <v>18710070</v>
      </c>
      <c r="D40" s="8" t="s">
        <v>111</v>
      </c>
      <c r="E40" s="8" t="s">
        <v>112</v>
      </c>
      <c r="F40" s="8" t="s">
        <v>113</v>
      </c>
      <c r="G40" s="9">
        <v>45839</v>
      </c>
      <c r="H40" s="9">
        <v>46114</v>
      </c>
      <c r="I40" s="8" t="s">
        <v>4</v>
      </c>
      <c r="J40" s="8" t="s">
        <v>88</v>
      </c>
      <c r="K40" s="10">
        <v>353</v>
      </c>
    </row>
    <row r="41" spans="1:11" x14ac:dyDescent="0.25">
      <c r="A41" s="8" t="s">
        <v>7</v>
      </c>
      <c r="C41" s="8">
        <v>18710070</v>
      </c>
      <c r="D41" s="8" t="s">
        <v>109</v>
      </c>
      <c r="E41" s="8" t="s">
        <v>49</v>
      </c>
      <c r="F41" s="8" t="s">
        <v>114</v>
      </c>
      <c r="G41" s="9">
        <v>45962</v>
      </c>
      <c r="H41" s="9">
        <v>46114</v>
      </c>
      <c r="I41" s="8" t="s">
        <v>4</v>
      </c>
      <c r="J41" s="8" t="s">
        <v>88</v>
      </c>
      <c r="K41" s="10">
        <v>353</v>
      </c>
    </row>
    <row r="42" spans="1:11" x14ac:dyDescent="0.25">
      <c r="A42" s="8" t="s">
        <v>7</v>
      </c>
      <c r="C42" s="8">
        <v>18710070</v>
      </c>
      <c r="D42" s="8" t="s">
        <v>115</v>
      </c>
      <c r="E42" s="8" t="s">
        <v>116</v>
      </c>
      <c r="F42" s="8" t="s">
        <v>117</v>
      </c>
      <c r="G42" s="9">
        <v>45992</v>
      </c>
      <c r="H42" s="9">
        <v>46114</v>
      </c>
      <c r="I42" s="8" t="s">
        <v>4</v>
      </c>
      <c r="J42" s="8" t="s">
        <v>88</v>
      </c>
      <c r="K42" s="10">
        <v>353</v>
      </c>
    </row>
    <row r="43" spans="1:11" x14ac:dyDescent="0.25">
      <c r="A43" s="8" t="s">
        <v>7</v>
      </c>
      <c r="C43" s="8">
        <v>18710070</v>
      </c>
      <c r="D43" s="8" t="s">
        <v>118</v>
      </c>
      <c r="E43" s="8" t="s">
        <v>119</v>
      </c>
      <c r="F43" s="8" t="s">
        <v>120</v>
      </c>
      <c r="G43" s="9">
        <v>46023</v>
      </c>
      <c r="H43" s="9">
        <v>46114</v>
      </c>
      <c r="I43" s="8" t="s">
        <v>4</v>
      </c>
      <c r="J43" s="8" t="s">
        <v>88</v>
      </c>
      <c r="K43" s="10">
        <v>353</v>
      </c>
    </row>
    <row r="44" spans="1:11" x14ac:dyDescent="0.25">
      <c r="A44" s="8" t="s">
        <v>7</v>
      </c>
      <c r="C44" s="8">
        <v>18710070</v>
      </c>
      <c r="D44" s="8" t="s">
        <v>8</v>
      </c>
      <c r="E44" s="8" t="s">
        <v>119</v>
      </c>
      <c r="F44" s="8" t="s">
        <v>121</v>
      </c>
      <c r="G44" s="9">
        <v>46023</v>
      </c>
      <c r="H44" s="9">
        <v>46114</v>
      </c>
      <c r="I44" s="8" t="s">
        <v>4</v>
      </c>
      <c r="J44" s="8" t="s">
        <v>88</v>
      </c>
      <c r="K44" s="10">
        <v>353</v>
      </c>
    </row>
    <row r="45" spans="1:11" x14ac:dyDescent="0.25">
      <c r="A45" s="8" t="s">
        <v>7</v>
      </c>
      <c r="C45" s="8">
        <v>18710070</v>
      </c>
      <c r="D45" s="8" t="s">
        <v>122</v>
      </c>
      <c r="E45" s="8" t="s">
        <v>123</v>
      </c>
      <c r="F45" s="8" t="s">
        <v>124</v>
      </c>
      <c r="G45" s="9">
        <v>46023</v>
      </c>
      <c r="H45" s="9">
        <v>46114</v>
      </c>
      <c r="I45" s="8" t="s">
        <v>4</v>
      </c>
      <c r="J45" s="8" t="s">
        <v>88</v>
      </c>
      <c r="K45" s="10">
        <v>353</v>
      </c>
    </row>
    <row r="46" spans="1:11" x14ac:dyDescent="0.25">
      <c r="A46" s="8" t="s">
        <v>7</v>
      </c>
      <c r="C46" s="8">
        <v>18710070</v>
      </c>
      <c r="D46" s="8" t="s">
        <v>125</v>
      </c>
      <c r="E46" s="8" t="s">
        <v>126</v>
      </c>
      <c r="F46" s="8" t="s">
        <v>127</v>
      </c>
      <c r="G46" s="9">
        <v>46023</v>
      </c>
      <c r="H46" s="9">
        <v>46114</v>
      </c>
      <c r="I46" s="8" t="s">
        <v>4</v>
      </c>
      <c r="J46" s="8" t="s">
        <v>88</v>
      </c>
      <c r="K46" s="10">
        <v>353</v>
      </c>
    </row>
    <row r="47" spans="1:11" x14ac:dyDescent="0.25">
      <c r="A47" s="8" t="s">
        <v>7</v>
      </c>
      <c r="C47" s="8">
        <v>18710070</v>
      </c>
      <c r="D47" s="8" t="s">
        <v>128</v>
      </c>
      <c r="E47" s="8" t="s">
        <v>129</v>
      </c>
      <c r="F47" s="8" t="s">
        <v>130</v>
      </c>
      <c r="G47" s="9">
        <v>46023</v>
      </c>
      <c r="H47" s="9">
        <v>46114</v>
      </c>
      <c r="I47" s="8" t="s">
        <v>4</v>
      </c>
      <c r="J47" s="8" t="s">
        <v>88</v>
      </c>
      <c r="K47" s="10">
        <v>353</v>
      </c>
    </row>
    <row r="48" spans="1:11" x14ac:dyDescent="0.25">
      <c r="A48" s="8" t="s">
        <v>7</v>
      </c>
      <c r="C48" s="8">
        <v>18710070</v>
      </c>
      <c r="D48" s="8" t="s">
        <v>131</v>
      </c>
      <c r="E48" s="8" t="s">
        <v>132</v>
      </c>
      <c r="F48" s="8" t="s">
        <v>133</v>
      </c>
      <c r="G48" s="9">
        <v>46023</v>
      </c>
      <c r="H48" s="9">
        <v>46114</v>
      </c>
      <c r="I48" s="8" t="s">
        <v>4</v>
      </c>
      <c r="J48" s="8" t="s">
        <v>88</v>
      </c>
      <c r="K48" s="10">
        <v>353</v>
      </c>
    </row>
    <row r="49" spans="1:11" x14ac:dyDescent="0.25">
      <c r="A49" s="8" t="s">
        <v>7</v>
      </c>
      <c r="C49" s="8">
        <v>18710070</v>
      </c>
      <c r="D49" s="8" t="s">
        <v>1</v>
      </c>
      <c r="E49" s="8" t="s">
        <v>134</v>
      </c>
      <c r="F49" s="8" t="s">
        <v>135</v>
      </c>
      <c r="G49" s="9">
        <v>46023</v>
      </c>
      <c r="H49" s="9">
        <v>46114</v>
      </c>
      <c r="I49" s="8" t="s">
        <v>4</v>
      </c>
      <c r="J49" s="8" t="s">
        <v>88</v>
      </c>
      <c r="K49" s="10">
        <v>353</v>
      </c>
    </row>
    <row r="50" spans="1:11" x14ac:dyDescent="0.25">
      <c r="A50" s="8" t="s">
        <v>7</v>
      </c>
      <c r="C50" s="8">
        <v>18710070</v>
      </c>
      <c r="D50" s="8" t="s">
        <v>136</v>
      </c>
      <c r="E50" s="8" t="s">
        <v>137</v>
      </c>
      <c r="F50" s="8" t="s">
        <v>138</v>
      </c>
      <c r="G50" s="9">
        <v>46023</v>
      </c>
      <c r="H50" s="9">
        <v>46114</v>
      </c>
      <c r="I50" s="8" t="s">
        <v>4</v>
      </c>
      <c r="J50" s="8" t="s">
        <v>88</v>
      </c>
      <c r="K50" s="10">
        <v>353</v>
      </c>
    </row>
    <row r="51" spans="1:11" x14ac:dyDescent="0.25">
      <c r="A51" s="8" t="s">
        <v>7</v>
      </c>
      <c r="C51" s="8">
        <v>18710070</v>
      </c>
      <c r="D51" s="8" t="s">
        <v>26</v>
      </c>
      <c r="E51" s="8" t="s">
        <v>139</v>
      </c>
      <c r="F51" s="8" t="s">
        <v>140</v>
      </c>
      <c r="G51" s="9">
        <v>46023</v>
      </c>
      <c r="H51" s="9">
        <v>46114</v>
      </c>
      <c r="I51" s="8" t="s">
        <v>4</v>
      </c>
      <c r="J51" s="8" t="s">
        <v>88</v>
      </c>
      <c r="K51" s="10">
        <v>353</v>
      </c>
    </row>
    <row r="52" spans="1:11" x14ac:dyDescent="0.25">
      <c r="A52" s="8" t="s">
        <v>7</v>
      </c>
      <c r="C52" s="8">
        <v>18710070</v>
      </c>
      <c r="D52" s="8" t="s">
        <v>141</v>
      </c>
      <c r="E52" s="8" t="s">
        <v>142</v>
      </c>
      <c r="F52" s="8" t="s">
        <v>143</v>
      </c>
      <c r="G52" s="9">
        <v>46023</v>
      </c>
      <c r="H52" s="9">
        <v>46114</v>
      </c>
      <c r="I52" s="8" t="s">
        <v>4</v>
      </c>
      <c r="J52" s="8" t="s">
        <v>88</v>
      </c>
      <c r="K52" s="10">
        <v>353</v>
      </c>
    </row>
    <row r="53" spans="1:11" x14ac:dyDescent="0.25">
      <c r="A53" s="8" t="s">
        <v>7</v>
      </c>
      <c r="C53" s="8">
        <v>18710070</v>
      </c>
      <c r="D53" s="8" t="s">
        <v>144</v>
      </c>
      <c r="E53" s="8" t="s">
        <v>76</v>
      </c>
      <c r="F53" s="8" t="s">
        <v>145</v>
      </c>
      <c r="G53" s="9">
        <v>46023</v>
      </c>
      <c r="H53" s="9">
        <v>46114</v>
      </c>
      <c r="I53" s="8" t="s">
        <v>4</v>
      </c>
      <c r="J53" s="8" t="s">
        <v>88</v>
      </c>
      <c r="K53" s="10">
        <v>353</v>
      </c>
    </row>
    <row r="54" spans="1:11" x14ac:dyDescent="0.25">
      <c r="A54" s="8" t="s">
        <v>7</v>
      </c>
      <c r="C54" s="8">
        <v>18710070</v>
      </c>
      <c r="D54" s="8" t="s">
        <v>146</v>
      </c>
      <c r="E54" s="8" t="s">
        <v>147</v>
      </c>
      <c r="F54" s="8" t="s">
        <v>148</v>
      </c>
      <c r="G54" s="9">
        <v>46023</v>
      </c>
      <c r="H54" s="9">
        <v>46114</v>
      </c>
      <c r="I54" s="8" t="s">
        <v>4</v>
      </c>
      <c r="J54" s="8" t="s">
        <v>88</v>
      </c>
      <c r="K54" s="10">
        <v>353</v>
      </c>
    </row>
    <row r="55" spans="1:11" x14ac:dyDescent="0.25">
      <c r="A55" s="8" t="s">
        <v>7</v>
      </c>
      <c r="C55" s="8">
        <v>18710070</v>
      </c>
      <c r="D55" s="8" t="s">
        <v>149</v>
      </c>
      <c r="E55" s="8" t="s">
        <v>150</v>
      </c>
      <c r="F55" s="8" t="s">
        <v>151</v>
      </c>
      <c r="G55" s="9">
        <v>46023</v>
      </c>
      <c r="H55" s="9">
        <v>46114</v>
      </c>
      <c r="I55" s="8" t="s">
        <v>4</v>
      </c>
      <c r="J55" s="8" t="s">
        <v>88</v>
      </c>
      <c r="K55" s="10">
        <v>353</v>
      </c>
    </row>
    <row r="56" spans="1:11" x14ac:dyDescent="0.25">
      <c r="A56" s="8" t="s">
        <v>7</v>
      </c>
      <c r="C56" s="8">
        <v>18710070</v>
      </c>
      <c r="D56" s="8" t="s">
        <v>122</v>
      </c>
      <c r="E56" s="8" t="s">
        <v>152</v>
      </c>
      <c r="F56" s="8" t="s">
        <v>153</v>
      </c>
      <c r="G56" s="9">
        <v>46023</v>
      </c>
      <c r="H56" s="9">
        <v>46114</v>
      </c>
      <c r="I56" s="8" t="s">
        <v>4</v>
      </c>
      <c r="J56" s="8" t="s">
        <v>88</v>
      </c>
      <c r="K56" s="10">
        <v>353</v>
      </c>
    </row>
    <row r="57" spans="1:11" x14ac:dyDescent="0.25">
      <c r="A57" s="8" t="s">
        <v>7</v>
      </c>
      <c r="C57" s="8">
        <v>18710070</v>
      </c>
      <c r="D57" s="8" t="s">
        <v>154</v>
      </c>
      <c r="E57" s="8" t="s">
        <v>155</v>
      </c>
      <c r="F57" s="8" t="s">
        <v>156</v>
      </c>
      <c r="G57" s="9">
        <v>46023</v>
      </c>
      <c r="H57" s="9">
        <v>46114</v>
      </c>
      <c r="I57" s="8" t="s">
        <v>4</v>
      </c>
      <c r="J57" s="8" t="s">
        <v>88</v>
      </c>
      <c r="K57" s="10">
        <v>353</v>
      </c>
    </row>
    <row r="58" spans="1:11" x14ac:dyDescent="0.25">
      <c r="A58" s="8" t="s">
        <v>7</v>
      </c>
      <c r="C58" s="8">
        <v>18710070</v>
      </c>
      <c r="D58" s="8" t="s">
        <v>157</v>
      </c>
      <c r="E58" s="8" t="s">
        <v>155</v>
      </c>
      <c r="F58" s="8" t="s">
        <v>158</v>
      </c>
      <c r="G58" s="9">
        <v>46023</v>
      </c>
      <c r="H58" s="9">
        <v>46114</v>
      </c>
      <c r="I58" s="8" t="s">
        <v>4</v>
      </c>
      <c r="J58" s="8" t="s">
        <v>88</v>
      </c>
      <c r="K58" s="10">
        <v>353</v>
      </c>
    </row>
    <row r="59" spans="1:11" x14ac:dyDescent="0.25">
      <c r="A59" s="8" t="s">
        <v>7</v>
      </c>
      <c r="C59" s="8">
        <v>18710070</v>
      </c>
      <c r="D59" s="8" t="s">
        <v>18</v>
      </c>
      <c r="E59" s="8" t="s">
        <v>159</v>
      </c>
      <c r="F59" s="8" t="s">
        <v>160</v>
      </c>
      <c r="G59" s="9">
        <v>46023</v>
      </c>
      <c r="H59" s="9">
        <v>46114</v>
      </c>
      <c r="I59" s="8" t="s">
        <v>4</v>
      </c>
      <c r="J59" s="8" t="s">
        <v>88</v>
      </c>
      <c r="K59" s="10">
        <v>353</v>
      </c>
    </row>
    <row r="60" spans="1:11" x14ac:dyDescent="0.25">
      <c r="A60" s="8" t="s">
        <v>7</v>
      </c>
      <c r="C60" s="8">
        <v>18710070</v>
      </c>
      <c r="D60" s="8" t="s">
        <v>161</v>
      </c>
      <c r="E60" s="8" t="s">
        <v>162</v>
      </c>
      <c r="F60" s="8" t="s">
        <v>163</v>
      </c>
      <c r="G60" s="9">
        <v>46023</v>
      </c>
      <c r="H60" s="9">
        <v>46114</v>
      </c>
      <c r="I60" s="8" t="s">
        <v>4</v>
      </c>
      <c r="J60" s="8" t="s">
        <v>88</v>
      </c>
      <c r="K60" s="10">
        <v>353</v>
      </c>
    </row>
    <row r="61" spans="1:11" x14ac:dyDescent="0.25">
      <c r="A61" s="8" t="s">
        <v>7</v>
      </c>
      <c r="C61" s="8">
        <v>18710070</v>
      </c>
      <c r="D61" s="8" t="s">
        <v>164</v>
      </c>
      <c r="E61" s="8" t="s">
        <v>165</v>
      </c>
      <c r="F61" s="8" t="s">
        <v>166</v>
      </c>
      <c r="G61" s="9">
        <v>46023</v>
      </c>
      <c r="H61" s="9">
        <v>46114</v>
      </c>
      <c r="I61" s="8" t="s">
        <v>4</v>
      </c>
      <c r="J61" s="8" t="s">
        <v>88</v>
      </c>
      <c r="K61" s="10">
        <v>353</v>
      </c>
    </row>
    <row r="62" spans="1:11" x14ac:dyDescent="0.25">
      <c r="A62" s="8" t="s">
        <v>7</v>
      </c>
      <c r="C62" s="8">
        <v>18710070</v>
      </c>
      <c r="D62" s="8" t="s">
        <v>12</v>
      </c>
      <c r="E62" s="8" t="s">
        <v>165</v>
      </c>
      <c r="F62" s="8" t="s">
        <v>167</v>
      </c>
      <c r="G62" s="9">
        <v>46023</v>
      </c>
      <c r="H62" s="9">
        <v>46114</v>
      </c>
      <c r="I62" s="8" t="s">
        <v>4</v>
      </c>
      <c r="J62" s="8" t="s">
        <v>88</v>
      </c>
      <c r="K62" s="10">
        <v>353</v>
      </c>
    </row>
    <row r="63" spans="1:11" x14ac:dyDescent="0.25">
      <c r="A63" s="8" t="s">
        <v>7</v>
      </c>
      <c r="C63" s="8">
        <v>18710070</v>
      </c>
      <c r="D63" s="8" t="s">
        <v>168</v>
      </c>
      <c r="E63" s="8" t="s">
        <v>169</v>
      </c>
      <c r="F63" s="8" t="s">
        <v>170</v>
      </c>
      <c r="G63" s="9">
        <v>46023</v>
      </c>
      <c r="H63" s="9">
        <v>46114</v>
      </c>
      <c r="I63" s="8" t="s">
        <v>4</v>
      </c>
      <c r="J63" s="8" t="s">
        <v>88</v>
      </c>
      <c r="K63" s="10">
        <v>353</v>
      </c>
    </row>
    <row r="64" spans="1:11" x14ac:dyDescent="0.25">
      <c r="A64" s="8" t="s">
        <v>7</v>
      </c>
      <c r="C64" s="8">
        <v>18710070</v>
      </c>
      <c r="D64" s="8" t="s">
        <v>42</v>
      </c>
      <c r="E64" s="8" t="s">
        <v>171</v>
      </c>
      <c r="F64" s="8" t="s">
        <v>172</v>
      </c>
      <c r="G64" s="9">
        <v>46023</v>
      </c>
      <c r="H64" s="9">
        <v>46114</v>
      </c>
      <c r="I64" s="8" t="s">
        <v>4</v>
      </c>
      <c r="J64" s="8" t="s">
        <v>88</v>
      </c>
      <c r="K64" s="10">
        <v>353</v>
      </c>
    </row>
    <row r="65" spans="1:11" x14ac:dyDescent="0.25">
      <c r="A65" s="8" t="s">
        <v>7</v>
      </c>
      <c r="C65" s="8">
        <v>18710070</v>
      </c>
      <c r="D65" s="8" t="s">
        <v>173</v>
      </c>
      <c r="E65" s="8" t="s">
        <v>174</v>
      </c>
      <c r="F65" s="8" t="s">
        <v>175</v>
      </c>
      <c r="G65" s="9">
        <v>46023</v>
      </c>
      <c r="H65" s="9">
        <v>46114</v>
      </c>
      <c r="I65" s="8" t="s">
        <v>4</v>
      </c>
      <c r="J65" s="8" t="s">
        <v>176</v>
      </c>
      <c r="K65" s="10">
        <v>705</v>
      </c>
    </row>
    <row r="66" spans="1:11" x14ac:dyDescent="0.25">
      <c r="A66" s="8" t="s">
        <v>0</v>
      </c>
      <c r="C66" s="8">
        <v>17528908</v>
      </c>
      <c r="D66" s="8" t="s">
        <v>100</v>
      </c>
      <c r="E66" s="8" t="s">
        <v>177</v>
      </c>
      <c r="F66" s="8" t="s">
        <v>178</v>
      </c>
      <c r="G66" s="9">
        <v>46054</v>
      </c>
      <c r="H66" s="9">
        <v>46114</v>
      </c>
      <c r="I66" s="8" t="s">
        <v>4</v>
      </c>
      <c r="J66" s="8" t="s">
        <v>179</v>
      </c>
      <c r="K66" s="10">
        <v>323.58</v>
      </c>
    </row>
    <row r="67" spans="1:11" x14ac:dyDescent="0.25">
      <c r="A67" s="8" t="s">
        <v>7</v>
      </c>
      <c r="C67" s="8">
        <v>18710070</v>
      </c>
      <c r="D67" s="8" t="s">
        <v>118</v>
      </c>
      <c r="E67" s="8" t="s">
        <v>180</v>
      </c>
      <c r="F67" s="8" t="s">
        <v>181</v>
      </c>
      <c r="G67" s="9">
        <v>46023</v>
      </c>
      <c r="H67" s="9">
        <v>46114</v>
      </c>
      <c r="I67" s="8" t="s">
        <v>4</v>
      </c>
      <c r="J67" s="8" t="s">
        <v>176</v>
      </c>
      <c r="K67" s="10">
        <v>705</v>
      </c>
    </row>
    <row r="68" spans="1:11" x14ac:dyDescent="0.25">
      <c r="A68" s="8" t="s">
        <v>7</v>
      </c>
      <c r="C68" s="8">
        <v>18710070</v>
      </c>
      <c r="D68" s="8" t="s">
        <v>182</v>
      </c>
      <c r="E68" s="8" t="s">
        <v>180</v>
      </c>
      <c r="F68" s="8" t="s">
        <v>183</v>
      </c>
      <c r="G68" s="9">
        <v>46023</v>
      </c>
      <c r="H68" s="9">
        <v>46114</v>
      </c>
      <c r="I68" s="8" t="s">
        <v>4</v>
      </c>
      <c r="J68" s="8" t="s">
        <v>176</v>
      </c>
      <c r="K68" s="10">
        <v>705</v>
      </c>
    </row>
    <row r="69" spans="1:11" x14ac:dyDescent="0.25">
      <c r="A69" s="8" t="s">
        <v>7</v>
      </c>
      <c r="C69" s="8">
        <v>18710070</v>
      </c>
      <c r="D69" s="8" t="s">
        <v>184</v>
      </c>
      <c r="E69" s="8" t="s">
        <v>185</v>
      </c>
      <c r="F69" s="8" t="s">
        <v>186</v>
      </c>
      <c r="G69" s="9">
        <v>46023</v>
      </c>
      <c r="H69" s="9">
        <v>46114</v>
      </c>
      <c r="I69" s="8" t="s">
        <v>4</v>
      </c>
      <c r="J69" s="8" t="s">
        <v>176</v>
      </c>
      <c r="K69" s="10">
        <v>705</v>
      </c>
    </row>
    <row r="70" spans="1:11" x14ac:dyDescent="0.25">
      <c r="A70" s="8" t="s">
        <v>7</v>
      </c>
      <c r="C70" s="8">
        <v>18710070</v>
      </c>
      <c r="D70" s="8" t="s">
        <v>187</v>
      </c>
      <c r="E70" s="8" t="s">
        <v>188</v>
      </c>
      <c r="F70" s="8" t="s">
        <v>189</v>
      </c>
      <c r="G70" s="9">
        <v>46023</v>
      </c>
      <c r="H70" s="9">
        <v>46114</v>
      </c>
      <c r="I70" s="8" t="s">
        <v>4</v>
      </c>
      <c r="J70" s="8" t="s">
        <v>176</v>
      </c>
      <c r="K70" s="10">
        <v>705</v>
      </c>
    </row>
    <row r="71" spans="1:11" x14ac:dyDescent="0.25">
      <c r="A71" s="8" t="s">
        <v>7</v>
      </c>
      <c r="C71" s="8">
        <v>18710070</v>
      </c>
      <c r="D71" s="8" t="s">
        <v>8</v>
      </c>
      <c r="E71" s="8" t="s">
        <v>190</v>
      </c>
      <c r="F71" s="8" t="s">
        <v>191</v>
      </c>
      <c r="G71" s="9">
        <v>46023</v>
      </c>
      <c r="H71" s="9">
        <v>46114</v>
      </c>
      <c r="I71" s="8" t="s">
        <v>4</v>
      </c>
      <c r="J71" s="8" t="s">
        <v>176</v>
      </c>
      <c r="K71" s="10">
        <v>705</v>
      </c>
    </row>
    <row r="72" spans="1:11" x14ac:dyDescent="0.25">
      <c r="A72" s="8" t="s">
        <v>192</v>
      </c>
      <c r="C72" s="8">
        <v>20253958</v>
      </c>
      <c r="D72" s="8" t="s">
        <v>193</v>
      </c>
      <c r="E72" s="8" t="s">
        <v>194</v>
      </c>
      <c r="F72" s="8" t="s">
        <v>195</v>
      </c>
      <c r="G72" s="9">
        <v>46082</v>
      </c>
      <c r="H72" s="9">
        <v>46114</v>
      </c>
      <c r="I72" s="8" t="s">
        <v>4</v>
      </c>
      <c r="J72" s="8" t="s">
        <v>196</v>
      </c>
      <c r="K72" s="10">
        <v>-110</v>
      </c>
    </row>
    <row r="73" spans="1:11" x14ac:dyDescent="0.25">
      <c r="A73" s="8" t="s">
        <v>197</v>
      </c>
      <c r="C73" s="8">
        <v>17886092</v>
      </c>
      <c r="D73" s="8" t="s">
        <v>115</v>
      </c>
      <c r="E73" s="8" t="s">
        <v>198</v>
      </c>
      <c r="F73" s="8" t="s">
        <v>199</v>
      </c>
      <c r="G73" s="9">
        <v>46054</v>
      </c>
      <c r="H73" s="9">
        <v>46114</v>
      </c>
      <c r="I73" s="8" t="s">
        <v>4</v>
      </c>
      <c r="J73" s="8" t="s">
        <v>200</v>
      </c>
      <c r="K73" s="10">
        <v>-66.459999999999994</v>
      </c>
    </row>
    <row r="74" spans="1:11" x14ac:dyDescent="0.25">
      <c r="A74" s="8" t="s">
        <v>0</v>
      </c>
      <c r="B74" s="8">
        <v>17528908</v>
      </c>
      <c r="C74" s="8">
        <v>17528908</v>
      </c>
      <c r="D74" s="8" t="s">
        <v>1</v>
      </c>
      <c r="E74" s="8" t="s">
        <v>2</v>
      </c>
      <c r="F74" s="8" t="s">
        <v>3</v>
      </c>
      <c r="G74" s="9">
        <v>45839</v>
      </c>
      <c r="H74" s="9">
        <v>46114</v>
      </c>
      <c r="I74" s="8" t="s">
        <v>4</v>
      </c>
      <c r="J74" s="8" t="s">
        <v>201</v>
      </c>
      <c r="K74" s="10">
        <v>-5.2</v>
      </c>
    </row>
    <row r="75" spans="1:11" x14ac:dyDescent="0.25">
      <c r="A75" s="8" t="s">
        <v>0</v>
      </c>
      <c r="B75" s="8">
        <v>17528908</v>
      </c>
      <c r="C75" s="8">
        <v>17528908</v>
      </c>
      <c r="D75" s="8" t="s">
        <v>1</v>
      </c>
      <c r="E75" s="8" t="s">
        <v>2</v>
      </c>
      <c r="F75" s="8" t="s">
        <v>3</v>
      </c>
      <c r="G75" s="9">
        <v>45839</v>
      </c>
      <c r="H75" s="9">
        <v>46114</v>
      </c>
      <c r="I75" s="8" t="s">
        <v>4</v>
      </c>
      <c r="J75" s="8" t="s">
        <v>202</v>
      </c>
      <c r="K75" s="10">
        <v>5.2</v>
      </c>
    </row>
    <row r="76" spans="1:11" x14ac:dyDescent="0.25">
      <c r="A76" s="8" t="s">
        <v>7</v>
      </c>
      <c r="C76" s="8">
        <v>18710070</v>
      </c>
      <c r="D76" s="8" t="s">
        <v>12</v>
      </c>
      <c r="E76" s="8" t="s">
        <v>13</v>
      </c>
      <c r="F76" s="8" t="s">
        <v>14</v>
      </c>
      <c r="G76" s="9">
        <v>44562</v>
      </c>
      <c r="H76" s="9">
        <v>46114</v>
      </c>
      <c r="I76" s="8" t="s">
        <v>4</v>
      </c>
      <c r="J76" s="8" t="s">
        <v>203</v>
      </c>
      <c r="K76" s="10">
        <v>15.62</v>
      </c>
    </row>
    <row r="77" spans="1:11" x14ac:dyDescent="0.25">
      <c r="A77" s="8" t="s">
        <v>7</v>
      </c>
      <c r="C77" s="8">
        <v>18710070</v>
      </c>
      <c r="D77" s="8" t="s">
        <v>37</v>
      </c>
      <c r="E77" s="8" t="s">
        <v>38</v>
      </c>
      <c r="F77" s="8" t="s">
        <v>39</v>
      </c>
      <c r="G77" s="9">
        <v>45658</v>
      </c>
      <c r="H77" s="9">
        <v>46114</v>
      </c>
      <c r="I77" s="8" t="s">
        <v>4</v>
      </c>
      <c r="J77" s="8" t="s">
        <v>203</v>
      </c>
      <c r="K77" s="10">
        <v>15.62</v>
      </c>
    </row>
    <row r="78" spans="1:11" x14ac:dyDescent="0.25">
      <c r="A78" s="8" t="s">
        <v>7</v>
      </c>
      <c r="C78" s="8">
        <v>18710070</v>
      </c>
      <c r="D78" s="8" t="s">
        <v>8</v>
      </c>
      <c r="E78" s="8" t="s">
        <v>9</v>
      </c>
      <c r="F78" s="8" t="s">
        <v>10</v>
      </c>
      <c r="G78" s="9">
        <v>43101</v>
      </c>
      <c r="H78" s="9">
        <v>46114</v>
      </c>
      <c r="I78" s="8" t="s">
        <v>4</v>
      </c>
      <c r="J78" s="8" t="s">
        <v>204</v>
      </c>
      <c r="K78" s="10">
        <v>18.12</v>
      </c>
    </row>
    <row r="79" spans="1:11" x14ac:dyDescent="0.25">
      <c r="A79" s="8" t="s">
        <v>7</v>
      </c>
      <c r="C79" s="8">
        <v>18710070</v>
      </c>
      <c r="D79" s="8" t="s">
        <v>15</v>
      </c>
      <c r="E79" s="8" t="s">
        <v>16</v>
      </c>
      <c r="F79" s="8" t="s">
        <v>17</v>
      </c>
      <c r="G79" s="9">
        <v>44593</v>
      </c>
      <c r="H79" s="9">
        <v>46114</v>
      </c>
      <c r="I79" s="8" t="s">
        <v>4</v>
      </c>
      <c r="J79" s="8" t="s">
        <v>204</v>
      </c>
      <c r="K79" s="10">
        <v>18.12</v>
      </c>
    </row>
    <row r="80" spans="1:11" x14ac:dyDescent="0.25">
      <c r="A80" s="8" t="s">
        <v>7</v>
      </c>
      <c r="C80" s="8">
        <v>18710070</v>
      </c>
      <c r="D80" s="8" t="s">
        <v>18</v>
      </c>
      <c r="E80" s="8" t="s">
        <v>16</v>
      </c>
      <c r="F80" s="8" t="s">
        <v>19</v>
      </c>
      <c r="G80" s="9">
        <v>44927</v>
      </c>
      <c r="H80" s="9">
        <v>46114</v>
      </c>
      <c r="I80" s="8" t="s">
        <v>4</v>
      </c>
      <c r="J80" s="8" t="s">
        <v>204</v>
      </c>
      <c r="K80" s="10">
        <v>18.12</v>
      </c>
    </row>
    <row r="81" spans="1:11" x14ac:dyDescent="0.25">
      <c r="A81" s="8" t="s">
        <v>7</v>
      </c>
      <c r="C81" s="8">
        <v>18710070</v>
      </c>
      <c r="D81" s="8" t="s">
        <v>20</v>
      </c>
      <c r="E81" s="8" t="s">
        <v>21</v>
      </c>
      <c r="F81" s="8" t="s">
        <v>22</v>
      </c>
      <c r="G81" s="9">
        <v>45108</v>
      </c>
      <c r="H81" s="9">
        <v>46114</v>
      </c>
      <c r="I81" s="8" t="s">
        <v>4</v>
      </c>
      <c r="J81" s="8" t="s">
        <v>204</v>
      </c>
      <c r="K81" s="10">
        <v>18.12</v>
      </c>
    </row>
    <row r="82" spans="1:11" x14ac:dyDescent="0.25">
      <c r="A82" s="8" t="s">
        <v>7</v>
      </c>
      <c r="C82" s="8">
        <v>18710070</v>
      </c>
      <c r="D82" s="8" t="s">
        <v>23</v>
      </c>
      <c r="E82" s="8" t="s">
        <v>24</v>
      </c>
      <c r="F82" s="8" t="s">
        <v>25</v>
      </c>
      <c r="G82" s="9">
        <v>45566</v>
      </c>
      <c r="H82" s="9">
        <v>46114</v>
      </c>
      <c r="I82" s="8" t="s">
        <v>4</v>
      </c>
      <c r="J82" s="8" t="s">
        <v>204</v>
      </c>
      <c r="K82" s="10">
        <v>18.12</v>
      </c>
    </row>
    <row r="83" spans="1:11" x14ac:dyDescent="0.25">
      <c r="A83" s="8" t="s">
        <v>7</v>
      </c>
      <c r="C83" s="8">
        <v>18710070</v>
      </c>
      <c r="D83" s="8" t="s">
        <v>26</v>
      </c>
      <c r="E83" s="8" t="s">
        <v>27</v>
      </c>
      <c r="F83" s="8" t="s">
        <v>28</v>
      </c>
      <c r="G83" s="9">
        <v>45566</v>
      </c>
      <c r="H83" s="9">
        <v>46114</v>
      </c>
      <c r="I83" s="8" t="s">
        <v>4</v>
      </c>
      <c r="J83" s="8" t="s">
        <v>204</v>
      </c>
      <c r="K83" s="10">
        <v>18.12</v>
      </c>
    </row>
    <row r="84" spans="1:11" x14ac:dyDescent="0.25">
      <c r="A84" s="8" t="s">
        <v>7</v>
      </c>
      <c r="C84" s="8">
        <v>18710070</v>
      </c>
      <c r="D84" s="8" t="s">
        <v>20</v>
      </c>
      <c r="E84" s="8" t="s">
        <v>40</v>
      </c>
      <c r="F84" s="8" t="s">
        <v>41</v>
      </c>
      <c r="G84" s="9">
        <v>45658</v>
      </c>
      <c r="H84" s="9">
        <v>46114</v>
      </c>
      <c r="I84" s="8" t="s">
        <v>4</v>
      </c>
      <c r="J84" s="8" t="s">
        <v>204</v>
      </c>
      <c r="K84" s="10">
        <v>18.12</v>
      </c>
    </row>
    <row r="85" spans="1:11" x14ac:dyDescent="0.25">
      <c r="A85" s="8" t="s">
        <v>7</v>
      </c>
      <c r="C85" s="8">
        <v>18710070</v>
      </c>
      <c r="D85" s="8" t="s">
        <v>42</v>
      </c>
      <c r="E85" s="8" t="s">
        <v>43</v>
      </c>
      <c r="F85" s="8" t="s">
        <v>44</v>
      </c>
      <c r="G85" s="9">
        <v>45658</v>
      </c>
      <c r="H85" s="9">
        <v>46114</v>
      </c>
      <c r="I85" s="8" t="s">
        <v>4</v>
      </c>
      <c r="J85" s="8" t="s">
        <v>204</v>
      </c>
      <c r="K85" s="10">
        <v>18.12</v>
      </c>
    </row>
    <row r="86" spans="1:11" x14ac:dyDescent="0.25">
      <c r="A86" s="8" t="s">
        <v>7</v>
      </c>
      <c r="C86" s="8">
        <v>18710070</v>
      </c>
      <c r="D86" s="8" t="s">
        <v>29</v>
      </c>
      <c r="E86" s="8" t="s">
        <v>30</v>
      </c>
      <c r="F86" s="8" t="s">
        <v>31</v>
      </c>
      <c r="G86" s="9">
        <v>45658</v>
      </c>
      <c r="H86" s="9">
        <v>46114</v>
      </c>
      <c r="I86" s="8" t="s">
        <v>4</v>
      </c>
      <c r="J86" s="8" t="s">
        <v>204</v>
      </c>
      <c r="K86" s="10">
        <v>18.12</v>
      </c>
    </row>
    <row r="87" spans="1:11" x14ac:dyDescent="0.25">
      <c r="A87" s="8" t="s">
        <v>7</v>
      </c>
      <c r="C87" s="8">
        <v>18710070</v>
      </c>
      <c r="D87" s="8" t="s">
        <v>45</v>
      </c>
      <c r="E87" s="8" t="s">
        <v>46</v>
      </c>
      <c r="F87" s="8" t="s">
        <v>47</v>
      </c>
      <c r="G87" s="9">
        <v>45658</v>
      </c>
      <c r="H87" s="9">
        <v>46114</v>
      </c>
      <c r="I87" s="8" t="s">
        <v>4</v>
      </c>
      <c r="J87" s="8" t="s">
        <v>204</v>
      </c>
      <c r="K87" s="10">
        <v>18.12</v>
      </c>
    </row>
    <row r="88" spans="1:11" x14ac:dyDescent="0.25">
      <c r="A88" s="8" t="s">
        <v>7</v>
      </c>
      <c r="C88" s="8">
        <v>18710070</v>
      </c>
      <c r="D88" s="8" t="s">
        <v>32</v>
      </c>
      <c r="E88" s="8" t="s">
        <v>33</v>
      </c>
      <c r="F88" s="8" t="s">
        <v>34</v>
      </c>
      <c r="G88" s="9">
        <v>45658</v>
      </c>
      <c r="H88" s="9">
        <v>46114</v>
      </c>
      <c r="I88" s="8" t="s">
        <v>4</v>
      </c>
      <c r="J88" s="8" t="s">
        <v>204</v>
      </c>
      <c r="K88" s="10">
        <v>18.12</v>
      </c>
    </row>
    <row r="89" spans="1:11" x14ac:dyDescent="0.25">
      <c r="A89" s="8" t="s">
        <v>7</v>
      </c>
      <c r="C89" s="8">
        <v>18710070</v>
      </c>
      <c r="D89" s="8" t="s">
        <v>35</v>
      </c>
      <c r="E89" s="8" t="s">
        <v>33</v>
      </c>
      <c r="F89" s="8" t="s">
        <v>36</v>
      </c>
      <c r="G89" s="9">
        <v>45658</v>
      </c>
      <c r="H89" s="9">
        <v>46114</v>
      </c>
      <c r="I89" s="8" t="s">
        <v>4</v>
      </c>
      <c r="J89" s="8" t="s">
        <v>204</v>
      </c>
      <c r="K89" s="10">
        <v>18.12</v>
      </c>
    </row>
    <row r="90" spans="1:11" x14ac:dyDescent="0.25">
      <c r="A90" s="8" t="s">
        <v>7</v>
      </c>
      <c r="C90" s="8">
        <v>18710070</v>
      </c>
      <c r="D90" s="8" t="s">
        <v>48</v>
      </c>
      <c r="E90" s="8" t="s">
        <v>49</v>
      </c>
      <c r="F90" s="8" t="s">
        <v>50</v>
      </c>
      <c r="G90" s="9">
        <v>45658</v>
      </c>
      <c r="H90" s="9">
        <v>46114</v>
      </c>
      <c r="I90" s="8" t="s">
        <v>4</v>
      </c>
      <c r="J90" s="8" t="s">
        <v>204</v>
      </c>
      <c r="K90" s="10">
        <v>18.12</v>
      </c>
    </row>
    <row r="91" spans="1:11" x14ac:dyDescent="0.25">
      <c r="A91" s="8" t="s">
        <v>7</v>
      </c>
      <c r="C91" s="8">
        <v>18710070</v>
      </c>
      <c r="D91" s="8" t="s">
        <v>51</v>
      </c>
      <c r="E91" s="8" t="s">
        <v>52</v>
      </c>
      <c r="F91" s="8" t="s">
        <v>53</v>
      </c>
      <c r="G91" s="9">
        <v>45689</v>
      </c>
      <c r="H91" s="9">
        <v>46114</v>
      </c>
      <c r="I91" s="8" t="s">
        <v>4</v>
      </c>
      <c r="J91" s="8" t="s">
        <v>204</v>
      </c>
      <c r="K91" s="10">
        <v>18.12</v>
      </c>
    </row>
    <row r="92" spans="1:11" x14ac:dyDescent="0.25">
      <c r="A92" s="8" t="s">
        <v>7</v>
      </c>
      <c r="C92" s="8">
        <v>18710070</v>
      </c>
      <c r="D92" s="8" t="s">
        <v>54</v>
      </c>
      <c r="E92" s="8" t="s">
        <v>55</v>
      </c>
      <c r="F92" s="8" t="s">
        <v>56</v>
      </c>
      <c r="G92" s="9">
        <v>45748</v>
      </c>
      <c r="H92" s="9">
        <v>46114</v>
      </c>
      <c r="I92" s="8" t="s">
        <v>4</v>
      </c>
      <c r="J92" s="8" t="s">
        <v>204</v>
      </c>
      <c r="K92" s="10">
        <v>18.12</v>
      </c>
    </row>
    <row r="93" spans="1:11" x14ac:dyDescent="0.25">
      <c r="A93" s="8" t="s">
        <v>7</v>
      </c>
      <c r="C93" s="8">
        <v>18710070</v>
      </c>
      <c r="D93" s="8" t="s">
        <v>57</v>
      </c>
      <c r="E93" s="8" t="s">
        <v>58</v>
      </c>
      <c r="F93" s="8" t="s">
        <v>59</v>
      </c>
      <c r="G93" s="9">
        <v>45778</v>
      </c>
      <c r="H93" s="9">
        <v>46114</v>
      </c>
      <c r="I93" s="8" t="s">
        <v>4</v>
      </c>
      <c r="J93" s="8" t="s">
        <v>204</v>
      </c>
      <c r="K93" s="10">
        <v>18.12</v>
      </c>
    </row>
    <row r="94" spans="1:11" x14ac:dyDescent="0.25">
      <c r="A94" s="8" t="s">
        <v>7</v>
      </c>
      <c r="C94" s="8">
        <v>18710070</v>
      </c>
      <c r="D94" s="8" t="s">
        <v>60</v>
      </c>
      <c r="E94" s="8" t="s">
        <v>61</v>
      </c>
      <c r="F94" s="8" t="s">
        <v>62</v>
      </c>
      <c r="G94" s="9">
        <v>45809</v>
      </c>
      <c r="H94" s="9">
        <v>46114</v>
      </c>
      <c r="I94" s="8" t="s">
        <v>4</v>
      </c>
      <c r="J94" s="8" t="s">
        <v>204</v>
      </c>
      <c r="K94" s="10">
        <v>18.12</v>
      </c>
    </row>
    <row r="95" spans="1:11" x14ac:dyDescent="0.25">
      <c r="A95" s="8" t="s">
        <v>7</v>
      </c>
      <c r="C95" s="8">
        <v>18710070</v>
      </c>
      <c r="D95" s="8" t="s">
        <v>45</v>
      </c>
      <c r="E95" s="8" t="s">
        <v>63</v>
      </c>
      <c r="F95" s="8" t="s">
        <v>64</v>
      </c>
      <c r="G95" s="9">
        <v>45839</v>
      </c>
      <c r="H95" s="9">
        <v>46114</v>
      </c>
      <c r="I95" s="8" t="s">
        <v>4</v>
      </c>
      <c r="J95" s="8" t="s">
        <v>204</v>
      </c>
      <c r="K95" s="10">
        <v>18.12</v>
      </c>
    </row>
    <row r="96" spans="1:11" x14ac:dyDescent="0.25">
      <c r="A96" s="8" t="s">
        <v>7</v>
      </c>
      <c r="C96" s="8">
        <v>18710070</v>
      </c>
      <c r="D96" s="8" t="s">
        <v>65</v>
      </c>
      <c r="E96" s="8" t="s">
        <v>66</v>
      </c>
      <c r="F96" s="8" t="s">
        <v>67</v>
      </c>
      <c r="G96" s="9">
        <v>45839</v>
      </c>
      <c r="H96" s="9">
        <v>46114</v>
      </c>
      <c r="I96" s="8" t="s">
        <v>4</v>
      </c>
      <c r="J96" s="8" t="s">
        <v>204</v>
      </c>
      <c r="K96" s="10">
        <v>18.12</v>
      </c>
    </row>
    <row r="97" spans="1:11" x14ac:dyDescent="0.25">
      <c r="A97" s="8" t="s">
        <v>7</v>
      </c>
      <c r="C97" s="8">
        <v>18710070</v>
      </c>
      <c r="D97" s="8" t="s">
        <v>68</v>
      </c>
      <c r="E97" s="8" t="s">
        <v>69</v>
      </c>
      <c r="F97" s="8" t="s">
        <v>70</v>
      </c>
      <c r="G97" s="9">
        <v>45931</v>
      </c>
      <c r="H97" s="9">
        <v>46114</v>
      </c>
      <c r="I97" s="8" t="s">
        <v>4</v>
      </c>
      <c r="J97" s="8" t="s">
        <v>204</v>
      </c>
      <c r="K97" s="10">
        <v>27.18</v>
      </c>
    </row>
    <row r="98" spans="1:11" x14ac:dyDescent="0.25">
      <c r="A98" s="8" t="s">
        <v>7</v>
      </c>
      <c r="C98" s="8">
        <v>18710070</v>
      </c>
      <c r="D98" s="8" t="s">
        <v>71</v>
      </c>
      <c r="E98" s="8" t="s">
        <v>72</v>
      </c>
      <c r="F98" s="8" t="s">
        <v>73</v>
      </c>
      <c r="G98" s="9">
        <v>45931</v>
      </c>
      <c r="H98" s="9">
        <v>46114</v>
      </c>
      <c r="I98" s="8" t="s">
        <v>4</v>
      </c>
      <c r="J98" s="8" t="s">
        <v>204</v>
      </c>
      <c r="K98" s="10">
        <v>27.18</v>
      </c>
    </row>
    <row r="99" spans="1:11" x14ac:dyDescent="0.25">
      <c r="A99" s="8" t="s">
        <v>7</v>
      </c>
      <c r="C99" s="8">
        <v>18710070</v>
      </c>
      <c r="D99" s="8" t="s">
        <v>8</v>
      </c>
      <c r="E99" s="8" t="s">
        <v>49</v>
      </c>
      <c r="F99" s="8" t="s">
        <v>74</v>
      </c>
      <c r="G99" s="9">
        <v>45931</v>
      </c>
      <c r="H99" s="9">
        <v>46114</v>
      </c>
      <c r="I99" s="8" t="s">
        <v>4</v>
      </c>
      <c r="J99" s="8" t="s">
        <v>204</v>
      </c>
      <c r="K99" s="10">
        <v>27.18</v>
      </c>
    </row>
    <row r="100" spans="1:11" x14ac:dyDescent="0.25">
      <c r="A100" s="8" t="s">
        <v>7</v>
      </c>
      <c r="C100" s="8">
        <v>18710070</v>
      </c>
      <c r="D100" s="8" t="s">
        <v>75</v>
      </c>
      <c r="E100" s="8" t="s">
        <v>76</v>
      </c>
      <c r="F100" s="8" t="s">
        <v>77</v>
      </c>
      <c r="G100" s="9">
        <v>45962</v>
      </c>
      <c r="H100" s="9">
        <v>46114</v>
      </c>
      <c r="I100" s="8" t="s">
        <v>4</v>
      </c>
      <c r="J100" s="8" t="s">
        <v>204</v>
      </c>
      <c r="K100" s="10">
        <v>27.18</v>
      </c>
    </row>
    <row r="101" spans="1:11" x14ac:dyDescent="0.25">
      <c r="A101" s="8" t="s">
        <v>197</v>
      </c>
      <c r="C101" s="8">
        <v>17886092</v>
      </c>
      <c r="D101" s="8" t="s">
        <v>205</v>
      </c>
      <c r="E101" s="8" t="s">
        <v>206</v>
      </c>
      <c r="F101" s="8" t="s">
        <v>207</v>
      </c>
      <c r="G101" s="9">
        <v>46143</v>
      </c>
      <c r="H101" s="9">
        <v>46114</v>
      </c>
      <c r="I101" s="8" t="s">
        <v>4</v>
      </c>
      <c r="J101" s="8" t="s">
        <v>208</v>
      </c>
      <c r="K101" s="10">
        <v>41.67</v>
      </c>
    </row>
    <row r="102" spans="1:11" x14ac:dyDescent="0.25">
      <c r="A102" s="8" t="s">
        <v>192</v>
      </c>
      <c r="C102" s="8">
        <v>20253958</v>
      </c>
      <c r="D102" s="8" t="s">
        <v>209</v>
      </c>
      <c r="E102" s="8" t="s">
        <v>210</v>
      </c>
      <c r="F102" s="8" t="s">
        <v>211</v>
      </c>
      <c r="G102" s="9">
        <v>46174</v>
      </c>
      <c r="H102" s="9">
        <v>46114</v>
      </c>
      <c r="I102" s="8" t="s">
        <v>4</v>
      </c>
      <c r="J102" s="8" t="s">
        <v>212</v>
      </c>
      <c r="K102" s="10">
        <v>42.29</v>
      </c>
    </row>
    <row r="103" spans="1:11" x14ac:dyDescent="0.25">
      <c r="A103" s="8" t="s">
        <v>192</v>
      </c>
      <c r="C103" s="8">
        <v>20253958</v>
      </c>
      <c r="D103" s="8" t="s">
        <v>213</v>
      </c>
      <c r="E103" s="8" t="s">
        <v>214</v>
      </c>
      <c r="F103" s="8" t="s">
        <v>215</v>
      </c>
      <c r="G103" s="9">
        <v>46174</v>
      </c>
      <c r="H103" s="9">
        <v>46114</v>
      </c>
      <c r="I103" s="8" t="s">
        <v>4</v>
      </c>
      <c r="J103" s="8" t="s">
        <v>212</v>
      </c>
      <c r="K103" s="10">
        <v>42.29</v>
      </c>
    </row>
    <row r="104" spans="1:11" x14ac:dyDescent="0.25">
      <c r="A104" s="8" t="s">
        <v>197</v>
      </c>
      <c r="C104" s="8">
        <v>17886092</v>
      </c>
      <c r="D104" s="8" t="s">
        <v>216</v>
      </c>
      <c r="E104" s="8" t="s">
        <v>217</v>
      </c>
      <c r="F104" s="8" t="s">
        <v>218</v>
      </c>
      <c r="G104" s="9">
        <v>46113</v>
      </c>
      <c r="H104" s="9">
        <v>46114</v>
      </c>
      <c r="I104" s="8" t="s">
        <v>4</v>
      </c>
      <c r="J104" s="8" t="s">
        <v>219</v>
      </c>
      <c r="K104" s="10">
        <v>46.88</v>
      </c>
    </row>
    <row r="105" spans="1:11" x14ac:dyDescent="0.25">
      <c r="A105" s="8" t="s">
        <v>197</v>
      </c>
      <c r="C105" s="8">
        <v>17886092</v>
      </c>
      <c r="D105" s="8" t="s">
        <v>220</v>
      </c>
      <c r="E105" s="8" t="s">
        <v>221</v>
      </c>
      <c r="F105" s="8" t="s">
        <v>222</v>
      </c>
      <c r="G105" s="9">
        <v>46143</v>
      </c>
      <c r="H105" s="9">
        <v>46114</v>
      </c>
      <c r="I105" s="8" t="s">
        <v>4</v>
      </c>
      <c r="J105" s="8" t="s">
        <v>223</v>
      </c>
      <c r="K105" s="10">
        <v>48.34</v>
      </c>
    </row>
    <row r="106" spans="1:11" x14ac:dyDescent="0.25">
      <c r="A106" s="8" t="s">
        <v>192</v>
      </c>
      <c r="C106" s="8">
        <v>20253958</v>
      </c>
      <c r="D106" s="8" t="s">
        <v>224</v>
      </c>
      <c r="E106" s="8" t="s">
        <v>38</v>
      </c>
      <c r="F106" s="8" t="s">
        <v>225</v>
      </c>
      <c r="G106" s="9">
        <v>46143</v>
      </c>
      <c r="H106" s="9">
        <v>46114</v>
      </c>
      <c r="I106" s="8" t="s">
        <v>4</v>
      </c>
      <c r="J106" s="8" t="s">
        <v>223</v>
      </c>
      <c r="K106" s="10">
        <v>48.34</v>
      </c>
    </row>
    <row r="107" spans="1:11" x14ac:dyDescent="0.25">
      <c r="A107" s="8" t="s">
        <v>7</v>
      </c>
      <c r="C107" s="8">
        <v>18710070</v>
      </c>
      <c r="D107" s="8" t="s">
        <v>78</v>
      </c>
      <c r="E107" s="8" t="s">
        <v>79</v>
      </c>
      <c r="F107" s="8" t="s">
        <v>80</v>
      </c>
      <c r="G107" s="9">
        <v>46113</v>
      </c>
      <c r="H107" s="9">
        <v>46114</v>
      </c>
      <c r="I107" s="8" t="s">
        <v>4</v>
      </c>
      <c r="J107" s="8" t="s">
        <v>226</v>
      </c>
      <c r="K107" s="10">
        <v>81.56</v>
      </c>
    </row>
    <row r="108" spans="1:11" x14ac:dyDescent="0.25">
      <c r="A108" s="8" t="s">
        <v>192</v>
      </c>
      <c r="C108" s="8">
        <v>20253958</v>
      </c>
      <c r="D108" s="8" t="s">
        <v>182</v>
      </c>
      <c r="E108" s="8" t="s">
        <v>227</v>
      </c>
      <c r="F108" s="8" t="s">
        <v>228</v>
      </c>
      <c r="G108" s="9">
        <v>46113</v>
      </c>
      <c r="H108" s="9">
        <v>46114</v>
      </c>
      <c r="I108" s="8" t="s">
        <v>4</v>
      </c>
      <c r="J108" s="8" t="s">
        <v>226</v>
      </c>
      <c r="K108" s="10">
        <v>54.38</v>
      </c>
    </row>
    <row r="109" spans="1:11" x14ac:dyDescent="0.25">
      <c r="A109" s="8" t="s">
        <v>192</v>
      </c>
      <c r="C109" s="8">
        <v>20253958</v>
      </c>
      <c r="D109" s="8" t="s">
        <v>229</v>
      </c>
      <c r="E109" s="8" t="s">
        <v>230</v>
      </c>
      <c r="F109" s="8" t="s">
        <v>231</v>
      </c>
      <c r="G109" s="9">
        <v>46113</v>
      </c>
      <c r="H109" s="9">
        <v>46114</v>
      </c>
      <c r="I109" s="8" t="s">
        <v>4</v>
      </c>
      <c r="J109" s="8" t="s">
        <v>226</v>
      </c>
      <c r="K109" s="10">
        <v>54.38</v>
      </c>
    </row>
    <row r="110" spans="1:11" x14ac:dyDescent="0.25">
      <c r="A110" s="8" t="s">
        <v>197</v>
      </c>
      <c r="C110" s="8">
        <v>17886092</v>
      </c>
      <c r="D110" s="8" t="s">
        <v>26</v>
      </c>
      <c r="E110" s="8" t="s">
        <v>232</v>
      </c>
      <c r="F110" s="8" t="s">
        <v>233</v>
      </c>
      <c r="G110" s="9">
        <v>46113</v>
      </c>
      <c r="H110" s="9">
        <v>46114</v>
      </c>
      <c r="I110" s="8" t="s">
        <v>4</v>
      </c>
      <c r="J110" s="8" t="s">
        <v>226</v>
      </c>
      <c r="K110" s="10">
        <v>54.38</v>
      </c>
    </row>
    <row r="111" spans="1:11" x14ac:dyDescent="0.25">
      <c r="A111" s="8" t="s">
        <v>192</v>
      </c>
      <c r="C111" s="8">
        <v>20253958</v>
      </c>
      <c r="D111" s="8" t="s">
        <v>234</v>
      </c>
      <c r="E111" s="8" t="s">
        <v>235</v>
      </c>
      <c r="F111" s="8" t="s">
        <v>236</v>
      </c>
      <c r="G111" s="9">
        <v>46113</v>
      </c>
      <c r="H111" s="9">
        <v>46114</v>
      </c>
      <c r="I111" s="8" t="s">
        <v>4</v>
      </c>
      <c r="J111" s="8" t="s">
        <v>226</v>
      </c>
      <c r="K111" s="10">
        <v>54.38</v>
      </c>
    </row>
    <row r="112" spans="1:11" x14ac:dyDescent="0.25">
      <c r="A112" s="8" t="s">
        <v>197</v>
      </c>
      <c r="C112" s="8">
        <v>17886092</v>
      </c>
      <c r="D112" s="8" t="s">
        <v>237</v>
      </c>
      <c r="E112" s="8" t="s">
        <v>238</v>
      </c>
      <c r="F112" s="8" t="s">
        <v>239</v>
      </c>
      <c r="G112" s="9">
        <v>46113</v>
      </c>
      <c r="H112" s="9">
        <v>46114</v>
      </c>
      <c r="I112" s="8" t="s">
        <v>4</v>
      </c>
      <c r="J112" s="8" t="s">
        <v>226</v>
      </c>
      <c r="K112" s="10">
        <v>54.38</v>
      </c>
    </row>
    <row r="113" spans="1:11" x14ac:dyDescent="0.25">
      <c r="A113" s="8" t="s">
        <v>0</v>
      </c>
      <c r="C113" s="8">
        <v>17528908</v>
      </c>
      <c r="D113" s="8" t="s">
        <v>82</v>
      </c>
      <c r="E113" s="8" t="s">
        <v>83</v>
      </c>
      <c r="F113" s="8" t="s">
        <v>84</v>
      </c>
      <c r="G113" s="9">
        <v>46113</v>
      </c>
      <c r="H113" s="9">
        <v>46114</v>
      </c>
      <c r="I113" s="8" t="s">
        <v>4</v>
      </c>
      <c r="J113" s="8" t="s">
        <v>226</v>
      </c>
      <c r="K113" s="10">
        <v>81.56</v>
      </c>
    </row>
    <row r="114" spans="1:11" x14ac:dyDescent="0.25">
      <c r="A114" s="8" t="s">
        <v>197</v>
      </c>
      <c r="C114" s="8">
        <v>17886092</v>
      </c>
      <c r="D114" s="8" t="s">
        <v>173</v>
      </c>
      <c r="E114" s="8" t="s">
        <v>240</v>
      </c>
      <c r="F114" s="8" t="s">
        <v>241</v>
      </c>
      <c r="G114" s="9">
        <v>46113</v>
      </c>
      <c r="H114" s="9">
        <v>46114</v>
      </c>
      <c r="I114" s="8" t="s">
        <v>4</v>
      </c>
      <c r="J114" s="8" t="s">
        <v>226</v>
      </c>
      <c r="K114" s="10">
        <v>54.38</v>
      </c>
    </row>
    <row r="115" spans="1:11" x14ac:dyDescent="0.25">
      <c r="A115" s="8" t="s">
        <v>0</v>
      </c>
      <c r="C115" s="8">
        <v>17528908</v>
      </c>
      <c r="D115" s="8" t="s">
        <v>100</v>
      </c>
      <c r="E115" s="8" t="s">
        <v>177</v>
      </c>
      <c r="F115" s="8" t="s">
        <v>178</v>
      </c>
      <c r="G115" s="9">
        <v>46054</v>
      </c>
      <c r="H115" s="9">
        <v>46114</v>
      </c>
      <c r="I115" s="8" t="s">
        <v>4</v>
      </c>
      <c r="J115" s="8" t="s">
        <v>242</v>
      </c>
      <c r="K115" s="10">
        <v>85.93</v>
      </c>
    </row>
    <row r="116" spans="1:11" x14ac:dyDescent="0.25">
      <c r="A116" s="8" t="s">
        <v>197</v>
      </c>
      <c r="C116" s="8">
        <v>17886092</v>
      </c>
      <c r="D116" s="8" t="s">
        <v>243</v>
      </c>
      <c r="E116" s="8" t="s">
        <v>244</v>
      </c>
      <c r="F116" s="8" t="s">
        <v>245</v>
      </c>
      <c r="G116" s="9">
        <v>46054</v>
      </c>
      <c r="H116" s="9">
        <v>46114</v>
      </c>
      <c r="I116" s="8" t="s">
        <v>4</v>
      </c>
      <c r="J116" s="8" t="s">
        <v>246</v>
      </c>
      <c r="K116" s="10">
        <v>66.459999999999994</v>
      </c>
    </row>
    <row r="117" spans="1:11" x14ac:dyDescent="0.25">
      <c r="A117" s="8" t="s">
        <v>7</v>
      </c>
      <c r="C117" s="8">
        <v>18710070</v>
      </c>
      <c r="D117" s="8" t="s">
        <v>85</v>
      </c>
      <c r="E117" s="8" t="s">
        <v>86</v>
      </c>
      <c r="F117" s="8" t="s">
        <v>87</v>
      </c>
      <c r="G117" s="9">
        <v>44562</v>
      </c>
      <c r="H117" s="9">
        <v>46114</v>
      </c>
      <c r="I117" s="8" t="s">
        <v>4</v>
      </c>
      <c r="J117" s="8" t="s">
        <v>247</v>
      </c>
      <c r="K117" s="10">
        <v>72.5</v>
      </c>
    </row>
    <row r="118" spans="1:11" x14ac:dyDescent="0.25">
      <c r="A118" s="8" t="s">
        <v>7</v>
      </c>
      <c r="C118" s="8">
        <v>18710070</v>
      </c>
      <c r="D118" s="8" t="s">
        <v>89</v>
      </c>
      <c r="E118" s="8" t="s">
        <v>90</v>
      </c>
      <c r="F118" s="8" t="s">
        <v>91</v>
      </c>
      <c r="G118" s="9">
        <v>44866</v>
      </c>
      <c r="H118" s="9">
        <v>46114</v>
      </c>
      <c r="I118" s="8" t="s">
        <v>4</v>
      </c>
      <c r="J118" s="8" t="s">
        <v>247</v>
      </c>
      <c r="K118" s="10">
        <v>72.5</v>
      </c>
    </row>
    <row r="119" spans="1:11" x14ac:dyDescent="0.25">
      <c r="A119" s="8" t="s">
        <v>7</v>
      </c>
      <c r="C119" s="8">
        <v>18710070</v>
      </c>
      <c r="D119" s="8" t="s">
        <v>18</v>
      </c>
      <c r="E119" s="8" t="s">
        <v>92</v>
      </c>
      <c r="F119" s="8" t="s">
        <v>93</v>
      </c>
      <c r="G119" s="9">
        <v>45078</v>
      </c>
      <c r="H119" s="9">
        <v>46114</v>
      </c>
      <c r="I119" s="8" t="s">
        <v>4</v>
      </c>
      <c r="J119" s="8" t="s">
        <v>247</v>
      </c>
      <c r="K119" s="10">
        <v>72.5</v>
      </c>
    </row>
    <row r="120" spans="1:11" x14ac:dyDescent="0.25">
      <c r="A120" s="8" t="s">
        <v>7</v>
      </c>
      <c r="C120" s="8">
        <v>18710070</v>
      </c>
      <c r="D120" s="8" t="s">
        <v>94</v>
      </c>
      <c r="E120" s="8" t="s">
        <v>95</v>
      </c>
      <c r="F120" s="8" t="s">
        <v>96</v>
      </c>
      <c r="G120" s="9">
        <v>45292</v>
      </c>
      <c r="H120" s="9">
        <v>46114</v>
      </c>
      <c r="I120" s="8" t="s">
        <v>4</v>
      </c>
      <c r="J120" s="8" t="s">
        <v>247</v>
      </c>
      <c r="K120" s="10">
        <v>72.5</v>
      </c>
    </row>
    <row r="121" spans="1:11" x14ac:dyDescent="0.25">
      <c r="A121" s="8" t="s">
        <v>7</v>
      </c>
      <c r="C121" s="8">
        <v>18710070</v>
      </c>
      <c r="D121" s="8" t="s">
        <v>100</v>
      </c>
      <c r="E121" s="8" t="s">
        <v>101</v>
      </c>
      <c r="F121" s="8" t="s">
        <v>102</v>
      </c>
      <c r="G121" s="9">
        <v>45292</v>
      </c>
      <c r="H121" s="9">
        <v>46114</v>
      </c>
      <c r="I121" s="8" t="s">
        <v>4</v>
      </c>
      <c r="J121" s="8" t="s">
        <v>247</v>
      </c>
      <c r="K121" s="10">
        <v>72.5</v>
      </c>
    </row>
    <row r="122" spans="1:11" x14ac:dyDescent="0.25">
      <c r="A122" s="8" t="s">
        <v>7</v>
      </c>
      <c r="C122" s="8">
        <v>18710070</v>
      </c>
      <c r="D122" s="8" t="s">
        <v>97</v>
      </c>
      <c r="E122" s="8" t="s">
        <v>98</v>
      </c>
      <c r="F122" s="8" t="s">
        <v>99</v>
      </c>
      <c r="G122" s="9">
        <v>45292</v>
      </c>
      <c r="H122" s="9">
        <v>46114</v>
      </c>
      <c r="I122" s="8" t="s">
        <v>4</v>
      </c>
      <c r="J122" s="8" t="s">
        <v>247</v>
      </c>
      <c r="K122" s="10">
        <v>72.5</v>
      </c>
    </row>
    <row r="123" spans="1:11" x14ac:dyDescent="0.25">
      <c r="A123" s="8" t="s">
        <v>7</v>
      </c>
      <c r="C123" s="8">
        <v>18710070</v>
      </c>
      <c r="D123" s="8" t="s">
        <v>109</v>
      </c>
      <c r="E123" s="8" t="s">
        <v>101</v>
      </c>
      <c r="F123" s="8" t="s">
        <v>110</v>
      </c>
      <c r="G123" s="9">
        <v>45658</v>
      </c>
      <c r="H123" s="9">
        <v>46114</v>
      </c>
      <c r="I123" s="8" t="s">
        <v>4</v>
      </c>
      <c r="J123" s="8" t="s">
        <v>247</v>
      </c>
      <c r="K123" s="10">
        <v>72.5</v>
      </c>
    </row>
    <row r="124" spans="1:11" x14ac:dyDescent="0.25">
      <c r="A124" s="8" t="s">
        <v>7</v>
      </c>
      <c r="C124" s="8">
        <v>18710070</v>
      </c>
      <c r="D124" s="8" t="s">
        <v>103</v>
      </c>
      <c r="E124" s="8" t="s">
        <v>104</v>
      </c>
      <c r="F124" s="8" t="s">
        <v>105</v>
      </c>
      <c r="G124" s="9">
        <v>45658</v>
      </c>
      <c r="H124" s="9">
        <v>46114</v>
      </c>
      <c r="I124" s="8" t="s">
        <v>4</v>
      </c>
      <c r="J124" s="8" t="s">
        <v>247</v>
      </c>
      <c r="K124" s="10">
        <v>72.5</v>
      </c>
    </row>
    <row r="125" spans="1:11" x14ac:dyDescent="0.25">
      <c r="A125" s="8" t="s">
        <v>7</v>
      </c>
      <c r="C125" s="8">
        <v>18710070</v>
      </c>
      <c r="D125" s="8" t="s">
        <v>106</v>
      </c>
      <c r="E125" s="8" t="s">
        <v>107</v>
      </c>
      <c r="F125" s="8" t="s">
        <v>108</v>
      </c>
      <c r="G125" s="9">
        <v>45658</v>
      </c>
      <c r="H125" s="9">
        <v>46114</v>
      </c>
      <c r="I125" s="8" t="s">
        <v>4</v>
      </c>
      <c r="J125" s="8" t="s">
        <v>247</v>
      </c>
      <c r="K125" s="10">
        <v>72.5</v>
      </c>
    </row>
    <row r="126" spans="1:11" x14ac:dyDescent="0.25">
      <c r="A126" s="8" t="s">
        <v>7</v>
      </c>
      <c r="C126" s="8">
        <v>18710070</v>
      </c>
      <c r="D126" s="8" t="s">
        <v>111</v>
      </c>
      <c r="E126" s="8" t="s">
        <v>112</v>
      </c>
      <c r="F126" s="8" t="s">
        <v>113</v>
      </c>
      <c r="G126" s="9">
        <v>45839</v>
      </c>
      <c r="H126" s="9">
        <v>46114</v>
      </c>
      <c r="I126" s="8" t="s">
        <v>4</v>
      </c>
      <c r="J126" s="8" t="s">
        <v>247</v>
      </c>
      <c r="K126" s="10">
        <v>72.5</v>
      </c>
    </row>
    <row r="127" spans="1:11" x14ac:dyDescent="0.25">
      <c r="A127" s="8" t="s">
        <v>7</v>
      </c>
      <c r="C127" s="8">
        <v>18710070</v>
      </c>
      <c r="D127" s="8" t="s">
        <v>109</v>
      </c>
      <c r="E127" s="8" t="s">
        <v>49</v>
      </c>
      <c r="F127" s="8" t="s">
        <v>114</v>
      </c>
      <c r="G127" s="9">
        <v>45962</v>
      </c>
      <c r="H127" s="9">
        <v>46114</v>
      </c>
      <c r="I127" s="8" t="s">
        <v>4</v>
      </c>
      <c r="J127" s="8" t="s">
        <v>247</v>
      </c>
      <c r="K127" s="10">
        <v>108.75</v>
      </c>
    </row>
    <row r="128" spans="1:11" x14ac:dyDescent="0.25">
      <c r="A128" s="8" t="s">
        <v>7</v>
      </c>
      <c r="C128" s="8">
        <v>18710070</v>
      </c>
      <c r="D128" s="8" t="s">
        <v>115</v>
      </c>
      <c r="E128" s="8" t="s">
        <v>116</v>
      </c>
      <c r="F128" s="8" t="s">
        <v>117</v>
      </c>
      <c r="G128" s="9">
        <v>45992</v>
      </c>
      <c r="H128" s="9">
        <v>46114</v>
      </c>
      <c r="I128" s="8" t="s">
        <v>4</v>
      </c>
      <c r="J128" s="8" t="s">
        <v>247</v>
      </c>
      <c r="K128" s="10">
        <v>108.75</v>
      </c>
    </row>
    <row r="129" spans="1:11" x14ac:dyDescent="0.25">
      <c r="A129" s="8" t="s">
        <v>7</v>
      </c>
      <c r="C129" s="8">
        <v>18710070</v>
      </c>
      <c r="D129" s="8" t="s">
        <v>118</v>
      </c>
      <c r="E129" s="8" t="s">
        <v>119</v>
      </c>
      <c r="F129" s="8" t="s">
        <v>120</v>
      </c>
      <c r="G129" s="9">
        <v>46023</v>
      </c>
      <c r="H129" s="9">
        <v>46114</v>
      </c>
      <c r="I129" s="8" t="s">
        <v>4</v>
      </c>
      <c r="J129" s="8" t="s">
        <v>247</v>
      </c>
      <c r="K129" s="10">
        <v>108.75</v>
      </c>
    </row>
    <row r="130" spans="1:11" x14ac:dyDescent="0.25">
      <c r="A130" s="8" t="s">
        <v>7</v>
      </c>
      <c r="C130" s="8">
        <v>18710070</v>
      </c>
      <c r="D130" s="8" t="s">
        <v>8</v>
      </c>
      <c r="E130" s="8" t="s">
        <v>119</v>
      </c>
      <c r="F130" s="8" t="s">
        <v>121</v>
      </c>
      <c r="G130" s="9">
        <v>46023</v>
      </c>
      <c r="H130" s="9">
        <v>46114</v>
      </c>
      <c r="I130" s="8" t="s">
        <v>4</v>
      </c>
      <c r="J130" s="8" t="s">
        <v>247</v>
      </c>
      <c r="K130" s="10">
        <v>108.75</v>
      </c>
    </row>
    <row r="131" spans="1:11" x14ac:dyDescent="0.25">
      <c r="A131" s="8" t="s">
        <v>7</v>
      </c>
      <c r="C131" s="8">
        <v>18710070</v>
      </c>
      <c r="D131" s="8" t="s">
        <v>122</v>
      </c>
      <c r="E131" s="8" t="s">
        <v>123</v>
      </c>
      <c r="F131" s="8" t="s">
        <v>124</v>
      </c>
      <c r="G131" s="9">
        <v>46023</v>
      </c>
      <c r="H131" s="9">
        <v>46114</v>
      </c>
      <c r="I131" s="8" t="s">
        <v>4</v>
      </c>
      <c r="J131" s="8" t="s">
        <v>247</v>
      </c>
      <c r="K131" s="10">
        <v>108.75</v>
      </c>
    </row>
    <row r="132" spans="1:11" x14ac:dyDescent="0.25">
      <c r="A132" s="8" t="s">
        <v>7</v>
      </c>
      <c r="C132" s="8">
        <v>18710070</v>
      </c>
      <c r="D132" s="8" t="s">
        <v>125</v>
      </c>
      <c r="E132" s="8" t="s">
        <v>126</v>
      </c>
      <c r="F132" s="8" t="s">
        <v>127</v>
      </c>
      <c r="G132" s="9">
        <v>46023</v>
      </c>
      <c r="H132" s="9">
        <v>46114</v>
      </c>
      <c r="I132" s="8" t="s">
        <v>4</v>
      </c>
      <c r="J132" s="8" t="s">
        <v>247</v>
      </c>
      <c r="K132" s="10">
        <v>108.75</v>
      </c>
    </row>
    <row r="133" spans="1:11" x14ac:dyDescent="0.25">
      <c r="A133" s="8" t="s">
        <v>7</v>
      </c>
      <c r="C133" s="8">
        <v>18710070</v>
      </c>
      <c r="D133" s="8" t="s">
        <v>146</v>
      </c>
      <c r="E133" s="8" t="s">
        <v>147</v>
      </c>
      <c r="F133" s="8" t="s">
        <v>148</v>
      </c>
      <c r="G133" s="9">
        <v>46023</v>
      </c>
      <c r="H133" s="9">
        <v>46114</v>
      </c>
      <c r="I133" s="8" t="s">
        <v>4</v>
      </c>
      <c r="J133" s="8" t="s">
        <v>247</v>
      </c>
      <c r="K133" s="10">
        <v>108.75</v>
      </c>
    </row>
    <row r="134" spans="1:11" x14ac:dyDescent="0.25">
      <c r="A134" s="8" t="s">
        <v>7</v>
      </c>
      <c r="C134" s="8">
        <v>18710070</v>
      </c>
      <c r="D134" s="8" t="s">
        <v>128</v>
      </c>
      <c r="E134" s="8" t="s">
        <v>129</v>
      </c>
      <c r="F134" s="8" t="s">
        <v>130</v>
      </c>
      <c r="G134" s="9">
        <v>46023</v>
      </c>
      <c r="H134" s="9">
        <v>46114</v>
      </c>
      <c r="I134" s="8" t="s">
        <v>4</v>
      </c>
      <c r="J134" s="8" t="s">
        <v>247</v>
      </c>
      <c r="K134" s="10">
        <v>108.75</v>
      </c>
    </row>
    <row r="135" spans="1:11" x14ac:dyDescent="0.25">
      <c r="A135" s="8" t="s">
        <v>7</v>
      </c>
      <c r="C135" s="8">
        <v>18710070</v>
      </c>
      <c r="D135" s="8" t="s">
        <v>131</v>
      </c>
      <c r="E135" s="8" t="s">
        <v>132</v>
      </c>
      <c r="F135" s="8" t="s">
        <v>133</v>
      </c>
      <c r="G135" s="9">
        <v>46023</v>
      </c>
      <c r="H135" s="9">
        <v>46114</v>
      </c>
      <c r="I135" s="8" t="s">
        <v>4</v>
      </c>
      <c r="J135" s="8" t="s">
        <v>247</v>
      </c>
      <c r="K135" s="10">
        <v>108.75</v>
      </c>
    </row>
    <row r="136" spans="1:11" x14ac:dyDescent="0.25">
      <c r="A136" s="8" t="s">
        <v>7</v>
      </c>
      <c r="C136" s="8">
        <v>18710070</v>
      </c>
      <c r="D136" s="8" t="s">
        <v>144</v>
      </c>
      <c r="E136" s="8" t="s">
        <v>76</v>
      </c>
      <c r="F136" s="8" t="s">
        <v>145</v>
      </c>
      <c r="G136" s="9">
        <v>46023</v>
      </c>
      <c r="H136" s="9">
        <v>46114</v>
      </c>
      <c r="I136" s="8" t="s">
        <v>4</v>
      </c>
      <c r="J136" s="8" t="s">
        <v>247</v>
      </c>
      <c r="K136" s="10">
        <v>108.75</v>
      </c>
    </row>
    <row r="137" spans="1:11" x14ac:dyDescent="0.25">
      <c r="A137" s="8" t="s">
        <v>7</v>
      </c>
      <c r="C137" s="8">
        <v>18710070</v>
      </c>
      <c r="D137" s="8" t="s">
        <v>18</v>
      </c>
      <c r="E137" s="8" t="s">
        <v>159</v>
      </c>
      <c r="F137" s="8" t="s">
        <v>160</v>
      </c>
      <c r="G137" s="9">
        <v>46023</v>
      </c>
      <c r="H137" s="9">
        <v>46114</v>
      </c>
      <c r="I137" s="8" t="s">
        <v>4</v>
      </c>
      <c r="J137" s="8" t="s">
        <v>247</v>
      </c>
      <c r="K137" s="10">
        <v>108.75</v>
      </c>
    </row>
    <row r="138" spans="1:11" x14ac:dyDescent="0.25">
      <c r="A138" s="8" t="s">
        <v>7</v>
      </c>
      <c r="C138" s="8">
        <v>18710070</v>
      </c>
      <c r="D138" s="8" t="s">
        <v>149</v>
      </c>
      <c r="E138" s="8" t="s">
        <v>150</v>
      </c>
      <c r="F138" s="8" t="s">
        <v>151</v>
      </c>
      <c r="G138" s="9">
        <v>46023</v>
      </c>
      <c r="H138" s="9">
        <v>46114</v>
      </c>
      <c r="I138" s="8" t="s">
        <v>4</v>
      </c>
      <c r="J138" s="8" t="s">
        <v>247</v>
      </c>
      <c r="K138" s="10">
        <v>108.75</v>
      </c>
    </row>
    <row r="139" spans="1:11" x14ac:dyDescent="0.25">
      <c r="A139" s="8" t="s">
        <v>7</v>
      </c>
      <c r="C139" s="8">
        <v>18710070</v>
      </c>
      <c r="D139" s="8" t="s">
        <v>161</v>
      </c>
      <c r="E139" s="8" t="s">
        <v>162</v>
      </c>
      <c r="F139" s="8" t="s">
        <v>163</v>
      </c>
      <c r="G139" s="9">
        <v>46023</v>
      </c>
      <c r="H139" s="9">
        <v>46114</v>
      </c>
      <c r="I139" s="8" t="s">
        <v>4</v>
      </c>
      <c r="J139" s="8" t="s">
        <v>247</v>
      </c>
      <c r="K139" s="10">
        <v>108.75</v>
      </c>
    </row>
    <row r="140" spans="1:11" x14ac:dyDescent="0.25">
      <c r="A140" s="8" t="s">
        <v>7</v>
      </c>
      <c r="C140" s="8">
        <v>18710070</v>
      </c>
      <c r="D140" s="8" t="s">
        <v>1</v>
      </c>
      <c r="E140" s="8" t="s">
        <v>134</v>
      </c>
      <c r="F140" s="8" t="s">
        <v>135</v>
      </c>
      <c r="G140" s="9">
        <v>46023</v>
      </c>
      <c r="H140" s="9">
        <v>46114</v>
      </c>
      <c r="I140" s="8" t="s">
        <v>4</v>
      </c>
      <c r="J140" s="8" t="s">
        <v>247</v>
      </c>
      <c r="K140" s="10">
        <v>108.75</v>
      </c>
    </row>
    <row r="141" spans="1:11" x14ac:dyDescent="0.25">
      <c r="A141" s="8" t="s">
        <v>7</v>
      </c>
      <c r="C141" s="8">
        <v>18710070</v>
      </c>
      <c r="D141" s="8" t="s">
        <v>164</v>
      </c>
      <c r="E141" s="8" t="s">
        <v>165</v>
      </c>
      <c r="F141" s="8" t="s">
        <v>166</v>
      </c>
      <c r="G141" s="9">
        <v>46023</v>
      </c>
      <c r="H141" s="9">
        <v>46114</v>
      </c>
      <c r="I141" s="8" t="s">
        <v>4</v>
      </c>
      <c r="J141" s="8" t="s">
        <v>247</v>
      </c>
      <c r="K141" s="10">
        <v>108.75</v>
      </c>
    </row>
    <row r="142" spans="1:11" x14ac:dyDescent="0.25">
      <c r="A142" s="8" t="s">
        <v>7</v>
      </c>
      <c r="C142" s="8">
        <v>18710070</v>
      </c>
      <c r="D142" s="8" t="s">
        <v>12</v>
      </c>
      <c r="E142" s="8" t="s">
        <v>165</v>
      </c>
      <c r="F142" s="8" t="s">
        <v>167</v>
      </c>
      <c r="G142" s="9">
        <v>46023</v>
      </c>
      <c r="H142" s="9">
        <v>46114</v>
      </c>
      <c r="I142" s="8" t="s">
        <v>4</v>
      </c>
      <c r="J142" s="8" t="s">
        <v>247</v>
      </c>
      <c r="K142" s="10">
        <v>108.75</v>
      </c>
    </row>
    <row r="143" spans="1:11" x14ac:dyDescent="0.25">
      <c r="A143" s="8" t="s">
        <v>7</v>
      </c>
      <c r="C143" s="8">
        <v>18710070</v>
      </c>
      <c r="D143" s="8" t="s">
        <v>136</v>
      </c>
      <c r="E143" s="8" t="s">
        <v>137</v>
      </c>
      <c r="F143" s="8" t="s">
        <v>138</v>
      </c>
      <c r="G143" s="9">
        <v>46023</v>
      </c>
      <c r="H143" s="9">
        <v>46114</v>
      </c>
      <c r="I143" s="8" t="s">
        <v>4</v>
      </c>
      <c r="J143" s="8" t="s">
        <v>247</v>
      </c>
      <c r="K143" s="10">
        <v>108.75</v>
      </c>
    </row>
    <row r="144" spans="1:11" x14ac:dyDescent="0.25">
      <c r="A144" s="8" t="s">
        <v>7</v>
      </c>
      <c r="C144" s="8">
        <v>18710070</v>
      </c>
      <c r="D144" s="8" t="s">
        <v>168</v>
      </c>
      <c r="E144" s="8" t="s">
        <v>169</v>
      </c>
      <c r="F144" s="8" t="s">
        <v>170</v>
      </c>
      <c r="G144" s="9">
        <v>46023</v>
      </c>
      <c r="H144" s="9">
        <v>46114</v>
      </c>
      <c r="I144" s="8" t="s">
        <v>4</v>
      </c>
      <c r="J144" s="8" t="s">
        <v>247</v>
      </c>
      <c r="K144" s="10">
        <v>108.75</v>
      </c>
    </row>
    <row r="145" spans="1:11" x14ac:dyDescent="0.25">
      <c r="A145" s="8" t="s">
        <v>7</v>
      </c>
      <c r="C145" s="8">
        <v>18710070</v>
      </c>
      <c r="D145" s="8" t="s">
        <v>122</v>
      </c>
      <c r="E145" s="8" t="s">
        <v>152</v>
      </c>
      <c r="F145" s="8" t="s">
        <v>153</v>
      </c>
      <c r="G145" s="9">
        <v>46023</v>
      </c>
      <c r="H145" s="9">
        <v>46114</v>
      </c>
      <c r="I145" s="8" t="s">
        <v>4</v>
      </c>
      <c r="J145" s="8" t="s">
        <v>247</v>
      </c>
      <c r="K145" s="10">
        <v>108.75</v>
      </c>
    </row>
    <row r="146" spans="1:11" x14ac:dyDescent="0.25">
      <c r="A146" s="8" t="s">
        <v>7</v>
      </c>
      <c r="C146" s="8">
        <v>18710070</v>
      </c>
      <c r="D146" s="8" t="s">
        <v>42</v>
      </c>
      <c r="E146" s="8" t="s">
        <v>171</v>
      </c>
      <c r="F146" s="8" t="s">
        <v>172</v>
      </c>
      <c r="G146" s="9">
        <v>46023</v>
      </c>
      <c r="H146" s="9">
        <v>46114</v>
      </c>
      <c r="I146" s="8" t="s">
        <v>4</v>
      </c>
      <c r="J146" s="8" t="s">
        <v>247</v>
      </c>
      <c r="K146" s="10">
        <v>108.75</v>
      </c>
    </row>
    <row r="147" spans="1:11" x14ac:dyDescent="0.25">
      <c r="A147" s="8" t="s">
        <v>7</v>
      </c>
      <c r="C147" s="8">
        <v>18710070</v>
      </c>
      <c r="D147" s="8" t="s">
        <v>26</v>
      </c>
      <c r="E147" s="8" t="s">
        <v>139</v>
      </c>
      <c r="F147" s="8" t="s">
        <v>140</v>
      </c>
      <c r="G147" s="9">
        <v>46023</v>
      </c>
      <c r="H147" s="9">
        <v>46114</v>
      </c>
      <c r="I147" s="8" t="s">
        <v>4</v>
      </c>
      <c r="J147" s="8" t="s">
        <v>247</v>
      </c>
      <c r="K147" s="10">
        <v>108.75</v>
      </c>
    </row>
    <row r="148" spans="1:11" x14ac:dyDescent="0.25">
      <c r="A148" s="8" t="s">
        <v>7</v>
      </c>
      <c r="C148" s="8">
        <v>18710070</v>
      </c>
      <c r="D148" s="8" t="s">
        <v>154</v>
      </c>
      <c r="E148" s="8" t="s">
        <v>155</v>
      </c>
      <c r="F148" s="8" t="s">
        <v>156</v>
      </c>
      <c r="G148" s="9">
        <v>46023</v>
      </c>
      <c r="H148" s="9">
        <v>46114</v>
      </c>
      <c r="I148" s="8" t="s">
        <v>4</v>
      </c>
      <c r="J148" s="8" t="s">
        <v>247</v>
      </c>
      <c r="K148" s="10">
        <v>108.75</v>
      </c>
    </row>
    <row r="149" spans="1:11" x14ac:dyDescent="0.25">
      <c r="A149" s="8" t="s">
        <v>7</v>
      </c>
      <c r="C149" s="8">
        <v>18710070</v>
      </c>
      <c r="D149" s="8" t="s">
        <v>157</v>
      </c>
      <c r="E149" s="8" t="s">
        <v>155</v>
      </c>
      <c r="F149" s="8" t="s">
        <v>158</v>
      </c>
      <c r="G149" s="9">
        <v>46023</v>
      </c>
      <c r="H149" s="9">
        <v>46114</v>
      </c>
      <c r="I149" s="8" t="s">
        <v>4</v>
      </c>
      <c r="J149" s="8" t="s">
        <v>247</v>
      </c>
      <c r="K149" s="10">
        <v>108.75</v>
      </c>
    </row>
    <row r="150" spans="1:11" x14ac:dyDescent="0.25">
      <c r="A150" s="8" t="s">
        <v>7</v>
      </c>
      <c r="C150" s="8">
        <v>18710070</v>
      </c>
      <c r="D150" s="8" t="s">
        <v>141</v>
      </c>
      <c r="E150" s="8" t="s">
        <v>142</v>
      </c>
      <c r="F150" s="8" t="s">
        <v>143</v>
      </c>
      <c r="G150" s="9">
        <v>46023</v>
      </c>
      <c r="H150" s="9">
        <v>46114</v>
      </c>
      <c r="I150" s="8" t="s">
        <v>4</v>
      </c>
      <c r="J150" s="8" t="s">
        <v>247</v>
      </c>
      <c r="K150" s="10">
        <v>108.75</v>
      </c>
    </row>
    <row r="151" spans="1:11" x14ac:dyDescent="0.25">
      <c r="A151" s="8" t="s">
        <v>7</v>
      </c>
      <c r="C151" s="8">
        <v>18710070</v>
      </c>
      <c r="D151" s="8" t="s">
        <v>118</v>
      </c>
      <c r="E151" s="8" t="s">
        <v>180</v>
      </c>
      <c r="F151" s="8" t="s">
        <v>181</v>
      </c>
      <c r="G151" s="9">
        <v>46023</v>
      </c>
      <c r="H151" s="9">
        <v>46114</v>
      </c>
      <c r="I151" s="8" t="s">
        <v>4</v>
      </c>
      <c r="J151" s="8" t="s">
        <v>248</v>
      </c>
      <c r="K151" s="10">
        <v>165</v>
      </c>
    </row>
    <row r="152" spans="1:11" x14ac:dyDescent="0.25">
      <c r="A152" s="8" t="s">
        <v>7</v>
      </c>
      <c r="C152" s="8">
        <v>18710070</v>
      </c>
      <c r="D152" s="8" t="s">
        <v>182</v>
      </c>
      <c r="E152" s="8" t="s">
        <v>180</v>
      </c>
      <c r="F152" s="8" t="s">
        <v>183</v>
      </c>
      <c r="G152" s="9">
        <v>46023</v>
      </c>
      <c r="H152" s="9">
        <v>46114</v>
      </c>
      <c r="I152" s="8" t="s">
        <v>4</v>
      </c>
      <c r="J152" s="8" t="s">
        <v>248</v>
      </c>
      <c r="K152" s="10">
        <v>165</v>
      </c>
    </row>
    <row r="153" spans="1:11" x14ac:dyDescent="0.25">
      <c r="A153" s="8" t="s">
        <v>7</v>
      </c>
      <c r="C153" s="8">
        <v>18710070</v>
      </c>
      <c r="D153" s="8" t="s">
        <v>8</v>
      </c>
      <c r="E153" s="8" t="s">
        <v>190</v>
      </c>
      <c r="F153" s="8" t="s">
        <v>191</v>
      </c>
      <c r="G153" s="9">
        <v>46023</v>
      </c>
      <c r="H153" s="9">
        <v>46114</v>
      </c>
      <c r="I153" s="8" t="s">
        <v>4</v>
      </c>
      <c r="J153" s="8" t="s">
        <v>248</v>
      </c>
      <c r="K153" s="10">
        <v>165</v>
      </c>
    </row>
    <row r="154" spans="1:11" x14ac:dyDescent="0.25">
      <c r="A154" s="8" t="s">
        <v>7</v>
      </c>
      <c r="C154" s="8">
        <v>18710070</v>
      </c>
      <c r="D154" s="8" t="s">
        <v>184</v>
      </c>
      <c r="E154" s="8" t="s">
        <v>185</v>
      </c>
      <c r="F154" s="8" t="s">
        <v>186</v>
      </c>
      <c r="G154" s="9">
        <v>46023</v>
      </c>
      <c r="H154" s="9">
        <v>46114</v>
      </c>
      <c r="I154" s="8" t="s">
        <v>4</v>
      </c>
      <c r="J154" s="8" t="s">
        <v>248</v>
      </c>
      <c r="K154" s="10">
        <v>165</v>
      </c>
    </row>
    <row r="155" spans="1:11" x14ac:dyDescent="0.25">
      <c r="A155" s="8" t="s">
        <v>7</v>
      </c>
      <c r="C155" s="8">
        <v>18710070</v>
      </c>
      <c r="D155" s="8" t="s">
        <v>173</v>
      </c>
      <c r="E155" s="8" t="s">
        <v>174</v>
      </c>
      <c r="F155" s="8" t="s">
        <v>175</v>
      </c>
      <c r="G155" s="9">
        <v>46023</v>
      </c>
      <c r="H155" s="9">
        <v>46114</v>
      </c>
      <c r="I155" s="8" t="s">
        <v>4</v>
      </c>
      <c r="J155" s="8" t="s">
        <v>248</v>
      </c>
      <c r="K155" s="10">
        <v>165</v>
      </c>
    </row>
    <row r="156" spans="1:11" x14ac:dyDescent="0.25">
      <c r="A156" s="8" t="s">
        <v>7</v>
      </c>
      <c r="C156" s="8">
        <v>18710070</v>
      </c>
      <c r="D156" s="8" t="s">
        <v>187</v>
      </c>
      <c r="E156" s="8" t="s">
        <v>188</v>
      </c>
      <c r="F156" s="8" t="s">
        <v>189</v>
      </c>
      <c r="G156" s="9">
        <v>46023</v>
      </c>
      <c r="H156" s="9">
        <v>46114</v>
      </c>
      <c r="I156" s="8" t="s">
        <v>4</v>
      </c>
      <c r="J156" s="8" t="s">
        <v>248</v>
      </c>
      <c r="K156" s="10">
        <v>165</v>
      </c>
    </row>
    <row r="157" spans="1:11" x14ac:dyDescent="0.25">
      <c r="A157" s="8" t="s">
        <v>192</v>
      </c>
      <c r="C157" s="8">
        <v>20253958</v>
      </c>
      <c r="D157" s="8" t="s">
        <v>193</v>
      </c>
      <c r="E157" s="8" t="s">
        <v>194</v>
      </c>
      <c r="F157" s="8" t="s">
        <v>195</v>
      </c>
      <c r="G157" s="9">
        <v>46082</v>
      </c>
      <c r="H157" s="9">
        <v>46114</v>
      </c>
      <c r="I157" s="8" t="s">
        <v>4</v>
      </c>
      <c r="J157" s="8" t="s">
        <v>248</v>
      </c>
      <c r="K157" s="10">
        <v>110</v>
      </c>
    </row>
    <row r="158" spans="1:11" x14ac:dyDescent="0.25">
      <c r="A158" s="8" t="s">
        <v>197</v>
      </c>
      <c r="C158" s="8">
        <v>17886092</v>
      </c>
      <c r="D158" s="8" t="s">
        <v>157</v>
      </c>
      <c r="E158" s="8" t="s">
        <v>249</v>
      </c>
      <c r="F158" s="8" t="s">
        <v>250</v>
      </c>
      <c r="G158" s="9">
        <v>46054</v>
      </c>
      <c r="H158" s="9">
        <v>46114</v>
      </c>
      <c r="I158" s="8" t="s">
        <v>251</v>
      </c>
      <c r="J158" s="8" t="s">
        <v>252</v>
      </c>
      <c r="K158" s="10">
        <v>6.75</v>
      </c>
    </row>
    <row r="159" spans="1:11" x14ac:dyDescent="0.25">
      <c r="A159" s="8" t="s">
        <v>253</v>
      </c>
      <c r="C159" s="8">
        <v>19606009</v>
      </c>
      <c r="D159" s="8" t="s">
        <v>234</v>
      </c>
      <c r="E159" s="8" t="s">
        <v>254</v>
      </c>
      <c r="F159" s="8" t="s">
        <v>255</v>
      </c>
      <c r="G159" s="9">
        <v>46054</v>
      </c>
      <c r="H159" s="9">
        <v>46114</v>
      </c>
      <c r="I159" s="8" t="s">
        <v>251</v>
      </c>
      <c r="J159" s="8" t="s">
        <v>252</v>
      </c>
      <c r="K159" s="10">
        <v>6.75</v>
      </c>
    </row>
    <row r="160" spans="1:11" x14ac:dyDescent="0.25">
      <c r="A160" s="8" t="s">
        <v>197</v>
      </c>
      <c r="C160" s="8">
        <v>17886092</v>
      </c>
      <c r="D160" s="8" t="s">
        <v>256</v>
      </c>
      <c r="E160" s="8" t="s">
        <v>257</v>
      </c>
      <c r="F160" s="8" t="s">
        <v>258</v>
      </c>
      <c r="G160" s="9">
        <v>46054</v>
      </c>
      <c r="H160" s="9">
        <v>46114</v>
      </c>
      <c r="I160" s="8" t="s">
        <v>251</v>
      </c>
      <c r="J160" s="8" t="s">
        <v>252</v>
      </c>
      <c r="K160" s="10">
        <v>6.75</v>
      </c>
    </row>
    <row r="161" spans="1:11" x14ac:dyDescent="0.25">
      <c r="A161" s="8" t="s">
        <v>197</v>
      </c>
      <c r="C161" s="8">
        <v>17886092</v>
      </c>
      <c r="D161" s="8" t="s">
        <v>15</v>
      </c>
      <c r="E161" s="8" t="s">
        <v>259</v>
      </c>
      <c r="F161" s="8" t="s">
        <v>260</v>
      </c>
      <c r="G161" s="9">
        <v>46054</v>
      </c>
      <c r="H161" s="9">
        <v>46114</v>
      </c>
      <c r="I161" s="8" t="s">
        <v>251</v>
      </c>
      <c r="J161" s="8" t="s">
        <v>252</v>
      </c>
      <c r="K161" s="10">
        <v>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8664-0F57-43A3-9B42-0A37A66DA8B8}">
  <dimension ref="A1:O161"/>
  <sheetViews>
    <sheetView tabSelected="1" topLeftCell="A44" workbookViewId="0">
      <selection activeCell="N2" sqref="N2:N71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1.42578125" bestFit="1" customWidth="1"/>
    <col min="4" max="4" width="12.42578125" bestFit="1" customWidth="1"/>
    <col min="5" max="5" width="12.42578125" customWidth="1"/>
    <col min="6" max="6" width="11.28515625" bestFit="1" customWidth="1"/>
    <col min="7" max="7" width="11.2851562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54" bestFit="1" customWidth="1"/>
    <col min="12" max="12" width="15.7109375" bestFit="1" customWidth="1"/>
    <col min="13" max="13" width="25.140625" bestFit="1" customWidth="1"/>
    <col min="14" max="14" width="23.140625" bestFit="1" customWidth="1"/>
  </cols>
  <sheetData>
    <row r="1" spans="1:15" x14ac:dyDescent="0.25">
      <c r="A1" t="s">
        <v>261</v>
      </c>
      <c r="B1" t="s">
        <v>263</v>
      </c>
      <c r="C1" t="s">
        <v>264</v>
      </c>
      <c r="D1" t="s">
        <v>265</v>
      </c>
      <c r="F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</row>
    <row r="2" spans="1:15" x14ac:dyDescent="0.25">
      <c r="A2" t="s">
        <v>7</v>
      </c>
      <c r="B2" t="s">
        <v>287</v>
      </c>
      <c r="C2" t="s">
        <v>173</v>
      </c>
      <c r="D2" t="s">
        <v>174</v>
      </c>
      <c r="E2" t="str">
        <f>CONCATENATE(C2," ",D2)</f>
        <v>Robert Mitchell</v>
      </c>
      <c r="F2" s="6">
        <v>97580</v>
      </c>
      <c r="G2" s="6" t="str">
        <f>CONCATENATE(F2,75)</f>
        <v>9758075</v>
      </c>
      <c r="H2" s="1">
        <v>46023</v>
      </c>
      <c r="I2" s="1">
        <v>46114</v>
      </c>
      <c r="J2" t="s">
        <v>4</v>
      </c>
      <c r="K2" t="s">
        <v>176</v>
      </c>
      <c r="L2" s="2">
        <v>705</v>
      </c>
      <c r="M2" t="s">
        <v>283</v>
      </c>
      <c r="N2" t="s">
        <v>284</v>
      </c>
    </row>
    <row r="3" spans="1:15" x14ac:dyDescent="0.25">
      <c r="A3" t="s">
        <v>7</v>
      </c>
      <c r="B3" t="s">
        <v>287</v>
      </c>
      <c r="C3" t="s">
        <v>118</v>
      </c>
      <c r="D3" t="s">
        <v>180</v>
      </c>
      <c r="E3" t="str">
        <f t="shared" ref="E3:E66" si="0">CONCATENATE(C3," ",D3)</f>
        <v>Barbara Dzumela</v>
      </c>
      <c r="F3" s="6">
        <v>93430</v>
      </c>
      <c r="G3" s="6" t="str">
        <f t="shared" ref="G3:G7" si="1">CONCATENATE(F3,75)</f>
        <v>9343075</v>
      </c>
      <c r="H3" s="1">
        <v>46023</v>
      </c>
      <c r="I3" s="1">
        <v>46114</v>
      </c>
      <c r="J3" t="s">
        <v>4</v>
      </c>
      <c r="K3" t="s">
        <v>176</v>
      </c>
      <c r="L3" s="2">
        <v>705</v>
      </c>
      <c r="M3" t="s">
        <v>283</v>
      </c>
      <c r="N3" t="s">
        <v>284</v>
      </c>
    </row>
    <row r="4" spans="1:15" x14ac:dyDescent="0.25">
      <c r="A4" t="s">
        <v>7</v>
      </c>
      <c r="B4" t="s">
        <v>287</v>
      </c>
      <c r="C4" t="s">
        <v>182</v>
      </c>
      <c r="D4" t="s">
        <v>180</v>
      </c>
      <c r="E4" t="str">
        <f t="shared" si="0"/>
        <v>Gary Dzumela</v>
      </c>
      <c r="F4" s="6">
        <v>68120</v>
      </c>
      <c r="G4" s="6" t="str">
        <f t="shared" si="1"/>
        <v>6812075</v>
      </c>
      <c r="H4" s="1">
        <v>46023</v>
      </c>
      <c r="I4" s="1">
        <v>46114</v>
      </c>
      <c r="J4" t="s">
        <v>4</v>
      </c>
      <c r="K4" t="s">
        <v>176</v>
      </c>
      <c r="L4" s="2">
        <v>705</v>
      </c>
      <c r="M4" t="s">
        <v>283</v>
      </c>
      <c r="N4" t="s">
        <v>284</v>
      </c>
    </row>
    <row r="5" spans="1:15" x14ac:dyDescent="0.25">
      <c r="A5" t="s">
        <v>7</v>
      </c>
      <c r="B5" t="s">
        <v>287</v>
      </c>
      <c r="C5" t="s">
        <v>184</v>
      </c>
      <c r="D5" t="s">
        <v>185</v>
      </c>
      <c r="E5" t="str">
        <f t="shared" si="0"/>
        <v>Michael Hill</v>
      </c>
      <c r="F5" s="6">
        <v>24220</v>
      </c>
      <c r="G5" s="6" t="str">
        <f t="shared" si="1"/>
        <v>2422075</v>
      </c>
      <c r="H5" s="1">
        <v>46023</v>
      </c>
      <c r="I5" s="1">
        <v>46114</v>
      </c>
      <c r="J5" t="s">
        <v>4</v>
      </c>
      <c r="K5" t="s">
        <v>176</v>
      </c>
      <c r="L5" s="2">
        <v>705</v>
      </c>
      <c r="M5" t="s">
        <v>283</v>
      </c>
      <c r="N5" t="s">
        <v>284</v>
      </c>
    </row>
    <row r="6" spans="1:15" x14ac:dyDescent="0.25">
      <c r="A6" t="s">
        <v>7</v>
      </c>
      <c r="B6" t="s">
        <v>287</v>
      </c>
      <c r="C6" t="s">
        <v>187</v>
      </c>
      <c r="D6" t="s">
        <v>188</v>
      </c>
      <c r="E6" t="str">
        <f t="shared" si="0"/>
        <v>Christopher Rochez</v>
      </c>
      <c r="F6" s="6">
        <v>75740</v>
      </c>
      <c r="G6" s="6" t="str">
        <f t="shared" si="1"/>
        <v>7574075</v>
      </c>
      <c r="H6" s="1">
        <v>46023</v>
      </c>
      <c r="I6" s="1">
        <v>46114</v>
      </c>
      <c r="J6" t="s">
        <v>4</v>
      </c>
      <c r="K6" t="s">
        <v>176</v>
      </c>
      <c r="L6" s="2">
        <v>705</v>
      </c>
      <c r="M6" t="s">
        <v>283</v>
      </c>
      <c r="N6" t="s">
        <v>284</v>
      </c>
    </row>
    <row r="7" spans="1:15" x14ac:dyDescent="0.25">
      <c r="A7" t="s">
        <v>7</v>
      </c>
      <c r="B7" t="s">
        <v>287</v>
      </c>
      <c r="C7" t="s">
        <v>8</v>
      </c>
      <c r="D7" t="s">
        <v>190</v>
      </c>
      <c r="E7" t="str">
        <f t="shared" si="0"/>
        <v>Daniel Gornick</v>
      </c>
      <c r="F7" s="6">
        <v>90670</v>
      </c>
      <c r="G7" s="6" t="str">
        <f t="shared" si="1"/>
        <v>9067075</v>
      </c>
      <c r="H7" s="1">
        <v>46023</v>
      </c>
      <c r="I7" s="1">
        <v>46114</v>
      </c>
      <c r="J7" t="s">
        <v>4</v>
      </c>
      <c r="K7" t="s">
        <v>176</v>
      </c>
      <c r="L7" s="2">
        <v>705</v>
      </c>
      <c r="M7" t="s">
        <v>283</v>
      </c>
      <c r="N7" t="s">
        <v>284</v>
      </c>
    </row>
    <row r="8" spans="1:15" x14ac:dyDescent="0.25">
      <c r="A8" t="s">
        <v>0</v>
      </c>
      <c r="B8" t="s">
        <v>286</v>
      </c>
      <c r="C8" t="s">
        <v>82</v>
      </c>
      <c r="D8" t="s">
        <v>83</v>
      </c>
      <c r="E8" t="str">
        <f t="shared" si="0"/>
        <v>Patricia Wilbert</v>
      </c>
      <c r="F8" s="6">
        <v>47430</v>
      </c>
      <c r="G8" s="6" t="str">
        <f>CONCATENATE(F8,55)</f>
        <v>4743055</v>
      </c>
      <c r="H8" s="1">
        <v>46113</v>
      </c>
      <c r="I8" s="1">
        <v>46114</v>
      </c>
      <c r="J8" t="s">
        <v>4</v>
      </c>
      <c r="K8" t="s">
        <v>81</v>
      </c>
      <c r="L8" s="2">
        <v>264.75</v>
      </c>
      <c r="M8" t="s">
        <v>277</v>
      </c>
      <c r="N8" t="s">
        <v>280</v>
      </c>
    </row>
    <row r="9" spans="1:15" x14ac:dyDescent="0.25">
      <c r="A9" t="s">
        <v>0</v>
      </c>
      <c r="B9" t="s">
        <v>286</v>
      </c>
      <c r="C9" t="s">
        <v>100</v>
      </c>
      <c r="D9" t="s">
        <v>177</v>
      </c>
      <c r="E9" t="str">
        <f t="shared" si="0"/>
        <v>Donald Buck</v>
      </c>
      <c r="F9" s="6">
        <v>83490</v>
      </c>
      <c r="G9" s="6" t="str">
        <f t="shared" ref="G9:G71" si="2">CONCATENATE(F9,55)</f>
        <v>8349055</v>
      </c>
      <c r="H9" s="1">
        <v>46054</v>
      </c>
      <c r="I9" s="1">
        <v>46114</v>
      </c>
      <c r="J9" t="s">
        <v>4</v>
      </c>
      <c r="K9" t="s">
        <v>179</v>
      </c>
      <c r="L9" s="2">
        <v>323.58</v>
      </c>
      <c r="M9" t="s">
        <v>277</v>
      </c>
      <c r="N9" t="s">
        <v>282</v>
      </c>
      <c r="O9">
        <f>353/12*11</f>
        <v>323.58333333333337</v>
      </c>
    </row>
    <row r="10" spans="1:15" x14ac:dyDescent="0.25">
      <c r="A10" t="s">
        <v>0</v>
      </c>
      <c r="B10" t="s">
        <v>286</v>
      </c>
      <c r="C10" t="s">
        <v>1</v>
      </c>
      <c r="D10" t="s">
        <v>2</v>
      </c>
      <c r="E10" t="str">
        <f t="shared" si="0"/>
        <v>Donna Courtney</v>
      </c>
      <c r="F10" s="6">
        <v>78250</v>
      </c>
      <c r="G10" s="6" t="str">
        <f t="shared" si="2"/>
        <v>7825055</v>
      </c>
      <c r="H10" s="1">
        <v>45839</v>
      </c>
      <c r="I10" s="1">
        <v>46114</v>
      </c>
      <c r="J10" t="s">
        <v>4</v>
      </c>
      <c r="K10" t="s">
        <v>5</v>
      </c>
      <c r="L10" s="2">
        <v>-29.41</v>
      </c>
      <c r="M10" t="s">
        <v>277</v>
      </c>
      <c r="N10" t="s">
        <v>278</v>
      </c>
    </row>
    <row r="11" spans="1:15" x14ac:dyDescent="0.25">
      <c r="A11" t="s">
        <v>0</v>
      </c>
      <c r="B11" t="s">
        <v>286</v>
      </c>
      <c r="C11" t="s">
        <v>1</v>
      </c>
      <c r="D11" t="s">
        <v>2</v>
      </c>
      <c r="E11" t="str">
        <f t="shared" si="0"/>
        <v>Donna Courtney</v>
      </c>
      <c r="F11" s="6">
        <v>78250</v>
      </c>
      <c r="G11" s="6" t="str">
        <f t="shared" si="2"/>
        <v>7825055</v>
      </c>
      <c r="H11" s="1">
        <v>45839</v>
      </c>
      <c r="I11" s="1">
        <v>46114</v>
      </c>
      <c r="J11" t="s">
        <v>4</v>
      </c>
      <c r="K11" t="s">
        <v>6</v>
      </c>
      <c r="L11" s="2">
        <v>29.41</v>
      </c>
      <c r="M11" t="s">
        <v>277</v>
      </c>
      <c r="N11" t="s">
        <v>278</v>
      </c>
    </row>
    <row r="12" spans="1:15" x14ac:dyDescent="0.25">
      <c r="A12" t="s">
        <v>7</v>
      </c>
      <c r="B12" t="s">
        <v>287</v>
      </c>
      <c r="C12" t="s">
        <v>78</v>
      </c>
      <c r="D12" t="s">
        <v>79</v>
      </c>
      <c r="E12" t="str">
        <f t="shared" si="0"/>
        <v>Vickilynn Ellis</v>
      </c>
      <c r="F12" s="6">
        <v>6280</v>
      </c>
      <c r="G12" s="6" t="str">
        <f t="shared" si="2"/>
        <v>628055</v>
      </c>
      <c r="H12" s="1">
        <v>46113</v>
      </c>
      <c r="I12" s="1">
        <v>46114</v>
      </c>
      <c r="J12" t="s">
        <v>4</v>
      </c>
      <c r="K12" t="s">
        <v>81</v>
      </c>
      <c r="L12" s="2">
        <v>264.75</v>
      </c>
      <c r="M12" t="s">
        <v>277</v>
      </c>
      <c r="N12" t="s">
        <v>280</v>
      </c>
      <c r="O12">
        <f>353/12*9</f>
        <v>264.75</v>
      </c>
    </row>
    <row r="13" spans="1:15" x14ac:dyDescent="0.25">
      <c r="A13" t="s">
        <v>7</v>
      </c>
      <c r="B13" t="s">
        <v>287</v>
      </c>
      <c r="C13" t="s">
        <v>118</v>
      </c>
      <c r="D13" t="s">
        <v>119</v>
      </c>
      <c r="E13" t="str">
        <f t="shared" si="0"/>
        <v>Barbara Allemang</v>
      </c>
      <c r="F13" s="6">
        <v>45380</v>
      </c>
      <c r="G13" s="6" t="str">
        <f t="shared" si="2"/>
        <v>4538055</v>
      </c>
      <c r="H13" s="1">
        <v>46023</v>
      </c>
      <c r="I13" s="1">
        <v>46114</v>
      </c>
      <c r="J13" t="s">
        <v>4</v>
      </c>
      <c r="K13" t="s">
        <v>88</v>
      </c>
      <c r="L13" s="2">
        <v>353</v>
      </c>
      <c r="M13" t="s">
        <v>277</v>
      </c>
      <c r="N13" t="s">
        <v>281</v>
      </c>
    </row>
    <row r="14" spans="1:15" x14ac:dyDescent="0.25">
      <c r="A14" t="s">
        <v>7</v>
      </c>
      <c r="B14" t="s">
        <v>287</v>
      </c>
      <c r="C14" t="s">
        <v>8</v>
      </c>
      <c r="D14" t="s">
        <v>119</v>
      </c>
      <c r="E14" t="str">
        <f t="shared" si="0"/>
        <v>Daniel Allemang</v>
      </c>
      <c r="F14" s="6">
        <v>74370</v>
      </c>
      <c r="G14" s="6" t="str">
        <f t="shared" si="2"/>
        <v>7437055</v>
      </c>
      <c r="H14" s="1">
        <v>46023</v>
      </c>
      <c r="I14" s="1">
        <v>46114</v>
      </c>
      <c r="J14" t="s">
        <v>4</v>
      </c>
      <c r="K14" t="s">
        <v>88</v>
      </c>
      <c r="L14" s="2">
        <v>353</v>
      </c>
      <c r="M14" t="s">
        <v>277</v>
      </c>
      <c r="N14" t="s">
        <v>281</v>
      </c>
    </row>
    <row r="15" spans="1:15" x14ac:dyDescent="0.25">
      <c r="A15" t="s">
        <v>7</v>
      </c>
      <c r="B15" t="s">
        <v>287</v>
      </c>
      <c r="C15" t="s">
        <v>122</v>
      </c>
      <c r="D15" t="s">
        <v>123</v>
      </c>
      <c r="E15" t="str">
        <f t="shared" si="0"/>
        <v>Kenneth Barna</v>
      </c>
      <c r="F15" s="6">
        <v>23190</v>
      </c>
      <c r="G15" s="6" t="str">
        <f t="shared" si="2"/>
        <v>2319055</v>
      </c>
      <c r="H15" s="1">
        <v>46023</v>
      </c>
      <c r="I15" s="1">
        <v>46114</v>
      </c>
      <c r="J15" t="s">
        <v>4</v>
      </c>
      <c r="K15" t="s">
        <v>88</v>
      </c>
      <c r="L15" s="2">
        <v>353</v>
      </c>
      <c r="M15" t="s">
        <v>277</v>
      </c>
      <c r="N15" t="s">
        <v>281</v>
      </c>
    </row>
    <row r="16" spans="1:15" x14ac:dyDescent="0.25">
      <c r="A16" t="s">
        <v>7</v>
      </c>
      <c r="B16" t="s">
        <v>287</v>
      </c>
      <c r="C16" t="s">
        <v>125</v>
      </c>
      <c r="D16" t="s">
        <v>126</v>
      </c>
      <c r="E16" t="str">
        <f t="shared" si="0"/>
        <v>Darlene Boehm</v>
      </c>
      <c r="F16" s="6">
        <v>72460</v>
      </c>
      <c r="G16" s="6" t="str">
        <f t="shared" si="2"/>
        <v>7246055</v>
      </c>
      <c r="H16" s="1">
        <v>46023</v>
      </c>
      <c r="I16" s="1">
        <v>46114</v>
      </c>
      <c r="J16" t="s">
        <v>4</v>
      </c>
      <c r="K16" t="s">
        <v>88</v>
      </c>
      <c r="L16" s="2">
        <v>353</v>
      </c>
      <c r="M16" t="s">
        <v>277</v>
      </c>
      <c r="N16" t="s">
        <v>281</v>
      </c>
    </row>
    <row r="17" spans="1:14" x14ac:dyDescent="0.25">
      <c r="A17" t="s">
        <v>7</v>
      </c>
      <c r="B17" t="s">
        <v>287</v>
      </c>
      <c r="C17" t="s">
        <v>128</v>
      </c>
      <c r="D17" t="s">
        <v>129</v>
      </c>
      <c r="E17" t="str">
        <f t="shared" si="0"/>
        <v>Ann Germond</v>
      </c>
      <c r="F17" s="6">
        <v>98740</v>
      </c>
      <c r="G17" s="6" t="str">
        <f t="shared" si="2"/>
        <v>9874055</v>
      </c>
      <c r="H17" s="1">
        <v>46023</v>
      </c>
      <c r="I17" s="1">
        <v>46114</v>
      </c>
      <c r="J17" t="s">
        <v>4</v>
      </c>
      <c r="K17" t="s">
        <v>88</v>
      </c>
      <c r="L17" s="2">
        <v>353</v>
      </c>
      <c r="M17" t="s">
        <v>277</v>
      </c>
      <c r="N17" t="s">
        <v>281</v>
      </c>
    </row>
    <row r="18" spans="1:14" x14ac:dyDescent="0.25">
      <c r="A18" t="s">
        <v>7</v>
      </c>
      <c r="B18" t="s">
        <v>287</v>
      </c>
      <c r="C18" t="s">
        <v>131</v>
      </c>
      <c r="D18" t="s">
        <v>132</v>
      </c>
      <c r="E18" t="str">
        <f t="shared" si="0"/>
        <v>Stephen Gronsky</v>
      </c>
      <c r="F18" s="6">
        <v>67110</v>
      </c>
      <c r="G18" s="6" t="str">
        <f t="shared" si="2"/>
        <v>6711055</v>
      </c>
      <c r="H18" s="1">
        <v>46023</v>
      </c>
      <c r="I18" s="1">
        <v>46114</v>
      </c>
      <c r="J18" t="s">
        <v>4</v>
      </c>
      <c r="K18" t="s">
        <v>88</v>
      </c>
      <c r="L18" s="2">
        <v>353</v>
      </c>
      <c r="M18" t="s">
        <v>277</v>
      </c>
      <c r="N18" t="s">
        <v>281</v>
      </c>
    </row>
    <row r="19" spans="1:14" x14ac:dyDescent="0.25">
      <c r="A19" t="s">
        <v>7</v>
      </c>
      <c r="B19" t="s">
        <v>287</v>
      </c>
      <c r="C19" t="s">
        <v>1</v>
      </c>
      <c r="D19" t="s">
        <v>134</v>
      </c>
      <c r="E19" t="str">
        <f t="shared" si="0"/>
        <v>Donna Koerbel</v>
      </c>
      <c r="F19" s="6">
        <v>20670</v>
      </c>
      <c r="G19" s="6" t="str">
        <f t="shared" si="2"/>
        <v>2067055</v>
      </c>
      <c r="H19" s="1">
        <v>46023</v>
      </c>
      <c r="I19" s="1">
        <v>46114</v>
      </c>
      <c r="J19" t="s">
        <v>4</v>
      </c>
      <c r="K19" t="s">
        <v>88</v>
      </c>
      <c r="L19" s="2">
        <v>353</v>
      </c>
      <c r="M19" t="s">
        <v>277</v>
      </c>
      <c r="N19" t="s">
        <v>281</v>
      </c>
    </row>
    <row r="20" spans="1:14" x14ac:dyDescent="0.25">
      <c r="A20" t="s">
        <v>7</v>
      </c>
      <c r="B20" t="s">
        <v>287</v>
      </c>
      <c r="C20" t="s">
        <v>136</v>
      </c>
      <c r="D20" t="s">
        <v>137</v>
      </c>
      <c r="E20" t="str">
        <f t="shared" si="0"/>
        <v>Rosemary Marks</v>
      </c>
      <c r="F20" s="6">
        <v>72070</v>
      </c>
      <c r="G20" s="6" t="str">
        <f t="shared" si="2"/>
        <v>7207055</v>
      </c>
      <c r="H20" s="1">
        <v>46023</v>
      </c>
      <c r="I20" s="1">
        <v>46114</v>
      </c>
      <c r="J20" t="s">
        <v>4</v>
      </c>
      <c r="K20" t="s">
        <v>88</v>
      </c>
      <c r="L20" s="2">
        <v>353</v>
      </c>
      <c r="M20" t="s">
        <v>277</v>
      </c>
      <c r="N20" t="s">
        <v>281</v>
      </c>
    </row>
    <row r="21" spans="1:14" x14ac:dyDescent="0.25">
      <c r="A21" t="s">
        <v>7</v>
      </c>
      <c r="B21" t="s">
        <v>287</v>
      </c>
      <c r="C21" t="s">
        <v>26</v>
      </c>
      <c r="D21" t="s">
        <v>139</v>
      </c>
      <c r="E21" t="str">
        <f t="shared" si="0"/>
        <v>Mark Moses</v>
      </c>
      <c r="F21" s="6">
        <v>5780</v>
      </c>
      <c r="G21" s="6" t="str">
        <f t="shared" si="2"/>
        <v>578055</v>
      </c>
      <c r="H21" s="1">
        <v>46023</v>
      </c>
      <c r="I21" s="1">
        <v>46114</v>
      </c>
      <c r="J21" t="s">
        <v>4</v>
      </c>
      <c r="K21" t="s">
        <v>88</v>
      </c>
      <c r="L21" s="2">
        <v>353</v>
      </c>
      <c r="M21" t="s">
        <v>277</v>
      </c>
      <c r="N21" t="s">
        <v>281</v>
      </c>
    </row>
    <row r="22" spans="1:14" x14ac:dyDescent="0.25">
      <c r="A22" t="s">
        <v>7</v>
      </c>
      <c r="B22" t="s">
        <v>287</v>
      </c>
      <c r="C22" t="s">
        <v>141</v>
      </c>
      <c r="D22" t="s">
        <v>142</v>
      </c>
      <c r="E22" t="str">
        <f t="shared" si="0"/>
        <v>Denise Robinson</v>
      </c>
      <c r="F22" s="6">
        <v>39160</v>
      </c>
      <c r="G22" s="6" t="str">
        <f t="shared" si="2"/>
        <v>3916055</v>
      </c>
      <c r="H22" s="1">
        <v>46023</v>
      </c>
      <c r="I22" s="1">
        <v>46114</v>
      </c>
      <c r="J22" t="s">
        <v>4</v>
      </c>
      <c r="K22" t="s">
        <v>88</v>
      </c>
      <c r="L22" s="2">
        <v>353</v>
      </c>
      <c r="M22" t="s">
        <v>277</v>
      </c>
      <c r="N22" t="s">
        <v>281</v>
      </c>
    </row>
    <row r="23" spans="1:14" x14ac:dyDescent="0.25">
      <c r="A23" t="s">
        <v>7</v>
      </c>
      <c r="B23" t="s">
        <v>287</v>
      </c>
      <c r="C23" t="s">
        <v>144</v>
      </c>
      <c r="D23" t="s">
        <v>76</v>
      </c>
      <c r="E23" t="str">
        <f t="shared" si="0"/>
        <v>Pamela Hartman</v>
      </c>
      <c r="F23" s="6">
        <v>90820</v>
      </c>
      <c r="G23" s="6" t="str">
        <f t="shared" si="2"/>
        <v>9082055</v>
      </c>
      <c r="H23" s="1">
        <v>46023</v>
      </c>
      <c r="I23" s="1">
        <v>46114</v>
      </c>
      <c r="J23" t="s">
        <v>4</v>
      </c>
      <c r="K23" t="s">
        <v>88</v>
      </c>
      <c r="L23" s="2">
        <v>353</v>
      </c>
      <c r="M23" t="s">
        <v>277</v>
      </c>
      <c r="N23" t="s">
        <v>281</v>
      </c>
    </row>
    <row r="24" spans="1:14" x14ac:dyDescent="0.25">
      <c r="A24" t="s">
        <v>7</v>
      </c>
      <c r="B24" t="s">
        <v>287</v>
      </c>
      <c r="C24" t="s">
        <v>146</v>
      </c>
      <c r="D24" t="s">
        <v>147</v>
      </c>
      <c r="E24" t="str">
        <f t="shared" si="0"/>
        <v>Shirley Garner</v>
      </c>
      <c r="F24" s="6">
        <v>21370</v>
      </c>
      <c r="G24" s="6" t="str">
        <f t="shared" si="2"/>
        <v>2137055</v>
      </c>
      <c r="H24" s="1">
        <v>46023</v>
      </c>
      <c r="I24" s="1">
        <v>46114</v>
      </c>
      <c r="J24" t="s">
        <v>4</v>
      </c>
      <c r="K24" t="s">
        <v>88</v>
      </c>
      <c r="L24" s="2">
        <v>353</v>
      </c>
      <c r="M24" t="s">
        <v>277</v>
      </c>
      <c r="N24" t="s">
        <v>281</v>
      </c>
    </row>
    <row r="25" spans="1:14" x14ac:dyDescent="0.25">
      <c r="A25" t="s">
        <v>7</v>
      </c>
      <c r="B25" t="s">
        <v>287</v>
      </c>
      <c r="C25" t="s">
        <v>149</v>
      </c>
      <c r="D25" t="s">
        <v>150</v>
      </c>
      <c r="E25" t="str">
        <f t="shared" si="0"/>
        <v>Rana Khan</v>
      </c>
      <c r="F25" s="6">
        <v>27420</v>
      </c>
      <c r="G25" s="6" t="str">
        <f t="shared" si="2"/>
        <v>2742055</v>
      </c>
      <c r="H25" s="1">
        <v>46023</v>
      </c>
      <c r="I25" s="1">
        <v>46114</v>
      </c>
      <c r="J25" t="s">
        <v>4</v>
      </c>
      <c r="K25" t="s">
        <v>88</v>
      </c>
      <c r="L25" s="2">
        <v>353</v>
      </c>
      <c r="M25" t="s">
        <v>277</v>
      </c>
      <c r="N25" t="s">
        <v>281</v>
      </c>
    </row>
    <row r="26" spans="1:14" x14ac:dyDescent="0.25">
      <c r="A26" t="s">
        <v>7</v>
      </c>
      <c r="B26" t="s">
        <v>287</v>
      </c>
      <c r="C26" t="s">
        <v>122</v>
      </c>
      <c r="D26" t="s">
        <v>152</v>
      </c>
      <c r="E26" t="str">
        <f t="shared" si="0"/>
        <v>Kenneth Meckley</v>
      </c>
      <c r="F26" s="6">
        <v>96670</v>
      </c>
      <c r="G26" s="6" t="str">
        <f t="shared" si="2"/>
        <v>9667055</v>
      </c>
      <c r="H26" s="1">
        <v>46023</v>
      </c>
      <c r="I26" s="1">
        <v>46114</v>
      </c>
      <c r="J26" t="s">
        <v>4</v>
      </c>
      <c r="K26" t="s">
        <v>88</v>
      </c>
      <c r="L26" s="2">
        <v>353</v>
      </c>
      <c r="M26" t="s">
        <v>277</v>
      </c>
      <c r="N26" t="s">
        <v>281</v>
      </c>
    </row>
    <row r="27" spans="1:14" x14ac:dyDescent="0.25">
      <c r="A27" t="s">
        <v>7</v>
      </c>
      <c r="B27" t="s">
        <v>287</v>
      </c>
      <c r="C27" t="s">
        <v>154</v>
      </c>
      <c r="D27" t="s">
        <v>155</v>
      </c>
      <c r="E27" t="str">
        <f t="shared" si="0"/>
        <v>Bonnie Neher</v>
      </c>
      <c r="F27" s="6">
        <v>97270</v>
      </c>
      <c r="G27" s="6" t="str">
        <f t="shared" si="2"/>
        <v>9727055</v>
      </c>
      <c r="H27" s="1">
        <v>46023</v>
      </c>
      <c r="I27" s="1">
        <v>46114</v>
      </c>
      <c r="J27" t="s">
        <v>4</v>
      </c>
      <c r="K27" t="s">
        <v>88</v>
      </c>
      <c r="L27" s="2">
        <v>353</v>
      </c>
      <c r="M27" t="s">
        <v>277</v>
      </c>
      <c r="N27" t="s">
        <v>281</v>
      </c>
    </row>
    <row r="28" spans="1:14" x14ac:dyDescent="0.25">
      <c r="A28" t="s">
        <v>7</v>
      </c>
      <c r="B28" t="s">
        <v>287</v>
      </c>
      <c r="C28" t="s">
        <v>157</v>
      </c>
      <c r="D28" t="s">
        <v>155</v>
      </c>
      <c r="E28" t="str">
        <f t="shared" si="0"/>
        <v>Timothy Neher</v>
      </c>
      <c r="F28" s="6">
        <v>5000</v>
      </c>
      <c r="G28" s="6" t="str">
        <f t="shared" si="2"/>
        <v>500055</v>
      </c>
      <c r="H28" s="1">
        <v>46023</v>
      </c>
      <c r="I28" s="1">
        <v>46114</v>
      </c>
      <c r="J28" t="s">
        <v>4</v>
      </c>
      <c r="K28" t="s">
        <v>88</v>
      </c>
      <c r="L28" s="2">
        <v>353</v>
      </c>
      <c r="M28" t="s">
        <v>277</v>
      </c>
      <c r="N28" t="s">
        <v>281</v>
      </c>
    </row>
    <row r="29" spans="1:14" x14ac:dyDescent="0.25">
      <c r="A29" t="s">
        <v>7</v>
      </c>
      <c r="B29" t="s">
        <v>287</v>
      </c>
      <c r="C29" t="s">
        <v>18</v>
      </c>
      <c r="D29" t="s">
        <v>159</v>
      </c>
      <c r="E29" t="str">
        <f t="shared" si="0"/>
        <v>Susan Hufnagel</v>
      </c>
      <c r="F29" s="6">
        <v>63190</v>
      </c>
      <c r="G29" s="6" t="str">
        <f t="shared" si="2"/>
        <v>6319055</v>
      </c>
      <c r="H29" s="1">
        <v>46023</v>
      </c>
      <c r="I29" s="1">
        <v>46114</v>
      </c>
      <c r="J29" t="s">
        <v>4</v>
      </c>
      <c r="K29" t="s">
        <v>88</v>
      </c>
      <c r="L29" s="2">
        <v>353</v>
      </c>
      <c r="M29" t="s">
        <v>277</v>
      </c>
      <c r="N29" t="s">
        <v>281</v>
      </c>
    </row>
    <row r="30" spans="1:14" x14ac:dyDescent="0.25">
      <c r="A30" t="s">
        <v>7</v>
      </c>
      <c r="B30" t="s">
        <v>287</v>
      </c>
      <c r="C30" t="s">
        <v>161</v>
      </c>
      <c r="D30" t="s">
        <v>162</v>
      </c>
      <c r="E30" t="str">
        <f t="shared" si="0"/>
        <v>Jeffrey King</v>
      </c>
      <c r="F30" s="6">
        <v>93470</v>
      </c>
      <c r="G30" s="6" t="str">
        <f t="shared" si="2"/>
        <v>9347055</v>
      </c>
      <c r="H30" s="1">
        <v>46023</v>
      </c>
      <c r="I30" s="1">
        <v>46114</v>
      </c>
      <c r="J30" t="s">
        <v>4</v>
      </c>
      <c r="K30" t="s">
        <v>88</v>
      </c>
      <c r="L30" s="2">
        <v>353</v>
      </c>
      <c r="M30" t="s">
        <v>277</v>
      </c>
      <c r="N30" t="s">
        <v>281</v>
      </c>
    </row>
    <row r="31" spans="1:14" x14ac:dyDescent="0.25">
      <c r="A31" t="s">
        <v>7</v>
      </c>
      <c r="B31" t="s">
        <v>287</v>
      </c>
      <c r="C31" t="s">
        <v>164</v>
      </c>
      <c r="D31" t="s">
        <v>165</v>
      </c>
      <c r="E31" t="str">
        <f t="shared" si="0"/>
        <v>Joseph Maglicco</v>
      </c>
      <c r="F31" s="6">
        <v>81240</v>
      </c>
      <c r="G31" s="6" t="str">
        <f t="shared" si="2"/>
        <v>8124055</v>
      </c>
      <c r="H31" s="1">
        <v>46023</v>
      </c>
      <c r="I31" s="1">
        <v>46114</v>
      </c>
      <c r="J31" t="s">
        <v>4</v>
      </c>
      <c r="K31" t="s">
        <v>88</v>
      </c>
      <c r="L31" s="2">
        <v>353</v>
      </c>
      <c r="M31" t="s">
        <v>277</v>
      </c>
      <c r="N31" t="s">
        <v>281</v>
      </c>
    </row>
    <row r="32" spans="1:14" x14ac:dyDescent="0.25">
      <c r="A32" t="s">
        <v>7</v>
      </c>
      <c r="B32" t="s">
        <v>287</v>
      </c>
      <c r="C32" t="s">
        <v>12</v>
      </c>
      <c r="D32" t="s">
        <v>165</v>
      </c>
      <c r="E32" t="str">
        <f t="shared" si="0"/>
        <v>Karen Maglicco</v>
      </c>
      <c r="F32" s="6">
        <v>72730</v>
      </c>
      <c r="G32" s="6" t="str">
        <f t="shared" si="2"/>
        <v>7273055</v>
      </c>
      <c r="H32" s="1">
        <v>46023</v>
      </c>
      <c r="I32" s="1">
        <v>46114</v>
      </c>
      <c r="J32" t="s">
        <v>4</v>
      </c>
      <c r="K32" t="s">
        <v>88</v>
      </c>
      <c r="L32" s="2">
        <v>353</v>
      </c>
      <c r="M32" t="s">
        <v>277</v>
      </c>
      <c r="N32" t="s">
        <v>281</v>
      </c>
    </row>
    <row r="33" spans="1:14" x14ac:dyDescent="0.25">
      <c r="A33" t="s">
        <v>7</v>
      </c>
      <c r="B33" t="s">
        <v>287</v>
      </c>
      <c r="C33" t="s">
        <v>168</v>
      </c>
      <c r="D33" t="s">
        <v>169</v>
      </c>
      <c r="E33" t="str">
        <f t="shared" si="0"/>
        <v>Cheryl Martorana</v>
      </c>
      <c r="F33" s="6">
        <v>15000</v>
      </c>
      <c r="G33" s="6" t="str">
        <f t="shared" si="2"/>
        <v>1500055</v>
      </c>
      <c r="H33" s="1">
        <v>46023</v>
      </c>
      <c r="I33" s="1">
        <v>46114</v>
      </c>
      <c r="J33" t="s">
        <v>4</v>
      </c>
      <c r="K33" t="s">
        <v>88</v>
      </c>
      <c r="L33" s="2">
        <v>353</v>
      </c>
      <c r="M33" t="s">
        <v>277</v>
      </c>
      <c r="N33" t="s">
        <v>281</v>
      </c>
    </row>
    <row r="34" spans="1:14" x14ac:dyDescent="0.25">
      <c r="A34" t="s">
        <v>7</v>
      </c>
      <c r="B34" t="s">
        <v>287</v>
      </c>
      <c r="C34" t="s">
        <v>42</v>
      </c>
      <c r="D34" t="s">
        <v>171</v>
      </c>
      <c r="E34" t="str">
        <f t="shared" si="0"/>
        <v>Tina Moon</v>
      </c>
      <c r="F34" s="6">
        <v>12630</v>
      </c>
      <c r="G34" s="6" t="str">
        <f t="shared" si="2"/>
        <v>1263055</v>
      </c>
      <c r="H34" s="1">
        <v>46023</v>
      </c>
      <c r="I34" s="1">
        <v>46114</v>
      </c>
      <c r="J34" t="s">
        <v>4</v>
      </c>
      <c r="K34" t="s">
        <v>88</v>
      </c>
      <c r="L34" s="2">
        <v>353</v>
      </c>
      <c r="M34" t="s">
        <v>277</v>
      </c>
      <c r="N34" t="s">
        <v>281</v>
      </c>
    </row>
    <row r="35" spans="1:14" x14ac:dyDescent="0.25">
      <c r="A35" t="s">
        <v>7</v>
      </c>
      <c r="B35" t="s">
        <v>287</v>
      </c>
      <c r="C35" t="s">
        <v>115</v>
      </c>
      <c r="D35" t="s">
        <v>116</v>
      </c>
      <c r="E35" t="str">
        <f t="shared" si="0"/>
        <v>Janice Kendall</v>
      </c>
      <c r="F35" s="6">
        <v>20220</v>
      </c>
      <c r="G35" s="6" t="str">
        <f t="shared" si="2"/>
        <v>2022055</v>
      </c>
      <c r="H35" s="1">
        <v>45992</v>
      </c>
      <c r="I35" s="1">
        <v>46114</v>
      </c>
      <c r="J35" t="s">
        <v>4</v>
      </c>
      <c r="K35" t="s">
        <v>88</v>
      </c>
      <c r="L35" s="2">
        <v>353</v>
      </c>
      <c r="M35" t="s">
        <v>277</v>
      </c>
      <c r="N35" t="s">
        <v>281</v>
      </c>
    </row>
    <row r="36" spans="1:14" x14ac:dyDescent="0.25">
      <c r="A36" t="s">
        <v>7</v>
      </c>
      <c r="B36" t="s">
        <v>287</v>
      </c>
      <c r="C36" t="s">
        <v>75</v>
      </c>
      <c r="D36" t="s">
        <v>76</v>
      </c>
      <c r="E36" t="str">
        <f t="shared" si="0"/>
        <v>Richard Hartman</v>
      </c>
      <c r="F36" s="6">
        <v>6530</v>
      </c>
      <c r="G36" s="6" t="str">
        <f t="shared" si="2"/>
        <v>653055</v>
      </c>
      <c r="H36" s="1">
        <v>45962</v>
      </c>
      <c r="I36" s="1">
        <v>46114</v>
      </c>
      <c r="J36" t="s">
        <v>4</v>
      </c>
      <c r="K36" t="s">
        <v>11</v>
      </c>
      <c r="L36" s="2">
        <v>88.25</v>
      </c>
      <c r="M36" t="s">
        <v>277</v>
      </c>
      <c r="N36" t="s">
        <v>279</v>
      </c>
    </row>
    <row r="37" spans="1:14" x14ac:dyDescent="0.25">
      <c r="A37" t="s">
        <v>7</v>
      </c>
      <c r="B37" t="s">
        <v>287</v>
      </c>
      <c r="C37" t="s">
        <v>109</v>
      </c>
      <c r="D37" t="s">
        <v>49</v>
      </c>
      <c r="E37" t="str">
        <f t="shared" si="0"/>
        <v>Elaine Wasko</v>
      </c>
      <c r="F37" s="6">
        <v>88580</v>
      </c>
      <c r="G37" s="6" t="str">
        <f t="shared" si="2"/>
        <v>8858055</v>
      </c>
      <c r="H37" s="1">
        <v>45962</v>
      </c>
      <c r="I37" s="1">
        <v>46114</v>
      </c>
      <c r="J37" t="s">
        <v>4</v>
      </c>
      <c r="K37" t="s">
        <v>88</v>
      </c>
      <c r="L37" s="2">
        <v>353</v>
      </c>
      <c r="M37" t="s">
        <v>277</v>
      </c>
      <c r="N37" t="s">
        <v>281</v>
      </c>
    </row>
    <row r="38" spans="1:14" x14ac:dyDescent="0.25">
      <c r="A38" t="s">
        <v>7</v>
      </c>
      <c r="B38" t="s">
        <v>287</v>
      </c>
      <c r="C38" t="s">
        <v>68</v>
      </c>
      <c r="D38" t="s">
        <v>69</v>
      </c>
      <c r="E38" t="str">
        <f t="shared" si="0"/>
        <v>Marylou Bichler</v>
      </c>
      <c r="F38" s="6">
        <v>94210</v>
      </c>
      <c r="G38" s="6" t="str">
        <f t="shared" si="2"/>
        <v>9421055</v>
      </c>
      <c r="H38" s="1">
        <v>45931</v>
      </c>
      <c r="I38" s="1">
        <v>46114</v>
      </c>
      <c r="J38" t="s">
        <v>4</v>
      </c>
      <c r="K38" t="s">
        <v>11</v>
      </c>
      <c r="L38" s="2">
        <v>88.25</v>
      </c>
      <c r="M38" t="s">
        <v>277</v>
      </c>
      <c r="N38" t="s">
        <v>279</v>
      </c>
    </row>
    <row r="39" spans="1:14" x14ac:dyDescent="0.25">
      <c r="A39" t="s">
        <v>7</v>
      </c>
      <c r="B39" t="s">
        <v>287</v>
      </c>
      <c r="C39" t="s">
        <v>71</v>
      </c>
      <c r="D39" t="s">
        <v>72</v>
      </c>
      <c r="E39" t="str">
        <f t="shared" si="0"/>
        <v>Michelle Mcknight</v>
      </c>
      <c r="F39" s="6">
        <v>9640</v>
      </c>
      <c r="G39" s="6" t="str">
        <f t="shared" si="2"/>
        <v>964055</v>
      </c>
      <c r="H39" s="1">
        <v>45931</v>
      </c>
      <c r="I39" s="1">
        <v>46114</v>
      </c>
      <c r="J39" t="s">
        <v>4</v>
      </c>
      <c r="K39" t="s">
        <v>11</v>
      </c>
      <c r="L39" s="2">
        <v>88.25</v>
      </c>
      <c r="M39" t="s">
        <v>277</v>
      </c>
      <c r="N39" t="s">
        <v>279</v>
      </c>
    </row>
    <row r="40" spans="1:14" x14ac:dyDescent="0.25">
      <c r="A40" t="s">
        <v>7</v>
      </c>
      <c r="B40" t="s">
        <v>287</v>
      </c>
      <c r="C40" t="s">
        <v>8</v>
      </c>
      <c r="D40" t="s">
        <v>49</v>
      </c>
      <c r="E40" t="str">
        <f t="shared" si="0"/>
        <v>Daniel Wasko</v>
      </c>
      <c r="F40" s="6">
        <v>11490</v>
      </c>
      <c r="G40" s="6" t="str">
        <f t="shared" si="2"/>
        <v>1149055</v>
      </c>
      <c r="H40" s="1">
        <v>45931</v>
      </c>
      <c r="I40" s="1">
        <v>46114</v>
      </c>
      <c r="J40" t="s">
        <v>4</v>
      </c>
      <c r="K40" t="s">
        <v>11</v>
      </c>
      <c r="L40" s="2">
        <v>88.25</v>
      </c>
      <c r="M40" t="s">
        <v>277</v>
      </c>
      <c r="N40" t="s">
        <v>279</v>
      </c>
    </row>
    <row r="41" spans="1:14" x14ac:dyDescent="0.25">
      <c r="A41" t="s">
        <v>7</v>
      </c>
      <c r="B41" t="s">
        <v>287</v>
      </c>
      <c r="C41" t="s">
        <v>45</v>
      </c>
      <c r="D41" t="s">
        <v>63</v>
      </c>
      <c r="E41" t="str">
        <f t="shared" si="0"/>
        <v>William Steinmetz</v>
      </c>
      <c r="F41" s="6">
        <v>71450</v>
      </c>
      <c r="G41" s="6" t="str">
        <f t="shared" si="2"/>
        <v>7145055</v>
      </c>
      <c r="H41" s="1">
        <v>45839</v>
      </c>
      <c r="I41" s="1">
        <v>46114</v>
      </c>
      <c r="J41" t="s">
        <v>4</v>
      </c>
      <c r="K41" t="s">
        <v>11</v>
      </c>
      <c r="L41" s="2">
        <v>88.25</v>
      </c>
      <c r="M41" t="s">
        <v>277</v>
      </c>
      <c r="N41" t="s">
        <v>279</v>
      </c>
    </row>
    <row r="42" spans="1:14" x14ac:dyDescent="0.25">
      <c r="A42" t="s">
        <v>7</v>
      </c>
      <c r="B42" t="s">
        <v>287</v>
      </c>
      <c r="C42" t="s">
        <v>65</v>
      </c>
      <c r="D42" t="s">
        <v>66</v>
      </c>
      <c r="E42" t="str">
        <f t="shared" si="0"/>
        <v>Martha Tapia Solorio</v>
      </c>
      <c r="F42" s="6">
        <v>19030</v>
      </c>
      <c r="G42" s="6" t="str">
        <f t="shared" si="2"/>
        <v>1903055</v>
      </c>
      <c r="H42" s="1">
        <v>45839</v>
      </c>
      <c r="I42" s="1">
        <v>46114</v>
      </c>
      <c r="J42" t="s">
        <v>4</v>
      </c>
      <c r="K42" t="s">
        <v>11</v>
      </c>
      <c r="L42" s="2">
        <v>88.25</v>
      </c>
      <c r="M42" t="s">
        <v>277</v>
      </c>
      <c r="N42" t="s">
        <v>279</v>
      </c>
    </row>
    <row r="43" spans="1:14" x14ac:dyDescent="0.25">
      <c r="A43" t="s">
        <v>7</v>
      </c>
      <c r="B43" t="s">
        <v>287</v>
      </c>
      <c r="C43" t="s">
        <v>111</v>
      </c>
      <c r="D43" t="s">
        <v>112</v>
      </c>
      <c r="E43" t="str">
        <f t="shared" si="0"/>
        <v>Theresa Bonetti</v>
      </c>
      <c r="F43" s="6">
        <v>96330</v>
      </c>
      <c r="G43" s="6" t="str">
        <f t="shared" si="2"/>
        <v>9633055</v>
      </c>
      <c r="H43" s="1">
        <v>45839</v>
      </c>
      <c r="I43" s="1">
        <v>46114</v>
      </c>
      <c r="J43" t="s">
        <v>4</v>
      </c>
      <c r="K43" t="s">
        <v>88</v>
      </c>
      <c r="L43" s="2">
        <v>353</v>
      </c>
      <c r="M43" t="s">
        <v>277</v>
      </c>
      <c r="N43" t="s">
        <v>281</v>
      </c>
    </row>
    <row r="44" spans="1:14" x14ac:dyDescent="0.25">
      <c r="A44" t="s">
        <v>7</v>
      </c>
      <c r="B44" t="s">
        <v>287</v>
      </c>
      <c r="C44" t="s">
        <v>60</v>
      </c>
      <c r="D44" t="s">
        <v>61</v>
      </c>
      <c r="E44" t="str">
        <f t="shared" si="0"/>
        <v>James Cox</v>
      </c>
      <c r="F44" s="6">
        <v>35830</v>
      </c>
      <c r="G44" s="6" t="str">
        <f t="shared" si="2"/>
        <v>3583055</v>
      </c>
      <c r="H44" s="1">
        <v>45809</v>
      </c>
      <c r="I44" s="1">
        <v>46114</v>
      </c>
      <c r="J44" t="s">
        <v>4</v>
      </c>
      <c r="K44" t="s">
        <v>11</v>
      </c>
      <c r="L44" s="2">
        <v>88.25</v>
      </c>
      <c r="M44" t="s">
        <v>277</v>
      </c>
      <c r="N44" t="s">
        <v>279</v>
      </c>
    </row>
    <row r="45" spans="1:14" x14ac:dyDescent="0.25">
      <c r="A45" t="s">
        <v>7</v>
      </c>
      <c r="B45" t="s">
        <v>287</v>
      </c>
      <c r="C45" t="s">
        <v>57</v>
      </c>
      <c r="D45" t="s">
        <v>58</v>
      </c>
      <c r="E45" t="str">
        <f t="shared" si="0"/>
        <v>Terence Jacob</v>
      </c>
      <c r="F45" s="6">
        <v>67170</v>
      </c>
      <c r="G45" s="6" t="str">
        <f t="shared" si="2"/>
        <v>6717055</v>
      </c>
      <c r="H45" s="1">
        <v>45778</v>
      </c>
      <c r="I45" s="1">
        <v>46114</v>
      </c>
      <c r="J45" t="s">
        <v>4</v>
      </c>
      <c r="K45" t="s">
        <v>11</v>
      </c>
      <c r="L45" s="2">
        <v>88.25</v>
      </c>
      <c r="M45" t="s">
        <v>277</v>
      </c>
      <c r="N45" t="s">
        <v>279</v>
      </c>
    </row>
    <row r="46" spans="1:14" x14ac:dyDescent="0.25">
      <c r="A46" t="s">
        <v>7</v>
      </c>
      <c r="B46" t="s">
        <v>287</v>
      </c>
      <c r="C46" t="s">
        <v>54</v>
      </c>
      <c r="D46" t="s">
        <v>55</v>
      </c>
      <c r="E46" t="str">
        <f t="shared" si="0"/>
        <v>Jayne Capane</v>
      </c>
      <c r="F46" s="6">
        <v>69680</v>
      </c>
      <c r="G46" s="6" t="str">
        <f t="shared" si="2"/>
        <v>6968055</v>
      </c>
      <c r="H46" s="1">
        <v>45748</v>
      </c>
      <c r="I46" s="1">
        <v>46114</v>
      </c>
      <c r="J46" t="s">
        <v>4</v>
      </c>
      <c r="K46" t="s">
        <v>11</v>
      </c>
      <c r="L46" s="2">
        <v>88.25</v>
      </c>
      <c r="M46" t="s">
        <v>277</v>
      </c>
      <c r="N46" t="s">
        <v>279</v>
      </c>
    </row>
    <row r="47" spans="1:14" x14ac:dyDescent="0.25">
      <c r="A47" t="s">
        <v>7</v>
      </c>
      <c r="B47" t="s">
        <v>287</v>
      </c>
      <c r="C47" t="s">
        <v>51</v>
      </c>
      <c r="D47" t="s">
        <v>52</v>
      </c>
      <c r="E47" t="str">
        <f t="shared" si="0"/>
        <v>Kathleen Vennare</v>
      </c>
      <c r="F47" s="6">
        <v>80240</v>
      </c>
      <c r="G47" s="6" t="str">
        <f t="shared" si="2"/>
        <v>8024055</v>
      </c>
      <c r="H47" s="1">
        <v>45689</v>
      </c>
      <c r="I47" s="1">
        <v>46114</v>
      </c>
      <c r="J47" t="s">
        <v>4</v>
      </c>
      <c r="K47" t="s">
        <v>11</v>
      </c>
      <c r="L47" s="2">
        <v>88.25</v>
      </c>
      <c r="M47" t="s">
        <v>277</v>
      </c>
      <c r="N47" t="s">
        <v>279</v>
      </c>
    </row>
    <row r="48" spans="1:14" x14ac:dyDescent="0.25">
      <c r="A48" t="s">
        <v>7</v>
      </c>
      <c r="B48">
        <v>18710070</v>
      </c>
      <c r="C48" t="s">
        <v>29</v>
      </c>
      <c r="D48" t="s">
        <v>30</v>
      </c>
      <c r="E48" t="str">
        <f t="shared" si="0"/>
        <v>Luann Casteel</v>
      </c>
      <c r="F48" s="6">
        <v>26570</v>
      </c>
      <c r="G48" s="6" t="str">
        <f t="shared" si="2"/>
        <v>2657055</v>
      </c>
      <c r="H48" s="1">
        <v>45658</v>
      </c>
      <c r="I48" s="1">
        <v>46114</v>
      </c>
      <c r="J48" t="s">
        <v>4</v>
      </c>
      <c r="K48" t="s">
        <v>11</v>
      </c>
      <c r="L48" s="2">
        <v>88.25</v>
      </c>
      <c r="M48" t="s">
        <v>277</v>
      </c>
      <c r="N48" t="s">
        <v>279</v>
      </c>
    </row>
    <row r="49" spans="1:14" x14ac:dyDescent="0.25">
      <c r="A49" t="s">
        <v>7</v>
      </c>
      <c r="B49">
        <v>18710070</v>
      </c>
      <c r="C49" t="s">
        <v>32</v>
      </c>
      <c r="D49" t="s">
        <v>33</v>
      </c>
      <c r="E49" t="str">
        <f t="shared" si="0"/>
        <v>Gerald Vitale</v>
      </c>
      <c r="F49" s="6">
        <v>48560</v>
      </c>
      <c r="G49" s="6" t="str">
        <f t="shared" si="2"/>
        <v>4856055</v>
      </c>
      <c r="H49" s="1">
        <v>45658</v>
      </c>
      <c r="I49" s="1">
        <v>46114</v>
      </c>
      <c r="J49" t="s">
        <v>4</v>
      </c>
      <c r="K49" t="s">
        <v>11</v>
      </c>
      <c r="L49" s="2">
        <v>88.25</v>
      </c>
      <c r="M49" t="s">
        <v>277</v>
      </c>
      <c r="N49" t="s">
        <v>279</v>
      </c>
    </row>
    <row r="50" spans="1:14" x14ac:dyDescent="0.25">
      <c r="A50" t="s">
        <v>7</v>
      </c>
      <c r="B50">
        <v>18710070</v>
      </c>
      <c r="C50" t="s">
        <v>35</v>
      </c>
      <c r="D50" t="s">
        <v>33</v>
      </c>
      <c r="E50" t="str">
        <f t="shared" si="0"/>
        <v>Kathy Vitale</v>
      </c>
      <c r="F50" s="6">
        <v>20120</v>
      </c>
      <c r="G50" s="6" t="str">
        <f t="shared" si="2"/>
        <v>2012055</v>
      </c>
      <c r="H50" s="1">
        <v>45658</v>
      </c>
      <c r="I50" s="1">
        <v>46114</v>
      </c>
      <c r="J50" t="s">
        <v>4</v>
      </c>
      <c r="K50" t="s">
        <v>11</v>
      </c>
      <c r="L50" s="2">
        <v>88.25</v>
      </c>
      <c r="M50" t="s">
        <v>277</v>
      </c>
      <c r="N50" t="s">
        <v>279</v>
      </c>
    </row>
    <row r="51" spans="1:14" x14ac:dyDescent="0.25">
      <c r="A51" t="s">
        <v>7</v>
      </c>
      <c r="B51">
        <v>18710070</v>
      </c>
      <c r="C51" t="s">
        <v>37</v>
      </c>
      <c r="D51" t="s">
        <v>38</v>
      </c>
      <c r="E51" t="str">
        <f t="shared" si="0"/>
        <v>Genevieve Miller</v>
      </c>
      <c r="F51" s="6">
        <v>36040</v>
      </c>
      <c r="G51" s="6" t="str">
        <f t="shared" si="2"/>
        <v>3604055</v>
      </c>
      <c r="H51" s="1">
        <v>45658</v>
      </c>
      <c r="I51" s="1">
        <v>46114</v>
      </c>
      <c r="J51" t="s">
        <v>4</v>
      </c>
      <c r="K51" t="s">
        <v>11</v>
      </c>
      <c r="L51" s="2">
        <v>88.25</v>
      </c>
      <c r="M51" t="s">
        <v>277</v>
      </c>
      <c r="N51" t="s">
        <v>279</v>
      </c>
    </row>
    <row r="52" spans="1:14" x14ac:dyDescent="0.25">
      <c r="A52" t="s">
        <v>7</v>
      </c>
      <c r="B52">
        <v>18710070</v>
      </c>
      <c r="C52" t="s">
        <v>20</v>
      </c>
      <c r="D52" t="s">
        <v>40</v>
      </c>
      <c r="E52" t="str">
        <f t="shared" si="0"/>
        <v>Ronald Bartman</v>
      </c>
      <c r="F52" s="6">
        <v>31240</v>
      </c>
      <c r="G52" s="6" t="str">
        <f t="shared" si="2"/>
        <v>3124055</v>
      </c>
      <c r="H52" s="1">
        <v>45658</v>
      </c>
      <c r="I52" s="1">
        <v>46114</v>
      </c>
      <c r="J52" t="s">
        <v>4</v>
      </c>
      <c r="K52" t="s">
        <v>11</v>
      </c>
      <c r="L52" s="2">
        <v>88.25</v>
      </c>
      <c r="M52" t="s">
        <v>277</v>
      </c>
      <c r="N52" t="s">
        <v>279</v>
      </c>
    </row>
    <row r="53" spans="1:14" x14ac:dyDescent="0.25">
      <c r="A53" t="s">
        <v>7</v>
      </c>
      <c r="B53">
        <v>18710070</v>
      </c>
      <c r="C53" t="s">
        <v>42</v>
      </c>
      <c r="D53" t="s">
        <v>43</v>
      </c>
      <c r="E53" t="str">
        <f t="shared" si="0"/>
        <v>Tina Cassidy</v>
      </c>
      <c r="F53" s="6">
        <v>72580</v>
      </c>
      <c r="G53" s="6" t="str">
        <f t="shared" si="2"/>
        <v>7258055</v>
      </c>
      <c r="H53" s="1">
        <v>45658</v>
      </c>
      <c r="I53" s="1">
        <v>46114</v>
      </c>
      <c r="J53" t="s">
        <v>4</v>
      </c>
      <c r="K53" t="s">
        <v>11</v>
      </c>
      <c r="L53" s="2">
        <v>88.25</v>
      </c>
      <c r="M53" t="s">
        <v>277</v>
      </c>
      <c r="N53" t="s">
        <v>279</v>
      </c>
    </row>
    <row r="54" spans="1:14" x14ac:dyDescent="0.25">
      <c r="A54" t="s">
        <v>7</v>
      </c>
      <c r="B54">
        <v>18710070</v>
      </c>
      <c r="C54" t="s">
        <v>45</v>
      </c>
      <c r="D54" t="s">
        <v>46</v>
      </c>
      <c r="E54" t="str">
        <f t="shared" si="0"/>
        <v>William Lenhart</v>
      </c>
      <c r="F54" s="6">
        <v>93190</v>
      </c>
      <c r="G54" s="6" t="str">
        <f t="shared" si="2"/>
        <v>9319055</v>
      </c>
      <c r="H54" s="1">
        <v>45658</v>
      </c>
      <c r="I54" s="1">
        <v>46114</v>
      </c>
      <c r="J54" t="s">
        <v>4</v>
      </c>
      <c r="K54" t="s">
        <v>11</v>
      </c>
      <c r="L54" s="2">
        <v>88.25</v>
      </c>
      <c r="M54" t="s">
        <v>277</v>
      </c>
      <c r="N54" t="s">
        <v>279</v>
      </c>
    </row>
    <row r="55" spans="1:14" x14ac:dyDescent="0.25">
      <c r="A55" t="s">
        <v>7</v>
      </c>
      <c r="B55">
        <v>18710070</v>
      </c>
      <c r="C55" t="s">
        <v>48</v>
      </c>
      <c r="D55" t="s">
        <v>49</v>
      </c>
      <c r="E55" t="str">
        <f t="shared" si="0"/>
        <v>David Wasko</v>
      </c>
      <c r="F55" s="6">
        <v>73120</v>
      </c>
      <c r="G55" s="6" t="str">
        <f t="shared" si="2"/>
        <v>7312055</v>
      </c>
      <c r="H55" s="1">
        <v>45658</v>
      </c>
      <c r="I55" s="1">
        <v>46114</v>
      </c>
      <c r="J55" t="s">
        <v>4</v>
      </c>
      <c r="K55" t="s">
        <v>11</v>
      </c>
      <c r="L55" s="2">
        <v>88.25</v>
      </c>
      <c r="M55" t="s">
        <v>277</v>
      </c>
      <c r="N55" t="s">
        <v>279</v>
      </c>
    </row>
    <row r="56" spans="1:14" x14ac:dyDescent="0.25">
      <c r="A56" t="s">
        <v>7</v>
      </c>
      <c r="B56">
        <v>18710070</v>
      </c>
      <c r="C56" t="s">
        <v>103</v>
      </c>
      <c r="D56" t="s">
        <v>104</v>
      </c>
      <c r="E56" t="str">
        <f t="shared" si="0"/>
        <v>Alan Shaffer</v>
      </c>
      <c r="F56" s="6">
        <v>76470</v>
      </c>
      <c r="G56" s="6" t="str">
        <f t="shared" si="2"/>
        <v>7647055</v>
      </c>
      <c r="H56" s="1">
        <v>45658</v>
      </c>
      <c r="I56" s="1">
        <v>46114</v>
      </c>
      <c r="J56" t="s">
        <v>4</v>
      </c>
      <c r="K56" t="s">
        <v>88</v>
      </c>
      <c r="L56" s="2">
        <v>353</v>
      </c>
      <c r="M56" t="s">
        <v>277</v>
      </c>
      <c r="N56" t="s">
        <v>281</v>
      </c>
    </row>
    <row r="57" spans="1:14" x14ac:dyDescent="0.25">
      <c r="A57" t="s">
        <v>7</v>
      </c>
      <c r="B57">
        <v>18710070</v>
      </c>
      <c r="C57" t="s">
        <v>106</v>
      </c>
      <c r="D57" t="s">
        <v>107</v>
      </c>
      <c r="E57" t="str">
        <f t="shared" si="0"/>
        <v>Barbra Zagurasky</v>
      </c>
      <c r="F57" s="6">
        <v>73030</v>
      </c>
      <c r="G57" s="6" t="str">
        <f t="shared" si="2"/>
        <v>7303055</v>
      </c>
      <c r="H57" s="1">
        <v>45658</v>
      </c>
      <c r="I57" s="1">
        <v>46114</v>
      </c>
      <c r="J57" t="s">
        <v>4</v>
      </c>
      <c r="K57" t="s">
        <v>88</v>
      </c>
      <c r="L57" s="2">
        <v>353</v>
      </c>
      <c r="M57" t="s">
        <v>277</v>
      </c>
      <c r="N57" t="s">
        <v>281</v>
      </c>
    </row>
    <row r="58" spans="1:14" x14ac:dyDescent="0.25">
      <c r="A58" t="s">
        <v>7</v>
      </c>
      <c r="B58">
        <v>18710070</v>
      </c>
      <c r="C58" t="s">
        <v>109</v>
      </c>
      <c r="D58" t="s">
        <v>101</v>
      </c>
      <c r="E58" t="str">
        <f t="shared" si="0"/>
        <v>Elaine Hillgartner</v>
      </c>
      <c r="F58" s="6">
        <v>43480</v>
      </c>
      <c r="G58" s="6" t="str">
        <f t="shared" si="2"/>
        <v>4348055</v>
      </c>
      <c r="H58" s="1">
        <v>45658</v>
      </c>
      <c r="I58" s="1">
        <v>46114</v>
      </c>
      <c r="J58" t="s">
        <v>4</v>
      </c>
      <c r="K58" t="s">
        <v>88</v>
      </c>
      <c r="L58" s="2">
        <v>353</v>
      </c>
      <c r="M58" t="s">
        <v>277</v>
      </c>
      <c r="N58" t="s">
        <v>281</v>
      </c>
    </row>
    <row r="59" spans="1:14" x14ac:dyDescent="0.25">
      <c r="A59" t="s">
        <v>7</v>
      </c>
      <c r="B59">
        <v>18710070</v>
      </c>
      <c r="C59" t="s">
        <v>23</v>
      </c>
      <c r="D59" t="s">
        <v>24</v>
      </c>
      <c r="E59" t="str">
        <f t="shared" si="0"/>
        <v>Jean Mullenix</v>
      </c>
      <c r="F59" s="6">
        <v>19090</v>
      </c>
      <c r="G59" s="6" t="str">
        <f t="shared" si="2"/>
        <v>1909055</v>
      </c>
      <c r="H59" s="1">
        <v>45566</v>
      </c>
      <c r="I59" s="1">
        <v>46114</v>
      </c>
      <c r="J59" t="s">
        <v>4</v>
      </c>
      <c r="K59" t="s">
        <v>11</v>
      </c>
      <c r="L59" s="2">
        <v>88.25</v>
      </c>
      <c r="M59" t="s">
        <v>277</v>
      </c>
      <c r="N59" t="s">
        <v>279</v>
      </c>
    </row>
    <row r="60" spans="1:14" x14ac:dyDescent="0.25">
      <c r="A60" t="s">
        <v>7</v>
      </c>
      <c r="B60">
        <v>18710070</v>
      </c>
      <c r="C60" t="s">
        <v>26</v>
      </c>
      <c r="D60" t="s">
        <v>27</v>
      </c>
      <c r="E60" t="str">
        <f t="shared" si="0"/>
        <v>Mark Siwik</v>
      </c>
      <c r="F60" s="6">
        <v>47820</v>
      </c>
      <c r="G60" s="6" t="str">
        <f t="shared" si="2"/>
        <v>4782055</v>
      </c>
      <c r="H60" s="1">
        <v>45566</v>
      </c>
      <c r="I60" s="1">
        <v>46114</v>
      </c>
      <c r="J60" t="s">
        <v>4</v>
      </c>
      <c r="K60" t="s">
        <v>11</v>
      </c>
      <c r="L60" s="2">
        <v>88.25</v>
      </c>
      <c r="M60" t="s">
        <v>277</v>
      </c>
      <c r="N60" t="s">
        <v>279</v>
      </c>
    </row>
    <row r="61" spans="1:14" x14ac:dyDescent="0.25">
      <c r="A61" t="s">
        <v>7</v>
      </c>
      <c r="B61">
        <v>18710070</v>
      </c>
      <c r="C61" t="s">
        <v>94</v>
      </c>
      <c r="D61" t="s">
        <v>95</v>
      </c>
      <c r="E61" t="str">
        <f t="shared" si="0"/>
        <v>Jeff Dean</v>
      </c>
      <c r="F61" s="6">
        <v>24780</v>
      </c>
      <c r="G61" s="6" t="str">
        <f t="shared" si="2"/>
        <v>2478055</v>
      </c>
      <c r="H61" s="1">
        <v>45292</v>
      </c>
      <c r="I61" s="1">
        <v>46114</v>
      </c>
      <c r="J61" t="s">
        <v>4</v>
      </c>
      <c r="K61" t="s">
        <v>88</v>
      </c>
      <c r="L61" s="2">
        <v>353</v>
      </c>
      <c r="M61" t="s">
        <v>277</v>
      </c>
      <c r="N61" t="s">
        <v>281</v>
      </c>
    </row>
    <row r="62" spans="1:14" x14ac:dyDescent="0.25">
      <c r="A62" t="s">
        <v>7</v>
      </c>
      <c r="B62">
        <v>18710070</v>
      </c>
      <c r="C62" t="s">
        <v>97</v>
      </c>
      <c r="D62" t="s">
        <v>98</v>
      </c>
      <c r="E62" t="str">
        <f t="shared" si="0"/>
        <v>Bernadette Little</v>
      </c>
      <c r="F62" s="6">
        <v>39920</v>
      </c>
      <c r="G62" s="6" t="str">
        <f t="shared" si="2"/>
        <v>3992055</v>
      </c>
      <c r="H62" s="1">
        <v>45292</v>
      </c>
      <c r="I62" s="1">
        <v>46114</v>
      </c>
      <c r="J62" t="s">
        <v>4</v>
      </c>
      <c r="K62" t="s">
        <v>88</v>
      </c>
      <c r="L62" s="2">
        <v>353</v>
      </c>
      <c r="M62" t="s">
        <v>277</v>
      </c>
      <c r="N62" t="s">
        <v>281</v>
      </c>
    </row>
    <row r="63" spans="1:14" x14ac:dyDescent="0.25">
      <c r="A63" t="s">
        <v>7</v>
      </c>
      <c r="B63">
        <v>18710070</v>
      </c>
      <c r="C63" t="s">
        <v>100</v>
      </c>
      <c r="D63" t="s">
        <v>101</v>
      </c>
      <c r="E63" t="str">
        <f t="shared" si="0"/>
        <v>Donald Hillgartner</v>
      </c>
      <c r="F63" s="6">
        <v>56100</v>
      </c>
      <c r="G63" s="6" t="str">
        <f t="shared" si="2"/>
        <v>5610055</v>
      </c>
      <c r="H63" s="1">
        <v>45292</v>
      </c>
      <c r="I63" s="1">
        <v>46114</v>
      </c>
      <c r="J63" t="s">
        <v>4</v>
      </c>
      <c r="K63" t="s">
        <v>88</v>
      </c>
      <c r="L63" s="2">
        <v>353</v>
      </c>
      <c r="M63" t="s">
        <v>277</v>
      </c>
      <c r="N63" t="s">
        <v>281</v>
      </c>
    </row>
    <row r="64" spans="1:14" x14ac:dyDescent="0.25">
      <c r="A64" t="s">
        <v>7</v>
      </c>
      <c r="B64">
        <v>18710070</v>
      </c>
      <c r="C64" t="s">
        <v>20</v>
      </c>
      <c r="D64" t="s">
        <v>21</v>
      </c>
      <c r="E64" t="str">
        <f t="shared" si="0"/>
        <v>Ronald Romano</v>
      </c>
      <c r="F64" s="6">
        <v>99920</v>
      </c>
      <c r="G64" s="6" t="str">
        <f t="shared" si="2"/>
        <v>9992055</v>
      </c>
      <c r="H64" s="1">
        <v>45108</v>
      </c>
      <c r="I64" s="1">
        <v>46114</v>
      </c>
      <c r="J64" t="s">
        <v>4</v>
      </c>
      <c r="K64" t="s">
        <v>11</v>
      </c>
      <c r="L64" s="2">
        <v>88.25</v>
      </c>
      <c r="M64" t="s">
        <v>277</v>
      </c>
      <c r="N64" t="s">
        <v>279</v>
      </c>
    </row>
    <row r="65" spans="1:15" x14ac:dyDescent="0.25">
      <c r="A65" t="s">
        <v>7</v>
      </c>
      <c r="B65">
        <v>18710070</v>
      </c>
      <c r="C65" t="s">
        <v>18</v>
      </c>
      <c r="D65" t="s">
        <v>92</v>
      </c>
      <c r="E65" t="str">
        <f t="shared" si="0"/>
        <v>Susan Hecht</v>
      </c>
      <c r="F65" s="6">
        <v>19380</v>
      </c>
      <c r="G65" s="6" t="str">
        <f t="shared" si="2"/>
        <v>1938055</v>
      </c>
      <c r="H65" s="1">
        <v>45078</v>
      </c>
      <c r="I65" s="1">
        <v>46114</v>
      </c>
      <c r="J65" t="s">
        <v>4</v>
      </c>
      <c r="K65" t="s">
        <v>88</v>
      </c>
      <c r="L65" s="2">
        <v>353</v>
      </c>
      <c r="M65" t="s">
        <v>277</v>
      </c>
      <c r="N65" t="s">
        <v>281</v>
      </c>
    </row>
    <row r="66" spans="1:15" x14ac:dyDescent="0.25">
      <c r="A66" t="s">
        <v>7</v>
      </c>
      <c r="B66">
        <v>18710070</v>
      </c>
      <c r="C66" t="s">
        <v>18</v>
      </c>
      <c r="D66" t="s">
        <v>16</v>
      </c>
      <c r="E66" t="str">
        <f t="shared" si="0"/>
        <v>Susan Hoffman</v>
      </c>
      <c r="F66" s="6">
        <v>96280</v>
      </c>
      <c r="G66" s="6" t="str">
        <f t="shared" si="2"/>
        <v>9628055</v>
      </c>
      <c r="H66" s="1">
        <v>44927</v>
      </c>
      <c r="I66" s="1">
        <v>46114</v>
      </c>
      <c r="J66" t="s">
        <v>4</v>
      </c>
      <c r="K66" t="s">
        <v>11</v>
      </c>
      <c r="L66" s="2">
        <v>88.25</v>
      </c>
      <c r="M66" t="s">
        <v>277</v>
      </c>
      <c r="N66" t="s">
        <v>279</v>
      </c>
    </row>
    <row r="67" spans="1:15" x14ac:dyDescent="0.25">
      <c r="A67" t="s">
        <v>7</v>
      </c>
      <c r="B67">
        <v>18710070</v>
      </c>
      <c r="C67" t="s">
        <v>89</v>
      </c>
      <c r="D67" t="s">
        <v>90</v>
      </c>
      <c r="E67" t="str">
        <f t="shared" ref="E67:E130" si="3">CONCATENATE(C67," ",D67)</f>
        <v>Rosanne Leszcynski</v>
      </c>
      <c r="F67" s="6">
        <v>9110</v>
      </c>
      <c r="G67" s="6" t="str">
        <f t="shared" si="2"/>
        <v>911055</v>
      </c>
      <c r="H67" s="1">
        <v>44866</v>
      </c>
      <c r="I67" s="1">
        <v>46114</v>
      </c>
      <c r="J67" t="s">
        <v>4</v>
      </c>
      <c r="K67" t="s">
        <v>88</v>
      </c>
      <c r="L67" s="2">
        <v>353</v>
      </c>
      <c r="M67" t="s">
        <v>277</v>
      </c>
      <c r="N67" t="s">
        <v>281</v>
      </c>
    </row>
    <row r="68" spans="1:15" x14ac:dyDescent="0.25">
      <c r="A68" t="s">
        <v>7</v>
      </c>
      <c r="B68">
        <v>18710070</v>
      </c>
      <c r="C68" t="s">
        <v>15</v>
      </c>
      <c r="D68" t="s">
        <v>16</v>
      </c>
      <c r="E68" t="str">
        <f t="shared" si="3"/>
        <v>Kevin Hoffman</v>
      </c>
      <c r="F68" s="6">
        <v>87560</v>
      </c>
      <c r="G68" s="6" t="str">
        <f t="shared" si="2"/>
        <v>8756055</v>
      </c>
      <c r="H68" s="1">
        <v>44593</v>
      </c>
      <c r="I68" s="1">
        <v>46114</v>
      </c>
      <c r="J68" t="s">
        <v>4</v>
      </c>
      <c r="K68" t="s">
        <v>11</v>
      </c>
      <c r="L68" s="2">
        <v>88.25</v>
      </c>
      <c r="M68" t="s">
        <v>277</v>
      </c>
      <c r="N68" t="s">
        <v>279</v>
      </c>
    </row>
    <row r="69" spans="1:15" x14ac:dyDescent="0.25">
      <c r="A69" t="s">
        <v>7</v>
      </c>
      <c r="B69">
        <v>18710070</v>
      </c>
      <c r="C69" t="s">
        <v>12</v>
      </c>
      <c r="D69" t="s">
        <v>13</v>
      </c>
      <c r="E69" t="str">
        <f t="shared" si="3"/>
        <v>Karen Robertson</v>
      </c>
      <c r="F69" s="6">
        <v>51250</v>
      </c>
      <c r="G69" s="6" t="str">
        <f t="shared" si="2"/>
        <v>5125055</v>
      </c>
      <c r="H69" s="1">
        <v>44562</v>
      </c>
      <c r="I69" s="1">
        <v>46114</v>
      </c>
      <c r="J69" t="s">
        <v>4</v>
      </c>
      <c r="K69" t="s">
        <v>11</v>
      </c>
      <c r="L69" s="2">
        <v>88.25</v>
      </c>
      <c r="M69" t="s">
        <v>277</v>
      </c>
      <c r="N69" t="s">
        <v>279</v>
      </c>
    </row>
    <row r="70" spans="1:15" x14ac:dyDescent="0.25">
      <c r="A70" t="s">
        <v>7</v>
      </c>
      <c r="B70">
        <v>18710070</v>
      </c>
      <c r="C70" t="s">
        <v>85</v>
      </c>
      <c r="D70" t="s">
        <v>86</v>
      </c>
      <c r="E70" t="str">
        <f t="shared" si="3"/>
        <v>Patrick Woodford</v>
      </c>
      <c r="F70" s="6">
        <v>38540</v>
      </c>
      <c r="G70" s="6" t="str">
        <f t="shared" si="2"/>
        <v>3854055</v>
      </c>
      <c r="H70" s="1">
        <v>44562</v>
      </c>
      <c r="I70" s="1">
        <v>46114</v>
      </c>
      <c r="J70" t="s">
        <v>4</v>
      </c>
      <c r="K70" t="s">
        <v>88</v>
      </c>
      <c r="L70" s="2">
        <v>353</v>
      </c>
      <c r="M70" t="s">
        <v>277</v>
      </c>
      <c r="N70" t="s">
        <v>281</v>
      </c>
    </row>
    <row r="71" spans="1:15" x14ac:dyDescent="0.25">
      <c r="A71" t="s">
        <v>7</v>
      </c>
      <c r="B71">
        <v>18710070</v>
      </c>
      <c r="C71" t="s">
        <v>8</v>
      </c>
      <c r="D71" t="s">
        <v>9</v>
      </c>
      <c r="E71" t="str">
        <f t="shared" si="3"/>
        <v>Daniel Burkleca</v>
      </c>
      <c r="F71" s="6">
        <v>12950</v>
      </c>
      <c r="G71" s="6" t="str">
        <f t="shared" si="2"/>
        <v>1295055</v>
      </c>
      <c r="H71" s="1">
        <v>43101</v>
      </c>
      <c r="I71" s="1">
        <v>46114</v>
      </c>
      <c r="J71" t="s">
        <v>4</v>
      </c>
      <c r="K71" t="s">
        <v>11</v>
      </c>
      <c r="L71" s="2">
        <v>88.25</v>
      </c>
      <c r="M71" t="s">
        <v>277</v>
      </c>
      <c r="N71" t="s">
        <v>279</v>
      </c>
      <c r="O71">
        <f>353/12*3</f>
        <v>88.25</v>
      </c>
    </row>
    <row r="72" spans="1:15" s="3" customFormat="1" x14ac:dyDescent="0.25">
      <c r="A72" s="3" t="s">
        <v>276</v>
      </c>
      <c r="B72" s="3">
        <v>20411454</v>
      </c>
      <c r="C72" s="3" t="s">
        <v>193</v>
      </c>
      <c r="D72" s="3" t="s">
        <v>194</v>
      </c>
      <c r="E72" t="str">
        <f t="shared" si="3"/>
        <v>Lisa Edwards</v>
      </c>
      <c r="F72" s="7">
        <v>45230</v>
      </c>
      <c r="G72" s="7" t="str">
        <f>CONCATENATE(F72,"OVR")</f>
        <v>45230OVR</v>
      </c>
      <c r="H72" s="4">
        <v>46082</v>
      </c>
      <c r="I72" s="4">
        <v>46114</v>
      </c>
      <c r="J72" s="3" t="s">
        <v>4</v>
      </c>
      <c r="K72" s="3" t="s">
        <v>196</v>
      </c>
      <c r="L72" s="5">
        <v>-110</v>
      </c>
      <c r="M72" s="3" t="s">
        <v>285</v>
      </c>
    </row>
    <row r="73" spans="1:15" s="3" customFormat="1" x14ac:dyDescent="0.25">
      <c r="A73" s="3" t="s">
        <v>276</v>
      </c>
      <c r="B73" s="3">
        <v>20411454</v>
      </c>
      <c r="C73" s="3" t="s">
        <v>115</v>
      </c>
      <c r="D73" s="3" t="s">
        <v>198</v>
      </c>
      <c r="E73" t="str">
        <f t="shared" si="3"/>
        <v>Janice Chamberlain</v>
      </c>
      <c r="F73" s="7">
        <v>3630</v>
      </c>
      <c r="G73" s="7" t="str">
        <f t="shared" ref="G73:G136" si="4">CONCATENATE(F73,"OVR")</f>
        <v>3630OVR</v>
      </c>
      <c r="H73" s="4">
        <v>46054</v>
      </c>
      <c r="I73" s="4">
        <v>46114</v>
      </c>
      <c r="J73" s="3" t="s">
        <v>4</v>
      </c>
      <c r="K73" s="3" t="s">
        <v>200</v>
      </c>
      <c r="L73" s="5">
        <v>-66.459999999999994</v>
      </c>
      <c r="M73" s="3" t="s">
        <v>285</v>
      </c>
    </row>
    <row r="74" spans="1:15" s="3" customFormat="1" x14ac:dyDescent="0.25">
      <c r="A74" s="3" t="s">
        <v>276</v>
      </c>
      <c r="B74" s="3">
        <v>20411454</v>
      </c>
      <c r="C74" s="3" t="s">
        <v>1</v>
      </c>
      <c r="D74" s="3" t="s">
        <v>2</v>
      </c>
      <c r="E74" t="str">
        <f t="shared" si="3"/>
        <v>Donna Courtney</v>
      </c>
      <c r="F74" s="7">
        <v>78250</v>
      </c>
      <c r="G74" s="7" t="str">
        <f t="shared" si="4"/>
        <v>78250OVR</v>
      </c>
      <c r="H74" s="4">
        <v>45839</v>
      </c>
      <c r="I74" s="4">
        <v>46114</v>
      </c>
      <c r="J74" s="3" t="s">
        <v>4</v>
      </c>
      <c r="K74" s="3" t="s">
        <v>201</v>
      </c>
      <c r="L74" s="5">
        <v>-5.2</v>
      </c>
      <c r="M74" s="3" t="s">
        <v>285</v>
      </c>
    </row>
    <row r="75" spans="1:15" s="3" customFormat="1" x14ac:dyDescent="0.25">
      <c r="A75" s="3" t="s">
        <v>276</v>
      </c>
      <c r="B75" s="3">
        <v>20411454</v>
      </c>
      <c r="C75" s="3" t="s">
        <v>1</v>
      </c>
      <c r="D75" s="3" t="s">
        <v>2</v>
      </c>
      <c r="E75" t="str">
        <f t="shared" si="3"/>
        <v>Donna Courtney</v>
      </c>
      <c r="F75" s="7">
        <v>78250</v>
      </c>
      <c r="G75" s="7" t="str">
        <f t="shared" si="4"/>
        <v>78250OVR</v>
      </c>
      <c r="H75" s="4">
        <v>45839</v>
      </c>
      <c r="I75" s="4">
        <v>46114</v>
      </c>
      <c r="J75" s="3" t="s">
        <v>4</v>
      </c>
      <c r="K75" s="3" t="s">
        <v>202</v>
      </c>
      <c r="L75" s="5">
        <v>5.2</v>
      </c>
      <c r="M75" s="3" t="s">
        <v>285</v>
      </c>
    </row>
    <row r="76" spans="1:15" s="3" customFormat="1" x14ac:dyDescent="0.25">
      <c r="A76" s="3" t="s">
        <v>276</v>
      </c>
      <c r="B76" s="3">
        <v>20411454</v>
      </c>
      <c r="C76" s="3" t="s">
        <v>12</v>
      </c>
      <c r="D76" s="3" t="s">
        <v>13</v>
      </c>
      <c r="E76" t="str">
        <f t="shared" si="3"/>
        <v>Karen Robertson</v>
      </c>
      <c r="F76" s="7">
        <v>51250</v>
      </c>
      <c r="G76" s="7" t="str">
        <f t="shared" si="4"/>
        <v>51250OVR</v>
      </c>
      <c r="H76" s="4">
        <v>44562</v>
      </c>
      <c r="I76" s="4">
        <v>46114</v>
      </c>
      <c r="J76" s="3" t="s">
        <v>4</v>
      </c>
      <c r="K76" s="3" t="s">
        <v>203</v>
      </c>
      <c r="L76" s="5">
        <v>15.62</v>
      </c>
      <c r="M76" s="3" t="s">
        <v>285</v>
      </c>
    </row>
    <row r="77" spans="1:15" s="3" customFormat="1" x14ac:dyDescent="0.25">
      <c r="A77" s="3" t="s">
        <v>276</v>
      </c>
      <c r="B77" s="3">
        <v>20411454</v>
      </c>
      <c r="C77" s="3" t="s">
        <v>37</v>
      </c>
      <c r="D77" s="3" t="s">
        <v>38</v>
      </c>
      <c r="E77" t="str">
        <f t="shared" si="3"/>
        <v>Genevieve Miller</v>
      </c>
      <c r="F77" s="7">
        <v>36040</v>
      </c>
      <c r="G77" s="7" t="str">
        <f t="shared" si="4"/>
        <v>36040OVR</v>
      </c>
      <c r="H77" s="4">
        <v>45658</v>
      </c>
      <c r="I77" s="4">
        <v>46114</v>
      </c>
      <c r="J77" s="3" t="s">
        <v>4</v>
      </c>
      <c r="K77" s="3" t="s">
        <v>203</v>
      </c>
      <c r="L77" s="5">
        <v>15.62</v>
      </c>
      <c r="M77" s="3" t="s">
        <v>285</v>
      </c>
    </row>
    <row r="78" spans="1:15" s="3" customFormat="1" x14ac:dyDescent="0.25">
      <c r="A78" s="3" t="s">
        <v>276</v>
      </c>
      <c r="B78" s="3">
        <v>20411454</v>
      </c>
      <c r="C78" s="3" t="s">
        <v>8</v>
      </c>
      <c r="D78" s="3" t="s">
        <v>9</v>
      </c>
      <c r="E78" t="str">
        <f t="shared" si="3"/>
        <v>Daniel Burkleca</v>
      </c>
      <c r="F78" s="7">
        <v>12950</v>
      </c>
      <c r="G78" s="7" t="str">
        <f t="shared" si="4"/>
        <v>12950OVR</v>
      </c>
      <c r="H78" s="4">
        <v>43101</v>
      </c>
      <c r="I78" s="4">
        <v>46114</v>
      </c>
      <c r="J78" s="3" t="s">
        <v>4</v>
      </c>
      <c r="K78" s="3" t="s">
        <v>204</v>
      </c>
      <c r="L78" s="5">
        <v>18.12</v>
      </c>
      <c r="M78" s="3" t="s">
        <v>285</v>
      </c>
    </row>
    <row r="79" spans="1:15" s="3" customFormat="1" x14ac:dyDescent="0.25">
      <c r="A79" s="3" t="s">
        <v>276</v>
      </c>
      <c r="B79" s="3">
        <v>20411454</v>
      </c>
      <c r="C79" s="3" t="s">
        <v>15</v>
      </c>
      <c r="D79" s="3" t="s">
        <v>16</v>
      </c>
      <c r="E79" t="str">
        <f t="shared" si="3"/>
        <v>Kevin Hoffman</v>
      </c>
      <c r="F79" s="7">
        <v>87560</v>
      </c>
      <c r="G79" s="7" t="str">
        <f t="shared" si="4"/>
        <v>87560OVR</v>
      </c>
      <c r="H79" s="4">
        <v>44593</v>
      </c>
      <c r="I79" s="4">
        <v>46114</v>
      </c>
      <c r="J79" s="3" t="s">
        <v>4</v>
      </c>
      <c r="K79" s="3" t="s">
        <v>204</v>
      </c>
      <c r="L79" s="5">
        <v>18.12</v>
      </c>
      <c r="M79" s="3" t="s">
        <v>285</v>
      </c>
    </row>
    <row r="80" spans="1:15" s="3" customFormat="1" x14ac:dyDescent="0.25">
      <c r="A80" s="3" t="s">
        <v>276</v>
      </c>
      <c r="B80" s="3">
        <v>20411454</v>
      </c>
      <c r="C80" s="3" t="s">
        <v>18</v>
      </c>
      <c r="D80" s="3" t="s">
        <v>16</v>
      </c>
      <c r="E80" t="str">
        <f t="shared" si="3"/>
        <v>Susan Hoffman</v>
      </c>
      <c r="F80" s="7">
        <v>96280</v>
      </c>
      <c r="G80" s="7" t="str">
        <f t="shared" si="4"/>
        <v>96280OVR</v>
      </c>
      <c r="H80" s="4">
        <v>44927</v>
      </c>
      <c r="I80" s="4">
        <v>46114</v>
      </c>
      <c r="J80" s="3" t="s">
        <v>4</v>
      </c>
      <c r="K80" s="3" t="s">
        <v>204</v>
      </c>
      <c r="L80" s="5">
        <v>18.12</v>
      </c>
      <c r="M80" s="3" t="s">
        <v>285</v>
      </c>
    </row>
    <row r="81" spans="1:13" s="3" customFormat="1" x14ac:dyDescent="0.25">
      <c r="A81" s="3" t="s">
        <v>276</v>
      </c>
      <c r="B81" s="3">
        <v>20411454</v>
      </c>
      <c r="C81" s="3" t="s">
        <v>20</v>
      </c>
      <c r="D81" s="3" t="s">
        <v>21</v>
      </c>
      <c r="E81" t="str">
        <f t="shared" si="3"/>
        <v>Ronald Romano</v>
      </c>
      <c r="F81" s="7">
        <v>99920</v>
      </c>
      <c r="G81" s="7" t="str">
        <f t="shared" si="4"/>
        <v>99920OVR</v>
      </c>
      <c r="H81" s="4">
        <v>45108</v>
      </c>
      <c r="I81" s="4">
        <v>46114</v>
      </c>
      <c r="J81" s="3" t="s">
        <v>4</v>
      </c>
      <c r="K81" s="3" t="s">
        <v>204</v>
      </c>
      <c r="L81" s="5">
        <v>18.12</v>
      </c>
      <c r="M81" s="3" t="s">
        <v>285</v>
      </c>
    </row>
    <row r="82" spans="1:13" s="3" customFormat="1" x14ac:dyDescent="0.25">
      <c r="A82" s="3" t="s">
        <v>276</v>
      </c>
      <c r="B82" s="3">
        <v>20411454</v>
      </c>
      <c r="C82" s="3" t="s">
        <v>23</v>
      </c>
      <c r="D82" s="3" t="s">
        <v>24</v>
      </c>
      <c r="E82" t="str">
        <f t="shared" si="3"/>
        <v>Jean Mullenix</v>
      </c>
      <c r="F82" s="7">
        <v>19090</v>
      </c>
      <c r="G82" s="7" t="str">
        <f t="shared" si="4"/>
        <v>19090OVR</v>
      </c>
      <c r="H82" s="4">
        <v>45566</v>
      </c>
      <c r="I82" s="4">
        <v>46114</v>
      </c>
      <c r="J82" s="3" t="s">
        <v>4</v>
      </c>
      <c r="K82" s="3" t="s">
        <v>204</v>
      </c>
      <c r="L82" s="5">
        <v>18.12</v>
      </c>
      <c r="M82" s="3" t="s">
        <v>285</v>
      </c>
    </row>
    <row r="83" spans="1:13" s="3" customFormat="1" x14ac:dyDescent="0.25">
      <c r="A83" s="3" t="s">
        <v>276</v>
      </c>
      <c r="B83" s="3">
        <v>20411454</v>
      </c>
      <c r="C83" s="3" t="s">
        <v>26</v>
      </c>
      <c r="D83" s="3" t="s">
        <v>27</v>
      </c>
      <c r="E83" t="str">
        <f t="shared" si="3"/>
        <v>Mark Siwik</v>
      </c>
      <c r="F83" s="7">
        <v>47820</v>
      </c>
      <c r="G83" s="7" t="str">
        <f t="shared" si="4"/>
        <v>47820OVR</v>
      </c>
      <c r="H83" s="4">
        <v>45566</v>
      </c>
      <c r="I83" s="4">
        <v>46114</v>
      </c>
      <c r="J83" s="3" t="s">
        <v>4</v>
      </c>
      <c r="K83" s="3" t="s">
        <v>204</v>
      </c>
      <c r="L83" s="5">
        <v>18.12</v>
      </c>
      <c r="M83" s="3" t="s">
        <v>285</v>
      </c>
    </row>
    <row r="84" spans="1:13" s="3" customFormat="1" x14ac:dyDescent="0.25">
      <c r="A84" s="3" t="s">
        <v>276</v>
      </c>
      <c r="B84" s="3">
        <v>20411454</v>
      </c>
      <c r="C84" s="3" t="s">
        <v>20</v>
      </c>
      <c r="D84" s="3" t="s">
        <v>40</v>
      </c>
      <c r="E84" t="str">
        <f t="shared" si="3"/>
        <v>Ronald Bartman</v>
      </c>
      <c r="F84" s="7">
        <v>31240</v>
      </c>
      <c r="G84" s="7" t="str">
        <f t="shared" si="4"/>
        <v>31240OVR</v>
      </c>
      <c r="H84" s="4">
        <v>45658</v>
      </c>
      <c r="I84" s="4">
        <v>46114</v>
      </c>
      <c r="J84" s="3" t="s">
        <v>4</v>
      </c>
      <c r="K84" s="3" t="s">
        <v>204</v>
      </c>
      <c r="L84" s="5">
        <v>18.12</v>
      </c>
      <c r="M84" s="3" t="s">
        <v>285</v>
      </c>
    </row>
    <row r="85" spans="1:13" s="3" customFormat="1" x14ac:dyDescent="0.25">
      <c r="A85" s="3" t="s">
        <v>276</v>
      </c>
      <c r="B85" s="3">
        <v>20411454</v>
      </c>
      <c r="C85" s="3" t="s">
        <v>42</v>
      </c>
      <c r="D85" s="3" t="s">
        <v>43</v>
      </c>
      <c r="E85" t="str">
        <f t="shared" si="3"/>
        <v>Tina Cassidy</v>
      </c>
      <c r="F85" s="7">
        <v>72580</v>
      </c>
      <c r="G85" s="7" t="str">
        <f t="shared" si="4"/>
        <v>72580OVR</v>
      </c>
      <c r="H85" s="4">
        <v>45658</v>
      </c>
      <c r="I85" s="4">
        <v>46114</v>
      </c>
      <c r="J85" s="3" t="s">
        <v>4</v>
      </c>
      <c r="K85" s="3" t="s">
        <v>204</v>
      </c>
      <c r="L85" s="5">
        <v>18.12</v>
      </c>
      <c r="M85" s="3" t="s">
        <v>285</v>
      </c>
    </row>
    <row r="86" spans="1:13" s="3" customFormat="1" x14ac:dyDescent="0.25">
      <c r="A86" s="3" t="s">
        <v>276</v>
      </c>
      <c r="B86" s="3">
        <v>20411454</v>
      </c>
      <c r="C86" s="3" t="s">
        <v>29</v>
      </c>
      <c r="D86" s="3" t="s">
        <v>30</v>
      </c>
      <c r="E86" t="str">
        <f t="shared" si="3"/>
        <v>Luann Casteel</v>
      </c>
      <c r="F86" s="7">
        <v>26570</v>
      </c>
      <c r="G86" s="7" t="str">
        <f t="shared" si="4"/>
        <v>26570OVR</v>
      </c>
      <c r="H86" s="4">
        <v>45658</v>
      </c>
      <c r="I86" s="4">
        <v>46114</v>
      </c>
      <c r="J86" s="3" t="s">
        <v>4</v>
      </c>
      <c r="K86" s="3" t="s">
        <v>204</v>
      </c>
      <c r="L86" s="5">
        <v>18.12</v>
      </c>
      <c r="M86" s="3" t="s">
        <v>285</v>
      </c>
    </row>
    <row r="87" spans="1:13" s="3" customFormat="1" x14ac:dyDescent="0.25">
      <c r="A87" s="3" t="s">
        <v>276</v>
      </c>
      <c r="B87" s="3">
        <v>20411454</v>
      </c>
      <c r="C87" s="3" t="s">
        <v>45</v>
      </c>
      <c r="D87" s="3" t="s">
        <v>46</v>
      </c>
      <c r="E87" t="str">
        <f t="shared" si="3"/>
        <v>William Lenhart</v>
      </c>
      <c r="F87" s="7">
        <v>93190</v>
      </c>
      <c r="G87" s="7" t="str">
        <f t="shared" si="4"/>
        <v>93190OVR</v>
      </c>
      <c r="H87" s="4">
        <v>45658</v>
      </c>
      <c r="I87" s="4">
        <v>46114</v>
      </c>
      <c r="J87" s="3" t="s">
        <v>4</v>
      </c>
      <c r="K87" s="3" t="s">
        <v>204</v>
      </c>
      <c r="L87" s="5">
        <v>18.12</v>
      </c>
      <c r="M87" s="3" t="s">
        <v>285</v>
      </c>
    </row>
    <row r="88" spans="1:13" s="3" customFormat="1" x14ac:dyDescent="0.25">
      <c r="A88" s="3" t="s">
        <v>276</v>
      </c>
      <c r="B88" s="3">
        <v>20411454</v>
      </c>
      <c r="C88" s="3" t="s">
        <v>32</v>
      </c>
      <c r="D88" s="3" t="s">
        <v>33</v>
      </c>
      <c r="E88" t="str">
        <f t="shared" si="3"/>
        <v>Gerald Vitale</v>
      </c>
      <c r="F88" s="7">
        <v>48560</v>
      </c>
      <c r="G88" s="7" t="str">
        <f t="shared" si="4"/>
        <v>48560OVR</v>
      </c>
      <c r="H88" s="4">
        <v>45658</v>
      </c>
      <c r="I88" s="4">
        <v>46114</v>
      </c>
      <c r="J88" s="3" t="s">
        <v>4</v>
      </c>
      <c r="K88" s="3" t="s">
        <v>204</v>
      </c>
      <c r="L88" s="5">
        <v>18.12</v>
      </c>
      <c r="M88" s="3" t="s">
        <v>285</v>
      </c>
    </row>
    <row r="89" spans="1:13" s="3" customFormat="1" x14ac:dyDescent="0.25">
      <c r="A89" s="3" t="s">
        <v>276</v>
      </c>
      <c r="B89" s="3">
        <v>20411454</v>
      </c>
      <c r="C89" s="3" t="s">
        <v>35</v>
      </c>
      <c r="D89" s="3" t="s">
        <v>33</v>
      </c>
      <c r="E89" t="str">
        <f t="shared" si="3"/>
        <v>Kathy Vitale</v>
      </c>
      <c r="F89" s="7">
        <v>20120</v>
      </c>
      <c r="G89" s="7" t="str">
        <f t="shared" si="4"/>
        <v>20120OVR</v>
      </c>
      <c r="H89" s="4">
        <v>45658</v>
      </c>
      <c r="I89" s="4">
        <v>46114</v>
      </c>
      <c r="J89" s="3" t="s">
        <v>4</v>
      </c>
      <c r="K89" s="3" t="s">
        <v>204</v>
      </c>
      <c r="L89" s="5">
        <v>18.12</v>
      </c>
      <c r="M89" s="3" t="s">
        <v>285</v>
      </c>
    </row>
    <row r="90" spans="1:13" s="3" customFormat="1" x14ac:dyDescent="0.25">
      <c r="A90" s="3" t="s">
        <v>276</v>
      </c>
      <c r="B90" s="3">
        <v>20411454</v>
      </c>
      <c r="C90" s="3" t="s">
        <v>48</v>
      </c>
      <c r="D90" s="3" t="s">
        <v>49</v>
      </c>
      <c r="E90" t="str">
        <f t="shared" si="3"/>
        <v>David Wasko</v>
      </c>
      <c r="F90" s="7">
        <v>73120</v>
      </c>
      <c r="G90" s="7" t="str">
        <f t="shared" si="4"/>
        <v>73120OVR</v>
      </c>
      <c r="H90" s="4">
        <v>45658</v>
      </c>
      <c r="I90" s="4">
        <v>46114</v>
      </c>
      <c r="J90" s="3" t="s">
        <v>4</v>
      </c>
      <c r="K90" s="3" t="s">
        <v>204</v>
      </c>
      <c r="L90" s="5">
        <v>18.12</v>
      </c>
      <c r="M90" s="3" t="s">
        <v>285</v>
      </c>
    </row>
    <row r="91" spans="1:13" s="3" customFormat="1" x14ac:dyDescent="0.25">
      <c r="A91" s="3" t="s">
        <v>276</v>
      </c>
      <c r="B91" s="3">
        <v>20411454</v>
      </c>
      <c r="C91" s="3" t="s">
        <v>51</v>
      </c>
      <c r="D91" s="3" t="s">
        <v>52</v>
      </c>
      <c r="E91" t="str">
        <f t="shared" si="3"/>
        <v>Kathleen Vennare</v>
      </c>
      <c r="F91" s="7">
        <v>80240</v>
      </c>
      <c r="G91" s="7" t="str">
        <f t="shared" si="4"/>
        <v>80240OVR</v>
      </c>
      <c r="H91" s="4">
        <v>45689</v>
      </c>
      <c r="I91" s="4">
        <v>46114</v>
      </c>
      <c r="J91" s="3" t="s">
        <v>4</v>
      </c>
      <c r="K91" s="3" t="s">
        <v>204</v>
      </c>
      <c r="L91" s="5">
        <v>18.12</v>
      </c>
      <c r="M91" s="3" t="s">
        <v>285</v>
      </c>
    </row>
    <row r="92" spans="1:13" s="3" customFormat="1" x14ac:dyDescent="0.25">
      <c r="A92" s="3" t="s">
        <v>276</v>
      </c>
      <c r="B92" s="3">
        <v>20411454</v>
      </c>
      <c r="C92" s="3" t="s">
        <v>54</v>
      </c>
      <c r="D92" s="3" t="s">
        <v>55</v>
      </c>
      <c r="E92" t="str">
        <f t="shared" si="3"/>
        <v>Jayne Capane</v>
      </c>
      <c r="F92" s="7">
        <v>69680</v>
      </c>
      <c r="G92" s="7" t="str">
        <f t="shared" si="4"/>
        <v>69680OVR</v>
      </c>
      <c r="H92" s="4">
        <v>45748</v>
      </c>
      <c r="I92" s="4">
        <v>46114</v>
      </c>
      <c r="J92" s="3" t="s">
        <v>4</v>
      </c>
      <c r="K92" s="3" t="s">
        <v>204</v>
      </c>
      <c r="L92" s="5">
        <v>18.12</v>
      </c>
      <c r="M92" s="3" t="s">
        <v>285</v>
      </c>
    </row>
    <row r="93" spans="1:13" s="3" customFormat="1" x14ac:dyDescent="0.25">
      <c r="A93" s="3" t="s">
        <v>276</v>
      </c>
      <c r="B93" s="3">
        <v>20411454</v>
      </c>
      <c r="C93" s="3" t="s">
        <v>57</v>
      </c>
      <c r="D93" s="3" t="s">
        <v>58</v>
      </c>
      <c r="E93" t="str">
        <f t="shared" si="3"/>
        <v>Terence Jacob</v>
      </c>
      <c r="F93" s="7">
        <v>67170</v>
      </c>
      <c r="G93" s="7" t="str">
        <f t="shared" si="4"/>
        <v>67170OVR</v>
      </c>
      <c r="H93" s="4">
        <v>45778</v>
      </c>
      <c r="I93" s="4">
        <v>46114</v>
      </c>
      <c r="J93" s="3" t="s">
        <v>4</v>
      </c>
      <c r="K93" s="3" t="s">
        <v>204</v>
      </c>
      <c r="L93" s="5">
        <v>18.12</v>
      </c>
      <c r="M93" s="3" t="s">
        <v>285</v>
      </c>
    </row>
    <row r="94" spans="1:13" s="3" customFormat="1" x14ac:dyDescent="0.25">
      <c r="A94" s="3" t="s">
        <v>276</v>
      </c>
      <c r="B94" s="3">
        <v>20411454</v>
      </c>
      <c r="C94" s="3" t="s">
        <v>60</v>
      </c>
      <c r="D94" s="3" t="s">
        <v>61</v>
      </c>
      <c r="E94" t="str">
        <f t="shared" si="3"/>
        <v>James Cox</v>
      </c>
      <c r="F94" s="7">
        <v>35830</v>
      </c>
      <c r="G94" s="7" t="str">
        <f t="shared" si="4"/>
        <v>35830OVR</v>
      </c>
      <c r="H94" s="4">
        <v>45809</v>
      </c>
      <c r="I94" s="4">
        <v>46114</v>
      </c>
      <c r="J94" s="3" t="s">
        <v>4</v>
      </c>
      <c r="K94" s="3" t="s">
        <v>204</v>
      </c>
      <c r="L94" s="5">
        <v>18.12</v>
      </c>
      <c r="M94" s="3" t="s">
        <v>285</v>
      </c>
    </row>
    <row r="95" spans="1:13" s="3" customFormat="1" x14ac:dyDescent="0.25">
      <c r="A95" s="3" t="s">
        <v>276</v>
      </c>
      <c r="B95" s="3">
        <v>20411454</v>
      </c>
      <c r="C95" s="3" t="s">
        <v>45</v>
      </c>
      <c r="D95" s="3" t="s">
        <v>63</v>
      </c>
      <c r="E95" t="str">
        <f t="shared" si="3"/>
        <v>William Steinmetz</v>
      </c>
      <c r="F95" s="7">
        <v>71450</v>
      </c>
      <c r="G95" s="7" t="str">
        <f t="shared" si="4"/>
        <v>71450OVR</v>
      </c>
      <c r="H95" s="4">
        <v>45839</v>
      </c>
      <c r="I95" s="4">
        <v>46114</v>
      </c>
      <c r="J95" s="3" t="s">
        <v>4</v>
      </c>
      <c r="K95" s="3" t="s">
        <v>204</v>
      </c>
      <c r="L95" s="5">
        <v>18.12</v>
      </c>
      <c r="M95" s="3" t="s">
        <v>285</v>
      </c>
    </row>
    <row r="96" spans="1:13" s="3" customFormat="1" x14ac:dyDescent="0.25">
      <c r="A96" s="3" t="s">
        <v>276</v>
      </c>
      <c r="B96" s="3">
        <v>20411454</v>
      </c>
      <c r="C96" s="3" t="s">
        <v>65</v>
      </c>
      <c r="D96" s="3" t="s">
        <v>66</v>
      </c>
      <c r="E96" t="str">
        <f t="shared" si="3"/>
        <v>Martha Tapia Solorio</v>
      </c>
      <c r="F96" s="7">
        <v>19030</v>
      </c>
      <c r="G96" s="7" t="str">
        <f t="shared" si="4"/>
        <v>19030OVR</v>
      </c>
      <c r="H96" s="4">
        <v>45839</v>
      </c>
      <c r="I96" s="4">
        <v>46114</v>
      </c>
      <c r="J96" s="3" t="s">
        <v>4</v>
      </c>
      <c r="K96" s="3" t="s">
        <v>204</v>
      </c>
      <c r="L96" s="5">
        <v>18.12</v>
      </c>
      <c r="M96" s="3" t="s">
        <v>285</v>
      </c>
    </row>
    <row r="97" spans="1:13" s="3" customFormat="1" x14ac:dyDescent="0.25">
      <c r="A97" s="3" t="s">
        <v>276</v>
      </c>
      <c r="B97" s="3">
        <v>20411454</v>
      </c>
      <c r="C97" s="3" t="s">
        <v>68</v>
      </c>
      <c r="D97" s="3" t="s">
        <v>69</v>
      </c>
      <c r="E97" t="str">
        <f t="shared" si="3"/>
        <v>Marylou Bichler</v>
      </c>
      <c r="F97" s="7">
        <v>94210</v>
      </c>
      <c r="G97" s="7" t="str">
        <f t="shared" si="4"/>
        <v>94210OVR</v>
      </c>
      <c r="H97" s="4">
        <v>45931</v>
      </c>
      <c r="I97" s="4">
        <v>46114</v>
      </c>
      <c r="J97" s="3" t="s">
        <v>4</v>
      </c>
      <c r="K97" s="3" t="s">
        <v>204</v>
      </c>
      <c r="L97" s="5">
        <v>27.18</v>
      </c>
      <c r="M97" s="3" t="s">
        <v>285</v>
      </c>
    </row>
    <row r="98" spans="1:13" s="3" customFormat="1" x14ac:dyDescent="0.25">
      <c r="A98" s="3" t="s">
        <v>276</v>
      </c>
      <c r="B98" s="3">
        <v>20411454</v>
      </c>
      <c r="C98" s="3" t="s">
        <v>71</v>
      </c>
      <c r="D98" s="3" t="s">
        <v>72</v>
      </c>
      <c r="E98" t="str">
        <f t="shared" si="3"/>
        <v>Michelle Mcknight</v>
      </c>
      <c r="F98" s="7">
        <v>9640</v>
      </c>
      <c r="G98" s="7" t="str">
        <f t="shared" si="4"/>
        <v>9640OVR</v>
      </c>
      <c r="H98" s="4">
        <v>45931</v>
      </c>
      <c r="I98" s="4">
        <v>46114</v>
      </c>
      <c r="J98" s="3" t="s">
        <v>4</v>
      </c>
      <c r="K98" s="3" t="s">
        <v>204</v>
      </c>
      <c r="L98" s="5">
        <v>27.18</v>
      </c>
      <c r="M98" s="3" t="s">
        <v>285</v>
      </c>
    </row>
    <row r="99" spans="1:13" s="3" customFormat="1" x14ac:dyDescent="0.25">
      <c r="A99" s="3" t="s">
        <v>276</v>
      </c>
      <c r="B99" s="3">
        <v>20411454</v>
      </c>
      <c r="C99" s="3" t="s">
        <v>8</v>
      </c>
      <c r="D99" s="3" t="s">
        <v>49</v>
      </c>
      <c r="E99" t="str">
        <f t="shared" si="3"/>
        <v>Daniel Wasko</v>
      </c>
      <c r="F99" s="7">
        <v>11490</v>
      </c>
      <c r="G99" s="7" t="str">
        <f t="shared" si="4"/>
        <v>11490OVR</v>
      </c>
      <c r="H99" s="4">
        <v>45931</v>
      </c>
      <c r="I99" s="4">
        <v>46114</v>
      </c>
      <c r="J99" s="3" t="s">
        <v>4</v>
      </c>
      <c r="K99" s="3" t="s">
        <v>204</v>
      </c>
      <c r="L99" s="5">
        <v>27.18</v>
      </c>
      <c r="M99" s="3" t="s">
        <v>285</v>
      </c>
    </row>
    <row r="100" spans="1:13" s="3" customFormat="1" x14ac:dyDescent="0.25">
      <c r="A100" s="3" t="s">
        <v>276</v>
      </c>
      <c r="B100" s="3">
        <v>20411454</v>
      </c>
      <c r="C100" s="3" t="s">
        <v>75</v>
      </c>
      <c r="D100" s="3" t="s">
        <v>76</v>
      </c>
      <c r="E100" t="str">
        <f t="shared" si="3"/>
        <v>Richard Hartman</v>
      </c>
      <c r="F100" s="7">
        <v>6530</v>
      </c>
      <c r="G100" s="7" t="str">
        <f t="shared" si="4"/>
        <v>6530OVR</v>
      </c>
      <c r="H100" s="4">
        <v>45962</v>
      </c>
      <c r="I100" s="4">
        <v>46114</v>
      </c>
      <c r="J100" s="3" t="s">
        <v>4</v>
      </c>
      <c r="K100" s="3" t="s">
        <v>204</v>
      </c>
      <c r="L100" s="5">
        <v>27.18</v>
      </c>
      <c r="M100" s="3" t="s">
        <v>285</v>
      </c>
    </row>
    <row r="101" spans="1:13" s="3" customFormat="1" x14ac:dyDescent="0.25">
      <c r="A101" s="3" t="s">
        <v>276</v>
      </c>
      <c r="B101" s="3">
        <v>20411454</v>
      </c>
      <c r="C101" s="3" t="s">
        <v>205</v>
      </c>
      <c r="D101" s="3" t="s">
        <v>206</v>
      </c>
      <c r="E101" t="str">
        <f t="shared" si="3"/>
        <v>Linda Porter</v>
      </c>
      <c r="F101" s="7">
        <v>33900</v>
      </c>
      <c r="G101" s="7" t="str">
        <f t="shared" si="4"/>
        <v>33900OVR</v>
      </c>
      <c r="H101" s="4">
        <v>46143</v>
      </c>
      <c r="I101" s="4">
        <v>46114</v>
      </c>
      <c r="J101" s="3" t="s">
        <v>4</v>
      </c>
      <c r="K101" s="3" t="s">
        <v>208</v>
      </c>
      <c r="L101" s="5">
        <v>41.67</v>
      </c>
      <c r="M101" s="3" t="s">
        <v>285</v>
      </c>
    </row>
    <row r="102" spans="1:13" s="3" customFormat="1" x14ac:dyDescent="0.25">
      <c r="A102" s="3" t="s">
        <v>276</v>
      </c>
      <c r="B102" s="3">
        <v>20411454</v>
      </c>
      <c r="C102" s="3" t="s">
        <v>209</v>
      </c>
      <c r="D102" s="3" t="s">
        <v>210</v>
      </c>
      <c r="E102" t="str">
        <f t="shared" si="3"/>
        <v>Jenny Flanagan</v>
      </c>
      <c r="F102" s="7">
        <v>36490</v>
      </c>
      <c r="G102" s="7" t="str">
        <f t="shared" si="4"/>
        <v>36490OVR</v>
      </c>
      <c r="H102" s="4">
        <v>46174</v>
      </c>
      <c r="I102" s="4">
        <v>46114</v>
      </c>
      <c r="J102" s="3" t="s">
        <v>4</v>
      </c>
      <c r="K102" s="3" t="s">
        <v>212</v>
      </c>
      <c r="L102" s="5">
        <v>42.29</v>
      </c>
      <c r="M102" s="3" t="s">
        <v>285</v>
      </c>
    </row>
    <row r="103" spans="1:13" s="3" customFormat="1" x14ac:dyDescent="0.25">
      <c r="A103" s="3" t="s">
        <v>276</v>
      </c>
      <c r="B103" s="3">
        <v>20411454</v>
      </c>
      <c r="C103" s="3" t="s">
        <v>213</v>
      </c>
      <c r="D103" s="3" t="s">
        <v>214</v>
      </c>
      <c r="E103" t="str">
        <f t="shared" si="3"/>
        <v>Felicia Tomaswick</v>
      </c>
      <c r="F103" s="7">
        <v>5650</v>
      </c>
      <c r="G103" s="7" t="str">
        <f t="shared" si="4"/>
        <v>5650OVR</v>
      </c>
      <c r="H103" s="4">
        <v>46174</v>
      </c>
      <c r="I103" s="4">
        <v>46114</v>
      </c>
      <c r="J103" s="3" t="s">
        <v>4</v>
      </c>
      <c r="K103" s="3" t="s">
        <v>212</v>
      </c>
      <c r="L103" s="5">
        <v>42.29</v>
      </c>
      <c r="M103" s="3" t="s">
        <v>285</v>
      </c>
    </row>
    <row r="104" spans="1:13" s="3" customFormat="1" x14ac:dyDescent="0.25">
      <c r="A104" s="3" t="s">
        <v>276</v>
      </c>
      <c r="B104" s="3">
        <v>20411454</v>
      </c>
      <c r="C104" s="3" t="s">
        <v>216</v>
      </c>
      <c r="D104" s="3" t="s">
        <v>217</v>
      </c>
      <c r="E104" t="str">
        <f t="shared" si="3"/>
        <v>Louis Schoen</v>
      </c>
      <c r="F104" s="7">
        <v>56320</v>
      </c>
      <c r="G104" s="7" t="str">
        <f t="shared" si="4"/>
        <v>56320OVR</v>
      </c>
      <c r="H104" s="4">
        <v>46113</v>
      </c>
      <c r="I104" s="4">
        <v>46114</v>
      </c>
      <c r="J104" s="3" t="s">
        <v>4</v>
      </c>
      <c r="K104" s="3" t="s">
        <v>219</v>
      </c>
      <c r="L104" s="5">
        <v>46.88</v>
      </c>
      <c r="M104" s="3" t="s">
        <v>285</v>
      </c>
    </row>
    <row r="105" spans="1:13" s="3" customFormat="1" x14ac:dyDescent="0.25">
      <c r="A105" s="3" t="s">
        <v>276</v>
      </c>
      <c r="B105" s="3">
        <v>20411454</v>
      </c>
      <c r="C105" s="3" t="s">
        <v>220</v>
      </c>
      <c r="D105" s="3" t="s">
        <v>221</v>
      </c>
      <c r="E105" t="str">
        <f t="shared" si="3"/>
        <v>Sandra Binder</v>
      </c>
      <c r="F105" s="7">
        <v>32210</v>
      </c>
      <c r="G105" s="7" t="str">
        <f t="shared" si="4"/>
        <v>32210OVR</v>
      </c>
      <c r="H105" s="4">
        <v>46143</v>
      </c>
      <c r="I105" s="4">
        <v>46114</v>
      </c>
      <c r="J105" s="3" t="s">
        <v>4</v>
      </c>
      <c r="K105" s="3" t="s">
        <v>223</v>
      </c>
      <c r="L105" s="5">
        <v>48.34</v>
      </c>
      <c r="M105" s="3" t="s">
        <v>285</v>
      </c>
    </row>
    <row r="106" spans="1:13" s="3" customFormat="1" x14ac:dyDescent="0.25">
      <c r="A106" s="3" t="s">
        <v>276</v>
      </c>
      <c r="B106" s="3">
        <v>20411454</v>
      </c>
      <c r="C106" s="3" t="s">
        <v>224</v>
      </c>
      <c r="D106" s="3" t="s">
        <v>38</v>
      </c>
      <c r="E106" t="str">
        <f t="shared" si="3"/>
        <v>Deborah Miller</v>
      </c>
      <c r="F106" s="7">
        <v>73320</v>
      </c>
      <c r="G106" s="7" t="str">
        <f t="shared" si="4"/>
        <v>73320OVR</v>
      </c>
      <c r="H106" s="4">
        <v>46143</v>
      </c>
      <c r="I106" s="4">
        <v>46114</v>
      </c>
      <c r="J106" s="3" t="s">
        <v>4</v>
      </c>
      <c r="K106" s="3" t="s">
        <v>223</v>
      </c>
      <c r="L106" s="5">
        <v>48.34</v>
      </c>
      <c r="M106" s="3" t="s">
        <v>285</v>
      </c>
    </row>
    <row r="107" spans="1:13" s="3" customFormat="1" x14ac:dyDescent="0.25">
      <c r="A107" s="3" t="s">
        <v>276</v>
      </c>
      <c r="B107" s="3">
        <v>20411454</v>
      </c>
      <c r="C107" s="3" t="s">
        <v>78</v>
      </c>
      <c r="D107" s="3" t="s">
        <v>79</v>
      </c>
      <c r="E107" t="str">
        <f t="shared" si="3"/>
        <v>Vickilynn Ellis</v>
      </c>
      <c r="F107" s="7">
        <v>6280</v>
      </c>
      <c r="G107" s="7" t="str">
        <f t="shared" si="4"/>
        <v>6280OVR</v>
      </c>
      <c r="H107" s="4">
        <v>46113</v>
      </c>
      <c r="I107" s="4">
        <v>46114</v>
      </c>
      <c r="J107" s="3" t="s">
        <v>4</v>
      </c>
      <c r="K107" s="3" t="s">
        <v>226</v>
      </c>
      <c r="L107" s="5">
        <v>81.56</v>
      </c>
      <c r="M107" s="3" t="s">
        <v>285</v>
      </c>
    </row>
    <row r="108" spans="1:13" s="3" customFormat="1" x14ac:dyDescent="0.25">
      <c r="A108" s="3" t="s">
        <v>276</v>
      </c>
      <c r="B108" s="3">
        <v>20411454</v>
      </c>
      <c r="C108" s="3" t="s">
        <v>182</v>
      </c>
      <c r="D108" s="3" t="s">
        <v>227</v>
      </c>
      <c r="E108" t="str">
        <f t="shared" si="3"/>
        <v>Gary Macdonald</v>
      </c>
      <c r="F108" s="7">
        <v>92210</v>
      </c>
      <c r="G108" s="7" t="str">
        <f t="shared" si="4"/>
        <v>92210OVR</v>
      </c>
      <c r="H108" s="4">
        <v>46113</v>
      </c>
      <c r="I108" s="4">
        <v>46114</v>
      </c>
      <c r="J108" s="3" t="s">
        <v>4</v>
      </c>
      <c r="K108" s="3" t="s">
        <v>226</v>
      </c>
      <c r="L108" s="5">
        <v>54.38</v>
      </c>
      <c r="M108" s="3" t="s">
        <v>285</v>
      </c>
    </row>
    <row r="109" spans="1:13" s="3" customFormat="1" x14ac:dyDescent="0.25">
      <c r="A109" s="3" t="s">
        <v>276</v>
      </c>
      <c r="B109" s="3">
        <v>20411454</v>
      </c>
      <c r="C109" s="3" t="s">
        <v>229</v>
      </c>
      <c r="D109" s="3" t="s">
        <v>230</v>
      </c>
      <c r="E109" t="str">
        <f t="shared" si="3"/>
        <v>Matthew Nestler</v>
      </c>
      <c r="F109" s="7">
        <v>45830</v>
      </c>
      <c r="G109" s="7" t="str">
        <f t="shared" si="4"/>
        <v>45830OVR</v>
      </c>
      <c r="H109" s="4">
        <v>46113</v>
      </c>
      <c r="I109" s="4">
        <v>46114</v>
      </c>
      <c r="J109" s="3" t="s">
        <v>4</v>
      </c>
      <c r="K109" s="3" t="s">
        <v>226</v>
      </c>
      <c r="L109" s="5">
        <v>54.38</v>
      </c>
      <c r="M109" s="3" t="s">
        <v>285</v>
      </c>
    </row>
    <row r="110" spans="1:13" s="3" customFormat="1" x14ac:dyDescent="0.25">
      <c r="A110" s="3" t="s">
        <v>276</v>
      </c>
      <c r="B110" s="3">
        <v>20411454</v>
      </c>
      <c r="C110" s="3" t="s">
        <v>26</v>
      </c>
      <c r="D110" s="3" t="s">
        <v>232</v>
      </c>
      <c r="E110" t="str">
        <f t="shared" si="3"/>
        <v>Mark Schuler</v>
      </c>
      <c r="F110" s="7">
        <v>6400</v>
      </c>
      <c r="G110" s="7" t="str">
        <f t="shared" si="4"/>
        <v>6400OVR</v>
      </c>
      <c r="H110" s="4">
        <v>46113</v>
      </c>
      <c r="I110" s="4">
        <v>46114</v>
      </c>
      <c r="J110" s="3" t="s">
        <v>4</v>
      </c>
      <c r="K110" s="3" t="s">
        <v>226</v>
      </c>
      <c r="L110" s="5">
        <v>54.38</v>
      </c>
      <c r="M110" s="3" t="s">
        <v>285</v>
      </c>
    </row>
    <row r="111" spans="1:13" s="3" customFormat="1" x14ac:dyDescent="0.25">
      <c r="A111" s="3" t="s">
        <v>276</v>
      </c>
      <c r="B111" s="3">
        <v>20411454</v>
      </c>
      <c r="C111" s="3" t="s">
        <v>234</v>
      </c>
      <c r="D111" s="3" t="s">
        <v>235</v>
      </c>
      <c r="E111" t="str">
        <f t="shared" si="3"/>
        <v>Steven Smith</v>
      </c>
      <c r="F111" s="7">
        <v>30800</v>
      </c>
      <c r="G111" s="7" t="str">
        <f t="shared" si="4"/>
        <v>30800OVR</v>
      </c>
      <c r="H111" s="4">
        <v>46113</v>
      </c>
      <c r="I111" s="4">
        <v>46114</v>
      </c>
      <c r="J111" s="3" t="s">
        <v>4</v>
      </c>
      <c r="K111" s="3" t="s">
        <v>226</v>
      </c>
      <c r="L111" s="5">
        <v>54.38</v>
      </c>
      <c r="M111" s="3" t="s">
        <v>285</v>
      </c>
    </row>
    <row r="112" spans="1:13" s="3" customFormat="1" x14ac:dyDescent="0.25">
      <c r="A112" s="3" t="s">
        <v>276</v>
      </c>
      <c r="B112" s="3">
        <v>20411454</v>
      </c>
      <c r="C112" s="3" t="s">
        <v>237</v>
      </c>
      <c r="D112" s="3" t="s">
        <v>238</v>
      </c>
      <c r="E112" t="str">
        <f t="shared" si="3"/>
        <v>Marcia Wathall</v>
      </c>
      <c r="F112" s="7">
        <v>54130</v>
      </c>
      <c r="G112" s="7" t="str">
        <f t="shared" si="4"/>
        <v>54130OVR</v>
      </c>
      <c r="H112" s="4">
        <v>46113</v>
      </c>
      <c r="I112" s="4">
        <v>46114</v>
      </c>
      <c r="J112" s="3" t="s">
        <v>4</v>
      </c>
      <c r="K112" s="3" t="s">
        <v>226</v>
      </c>
      <c r="L112" s="5">
        <v>54.38</v>
      </c>
      <c r="M112" s="3" t="s">
        <v>285</v>
      </c>
    </row>
    <row r="113" spans="1:13" s="3" customFormat="1" x14ac:dyDescent="0.25">
      <c r="A113" s="3" t="s">
        <v>276</v>
      </c>
      <c r="B113" s="3">
        <v>20411454</v>
      </c>
      <c r="C113" s="3" t="s">
        <v>82</v>
      </c>
      <c r="D113" s="3" t="s">
        <v>83</v>
      </c>
      <c r="E113" t="str">
        <f t="shared" si="3"/>
        <v>Patricia Wilbert</v>
      </c>
      <c r="F113" s="7">
        <v>47430</v>
      </c>
      <c r="G113" s="7" t="str">
        <f t="shared" si="4"/>
        <v>47430OVR</v>
      </c>
      <c r="H113" s="4">
        <v>46113</v>
      </c>
      <c r="I113" s="4">
        <v>46114</v>
      </c>
      <c r="J113" s="3" t="s">
        <v>4</v>
      </c>
      <c r="K113" s="3" t="s">
        <v>226</v>
      </c>
      <c r="L113" s="5">
        <v>81.56</v>
      </c>
      <c r="M113" s="3" t="s">
        <v>285</v>
      </c>
    </row>
    <row r="114" spans="1:13" s="3" customFormat="1" x14ac:dyDescent="0.25">
      <c r="A114" s="3" t="s">
        <v>276</v>
      </c>
      <c r="B114" s="3">
        <v>20411454</v>
      </c>
      <c r="C114" s="3" t="s">
        <v>173</v>
      </c>
      <c r="D114" s="3" t="s">
        <v>240</v>
      </c>
      <c r="E114" t="str">
        <f t="shared" si="3"/>
        <v>Robert Zavacky</v>
      </c>
      <c r="F114" s="7">
        <v>52400</v>
      </c>
      <c r="G114" s="7" t="str">
        <f t="shared" si="4"/>
        <v>52400OVR</v>
      </c>
      <c r="H114" s="4">
        <v>46113</v>
      </c>
      <c r="I114" s="4">
        <v>46114</v>
      </c>
      <c r="J114" s="3" t="s">
        <v>4</v>
      </c>
      <c r="K114" s="3" t="s">
        <v>226</v>
      </c>
      <c r="L114" s="5">
        <v>54.38</v>
      </c>
      <c r="M114" s="3" t="s">
        <v>285</v>
      </c>
    </row>
    <row r="115" spans="1:13" s="3" customFormat="1" x14ac:dyDescent="0.25">
      <c r="A115" s="3" t="s">
        <v>276</v>
      </c>
      <c r="B115" s="3">
        <v>20411454</v>
      </c>
      <c r="C115" s="3" t="s">
        <v>100</v>
      </c>
      <c r="D115" s="3" t="s">
        <v>177</v>
      </c>
      <c r="E115" t="str">
        <f t="shared" si="3"/>
        <v>Donald Buck</v>
      </c>
      <c r="F115" s="7">
        <v>83490</v>
      </c>
      <c r="G115" s="7" t="str">
        <f t="shared" si="4"/>
        <v>83490OVR</v>
      </c>
      <c r="H115" s="4">
        <v>46054</v>
      </c>
      <c r="I115" s="4">
        <v>46114</v>
      </c>
      <c r="J115" s="3" t="s">
        <v>4</v>
      </c>
      <c r="K115" s="3" t="s">
        <v>242</v>
      </c>
      <c r="L115" s="5">
        <v>85.93</v>
      </c>
      <c r="M115" s="3" t="s">
        <v>285</v>
      </c>
    </row>
    <row r="116" spans="1:13" s="3" customFormat="1" x14ac:dyDescent="0.25">
      <c r="A116" s="3" t="s">
        <v>276</v>
      </c>
      <c r="B116" s="3">
        <v>20411454</v>
      </c>
      <c r="C116" s="3" t="s">
        <v>243</v>
      </c>
      <c r="D116" s="3" t="s">
        <v>244</v>
      </c>
      <c r="E116" t="str">
        <f t="shared" si="3"/>
        <v>Carol Mcpherson</v>
      </c>
      <c r="F116" s="7">
        <v>52680</v>
      </c>
      <c r="G116" s="7" t="str">
        <f t="shared" si="4"/>
        <v>52680OVR</v>
      </c>
      <c r="H116" s="4">
        <v>46054</v>
      </c>
      <c r="I116" s="4">
        <v>46114</v>
      </c>
      <c r="J116" s="3" t="s">
        <v>4</v>
      </c>
      <c r="K116" s="3" t="s">
        <v>246</v>
      </c>
      <c r="L116" s="5">
        <v>66.459999999999994</v>
      </c>
      <c r="M116" s="3" t="s">
        <v>285</v>
      </c>
    </row>
    <row r="117" spans="1:13" s="3" customFormat="1" x14ac:dyDescent="0.25">
      <c r="A117" s="3" t="s">
        <v>276</v>
      </c>
      <c r="B117" s="3">
        <v>20411454</v>
      </c>
      <c r="C117" s="3" t="s">
        <v>85</v>
      </c>
      <c r="D117" s="3" t="s">
        <v>86</v>
      </c>
      <c r="E117" t="str">
        <f t="shared" si="3"/>
        <v>Patrick Woodford</v>
      </c>
      <c r="F117" s="7">
        <v>38540</v>
      </c>
      <c r="G117" s="7" t="str">
        <f t="shared" si="4"/>
        <v>38540OVR</v>
      </c>
      <c r="H117" s="4">
        <v>44562</v>
      </c>
      <c r="I117" s="4">
        <v>46114</v>
      </c>
      <c r="J117" s="3" t="s">
        <v>4</v>
      </c>
      <c r="K117" s="3" t="s">
        <v>247</v>
      </c>
      <c r="L117" s="5">
        <v>72.5</v>
      </c>
      <c r="M117" s="3" t="s">
        <v>285</v>
      </c>
    </row>
    <row r="118" spans="1:13" s="3" customFormat="1" x14ac:dyDescent="0.25">
      <c r="A118" s="3" t="s">
        <v>276</v>
      </c>
      <c r="B118" s="3">
        <v>20411454</v>
      </c>
      <c r="C118" s="3" t="s">
        <v>89</v>
      </c>
      <c r="D118" s="3" t="s">
        <v>90</v>
      </c>
      <c r="E118" t="str">
        <f t="shared" si="3"/>
        <v>Rosanne Leszcynski</v>
      </c>
      <c r="F118" s="7">
        <v>9110</v>
      </c>
      <c r="G118" s="7" t="str">
        <f t="shared" si="4"/>
        <v>9110OVR</v>
      </c>
      <c r="H118" s="4">
        <v>44866</v>
      </c>
      <c r="I118" s="4">
        <v>46114</v>
      </c>
      <c r="J118" s="3" t="s">
        <v>4</v>
      </c>
      <c r="K118" s="3" t="s">
        <v>247</v>
      </c>
      <c r="L118" s="5">
        <v>72.5</v>
      </c>
      <c r="M118" s="3" t="s">
        <v>285</v>
      </c>
    </row>
    <row r="119" spans="1:13" s="3" customFormat="1" x14ac:dyDescent="0.25">
      <c r="A119" s="3" t="s">
        <v>276</v>
      </c>
      <c r="B119" s="3">
        <v>20411454</v>
      </c>
      <c r="C119" s="3" t="s">
        <v>18</v>
      </c>
      <c r="D119" s="3" t="s">
        <v>92</v>
      </c>
      <c r="E119" t="str">
        <f t="shared" si="3"/>
        <v>Susan Hecht</v>
      </c>
      <c r="F119" s="7">
        <v>19380</v>
      </c>
      <c r="G119" s="7" t="str">
        <f t="shared" si="4"/>
        <v>19380OVR</v>
      </c>
      <c r="H119" s="4">
        <v>45078</v>
      </c>
      <c r="I119" s="4">
        <v>46114</v>
      </c>
      <c r="J119" s="3" t="s">
        <v>4</v>
      </c>
      <c r="K119" s="3" t="s">
        <v>247</v>
      </c>
      <c r="L119" s="5">
        <v>72.5</v>
      </c>
      <c r="M119" s="3" t="s">
        <v>285</v>
      </c>
    </row>
    <row r="120" spans="1:13" s="3" customFormat="1" x14ac:dyDescent="0.25">
      <c r="A120" s="3" t="s">
        <v>276</v>
      </c>
      <c r="B120" s="3">
        <v>20411454</v>
      </c>
      <c r="C120" s="3" t="s">
        <v>94</v>
      </c>
      <c r="D120" s="3" t="s">
        <v>95</v>
      </c>
      <c r="E120" t="str">
        <f t="shared" si="3"/>
        <v>Jeff Dean</v>
      </c>
      <c r="F120" s="7">
        <v>24780</v>
      </c>
      <c r="G120" s="7" t="str">
        <f t="shared" si="4"/>
        <v>24780OVR</v>
      </c>
      <c r="H120" s="4">
        <v>45292</v>
      </c>
      <c r="I120" s="4">
        <v>46114</v>
      </c>
      <c r="J120" s="3" t="s">
        <v>4</v>
      </c>
      <c r="K120" s="3" t="s">
        <v>247</v>
      </c>
      <c r="L120" s="5">
        <v>72.5</v>
      </c>
      <c r="M120" s="3" t="s">
        <v>285</v>
      </c>
    </row>
    <row r="121" spans="1:13" s="3" customFormat="1" x14ac:dyDescent="0.25">
      <c r="A121" s="3" t="s">
        <v>276</v>
      </c>
      <c r="B121" s="3">
        <v>20411454</v>
      </c>
      <c r="C121" s="3" t="s">
        <v>100</v>
      </c>
      <c r="D121" s="3" t="s">
        <v>101</v>
      </c>
      <c r="E121" t="str">
        <f t="shared" si="3"/>
        <v>Donald Hillgartner</v>
      </c>
      <c r="F121" s="7">
        <v>56100</v>
      </c>
      <c r="G121" s="7" t="str">
        <f t="shared" si="4"/>
        <v>56100OVR</v>
      </c>
      <c r="H121" s="4">
        <v>45292</v>
      </c>
      <c r="I121" s="4">
        <v>46114</v>
      </c>
      <c r="J121" s="3" t="s">
        <v>4</v>
      </c>
      <c r="K121" s="3" t="s">
        <v>247</v>
      </c>
      <c r="L121" s="5">
        <v>72.5</v>
      </c>
      <c r="M121" s="3" t="s">
        <v>285</v>
      </c>
    </row>
    <row r="122" spans="1:13" s="3" customFormat="1" x14ac:dyDescent="0.25">
      <c r="A122" s="3" t="s">
        <v>276</v>
      </c>
      <c r="B122" s="3">
        <v>20411454</v>
      </c>
      <c r="C122" s="3" t="s">
        <v>97</v>
      </c>
      <c r="D122" s="3" t="s">
        <v>98</v>
      </c>
      <c r="E122" t="str">
        <f t="shared" si="3"/>
        <v>Bernadette Little</v>
      </c>
      <c r="F122" s="7">
        <v>39920</v>
      </c>
      <c r="G122" s="7" t="str">
        <f t="shared" si="4"/>
        <v>39920OVR</v>
      </c>
      <c r="H122" s="4">
        <v>45292</v>
      </c>
      <c r="I122" s="4">
        <v>46114</v>
      </c>
      <c r="J122" s="3" t="s">
        <v>4</v>
      </c>
      <c r="K122" s="3" t="s">
        <v>247</v>
      </c>
      <c r="L122" s="5">
        <v>72.5</v>
      </c>
      <c r="M122" s="3" t="s">
        <v>285</v>
      </c>
    </row>
    <row r="123" spans="1:13" s="3" customFormat="1" x14ac:dyDescent="0.25">
      <c r="A123" s="3" t="s">
        <v>276</v>
      </c>
      <c r="B123" s="3">
        <v>20411454</v>
      </c>
      <c r="C123" s="3" t="s">
        <v>109</v>
      </c>
      <c r="D123" s="3" t="s">
        <v>101</v>
      </c>
      <c r="E123" t="str">
        <f t="shared" si="3"/>
        <v>Elaine Hillgartner</v>
      </c>
      <c r="F123" s="7">
        <v>43480</v>
      </c>
      <c r="G123" s="7" t="str">
        <f t="shared" si="4"/>
        <v>43480OVR</v>
      </c>
      <c r="H123" s="4">
        <v>45658</v>
      </c>
      <c r="I123" s="4">
        <v>46114</v>
      </c>
      <c r="J123" s="3" t="s">
        <v>4</v>
      </c>
      <c r="K123" s="3" t="s">
        <v>247</v>
      </c>
      <c r="L123" s="5">
        <v>72.5</v>
      </c>
      <c r="M123" s="3" t="s">
        <v>285</v>
      </c>
    </row>
    <row r="124" spans="1:13" s="3" customFormat="1" x14ac:dyDescent="0.25">
      <c r="A124" s="3" t="s">
        <v>276</v>
      </c>
      <c r="B124" s="3">
        <v>20411454</v>
      </c>
      <c r="C124" s="3" t="s">
        <v>103</v>
      </c>
      <c r="D124" s="3" t="s">
        <v>104</v>
      </c>
      <c r="E124" t="str">
        <f t="shared" si="3"/>
        <v>Alan Shaffer</v>
      </c>
      <c r="F124" s="7">
        <v>76470</v>
      </c>
      <c r="G124" s="7" t="str">
        <f t="shared" si="4"/>
        <v>76470OVR</v>
      </c>
      <c r="H124" s="4">
        <v>45658</v>
      </c>
      <c r="I124" s="4">
        <v>46114</v>
      </c>
      <c r="J124" s="3" t="s">
        <v>4</v>
      </c>
      <c r="K124" s="3" t="s">
        <v>247</v>
      </c>
      <c r="L124" s="5">
        <v>72.5</v>
      </c>
      <c r="M124" s="3" t="s">
        <v>285</v>
      </c>
    </row>
    <row r="125" spans="1:13" s="3" customFormat="1" x14ac:dyDescent="0.25">
      <c r="A125" s="3" t="s">
        <v>276</v>
      </c>
      <c r="B125" s="3">
        <v>20411454</v>
      </c>
      <c r="C125" s="3" t="s">
        <v>106</v>
      </c>
      <c r="D125" s="3" t="s">
        <v>107</v>
      </c>
      <c r="E125" t="str">
        <f t="shared" si="3"/>
        <v>Barbra Zagurasky</v>
      </c>
      <c r="F125" s="7">
        <v>73030</v>
      </c>
      <c r="G125" s="7" t="str">
        <f t="shared" si="4"/>
        <v>73030OVR</v>
      </c>
      <c r="H125" s="4">
        <v>45658</v>
      </c>
      <c r="I125" s="4">
        <v>46114</v>
      </c>
      <c r="J125" s="3" t="s">
        <v>4</v>
      </c>
      <c r="K125" s="3" t="s">
        <v>247</v>
      </c>
      <c r="L125" s="5">
        <v>72.5</v>
      </c>
      <c r="M125" s="3" t="s">
        <v>285</v>
      </c>
    </row>
    <row r="126" spans="1:13" s="3" customFormat="1" x14ac:dyDescent="0.25">
      <c r="A126" s="3" t="s">
        <v>276</v>
      </c>
      <c r="B126" s="3">
        <v>20411454</v>
      </c>
      <c r="C126" s="3" t="s">
        <v>111</v>
      </c>
      <c r="D126" s="3" t="s">
        <v>112</v>
      </c>
      <c r="E126" t="str">
        <f t="shared" si="3"/>
        <v>Theresa Bonetti</v>
      </c>
      <c r="F126" s="7">
        <v>96330</v>
      </c>
      <c r="G126" s="7" t="str">
        <f t="shared" si="4"/>
        <v>96330OVR</v>
      </c>
      <c r="H126" s="4">
        <v>45839</v>
      </c>
      <c r="I126" s="4">
        <v>46114</v>
      </c>
      <c r="J126" s="3" t="s">
        <v>4</v>
      </c>
      <c r="K126" s="3" t="s">
        <v>247</v>
      </c>
      <c r="L126" s="5">
        <v>72.5</v>
      </c>
      <c r="M126" s="3" t="s">
        <v>285</v>
      </c>
    </row>
    <row r="127" spans="1:13" s="3" customFormat="1" x14ac:dyDescent="0.25">
      <c r="A127" s="3" t="s">
        <v>276</v>
      </c>
      <c r="B127" s="3">
        <v>20411454</v>
      </c>
      <c r="C127" s="3" t="s">
        <v>109</v>
      </c>
      <c r="D127" s="3" t="s">
        <v>49</v>
      </c>
      <c r="E127" t="str">
        <f t="shared" si="3"/>
        <v>Elaine Wasko</v>
      </c>
      <c r="F127" s="7">
        <v>88580</v>
      </c>
      <c r="G127" s="7" t="str">
        <f t="shared" si="4"/>
        <v>88580OVR</v>
      </c>
      <c r="H127" s="4">
        <v>45962</v>
      </c>
      <c r="I127" s="4">
        <v>46114</v>
      </c>
      <c r="J127" s="3" t="s">
        <v>4</v>
      </c>
      <c r="K127" s="3" t="s">
        <v>247</v>
      </c>
      <c r="L127" s="5">
        <v>108.75</v>
      </c>
      <c r="M127" s="3" t="s">
        <v>285</v>
      </c>
    </row>
    <row r="128" spans="1:13" s="3" customFormat="1" x14ac:dyDescent="0.25">
      <c r="A128" s="3" t="s">
        <v>276</v>
      </c>
      <c r="B128" s="3">
        <v>20411454</v>
      </c>
      <c r="C128" s="3" t="s">
        <v>115</v>
      </c>
      <c r="D128" s="3" t="s">
        <v>116</v>
      </c>
      <c r="E128" t="str">
        <f t="shared" si="3"/>
        <v>Janice Kendall</v>
      </c>
      <c r="F128" s="7">
        <v>20220</v>
      </c>
      <c r="G128" s="7" t="str">
        <f t="shared" si="4"/>
        <v>20220OVR</v>
      </c>
      <c r="H128" s="4">
        <v>45992</v>
      </c>
      <c r="I128" s="4">
        <v>46114</v>
      </c>
      <c r="J128" s="3" t="s">
        <v>4</v>
      </c>
      <c r="K128" s="3" t="s">
        <v>247</v>
      </c>
      <c r="L128" s="5">
        <v>108.75</v>
      </c>
      <c r="M128" s="3" t="s">
        <v>285</v>
      </c>
    </row>
    <row r="129" spans="1:13" s="3" customFormat="1" x14ac:dyDescent="0.25">
      <c r="A129" s="3" t="s">
        <v>276</v>
      </c>
      <c r="B129" s="3">
        <v>20411454</v>
      </c>
      <c r="C129" s="3" t="s">
        <v>118</v>
      </c>
      <c r="D129" s="3" t="s">
        <v>119</v>
      </c>
      <c r="E129" t="str">
        <f t="shared" si="3"/>
        <v>Barbara Allemang</v>
      </c>
      <c r="F129" s="7">
        <v>45380</v>
      </c>
      <c r="G129" s="7" t="str">
        <f t="shared" si="4"/>
        <v>45380OVR</v>
      </c>
      <c r="H129" s="4">
        <v>46023</v>
      </c>
      <c r="I129" s="4">
        <v>46114</v>
      </c>
      <c r="J129" s="3" t="s">
        <v>4</v>
      </c>
      <c r="K129" s="3" t="s">
        <v>247</v>
      </c>
      <c r="L129" s="5">
        <v>108.75</v>
      </c>
      <c r="M129" s="3" t="s">
        <v>285</v>
      </c>
    </row>
    <row r="130" spans="1:13" s="3" customFormat="1" x14ac:dyDescent="0.25">
      <c r="A130" s="3" t="s">
        <v>276</v>
      </c>
      <c r="B130" s="3">
        <v>20411454</v>
      </c>
      <c r="C130" s="3" t="s">
        <v>8</v>
      </c>
      <c r="D130" s="3" t="s">
        <v>119</v>
      </c>
      <c r="E130" t="str">
        <f t="shared" si="3"/>
        <v>Daniel Allemang</v>
      </c>
      <c r="F130" s="7">
        <v>74370</v>
      </c>
      <c r="G130" s="7" t="str">
        <f t="shared" si="4"/>
        <v>74370OVR</v>
      </c>
      <c r="H130" s="4">
        <v>46023</v>
      </c>
      <c r="I130" s="4">
        <v>46114</v>
      </c>
      <c r="J130" s="3" t="s">
        <v>4</v>
      </c>
      <c r="K130" s="3" t="s">
        <v>247</v>
      </c>
      <c r="L130" s="5">
        <v>108.75</v>
      </c>
      <c r="M130" s="3" t="s">
        <v>285</v>
      </c>
    </row>
    <row r="131" spans="1:13" s="3" customFormat="1" x14ac:dyDescent="0.25">
      <c r="A131" s="3" t="s">
        <v>276</v>
      </c>
      <c r="B131" s="3">
        <v>20411454</v>
      </c>
      <c r="C131" s="3" t="s">
        <v>122</v>
      </c>
      <c r="D131" s="3" t="s">
        <v>123</v>
      </c>
      <c r="E131" t="str">
        <f t="shared" ref="E131:E161" si="5">CONCATENATE(C131," ",D131)</f>
        <v>Kenneth Barna</v>
      </c>
      <c r="F131" s="7">
        <v>23190</v>
      </c>
      <c r="G131" s="7" t="str">
        <f t="shared" si="4"/>
        <v>23190OVR</v>
      </c>
      <c r="H131" s="4">
        <v>46023</v>
      </c>
      <c r="I131" s="4">
        <v>46114</v>
      </c>
      <c r="J131" s="3" t="s">
        <v>4</v>
      </c>
      <c r="K131" s="3" t="s">
        <v>247</v>
      </c>
      <c r="L131" s="5">
        <v>108.75</v>
      </c>
      <c r="M131" s="3" t="s">
        <v>285</v>
      </c>
    </row>
    <row r="132" spans="1:13" s="3" customFormat="1" x14ac:dyDescent="0.25">
      <c r="A132" s="3" t="s">
        <v>276</v>
      </c>
      <c r="B132" s="3">
        <v>20411454</v>
      </c>
      <c r="C132" s="3" t="s">
        <v>125</v>
      </c>
      <c r="D132" s="3" t="s">
        <v>126</v>
      </c>
      <c r="E132" t="str">
        <f t="shared" si="5"/>
        <v>Darlene Boehm</v>
      </c>
      <c r="F132" s="7">
        <v>72460</v>
      </c>
      <c r="G132" s="7" t="str">
        <f t="shared" si="4"/>
        <v>72460OVR</v>
      </c>
      <c r="H132" s="4">
        <v>46023</v>
      </c>
      <c r="I132" s="4">
        <v>46114</v>
      </c>
      <c r="J132" s="3" t="s">
        <v>4</v>
      </c>
      <c r="K132" s="3" t="s">
        <v>247</v>
      </c>
      <c r="L132" s="5">
        <v>108.75</v>
      </c>
      <c r="M132" s="3" t="s">
        <v>285</v>
      </c>
    </row>
    <row r="133" spans="1:13" s="3" customFormat="1" x14ac:dyDescent="0.25">
      <c r="A133" s="3" t="s">
        <v>276</v>
      </c>
      <c r="B133" s="3">
        <v>20411454</v>
      </c>
      <c r="C133" s="3" t="s">
        <v>146</v>
      </c>
      <c r="D133" s="3" t="s">
        <v>147</v>
      </c>
      <c r="E133" t="str">
        <f t="shared" si="5"/>
        <v>Shirley Garner</v>
      </c>
      <c r="F133" s="7">
        <v>21370</v>
      </c>
      <c r="G133" s="7" t="str">
        <f t="shared" si="4"/>
        <v>21370OVR</v>
      </c>
      <c r="H133" s="4">
        <v>46023</v>
      </c>
      <c r="I133" s="4">
        <v>46114</v>
      </c>
      <c r="J133" s="3" t="s">
        <v>4</v>
      </c>
      <c r="K133" s="3" t="s">
        <v>247</v>
      </c>
      <c r="L133" s="5">
        <v>108.75</v>
      </c>
      <c r="M133" s="3" t="s">
        <v>285</v>
      </c>
    </row>
    <row r="134" spans="1:13" s="3" customFormat="1" x14ac:dyDescent="0.25">
      <c r="A134" s="3" t="s">
        <v>276</v>
      </c>
      <c r="B134" s="3">
        <v>20411454</v>
      </c>
      <c r="C134" s="3" t="s">
        <v>128</v>
      </c>
      <c r="D134" s="3" t="s">
        <v>129</v>
      </c>
      <c r="E134" t="str">
        <f t="shared" si="5"/>
        <v>Ann Germond</v>
      </c>
      <c r="F134" s="7">
        <v>98740</v>
      </c>
      <c r="G134" s="7" t="str">
        <f t="shared" si="4"/>
        <v>98740OVR</v>
      </c>
      <c r="H134" s="4">
        <v>46023</v>
      </c>
      <c r="I134" s="4">
        <v>46114</v>
      </c>
      <c r="J134" s="3" t="s">
        <v>4</v>
      </c>
      <c r="K134" s="3" t="s">
        <v>247</v>
      </c>
      <c r="L134" s="5">
        <v>108.75</v>
      </c>
      <c r="M134" s="3" t="s">
        <v>285</v>
      </c>
    </row>
    <row r="135" spans="1:13" s="3" customFormat="1" x14ac:dyDescent="0.25">
      <c r="A135" s="3" t="s">
        <v>276</v>
      </c>
      <c r="B135" s="3">
        <v>20411454</v>
      </c>
      <c r="C135" s="3" t="s">
        <v>131</v>
      </c>
      <c r="D135" s="3" t="s">
        <v>132</v>
      </c>
      <c r="E135" t="str">
        <f t="shared" si="5"/>
        <v>Stephen Gronsky</v>
      </c>
      <c r="F135" s="7">
        <v>67110</v>
      </c>
      <c r="G135" s="7" t="str">
        <f t="shared" si="4"/>
        <v>67110OVR</v>
      </c>
      <c r="H135" s="4">
        <v>46023</v>
      </c>
      <c r="I135" s="4">
        <v>46114</v>
      </c>
      <c r="J135" s="3" t="s">
        <v>4</v>
      </c>
      <c r="K135" s="3" t="s">
        <v>247</v>
      </c>
      <c r="L135" s="5">
        <v>108.75</v>
      </c>
      <c r="M135" s="3" t="s">
        <v>285</v>
      </c>
    </row>
    <row r="136" spans="1:13" s="3" customFormat="1" x14ac:dyDescent="0.25">
      <c r="A136" s="3" t="s">
        <v>276</v>
      </c>
      <c r="B136" s="3">
        <v>20411454</v>
      </c>
      <c r="C136" s="3" t="s">
        <v>144</v>
      </c>
      <c r="D136" s="3" t="s">
        <v>76</v>
      </c>
      <c r="E136" t="str">
        <f t="shared" si="5"/>
        <v>Pamela Hartman</v>
      </c>
      <c r="F136" s="7">
        <v>90820</v>
      </c>
      <c r="G136" s="7" t="str">
        <f t="shared" si="4"/>
        <v>90820OVR</v>
      </c>
      <c r="H136" s="4">
        <v>46023</v>
      </c>
      <c r="I136" s="4">
        <v>46114</v>
      </c>
      <c r="J136" s="3" t="s">
        <v>4</v>
      </c>
      <c r="K136" s="3" t="s">
        <v>247</v>
      </c>
      <c r="L136" s="5">
        <v>108.75</v>
      </c>
      <c r="M136" s="3" t="s">
        <v>285</v>
      </c>
    </row>
    <row r="137" spans="1:13" s="3" customFormat="1" x14ac:dyDescent="0.25">
      <c r="A137" s="3" t="s">
        <v>276</v>
      </c>
      <c r="B137" s="3">
        <v>20411454</v>
      </c>
      <c r="C137" s="3" t="s">
        <v>18</v>
      </c>
      <c r="D137" s="3" t="s">
        <v>159</v>
      </c>
      <c r="E137" t="str">
        <f t="shared" si="5"/>
        <v>Susan Hufnagel</v>
      </c>
      <c r="F137" s="7">
        <v>63190</v>
      </c>
      <c r="G137" s="7" t="str">
        <f t="shared" ref="G137:G161" si="6">CONCATENATE(F137,"OVR")</f>
        <v>63190OVR</v>
      </c>
      <c r="H137" s="4">
        <v>46023</v>
      </c>
      <c r="I137" s="4">
        <v>46114</v>
      </c>
      <c r="J137" s="3" t="s">
        <v>4</v>
      </c>
      <c r="K137" s="3" t="s">
        <v>247</v>
      </c>
      <c r="L137" s="5">
        <v>108.75</v>
      </c>
      <c r="M137" s="3" t="s">
        <v>285</v>
      </c>
    </row>
    <row r="138" spans="1:13" s="3" customFormat="1" x14ac:dyDescent="0.25">
      <c r="A138" s="3" t="s">
        <v>276</v>
      </c>
      <c r="B138" s="3">
        <v>20411454</v>
      </c>
      <c r="C138" s="3" t="s">
        <v>149</v>
      </c>
      <c r="D138" s="3" t="s">
        <v>150</v>
      </c>
      <c r="E138" t="str">
        <f t="shared" si="5"/>
        <v>Rana Khan</v>
      </c>
      <c r="F138" s="7">
        <v>27420</v>
      </c>
      <c r="G138" s="7" t="str">
        <f t="shared" si="6"/>
        <v>27420OVR</v>
      </c>
      <c r="H138" s="4">
        <v>46023</v>
      </c>
      <c r="I138" s="4">
        <v>46114</v>
      </c>
      <c r="J138" s="3" t="s">
        <v>4</v>
      </c>
      <c r="K138" s="3" t="s">
        <v>247</v>
      </c>
      <c r="L138" s="5">
        <v>108.75</v>
      </c>
      <c r="M138" s="3" t="s">
        <v>285</v>
      </c>
    </row>
    <row r="139" spans="1:13" s="3" customFormat="1" x14ac:dyDescent="0.25">
      <c r="A139" s="3" t="s">
        <v>276</v>
      </c>
      <c r="B139" s="3">
        <v>20411454</v>
      </c>
      <c r="C139" s="3" t="s">
        <v>161</v>
      </c>
      <c r="D139" s="3" t="s">
        <v>162</v>
      </c>
      <c r="E139" t="str">
        <f t="shared" si="5"/>
        <v>Jeffrey King</v>
      </c>
      <c r="F139" s="7">
        <v>93470</v>
      </c>
      <c r="G139" s="7" t="str">
        <f t="shared" si="6"/>
        <v>93470OVR</v>
      </c>
      <c r="H139" s="4">
        <v>46023</v>
      </c>
      <c r="I139" s="4">
        <v>46114</v>
      </c>
      <c r="J139" s="3" t="s">
        <v>4</v>
      </c>
      <c r="K139" s="3" t="s">
        <v>247</v>
      </c>
      <c r="L139" s="5">
        <v>108.75</v>
      </c>
      <c r="M139" s="3" t="s">
        <v>285</v>
      </c>
    </row>
    <row r="140" spans="1:13" s="3" customFormat="1" x14ac:dyDescent="0.25">
      <c r="A140" s="3" t="s">
        <v>276</v>
      </c>
      <c r="B140" s="3">
        <v>20411454</v>
      </c>
      <c r="C140" s="3" t="s">
        <v>1</v>
      </c>
      <c r="D140" s="3" t="s">
        <v>134</v>
      </c>
      <c r="E140" t="str">
        <f t="shared" si="5"/>
        <v>Donna Koerbel</v>
      </c>
      <c r="F140" s="7">
        <v>20670</v>
      </c>
      <c r="G140" s="7" t="str">
        <f t="shared" si="6"/>
        <v>20670OVR</v>
      </c>
      <c r="H140" s="4">
        <v>46023</v>
      </c>
      <c r="I140" s="4">
        <v>46114</v>
      </c>
      <c r="J140" s="3" t="s">
        <v>4</v>
      </c>
      <c r="K140" s="3" t="s">
        <v>247</v>
      </c>
      <c r="L140" s="5">
        <v>108.75</v>
      </c>
      <c r="M140" s="3" t="s">
        <v>285</v>
      </c>
    </row>
    <row r="141" spans="1:13" s="3" customFormat="1" x14ac:dyDescent="0.25">
      <c r="A141" s="3" t="s">
        <v>276</v>
      </c>
      <c r="B141" s="3">
        <v>20411454</v>
      </c>
      <c r="C141" s="3" t="s">
        <v>164</v>
      </c>
      <c r="D141" s="3" t="s">
        <v>165</v>
      </c>
      <c r="E141" t="str">
        <f t="shared" si="5"/>
        <v>Joseph Maglicco</v>
      </c>
      <c r="F141" s="7">
        <v>81240</v>
      </c>
      <c r="G141" s="7" t="str">
        <f t="shared" si="6"/>
        <v>81240OVR</v>
      </c>
      <c r="H141" s="4">
        <v>46023</v>
      </c>
      <c r="I141" s="4">
        <v>46114</v>
      </c>
      <c r="J141" s="3" t="s">
        <v>4</v>
      </c>
      <c r="K141" s="3" t="s">
        <v>247</v>
      </c>
      <c r="L141" s="5">
        <v>108.75</v>
      </c>
      <c r="M141" s="3" t="s">
        <v>285</v>
      </c>
    </row>
    <row r="142" spans="1:13" s="3" customFormat="1" x14ac:dyDescent="0.25">
      <c r="A142" s="3" t="s">
        <v>276</v>
      </c>
      <c r="B142" s="3">
        <v>20411454</v>
      </c>
      <c r="C142" s="3" t="s">
        <v>12</v>
      </c>
      <c r="D142" s="3" t="s">
        <v>165</v>
      </c>
      <c r="E142" t="str">
        <f t="shared" si="5"/>
        <v>Karen Maglicco</v>
      </c>
      <c r="F142" s="7">
        <v>72730</v>
      </c>
      <c r="G142" s="7" t="str">
        <f t="shared" si="6"/>
        <v>72730OVR</v>
      </c>
      <c r="H142" s="4">
        <v>46023</v>
      </c>
      <c r="I142" s="4">
        <v>46114</v>
      </c>
      <c r="J142" s="3" t="s">
        <v>4</v>
      </c>
      <c r="K142" s="3" t="s">
        <v>247</v>
      </c>
      <c r="L142" s="5">
        <v>108.75</v>
      </c>
      <c r="M142" s="3" t="s">
        <v>285</v>
      </c>
    </row>
    <row r="143" spans="1:13" s="3" customFormat="1" x14ac:dyDescent="0.25">
      <c r="A143" s="3" t="s">
        <v>276</v>
      </c>
      <c r="B143" s="3">
        <v>20411454</v>
      </c>
      <c r="C143" s="3" t="s">
        <v>136</v>
      </c>
      <c r="D143" s="3" t="s">
        <v>137</v>
      </c>
      <c r="E143" t="str">
        <f t="shared" si="5"/>
        <v>Rosemary Marks</v>
      </c>
      <c r="F143" s="7">
        <v>72070</v>
      </c>
      <c r="G143" s="7" t="str">
        <f t="shared" si="6"/>
        <v>72070OVR</v>
      </c>
      <c r="H143" s="4">
        <v>46023</v>
      </c>
      <c r="I143" s="4">
        <v>46114</v>
      </c>
      <c r="J143" s="3" t="s">
        <v>4</v>
      </c>
      <c r="K143" s="3" t="s">
        <v>247</v>
      </c>
      <c r="L143" s="5">
        <v>108.75</v>
      </c>
      <c r="M143" s="3" t="s">
        <v>285</v>
      </c>
    </row>
    <row r="144" spans="1:13" s="3" customFormat="1" x14ac:dyDescent="0.25">
      <c r="A144" s="3" t="s">
        <v>276</v>
      </c>
      <c r="B144" s="3">
        <v>20411454</v>
      </c>
      <c r="C144" s="3" t="s">
        <v>168</v>
      </c>
      <c r="D144" s="3" t="s">
        <v>169</v>
      </c>
      <c r="E144" t="str">
        <f t="shared" si="5"/>
        <v>Cheryl Martorana</v>
      </c>
      <c r="F144" s="7">
        <v>15000</v>
      </c>
      <c r="G144" s="7" t="str">
        <f t="shared" si="6"/>
        <v>15000OVR</v>
      </c>
      <c r="H144" s="4">
        <v>46023</v>
      </c>
      <c r="I144" s="4">
        <v>46114</v>
      </c>
      <c r="J144" s="3" t="s">
        <v>4</v>
      </c>
      <c r="K144" s="3" t="s">
        <v>247</v>
      </c>
      <c r="L144" s="5">
        <v>108.75</v>
      </c>
      <c r="M144" s="3" t="s">
        <v>285</v>
      </c>
    </row>
    <row r="145" spans="1:13" s="3" customFormat="1" x14ac:dyDescent="0.25">
      <c r="A145" s="3" t="s">
        <v>276</v>
      </c>
      <c r="B145" s="3">
        <v>20411454</v>
      </c>
      <c r="C145" s="3" t="s">
        <v>122</v>
      </c>
      <c r="D145" s="3" t="s">
        <v>152</v>
      </c>
      <c r="E145" t="str">
        <f t="shared" si="5"/>
        <v>Kenneth Meckley</v>
      </c>
      <c r="F145" s="7">
        <v>96670</v>
      </c>
      <c r="G145" s="7" t="str">
        <f t="shared" si="6"/>
        <v>96670OVR</v>
      </c>
      <c r="H145" s="4">
        <v>46023</v>
      </c>
      <c r="I145" s="4">
        <v>46114</v>
      </c>
      <c r="J145" s="3" t="s">
        <v>4</v>
      </c>
      <c r="K145" s="3" t="s">
        <v>247</v>
      </c>
      <c r="L145" s="5">
        <v>108.75</v>
      </c>
      <c r="M145" s="3" t="s">
        <v>285</v>
      </c>
    </row>
    <row r="146" spans="1:13" s="3" customFormat="1" x14ac:dyDescent="0.25">
      <c r="A146" s="3" t="s">
        <v>276</v>
      </c>
      <c r="B146" s="3">
        <v>20411454</v>
      </c>
      <c r="C146" s="3" t="s">
        <v>42</v>
      </c>
      <c r="D146" s="3" t="s">
        <v>171</v>
      </c>
      <c r="E146" t="str">
        <f t="shared" si="5"/>
        <v>Tina Moon</v>
      </c>
      <c r="F146" s="7">
        <v>12630</v>
      </c>
      <c r="G146" s="7" t="str">
        <f t="shared" si="6"/>
        <v>12630OVR</v>
      </c>
      <c r="H146" s="4">
        <v>46023</v>
      </c>
      <c r="I146" s="4">
        <v>46114</v>
      </c>
      <c r="J146" s="3" t="s">
        <v>4</v>
      </c>
      <c r="K146" s="3" t="s">
        <v>247</v>
      </c>
      <c r="L146" s="5">
        <v>108.75</v>
      </c>
      <c r="M146" s="3" t="s">
        <v>285</v>
      </c>
    </row>
    <row r="147" spans="1:13" s="3" customFormat="1" x14ac:dyDescent="0.25">
      <c r="A147" s="3" t="s">
        <v>276</v>
      </c>
      <c r="B147" s="3">
        <v>20411454</v>
      </c>
      <c r="C147" s="3" t="s">
        <v>26</v>
      </c>
      <c r="D147" s="3" t="s">
        <v>139</v>
      </c>
      <c r="E147" t="str">
        <f t="shared" si="5"/>
        <v>Mark Moses</v>
      </c>
      <c r="F147" s="7">
        <v>5780</v>
      </c>
      <c r="G147" s="7" t="str">
        <f t="shared" si="6"/>
        <v>5780OVR</v>
      </c>
      <c r="H147" s="4">
        <v>46023</v>
      </c>
      <c r="I147" s="4">
        <v>46114</v>
      </c>
      <c r="J147" s="3" t="s">
        <v>4</v>
      </c>
      <c r="K147" s="3" t="s">
        <v>247</v>
      </c>
      <c r="L147" s="5">
        <v>108.75</v>
      </c>
      <c r="M147" s="3" t="s">
        <v>285</v>
      </c>
    </row>
    <row r="148" spans="1:13" s="3" customFormat="1" x14ac:dyDescent="0.25">
      <c r="A148" s="3" t="s">
        <v>276</v>
      </c>
      <c r="B148" s="3">
        <v>20411454</v>
      </c>
      <c r="C148" s="3" t="s">
        <v>154</v>
      </c>
      <c r="D148" s="3" t="s">
        <v>155</v>
      </c>
      <c r="E148" t="str">
        <f t="shared" si="5"/>
        <v>Bonnie Neher</v>
      </c>
      <c r="F148" s="7">
        <v>97270</v>
      </c>
      <c r="G148" s="7" t="str">
        <f t="shared" si="6"/>
        <v>97270OVR</v>
      </c>
      <c r="H148" s="4">
        <v>46023</v>
      </c>
      <c r="I148" s="4">
        <v>46114</v>
      </c>
      <c r="J148" s="3" t="s">
        <v>4</v>
      </c>
      <c r="K148" s="3" t="s">
        <v>247</v>
      </c>
      <c r="L148" s="5">
        <v>108.75</v>
      </c>
      <c r="M148" s="3" t="s">
        <v>285</v>
      </c>
    </row>
    <row r="149" spans="1:13" s="3" customFormat="1" x14ac:dyDescent="0.25">
      <c r="A149" s="3" t="s">
        <v>276</v>
      </c>
      <c r="B149" s="3">
        <v>20411454</v>
      </c>
      <c r="C149" s="3" t="s">
        <v>157</v>
      </c>
      <c r="D149" s="3" t="s">
        <v>155</v>
      </c>
      <c r="E149" t="str">
        <f t="shared" si="5"/>
        <v>Timothy Neher</v>
      </c>
      <c r="F149" s="7">
        <v>5000</v>
      </c>
      <c r="G149" s="7" t="str">
        <f t="shared" si="6"/>
        <v>5000OVR</v>
      </c>
      <c r="H149" s="4">
        <v>46023</v>
      </c>
      <c r="I149" s="4">
        <v>46114</v>
      </c>
      <c r="J149" s="3" t="s">
        <v>4</v>
      </c>
      <c r="K149" s="3" t="s">
        <v>247</v>
      </c>
      <c r="L149" s="5">
        <v>108.75</v>
      </c>
      <c r="M149" s="3" t="s">
        <v>285</v>
      </c>
    </row>
    <row r="150" spans="1:13" s="3" customFormat="1" x14ac:dyDescent="0.25">
      <c r="A150" s="3" t="s">
        <v>276</v>
      </c>
      <c r="B150" s="3">
        <v>20411454</v>
      </c>
      <c r="C150" s="3" t="s">
        <v>141</v>
      </c>
      <c r="D150" s="3" t="s">
        <v>142</v>
      </c>
      <c r="E150" t="str">
        <f t="shared" si="5"/>
        <v>Denise Robinson</v>
      </c>
      <c r="F150" s="7">
        <v>39160</v>
      </c>
      <c r="G150" s="7" t="str">
        <f t="shared" si="6"/>
        <v>39160OVR</v>
      </c>
      <c r="H150" s="4">
        <v>46023</v>
      </c>
      <c r="I150" s="4">
        <v>46114</v>
      </c>
      <c r="J150" s="3" t="s">
        <v>4</v>
      </c>
      <c r="K150" s="3" t="s">
        <v>247</v>
      </c>
      <c r="L150" s="5">
        <v>108.75</v>
      </c>
      <c r="M150" s="3" t="s">
        <v>285</v>
      </c>
    </row>
    <row r="151" spans="1:13" s="3" customFormat="1" x14ac:dyDescent="0.25">
      <c r="A151" s="3" t="s">
        <v>276</v>
      </c>
      <c r="B151" s="3">
        <v>20411454</v>
      </c>
      <c r="C151" s="3" t="s">
        <v>118</v>
      </c>
      <c r="D151" s="3" t="s">
        <v>180</v>
      </c>
      <c r="E151" t="str">
        <f t="shared" si="5"/>
        <v>Barbara Dzumela</v>
      </c>
      <c r="F151" s="7">
        <v>93430</v>
      </c>
      <c r="G151" s="7" t="str">
        <f t="shared" si="6"/>
        <v>93430OVR</v>
      </c>
      <c r="H151" s="4">
        <v>46023</v>
      </c>
      <c r="I151" s="4">
        <v>46114</v>
      </c>
      <c r="J151" s="3" t="s">
        <v>4</v>
      </c>
      <c r="K151" s="3" t="s">
        <v>248</v>
      </c>
      <c r="L151" s="5">
        <v>165</v>
      </c>
      <c r="M151" s="3" t="s">
        <v>285</v>
      </c>
    </row>
    <row r="152" spans="1:13" s="3" customFormat="1" x14ac:dyDescent="0.25">
      <c r="A152" s="3" t="s">
        <v>276</v>
      </c>
      <c r="B152" s="3">
        <v>20411454</v>
      </c>
      <c r="C152" s="3" t="s">
        <v>182</v>
      </c>
      <c r="D152" s="3" t="s">
        <v>180</v>
      </c>
      <c r="E152" t="str">
        <f t="shared" si="5"/>
        <v>Gary Dzumela</v>
      </c>
      <c r="F152" s="7">
        <v>68120</v>
      </c>
      <c r="G152" s="7" t="str">
        <f t="shared" si="6"/>
        <v>68120OVR</v>
      </c>
      <c r="H152" s="4">
        <v>46023</v>
      </c>
      <c r="I152" s="4">
        <v>46114</v>
      </c>
      <c r="J152" s="3" t="s">
        <v>4</v>
      </c>
      <c r="K152" s="3" t="s">
        <v>248</v>
      </c>
      <c r="L152" s="5">
        <v>165</v>
      </c>
      <c r="M152" s="3" t="s">
        <v>285</v>
      </c>
    </row>
    <row r="153" spans="1:13" s="3" customFormat="1" x14ac:dyDescent="0.25">
      <c r="A153" s="3" t="s">
        <v>276</v>
      </c>
      <c r="B153" s="3">
        <v>20411454</v>
      </c>
      <c r="C153" s="3" t="s">
        <v>8</v>
      </c>
      <c r="D153" s="3" t="s">
        <v>190</v>
      </c>
      <c r="E153" t="str">
        <f t="shared" si="5"/>
        <v>Daniel Gornick</v>
      </c>
      <c r="F153" s="7">
        <v>90670</v>
      </c>
      <c r="G153" s="7" t="str">
        <f t="shared" si="6"/>
        <v>90670OVR</v>
      </c>
      <c r="H153" s="4">
        <v>46023</v>
      </c>
      <c r="I153" s="4">
        <v>46114</v>
      </c>
      <c r="J153" s="3" t="s">
        <v>4</v>
      </c>
      <c r="K153" s="3" t="s">
        <v>248</v>
      </c>
      <c r="L153" s="5">
        <v>165</v>
      </c>
      <c r="M153" s="3" t="s">
        <v>285</v>
      </c>
    </row>
    <row r="154" spans="1:13" s="3" customFormat="1" x14ac:dyDescent="0.25">
      <c r="A154" s="3" t="s">
        <v>276</v>
      </c>
      <c r="B154" s="3">
        <v>20411454</v>
      </c>
      <c r="C154" s="3" t="s">
        <v>184</v>
      </c>
      <c r="D154" s="3" t="s">
        <v>185</v>
      </c>
      <c r="E154" t="str">
        <f t="shared" si="5"/>
        <v>Michael Hill</v>
      </c>
      <c r="F154" s="7">
        <v>24220</v>
      </c>
      <c r="G154" s="7" t="str">
        <f t="shared" si="6"/>
        <v>24220OVR</v>
      </c>
      <c r="H154" s="4">
        <v>46023</v>
      </c>
      <c r="I154" s="4">
        <v>46114</v>
      </c>
      <c r="J154" s="3" t="s">
        <v>4</v>
      </c>
      <c r="K154" s="3" t="s">
        <v>248</v>
      </c>
      <c r="L154" s="5">
        <v>165</v>
      </c>
      <c r="M154" s="3" t="s">
        <v>285</v>
      </c>
    </row>
    <row r="155" spans="1:13" s="3" customFormat="1" x14ac:dyDescent="0.25">
      <c r="A155" s="3" t="s">
        <v>276</v>
      </c>
      <c r="B155" s="3">
        <v>20411454</v>
      </c>
      <c r="C155" s="3" t="s">
        <v>173</v>
      </c>
      <c r="D155" s="3" t="s">
        <v>174</v>
      </c>
      <c r="E155" t="str">
        <f t="shared" si="5"/>
        <v>Robert Mitchell</v>
      </c>
      <c r="F155" s="7">
        <v>97580</v>
      </c>
      <c r="G155" s="7" t="str">
        <f t="shared" si="6"/>
        <v>97580OVR</v>
      </c>
      <c r="H155" s="4">
        <v>46023</v>
      </c>
      <c r="I155" s="4">
        <v>46114</v>
      </c>
      <c r="J155" s="3" t="s">
        <v>4</v>
      </c>
      <c r="K155" s="3" t="s">
        <v>248</v>
      </c>
      <c r="L155" s="5">
        <v>165</v>
      </c>
      <c r="M155" s="3" t="s">
        <v>285</v>
      </c>
    </row>
    <row r="156" spans="1:13" s="3" customFormat="1" x14ac:dyDescent="0.25">
      <c r="A156" s="3" t="s">
        <v>276</v>
      </c>
      <c r="B156" s="3">
        <v>20411454</v>
      </c>
      <c r="C156" s="3" t="s">
        <v>187</v>
      </c>
      <c r="D156" s="3" t="s">
        <v>188</v>
      </c>
      <c r="E156" t="str">
        <f t="shared" si="5"/>
        <v>Christopher Rochez</v>
      </c>
      <c r="F156" s="7">
        <v>75740</v>
      </c>
      <c r="G156" s="7" t="str">
        <f t="shared" si="6"/>
        <v>75740OVR</v>
      </c>
      <c r="H156" s="4">
        <v>46023</v>
      </c>
      <c r="I156" s="4">
        <v>46114</v>
      </c>
      <c r="J156" s="3" t="s">
        <v>4</v>
      </c>
      <c r="K156" s="3" t="s">
        <v>248</v>
      </c>
      <c r="L156" s="5">
        <v>165</v>
      </c>
      <c r="M156" s="3" t="s">
        <v>285</v>
      </c>
    </row>
    <row r="157" spans="1:13" s="3" customFormat="1" x14ac:dyDescent="0.25">
      <c r="A157" s="3" t="s">
        <v>276</v>
      </c>
      <c r="B157" s="3">
        <v>20411454</v>
      </c>
      <c r="C157" s="3" t="s">
        <v>193</v>
      </c>
      <c r="D157" s="3" t="s">
        <v>194</v>
      </c>
      <c r="E157" t="str">
        <f t="shared" si="5"/>
        <v>Lisa Edwards</v>
      </c>
      <c r="F157" s="7">
        <v>45230</v>
      </c>
      <c r="G157" s="7" t="str">
        <f t="shared" si="6"/>
        <v>45230OVR</v>
      </c>
      <c r="H157" s="4">
        <v>46082</v>
      </c>
      <c r="I157" s="4">
        <v>46114</v>
      </c>
      <c r="J157" s="3" t="s">
        <v>4</v>
      </c>
      <c r="K157" s="3" t="s">
        <v>248</v>
      </c>
      <c r="L157" s="5">
        <v>110</v>
      </c>
      <c r="M157" s="3" t="s">
        <v>285</v>
      </c>
    </row>
    <row r="158" spans="1:13" s="3" customFormat="1" x14ac:dyDescent="0.25">
      <c r="A158" s="3" t="s">
        <v>276</v>
      </c>
      <c r="B158" s="3">
        <v>20411454</v>
      </c>
      <c r="C158" s="3" t="s">
        <v>157</v>
      </c>
      <c r="D158" s="3" t="s">
        <v>249</v>
      </c>
      <c r="E158" t="str">
        <f t="shared" si="5"/>
        <v>Timothy Welter</v>
      </c>
      <c r="F158" s="7" t="s">
        <v>272</v>
      </c>
      <c r="G158" s="7" t="str">
        <f t="shared" si="6"/>
        <v>8354AOVR</v>
      </c>
      <c r="H158" s="4">
        <v>46054</v>
      </c>
      <c r="I158" s="4">
        <v>46114</v>
      </c>
      <c r="J158" s="3" t="s">
        <v>251</v>
      </c>
      <c r="K158" s="3" t="s">
        <v>252</v>
      </c>
      <c r="L158" s="5">
        <v>6.75</v>
      </c>
      <c r="M158" s="3" t="s">
        <v>285</v>
      </c>
    </row>
    <row r="159" spans="1:13" s="3" customFormat="1" x14ac:dyDescent="0.25">
      <c r="A159" s="3" t="s">
        <v>276</v>
      </c>
      <c r="B159" s="3">
        <v>20411454</v>
      </c>
      <c r="C159" s="3" t="s">
        <v>234</v>
      </c>
      <c r="D159" s="3" t="s">
        <v>254</v>
      </c>
      <c r="E159" t="str">
        <f t="shared" si="5"/>
        <v>Steven Brown</v>
      </c>
      <c r="F159" s="7" t="s">
        <v>273</v>
      </c>
      <c r="G159" s="7" t="str">
        <f t="shared" si="6"/>
        <v>4887AOVR</v>
      </c>
      <c r="H159" s="4">
        <v>46054</v>
      </c>
      <c r="I159" s="4">
        <v>46114</v>
      </c>
      <c r="J159" s="3" t="s">
        <v>251</v>
      </c>
      <c r="K159" s="3" t="s">
        <v>252</v>
      </c>
      <c r="L159" s="5">
        <v>6.75</v>
      </c>
      <c r="M159" s="3" t="s">
        <v>285</v>
      </c>
    </row>
    <row r="160" spans="1:13" s="3" customFormat="1" x14ac:dyDescent="0.25">
      <c r="A160" s="3" t="s">
        <v>276</v>
      </c>
      <c r="B160" s="3">
        <v>20411454</v>
      </c>
      <c r="C160" s="3" t="s">
        <v>256</v>
      </c>
      <c r="D160" s="3" t="s">
        <v>257</v>
      </c>
      <c r="E160" t="str">
        <f t="shared" si="5"/>
        <v>Connie Zanoni</v>
      </c>
      <c r="F160" s="7" t="s">
        <v>274</v>
      </c>
      <c r="G160" s="7" t="str">
        <f t="shared" si="6"/>
        <v>8182BOVR</v>
      </c>
      <c r="H160" s="4">
        <v>46054</v>
      </c>
      <c r="I160" s="4">
        <v>46114</v>
      </c>
      <c r="J160" s="3" t="s">
        <v>251</v>
      </c>
      <c r="K160" s="3" t="s">
        <v>252</v>
      </c>
      <c r="L160" s="5">
        <v>6.75</v>
      </c>
      <c r="M160" s="3" t="s">
        <v>285</v>
      </c>
    </row>
    <row r="161" spans="1:13" s="3" customFormat="1" x14ac:dyDescent="0.25">
      <c r="A161" s="3" t="s">
        <v>276</v>
      </c>
      <c r="B161" s="3">
        <v>20411454</v>
      </c>
      <c r="C161" s="3" t="s">
        <v>15</v>
      </c>
      <c r="D161" s="3" t="s">
        <v>259</v>
      </c>
      <c r="E161" t="str">
        <f t="shared" si="5"/>
        <v>Kevin Lewis</v>
      </c>
      <c r="F161" s="7" t="s">
        <v>275</v>
      </c>
      <c r="G161" s="7" t="str">
        <f t="shared" si="6"/>
        <v>4052AOVR</v>
      </c>
      <c r="H161" s="4">
        <v>46054</v>
      </c>
      <c r="I161" s="4">
        <v>46114</v>
      </c>
      <c r="J161" s="3" t="s">
        <v>251</v>
      </c>
      <c r="K161" s="3" t="s">
        <v>252</v>
      </c>
      <c r="L161" s="5">
        <v>6.75</v>
      </c>
      <c r="M161" s="3" t="s">
        <v>285</v>
      </c>
    </row>
  </sheetData>
  <sortState xmlns:xlrd2="http://schemas.microsoft.com/office/spreadsheetml/2017/richdata2" ref="A2:S161">
    <sortCondition ref="M2:M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2026-04-03T15:23:51Z</dcterms:created>
  <dcterms:modified xsi:type="dcterms:W3CDTF">2026-04-06T19:15:25Z</dcterms:modified>
</cp:coreProperties>
</file>