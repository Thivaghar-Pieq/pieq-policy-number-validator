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2-6-26\"/>
    </mc:Choice>
  </mc:AlternateContent>
  <xr:revisionPtr revIDLastSave="0" documentId="13_ncr:1_{4D74EA08-CB74-4BBE-BFE6-919D2DB82A67}" xr6:coauthVersionLast="47" xr6:coauthVersionMax="47" xr10:uidLastSave="{00000000-0000-0000-0000-000000000000}"/>
  <bookViews>
    <workbookView xWindow="-120" yWindow="-120" windowWidth="29040" windowHeight="16440" xr2:uid="{9B1242E7-A086-4DF6-B78E-E02CAE4A9D30}"/>
  </bookViews>
  <sheets>
    <sheet name="Commissions_Main Line Benefits," sheetId="1" r:id="rId1"/>
    <sheet name="Sheet1" sheetId="2" r:id="rId2"/>
  </sheets>
  <definedNames>
    <definedName name="_xlnm._FilterDatabase" localSheetId="0" hidden="1">'Commissions_Main Line Benefits,'!$A$1:$K$291</definedName>
  </definedName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2" i="2"/>
  <c r="G58" i="2"/>
  <c r="G57" i="2"/>
  <c r="G56" i="2"/>
  <c r="G55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<sst xmlns="http://schemas.openxmlformats.org/spreadsheetml/2006/main" count="750" uniqueCount="131">
  <si>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</si>
  <si>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</si>
  <si>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</si>
  <si>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</si>
  <si>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</si>
  <si>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</si>
  <si>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</si>
  <si>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</si>
  <si>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</si>
  <si>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</si>
  <si>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</si>
  <si>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John</t>
  </si>
  <si>
    <t>William</t>
  </si>
  <si>
    <t>Robert</t>
  </si>
  <si>
    <t>Theresa</t>
  </si>
  <si>
    <t>David</t>
  </si>
  <si>
    <t>Mary</t>
  </si>
  <si>
    <t>Jones</t>
  </si>
  <si>
    <t>Young</t>
  </si>
  <si>
    <t>Barbara</t>
  </si>
  <si>
    <t>Anne Kozacheck</t>
  </si>
  <si>
    <t>Bette</t>
  </si>
  <si>
    <t>Thomas</t>
  </si>
  <si>
    <t>*****4797B</t>
  </si>
  <si>
    <t>Highmark MS</t>
  </si>
  <si>
    <t>Highmark MS 2022-2025 65-80 years 1-6 ST (ProRata: 1)</t>
  </si>
  <si>
    <t>Margaret Smith</t>
  </si>
  <si>
    <t>*****6350A</t>
  </si>
  <si>
    <t>Highmark MS 2023 - 2025 65-80 years 1-6 OR (ProRata: 1)</t>
  </si>
  <si>
    <t>Patricia Long</t>
  </si>
  <si>
    <t>Diane</t>
  </si>
  <si>
    <t>Erney</t>
  </si>
  <si>
    <t>*****3335B</t>
  </si>
  <si>
    <t>Highmark MS 2023-2026 Whole Health Balance YR 1 (ProRata: 9)</t>
  </si>
  <si>
    <t>Murtha</t>
  </si>
  <si>
    <t>*****4526B</t>
  </si>
  <si>
    <t>Warren</t>
  </si>
  <si>
    <t>Daun</t>
  </si>
  <si>
    <t>*****9190A</t>
  </si>
  <si>
    <t>Jason Hoffmann</t>
  </si>
  <si>
    <t>Judith</t>
  </si>
  <si>
    <t>Alison Luse</t>
  </si>
  <si>
    <t>Beverly</t>
  </si>
  <si>
    <t>Sullivan</t>
  </si>
  <si>
    <t>*****13660</t>
  </si>
  <si>
    <t>Highmark</t>
  </si>
  <si>
    <t>Highmark 2025-26 PA Replace Street / TrueUp (ProRata: 1)</t>
  </si>
  <si>
    <t>Harvey</t>
  </si>
  <si>
    <t>Glantz</t>
  </si>
  <si>
    <t>*****81810</t>
  </si>
  <si>
    <t>Sheridan</t>
  </si>
  <si>
    <t>*****05120</t>
  </si>
  <si>
    <t>Deborah Inskipt</t>
  </si>
  <si>
    <t>Peggy</t>
  </si>
  <si>
    <t>Housley</t>
  </si>
  <si>
    <t>*****19870</t>
  </si>
  <si>
    <t>Joyce</t>
  </si>
  <si>
    <t>Kweder</t>
  </si>
  <si>
    <t>*****34550</t>
  </si>
  <si>
    <t>Marencel</t>
  </si>
  <si>
    <t>*****99660</t>
  </si>
  <si>
    <t>Burg</t>
  </si>
  <si>
    <t>*****36720</t>
  </si>
  <si>
    <t>Highmark 2025-26 PA Replace Street / TrueUp (ProRata: -1)</t>
  </si>
  <si>
    <t>Alice</t>
  </si>
  <si>
    <t>*****50140</t>
  </si>
  <si>
    <t>Harold</t>
  </si>
  <si>
    <t>*****68460</t>
  </si>
  <si>
    <t>Roland</t>
  </si>
  <si>
    <t>Black</t>
  </si>
  <si>
    <t>*****18660</t>
  </si>
  <si>
    <t>*****00350</t>
  </si>
  <si>
    <t>Highmark 2025-26 WNY WV DE Renewal Street (ProRata: 1)</t>
  </si>
  <si>
    <t>Christy</t>
  </si>
  <si>
    <t>Russell</t>
  </si>
  <si>
    <t>*****11460</t>
  </si>
  <si>
    <t>*****18410</t>
  </si>
  <si>
    <t>Highmark 2025-26 WNY WV DE Renewal Street (ProRata: -1)</t>
  </si>
  <si>
    <t>Michelle McCorkle</t>
  </si>
  <si>
    <t>Eleta</t>
  </si>
  <si>
    <t>Rupp</t>
  </si>
  <si>
    <t>*****58650</t>
  </si>
  <si>
    <t>Carl</t>
  </si>
  <si>
    <t>Overly</t>
  </si>
  <si>
    <t>*****95310</t>
  </si>
  <si>
    <t>Alan</t>
  </si>
  <si>
    <t>Shaffer</t>
  </si>
  <si>
    <t>*****76470</t>
  </si>
  <si>
    <t>Sami</t>
  </si>
  <si>
    <t>Azar</t>
  </si>
  <si>
    <t>*****58970</t>
  </si>
  <si>
    <t>Eileen</t>
  </si>
  <si>
    <t>Rohrbach</t>
  </si>
  <si>
    <t>*****48470</t>
  </si>
  <si>
    <t>Rafael</t>
  </si>
  <si>
    <t>Rosario</t>
  </si>
  <si>
    <t>*****02060</t>
  </si>
  <si>
    <t>Halimah</t>
  </si>
  <si>
    <t>Sou</t>
  </si>
  <si>
    <t>*****35180</t>
  </si>
  <si>
    <t>Kurzawa</t>
  </si>
  <si>
    <t>*****72960</t>
  </si>
  <si>
    <t>Holmes</t>
  </si>
  <si>
    <t>*****65970</t>
  </si>
  <si>
    <t>Highmark 2025-2026 PA Replace OR (ProRata: 1)</t>
  </si>
  <si>
    <t>Marina O'Brien</t>
  </si>
  <si>
    <t>Sujata</t>
  </si>
  <si>
    <t>Naik</t>
  </si>
  <si>
    <t>*****49730</t>
  </si>
  <si>
    <t>Barry</t>
  </si>
  <si>
    <t>Wingard</t>
  </si>
  <si>
    <t>*****87700</t>
  </si>
  <si>
    <t>Highmark 2025-2026 PA Replace OR (ProRata: -1)</t>
  </si>
  <si>
    <t>Highmark 2022-2026 PA DE &amp; WV Replace OR (ProRata: 1)</t>
  </si>
  <si>
    <t>Highmark 2022-2026 PA DE &amp; WV Replace OR (ProRata: -1)</t>
  </si>
  <si>
    <t>Notes: Previous Debit Balance</t>
  </si>
  <si>
    <t>4797B</t>
  </si>
  <si>
    <t>6350A</t>
  </si>
  <si>
    <t>4526B</t>
  </si>
  <si>
    <t>9190A</t>
  </si>
  <si>
    <t>Highmark MAPD Ovr</t>
  </si>
  <si>
    <t>Highmark MAPD 2025..</t>
  </si>
  <si>
    <t>[%/$=313][prorate=1/12]</t>
  </si>
  <si>
    <t>Highmark MAPD 2025*</t>
  </si>
  <si>
    <t>Highmark 65-80 DE WV GI and OE</t>
  </si>
  <si>
    <t>4797BMS</t>
  </si>
  <si>
    <t>[%/$=353][prorate=1/12]</t>
  </si>
  <si>
    <t>Main Line Benefits</t>
  </si>
  <si>
    <t>17528908N</t>
  </si>
  <si>
    <t>18710070N</t>
  </si>
  <si>
    <t>19278370old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</si>
</sst>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AD2F-B7CD-4662-8D7C-F049184BFFDF}">
  <dimension ref="A1:K62"/>
  <sheetViews>
    <sheetView tabSelected="1" topLeftCell="A31" workbookViewId="0">
      <selection activeCell="A62" sqref="A62:XFD62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5.2851562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73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41</v>
      </c>
      <c r="B2">
        <v>9254978</v>
      </c>
      <c r="C2">
        <v>9254978</v>
      </c>
      <c r="D2" t="s">
        <v>42</v>
      </c>
      <c r="E2" t="s">
        <v>43</v>
      </c>
      <c r="F2" t="s">
        <v>44</v>
      </c>
      <c r="G2" s="1">
        <v>45658</v>
      </c>
      <c r="H2" s="1">
        <v>46059</v>
      </c>
      <c r="I2" t="s">
        <v>45</v>
      </c>
      <c r="J2" t="s">
        <v>46</v>
      </c>
      <c r="K2" s="2">
        <v>29.41</v>
      </c>
    </row>
    <row r="3" spans="1:11" x14ac:dyDescent="0.25">
      <c r="A3" t="s">
        <v>39</v>
      </c>
      <c r="B3">
        <v>15278437</v>
      </c>
      <c r="C3">
        <v>15278437</v>
      </c>
      <c r="D3" t="s">
        <v>47</v>
      </c>
      <c r="E3" t="s">
        <v>48</v>
      </c>
      <c r="F3" t="s">
        <v>49</v>
      </c>
      <c r="G3" s="1">
        <v>45292</v>
      </c>
      <c r="H3" s="1">
        <v>46059</v>
      </c>
      <c r="I3" t="s">
        <v>45</v>
      </c>
      <c r="J3" t="s">
        <v>46</v>
      </c>
      <c r="K3" s="2">
        <v>29.41</v>
      </c>
    </row>
    <row r="4" spans="1:11" x14ac:dyDescent="0.25">
      <c r="A4" t="s">
        <v>39</v>
      </c>
      <c r="B4">
        <v>15278437</v>
      </c>
      <c r="C4">
        <v>15278437</v>
      </c>
      <c r="D4" t="s">
        <v>11</v>
      </c>
      <c r="E4" t="s">
        <v>50</v>
      </c>
      <c r="F4" t="s">
        <v>51</v>
      </c>
      <c r="G4" s="1">
        <v>45170</v>
      </c>
      <c r="H4" s="1">
        <v>46059</v>
      </c>
      <c r="I4" t="s">
        <v>45</v>
      </c>
      <c r="J4" t="s">
        <v>46</v>
      </c>
      <c r="K4" s="2">
        <v>29.41</v>
      </c>
    </row>
    <row r="5" spans="1:11" x14ac:dyDescent="0.25">
      <c r="A5" t="s">
        <v>52</v>
      </c>
      <c r="B5">
        <v>17528908</v>
      </c>
      <c r="C5">
        <v>17528908</v>
      </c>
      <c r="D5" t="s">
        <v>53</v>
      </c>
      <c r="E5" t="s">
        <v>54</v>
      </c>
      <c r="F5" t="s">
        <v>55</v>
      </c>
      <c r="G5" s="1">
        <v>45444</v>
      </c>
      <c r="H5" s="1">
        <v>46059</v>
      </c>
      <c r="I5" t="s">
        <v>45</v>
      </c>
      <c r="J5" t="s">
        <v>46</v>
      </c>
      <c r="K5" s="2">
        <v>29.41</v>
      </c>
    </row>
    <row r="6" spans="1:11" x14ac:dyDescent="0.25">
      <c r="A6" t="s">
        <v>52</v>
      </c>
      <c r="C6">
        <v>17528908</v>
      </c>
      <c r="D6" t="s">
        <v>56</v>
      </c>
      <c r="E6" t="s">
        <v>57</v>
      </c>
      <c r="F6" t="s">
        <v>58</v>
      </c>
      <c r="G6" s="1">
        <v>45962</v>
      </c>
      <c r="H6" s="1">
        <v>46059</v>
      </c>
      <c r="I6" t="s">
        <v>45</v>
      </c>
      <c r="J6" t="s">
        <v>46</v>
      </c>
      <c r="K6" s="2">
        <v>29.41</v>
      </c>
    </row>
    <row r="7" spans="1:11" x14ac:dyDescent="0.25">
      <c r="A7" t="s">
        <v>52</v>
      </c>
      <c r="B7">
        <v>17528908</v>
      </c>
      <c r="C7">
        <v>17528908</v>
      </c>
      <c r="D7" t="s">
        <v>12</v>
      </c>
      <c r="E7" t="s">
        <v>59</v>
      </c>
      <c r="F7" t="s">
        <v>60</v>
      </c>
      <c r="G7" s="1">
        <v>45323</v>
      </c>
      <c r="H7" s="1">
        <v>46059</v>
      </c>
      <c r="I7" t="s">
        <v>45</v>
      </c>
      <c r="J7" t="s">
        <v>46</v>
      </c>
      <c r="K7" s="2">
        <v>29.41</v>
      </c>
    </row>
    <row r="8" spans="1:11" x14ac:dyDescent="0.25">
      <c r="A8" t="s">
        <v>52</v>
      </c>
      <c r="B8">
        <v>17528908</v>
      </c>
      <c r="C8">
        <v>17528908</v>
      </c>
      <c r="D8" t="s">
        <v>19</v>
      </c>
      <c r="E8" t="s">
        <v>61</v>
      </c>
      <c r="F8" t="s">
        <v>62</v>
      </c>
      <c r="G8" s="1">
        <v>45658</v>
      </c>
      <c r="H8" s="1">
        <v>46059</v>
      </c>
      <c r="I8" t="s">
        <v>45</v>
      </c>
      <c r="J8" t="s">
        <v>63</v>
      </c>
      <c r="K8" s="2">
        <v>-29.41</v>
      </c>
    </row>
    <row r="9" spans="1:11" x14ac:dyDescent="0.25">
      <c r="A9" t="s">
        <v>52</v>
      </c>
      <c r="B9">
        <v>17528908</v>
      </c>
      <c r="C9">
        <v>17528908</v>
      </c>
      <c r="D9" t="s">
        <v>64</v>
      </c>
      <c r="E9" t="s">
        <v>17</v>
      </c>
      <c r="F9" t="s">
        <v>65</v>
      </c>
      <c r="G9" s="1">
        <v>45108</v>
      </c>
      <c r="H9" s="1">
        <v>46059</v>
      </c>
      <c r="I9" t="s">
        <v>45</v>
      </c>
      <c r="J9" t="s">
        <v>63</v>
      </c>
      <c r="K9" s="2">
        <v>-29.41</v>
      </c>
    </row>
    <row r="10" spans="1:11" x14ac:dyDescent="0.25">
      <c r="A10" t="s">
        <v>52</v>
      </c>
      <c r="B10">
        <v>17528908</v>
      </c>
      <c r="C10">
        <v>17528908</v>
      </c>
      <c r="D10" t="s">
        <v>66</v>
      </c>
      <c r="E10" t="s">
        <v>17</v>
      </c>
      <c r="F10" t="s">
        <v>67</v>
      </c>
      <c r="G10" s="1">
        <v>45597</v>
      </c>
      <c r="H10" s="1">
        <v>46059</v>
      </c>
      <c r="I10" t="s">
        <v>45</v>
      </c>
      <c r="J10" t="s">
        <v>46</v>
      </c>
      <c r="K10" s="2">
        <v>29.41</v>
      </c>
    </row>
    <row r="11" spans="1:11" x14ac:dyDescent="0.25">
      <c r="A11" t="s">
        <v>52</v>
      </c>
      <c r="B11">
        <v>17528908</v>
      </c>
      <c r="C11">
        <v>17528908</v>
      </c>
      <c r="D11" t="s">
        <v>66</v>
      </c>
      <c r="E11" t="s">
        <v>17</v>
      </c>
      <c r="F11" t="s">
        <v>67</v>
      </c>
      <c r="G11" s="1">
        <v>45597</v>
      </c>
      <c r="H11" s="1">
        <v>46059</v>
      </c>
      <c r="I11" t="s">
        <v>45</v>
      </c>
      <c r="J11" t="s">
        <v>63</v>
      </c>
      <c r="K11" s="2">
        <v>-29.41</v>
      </c>
    </row>
    <row r="12" spans="1:11" x14ac:dyDescent="0.25">
      <c r="A12" t="s">
        <v>52</v>
      </c>
      <c r="B12">
        <v>17528908</v>
      </c>
      <c r="C12">
        <v>17528908</v>
      </c>
      <c r="D12" t="s">
        <v>68</v>
      </c>
      <c r="E12" t="s">
        <v>69</v>
      </c>
      <c r="F12" t="s">
        <v>70</v>
      </c>
      <c r="G12" s="1">
        <v>45536</v>
      </c>
      <c r="H12" s="1">
        <v>46059</v>
      </c>
      <c r="I12" t="s">
        <v>45</v>
      </c>
      <c r="J12" t="s">
        <v>46</v>
      </c>
      <c r="K12" s="2">
        <v>29.41</v>
      </c>
    </row>
    <row r="13" spans="1:11" x14ac:dyDescent="0.25">
      <c r="A13" t="s">
        <v>52</v>
      </c>
      <c r="B13">
        <v>17528908</v>
      </c>
      <c r="C13">
        <v>17528908</v>
      </c>
      <c r="D13" t="s">
        <v>40</v>
      </c>
      <c r="E13" t="s">
        <v>69</v>
      </c>
      <c r="F13" t="s">
        <v>71</v>
      </c>
      <c r="G13" s="1">
        <v>45292</v>
      </c>
      <c r="H13" s="1">
        <v>46059</v>
      </c>
      <c r="I13" t="s">
        <v>45</v>
      </c>
      <c r="J13" t="s">
        <v>72</v>
      </c>
      <c r="K13" s="2">
        <v>26.08</v>
      </c>
    </row>
    <row r="14" spans="1:11" x14ac:dyDescent="0.25">
      <c r="A14" t="s">
        <v>52</v>
      </c>
      <c r="B14">
        <v>17528908</v>
      </c>
      <c r="C14">
        <v>17528908</v>
      </c>
      <c r="D14" t="s">
        <v>73</v>
      </c>
      <c r="E14" t="s">
        <v>74</v>
      </c>
      <c r="F14" t="s">
        <v>75</v>
      </c>
      <c r="G14" s="1">
        <v>45839</v>
      </c>
      <c r="H14" s="1">
        <v>46059</v>
      </c>
      <c r="I14" t="s">
        <v>45</v>
      </c>
      <c r="J14" t="s">
        <v>72</v>
      </c>
      <c r="K14" s="2">
        <v>26.08</v>
      </c>
    </row>
    <row r="15" spans="1:11" x14ac:dyDescent="0.25">
      <c r="A15" t="s">
        <v>52</v>
      </c>
      <c r="B15">
        <v>17528908</v>
      </c>
      <c r="C15">
        <v>17528908</v>
      </c>
      <c r="D15" t="s">
        <v>15</v>
      </c>
      <c r="E15" t="s">
        <v>74</v>
      </c>
      <c r="F15" t="s">
        <v>76</v>
      </c>
      <c r="G15" s="1">
        <v>45505</v>
      </c>
      <c r="H15" s="1">
        <v>46059</v>
      </c>
      <c r="I15" t="s">
        <v>45</v>
      </c>
      <c r="J15" t="s">
        <v>72</v>
      </c>
      <c r="K15" s="2">
        <v>26.08</v>
      </c>
    </row>
    <row r="16" spans="1:11" x14ac:dyDescent="0.25">
      <c r="A16" t="s">
        <v>52</v>
      </c>
      <c r="B16">
        <v>17528908</v>
      </c>
      <c r="C16">
        <v>17528908</v>
      </c>
      <c r="D16" t="s">
        <v>73</v>
      </c>
      <c r="E16" t="s">
        <v>74</v>
      </c>
      <c r="F16" t="s">
        <v>75</v>
      </c>
      <c r="G16" s="1">
        <v>45839</v>
      </c>
      <c r="H16" s="1">
        <v>46059</v>
      </c>
      <c r="I16" t="s">
        <v>45</v>
      </c>
      <c r="J16" t="s">
        <v>77</v>
      </c>
      <c r="K16" s="2">
        <v>-26.08</v>
      </c>
    </row>
    <row r="17" spans="1:11" x14ac:dyDescent="0.25">
      <c r="A17" t="s">
        <v>52</v>
      </c>
      <c r="B17">
        <v>17528908</v>
      </c>
      <c r="C17">
        <v>17528908</v>
      </c>
      <c r="D17" t="s">
        <v>15</v>
      </c>
      <c r="E17" t="s">
        <v>74</v>
      </c>
      <c r="F17" t="s">
        <v>76</v>
      </c>
      <c r="G17" s="1">
        <v>45505</v>
      </c>
      <c r="H17" s="1">
        <v>46059</v>
      </c>
      <c r="I17" t="s">
        <v>45</v>
      </c>
      <c r="J17" t="s">
        <v>77</v>
      </c>
      <c r="K17" s="2">
        <v>-26.08</v>
      </c>
    </row>
    <row r="18" spans="1:11" x14ac:dyDescent="0.25">
      <c r="A18" t="s">
        <v>78</v>
      </c>
      <c r="C18">
        <v>18710070</v>
      </c>
      <c r="D18" t="s">
        <v>79</v>
      </c>
      <c r="E18" t="s">
        <v>80</v>
      </c>
      <c r="F18" t="s">
        <v>81</v>
      </c>
      <c r="G18" s="1">
        <v>45658</v>
      </c>
      <c r="H18" s="1">
        <v>46059</v>
      </c>
      <c r="I18" t="s">
        <v>45</v>
      </c>
      <c r="J18" t="s">
        <v>46</v>
      </c>
      <c r="K18" s="2">
        <v>29.41</v>
      </c>
    </row>
    <row r="19" spans="1:11" x14ac:dyDescent="0.25">
      <c r="A19" t="s">
        <v>78</v>
      </c>
      <c r="C19">
        <v>18710070</v>
      </c>
      <c r="D19" t="s">
        <v>82</v>
      </c>
      <c r="E19" t="s">
        <v>83</v>
      </c>
      <c r="F19" t="s">
        <v>84</v>
      </c>
      <c r="G19" s="1">
        <v>45962</v>
      </c>
      <c r="H19" s="1">
        <v>46059</v>
      </c>
      <c r="I19" t="s">
        <v>45</v>
      </c>
      <c r="J19" t="s">
        <v>46</v>
      </c>
      <c r="K19" s="2">
        <v>29.41</v>
      </c>
    </row>
    <row r="20" spans="1:11" x14ac:dyDescent="0.25">
      <c r="A20" t="s">
        <v>78</v>
      </c>
      <c r="C20">
        <v>18710070</v>
      </c>
      <c r="D20" t="s">
        <v>85</v>
      </c>
      <c r="E20" t="s">
        <v>86</v>
      </c>
      <c r="F20" t="s">
        <v>87</v>
      </c>
      <c r="G20" s="1">
        <v>45658</v>
      </c>
      <c r="H20" s="1">
        <v>46059</v>
      </c>
      <c r="I20" t="s">
        <v>45</v>
      </c>
      <c r="J20" t="s">
        <v>63</v>
      </c>
      <c r="K20" s="2">
        <v>-29.41</v>
      </c>
    </row>
    <row r="21" spans="1:11" x14ac:dyDescent="0.25">
      <c r="A21" t="s">
        <v>29</v>
      </c>
      <c r="B21">
        <v>18794740</v>
      </c>
      <c r="C21">
        <v>18794740</v>
      </c>
      <c r="D21" t="s">
        <v>88</v>
      </c>
      <c r="E21" t="s">
        <v>89</v>
      </c>
      <c r="F21" t="s">
        <v>90</v>
      </c>
      <c r="G21" s="1">
        <v>45566</v>
      </c>
      <c r="H21" s="1">
        <v>46059</v>
      </c>
      <c r="I21" t="s">
        <v>45</v>
      </c>
      <c r="J21" t="s">
        <v>46</v>
      </c>
      <c r="K21" s="2">
        <v>29.41</v>
      </c>
    </row>
    <row r="22" spans="1:11" x14ac:dyDescent="0.25">
      <c r="A22" t="s">
        <v>29</v>
      </c>
      <c r="B22">
        <v>18794740</v>
      </c>
      <c r="C22">
        <v>18794740</v>
      </c>
      <c r="D22" t="s">
        <v>91</v>
      </c>
      <c r="E22" t="s">
        <v>92</v>
      </c>
      <c r="F22" t="s">
        <v>93</v>
      </c>
      <c r="G22" s="1">
        <v>45292</v>
      </c>
      <c r="H22" s="1">
        <v>46059</v>
      </c>
      <c r="I22" t="s">
        <v>45</v>
      </c>
      <c r="J22" t="s">
        <v>46</v>
      </c>
      <c r="K22" s="2">
        <v>29.41</v>
      </c>
    </row>
    <row r="23" spans="1:11" x14ac:dyDescent="0.25">
      <c r="A23" t="s">
        <v>29</v>
      </c>
      <c r="B23">
        <v>18794740</v>
      </c>
      <c r="C23">
        <v>18794740</v>
      </c>
      <c r="D23" t="s">
        <v>94</v>
      </c>
      <c r="E23" t="s">
        <v>95</v>
      </c>
      <c r="F23" t="s">
        <v>96</v>
      </c>
      <c r="G23" s="1">
        <v>45658</v>
      </c>
      <c r="H23" s="1">
        <v>46059</v>
      </c>
      <c r="I23" t="s">
        <v>45</v>
      </c>
      <c r="J23" t="s">
        <v>46</v>
      </c>
      <c r="K23" s="2">
        <v>29.41</v>
      </c>
    </row>
    <row r="24" spans="1:11" x14ac:dyDescent="0.25">
      <c r="A24" t="s">
        <v>29</v>
      </c>
      <c r="B24">
        <v>18794740</v>
      </c>
      <c r="C24">
        <v>18794740</v>
      </c>
      <c r="D24" t="s">
        <v>97</v>
      </c>
      <c r="E24" t="s">
        <v>98</v>
      </c>
      <c r="F24" t="s">
        <v>99</v>
      </c>
      <c r="G24" s="1">
        <v>45292</v>
      </c>
      <c r="H24" s="1">
        <v>46059</v>
      </c>
      <c r="I24" t="s">
        <v>45</v>
      </c>
      <c r="J24" t="s">
        <v>46</v>
      </c>
      <c r="K24" s="2">
        <v>29.41</v>
      </c>
    </row>
    <row r="25" spans="1:11" x14ac:dyDescent="0.25">
      <c r="A25" t="s">
        <v>29</v>
      </c>
      <c r="B25">
        <v>18794740</v>
      </c>
      <c r="C25">
        <v>18794740</v>
      </c>
      <c r="D25" t="s">
        <v>14</v>
      </c>
      <c r="E25" t="s">
        <v>100</v>
      </c>
      <c r="F25" t="s">
        <v>101</v>
      </c>
      <c r="G25" s="1">
        <v>45689</v>
      </c>
      <c r="H25" s="1">
        <v>46059</v>
      </c>
      <c r="I25" t="s">
        <v>45</v>
      </c>
      <c r="J25" t="s">
        <v>46</v>
      </c>
      <c r="K25" s="2">
        <v>29.41</v>
      </c>
    </row>
    <row r="26" spans="1:11" x14ac:dyDescent="0.25">
      <c r="A26" t="s">
        <v>20</v>
      </c>
      <c r="B26">
        <v>19278370</v>
      </c>
      <c r="C26">
        <v>19278370</v>
      </c>
      <c r="D26" t="s">
        <v>13</v>
      </c>
      <c r="E26" t="s">
        <v>102</v>
      </c>
      <c r="F26" t="s">
        <v>103</v>
      </c>
      <c r="G26" s="1">
        <v>45413</v>
      </c>
      <c r="H26" s="1">
        <v>46059</v>
      </c>
      <c r="I26" t="s">
        <v>45</v>
      </c>
      <c r="J26" t="s">
        <v>46</v>
      </c>
      <c r="K26" s="2">
        <v>29.41</v>
      </c>
    </row>
    <row r="27" spans="1:11" x14ac:dyDescent="0.25">
      <c r="A27" t="s">
        <v>41</v>
      </c>
      <c r="B27">
        <v>9254978</v>
      </c>
      <c r="C27">
        <v>9254978</v>
      </c>
      <c r="D27" t="s">
        <v>42</v>
      </c>
      <c r="E27" t="s">
        <v>43</v>
      </c>
      <c r="F27" t="s">
        <v>44</v>
      </c>
      <c r="G27" s="1">
        <v>45658</v>
      </c>
      <c r="H27" s="1">
        <v>46059</v>
      </c>
      <c r="I27" t="s">
        <v>45</v>
      </c>
      <c r="J27" t="s">
        <v>104</v>
      </c>
      <c r="K27" s="2">
        <v>6.04</v>
      </c>
    </row>
    <row r="28" spans="1:11" x14ac:dyDescent="0.25">
      <c r="A28" t="s">
        <v>39</v>
      </c>
      <c r="B28">
        <v>15278437</v>
      </c>
      <c r="C28">
        <v>15278437</v>
      </c>
      <c r="D28" t="s">
        <v>47</v>
      </c>
      <c r="E28" t="s">
        <v>48</v>
      </c>
      <c r="F28" t="s">
        <v>49</v>
      </c>
      <c r="G28" s="1">
        <v>45292</v>
      </c>
      <c r="H28" s="1">
        <v>46059</v>
      </c>
      <c r="I28" t="s">
        <v>45</v>
      </c>
      <c r="J28" t="s">
        <v>104</v>
      </c>
      <c r="K28" s="2">
        <v>6.04</v>
      </c>
    </row>
    <row r="29" spans="1:11" x14ac:dyDescent="0.25">
      <c r="A29" t="s">
        <v>39</v>
      </c>
      <c r="B29">
        <v>15278437</v>
      </c>
      <c r="C29">
        <v>15278437</v>
      </c>
      <c r="D29" t="s">
        <v>11</v>
      </c>
      <c r="E29" t="s">
        <v>50</v>
      </c>
      <c r="F29" t="s">
        <v>51</v>
      </c>
      <c r="G29" s="1">
        <v>45170</v>
      </c>
      <c r="H29" s="1">
        <v>46059</v>
      </c>
      <c r="I29" t="s">
        <v>45</v>
      </c>
      <c r="J29" t="s">
        <v>104</v>
      </c>
      <c r="K29" s="2">
        <v>6.04</v>
      </c>
    </row>
    <row r="30" spans="1:11" x14ac:dyDescent="0.25">
      <c r="A30" t="s">
        <v>105</v>
      </c>
      <c r="C30">
        <v>16865242</v>
      </c>
      <c r="D30" t="s">
        <v>106</v>
      </c>
      <c r="E30" t="s">
        <v>107</v>
      </c>
      <c r="F30" t="s">
        <v>108</v>
      </c>
      <c r="G30" s="1">
        <v>45931</v>
      </c>
      <c r="H30" s="1">
        <v>46059</v>
      </c>
      <c r="I30" t="s">
        <v>45</v>
      </c>
      <c r="J30" t="s">
        <v>104</v>
      </c>
      <c r="K30" s="2">
        <v>9.06</v>
      </c>
    </row>
    <row r="31" spans="1:11" x14ac:dyDescent="0.25">
      <c r="A31" t="s">
        <v>105</v>
      </c>
      <c r="C31">
        <v>16865242</v>
      </c>
      <c r="D31" t="s">
        <v>109</v>
      </c>
      <c r="E31" t="s">
        <v>110</v>
      </c>
      <c r="F31" t="s">
        <v>111</v>
      </c>
      <c r="G31" s="1">
        <v>45839</v>
      </c>
      <c r="H31" s="1">
        <v>46059</v>
      </c>
      <c r="I31" t="s">
        <v>45</v>
      </c>
      <c r="J31" t="s">
        <v>104</v>
      </c>
      <c r="K31" s="2">
        <v>6.04</v>
      </c>
    </row>
    <row r="32" spans="1:11" x14ac:dyDescent="0.25">
      <c r="A32" t="s">
        <v>52</v>
      </c>
      <c r="B32">
        <v>17528908</v>
      </c>
      <c r="C32">
        <v>17528908</v>
      </c>
      <c r="D32" t="s">
        <v>53</v>
      </c>
      <c r="E32" t="s">
        <v>54</v>
      </c>
      <c r="F32" t="s">
        <v>55</v>
      </c>
      <c r="G32" s="1">
        <v>45444</v>
      </c>
      <c r="H32" s="1">
        <v>46059</v>
      </c>
      <c r="I32" t="s">
        <v>45</v>
      </c>
      <c r="J32" t="s">
        <v>104</v>
      </c>
      <c r="K32" s="2">
        <v>6.04</v>
      </c>
    </row>
    <row r="33" spans="1:11" x14ac:dyDescent="0.25">
      <c r="A33" t="s">
        <v>52</v>
      </c>
      <c r="C33">
        <v>17528908</v>
      </c>
      <c r="D33" t="s">
        <v>56</v>
      </c>
      <c r="E33" t="s">
        <v>57</v>
      </c>
      <c r="F33" t="s">
        <v>58</v>
      </c>
      <c r="G33" s="1">
        <v>45962</v>
      </c>
      <c r="H33" s="1">
        <v>46059</v>
      </c>
      <c r="I33" t="s">
        <v>45</v>
      </c>
      <c r="J33" t="s">
        <v>104</v>
      </c>
      <c r="K33" s="2">
        <v>9.06</v>
      </c>
    </row>
    <row r="34" spans="1:11" x14ac:dyDescent="0.25">
      <c r="A34" t="s">
        <v>52</v>
      </c>
      <c r="B34">
        <v>17528908</v>
      </c>
      <c r="C34">
        <v>17528908</v>
      </c>
      <c r="D34" t="s">
        <v>12</v>
      </c>
      <c r="E34" t="s">
        <v>59</v>
      </c>
      <c r="F34" t="s">
        <v>60</v>
      </c>
      <c r="G34" s="1">
        <v>45323</v>
      </c>
      <c r="H34" s="1">
        <v>46059</v>
      </c>
      <c r="I34" t="s">
        <v>45</v>
      </c>
      <c r="J34" t="s">
        <v>104</v>
      </c>
      <c r="K34" s="2">
        <v>6.04</v>
      </c>
    </row>
    <row r="35" spans="1:11" x14ac:dyDescent="0.25">
      <c r="A35" t="s">
        <v>52</v>
      </c>
      <c r="B35">
        <v>17528908</v>
      </c>
      <c r="C35">
        <v>17528908</v>
      </c>
      <c r="D35" t="s">
        <v>19</v>
      </c>
      <c r="E35" t="s">
        <v>61</v>
      </c>
      <c r="F35" t="s">
        <v>62</v>
      </c>
      <c r="G35" s="1">
        <v>45658</v>
      </c>
      <c r="H35" s="1">
        <v>46059</v>
      </c>
      <c r="I35" t="s">
        <v>45</v>
      </c>
      <c r="J35" t="s">
        <v>112</v>
      </c>
      <c r="K35" s="2">
        <v>-6.04</v>
      </c>
    </row>
    <row r="36" spans="1:11" x14ac:dyDescent="0.25">
      <c r="A36" t="s">
        <v>52</v>
      </c>
      <c r="B36">
        <v>17528908</v>
      </c>
      <c r="C36">
        <v>17528908</v>
      </c>
      <c r="D36" t="s">
        <v>64</v>
      </c>
      <c r="E36" t="s">
        <v>17</v>
      </c>
      <c r="F36" t="s">
        <v>65</v>
      </c>
      <c r="G36" s="1">
        <v>45108</v>
      </c>
      <c r="H36" s="1">
        <v>46059</v>
      </c>
      <c r="I36" t="s">
        <v>45</v>
      </c>
      <c r="J36" t="s">
        <v>112</v>
      </c>
      <c r="K36" s="2">
        <v>-6.04</v>
      </c>
    </row>
    <row r="37" spans="1:11" x14ac:dyDescent="0.25">
      <c r="A37" t="s">
        <v>52</v>
      </c>
      <c r="B37">
        <v>17528908</v>
      </c>
      <c r="C37">
        <v>17528908</v>
      </c>
      <c r="D37" t="s">
        <v>66</v>
      </c>
      <c r="E37" t="s">
        <v>17</v>
      </c>
      <c r="F37" t="s">
        <v>67</v>
      </c>
      <c r="G37" s="1">
        <v>45597</v>
      </c>
      <c r="H37" s="1">
        <v>46059</v>
      </c>
      <c r="I37" t="s">
        <v>45</v>
      </c>
      <c r="J37" t="s">
        <v>104</v>
      </c>
      <c r="K37" s="2">
        <v>6.04</v>
      </c>
    </row>
    <row r="38" spans="1:11" x14ac:dyDescent="0.25">
      <c r="A38" t="s">
        <v>52</v>
      </c>
      <c r="B38">
        <v>17528908</v>
      </c>
      <c r="C38">
        <v>17528908</v>
      </c>
      <c r="D38" t="s">
        <v>66</v>
      </c>
      <c r="E38" t="s">
        <v>17</v>
      </c>
      <c r="F38" t="s">
        <v>67</v>
      </c>
      <c r="G38" s="1">
        <v>45597</v>
      </c>
      <c r="H38" s="1">
        <v>46059</v>
      </c>
      <c r="I38" t="s">
        <v>45</v>
      </c>
      <c r="J38" t="s">
        <v>112</v>
      </c>
      <c r="K38" s="2">
        <v>-6.04</v>
      </c>
    </row>
    <row r="39" spans="1:11" x14ac:dyDescent="0.25">
      <c r="A39" t="s">
        <v>52</v>
      </c>
      <c r="B39">
        <v>17528908</v>
      </c>
      <c r="C39">
        <v>17528908</v>
      </c>
      <c r="D39" t="s">
        <v>68</v>
      </c>
      <c r="E39" t="s">
        <v>69</v>
      </c>
      <c r="F39" t="s">
        <v>70</v>
      </c>
      <c r="G39" s="1">
        <v>45536</v>
      </c>
      <c r="H39" s="1">
        <v>46059</v>
      </c>
      <c r="I39" t="s">
        <v>45</v>
      </c>
      <c r="J39" t="s">
        <v>104</v>
      </c>
      <c r="K39" s="2">
        <v>6.04</v>
      </c>
    </row>
    <row r="40" spans="1:11" x14ac:dyDescent="0.25">
      <c r="A40" t="s">
        <v>52</v>
      </c>
      <c r="B40">
        <v>17528908</v>
      </c>
      <c r="C40">
        <v>17528908</v>
      </c>
      <c r="D40" t="s">
        <v>40</v>
      </c>
      <c r="E40" t="s">
        <v>69</v>
      </c>
      <c r="F40" t="s">
        <v>71</v>
      </c>
      <c r="G40" s="1">
        <v>45292</v>
      </c>
      <c r="H40" s="1">
        <v>46059</v>
      </c>
      <c r="I40" t="s">
        <v>45</v>
      </c>
      <c r="J40" t="s">
        <v>113</v>
      </c>
      <c r="K40" s="2">
        <v>5.2</v>
      </c>
    </row>
    <row r="41" spans="1:11" x14ac:dyDescent="0.25">
      <c r="A41" t="s">
        <v>52</v>
      </c>
      <c r="B41">
        <v>17528908</v>
      </c>
      <c r="C41">
        <v>17528908</v>
      </c>
      <c r="D41" t="s">
        <v>73</v>
      </c>
      <c r="E41" t="s">
        <v>74</v>
      </c>
      <c r="F41" t="s">
        <v>75</v>
      </c>
      <c r="G41" s="1">
        <v>45839</v>
      </c>
      <c r="H41" s="1">
        <v>46059</v>
      </c>
      <c r="I41" t="s">
        <v>45</v>
      </c>
      <c r="J41" t="s">
        <v>113</v>
      </c>
      <c r="K41" s="2">
        <v>5.2</v>
      </c>
    </row>
    <row r="42" spans="1:11" x14ac:dyDescent="0.25">
      <c r="A42" t="s">
        <v>52</v>
      </c>
      <c r="B42">
        <v>17528908</v>
      </c>
      <c r="C42">
        <v>17528908</v>
      </c>
      <c r="D42" t="s">
        <v>15</v>
      </c>
      <c r="E42" t="s">
        <v>74</v>
      </c>
      <c r="F42" t="s">
        <v>76</v>
      </c>
      <c r="G42" s="1">
        <v>45505</v>
      </c>
      <c r="H42" s="1">
        <v>46059</v>
      </c>
      <c r="I42" t="s">
        <v>45</v>
      </c>
      <c r="J42" t="s">
        <v>113</v>
      </c>
      <c r="K42" s="2">
        <v>5.2</v>
      </c>
    </row>
    <row r="43" spans="1:11" x14ac:dyDescent="0.25">
      <c r="A43" t="s">
        <v>52</v>
      </c>
      <c r="B43">
        <v>17528908</v>
      </c>
      <c r="C43">
        <v>17528908</v>
      </c>
      <c r="D43" t="s">
        <v>73</v>
      </c>
      <c r="E43" t="s">
        <v>74</v>
      </c>
      <c r="F43" t="s">
        <v>75</v>
      </c>
      <c r="G43" s="1">
        <v>45839</v>
      </c>
      <c r="H43" s="1">
        <v>46059</v>
      </c>
      <c r="I43" t="s">
        <v>45</v>
      </c>
      <c r="J43" t="s">
        <v>114</v>
      </c>
      <c r="K43" s="2">
        <v>-5.2</v>
      </c>
    </row>
    <row r="44" spans="1:11" x14ac:dyDescent="0.25">
      <c r="A44" t="s">
        <v>52</v>
      </c>
      <c r="B44">
        <v>17528908</v>
      </c>
      <c r="C44">
        <v>17528908</v>
      </c>
      <c r="D44" t="s">
        <v>15</v>
      </c>
      <c r="E44" t="s">
        <v>74</v>
      </c>
      <c r="F44" t="s">
        <v>76</v>
      </c>
      <c r="G44" s="1">
        <v>45505</v>
      </c>
      <c r="H44" s="1">
        <v>46059</v>
      </c>
      <c r="I44" t="s">
        <v>45</v>
      </c>
      <c r="J44" t="s">
        <v>114</v>
      </c>
      <c r="K44" s="2">
        <v>-5.2</v>
      </c>
    </row>
    <row r="45" spans="1:11" x14ac:dyDescent="0.25">
      <c r="A45" t="s">
        <v>78</v>
      </c>
      <c r="C45">
        <v>18710070</v>
      </c>
      <c r="D45" t="s">
        <v>79</v>
      </c>
      <c r="E45" t="s">
        <v>80</v>
      </c>
      <c r="F45" t="s">
        <v>81</v>
      </c>
      <c r="G45" s="1">
        <v>45658</v>
      </c>
      <c r="H45" s="1">
        <v>46059</v>
      </c>
      <c r="I45" t="s">
        <v>45</v>
      </c>
      <c r="J45" t="s">
        <v>104</v>
      </c>
      <c r="K45" s="2">
        <v>6.04</v>
      </c>
    </row>
    <row r="46" spans="1:11" x14ac:dyDescent="0.25">
      <c r="A46" t="s">
        <v>78</v>
      </c>
      <c r="C46">
        <v>18710070</v>
      </c>
      <c r="D46" t="s">
        <v>82</v>
      </c>
      <c r="E46" t="s">
        <v>83</v>
      </c>
      <c r="F46" t="s">
        <v>84</v>
      </c>
      <c r="G46" s="1">
        <v>45962</v>
      </c>
      <c r="H46" s="1">
        <v>46059</v>
      </c>
      <c r="I46" t="s">
        <v>45</v>
      </c>
      <c r="J46" t="s">
        <v>104</v>
      </c>
      <c r="K46" s="2">
        <v>9.06</v>
      </c>
    </row>
    <row r="47" spans="1:11" x14ac:dyDescent="0.25">
      <c r="A47" t="s">
        <v>78</v>
      </c>
      <c r="C47">
        <v>18710070</v>
      </c>
      <c r="D47" t="s">
        <v>85</v>
      </c>
      <c r="E47" t="s">
        <v>86</v>
      </c>
      <c r="F47" t="s">
        <v>87</v>
      </c>
      <c r="G47" s="1">
        <v>45658</v>
      </c>
      <c r="H47" s="1">
        <v>46059</v>
      </c>
      <c r="I47" t="s">
        <v>45</v>
      </c>
      <c r="J47" t="s">
        <v>112</v>
      </c>
      <c r="K47" s="2">
        <v>-6.04</v>
      </c>
    </row>
    <row r="48" spans="1:11" x14ac:dyDescent="0.25">
      <c r="A48" t="s">
        <v>29</v>
      </c>
      <c r="B48">
        <v>18794740</v>
      </c>
      <c r="C48">
        <v>18794740</v>
      </c>
      <c r="D48" t="s">
        <v>88</v>
      </c>
      <c r="E48" t="s">
        <v>89</v>
      </c>
      <c r="F48" t="s">
        <v>90</v>
      </c>
      <c r="G48" s="1">
        <v>45566</v>
      </c>
      <c r="H48" s="1">
        <v>46059</v>
      </c>
      <c r="I48" t="s">
        <v>45</v>
      </c>
      <c r="J48" t="s">
        <v>104</v>
      </c>
      <c r="K48" s="2">
        <v>6.04</v>
      </c>
    </row>
    <row r="49" spans="1:11" x14ac:dyDescent="0.25">
      <c r="A49" t="s">
        <v>29</v>
      </c>
      <c r="B49">
        <v>18794740</v>
      </c>
      <c r="C49">
        <v>18794740</v>
      </c>
      <c r="D49" t="s">
        <v>91</v>
      </c>
      <c r="E49" t="s">
        <v>92</v>
      </c>
      <c r="F49" t="s">
        <v>93</v>
      </c>
      <c r="G49" s="1">
        <v>45292</v>
      </c>
      <c r="H49" s="1">
        <v>46059</v>
      </c>
      <c r="I49" t="s">
        <v>45</v>
      </c>
      <c r="J49" t="s">
        <v>104</v>
      </c>
      <c r="K49" s="2">
        <v>6.04</v>
      </c>
    </row>
    <row r="50" spans="1:11" x14ac:dyDescent="0.25">
      <c r="A50" t="s">
        <v>29</v>
      </c>
      <c r="B50">
        <v>18794740</v>
      </c>
      <c r="C50">
        <v>18794740</v>
      </c>
      <c r="D50" t="s">
        <v>94</v>
      </c>
      <c r="E50" t="s">
        <v>95</v>
      </c>
      <c r="F50" t="s">
        <v>96</v>
      </c>
      <c r="G50" s="1">
        <v>45658</v>
      </c>
      <c r="H50" s="1">
        <v>46059</v>
      </c>
      <c r="I50" t="s">
        <v>45</v>
      </c>
      <c r="J50" t="s">
        <v>104</v>
      </c>
      <c r="K50" s="2">
        <v>6.04</v>
      </c>
    </row>
    <row r="51" spans="1:11" x14ac:dyDescent="0.25">
      <c r="A51" t="s">
        <v>29</v>
      </c>
      <c r="B51">
        <v>18794740</v>
      </c>
      <c r="C51">
        <v>18794740</v>
      </c>
      <c r="D51" t="s">
        <v>97</v>
      </c>
      <c r="E51" t="s">
        <v>98</v>
      </c>
      <c r="F51" t="s">
        <v>99</v>
      </c>
      <c r="G51" s="1">
        <v>45292</v>
      </c>
      <c r="H51" s="1">
        <v>46059</v>
      </c>
      <c r="I51" t="s">
        <v>45</v>
      </c>
      <c r="J51" t="s">
        <v>104</v>
      </c>
      <c r="K51" s="2">
        <v>6.04</v>
      </c>
    </row>
    <row r="52" spans="1:11" x14ac:dyDescent="0.25">
      <c r="A52" t="s">
        <v>29</v>
      </c>
      <c r="B52">
        <v>18794740</v>
      </c>
      <c r="C52">
        <v>18794740</v>
      </c>
      <c r="D52" t="s">
        <v>14</v>
      </c>
      <c r="E52" t="s">
        <v>100</v>
      </c>
      <c r="F52" t="s">
        <v>101</v>
      </c>
      <c r="G52" s="1">
        <v>45689</v>
      </c>
      <c r="H52" s="1">
        <v>46059</v>
      </c>
      <c r="I52" t="s">
        <v>45</v>
      </c>
      <c r="J52" t="s">
        <v>104</v>
      </c>
      <c r="K52" s="2">
        <v>6.04</v>
      </c>
    </row>
    <row r="53" spans="1:11" x14ac:dyDescent="0.25">
      <c r="A53" t="s">
        <v>20</v>
      </c>
      <c r="B53">
        <v>19278370</v>
      </c>
      <c r="C53">
        <v>19278370</v>
      </c>
      <c r="D53" t="s">
        <v>13</v>
      </c>
      <c r="E53" t="s">
        <v>102</v>
      </c>
      <c r="F53" t="s">
        <v>103</v>
      </c>
      <c r="G53" s="1">
        <v>45413</v>
      </c>
      <c r="H53" s="1">
        <v>46059</v>
      </c>
      <c r="I53" t="s">
        <v>45</v>
      </c>
      <c r="J53" t="s">
        <v>104</v>
      </c>
      <c r="K53" s="2">
        <v>6.04</v>
      </c>
    </row>
    <row r="54" spans="1:11" x14ac:dyDescent="0.25">
      <c r="A54" t="s">
        <v>20</v>
      </c>
      <c r="C54">
        <v>19278370</v>
      </c>
      <c r="D54" t="s">
        <v>21</v>
      </c>
      <c r="E54" t="s">
        <v>22</v>
      </c>
      <c r="F54" t="s">
        <v>23</v>
      </c>
      <c r="G54" s="1">
        <v>45748</v>
      </c>
      <c r="H54" s="1">
        <v>46059</v>
      </c>
      <c r="I54" t="s">
        <v>24</v>
      </c>
      <c r="J54" t="s">
        <v>25</v>
      </c>
      <c r="K54" s="2">
        <v>32.08</v>
      </c>
    </row>
    <row r="55" spans="1:11" x14ac:dyDescent="0.25">
      <c r="A55" t="s">
        <v>26</v>
      </c>
      <c r="C55">
        <v>20253958</v>
      </c>
      <c r="D55" t="s">
        <v>13</v>
      </c>
      <c r="E55" t="s">
        <v>18</v>
      </c>
      <c r="F55" t="s">
        <v>27</v>
      </c>
      <c r="G55" s="1">
        <v>45992</v>
      </c>
      <c r="H55" s="1">
        <v>46059</v>
      </c>
      <c r="I55" t="s">
        <v>24</v>
      </c>
      <c r="J55" t="s">
        <v>28</v>
      </c>
      <c r="K55" s="2">
        <v>6.25</v>
      </c>
    </row>
    <row r="56" spans="1:11" s="4" customFormat="1" x14ac:dyDescent="0.25">
      <c r="A56" s="4" t="s">
        <v>29</v>
      </c>
      <c r="C56" s="4">
        <v>18794740</v>
      </c>
      <c r="D56" s="4" t="s">
        <v>30</v>
      </c>
      <c r="E56" s="4" t="s">
        <v>31</v>
      </c>
      <c r="F56" s="4" t="s">
        <v>32</v>
      </c>
      <c r="G56" s="5">
        <v>46023</v>
      </c>
      <c r="H56" s="5">
        <v>46059</v>
      </c>
      <c r="I56" s="4" t="s">
        <v>24</v>
      </c>
      <c r="J56" s="4" t="s">
        <v>33</v>
      </c>
      <c r="K56" s="6">
        <v>28.8</v>
      </c>
    </row>
    <row r="57" spans="1:11" x14ac:dyDescent="0.25">
      <c r="A57" t="s">
        <v>26</v>
      </c>
      <c r="C57">
        <v>20253958</v>
      </c>
      <c r="D57" t="s">
        <v>16</v>
      </c>
      <c r="E57" t="s">
        <v>34</v>
      </c>
      <c r="F57" t="s">
        <v>35</v>
      </c>
      <c r="G57" s="1">
        <v>45870</v>
      </c>
      <c r="H57" s="1">
        <v>46059</v>
      </c>
      <c r="I57" t="s">
        <v>24</v>
      </c>
      <c r="J57" t="s">
        <v>28</v>
      </c>
      <c r="K57" s="2">
        <v>6.25</v>
      </c>
    </row>
    <row r="58" spans="1:11" x14ac:dyDescent="0.25">
      <c r="A58" t="s">
        <v>26</v>
      </c>
      <c r="C58">
        <v>20253958</v>
      </c>
      <c r="D58" t="s">
        <v>36</v>
      </c>
      <c r="E58" t="s">
        <v>37</v>
      </c>
      <c r="F58" t="s">
        <v>38</v>
      </c>
      <c r="G58" s="1">
        <v>45992</v>
      </c>
      <c r="H58" s="1">
        <v>46059</v>
      </c>
      <c r="I58" t="s">
        <v>24</v>
      </c>
      <c r="J58" t="s">
        <v>28</v>
      </c>
      <c r="K58" s="2">
        <v>6.25</v>
      </c>
    </row>
    <row r="59" spans="1:11" x14ac:dyDescent="0.25">
      <c r="A59" t="s">
        <v>20</v>
      </c>
      <c r="C59">
        <v>19278370</v>
      </c>
      <c r="D59" t="s">
        <v>21</v>
      </c>
      <c r="E59" t="s">
        <v>22</v>
      </c>
      <c r="F59" t="s">
        <v>23</v>
      </c>
      <c r="G59" s="1">
        <v>45748</v>
      </c>
      <c r="H59" s="1">
        <v>46059</v>
      </c>
      <c r="I59" t="s">
        <v>24</v>
      </c>
      <c r="J59" t="s">
        <v>28</v>
      </c>
      <c r="K59" s="2">
        <v>6.25</v>
      </c>
    </row>
    <row r="62" spans="1:11" s="4" customFormat="1" x14ac:dyDescent="0.25">
      <c r="C62" s="4">
        <v>20411454</v>
      </c>
      <c r="G62" s="5">
        <v>46052</v>
      </c>
      <c r="H62" s="5">
        <v>46059</v>
      </c>
      <c r="J62" s="4" t="s">
        <v>115</v>
      </c>
      <c r="K62" s="6">
        <v>-12366.64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EE67-79A8-4E18-BFEA-A0E762DF80CA}">
  <dimension ref="A1:N291"/>
  <sheetViews>
    <sheetView topLeftCell="A24" workbookViewId="0">
      <selection activeCell="N2" sqref="N2:N53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5.28515625" bestFit="1" customWidth="1"/>
    <col min="5" max="5" width="15.28515625" customWidth="1"/>
    <col min="6" max="6" width="14.85546875" bestFit="1" customWidth="1"/>
    <col min="7" max="7" width="14.85546875" customWidth="1"/>
    <col min="8" max="8" width="11.85546875" bestFit="1" customWidth="1"/>
    <col min="9" max="9" width="14.7109375" bestFit="1" customWidth="1"/>
    <col min="10" max="10" width="15.5703125" customWidth="1"/>
    <col min="11" max="11" width="57.85546875" bestFit="1" customWidth="1"/>
    <col min="12" max="12" width="15.7109375" bestFit="1" customWidth="1"/>
    <col min="13" max="13" width="30.425781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127</v>
      </c>
      <c r="B2">
        <v>20411454</v>
      </c>
      <c r="C2" t="s">
        <v>40</v>
      </c>
      <c r="D2" t="s">
        <v>69</v>
      </c>
      <c r="E2" t="str">
        <f>CONCATENATE(C2," ",D2)</f>
        <v>Judith Black</v>
      </c>
      <c r="F2" s="3">
        <v>350</v>
      </c>
      <c r="G2" s="3" t="str">
        <f>CONCATENATE(F2,"OVR")</f>
        <v>350OVR</v>
      </c>
      <c r="H2" s="1">
        <v>45292</v>
      </c>
      <c r="I2" s="1">
        <v>46059</v>
      </c>
      <c r="J2" t="s">
        <v>45</v>
      </c>
      <c r="K2" t="s">
        <v>113</v>
      </c>
      <c r="L2" s="2">
        <v>5.2</v>
      </c>
      <c r="M2" t="s">
        <v>120</v>
      </c>
    </row>
    <row r="3" spans="1:13" x14ac:dyDescent="0.25">
      <c r="A3" t="s">
        <v>127</v>
      </c>
      <c r="B3">
        <v>20411454</v>
      </c>
      <c r="C3" t="s">
        <v>73</v>
      </c>
      <c r="D3" t="s">
        <v>74</v>
      </c>
      <c r="E3" t="str">
        <f t="shared" ref="E3:E58" si="0">CONCATENATE(C3," ",D3)</f>
        <v>Christy Russell</v>
      </c>
      <c r="F3" s="3">
        <v>11460</v>
      </c>
      <c r="G3" s="3" t="str">
        <f t="shared" ref="G3:G28" si="1">CONCATENATE(F3,"OVR")</f>
        <v>11460OVR</v>
      </c>
      <c r="H3" s="1">
        <v>45839</v>
      </c>
      <c r="I3" s="1">
        <v>46059</v>
      </c>
      <c r="J3" t="s">
        <v>45</v>
      </c>
      <c r="K3" t="s">
        <v>113</v>
      </c>
      <c r="L3" s="2">
        <v>5.2</v>
      </c>
      <c r="M3" t="s">
        <v>120</v>
      </c>
    </row>
    <row r="4" spans="1:13" x14ac:dyDescent="0.25">
      <c r="A4" t="s">
        <v>127</v>
      </c>
      <c r="B4">
        <v>20411454</v>
      </c>
      <c r="C4" t="s">
        <v>15</v>
      </c>
      <c r="D4" t="s">
        <v>74</v>
      </c>
      <c r="E4" t="str">
        <f t="shared" si="0"/>
        <v>David Russell</v>
      </c>
      <c r="F4" s="3">
        <v>18410</v>
      </c>
      <c r="G4" s="3" t="str">
        <f t="shared" si="1"/>
        <v>18410OVR</v>
      </c>
      <c r="H4" s="1">
        <v>45505</v>
      </c>
      <c r="I4" s="1">
        <v>46059</v>
      </c>
      <c r="J4" t="s">
        <v>45</v>
      </c>
      <c r="K4" t="s">
        <v>113</v>
      </c>
      <c r="L4" s="2">
        <v>5.2</v>
      </c>
      <c r="M4" t="s">
        <v>120</v>
      </c>
    </row>
    <row r="5" spans="1:13" x14ac:dyDescent="0.25">
      <c r="A5" t="s">
        <v>127</v>
      </c>
      <c r="B5">
        <v>20411454</v>
      </c>
      <c r="C5" t="s">
        <v>73</v>
      </c>
      <c r="D5" t="s">
        <v>74</v>
      </c>
      <c r="E5" t="str">
        <f t="shared" si="0"/>
        <v>Christy Russell</v>
      </c>
      <c r="F5" s="3">
        <v>11460</v>
      </c>
      <c r="G5" s="3" t="str">
        <f t="shared" si="1"/>
        <v>11460OVR</v>
      </c>
      <c r="H5" s="1">
        <v>45839</v>
      </c>
      <c r="I5" s="1">
        <v>46059</v>
      </c>
      <c r="J5" t="s">
        <v>45</v>
      </c>
      <c r="K5" t="s">
        <v>114</v>
      </c>
      <c r="L5" s="2">
        <v>-5.2</v>
      </c>
      <c r="M5" t="s">
        <v>120</v>
      </c>
    </row>
    <row r="6" spans="1:13" x14ac:dyDescent="0.25">
      <c r="A6" t="s">
        <v>127</v>
      </c>
      <c r="B6">
        <v>20411454</v>
      </c>
      <c r="C6" t="s">
        <v>15</v>
      </c>
      <c r="D6" t="s">
        <v>74</v>
      </c>
      <c r="E6" t="str">
        <f t="shared" si="0"/>
        <v>David Russell</v>
      </c>
      <c r="F6" s="3">
        <v>18410</v>
      </c>
      <c r="G6" s="3" t="str">
        <f t="shared" si="1"/>
        <v>18410OVR</v>
      </c>
      <c r="H6" s="1">
        <v>45505</v>
      </c>
      <c r="I6" s="1">
        <v>46059</v>
      </c>
      <c r="J6" t="s">
        <v>45</v>
      </c>
      <c r="K6" t="s">
        <v>114</v>
      </c>
      <c r="L6" s="2">
        <v>-5.2</v>
      </c>
      <c r="M6" t="s">
        <v>120</v>
      </c>
    </row>
    <row r="7" spans="1:13" x14ac:dyDescent="0.25">
      <c r="A7" t="s">
        <v>127</v>
      </c>
      <c r="B7">
        <v>20411454</v>
      </c>
      <c r="C7" t="s">
        <v>42</v>
      </c>
      <c r="D7" t="s">
        <v>43</v>
      </c>
      <c r="E7" t="str">
        <f t="shared" si="0"/>
        <v>Beverly Sullivan</v>
      </c>
      <c r="F7" s="3">
        <v>13660</v>
      </c>
      <c r="G7" s="3" t="str">
        <f t="shared" si="1"/>
        <v>13660OVR</v>
      </c>
      <c r="H7" s="1">
        <v>45658</v>
      </c>
      <c r="I7" s="1">
        <v>46059</v>
      </c>
      <c r="J7" t="s">
        <v>45</v>
      </c>
      <c r="K7" t="s">
        <v>104</v>
      </c>
      <c r="L7" s="2">
        <v>6.04</v>
      </c>
      <c r="M7" t="s">
        <v>120</v>
      </c>
    </row>
    <row r="8" spans="1:13" x14ac:dyDescent="0.25">
      <c r="A8" t="s">
        <v>127</v>
      </c>
      <c r="B8">
        <v>20411454</v>
      </c>
      <c r="C8" t="s">
        <v>47</v>
      </c>
      <c r="D8" t="s">
        <v>48</v>
      </c>
      <c r="E8" t="str">
        <f t="shared" si="0"/>
        <v>Harvey Glantz</v>
      </c>
      <c r="F8" s="3">
        <v>81810</v>
      </c>
      <c r="G8" s="3" t="str">
        <f t="shared" si="1"/>
        <v>81810OVR</v>
      </c>
      <c r="H8" s="1">
        <v>45292</v>
      </c>
      <c r="I8" s="1">
        <v>46059</v>
      </c>
      <c r="J8" t="s">
        <v>45</v>
      </c>
      <c r="K8" t="s">
        <v>104</v>
      </c>
      <c r="L8" s="2">
        <v>6.04</v>
      </c>
      <c r="M8" t="s">
        <v>120</v>
      </c>
    </row>
    <row r="9" spans="1:13" x14ac:dyDescent="0.25">
      <c r="A9" t="s">
        <v>127</v>
      </c>
      <c r="B9">
        <v>20411454</v>
      </c>
      <c r="C9" t="s">
        <v>11</v>
      </c>
      <c r="D9" t="s">
        <v>50</v>
      </c>
      <c r="E9" t="str">
        <f t="shared" si="0"/>
        <v>John Sheridan</v>
      </c>
      <c r="F9" s="3">
        <v>5120</v>
      </c>
      <c r="G9" s="3" t="str">
        <f t="shared" si="1"/>
        <v>5120OVR</v>
      </c>
      <c r="H9" s="1">
        <v>45170</v>
      </c>
      <c r="I9" s="1">
        <v>46059</v>
      </c>
      <c r="J9" t="s">
        <v>45</v>
      </c>
      <c r="K9" t="s">
        <v>104</v>
      </c>
      <c r="L9" s="2">
        <v>6.04</v>
      </c>
      <c r="M9" t="s">
        <v>120</v>
      </c>
    </row>
    <row r="10" spans="1:13" x14ac:dyDescent="0.25">
      <c r="A10" t="s">
        <v>127</v>
      </c>
      <c r="B10">
        <v>20411454</v>
      </c>
      <c r="C10" t="s">
        <v>109</v>
      </c>
      <c r="D10" t="s">
        <v>110</v>
      </c>
      <c r="E10" t="str">
        <f t="shared" si="0"/>
        <v>Barry Wingard</v>
      </c>
      <c r="F10" s="3">
        <v>87700</v>
      </c>
      <c r="G10" s="3" t="str">
        <f t="shared" si="1"/>
        <v>87700OVR</v>
      </c>
      <c r="H10" s="1">
        <v>45839</v>
      </c>
      <c r="I10" s="1">
        <v>46059</v>
      </c>
      <c r="J10" t="s">
        <v>45</v>
      </c>
      <c r="K10" t="s">
        <v>104</v>
      </c>
      <c r="L10" s="2">
        <v>6.04</v>
      </c>
      <c r="M10" t="s">
        <v>120</v>
      </c>
    </row>
    <row r="11" spans="1:13" x14ac:dyDescent="0.25">
      <c r="A11" t="s">
        <v>127</v>
      </c>
      <c r="B11">
        <v>20411454</v>
      </c>
      <c r="C11" t="s">
        <v>53</v>
      </c>
      <c r="D11" t="s">
        <v>54</v>
      </c>
      <c r="E11" t="str">
        <f t="shared" si="0"/>
        <v>Peggy Housley</v>
      </c>
      <c r="F11" s="3">
        <v>19870</v>
      </c>
      <c r="G11" s="3" t="str">
        <f t="shared" si="1"/>
        <v>19870OVR</v>
      </c>
      <c r="H11" s="1">
        <v>45444</v>
      </c>
      <c r="I11" s="1">
        <v>46059</v>
      </c>
      <c r="J11" t="s">
        <v>45</v>
      </c>
      <c r="K11" t="s">
        <v>104</v>
      </c>
      <c r="L11" s="2">
        <v>6.04</v>
      </c>
      <c r="M11" t="s">
        <v>120</v>
      </c>
    </row>
    <row r="12" spans="1:13" x14ac:dyDescent="0.25">
      <c r="A12" t="s">
        <v>127</v>
      </c>
      <c r="B12">
        <v>20411454</v>
      </c>
      <c r="C12" t="s">
        <v>12</v>
      </c>
      <c r="D12" t="s">
        <v>59</v>
      </c>
      <c r="E12" t="str">
        <f t="shared" si="0"/>
        <v>William Marencel</v>
      </c>
      <c r="F12" s="3">
        <v>99660</v>
      </c>
      <c r="G12" s="3" t="str">
        <f t="shared" si="1"/>
        <v>99660OVR</v>
      </c>
      <c r="H12" s="1">
        <v>45323</v>
      </c>
      <c r="I12" s="1">
        <v>46059</v>
      </c>
      <c r="J12" t="s">
        <v>45</v>
      </c>
      <c r="K12" t="s">
        <v>104</v>
      </c>
      <c r="L12" s="2">
        <v>6.04</v>
      </c>
      <c r="M12" t="s">
        <v>120</v>
      </c>
    </row>
    <row r="13" spans="1:13" x14ac:dyDescent="0.25">
      <c r="A13" t="s">
        <v>127</v>
      </c>
      <c r="B13">
        <v>20411454</v>
      </c>
      <c r="C13" t="s">
        <v>66</v>
      </c>
      <c r="D13" t="s">
        <v>17</v>
      </c>
      <c r="E13" t="str">
        <f t="shared" si="0"/>
        <v>Harold Jones</v>
      </c>
      <c r="F13" s="3">
        <v>68460</v>
      </c>
      <c r="G13" s="3" t="str">
        <f t="shared" si="1"/>
        <v>68460OVR</v>
      </c>
      <c r="H13" s="1">
        <v>45597</v>
      </c>
      <c r="I13" s="1">
        <v>46059</v>
      </c>
      <c r="J13" t="s">
        <v>45</v>
      </c>
      <c r="K13" t="s">
        <v>104</v>
      </c>
      <c r="L13" s="2">
        <v>6.04</v>
      </c>
      <c r="M13" t="s">
        <v>120</v>
      </c>
    </row>
    <row r="14" spans="1:13" x14ac:dyDescent="0.25">
      <c r="A14" t="s">
        <v>127</v>
      </c>
      <c r="B14">
        <v>20411454</v>
      </c>
      <c r="C14" t="s">
        <v>68</v>
      </c>
      <c r="D14" t="s">
        <v>69</v>
      </c>
      <c r="E14" t="str">
        <f t="shared" si="0"/>
        <v>Roland Black</v>
      </c>
      <c r="F14" s="3">
        <v>18660</v>
      </c>
      <c r="G14" s="3" t="str">
        <f t="shared" si="1"/>
        <v>18660OVR</v>
      </c>
      <c r="H14" s="1">
        <v>45536</v>
      </c>
      <c r="I14" s="1">
        <v>46059</v>
      </c>
      <c r="J14" t="s">
        <v>45</v>
      </c>
      <c r="K14" t="s">
        <v>104</v>
      </c>
      <c r="L14" s="2">
        <v>6.04</v>
      </c>
      <c r="M14" t="s">
        <v>120</v>
      </c>
    </row>
    <row r="15" spans="1:13" x14ac:dyDescent="0.25">
      <c r="A15" t="s">
        <v>127</v>
      </c>
      <c r="B15">
        <v>20411454</v>
      </c>
      <c r="C15" t="s">
        <v>79</v>
      </c>
      <c r="D15" t="s">
        <v>80</v>
      </c>
      <c r="E15" t="str">
        <f t="shared" si="0"/>
        <v>Eleta Rupp</v>
      </c>
      <c r="F15" s="3">
        <v>58650</v>
      </c>
      <c r="G15" s="3" t="str">
        <f t="shared" si="1"/>
        <v>58650OVR</v>
      </c>
      <c r="H15" s="1">
        <v>45658</v>
      </c>
      <c r="I15" s="1">
        <v>46059</v>
      </c>
      <c r="J15" t="s">
        <v>45</v>
      </c>
      <c r="K15" t="s">
        <v>104</v>
      </c>
      <c r="L15" s="2">
        <v>6.04</v>
      </c>
      <c r="M15" t="s">
        <v>120</v>
      </c>
    </row>
    <row r="16" spans="1:13" x14ac:dyDescent="0.25">
      <c r="A16" t="s">
        <v>127</v>
      </c>
      <c r="B16">
        <v>20411454</v>
      </c>
      <c r="C16" t="s">
        <v>88</v>
      </c>
      <c r="D16" t="s">
        <v>89</v>
      </c>
      <c r="E16" t="str">
        <f t="shared" si="0"/>
        <v>Sami Azar</v>
      </c>
      <c r="F16" s="3">
        <v>58970</v>
      </c>
      <c r="G16" s="3" t="str">
        <f t="shared" si="1"/>
        <v>58970OVR</v>
      </c>
      <c r="H16" s="1">
        <v>45566</v>
      </c>
      <c r="I16" s="1">
        <v>46059</v>
      </c>
      <c r="J16" t="s">
        <v>45</v>
      </c>
      <c r="K16" t="s">
        <v>104</v>
      </c>
      <c r="L16" s="2">
        <v>6.04</v>
      </c>
      <c r="M16" t="s">
        <v>120</v>
      </c>
    </row>
    <row r="17" spans="1:14" x14ac:dyDescent="0.25">
      <c r="A17" t="s">
        <v>127</v>
      </c>
      <c r="B17">
        <v>20411454</v>
      </c>
      <c r="C17" t="s">
        <v>91</v>
      </c>
      <c r="D17" t="s">
        <v>92</v>
      </c>
      <c r="E17" t="str">
        <f t="shared" si="0"/>
        <v>Eileen Rohrbach</v>
      </c>
      <c r="F17" s="3">
        <v>48470</v>
      </c>
      <c r="G17" s="3" t="str">
        <f t="shared" si="1"/>
        <v>48470OVR</v>
      </c>
      <c r="H17" s="1">
        <v>45292</v>
      </c>
      <c r="I17" s="1">
        <v>46059</v>
      </c>
      <c r="J17" t="s">
        <v>45</v>
      </c>
      <c r="K17" t="s">
        <v>104</v>
      </c>
      <c r="L17" s="2">
        <v>6.04</v>
      </c>
      <c r="M17" t="s">
        <v>120</v>
      </c>
    </row>
    <row r="18" spans="1:14" x14ac:dyDescent="0.25">
      <c r="A18" t="s">
        <v>127</v>
      </c>
      <c r="B18">
        <v>20411454</v>
      </c>
      <c r="C18" t="s">
        <v>94</v>
      </c>
      <c r="D18" t="s">
        <v>95</v>
      </c>
      <c r="E18" t="str">
        <f t="shared" si="0"/>
        <v>Rafael Rosario</v>
      </c>
      <c r="F18" s="3">
        <v>2060</v>
      </c>
      <c r="G18" s="3" t="str">
        <f t="shared" si="1"/>
        <v>2060OVR</v>
      </c>
      <c r="H18" s="1">
        <v>45658</v>
      </c>
      <c r="I18" s="1">
        <v>46059</v>
      </c>
      <c r="J18" t="s">
        <v>45</v>
      </c>
      <c r="K18" t="s">
        <v>104</v>
      </c>
      <c r="L18" s="2">
        <v>6.04</v>
      </c>
      <c r="M18" t="s">
        <v>120</v>
      </c>
    </row>
    <row r="19" spans="1:14" x14ac:dyDescent="0.25">
      <c r="A19" t="s">
        <v>127</v>
      </c>
      <c r="B19">
        <v>20411454</v>
      </c>
      <c r="C19" t="s">
        <v>97</v>
      </c>
      <c r="D19" t="s">
        <v>98</v>
      </c>
      <c r="E19" t="str">
        <f t="shared" si="0"/>
        <v>Halimah Sou</v>
      </c>
      <c r="F19" s="3">
        <v>35180</v>
      </c>
      <c r="G19" s="3" t="str">
        <f t="shared" si="1"/>
        <v>35180OVR</v>
      </c>
      <c r="H19" s="1">
        <v>45292</v>
      </c>
      <c r="I19" s="1">
        <v>46059</v>
      </c>
      <c r="J19" t="s">
        <v>45</v>
      </c>
      <c r="K19" t="s">
        <v>104</v>
      </c>
      <c r="L19" s="2">
        <v>6.04</v>
      </c>
      <c r="M19" t="s">
        <v>120</v>
      </c>
    </row>
    <row r="20" spans="1:14" x14ac:dyDescent="0.25">
      <c r="A20" t="s">
        <v>127</v>
      </c>
      <c r="B20">
        <v>20411454</v>
      </c>
      <c r="C20" t="s">
        <v>14</v>
      </c>
      <c r="D20" t="s">
        <v>100</v>
      </c>
      <c r="E20" t="str">
        <f t="shared" si="0"/>
        <v>Theresa Kurzawa</v>
      </c>
      <c r="F20" s="3">
        <v>72960</v>
      </c>
      <c r="G20" s="3" t="str">
        <f t="shared" si="1"/>
        <v>72960OVR</v>
      </c>
      <c r="H20" s="1">
        <v>45689</v>
      </c>
      <c r="I20" s="1">
        <v>46059</v>
      </c>
      <c r="J20" t="s">
        <v>45</v>
      </c>
      <c r="K20" t="s">
        <v>104</v>
      </c>
      <c r="L20" s="2">
        <v>6.04</v>
      </c>
      <c r="M20" t="s">
        <v>120</v>
      </c>
    </row>
    <row r="21" spans="1:14" x14ac:dyDescent="0.25">
      <c r="A21" t="s">
        <v>127</v>
      </c>
      <c r="B21">
        <v>20411454</v>
      </c>
      <c r="C21" t="s">
        <v>13</v>
      </c>
      <c r="D21" t="s">
        <v>102</v>
      </c>
      <c r="E21" t="str">
        <f t="shared" si="0"/>
        <v>Robert Holmes</v>
      </c>
      <c r="F21" s="3">
        <v>65970</v>
      </c>
      <c r="G21" s="3" t="str">
        <f t="shared" si="1"/>
        <v>65970OVR</v>
      </c>
      <c r="H21" s="1">
        <v>45413</v>
      </c>
      <c r="I21" s="1">
        <v>46059</v>
      </c>
      <c r="J21" t="s">
        <v>45</v>
      </c>
      <c r="K21" t="s">
        <v>104</v>
      </c>
      <c r="L21" s="2">
        <v>6.04</v>
      </c>
      <c r="M21" t="s">
        <v>120</v>
      </c>
    </row>
    <row r="22" spans="1:14" x14ac:dyDescent="0.25">
      <c r="A22" t="s">
        <v>127</v>
      </c>
      <c r="B22">
        <v>20411454</v>
      </c>
      <c r="C22" t="s">
        <v>106</v>
      </c>
      <c r="D22" t="s">
        <v>107</v>
      </c>
      <c r="E22" t="str">
        <f t="shared" si="0"/>
        <v>Sujata Naik</v>
      </c>
      <c r="F22" s="3">
        <v>49730</v>
      </c>
      <c r="G22" s="3" t="str">
        <f t="shared" si="1"/>
        <v>49730OVR</v>
      </c>
      <c r="H22" s="1">
        <v>45931</v>
      </c>
      <c r="I22" s="1">
        <v>46059</v>
      </c>
      <c r="J22" t="s">
        <v>45</v>
      </c>
      <c r="K22" t="s">
        <v>104</v>
      </c>
      <c r="L22" s="2">
        <v>9.06</v>
      </c>
      <c r="M22" t="s">
        <v>120</v>
      </c>
    </row>
    <row r="23" spans="1:14" x14ac:dyDescent="0.25">
      <c r="A23" t="s">
        <v>127</v>
      </c>
      <c r="B23">
        <v>20411454</v>
      </c>
      <c r="C23" t="s">
        <v>56</v>
      </c>
      <c r="D23" t="s">
        <v>57</v>
      </c>
      <c r="E23" t="str">
        <f t="shared" si="0"/>
        <v>Joyce Kweder</v>
      </c>
      <c r="F23" s="3">
        <v>34550</v>
      </c>
      <c r="G23" s="3" t="str">
        <f t="shared" si="1"/>
        <v>34550OVR</v>
      </c>
      <c r="H23" s="1">
        <v>45962</v>
      </c>
      <c r="I23" s="1">
        <v>46059</v>
      </c>
      <c r="J23" t="s">
        <v>45</v>
      </c>
      <c r="K23" t="s">
        <v>104</v>
      </c>
      <c r="L23" s="2">
        <v>9.06</v>
      </c>
      <c r="M23" t="s">
        <v>120</v>
      </c>
    </row>
    <row r="24" spans="1:14" x14ac:dyDescent="0.25">
      <c r="A24" t="s">
        <v>127</v>
      </c>
      <c r="B24">
        <v>20411454</v>
      </c>
      <c r="C24" t="s">
        <v>82</v>
      </c>
      <c r="D24" t="s">
        <v>83</v>
      </c>
      <c r="E24" t="str">
        <f t="shared" si="0"/>
        <v>Carl Overly</v>
      </c>
      <c r="F24" s="3">
        <v>95310</v>
      </c>
      <c r="G24" s="3" t="str">
        <f t="shared" si="1"/>
        <v>95310OVR</v>
      </c>
      <c r="H24" s="1">
        <v>45962</v>
      </c>
      <c r="I24" s="1">
        <v>46059</v>
      </c>
      <c r="J24" t="s">
        <v>45</v>
      </c>
      <c r="K24" t="s">
        <v>104</v>
      </c>
      <c r="L24" s="2">
        <v>9.06</v>
      </c>
      <c r="M24" t="s">
        <v>120</v>
      </c>
    </row>
    <row r="25" spans="1:14" x14ac:dyDescent="0.25">
      <c r="A25" t="s">
        <v>127</v>
      </c>
      <c r="B25">
        <v>20411454</v>
      </c>
      <c r="C25" t="s">
        <v>19</v>
      </c>
      <c r="D25" t="s">
        <v>61</v>
      </c>
      <c r="E25" t="str">
        <f t="shared" si="0"/>
        <v>Barbara Burg</v>
      </c>
      <c r="F25" s="3">
        <v>36720</v>
      </c>
      <c r="G25" s="3" t="str">
        <f t="shared" si="1"/>
        <v>36720OVR</v>
      </c>
      <c r="H25" s="1">
        <v>45658</v>
      </c>
      <c r="I25" s="1">
        <v>46059</v>
      </c>
      <c r="J25" t="s">
        <v>45</v>
      </c>
      <c r="K25" t="s">
        <v>112</v>
      </c>
      <c r="L25" s="2">
        <v>-6.04</v>
      </c>
      <c r="M25" t="s">
        <v>120</v>
      </c>
    </row>
    <row r="26" spans="1:14" x14ac:dyDescent="0.25">
      <c r="A26" t="s">
        <v>127</v>
      </c>
      <c r="B26">
        <v>20411454</v>
      </c>
      <c r="C26" t="s">
        <v>64</v>
      </c>
      <c r="D26" t="s">
        <v>17</v>
      </c>
      <c r="E26" t="str">
        <f t="shared" si="0"/>
        <v>Alice Jones</v>
      </c>
      <c r="F26" s="3">
        <v>50140</v>
      </c>
      <c r="G26" s="3" t="str">
        <f t="shared" si="1"/>
        <v>50140OVR</v>
      </c>
      <c r="H26" s="1">
        <v>45108</v>
      </c>
      <c r="I26" s="1">
        <v>46059</v>
      </c>
      <c r="J26" t="s">
        <v>45</v>
      </c>
      <c r="K26" t="s">
        <v>112</v>
      </c>
      <c r="L26" s="2">
        <v>-6.04</v>
      </c>
      <c r="M26" t="s">
        <v>120</v>
      </c>
    </row>
    <row r="27" spans="1:14" x14ac:dyDescent="0.25">
      <c r="A27" t="s">
        <v>127</v>
      </c>
      <c r="B27">
        <v>20411454</v>
      </c>
      <c r="C27" t="s">
        <v>66</v>
      </c>
      <c r="D27" t="s">
        <v>17</v>
      </c>
      <c r="E27" t="str">
        <f t="shared" si="0"/>
        <v>Harold Jones</v>
      </c>
      <c r="F27" s="3">
        <v>68460</v>
      </c>
      <c r="G27" s="3" t="str">
        <f t="shared" si="1"/>
        <v>68460OVR</v>
      </c>
      <c r="H27" s="1">
        <v>45597</v>
      </c>
      <c r="I27" s="1">
        <v>46059</v>
      </c>
      <c r="J27" t="s">
        <v>45</v>
      </c>
      <c r="K27" t="s">
        <v>112</v>
      </c>
      <c r="L27" s="2">
        <v>-6.04</v>
      </c>
      <c r="M27" t="s">
        <v>120</v>
      </c>
    </row>
    <row r="28" spans="1:14" x14ac:dyDescent="0.25">
      <c r="A28" t="s">
        <v>127</v>
      </c>
      <c r="B28">
        <v>20411454</v>
      </c>
      <c r="C28" t="s">
        <v>85</v>
      </c>
      <c r="D28" t="s">
        <v>86</v>
      </c>
      <c r="E28" t="str">
        <f t="shared" si="0"/>
        <v>Alan Shaffer</v>
      </c>
      <c r="F28" s="3">
        <v>76470</v>
      </c>
      <c r="G28" s="3" t="str">
        <f t="shared" si="1"/>
        <v>76470OVR</v>
      </c>
      <c r="H28" s="1">
        <v>45658</v>
      </c>
      <c r="I28" s="1">
        <v>46059</v>
      </c>
      <c r="J28" t="s">
        <v>45</v>
      </c>
      <c r="K28" t="s">
        <v>112</v>
      </c>
      <c r="L28" s="2">
        <v>-6.04</v>
      </c>
      <c r="M28" t="s">
        <v>120</v>
      </c>
    </row>
    <row r="29" spans="1:14" x14ac:dyDescent="0.25">
      <c r="A29" t="s">
        <v>41</v>
      </c>
      <c r="B29">
        <v>9254978</v>
      </c>
      <c r="C29" t="s">
        <v>42</v>
      </c>
      <c r="D29" t="s">
        <v>43</v>
      </c>
      <c r="E29" t="str">
        <f t="shared" si="0"/>
        <v>Beverly Sullivan</v>
      </c>
      <c r="F29" s="3">
        <v>13660</v>
      </c>
      <c r="G29" s="3" t="str">
        <f>CONCATENATE(F29,55)</f>
        <v>1366055</v>
      </c>
      <c r="H29" s="1">
        <v>45658</v>
      </c>
      <c r="I29" s="1">
        <v>46059</v>
      </c>
      <c r="J29" t="s">
        <v>45</v>
      </c>
      <c r="K29" t="s">
        <v>46</v>
      </c>
      <c r="L29" s="2">
        <v>29.41</v>
      </c>
      <c r="M29" t="s">
        <v>121</v>
      </c>
      <c r="N29" t="s">
        <v>126</v>
      </c>
    </row>
    <row r="30" spans="1:14" x14ac:dyDescent="0.25">
      <c r="A30" t="s">
        <v>39</v>
      </c>
      <c r="B30">
        <v>15278437</v>
      </c>
      <c r="C30" t="s">
        <v>47</v>
      </c>
      <c r="D30" t="s">
        <v>48</v>
      </c>
      <c r="E30" t="str">
        <f t="shared" si="0"/>
        <v>Harvey Glantz</v>
      </c>
      <c r="F30" s="3">
        <v>81810</v>
      </c>
      <c r="G30" s="3" t="str">
        <f t="shared" ref="G30:G53" si="2">CONCATENATE(F30,55)</f>
        <v>8181055</v>
      </c>
      <c r="H30" s="1">
        <v>45292</v>
      </c>
      <c r="I30" s="1">
        <v>46059</v>
      </c>
      <c r="J30" t="s">
        <v>45</v>
      </c>
      <c r="K30" t="s">
        <v>46</v>
      </c>
      <c r="L30" s="2">
        <v>29.41</v>
      </c>
      <c r="M30" t="s">
        <v>121</v>
      </c>
      <c r="N30" t="s">
        <v>126</v>
      </c>
    </row>
    <row r="31" spans="1:14" x14ac:dyDescent="0.25">
      <c r="A31" t="s">
        <v>39</v>
      </c>
      <c r="B31">
        <v>15278437</v>
      </c>
      <c r="C31" t="s">
        <v>11</v>
      </c>
      <c r="D31" t="s">
        <v>50</v>
      </c>
      <c r="E31" t="str">
        <f t="shared" si="0"/>
        <v>John Sheridan</v>
      </c>
      <c r="F31" s="3">
        <v>5120</v>
      </c>
      <c r="G31" s="3" t="str">
        <f t="shared" si="2"/>
        <v>512055</v>
      </c>
      <c r="H31" s="1">
        <v>45170</v>
      </c>
      <c r="I31" s="1">
        <v>46059</v>
      </c>
      <c r="J31" t="s">
        <v>45</v>
      </c>
      <c r="K31" t="s">
        <v>46</v>
      </c>
      <c r="L31" s="2">
        <v>29.41</v>
      </c>
      <c r="M31" t="s">
        <v>121</v>
      </c>
      <c r="N31" t="s">
        <v>126</v>
      </c>
    </row>
    <row r="32" spans="1:14" x14ac:dyDescent="0.25">
      <c r="A32" t="s">
        <v>52</v>
      </c>
      <c r="B32">
        <v>17528908</v>
      </c>
      <c r="C32" t="s">
        <v>53</v>
      </c>
      <c r="D32" t="s">
        <v>54</v>
      </c>
      <c r="E32" t="str">
        <f t="shared" si="0"/>
        <v>Peggy Housley</v>
      </c>
      <c r="F32" s="3">
        <v>19870</v>
      </c>
      <c r="G32" s="3" t="str">
        <f t="shared" si="2"/>
        <v>1987055</v>
      </c>
      <c r="H32" s="1">
        <v>45444</v>
      </c>
      <c r="I32" s="1">
        <v>46059</v>
      </c>
      <c r="J32" t="s">
        <v>45</v>
      </c>
      <c r="K32" t="s">
        <v>46</v>
      </c>
      <c r="L32" s="2">
        <v>29.41</v>
      </c>
      <c r="M32" t="s">
        <v>121</v>
      </c>
      <c r="N32" t="s">
        <v>126</v>
      </c>
    </row>
    <row r="33" spans="1:14" x14ac:dyDescent="0.25">
      <c r="A33" t="s">
        <v>52</v>
      </c>
      <c r="B33" t="s">
        <v>128</v>
      </c>
      <c r="C33" t="s">
        <v>56</v>
      </c>
      <c r="D33" t="s">
        <v>57</v>
      </c>
      <c r="E33" t="str">
        <f t="shared" si="0"/>
        <v>Joyce Kweder</v>
      </c>
      <c r="F33" s="3">
        <v>34550</v>
      </c>
      <c r="G33" s="3" t="str">
        <f t="shared" si="2"/>
        <v>3455055</v>
      </c>
      <c r="H33" s="1">
        <v>45962</v>
      </c>
      <c r="I33" s="1">
        <v>46059</v>
      </c>
      <c r="J33" t="s">
        <v>45</v>
      </c>
      <c r="K33" t="s">
        <v>46</v>
      </c>
      <c r="L33" s="2">
        <v>29.41</v>
      </c>
      <c r="M33" t="s">
        <v>121</v>
      </c>
      <c r="N33" t="s">
        <v>126</v>
      </c>
    </row>
    <row r="34" spans="1:14" x14ac:dyDescent="0.25">
      <c r="A34" t="s">
        <v>52</v>
      </c>
      <c r="B34">
        <v>17528908</v>
      </c>
      <c r="C34" t="s">
        <v>12</v>
      </c>
      <c r="D34" t="s">
        <v>59</v>
      </c>
      <c r="E34" t="str">
        <f t="shared" si="0"/>
        <v>William Marencel</v>
      </c>
      <c r="F34" s="3">
        <v>99660</v>
      </c>
      <c r="G34" s="3" t="str">
        <f t="shared" si="2"/>
        <v>9966055</v>
      </c>
      <c r="H34" s="1">
        <v>45323</v>
      </c>
      <c r="I34" s="1">
        <v>46059</v>
      </c>
      <c r="J34" t="s">
        <v>45</v>
      </c>
      <c r="K34" t="s">
        <v>46</v>
      </c>
      <c r="L34" s="2">
        <v>29.41</v>
      </c>
      <c r="M34" t="s">
        <v>121</v>
      </c>
      <c r="N34" t="s">
        <v>126</v>
      </c>
    </row>
    <row r="35" spans="1:14" x14ac:dyDescent="0.25">
      <c r="A35" t="s">
        <v>52</v>
      </c>
      <c r="B35">
        <v>17528908</v>
      </c>
      <c r="C35" t="s">
        <v>66</v>
      </c>
      <c r="D35" t="s">
        <v>17</v>
      </c>
      <c r="E35" t="str">
        <f t="shared" si="0"/>
        <v>Harold Jones</v>
      </c>
      <c r="F35" s="3">
        <v>68460</v>
      </c>
      <c r="G35" s="3" t="str">
        <f t="shared" si="2"/>
        <v>6846055</v>
      </c>
      <c r="H35" s="1">
        <v>45597</v>
      </c>
      <c r="I35" s="1">
        <v>46059</v>
      </c>
      <c r="J35" t="s">
        <v>45</v>
      </c>
      <c r="K35" t="s">
        <v>46</v>
      </c>
      <c r="L35" s="2">
        <v>29.41</v>
      </c>
      <c r="M35" t="s">
        <v>121</v>
      </c>
      <c r="N35" t="s">
        <v>126</v>
      </c>
    </row>
    <row r="36" spans="1:14" x14ac:dyDescent="0.25">
      <c r="A36" t="s">
        <v>52</v>
      </c>
      <c r="B36">
        <v>17528908</v>
      </c>
      <c r="C36" t="s">
        <v>68</v>
      </c>
      <c r="D36" t="s">
        <v>69</v>
      </c>
      <c r="E36" t="str">
        <f t="shared" si="0"/>
        <v>Roland Black</v>
      </c>
      <c r="F36" s="3">
        <v>18660</v>
      </c>
      <c r="G36" s="3" t="str">
        <f t="shared" si="2"/>
        <v>1866055</v>
      </c>
      <c r="H36" s="1">
        <v>45536</v>
      </c>
      <c r="I36" s="1">
        <v>46059</v>
      </c>
      <c r="J36" t="s">
        <v>45</v>
      </c>
      <c r="K36" t="s">
        <v>46</v>
      </c>
      <c r="L36" s="2">
        <v>29.41</v>
      </c>
      <c r="M36" t="s">
        <v>121</v>
      </c>
      <c r="N36" t="s">
        <v>126</v>
      </c>
    </row>
    <row r="37" spans="1:14" x14ac:dyDescent="0.25">
      <c r="A37" t="s">
        <v>78</v>
      </c>
      <c r="B37">
        <v>18710070</v>
      </c>
      <c r="C37" t="s">
        <v>79</v>
      </c>
      <c r="D37" t="s">
        <v>80</v>
      </c>
      <c r="E37" t="str">
        <f t="shared" si="0"/>
        <v>Eleta Rupp</v>
      </c>
      <c r="F37" s="3">
        <v>58650</v>
      </c>
      <c r="G37" s="3" t="str">
        <f t="shared" si="2"/>
        <v>5865055</v>
      </c>
      <c r="H37" s="1">
        <v>45658</v>
      </c>
      <c r="I37" s="1">
        <v>46059</v>
      </c>
      <c r="J37" t="s">
        <v>45</v>
      </c>
      <c r="K37" t="s">
        <v>46</v>
      </c>
      <c r="L37" s="2">
        <v>29.41</v>
      </c>
      <c r="M37" t="s">
        <v>121</v>
      </c>
      <c r="N37" t="s">
        <v>126</v>
      </c>
    </row>
    <row r="38" spans="1:14" x14ac:dyDescent="0.25">
      <c r="A38" t="s">
        <v>78</v>
      </c>
      <c r="B38" t="s">
        <v>129</v>
      </c>
      <c r="C38" t="s">
        <v>82</v>
      </c>
      <c r="D38" t="s">
        <v>83</v>
      </c>
      <c r="E38" t="str">
        <f t="shared" si="0"/>
        <v>Carl Overly</v>
      </c>
      <c r="F38" s="3">
        <v>95310</v>
      </c>
      <c r="G38" s="3" t="str">
        <f t="shared" si="2"/>
        <v>9531055</v>
      </c>
      <c r="H38" s="1">
        <v>45962</v>
      </c>
      <c r="I38" s="1">
        <v>46059</v>
      </c>
      <c r="J38" t="s">
        <v>45</v>
      </c>
      <c r="K38" t="s">
        <v>46</v>
      </c>
      <c r="L38" s="2">
        <v>29.41</v>
      </c>
      <c r="M38" t="s">
        <v>121</v>
      </c>
      <c r="N38" t="s">
        <v>126</v>
      </c>
    </row>
    <row r="39" spans="1:14" x14ac:dyDescent="0.25">
      <c r="A39" t="s">
        <v>29</v>
      </c>
      <c r="B39">
        <v>18794740</v>
      </c>
      <c r="C39" t="s">
        <v>88</v>
      </c>
      <c r="D39" t="s">
        <v>89</v>
      </c>
      <c r="E39" t="str">
        <f t="shared" si="0"/>
        <v>Sami Azar</v>
      </c>
      <c r="F39" s="3">
        <v>58970</v>
      </c>
      <c r="G39" s="3" t="str">
        <f t="shared" si="2"/>
        <v>5897055</v>
      </c>
      <c r="H39" s="1">
        <v>45566</v>
      </c>
      <c r="I39" s="1">
        <v>46059</v>
      </c>
      <c r="J39" t="s">
        <v>45</v>
      </c>
      <c r="K39" t="s">
        <v>46</v>
      </c>
      <c r="L39" s="2">
        <v>29.41</v>
      </c>
      <c r="M39" t="s">
        <v>121</v>
      </c>
      <c r="N39" t="s">
        <v>126</v>
      </c>
    </row>
    <row r="40" spans="1:14" x14ac:dyDescent="0.25">
      <c r="A40" t="s">
        <v>29</v>
      </c>
      <c r="B40">
        <v>18794740</v>
      </c>
      <c r="C40" t="s">
        <v>91</v>
      </c>
      <c r="D40" t="s">
        <v>92</v>
      </c>
      <c r="E40" t="str">
        <f t="shared" si="0"/>
        <v>Eileen Rohrbach</v>
      </c>
      <c r="F40" s="3">
        <v>48470</v>
      </c>
      <c r="G40" s="3" t="str">
        <f t="shared" si="2"/>
        <v>4847055</v>
      </c>
      <c r="H40" s="1">
        <v>45292</v>
      </c>
      <c r="I40" s="1">
        <v>46059</v>
      </c>
      <c r="J40" t="s">
        <v>45</v>
      </c>
      <c r="K40" t="s">
        <v>46</v>
      </c>
      <c r="L40" s="2">
        <v>29.41</v>
      </c>
      <c r="M40" t="s">
        <v>121</v>
      </c>
      <c r="N40" t="s">
        <v>126</v>
      </c>
    </row>
    <row r="41" spans="1:14" x14ac:dyDescent="0.25">
      <c r="A41" t="s">
        <v>29</v>
      </c>
      <c r="B41">
        <v>18794740</v>
      </c>
      <c r="C41" t="s">
        <v>94</v>
      </c>
      <c r="D41" t="s">
        <v>95</v>
      </c>
      <c r="E41" t="str">
        <f t="shared" si="0"/>
        <v>Rafael Rosario</v>
      </c>
      <c r="F41" s="3">
        <v>2060</v>
      </c>
      <c r="G41" s="3" t="str">
        <f t="shared" si="2"/>
        <v>206055</v>
      </c>
      <c r="H41" s="1">
        <v>45658</v>
      </c>
      <c r="I41" s="1">
        <v>46059</v>
      </c>
      <c r="J41" t="s">
        <v>45</v>
      </c>
      <c r="K41" t="s">
        <v>46</v>
      </c>
      <c r="L41" s="2">
        <v>29.41</v>
      </c>
      <c r="M41" t="s">
        <v>121</v>
      </c>
      <c r="N41" t="s">
        <v>126</v>
      </c>
    </row>
    <row r="42" spans="1:14" x14ac:dyDescent="0.25">
      <c r="A42" t="s">
        <v>29</v>
      </c>
      <c r="B42">
        <v>18794740</v>
      </c>
      <c r="C42" t="s">
        <v>97</v>
      </c>
      <c r="D42" t="s">
        <v>98</v>
      </c>
      <c r="E42" t="str">
        <f t="shared" si="0"/>
        <v>Halimah Sou</v>
      </c>
      <c r="F42" s="3">
        <v>35180</v>
      </c>
      <c r="G42" s="3" t="str">
        <f t="shared" si="2"/>
        <v>3518055</v>
      </c>
      <c r="H42" s="1">
        <v>45292</v>
      </c>
      <c r="I42" s="1">
        <v>46059</v>
      </c>
      <c r="J42" t="s">
        <v>45</v>
      </c>
      <c r="K42" t="s">
        <v>46</v>
      </c>
      <c r="L42" s="2">
        <v>29.41</v>
      </c>
      <c r="M42" t="s">
        <v>121</v>
      </c>
      <c r="N42" t="s">
        <v>126</v>
      </c>
    </row>
    <row r="43" spans="1:14" x14ac:dyDescent="0.25">
      <c r="A43" t="s">
        <v>29</v>
      </c>
      <c r="B43">
        <v>18794740</v>
      </c>
      <c r="C43" t="s">
        <v>14</v>
      </c>
      <c r="D43" t="s">
        <v>100</v>
      </c>
      <c r="E43" t="str">
        <f t="shared" si="0"/>
        <v>Theresa Kurzawa</v>
      </c>
      <c r="F43" s="3">
        <v>72960</v>
      </c>
      <c r="G43" s="3" t="str">
        <f t="shared" si="2"/>
        <v>7296055</v>
      </c>
      <c r="H43" s="1">
        <v>45689</v>
      </c>
      <c r="I43" s="1">
        <v>46059</v>
      </c>
      <c r="J43" t="s">
        <v>45</v>
      </c>
      <c r="K43" t="s">
        <v>46</v>
      </c>
      <c r="L43" s="2">
        <v>29.41</v>
      </c>
      <c r="M43" t="s">
        <v>121</v>
      </c>
      <c r="N43" t="s">
        <v>126</v>
      </c>
    </row>
    <row r="44" spans="1:14" x14ac:dyDescent="0.25">
      <c r="A44" t="s">
        <v>20</v>
      </c>
      <c r="B44" t="s">
        <v>130</v>
      </c>
      <c r="C44" t="s">
        <v>13</v>
      </c>
      <c r="D44" t="s">
        <v>102</v>
      </c>
      <c r="E44" t="str">
        <f t="shared" si="0"/>
        <v>Robert Holmes</v>
      </c>
      <c r="F44" s="3">
        <v>65970</v>
      </c>
      <c r="G44" s="3" t="str">
        <f t="shared" si="2"/>
        <v>6597055</v>
      </c>
      <c r="H44" s="1">
        <v>45413</v>
      </c>
      <c r="I44" s="1">
        <v>46059</v>
      </c>
      <c r="J44" t="s">
        <v>45</v>
      </c>
      <c r="K44" t="s">
        <v>46</v>
      </c>
      <c r="L44" s="2">
        <v>29.41</v>
      </c>
      <c r="M44" t="s">
        <v>121</v>
      </c>
      <c r="N44" t="s">
        <v>126</v>
      </c>
    </row>
    <row r="45" spans="1:14" x14ac:dyDescent="0.25">
      <c r="A45" t="s">
        <v>52</v>
      </c>
      <c r="B45">
        <v>17528908</v>
      </c>
      <c r="C45" t="s">
        <v>19</v>
      </c>
      <c r="D45" t="s">
        <v>61</v>
      </c>
      <c r="E45" t="str">
        <f t="shared" si="0"/>
        <v>Barbara Burg</v>
      </c>
      <c r="F45" s="3">
        <v>36720</v>
      </c>
      <c r="G45" s="3" t="str">
        <f t="shared" si="2"/>
        <v>3672055</v>
      </c>
      <c r="H45" s="1">
        <v>45658</v>
      </c>
      <c r="I45" s="1">
        <v>46059</v>
      </c>
      <c r="J45" t="s">
        <v>45</v>
      </c>
      <c r="K45" t="s">
        <v>63</v>
      </c>
      <c r="L45" s="2">
        <v>-29.41</v>
      </c>
      <c r="M45" t="s">
        <v>121</v>
      </c>
      <c r="N45" t="s">
        <v>126</v>
      </c>
    </row>
    <row r="46" spans="1:14" x14ac:dyDescent="0.25">
      <c r="A46" t="s">
        <v>52</v>
      </c>
      <c r="B46">
        <v>17528908</v>
      </c>
      <c r="C46" t="s">
        <v>64</v>
      </c>
      <c r="D46" t="s">
        <v>17</v>
      </c>
      <c r="E46" t="str">
        <f t="shared" si="0"/>
        <v>Alice Jones</v>
      </c>
      <c r="F46" s="3">
        <v>50140</v>
      </c>
      <c r="G46" s="3" t="str">
        <f t="shared" si="2"/>
        <v>5014055</v>
      </c>
      <c r="H46" s="1">
        <v>45108</v>
      </c>
      <c r="I46" s="1">
        <v>46059</v>
      </c>
      <c r="J46" t="s">
        <v>45</v>
      </c>
      <c r="K46" t="s">
        <v>63</v>
      </c>
      <c r="L46" s="2">
        <v>-29.41</v>
      </c>
      <c r="M46" t="s">
        <v>121</v>
      </c>
      <c r="N46" t="s">
        <v>126</v>
      </c>
    </row>
    <row r="47" spans="1:14" x14ac:dyDescent="0.25">
      <c r="A47" t="s">
        <v>52</v>
      </c>
      <c r="B47">
        <v>17528908</v>
      </c>
      <c r="C47" t="s">
        <v>66</v>
      </c>
      <c r="D47" t="s">
        <v>17</v>
      </c>
      <c r="E47" t="str">
        <f t="shared" si="0"/>
        <v>Harold Jones</v>
      </c>
      <c r="F47" s="3">
        <v>68460</v>
      </c>
      <c r="G47" s="3" t="str">
        <f t="shared" si="2"/>
        <v>6846055</v>
      </c>
      <c r="H47" s="1">
        <v>45597</v>
      </c>
      <c r="I47" s="1">
        <v>46059</v>
      </c>
      <c r="J47" t="s">
        <v>45</v>
      </c>
      <c r="K47" t="s">
        <v>63</v>
      </c>
      <c r="L47" s="2">
        <v>-29.41</v>
      </c>
      <c r="M47" t="s">
        <v>121</v>
      </c>
      <c r="N47" t="s">
        <v>126</v>
      </c>
    </row>
    <row r="48" spans="1:14" x14ac:dyDescent="0.25">
      <c r="A48" t="s">
        <v>78</v>
      </c>
      <c r="B48">
        <v>18710070</v>
      </c>
      <c r="C48" t="s">
        <v>85</v>
      </c>
      <c r="D48" t="s">
        <v>86</v>
      </c>
      <c r="E48" t="str">
        <f t="shared" si="0"/>
        <v>Alan Shaffer</v>
      </c>
      <c r="F48" s="3">
        <v>76470</v>
      </c>
      <c r="G48" s="3" t="str">
        <f t="shared" si="2"/>
        <v>7647055</v>
      </c>
      <c r="H48" s="1">
        <v>45658</v>
      </c>
      <c r="I48" s="1">
        <v>46059</v>
      </c>
      <c r="J48" t="s">
        <v>45</v>
      </c>
      <c r="K48" t="s">
        <v>63</v>
      </c>
      <c r="L48" s="2">
        <v>-29.41</v>
      </c>
      <c r="M48" t="s">
        <v>121</v>
      </c>
      <c r="N48" t="s">
        <v>126</v>
      </c>
    </row>
    <row r="49" spans="1:14" x14ac:dyDescent="0.25">
      <c r="A49" t="s">
        <v>52</v>
      </c>
      <c r="B49">
        <v>17528908</v>
      </c>
      <c r="C49" t="s">
        <v>40</v>
      </c>
      <c r="D49" t="s">
        <v>69</v>
      </c>
      <c r="E49" t="str">
        <f t="shared" si="0"/>
        <v>Judith Black</v>
      </c>
      <c r="F49" s="3">
        <v>350</v>
      </c>
      <c r="G49" s="3" t="str">
        <f t="shared" si="2"/>
        <v>35055</v>
      </c>
      <c r="H49" s="1">
        <v>45292</v>
      </c>
      <c r="I49" s="1">
        <v>46059</v>
      </c>
      <c r="J49" t="s">
        <v>45</v>
      </c>
      <c r="K49" t="s">
        <v>72</v>
      </c>
      <c r="L49" s="2">
        <v>26.08</v>
      </c>
      <c r="M49" t="s">
        <v>123</v>
      </c>
      <c r="N49" t="s">
        <v>122</v>
      </c>
    </row>
    <row r="50" spans="1:14" x14ac:dyDescent="0.25">
      <c r="A50" t="s">
        <v>52</v>
      </c>
      <c r="B50" t="s">
        <v>128</v>
      </c>
      <c r="C50" t="s">
        <v>73</v>
      </c>
      <c r="D50" t="s">
        <v>74</v>
      </c>
      <c r="E50" t="str">
        <f t="shared" si="0"/>
        <v>Christy Russell</v>
      </c>
      <c r="F50" s="3">
        <v>11460</v>
      </c>
      <c r="G50" s="3" t="str">
        <f t="shared" si="2"/>
        <v>1146055</v>
      </c>
      <c r="H50" s="1">
        <v>45839</v>
      </c>
      <c r="I50" s="1">
        <v>46059</v>
      </c>
      <c r="J50" t="s">
        <v>45</v>
      </c>
      <c r="K50" t="s">
        <v>72</v>
      </c>
      <c r="L50" s="2">
        <v>26.08</v>
      </c>
      <c r="M50" t="s">
        <v>123</v>
      </c>
      <c r="N50" t="s">
        <v>122</v>
      </c>
    </row>
    <row r="51" spans="1:14" x14ac:dyDescent="0.25">
      <c r="A51" t="s">
        <v>52</v>
      </c>
      <c r="B51">
        <v>17528908</v>
      </c>
      <c r="C51" t="s">
        <v>15</v>
      </c>
      <c r="D51" t="s">
        <v>74</v>
      </c>
      <c r="E51" t="str">
        <f t="shared" si="0"/>
        <v>David Russell</v>
      </c>
      <c r="F51" s="3">
        <v>18410</v>
      </c>
      <c r="G51" s="3" t="str">
        <f t="shared" si="2"/>
        <v>1841055</v>
      </c>
      <c r="H51" s="1">
        <v>45505</v>
      </c>
      <c r="I51" s="1">
        <v>46059</v>
      </c>
      <c r="J51" t="s">
        <v>45</v>
      </c>
      <c r="K51" t="s">
        <v>72</v>
      </c>
      <c r="L51" s="2">
        <v>26.08</v>
      </c>
      <c r="M51" t="s">
        <v>123</v>
      </c>
      <c r="N51" t="s">
        <v>122</v>
      </c>
    </row>
    <row r="52" spans="1:14" x14ac:dyDescent="0.25">
      <c r="A52" t="s">
        <v>52</v>
      </c>
      <c r="B52" t="s">
        <v>128</v>
      </c>
      <c r="C52" t="s">
        <v>73</v>
      </c>
      <c r="D52" t="s">
        <v>74</v>
      </c>
      <c r="E52" t="str">
        <f t="shared" si="0"/>
        <v>Christy Russell</v>
      </c>
      <c r="F52" s="3">
        <v>11460</v>
      </c>
      <c r="G52" s="3" t="str">
        <f t="shared" si="2"/>
        <v>1146055</v>
      </c>
      <c r="H52" s="1">
        <v>45839</v>
      </c>
      <c r="I52" s="1">
        <v>46059</v>
      </c>
      <c r="J52" t="s">
        <v>45</v>
      </c>
      <c r="K52" t="s">
        <v>77</v>
      </c>
      <c r="L52" s="2">
        <v>-26.08</v>
      </c>
      <c r="M52" t="s">
        <v>123</v>
      </c>
      <c r="N52" t="s">
        <v>122</v>
      </c>
    </row>
    <row r="53" spans="1:14" x14ac:dyDescent="0.25">
      <c r="A53" t="s">
        <v>52</v>
      </c>
      <c r="B53">
        <v>17528908</v>
      </c>
      <c r="C53" t="s">
        <v>15</v>
      </c>
      <c r="D53" t="s">
        <v>74</v>
      </c>
      <c r="E53" t="str">
        <f t="shared" si="0"/>
        <v>David Russell</v>
      </c>
      <c r="F53" s="3">
        <v>18410</v>
      </c>
      <c r="G53" s="3" t="str">
        <f t="shared" si="2"/>
        <v>1841055</v>
      </c>
      <c r="H53" s="1">
        <v>45505</v>
      </c>
      <c r="I53" s="1">
        <v>46059</v>
      </c>
      <c r="J53" t="s">
        <v>45</v>
      </c>
      <c r="K53" t="s">
        <v>77</v>
      </c>
      <c r="L53" s="2">
        <v>-26.08</v>
      </c>
      <c r="M53" t="s">
        <v>123</v>
      </c>
      <c r="N53" t="s">
        <v>122</v>
      </c>
    </row>
    <row r="54" spans="1:14" x14ac:dyDescent="0.25">
      <c r="A54" t="s">
        <v>20</v>
      </c>
      <c r="B54" t="s">
        <v>130</v>
      </c>
      <c r="C54" t="s">
        <v>21</v>
      </c>
      <c r="D54" t="s">
        <v>22</v>
      </c>
      <c r="E54" t="str">
        <f t="shared" si="0"/>
        <v>Bette Thomas</v>
      </c>
      <c r="F54" s="3" t="s">
        <v>116</v>
      </c>
      <c r="G54" s="3" t="s">
        <v>125</v>
      </c>
      <c r="H54" s="1">
        <v>45748</v>
      </c>
      <c r="I54" s="1">
        <v>46059</v>
      </c>
      <c r="J54" t="s">
        <v>24</v>
      </c>
      <c r="K54" t="s">
        <v>25</v>
      </c>
      <c r="L54" s="2">
        <v>32.08</v>
      </c>
      <c r="M54" t="s">
        <v>124</v>
      </c>
    </row>
    <row r="55" spans="1:14" x14ac:dyDescent="0.25">
      <c r="A55" t="s">
        <v>127</v>
      </c>
      <c r="B55">
        <v>20411454</v>
      </c>
      <c r="C55" t="s">
        <v>13</v>
      </c>
      <c r="D55" t="s">
        <v>18</v>
      </c>
      <c r="E55" t="str">
        <f t="shared" si="0"/>
        <v>Robert Young</v>
      </c>
      <c r="F55" s="3" t="s">
        <v>117</v>
      </c>
      <c r="G55" s="3" t="str">
        <f t="shared" ref="G55:G58" si="3">CONCATENATE(F55,"OVR")</f>
        <v>6350AOVR</v>
      </c>
      <c r="H55" s="1">
        <v>45992</v>
      </c>
      <c r="I55" s="1">
        <v>46059</v>
      </c>
      <c r="J55" t="s">
        <v>24</v>
      </c>
      <c r="K55" t="s">
        <v>28</v>
      </c>
      <c r="L55" s="2">
        <v>6.25</v>
      </c>
      <c r="M55" t="s">
        <v>120</v>
      </c>
    </row>
    <row r="56" spans="1:14" x14ac:dyDescent="0.25">
      <c r="A56" t="s">
        <v>127</v>
      </c>
      <c r="B56">
        <v>20411454</v>
      </c>
      <c r="C56" t="s">
        <v>16</v>
      </c>
      <c r="D56" t="s">
        <v>34</v>
      </c>
      <c r="E56" t="str">
        <f t="shared" si="0"/>
        <v>Mary Murtha</v>
      </c>
      <c r="F56" s="3" t="s">
        <v>118</v>
      </c>
      <c r="G56" s="3" t="str">
        <f t="shared" si="3"/>
        <v>4526BOVR</v>
      </c>
      <c r="H56" s="1">
        <v>45870</v>
      </c>
      <c r="I56" s="1">
        <v>46059</v>
      </c>
      <c r="J56" t="s">
        <v>24</v>
      </c>
      <c r="K56" t="s">
        <v>28</v>
      </c>
      <c r="L56" s="2">
        <v>6.25</v>
      </c>
      <c r="M56" t="s">
        <v>120</v>
      </c>
    </row>
    <row r="57" spans="1:14" x14ac:dyDescent="0.25">
      <c r="A57" t="s">
        <v>127</v>
      </c>
      <c r="B57">
        <v>20411454</v>
      </c>
      <c r="C57" t="s">
        <v>36</v>
      </c>
      <c r="D57" t="s">
        <v>37</v>
      </c>
      <c r="E57" t="str">
        <f t="shared" si="0"/>
        <v>Warren Daun</v>
      </c>
      <c r="F57" s="3" t="s">
        <v>119</v>
      </c>
      <c r="G57" s="3" t="str">
        <f t="shared" si="3"/>
        <v>9190AOVR</v>
      </c>
      <c r="H57" s="1">
        <v>45992</v>
      </c>
      <c r="I57" s="1">
        <v>46059</v>
      </c>
      <c r="J57" t="s">
        <v>24</v>
      </c>
      <c r="K57" t="s">
        <v>28</v>
      </c>
      <c r="L57" s="2">
        <v>6.25</v>
      </c>
      <c r="M57" t="s">
        <v>120</v>
      </c>
    </row>
    <row r="58" spans="1:14" x14ac:dyDescent="0.25">
      <c r="A58" t="s">
        <v>127</v>
      </c>
      <c r="B58">
        <v>20411454</v>
      </c>
      <c r="C58" t="s">
        <v>21</v>
      </c>
      <c r="D58" t="s">
        <v>22</v>
      </c>
      <c r="E58" t="str">
        <f t="shared" si="0"/>
        <v>Bette Thomas</v>
      </c>
      <c r="F58" s="3" t="s">
        <v>116</v>
      </c>
      <c r="G58" s="3" t="str">
        <f t="shared" si="3"/>
        <v>4797BOVR</v>
      </c>
      <c r="H58" s="1">
        <v>45748</v>
      </c>
      <c r="I58" s="1">
        <v>46059</v>
      </c>
      <c r="J58" t="s">
        <v>24</v>
      </c>
      <c r="K58" t="s">
        <v>28</v>
      </c>
      <c r="L58" s="2">
        <v>6.25</v>
      </c>
      <c r="M58" t="s">
        <v>120</v>
      </c>
    </row>
    <row r="291" spans="2:12" x14ac:dyDescent="0.25">
      <c r="B291">
        <v>20411454</v>
      </c>
      <c r="H291" s="1">
        <v>46052</v>
      </c>
      <c r="I291" s="1">
        <v>46059</v>
      </c>
      <c r="K291" t="s">
        <v>115</v>
      </c>
      <c r="L291" s="2">
        <v>-12366.64</v>
      </c>
    </row>
  </sheetData>
  <sortState xmlns:xlrd2="http://schemas.microsoft.com/office/spreadsheetml/2017/richdata2" ref="A2:O58">
    <sortCondition ref="K2:K58"/>
    <sortCondition ref="L2:L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2026-02-06T17:20:27Z</dcterms:created>
  <dcterms:modified xsi:type="dcterms:W3CDTF">2026-02-11T20:47:37Z</dcterms:modified>
</cp:coreProperties>
</file>