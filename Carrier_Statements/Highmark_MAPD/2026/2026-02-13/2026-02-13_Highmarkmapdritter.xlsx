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Highmark MAPD\2026\2-13-26\"/>
    </mc:Choice>
  </mc:AlternateContent>
  <xr:revisionPtr revIDLastSave="0" documentId="13_ncr:1_{C68EC016-53F4-4768-BB13-DC7948523DBE}" xr6:coauthVersionLast="47" xr6:coauthVersionMax="47" xr10:uidLastSave="{00000000-0000-0000-0000-000000000000}"/>
  <bookViews>
    <workbookView xWindow="-120" yWindow="-120" windowWidth="29040" windowHeight="16440" activeTab="1" xr2:uid="{893836E3-C35D-4CFE-A984-04317118D8EB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E3" i="2" l="1"/>
  <c r="E4" i="2"/>
  <c r="E5" i="2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24" i="2"/>
  <c r="E25" i="2"/>
  <c r="E26" i="2"/>
  <c r="E27" i="2"/>
  <c r="E28" i="2"/>
  <c r="E29" i="2"/>
  <c r="E30" i="2"/>
  <c r="E31" i="2"/>
  <c r="E32" i="2"/>
  <c r="E33" i="2"/>
  <c r="E34" i="2"/>
  <c r="E35" i="2"/>
  <c r="E36" i="2"/>
  <c r="E37" i="2"/>
  <c r="E38" i="2"/>
  <c r="E39" i="2"/>
  <c r="E40" i="2"/>
  <c r="E41" i="2"/>
  <c r="E42" i="2"/>
  <c r="E43" i="2"/>
  <c r="E44" i="2"/>
  <c r="E45" i="2"/>
  <c r="E46" i="2"/>
  <c r="E47" i="2"/>
  <c r="E48" i="2"/>
  <c r="E49" i="2"/>
  <c r="E50" i="2"/>
  <c r="E51" i="2"/>
  <c r="E52" i="2"/>
  <c r="E53" i="2"/>
  <c r="E54" i="2"/>
  <c r="E55" i="2"/>
  <c r="E56" i="2"/>
  <c r="E57" i="2"/>
  <c r="E58" i="2"/>
  <c r="E59" i="2"/>
  <c r="E60" i="2"/>
  <c r="E61" i="2"/>
  <c r="E62" i="2"/>
  <c r="E63" i="2"/>
  <c r="E64" i="2"/>
  <c r="E65" i="2"/>
  <c r="E66" i="2"/>
  <c r="E67" i="2"/>
  <c r="E68" i="2"/>
  <c r="E69" i="2"/>
  <c r="E70" i="2"/>
  <c r="E71" i="2"/>
  <c r="E72" i="2"/>
  <c r="E73" i="2"/>
  <c r="E74" i="2"/>
  <c r="E75" i="2"/>
  <c r="E76" i="2"/>
  <c r="E77" i="2"/>
  <c r="E78" i="2"/>
  <c r="E79" i="2"/>
  <c r="E80" i="2"/>
  <c r="E81" i="2"/>
  <c r="E82" i="2"/>
  <c r="E83" i="2"/>
  <c r="E84" i="2"/>
  <c r="E85" i="2"/>
  <c r="E86" i="2"/>
  <c r="E87" i="2"/>
  <c r="E88" i="2"/>
  <c r="E89" i="2"/>
  <c r="E90" i="2"/>
  <c r="E91" i="2"/>
  <c r="E92" i="2"/>
  <c r="E93" i="2"/>
  <c r="E94" i="2"/>
  <c r="E95" i="2"/>
  <c r="E96" i="2"/>
  <c r="E97" i="2"/>
  <c r="E98" i="2"/>
  <c r="E99" i="2"/>
  <c r="E100" i="2"/>
  <c r="E101" i="2"/>
  <c r="E102" i="2"/>
  <c r="E103" i="2"/>
  <c r="E104" i="2"/>
  <c r="E105" i="2"/>
  <c r="E106" i="2"/>
  <c r="E107" i="2"/>
  <c r="E108" i="2"/>
  <c r="E109" i="2"/>
  <c r="E110" i="2"/>
  <c r="E111" i="2"/>
  <c r="E112" i="2"/>
  <c r="E113" i="2"/>
  <c r="E114" i="2"/>
  <c r="E115" i="2"/>
  <c r="E116" i="2"/>
  <c r="E117" i="2"/>
  <c r="E118" i="2"/>
  <c r="E119" i="2"/>
  <c r="E120" i="2"/>
  <c r="E121" i="2"/>
  <c r="E122" i="2"/>
  <c r="E123" i="2"/>
  <c r="E124" i="2"/>
  <c r="E125" i="2"/>
  <c r="E126" i="2"/>
  <c r="E127" i="2"/>
  <c r="E128" i="2"/>
  <c r="E129" i="2"/>
  <c r="E130" i="2"/>
  <c r="E131" i="2"/>
  <c r="E132" i="2"/>
  <c r="E133" i="2"/>
  <c r="E134" i="2"/>
  <c r="E135" i="2"/>
  <c r="E136" i="2"/>
  <c r="E137" i="2"/>
  <c r="E138" i="2"/>
  <c r="E139" i="2"/>
  <c r="E140" i="2"/>
  <c r="E141" i="2"/>
  <c r="E142" i="2"/>
  <c r="E143" i="2"/>
  <c r="E144" i="2"/>
  <c r="E145" i="2"/>
  <c r="E146" i="2"/>
  <c r="E147" i="2"/>
  <c r="E148" i="2"/>
  <c r="E149" i="2"/>
  <c r="E150" i="2"/>
  <c r="E151" i="2"/>
  <c r="E152" i="2"/>
  <c r="E153" i="2"/>
  <c r="E154" i="2"/>
  <c r="E155" i="2"/>
  <c r="E156" i="2"/>
  <c r="E157" i="2"/>
  <c r="E158" i="2"/>
  <c r="E159" i="2"/>
  <c r="E160" i="2"/>
  <c r="E161" i="2"/>
  <c r="E162" i="2"/>
  <c r="E163" i="2"/>
  <c r="E164" i="2"/>
  <c r="E165" i="2"/>
  <c r="E166" i="2"/>
  <c r="E167" i="2"/>
  <c r="E168" i="2"/>
  <c r="E169" i="2"/>
  <c r="E170" i="2"/>
  <c r="E171" i="2"/>
  <c r="E172" i="2"/>
  <c r="E173" i="2"/>
  <c r="E174" i="2"/>
  <c r="E175" i="2"/>
  <c r="E176" i="2"/>
  <c r="E177" i="2"/>
  <c r="E178" i="2"/>
  <c r="E179" i="2"/>
  <c r="E180" i="2"/>
  <c r="E181" i="2"/>
  <c r="E182" i="2"/>
  <c r="E183" i="2"/>
  <c r="E184" i="2"/>
  <c r="E185" i="2"/>
  <c r="E186" i="2"/>
  <c r="E187" i="2"/>
  <c r="E188" i="2"/>
  <c r="E189" i="2"/>
  <c r="E190" i="2"/>
  <c r="E191" i="2"/>
  <c r="E192" i="2"/>
  <c r="E193" i="2"/>
  <c r="E194" i="2"/>
  <c r="E195" i="2"/>
  <c r="E196" i="2"/>
  <c r="E197" i="2"/>
  <c r="E198" i="2"/>
  <c r="E199" i="2"/>
  <c r="E200" i="2"/>
  <c r="E201" i="2"/>
  <c r="E202" i="2"/>
  <c r="E203" i="2"/>
  <c r="E204" i="2"/>
  <c r="E205" i="2"/>
  <c r="E206" i="2"/>
  <c r="E207" i="2"/>
  <c r="E208" i="2"/>
  <c r="E209" i="2"/>
  <c r="E210" i="2"/>
  <c r="E211" i="2"/>
  <c r="E212" i="2"/>
  <c r="E213" i="2"/>
  <c r="E214" i="2"/>
  <c r="E215" i="2"/>
  <c r="E216" i="2"/>
  <c r="E217" i="2"/>
  <c r="E218" i="2"/>
  <c r="E219" i="2"/>
  <c r="E220" i="2"/>
  <c r="E221" i="2"/>
  <c r="E222" i="2"/>
  <c r="E223" i="2"/>
  <c r="E224" i="2"/>
  <c r="E225" i="2"/>
  <c r="E226" i="2"/>
  <c r="E227" i="2"/>
  <c r="E228" i="2"/>
  <c r="E229" i="2"/>
  <c r="E230" i="2"/>
  <c r="E231" i="2"/>
  <c r="E232" i="2"/>
  <c r="E233" i="2"/>
  <c r="E234" i="2"/>
  <c r="E235" i="2"/>
  <c r="E236" i="2"/>
  <c r="E237" i="2"/>
  <c r="E238" i="2"/>
  <c r="E239" i="2"/>
  <c r="E240" i="2"/>
  <c r="E241" i="2"/>
  <c r="E242" i="2"/>
  <c r="E243" i="2"/>
  <c r="E244" i="2"/>
  <c r="E245" i="2"/>
  <c r="E246" i="2"/>
  <c r="E247" i="2"/>
  <c r="E248" i="2"/>
  <c r="E249" i="2"/>
  <c r="E250" i="2"/>
  <c r="E251" i="2"/>
  <c r="E252" i="2"/>
  <c r="E253" i="2"/>
  <c r="E254" i="2"/>
  <c r="E255" i="2"/>
  <c r="E256" i="2"/>
  <c r="E257" i="2"/>
  <c r="E258" i="2"/>
  <c r="E259" i="2"/>
  <c r="E260" i="2"/>
  <c r="E261" i="2"/>
  <c r="E262" i="2"/>
  <c r="E263" i="2"/>
  <c r="E264" i="2"/>
  <c r="E265" i="2"/>
  <c r="E266" i="2"/>
  <c r="E267" i="2"/>
  <c r="E268" i="2"/>
  <c r="E269" i="2"/>
  <c r="E270" i="2"/>
  <c r="E271" i="2"/>
  <c r="E272" i="2"/>
  <c r="E273" i="2"/>
  <c r="E274" i="2"/>
  <c r="E275" i="2"/>
  <c r="E276" i="2"/>
  <c r="E277" i="2"/>
  <c r="E278" i="2"/>
  <c r="E279" i="2"/>
  <c r="E280" i="2"/>
  <c r="E281" i="2"/>
  <c r="E282" i="2"/>
  <c r="E283" i="2"/>
  <c r="E284" i="2"/>
  <c r="E285" i="2"/>
  <c r="E286" i="2"/>
  <c r="E287" i="2"/>
  <c r="E288" i="2"/>
  <c r="E289" i="2"/>
  <c r="E290" i="2"/>
  <c r="E291" i="2"/>
  <c r="E292" i="2"/>
  <c r="E293" i="2"/>
  <c r="E294" i="2"/>
  <c r="E295" i="2"/>
  <c r="E296" i="2"/>
  <c r="E297" i="2"/>
  <c r="E298" i="2"/>
  <c r="E299" i="2"/>
  <c r="E300" i="2"/>
  <c r="E301" i="2"/>
  <c r="E302" i="2"/>
  <c r="E303" i="2"/>
  <c r="E304" i="2"/>
  <c r="E305" i="2"/>
  <c r="E306" i="2"/>
  <c r="E307" i="2"/>
  <c r="E308" i="2"/>
  <c r="E309" i="2"/>
  <c r="E310" i="2"/>
  <c r="E311" i="2"/>
  <c r="E312" i="2"/>
  <c r="E313" i="2"/>
  <c r="E314" i="2"/>
  <c r="E315" i="2"/>
  <c r="E316" i="2"/>
  <c r="E317" i="2"/>
  <c r="E318" i="2"/>
  <c r="E319" i="2"/>
  <c r="E320" i="2"/>
  <c r="E321" i="2"/>
  <c r="E322" i="2"/>
  <c r="E323" i="2"/>
  <c r="E324" i="2"/>
  <c r="E325" i="2"/>
  <c r="E326" i="2"/>
  <c r="E327" i="2"/>
  <c r="E328" i="2"/>
  <c r="E329" i="2"/>
  <c r="E330" i="2"/>
  <c r="E331" i="2"/>
  <c r="E332" i="2"/>
  <c r="E333" i="2"/>
  <c r="E334" i="2"/>
  <c r="E335" i="2"/>
  <c r="E336" i="2"/>
  <c r="E337" i="2"/>
  <c r="E338" i="2"/>
  <c r="E339" i="2"/>
  <c r="E340" i="2"/>
  <c r="E341" i="2"/>
  <c r="E342" i="2"/>
  <c r="E343" i="2"/>
  <c r="E344" i="2"/>
  <c r="E345" i="2"/>
  <c r="E346" i="2"/>
  <c r="E347" i="2"/>
  <c r="E348" i="2"/>
  <c r="E349" i="2"/>
  <c r="E350" i="2"/>
  <c r="E351" i="2"/>
  <c r="E352" i="2"/>
  <c r="E353" i="2"/>
  <c r="E354" i="2"/>
  <c r="E355" i="2"/>
  <c r="E356" i="2"/>
  <c r="E357" i="2"/>
  <c r="E358" i="2"/>
  <c r="E359" i="2"/>
  <c r="E360" i="2"/>
  <c r="E361" i="2"/>
  <c r="E362" i="2"/>
  <c r="E363" i="2"/>
  <c r="E364" i="2"/>
  <c r="E365" i="2"/>
  <c r="E366" i="2"/>
  <c r="E367" i="2"/>
  <c r="E368" i="2"/>
  <c r="E369" i="2"/>
  <c r="E370" i="2"/>
  <c r="E371" i="2"/>
  <c r="E372" i="2"/>
  <c r="E373" i="2"/>
  <c r="E374" i="2"/>
  <c r="E375" i="2"/>
  <c r="E376" i="2"/>
  <c r="E377" i="2"/>
  <c r="E378" i="2"/>
  <c r="E379" i="2"/>
  <c r="E380" i="2"/>
  <c r="E381" i="2"/>
  <c r="E382" i="2"/>
  <c r="E383" i="2"/>
  <c r="E384" i="2"/>
  <c r="E385" i="2"/>
  <c r="E386" i="2"/>
  <c r="E387" i="2"/>
  <c r="E388" i="2"/>
  <c r="E389" i="2"/>
  <c r="E390" i="2"/>
  <c r="E391" i="2"/>
  <c r="E392" i="2"/>
  <c r="E393" i="2"/>
  <c r="E394" i="2"/>
  <c r="E395" i="2"/>
  <c r="E396" i="2"/>
  <c r="E397" i="2"/>
  <c r="E398" i="2"/>
  <c r="E399" i="2"/>
  <c r="E400" i="2"/>
  <c r="E401" i="2"/>
  <c r="E402" i="2"/>
  <c r="E403" i="2"/>
  <c r="E404" i="2"/>
  <c r="E405" i="2"/>
  <c r="E406" i="2"/>
  <c r="E407" i="2"/>
  <c r="E408" i="2"/>
  <c r="E409" i="2"/>
  <c r="E410" i="2"/>
  <c r="E411" i="2"/>
  <c r="E412" i="2"/>
  <c r="E413" i="2"/>
  <c r="E414" i="2"/>
  <c r="E415" i="2"/>
  <c r="E416" i="2"/>
  <c r="E417" i="2"/>
  <c r="E418" i="2"/>
  <c r="E419" i="2"/>
  <c r="E420" i="2"/>
  <c r="E421" i="2"/>
  <c r="E422" i="2"/>
  <c r="E423" i="2"/>
  <c r="E424" i="2"/>
  <c r="E425" i="2"/>
  <c r="E426" i="2"/>
  <c r="E427" i="2"/>
  <c r="E428" i="2"/>
  <c r="E429" i="2"/>
  <c r="E430" i="2"/>
  <c r="E431" i="2"/>
  <c r="E432" i="2"/>
  <c r="E433" i="2"/>
  <c r="E434" i="2"/>
  <c r="E435" i="2"/>
  <c r="E436" i="2"/>
  <c r="E437" i="2"/>
  <c r="E438" i="2"/>
  <c r="E439" i="2"/>
  <c r="E440" i="2"/>
  <c r="E441" i="2"/>
  <c r="E442" i="2"/>
  <c r="E443" i="2"/>
  <c r="E444" i="2"/>
  <c r="E445" i="2"/>
  <c r="E446" i="2"/>
  <c r="E447" i="2"/>
  <c r="E448" i="2"/>
  <c r="E449" i="2"/>
  <c r="E450" i="2"/>
  <c r="E451" i="2"/>
  <c r="E452" i="2"/>
  <c r="E453" i="2"/>
  <c r="E454" i="2"/>
  <c r="E455" i="2"/>
  <c r="E456" i="2"/>
  <c r="E457" i="2"/>
  <c r="E458" i="2"/>
  <c r="E459" i="2"/>
  <c r="E460" i="2"/>
  <c r="E2" i="2"/>
  <c r="G11" i="2"/>
  <c r="G420" i="2"/>
  <c r="G419" i="2"/>
  <c r="G418" i="2"/>
  <c r="G380" i="2"/>
  <c r="G388" i="2"/>
  <c r="G387" i="2"/>
  <c r="G386" i="2"/>
  <c r="G385" i="2"/>
  <c r="G384" i="2"/>
  <c r="G383" i="2"/>
  <c r="G13" i="2"/>
  <c r="G12" i="2"/>
  <c r="G38" i="2"/>
  <c r="G37" i="2"/>
  <c r="G19" i="2"/>
  <c r="G36" i="2"/>
  <c r="G35" i="2"/>
  <c r="G34" i="2"/>
  <c r="G18" i="2"/>
  <c r="G33" i="2"/>
  <c r="G32" i="2"/>
  <c r="G23" i="2"/>
  <c r="G31" i="2"/>
  <c r="G22" i="2"/>
  <c r="G30" i="2"/>
  <c r="G439" i="2"/>
  <c r="G438" i="2"/>
  <c r="G458" i="2"/>
  <c r="G410" i="2"/>
  <c r="G409" i="2"/>
  <c r="G89" i="2"/>
  <c r="G88" i="2"/>
  <c r="G87" i="2"/>
  <c r="G86" i="2"/>
  <c r="G85" i="2"/>
  <c r="G84" i="2"/>
  <c r="G83" i="2"/>
  <c r="G82" i="2"/>
  <c r="G81" i="2"/>
  <c r="G118" i="2"/>
  <c r="G80" i="2"/>
  <c r="G79" i="2"/>
  <c r="G78" i="2"/>
  <c r="G107" i="2"/>
  <c r="G77" i="2"/>
  <c r="G6" i="2"/>
  <c r="G379" i="2"/>
  <c r="G378" i="2"/>
  <c r="G10" i="2"/>
  <c r="G9" i="2"/>
  <c r="G437" i="2"/>
  <c r="G436" i="2"/>
  <c r="G435" i="2"/>
  <c r="G434" i="2"/>
  <c r="G433" i="2"/>
  <c r="G432" i="2"/>
  <c r="G431" i="2"/>
  <c r="G430" i="2"/>
  <c r="G429" i="2"/>
  <c r="G428" i="2"/>
  <c r="G427" i="2"/>
  <c r="G426" i="2"/>
  <c r="G415" i="2"/>
  <c r="G406" i="2"/>
  <c r="G405" i="2"/>
  <c r="G404" i="2"/>
  <c r="G403" i="2"/>
  <c r="G402" i="2"/>
  <c r="G401" i="2"/>
  <c r="G400" i="2"/>
  <c r="G399" i="2"/>
  <c r="G398" i="2"/>
  <c r="G412" i="2"/>
  <c r="G414" i="2"/>
  <c r="G397" i="2"/>
  <c r="G396" i="2"/>
  <c r="G395" i="2"/>
  <c r="G408" i="2"/>
  <c r="G413" i="2"/>
  <c r="G394" i="2"/>
  <c r="G393" i="2"/>
  <c r="G411" i="2"/>
  <c r="G392" i="2"/>
  <c r="G391" i="2"/>
  <c r="G390" i="2"/>
  <c r="G389" i="2"/>
  <c r="G15" i="2"/>
  <c r="G14" i="2"/>
  <c r="G17" i="2"/>
  <c r="G64" i="2"/>
  <c r="G99" i="2"/>
  <c r="G112" i="2"/>
  <c r="G94" i="2"/>
  <c r="G123" i="2"/>
  <c r="G61" i="2"/>
  <c r="G60" i="2"/>
  <c r="G59" i="2"/>
  <c r="G76" i="2"/>
  <c r="G58" i="2"/>
  <c r="G57" i="2"/>
  <c r="G92" i="2"/>
  <c r="G72" i="2"/>
  <c r="G69" i="2"/>
  <c r="G126" i="2"/>
  <c r="G63" i="2"/>
  <c r="G91" i="2"/>
  <c r="G71" i="2"/>
  <c r="G97" i="2"/>
  <c r="G122" i="2"/>
  <c r="G119" i="2"/>
  <c r="G56" i="2"/>
  <c r="G66" i="2"/>
  <c r="G65" i="2"/>
  <c r="G55" i="2"/>
  <c r="G54" i="2"/>
  <c r="G53" i="2"/>
  <c r="G68" i="2"/>
  <c r="G116" i="2"/>
  <c r="G52" i="2"/>
  <c r="G106" i="2"/>
  <c r="G67" i="2"/>
  <c r="G121" i="2"/>
  <c r="G74" i="2"/>
  <c r="G51" i="2"/>
  <c r="G111" i="2"/>
  <c r="G110" i="2"/>
  <c r="G117" i="2"/>
  <c r="G50" i="2"/>
  <c r="G49" i="2"/>
  <c r="G90" i="2"/>
  <c r="G105" i="2"/>
  <c r="G114" i="2"/>
  <c r="G48" i="2"/>
  <c r="G109" i="2"/>
  <c r="G73" i="2"/>
  <c r="G47" i="2"/>
  <c r="G62" i="2"/>
  <c r="G46" i="2"/>
  <c r="G45" i="2"/>
  <c r="G108" i="2"/>
  <c r="G44" i="2"/>
  <c r="G96" i="2"/>
  <c r="G113" i="2"/>
  <c r="G43" i="2"/>
  <c r="G42" i="2"/>
  <c r="G98" i="2"/>
  <c r="G120" i="2"/>
  <c r="G115" i="2"/>
  <c r="G70" i="2"/>
  <c r="G102" i="2"/>
  <c r="G101" i="2"/>
  <c r="G75" i="2"/>
  <c r="G93" i="2"/>
  <c r="G104" i="2"/>
  <c r="G100" i="2"/>
  <c r="G95" i="2"/>
  <c r="G41" i="2"/>
  <c r="G40" i="2"/>
  <c r="G417" i="2"/>
  <c r="G416" i="2"/>
  <c r="G457" i="2"/>
  <c r="G456" i="2"/>
  <c r="G455" i="2"/>
  <c r="G454" i="2"/>
  <c r="G453" i="2"/>
  <c r="G452" i="2"/>
  <c r="G451" i="2"/>
  <c r="G450" i="2"/>
  <c r="G449" i="2"/>
  <c r="G448" i="2"/>
  <c r="G447" i="2"/>
  <c r="G446" i="2"/>
  <c r="G445" i="2"/>
  <c r="G444" i="2"/>
  <c r="G443" i="2"/>
  <c r="G442" i="2"/>
  <c r="G441" i="2"/>
  <c r="G5" i="2"/>
  <c r="G4" i="2"/>
  <c r="G3" i="2"/>
  <c r="G2" i="2"/>
  <c r="G459" i="2"/>
  <c r="G425" i="2"/>
  <c r="G424" i="2"/>
  <c r="G423" i="2"/>
  <c r="G422" i="2"/>
  <c r="G407" i="2"/>
  <c r="G382" i="2"/>
  <c r="G381" i="2"/>
  <c r="G16" i="2"/>
  <c r="G28" i="2"/>
  <c r="G125" i="2"/>
  <c r="G27" i="2"/>
  <c r="G26" i="2"/>
  <c r="G25" i="2"/>
  <c r="G39" i="2"/>
  <c r="G24" i="2"/>
  <c r="G440" i="2"/>
  <c r="G8" i="2"/>
  <c r="G103" i="2"/>
  <c r="G127" i="2"/>
  <c r="G460" i="2"/>
  <c r="G421" i="2"/>
  <c r="G21" i="2"/>
  <c r="G20" i="2"/>
  <c r="G377" i="2"/>
  <c r="G7" i="2"/>
  <c r="G29" i="2"/>
  <c r="G124" i="2"/>
  <c r="G376" i="2"/>
  <c r="G375" i="2"/>
  <c r="G374" i="2"/>
  <c r="G373" i="2"/>
  <c r="G372" i="2"/>
  <c r="G371" i="2"/>
  <c r="G370" i="2"/>
  <c r="G369" i="2"/>
  <c r="G368" i="2"/>
  <c r="G367" i="2"/>
  <c r="G366" i="2"/>
  <c r="G365" i="2"/>
  <c r="G364" i="2"/>
  <c r="G363" i="2"/>
  <c r="G362" i="2"/>
  <c r="G361" i="2"/>
  <c r="G360" i="2"/>
  <c r="G359" i="2"/>
  <c r="G358" i="2"/>
  <c r="G357" i="2"/>
  <c r="G356" i="2"/>
  <c r="G355" i="2"/>
  <c r="G354" i="2"/>
  <c r="G353" i="2"/>
  <c r="G352" i="2"/>
  <c r="G351" i="2"/>
  <c r="G350" i="2"/>
  <c r="G349" i="2"/>
  <c r="G348" i="2"/>
  <c r="G347" i="2"/>
  <c r="G346" i="2"/>
  <c r="G345" i="2"/>
  <c r="G344" i="2"/>
  <c r="G343" i="2"/>
  <c r="G342" i="2"/>
  <c r="G341" i="2"/>
  <c r="G340" i="2"/>
  <c r="G339" i="2"/>
  <c r="G338" i="2"/>
  <c r="G337" i="2"/>
  <c r="G336" i="2"/>
  <c r="G335" i="2"/>
  <c r="G334" i="2"/>
  <c r="G333" i="2"/>
  <c r="G332" i="2"/>
  <c r="G331" i="2"/>
  <c r="G330" i="2"/>
  <c r="G329" i="2"/>
  <c r="G328" i="2"/>
  <c r="G327" i="2"/>
  <c r="G326" i="2"/>
  <c r="G325" i="2"/>
  <c r="G324" i="2"/>
  <c r="G323" i="2"/>
  <c r="G322" i="2"/>
  <c r="G321" i="2"/>
  <c r="G320" i="2"/>
  <c r="G319" i="2"/>
  <c r="G318" i="2"/>
  <c r="G317" i="2"/>
  <c r="G316" i="2"/>
  <c r="G315" i="2"/>
  <c r="G314" i="2"/>
  <c r="G313" i="2"/>
  <c r="G312" i="2"/>
  <c r="G311" i="2"/>
  <c r="G310" i="2"/>
  <c r="G309" i="2"/>
  <c r="G308" i="2"/>
  <c r="G307" i="2"/>
  <c r="G306" i="2"/>
  <c r="G305" i="2"/>
  <c r="G304" i="2"/>
  <c r="G303" i="2"/>
  <c r="G302" i="2"/>
  <c r="G301" i="2"/>
  <c r="G300" i="2"/>
  <c r="G299" i="2"/>
  <c r="G298" i="2"/>
  <c r="G297" i="2"/>
  <c r="G296" i="2"/>
  <c r="G295" i="2"/>
  <c r="G294" i="2"/>
  <c r="G293" i="2"/>
  <c r="G292" i="2"/>
  <c r="G291" i="2"/>
  <c r="G290" i="2"/>
  <c r="G289" i="2"/>
  <c r="G288" i="2"/>
  <c r="G287" i="2"/>
  <c r="G286" i="2"/>
  <c r="G285" i="2"/>
  <c r="G284" i="2"/>
  <c r="G283" i="2"/>
  <c r="G282" i="2"/>
  <c r="G281" i="2"/>
  <c r="G280" i="2"/>
  <c r="G279" i="2"/>
  <c r="G278" i="2"/>
  <c r="G277" i="2"/>
  <c r="G276" i="2"/>
  <c r="G275" i="2"/>
  <c r="G274" i="2"/>
  <c r="G273" i="2"/>
  <c r="G272" i="2"/>
  <c r="G271" i="2"/>
  <c r="G270" i="2"/>
  <c r="G269" i="2"/>
  <c r="G268" i="2"/>
  <c r="G267" i="2"/>
  <c r="G266" i="2"/>
  <c r="G265" i="2"/>
  <c r="G264" i="2"/>
  <c r="G263" i="2"/>
  <c r="G262" i="2"/>
  <c r="G261" i="2"/>
  <c r="G260" i="2"/>
  <c r="G259" i="2"/>
  <c r="G258" i="2"/>
  <c r="G257" i="2"/>
  <c r="G256" i="2"/>
  <c r="G255" i="2"/>
  <c r="G254" i="2"/>
  <c r="G253" i="2"/>
  <c r="G252" i="2"/>
  <c r="G251" i="2"/>
  <c r="G250" i="2"/>
  <c r="G249" i="2"/>
  <c r="G248" i="2"/>
  <c r="G247" i="2"/>
  <c r="G246" i="2"/>
  <c r="G245" i="2"/>
  <c r="G244" i="2"/>
  <c r="G243" i="2"/>
  <c r="G242" i="2"/>
  <c r="G241" i="2"/>
  <c r="G240" i="2"/>
  <c r="G239" i="2"/>
  <c r="G238" i="2"/>
  <c r="G237" i="2"/>
  <c r="G236" i="2"/>
  <c r="G235" i="2"/>
  <c r="G234" i="2"/>
  <c r="G233" i="2"/>
  <c r="G232" i="2"/>
  <c r="G231" i="2"/>
  <c r="G230" i="2"/>
  <c r="G229" i="2"/>
  <c r="G228" i="2"/>
  <c r="G227" i="2"/>
  <c r="G226" i="2"/>
  <c r="G225" i="2"/>
  <c r="G224" i="2"/>
  <c r="G223" i="2"/>
  <c r="G222" i="2"/>
  <c r="G221" i="2"/>
  <c r="G220" i="2"/>
  <c r="G219" i="2"/>
  <c r="G218" i="2"/>
  <c r="G217" i="2"/>
  <c r="G216" i="2"/>
  <c r="G215" i="2"/>
  <c r="G214" i="2"/>
  <c r="G213" i="2"/>
  <c r="G212" i="2"/>
  <c r="G211" i="2"/>
  <c r="G210" i="2"/>
  <c r="G209" i="2"/>
  <c r="G208" i="2"/>
  <c r="G207" i="2"/>
  <c r="G206" i="2"/>
  <c r="G205" i="2"/>
  <c r="G204" i="2"/>
  <c r="G203" i="2"/>
  <c r="G202" i="2"/>
  <c r="G201" i="2"/>
  <c r="G200" i="2"/>
  <c r="G199" i="2"/>
  <c r="G198" i="2"/>
  <c r="G197" i="2"/>
  <c r="G196" i="2"/>
  <c r="G195" i="2"/>
  <c r="G194" i="2"/>
  <c r="G193" i="2"/>
  <c r="G192" i="2"/>
  <c r="G191" i="2"/>
  <c r="G190" i="2"/>
  <c r="G189" i="2"/>
  <c r="G188" i="2"/>
  <c r="G187" i="2"/>
  <c r="G186" i="2"/>
  <c r="G185" i="2"/>
  <c r="G184" i="2"/>
  <c r="G183" i="2"/>
  <c r="G182" i="2"/>
  <c r="G181" i="2"/>
  <c r="G180" i="2"/>
  <c r="G179" i="2"/>
  <c r="G178" i="2"/>
  <c r="G177" i="2"/>
  <c r="G176" i="2"/>
  <c r="G175" i="2"/>
  <c r="G174" i="2"/>
  <c r="G173" i="2"/>
  <c r="G172" i="2"/>
  <c r="G171" i="2"/>
  <c r="G170" i="2"/>
  <c r="G169" i="2"/>
  <c r="G168" i="2"/>
  <c r="G167" i="2"/>
  <c r="G166" i="2"/>
  <c r="G165" i="2"/>
  <c r="G164" i="2"/>
  <c r="G163" i="2"/>
  <c r="G162" i="2"/>
  <c r="G161" i="2"/>
  <c r="G160" i="2"/>
  <c r="G159" i="2"/>
  <c r="G158" i="2"/>
  <c r="G157" i="2"/>
  <c r="G156" i="2"/>
  <c r="G155" i="2"/>
  <c r="G154" i="2"/>
  <c r="G153" i="2"/>
  <c r="G152" i="2"/>
  <c r="G151" i="2"/>
  <c r="G150" i="2"/>
  <c r="G149" i="2"/>
  <c r="G148" i="2"/>
  <c r="G147" i="2"/>
  <c r="G146" i="2"/>
  <c r="G145" i="2"/>
  <c r="G144" i="2"/>
  <c r="G143" i="2"/>
  <c r="G142" i="2"/>
  <c r="G141" i="2"/>
  <c r="G140" i="2"/>
  <c r="G139" i="2"/>
  <c r="G138" i="2"/>
  <c r="G137" i="2"/>
  <c r="G136" i="2"/>
  <c r="G135" i="2"/>
  <c r="G134" i="2"/>
  <c r="G133" i="2"/>
  <c r="G132" i="2"/>
  <c r="G131" i="2"/>
  <c r="G130" i="2"/>
  <c r="G129" i="2"/>
  <c r="G128" i="2"/>
</calcChain>
</file>

<file path=xl/sharedStrings.xml><?xml version="1.0" encoding="utf-8"?>
<sst xmlns="http://schemas.openxmlformats.org/spreadsheetml/2006/main" count="5367" uniqueCount="683">
  <si>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</si>
  <si>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</si>
  <si>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</si>
  <si>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</si>
  <si>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</si>
  <si>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</si>
  <si>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</si>
  <si>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</si>
  <si>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</si>
  <si>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</si>
  <si>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</si>
  <si>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Deborah Inskipt</t>
  </si>
  <si>
    <t>Karen</t>
  </si>
  <si>
    <t>Torre</t>
  </si>
  <si>
    <t>*****36920</t>
  </si>
  <si>
    <t>Highmark</t>
  </si>
  <si>
    <t>Highmark 2022-2026 PA DE &amp; WV Replace OR</t>
  </si>
  <si>
    <t>Alice</t>
  </si>
  <si>
    <t>Jones</t>
  </si>
  <si>
    <t>*****50140</t>
  </si>
  <si>
    <t>Eric</t>
  </si>
  <si>
    <t>Hunker</t>
  </si>
  <si>
    <t>*****29430</t>
  </si>
  <si>
    <t>Murray Sterner</t>
  </si>
  <si>
    <t>Joseph</t>
  </si>
  <si>
    <t>Cardone</t>
  </si>
  <si>
    <t>*****60440</t>
  </si>
  <si>
    <t>Diana</t>
  </si>
  <si>
    <t>Degarmo</t>
  </si>
  <si>
    <t>*****50150</t>
  </si>
  <si>
    <t>Michelle McCorkle</t>
  </si>
  <si>
    <t>Donald</t>
  </si>
  <si>
    <t>Mcknight</t>
  </si>
  <si>
    <t>*****17550</t>
  </si>
  <si>
    <t>Highmark 2022-2026 PA DE &amp; WV Replace OR (ProRata: 11)</t>
  </si>
  <si>
    <t>Erma</t>
  </si>
  <si>
    <t>Sekelik</t>
  </si>
  <si>
    <t>*****31920</t>
  </si>
  <si>
    <t>Patricia Long</t>
  </si>
  <si>
    <t>Geraldine</t>
  </si>
  <si>
    <t>Craig</t>
  </si>
  <si>
    <t>*****02500</t>
  </si>
  <si>
    <t>Timothy Powers</t>
  </si>
  <si>
    <t>Lisa</t>
  </si>
  <si>
    <t>Gold</t>
  </si>
  <si>
    <t>*****09210</t>
  </si>
  <si>
    <t>Margaret Smith</t>
  </si>
  <si>
    <t>Brian</t>
  </si>
  <si>
    <t>Leroy</t>
  </si>
  <si>
    <t>*****17240</t>
  </si>
  <si>
    <t>Highmark 2023-2026 PA Initial Freedom Blue</t>
  </si>
  <si>
    <t>Suzanne</t>
  </si>
  <si>
    <t>Parsons</t>
  </si>
  <si>
    <t>*****05960</t>
  </si>
  <si>
    <t>Highmark 2025-2026 Comm Blue PA Full OR</t>
  </si>
  <si>
    <t>Ryan Stocker</t>
  </si>
  <si>
    <t>Silfies</t>
  </si>
  <si>
    <t>*****38950</t>
  </si>
  <si>
    <t>Jeffrey</t>
  </si>
  <si>
    <t>Dobbins</t>
  </si>
  <si>
    <t>*****81730</t>
  </si>
  <si>
    <t>Patricia</t>
  </si>
  <si>
    <t>Sabo</t>
  </si>
  <si>
    <t>*****36870</t>
  </si>
  <si>
    <t>Barbara</t>
  </si>
  <si>
    <t>Dzumela</t>
  </si>
  <si>
    <t>*****93430</t>
  </si>
  <si>
    <t>Matthew</t>
  </si>
  <si>
    <t>Federkeil</t>
  </si>
  <si>
    <t>*****30560</t>
  </si>
  <si>
    <t>Keefe</t>
  </si>
  <si>
    <t>*****03170</t>
  </si>
  <si>
    <t>Timothy</t>
  </si>
  <si>
    <t>Vander Duim</t>
  </si>
  <si>
    <t>*****59650</t>
  </si>
  <si>
    <t>Kimberly</t>
  </si>
  <si>
    <t>Basick</t>
  </si>
  <si>
    <t>*****61450</t>
  </si>
  <si>
    <t>Christopher</t>
  </si>
  <si>
    <t>Rochez</t>
  </si>
  <si>
    <t>*****75740</t>
  </si>
  <si>
    <t>Anthony</t>
  </si>
  <si>
    <t>Depaoli</t>
  </si>
  <si>
    <t>*****00400</t>
  </si>
  <si>
    <t>Chad Bender</t>
  </si>
  <si>
    <t>Pamela</t>
  </si>
  <si>
    <t>Robinson</t>
  </si>
  <si>
    <t>*****40290</t>
  </si>
  <si>
    <t>Jean</t>
  </si>
  <si>
    <t>Otoole</t>
  </si>
  <si>
    <t>*****90920</t>
  </si>
  <si>
    <t>Peggy</t>
  </si>
  <si>
    <t>Dempe</t>
  </si>
  <si>
    <t>*****91020</t>
  </si>
  <si>
    <t>Lynn</t>
  </si>
  <si>
    <t>Papso</t>
  </si>
  <si>
    <t>*****91330</t>
  </si>
  <si>
    <t>Donna</t>
  </si>
  <si>
    <t>Paladino</t>
  </si>
  <si>
    <t>*****20790</t>
  </si>
  <si>
    <t>Maureen</t>
  </si>
  <si>
    <t>Rebmann</t>
  </si>
  <si>
    <t>*****59790</t>
  </si>
  <si>
    <t>Margaret</t>
  </si>
  <si>
    <t>Woodford</t>
  </si>
  <si>
    <t>*****60200</t>
  </si>
  <si>
    <t>E</t>
  </si>
  <si>
    <t>*****60290</t>
  </si>
  <si>
    <t>Judith</t>
  </si>
  <si>
    <t>Albert</t>
  </si>
  <si>
    <t>*****72790</t>
  </si>
  <si>
    <t>Scott Aguglia</t>
  </si>
  <si>
    <t>Neal</t>
  </si>
  <si>
    <t>*****73300</t>
  </si>
  <si>
    <t>Daniel</t>
  </si>
  <si>
    <t>Gornick</t>
  </si>
  <si>
    <t>*****90670</t>
  </si>
  <si>
    <t>Michael</t>
  </si>
  <si>
    <t>Hill</t>
  </si>
  <si>
    <t>*****24220</t>
  </si>
  <si>
    <t>Ida</t>
  </si>
  <si>
    <t>Howard</t>
  </si>
  <si>
    <t>*****28100</t>
  </si>
  <si>
    <t>Davenport</t>
  </si>
  <si>
    <t>*****44950</t>
  </si>
  <si>
    <t>Cynthia</t>
  </si>
  <si>
    <t>Pieniadz</t>
  </si>
  <si>
    <t>*****59040</t>
  </si>
  <si>
    <t>John</t>
  </si>
  <si>
    <t>Meanor</t>
  </si>
  <si>
    <t>*****60130</t>
  </si>
  <si>
    <t>Brenda</t>
  </si>
  <si>
    <t>Simmon</t>
  </si>
  <si>
    <t>*****64730</t>
  </si>
  <si>
    <t>M</t>
  </si>
  <si>
    <t>Lastoria</t>
  </si>
  <si>
    <t>*****64820</t>
  </si>
  <si>
    <t>Gary</t>
  </si>
  <si>
    <t>*****68120</t>
  </si>
  <si>
    <t>Smith</t>
  </si>
  <si>
    <t>*****65680</t>
  </si>
  <si>
    <t>Carol Foley</t>
  </si>
  <si>
    <t>Terri</t>
  </si>
  <si>
    <t>Shuminsky</t>
  </si>
  <si>
    <t>*****36080</t>
  </si>
  <si>
    <t>Mitchell</t>
  </si>
  <si>
    <t>Malecky</t>
  </si>
  <si>
    <t>*****84410</t>
  </si>
  <si>
    <t>Johnston</t>
  </si>
  <si>
    <t>*****64220</t>
  </si>
  <si>
    <t>Arlene</t>
  </si>
  <si>
    <t>Freehling</t>
  </si>
  <si>
    <t>*****20970</t>
  </si>
  <si>
    <t>Monday</t>
  </si>
  <si>
    <t>*****02890</t>
  </si>
  <si>
    <t>Dawn</t>
  </si>
  <si>
    <t>Wissinger</t>
  </si>
  <si>
    <t>*****17560</t>
  </si>
  <si>
    <t>Bernadette</t>
  </si>
  <si>
    <t>Graves</t>
  </si>
  <si>
    <t>*****65970</t>
  </si>
  <si>
    <t>Paul</t>
  </si>
  <si>
    <t>Mcvicker</t>
  </si>
  <si>
    <t>*****73590</t>
  </si>
  <si>
    <t>Jenkins</t>
  </si>
  <si>
    <t>*****38800</t>
  </si>
  <si>
    <t>Highmark 2025-2026 PA Replace OR</t>
  </si>
  <si>
    <t>Mario</t>
  </si>
  <si>
    <t>Soto</t>
  </si>
  <si>
    <t>*****76660</t>
  </si>
  <si>
    <t>Aleka</t>
  </si>
  <si>
    <t>Costianis</t>
  </si>
  <si>
    <t>*****72420</t>
  </si>
  <si>
    <t>Tamara</t>
  </si>
  <si>
    <t>Pankuch</t>
  </si>
  <si>
    <t>*****50510</t>
  </si>
  <si>
    <t>Loretta</t>
  </si>
  <si>
    <t>Dulski</t>
  </si>
  <si>
    <t>*****39270</t>
  </si>
  <si>
    <t>Darlene</t>
  </si>
  <si>
    <t>Boehm</t>
  </si>
  <si>
    <t>*****72460</t>
  </si>
  <si>
    <t>Bagnato</t>
  </si>
  <si>
    <t>*****39350</t>
  </si>
  <si>
    <t>Kenneth</t>
  </si>
  <si>
    <t>Barna</t>
  </si>
  <si>
    <t>*****23190</t>
  </si>
  <si>
    <t>Christine</t>
  </si>
  <si>
    <t>Peters</t>
  </si>
  <si>
    <t>*****42290</t>
  </si>
  <si>
    <t>James</t>
  </si>
  <si>
    <t>Miller</t>
  </si>
  <si>
    <t>*****77520</t>
  </si>
  <si>
    <t>Nancy</t>
  </si>
  <si>
    <t>Fry</t>
  </si>
  <si>
    <t>*****41020</t>
  </si>
  <si>
    <t>Mckee</t>
  </si>
  <si>
    <t>*****37590</t>
  </si>
  <si>
    <t>Robert</t>
  </si>
  <si>
    <t>Pollack</t>
  </si>
  <si>
    <t>*****25240</t>
  </si>
  <si>
    <t>Ripple</t>
  </si>
  <si>
    <t>*****78490</t>
  </si>
  <si>
    <t>David</t>
  </si>
  <si>
    <t>Freiss</t>
  </si>
  <si>
    <t>*****83030</t>
  </si>
  <si>
    <t>Ann</t>
  </si>
  <si>
    <t>Germond</t>
  </si>
  <si>
    <t>*****98740</t>
  </si>
  <si>
    <t>Roseanne</t>
  </si>
  <si>
    <t>Szybka</t>
  </si>
  <si>
    <t>*****09830</t>
  </si>
  <si>
    <t>Toni</t>
  </si>
  <si>
    <t>Multunas</t>
  </si>
  <si>
    <t>*****91120</t>
  </si>
  <si>
    <t>Deborah</t>
  </si>
  <si>
    <t>Vadas</t>
  </si>
  <si>
    <t>*****97490</t>
  </si>
  <si>
    <t>Russel</t>
  </si>
  <si>
    <t>Wilson</t>
  </si>
  <si>
    <t>*****22370</t>
  </si>
  <si>
    <t>*****95640</t>
  </si>
  <si>
    <t>Denise</t>
  </si>
  <si>
    <t>*****39160</t>
  </si>
  <si>
    <t>*****87650</t>
  </si>
  <si>
    <t>Steele</t>
  </si>
  <si>
    <t>*****23230</t>
  </si>
  <si>
    <t>Maglicco</t>
  </si>
  <si>
    <t>*****72730</t>
  </si>
  <si>
    <t>Mark</t>
  </si>
  <si>
    <t>Falconer</t>
  </si>
  <si>
    <t>*****70580</t>
  </si>
  <si>
    <t>Dorothy</t>
  </si>
  <si>
    <t>Alfred</t>
  </si>
  <si>
    <t>*****91110</t>
  </si>
  <si>
    <t>Susan</t>
  </si>
  <si>
    <t>Hufnagel</t>
  </si>
  <si>
    <t>*****63190</t>
  </si>
  <si>
    <t>Giovanazzi</t>
  </si>
  <si>
    <t>*****17450</t>
  </si>
  <si>
    <t>Karam</t>
  </si>
  <si>
    <t>*****09980</t>
  </si>
  <si>
    <t>Cushanick</t>
  </si>
  <si>
    <t>*****29780</t>
  </si>
  <si>
    <t>Cheryl</t>
  </si>
  <si>
    <t>Johnson</t>
  </si>
  <si>
    <t>*****52740</t>
  </si>
  <si>
    <t>Scott</t>
  </si>
  <si>
    <t>Mengel</t>
  </si>
  <si>
    <t>*****11270</t>
  </si>
  <si>
    <t>Lori Tunstall</t>
  </si>
  <si>
    <t>Daley</t>
  </si>
  <si>
    <t>Ellen</t>
  </si>
  <si>
    <t>Bolton</t>
  </si>
  <si>
    <t>*****25400</t>
  </si>
  <si>
    <t>Sandra</t>
  </si>
  <si>
    <t>Giles</t>
  </si>
  <si>
    <t>*****68380</t>
  </si>
  <si>
    <t>Kathleen</t>
  </si>
  <si>
    <t>Barbaro</t>
  </si>
  <si>
    <t>*****72370</t>
  </si>
  <si>
    <t>Stephen</t>
  </si>
  <si>
    <t>Gronsky</t>
  </si>
  <si>
    <t>*****67110</t>
  </si>
  <si>
    <t>Frack</t>
  </si>
  <si>
    <t>*****71770</t>
  </si>
  <si>
    <t>Zawacki</t>
  </si>
  <si>
    <t>*****47950</t>
  </si>
  <si>
    <t>Sally</t>
  </si>
  <si>
    <t>Ragus</t>
  </si>
  <si>
    <t>*****30690</t>
  </si>
  <si>
    <t>Shook</t>
  </si>
  <si>
    <t>*****39880</t>
  </si>
  <si>
    <t>Raymond</t>
  </si>
  <si>
    <t>Martin</t>
  </si>
  <si>
    <t>*****09110</t>
  </si>
  <si>
    <t>Edward</t>
  </si>
  <si>
    <t>Lowe</t>
  </si>
  <si>
    <t>*****50190</t>
  </si>
  <si>
    <t>Sheila</t>
  </si>
  <si>
    <t>Horvath</t>
  </si>
  <si>
    <t>*****99140</t>
  </si>
  <si>
    <t>*****10610</t>
  </si>
  <si>
    <t>Achey</t>
  </si>
  <si>
    <t>*****20460</t>
  </si>
  <si>
    <t>Cecilia</t>
  </si>
  <si>
    <t>Makatura</t>
  </si>
  <si>
    <t>*****36180</t>
  </si>
  <si>
    <t>Kathryn</t>
  </si>
  <si>
    <t>Mcmahon</t>
  </si>
  <si>
    <t>Lucyann</t>
  </si>
  <si>
    <t>Greggo</t>
  </si>
  <si>
    <t>*****20900</t>
  </si>
  <si>
    <t>George</t>
  </si>
  <si>
    <t>Titchnell</t>
  </si>
  <si>
    <t>*****18230</t>
  </si>
  <si>
    <t>Little</t>
  </si>
  <si>
    <t>*****39920</t>
  </si>
  <si>
    <t>*****49010</t>
  </si>
  <si>
    <t>William</t>
  </si>
  <si>
    <t>Clarke</t>
  </si>
  <si>
    <t>*****59260</t>
  </si>
  <si>
    <t>Sharon</t>
  </si>
  <si>
    <t>Morgan</t>
  </si>
  <si>
    <t>*****58240</t>
  </si>
  <si>
    <t>Rosemary</t>
  </si>
  <si>
    <t>Marks</t>
  </si>
  <si>
    <t>*****72070</t>
  </si>
  <si>
    <t>Gregor</t>
  </si>
  <si>
    <t>*****88550</t>
  </si>
  <si>
    <t>Barbra</t>
  </si>
  <si>
    <t>Zagurasky</t>
  </si>
  <si>
    <t>*****73030</t>
  </si>
  <si>
    <t>Barron</t>
  </si>
  <si>
    <t>*****30160</t>
  </si>
  <si>
    <t>Reeder</t>
  </si>
  <si>
    <t>*****04530</t>
  </si>
  <si>
    <t>Rosa</t>
  </si>
  <si>
    <t>*****01760</t>
  </si>
  <si>
    <t>Rosanne</t>
  </si>
  <si>
    <t>Leszcynski</t>
  </si>
  <si>
    <t>Josephine</t>
  </si>
  <si>
    <t>Stempkowski</t>
  </si>
  <si>
    <t>*****83370</t>
  </si>
  <si>
    <t>Alison Luse</t>
  </si>
  <si>
    <t>Shirley</t>
  </si>
  <si>
    <t>Defibaugh</t>
  </si>
  <si>
    <t>*****22800</t>
  </si>
  <si>
    <t>*****75180</t>
  </si>
  <si>
    <t>Carter</t>
  </si>
  <si>
    <t>*****88610</t>
  </si>
  <si>
    <t>Alan</t>
  </si>
  <si>
    <t>Shaffer</t>
  </si>
  <si>
    <t>*****76470</t>
  </si>
  <si>
    <t>Yochum</t>
  </si>
  <si>
    <t>*****10720</t>
  </si>
  <si>
    <t>King</t>
  </si>
  <si>
    <t>*****05650</t>
  </si>
  <si>
    <t>Lennon</t>
  </si>
  <si>
    <t>*****67310</t>
  </si>
  <si>
    <t>Mary</t>
  </si>
  <si>
    <t>Ayres</t>
  </si>
  <si>
    <t>*****40980</t>
  </si>
  <si>
    <t>Anne Kozacheck</t>
  </si>
  <si>
    <t>Kevin</t>
  </si>
  <si>
    <t>Ecenrode</t>
  </si>
  <si>
    <t>*****69010</t>
  </si>
  <si>
    <t>Snyder</t>
  </si>
  <si>
    <t>*****68650</t>
  </si>
  <si>
    <t>*****93470</t>
  </si>
  <si>
    <t>Elaine</t>
  </si>
  <si>
    <t>Hillgartner</t>
  </si>
  <si>
    <t>*****43480</t>
  </si>
  <si>
    <t>Martorana</t>
  </si>
  <si>
    <t>*****15000</t>
  </si>
  <si>
    <t>Pachasa</t>
  </si>
  <si>
    <t>*****58840</t>
  </si>
  <si>
    <t>Janice</t>
  </si>
  <si>
    <t>*****04830</t>
  </si>
  <si>
    <t>Moses</t>
  </si>
  <si>
    <t>*****05780</t>
  </si>
  <si>
    <t>Jeff</t>
  </si>
  <si>
    <t>Dean</t>
  </si>
  <si>
    <t>*****24780</t>
  </si>
  <si>
    <t>Mcginnis</t>
  </si>
  <si>
    <t>*****95450</t>
  </si>
  <si>
    <t>Wasko</t>
  </si>
  <si>
    <t>*****88580</t>
  </si>
  <si>
    <t>*****37740</t>
  </si>
  <si>
    <t>Joann</t>
  </si>
  <si>
    <t>Homer</t>
  </si>
  <si>
    <t>*****61770</t>
  </si>
  <si>
    <t>Allemang</t>
  </si>
  <si>
    <t>*****45380</t>
  </si>
  <si>
    <t>Carlene</t>
  </si>
  <si>
    <t>Mcdermott</t>
  </si>
  <si>
    <t>*****98760</t>
  </si>
  <si>
    <t>Tina</t>
  </si>
  <si>
    <t>Moon</t>
  </si>
  <si>
    <t>*****12630</t>
  </si>
  <si>
    <t>Floyd</t>
  </si>
  <si>
    <t>*****91670</t>
  </si>
  <si>
    <t>Mark Roccia</t>
  </si>
  <si>
    <t>Heckman</t>
  </si>
  <si>
    <t>*****90250</t>
  </si>
  <si>
    <t>*****74370</t>
  </si>
  <si>
    <t>Mary Ann</t>
  </si>
  <si>
    <t>Knott</t>
  </si>
  <si>
    <t>*****91100</t>
  </si>
  <si>
    <t>*****81240</t>
  </si>
  <si>
    <t>Candice</t>
  </si>
  <si>
    <t>Sainato</t>
  </si>
  <si>
    <t>*****20230</t>
  </si>
  <si>
    <t>Roberto</t>
  </si>
  <si>
    <t>Luna</t>
  </si>
  <si>
    <t>*****91310</t>
  </si>
  <si>
    <t>Malone</t>
  </si>
  <si>
    <t>*****87970</t>
  </si>
  <si>
    <t>Nachreiner</t>
  </si>
  <si>
    <t>*****98180</t>
  </si>
  <si>
    <t>Linda</t>
  </si>
  <si>
    <t>Handwerk</t>
  </si>
  <si>
    <t>*****29770</t>
  </si>
  <si>
    <t>Marian</t>
  </si>
  <si>
    <t>Lang</t>
  </si>
  <si>
    <t>*****21930</t>
  </si>
  <si>
    <t>Pang</t>
  </si>
  <si>
    <t>*****22460</t>
  </si>
  <si>
    <t>Arthur</t>
  </si>
  <si>
    <t>Stamets</t>
  </si>
  <si>
    <t>*****03470</t>
  </si>
  <si>
    <t>Contenta</t>
  </si>
  <si>
    <t>*****87150</t>
  </si>
  <si>
    <t>Maryann</t>
  </si>
  <si>
    <t>Kern</t>
  </si>
  <si>
    <t>*****00270</t>
  </si>
  <si>
    <t>Ferretti</t>
  </si>
  <si>
    <t>*****22060</t>
  </si>
  <si>
    <t>Patrick</t>
  </si>
  <si>
    <t>*****38540</t>
  </si>
  <si>
    <t>Laura</t>
  </si>
  <si>
    <t>*****73330</t>
  </si>
  <si>
    <t>Kasprzak</t>
  </si>
  <si>
    <t>*****60600</t>
  </si>
  <si>
    <t>Randy</t>
  </si>
  <si>
    <t>*****83890</t>
  </si>
  <si>
    <t>Terrell</t>
  </si>
  <si>
    <t>Higashi</t>
  </si>
  <si>
    <t>*****71150</t>
  </si>
  <si>
    <t>Elesia</t>
  </si>
  <si>
    <t>Kindberg</t>
  </si>
  <si>
    <t>*****61720</t>
  </si>
  <si>
    <t>Lori</t>
  </si>
  <si>
    <t>Higgins</t>
  </si>
  <si>
    <t>*****61860</t>
  </si>
  <si>
    <t>Harry</t>
  </si>
  <si>
    <t>Ziem</t>
  </si>
  <si>
    <t>*****70330</t>
  </si>
  <si>
    <t>Hecht</t>
  </si>
  <si>
    <t>*****19380</t>
  </si>
  <si>
    <t>*****60990</t>
  </si>
  <si>
    <t>Thomas</t>
  </si>
  <si>
    <t>Shinn</t>
  </si>
  <si>
    <t>*****58330</t>
  </si>
  <si>
    <t>Hiam</t>
  </si>
  <si>
    <t>Aranki</t>
  </si>
  <si>
    <t>*****10950</t>
  </si>
  <si>
    <t>Bowers</t>
  </si>
  <si>
    <t>*****46350</t>
  </si>
  <si>
    <t>*****46940</t>
  </si>
  <si>
    <t>Rebecca</t>
  </si>
  <si>
    <t>Hock</t>
  </si>
  <si>
    <t>*****06390</t>
  </si>
  <si>
    <t>*****25560</t>
  </si>
  <si>
    <t>Fred</t>
  </si>
  <si>
    <t>Rasbach</t>
  </si>
  <si>
    <t>*****49320</t>
  </si>
  <si>
    <t>Kim</t>
  </si>
  <si>
    <t>Besset</t>
  </si>
  <si>
    <t>*****71290</t>
  </si>
  <si>
    <t>Sue</t>
  </si>
  <si>
    <t>Gallo</t>
  </si>
  <si>
    <t>*****98190</t>
  </si>
  <si>
    <t>Elizabeth</t>
  </si>
  <si>
    <t>Eckhart</t>
  </si>
  <si>
    <t>*****25230</t>
  </si>
  <si>
    <t>Marcia</t>
  </si>
  <si>
    <t>*****81980</t>
  </si>
  <si>
    <t>Burg</t>
  </si>
  <si>
    <t>*****36720</t>
  </si>
  <si>
    <t>Elisa</t>
  </si>
  <si>
    <t>Martinez</t>
  </si>
  <si>
    <t>*****59900</t>
  </si>
  <si>
    <t>Mildred</t>
  </si>
  <si>
    <t>Rivera Silva</t>
  </si>
  <si>
    <t>Rugg</t>
  </si>
  <si>
    <t>*****62570</t>
  </si>
  <si>
    <t>Phillips</t>
  </si>
  <si>
    <t>*****10250</t>
  </si>
  <si>
    <t>Carl</t>
  </si>
  <si>
    <t>*****13270</t>
  </si>
  <si>
    <t>*****07050</t>
  </si>
  <si>
    <t>Jorge</t>
  </si>
  <si>
    <t>Duarte</t>
  </si>
  <si>
    <t>*****96650</t>
  </si>
  <si>
    <t>Wisser</t>
  </si>
  <si>
    <t>*****02440</t>
  </si>
  <si>
    <t>Jane</t>
  </si>
  <si>
    <t>Price</t>
  </si>
  <si>
    <t>*****36140</t>
  </si>
  <si>
    <t>*****24560</t>
  </si>
  <si>
    <t>Maryelizabeth</t>
  </si>
  <si>
    <t>*****45350</t>
  </si>
  <si>
    <t>*****68620</t>
  </si>
  <si>
    <t>Glenn</t>
  </si>
  <si>
    <t>*****86210</t>
  </si>
  <si>
    <t>Barry</t>
  </si>
  <si>
    <t>Zielinski</t>
  </si>
  <si>
    <t>*****37270</t>
  </si>
  <si>
    <t>Duke</t>
  </si>
  <si>
    <t>*****23990</t>
  </si>
  <si>
    <t>Merli</t>
  </si>
  <si>
    <t>Estrellado</t>
  </si>
  <si>
    <t>*****03970</t>
  </si>
  <si>
    <t>Kaminski</t>
  </si>
  <si>
    <t>*****24550</t>
  </si>
  <si>
    <t>Erwin</t>
  </si>
  <si>
    <t>*****73940</t>
  </si>
  <si>
    <t>Ruth</t>
  </si>
  <si>
    <t>Grove</t>
  </si>
  <si>
    <t>*****80850</t>
  </si>
  <si>
    <t>Koerbel</t>
  </si>
  <si>
    <t>*****20670</t>
  </si>
  <si>
    <t>Charles</t>
  </si>
  <si>
    <t>Fritzley</t>
  </si>
  <si>
    <t>*****33520</t>
  </si>
  <si>
    <t>Alexander</t>
  </si>
  <si>
    <t>Twombly</t>
  </si>
  <si>
    <t>*****36640</t>
  </si>
  <si>
    <t>Steinmetz</t>
  </si>
  <si>
    <t>*****64290</t>
  </si>
  <si>
    <t>Lynnette</t>
  </si>
  <si>
    <t>*****64450</t>
  </si>
  <si>
    <t>Theresa</t>
  </si>
  <si>
    <t>*****91790</t>
  </si>
  <si>
    <t>Angeline</t>
  </si>
  <si>
    <t>*****33630</t>
  </si>
  <si>
    <t>Marina O'Brien</t>
  </si>
  <si>
    <t>Amy</t>
  </si>
  <si>
    <t>Cosentino</t>
  </si>
  <si>
    <t>*****47880</t>
  </si>
  <si>
    <t>Highmark 2025-2026 PA Replace OR (ProRata: 1)</t>
  </si>
  <si>
    <t>Gianino</t>
  </si>
  <si>
    <t>*****74230</t>
  </si>
  <si>
    <t>Highmark 2025-2026 PA Replace OR (ProRata: 10)</t>
  </si>
  <si>
    <t>Young</t>
  </si>
  <si>
    <t>*****26280</t>
  </si>
  <si>
    <t>Carol</t>
  </si>
  <si>
    <t>Tegyi</t>
  </si>
  <si>
    <t>*****90430</t>
  </si>
  <si>
    <t>Heade</t>
  </si>
  <si>
    <t>*****26260</t>
  </si>
  <si>
    <t>Cindy</t>
  </si>
  <si>
    <t>Booher</t>
  </si>
  <si>
    <t>*****63770</t>
  </si>
  <si>
    <t>Edwards</t>
  </si>
  <si>
    <t>*****45230</t>
  </si>
  <si>
    <t>Traci Barton</t>
  </si>
  <si>
    <t>Sams</t>
  </si>
  <si>
    <t>*****02010</t>
  </si>
  <si>
    <t>Katherine</t>
  </si>
  <si>
    <t>Prady</t>
  </si>
  <si>
    <t>*****02120</t>
  </si>
  <si>
    <t>Pagan</t>
  </si>
  <si>
    <t>*****97090</t>
  </si>
  <si>
    <t>Highmark 2025-2026 PA Replace OR (ProRata: 11)</t>
  </si>
  <si>
    <t>Margie</t>
  </si>
  <si>
    <t>Rome</t>
  </si>
  <si>
    <t>*****85050</t>
  </si>
  <si>
    <t>Seidel</t>
  </si>
  <si>
    <t>*****58940</t>
  </si>
  <si>
    <t>Weaver</t>
  </si>
  <si>
    <t>*****69790</t>
  </si>
  <si>
    <t>Leslie</t>
  </si>
  <si>
    <t>Bridgeman</t>
  </si>
  <si>
    <t>*****89850</t>
  </si>
  <si>
    <t>Laurie</t>
  </si>
  <si>
    <t>Rosso</t>
  </si>
  <si>
    <t>*****19120</t>
  </si>
  <si>
    <t>Mike</t>
  </si>
  <si>
    <t>Mashraky</t>
  </si>
  <si>
    <t>*****95730</t>
  </si>
  <si>
    <t>Bonnie</t>
  </si>
  <si>
    <t>Hile</t>
  </si>
  <si>
    <t>*****10630</t>
  </si>
  <si>
    <t>Larry</t>
  </si>
  <si>
    <t>Stephens</t>
  </si>
  <si>
    <t>*****21860</t>
  </si>
  <si>
    <t>Otis</t>
  </si>
  <si>
    <t>*****95710</t>
  </si>
  <si>
    <t>Dennis</t>
  </si>
  <si>
    <t>Mcconnell</t>
  </si>
  <si>
    <t>*****72210</t>
  </si>
  <si>
    <t>*****84210</t>
  </si>
  <si>
    <t>Richard</t>
  </si>
  <si>
    <t>Ryan</t>
  </si>
  <si>
    <t>*****93110</t>
  </si>
  <si>
    <t>Paula</t>
  </si>
  <si>
    <t>Cline</t>
  </si>
  <si>
    <t>*****75390</t>
  </si>
  <si>
    <t>Carben</t>
  </si>
  <si>
    <t>*****90880</t>
  </si>
  <si>
    <t>Cramer</t>
  </si>
  <si>
    <t>*****58370</t>
  </si>
  <si>
    <t>*****46600</t>
  </si>
  <si>
    <t>Perry</t>
  </si>
  <si>
    <t>*****17890</t>
  </si>
  <si>
    <t>Laslavic</t>
  </si>
  <si>
    <t>*****66800</t>
  </si>
  <si>
    <t>Angela</t>
  </si>
  <si>
    <t>Mazzocca</t>
  </si>
  <si>
    <t>*****68750</t>
  </si>
  <si>
    <t>Maria</t>
  </si>
  <si>
    <t>Martinez-Rivera</t>
  </si>
  <si>
    <t>*****80970</t>
  </si>
  <si>
    <t>West</t>
  </si>
  <si>
    <t>*****85220</t>
  </si>
  <si>
    <t>Jack</t>
  </si>
  <si>
    <t>*****85630</t>
  </si>
  <si>
    <t>Rose</t>
  </si>
  <si>
    <t>Henn</t>
  </si>
  <si>
    <t>*****90570</t>
  </si>
  <si>
    <t>Alton</t>
  </si>
  <si>
    <t>*****90680</t>
  </si>
  <si>
    <t>Senderling</t>
  </si>
  <si>
    <t>*****93850</t>
  </si>
  <si>
    <t>Lind</t>
  </si>
  <si>
    <t>*****98730</t>
  </si>
  <si>
    <t>Piotrowski</t>
  </si>
  <si>
    <t>*****09490</t>
  </si>
  <si>
    <t>Drake</t>
  </si>
  <si>
    <t>*****10320</t>
  </si>
  <si>
    <t>Deborah Powers</t>
  </si>
  <si>
    <t>Justice</t>
  </si>
  <si>
    <t>Petho</t>
  </si>
  <si>
    <t>*****00970</t>
  </si>
  <si>
    <t>Marcey</t>
  </si>
  <si>
    <t>*****66820</t>
  </si>
  <si>
    <t>Joyce</t>
  </si>
  <si>
    <t>Lesser</t>
  </si>
  <si>
    <t>*****76700</t>
  </si>
  <si>
    <t>Freshwater</t>
  </si>
  <si>
    <t>*****93100</t>
  </si>
  <si>
    <t>Highmark 2025-2026 PA Replace OR (ProRata: 2)</t>
  </si>
  <si>
    <t>Parinella</t>
  </si>
  <si>
    <t>*****85280</t>
  </si>
  <si>
    <t>Highmark 2025-2026 PA Replace OR (ProRata: 9)</t>
  </si>
  <si>
    <t>*****72780</t>
  </si>
  <si>
    <t>Cobern</t>
  </si>
  <si>
    <t>*****98490</t>
  </si>
  <si>
    <t>Highmark 2025-26 PA Initial Street</t>
  </si>
  <si>
    <t>Highmark 2025-26 PA Replace Street / TrueUp</t>
  </si>
  <si>
    <t>Highmark 2025-26 PA Replace Street / TrueUp (ProRata: 10)</t>
  </si>
  <si>
    <t>Highmark 2025-26 PA Replace Street / TrueUp (ProRata: 11)</t>
  </si>
  <si>
    <t>Highmark 2025-26 PA Replace Street / TrueUp (ProRata: -12)</t>
  </si>
  <si>
    <t>Lynda</t>
  </si>
  <si>
    <t>Duncan</t>
  </si>
  <si>
    <t>*****11970</t>
  </si>
  <si>
    <t>Highmark 2025-26 PDP Replace Street</t>
  </si>
  <si>
    <t>Adams</t>
  </si>
  <si>
    <t>*****18930</t>
  </si>
  <si>
    <t>Spector</t>
  </si>
  <si>
    <t>*****27900</t>
  </si>
  <si>
    <t>Jason Hoffmann</t>
  </si>
  <si>
    <t>Bruce</t>
  </si>
  <si>
    <t>Davis</t>
  </si>
  <si>
    <t>*****07960</t>
  </si>
  <si>
    <t>Highmark 2025-26 WNY WV DE Renewal Street</t>
  </si>
  <si>
    <t>Sklar</t>
  </si>
  <si>
    <t>*****81340</t>
  </si>
  <si>
    <t>Highmark 2026 DE Renewal OR</t>
  </si>
  <si>
    <t>Klaus Herchenroder</t>
  </si>
  <si>
    <t>Anistine</t>
  </si>
  <si>
    <t>Mossberg</t>
  </si>
  <si>
    <t>*****11950</t>
  </si>
  <si>
    <t>Highmark 2026 DE Renewal OR (ProRata: 11)</t>
  </si>
  <si>
    <t>Highmark MAPD Ovr</t>
  </si>
  <si>
    <t>Highmark MAPD 2025..</t>
  </si>
  <si>
    <t>Highmark 2025 PDP</t>
  </si>
  <si>
    <t>Highmark MAPD 2025*</t>
  </si>
  <si>
    <t>Highmark MAPD 2025.</t>
  </si>
  <si>
    <t>[%/$=353][prorate=12/12]</t>
  </si>
  <si>
    <t>[%/$=353][prorate=10/12]</t>
  </si>
  <si>
    <t>[%/$=353][prorate=11/12]</t>
  </si>
  <si>
    <t>[%/$=313][prorate=12/12]</t>
  </si>
  <si>
    <t>[%/$=705]</t>
  </si>
  <si>
    <t>Main Line Benefits</t>
  </si>
  <si>
    <t>9254978N</t>
  </si>
  <si>
    <t>19278370old</t>
  </si>
  <si>
    <t>18598357old</t>
  </si>
  <si>
    <t>17528908N</t>
  </si>
  <si>
    <t>18710070N</t>
  </si>
  <si>
    <t>8971826N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</si>
</sst>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4" fontId="0" fillId="0" borderId="0" xfId="0" applyNumberFormat="1"/>
    <xf numFmtId="8" fontId="0" fillId="0" borderId="0" xfId="0" applyNumberFormat="1"/>
    <xf numFmtId="0" fontId="0" fillId="2" borderId="0" xfId="0" applyFill="1"/>
    <xf numFmtId="14" fontId="0" fillId="2" borderId="0" xfId="0" applyNumberFormat="1" applyFill="1"/>
    <xf numFmtId="8" fontId="0" fillId="2" borderId="0" xfId="0" applyNumberFormat="1" applyFill="1"/>
    <xf numFmtId="0" fontId="0" fillId="0" borderId="0" xfId="0" applyFill="1"/>
    <xf numFmtId="14" fontId="0" fillId="0" borderId="0" xfId="0" applyNumberFormat="1" applyFill="1"/>
    <xf numFmtId="8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59A41E-92E2-436A-B4F9-77D1FF825AD6}">
  <dimension ref="A1:K460"/>
  <sheetViews>
    <sheetView workbookViewId="0">
      <selection activeCell="K1" sqref="K1:K1048576"/>
    </sheetView>
  </sheetViews>
  <sheetFormatPr defaultColWidth="13.28515625" defaultRowHeight="15" x14ac:dyDescent="0.25"/>
  <cols>
    <col min="1" max="1" width="18.7109375" bestFit="1" customWidth="1"/>
    <col min="2" max="2" width="15.42578125" bestFit="1" customWidth="1"/>
    <col min="3" max="3" width="10.7109375" bestFit="1" customWidth="1"/>
    <col min="4" max="4" width="13.85546875" bestFit="1" customWidth="1"/>
    <col min="5" max="5" width="15.28515625" bestFit="1" customWidth="1"/>
    <col min="6" max="6" width="11" bestFit="1" customWidth="1"/>
    <col min="7" max="7" width="11.85546875" bestFit="1" customWidth="1"/>
    <col min="8" max="8" width="14.7109375" bestFit="1" customWidth="1"/>
    <col min="9" max="9" width="12.7109375" bestFit="1" customWidth="1"/>
    <col min="10" max="10" width="54.85546875" bestFit="1" customWidth="1"/>
    <col min="11" max="11" width="15.710937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C2">
        <v>17528908</v>
      </c>
      <c r="D2" t="s">
        <v>12</v>
      </c>
      <c r="E2" t="s">
        <v>13</v>
      </c>
      <c r="F2" t="s">
        <v>14</v>
      </c>
      <c r="G2" s="1">
        <v>46023</v>
      </c>
      <c r="H2" s="1">
        <v>46066</v>
      </c>
      <c r="I2" t="s">
        <v>15</v>
      </c>
      <c r="J2" t="s">
        <v>16</v>
      </c>
      <c r="K2" s="2">
        <v>93.75</v>
      </c>
    </row>
    <row r="3" spans="1:11" x14ac:dyDescent="0.25">
      <c r="A3" t="s">
        <v>11</v>
      </c>
      <c r="B3">
        <v>17528908</v>
      </c>
      <c r="C3">
        <v>17528908</v>
      </c>
      <c r="D3" t="s">
        <v>17</v>
      </c>
      <c r="E3" t="s">
        <v>18</v>
      </c>
      <c r="F3" t="s">
        <v>19</v>
      </c>
      <c r="G3" s="1">
        <v>45108</v>
      </c>
      <c r="H3" s="1">
        <v>46066</v>
      </c>
      <c r="I3" t="s">
        <v>15</v>
      </c>
      <c r="J3" t="s">
        <v>16</v>
      </c>
      <c r="K3" s="2">
        <v>62.5</v>
      </c>
    </row>
    <row r="4" spans="1:11" x14ac:dyDescent="0.25">
      <c r="A4" t="s">
        <v>11</v>
      </c>
      <c r="B4">
        <v>17528908</v>
      </c>
      <c r="C4">
        <v>17528908</v>
      </c>
      <c r="D4" t="s">
        <v>20</v>
      </c>
      <c r="E4" t="s">
        <v>21</v>
      </c>
      <c r="F4" t="s">
        <v>22</v>
      </c>
      <c r="G4" s="1">
        <v>45658</v>
      </c>
      <c r="H4" s="1">
        <v>46066</v>
      </c>
      <c r="I4" t="s">
        <v>15</v>
      </c>
      <c r="J4" t="s">
        <v>16</v>
      </c>
      <c r="K4" s="2">
        <v>62.5</v>
      </c>
    </row>
    <row r="5" spans="1:11" x14ac:dyDescent="0.25">
      <c r="A5" t="s">
        <v>23</v>
      </c>
      <c r="C5">
        <v>16212649</v>
      </c>
      <c r="D5" t="s">
        <v>24</v>
      </c>
      <c r="E5" t="s">
        <v>25</v>
      </c>
      <c r="F5" t="s">
        <v>26</v>
      </c>
      <c r="G5" s="1">
        <v>45505</v>
      </c>
      <c r="H5" s="1">
        <v>46066</v>
      </c>
      <c r="I5" t="s">
        <v>15</v>
      </c>
      <c r="J5" t="s">
        <v>16</v>
      </c>
      <c r="K5" s="2">
        <v>62.5</v>
      </c>
    </row>
    <row r="6" spans="1:11" x14ac:dyDescent="0.25">
      <c r="A6" t="s">
        <v>11</v>
      </c>
      <c r="B6">
        <v>17528908</v>
      </c>
      <c r="C6">
        <v>17528908</v>
      </c>
      <c r="D6" t="s">
        <v>27</v>
      </c>
      <c r="E6" t="s">
        <v>28</v>
      </c>
      <c r="F6" t="s">
        <v>29</v>
      </c>
      <c r="G6" s="1">
        <v>45292</v>
      </c>
      <c r="H6" s="1">
        <v>46066</v>
      </c>
      <c r="I6" t="s">
        <v>15</v>
      </c>
      <c r="J6" t="s">
        <v>16</v>
      </c>
      <c r="K6" s="2">
        <v>62.5</v>
      </c>
    </row>
    <row r="7" spans="1:11" x14ac:dyDescent="0.25">
      <c r="A7" t="s">
        <v>30</v>
      </c>
      <c r="C7">
        <v>18710070</v>
      </c>
      <c r="D7" t="s">
        <v>31</v>
      </c>
      <c r="E7" t="s">
        <v>32</v>
      </c>
      <c r="F7" t="s">
        <v>33</v>
      </c>
      <c r="G7" s="1">
        <v>46054</v>
      </c>
      <c r="H7" s="1">
        <v>46066</v>
      </c>
      <c r="I7" t="s">
        <v>15</v>
      </c>
      <c r="J7" t="s">
        <v>34</v>
      </c>
      <c r="K7" s="2">
        <v>85.93</v>
      </c>
    </row>
    <row r="8" spans="1:11" x14ac:dyDescent="0.25">
      <c r="A8" t="s">
        <v>11</v>
      </c>
      <c r="B8">
        <v>17528908</v>
      </c>
      <c r="C8">
        <v>17528908</v>
      </c>
      <c r="D8" t="s">
        <v>35</v>
      </c>
      <c r="E8" t="s">
        <v>36</v>
      </c>
      <c r="F8" t="s">
        <v>37</v>
      </c>
      <c r="G8" s="1">
        <v>41275</v>
      </c>
      <c r="H8" s="1">
        <v>46066</v>
      </c>
      <c r="I8" t="s">
        <v>15</v>
      </c>
      <c r="J8" t="s">
        <v>34</v>
      </c>
      <c r="K8" s="2">
        <v>57.29</v>
      </c>
    </row>
    <row r="9" spans="1:11" x14ac:dyDescent="0.25">
      <c r="A9" t="s">
        <v>38</v>
      </c>
      <c r="C9">
        <v>18794740</v>
      </c>
      <c r="D9" t="s">
        <v>39</v>
      </c>
      <c r="E9" t="s">
        <v>40</v>
      </c>
      <c r="F9" t="s">
        <v>41</v>
      </c>
      <c r="G9" s="1">
        <v>46054</v>
      </c>
      <c r="H9" s="1">
        <v>46066</v>
      </c>
      <c r="I9" t="s">
        <v>15</v>
      </c>
      <c r="J9" t="s">
        <v>34</v>
      </c>
      <c r="K9" s="2">
        <v>85.93</v>
      </c>
    </row>
    <row r="10" spans="1:11" x14ac:dyDescent="0.25">
      <c r="A10" t="s">
        <v>42</v>
      </c>
      <c r="C10">
        <v>17886092</v>
      </c>
      <c r="D10" t="s">
        <v>43</v>
      </c>
      <c r="E10" t="s">
        <v>44</v>
      </c>
      <c r="F10" t="s">
        <v>45</v>
      </c>
      <c r="G10" s="1">
        <v>46054</v>
      </c>
      <c r="H10" s="1">
        <v>46066</v>
      </c>
      <c r="I10" t="s">
        <v>15</v>
      </c>
      <c r="J10" t="s">
        <v>34</v>
      </c>
      <c r="K10" s="2">
        <v>57.29</v>
      </c>
    </row>
    <row r="11" spans="1:11" x14ac:dyDescent="0.25">
      <c r="A11" t="s">
        <v>46</v>
      </c>
      <c r="C11">
        <v>20253958</v>
      </c>
      <c r="D11" t="s">
        <v>47</v>
      </c>
      <c r="E11" t="s">
        <v>48</v>
      </c>
      <c r="F11" t="s">
        <v>49</v>
      </c>
      <c r="G11" s="1">
        <v>46054</v>
      </c>
      <c r="H11" s="1">
        <v>46066</v>
      </c>
      <c r="I11" t="s">
        <v>15</v>
      </c>
      <c r="J11" t="s">
        <v>50</v>
      </c>
      <c r="K11" s="2">
        <v>100</v>
      </c>
    </row>
    <row r="12" spans="1:11" x14ac:dyDescent="0.25">
      <c r="A12" t="s">
        <v>42</v>
      </c>
      <c r="C12">
        <v>17886092</v>
      </c>
      <c r="D12" t="s">
        <v>51</v>
      </c>
      <c r="E12" t="s">
        <v>52</v>
      </c>
      <c r="F12" t="s">
        <v>53</v>
      </c>
      <c r="G12" s="1">
        <v>46054</v>
      </c>
      <c r="H12" s="1">
        <v>46066</v>
      </c>
      <c r="I12" t="s">
        <v>15</v>
      </c>
      <c r="J12" t="s">
        <v>54</v>
      </c>
      <c r="K12" s="2">
        <v>110</v>
      </c>
    </row>
    <row r="13" spans="1:11" x14ac:dyDescent="0.25">
      <c r="A13" t="s">
        <v>55</v>
      </c>
      <c r="C13">
        <v>15950276</v>
      </c>
      <c r="D13" t="s">
        <v>31</v>
      </c>
      <c r="E13" t="s">
        <v>56</v>
      </c>
      <c r="F13" t="s">
        <v>57</v>
      </c>
      <c r="G13" s="1">
        <v>46023</v>
      </c>
      <c r="H13" s="1">
        <v>46066</v>
      </c>
      <c r="I13" t="s">
        <v>15</v>
      </c>
      <c r="J13" t="s">
        <v>54</v>
      </c>
      <c r="K13" s="2">
        <v>165</v>
      </c>
    </row>
    <row r="14" spans="1:11" x14ac:dyDescent="0.25">
      <c r="A14" t="s">
        <v>11</v>
      </c>
      <c r="C14">
        <v>17528908</v>
      </c>
      <c r="D14" t="s">
        <v>58</v>
      </c>
      <c r="E14" t="s">
        <v>59</v>
      </c>
      <c r="F14" t="s">
        <v>60</v>
      </c>
      <c r="G14" s="1">
        <v>46054</v>
      </c>
      <c r="H14" s="1">
        <v>46066</v>
      </c>
      <c r="I14" t="s">
        <v>15</v>
      </c>
      <c r="J14" t="s">
        <v>54</v>
      </c>
      <c r="K14" s="2">
        <v>165</v>
      </c>
    </row>
    <row r="15" spans="1:11" x14ac:dyDescent="0.25">
      <c r="A15" t="s">
        <v>30</v>
      </c>
      <c r="C15">
        <v>18710070</v>
      </c>
      <c r="D15" t="s">
        <v>61</v>
      </c>
      <c r="E15" t="s">
        <v>62</v>
      </c>
      <c r="F15" t="s">
        <v>63</v>
      </c>
      <c r="G15" s="1">
        <v>46023</v>
      </c>
      <c r="H15" s="1">
        <v>46066</v>
      </c>
      <c r="I15" t="s">
        <v>15</v>
      </c>
      <c r="J15" t="s">
        <v>54</v>
      </c>
      <c r="K15" s="2">
        <v>165</v>
      </c>
    </row>
    <row r="16" spans="1:11" x14ac:dyDescent="0.25">
      <c r="A16" t="s">
        <v>30</v>
      </c>
      <c r="C16">
        <v>18710070</v>
      </c>
      <c r="D16" t="s">
        <v>64</v>
      </c>
      <c r="E16" t="s">
        <v>65</v>
      </c>
      <c r="F16" t="s">
        <v>66</v>
      </c>
      <c r="G16" s="1">
        <v>46023</v>
      </c>
      <c r="H16" s="1">
        <v>46066</v>
      </c>
      <c r="I16" t="s">
        <v>15</v>
      </c>
      <c r="J16" t="s">
        <v>54</v>
      </c>
      <c r="K16" s="2">
        <v>165</v>
      </c>
    </row>
    <row r="17" spans="1:11" x14ac:dyDescent="0.25">
      <c r="A17" t="s">
        <v>42</v>
      </c>
      <c r="C17">
        <v>17886092</v>
      </c>
      <c r="D17" t="s">
        <v>67</v>
      </c>
      <c r="E17" t="s">
        <v>68</v>
      </c>
      <c r="F17" t="s">
        <v>69</v>
      </c>
      <c r="G17" s="1">
        <v>46054</v>
      </c>
      <c r="H17" s="1">
        <v>46066</v>
      </c>
      <c r="I17" t="s">
        <v>15</v>
      </c>
      <c r="J17" t="s">
        <v>54</v>
      </c>
      <c r="K17" s="2">
        <v>110</v>
      </c>
    </row>
    <row r="18" spans="1:11" x14ac:dyDescent="0.25">
      <c r="A18" t="s">
        <v>11</v>
      </c>
      <c r="C18">
        <v>17528908</v>
      </c>
      <c r="D18" t="s">
        <v>64</v>
      </c>
      <c r="E18" t="s">
        <v>70</v>
      </c>
      <c r="F18" t="s">
        <v>71</v>
      </c>
      <c r="G18" s="1">
        <v>46023</v>
      </c>
      <c r="H18" s="1">
        <v>46066</v>
      </c>
      <c r="I18" t="s">
        <v>15</v>
      </c>
      <c r="J18" t="s">
        <v>54</v>
      </c>
      <c r="K18" s="2">
        <v>165</v>
      </c>
    </row>
    <row r="19" spans="1:11" x14ac:dyDescent="0.25">
      <c r="A19" t="s">
        <v>38</v>
      </c>
      <c r="C19">
        <v>18794740</v>
      </c>
      <c r="D19" t="s">
        <v>72</v>
      </c>
      <c r="E19" t="s">
        <v>73</v>
      </c>
      <c r="F19" t="s">
        <v>74</v>
      </c>
      <c r="G19" s="1">
        <v>46023</v>
      </c>
      <c r="H19" s="1">
        <v>46066</v>
      </c>
      <c r="I19" t="s">
        <v>15</v>
      </c>
      <c r="J19" t="s">
        <v>54</v>
      </c>
      <c r="K19" s="2">
        <v>165</v>
      </c>
    </row>
    <row r="20" spans="1:11" x14ac:dyDescent="0.25">
      <c r="A20" t="s">
        <v>11</v>
      </c>
      <c r="C20">
        <v>17528908</v>
      </c>
      <c r="D20" t="s">
        <v>75</v>
      </c>
      <c r="E20" t="s">
        <v>76</v>
      </c>
      <c r="F20" t="s">
        <v>77</v>
      </c>
      <c r="G20" s="1">
        <v>46054</v>
      </c>
      <c r="H20" s="1">
        <v>46066</v>
      </c>
      <c r="I20" t="s">
        <v>15</v>
      </c>
      <c r="J20" t="s">
        <v>54</v>
      </c>
      <c r="K20" s="2">
        <v>165</v>
      </c>
    </row>
    <row r="21" spans="1:11" x14ac:dyDescent="0.25">
      <c r="A21" t="s">
        <v>30</v>
      </c>
      <c r="C21">
        <v>18710070</v>
      </c>
      <c r="D21" t="s">
        <v>78</v>
      </c>
      <c r="E21" t="s">
        <v>79</v>
      </c>
      <c r="F21" t="s">
        <v>80</v>
      </c>
      <c r="G21" s="1">
        <v>46023</v>
      </c>
      <c r="H21" s="1">
        <v>46066</v>
      </c>
      <c r="I21" t="s">
        <v>15</v>
      </c>
      <c r="J21" t="s">
        <v>54</v>
      </c>
      <c r="K21" s="2">
        <v>165</v>
      </c>
    </row>
    <row r="22" spans="1:11" x14ac:dyDescent="0.25">
      <c r="A22" t="s">
        <v>42</v>
      </c>
      <c r="C22">
        <v>17886092</v>
      </c>
      <c r="D22" t="s">
        <v>81</v>
      </c>
      <c r="E22" t="s">
        <v>82</v>
      </c>
      <c r="F22" t="s">
        <v>83</v>
      </c>
      <c r="G22" s="1">
        <v>46054</v>
      </c>
      <c r="H22" s="1">
        <v>46066</v>
      </c>
      <c r="I22" t="s">
        <v>15</v>
      </c>
      <c r="J22" t="s">
        <v>54</v>
      </c>
      <c r="K22" s="2">
        <v>110</v>
      </c>
    </row>
    <row r="23" spans="1:11" x14ac:dyDescent="0.25">
      <c r="A23" t="s">
        <v>84</v>
      </c>
      <c r="C23">
        <v>18598357</v>
      </c>
      <c r="D23" t="s">
        <v>85</v>
      </c>
      <c r="E23" t="s">
        <v>86</v>
      </c>
      <c r="F23" t="s">
        <v>87</v>
      </c>
      <c r="G23" s="1">
        <v>46054</v>
      </c>
      <c r="H23" s="1">
        <v>46066</v>
      </c>
      <c r="I23" t="s">
        <v>15</v>
      </c>
      <c r="J23" t="s">
        <v>54</v>
      </c>
      <c r="K23" s="2">
        <v>165</v>
      </c>
    </row>
    <row r="24" spans="1:11" x14ac:dyDescent="0.25">
      <c r="A24" t="s">
        <v>11</v>
      </c>
      <c r="C24">
        <v>17528908</v>
      </c>
      <c r="D24" t="s">
        <v>88</v>
      </c>
      <c r="E24" t="s">
        <v>89</v>
      </c>
      <c r="F24" t="s">
        <v>90</v>
      </c>
      <c r="G24" s="1">
        <v>46023</v>
      </c>
      <c r="H24" s="1">
        <v>46066</v>
      </c>
      <c r="I24" t="s">
        <v>15</v>
      </c>
      <c r="J24" t="s">
        <v>54</v>
      </c>
      <c r="K24" s="2">
        <v>165</v>
      </c>
    </row>
    <row r="25" spans="1:11" x14ac:dyDescent="0.25">
      <c r="A25" t="s">
        <v>11</v>
      </c>
      <c r="C25">
        <v>17528908</v>
      </c>
      <c r="D25" t="s">
        <v>91</v>
      </c>
      <c r="E25" t="s">
        <v>92</v>
      </c>
      <c r="F25" t="s">
        <v>93</v>
      </c>
      <c r="G25" s="1">
        <v>46023</v>
      </c>
      <c r="H25" s="1">
        <v>46066</v>
      </c>
      <c r="I25" t="s">
        <v>15</v>
      </c>
      <c r="J25" t="s">
        <v>54</v>
      </c>
      <c r="K25" s="2">
        <v>165</v>
      </c>
    </row>
    <row r="26" spans="1:11" x14ac:dyDescent="0.25">
      <c r="A26" t="s">
        <v>11</v>
      </c>
      <c r="C26">
        <v>17528908</v>
      </c>
      <c r="D26" t="s">
        <v>94</v>
      </c>
      <c r="E26" t="s">
        <v>95</v>
      </c>
      <c r="F26" t="s">
        <v>96</v>
      </c>
      <c r="G26" s="1">
        <v>46023</v>
      </c>
      <c r="H26" s="1">
        <v>46066</v>
      </c>
      <c r="I26" t="s">
        <v>15</v>
      </c>
      <c r="J26" t="s">
        <v>54</v>
      </c>
      <c r="K26" s="2">
        <v>165</v>
      </c>
    </row>
    <row r="27" spans="1:11" x14ac:dyDescent="0.25">
      <c r="A27" t="s">
        <v>11</v>
      </c>
      <c r="C27">
        <v>17528908</v>
      </c>
      <c r="D27" t="s">
        <v>97</v>
      </c>
      <c r="E27" t="s">
        <v>98</v>
      </c>
      <c r="F27" t="s">
        <v>99</v>
      </c>
      <c r="G27" s="1">
        <v>46023</v>
      </c>
      <c r="H27" s="1">
        <v>46066</v>
      </c>
      <c r="I27" t="s">
        <v>15</v>
      </c>
      <c r="J27" t="s">
        <v>54</v>
      </c>
      <c r="K27" s="2">
        <v>165</v>
      </c>
    </row>
    <row r="28" spans="1:11" x14ac:dyDescent="0.25">
      <c r="A28" t="s">
        <v>11</v>
      </c>
      <c r="C28">
        <v>17528908</v>
      </c>
      <c r="D28" t="s">
        <v>100</v>
      </c>
      <c r="E28" t="s">
        <v>101</v>
      </c>
      <c r="F28" t="s">
        <v>102</v>
      </c>
      <c r="G28" s="1">
        <v>46023</v>
      </c>
      <c r="H28" s="1">
        <v>46066</v>
      </c>
      <c r="I28" t="s">
        <v>15</v>
      </c>
      <c r="J28" t="s">
        <v>54</v>
      </c>
      <c r="K28" s="2">
        <v>165</v>
      </c>
    </row>
    <row r="29" spans="1:11" x14ac:dyDescent="0.25">
      <c r="A29" t="s">
        <v>30</v>
      </c>
      <c r="C29">
        <v>18710070</v>
      </c>
      <c r="D29" t="s">
        <v>103</v>
      </c>
      <c r="E29" t="s">
        <v>104</v>
      </c>
      <c r="F29" t="s">
        <v>105</v>
      </c>
      <c r="G29" s="1">
        <v>46054</v>
      </c>
      <c r="H29" s="1">
        <v>46066</v>
      </c>
      <c r="I29" t="s">
        <v>15</v>
      </c>
      <c r="J29" t="s">
        <v>54</v>
      </c>
      <c r="K29" s="2">
        <v>165</v>
      </c>
    </row>
    <row r="30" spans="1:11" x14ac:dyDescent="0.25">
      <c r="A30" t="s">
        <v>11</v>
      </c>
      <c r="C30">
        <v>17528908</v>
      </c>
      <c r="D30" t="s">
        <v>106</v>
      </c>
      <c r="E30" t="s">
        <v>101</v>
      </c>
      <c r="F30" t="s">
        <v>107</v>
      </c>
      <c r="G30" s="1">
        <v>46023</v>
      </c>
      <c r="H30" s="1">
        <v>46066</v>
      </c>
      <c r="I30" t="s">
        <v>15</v>
      </c>
      <c r="J30" t="s">
        <v>54</v>
      </c>
      <c r="K30" s="2">
        <v>165</v>
      </c>
    </row>
    <row r="31" spans="1:11" x14ac:dyDescent="0.25">
      <c r="A31" t="s">
        <v>11</v>
      </c>
      <c r="C31">
        <v>17528908</v>
      </c>
      <c r="D31" t="s">
        <v>108</v>
      </c>
      <c r="E31" t="s">
        <v>109</v>
      </c>
      <c r="F31" t="s">
        <v>110</v>
      </c>
      <c r="G31" s="1">
        <v>46023</v>
      </c>
      <c r="H31" s="1">
        <v>46066</v>
      </c>
      <c r="I31" t="s">
        <v>15</v>
      </c>
      <c r="J31" t="s">
        <v>54</v>
      </c>
      <c r="K31" s="2">
        <v>165</v>
      </c>
    </row>
    <row r="32" spans="1:11" x14ac:dyDescent="0.25">
      <c r="A32" t="s">
        <v>111</v>
      </c>
      <c r="C32">
        <v>8971826</v>
      </c>
      <c r="D32" t="s">
        <v>75</v>
      </c>
      <c r="E32" t="s">
        <v>112</v>
      </c>
      <c r="F32" t="s">
        <v>113</v>
      </c>
      <c r="G32" s="1">
        <v>46023</v>
      </c>
      <c r="H32" s="1">
        <v>46066</v>
      </c>
      <c r="I32" t="s">
        <v>15</v>
      </c>
      <c r="J32" t="s">
        <v>54</v>
      </c>
      <c r="K32" s="2">
        <v>165</v>
      </c>
    </row>
    <row r="33" spans="1:11" x14ac:dyDescent="0.25">
      <c r="A33" t="s">
        <v>30</v>
      </c>
      <c r="C33">
        <v>18710070</v>
      </c>
      <c r="D33" t="s">
        <v>114</v>
      </c>
      <c r="E33" t="s">
        <v>115</v>
      </c>
      <c r="F33" t="s">
        <v>116</v>
      </c>
      <c r="G33" s="1">
        <v>46023</v>
      </c>
      <c r="H33" s="1">
        <v>46066</v>
      </c>
      <c r="I33" t="s">
        <v>15</v>
      </c>
      <c r="J33" t="s">
        <v>54</v>
      </c>
      <c r="K33" s="2">
        <v>165</v>
      </c>
    </row>
    <row r="34" spans="1:11" x14ac:dyDescent="0.25">
      <c r="A34" t="s">
        <v>30</v>
      </c>
      <c r="C34">
        <v>18710070</v>
      </c>
      <c r="D34" t="s">
        <v>117</v>
      </c>
      <c r="E34" t="s">
        <v>118</v>
      </c>
      <c r="F34" t="s">
        <v>119</v>
      </c>
      <c r="G34" s="1">
        <v>46023</v>
      </c>
      <c r="H34" s="1">
        <v>46066</v>
      </c>
      <c r="I34" t="s">
        <v>15</v>
      </c>
      <c r="J34" t="s">
        <v>54</v>
      </c>
      <c r="K34" s="2">
        <v>165</v>
      </c>
    </row>
    <row r="35" spans="1:11" x14ac:dyDescent="0.25">
      <c r="A35" t="s">
        <v>38</v>
      </c>
      <c r="C35">
        <v>18794740</v>
      </c>
      <c r="D35" t="s">
        <v>120</v>
      </c>
      <c r="E35" t="s">
        <v>121</v>
      </c>
      <c r="F35" t="s">
        <v>122</v>
      </c>
      <c r="G35" s="1">
        <v>46023</v>
      </c>
      <c r="H35" s="1">
        <v>46066</v>
      </c>
      <c r="I35" t="s">
        <v>15</v>
      </c>
      <c r="J35" t="s">
        <v>54</v>
      </c>
      <c r="K35" s="2">
        <v>165</v>
      </c>
    </row>
    <row r="36" spans="1:11" x14ac:dyDescent="0.25">
      <c r="A36" t="s">
        <v>55</v>
      </c>
      <c r="C36">
        <v>15950276</v>
      </c>
      <c r="D36" t="s">
        <v>64</v>
      </c>
      <c r="E36" t="s">
        <v>123</v>
      </c>
      <c r="F36" t="s">
        <v>124</v>
      </c>
      <c r="G36" s="1">
        <v>46023</v>
      </c>
      <c r="H36" s="1">
        <v>46066</v>
      </c>
      <c r="I36" t="s">
        <v>15</v>
      </c>
      <c r="J36" t="s">
        <v>54</v>
      </c>
      <c r="K36" s="2">
        <v>165</v>
      </c>
    </row>
    <row r="37" spans="1:11" x14ac:dyDescent="0.25">
      <c r="A37" t="s">
        <v>11</v>
      </c>
      <c r="C37">
        <v>17528908</v>
      </c>
      <c r="D37" t="s">
        <v>125</v>
      </c>
      <c r="E37" t="s">
        <v>126</v>
      </c>
      <c r="F37" t="s">
        <v>127</v>
      </c>
      <c r="G37" s="1">
        <v>46082</v>
      </c>
      <c r="H37" s="1">
        <v>46066</v>
      </c>
      <c r="I37" t="s">
        <v>15</v>
      </c>
      <c r="J37" t="s">
        <v>54</v>
      </c>
      <c r="K37" s="2">
        <v>165</v>
      </c>
    </row>
    <row r="38" spans="1:11" x14ac:dyDescent="0.25">
      <c r="A38" t="s">
        <v>11</v>
      </c>
      <c r="C38">
        <v>17528908</v>
      </c>
      <c r="D38" t="s">
        <v>128</v>
      </c>
      <c r="E38" t="s">
        <v>129</v>
      </c>
      <c r="F38" t="s">
        <v>130</v>
      </c>
      <c r="G38" s="1">
        <v>46082</v>
      </c>
      <c r="H38" s="1">
        <v>46066</v>
      </c>
      <c r="I38" t="s">
        <v>15</v>
      </c>
      <c r="J38" t="s">
        <v>54</v>
      </c>
      <c r="K38" s="2">
        <v>165</v>
      </c>
    </row>
    <row r="39" spans="1:11" x14ac:dyDescent="0.25">
      <c r="A39" t="s">
        <v>38</v>
      </c>
      <c r="C39">
        <v>18794740</v>
      </c>
      <c r="D39" t="s">
        <v>131</v>
      </c>
      <c r="E39" t="s">
        <v>132</v>
      </c>
      <c r="F39" t="s">
        <v>133</v>
      </c>
      <c r="G39" s="1">
        <v>46023</v>
      </c>
      <c r="H39" s="1">
        <v>46066</v>
      </c>
      <c r="I39" t="s">
        <v>15</v>
      </c>
      <c r="J39" t="s">
        <v>54</v>
      </c>
      <c r="K39" s="2">
        <v>165</v>
      </c>
    </row>
    <row r="40" spans="1:11" x14ac:dyDescent="0.25">
      <c r="A40" t="s">
        <v>11</v>
      </c>
      <c r="C40">
        <v>17528908</v>
      </c>
      <c r="D40" t="s">
        <v>134</v>
      </c>
      <c r="E40" t="s">
        <v>135</v>
      </c>
      <c r="F40" t="s">
        <v>136</v>
      </c>
      <c r="G40" s="1">
        <v>46023</v>
      </c>
      <c r="H40" s="1">
        <v>46066</v>
      </c>
      <c r="I40" t="s">
        <v>15</v>
      </c>
      <c r="J40" t="s">
        <v>54</v>
      </c>
      <c r="K40" s="2">
        <v>165</v>
      </c>
    </row>
    <row r="41" spans="1:11" x14ac:dyDescent="0.25">
      <c r="A41" t="s">
        <v>30</v>
      </c>
      <c r="C41">
        <v>18710070</v>
      </c>
      <c r="D41" t="s">
        <v>137</v>
      </c>
      <c r="E41" t="s">
        <v>65</v>
      </c>
      <c r="F41" t="s">
        <v>138</v>
      </c>
      <c r="G41" s="1">
        <v>46023</v>
      </c>
      <c r="H41" s="1">
        <v>46066</v>
      </c>
      <c r="I41" t="s">
        <v>15</v>
      </c>
      <c r="J41" t="s">
        <v>54</v>
      </c>
      <c r="K41" s="2">
        <v>165</v>
      </c>
    </row>
    <row r="42" spans="1:11" x14ac:dyDescent="0.25">
      <c r="A42" t="s">
        <v>84</v>
      </c>
      <c r="C42">
        <v>18598357</v>
      </c>
      <c r="D42" t="s">
        <v>24</v>
      </c>
      <c r="E42" t="s">
        <v>139</v>
      </c>
      <c r="F42" t="s">
        <v>140</v>
      </c>
      <c r="G42" s="1">
        <v>46023</v>
      </c>
      <c r="H42" s="1">
        <v>46066</v>
      </c>
      <c r="I42" t="s">
        <v>15</v>
      </c>
      <c r="J42" t="s">
        <v>54</v>
      </c>
      <c r="K42" s="2">
        <v>165</v>
      </c>
    </row>
    <row r="43" spans="1:11" x14ac:dyDescent="0.25">
      <c r="A43" t="s">
        <v>141</v>
      </c>
      <c r="C43">
        <v>17425766</v>
      </c>
      <c r="D43" t="s">
        <v>142</v>
      </c>
      <c r="E43" t="s">
        <v>143</v>
      </c>
      <c r="F43" t="s">
        <v>144</v>
      </c>
      <c r="G43" s="1">
        <v>46023</v>
      </c>
      <c r="H43" s="1">
        <v>46066</v>
      </c>
      <c r="I43" t="s">
        <v>15</v>
      </c>
      <c r="J43" t="s">
        <v>54</v>
      </c>
      <c r="K43" s="2">
        <v>165</v>
      </c>
    </row>
    <row r="44" spans="1:11" x14ac:dyDescent="0.25">
      <c r="A44" t="s">
        <v>46</v>
      </c>
      <c r="C44">
        <v>20253958</v>
      </c>
      <c r="D44" t="s">
        <v>145</v>
      </c>
      <c r="E44" t="s">
        <v>146</v>
      </c>
      <c r="F44" t="s">
        <v>147</v>
      </c>
      <c r="G44" s="1">
        <v>46082</v>
      </c>
      <c r="H44" s="1">
        <v>46066</v>
      </c>
      <c r="I44" t="s">
        <v>15</v>
      </c>
      <c r="J44" t="s">
        <v>54</v>
      </c>
      <c r="K44" s="2">
        <v>110</v>
      </c>
    </row>
    <row r="45" spans="1:11" x14ac:dyDescent="0.25">
      <c r="A45" t="s">
        <v>42</v>
      </c>
      <c r="C45">
        <v>17886092</v>
      </c>
      <c r="D45" t="s">
        <v>75</v>
      </c>
      <c r="E45" t="s">
        <v>148</v>
      </c>
      <c r="F45" t="s">
        <v>149</v>
      </c>
      <c r="G45" s="1">
        <v>46082</v>
      </c>
      <c r="H45" s="1">
        <v>46066</v>
      </c>
      <c r="I45" t="s">
        <v>15</v>
      </c>
      <c r="J45" t="s">
        <v>54</v>
      </c>
      <c r="K45" s="2">
        <v>110</v>
      </c>
    </row>
    <row r="46" spans="1:11" x14ac:dyDescent="0.25">
      <c r="A46" t="s">
        <v>46</v>
      </c>
      <c r="C46">
        <v>20253958</v>
      </c>
      <c r="D46" t="s">
        <v>150</v>
      </c>
      <c r="E46" t="s">
        <v>151</v>
      </c>
      <c r="F46" t="s">
        <v>152</v>
      </c>
      <c r="G46" s="1">
        <v>46054</v>
      </c>
      <c r="H46" s="1">
        <v>46066</v>
      </c>
      <c r="I46" t="s">
        <v>15</v>
      </c>
      <c r="J46" t="s">
        <v>54</v>
      </c>
      <c r="K46" s="2">
        <v>110</v>
      </c>
    </row>
    <row r="47" spans="1:11" x14ac:dyDescent="0.25">
      <c r="A47" t="s">
        <v>46</v>
      </c>
      <c r="C47">
        <v>20253958</v>
      </c>
      <c r="D47" t="s">
        <v>12</v>
      </c>
      <c r="E47" t="s">
        <v>153</v>
      </c>
      <c r="F47" t="s">
        <v>154</v>
      </c>
      <c r="G47" s="1">
        <v>46082</v>
      </c>
      <c r="H47" s="1">
        <v>46066</v>
      </c>
      <c r="I47" t="s">
        <v>15</v>
      </c>
      <c r="J47" t="s">
        <v>54</v>
      </c>
      <c r="K47" s="2">
        <v>110</v>
      </c>
    </row>
    <row r="48" spans="1:11" x14ac:dyDescent="0.25">
      <c r="A48" t="s">
        <v>46</v>
      </c>
      <c r="C48">
        <v>20253958</v>
      </c>
      <c r="D48" t="s">
        <v>155</v>
      </c>
      <c r="E48" t="s">
        <v>156</v>
      </c>
      <c r="F48" t="s">
        <v>157</v>
      </c>
      <c r="G48" s="1">
        <v>46054</v>
      </c>
      <c r="H48" s="1">
        <v>46066</v>
      </c>
      <c r="I48" t="s">
        <v>15</v>
      </c>
      <c r="J48" t="s">
        <v>54</v>
      </c>
      <c r="K48" s="2">
        <v>110</v>
      </c>
    </row>
    <row r="49" spans="1:11" x14ac:dyDescent="0.25">
      <c r="A49" t="s">
        <v>46</v>
      </c>
      <c r="C49">
        <v>20253958</v>
      </c>
      <c r="D49" t="s">
        <v>158</v>
      </c>
      <c r="E49" t="s">
        <v>159</v>
      </c>
      <c r="F49" t="s">
        <v>160</v>
      </c>
      <c r="G49" s="1">
        <v>46054</v>
      </c>
      <c r="H49" s="1">
        <v>46066</v>
      </c>
      <c r="I49" t="s">
        <v>15</v>
      </c>
      <c r="J49" t="s">
        <v>54</v>
      </c>
      <c r="K49" s="2">
        <v>110</v>
      </c>
    </row>
    <row r="50" spans="1:11" x14ac:dyDescent="0.25">
      <c r="A50" t="s">
        <v>46</v>
      </c>
      <c r="C50">
        <v>20253958</v>
      </c>
      <c r="D50" t="s">
        <v>161</v>
      </c>
      <c r="E50" t="s">
        <v>162</v>
      </c>
      <c r="F50" t="s">
        <v>163</v>
      </c>
      <c r="G50" s="1">
        <v>46054</v>
      </c>
      <c r="H50" s="1">
        <v>46066</v>
      </c>
      <c r="I50" t="s">
        <v>15</v>
      </c>
      <c r="J50" t="s">
        <v>54</v>
      </c>
      <c r="K50" s="2">
        <v>110</v>
      </c>
    </row>
    <row r="51" spans="1:11" x14ac:dyDescent="0.25">
      <c r="A51" t="s">
        <v>11</v>
      </c>
      <c r="C51">
        <v>17528908</v>
      </c>
      <c r="D51" t="s">
        <v>88</v>
      </c>
      <c r="E51" t="s">
        <v>164</v>
      </c>
      <c r="F51" t="s">
        <v>165</v>
      </c>
      <c r="G51" s="1">
        <v>46023</v>
      </c>
      <c r="H51" s="1">
        <v>46066</v>
      </c>
      <c r="I51" t="s">
        <v>15</v>
      </c>
      <c r="J51" t="s">
        <v>166</v>
      </c>
      <c r="K51" s="2">
        <v>108.75</v>
      </c>
    </row>
    <row r="52" spans="1:11" x14ac:dyDescent="0.25">
      <c r="A52" t="s">
        <v>38</v>
      </c>
      <c r="C52">
        <v>18794740</v>
      </c>
      <c r="D52" t="s">
        <v>167</v>
      </c>
      <c r="E52" t="s">
        <v>168</v>
      </c>
      <c r="F52" t="s">
        <v>169</v>
      </c>
      <c r="G52" s="1">
        <v>46023</v>
      </c>
      <c r="H52" s="1">
        <v>46066</v>
      </c>
      <c r="I52" t="s">
        <v>15</v>
      </c>
      <c r="J52" t="s">
        <v>166</v>
      </c>
      <c r="K52" s="2">
        <v>108.75</v>
      </c>
    </row>
    <row r="53" spans="1:11" x14ac:dyDescent="0.25">
      <c r="A53" t="s">
        <v>11</v>
      </c>
      <c r="B53">
        <v>17528908</v>
      </c>
      <c r="C53">
        <v>17528908</v>
      </c>
      <c r="D53" t="s">
        <v>170</v>
      </c>
      <c r="E53" t="s">
        <v>171</v>
      </c>
      <c r="F53" t="s">
        <v>172</v>
      </c>
      <c r="G53" s="1">
        <v>42005</v>
      </c>
      <c r="H53" s="1">
        <v>46066</v>
      </c>
      <c r="I53" t="s">
        <v>15</v>
      </c>
      <c r="J53" t="s">
        <v>166</v>
      </c>
      <c r="K53" s="2">
        <v>72.5</v>
      </c>
    </row>
    <row r="54" spans="1:11" x14ac:dyDescent="0.25">
      <c r="A54" t="s">
        <v>11</v>
      </c>
      <c r="C54">
        <v>17528908</v>
      </c>
      <c r="D54" t="s">
        <v>173</v>
      </c>
      <c r="E54" t="s">
        <v>174</v>
      </c>
      <c r="F54" t="s">
        <v>175</v>
      </c>
      <c r="G54" s="1">
        <v>46023</v>
      </c>
      <c r="H54" s="1">
        <v>46066</v>
      </c>
      <c r="I54" t="s">
        <v>15</v>
      </c>
      <c r="J54" t="s">
        <v>166</v>
      </c>
      <c r="K54" s="2">
        <v>108.75</v>
      </c>
    </row>
    <row r="55" spans="1:11" x14ac:dyDescent="0.25">
      <c r="A55" t="s">
        <v>11</v>
      </c>
      <c r="C55">
        <v>17528908</v>
      </c>
      <c r="D55" t="s">
        <v>176</v>
      </c>
      <c r="E55" t="s">
        <v>177</v>
      </c>
      <c r="F55" t="s">
        <v>178</v>
      </c>
      <c r="G55" s="1">
        <v>46023</v>
      </c>
      <c r="H55" s="1">
        <v>46066</v>
      </c>
      <c r="I55" t="s">
        <v>15</v>
      </c>
      <c r="J55" t="s">
        <v>166</v>
      </c>
      <c r="K55" s="2">
        <v>108.75</v>
      </c>
    </row>
    <row r="56" spans="1:11" x14ac:dyDescent="0.25">
      <c r="A56" t="s">
        <v>30</v>
      </c>
      <c r="C56">
        <v>18710070</v>
      </c>
      <c r="D56" t="s">
        <v>179</v>
      </c>
      <c r="E56" t="s">
        <v>180</v>
      </c>
      <c r="F56" t="s">
        <v>181</v>
      </c>
      <c r="G56" s="1">
        <v>46023</v>
      </c>
      <c r="H56" s="1">
        <v>46066</v>
      </c>
      <c r="I56" t="s">
        <v>15</v>
      </c>
      <c r="J56" t="s">
        <v>166</v>
      </c>
      <c r="K56" s="2">
        <v>108.75</v>
      </c>
    </row>
    <row r="57" spans="1:11" x14ac:dyDescent="0.25">
      <c r="A57" t="s">
        <v>11</v>
      </c>
      <c r="B57">
        <v>17528908</v>
      </c>
      <c r="C57">
        <v>17528908</v>
      </c>
      <c r="D57" t="s">
        <v>24</v>
      </c>
      <c r="E57" t="s">
        <v>182</v>
      </c>
      <c r="F57" t="s">
        <v>183</v>
      </c>
      <c r="G57" s="1">
        <v>45444</v>
      </c>
      <c r="H57" s="1">
        <v>46066</v>
      </c>
      <c r="I57" t="s">
        <v>15</v>
      </c>
      <c r="J57" t="s">
        <v>166</v>
      </c>
      <c r="K57" s="2">
        <v>72.5</v>
      </c>
    </row>
    <row r="58" spans="1:11" x14ac:dyDescent="0.25">
      <c r="A58" t="s">
        <v>30</v>
      </c>
      <c r="C58">
        <v>18710070</v>
      </c>
      <c r="D58" t="s">
        <v>184</v>
      </c>
      <c r="E58" t="s">
        <v>185</v>
      </c>
      <c r="F58" t="s">
        <v>186</v>
      </c>
      <c r="G58" s="1">
        <v>46023</v>
      </c>
      <c r="H58" s="1">
        <v>46066</v>
      </c>
      <c r="I58" t="s">
        <v>15</v>
      </c>
      <c r="J58" t="s">
        <v>166</v>
      </c>
      <c r="K58" s="2">
        <v>108.75</v>
      </c>
    </row>
    <row r="59" spans="1:11" x14ac:dyDescent="0.25">
      <c r="A59" t="s">
        <v>11</v>
      </c>
      <c r="B59">
        <v>17528908</v>
      </c>
      <c r="C59">
        <v>17528908</v>
      </c>
      <c r="D59" t="s">
        <v>187</v>
      </c>
      <c r="E59" t="s">
        <v>188</v>
      </c>
      <c r="F59" t="s">
        <v>189</v>
      </c>
      <c r="G59" s="1">
        <v>45839</v>
      </c>
      <c r="H59" s="1">
        <v>46066</v>
      </c>
      <c r="I59" t="s">
        <v>15</v>
      </c>
      <c r="J59" t="s">
        <v>166</v>
      </c>
      <c r="K59" s="2">
        <v>72.5</v>
      </c>
    </row>
    <row r="60" spans="1:11" x14ac:dyDescent="0.25">
      <c r="A60" t="s">
        <v>11</v>
      </c>
      <c r="B60">
        <v>17528908</v>
      </c>
      <c r="C60">
        <v>17528908</v>
      </c>
      <c r="D60" t="s">
        <v>190</v>
      </c>
      <c r="E60" t="s">
        <v>191</v>
      </c>
      <c r="F60" t="s">
        <v>192</v>
      </c>
      <c r="G60" s="1">
        <v>45809</v>
      </c>
      <c r="H60" s="1">
        <v>46066</v>
      </c>
      <c r="I60" t="s">
        <v>15</v>
      </c>
      <c r="J60" t="s">
        <v>166</v>
      </c>
      <c r="K60" s="2">
        <v>72.5</v>
      </c>
    </row>
    <row r="61" spans="1:11" x14ac:dyDescent="0.25">
      <c r="A61" t="s">
        <v>55</v>
      </c>
      <c r="C61">
        <v>15950276</v>
      </c>
      <c r="D61" t="s">
        <v>193</v>
      </c>
      <c r="E61" t="s">
        <v>194</v>
      </c>
      <c r="F61" t="s">
        <v>195</v>
      </c>
      <c r="G61" s="1">
        <v>44682</v>
      </c>
      <c r="H61" s="1">
        <v>46066</v>
      </c>
      <c r="I61" t="s">
        <v>15</v>
      </c>
      <c r="J61" t="s">
        <v>166</v>
      </c>
      <c r="K61" s="2">
        <v>108.75</v>
      </c>
    </row>
    <row r="62" spans="1:11" x14ac:dyDescent="0.25">
      <c r="A62" t="s">
        <v>11</v>
      </c>
      <c r="C62">
        <v>17528908</v>
      </c>
      <c r="D62" t="s">
        <v>72</v>
      </c>
      <c r="E62" t="s">
        <v>196</v>
      </c>
      <c r="F62" t="s">
        <v>197</v>
      </c>
      <c r="G62" s="1">
        <v>46023</v>
      </c>
      <c r="H62" s="1">
        <v>46066</v>
      </c>
      <c r="I62" t="s">
        <v>15</v>
      </c>
      <c r="J62" t="s">
        <v>166</v>
      </c>
      <c r="K62" s="2">
        <v>108.75</v>
      </c>
    </row>
    <row r="63" spans="1:11" x14ac:dyDescent="0.25">
      <c r="A63" t="s">
        <v>11</v>
      </c>
      <c r="B63">
        <v>17528908</v>
      </c>
      <c r="C63">
        <v>17528908</v>
      </c>
      <c r="D63" t="s">
        <v>198</v>
      </c>
      <c r="E63" t="s">
        <v>199</v>
      </c>
      <c r="F63" t="s">
        <v>200</v>
      </c>
      <c r="G63" s="1">
        <v>42095</v>
      </c>
      <c r="H63" s="1">
        <v>46066</v>
      </c>
      <c r="I63" t="s">
        <v>15</v>
      </c>
      <c r="J63" t="s">
        <v>166</v>
      </c>
      <c r="K63" s="2">
        <v>72.5</v>
      </c>
    </row>
    <row r="64" spans="1:11" x14ac:dyDescent="0.25">
      <c r="A64" t="s">
        <v>11</v>
      </c>
      <c r="B64">
        <v>17528908</v>
      </c>
      <c r="C64">
        <v>17528908</v>
      </c>
      <c r="D64" t="s">
        <v>190</v>
      </c>
      <c r="E64" t="s">
        <v>201</v>
      </c>
      <c r="F64" t="s">
        <v>202</v>
      </c>
      <c r="G64" s="1">
        <v>45658</v>
      </c>
      <c r="H64" s="1">
        <v>46066</v>
      </c>
      <c r="I64" t="s">
        <v>15</v>
      </c>
      <c r="J64" t="s">
        <v>166</v>
      </c>
      <c r="K64" s="2">
        <v>72.5</v>
      </c>
    </row>
    <row r="65" spans="1:11" x14ac:dyDescent="0.25">
      <c r="A65" t="s">
        <v>11</v>
      </c>
      <c r="B65">
        <v>17528908</v>
      </c>
      <c r="C65">
        <v>17528908</v>
      </c>
      <c r="D65" t="s">
        <v>203</v>
      </c>
      <c r="E65" t="s">
        <v>204</v>
      </c>
      <c r="F65" t="s">
        <v>205</v>
      </c>
      <c r="G65" s="1">
        <v>42767</v>
      </c>
      <c r="H65" s="1">
        <v>46066</v>
      </c>
      <c r="I65" t="s">
        <v>15</v>
      </c>
      <c r="J65" t="s">
        <v>166</v>
      </c>
      <c r="K65" s="2">
        <v>72.5</v>
      </c>
    </row>
    <row r="66" spans="1:11" x14ac:dyDescent="0.25">
      <c r="A66" t="s">
        <v>30</v>
      </c>
      <c r="C66">
        <v>18710070</v>
      </c>
      <c r="D66" t="s">
        <v>206</v>
      </c>
      <c r="E66" t="s">
        <v>207</v>
      </c>
      <c r="F66" t="s">
        <v>208</v>
      </c>
      <c r="G66" s="1">
        <v>46023</v>
      </c>
      <c r="H66" s="1">
        <v>46066</v>
      </c>
      <c r="I66" t="s">
        <v>15</v>
      </c>
      <c r="J66" t="s">
        <v>166</v>
      </c>
      <c r="K66" s="2">
        <v>108.75</v>
      </c>
    </row>
    <row r="67" spans="1:11" x14ac:dyDescent="0.25">
      <c r="A67" t="s">
        <v>11</v>
      </c>
      <c r="C67">
        <v>17528908</v>
      </c>
      <c r="D67" t="s">
        <v>209</v>
      </c>
      <c r="E67" t="s">
        <v>210</v>
      </c>
      <c r="F67" t="s">
        <v>211</v>
      </c>
      <c r="G67" s="1">
        <v>46023</v>
      </c>
      <c r="H67" s="1">
        <v>46066</v>
      </c>
      <c r="I67" t="s">
        <v>15</v>
      </c>
      <c r="J67" t="s">
        <v>166</v>
      </c>
      <c r="K67" s="2">
        <v>108.75</v>
      </c>
    </row>
    <row r="68" spans="1:11" x14ac:dyDescent="0.25">
      <c r="A68" t="s">
        <v>11</v>
      </c>
      <c r="C68">
        <v>17528908</v>
      </c>
      <c r="D68" t="s">
        <v>212</v>
      </c>
      <c r="E68" t="s">
        <v>213</v>
      </c>
      <c r="F68" t="s">
        <v>214</v>
      </c>
      <c r="G68" s="1">
        <v>46023</v>
      </c>
      <c r="H68" s="1">
        <v>46066</v>
      </c>
      <c r="I68" t="s">
        <v>15</v>
      </c>
      <c r="J68" t="s">
        <v>166</v>
      </c>
      <c r="K68" s="2">
        <v>108.75</v>
      </c>
    </row>
    <row r="69" spans="1:11" x14ac:dyDescent="0.25">
      <c r="A69" t="s">
        <v>11</v>
      </c>
      <c r="C69">
        <v>17528908</v>
      </c>
      <c r="D69" t="s">
        <v>215</v>
      </c>
      <c r="E69" t="s">
        <v>216</v>
      </c>
      <c r="F69" t="s">
        <v>217</v>
      </c>
      <c r="G69" s="1">
        <v>46023</v>
      </c>
      <c r="H69" s="1">
        <v>46066</v>
      </c>
      <c r="I69" t="s">
        <v>15</v>
      </c>
      <c r="J69" t="s">
        <v>166</v>
      </c>
      <c r="K69" s="2">
        <v>108.75</v>
      </c>
    </row>
    <row r="70" spans="1:11" x14ac:dyDescent="0.25">
      <c r="A70" t="s">
        <v>11</v>
      </c>
      <c r="B70">
        <v>17528908</v>
      </c>
      <c r="C70">
        <v>17528908</v>
      </c>
      <c r="D70" t="s">
        <v>218</v>
      </c>
      <c r="E70" t="s">
        <v>219</v>
      </c>
      <c r="F70" t="s">
        <v>220</v>
      </c>
      <c r="G70" s="1">
        <v>45474</v>
      </c>
      <c r="H70" s="1">
        <v>46066</v>
      </c>
      <c r="I70" t="s">
        <v>15</v>
      </c>
      <c r="J70" t="s">
        <v>166</v>
      </c>
      <c r="K70" s="2">
        <v>72.5</v>
      </c>
    </row>
    <row r="71" spans="1:11" x14ac:dyDescent="0.25">
      <c r="A71" t="s">
        <v>11</v>
      </c>
      <c r="C71">
        <v>17528908</v>
      </c>
      <c r="D71" t="s">
        <v>20</v>
      </c>
      <c r="E71" t="s">
        <v>174</v>
      </c>
      <c r="F71" t="s">
        <v>221</v>
      </c>
      <c r="G71" s="1">
        <v>46023</v>
      </c>
      <c r="H71" s="1">
        <v>46066</v>
      </c>
      <c r="I71" t="s">
        <v>15</v>
      </c>
      <c r="J71" t="s">
        <v>166</v>
      </c>
      <c r="K71" s="2">
        <v>108.75</v>
      </c>
    </row>
    <row r="72" spans="1:11" x14ac:dyDescent="0.25">
      <c r="A72" t="s">
        <v>30</v>
      </c>
      <c r="C72">
        <v>18710070</v>
      </c>
      <c r="D72" t="s">
        <v>222</v>
      </c>
      <c r="E72" t="s">
        <v>86</v>
      </c>
      <c r="F72" t="s">
        <v>223</v>
      </c>
      <c r="G72" s="1">
        <v>46023</v>
      </c>
      <c r="H72" s="1">
        <v>46066</v>
      </c>
      <c r="I72" t="s">
        <v>15</v>
      </c>
      <c r="J72" t="s">
        <v>166</v>
      </c>
      <c r="K72" s="2">
        <v>108.75</v>
      </c>
    </row>
    <row r="73" spans="1:11" x14ac:dyDescent="0.25">
      <c r="A73" t="s">
        <v>11</v>
      </c>
      <c r="B73">
        <v>17528908</v>
      </c>
      <c r="C73">
        <v>17528908</v>
      </c>
      <c r="D73" t="s">
        <v>61</v>
      </c>
      <c r="E73" t="s">
        <v>201</v>
      </c>
      <c r="F73" t="s">
        <v>224</v>
      </c>
      <c r="G73" s="1">
        <v>45658</v>
      </c>
      <c r="H73" s="1">
        <v>46066</v>
      </c>
      <c r="I73" t="s">
        <v>15</v>
      </c>
      <c r="J73" t="s">
        <v>166</v>
      </c>
      <c r="K73" s="2">
        <v>72.5</v>
      </c>
    </row>
    <row r="74" spans="1:11" x14ac:dyDescent="0.25">
      <c r="A74" t="s">
        <v>11</v>
      </c>
      <c r="B74">
        <v>17528908</v>
      </c>
      <c r="C74">
        <v>17528908</v>
      </c>
      <c r="D74" t="s">
        <v>117</v>
      </c>
      <c r="E74" t="s">
        <v>225</v>
      </c>
      <c r="F74" t="s">
        <v>226</v>
      </c>
      <c r="G74" s="1">
        <v>45505</v>
      </c>
      <c r="H74" s="1">
        <v>46066</v>
      </c>
      <c r="I74" t="s">
        <v>15</v>
      </c>
      <c r="J74" t="s">
        <v>166</v>
      </c>
      <c r="K74" s="2">
        <v>72.5</v>
      </c>
    </row>
    <row r="75" spans="1:11" x14ac:dyDescent="0.25">
      <c r="A75" t="s">
        <v>30</v>
      </c>
      <c r="C75">
        <v>18710070</v>
      </c>
      <c r="D75" t="s">
        <v>12</v>
      </c>
      <c r="E75" t="s">
        <v>227</v>
      </c>
      <c r="F75" t="s">
        <v>228</v>
      </c>
      <c r="G75" s="1">
        <v>46023</v>
      </c>
      <c r="H75" s="1">
        <v>46066</v>
      </c>
      <c r="I75" t="s">
        <v>15</v>
      </c>
      <c r="J75" t="s">
        <v>166</v>
      </c>
      <c r="K75" s="2">
        <v>108.75</v>
      </c>
    </row>
    <row r="76" spans="1:11" x14ac:dyDescent="0.25">
      <c r="A76" t="s">
        <v>11</v>
      </c>
      <c r="B76">
        <v>17528908</v>
      </c>
      <c r="C76">
        <v>17528908</v>
      </c>
      <c r="D76" t="s">
        <v>229</v>
      </c>
      <c r="E76" t="s">
        <v>230</v>
      </c>
      <c r="F76" t="s">
        <v>231</v>
      </c>
      <c r="G76" s="1">
        <v>44713</v>
      </c>
      <c r="H76" s="1">
        <v>46066</v>
      </c>
      <c r="I76" t="s">
        <v>15</v>
      </c>
      <c r="J76" t="s">
        <v>166</v>
      </c>
      <c r="K76" s="2">
        <v>72.5</v>
      </c>
    </row>
    <row r="77" spans="1:11" x14ac:dyDescent="0.25">
      <c r="A77" t="s">
        <v>11</v>
      </c>
      <c r="C77">
        <v>17528908</v>
      </c>
      <c r="D77" t="s">
        <v>232</v>
      </c>
      <c r="E77" t="s">
        <v>233</v>
      </c>
      <c r="F77" t="s">
        <v>234</v>
      </c>
      <c r="G77" s="1">
        <v>46023</v>
      </c>
      <c r="H77" s="1">
        <v>46066</v>
      </c>
      <c r="I77" t="s">
        <v>15</v>
      </c>
      <c r="J77" t="s">
        <v>166</v>
      </c>
      <c r="K77" s="2">
        <v>108.75</v>
      </c>
    </row>
    <row r="78" spans="1:11" x14ac:dyDescent="0.25">
      <c r="A78" t="s">
        <v>30</v>
      </c>
      <c r="C78">
        <v>18710070</v>
      </c>
      <c r="D78" t="s">
        <v>235</v>
      </c>
      <c r="E78" t="s">
        <v>236</v>
      </c>
      <c r="F78" t="s">
        <v>237</v>
      </c>
      <c r="G78" s="1">
        <v>46023</v>
      </c>
      <c r="H78" s="1">
        <v>46066</v>
      </c>
      <c r="I78" t="s">
        <v>15</v>
      </c>
      <c r="J78" t="s">
        <v>166</v>
      </c>
      <c r="K78" s="2">
        <v>108.75</v>
      </c>
    </row>
    <row r="79" spans="1:11" x14ac:dyDescent="0.25">
      <c r="A79" t="s">
        <v>11</v>
      </c>
      <c r="C79">
        <v>17528908</v>
      </c>
      <c r="D79" t="s">
        <v>97</v>
      </c>
      <c r="E79" t="s">
        <v>238</v>
      </c>
      <c r="F79" t="s">
        <v>239</v>
      </c>
      <c r="G79" s="1">
        <v>46023</v>
      </c>
      <c r="H79" s="1">
        <v>46066</v>
      </c>
      <c r="I79" t="s">
        <v>15</v>
      </c>
      <c r="J79" t="s">
        <v>166</v>
      </c>
      <c r="K79" s="2">
        <v>108.75</v>
      </c>
    </row>
    <row r="80" spans="1:11" x14ac:dyDescent="0.25">
      <c r="A80" t="s">
        <v>55</v>
      </c>
      <c r="C80">
        <v>15950276</v>
      </c>
      <c r="D80" t="s">
        <v>24</v>
      </c>
      <c r="E80" t="s">
        <v>240</v>
      </c>
      <c r="F80" t="s">
        <v>241</v>
      </c>
      <c r="G80" s="1">
        <v>44986</v>
      </c>
      <c r="H80" s="1">
        <v>46066</v>
      </c>
      <c r="I80" t="s">
        <v>15</v>
      </c>
      <c r="J80" t="s">
        <v>166</v>
      </c>
      <c r="K80" s="2">
        <v>108.75</v>
      </c>
    </row>
    <row r="81" spans="1:11" x14ac:dyDescent="0.25">
      <c r="A81" t="s">
        <v>11</v>
      </c>
      <c r="B81">
        <v>17528908</v>
      </c>
      <c r="C81">
        <v>17528908</v>
      </c>
      <c r="D81" t="s">
        <v>193</v>
      </c>
      <c r="E81" t="s">
        <v>242</v>
      </c>
      <c r="F81" t="s">
        <v>243</v>
      </c>
      <c r="G81" s="1">
        <v>45413</v>
      </c>
      <c r="H81" s="1">
        <v>46066</v>
      </c>
      <c r="I81" t="s">
        <v>15</v>
      </c>
      <c r="J81" t="s">
        <v>166</v>
      </c>
      <c r="K81" s="2">
        <v>72.5</v>
      </c>
    </row>
    <row r="82" spans="1:11" x14ac:dyDescent="0.25">
      <c r="A82" t="s">
        <v>11</v>
      </c>
      <c r="B82">
        <v>17528908</v>
      </c>
      <c r="C82">
        <v>17528908</v>
      </c>
      <c r="D82" t="s">
        <v>244</v>
      </c>
      <c r="E82" t="s">
        <v>245</v>
      </c>
      <c r="F82" t="s">
        <v>246</v>
      </c>
      <c r="G82" s="1">
        <v>45717</v>
      </c>
      <c r="H82" s="1">
        <v>46066</v>
      </c>
      <c r="I82" t="s">
        <v>15</v>
      </c>
      <c r="J82" t="s">
        <v>166</v>
      </c>
      <c r="K82" s="2">
        <v>72.5</v>
      </c>
    </row>
    <row r="83" spans="1:11" x14ac:dyDescent="0.25">
      <c r="A83" t="s">
        <v>111</v>
      </c>
      <c r="B83">
        <v>8971826</v>
      </c>
      <c r="C83">
        <v>8971826</v>
      </c>
      <c r="D83" t="s">
        <v>247</v>
      </c>
      <c r="E83" t="s">
        <v>248</v>
      </c>
      <c r="F83" t="s">
        <v>249</v>
      </c>
      <c r="G83" s="1">
        <v>45292</v>
      </c>
      <c r="H83" s="1">
        <v>46066</v>
      </c>
      <c r="I83" t="s">
        <v>15</v>
      </c>
      <c r="J83" t="s">
        <v>166</v>
      </c>
      <c r="K83" s="2">
        <v>72.5</v>
      </c>
    </row>
    <row r="84" spans="1:11" x14ac:dyDescent="0.25">
      <c r="A84" t="s">
        <v>250</v>
      </c>
      <c r="B84">
        <v>18134413</v>
      </c>
      <c r="C84">
        <v>18134413</v>
      </c>
      <c r="D84" t="s">
        <v>128</v>
      </c>
      <c r="E84" t="s">
        <v>251</v>
      </c>
      <c r="F84" t="s">
        <v>116</v>
      </c>
      <c r="G84" s="1">
        <v>45658</v>
      </c>
      <c r="H84" s="1">
        <v>46066</v>
      </c>
      <c r="I84" t="s">
        <v>15</v>
      </c>
      <c r="J84" t="s">
        <v>166</v>
      </c>
      <c r="K84" s="2">
        <v>72.5</v>
      </c>
    </row>
    <row r="85" spans="1:11" x14ac:dyDescent="0.25">
      <c r="A85" t="s">
        <v>11</v>
      </c>
      <c r="B85">
        <v>17528908</v>
      </c>
      <c r="C85">
        <v>17528908</v>
      </c>
      <c r="D85" t="s">
        <v>252</v>
      </c>
      <c r="E85" t="s">
        <v>253</v>
      </c>
      <c r="F85" t="s">
        <v>254</v>
      </c>
      <c r="G85" s="1">
        <v>45658</v>
      </c>
      <c r="H85" s="1">
        <v>46066</v>
      </c>
      <c r="I85" t="s">
        <v>15</v>
      </c>
      <c r="J85" t="s">
        <v>166</v>
      </c>
      <c r="K85" s="2">
        <v>72.5</v>
      </c>
    </row>
    <row r="86" spans="1:11" x14ac:dyDescent="0.25">
      <c r="A86" t="s">
        <v>11</v>
      </c>
      <c r="B86">
        <v>17528908</v>
      </c>
      <c r="C86">
        <v>17528908</v>
      </c>
      <c r="D86" t="s">
        <v>255</v>
      </c>
      <c r="E86" t="s">
        <v>256</v>
      </c>
      <c r="F86" t="s">
        <v>257</v>
      </c>
      <c r="G86" s="1">
        <v>45139</v>
      </c>
      <c r="H86" s="1">
        <v>46066</v>
      </c>
      <c r="I86" t="s">
        <v>15</v>
      </c>
      <c r="J86" t="s">
        <v>166</v>
      </c>
      <c r="K86" s="2">
        <v>72.5</v>
      </c>
    </row>
    <row r="87" spans="1:11" x14ac:dyDescent="0.25">
      <c r="A87" t="s">
        <v>11</v>
      </c>
      <c r="B87">
        <v>17528908</v>
      </c>
      <c r="C87">
        <v>17528908</v>
      </c>
      <c r="D87" t="s">
        <v>258</v>
      </c>
      <c r="E87" t="s">
        <v>259</v>
      </c>
      <c r="F87" t="s">
        <v>260</v>
      </c>
      <c r="G87" s="1">
        <v>45323</v>
      </c>
      <c r="H87" s="1">
        <v>46066</v>
      </c>
      <c r="I87" t="s">
        <v>15</v>
      </c>
      <c r="J87" t="s">
        <v>166</v>
      </c>
      <c r="K87" s="2">
        <v>72.5</v>
      </c>
    </row>
    <row r="88" spans="1:11" x14ac:dyDescent="0.25">
      <c r="A88" t="s">
        <v>30</v>
      </c>
      <c r="C88">
        <v>18710070</v>
      </c>
      <c r="D88" t="s">
        <v>261</v>
      </c>
      <c r="E88" t="s">
        <v>262</v>
      </c>
      <c r="F88" t="s">
        <v>263</v>
      </c>
      <c r="G88" s="1">
        <v>46023</v>
      </c>
      <c r="H88" s="1">
        <v>46066</v>
      </c>
      <c r="I88" t="s">
        <v>15</v>
      </c>
      <c r="J88" t="s">
        <v>166</v>
      </c>
      <c r="K88" s="2">
        <v>108.75</v>
      </c>
    </row>
    <row r="89" spans="1:11" x14ac:dyDescent="0.25">
      <c r="A89" t="s">
        <v>38</v>
      </c>
      <c r="B89">
        <v>18794740</v>
      </c>
      <c r="C89">
        <v>18794740</v>
      </c>
      <c r="D89" t="s">
        <v>97</v>
      </c>
      <c r="E89" t="s">
        <v>264</v>
      </c>
      <c r="F89" t="s">
        <v>265</v>
      </c>
      <c r="G89" s="1">
        <v>44986</v>
      </c>
      <c r="H89" s="1">
        <v>46066</v>
      </c>
      <c r="I89" t="s">
        <v>15</v>
      </c>
      <c r="J89" t="s">
        <v>166</v>
      </c>
      <c r="K89" s="2">
        <v>72.5</v>
      </c>
    </row>
    <row r="90" spans="1:11" x14ac:dyDescent="0.25">
      <c r="A90" t="s">
        <v>11</v>
      </c>
      <c r="B90">
        <v>17528908</v>
      </c>
      <c r="C90">
        <v>17528908</v>
      </c>
      <c r="D90" t="s">
        <v>24</v>
      </c>
      <c r="E90" t="s">
        <v>266</v>
      </c>
      <c r="F90" t="s">
        <v>267</v>
      </c>
      <c r="G90" s="1">
        <v>45383</v>
      </c>
      <c r="H90" s="1">
        <v>46066</v>
      </c>
      <c r="I90" t="s">
        <v>15</v>
      </c>
      <c r="J90" t="s">
        <v>166</v>
      </c>
      <c r="K90" s="2">
        <v>72.5</v>
      </c>
    </row>
    <row r="91" spans="1:11" x14ac:dyDescent="0.25">
      <c r="A91" t="s">
        <v>11</v>
      </c>
      <c r="B91">
        <v>17528908</v>
      </c>
      <c r="C91">
        <v>17528908</v>
      </c>
      <c r="D91" t="s">
        <v>268</v>
      </c>
      <c r="E91" t="s">
        <v>269</v>
      </c>
      <c r="F91" t="s">
        <v>270</v>
      </c>
      <c r="G91" s="1">
        <v>42005</v>
      </c>
      <c r="H91" s="1">
        <v>46066</v>
      </c>
      <c r="I91" t="s">
        <v>15</v>
      </c>
      <c r="J91" t="s">
        <v>166</v>
      </c>
      <c r="K91" s="2">
        <v>72.5</v>
      </c>
    </row>
    <row r="92" spans="1:11" x14ac:dyDescent="0.25">
      <c r="A92" t="s">
        <v>11</v>
      </c>
      <c r="B92">
        <v>17528908</v>
      </c>
      <c r="C92">
        <v>17528908</v>
      </c>
      <c r="D92" t="s">
        <v>190</v>
      </c>
      <c r="E92" t="s">
        <v>271</v>
      </c>
      <c r="F92" t="s">
        <v>272</v>
      </c>
      <c r="G92" s="1">
        <v>45748</v>
      </c>
      <c r="H92" s="1">
        <v>46066</v>
      </c>
      <c r="I92" t="s">
        <v>15</v>
      </c>
      <c r="J92" t="s">
        <v>166</v>
      </c>
      <c r="K92" s="2">
        <v>72.5</v>
      </c>
    </row>
    <row r="93" spans="1:11" x14ac:dyDescent="0.25">
      <c r="A93" t="s">
        <v>11</v>
      </c>
      <c r="B93">
        <v>17528908</v>
      </c>
      <c r="C93">
        <v>17528908</v>
      </c>
      <c r="D93" t="s">
        <v>273</v>
      </c>
      <c r="E93" t="s">
        <v>274</v>
      </c>
      <c r="F93" t="s">
        <v>275</v>
      </c>
      <c r="G93" s="1">
        <v>45658</v>
      </c>
      <c r="H93" s="1">
        <v>46066</v>
      </c>
      <c r="I93" t="s">
        <v>15</v>
      </c>
      <c r="J93" t="s">
        <v>166</v>
      </c>
      <c r="K93" s="2">
        <v>72.5</v>
      </c>
    </row>
    <row r="94" spans="1:11" x14ac:dyDescent="0.25">
      <c r="A94" t="s">
        <v>11</v>
      </c>
      <c r="C94">
        <v>17528908</v>
      </c>
      <c r="D94" t="s">
        <v>276</v>
      </c>
      <c r="E94" t="s">
        <v>277</v>
      </c>
      <c r="F94" t="s">
        <v>278</v>
      </c>
      <c r="G94" s="1">
        <v>46023</v>
      </c>
      <c r="H94" s="1">
        <v>46066</v>
      </c>
      <c r="I94" t="s">
        <v>15</v>
      </c>
      <c r="J94" t="s">
        <v>166</v>
      </c>
      <c r="K94" s="2">
        <v>108.75</v>
      </c>
    </row>
    <row r="95" spans="1:11" x14ac:dyDescent="0.25">
      <c r="A95" t="s">
        <v>11</v>
      </c>
      <c r="B95">
        <v>17528908</v>
      </c>
      <c r="C95">
        <v>17528908</v>
      </c>
      <c r="D95" t="s">
        <v>279</v>
      </c>
      <c r="E95" t="s">
        <v>280</v>
      </c>
      <c r="F95" t="s">
        <v>281</v>
      </c>
      <c r="G95" s="1">
        <v>45658</v>
      </c>
      <c r="H95" s="1">
        <v>46066</v>
      </c>
      <c r="I95" t="s">
        <v>15</v>
      </c>
      <c r="J95" t="s">
        <v>166</v>
      </c>
      <c r="K95" s="2">
        <v>72.5</v>
      </c>
    </row>
    <row r="96" spans="1:11" x14ac:dyDescent="0.25">
      <c r="A96" t="s">
        <v>11</v>
      </c>
      <c r="B96">
        <v>17528908</v>
      </c>
      <c r="C96">
        <v>17528908</v>
      </c>
      <c r="D96" t="s">
        <v>64</v>
      </c>
      <c r="E96" t="s">
        <v>219</v>
      </c>
      <c r="F96" t="s">
        <v>282</v>
      </c>
      <c r="G96" s="1">
        <v>42005</v>
      </c>
      <c r="H96" s="1">
        <v>46066</v>
      </c>
      <c r="I96" t="s">
        <v>15</v>
      </c>
      <c r="J96" t="s">
        <v>166</v>
      </c>
      <c r="K96" s="2">
        <v>72.5</v>
      </c>
    </row>
    <row r="97" spans="1:11" x14ac:dyDescent="0.25">
      <c r="A97" t="s">
        <v>38</v>
      </c>
      <c r="B97">
        <v>18794740</v>
      </c>
      <c r="C97">
        <v>18794740</v>
      </c>
      <c r="D97" t="s">
        <v>258</v>
      </c>
      <c r="E97" t="s">
        <v>283</v>
      </c>
      <c r="F97" t="s">
        <v>284</v>
      </c>
      <c r="G97" s="1">
        <v>45292</v>
      </c>
      <c r="H97" s="1">
        <v>46066</v>
      </c>
      <c r="I97" t="s">
        <v>15</v>
      </c>
      <c r="J97" t="s">
        <v>166</v>
      </c>
      <c r="K97" s="2">
        <v>72.5</v>
      </c>
    </row>
    <row r="98" spans="1:11" x14ac:dyDescent="0.25">
      <c r="A98" t="s">
        <v>11</v>
      </c>
      <c r="C98">
        <v>17528908</v>
      </c>
      <c r="D98" t="s">
        <v>285</v>
      </c>
      <c r="E98" t="s">
        <v>286</v>
      </c>
      <c r="F98" t="s">
        <v>287</v>
      </c>
      <c r="G98" s="1">
        <v>46023</v>
      </c>
      <c r="H98" s="1">
        <v>46066</v>
      </c>
      <c r="I98" t="s">
        <v>15</v>
      </c>
      <c r="J98" t="s">
        <v>166</v>
      </c>
      <c r="K98" s="2">
        <v>108.75</v>
      </c>
    </row>
    <row r="99" spans="1:11" x14ac:dyDescent="0.25">
      <c r="A99" t="s">
        <v>11</v>
      </c>
      <c r="B99">
        <v>17528908</v>
      </c>
      <c r="C99">
        <v>17528908</v>
      </c>
      <c r="D99" t="s">
        <v>288</v>
      </c>
      <c r="E99" t="s">
        <v>289</v>
      </c>
      <c r="F99" t="s">
        <v>163</v>
      </c>
      <c r="G99" s="1">
        <v>42005</v>
      </c>
      <c r="H99" s="1">
        <v>46066</v>
      </c>
      <c r="I99" t="s">
        <v>15</v>
      </c>
      <c r="J99" t="s">
        <v>166</v>
      </c>
      <c r="K99" s="2">
        <v>72.5</v>
      </c>
    </row>
    <row r="100" spans="1:11" x14ac:dyDescent="0.25">
      <c r="A100" t="s">
        <v>23</v>
      </c>
      <c r="C100">
        <v>16212649</v>
      </c>
      <c r="D100" t="s">
        <v>290</v>
      </c>
      <c r="E100" t="s">
        <v>291</v>
      </c>
      <c r="F100" t="s">
        <v>292</v>
      </c>
      <c r="G100" s="1">
        <v>46023</v>
      </c>
      <c r="H100" s="1">
        <v>46066</v>
      </c>
      <c r="I100" t="s">
        <v>15</v>
      </c>
      <c r="J100" t="s">
        <v>166</v>
      </c>
      <c r="K100" s="2">
        <v>108.75</v>
      </c>
    </row>
    <row r="101" spans="1:11" x14ac:dyDescent="0.25">
      <c r="A101" t="s">
        <v>250</v>
      </c>
      <c r="B101">
        <v>18134413</v>
      </c>
      <c r="C101">
        <v>18134413</v>
      </c>
      <c r="D101" t="s">
        <v>293</v>
      </c>
      <c r="E101" t="s">
        <v>294</v>
      </c>
      <c r="F101" t="s">
        <v>295</v>
      </c>
      <c r="G101" s="1">
        <v>45597</v>
      </c>
      <c r="H101" s="1">
        <v>46066</v>
      </c>
      <c r="I101" t="s">
        <v>15</v>
      </c>
      <c r="J101" t="s">
        <v>166</v>
      </c>
      <c r="K101" s="2">
        <v>72.5</v>
      </c>
    </row>
    <row r="102" spans="1:11" x14ac:dyDescent="0.25">
      <c r="A102" t="s">
        <v>30</v>
      </c>
      <c r="C102">
        <v>18710070</v>
      </c>
      <c r="D102" t="s">
        <v>158</v>
      </c>
      <c r="E102" t="s">
        <v>296</v>
      </c>
      <c r="F102" t="s">
        <v>297</v>
      </c>
      <c r="G102" s="1">
        <v>45292</v>
      </c>
      <c r="H102" s="1">
        <v>46066</v>
      </c>
      <c r="I102" t="s">
        <v>15</v>
      </c>
      <c r="J102" t="s">
        <v>166</v>
      </c>
      <c r="K102" s="2">
        <v>72.5</v>
      </c>
    </row>
    <row r="103" spans="1:11" x14ac:dyDescent="0.25">
      <c r="A103" t="s">
        <v>11</v>
      </c>
      <c r="C103">
        <v>17528908</v>
      </c>
      <c r="D103" t="s">
        <v>193</v>
      </c>
      <c r="E103" t="s">
        <v>199</v>
      </c>
      <c r="F103" t="s">
        <v>298</v>
      </c>
      <c r="G103" s="1">
        <v>46023</v>
      </c>
      <c r="H103" s="1">
        <v>46066</v>
      </c>
      <c r="I103" t="s">
        <v>15</v>
      </c>
      <c r="J103" t="s">
        <v>166</v>
      </c>
      <c r="K103" s="2">
        <v>108.75</v>
      </c>
    </row>
    <row r="104" spans="1:11" x14ac:dyDescent="0.25">
      <c r="A104" t="s">
        <v>11</v>
      </c>
      <c r="B104">
        <v>17528908</v>
      </c>
      <c r="C104">
        <v>17528908</v>
      </c>
      <c r="D104" t="s">
        <v>299</v>
      </c>
      <c r="E104" t="s">
        <v>300</v>
      </c>
      <c r="F104" t="s">
        <v>301</v>
      </c>
      <c r="G104" s="1">
        <v>45658</v>
      </c>
      <c r="H104" s="1">
        <v>46066</v>
      </c>
      <c r="I104" t="s">
        <v>15</v>
      </c>
      <c r="J104" t="s">
        <v>166</v>
      </c>
      <c r="K104" s="2">
        <v>72.5</v>
      </c>
    </row>
    <row r="105" spans="1:11" x14ac:dyDescent="0.25">
      <c r="A105" t="s">
        <v>11</v>
      </c>
      <c r="B105">
        <v>17528908</v>
      </c>
      <c r="C105">
        <v>17528908</v>
      </c>
      <c r="D105" t="s">
        <v>302</v>
      </c>
      <c r="E105" t="s">
        <v>303</v>
      </c>
      <c r="F105" t="s">
        <v>304</v>
      </c>
      <c r="G105" s="1">
        <v>45292</v>
      </c>
      <c r="H105" s="1">
        <v>46066</v>
      </c>
      <c r="I105" t="s">
        <v>15</v>
      </c>
      <c r="J105" t="s">
        <v>166</v>
      </c>
      <c r="K105" s="2">
        <v>72.5</v>
      </c>
    </row>
    <row r="106" spans="1:11" x14ac:dyDescent="0.25">
      <c r="A106" t="s">
        <v>30</v>
      </c>
      <c r="C106">
        <v>18710070</v>
      </c>
      <c r="D106" t="s">
        <v>305</v>
      </c>
      <c r="E106" t="s">
        <v>306</v>
      </c>
      <c r="F106" t="s">
        <v>307</v>
      </c>
      <c r="G106" s="1">
        <v>46023</v>
      </c>
      <c r="H106" s="1">
        <v>46066</v>
      </c>
      <c r="I106" t="s">
        <v>15</v>
      </c>
      <c r="J106" t="s">
        <v>166</v>
      </c>
      <c r="K106" s="2">
        <v>108.75</v>
      </c>
    </row>
    <row r="107" spans="1:11" x14ac:dyDescent="0.25">
      <c r="A107" t="s">
        <v>11</v>
      </c>
      <c r="C107">
        <v>17528908</v>
      </c>
      <c r="D107" t="s">
        <v>128</v>
      </c>
      <c r="E107" t="s">
        <v>308</v>
      </c>
      <c r="F107" t="s">
        <v>309</v>
      </c>
      <c r="G107" s="1">
        <v>46023</v>
      </c>
      <c r="H107" s="1">
        <v>46066</v>
      </c>
      <c r="I107" t="s">
        <v>15</v>
      </c>
      <c r="J107" t="s">
        <v>166</v>
      </c>
      <c r="K107" s="2">
        <v>108.75</v>
      </c>
    </row>
    <row r="108" spans="1:11" x14ac:dyDescent="0.25">
      <c r="A108" t="s">
        <v>30</v>
      </c>
      <c r="C108">
        <v>18710070</v>
      </c>
      <c r="D108" t="s">
        <v>310</v>
      </c>
      <c r="E108" t="s">
        <v>311</v>
      </c>
      <c r="F108" t="s">
        <v>312</v>
      </c>
      <c r="G108" s="1">
        <v>45658</v>
      </c>
      <c r="H108" s="1">
        <v>46066</v>
      </c>
      <c r="I108" t="s">
        <v>15</v>
      </c>
      <c r="J108" t="s">
        <v>166</v>
      </c>
      <c r="K108" s="2">
        <v>72.5</v>
      </c>
    </row>
    <row r="109" spans="1:11" x14ac:dyDescent="0.25">
      <c r="A109" t="s">
        <v>11</v>
      </c>
      <c r="B109">
        <v>17528908</v>
      </c>
      <c r="C109">
        <v>17528908</v>
      </c>
      <c r="D109" t="s">
        <v>61</v>
      </c>
      <c r="E109" t="s">
        <v>313</v>
      </c>
      <c r="F109" t="s">
        <v>314</v>
      </c>
      <c r="G109" s="1">
        <v>45292</v>
      </c>
      <c r="H109" s="1">
        <v>46066</v>
      </c>
      <c r="I109" t="s">
        <v>15</v>
      </c>
      <c r="J109" t="s">
        <v>166</v>
      </c>
      <c r="K109" s="2">
        <v>72.5</v>
      </c>
    </row>
    <row r="110" spans="1:11" x14ac:dyDescent="0.25">
      <c r="A110" t="s">
        <v>11</v>
      </c>
      <c r="B110">
        <v>17528908</v>
      </c>
      <c r="C110">
        <v>17528908</v>
      </c>
      <c r="D110" t="s">
        <v>114</v>
      </c>
      <c r="E110" t="s">
        <v>315</v>
      </c>
      <c r="F110" t="s">
        <v>316</v>
      </c>
      <c r="G110" s="1">
        <v>45505</v>
      </c>
      <c r="H110" s="1">
        <v>46066</v>
      </c>
      <c r="I110" t="s">
        <v>15</v>
      </c>
      <c r="J110" t="s">
        <v>166</v>
      </c>
      <c r="K110" s="2">
        <v>72.5</v>
      </c>
    </row>
    <row r="111" spans="1:11" x14ac:dyDescent="0.25">
      <c r="A111" t="s">
        <v>30</v>
      </c>
      <c r="C111">
        <v>18710070</v>
      </c>
      <c r="D111" t="s">
        <v>128</v>
      </c>
      <c r="E111" t="s">
        <v>317</v>
      </c>
      <c r="F111" t="s">
        <v>318</v>
      </c>
      <c r="G111" s="1">
        <v>46023</v>
      </c>
      <c r="H111" s="1">
        <v>46066</v>
      </c>
      <c r="I111" t="s">
        <v>15</v>
      </c>
      <c r="J111" t="s">
        <v>166</v>
      </c>
      <c r="K111" s="2">
        <v>108.75</v>
      </c>
    </row>
    <row r="112" spans="1:11" x14ac:dyDescent="0.25">
      <c r="A112" t="s">
        <v>30</v>
      </c>
      <c r="C112">
        <v>18710070</v>
      </c>
      <c r="D112" t="s">
        <v>319</v>
      </c>
      <c r="E112" t="s">
        <v>320</v>
      </c>
      <c r="F112" t="s">
        <v>275</v>
      </c>
      <c r="G112" s="1">
        <v>44866</v>
      </c>
      <c r="H112" s="1">
        <v>46066</v>
      </c>
      <c r="I112" t="s">
        <v>15</v>
      </c>
      <c r="J112" t="s">
        <v>166</v>
      </c>
      <c r="K112" s="2">
        <v>72.5</v>
      </c>
    </row>
    <row r="113" spans="1:11" x14ac:dyDescent="0.25">
      <c r="A113" t="s">
        <v>11</v>
      </c>
      <c r="B113">
        <v>17528908</v>
      </c>
      <c r="C113">
        <v>17528908</v>
      </c>
      <c r="D113" t="s">
        <v>321</v>
      </c>
      <c r="E113" t="s">
        <v>322</v>
      </c>
      <c r="F113" t="s">
        <v>323</v>
      </c>
      <c r="G113" s="1">
        <v>45658</v>
      </c>
      <c r="H113" s="1">
        <v>46066</v>
      </c>
      <c r="I113" t="s">
        <v>15</v>
      </c>
      <c r="J113" t="s">
        <v>166</v>
      </c>
      <c r="K113" s="2">
        <v>72.5</v>
      </c>
    </row>
    <row r="114" spans="1:11" x14ac:dyDescent="0.25">
      <c r="A114" t="s">
        <v>324</v>
      </c>
      <c r="B114">
        <v>9254978</v>
      </c>
      <c r="C114">
        <v>9254978</v>
      </c>
      <c r="D114" t="s">
        <v>325</v>
      </c>
      <c r="E114" t="s">
        <v>326</v>
      </c>
      <c r="F114" t="s">
        <v>327</v>
      </c>
      <c r="G114" s="1">
        <v>45658</v>
      </c>
      <c r="H114" s="1">
        <v>46066</v>
      </c>
      <c r="I114" t="s">
        <v>15</v>
      </c>
      <c r="J114" t="s">
        <v>166</v>
      </c>
      <c r="K114" s="2">
        <v>72.5</v>
      </c>
    </row>
    <row r="115" spans="1:11" x14ac:dyDescent="0.25">
      <c r="A115" t="s">
        <v>11</v>
      </c>
      <c r="B115">
        <v>17528908</v>
      </c>
      <c r="C115">
        <v>17528908</v>
      </c>
      <c r="D115" t="s">
        <v>193</v>
      </c>
      <c r="E115" t="s">
        <v>274</v>
      </c>
      <c r="F115" t="s">
        <v>328</v>
      </c>
      <c r="G115" s="1">
        <v>45658</v>
      </c>
      <c r="H115" s="1">
        <v>46066</v>
      </c>
      <c r="I115" t="s">
        <v>15</v>
      </c>
      <c r="J115" t="s">
        <v>166</v>
      </c>
      <c r="K115" s="2">
        <v>72.5</v>
      </c>
    </row>
    <row r="116" spans="1:11" x14ac:dyDescent="0.25">
      <c r="A116" t="s">
        <v>11</v>
      </c>
      <c r="B116">
        <v>17528908</v>
      </c>
      <c r="C116">
        <v>17528908</v>
      </c>
      <c r="D116" t="s">
        <v>215</v>
      </c>
      <c r="E116" t="s">
        <v>329</v>
      </c>
      <c r="F116" t="s">
        <v>330</v>
      </c>
      <c r="G116" s="1">
        <v>45323</v>
      </c>
      <c r="H116" s="1">
        <v>46066</v>
      </c>
      <c r="I116" t="s">
        <v>15</v>
      </c>
      <c r="J116" t="s">
        <v>166</v>
      </c>
      <c r="K116" s="2">
        <v>72.5</v>
      </c>
    </row>
    <row r="117" spans="1:11" x14ac:dyDescent="0.25">
      <c r="A117" t="s">
        <v>30</v>
      </c>
      <c r="C117">
        <v>18710070</v>
      </c>
      <c r="D117" t="s">
        <v>331</v>
      </c>
      <c r="E117" t="s">
        <v>332</v>
      </c>
      <c r="F117" t="s">
        <v>333</v>
      </c>
      <c r="G117" s="1">
        <v>45658</v>
      </c>
      <c r="H117" s="1">
        <v>46066</v>
      </c>
      <c r="I117" t="s">
        <v>15</v>
      </c>
      <c r="J117" t="s">
        <v>166</v>
      </c>
      <c r="K117" s="2">
        <v>72.5</v>
      </c>
    </row>
    <row r="118" spans="1:11" x14ac:dyDescent="0.25">
      <c r="A118" t="s">
        <v>11</v>
      </c>
      <c r="B118">
        <v>17528908</v>
      </c>
      <c r="C118">
        <v>17528908</v>
      </c>
      <c r="D118" t="s">
        <v>302</v>
      </c>
      <c r="E118" t="s">
        <v>334</v>
      </c>
      <c r="F118" t="s">
        <v>335</v>
      </c>
      <c r="G118" s="1">
        <v>44896</v>
      </c>
      <c r="H118" s="1">
        <v>46066</v>
      </c>
      <c r="I118" t="s">
        <v>15</v>
      </c>
      <c r="J118" t="s">
        <v>166</v>
      </c>
      <c r="K118" s="2">
        <v>72.5</v>
      </c>
    </row>
    <row r="119" spans="1:11" x14ac:dyDescent="0.25">
      <c r="A119" t="s">
        <v>38</v>
      </c>
      <c r="B119">
        <v>18794740</v>
      </c>
      <c r="C119">
        <v>18794740</v>
      </c>
      <c r="D119" t="s">
        <v>203</v>
      </c>
      <c r="E119" t="s">
        <v>336</v>
      </c>
      <c r="F119" t="s">
        <v>337</v>
      </c>
      <c r="G119" s="1">
        <v>45809</v>
      </c>
      <c r="H119" s="1">
        <v>46066</v>
      </c>
      <c r="I119" t="s">
        <v>15</v>
      </c>
      <c r="J119" t="s">
        <v>166</v>
      </c>
      <c r="K119" s="2">
        <v>72.5</v>
      </c>
    </row>
    <row r="120" spans="1:11" x14ac:dyDescent="0.25">
      <c r="A120" t="s">
        <v>11</v>
      </c>
      <c r="B120">
        <v>17528908</v>
      </c>
      <c r="C120">
        <v>17528908</v>
      </c>
      <c r="D120" t="s">
        <v>31</v>
      </c>
      <c r="E120" t="s">
        <v>338</v>
      </c>
      <c r="F120" t="s">
        <v>339</v>
      </c>
      <c r="G120" s="1">
        <v>45505</v>
      </c>
      <c r="H120" s="1">
        <v>46066</v>
      </c>
      <c r="I120" t="s">
        <v>15</v>
      </c>
      <c r="J120" t="s">
        <v>166</v>
      </c>
      <c r="K120" s="2">
        <v>72.5</v>
      </c>
    </row>
    <row r="121" spans="1:11" x14ac:dyDescent="0.25">
      <c r="A121" t="s">
        <v>11</v>
      </c>
      <c r="B121">
        <v>17528908</v>
      </c>
      <c r="C121">
        <v>17528908</v>
      </c>
      <c r="D121" t="s">
        <v>340</v>
      </c>
      <c r="E121" t="s">
        <v>341</v>
      </c>
      <c r="F121" t="s">
        <v>342</v>
      </c>
      <c r="G121" s="1">
        <v>45658</v>
      </c>
      <c r="H121" s="1">
        <v>46066</v>
      </c>
      <c r="I121" t="s">
        <v>15</v>
      </c>
      <c r="J121" t="s">
        <v>166</v>
      </c>
      <c r="K121" s="2">
        <v>72.5</v>
      </c>
    </row>
    <row r="122" spans="1:11" x14ac:dyDescent="0.25">
      <c r="A122" t="s">
        <v>343</v>
      </c>
      <c r="B122">
        <v>19278370</v>
      </c>
      <c r="C122">
        <v>19278370</v>
      </c>
      <c r="D122" t="s">
        <v>344</v>
      </c>
      <c r="E122" t="s">
        <v>345</v>
      </c>
      <c r="F122" t="s">
        <v>346</v>
      </c>
      <c r="G122" s="1">
        <v>45689</v>
      </c>
      <c r="H122" s="1">
        <v>46066</v>
      </c>
      <c r="I122" t="s">
        <v>15</v>
      </c>
      <c r="J122" t="s">
        <v>166</v>
      </c>
      <c r="K122" s="2">
        <v>72.5</v>
      </c>
    </row>
    <row r="123" spans="1:11" x14ac:dyDescent="0.25">
      <c r="A123" t="s">
        <v>55</v>
      </c>
      <c r="C123">
        <v>15950276</v>
      </c>
      <c r="D123" t="s">
        <v>258</v>
      </c>
      <c r="E123" t="s">
        <v>347</v>
      </c>
      <c r="F123" t="s">
        <v>348</v>
      </c>
      <c r="G123" s="1">
        <v>45748</v>
      </c>
      <c r="H123" s="1">
        <v>46066</v>
      </c>
      <c r="I123" t="s">
        <v>15</v>
      </c>
      <c r="J123" t="s">
        <v>166</v>
      </c>
      <c r="K123" s="2">
        <v>108.75</v>
      </c>
    </row>
    <row r="124" spans="1:11" x14ac:dyDescent="0.25">
      <c r="A124" t="s">
        <v>30</v>
      </c>
      <c r="C124">
        <v>18710070</v>
      </c>
      <c r="D124" t="s">
        <v>58</v>
      </c>
      <c r="E124" t="s">
        <v>336</v>
      </c>
      <c r="F124" t="s">
        <v>349</v>
      </c>
      <c r="G124" s="1">
        <v>46023</v>
      </c>
      <c r="H124" s="1">
        <v>46066</v>
      </c>
      <c r="I124" t="s">
        <v>15</v>
      </c>
      <c r="J124" t="s">
        <v>166</v>
      </c>
      <c r="K124" s="2">
        <v>108.75</v>
      </c>
    </row>
    <row r="125" spans="1:11" x14ac:dyDescent="0.25">
      <c r="A125" t="s">
        <v>30</v>
      </c>
      <c r="C125">
        <v>18710070</v>
      </c>
      <c r="D125" t="s">
        <v>350</v>
      </c>
      <c r="E125" t="s">
        <v>351</v>
      </c>
      <c r="F125" t="s">
        <v>352</v>
      </c>
      <c r="G125" s="1">
        <v>45658</v>
      </c>
      <c r="H125" s="1">
        <v>46066</v>
      </c>
      <c r="I125" t="s">
        <v>15</v>
      </c>
      <c r="J125" t="s">
        <v>166</v>
      </c>
      <c r="K125" s="2">
        <v>72.5</v>
      </c>
    </row>
    <row r="126" spans="1:11" x14ac:dyDescent="0.25">
      <c r="A126" t="s">
        <v>30</v>
      </c>
      <c r="C126">
        <v>18710070</v>
      </c>
      <c r="D126" t="s">
        <v>244</v>
      </c>
      <c r="E126" t="s">
        <v>353</v>
      </c>
      <c r="F126" t="s">
        <v>354</v>
      </c>
      <c r="G126" s="1">
        <v>46023</v>
      </c>
      <c r="H126" s="1">
        <v>46066</v>
      </c>
      <c r="I126" t="s">
        <v>15</v>
      </c>
      <c r="J126" t="s">
        <v>166</v>
      </c>
      <c r="K126" s="2">
        <v>108.75</v>
      </c>
    </row>
    <row r="127" spans="1:11" x14ac:dyDescent="0.25">
      <c r="A127" t="s">
        <v>11</v>
      </c>
      <c r="C127">
        <v>17528908</v>
      </c>
      <c r="D127" t="s">
        <v>117</v>
      </c>
      <c r="E127" t="s">
        <v>355</v>
      </c>
      <c r="F127" t="s">
        <v>356</v>
      </c>
      <c r="G127" s="1">
        <v>46023</v>
      </c>
      <c r="H127" s="1">
        <v>46066</v>
      </c>
      <c r="I127" t="s">
        <v>15</v>
      </c>
      <c r="J127" t="s">
        <v>166</v>
      </c>
      <c r="K127" s="2">
        <v>108.75</v>
      </c>
    </row>
    <row r="128" spans="1:11" x14ac:dyDescent="0.25">
      <c r="A128" t="s">
        <v>11</v>
      </c>
      <c r="B128">
        <v>17528908</v>
      </c>
      <c r="C128">
        <v>17528908</v>
      </c>
      <c r="D128" t="s">
        <v>357</v>
      </c>
      <c r="E128" t="s">
        <v>204</v>
      </c>
      <c r="F128" t="s">
        <v>358</v>
      </c>
      <c r="G128" s="1">
        <v>45444</v>
      </c>
      <c r="H128" s="1">
        <v>46066</v>
      </c>
      <c r="I128" t="s">
        <v>15</v>
      </c>
      <c r="J128" t="s">
        <v>166</v>
      </c>
      <c r="K128" s="2">
        <v>72.5</v>
      </c>
    </row>
    <row r="129" spans="1:11" x14ac:dyDescent="0.25">
      <c r="A129" t="s">
        <v>30</v>
      </c>
      <c r="C129">
        <v>18710070</v>
      </c>
      <c r="D129" t="s">
        <v>229</v>
      </c>
      <c r="E129" t="s">
        <v>359</v>
      </c>
      <c r="F129" t="s">
        <v>360</v>
      </c>
      <c r="G129" s="1">
        <v>46023</v>
      </c>
      <c r="H129" s="1">
        <v>46066</v>
      </c>
      <c r="I129" t="s">
        <v>15</v>
      </c>
      <c r="J129" t="s">
        <v>166</v>
      </c>
      <c r="K129" s="2">
        <v>108.75</v>
      </c>
    </row>
    <row r="130" spans="1:11" x14ac:dyDescent="0.25">
      <c r="A130" t="s">
        <v>30</v>
      </c>
      <c r="C130">
        <v>18710070</v>
      </c>
      <c r="D130" t="s">
        <v>361</v>
      </c>
      <c r="E130" t="s">
        <v>362</v>
      </c>
      <c r="F130" t="s">
        <v>363</v>
      </c>
      <c r="G130" s="1">
        <v>45292</v>
      </c>
      <c r="H130" s="1">
        <v>46066</v>
      </c>
      <c r="I130" t="s">
        <v>15</v>
      </c>
      <c r="J130" t="s">
        <v>166</v>
      </c>
      <c r="K130" s="2">
        <v>72.5</v>
      </c>
    </row>
    <row r="131" spans="1:11" x14ac:dyDescent="0.25">
      <c r="A131" t="s">
        <v>11</v>
      </c>
      <c r="B131">
        <v>17528908</v>
      </c>
      <c r="C131">
        <v>17528908</v>
      </c>
      <c r="D131" t="s">
        <v>128</v>
      </c>
      <c r="E131" t="s">
        <v>364</v>
      </c>
      <c r="F131" t="s">
        <v>365</v>
      </c>
      <c r="G131" s="1">
        <v>44927</v>
      </c>
      <c r="H131" s="1">
        <v>46066</v>
      </c>
      <c r="I131" t="s">
        <v>15</v>
      </c>
      <c r="J131" t="s">
        <v>166</v>
      </c>
      <c r="K131" s="2">
        <v>72.5</v>
      </c>
    </row>
    <row r="132" spans="1:11" x14ac:dyDescent="0.25">
      <c r="A132" t="s">
        <v>30</v>
      </c>
      <c r="C132">
        <v>18710070</v>
      </c>
      <c r="D132" t="s">
        <v>350</v>
      </c>
      <c r="E132" t="s">
        <v>366</v>
      </c>
      <c r="F132" t="s">
        <v>367</v>
      </c>
      <c r="G132" s="1">
        <v>45962</v>
      </c>
      <c r="H132" s="1">
        <v>46066</v>
      </c>
      <c r="I132" t="s">
        <v>15</v>
      </c>
      <c r="J132" t="s">
        <v>166</v>
      </c>
      <c r="K132" s="2">
        <v>108.75</v>
      </c>
    </row>
    <row r="133" spans="1:11" x14ac:dyDescent="0.25">
      <c r="A133" t="s">
        <v>55</v>
      </c>
      <c r="C133">
        <v>15950276</v>
      </c>
      <c r="D133" t="s">
        <v>117</v>
      </c>
      <c r="E133" t="s">
        <v>347</v>
      </c>
      <c r="F133" t="s">
        <v>368</v>
      </c>
      <c r="G133" s="1">
        <v>45748</v>
      </c>
      <c r="H133" s="1">
        <v>46066</v>
      </c>
      <c r="I133" t="s">
        <v>15</v>
      </c>
      <c r="J133" t="s">
        <v>166</v>
      </c>
      <c r="K133" s="2">
        <v>108.75</v>
      </c>
    </row>
    <row r="134" spans="1:11" x14ac:dyDescent="0.25">
      <c r="A134" t="s">
        <v>11</v>
      </c>
      <c r="C134">
        <v>17528908</v>
      </c>
      <c r="D134" t="s">
        <v>369</v>
      </c>
      <c r="E134" t="s">
        <v>370</v>
      </c>
      <c r="F134" t="s">
        <v>371</v>
      </c>
      <c r="G134" s="1">
        <v>45901</v>
      </c>
      <c r="H134" s="1">
        <v>46066</v>
      </c>
      <c r="I134" t="s">
        <v>15</v>
      </c>
      <c r="J134" t="s">
        <v>166</v>
      </c>
      <c r="K134" s="2">
        <v>108.75</v>
      </c>
    </row>
    <row r="135" spans="1:11" x14ac:dyDescent="0.25">
      <c r="A135" t="s">
        <v>30</v>
      </c>
      <c r="C135">
        <v>18710070</v>
      </c>
      <c r="D135" t="s">
        <v>64</v>
      </c>
      <c r="E135" t="s">
        <v>372</v>
      </c>
      <c r="F135" t="s">
        <v>373</v>
      </c>
      <c r="G135" s="1">
        <v>46023</v>
      </c>
      <c r="H135" s="1">
        <v>46066</v>
      </c>
      <c r="I135" t="s">
        <v>15</v>
      </c>
      <c r="J135" t="s">
        <v>166</v>
      </c>
      <c r="K135" s="2">
        <v>108.75</v>
      </c>
    </row>
    <row r="136" spans="1:11" x14ac:dyDescent="0.25">
      <c r="A136" t="s">
        <v>11</v>
      </c>
      <c r="B136">
        <v>17528908</v>
      </c>
      <c r="C136">
        <v>17528908</v>
      </c>
      <c r="D136" t="s">
        <v>374</v>
      </c>
      <c r="E136" t="s">
        <v>375</v>
      </c>
      <c r="F136" t="s">
        <v>376</v>
      </c>
      <c r="G136" s="1">
        <v>44927</v>
      </c>
      <c r="H136" s="1">
        <v>46066</v>
      </c>
      <c r="I136" t="s">
        <v>15</v>
      </c>
      <c r="J136" t="s">
        <v>166</v>
      </c>
      <c r="K136" s="2">
        <v>72.5</v>
      </c>
    </row>
    <row r="137" spans="1:11" x14ac:dyDescent="0.25">
      <c r="A137" t="s">
        <v>30</v>
      </c>
      <c r="C137">
        <v>18710070</v>
      </c>
      <c r="D137" t="s">
        <v>377</v>
      </c>
      <c r="E137" t="s">
        <v>378</v>
      </c>
      <c r="F137" t="s">
        <v>379</v>
      </c>
      <c r="G137" s="1">
        <v>46023</v>
      </c>
      <c r="H137" s="1">
        <v>46066</v>
      </c>
      <c r="I137" t="s">
        <v>15</v>
      </c>
      <c r="J137" t="s">
        <v>166</v>
      </c>
      <c r="K137" s="2">
        <v>108.75</v>
      </c>
    </row>
    <row r="138" spans="1:11" x14ac:dyDescent="0.25">
      <c r="A138" t="s">
        <v>11</v>
      </c>
      <c r="C138">
        <v>17528908</v>
      </c>
      <c r="D138" t="s">
        <v>380</v>
      </c>
      <c r="E138" t="s">
        <v>233</v>
      </c>
      <c r="F138" t="s">
        <v>381</v>
      </c>
      <c r="G138" s="1">
        <v>46023</v>
      </c>
      <c r="H138" s="1">
        <v>46066</v>
      </c>
      <c r="I138" t="s">
        <v>15</v>
      </c>
      <c r="J138" t="s">
        <v>166</v>
      </c>
      <c r="K138" s="2">
        <v>108.75</v>
      </c>
    </row>
    <row r="139" spans="1:11" x14ac:dyDescent="0.25">
      <c r="A139" t="s">
        <v>382</v>
      </c>
      <c r="C139">
        <v>21618313</v>
      </c>
      <c r="D139" t="s">
        <v>128</v>
      </c>
      <c r="E139" t="s">
        <v>383</v>
      </c>
      <c r="F139" t="s">
        <v>384</v>
      </c>
      <c r="G139" s="1">
        <v>44927</v>
      </c>
      <c r="H139" s="1">
        <v>46066</v>
      </c>
      <c r="I139" t="s">
        <v>15</v>
      </c>
      <c r="J139" t="s">
        <v>166</v>
      </c>
      <c r="K139" s="2">
        <v>72.5</v>
      </c>
    </row>
    <row r="140" spans="1:11" x14ac:dyDescent="0.25">
      <c r="A140" t="s">
        <v>30</v>
      </c>
      <c r="C140">
        <v>18710070</v>
      </c>
      <c r="D140" t="s">
        <v>114</v>
      </c>
      <c r="E140" t="s">
        <v>372</v>
      </c>
      <c r="F140" t="s">
        <v>385</v>
      </c>
      <c r="G140" s="1">
        <v>46023</v>
      </c>
      <c r="H140" s="1">
        <v>46066</v>
      </c>
      <c r="I140" t="s">
        <v>15</v>
      </c>
      <c r="J140" t="s">
        <v>166</v>
      </c>
      <c r="K140" s="2">
        <v>108.75</v>
      </c>
    </row>
    <row r="141" spans="1:11" x14ac:dyDescent="0.25">
      <c r="A141" t="s">
        <v>11</v>
      </c>
      <c r="B141">
        <v>17528908</v>
      </c>
      <c r="C141">
        <v>17528908</v>
      </c>
      <c r="D141" t="s">
        <v>386</v>
      </c>
      <c r="E141" t="s">
        <v>387</v>
      </c>
      <c r="F141" t="s">
        <v>388</v>
      </c>
      <c r="G141" s="1">
        <v>44682</v>
      </c>
      <c r="H141" s="1">
        <v>46066</v>
      </c>
      <c r="I141" t="s">
        <v>15</v>
      </c>
      <c r="J141" t="s">
        <v>166</v>
      </c>
      <c r="K141" s="2">
        <v>72.5</v>
      </c>
    </row>
    <row r="142" spans="1:11" x14ac:dyDescent="0.25">
      <c r="A142" t="s">
        <v>30</v>
      </c>
      <c r="C142">
        <v>18710070</v>
      </c>
      <c r="D142" t="s">
        <v>24</v>
      </c>
      <c r="E142" t="s">
        <v>227</v>
      </c>
      <c r="F142" t="s">
        <v>389</v>
      </c>
      <c r="G142" s="1">
        <v>46023</v>
      </c>
      <c r="H142" s="1">
        <v>46066</v>
      </c>
      <c r="I142" t="s">
        <v>15</v>
      </c>
      <c r="J142" t="s">
        <v>166</v>
      </c>
      <c r="K142" s="2">
        <v>108.75</v>
      </c>
    </row>
    <row r="143" spans="1:11" x14ac:dyDescent="0.25">
      <c r="A143" t="s">
        <v>11</v>
      </c>
      <c r="C143">
        <v>17528908</v>
      </c>
      <c r="D143" t="s">
        <v>390</v>
      </c>
      <c r="E143" t="s">
        <v>391</v>
      </c>
      <c r="F143" t="s">
        <v>392</v>
      </c>
      <c r="G143" s="1">
        <v>45901</v>
      </c>
      <c r="H143" s="1">
        <v>46066</v>
      </c>
      <c r="I143" t="s">
        <v>15</v>
      </c>
      <c r="J143" t="s">
        <v>166</v>
      </c>
      <c r="K143" s="2">
        <v>108.75</v>
      </c>
    </row>
    <row r="144" spans="1:11" x14ac:dyDescent="0.25">
      <c r="A144" t="s">
        <v>324</v>
      </c>
      <c r="C144">
        <v>9254978</v>
      </c>
      <c r="D144" t="s">
        <v>393</v>
      </c>
      <c r="E144" t="s">
        <v>394</v>
      </c>
      <c r="F144" t="s">
        <v>395</v>
      </c>
      <c r="G144" s="1">
        <v>46023</v>
      </c>
      <c r="H144" s="1">
        <v>46066</v>
      </c>
      <c r="I144" t="s">
        <v>15</v>
      </c>
      <c r="J144" t="s">
        <v>166</v>
      </c>
      <c r="K144" s="2">
        <v>108.75</v>
      </c>
    </row>
    <row r="145" spans="1:11" x14ac:dyDescent="0.25">
      <c r="A145" t="s">
        <v>11</v>
      </c>
      <c r="B145">
        <v>17528908</v>
      </c>
      <c r="C145">
        <v>17528908</v>
      </c>
      <c r="D145" t="s">
        <v>340</v>
      </c>
      <c r="E145" t="s">
        <v>396</v>
      </c>
      <c r="F145" t="s">
        <v>397</v>
      </c>
      <c r="G145" s="1">
        <v>43009</v>
      </c>
      <c r="H145" s="1">
        <v>46066</v>
      </c>
      <c r="I145" t="s">
        <v>15</v>
      </c>
      <c r="J145" t="s">
        <v>166</v>
      </c>
      <c r="K145" s="2">
        <v>72.5</v>
      </c>
    </row>
    <row r="146" spans="1:11" x14ac:dyDescent="0.25">
      <c r="A146" t="s">
        <v>11</v>
      </c>
      <c r="B146">
        <v>17528908</v>
      </c>
      <c r="C146">
        <v>17528908</v>
      </c>
      <c r="D146" t="s">
        <v>131</v>
      </c>
      <c r="E146" t="s">
        <v>398</v>
      </c>
      <c r="F146" t="s">
        <v>399</v>
      </c>
      <c r="G146" s="1">
        <v>43556</v>
      </c>
      <c r="H146" s="1">
        <v>46066</v>
      </c>
      <c r="I146" t="s">
        <v>15</v>
      </c>
      <c r="J146" t="s">
        <v>166</v>
      </c>
      <c r="K146" s="2">
        <v>72.5</v>
      </c>
    </row>
    <row r="147" spans="1:11" x14ac:dyDescent="0.25">
      <c r="A147" t="s">
        <v>38</v>
      </c>
      <c r="B147">
        <v>18794740</v>
      </c>
      <c r="C147">
        <v>18794740</v>
      </c>
      <c r="D147" t="s">
        <v>400</v>
      </c>
      <c r="E147" t="s">
        <v>401</v>
      </c>
      <c r="F147" t="s">
        <v>402</v>
      </c>
      <c r="G147" s="1">
        <v>43831</v>
      </c>
      <c r="H147" s="1">
        <v>46066</v>
      </c>
      <c r="I147" t="s">
        <v>15</v>
      </c>
      <c r="J147" t="s">
        <v>166</v>
      </c>
      <c r="K147" s="2">
        <v>72.5</v>
      </c>
    </row>
    <row r="148" spans="1:11" x14ac:dyDescent="0.25">
      <c r="A148" t="s">
        <v>11</v>
      </c>
      <c r="B148">
        <v>17528908</v>
      </c>
      <c r="C148">
        <v>17528908</v>
      </c>
      <c r="D148" t="s">
        <v>403</v>
      </c>
      <c r="E148" t="s">
        <v>404</v>
      </c>
      <c r="F148" t="s">
        <v>405</v>
      </c>
      <c r="G148" s="1">
        <v>45292</v>
      </c>
      <c r="H148" s="1">
        <v>46066</v>
      </c>
      <c r="I148" t="s">
        <v>15</v>
      </c>
      <c r="J148" t="s">
        <v>166</v>
      </c>
      <c r="K148" s="2">
        <v>72.5</v>
      </c>
    </row>
    <row r="149" spans="1:11" x14ac:dyDescent="0.25">
      <c r="A149" t="s">
        <v>38</v>
      </c>
      <c r="B149">
        <v>18794740</v>
      </c>
      <c r="C149">
        <v>18794740</v>
      </c>
      <c r="D149" t="s">
        <v>331</v>
      </c>
      <c r="E149" t="s">
        <v>406</v>
      </c>
      <c r="F149" t="s">
        <v>407</v>
      </c>
      <c r="G149" s="1">
        <v>44378</v>
      </c>
      <c r="H149" s="1">
        <v>46066</v>
      </c>
      <c r="I149" t="s">
        <v>15</v>
      </c>
      <c r="J149" t="s">
        <v>166</v>
      </c>
      <c r="K149" s="2">
        <v>72.5</v>
      </c>
    </row>
    <row r="150" spans="1:11" x14ac:dyDescent="0.25">
      <c r="A150" t="s">
        <v>55</v>
      </c>
      <c r="C150">
        <v>15950276</v>
      </c>
      <c r="D150" t="s">
        <v>408</v>
      </c>
      <c r="E150" t="s">
        <v>409</v>
      </c>
      <c r="F150" t="s">
        <v>410</v>
      </c>
      <c r="G150" s="1">
        <v>44562</v>
      </c>
      <c r="H150" s="1">
        <v>46066</v>
      </c>
      <c r="I150" t="s">
        <v>15</v>
      </c>
      <c r="J150" t="s">
        <v>166</v>
      </c>
      <c r="K150" s="2">
        <v>108.75</v>
      </c>
    </row>
    <row r="151" spans="1:11" x14ac:dyDescent="0.25">
      <c r="A151" t="s">
        <v>11</v>
      </c>
      <c r="B151">
        <v>17528908</v>
      </c>
      <c r="C151">
        <v>17528908</v>
      </c>
      <c r="D151" t="s">
        <v>190</v>
      </c>
      <c r="E151" t="s">
        <v>411</v>
      </c>
      <c r="F151" t="s">
        <v>412</v>
      </c>
      <c r="G151" s="1">
        <v>44562</v>
      </c>
      <c r="H151" s="1">
        <v>46066</v>
      </c>
      <c r="I151" t="s">
        <v>15</v>
      </c>
      <c r="J151" t="s">
        <v>166</v>
      </c>
      <c r="K151" s="2">
        <v>72.5</v>
      </c>
    </row>
    <row r="152" spans="1:11" x14ac:dyDescent="0.25">
      <c r="A152" t="s">
        <v>38</v>
      </c>
      <c r="B152">
        <v>18794740</v>
      </c>
      <c r="C152">
        <v>18794740</v>
      </c>
      <c r="D152" t="s">
        <v>413</v>
      </c>
      <c r="E152" t="s">
        <v>414</v>
      </c>
      <c r="F152" t="s">
        <v>415</v>
      </c>
      <c r="G152" s="1">
        <v>44562</v>
      </c>
      <c r="H152" s="1">
        <v>46066</v>
      </c>
      <c r="I152" t="s">
        <v>15</v>
      </c>
      <c r="J152" t="s">
        <v>166</v>
      </c>
      <c r="K152" s="2">
        <v>72.5</v>
      </c>
    </row>
    <row r="153" spans="1:11" x14ac:dyDescent="0.25">
      <c r="A153" t="s">
        <v>55</v>
      </c>
      <c r="C153">
        <v>15950276</v>
      </c>
      <c r="D153" t="s">
        <v>229</v>
      </c>
      <c r="E153" t="s">
        <v>416</v>
      </c>
      <c r="F153" t="s">
        <v>417</v>
      </c>
      <c r="G153" s="1">
        <v>44562</v>
      </c>
      <c r="H153" s="1">
        <v>46066</v>
      </c>
      <c r="I153" t="s">
        <v>15</v>
      </c>
      <c r="J153" t="s">
        <v>166</v>
      </c>
      <c r="K153" s="2">
        <v>108.75</v>
      </c>
    </row>
    <row r="154" spans="1:11" x14ac:dyDescent="0.25">
      <c r="A154" t="s">
        <v>30</v>
      </c>
      <c r="C154">
        <v>18710070</v>
      </c>
      <c r="D154" t="s">
        <v>418</v>
      </c>
      <c r="E154" t="s">
        <v>104</v>
      </c>
      <c r="F154" t="s">
        <v>419</v>
      </c>
      <c r="G154" s="1">
        <v>44562</v>
      </c>
      <c r="H154" s="1">
        <v>46066</v>
      </c>
      <c r="I154" t="s">
        <v>15</v>
      </c>
      <c r="J154" t="s">
        <v>166</v>
      </c>
      <c r="K154" s="2">
        <v>72.5</v>
      </c>
    </row>
    <row r="155" spans="1:11" x14ac:dyDescent="0.25">
      <c r="A155" t="s">
        <v>55</v>
      </c>
      <c r="C155">
        <v>15950276</v>
      </c>
      <c r="D155" t="s">
        <v>420</v>
      </c>
      <c r="E155" t="s">
        <v>188</v>
      </c>
      <c r="F155" t="s">
        <v>421</v>
      </c>
      <c r="G155" s="1">
        <v>44562</v>
      </c>
      <c r="H155" s="1">
        <v>46066</v>
      </c>
      <c r="I155" t="s">
        <v>15</v>
      </c>
      <c r="J155" t="s">
        <v>166</v>
      </c>
      <c r="K155" s="2">
        <v>108.75</v>
      </c>
    </row>
    <row r="156" spans="1:11" x14ac:dyDescent="0.25">
      <c r="A156" t="s">
        <v>55</v>
      </c>
      <c r="C156">
        <v>15950276</v>
      </c>
      <c r="D156" t="s">
        <v>184</v>
      </c>
      <c r="E156" t="s">
        <v>422</v>
      </c>
      <c r="F156" t="s">
        <v>423</v>
      </c>
      <c r="G156" s="1">
        <v>44774</v>
      </c>
      <c r="H156" s="1">
        <v>46066</v>
      </c>
      <c r="I156" t="s">
        <v>15</v>
      </c>
      <c r="J156" t="s">
        <v>166</v>
      </c>
      <c r="K156" s="2">
        <v>108.75</v>
      </c>
    </row>
    <row r="157" spans="1:11" x14ac:dyDescent="0.25">
      <c r="A157" t="s">
        <v>55</v>
      </c>
      <c r="C157">
        <v>15950276</v>
      </c>
      <c r="D157" t="s">
        <v>424</v>
      </c>
      <c r="E157" t="s">
        <v>194</v>
      </c>
      <c r="F157" t="s">
        <v>425</v>
      </c>
      <c r="G157" s="1">
        <v>44774</v>
      </c>
      <c r="H157" s="1">
        <v>46066</v>
      </c>
      <c r="I157" t="s">
        <v>15</v>
      </c>
      <c r="J157" t="s">
        <v>166</v>
      </c>
      <c r="K157" s="2">
        <v>108.75</v>
      </c>
    </row>
    <row r="158" spans="1:11" x14ac:dyDescent="0.25">
      <c r="A158" t="s">
        <v>55</v>
      </c>
      <c r="C158">
        <v>15950276</v>
      </c>
      <c r="D158" t="s">
        <v>426</v>
      </c>
      <c r="E158" t="s">
        <v>427</v>
      </c>
      <c r="F158" t="s">
        <v>428</v>
      </c>
      <c r="G158" s="1">
        <v>45323</v>
      </c>
      <c r="H158" s="1">
        <v>46066</v>
      </c>
      <c r="I158" t="s">
        <v>15</v>
      </c>
      <c r="J158" t="s">
        <v>166</v>
      </c>
      <c r="K158" s="2">
        <v>108.75</v>
      </c>
    </row>
    <row r="159" spans="1:11" x14ac:dyDescent="0.25">
      <c r="A159" t="s">
        <v>84</v>
      </c>
      <c r="C159">
        <v>18598357</v>
      </c>
      <c r="D159" t="s">
        <v>429</v>
      </c>
      <c r="E159" t="s">
        <v>430</v>
      </c>
      <c r="F159" t="s">
        <v>431</v>
      </c>
      <c r="G159" s="1">
        <v>44866</v>
      </c>
      <c r="H159" s="1">
        <v>46066</v>
      </c>
      <c r="I159" t="s">
        <v>15</v>
      </c>
      <c r="J159" t="s">
        <v>166</v>
      </c>
      <c r="K159" s="2">
        <v>108.75</v>
      </c>
    </row>
    <row r="160" spans="1:11" x14ac:dyDescent="0.25">
      <c r="A160" t="s">
        <v>38</v>
      </c>
      <c r="B160">
        <v>18794740</v>
      </c>
      <c r="C160">
        <v>18794740</v>
      </c>
      <c r="D160" t="s">
        <v>432</v>
      </c>
      <c r="E160" t="s">
        <v>433</v>
      </c>
      <c r="F160" t="s">
        <v>434</v>
      </c>
      <c r="G160" s="1">
        <v>44958</v>
      </c>
      <c r="H160" s="1">
        <v>46066</v>
      </c>
      <c r="I160" t="s">
        <v>15</v>
      </c>
      <c r="J160" t="s">
        <v>166</v>
      </c>
      <c r="K160" s="2">
        <v>72.5</v>
      </c>
    </row>
    <row r="161" spans="1:11" x14ac:dyDescent="0.25">
      <c r="A161" t="s">
        <v>55</v>
      </c>
      <c r="C161">
        <v>15950276</v>
      </c>
      <c r="D161" t="s">
        <v>435</v>
      </c>
      <c r="E161" t="s">
        <v>436</v>
      </c>
      <c r="F161" t="s">
        <v>437</v>
      </c>
      <c r="G161" s="1">
        <v>46023</v>
      </c>
      <c r="H161" s="1">
        <v>46066</v>
      </c>
      <c r="I161" t="s">
        <v>15</v>
      </c>
      <c r="J161" t="s">
        <v>166</v>
      </c>
      <c r="K161" s="2">
        <v>108.75</v>
      </c>
    </row>
    <row r="162" spans="1:11" x14ac:dyDescent="0.25">
      <c r="A162" t="s">
        <v>30</v>
      </c>
      <c r="C162">
        <v>18710070</v>
      </c>
      <c r="D162" t="s">
        <v>235</v>
      </c>
      <c r="E162" t="s">
        <v>438</v>
      </c>
      <c r="F162" t="s">
        <v>439</v>
      </c>
      <c r="G162" s="1">
        <v>45078</v>
      </c>
      <c r="H162" s="1">
        <v>46066</v>
      </c>
      <c r="I162" t="s">
        <v>15</v>
      </c>
      <c r="J162" t="s">
        <v>166</v>
      </c>
      <c r="K162" s="2">
        <v>72.5</v>
      </c>
    </row>
    <row r="163" spans="1:11" x14ac:dyDescent="0.25">
      <c r="A163" t="s">
        <v>382</v>
      </c>
      <c r="C163">
        <v>21618313</v>
      </c>
      <c r="D163" t="s">
        <v>61</v>
      </c>
      <c r="E163" t="s">
        <v>383</v>
      </c>
      <c r="F163" t="s">
        <v>440</v>
      </c>
      <c r="G163" s="1">
        <v>45170</v>
      </c>
      <c r="H163" s="1">
        <v>46066</v>
      </c>
      <c r="I163" t="s">
        <v>15</v>
      </c>
      <c r="J163" t="s">
        <v>166</v>
      </c>
      <c r="K163" s="2">
        <v>72.5</v>
      </c>
    </row>
    <row r="164" spans="1:11" x14ac:dyDescent="0.25">
      <c r="A164" t="s">
        <v>55</v>
      </c>
      <c r="C164">
        <v>15950276</v>
      </c>
      <c r="D164" t="s">
        <v>441</v>
      </c>
      <c r="E164" t="s">
        <v>442</v>
      </c>
      <c r="F164" t="s">
        <v>443</v>
      </c>
      <c r="G164" s="1">
        <v>45413</v>
      </c>
      <c r="H164" s="1">
        <v>46066</v>
      </c>
      <c r="I164" t="s">
        <v>15</v>
      </c>
      <c r="J164" t="s">
        <v>166</v>
      </c>
      <c r="K164" s="2">
        <v>108.75</v>
      </c>
    </row>
    <row r="165" spans="1:11" x14ac:dyDescent="0.25">
      <c r="A165" t="s">
        <v>38</v>
      </c>
      <c r="B165">
        <v>18794740</v>
      </c>
      <c r="C165">
        <v>18794740</v>
      </c>
      <c r="D165" t="s">
        <v>444</v>
      </c>
      <c r="E165" t="s">
        <v>445</v>
      </c>
      <c r="F165" t="s">
        <v>446</v>
      </c>
      <c r="G165" s="1">
        <v>45231</v>
      </c>
      <c r="H165" s="1">
        <v>46066</v>
      </c>
      <c r="I165" t="s">
        <v>15</v>
      </c>
      <c r="J165" t="s">
        <v>166</v>
      </c>
      <c r="K165" s="2">
        <v>72.5</v>
      </c>
    </row>
    <row r="166" spans="1:11" x14ac:dyDescent="0.25">
      <c r="A166" t="s">
        <v>11</v>
      </c>
      <c r="B166">
        <v>17528908</v>
      </c>
      <c r="C166">
        <v>17528908</v>
      </c>
      <c r="D166" t="s">
        <v>24</v>
      </c>
      <c r="E166" t="s">
        <v>447</v>
      </c>
      <c r="F166" t="s">
        <v>448</v>
      </c>
      <c r="G166" s="1">
        <v>45292</v>
      </c>
      <c r="H166" s="1">
        <v>46066</v>
      </c>
      <c r="I166" t="s">
        <v>15</v>
      </c>
      <c r="J166" t="s">
        <v>166</v>
      </c>
      <c r="K166" s="2">
        <v>72.5</v>
      </c>
    </row>
    <row r="167" spans="1:11" x14ac:dyDescent="0.25">
      <c r="A167" t="s">
        <v>38</v>
      </c>
      <c r="B167">
        <v>18794740</v>
      </c>
      <c r="C167">
        <v>18794740</v>
      </c>
      <c r="D167" t="s">
        <v>344</v>
      </c>
      <c r="E167" t="s">
        <v>283</v>
      </c>
      <c r="F167" t="s">
        <v>449</v>
      </c>
      <c r="G167" s="1">
        <v>45292</v>
      </c>
      <c r="H167" s="1">
        <v>46066</v>
      </c>
      <c r="I167" t="s">
        <v>15</v>
      </c>
      <c r="J167" t="s">
        <v>166</v>
      </c>
      <c r="K167" s="2">
        <v>72.5</v>
      </c>
    </row>
    <row r="168" spans="1:11" x14ac:dyDescent="0.25">
      <c r="A168" t="s">
        <v>38</v>
      </c>
      <c r="B168">
        <v>18794740</v>
      </c>
      <c r="C168">
        <v>18794740</v>
      </c>
      <c r="D168" t="s">
        <v>450</v>
      </c>
      <c r="E168" t="s">
        <v>451</v>
      </c>
      <c r="F168" t="s">
        <v>452</v>
      </c>
      <c r="G168" s="1">
        <v>45323</v>
      </c>
      <c r="H168" s="1">
        <v>46066</v>
      </c>
      <c r="I168" t="s">
        <v>15</v>
      </c>
      <c r="J168" t="s">
        <v>166</v>
      </c>
      <c r="K168" s="2">
        <v>72.5</v>
      </c>
    </row>
    <row r="169" spans="1:11" x14ac:dyDescent="0.25">
      <c r="A169" t="s">
        <v>11</v>
      </c>
      <c r="B169">
        <v>17528908</v>
      </c>
      <c r="C169">
        <v>17528908</v>
      </c>
      <c r="D169" t="s">
        <v>47</v>
      </c>
      <c r="E169" t="s">
        <v>329</v>
      </c>
      <c r="F169" t="s">
        <v>453</v>
      </c>
      <c r="G169" s="1">
        <v>45323</v>
      </c>
      <c r="H169" s="1">
        <v>46066</v>
      </c>
      <c r="I169" t="s">
        <v>15</v>
      </c>
      <c r="J169" t="s">
        <v>166</v>
      </c>
      <c r="K169" s="2">
        <v>72.5</v>
      </c>
    </row>
    <row r="170" spans="1:11" x14ac:dyDescent="0.25">
      <c r="A170" t="s">
        <v>11</v>
      </c>
      <c r="B170">
        <v>17528908</v>
      </c>
      <c r="C170">
        <v>17528908</v>
      </c>
      <c r="D170" t="s">
        <v>454</v>
      </c>
      <c r="E170" t="s">
        <v>455</v>
      </c>
      <c r="F170" t="s">
        <v>456</v>
      </c>
      <c r="G170" s="1">
        <v>45444</v>
      </c>
      <c r="H170" s="1">
        <v>46066</v>
      </c>
      <c r="I170" t="s">
        <v>15</v>
      </c>
      <c r="J170" t="s">
        <v>166</v>
      </c>
      <c r="K170" s="2">
        <v>72.5</v>
      </c>
    </row>
    <row r="171" spans="1:11" x14ac:dyDescent="0.25">
      <c r="A171" t="s">
        <v>11</v>
      </c>
      <c r="B171">
        <v>17528908</v>
      </c>
      <c r="C171">
        <v>17528908</v>
      </c>
      <c r="D171" t="s">
        <v>457</v>
      </c>
      <c r="E171" t="s">
        <v>458</v>
      </c>
      <c r="F171" t="s">
        <v>459</v>
      </c>
      <c r="G171" s="1">
        <v>45474</v>
      </c>
      <c r="H171" s="1">
        <v>46066</v>
      </c>
      <c r="I171" t="s">
        <v>15</v>
      </c>
      <c r="J171" t="s">
        <v>166</v>
      </c>
      <c r="K171" s="2">
        <v>72.5</v>
      </c>
    </row>
    <row r="172" spans="1:11" x14ac:dyDescent="0.25">
      <c r="A172" t="s">
        <v>55</v>
      </c>
      <c r="C172">
        <v>15950276</v>
      </c>
      <c r="D172" t="s">
        <v>460</v>
      </c>
      <c r="E172" t="s">
        <v>461</v>
      </c>
      <c r="F172" t="s">
        <v>462</v>
      </c>
      <c r="G172" s="1">
        <v>45505</v>
      </c>
      <c r="H172" s="1">
        <v>46066</v>
      </c>
      <c r="I172" t="s">
        <v>15</v>
      </c>
      <c r="J172" t="s">
        <v>166</v>
      </c>
      <c r="K172" s="2">
        <v>108.75</v>
      </c>
    </row>
    <row r="173" spans="1:11" x14ac:dyDescent="0.25">
      <c r="A173" t="s">
        <v>55</v>
      </c>
      <c r="C173">
        <v>15950276</v>
      </c>
      <c r="D173" t="s">
        <v>463</v>
      </c>
      <c r="E173" t="s">
        <v>464</v>
      </c>
      <c r="F173" t="s">
        <v>465</v>
      </c>
      <c r="G173" s="1">
        <v>45658</v>
      </c>
      <c r="H173" s="1">
        <v>46066</v>
      </c>
      <c r="I173" t="s">
        <v>15</v>
      </c>
      <c r="J173" t="s">
        <v>166</v>
      </c>
      <c r="K173" s="2">
        <v>108.75</v>
      </c>
    </row>
    <row r="174" spans="1:11" x14ac:dyDescent="0.25">
      <c r="A174" t="s">
        <v>11</v>
      </c>
      <c r="B174">
        <v>17528908</v>
      </c>
      <c r="C174">
        <v>17528908</v>
      </c>
      <c r="D174" t="s">
        <v>466</v>
      </c>
      <c r="E174" t="s">
        <v>300</v>
      </c>
      <c r="F174" t="s">
        <v>467</v>
      </c>
      <c r="G174" s="1">
        <v>45658</v>
      </c>
      <c r="H174" s="1">
        <v>46066</v>
      </c>
      <c r="I174" t="s">
        <v>15</v>
      </c>
      <c r="J174" t="s">
        <v>166</v>
      </c>
      <c r="K174" s="2">
        <v>72.5</v>
      </c>
    </row>
    <row r="175" spans="1:11" x14ac:dyDescent="0.25">
      <c r="A175" t="s">
        <v>11</v>
      </c>
      <c r="B175">
        <v>17528908</v>
      </c>
      <c r="C175">
        <v>17528908</v>
      </c>
      <c r="D175" t="s">
        <v>64</v>
      </c>
      <c r="E175" t="s">
        <v>468</v>
      </c>
      <c r="F175" t="s">
        <v>469</v>
      </c>
      <c r="G175" s="1">
        <v>45658</v>
      </c>
      <c r="H175" s="1">
        <v>46066</v>
      </c>
      <c r="I175" t="s">
        <v>15</v>
      </c>
      <c r="J175" t="s">
        <v>166</v>
      </c>
      <c r="K175" s="2">
        <v>72.5</v>
      </c>
    </row>
    <row r="176" spans="1:11" x14ac:dyDescent="0.25">
      <c r="A176" t="s">
        <v>84</v>
      </c>
      <c r="C176">
        <v>18598357</v>
      </c>
      <c r="D176" t="s">
        <v>470</v>
      </c>
      <c r="E176" t="s">
        <v>471</v>
      </c>
      <c r="F176" t="s">
        <v>472</v>
      </c>
      <c r="G176" s="1">
        <v>46023</v>
      </c>
      <c r="H176" s="1">
        <v>46066</v>
      </c>
      <c r="I176" t="s">
        <v>15</v>
      </c>
      <c r="J176" t="s">
        <v>166</v>
      </c>
      <c r="K176" s="2">
        <v>108.75</v>
      </c>
    </row>
    <row r="177" spans="1:11" x14ac:dyDescent="0.25">
      <c r="A177" t="s">
        <v>84</v>
      </c>
      <c r="C177">
        <v>18598357</v>
      </c>
      <c r="D177" t="s">
        <v>473</v>
      </c>
      <c r="E177" t="s">
        <v>474</v>
      </c>
      <c r="F177" t="s">
        <v>371</v>
      </c>
      <c r="G177" s="1">
        <v>45658</v>
      </c>
      <c r="H177" s="1">
        <v>46066</v>
      </c>
      <c r="I177" t="s">
        <v>15</v>
      </c>
      <c r="J177" t="s">
        <v>166</v>
      </c>
      <c r="K177" s="2">
        <v>108.75</v>
      </c>
    </row>
    <row r="178" spans="1:11" x14ac:dyDescent="0.25">
      <c r="A178" t="s">
        <v>11</v>
      </c>
      <c r="B178">
        <v>17528908</v>
      </c>
      <c r="C178">
        <v>17528908</v>
      </c>
      <c r="D178" t="s">
        <v>215</v>
      </c>
      <c r="E178" t="s">
        <v>475</v>
      </c>
      <c r="F178" t="s">
        <v>476</v>
      </c>
      <c r="G178" s="1">
        <v>45658</v>
      </c>
      <c r="H178" s="1">
        <v>46066</v>
      </c>
      <c r="I178" t="s">
        <v>15</v>
      </c>
      <c r="J178" t="s">
        <v>166</v>
      </c>
      <c r="K178" s="2">
        <v>72.5</v>
      </c>
    </row>
    <row r="179" spans="1:11" x14ac:dyDescent="0.25">
      <c r="A179" t="s">
        <v>11</v>
      </c>
      <c r="B179">
        <v>17528908</v>
      </c>
      <c r="C179">
        <v>17528908</v>
      </c>
      <c r="D179" t="s">
        <v>43</v>
      </c>
      <c r="E179" t="s">
        <v>477</v>
      </c>
      <c r="F179" t="s">
        <v>478</v>
      </c>
      <c r="G179" s="1">
        <v>45658</v>
      </c>
      <c r="H179" s="1">
        <v>46066</v>
      </c>
      <c r="I179" t="s">
        <v>15</v>
      </c>
      <c r="J179" t="s">
        <v>166</v>
      </c>
      <c r="K179" s="2">
        <v>72.5</v>
      </c>
    </row>
    <row r="180" spans="1:11" x14ac:dyDescent="0.25">
      <c r="A180" t="s">
        <v>11</v>
      </c>
      <c r="B180">
        <v>17528908</v>
      </c>
      <c r="C180">
        <v>17528908</v>
      </c>
      <c r="D180" t="s">
        <v>479</v>
      </c>
      <c r="E180" t="s">
        <v>253</v>
      </c>
      <c r="F180" t="s">
        <v>480</v>
      </c>
      <c r="G180" s="1">
        <v>45658</v>
      </c>
      <c r="H180" s="1">
        <v>46066</v>
      </c>
      <c r="I180" t="s">
        <v>15</v>
      </c>
      <c r="J180" t="s">
        <v>166</v>
      </c>
      <c r="K180" s="2">
        <v>72.5</v>
      </c>
    </row>
    <row r="181" spans="1:11" x14ac:dyDescent="0.25">
      <c r="A181" t="s">
        <v>11</v>
      </c>
      <c r="B181">
        <v>17528908</v>
      </c>
      <c r="C181">
        <v>17528908</v>
      </c>
      <c r="D181" t="s">
        <v>128</v>
      </c>
      <c r="E181" t="s">
        <v>280</v>
      </c>
      <c r="F181" t="s">
        <v>481</v>
      </c>
      <c r="G181" s="1">
        <v>45658</v>
      </c>
      <c r="H181" s="1">
        <v>46066</v>
      </c>
      <c r="I181" t="s">
        <v>15</v>
      </c>
      <c r="J181" t="s">
        <v>166</v>
      </c>
      <c r="K181" s="2">
        <v>72.5</v>
      </c>
    </row>
    <row r="182" spans="1:11" x14ac:dyDescent="0.25">
      <c r="A182" t="s">
        <v>55</v>
      </c>
      <c r="C182">
        <v>15950276</v>
      </c>
      <c r="D182" t="s">
        <v>482</v>
      </c>
      <c r="E182" t="s">
        <v>483</v>
      </c>
      <c r="F182" t="s">
        <v>484</v>
      </c>
      <c r="G182" s="1">
        <v>45658</v>
      </c>
      <c r="H182" s="1">
        <v>46066</v>
      </c>
      <c r="I182" t="s">
        <v>15</v>
      </c>
      <c r="J182" t="s">
        <v>166</v>
      </c>
      <c r="K182" s="2">
        <v>108.75</v>
      </c>
    </row>
    <row r="183" spans="1:11" x14ac:dyDescent="0.25">
      <c r="A183" t="s">
        <v>38</v>
      </c>
      <c r="B183">
        <v>18794740</v>
      </c>
      <c r="C183">
        <v>18794740</v>
      </c>
      <c r="D183" t="s">
        <v>203</v>
      </c>
      <c r="E183" t="s">
        <v>485</v>
      </c>
      <c r="F183" t="s">
        <v>486</v>
      </c>
      <c r="G183" s="1">
        <v>45689</v>
      </c>
      <c r="H183" s="1">
        <v>46066</v>
      </c>
      <c r="I183" t="s">
        <v>15</v>
      </c>
      <c r="J183" t="s">
        <v>166</v>
      </c>
      <c r="K183" s="2">
        <v>72.5</v>
      </c>
    </row>
    <row r="184" spans="1:11" x14ac:dyDescent="0.25">
      <c r="A184" t="s">
        <v>324</v>
      </c>
      <c r="B184">
        <v>9254978</v>
      </c>
      <c r="C184">
        <v>9254978</v>
      </c>
      <c r="D184" t="s">
        <v>487</v>
      </c>
      <c r="E184" t="s">
        <v>488</v>
      </c>
      <c r="F184" t="s">
        <v>489</v>
      </c>
      <c r="G184" s="1">
        <v>45689</v>
      </c>
      <c r="H184" s="1">
        <v>46066</v>
      </c>
      <c r="I184" t="s">
        <v>15</v>
      </c>
      <c r="J184" t="s">
        <v>166</v>
      </c>
      <c r="K184" s="2">
        <v>72.5</v>
      </c>
    </row>
    <row r="185" spans="1:11" x14ac:dyDescent="0.25">
      <c r="A185" t="s">
        <v>11</v>
      </c>
      <c r="B185">
        <v>17528908</v>
      </c>
      <c r="C185">
        <v>17528908</v>
      </c>
      <c r="D185" t="s">
        <v>64</v>
      </c>
      <c r="E185" t="s">
        <v>411</v>
      </c>
      <c r="F185" t="s">
        <v>490</v>
      </c>
      <c r="G185" s="1">
        <v>45748</v>
      </c>
      <c r="H185" s="1">
        <v>46066</v>
      </c>
      <c r="I185" t="s">
        <v>15</v>
      </c>
      <c r="J185" t="s">
        <v>166</v>
      </c>
      <c r="K185" s="2">
        <v>72.5</v>
      </c>
    </row>
    <row r="186" spans="1:11" x14ac:dyDescent="0.25">
      <c r="A186" t="s">
        <v>11</v>
      </c>
      <c r="B186">
        <v>17528908</v>
      </c>
      <c r="C186">
        <v>17528908</v>
      </c>
      <c r="D186" t="s">
        <v>491</v>
      </c>
      <c r="E186" t="s">
        <v>355</v>
      </c>
      <c r="F186" t="s">
        <v>492</v>
      </c>
      <c r="G186" s="1">
        <v>45809</v>
      </c>
      <c r="H186" s="1">
        <v>46066</v>
      </c>
      <c r="I186" t="s">
        <v>15</v>
      </c>
      <c r="J186" t="s">
        <v>166</v>
      </c>
      <c r="K186" s="2">
        <v>72.5</v>
      </c>
    </row>
    <row r="187" spans="1:11" x14ac:dyDescent="0.25">
      <c r="A187" t="s">
        <v>11</v>
      </c>
      <c r="B187">
        <v>17528908</v>
      </c>
      <c r="C187">
        <v>17528908</v>
      </c>
      <c r="D187" t="s">
        <v>463</v>
      </c>
      <c r="E187" t="s">
        <v>271</v>
      </c>
      <c r="F187" t="s">
        <v>493</v>
      </c>
      <c r="G187" s="1">
        <v>45809</v>
      </c>
      <c r="H187" s="1">
        <v>46066</v>
      </c>
      <c r="I187" t="s">
        <v>15</v>
      </c>
      <c r="J187" t="s">
        <v>166</v>
      </c>
      <c r="K187" s="2">
        <v>72.5</v>
      </c>
    </row>
    <row r="188" spans="1:11" x14ac:dyDescent="0.25">
      <c r="A188" t="s">
        <v>11</v>
      </c>
      <c r="B188">
        <v>17528908</v>
      </c>
      <c r="C188">
        <v>17528908</v>
      </c>
      <c r="D188" t="s">
        <v>494</v>
      </c>
      <c r="E188" t="s">
        <v>188</v>
      </c>
      <c r="F188" t="s">
        <v>495</v>
      </c>
      <c r="G188" s="1">
        <v>45839</v>
      </c>
      <c r="H188" s="1">
        <v>46066</v>
      </c>
      <c r="I188" t="s">
        <v>15</v>
      </c>
      <c r="J188" t="s">
        <v>166</v>
      </c>
      <c r="K188" s="2">
        <v>72.5</v>
      </c>
    </row>
    <row r="189" spans="1:11" x14ac:dyDescent="0.25">
      <c r="A189" t="s">
        <v>11</v>
      </c>
      <c r="C189">
        <v>17528908</v>
      </c>
      <c r="D189" t="s">
        <v>496</v>
      </c>
      <c r="E189" t="s">
        <v>497</v>
      </c>
      <c r="F189" t="s">
        <v>498</v>
      </c>
      <c r="G189" s="1">
        <v>45870</v>
      </c>
      <c r="H189" s="1">
        <v>46066</v>
      </c>
      <c r="I189" t="s">
        <v>15</v>
      </c>
      <c r="J189" t="s">
        <v>166</v>
      </c>
      <c r="K189" s="2">
        <v>108.75</v>
      </c>
    </row>
    <row r="190" spans="1:11" x14ac:dyDescent="0.25">
      <c r="A190" t="s">
        <v>55</v>
      </c>
      <c r="C190">
        <v>15950276</v>
      </c>
      <c r="D190" t="s">
        <v>64</v>
      </c>
      <c r="E190" t="s">
        <v>499</v>
      </c>
      <c r="F190" t="s">
        <v>500</v>
      </c>
      <c r="G190" s="1">
        <v>45931</v>
      </c>
      <c r="H190" s="1">
        <v>46066</v>
      </c>
      <c r="I190" t="s">
        <v>15</v>
      </c>
      <c r="J190" t="s">
        <v>166</v>
      </c>
      <c r="K190" s="2">
        <v>108.75</v>
      </c>
    </row>
    <row r="191" spans="1:11" x14ac:dyDescent="0.25">
      <c r="A191" t="s">
        <v>324</v>
      </c>
      <c r="C191">
        <v>9254978</v>
      </c>
      <c r="D191" t="s">
        <v>501</v>
      </c>
      <c r="E191" t="s">
        <v>502</v>
      </c>
      <c r="F191" t="s">
        <v>503</v>
      </c>
      <c r="G191" s="1">
        <v>46023</v>
      </c>
      <c r="H191" s="1">
        <v>46066</v>
      </c>
      <c r="I191" t="s">
        <v>15</v>
      </c>
      <c r="J191" t="s">
        <v>166</v>
      </c>
      <c r="K191" s="2">
        <v>108.75</v>
      </c>
    </row>
    <row r="192" spans="1:11" x14ac:dyDescent="0.25">
      <c r="A192" t="s">
        <v>11</v>
      </c>
      <c r="C192">
        <v>17528908</v>
      </c>
      <c r="D192" t="s">
        <v>31</v>
      </c>
      <c r="E192" t="s">
        <v>504</v>
      </c>
      <c r="F192" t="s">
        <v>505</v>
      </c>
      <c r="G192" s="1">
        <v>46023</v>
      </c>
      <c r="H192" s="1">
        <v>46066</v>
      </c>
      <c r="I192" t="s">
        <v>15</v>
      </c>
      <c r="J192" t="s">
        <v>166</v>
      </c>
      <c r="K192" s="2">
        <v>108.75</v>
      </c>
    </row>
    <row r="193" spans="1:11" x14ac:dyDescent="0.25">
      <c r="A193" t="s">
        <v>11</v>
      </c>
      <c r="C193">
        <v>17528908</v>
      </c>
      <c r="D193" t="s">
        <v>418</v>
      </c>
      <c r="E193" t="s">
        <v>506</v>
      </c>
      <c r="F193" t="s">
        <v>507</v>
      </c>
      <c r="G193" s="1">
        <v>46023</v>
      </c>
      <c r="H193" s="1">
        <v>46066</v>
      </c>
      <c r="I193" t="s">
        <v>15</v>
      </c>
      <c r="J193" t="s">
        <v>166</v>
      </c>
      <c r="K193" s="2">
        <v>108.75</v>
      </c>
    </row>
    <row r="194" spans="1:11" x14ac:dyDescent="0.25">
      <c r="A194" t="s">
        <v>324</v>
      </c>
      <c r="C194">
        <v>9254978</v>
      </c>
      <c r="D194" t="s">
        <v>508</v>
      </c>
      <c r="E194" t="s">
        <v>509</v>
      </c>
      <c r="F194" t="s">
        <v>510</v>
      </c>
      <c r="G194" s="1">
        <v>46023</v>
      </c>
      <c r="H194" s="1">
        <v>46066</v>
      </c>
      <c r="I194" t="s">
        <v>15</v>
      </c>
      <c r="J194" t="s">
        <v>166</v>
      </c>
      <c r="K194" s="2">
        <v>108.75</v>
      </c>
    </row>
    <row r="195" spans="1:11" x14ac:dyDescent="0.25">
      <c r="A195" t="s">
        <v>30</v>
      </c>
      <c r="C195">
        <v>18710070</v>
      </c>
      <c r="D195" t="s">
        <v>97</v>
      </c>
      <c r="E195" t="s">
        <v>511</v>
      </c>
      <c r="F195" t="s">
        <v>512</v>
      </c>
      <c r="G195" s="1">
        <v>46023</v>
      </c>
      <c r="H195" s="1">
        <v>46066</v>
      </c>
      <c r="I195" t="s">
        <v>15</v>
      </c>
      <c r="J195" t="s">
        <v>166</v>
      </c>
      <c r="K195" s="2">
        <v>108.75</v>
      </c>
    </row>
    <row r="196" spans="1:11" x14ac:dyDescent="0.25">
      <c r="A196" t="s">
        <v>11</v>
      </c>
      <c r="C196">
        <v>17528908</v>
      </c>
      <c r="D196" t="s">
        <v>513</v>
      </c>
      <c r="E196" t="s">
        <v>514</v>
      </c>
      <c r="F196" t="s">
        <v>515</v>
      </c>
      <c r="G196" s="1">
        <v>46023</v>
      </c>
      <c r="H196" s="1">
        <v>46066</v>
      </c>
      <c r="I196" t="s">
        <v>15</v>
      </c>
      <c r="J196" t="s">
        <v>166</v>
      </c>
      <c r="K196" s="2">
        <v>108.75</v>
      </c>
    </row>
    <row r="197" spans="1:11" x14ac:dyDescent="0.25">
      <c r="A197" t="s">
        <v>55</v>
      </c>
      <c r="C197">
        <v>15950276</v>
      </c>
      <c r="D197" t="s">
        <v>516</v>
      </c>
      <c r="E197" t="s">
        <v>517</v>
      </c>
      <c r="F197" t="s">
        <v>518</v>
      </c>
      <c r="G197" s="1">
        <v>46023</v>
      </c>
      <c r="H197" s="1">
        <v>46066</v>
      </c>
      <c r="I197" t="s">
        <v>15</v>
      </c>
      <c r="J197" t="s">
        <v>166</v>
      </c>
      <c r="K197" s="2">
        <v>108.75</v>
      </c>
    </row>
    <row r="198" spans="1:11" x14ac:dyDescent="0.25">
      <c r="A198" t="s">
        <v>11</v>
      </c>
      <c r="C198">
        <v>17528908</v>
      </c>
      <c r="D198" t="s">
        <v>273</v>
      </c>
      <c r="E198" t="s">
        <v>519</v>
      </c>
      <c r="F198" t="s">
        <v>520</v>
      </c>
      <c r="G198" s="1">
        <v>46023</v>
      </c>
      <c r="H198" s="1">
        <v>46066</v>
      </c>
      <c r="I198" t="s">
        <v>15</v>
      </c>
      <c r="J198" t="s">
        <v>166</v>
      </c>
      <c r="K198" s="2">
        <v>108.75</v>
      </c>
    </row>
    <row r="199" spans="1:11" x14ac:dyDescent="0.25">
      <c r="A199" t="s">
        <v>11</v>
      </c>
      <c r="C199">
        <v>17528908</v>
      </c>
      <c r="D199" t="s">
        <v>521</v>
      </c>
      <c r="E199" t="s">
        <v>519</v>
      </c>
      <c r="F199" t="s">
        <v>522</v>
      </c>
      <c r="G199" s="1">
        <v>46023</v>
      </c>
      <c r="H199" s="1">
        <v>46066</v>
      </c>
      <c r="I199" t="s">
        <v>15</v>
      </c>
      <c r="J199" t="s">
        <v>166</v>
      </c>
      <c r="K199" s="2">
        <v>108.75</v>
      </c>
    </row>
    <row r="200" spans="1:11" x14ac:dyDescent="0.25">
      <c r="A200" t="s">
        <v>343</v>
      </c>
      <c r="C200">
        <v>19278370</v>
      </c>
      <c r="D200" t="s">
        <v>523</v>
      </c>
      <c r="E200" t="s">
        <v>345</v>
      </c>
      <c r="F200" t="s">
        <v>524</v>
      </c>
      <c r="G200" s="1">
        <v>46023</v>
      </c>
      <c r="H200" s="1">
        <v>46066</v>
      </c>
      <c r="I200" t="s">
        <v>15</v>
      </c>
      <c r="J200" t="s">
        <v>166</v>
      </c>
      <c r="K200" s="2">
        <v>108.75</v>
      </c>
    </row>
    <row r="201" spans="1:11" x14ac:dyDescent="0.25">
      <c r="A201" t="s">
        <v>11</v>
      </c>
      <c r="B201">
        <v>17528908</v>
      </c>
      <c r="C201">
        <v>17528908</v>
      </c>
      <c r="D201" t="s">
        <v>525</v>
      </c>
      <c r="E201" t="s">
        <v>273</v>
      </c>
      <c r="F201" t="s">
        <v>526</v>
      </c>
      <c r="G201" s="1">
        <v>45748</v>
      </c>
      <c r="H201" s="1">
        <v>46066</v>
      </c>
      <c r="I201" t="s">
        <v>15</v>
      </c>
      <c r="J201" t="s">
        <v>166</v>
      </c>
      <c r="K201" s="2">
        <v>72.5</v>
      </c>
    </row>
    <row r="202" spans="1:11" x14ac:dyDescent="0.25">
      <c r="A202" t="s">
        <v>527</v>
      </c>
      <c r="C202">
        <v>16865242</v>
      </c>
      <c r="D202" t="s">
        <v>528</v>
      </c>
      <c r="E202" t="s">
        <v>529</v>
      </c>
      <c r="F202" t="s">
        <v>530</v>
      </c>
      <c r="G202" s="1">
        <v>45870</v>
      </c>
      <c r="H202" s="1">
        <v>46066</v>
      </c>
      <c r="I202" t="s">
        <v>15</v>
      </c>
      <c r="J202" t="s">
        <v>531</v>
      </c>
      <c r="K202" s="2">
        <v>9.06</v>
      </c>
    </row>
    <row r="203" spans="1:11" x14ac:dyDescent="0.25">
      <c r="A203" t="s">
        <v>11</v>
      </c>
      <c r="C203">
        <v>17528908</v>
      </c>
      <c r="D203" t="s">
        <v>27</v>
      </c>
      <c r="E203" t="s">
        <v>532</v>
      </c>
      <c r="F203" t="s">
        <v>533</v>
      </c>
      <c r="G203" s="1">
        <v>46082</v>
      </c>
      <c r="H203" s="1">
        <v>46066</v>
      </c>
      <c r="I203" t="s">
        <v>15</v>
      </c>
      <c r="J203" t="s">
        <v>534</v>
      </c>
      <c r="K203" s="2">
        <v>90.62</v>
      </c>
    </row>
    <row r="204" spans="1:11" x14ac:dyDescent="0.25">
      <c r="A204" t="s">
        <v>11</v>
      </c>
      <c r="C204">
        <v>17528908</v>
      </c>
      <c r="D204" t="s">
        <v>487</v>
      </c>
      <c r="E204" t="s">
        <v>535</v>
      </c>
      <c r="F204" t="s">
        <v>536</v>
      </c>
      <c r="G204" s="1">
        <v>46082</v>
      </c>
      <c r="H204" s="1">
        <v>46066</v>
      </c>
      <c r="I204" t="s">
        <v>15</v>
      </c>
      <c r="J204" t="s">
        <v>534</v>
      </c>
      <c r="K204" s="2">
        <v>90.62</v>
      </c>
    </row>
    <row r="205" spans="1:11" x14ac:dyDescent="0.25">
      <c r="A205" t="s">
        <v>38</v>
      </c>
      <c r="C205">
        <v>18794740</v>
      </c>
      <c r="D205" t="s">
        <v>537</v>
      </c>
      <c r="E205" t="s">
        <v>538</v>
      </c>
      <c r="F205" t="s">
        <v>539</v>
      </c>
      <c r="G205" s="1">
        <v>46082</v>
      </c>
      <c r="H205" s="1">
        <v>46066</v>
      </c>
      <c r="I205" t="s">
        <v>15</v>
      </c>
      <c r="J205" t="s">
        <v>534</v>
      </c>
      <c r="K205" s="2">
        <v>90.62</v>
      </c>
    </row>
    <row r="206" spans="1:11" x14ac:dyDescent="0.25">
      <c r="A206" t="s">
        <v>46</v>
      </c>
      <c r="C206">
        <v>20253958</v>
      </c>
      <c r="D206" t="s">
        <v>229</v>
      </c>
      <c r="E206" t="s">
        <v>540</v>
      </c>
      <c r="F206" t="s">
        <v>541</v>
      </c>
      <c r="G206" s="1">
        <v>46082</v>
      </c>
      <c r="H206" s="1">
        <v>46066</v>
      </c>
      <c r="I206" t="s">
        <v>15</v>
      </c>
      <c r="J206" t="s">
        <v>534</v>
      </c>
      <c r="K206" s="2">
        <v>60.42</v>
      </c>
    </row>
    <row r="207" spans="1:11" x14ac:dyDescent="0.25">
      <c r="A207" t="s">
        <v>46</v>
      </c>
      <c r="C207">
        <v>20253958</v>
      </c>
      <c r="D207" t="s">
        <v>542</v>
      </c>
      <c r="E207" t="s">
        <v>543</v>
      </c>
      <c r="F207" t="s">
        <v>544</v>
      </c>
      <c r="G207" s="1">
        <v>46082</v>
      </c>
      <c r="H207" s="1">
        <v>46066</v>
      </c>
      <c r="I207" t="s">
        <v>15</v>
      </c>
      <c r="J207" t="s">
        <v>534</v>
      </c>
      <c r="K207" s="2">
        <v>60.42</v>
      </c>
    </row>
    <row r="208" spans="1:11" x14ac:dyDescent="0.25">
      <c r="A208" t="s">
        <v>46</v>
      </c>
      <c r="C208">
        <v>20253958</v>
      </c>
      <c r="D208" t="s">
        <v>43</v>
      </c>
      <c r="E208" t="s">
        <v>545</v>
      </c>
      <c r="F208" t="s">
        <v>546</v>
      </c>
      <c r="G208" s="1">
        <v>46082</v>
      </c>
      <c r="H208" s="1">
        <v>46066</v>
      </c>
      <c r="I208" t="s">
        <v>15</v>
      </c>
      <c r="J208" t="s">
        <v>534</v>
      </c>
      <c r="K208" s="2">
        <v>60.42</v>
      </c>
    </row>
    <row r="209" spans="1:11" x14ac:dyDescent="0.25">
      <c r="A209" t="s">
        <v>547</v>
      </c>
      <c r="C209">
        <v>20678727</v>
      </c>
      <c r="D209" t="s">
        <v>441</v>
      </c>
      <c r="E209" t="s">
        <v>548</v>
      </c>
      <c r="F209" t="s">
        <v>549</v>
      </c>
      <c r="G209" s="1">
        <v>46082</v>
      </c>
      <c r="H209" s="1">
        <v>46066</v>
      </c>
      <c r="I209" t="s">
        <v>15</v>
      </c>
      <c r="J209" t="s">
        <v>534</v>
      </c>
      <c r="K209" s="2">
        <v>90.62</v>
      </c>
    </row>
    <row r="210" spans="1:11" x14ac:dyDescent="0.25">
      <c r="A210" t="s">
        <v>46</v>
      </c>
      <c r="C210">
        <v>20253958</v>
      </c>
      <c r="D210" t="s">
        <v>550</v>
      </c>
      <c r="E210" t="s">
        <v>551</v>
      </c>
      <c r="F210" t="s">
        <v>552</v>
      </c>
      <c r="G210" s="1">
        <v>46082</v>
      </c>
      <c r="H210" s="1">
        <v>46066</v>
      </c>
      <c r="I210" t="s">
        <v>15</v>
      </c>
      <c r="J210" t="s">
        <v>534</v>
      </c>
      <c r="K210" s="2">
        <v>60.42</v>
      </c>
    </row>
    <row r="211" spans="1:11" x14ac:dyDescent="0.25">
      <c r="A211" t="s">
        <v>84</v>
      </c>
      <c r="C211">
        <v>18598357</v>
      </c>
      <c r="D211" t="s">
        <v>61</v>
      </c>
      <c r="E211" t="s">
        <v>553</v>
      </c>
      <c r="F211" t="s">
        <v>554</v>
      </c>
      <c r="G211" s="1">
        <v>45261</v>
      </c>
      <c r="H211" s="1">
        <v>46066</v>
      </c>
      <c r="I211" t="s">
        <v>15</v>
      </c>
      <c r="J211" t="s">
        <v>555</v>
      </c>
      <c r="K211" s="2">
        <v>99.68</v>
      </c>
    </row>
    <row r="212" spans="1:11" x14ac:dyDescent="0.25">
      <c r="A212" t="s">
        <v>42</v>
      </c>
      <c r="C212">
        <v>17886092</v>
      </c>
      <c r="D212" t="s">
        <v>556</v>
      </c>
      <c r="E212" t="s">
        <v>557</v>
      </c>
      <c r="F212" t="s">
        <v>558</v>
      </c>
      <c r="G212" s="1">
        <v>46054</v>
      </c>
      <c r="H212" s="1">
        <v>46066</v>
      </c>
      <c r="I212" t="s">
        <v>15</v>
      </c>
      <c r="J212" t="s">
        <v>555</v>
      </c>
      <c r="K212" s="2">
        <v>66.459999999999994</v>
      </c>
    </row>
    <row r="213" spans="1:11" x14ac:dyDescent="0.25">
      <c r="A213" t="s">
        <v>55</v>
      </c>
      <c r="C213">
        <v>15950276</v>
      </c>
      <c r="D213" t="s">
        <v>424</v>
      </c>
      <c r="E213" t="s">
        <v>559</v>
      </c>
      <c r="F213" t="s">
        <v>560</v>
      </c>
      <c r="G213" s="1">
        <v>46054</v>
      </c>
      <c r="H213" s="1">
        <v>46066</v>
      </c>
      <c r="I213" t="s">
        <v>15</v>
      </c>
      <c r="J213" t="s">
        <v>555</v>
      </c>
      <c r="K213" s="2">
        <v>99.68</v>
      </c>
    </row>
    <row r="214" spans="1:11" x14ac:dyDescent="0.25">
      <c r="A214" t="s">
        <v>42</v>
      </c>
      <c r="C214">
        <v>17886092</v>
      </c>
      <c r="D214" t="s">
        <v>463</v>
      </c>
      <c r="E214" t="s">
        <v>561</v>
      </c>
      <c r="F214" t="s">
        <v>562</v>
      </c>
      <c r="G214" s="1">
        <v>46054</v>
      </c>
      <c r="H214" s="1">
        <v>46066</v>
      </c>
      <c r="I214" t="s">
        <v>15</v>
      </c>
      <c r="J214" t="s">
        <v>555</v>
      </c>
      <c r="K214" s="2">
        <v>66.459999999999994</v>
      </c>
    </row>
    <row r="215" spans="1:11" x14ac:dyDescent="0.25">
      <c r="A215" t="s">
        <v>42</v>
      </c>
      <c r="C215">
        <v>17886092</v>
      </c>
      <c r="D215" t="s">
        <v>563</v>
      </c>
      <c r="E215" t="s">
        <v>564</v>
      </c>
      <c r="F215" t="s">
        <v>565</v>
      </c>
      <c r="G215" s="1">
        <v>46054</v>
      </c>
      <c r="H215" s="1">
        <v>46066</v>
      </c>
      <c r="I215" t="s">
        <v>15</v>
      </c>
      <c r="J215" t="s">
        <v>555</v>
      </c>
      <c r="K215" s="2">
        <v>66.459999999999994</v>
      </c>
    </row>
    <row r="216" spans="1:11" x14ac:dyDescent="0.25">
      <c r="A216" t="s">
        <v>11</v>
      </c>
      <c r="C216">
        <v>17528908</v>
      </c>
      <c r="D216" t="s">
        <v>566</v>
      </c>
      <c r="E216" t="s">
        <v>567</v>
      </c>
      <c r="F216" t="s">
        <v>568</v>
      </c>
      <c r="G216" s="1">
        <v>46054</v>
      </c>
      <c r="H216" s="1">
        <v>46066</v>
      </c>
      <c r="I216" t="s">
        <v>15</v>
      </c>
      <c r="J216" t="s">
        <v>555</v>
      </c>
      <c r="K216" s="2">
        <v>99.68</v>
      </c>
    </row>
    <row r="217" spans="1:11" x14ac:dyDescent="0.25">
      <c r="A217" t="s">
        <v>38</v>
      </c>
      <c r="C217">
        <v>18794740</v>
      </c>
      <c r="D217" t="s">
        <v>569</v>
      </c>
      <c r="E217" t="s">
        <v>570</v>
      </c>
      <c r="F217" t="s">
        <v>571</v>
      </c>
      <c r="G217" s="1">
        <v>46054</v>
      </c>
      <c r="H217" s="1">
        <v>46066</v>
      </c>
      <c r="I217" t="s">
        <v>15</v>
      </c>
      <c r="J217" t="s">
        <v>555</v>
      </c>
      <c r="K217" s="2">
        <v>99.68</v>
      </c>
    </row>
    <row r="218" spans="1:11" x14ac:dyDescent="0.25">
      <c r="A218" t="s">
        <v>42</v>
      </c>
      <c r="C218">
        <v>17886092</v>
      </c>
      <c r="D218" t="s">
        <v>572</v>
      </c>
      <c r="E218" t="s">
        <v>573</v>
      </c>
      <c r="F218" t="s">
        <v>574</v>
      </c>
      <c r="G218" s="1">
        <v>46054</v>
      </c>
      <c r="H218" s="1">
        <v>46066</v>
      </c>
      <c r="I218" t="s">
        <v>15</v>
      </c>
      <c r="J218" t="s">
        <v>555</v>
      </c>
      <c r="K218" s="2">
        <v>66.459999999999994</v>
      </c>
    </row>
    <row r="219" spans="1:11" x14ac:dyDescent="0.25">
      <c r="A219" t="s">
        <v>42</v>
      </c>
      <c r="C219">
        <v>17886092</v>
      </c>
      <c r="D219" t="s">
        <v>575</v>
      </c>
      <c r="E219" t="s">
        <v>576</v>
      </c>
      <c r="F219" t="s">
        <v>577</v>
      </c>
      <c r="G219" s="1">
        <v>46054</v>
      </c>
      <c r="H219" s="1">
        <v>46066</v>
      </c>
      <c r="I219" t="s">
        <v>15</v>
      </c>
      <c r="J219" t="s">
        <v>555</v>
      </c>
      <c r="K219" s="2">
        <v>66.459999999999994</v>
      </c>
    </row>
    <row r="220" spans="1:11" x14ac:dyDescent="0.25">
      <c r="A220" t="s">
        <v>11</v>
      </c>
      <c r="C220">
        <v>17528908</v>
      </c>
      <c r="D220" t="s">
        <v>578</v>
      </c>
      <c r="E220" t="s">
        <v>245</v>
      </c>
      <c r="F220" t="s">
        <v>579</v>
      </c>
      <c r="G220" s="1">
        <v>46054</v>
      </c>
      <c r="H220" s="1">
        <v>46066</v>
      </c>
      <c r="I220" t="s">
        <v>15</v>
      </c>
      <c r="J220" t="s">
        <v>555</v>
      </c>
      <c r="K220" s="2">
        <v>99.68</v>
      </c>
    </row>
    <row r="221" spans="1:11" x14ac:dyDescent="0.25">
      <c r="A221" t="s">
        <v>11</v>
      </c>
      <c r="C221">
        <v>17528908</v>
      </c>
      <c r="D221" t="s">
        <v>580</v>
      </c>
      <c r="E221" t="s">
        <v>581</v>
      </c>
      <c r="F221" t="s">
        <v>582</v>
      </c>
      <c r="G221" s="1">
        <v>46054</v>
      </c>
      <c r="H221" s="1">
        <v>46066</v>
      </c>
      <c r="I221" t="s">
        <v>15</v>
      </c>
      <c r="J221" t="s">
        <v>555</v>
      </c>
      <c r="K221" s="2">
        <v>99.68</v>
      </c>
    </row>
    <row r="222" spans="1:11" x14ac:dyDescent="0.25">
      <c r="A222" t="s">
        <v>42</v>
      </c>
      <c r="C222">
        <v>17886092</v>
      </c>
      <c r="D222" t="s">
        <v>128</v>
      </c>
      <c r="E222" t="s">
        <v>139</v>
      </c>
      <c r="F222" t="s">
        <v>583</v>
      </c>
      <c r="G222" s="1">
        <v>46054</v>
      </c>
      <c r="H222" s="1">
        <v>46066</v>
      </c>
      <c r="I222" t="s">
        <v>15</v>
      </c>
      <c r="J222" t="s">
        <v>555</v>
      </c>
      <c r="K222" s="2">
        <v>66.459999999999994</v>
      </c>
    </row>
    <row r="223" spans="1:11" x14ac:dyDescent="0.25">
      <c r="A223" t="s">
        <v>30</v>
      </c>
      <c r="C223">
        <v>18710070</v>
      </c>
      <c r="D223" t="s">
        <v>584</v>
      </c>
      <c r="E223" t="s">
        <v>585</v>
      </c>
      <c r="F223" t="s">
        <v>586</v>
      </c>
      <c r="G223" s="1">
        <v>45870</v>
      </c>
      <c r="H223" s="1">
        <v>46066</v>
      </c>
      <c r="I223" t="s">
        <v>15</v>
      </c>
      <c r="J223" t="s">
        <v>555</v>
      </c>
      <c r="K223" s="2">
        <v>99.68</v>
      </c>
    </row>
    <row r="224" spans="1:11" x14ac:dyDescent="0.25">
      <c r="A224" t="s">
        <v>42</v>
      </c>
      <c r="C224">
        <v>17886092</v>
      </c>
      <c r="D224" t="s">
        <v>587</v>
      </c>
      <c r="E224" t="s">
        <v>588</v>
      </c>
      <c r="F224" t="s">
        <v>589</v>
      </c>
      <c r="G224" s="1">
        <v>46054</v>
      </c>
      <c r="H224" s="1">
        <v>46066</v>
      </c>
      <c r="I224" t="s">
        <v>15</v>
      </c>
      <c r="J224" t="s">
        <v>555</v>
      </c>
      <c r="K224" s="2">
        <v>66.459999999999994</v>
      </c>
    </row>
    <row r="225" spans="1:11" x14ac:dyDescent="0.25">
      <c r="A225" t="s">
        <v>42</v>
      </c>
      <c r="C225">
        <v>17886092</v>
      </c>
      <c r="D225" t="s">
        <v>302</v>
      </c>
      <c r="E225" t="s">
        <v>590</v>
      </c>
      <c r="F225" t="s">
        <v>591</v>
      </c>
      <c r="G225" s="1">
        <v>46054</v>
      </c>
      <c r="H225" s="1">
        <v>46066</v>
      </c>
      <c r="I225" t="s">
        <v>15</v>
      </c>
      <c r="J225" t="s">
        <v>555</v>
      </c>
      <c r="K225" s="2">
        <v>66.459999999999994</v>
      </c>
    </row>
    <row r="226" spans="1:11" x14ac:dyDescent="0.25">
      <c r="A226" t="s">
        <v>42</v>
      </c>
      <c r="C226">
        <v>17886092</v>
      </c>
      <c r="D226" t="s">
        <v>203</v>
      </c>
      <c r="E226" t="s">
        <v>592</v>
      </c>
      <c r="F226" t="s">
        <v>593</v>
      </c>
      <c r="G226" s="1">
        <v>46054</v>
      </c>
      <c r="H226" s="1">
        <v>46066</v>
      </c>
      <c r="I226" t="s">
        <v>15</v>
      </c>
      <c r="J226" t="s">
        <v>555</v>
      </c>
      <c r="K226" s="2">
        <v>66.459999999999994</v>
      </c>
    </row>
    <row r="227" spans="1:11" x14ac:dyDescent="0.25">
      <c r="A227" t="s">
        <v>42</v>
      </c>
      <c r="C227">
        <v>17886092</v>
      </c>
      <c r="D227" t="s">
        <v>302</v>
      </c>
      <c r="E227" t="s">
        <v>576</v>
      </c>
      <c r="F227" t="s">
        <v>594</v>
      </c>
      <c r="G227" s="1">
        <v>46054</v>
      </c>
      <c r="H227" s="1">
        <v>46066</v>
      </c>
      <c r="I227" t="s">
        <v>15</v>
      </c>
      <c r="J227" t="s">
        <v>555</v>
      </c>
      <c r="K227" s="2">
        <v>66.459999999999994</v>
      </c>
    </row>
    <row r="228" spans="1:11" x14ac:dyDescent="0.25">
      <c r="A228" t="s">
        <v>42</v>
      </c>
      <c r="C228">
        <v>17886092</v>
      </c>
      <c r="D228" t="s">
        <v>232</v>
      </c>
      <c r="E228" t="s">
        <v>595</v>
      </c>
      <c r="F228" t="s">
        <v>596</v>
      </c>
      <c r="G228" s="1">
        <v>46054</v>
      </c>
      <c r="H228" s="1">
        <v>46066</v>
      </c>
      <c r="I228" t="s">
        <v>15</v>
      </c>
      <c r="J228" t="s">
        <v>555</v>
      </c>
      <c r="K228" s="2">
        <v>66.459999999999994</v>
      </c>
    </row>
    <row r="229" spans="1:11" x14ac:dyDescent="0.25">
      <c r="A229" t="s">
        <v>42</v>
      </c>
      <c r="C229">
        <v>17886092</v>
      </c>
      <c r="D229" t="s">
        <v>97</v>
      </c>
      <c r="E229" t="s">
        <v>597</v>
      </c>
      <c r="F229" t="s">
        <v>598</v>
      </c>
      <c r="G229" s="1">
        <v>46054</v>
      </c>
      <c r="H229" s="1">
        <v>46066</v>
      </c>
      <c r="I229" t="s">
        <v>15</v>
      </c>
      <c r="J229" t="s">
        <v>555</v>
      </c>
      <c r="K229" s="2">
        <v>66.459999999999994</v>
      </c>
    </row>
    <row r="230" spans="1:11" x14ac:dyDescent="0.25">
      <c r="A230" t="s">
        <v>11</v>
      </c>
      <c r="C230">
        <v>17528908</v>
      </c>
      <c r="D230" t="s">
        <v>599</v>
      </c>
      <c r="E230" t="s">
        <v>600</v>
      </c>
      <c r="F230" t="s">
        <v>601</v>
      </c>
      <c r="G230" s="1">
        <v>46023</v>
      </c>
      <c r="H230" s="1">
        <v>46066</v>
      </c>
      <c r="I230" t="s">
        <v>15</v>
      </c>
      <c r="J230" t="s">
        <v>555</v>
      </c>
      <c r="K230" s="2">
        <v>99.68</v>
      </c>
    </row>
    <row r="231" spans="1:11" x14ac:dyDescent="0.25">
      <c r="A231" t="s">
        <v>30</v>
      </c>
      <c r="C231">
        <v>18710070</v>
      </c>
      <c r="D231" t="s">
        <v>602</v>
      </c>
      <c r="E231" t="s">
        <v>603</v>
      </c>
      <c r="F231" t="s">
        <v>604</v>
      </c>
      <c r="G231" s="1">
        <v>46054</v>
      </c>
      <c r="H231" s="1">
        <v>46066</v>
      </c>
      <c r="I231" t="s">
        <v>15</v>
      </c>
      <c r="J231" t="s">
        <v>555</v>
      </c>
      <c r="K231" s="2">
        <v>99.68</v>
      </c>
    </row>
    <row r="232" spans="1:11" x14ac:dyDescent="0.25">
      <c r="A232" t="s">
        <v>42</v>
      </c>
      <c r="C232">
        <v>17886092</v>
      </c>
      <c r="D232" t="s">
        <v>403</v>
      </c>
      <c r="E232" t="s">
        <v>605</v>
      </c>
      <c r="F232" t="s">
        <v>606</v>
      </c>
      <c r="G232" s="1">
        <v>46054</v>
      </c>
      <c r="H232" s="1">
        <v>46066</v>
      </c>
      <c r="I232" t="s">
        <v>15</v>
      </c>
      <c r="J232" t="s">
        <v>555</v>
      </c>
      <c r="K232" s="2">
        <v>66.459999999999994</v>
      </c>
    </row>
    <row r="233" spans="1:11" x14ac:dyDescent="0.25">
      <c r="A233" t="s">
        <v>42</v>
      </c>
      <c r="C233">
        <v>17886092</v>
      </c>
      <c r="D233" t="s">
        <v>607</v>
      </c>
      <c r="E233" t="s">
        <v>605</v>
      </c>
      <c r="F233" t="s">
        <v>608</v>
      </c>
      <c r="G233" s="1">
        <v>46054</v>
      </c>
      <c r="H233" s="1">
        <v>46066</v>
      </c>
      <c r="I233" t="s">
        <v>15</v>
      </c>
      <c r="J233" t="s">
        <v>555</v>
      </c>
      <c r="K233" s="2">
        <v>66.459999999999994</v>
      </c>
    </row>
    <row r="234" spans="1:11" x14ac:dyDescent="0.25">
      <c r="A234" t="s">
        <v>38</v>
      </c>
      <c r="C234">
        <v>18794740</v>
      </c>
      <c r="D234" t="s">
        <v>609</v>
      </c>
      <c r="E234" t="s">
        <v>610</v>
      </c>
      <c r="F234" t="s">
        <v>611</v>
      </c>
      <c r="G234" s="1">
        <v>46054</v>
      </c>
      <c r="H234" s="1">
        <v>46066</v>
      </c>
      <c r="I234" t="s">
        <v>15</v>
      </c>
      <c r="J234" t="s">
        <v>555</v>
      </c>
      <c r="K234" s="2">
        <v>99.68</v>
      </c>
    </row>
    <row r="235" spans="1:11" x14ac:dyDescent="0.25">
      <c r="A235" t="s">
        <v>38</v>
      </c>
      <c r="C235">
        <v>18794740</v>
      </c>
      <c r="D235" t="s">
        <v>612</v>
      </c>
      <c r="E235" t="s">
        <v>610</v>
      </c>
      <c r="F235" t="s">
        <v>613</v>
      </c>
      <c r="G235" s="1">
        <v>46054</v>
      </c>
      <c r="H235" s="1">
        <v>46066</v>
      </c>
      <c r="I235" t="s">
        <v>15</v>
      </c>
      <c r="J235" t="s">
        <v>555</v>
      </c>
      <c r="K235" s="2">
        <v>99.68</v>
      </c>
    </row>
    <row r="236" spans="1:11" x14ac:dyDescent="0.25">
      <c r="A236" t="s">
        <v>11</v>
      </c>
      <c r="C236">
        <v>17528908</v>
      </c>
      <c r="D236" t="s">
        <v>128</v>
      </c>
      <c r="E236" t="s">
        <v>614</v>
      </c>
      <c r="F236" t="s">
        <v>615</v>
      </c>
      <c r="G236" s="1">
        <v>46054</v>
      </c>
      <c r="H236" s="1">
        <v>46066</v>
      </c>
      <c r="I236" t="s">
        <v>15</v>
      </c>
      <c r="J236" t="s">
        <v>555</v>
      </c>
      <c r="K236" s="2">
        <v>99.68</v>
      </c>
    </row>
    <row r="237" spans="1:11" x14ac:dyDescent="0.25">
      <c r="A237" t="s">
        <v>42</v>
      </c>
      <c r="C237">
        <v>17886092</v>
      </c>
      <c r="D237" t="s">
        <v>244</v>
      </c>
      <c r="E237" t="s">
        <v>616</v>
      </c>
      <c r="F237" t="s">
        <v>617</v>
      </c>
      <c r="G237" s="1">
        <v>46054</v>
      </c>
      <c r="H237" s="1">
        <v>46066</v>
      </c>
      <c r="I237" t="s">
        <v>15</v>
      </c>
      <c r="J237" t="s">
        <v>555</v>
      </c>
      <c r="K237" s="2">
        <v>66.459999999999994</v>
      </c>
    </row>
    <row r="238" spans="1:11" x14ac:dyDescent="0.25">
      <c r="A238" t="s">
        <v>11</v>
      </c>
      <c r="C238">
        <v>17528908</v>
      </c>
      <c r="D238" t="s">
        <v>190</v>
      </c>
      <c r="E238" t="s">
        <v>618</v>
      </c>
      <c r="F238" t="s">
        <v>619</v>
      </c>
      <c r="G238" s="1">
        <v>46054</v>
      </c>
      <c r="H238" s="1">
        <v>46066</v>
      </c>
      <c r="I238" t="s">
        <v>15</v>
      </c>
      <c r="J238" t="s">
        <v>555</v>
      </c>
      <c r="K238" s="2">
        <v>99.68</v>
      </c>
    </row>
    <row r="239" spans="1:11" x14ac:dyDescent="0.25">
      <c r="A239" t="s">
        <v>42</v>
      </c>
      <c r="C239">
        <v>17886092</v>
      </c>
      <c r="D239" t="s">
        <v>72</v>
      </c>
      <c r="E239" t="s">
        <v>620</v>
      </c>
      <c r="F239" t="s">
        <v>621</v>
      </c>
      <c r="G239" s="1">
        <v>46054</v>
      </c>
      <c r="H239" s="1">
        <v>46066</v>
      </c>
      <c r="I239" t="s">
        <v>15</v>
      </c>
      <c r="J239" t="s">
        <v>555</v>
      </c>
      <c r="K239" s="2">
        <v>66.459999999999994</v>
      </c>
    </row>
    <row r="240" spans="1:11" x14ac:dyDescent="0.25">
      <c r="A240" t="s">
        <v>622</v>
      </c>
      <c r="C240">
        <v>19606009</v>
      </c>
      <c r="D240" t="s">
        <v>623</v>
      </c>
      <c r="E240" t="s">
        <v>624</v>
      </c>
      <c r="F240" t="s">
        <v>625</v>
      </c>
      <c r="G240" s="1">
        <v>46054</v>
      </c>
      <c r="H240" s="1">
        <v>46066</v>
      </c>
      <c r="I240" t="s">
        <v>15</v>
      </c>
      <c r="J240" t="s">
        <v>555</v>
      </c>
      <c r="K240" s="2">
        <v>66.459999999999994</v>
      </c>
    </row>
    <row r="241" spans="1:11" x14ac:dyDescent="0.25">
      <c r="A241" t="s">
        <v>46</v>
      </c>
      <c r="C241">
        <v>20253958</v>
      </c>
      <c r="D241" t="s">
        <v>626</v>
      </c>
      <c r="E241" t="s">
        <v>457</v>
      </c>
      <c r="F241" t="s">
        <v>627</v>
      </c>
      <c r="G241" s="1">
        <v>46054</v>
      </c>
      <c r="H241" s="1">
        <v>46066</v>
      </c>
      <c r="I241" t="s">
        <v>15</v>
      </c>
      <c r="J241" t="s">
        <v>555</v>
      </c>
      <c r="K241" s="2">
        <v>66.459999999999994</v>
      </c>
    </row>
    <row r="242" spans="1:11" x14ac:dyDescent="0.25">
      <c r="A242" t="s">
        <v>46</v>
      </c>
      <c r="C242">
        <v>20253958</v>
      </c>
      <c r="D242" t="s">
        <v>628</v>
      </c>
      <c r="E242" t="s">
        <v>629</v>
      </c>
      <c r="F242" t="s">
        <v>630</v>
      </c>
      <c r="G242" s="1">
        <v>46054</v>
      </c>
      <c r="H242" s="1">
        <v>46066</v>
      </c>
      <c r="I242" t="s">
        <v>15</v>
      </c>
      <c r="J242" t="s">
        <v>555</v>
      </c>
      <c r="K242" s="2">
        <v>66.459999999999994</v>
      </c>
    </row>
    <row r="243" spans="1:11" x14ac:dyDescent="0.25">
      <c r="A243" t="s">
        <v>46</v>
      </c>
      <c r="C243">
        <v>20253958</v>
      </c>
      <c r="D243" t="s">
        <v>268</v>
      </c>
      <c r="E243" t="s">
        <v>631</v>
      </c>
      <c r="F243" t="s">
        <v>632</v>
      </c>
      <c r="G243" s="1">
        <v>46054</v>
      </c>
      <c r="H243" s="1">
        <v>46066</v>
      </c>
      <c r="I243" t="s">
        <v>15</v>
      </c>
      <c r="J243" t="s">
        <v>555</v>
      </c>
      <c r="K243" s="2">
        <v>66.459999999999994</v>
      </c>
    </row>
    <row r="244" spans="1:11" x14ac:dyDescent="0.25">
      <c r="A244" t="s">
        <v>527</v>
      </c>
      <c r="C244">
        <v>16865242</v>
      </c>
      <c r="D244" t="s">
        <v>528</v>
      </c>
      <c r="E244" t="s">
        <v>529</v>
      </c>
      <c r="F244" t="s">
        <v>530</v>
      </c>
      <c r="G244" s="1">
        <v>45870</v>
      </c>
      <c r="H244" s="1">
        <v>46066</v>
      </c>
      <c r="I244" t="s">
        <v>15</v>
      </c>
      <c r="J244" t="s">
        <v>633</v>
      </c>
      <c r="K244" s="2">
        <v>18.12</v>
      </c>
    </row>
    <row r="245" spans="1:11" x14ac:dyDescent="0.25">
      <c r="A245" t="s">
        <v>46</v>
      </c>
      <c r="C245">
        <v>20253958</v>
      </c>
      <c r="D245" t="s">
        <v>78</v>
      </c>
      <c r="E245" t="s">
        <v>634</v>
      </c>
      <c r="F245" t="s">
        <v>635</v>
      </c>
      <c r="G245" s="1">
        <v>46113</v>
      </c>
      <c r="H245" s="1">
        <v>46066</v>
      </c>
      <c r="I245" t="s">
        <v>15</v>
      </c>
      <c r="J245" t="s">
        <v>636</v>
      </c>
      <c r="K245" s="2">
        <v>54.38</v>
      </c>
    </row>
    <row r="246" spans="1:11" x14ac:dyDescent="0.25">
      <c r="A246" t="s">
        <v>42</v>
      </c>
      <c r="C246">
        <v>17886092</v>
      </c>
      <c r="D246" t="s">
        <v>276</v>
      </c>
      <c r="E246" t="s">
        <v>488</v>
      </c>
      <c r="F246" t="s">
        <v>637</v>
      </c>
      <c r="G246" s="1">
        <v>46113</v>
      </c>
      <c r="H246" s="1">
        <v>46066</v>
      </c>
      <c r="I246" t="s">
        <v>15</v>
      </c>
      <c r="J246" t="s">
        <v>636</v>
      </c>
      <c r="K246" s="2">
        <v>54.38</v>
      </c>
    </row>
    <row r="247" spans="1:11" x14ac:dyDescent="0.25">
      <c r="A247" t="s">
        <v>46</v>
      </c>
      <c r="C247">
        <v>20253958</v>
      </c>
      <c r="D247" t="s">
        <v>261</v>
      </c>
      <c r="E247" t="s">
        <v>638</v>
      </c>
      <c r="F247" t="s">
        <v>639</v>
      </c>
      <c r="G247" s="1">
        <v>46113</v>
      </c>
      <c r="H247" s="1">
        <v>46066</v>
      </c>
      <c r="I247" t="s">
        <v>15</v>
      </c>
      <c r="J247" t="s">
        <v>636</v>
      </c>
      <c r="K247" s="2">
        <v>54.38</v>
      </c>
    </row>
    <row r="248" spans="1:11" x14ac:dyDescent="0.25">
      <c r="A248" t="s">
        <v>111</v>
      </c>
      <c r="C248">
        <v>8971826</v>
      </c>
      <c r="D248" t="s">
        <v>75</v>
      </c>
      <c r="E248" t="s">
        <v>112</v>
      </c>
      <c r="F248" t="s">
        <v>113</v>
      </c>
      <c r="G248" s="1">
        <v>46023</v>
      </c>
      <c r="H248" s="1">
        <v>46066</v>
      </c>
      <c r="I248" t="s">
        <v>15</v>
      </c>
      <c r="J248" t="s">
        <v>640</v>
      </c>
      <c r="K248" s="2">
        <v>705</v>
      </c>
    </row>
    <row r="249" spans="1:11" x14ac:dyDescent="0.25">
      <c r="A249" t="s">
        <v>55</v>
      </c>
      <c r="C249">
        <v>15950276</v>
      </c>
      <c r="D249" t="s">
        <v>64</v>
      </c>
      <c r="E249" t="s">
        <v>123</v>
      </c>
      <c r="F249" t="s">
        <v>124</v>
      </c>
      <c r="G249" s="1">
        <v>46023</v>
      </c>
      <c r="H249" s="1">
        <v>46066</v>
      </c>
      <c r="I249" t="s">
        <v>15</v>
      </c>
      <c r="J249" t="s">
        <v>640</v>
      </c>
      <c r="K249" s="2">
        <v>705</v>
      </c>
    </row>
    <row r="250" spans="1:11" x14ac:dyDescent="0.25">
      <c r="A250" t="s">
        <v>55</v>
      </c>
      <c r="C250">
        <v>15950276</v>
      </c>
      <c r="D250" t="s">
        <v>31</v>
      </c>
      <c r="E250" t="s">
        <v>56</v>
      </c>
      <c r="F250" t="s">
        <v>57</v>
      </c>
      <c r="G250" s="1">
        <v>46023</v>
      </c>
      <c r="H250" s="1">
        <v>46066</v>
      </c>
      <c r="I250" t="s">
        <v>15</v>
      </c>
      <c r="J250" t="s">
        <v>640</v>
      </c>
      <c r="K250" s="2">
        <v>705</v>
      </c>
    </row>
    <row r="251" spans="1:11" x14ac:dyDescent="0.25">
      <c r="A251" t="s">
        <v>11</v>
      </c>
      <c r="C251">
        <v>17528908</v>
      </c>
      <c r="D251" t="s">
        <v>108</v>
      </c>
      <c r="E251" t="s">
        <v>109</v>
      </c>
      <c r="F251" t="s">
        <v>110</v>
      </c>
      <c r="G251" s="1">
        <v>46023</v>
      </c>
      <c r="H251" s="1">
        <v>46066</v>
      </c>
      <c r="I251" t="s">
        <v>15</v>
      </c>
      <c r="J251" t="s">
        <v>640</v>
      </c>
      <c r="K251" s="2">
        <v>705</v>
      </c>
    </row>
    <row r="252" spans="1:11" x14ac:dyDescent="0.25">
      <c r="A252" t="s">
        <v>11</v>
      </c>
      <c r="C252">
        <v>17528908</v>
      </c>
      <c r="D252" t="s">
        <v>75</v>
      </c>
      <c r="E252" t="s">
        <v>76</v>
      </c>
      <c r="F252" t="s">
        <v>77</v>
      </c>
      <c r="G252" s="1">
        <v>46054</v>
      </c>
      <c r="H252" s="1">
        <v>46066</v>
      </c>
      <c r="I252" t="s">
        <v>15</v>
      </c>
      <c r="J252" t="s">
        <v>640</v>
      </c>
      <c r="K252" s="2">
        <v>705</v>
      </c>
    </row>
    <row r="253" spans="1:11" x14ac:dyDescent="0.25">
      <c r="A253" t="s">
        <v>11</v>
      </c>
      <c r="C253">
        <v>17528908</v>
      </c>
      <c r="D253" t="s">
        <v>91</v>
      </c>
      <c r="E253" t="s">
        <v>92</v>
      </c>
      <c r="F253" t="s">
        <v>93</v>
      </c>
      <c r="G253" s="1">
        <v>46023</v>
      </c>
      <c r="H253" s="1">
        <v>46066</v>
      </c>
      <c r="I253" t="s">
        <v>15</v>
      </c>
      <c r="J253" t="s">
        <v>640</v>
      </c>
      <c r="K253" s="2">
        <v>705</v>
      </c>
    </row>
    <row r="254" spans="1:11" x14ac:dyDescent="0.25">
      <c r="A254" t="s">
        <v>11</v>
      </c>
      <c r="C254">
        <v>17528908</v>
      </c>
      <c r="D254" t="s">
        <v>58</v>
      </c>
      <c r="E254" t="s">
        <v>59</v>
      </c>
      <c r="F254" t="s">
        <v>60</v>
      </c>
      <c r="G254" s="1">
        <v>46054</v>
      </c>
      <c r="H254" s="1">
        <v>46066</v>
      </c>
      <c r="I254" t="s">
        <v>15</v>
      </c>
      <c r="J254" t="s">
        <v>640</v>
      </c>
      <c r="K254" s="2">
        <v>705</v>
      </c>
    </row>
    <row r="255" spans="1:11" x14ac:dyDescent="0.25">
      <c r="A255" t="s">
        <v>11</v>
      </c>
      <c r="C255">
        <v>17528908</v>
      </c>
      <c r="D255" t="s">
        <v>64</v>
      </c>
      <c r="E255" t="s">
        <v>70</v>
      </c>
      <c r="F255" t="s">
        <v>71</v>
      </c>
      <c r="G255" s="1">
        <v>46023</v>
      </c>
      <c r="H255" s="1">
        <v>46066</v>
      </c>
      <c r="I255" t="s">
        <v>15</v>
      </c>
      <c r="J255" t="s">
        <v>640</v>
      </c>
      <c r="K255" s="2">
        <v>705</v>
      </c>
    </row>
    <row r="256" spans="1:11" x14ac:dyDescent="0.25">
      <c r="A256" t="s">
        <v>11</v>
      </c>
      <c r="C256">
        <v>17528908</v>
      </c>
      <c r="D256" t="s">
        <v>134</v>
      </c>
      <c r="E256" t="s">
        <v>135</v>
      </c>
      <c r="F256" t="s">
        <v>136</v>
      </c>
      <c r="G256" s="1">
        <v>46023</v>
      </c>
      <c r="H256" s="1">
        <v>46066</v>
      </c>
      <c r="I256" t="s">
        <v>15</v>
      </c>
      <c r="J256" t="s">
        <v>640</v>
      </c>
      <c r="K256" s="2">
        <v>705</v>
      </c>
    </row>
    <row r="257" spans="1:11" x14ac:dyDescent="0.25">
      <c r="A257" t="s">
        <v>11</v>
      </c>
      <c r="C257">
        <v>17528908</v>
      </c>
      <c r="D257" t="s">
        <v>128</v>
      </c>
      <c r="E257" t="s">
        <v>129</v>
      </c>
      <c r="F257" t="s">
        <v>130</v>
      </c>
      <c r="G257" s="1">
        <v>46082</v>
      </c>
      <c r="H257" s="1">
        <v>46066</v>
      </c>
      <c r="I257" t="s">
        <v>15</v>
      </c>
      <c r="J257" t="s">
        <v>640</v>
      </c>
      <c r="K257" s="2">
        <v>705</v>
      </c>
    </row>
    <row r="258" spans="1:11" x14ac:dyDescent="0.25">
      <c r="A258" t="s">
        <v>11</v>
      </c>
      <c r="C258">
        <v>17528908</v>
      </c>
      <c r="D258" t="s">
        <v>88</v>
      </c>
      <c r="E258" t="s">
        <v>89</v>
      </c>
      <c r="F258" t="s">
        <v>90</v>
      </c>
      <c r="G258" s="1">
        <v>46023</v>
      </c>
      <c r="H258" s="1">
        <v>46066</v>
      </c>
      <c r="I258" t="s">
        <v>15</v>
      </c>
      <c r="J258" t="s">
        <v>640</v>
      </c>
      <c r="K258" s="2">
        <v>705</v>
      </c>
    </row>
    <row r="259" spans="1:11" x14ac:dyDescent="0.25">
      <c r="A259" t="s">
        <v>11</v>
      </c>
      <c r="C259">
        <v>17528908</v>
      </c>
      <c r="D259" t="s">
        <v>97</v>
      </c>
      <c r="E259" t="s">
        <v>98</v>
      </c>
      <c r="F259" t="s">
        <v>99</v>
      </c>
      <c r="G259" s="1">
        <v>46023</v>
      </c>
      <c r="H259" s="1">
        <v>46066</v>
      </c>
      <c r="I259" t="s">
        <v>15</v>
      </c>
      <c r="J259" t="s">
        <v>640</v>
      </c>
      <c r="K259" s="2">
        <v>705</v>
      </c>
    </row>
    <row r="260" spans="1:11" x14ac:dyDescent="0.25">
      <c r="A260" t="s">
        <v>11</v>
      </c>
      <c r="C260">
        <v>17528908</v>
      </c>
      <c r="D260" t="s">
        <v>94</v>
      </c>
      <c r="E260" t="s">
        <v>95</v>
      </c>
      <c r="F260" t="s">
        <v>96</v>
      </c>
      <c r="G260" s="1">
        <v>46023</v>
      </c>
      <c r="H260" s="1">
        <v>46066</v>
      </c>
      <c r="I260" t="s">
        <v>15</v>
      </c>
      <c r="J260" t="s">
        <v>640</v>
      </c>
      <c r="K260" s="2">
        <v>705</v>
      </c>
    </row>
    <row r="261" spans="1:11" x14ac:dyDescent="0.25">
      <c r="A261" t="s">
        <v>11</v>
      </c>
      <c r="C261">
        <v>17528908</v>
      </c>
      <c r="D261" t="s">
        <v>125</v>
      </c>
      <c r="E261" t="s">
        <v>126</v>
      </c>
      <c r="F261" t="s">
        <v>127</v>
      </c>
      <c r="G261" s="1">
        <v>46082</v>
      </c>
      <c r="H261" s="1">
        <v>46066</v>
      </c>
      <c r="I261" t="s">
        <v>15</v>
      </c>
      <c r="J261" t="s">
        <v>640</v>
      </c>
      <c r="K261" s="2">
        <v>705</v>
      </c>
    </row>
    <row r="262" spans="1:11" x14ac:dyDescent="0.25">
      <c r="A262" t="s">
        <v>11</v>
      </c>
      <c r="C262">
        <v>17528908</v>
      </c>
      <c r="D262" t="s">
        <v>106</v>
      </c>
      <c r="E262" t="s">
        <v>101</v>
      </c>
      <c r="F262" t="s">
        <v>107</v>
      </c>
      <c r="G262" s="1">
        <v>46023</v>
      </c>
      <c r="H262" s="1">
        <v>46066</v>
      </c>
      <c r="I262" t="s">
        <v>15</v>
      </c>
      <c r="J262" t="s">
        <v>640</v>
      </c>
      <c r="K262" s="2">
        <v>705</v>
      </c>
    </row>
    <row r="263" spans="1:11" x14ac:dyDescent="0.25">
      <c r="A263" t="s">
        <v>11</v>
      </c>
      <c r="C263">
        <v>17528908</v>
      </c>
      <c r="D263" t="s">
        <v>100</v>
      </c>
      <c r="E263" t="s">
        <v>101</v>
      </c>
      <c r="F263" t="s">
        <v>102</v>
      </c>
      <c r="G263" s="1">
        <v>46023</v>
      </c>
      <c r="H263" s="1">
        <v>46066</v>
      </c>
      <c r="I263" t="s">
        <v>15</v>
      </c>
      <c r="J263" t="s">
        <v>640</v>
      </c>
      <c r="K263" s="2">
        <v>705</v>
      </c>
    </row>
    <row r="264" spans="1:11" x14ac:dyDescent="0.25">
      <c r="A264" t="s">
        <v>84</v>
      </c>
      <c r="C264">
        <v>18598357</v>
      </c>
      <c r="D264" t="s">
        <v>85</v>
      </c>
      <c r="E264" t="s">
        <v>86</v>
      </c>
      <c r="F264" t="s">
        <v>87</v>
      </c>
      <c r="G264" s="1">
        <v>46054</v>
      </c>
      <c r="H264" s="1">
        <v>46066</v>
      </c>
      <c r="I264" t="s">
        <v>15</v>
      </c>
      <c r="J264" t="s">
        <v>640</v>
      </c>
      <c r="K264" s="2">
        <v>705</v>
      </c>
    </row>
    <row r="265" spans="1:11" x14ac:dyDescent="0.25">
      <c r="A265" t="s">
        <v>84</v>
      </c>
      <c r="C265">
        <v>18598357</v>
      </c>
      <c r="D265" t="s">
        <v>24</v>
      </c>
      <c r="E265" t="s">
        <v>139</v>
      </c>
      <c r="F265" t="s">
        <v>140</v>
      </c>
      <c r="G265" s="1">
        <v>46023</v>
      </c>
      <c r="H265" s="1">
        <v>46066</v>
      </c>
      <c r="I265" t="s">
        <v>15</v>
      </c>
      <c r="J265" t="s">
        <v>640</v>
      </c>
      <c r="K265" s="2">
        <v>705</v>
      </c>
    </row>
    <row r="266" spans="1:11" x14ac:dyDescent="0.25">
      <c r="A266" t="s">
        <v>30</v>
      </c>
      <c r="C266">
        <v>18710070</v>
      </c>
      <c r="D266" t="s">
        <v>64</v>
      </c>
      <c r="E266" t="s">
        <v>65</v>
      </c>
      <c r="F266" t="s">
        <v>66</v>
      </c>
      <c r="G266" s="1">
        <v>46023</v>
      </c>
      <c r="H266" s="1">
        <v>46066</v>
      </c>
      <c r="I266" t="s">
        <v>15</v>
      </c>
      <c r="J266" t="s">
        <v>640</v>
      </c>
      <c r="K266" s="2">
        <v>705</v>
      </c>
    </row>
    <row r="267" spans="1:11" x14ac:dyDescent="0.25">
      <c r="A267" t="s">
        <v>30</v>
      </c>
      <c r="C267">
        <v>18710070</v>
      </c>
      <c r="D267" t="s">
        <v>137</v>
      </c>
      <c r="E267" t="s">
        <v>65</v>
      </c>
      <c r="F267" t="s">
        <v>138</v>
      </c>
      <c r="G267" s="1">
        <v>46023</v>
      </c>
      <c r="H267" s="1">
        <v>46066</v>
      </c>
      <c r="I267" t="s">
        <v>15</v>
      </c>
      <c r="J267" t="s">
        <v>640</v>
      </c>
      <c r="K267" s="2">
        <v>705</v>
      </c>
    </row>
    <row r="268" spans="1:11" x14ac:dyDescent="0.25">
      <c r="A268" t="s">
        <v>30</v>
      </c>
      <c r="C268">
        <v>18710070</v>
      </c>
      <c r="D268" t="s">
        <v>114</v>
      </c>
      <c r="E268" t="s">
        <v>115</v>
      </c>
      <c r="F268" t="s">
        <v>116</v>
      </c>
      <c r="G268" s="1">
        <v>46023</v>
      </c>
      <c r="H268" s="1">
        <v>46066</v>
      </c>
      <c r="I268" t="s">
        <v>15</v>
      </c>
      <c r="J268" t="s">
        <v>640</v>
      </c>
      <c r="K268" s="2">
        <v>705</v>
      </c>
    </row>
    <row r="269" spans="1:11" x14ac:dyDescent="0.25">
      <c r="A269" t="s">
        <v>30</v>
      </c>
      <c r="C269">
        <v>18710070</v>
      </c>
      <c r="D269" t="s">
        <v>117</v>
      </c>
      <c r="E269" t="s">
        <v>118</v>
      </c>
      <c r="F269" t="s">
        <v>119</v>
      </c>
      <c r="G269" s="1">
        <v>46023</v>
      </c>
      <c r="H269" s="1">
        <v>46066</v>
      </c>
      <c r="I269" t="s">
        <v>15</v>
      </c>
      <c r="J269" t="s">
        <v>640</v>
      </c>
      <c r="K269" s="2">
        <v>705</v>
      </c>
    </row>
    <row r="270" spans="1:11" x14ac:dyDescent="0.25">
      <c r="A270" t="s">
        <v>30</v>
      </c>
      <c r="C270">
        <v>18710070</v>
      </c>
      <c r="D270" t="s">
        <v>78</v>
      </c>
      <c r="E270" t="s">
        <v>79</v>
      </c>
      <c r="F270" t="s">
        <v>80</v>
      </c>
      <c r="G270" s="1">
        <v>46023</v>
      </c>
      <c r="H270" s="1">
        <v>46066</v>
      </c>
      <c r="I270" t="s">
        <v>15</v>
      </c>
      <c r="J270" t="s">
        <v>640</v>
      </c>
      <c r="K270" s="2">
        <v>705</v>
      </c>
    </row>
    <row r="271" spans="1:11" x14ac:dyDescent="0.25">
      <c r="A271" t="s">
        <v>30</v>
      </c>
      <c r="C271">
        <v>18710070</v>
      </c>
      <c r="D271" t="s">
        <v>61</v>
      </c>
      <c r="E271" t="s">
        <v>62</v>
      </c>
      <c r="F271" t="s">
        <v>63</v>
      </c>
      <c r="G271" s="1">
        <v>46023</v>
      </c>
      <c r="H271" s="1">
        <v>46066</v>
      </c>
      <c r="I271" t="s">
        <v>15</v>
      </c>
      <c r="J271" t="s">
        <v>640</v>
      </c>
      <c r="K271" s="2">
        <v>705</v>
      </c>
    </row>
    <row r="272" spans="1:11" x14ac:dyDescent="0.25">
      <c r="A272" t="s">
        <v>30</v>
      </c>
      <c r="C272">
        <v>18710070</v>
      </c>
      <c r="D272" t="s">
        <v>103</v>
      </c>
      <c r="E272" t="s">
        <v>104</v>
      </c>
      <c r="F272" t="s">
        <v>105</v>
      </c>
      <c r="G272" s="1">
        <v>46054</v>
      </c>
      <c r="H272" s="1">
        <v>46066</v>
      </c>
      <c r="I272" t="s">
        <v>15</v>
      </c>
      <c r="J272" t="s">
        <v>640</v>
      </c>
      <c r="K272" s="2">
        <v>705</v>
      </c>
    </row>
    <row r="273" spans="1:11" x14ac:dyDescent="0.25">
      <c r="A273" t="s">
        <v>38</v>
      </c>
      <c r="C273">
        <v>18794740</v>
      </c>
      <c r="D273" t="s">
        <v>120</v>
      </c>
      <c r="E273" t="s">
        <v>121</v>
      </c>
      <c r="F273" t="s">
        <v>122</v>
      </c>
      <c r="G273" s="1">
        <v>46023</v>
      </c>
      <c r="H273" s="1">
        <v>46066</v>
      </c>
      <c r="I273" t="s">
        <v>15</v>
      </c>
      <c r="J273" t="s">
        <v>640</v>
      </c>
      <c r="K273" s="2">
        <v>705</v>
      </c>
    </row>
    <row r="274" spans="1:11" x14ac:dyDescent="0.25">
      <c r="A274" t="s">
        <v>38</v>
      </c>
      <c r="C274">
        <v>18794740</v>
      </c>
      <c r="D274" t="s">
        <v>131</v>
      </c>
      <c r="E274" t="s">
        <v>132</v>
      </c>
      <c r="F274" t="s">
        <v>133</v>
      </c>
      <c r="G274" s="1">
        <v>46023</v>
      </c>
      <c r="H274" s="1">
        <v>46066</v>
      </c>
      <c r="I274" t="s">
        <v>15</v>
      </c>
      <c r="J274" t="s">
        <v>640</v>
      </c>
      <c r="K274" s="2">
        <v>705</v>
      </c>
    </row>
    <row r="275" spans="1:11" x14ac:dyDescent="0.25">
      <c r="A275" t="s">
        <v>38</v>
      </c>
      <c r="C275">
        <v>18794740</v>
      </c>
      <c r="D275" t="s">
        <v>72</v>
      </c>
      <c r="E275" t="s">
        <v>73</v>
      </c>
      <c r="F275" t="s">
        <v>74</v>
      </c>
      <c r="G275" s="1">
        <v>46023</v>
      </c>
      <c r="H275" s="1">
        <v>46066</v>
      </c>
      <c r="I275" t="s">
        <v>15</v>
      </c>
      <c r="J275" t="s">
        <v>640</v>
      </c>
      <c r="K275" s="2">
        <v>705</v>
      </c>
    </row>
    <row r="276" spans="1:11" x14ac:dyDescent="0.25">
      <c r="A276" t="s">
        <v>141</v>
      </c>
      <c r="C276">
        <v>17425766</v>
      </c>
      <c r="D276" t="s">
        <v>142</v>
      </c>
      <c r="E276" t="s">
        <v>143</v>
      </c>
      <c r="F276" t="s">
        <v>144</v>
      </c>
      <c r="G276" s="1">
        <v>46023</v>
      </c>
      <c r="H276" s="1">
        <v>46066</v>
      </c>
      <c r="I276" t="s">
        <v>15</v>
      </c>
      <c r="J276" t="s">
        <v>640</v>
      </c>
      <c r="K276" s="2">
        <v>705</v>
      </c>
    </row>
    <row r="277" spans="1:11" x14ac:dyDescent="0.25">
      <c r="A277" t="s">
        <v>111</v>
      </c>
      <c r="B277">
        <v>8971826</v>
      </c>
      <c r="C277">
        <v>8971826</v>
      </c>
      <c r="D277" t="s">
        <v>247</v>
      </c>
      <c r="E277" t="s">
        <v>248</v>
      </c>
      <c r="F277" t="s">
        <v>249</v>
      </c>
      <c r="G277" s="1">
        <v>45292</v>
      </c>
      <c r="H277" s="1">
        <v>46066</v>
      </c>
      <c r="I277" t="s">
        <v>15</v>
      </c>
      <c r="J277" t="s">
        <v>641</v>
      </c>
      <c r="K277" s="2">
        <v>353</v>
      </c>
    </row>
    <row r="278" spans="1:11" x14ac:dyDescent="0.25">
      <c r="A278" t="s">
        <v>324</v>
      </c>
      <c r="C278">
        <v>9254978</v>
      </c>
      <c r="D278" t="s">
        <v>501</v>
      </c>
      <c r="E278" t="s">
        <v>502</v>
      </c>
      <c r="F278" t="s">
        <v>503</v>
      </c>
      <c r="G278" s="1">
        <v>46023</v>
      </c>
      <c r="H278" s="1">
        <v>46066</v>
      </c>
      <c r="I278" t="s">
        <v>15</v>
      </c>
      <c r="J278" t="s">
        <v>641</v>
      </c>
      <c r="K278" s="2">
        <v>353</v>
      </c>
    </row>
    <row r="279" spans="1:11" x14ac:dyDescent="0.25">
      <c r="A279" t="s">
        <v>324</v>
      </c>
      <c r="C279">
        <v>9254978</v>
      </c>
      <c r="D279" t="s">
        <v>508</v>
      </c>
      <c r="E279" t="s">
        <v>509</v>
      </c>
      <c r="F279" t="s">
        <v>510</v>
      </c>
      <c r="G279" s="1">
        <v>46023</v>
      </c>
      <c r="H279" s="1">
        <v>46066</v>
      </c>
      <c r="I279" t="s">
        <v>15</v>
      </c>
      <c r="J279" t="s">
        <v>641</v>
      </c>
      <c r="K279" s="2">
        <v>353</v>
      </c>
    </row>
    <row r="280" spans="1:11" x14ac:dyDescent="0.25">
      <c r="A280" t="s">
        <v>324</v>
      </c>
      <c r="C280">
        <v>9254978</v>
      </c>
      <c r="D280" t="s">
        <v>393</v>
      </c>
      <c r="E280" t="s">
        <v>394</v>
      </c>
      <c r="F280" t="s">
        <v>395</v>
      </c>
      <c r="G280" s="1">
        <v>46023</v>
      </c>
      <c r="H280" s="1">
        <v>46066</v>
      </c>
      <c r="I280" t="s">
        <v>15</v>
      </c>
      <c r="J280" t="s">
        <v>641</v>
      </c>
      <c r="K280" s="2">
        <v>353</v>
      </c>
    </row>
    <row r="281" spans="1:11" x14ac:dyDescent="0.25">
      <c r="A281" t="s">
        <v>324</v>
      </c>
      <c r="B281">
        <v>9254978</v>
      </c>
      <c r="C281">
        <v>9254978</v>
      </c>
      <c r="D281" t="s">
        <v>487</v>
      </c>
      <c r="E281" t="s">
        <v>488</v>
      </c>
      <c r="F281" t="s">
        <v>489</v>
      </c>
      <c r="G281" s="1">
        <v>45689</v>
      </c>
      <c r="H281" s="1">
        <v>46066</v>
      </c>
      <c r="I281" t="s">
        <v>15</v>
      </c>
      <c r="J281" t="s">
        <v>641</v>
      </c>
      <c r="K281" s="2">
        <v>353</v>
      </c>
    </row>
    <row r="282" spans="1:11" x14ac:dyDescent="0.25">
      <c r="A282" t="s">
        <v>55</v>
      </c>
      <c r="C282">
        <v>15950276</v>
      </c>
      <c r="D282" t="s">
        <v>482</v>
      </c>
      <c r="E282" t="s">
        <v>483</v>
      </c>
      <c r="F282" t="s">
        <v>484</v>
      </c>
      <c r="G282" s="1">
        <v>45658</v>
      </c>
      <c r="H282" s="1">
        <v>46066</v>
      </c>
      <c r="I282" t="s">
        <v>15</v>
      </c>
      <c r="J282" t="s">
        <v>641</v>
      </c>
      <c r="K282" s="2">
        <v>353</v>
      </c>
    </row>
    <row r="283" spans="1:11" x14ac:dyDescent="0.25">
      <c r="A283" t="s">
        <v>55</v>
      </c>
      <c r="C283">
        <v>15950276</v>
      </c>
      <c r="D283" t="s">
        <v>64</v>
      </c>
      <c r="E283" t="s">
        <v>499</v>
      </c>
      <c r="F283" t="s">
        <v>500</v>
      </c>
      <c r="G283" s="1">
        <v>45931</v>
      </c>
      <c r="H283" s="1">
        <v>46066</v>
      </c>
      <c r="I283" t="s">
        <v>15</v>
      </c>
      <c r="J283" t="s">
        <v>641</v>
      </c>
      <c r="K283" s="2">
        <v>353</v>
      </c>
    </row>
    <row r="284" spans="1:11" x14ac:dyDescent="0.25">
      <c r="A284" t="s">
        <v>55</v>
      </c>
      <c r="C284">
        <v>15950276</v>
      </c>
      <c r="D284" t="s">
        <v>463</v>
      </c>
      <c r="E284" t="s">
        <v>464</v>
      </c>
      <c r="F284" t="s">
        <v>465</v>
      </c>
      <c r="G284" s="1">
        <v>45658</v>
      </c>
      <c r="H284" s="1">
        <v>46066</v>
      </c>
      <c r="I284" t="s">
        <v>15</v>
      </c>
      <c r="J284" t="s">
        <v>641</v>
      </c>
      <c r="K284" s="2">
        <v>353</v>
      </c>
    </row>
    <row r="285" spans="1:11" x14ac:dyDescent="0.25">
      <c r="A285" t="s">
        <v>55</v>
      </c>
      <c r="C285">
        <v>15950276</v>
      </c>
      <c r="D285" t="s">
        <v>229</v>
      </c>
      <c r="E285" t="s">
        <v>416</v>
      </c>
      <c r="F285" t="s">
        <v>417</v>
      </c>
      <c r="G285" s="1">
        <v>44562</v>
      </c>
      <c r="H285" s="1">
        <v>46066</v>
      </c>
      <c r="I285" t="s">
        <v>15</v>
      </c>
      <c r="J285" t="s">
        <v>641</v>
      </c>
      <c r="K285" s="2">
        <v>353</v>
      </c>
    </row>
    <row r="286" spans="1:11" x14ac:dyDescent="0.25">
      <c r="A286" t="s">
        <v>55</v>
      </c>
      <c r="C286">
        <v>15950276</v>
      </c>
      <c r="D286" t="s">
        <v>193</v>
      </c>
      <c r="E286" t="s">
        <v>194</v>
      </c>
      <c r="F286" t="s">
        <v>195</v>
      </c>
      <c r="G286" s="1">
        <v>44682</v>
      </c>
      <c r="H286" s="1">
        <v>46066</v>
      </c>
      <c r="I286" t="s">
        <v>15</v>
      </c>
      <c r="J286" t="s">
        <v>641</v>
      </c>
      <c r="K286" s="2">
        <v>353</v>
      </c>
    </row>
    <row r="287" spans="1:11" x14ac:dyDescent="0.25">
      <c r="A287" t="s">
        <v>55</v>
      </c>
      <c r="C287">
        <v>15950276</v>
      </c>
      <c r="D287" t="s">
        <v>424</v>
      </c>
      <c r="E287" t="s">
        <v>194</v>
      </c>
      <c r="F287" t="s">
        <v>425</v>
      </c>
      <c r="G287" s="1">
        <v>44774</v>
      </c>
      <c r="H287" s="1">
        <v>46066</v>
      </c>
      <c r="I287" t="s">
        <v>15</v>
      </c>
      <c r="J287" t="s">
        <v>641</v>
      </c>
      <c r="K287" s="2">
        <v>353</v>
      </c>
    </row>
    <row r="288" spans="1:11" x14ac:dyDescent="0.25">
      <c r="A288" t="s">
        <v>55</v>
      </c>
      <c r="C288">
        <v>15950276</v>
      </c>
      <c r="D288" t="s">
        <v>460</v>
      </c>
      <c r="E288" t="s">
        <v>461</v>
      </c>
      <c r="F288" t="s">
        <v>462</v>
      </c>
      <c r="G288" s="1">
        <v>45505</v>
      </c>
      <c r="H288" s="1">
        <v>46066</v>
      </c>
      <c r="I288" t="s">
        <v>15</v>
      </c>
      <c r="J288" t="s">
        <v>641</v>
      </c>
      <c r="K288" s="2">
        <v>353</v>
      </c>
    </row>
    <row r="289" spans="1:11" x14ac:dyDescent="0.25">
      <c r="A289" t="s">
        <v>55</v>
      </c>
      <c r="C289">
        <v>15950276</v>
      </c>
      <c r="D289" t="s">
        <v>426</v>
      </c>
      <c r="E289" t="s">
        <v>427</v>
      </c>
      <c r="F289" t="s">
        <v>428</v>
      </c>
      <c r="G289" s="1">
        <v>45323</v>
      </c>
      <c r="H289" s="1">
        <v>46066</v>
      </c>
      <c r="I289" t="s">
        <v>15</v>
      </c>
      <c r="J289" t="s">
        <v>641</v>
      </c>
      <c r="K289" s="2">
        <v>353</v>
      </c>
    </row>
    <row r="290" spans="1:11" x14ac:dyDescent="0.25">
      <c r="A290" t="s">
        <v>55</v>
      </c>
      <c r="C290">
        <v>15950276</v>
      </c>
      <c r="D290" t="s">
        <v>24</v>
      </c>
      <c r="E290" t="s">
        <v>240</v>
      </c>
      <c r="F290" t="s">
        <v>241</v>
      </c>
      <c r="G290" s="1">
        <v>44986</v>
      </c>
      <c r="H290" s="1">
        <v>46066</v>
      </c>
      <c r="I290" t="s">
        <v>15</v>
      </c>
      <c r="J290" t="s">
        <v>641</v>
      </c>
      <c r="K290" s="2">
        <v>353</v>
      </c>
    </row>
    <row r="291" spans="1:11" x14ac:dyDescent="0.25">
      <c r="A291" t="s">
        <v>55</v>
      </c>
      <c r="C291">
        <v>15950276</v>
      </c>
      <c r="D291" t="s">
        <v>184</v>
      </c>
      <c r="E291" t="s">
        <v>422</v>
      </c>
      <c r="F291" t="s">
        <v>423</v>
      </c>
      <c r="G291" s="1">
        <v>44774</v>
      </c>
      <c r="H291" s="1">
        <v>46066</v>
      </c>
      <c r="I291" t="s">
        <v>15</v>
      </c>
      <c r="J291" t="s">
        <v>641</v>
      </c>
      <c r="K291" s="2">
        <v>353</v>
      </c>
    </row>
    <row r="292" spans="1:11" x14ac:dyDescent="0.25">
      <c r="A292" t="s">
        <v>55</v>
      </c>
      <c r="C292">
        <v>15950276</v>
      </c>
      <c r="D292" t="s">
        <v>420</v>
      </c>
      <c r="E292" t="s">
        <v>188</v>
      </c>
      <c r="F292" t="s">
        <v>421</v>
      </c>
      <c r="G292" s="1">
        <v>44562</v>
      </c>
      <c r="H292" s="1">
        <v>46066</v>
      </c>
      <c r="I292" t="s">
        <v>15</v>
      </c>
      <c r="J292" t="s">
        <v>641</v>
      </c>
      <c r="K292" s="2">
        <v>353</v>
      </c>
    </row>
    <row r="293" spans="1:11" x14ac:dyDescent="0.25">
      <c r="A293" t="s">
        <v>55</v>
      </c>
      <c r="C293">
        <v>15950276</v>
      </c>
      <c r="D293" t="s">
        <v>441</v>
      </c>
      <c r="E293" t="s">
        <v>442</v>
      </c>
      <c r="F293" t="s">
        <v>443</v>
      </c>
      <c r="G293" s="1">
        <v>45413</v>
      </c>
      <c r="H293" s="1">
        <v>46066</v>
      </c>
      <c r="I293" t="s">
        <v>15</v>
      </c>
      <c r="J293" t="s">
        <v>641</v>
      </c>
      <c r="K293" s="2">
        <v>353</v>
      </c>
    </row>
    <row r="294" spans="1:11" x14ac:dyDescent="0.25">
      <c r="A294" t="s">
        <v>55</v>
      </c>
      <c r="C294">
        <v>15950276</v>
      </c>
      <c r="D294" t="s">
        <v>258</v>
      </c>
      <c r="E294" t="s">
        <v>347</v>
      </c>
      <c r="F294" t="s">
        <v>348</v>
      </c>
      <c r="G294" s="1">
        <v>45748</v>
      </c>
      <c r="H294" s="1">
        <v>46066</v>
      </c>
      <c r="I294" t="s">
        <v>15</v>
      </c>
      <c r="J294" t="s">
        <v>641</v>
      </c>
      <c r="K294" s="2">
        <v>353</v>
      </c>
    </row>
    <row r="295" spans="1:11" x14ac:dyDescent="0.25">
      <c r="A295" t="s">
        <v>55</v>
      </c>
      <c r="C295">
        <v>15950276</v>
      </c>
      <c r="D295" t="s">
        <v>117</v>
      </c>
      <c r="E295" t="s">
        <v>347</v>
      </c>
      <c r="F295" t="s">
        <v>368</v>
      </c>
      <c r="G295" s="1">
        <v>45748</v>
      </c>
      <c r="H295" s="1">
        <v>46066</v>
      </c>
      <c r="I295" t="s">
        <v>15</v>
      </c>
      <c r="J295" t="s">
        <v>641</v>
      </c>
      <c r="K295" s="2">
        <v>353</v>
      </c>
    </row>
    <row r="296" spans="1:11" x14ac:dyDescent="0.25">
      <c r="A296" t="s">
        <v>55</v>
      </c>
      <c r="C296">
        <v>15950276</v>
      </c>
      <c r="D296" t="s">
        <v>408</v>
      </c>
      <c r="E296" t="s">
        <v>409</v>
      </c>
      <c r="F296" t="s">
        <v>410</v>
      </c>
      <c r="G296" s="1">
        <v>44562</v>
      </c>
      <c r="H296" s="1">
        <v>46066</v>
      </c>
      <c r="I296" t="s">
        <v>15</v>
      </c>
      <c r="J296" t="s">
        <v>641</v>
      </c>
      <c r="K296" s="2">
        <v>353</v>
      </c>
    </row>
    <row r="297" spans="1:11" x14ac:dyDescent="0.25">
      <c r="A297" t="s">
        <v>55</v>
      </c>
      <c r="C297">
        <v>15950276</v>
      </c>
      <c r="D297" t="s">
        <v>516</v>
      </c>
      <c r="E297" t="s">
        <v>517</v>
      </c>
      <c r="F297" t="s">
        <v>518</v>
      </c>
      <c r="G297" s="1">
        <v>46023</v>
      </c>
      <c r="H297" s="1">
        <v>46066</v>
      </c>
      <c r="I297" t="s">
        <v>15</v>
      </c>
      <c r="J297" t="s">
        <v>641</v>
      </c>
      <c r="K297" s="2">
        <v>353</v>
      </c>
    </row>
    <row r="298" spans="1:11" x14ac:dyDescent="0.25">
      <c r="A298" t="s">
        <v>55</v>
      </c>
      <c r="C298">
        <v>15950276</v>
      </c>
      <c r="D298" t="s">
        <v>435</v>
      </c>
      <c r="E298" t="s">
        <v>436</v>
      </c>
      <c r="F298" t="s">
        <v>437</v>
      </c>
      <c r="G298" s="1">
        <v>46023</v>
      </c>
      <c r="H298" s="1">
        <v>46066</v>
      </c>
      <c r="I298" t="s">
        <v>15</v>
      </c>
      <c r="J298" t="s">
        <v>641</v>
      </c>
      <c r="K298" s="2">
        <v>353</v>
      </c>
    </row>
    <row r="299" spans="1:11" x14ac:dyDescent="0.25">
      <c r="A299" t="s">
        <v>23</v>
      </c>
      <c r="C299">
        <v>16212649</v>
      </c>
      <c r="D299" t="s">
        <v>24</v>
      </c>
      <c r="E299" t="s">
        <v>25</v>
      </c>
      <c r="F299" t="s">
        <v>26</v>
      </c>
      <c r="G299" s="1">
        <v>45505</v>
      </c>
      <c r="H299" s="1">
        <v>46066</v>
      </c>
      <c r="I299" t="s">
        <v>15</v>
      </c>
      <c r="J299" t="s">
        <v>641</v>
      </c>
      <c r="K299" s="2">
        <v>353</v>
      </c>
    </row>
    <row r="300" spans="1:11" x14ac:dyDescent="0.25">
      <c r="A300" t="s">
        <v>23</v>
      </c>
      <c r="C300">
        <v>16212649</v>
      </c>
      <c r="D300" t="s">
        <v>290</v>
      </c>
      <c r="E300" t="s">
        <v>291</v>
      </c>
      <c r="F300" t="s">
        <v>292</v>
      </c>
      <c r="G300" s="1">
        <v>46023</v>
      </c>
      <c r="H300" s="1">
        <v>46066</v>
      </c>
      <c r="I300" t="s">
        <v>15</v>
      </c>
      <c r="J300" t="s">
        <v>641</v>
      </c>
      <c r="K300" s="2">
        <v>353</v>
      </c>
    </row>
    <row r="301" spans="1:11" x14ac:dyDescent="0.25">
      <c r="A301" t="s">
        <v>11</v>
      </c>
      <c r="C301">
        <v>17528908</v>
      </c>
      <c r="D301" t="s">
        <v>232</v>
      </c>
      <c r="E301" t="s">
        <v>233</v>
      </c>
      <c r="F301" t="s">
        <v>234</v>
      </c>
      <c r="G301" s="1">
        <v>46023</v>
      </c>
      <c r="H301" s="1">
        <v>46066</v>
      </c>
      <c r="I301" t="s">
        <v>15</v>
      </c>
      <c r="J301" t="s">
        <v>641</v>
      </c>
      <c r="K301" s="2">
        <v>353</v>
      </c>
    </row>
    <row r="302" spans="1:11" x14ac:dyDescent="0.25">
      <c r="A302" t="s">
        <v>11</v>
      </c>
      <c r="C302">
        <v>17528908</v>
      </c>
      <c r="D302" t="s">
        <v>380</v>
      </c>
      <c r="E302" t="s">
        <v>233</v>
      </c>
      <c r="F302" t="s">
        <v>381</v>
      </c>
      <c r="G302" s="1">
        <v>46023</v>
      </c>
      <c r="H302" s="1">
        <v>46066</v>
      </c>
      <c r="I302" t="s">
        <v>15</v>
      </c>
      <c r="J302" t="s">
        <v>641</v>
      </c>
      <c r="K302" s="2">
        <v>353</v>
      </c>
    </row>
    <row r="303" spans="1:11" x14ac:dyDescent="0.25">
      <c r="A303" t="s">
        <v>11</v>
      </c>
      <c r="B303">
        <v>17528908</v>
      </c>
      <c r="C303">
        <v>17528908</v>
      </c>
      <c r="D303" t="s">
        <v>24</v>
      </c>
      <c r="E303" t="s">
        <v>182</v>
      </c>
      <c r="F303" t="s">
        <v>183</v>
      </c>
      <c r="G303" s="1">
        <v>45444</v>
      </c>
      <c r="H303" s="1">
        <v>46066</v>
      </c>
      <c r="I303" t="s">
        <v>15</v>
      </c>
      <c r="J303" t="s">
        <v>641</v>
      </c>
      <c r="K303" s="2">
        <v>353</v>
      </c>
    </row>
    <row r="304" spans="1:11" x14ac:dyDescent="0.25">
      <c r="A304" t="s">
        <v>11</v>
      </c>
      <c r="B304">
        <v>17528908</v>
      </c>
      <c r="C304">
        <v>17528908</v>
      </c>
      <c r="D304" t="s">
        <v>258</v>
      </c>
      <c r="E304" t="s">
        <v>259</v>
      </c>
      <c r="F304" t="s">
        <v>260</v>
      </c>
      <c r="G304" s="1">
        <v>45323</v>
      </c>
      <c r="H304" s="1">
        <v>46066</v>
      </c>
      <c r="I304" t="s">
        <v>15</v>
      </c>
      <c r="J304" t="s">
        <v>641</v>
      </c>
      <c r="K304" s="2">
        <v>353</v>
      </c>
    </row>
    <row r="305" spans="1:11" x14ac:dyDescent="0.25">
      <c r="A305" t="s">
        <v>11</v>
      </c>
      <c r="B305">
        <v>17528908</v>
      </c>
      <c r="C305">
        <v>17528908</v>
      </c>
      <c r="D305" t="s">
        <v>61</v>
      </c>
      <c r="E305" t="s">
        <v>313</v>
      </c>
      <c r="F305" t="s">
        <v>314</v>
      </c>
      <c r="G305" s="1">
        <v>45292</v>
      </c>
      <c r="H305" s="1">
        <v>46066</v>
      </c>
      <c r="I305" t="s">
        <v>15</v>
      </c>
      <c r="J305" t="s">
        <v>641</v>
      </c>
      <c r="K305" s="2">
        <v>353</v>
      </c>
    </row>
    <row r="306" spans="1:11" x14ac:dyDescent="0.25">
      <c r="A306" t="s">
        <v>11</v>
      </c>
      <c r="B306">
        <v>17528908</v>
      </c>
      <c r="C306">
        <v>17528908</v>
      </c>
      <c r="D306" t="s">
        <v>457</v>
      </c>
      <c r="E306" t="s">
        <v>458</v>
      </c>
      <c r="F306" t="s">
        <v>459</v>
      </c>
      <c r="G306" s="1">
        <v>45474</v>
      </c>
      <c r="H306" s="1">
        <v>46066</v>
      </c>
      <c r="I306" t="s">
        <v>15</v>
      </c>
      <c r="J306" t="s">
        <v>641</v>
      </c>
      <c r="K306" s="2">
        <v>353</v>
      </c>
    </row>
    <row r="307" spans="1:11" x14ac:dyDescent="0.25">
      <c r="A307" t="s">
        <v>11</v>
      </c>
      <c r="B307">
        <v>17528908</v>
      </c>
      <c r="C307">
        <v>17528908</v>
      </c>
      <c r="D307" t="s">
        <v>479</v>
      </c>
      <c r="E307" t="s">
        <v>253</v>
      </c>
      <c r="F307" t="s">
        <v>480</v>
      </c>
      <c r="G307" s="1">
        <v>45658</v>
      </c>
      <c r="H307" s="1">
        <v>46066</v>
      </c>
      <c r="I307" t="s">
        <v>15</v>
      </c>
      <c r="J307" t="s">
        <v>641</v>
      </c>
      <c r="K307" s="2">
        <v>353</v>
      </c>
    </row>
    <row r="308" spans="1:11" x14ac:dyDescent="0.25">
      <c r="A308" t="s">
        <v>11</v>
      </c>
      <c r="B308">
        <v>17528908</v>
      </c>
      <c r="C308">
        <v>17528908</v>
      </c>
      <c r="D308" t="s">
        <v>252</v>
      </c>
      <c r="E308" t="s">
        <v>253</v>
      </c>
      <c r="F308" t="s">
        <v>254</v>
      </c>
      <c r="G308" s="1">
        <v>45658</v>
      </c>
      <c r="H308" s="1">
        <v>46066</v>
      </c>
      <c r="I308" t="s">
        <v>15</v>
      </c>
      <c r="J308" t="s">
        <v>641</v>
      </c>
      <c r="K308" s="2">
        <v>353</v>
      </c>
    </row>
    <row r="309" spans="1:11" x14ac:dyDescent="0.25">
      <c r="A309" t="s">
        <v>11</v>
      </c>
      <c r="B309">
        <v>17528908</v>
      </c>
      <c r="C309">
        <v>17528908</v>
      </c>
      <c r="D309" t="s">
        <v>47</v>
      </c>
      <c r="E309" t="s">
        <v>329</v>
      </c>
      <c r="F309" t="s">
        <v>453</v>
      </c>
      <c r="G309" s="1">
        <v>45323</v>
      </c>
      <c r="H309" s="1">
        <v>46066</v>
      </c>
      <c r="I309" t="s">
        <v>15</v>
      </c>
      <c r="J309" t="s">
        <v>641</v>
      </c>
      <c r="K309" s="2">
        <v>353</v>
      </c>
    </row>
    <row r="310" spans="1:11" x14ac:dyDescent="0.25">
      <c r="A310" t="s">
        <v>11</v>
      </c>
      <c r="B310">
        <v>17528908</v>
      </c>
      <c r="C310">
        <v>17528908</v>
      </c>
      <c r="D310" t="s">
        <v>215</v>
      </c>
      <c r="E310" t="s">
        <v>329</v>
      </c>
      <c r="F310" t="s">
        <v>330</v>
      </c>
      <c r="G310" s="1">
        <v>45323</v>
      </c>
      <c r="H310" s="1">
        <v>46066</v>
      </c>
      <c r="I310" t="s">
        <v>15</v>
      </c>
      <c r="J310" t="s">
        <v>641</v>
      </c>
      <c r="K310" s="2">
        <v>353</v>
      </c>
    </row>
    <row r="311" spans="1:11" x14ac:dyDescent="0.25">
      <c r="A311" t="s">
        <v>11</v>
      </c>
      <c r="B311">
        <v>17528908</v>
      </c>
      <c r="C311">
        <v>17528908</v>
      </c>
      <c r="D311" t="s">
        <v>64</v>
      </c>
      <c r="E311" t="s">
        <v>411</v>
      </c>
      <c r="F311" t="s">
        <v>490</v>
      </c>
      <c r="G311" s="1">
        <v>45748</v>
      </c>
      <c r="H311" s="1">
        <v>46066</v>
      </c>
      <c r="I311" t="s">
        <v>15</v>
      </c>
      <c r="J311" t="s">
        <v>641</v>
      </c>
      <c r="K311" s="2">
        <v>353</v>
      </c>
    </row>
    <row r="312" spans="1:11" x14ac:dyDescent="0.25">
      <c r="A312" t="s">
        <v>11</v>
      </c>
      <c r="B312">
        <v>17528908</v>
      </c>
      <c r="C312">
        <v>17528908</v>
      </c>
      <c r="D312" t="s">
        <v>190</v>
      </c>
      <c r="E312" t="s">
        <v>411</v>
      </c>
      <c r="F312" t="s">
        <v>412</v>
      </c>
      <c r="G312" s="1">
        <v>44562</v>
      </c>
      <c r="H312" s="1">
        <v>46066</v>
      </c>
      <c r="I312" t="s">
        <v>15</v>
      </c>
      <c r="J312" t="s">
        <v>641</v>
      </c>
      <c r="K312" s="2">
        <v>353</v>
      </c>
    </row>
    <row r="313" spans="1:11" x14ac:dyDescent="0.25">
      <c r="A313" t="s">
        <v>11</v>
      </c>
      <c r="B313">
        <v>17528908</v>
      </c>
      <c r="C313">
        <v>17528908</v>
      </c>
      <c r="D313" t="s">
        <v>170</v>
      </c>
      <c r="E313" t="s">
        <v>171</v>
      </c>
      <c r="F313" t="s">
        <v>172</v>
      </c>
      <c r="G313" s="1">
        <v>42005</v>
      </c>
      <c r="H313" s="1">
        <v>46066</v>
      </c>
      <c r="I313" t="s">
        <v>15</v>
      </c>
      <c r="J313" t="s">
        <v>641</v>
      </c>
      <c r="K313" s="2">
        <v>353</v>
      </c>
    </row>
    <row r="314" spans="1:11" x14ac:dyDescent="0.25">
      <c r="A314" t="s">
        <v>11</v>
      </c>
      <c r="B314">
        <v>17528908</v>
      </c>
      <c r="C314">
        <v>17528908</v>
      </c>
      <c r="D314" t="s">
        <v>193</v>
      </c>
      <c r="E314" t="s">
        <v>242</v>
      </c>
      <c r="F314" t="s">
        <v>243</v>
      </c>
      <c r="G314" s="1">
        <v>45413</v>
      </c>
      <c r="H314" s="1">
        <v>46066</v>
      </c>
      <c r="I314" t="s">
        <v>15</v>
      </c>
      <c r="J314" t="s">
        <v>641</v>
      </c>
      <c r="K314" s="2">
        <v>353</v>
      </c>
    </row>
    <row r="315" spans="1:11" x14ac:dyDescent="0.25">
      <c r="A315" t="s">
        <v>11</v>
      </c>
      <c r="C315">
        <v>17528908</v>
      </c>
      <c r="D315" t="s">
        <v>176</v>
      </c>
      <c r="E315" t="s">
        <v>177</v>
      </c>
      <c r="F315" t="s">
        <v>178</v>
      </c>
      <c r="G315" s="1">
        <v>46023</v>
      </c>
      <c r="H315" s="1">
        <v>46066</v>
      </c>
      <c r="I315" t="s">
        <v>15</v>
      </c>
      <c r="J315" t="s">
        <v>641</v>
      </c>
      <c r="K315" s="2">
        <v>353</v>
      </c>
    </row>
    <row r="316" spans="1:11" x14ac:dyDescent="0.25">
      <c r="A316" t="s">
        <v>11</v>
      </c>
      <c r="C316">
        <v>17528908</v>
      </c>
      <c r="D316" t="s">
        <v>418</v>
      </c>
      <c r="E316" t="s">
        <v>506</v>
      </c>
      <c r="F316" t="s">
        <v>507</v>
      </c>
      <c r="G316" s="1">
        <v>46023</v>
      </c>
      <c r="H316" s="1">
        <v>46066</v>
      </c>
      <c r="I316" t="s">
        <v>15</v>
      </c>
      <c r="J316" t="s">
        <v>641</v>
      </c>
      <c r="K316" s="2">
        <v>353</v>
      </c>
    </row>
    <row r="317" spans="1:11" x14ac:dyDescent="0.25">
      <c r="A317" t="s">
        <v>11</v>
      </c>
      <c r="B317">
        <v>17528908</v>
      </c>
      <c r="C317">
        <v>17528908</v>
      </c>
      <c r="D317" t="s">
        <v>229</v>
      </c>
      <c r="E317" t="s">
        <v>230</v>
      </c>
      <c r="F317" t="s">
        <v>231</v>
      </c>
      <c r="G317" s="1">
        <v>44713</v>
      </c>
      <c r="H317" s="1">
        <v>46066</v>
      </c>
      <c r="I317" t="s">
        <v>15</v>
      </c>
      <c r="J317" t="s">
        <v>641</v>
      </c>
      <c r="K317" s="2">
        <v>353</v>
      </c>
    </row>
    <row r="318" spans="1:11" x14ac:dyDescent="0.25">
      <c r="A318" t="s">
        <v>11</v>
      </c>
      <c r="B318">
        <v>17528908</v>
      </c>
      <c r="C318">
        <v>17528908</v>
      </c>
      <c r="D318" t="s">
        <v>357</v>
      </c>
      <c r="E318" t="s">
        <v>204</v>
      </c>
      <c r="F318" t="s">
        <v>358</v>
      </c>
      <c r="G318" s="1">
        <v>45444</v>
      </c>
      <c r="H318" s="1">
        <v>46066</v>
      </c>
      <c r="I318" t="s">
        <v>15</v>
      </c>
      <c r="J318" t="s">
        <v>641</v>
      </c>
      <c r="K318" s="2">
        <v>353</v>
      </c>
    </row>
    <row r="319" spans="1:11" x14ac:dyDescent="0.25">
      <c r="A319" t="s">
        <v>11</v>
      </c>
      <c r="C319">
        <v>17528908</v>
      </c>
      <c r="D319" t="s">
        <v>513</v>
      </c>
      <c r="E319" t="s">
        <v>514</v>
      </c>
      <c r="F319" t="s">
        <v>515</v>
      </c>
      <c r="G319" s="1">
        <v>46023</v>
      </c>
      <c r="H319" s="1">
        <v>46066</v>
      </c>
      <c r="I319" t="s">
        <v>15</v>
      </c>
      <c r="J319" t="s">
        <v>641</v>
      </c>
      <c r="K319" s="2">
        <v>353</v>
      </c>
    </row>
    <row r="320" spans="1:11" x14ac:dyDescent="0.25">
      <c r="A320" t="s">
        <v>11</v>
      </c>
      <c r="B320">
        <v>17528908</v>
      </c>
      <c r="C320">
        <v>17528908</v>
      </c>
      <c r="D320" t="s">
        <v>255</v>
      </c>
      <c r="E320" t="s">
        <v>256</v>
      </c>
      <c r="F320" t="s">
        <v>257</v>
      </c>
      <c r="G320" s="1">
        <v>45139</v>
      </c>
      <c r="H320" s="1">
        <v>46066</v>
      </c>
      <c r="I320" t="s">
        <v>15</v>
      </c>
      <c r="J320" t="s">
        <v>641</v>
      </c>
      <c r="K320" s="2">
        <v>353</v>
      </c>
    </row>
    <row r="321" spans="1:11" x14ac:dyDescent="0.25">
      <c r="A321" t="s">
        <v>11</v>
      </c>
      <c r="C321">
        <v>17528908</v>
      </c>
      <c r="D321" t="s">
        <v>97</v>
      </c>
      <c r="E321" t="s">
        <v>238</v>
      </c>
      <c r="F321" t="s">
        <v>239</v>
      </c>
      <c r="G321" s="1">
        <v>46023</v>
      </c>
      <c r="H321" s="1">
        <v>46066</v>
      </c>
      <c r="I321" t="s">
        <v>15</v>
      </c>
      <c r="J321" t="s">
        <v>641</v>
      </c>
      <c r="K321" s="2">
        <v>353</v>
      </c>
    </row>
    <row r="322" spans="1:11" x14ac:dyDescent="0.25">
      <c r="A322" t="s">
        <v>11</v>
      </c>
      <c r="C322">
        <v>17528908</v>
      </c>
      <c r="D322" t="s">
        <v>128</v>
      </c>
      <c r="E322" t="s">
        <v>308</v>
      </c>
      <c r="F322" t="s">
        <v>309</v>
      </c>
      <c r="G322" s="1">
        <v>46023</v>
      </c>
      <c r="H322" s="1">
        <v>46066</v>
      </c>
      <c r="I322" t="s">
        <v>15</v>
      </c>
      <c r="J322" t="s">
        <v>641</v>
      </c>
      <c r="K322" s="2">
        <v>353</v>
      </c>
    </row>
    <row r="323" spans="1:11" x14ac:dyDescent="0.25">
      <c r="A323" t="s">
        <v>11</v>
      </c>
      <c r="C323">
        <v>17528908</v>
      </c>
      <c r="D323" t="s">
        <v>369</v>
      </c>
      <c r="E323" t="s">
        <v>370</v>
      </c>
      <c r="F323" t="s">
        <v>371</v>
      </c>
      <c r="G323" s="1">
        <v>45901</v>
      </c>
      <c r="H323" s="1">
        <v>46066</v>
      </c>
      <c r="I323" t="s">
        <v>15</v>
      </c>
      <c r="J323" t="s">
        <v>641</v>
      </c>
      <c r="K323" s="2">
        <v>353</v>
      </c>
    </row>
    <row r="324" spans="1:11" x14ac:dyDescent="0.25">
      <c r="A324" t="s">
        <v>11</v>
      </c>
      <c r="C324">
        <v>17528908</v>
      </c>
      <c r="D324" t="s">
        <v>88</v>
      </c>
      <c r="E324" t="s">
        <v>164</v>
      </c>
      <c r="F324" t="s">
        <v>165</v>
      </c>
      <c r="G324" s="1">
        <v>46023</v>
      </c>
      <c r="H324" s="1">
        <v>46066</v>
      </c>
      <c r="I324" t="s">
        <v>15</v>
      </c>
      <c r="J324" t="s">
        <v>641</v>
      </c>
      <c r="K324" s="2">
        <v>353</v>
      </c>
    </row>
    <row r="325" spans="1:11" x14ac:dyDescent="0.25">
      <c r="A325" t="s">
        <v>11</v>
      </c>
      <c r="B325">
        <v>17528908</v>
      </c>
      <c r="C325">
        <v>17528908</v>
      </c>
      <c r="D325" t="s">
        <v>244</v>
      </c>
      <c r="E325" t="s">
        <v>245</v>
      </c>
      <c r="F325" t="s">
        <v>246</v>
      </c>
      <c r="G325" s="1">
        <v>45717</v>
      </c>
      <c r="H325" s="1">
        <v>46066</v>
      </c>
      <c r="I325" t="s">
        <v>15</v>
      </c>
      <c r="J325" t="s">
        <v>641</v>
      </c>
      <c r="K325" s="2">
        <v>353</v>
      </c>
    </row>
    <row r="326" spans="1:11" x14ac:dyDescent="0.25">
      <c r="A326" t="s">
        <v>11</v>
      </c>
      <c r="B326">
        <v>17528908</v>
      </c>
      <c r="C326">
        <v>17528908</v>
      </c>
      <c r="D326" t="s">
        <v>17</v>
      </c>
      <c r="E326" t="s">
        <v>18</v>
      </c>
      <c r="F326" t="s">
        <v>19</v>
      </c>
      <c r="G326" s="1">
        <v>45108</v>
      </c>
      <c r="H326" s="1">
        <v>46066</v>
      </c>
      <c r="I326" t="s">
        <v>15</v>
      </c>
      <c r="J326" t="s">
        <v>641</v>
      </c>
      <c r="K326" s="2">
        <v>353</v>
      </c>
    </row>
    <row r="327" spans="1:11" x14ac:dyDescent="0.25">
      <c r="A327" t="s">
        <v>11</v>
      </c>
      <c r="C327">
        <v>17528908</v>
      </c>
      <c r="D327" t="s">
        <v>31</v>
      </c>
      <c r="E327" t="s">
        <v>504</v>
      </c>
      <c r="F327" t="s">
        <v>505</v>
      </c>
      <c r="G327" s="1">
        <v>46023</v>
      </c>
      <c r="H327" s="1">
        <v>46066</v>
      </c>
      <c r="I327" t="s">
        <v>15</v>
      </c>
      <c r="J327" t="s">
        <v>641</v>
      </c>
      <c r="K327" s="2">
        <v>353</v>
      </c>
    </row>
    <row r="328" spans="1:11" x14ac:dyDescent="0.25">
      <c r="A328" t="s">
        <v>11</v>
      </c>
      <c r="B328">
        <v>17528908</v>
      </c>
      <c r="C328">
        <v>17528908</v>
      </c>
      <c r="D328" t="s">
        <v>386</v>
      </c>
      <c r="E328" t="s">
        <v>387</v>
      </c>
      <c r="F328" t="s">
        <v>388</v>
      </c>
      <c r="G328" s="1">
        <v>44682</v>
      </c>
      <c r="H328" s="1">
        <v>46066</v>
      </c>
      <c r="I328" t="s">
        <v>15</v>
      </c>
      <c r="J328" t="s">
        <v>641</v>
      </c>
      <c r="K328" s="2">
        <v>353</v>
      </c>
    </row>
    <row r="329" spans="1:11" x14ac:dyDescent="0.25">
      <c r="A329" t="s">
        <v>11</v>
      </c>
      <c r="B329">
        <v>17528908</v>
      </c>
      <c r="C329">
        <v>17528908</v>
      </c>
      <c r="D329" t="s">
        <v>403</v>
      </c>
      <c r="E329" t="s">
        <v>404</v>
      </c>
      <c r="F329" t="s">
        <v>405</v>
      </c>
      <c r="G329" s="1">
        <v>45292</v>
      </c>
      <c r="H329" s="1">
        <v>46066</v>
      </c>
      <c r="I329" t="s">
        <v>15</v>
      </c>
      <c r="J329" t="s">
        <v>641</v>
      </c>
      <c r="K329" s="2">
        <v>353</v>
      </c>
    </row>
    <row r="330" spans="1:11" x14ac:dyDescent="0.25">
      <c r="A330" t="s">
        <v>11</v>
      </c>
      <c r="B330">
        <v>17528908</v>
      </c>
      <c r="C330">
        <v>17528908</v>
      </c>
      <c r="D330" t="s">
        <v>31</v>
      </c>
      <c r="E330" t="s">
        <v>338</v>
      </c>
      <c r="F330" t="s">
        <v>339</v>
      </c>
      <c r="G330" s="1">
        <v>45505</v>
      </c>
      <c r="H330" s="1">
        <v>46066</v>
      </c>
      <c r="I330" t="s">
        <v>15</v>
      </c>
      <c r="J330" t="s">
        <v>641</v>
      </c>
      <c r="K330" s="2">
        <v>353</v>
      </c>
    </row>
    <row r="331" spans="1:11" x14ac:dyDescent="0.25">
      <c r="A331" t="s">
        <v>11</v>
      </c>
      <c r="C331">
        <v>17528908</v>
      </c>
      <c r="D331" t="s">
        <v>276</v>
      </c>
      <c r="E331" t="s">
        <v>277</v>
      </c>
      <c r="F331" t="s">
        <v>278</v>
      </c>
      <c r="G331" s="1">
        <v>46023</v>
      </c>
      <c r="H331" s="1">
        <v>46066</v>
      </c>
      <c r="I331" t="s">
        <v>15</v>
      </c>
      <c r="J331" t="s">
        <v>641</v>
      </c>
      <c r="K331" s="2">
        <v>353</v>
      </c>
    </row>
    <row r="332" spans="1:11" x14ac:dyDescent="0.25">
      <c r="A332" t="s">
        <v>11</v>
      </c>
      <c r="C332">
        <v>17528908</v>
      </c>
      <c r="D332" t="s">
        <v>285</v>
      </c>
      <c r="E332" t="s">
        <v>286</v>
      </c>
      <c r="F332" t="s">
        <v>287</v>
      </c>
      <c r="G332" s="1">
        <v>46023</v>
      </c>
      <c r="H332" s="1">
        <v>46066</v>
      </c>
      <c r="I332" t="s">
        <v>15</v>
      </c>
      <c r="J332" t="s">
        <v>641</v>
      </c>
      <c r="K332" s="2">
        <v>353</v>
      </c>
    </row>
    <row r="333" spans="1:11" x14ac:dyDescent="0.25">
      <c r="A333" t="s">
        <v>11</v>
      </c>
      <c r="B333">
        <v>17528908</v>
      </c>
      <c r="C333">
        <v>17528908</v>
      </c>
      <c r="D333" t="s">
        <v>340</v>
      </c>
      <c r="E333" t="s">
        <v>396</v>
      </c>
      <c r="F333" t="s">
        <v>397</v>
      </c>
      <c r="G333" s="1">
        <v>43009</v>
      </c>
      <c r="H333" s="1">
        <v>46066</v>
      </c>
      <c r="I333" t="s">
        <v>15</v>
      </c>
      <c r="J333" t="s">
        <v>641</v>
      </c>
      <c r="K333" s="2">
        <v>353</v>
      </c>
    </row>
    <row r="334" spans="1:11" x14ac:dyDescent="0.25">
      <c r="A334" t="s">
        <v>11</v>
      </c>
      <c r="B334">
        <v>17528908</v>
      </c>
      <c r="C334">
        <v>17528908</v>
      </c>
      <c r="D334" t="s">
        <v>374</v>
      </c>
      <c r="E334" t="s">
        <v>375</v>
      </c>
      <c r="F334" t="s">
        <v>376</v>
      </c>
      <c r="G334" s="1">
        <v>44927</v>
      </c>
      <c r="H334" s="1">
        <v>46066</v>
      </c>
      <c r="I334" t="s">
        <v>15</v>
      </c>
      <c r="J334" t="s">
        <v>641</v>
      </c>
      <c r="K334" s="2">
        <v>353</v>
      </c>
    </row>
    <row r="335" spans="1:11" x14ac:dyDescent="0.25">
      <c r="A335" t="s">
        <v>11</v>
      </c>
      <c r="B335">
        <v>17528908</v>
      </c>
      <c r="C335">
        <v>17528908</v>
      </c>
      <c r="D335" t="s">
        <v>128</v>
      </c>
      <c r="E335" t="s">
        <v>364</v>
      </c>
      <c r="F335" t="s">
        <v>365</v>
      </c>
      <c r="G335" s="1">
        <v>44927</v>
      </c>
      <c r="H335" s="1">
        <v>46066</v>
      </c>
      <c r="I335" t="s">
        <v>15</v>
      </c>
      <c r="J335" t="s">
        <v>641</v>
      </c>
      <c r="K335" s="2">
        <v>353</v>
      </c>
    </row>
    <row r="336" spans="1:11" x14ac:dyDescent="0.25">
      <c r="A336" t="s">
        <v>11</v>
      </c>
      <c r="C336">
        <v>17528908</v>
      </c>
      <c r="D336" t="s">
        <v>72</v>
      </c>
      <c r="E336" t="s">
        <v>196</v>
      </c>
      <c r="F336" t="s">
        <v>197</v>
      </c>
      <c r="G336" s="1">
        <v>46023</v>
      </c>
      <c r="H336" s="1">
        <v>46066</v>
      </c>
      <c r="I336" t="s">
        <v>15</v>
      </c>
      <c r="J336" t="s">
        <v>641</v>
      </c>
      <c r="K336" s="2">
        <v>353</v>
      </c>
    </row>
    <row r="337" spans="1:11" x14ac:dyDescent="0.25">
      <c r="A337" t="s">
        <v>11</v>
      </c>
      <c r="B337">
        <v>17528908</v>
      </c>
      <c r="C337">
        <v>17528908</v>
      </c>
      <c r="D337" t="s">
        <v>288</v>
      </c>
      <c r="E337" t="s">
        <v>289</v>
      </c>
      <c r="F337" t="s">
        <v>163</v>
      </c>
      <c r="G337" s="1">
        <v>42005</v>
      </c>
      <c r="H337" s="1">
        <v>46066</v>
      </c>
      <c r="I337" t="s">
        <v>15</v>
      </c>
      <c r="J337" t="s">
        <v>641</v>
      </c>
      <c r="K337" s="2">
        <v>353</v>
      </c>
    </row>
    <row r="338" spans="1:11" x14ac:dyDescent="0.25">
      <c r="A338" t="s">
        <v>11</v>
      </c>
      <c r="B338">
        <v>17528908</v>
      </c>
      <c r="C338">
        <v>17528908</v>
      </c>
      <c r="D338" t="s">
        <v>190</v>
      </c>
      <c r="E338" t="s">
        <v>191</v>
      </c>
      <c r="F338" t="s">
        <v>192</v>
      </c>
      <c r="G338" s="1">
        <v>45809</v>
      </c>
      <c r="H338" s="1">
        <v>46066</v>
      </c>
      <c r="I338" t="s">
        <v>15</v>
      </c>
      <c r="J338" t="s">
        <v>641</v>
      </c>
      <c r="K338" s="2">
        <v>353</v>
      </c>
    </row>
    <row r="339" spans="1:11" x14ac:dyDescent="0.25">
      <c r="A339" t="s">
        <v>11</v>
      </c>
      <c r="B339">
        <v>17528908</v>
      </c>
      <c r="C339">
        <v>17528908</v>
      </c>
      <c r="D339" t="s">
        <v>302</v>
      </c>
      <c r="E339" t="s">
        <v>303</v>
      </c>
      <c r="F339" t="s">
        <v>304</v>
      </c>
      <c r="G339" s="1">
        <v>45292</v>
      </c>
      <c r="H339" s="1">
        <v>46066</v>
      </c>
      <c r="I339" t="s">
        <v>15</v>
      </c>
      <c r="J339" t="s">
        <v>641</v>
      </c>
      <c r="K339" s="2">
        <v>353</v>
      </c>
    </row>
    <row r="340" spans="1:11" x14ac:dyDescent="0.25">
      <c r="A340" t="s">
        <v>11</v>
      </c>
      <c r="C340">
        <v>17528908</v>
      </c>
      <c r="D340" t="s">
        <v>212</v>
      </c>
      <c r="E340" t="s">
        <v>213</v>
      </c>
      <c r="F340" t="s">
        <v>214</v>
      </c>
      <c r="G340" s="1">
        <v>46023</v>
      </c>
      <c r="H340" s="1">
        <v>46066</v>
      </c>
      <c r="I340" t="s">
        <v>15</v>
      </c>
      <c r="J340" t="s">
        <v>641</v>
      </c>
      <c r="K340" s="2">
        <v>353</v>
      </c>
    </row>
    <row r="341" spans="1:11" x14ac:dyDescent="0.25">
      <c r="A341" t="s">
        <v>11</v>
      </c>
      <c r="B341">
        <v>17528908</v>
      </c>
      <c r="C341">
        <v>17528908</v>
      </c>
      <c r="D341" t="s">
        <v>131</v>
      </c>
      <c r="E341" t="s">
        <v>398</v>
      </c>
      <c r="F341" t="s">
        <v>399</v>
      </c>
      <c r="G341" s="1">
        <v>43556</v>
      </c>
      <c r="H341" s="1">
        <v>46066</v>
      </c>
      <c r="I341" t="s">
        <v>15</v>
      </c>
      <c r="J341" t="s">
        <v>641</v>
      </c>
      <c r="K341" s="2">
        <v>353</v>
      </c>
    </row>
    <row r="342" spans="1:11" x14ac:dyDescent="0.25">
      <c r="A342" t="s">
        <v>11</v>
      </c>
      <c r="B342">
        <v>17528908</v>
      </c>
      <c r="C342">
        <v>17528908</v>
      </c>
      <c r="D342" t="s">
        <v>491</v>
      </c>
      <c r="E342" t="s">
        <v>355</v>
      </c>
      <c r="F342" t="s">
        <v>492</v>
      </c>
      <c r="G342" s="1">
        <v>45809</v>
      </c>
      <c r="H342" s="1">
        <v>46066</v>
      </c>
      <c r="I342" t="s">
        <v>15</v>
      </c>
      <c r="J342" t="s">
        <v>641</v>
      </c>
      <c r="K342" s="2">
        <v>353</v>
      </c>
    </row>
    <row r="343" spans="1:11" x14ac:dyDescent="0.25">
      <c r="A343" t="s">
        <v>11</v>
      </c>
      <c r="C343">
        <v>17528908</v>
      </c>
      <c r="D343" t="s">
        <v>117</v>
      </c>
      <c r="E343" t="s">
        <v>355</v>
      </c>
      <c r="F343" t="s">
        <v>356</v>
      </c>
      <c r="G343" s="1">
        <v>46023</v>
      </c>
      <c r="H343" s="1">
        <v>46066</v>
      </c>
      <c r="I343" t="s">
        <v>15</v>
      </c>
      <c r="J343" t="s">
        <v>641</v>
      </c>
      <c r="K343" s="2">
        <v>353</v>
      </c>
    </row>
    <row r="344" spans="1:11" x14ac:dyDescent="0.25">
      <c r="A344" t="s">
        <v>11</v>
      </c>
      <c r="C344">
        <v>17528908</v>
      </c>
      <c r="D344" t="s">
        <v>20</v>
      </c>
      <c r="E344" t="s">
        <v>174</v>
      </c>
      <c r="F344" t="s">
        <v>221</v>
      </c>
      <c r="G344" s="1">
        <v>46023</v>
      </c>
      <c r="H344" s="1">
        <v>46066</v>
      </c>
      <c r="I344" t="s">
        <v>15</v>
      </c>
      <c r="J344" t="s">
        <v>641</v>
      </c>
      <c r="K344" s="2">
        <v>353</v>
      </c>
    </row>
    <row r="345" spans="1:11" x14ac:dyDescent="0.25">
      <c r="A345" t="s">
        <v>11</v>
      </c>
      <c r="C345">
        <v>17528908</v>
      </c>
      <c r="D345" t="s">
        <v>173</v>
      </c>
      <c r="E345" t="s">
        <v>174</v>
      </c>
      <c r="F345" t="s">
        <v>175</v>
      </c>
      <c r="G345" s="1">
        <v>46023</v>
      </c>
      <c r="H345" s="1">
        <v>46066</v>
      </c>
      <c r="I345" t="s">
        <v>15</v>
      </c>
      <c r="J345" t="s">
        <v>641</v>
      </c>
      <c r="K345" s="2">
        <v>353</v>
      </c>
    </row>
    <row r="346" spans="1:11" x14ac:dyDescent="0.25">
      <c r="A346" t="s">
        <v>11</v>
      </c>
      <c r="B346">
        <v>17528908</v>
      </c>
      <c r="C346">
        <v>17528908</v>
      </c>
      <c r="D346" t="s">
        <v>187</v>
      </c>
      <c r="E346" t="s">
        <v>188</v>
      </c>
      <c r="F346" t="s">
        <v>189</v>
      </c>
      <c r="G346" s="1">
        <v>45839</v>
      </c>
      <c r="H346" s="1">
        <v>46066</v>
      </c>
      <c r="I346" t="s">
        <v>15</v>
      </c>
      <c r="J346" t="s">
        <v>641</v>
      </c>
      <c r="K346" s="2">
        <v>353</v>
      </c>
    </row>
    <row r="347" spans="1:11" x14ac:dyDescent="0.25">
      <c r="A347" t="s">
        <v>11</v>
      </c>
      <c r="B347">
        <v>17528908</v>
      </c>
      <c r="C347">
        <v>17528908</v>
      </c>
      <c r="D347" t="s">
        <v>494</v>
      </c>
      <c r="E347" t="s">
        <v>188</v>
      </c>
      <c r="F347" t="s">
        <v>495</v>
      </c>
      <c r="G347" s="1">
        <v>45839</v>
      </c>
      <c r="H347" s="1">
        <v>46066</v>
      </c>
      <c r="I347" t="s">
        <v>15</v>
      </c>
      <c r="J347" t="s">
        <v>641</v>
      </c>
      <c r="K347" s="2">
        <v>353</v>
      </c>
    </row>
    <row r="348" spans="1:11" x14ac:dyDescent="0.25">
      <c r="A348" t="s">
        <v>11</v>
      </c>
      <c r="C348">
        <v>17528908</v>
      </c>
      <c r="D348" t="s">
        <v>193</v>
      </c>
      <c r="E348" t="s">
        <v>199</v>
      </c>
      <c r="F348" t="s">
        <v>298</v>
      </c>
      <c r="G348" s="1">
        <v>46023</v>
      </c>
      <c r="H348" s="1">
        <v>46066</v>
      </c>
      <c r="I348" t="s">
        <v>15</v>
      </c>
      <c r="J348" t="s">
        <v>641</v>
      </c>
      <c r="K348" s="2">
        <v>353</v>
      </c>
    </row>
    <row r="349" spans="1:11" x14ac:dyDescent="0.25">
      <c r="A349" t="s">
        <v>11</v>
      </c>
      <c r="B349">
        <v>17528908</v>
      </c>
      <c r="C349">
        <v>17528908</v>
      </c>
      <c r="D349" t="s">
        <v>198</v>
      </c>
      <c r="E349" t="s">
        <v>199</v>
      </c>
      <c r="F349" t="s">
        <v>200</v>
      </c>
      <c r="G349" s="1">
        <v>42095</v>
      </c>
      <c r="H349" s="1">
        <v>46066</v>
      </c>
      <c r="I349" t="s">
        <v>15</v>
      </c>
      <c r="J349" t="s">
        <v>641</v>
      </c>
      <c r="K349" s="2">
        <v>353</v>
      </c>
    </row>
    <row r="350" spans="1:11" x14ac:dyDescent="0.25">
      <c r="A350" t="s">
        <v>11</v>
      </c>
      <c r="B350">
        <v>17528908</v>
      </c>
      <c r="C350">
        <v>17528908</v>
      </c>
      <c r="D350" t="s">
        <v>268</v>
      </c>
      <c r="E350" t="s">
        <v>269</v>
      </c>
      <c r="F350" t="s">
        <v>270</v>
      </c>
      <c r="G350" s="1">
        <v>42005</v>
      </c>
      <c r="H350" s="1">
        <v>46066</v>
      </c>
      <c r="I350" t="s">
        <v>15</v>
      </c>
      <c r="J350" t="s">
        <v>641</v>
      </c>
      <c r="K350" s="2">
        <v>353</v>
      </c>
    </row>
    <row r="351" spans="1:11" x14ac:dyDescent="0.25">
      <c r="A351" t="s">
        <v>11</v>
      </c>
      <c r="B351">
        <v>17528908</v>
      </c>
      <c r="C351">
        <v>17528908</v>
      </c>
      <c r="D351" t="s">
        <v>454</v>
      </c>
      <c r="E351" t="s">
        <v>455</v>
      </c>
      <c r="F351" t="s">
        <v>456</v>
      </c>
      <c r="G351" s="1">
        <v>45444</v>
      </c>
      <c r="H351" s="1">
        <v>46066</v>
      </c>
      <c r="I351" t="s">
        <v>15</v>
      </c>
      <c r="J351" t="s">
        <v>641</v>
      </c>
      <c r="K351" s="2">
        <v>353</v>
      </c>
    </row>
    <row r="352" spans="1:11" x14ac:dyDescent="0.25">
      <c r="A352" t="s">
        <v>11</v>
      </c>
      <c r="B352">
        <v>17528908</v>
      </c>
      <c r="C352">
        <v>17528908</v>
      </c>
      <c r="D352" t="s">
        <v>525</v>
      </c>
      <c r="E352" t="s">
        <v>273</v>
      </c>
      <c r="F352" t="s">
        <v>526</v>
      </c>
      <c r="G352" s="1">
        <v>45748</v>
      </c>
      <c r="H352" s="1">
        <v>46066</v>
      </c>
      <c r="I352" t="s">
        <v>15</v>
      </c>
      <c r="J352" t="s">
        <v>641</v>
      </c>
      <c r="K352" s="2">
        <v>353</v>
      </c>
    </row>
    <row r="353" spans="1:11" x14ac:dyDescent="0.25">
      <c r="A353" t="s">
        <v>11</v>
      </c>
      <c r="B353">
        <v>17528908</v>
      </c>
      <c r="C353">
        <v>17528908</v>
      </c>
      <c r="D353" t="s">
        <v>114</v>
      </c>
      <c r="E353" t="s">
        <v>315</v>
      </c>
      <c r="F353" t="s">
        <v>316</v>
      </c>
      <c r="G353" s="1">
        <v>45505</v>
      </c>
      <c r="H353" s="1">
        <v>46066</v>
      </c>
      <c r="I353" t="s">
        <v>15</v>
      </c>
      <c r="J353" t="s">
        <v>641</v>
      </c>
      <c r="K353" s="2">
        <v>353</v>
      </c>
    </row>
    <row r="354" spans="1:11" x14ac:dyDescent="0.25">
      <c r="A354" t="s">
        <v>11</v>
      </c>
      <c r="C354">
        <v>17528908</v>
      </c>
      <c r="D354" t="s">
        <v>390</v>
      </c>
      <c r="E354" t="s">
        <v>391</v>
      </c>
      <c r="F354" t="s">
        <v>392</v>
      </c>
      <c r="G354" s="1">
        <v>45901</v>
      </c>
      <c r="H354" s="1">
        <v>46066</v>
      </c>
      <c r="I354" t="s">
        <v>15</v>
      </c>
      <c r="J354" t="s">
        <v>641</v>
      </c>
      <c r="K354" s="2">
        <v>353</v>
      </c>
    </row>
    <row r="355" spans="1:11" x14ac:dyDescent="0.25">
      <c r="A355" t="s">
        <v>11</v>
      </c>
      <c r="B355">
        <v>17528908</v>
      </c>
      <c r="C355">
        <v>17528908</v>
      </c>
      <c r="D355" t="s">
        <v>35</v>
      </c>
      <c r="E355" t="s">
        <v>36</v>
      </c>
      <c r="F355" t="s">
        <v>37</v>
      </c>
      <c r="G355" s="1">
        <v>41275</v>
      </c>
      <c r="H355" s="1">
        <v>46066</v>
      </c>
      <c r="I355" t="s">
        <v>15</v>
      </c>
      <c r="J355" t="s">
        <v>641</v>
      </c>
      <c r="K355" s="2">
        <v>353</v>
      </c>
    </row>
    <row r="356" spans="1:11" x14ac:dyDescent="0.25">
      <c r="A356" t="s">
        <v>11</v>
      </c>
      <c r="B356">
        <v>17528908</v>
      </c>
      <c r="C356">
        <v>17528908</v>
      </c>
      <c r="D356" t="s">
        <v>463</v>
      </c>
      <c r="E356" t="s">
        <v>271</v>
      </c>
      <c r="F356" t="s">
        <v>493</v>
      </c>
      <c r="G356" s="1">
        <v>45809</v>
      </c>
      <c r="H356" s="1">
        <v>46066</v>
      </c>
      <c r="I356" t="s">
        <v>15</v>
      </c>
      <c r="J356" t="s">
        <v>641</v>
      </c>
      <c r="K356" s="2">
        <v>353</v>
      </c>
    </row>
    <row r="357" spans="1:11" x14ac:dyDescent="0.25">
      <c r="A357" t="s">
        <v>11</v>
      </c>
      <c r="B357">
        <v>17528908</v>
      </c>
      <c r="C357">
        <v>17528908</v>
      </c>
      <c r="D357" t="s">
        <v>190</v>
      </c>
      <c r="E357" t="s">
        <v>271</v>
      </c>
      <c r="F357" t="s">
        <v>272</v>
      </c>
      <c r="G357" s="1">
        <v>45748</v>
      </c>
      <c r="H357" s="1">
        <v>46066</v>
      </c>
      <c r="I357" t="s">
        <v>15</v>
      </c>
      <c r="J357" t="s">
        <v>641</v>
      </c>
      <c r="K357" s="2">
        <v>353</v>
      </c>
    </row>
    <row r="358" spans="1:11" x14ac:dyDescent="0.25">
      <c r="A358" t="s">
        <v>11</v>
      </c>
      <c r="B358">
        <v>17528908</v>
      </c>
      <c r="C358">
        <v>17528908</v>
      </c>
      <c r="D358" t="s">
        <v>117</v>
      </c>
      <c r="E358" t="s">
        <v>225</v>
      </c>
      <c r="F358" t="s">
        <v>226</v>
      </c>
      <c r="G358" s="1">
        <v>45505</v>
      </c>
      <c r="H358" s="1">
        <v>46066</v>
      </c>
      <c r="I358" t="s">
        <v>15</v>
      </c>
      <c r="J358" t="s">
        <v>641</v>
      </c>
      <c r="K358" s="2">
        <v>353</v>
      </c>
    </row>
    <row r="359" spans="1:11" x14ac:dyDescent="0.25">
      <c r="A359" t="s">
        <v>11</v>
      </c>
      <c r="C359">
        <v>17528908</v>
      </c>
      <c r="D359" t="s">
        <v>521</v>
      </c>
      <c r="E359" t="s">
        <v>519</v>
      </c>
      <c r="F359" t="s">
        <v>522</v>
      </c>
      <c r="G359" s="1">
        <v>46023</v>
      </c>
      <c r="H359" s="1">
        <v>46066</v>
      </c>
      <c r="I359" t="s">
        <v>15</v>
      </c>
      <c r="J359" t="s">
        <v>641</v>
      </c>
      <c r="K359" s="2">
        <v>353</v>
      </c>
    </row>
    <row r="360" spans="1:11" x14ac:dyDescent="0.25">
      <c r="A360" t="s">
        <v>11</v>
      </c>
      <c r="C360">
        <v>17528908</v>
      </c>
      <c r="D360" t="s">
        <v>273</v>
      </c>
      <c r="E360" t="s">
        <v>519</v>
      </c>
      <c r="F360" t="s">
        <v>520</v>
      </c>
      <c r="G360" s="1">
        <v>46023</v>
      </c>
      <c r="H360" s="1">
        <v>46066</v>
      </c>
      <c r="I360" t="s">
        <v>15</v>
      </c>
      <c r="J360" t="s">
        <v>641</v>
      </c>
      <c r="K360" s="2">
        <v>353</v>
      </c>
    </row>
    <row r="361" spans="1:11" x14ac:dyDescent="0.25">
      <c r="A361" t="s">
        <v>11</v>
      </c>
      <c r="B361">
        <v>17528908</v>
      </c>
      <c r="C361">
        <v>17528908</v>
      </c>
      <c r="D361" t="s">
        <v>321</v>
      </c>
      <c r="E361" t="s">
        <v>322</v>
      </c>
      <c r="F361" t="s">
        <v>323</v>
      </c>
      <c r="G361" s="1">
        <v>45658</v>
      </c>
      <c r="H361" s="1">
        <v>46066</v>
      </c>
      <c r="I361" t="s">
        <v>15</v>
      </c>
      <c r="J361" t="s">
        <v>641</v>
      </c>
      <c r="K361" s="2">
        <v>353</v>
      </c>
    </row>
    <row r="362" spans="1:11" x14ac:dyDescent="0.25">
      <c r="A362" t="s">
        <v>11</v>
      </c>
      <c r="C362">
        <v>17528908</v>
      </c>
      <c r="D362" t="s">
        <v>209</v>
      </c>
      <c r="E362" t="s">
        <v>210</v>
      </c>
      <c r="F362" t="s">
        <v>211</v>
      </c>
      <c r="G362" s="1">
        <v>46023</v>
      </c>
      <c r="H362" s="1">
        <v>46066</v>
      </c>
      <c r="I362" t="s">
        <v>15</v>
      </c>
      <c r="J362" t="s">
        <v>641</v>
      </c>
      <c r="K362" s="2">
        <v>353</v>
      </c>
    </row>
    <row r="363" spans="1:11" x14ac:dyDescent="0.25">
      <c r="A363" t="s">
        <v>11</v>
      </c>
      <c r="C363">
        <v>17528908</v>
      </c>
      <c r="D363" t="s">
        <v>12</v>
      </c>
      <c r="E363" t="s">
        <v>13</v>
      </c>
      <c r="F363" t="s">
        <v>14</v>
      </c>
      <c r="G363" s="1">
        <v>46023</v>
      </c>
      <c r="H363" s="1">
        <v>46066</v>
      </c>
      <c r="I363" t="s">
        <v>15</v>
      </c>
      <c r="J363" t="s">
        <v>641</v>
      </c>
      <c r="K363" s="2">
        <v>353</v>
      </c>
    </row>
    <row r="364" spans="1:11" x14ac:dyDescent="0.25">
      <c r="A364" t="s">
        <v>11</v>
      </c>
      <c r="C364">
        <v>17528908</v>
      </c>
      <c r="D364" t="s">
        <v>215</v>
      </c>
      <c r="E364" t="s">
        <v>216</v>
      </c>
      <c r="F364" t="s">
        <v>217</v>
      </c>
      <c r="G364" s="1">
        <v>46023</v>
      </c>
      <c r="H364" s="1">
        <v>46066</v>
      </c>
      <c r="I364" t="s">
        <v>15</v>
      </c>
      <c r="J364" t="s">
        <v>641</v>
      </c>
      <c r="K364" s="2">
        <v>353</v>
      </c>
    </row>
    <row r="365" spans="1:11" x14ac:dyDescent="0.25">
      <c r="A365" t="s">
        <v>11</v>
      </c>
      <c r="B365">
        <v>17528908</v>
      </c>
      <c r="C365">
        <v>17528908</v>
      </c>
      <c r="D365" t="s">
        <v>64</v>
      </c>
      <c r="E365" t="s">
        <v>219</v>
      </c>
      <c r="F365" t="s">
        <v>282</v>
      </c>
      <c r="G365" s="1">
        <v>42005</v>
      </c>
      <c r="H365" s="1">
        <v>46066</v>
      </c>
      <c r="I365" t="s">
        <v>15</v>
      </c>
      <c r="J365" t="s">
        <v>641</v>
      </c>
      <c r="K365" s="2">
        <v>353</v>
      </c>
    </row>
    <row r="366" spans="1:11" x14ac:dyDescent="0.25">
      <c r="A366" t="s">
        <v>11</v>
      </c>
      <c r="B366">
        <v>17528908</v>
      </c>
      <c r="C366">
        <v>17528908</v>
      </c>
      <c r="D366" t="s">
        <v>218</v>
      </c>
      <c r="E366" t="s">
        <v>219</v>
      </c>
      <c r="F366" t="s">
        <v>220</v>
      </c>
      <c r="G366" s="1">
        <v>45474</v>
      </c>
      <c r="H366" s="1">
        <v>46066</v>
      </c>
      <c r="I366" t="s">
        <v>15</v>
      </c>
      <c r="J366" t="s">
        <v>641</v>
      </c>
      <c r="K366" s="2">
        <v>353</v>
      </c>
    </row>
    <row r="367" spans="1:11" x14ac:dyDescent="0.25">
      <c r="A367" t="s">
        <v>11</v>
      </c>
      <c r="B367">
        <v>17528908</v>
      </c>
      <c r="C367">
        <v>17528908</v>
      </c>
      <c r="D367" t="s">
        <v>302</v>
      </c>
      <c r="E367" t="s">
        <v>334</v>
      </c>
      <c r="F367" t="s">
        <v>335</v>
      </c>
      <c r="G367" s="1">
        <v>44896</v>
      </c>
      <c r="H367" s="1">
        <v>46066</v>
      </c>
      <c r="I367" t="s">
        <v>15</v>
      </c>
      <c r="J367" t="s">
        <v>641</v>
      </c>
      <c r="K367" s="2">
        <v>353</v>
      </c>
    </row>
    <row r="368" spans="1:11" x14ac:dyDescent="0.25">
      <c r="A368" t="s">
        <v>11</v>
      </c>
      <c r="B368">
        <v>17528908</v>
      </c>
      <c r="C368">
        <v>17528908</v>
      </c>
      <c r="D368" t="s">
        <v>24</v>
      </c>
      <c r="E368" t="s">
        <v>266</v>
      </c>
      <c r="F368" t="s">
        <v>267</v>
      </c>
      <c r="G368" s="1">
        <v>45383</v>
      </c>
      <c r="H368" s="1">
        <v>46066</v>
      </c>
      <c r="I368" t="s">
        <v>15</v>
      </c>
      <c r="J368" t="s">
        <v>641</v>
      </c>
      <c r="K368" s="2">
        <v>353</v>
      </c>
    </row>
    <row r="369" spans="1:11" x14ac:dyDescent="0.25">
      <c r="A369" t="s">
        <v>11</v>
      </c>
      <c r="C369">
        <v>17528908</v>
      </c>
      <c r="D369" t="s">
        <v>496</v>
      </c>
      <c r="E369" t="s">
        <v>497</v>
      </c>
      <c r="F369" t="s">
        <v>498</v>
      </c>
      <c r="G369" s="1">
        <v>45870</v>
      </c>
      <c r="H369" s="1">
        <v>46066</v>
      </c>
      <c r="I369" t="s">
        <v>15</v>
      </c>
      <c r="J369" t="s">
        <v>641</v>
      </c>
      <c r="K369" s="2">
        <v>353</v>
      </c>
    </row>
    <row r="370" spans="1:11" x14ac:dyDescent="0.25">
      <c r="A370" t="s">
        <v>84</v>
      </c>
      <c r="C370">
        <v>18598357</v>
      </c>
      <c r="D370" t="s">
        <v>429</v>
      </c>
      <c r="E370" t="s">
        <v>430</v>
      </c>
      <c r="F370" t="s">
        <v>431</v>
      </c>
      <c r="G370" s="1">
        <v>44866</v>
      </c>
      <c r="H370" s="1">
        <v>46066</v>
      </c>
      <c r="I370" t="s">
        <v>15</v>
      </c>
      <c r="J370" t="s">
        <v>641</v>
      </c>
      <c r="K370" s="2">
        <v>353</v>
      </c>
    </row>
    <row r="371" spans="1:11" x14ac:dyDescent="0.25">
      <c r="A371" t="s">
        <v>84</v>
      </c>
      <c r="C371">
        <v>18598357</v>
      </c>
      <c r="D371" t="s">
        <v>470</v>
      </c>
      <c r="E371" t="s">
        <v>471</v>
      </c>
      <c r="F371" t="s">
        <v>472</v>
      </c>
      <c r="G371" s="1">
        <v>46023</v>
      </c>
      <c r="H371" s="1">
        <v>46066</v>
      </c>
      <c r="I371" t="s">
        <v>15</v>
      </c>
      <c r="J371" t="s">
        <v>641</v>
      </c>
      <c r="K371" s="2">
        <v>353</v>
      </c>
    </row>
    <row r="372" spans="1:11" x14ac:dyDescent="0.25">
      <c r="A372" t="s">
        <v>84</v>
      </c>
      <c r="C372">
        <v>18598357</v>
      </c>
      <c r="D372" t="s">
        <v>473</v>
      </c>
      <c r="E372" t="s">
        <v>474</v>
      </c>
      <c r="F372" t="s">
        <v>371</v>
      </c>
      <c r="G372" s="1">
        <v>45658</v>
      </c>
      <c r="H372" s="1">
        <v>46066</v>
      </c>
      <c r="I372" t="s">
        <v>15</v>
      </c>
      <c r="J372" t="s">
        <v>641</v>
      </c>
      <c r="K372" s="2">
        <v>353</v>
      </c>
    </row>
    <row r="373" spans="1:11" x14ac:dyDescent="0.25">
      <c r="A373" t="s">
        <v>30</v>
      </c>
      <c r="C373">
        <v>18710070</v>
      </c>
      <c r="D373" t="s">
        <v>64</v>
      </c>
      <c r="E373" t="s">
        <v>372</v>
      </c>
      <c r="F373" t="s">
        <v>373</v>
      </c>
      <c r="G373" s="1">
        <v>46023</v>
      </c>
      <c r="H373" s="1">
        <v>46066</v>
      </c>
      <c r="I373" t="s">
        <v>15</v>
      </c>
      <c r="J373" t="s">
        <v>641</v>
      </c>
      <c r="K373" s="2">
        <v>353</v>
      </c>
    </row>
    <row r="374" spans="1:11" x14ac:dyDescent="0.25">
      <c r="A374" t="s">
        <v>30</v>
      </c>
      <c r="C374">
        <v>18710070</v>
      </c>
      <c r="D374" t="s">
        <v>114</v>
      </c>
      <c r="E374" t="s">
        <v>372</v>
      </c>
      <c r="F374" t="s">
        <v>385</v>
      </c>
      <c r="G374" s="1">
        <v>46023</v>
      </c>
      <c r="H374" s="1">
        <v>46066</v>
      </c>
      <c r="I374" t="s">
        <v>15</v>
      </c>
      <c r="J374" t="s">
        <v>641</v>
      </c>
      <c r="K374" s="2">
        <v>353</v>
      </c>
    </row>
    <row r="375" spans="1:11" x14ac:dyDescent="0.25">
      <c r="A375" t="s">
        <v>30</v>
      </c>
      <c r="C375">
        <v>18710070</v>
      </c>
      <c r="D375" t="s">
        <v>184</v>
      </c>
      <c r="E375" t="s">
        <v>185</v>
      </c>
      <c r="F375" t="s">
        <v>186</v>
      </c>
      <c r="G375" s="1">
        <v>46023</v>
      </c>
      <c r="H375" s="1">
        <v>46066</v>
      </c>
      <c r="I375" t="s">
        <v>15</v>
      </c>
      <c r="J375" t="s">
        <v>641</v>
      </c>
      <c r="K375" s="2">
        <v>353</v>
      </c>
    </row>
    <row r="376" spans="1:11" x14ac:dyDescent="0.25">
      <c r="A376" t="s">
        <v>30</v>
      </c>
      <c r="C376">
        <v>18710070</v>
      </c>
      <c r="D376" t="s">
        <v>179</v>
      </c>
      <c r="E376" t="s">
        <v>180</v>
      </c>
      <c r="F376" t="s">
        <v>181</v>
      </c>
      <c r="G376" s="1">
        <v>46023</v>
      </c>
      <c r="H376" s="1">
        <v>46066</v>
      </c>
      <c r="I376" t="s">
        <v>15</v>
      </c>
      <c r="J376" t="s">
        <v>641</v>
      </c>
      <c r="K376" s="2">
        <v>353</v>
      </c>
    </row>
    <row r="377" spans="1:11" x14ac:dyDescent="0.25">
      <c r="A377" t="s">
        <v>30</v>
      </c>
      <c r="C377">
        <v>18710070</v>
      </c>
      <c r="D377" t="s">
        <v>361</v>
      </c>
      <c r="E377" t="s">
        <v>362</v>
      </c>
      <c r="F377" t="s">
        <v>363</v>
      </c>
      <c r="G377" s="1">
        <v>45292</v>
      </c>
      <c r="H377" s="1">
        <v>46066</v>
      </c>
      <c r="I377" t="s">
        <v>15</v>
      </c>
      <c r="J377" t="s">
        <v>641</v>
      </c>
      <c r="K377" s="2">
        <v>353</v>
      </c>
    </row>
    <row r="378" spans="1:11" x14ac:dyDescent="0.25">
      <c r="A378" t="s">
        <v>30</v>
      </c>
      <c r="C378">
        <v>18710070</v>
      </c>
      <c r="D378" t="s">
        <v>206</v>
      </c>
      <c r="E378" t="s">
        <v>207</v>
      </c>
      <c r="F378" t="s">
        <v>208</v>
      </c>
      <c r="G378" s="1">
        <v>46023</v>
      </c>
      <c r="H378" s="1">
        <v>46066</v>
      </c>
      <c r="I378" t="s">
        <v>15</v>
      </c>
      <c r="J378" t="s">
        <v>641</v>
      </c>
      <c r="K378" s="2">
        <v>353</v>
      </c>
    </row>
    <row r="379" spans="1:11" x14ac:dyDescent="0.25">
      <c r="A379" t="s">
        <v>30</v>
      </c>
      <c r="C379">
        <v>18710070</v>
      </c>
      <c r="D379" t="s">
        <v>261</v>
      </c>
      <c r="E379" t="s">
        <v>262</v>
      </c>
      <c r="F379" t="s">
        <v>263</v>
      </c>
      <c r="G379" s="1">
        <v>46023</v>
      </c>
      <c r="H379" s="1">
        <v>46066</v>
      </c>
      <c r="I379" t="s">
        <v>15</v>
      </c>
      <c r="J379" t="s">
        <v>641</v>
      </c>
      <c r="K379" s="2">
        <v>353</v>
      </c>
    </row>
    <row r="380" spans="1:11" x14ac:dyDescent="0.25">
      <c r="A380" t="s">
        <v>30</v>
      </c>
      <c r="C380">
        <v>18710070</v>
      </c>
      <c r="D380" t="s">
        <v>235</v>
      </c>
      <c r="E380" t="s">
        <v>438</v>
      </c>
      <c r="F380" t="s">
        <v>439</v>
      </c>
      <c r="G380" s="1">
        <v>45078</v>
      </c>
      <c r="H380" s="1">
        <v>46066</v>
      </c>
      <c r="I380" t="s">
        <v>15</v>
      </c>
      <c r="J380" t="s">
        <v>641</v>
      </c>
      <c r="K380" s="2">
        <v>353</v>
      </c>
    </row>
    <row r="381" spans="1:11" x14ac:dyDescent="0.25">
      <c r="A381" t="s">
        <v>30</v>
      </c>
      <c r="C381">
        <v>18710070</v>
      </c>
      <c r="D381" t="s">
        <v>350</v>
      </c>
      <c r="E381" t="s">
        <v>351</v>
      </c>
      <c r="F381" t="s">
        <v>352</v>
      </c>
      <c r="G381" s="1">
        <v>45658</v>
      </c>
      <c r="H381" s="1">
        <v>46066</v>
      </c>
      <c r="I381" t="s">
        <v>15</v>
      </c>
      <c r="J381" t="s">
        <v>641</v>
      </c>
      <c r="K381" s="2">
        <v>353</v>
      </c>
    </row>
    <row r="382" spans="1:11" x14ac:dyDescent="0.25">
      <c r="A382" t="s">
        <v>30</v>
      </c>
      <c r="C382">
        <v>18710070</v>
      </c>
      <c r="D382" t="s">
        <v>235</v>
      </c>
      <c r="E382" t="s">
        <v>236</v>
      </c>
      <c r="F382" t="s">
        <v>237</v>
      </c>
      <c r="G382" s="1">
        <v>46023</v>
      </c>
      <c r="H382" s="1">
        <v>46066</v>
      </c>
      <c r="I382" t="s">
        <v>15</v>
      </c>
      <c r="J382" t="s">
        <v>641</v>
      </c>
      <c r="K382" s="2">
        <v>353</v>
      </c>
    </row>
    <row r="383" spans="1:11" x14ac:dyDescent="0.25">
      <c r="A383" t="s">
        <v>30</v>
      </c>
      <c r="C383">
        <v>18710070</v>
      </c>
      <c r="D383" t="s">
        <v>58</v>
      </c>
      <c r="E383" t="s">
        <v>336</v>
      </c>
      <c r="F383" t="s">
        <v>349</v>
      </c>
      <c r="G383" s="1">
        <v>46023</v>
      </c>
      <c r="H383" s="1">
        <v>46066</v>
      </c>
      <c r="I383" t="s">
        <v>15</v>
      </c>
      <c r="J383" t="s">
        <v>641</v>
      </c>
      <c r="K383" s="2">
        <v>353</v>
      </c>
    </row>
    <row r="384" spans="1:11" x14ac:dyDescent="0.25">
      <c r="A384" t="s">
        <v>30</v>
      </c>
      <c r="C384">
        <v>18710070</v>
      </c>
      <c r="D384" t="s">
        <v>97</v>
      </c>
      <c r="E384" t="s">
        <v>511</v>
      </c>
      <c r="F384" t="s">
        <v>512</v>
      </c>
      <c r="G384" s="1">
        <v>46023</v>
      </c>
      <c r="H384" s="1">
        <v>46066</v>
      </c>
      <c r="I384" t="s">
        <v>15</v>
      </c>
      <c r="J384" t="s">
        <v>641</v>
      </c>
      <c r="K384" s="2">
        <v>353</v>
      </c>
    </row>
    <row r="385" spans="1:11" x14ac:dyDescent="0.25">
      <c r="A385" t="s">
        <v>30</v>
      </c>
      <c r="C385">
        <v>18710070</v>
      </c>
      <c r="D385" t="s">
        <v>319</v>
      </c>
      <c r="E385" t="s">
        <v>320</v>
      </c>
      <c r="F385" t="s">
        <v>275</v>
      </c>
      <c r="G385" s="1">
        <v>44866</v>
      </c>
      <c r="H385" s="1">
        <v>46066</v>
      </c>
      <c r="I385" t="s">
        <v>15</v>
      </c>
      <c r="J385" t="s">
        <v>641</v>
      </c>
      <c r="K385" s="2">
        <v>353</v>
      </c>
    </row>
    <row r="386" spans="1:11" x14ac:dyDescent="0.25">
      <c r="A386" t="s">
        <v>30</v>
      </c>
      <c r="C386">
        <v>18710070</v>
      </c>
      <c r="D386" t="s">
        <v>158</v>
      </c>
      <c r="E386" t="s">
        <v>296</v>
      </c>
      <c r="F386" t="s">
        <v>297</v>
      </c>
      <c r="G386" s="1">
        <v>45292</v>
      </c>
      <c r="H386" s="1">
        <v>46066</v>
      </c>
      <c r="I386" t="s">
        <v>15</v>
      </c>
      <c r="J386" t="s">
        <v>641</v>
      </c>
      <c r="K386" s="2">
        <v>353</v>
      </c>
    </row>
    <row r="387" spans="1:11" x14ac:dyDescent="0.25">
      <c r="A387" t="s">
        <v>30</v>
      </c>
      <c r="C387">
        <v>18710070</v>
      </c>
      <c r="D387" t="s">
        <v>24</v>
      </c>
      <c r="E387" t="s">
        <v>227</v>
      </c>
      <c r="F387" t="s">
        <v>389</v>
      </c>
      <c r="G387" s="1">
        <v>46023</v>
      </c>
      <c r="H387" s="1">
        <v>46066</v>
      </c>
      <c r="I387" t="s">
        <v>15</v>
      </c>
      <c r="J387" t="s">
        <v>641</v>
      </c>
      <c r="K387" s="2">
        <v>353</v>
      </c>
    </row>
    <row r="388" spans="1:11" x14ac:dyDescent="0.25">
      <c r="A388" t="s">
        <v>30</v>
      </c>
      <c r="C388">
        <v>18710070</v>
      </c>
      <c r="D388" t="s">
        <v>12</v>
      </c>
      <c r="E388" t="s">
        <v>227</v>
      </c>
      <c r="F388" t="s">
        <v>228</v>
      </c>
      <c r="G388" s="1">
        <v>46023</v>
      </c>
      <c r="H388" s="1">
        <v>46066</v>
      </c>
      <c r="I388" t="s">
        <v>15</v>
      </c>
      <c r="J388" t="s">
        <v>641</v>
      </c>
      <c r="K388" s="2">
        <v>353</v>
      </c>
    </row>
    <row r="389" spans="1:11" x14ac:dyDescent="0.25">
      <c r="A389" t="s">
        <v>30</v>
      </c>
      <c r="C389">
        <v>18710070</v>
      </c>
      <c r="D389" t="s">
        <v>305</v>
      </c>
      <c r="E389" t="s">
        <v>306</v>
      </c>
      <c r="F389" t="s">
        <v>307</v>
      </c>
      <c r="G389" s="1">
        <v>46023</v>
      </c>
      <c r="H389" s="1">
        <v>46066</v>
      </c>
      <c r="I389" t="s">
        <v>15</v>
      </c>
      <c r="J389" t="s">
        <v>641</v>
      </c>
      <c r="K389" s="2">
        <v>353</v>
      </c>
    </row>
    <row r="390" spans="1:11" x14ac:dyDescent="0.25">
      <c r="A390" t="s">
        <v>30</v>
      </c>
      <c r="C390">
        <v>18710070</v>
      </c>
      <c r="D390" t="s">
        <v>244</v>
      </c>
      <c r="E390" t="s">
        <v>353</v>
      </c>
      <c r="F390" t="s">
        <v>354</v>
      </c>
      <c r="G390" s="1">
        <v>46023</v>
      </c>
      <c r="H390" s="1">
        <v>46066</v>
      </c>
      <c r="I390" t="s">
        <v>15</v>
      </c>
      <c r="J390" t="s">
        <v>641</v>
      </c>
      <c r="K390" s="2">
        <v>353</v>
      </c>
    </row>
    <row r="391" spans="1:11" x14ac:dyDescent="0.25">
      <c r="A391" t="s">
        <v>30</v>
      </c>
      <c r="C391">
        <v>18710070</v>
      </c>
      <c r="D391" t="s">
        <v>377</v>
      </c>
      <c r="E391" t="s">
        <v>378</v>
      </c>
      <c r="F391" t="s">
        <v>379</v>
      </c>
      <c r="G391" s="1">
        <v>46023</v>
      </c>
      <c r="H391" s="1">
        <v>46066</v>
      </c>
      <c r="I391" t="s">
        <v>15</v>
      </c>
      <c r="J391" t="s">
        <v>641</v>
      </c>
      <c r="K391" s="2">
        <v>353</v>
      </c>
    </row>
    <row r="392" spans="1:11" x14ac:dyDescent="0.25">
      <c r="A392" t="s">
        <v>30</v>
      </c>
      <c r="C392">
        <v>18710070</v>
      </c>
      <c r="D392" t="s">
        <v>229</v>
      </c>
      <c r="E392" t="s">
        <v>359</v>
      </c>
      <c r="F392" t="s">
        <v>360</v>
      </c>
      <c r="G392" s="1">
        <v>46023</v>
      </c>
      <c r="H392" s="1">
        <v>46066</v>
      </c>
      <c r="I392" t="s">
        <v>15</v>
      </c>
      <c r="J392" t="s">
        <v>641</v>
      </c>
      <c r="K392" s="2">
        <v>353</v>
      </c>
    </row>
    <row r="393" spans="1:11" x14ac:dyDescent="0.25">
      <c r="A393" t="s">
        <v>30</v>
      </c>
      <c r="C393">
        <v>18710070</v>
      </c>
      <c r="D393" t="s">
        <v>222</v>
      </c>
      <c r="E393" t="s">
        <v>86</v>
      </c>
      <c r="F393" t="s">
        <v>223</v>
      </c>
      <c r="G393" s="1">
        <v>46023</v>
      </c>
      <c r="H393" s="1">
        <v>46066</v>
      </c>
      <c r="I393" t="s">
        <v>15</v>
      </c>
      <c r="J393" t="s">
        <v>641</v>
      </c>
      <c r="K393" s="2">
        <v>353</v>
      </c>
    </row>
    <row r="394" spans="1:11" x14ac:dyDescent="0.25">
      <c r="A394" t="s">
        <v>30</v>
      </c>
      <c r="C394">
        <v>18710070</v>
      </c>
      <c r="D394" t="s">
        <v>128</v>
      </c>
      <c r="E394" t="s">
        <v>317</v>
      </c>
      <c r="F394" t="s">
        <v>318</v>
      </c>
      <c r="G394" s="1">
        <v>46023</v>
      </c>
      <c r="H394" s="1">
        <v>46066</v>
      </c>
      <c r="I394" t="s">
        <v>15</v>
      </c>
      <c r="J394" t="s">
        <v>641</v>
      </c>
      <c r="K394" s="2">
        <v>353</v>
      </c>
    </row>
    <row r="395" spans="1:11" x14ac:dyDescent="0.25">
      <c r="A395" t="s">
        <v>30</v>
      </c>
      <c r="C395">
        <v>18710070</v>
      </c>
      <c r="D395" t="s">
        <v>350</v>
      </c>
      <c r="E395" t="s">
        <v>366</v>
      </c>
      <c r="F395" t="s">
        <v>367</v>
      </c>
      <c r="G395" s="1">
        <v>45962</v>
      </c>
      <c r="H395" s="1">
        <v>46066</v>
      </c>
      <c r="I395" t="s">
        <v>15</v>
      </c>
      <c r="J395" t="s">
        <v>641</v>
      </c>
      <c r="K395" s="2">
        <v>353</v>
      </c>
    </row>
    <row r="396" spans="1:11" x14ac:dyDescent="0.25">
      <c r="A396" t="s">
        <v>30</v>
      </c>
      <c r="C396">
        <v>18710070</v>
      </c>
      <c r="D396" t="s">
        <v>418</v>
      </c>
      <c r="E396" t="s">
        <v>104</v>
      </c>
      <c r="F396" t="s">
        <v>419</v>
      </c>
      <c r="G396" s="1">
        <v>44562</v>
      </c>
      <c r="H396" s="1">
        <v>46066</v>
      </c>
      <c r="I396" t="s">
        <v>15</v>
      </c>
      <c r="J396" t="s">
        <v>641</v>
      </c>
      <c r="K396" s="2">
        <v>353</v>
      </c>
    </row>
    <row r="397" spans="1:11" x14ac:dyDescent="0.25">
      <c r="A397" t="s">
        <v>38</v>
      </c>
      <c r="B397">
        <v>18794740</v>
      </c>
      <c r="C397">
        <v>18794740</v>
      </c>
      <c r="D397" t="s">
        <v>258</v>
      </c>
      <c r="E397" t="s">
        <v>283</v>
      </c>
      <c r="F397" t="s">
        <v>284</v>
      </c>
      <c r="G397" s="1">
        <v>45292</v>
      </c>
      <c r="H397" s="1">
        <v>46066</v>
      </c>
      <c r="I397" t="s">
        <v>15</v>
      </c>
      <c r="J397" t="s">
        <v>641</v>
      </c>
      <c r="K397" s="2">
        <v>353</v>
      </c>
    </row>
    <row r="398" spans="1:11" x14ac:dyDescent="0.25">
      <c r="A398" t="s">
        <v>38</v>
      </c>
      <c r="B398">
        <v>18794740</v>
      </c>
      <c r="C398">
        <v>18794740</v>
      </c>
      <c r="D398" t="s">
        <v>344</v>
      </c>
      <c r="E398" t="s">
        <v>283</v>
      </c>
      <c r="F398" t="s">
        <v>449</v>
      </c>
      <c r="G398" s="1">
        <v>45292</v>
      </c>
      <c r="H398" s="1">
        <v>46066</v>
      </c>
      <c r="I398" t="s">
        <v>15</v>
      </c>
      <c r="J398" t="s">
        <v>641</v>
      </c>
      <c r="K398" s="2">
        <v>353</v>
      </c>
    </row>
    <row r="399" spans="1:11" x14ac:dyDescent="0.25">
      <c r="A399" t="s">
        <v>38</v>
      </c>
      <c r="B399">
        <v>18794740</v>
      </c>
      <c r="C399">
        <v>18794740</v>
      </c>
      <c r="D399" t="s">
        <v>444</v>
      </c>
      <c r="E399" t="s">
        <v>445</v>
      </c>
      <c r="F399" t="s">
        <v>446</v>
      </c>
      <c r="G399" s="1">
        <v>45231</v>
      </c>
      <c r="H399" s="1">
        <v>46066</v>
      </c>
      <c r="I399" t="s">
        <v>15</v>
      </c>
      <c r="J399" t="s">
        <v>641</v>
      </c>
      <c r="K399" s="2">
        <v>353</v>
      </c>
    </row>
    <row r="400" spans="1:11" x14ac:dyDescent="0.25">
      <c r="A400" t="s">
        <v>38</v>
      </c>
      <c r="B400">
        <v>18794740</v>
      </c>
      <c r="C400">
        <v>18794740</v>
      </c>
      <c r="D400" t="s">
        <v>97</v>
      </c>
      <c r="E400" t="s">
        <v>264</v>
      </c>
      <c r="F400" t="s">
        <v>265</v>
      </c>
      <c r="G400" s="1">
        <v>44986</v>
      </c>
      <c r="H400" s="1">
        <v>46066</v>
      </c>
      <c r="I400" t="s">
        <v>15</v>
      </c>
      <c r="J400" t="s">
        <v>641</v>
      </c>
      <c r="K400" s="2">
        <v>353</v>
      </c>
    </row>
    <row r="401" spans="1:11" x14ac:dyDescent="0.25">
      <c r="A401" t="s">
        <v>38</v>
      </c>
      <c r="B401">
        <v>18794740</v>
      </c>
      <c r="C401">
        <v>18794740</v>
      </c>
      <c r="D401" t="s">
        <v>400</v>
      </c>
      <c r="E401" t="s">
        <v>401</v>
      </c>
      <c r="F401" t="s">
        <v>402</v>
      </c>
      <c r="G401" s="1">
        <v>43831</v>
      </c>
      <c r="H401" s="1">
        <v>46066</v>
      </c>
      <c r="I401" t="s">
        <v>15</v>
      </c>
      <c r="J401" t="s">
        <v>641</v>
      </c>
      <c r="K401" s="2">
        <v>353</v>
      </c>
    </row>
    <row r="402" spans="1:11" x14ac:dyDescent="0.25">
      <c r="A402" t="s">
        <v>38</v>
      </c>
      <c r="B402">
        <v>18794740</v>
      </c>
      <c r="C402">
        <v>18794740</v>
      </c>
      <c r="D402" t="s">
        <v>432</v>
      </c>
      <c r="E402" t="s">
        <v>433</v>
      </c>
      <c r="F402" t="s">
        <v>434</v>
      </c>
      <c r="G402" s="1">
        <v>44958</v>
      </c>
      <c r="H402" s="1">
        <v>46066</v>
      </c>
      <c r="I402" t="s">
        <v>15</v>
      </c>
      <c r="J402" t="s">
        <v>641</v>
      </c>
      <c r="K402" s="2">
        <v>353</v>
      </c>
    </row>
    <row r="403" spans="1:11" x14ac:dyDescent="0.25">
      <c r="A403" t="s">
        <v>38</v>
      </c>
      <c r="B403">
        <v>18794740</v>
      </c>
      <c r="C403">
        <v>18794740</v>
      </c>
      <c r="D403" t="s">
        <v>450</v>
      </c>
      <c r="E403" t="s">
        <v>451</v>
      </c>
      <c r="F403" t="s">
        <v>452</v>
      </c>
      <c r="G403" s="1">
        <v>45323</v>
      </c>
      <c r="H403" s="1">
        <v>46066</v>
      </c>
      <c r="I403" t="s">
        <v>15</v>
      </c>
      <c r="J403" t="s">
        <v>641</v>
      </c>
      <c r="K403" s="2">
        <v>353</v>
      </c>
    </row>
    <row r="404" spans="1:11" x14ac:dyDescent="0.25">
      <c r="A404" t="s">
        <v>38</v>
      </c>
      <c r="B404">
        <v>18794740</v>
      </c>
      <c r="C404">
        <v>18794740</v>
      </c>
      <c r="D404" t="s">
        <v>413</v>
      </c>
      <c r="E404" t="s">
        <v>414</v>
      </c>
      <c r="F404" t="s">
        <v>415</v>
      </c>
      <c r="G404" s="1">
        <v>44562</v>
      </c>
      <c r="H404" s="1">
        <v>46066</v>
      </c>
      <c r="I404" t="s">
        <v>15</v>
      </c>
      <c r="J404" t="s">
        <v>641</v>
      </c>
      <c r="K404" s="2">
        <v>353</v>
      </c>
    </row>
    <row r="405" spans="1:11" x14ac:dyDescent="0.25">
      <c r="A405" t="s">
        <v>38</v>
      </c>
      <c r="B405">
        <v>18794740</v>
      </c>
      <c r="C405">
        <v>18794740</v>
      </c>
      <c r="D405" t="s">
        <v>203</v>
      </c>
      <c r="E405" t="s">
        <v>336</v>
      </c>
      <c r="F405" t="s">
        <v>337</v>
      </c>
      <c r="G405" s="1">
        <v>45809</v>
      </c>
      <c r="H405" s="1">
        <v>46066</v>
      </c>
      <c r="I405" t="s">
        <v>15</v>
      </c>
      <c r="J405" t="s">
        <v>641</v>
      </c>
      <c r="K405" s="2">
        <v>353</v>
      </c>
    </row>
    <row r="406" spans="1:11" x14ac:dyDescent="0.25">
      <c r="A406" t="s">
        <v>38</v>
      </c>
      <c r="B406">
        <v>18794740</v>
      </c>
      <c r="C406">
        <v>18794740</v>
      </c>
      <c r="D406" t="s">
        <v>331</v>
      </c>
      <c r="E406" t="s">
        <v>406</v>
      </c>
      <c r="F406" t="s">
        <v>407</v>
      </c>
      <c r="G406" s="1">
        <v>44378</v>
      </c>
      <c r="H406" s="1">
        <v>46066</v>
      </c>
      <c r="I406" t="s">
        <v>15</v>
      </c>
      <c r="J406" t="s">
        <v>641</v>
      </c>
      <c r="K406" s="2">
        <v>353</v>
      </c>
    </row>
    <row r="407" spans="1:11" x14ac:dyDescent="0.25">
      <c r="A407" t="s">
        <v>38</v>
      </c>
      <c r="C407">
        <v>18794740</v>
      </c>
      <c r="D407" t="s">
        <v>167</v>
      </c>
      <c r="E407" t="s">
        <v>168</v>
      </c>
      <c r="F407" t="s">
        <v>169</v>
      </c>
      <c r="G407" s="1">
        <v>46023</v>
      </c>
      <c r="H407" s="1">
        <v>46066</v>
      </c>
      <c r="I407" t="s">
        <v>15</v>
      </c>
      <c r="J407" t="s">
        <v>641</v>
      </c>
      <c r="K407" s="2">
        <v>353</v>
      </c>
    </row>
    <row r="408" spans="1:11" x14ac:dyDescent="0.25">
      <c r="A408" t="s">
        <v>38</v>
      </c>
      <c r="B408">
        <v>18794740</v>
      </c>
      <c r="C408">
        <v>18794740</v>
      </c>
      <c r="D408" t="s">
        <v>203</v>
      </c>
      <c r="E408" t="s">
        <v>485</v>
      </c>
      <c r="F408" t="s">
        <v>486</v>
      </c>
      <c r="G408" s="1">
        <v>45689</v>
      </c>
      <c r="H408" s="1">
        <v>46066</v>
      </c>
      <c r="I408" t="s">
        <v>15</v>
      </c>
      <c r="J408" t="s">
        <v>641</v>
      </c>
      <c r="K408" s="2">
        <v>353</v>
      </c>
    </row>
    <row r="409" spans="1:11" x14ac:dyDescent="0.25">
      <c r="A409" t="s">
        <v>343</v>
      </c>
      <c r="B409">
        <v>19278370</v>
      </c>
      <c r="C409">
        <v>19278370</v>
      </c>
      <c r="D409" t="s">
        <v>344</v>
      </c>
      <c r="E409" t="s">
        <v>345</v>
      </c>
      <c r="F409" t="s">
        <v>346</v>
      </c>
      <c r="G409" s="1">
        <v>45689</v>
      </c>
      <c r="H409" s="1">
        <v>46066</v>
      </c>
      <c r="I409" t="s">
        <v>15</v>
      </c>
      <c r="J409" t="s">
        <v>641</v>
      </c>
      <c r="K409" s="2">
        <v>353</v>
      </c>
    </row>
    <row r="410" spans="1:11" x14ac:dyDescent="0.25">
      <c r="A410" t="s">
        <v>343</v>
      </c>
      <c r="C410">
        <v>19278370</v>
      </c>
      <c r="D410" t="s">
        <v>523</v>
      </c>
      <c r="E410" t="s">
        <v>345</v>
      </c>
      <c r="F410" t="s">
        <v>524</v>
      </c>
      <c r="G410" s="1">
        <v>46023</v>
      </c>
      <c r="H410" s="1">
        <v>46066</v>
      </c>
      <c r="I410" t="s">
        <v>15</v>
      </c>
      <c r="J410" t="s">
        <v>641</v>
      </c>
      <c r="K410" s="2">
        <v>353</v>
      </c>
    </row>
    <row r="411" spans="1:11" x14ac:dyDescent="0.25">
      <c r="A411" t="s">
        <v>382</v>
      </c>
      <c r="C411">
        <v>21618313</v>
      </c>
      <c r="D411" t="s">
        <v>128</v>
      </c>
      <c r="E411" t="s">
        <v>383</v>
      </c>
      <c r="F411" t="s">
        <v>384</v>
      </c>
      <c r="G411" s="1">
        <v>44927</v>
      </c>
      <c r="H411" s="1">
        <v>46066</v>
      </c>
      <c r="I411" t="s">
        <v>15</v>
      </c>
      <c r="J411" t="s">
        <v>641</v>
      </c>
      <c r="K411" s="2">
        <v>353</v>
      </c>
    </row>
    <row r="412" spans="1:11" x14ac:dyDescent="0.25">
      <c r="A412" t="s">
        <v>382</v>
      </c>
      <c r="C412">
        <v>21618313</v>
      </c>
      <c r="D412" t="s">
        <v>61</v>
      </c>
      <c r="E412" t="s">
        <v>383</v>
      </c>
      <c r="F412" t="s">
        <v>440</v>
      </c>
      <c r="G412" s="1">
        <v>45170</v>
      </c>
      <c r="H412" s="1">
        <v>46066</v>
      </c>
      <c r="I412" t="s">
        <v>15</v>
      </c>
      <c r="J412" t="s">
        <v>641</v>
      </c>
      <c r="K412" s="2">
        <v>353</v>
      </c>
    </row>
    <row r="413" spans="1:11" x14ac:dyDescent="0.25">
      <c r="A413" t="s">
        <v>324</v>
      </c>
      <c r="B413">
        <v>9254978</v>
      </c>
      <c r="C413">
        <v>9254978</v>
      </c>
      <c r="D413" t="s">
        <v>325</v>
      </c>
      <c r="E413" t="s">
        <v>326</v>
      </c>
      <c r="F413" t="s">
        <v>327</v>
      </c>
      <c r="G413" s="1">
        <v>45658</v>
      </c>
      <c r="H413" s="1">
        <v>46066</v>
      </c>
      <c r="I413" t="s">
        <v>15</v>
      </c>
      <c r="J413" t="s">
        <v>641</v>
      </c>
      <c r="K413" s="2">
        <v>353</v>
      </c>
    </row>
    <row r="414" spans="1:11" x14ac:dyDescent="0.25">
      <c r="A414" t="s">
        <v>11</v>
      </c>
      <c r="B414">
        <v>17528908</v>
      </c>
      <c r="C414">
        <v>17528908</v>
      </c>
      <c r="D414" t="s">
        <v>340</v>
      </c>
      <c r="E414" t="s">
        <v>341</v>
      </c>
      <c r="F414" t="s">
        <v>342</v>
      </c>
      <c r="G414" s="1">
        <v>45658</v>
      </c>
      <c r="H414" s="1">
        <v>46066</v>
      </c>
      <c r="I414" t="s">
        <v>15</v>
      </c>
      <c r="J414" t="s">
        <v>641</v>
      </c>
      <c r="K414" s="2">
        <v>353</v>
      </c>
    </row>
    <row r="415" spans="1:11" x14ac:dyDescent="0.25">
      <c r="A415" t="s">
        <v>11</v>
      </c>
      <c r="B415">
        <v>17528908</v>
      </c>
      <c r="C415">
        <v>17528908</v>
      </c>
      <c r="D415" t="s">
        <v>24</v>
      </c>
      <c r="E415" t="s">
        <v>447</v>
      </c>
      <c r="F415" t="s">
        <v>448</v>
      </c>
      <c r="G415" s="1">
        <v>45292</v>
      </c>
      <c r="H415" s="1">
        <v>46066</v>
      </c>
      <c r="I415" t="s">
        <v>15</v>
      </c>
      <c r="J415" t="s">
        <v>641</v>
      </c>
      <c r="K415" s="2">
        <v>353</v>
      </c>
    </row>
    <row r="416" spans="1:11" x14ac:dyDescent="0.25">
      <c r="A416" t="s">
        <v>11</v>
      </c>
      <c r="B416">
        <v>17528908</v>
      </c>
      <c r="C416">
        <v>17528908</v>
      </c>
      <c r="D416" t="s">
        <v>64</v>
      </c>
      <c r="E416" t="s">
        <v>468</v>
      </c>
      <c r="F416" t="s">
        <v>469</v>
      </c>
      <c r="G416" s="1">
        <v>45658</v>
      </c>
      <c r="H416" s="1">
        <v>46066</v>
      </c>
      <c r="I416" t="s">
        <v>15</v>
      </c>
      <c r="J416" t="s">
        <v>641</v>
      </c>
      <c r="K416" s="2">
        <v>353</v>
      </c>
    </row>
    <row r="417" spans="1:11" x14ac:dyDescent="0.25">
      <c r="A417" t="s">
        <v>11</v>
      </c>
      <c r="B417">
        <v>17528908</v>
      </c>
      <c r="C417">
        <v>17528908</v>
      </c>
      <c r="D417" t="s">
        <v>466</v>
      </c>
      <c r="E417" t="s">
        <v>300</v>
      </c>
      <c r="F417" t="s">
        <v>467</v>
      </c>
      <c r="G417" s="1">
        <v>45658</v>
      </c>
      <c r="H417" s="1">
        <v>46066</v>
      </c>
      <c r="I417" t="s">
        <v>15</v>
      </c>
      <c r="J417" t="s">
        <v>641</v>
      </c>
      <c r="K417" s="2">
        <v>353</v>
      </c>
    </row>
    <row r="418" spans="1:11" x14ac:dyDescent="0.25">
      <c r="A418" t="s">
        <v>11</v>
      </c>
      <c r="B418">
        <v>17528908</v>
      </c>
      <c r="C418">
        <v>17528908</v>
      </c>
      <c r="D418" t="s">
        <v>299</v>
      </c>
      <c r="E418" t="s">
        <v>300</v>
      </c>
      <c r="F418" t="s">
        <v>301</v>
      </c>
      <c r="G418" s="1">
        <v>45658</v>
      </c>
      <c r="H418" s="1">
        <v>46066</v>
      </c>
      <c r="I418" t="s">
        <v>15</v>
      </c>
      <c r="J418" t="s">
        <v>641</v>
      </c>
      <c r="K418" s="2">
        <v>353</v>
      </c>
    </row>
    <row r="419" spans="1:11" x14ac:dyDescent="0.25">
      <c r="A419" t="s">
        <v>11</v>
      </c>
      <c r="B419">
        <v>17528908</v>
      </c>
      <c r="C419">
        <v>17528908</v>
      </c>
      <c r="D419" t="s">
        <v>203</v>
      </c>
      <c r="E419" t="s">
        <v>204</v>
      </c>
      <c r="F419" t="s">
        <v>205</v>
      </c>
      <c r="G419" s="1">
        <v>42767</v>
      </c>
      <c r="H419" s="1">
        <v>46066</v>
      </c>
      <c r="I419" t="s">
        <v>15</v>
      </c>
      <c r="J419" t="s">
        <v>641</v>
      </c>
      <c r="K419" s="2">
        <v>353</v>
      </c>
    </row>
    <row r="420" spans="1:11" x14ac:dyDescent="0.25">
      <c r="A420" t="s">
        <v>11</v>
      </c>
      <c r="B420">
        <v>17528908</v>
      </c>
      <c r="C420">
        <v>17528908</v>
      </c>
      <c r="D420" t="s">
        <v>128</v>
      </c>
      <c r="E420" t="s">
        <v>280</v>
      </c>
      <c r="F420" t="s">
        <v>481</v>
      </c>
      <c r="G420" s="1">
        <v>45658</v>
      </c>
      <c r="H420" s="1">
        <v>46066</v>
      </c>
      <c r="I420" t="s">
        <v>15</v>
      </c>
      <c r="J420" t="s">
        <v>641</v>
      </c>
      <c r="K420" s="2">
        <v>353</v>
      </c>
    </row>
    <row r="421" spans="1:11" x14ac:dyDescent="0.25">
      <c r="A421" t="s">
        <v>11</v>
      </c>
      <c r="B421">
        <v>17528908</v>
      </c>
      <c r="C421">
        <v>17528908</v>
      </c>
      <c r="D421" t="s">
        <v>279</v>
      </c>
      <c r="E421" t="s">
        <v>280</v>
      </c>
      <c r="F421" t="s">
        <v>281</v>
      </c>
      <c r="G421" s="1">
        <v>45658</v>
      </c>
      <c r="H421" s="1">
        <v>46066</v>
      </c>
      <c r="I421" t="s">
        <v>15</v>
      </c>
      <c r="J421" t="s">
        <v>641</v>
      </c>
      <c r="K421" s="2">
        <v>353</v>
      </c>
    </row>
    <row r="422" spans="1:11" x14ac:dyDescent="0.25">
      <c r="A422" t="s">
        <v>11</v>
      </c>
      <c r="B422">
        <v>17528908</v>
      </c>
      <c r="C422">
        <v>17528908</v>
      </c>
      <c r="D422" t="s">
        <v>20</v>
      </c>
      <c r="E422" t="s">
        <v>21</v>
      </c>
      <c r="F422" t="s">
        <v>22</v>
      </c>
      <c r="G422" s="1">
        <v>45658</v>
      </c>
      <c r="H422" s="1">
        <v>46066</v>
      </c>
      <c r="I422" t="s">
        <v>15</v>
      </c>
      <c r="J422" t="s">
        <v>641</v>
      </c>
      <c r="K422" s="2">
        <v>353</v>
      </c>
    </row>
    <row r="423" spans="1:11" x14ac:dyDescent="0.25">
      <c r="A423" t="s">
        <v>11</v>
      </c>
      <c r="B423">
        <v>17528908</v>
      </c>
      <c r="C423">
        <v>17528908</v>
      </c>
      <c r="D423" t="s">
        <v>193</v>
      </c>
      <c r="E423" t="s">
        <v>274</v>
      </c>
      <c r="F423" t="s">
        <v>328</v>
      </c>
      <c r="G423" s="1">
        <v>45658</v>
      </c>
      <c r="H423" s="1">
        <v>46066</v>
      </c>
      <c r="I423" t="s">
        <v>15</v>
      </c>
      <c r="J423" t="s">
        <v>641</v>
      </c>
      <c r="K423" s="2">
        <v>353</v>
      </c>
    </row>
    <row r="424" spans="1:11" x14ac:dyDescent="0.25">
      <c r="A424" t="s">
        <v>11</v>
      </c>
      <c r="B424">
        <v>17528908</v>
      </c>
      <c r="C424">
        <v>17528908</v>
      </c>
      <c r="D424" t="s">
        <v>273</v>
      </c>
      <c r="E424" t="s">
        <v>274</v>
      </c>
      <c r="F424" t="s">
        <v>275</v>
      </c>
      <c r="G424" s="1">
        <v>45658</v>
      </c>
      <c r="H424" s="1">
        <v>46066</v>
      </c>
      <c r="I424" t="s">
        <v>15</v>
      </c>
      <c r="J424" t="s">
        <v>641</v>
      </c>
      <c r="K424" s="2">
        <v>353</v>
      </c>
    </row>
    <row r="425" spans="1:11" x14ac:dyDescent="0.25">
      <c r="A425" t="s">
        <v>11</v>
      </c>
      <c r="B425">
        <v>17528908</v>
      </c>
      <c r="C425">
        <v>17528908</v>
      </c>
      <c r="D425" t="s">
        <v>43</v>
      </c>
      <c r="E425" t="s">
        <v>477</v>
      </c>
      <c r="F425" t="s">
        <v>478</v>
      </c>
      <c r="G425" s="1">
        <v>45658</v>
      </c>
      <c r="H425" s="1">
        <v>46066</v>
      </c>
      <c r="I425" t="s">
        <v>15</v>
      </c>
      <c r="J425" t="s">
        <v>641</v>
      </c>
      <c r="K425" s="2">
        <v>353</v>
      </c>
    </row>
    <row r="426" spans="1:11" x14ac:dyDescent="0.25">
      <c r="A426" t="s">
        <v>11</v>
      </c>
      <c r="B426">
        <v>17528908</v>
      </c>
      <c r="C426">
        <v>17528908</v>
      </c>
      <c r="D426" t="s">
        <v>190</v>
      </c>
      <c r="E426" t="s">
        <v>201</v>
      </c>
      <c r="F426" t="s">
        <v>202</v>
      </c>
      <c r="G426" s="1">
        <v>45658</v>
      </c>
      <c r="H426" s="1">
        <v>46066</v>
      </c>
      <c r="I426" t="s">
        <v>15</v>
      </c>
      <c r="J426" t="s">
        <v>641</v>
      </c>
      <c r="K426" s="2">
        <v>353</v>
      </c>
    </row>
    <row r="427" spans="1:11" x14ac:dyDescent="0.25">
      <c r="A427" t="s">
        <v>11</v>
      </c>
      <c r="B427">
        <v>17528908</v>
      </c>
      <c r="C427">
        <v>17528908</v>
      </c>
      <c r="D427" t="s">
        <v>61</v>
      </c>
      <c r="E427" t="s">
        <v>201</v>
      </c>
      <c r="F427" t="s">
        <v>224</v>
      </c>
      <c r="G427" s="1">
        <v>45658</v>
      </c>
      <c r="H427" s="1">
        <v>46066</v>
      </c>
      <c r="I427" t="s">
        <v>15</v>
      </c>
      <c r="J427" t="s">
        <v>641</v>
      </c>
      <c r="K427" s="2">
        <v>353</v>
      </c>
    </row>
    <row r="428" spans="1:11" x14ac:dyDescent="0.25">
      <c r="A428" t="s">
        <v>11</v>
      </c>
      <c r="B428">
        <v>17528908</v>
      </c>
      <c r="C428">
        <v>17528908</v>
      </c>
      <c r="D428" t="s">
        <v>215</v>
      </c>
      <c r="E428" t="s">
        <v>475</v>
      </c>
      <c r="F428" t="s">
        <v>476</v>
      </c>
      <c r="G428" s="1">
        <v>45658</v>
      </c>
      <c r="H428" s="1">
        <v>46066</v>
      </c>
      <c r="I428" t="s">
        <v>15</v>
      </c>
      <c r="J428" t="s">
        <v>641</v>
      </c>
      <c r="K428" s="2">
        <v>353</v>
      </c>
    </row>
    <row r="429" spans="1:11" x14ac:dyDescent="0.25">
      <c r="A429" t="s">
        <v>30</v>
      </c>
      <c r="C429">
        <v>18710070</v>
      </c>
      <c r="D429" t="s">
        <v>331</v>
      </c>
      <c r="E429" t="s">
        <v>332</v>
      </c>
      <c r="F429" t="s">
        <v>333</v>
      </c>
      <c r="G429" s="1">
        <v>45658</v>
      </c>
      <c r="H429" s="1">
        <v>46066</v>
      </c>
      <c r="I429" t="s">
        <v>15</v>
      </c>
      <c r="J429" t="s">
        <v>641</v>
      </c>
      <c r="K429" s="2">
        <v>353</v>
      </c>
    </row>
    <row r="430" spans="1:11" x14ac:dyDescent="0.25">
      <c r="A430" t="s">
        <v>30</v>
      </c>
      <c r="C430">
        <v>18710070</v>
      </c>
      <c r="D430" t="s">
        <v>310</v>
      </c>
      <c r="E430" t="s">
        <v>311</v>
      </c>
      <c r="F430" t="s">
        <v>312</v>
      </c>
      <c r="G430" s="1">
        <v>45658</v>
      </c>
      <c r="H430" s="1">
        <v>46066</v>
      </c>
      <c r="I430" t="s">
        <v>15</v>
      </c>
      <c r="J430" t="s">
        <v>641</v>
      </c>
      <c r="K430" s="2">
        <v>353</v>
      </c>
    </row>
    <row r="431" spans="1:11" x14ac:dyDescent="0.25">
      <c r="A431" t="s">
        <v>11</v>
      </c>
      <c r="C431">
        <v>17528908</v>
      </c>
      <c r="D431" t="s">
        <v>27</v>
      </c>
      <c r="E431" t="s">
        <v>532</v>
      </c>
      <c r="F431" t="s">
        <v>533</v>
      </c>
      <c r="G431" s="1">
        <v>46082</v>
      </c>
      <c r="H431" s="1">
        <v>46066</v>
      </c>
      <c r="I431" t="s">
        <v>15</v>
      </c>
      <c r="J431" t="s">
        <v>642</v>
      </c>
      <c r="K431" s="2">
        <v>294.16000000000003</v>
      </c>
    </row>
    <row r="432" spans="1:11" x14ac:dyDescent="0.25">
      <c r="A432" t="s">
        <v>11</v>
      </c>
      <c r="C432">
        <v>17528908</v>
      </c>
      <c r="D432" t="s">
        <v>487</v>
      </c>
      <c r="E432" t="s">
        <v>535</v>
      </c>
      <c r="F432" t="s">
        <v>536</v>
      </c>
      <c r="G432" s="1">
        <v>46082</v>
      </c>
      <c r="H432" s="1">
        <v>46066</v>
      </c>
      <c r="I432" t="s">
        <v>15</v>
      </c>
      <c r="J432" t="s">
        <v>642</v>
      </c>
      <c r="K432" s="2">
        <v>294.16000000000003</v>
      </c>
    </row>
    <row r="433" spans="1:11" x14ac:dyDescent="0.25">
      <c r="A433" t="s">
        <v>38</v>
      </c>
      <c r="C433">
        <v>18794740</v>
      </c>
      <c r="D433" t="s">
        <v>537</v>
      </c>
      <c r="E433" t="s">
        <v>538</v>
      </c>
      <c r="F433" t="s">
        <v>539</v>
      </c>
      <c r="G433" s="1">
        <v>46082</v>
      </c>
      <c r="H433" s="1">
        <v>46066</v>
      </c>
      <c r="I433" t="s">
        <v>15</v>
      </c>
      <c r="J433" t="s">
        <v>642</v>
      </c>
      <c r="K433" s="2">
        <v>294.16000000000003</v>
      </c>
    </row>
    <row r="434" spans="1:11" x14ac:dyDescent="0.25">
      <c r="A434" t="s">
        <v>547</v>
      </c>
      <c r="C434">
        <v>20678727</v>
      </c>
      <c r="D434" t="s">
        <v>441</v>
      </c>
      <c r="E434" t="s">
        <v>548</v>
      </c>
      <c r="F434" t="s">
        <v>549</v>
      </c>
      <c r="G434" s="1">
        <v>46082</v>
      </c>
      <c r="H434" s="1">
        <v>46066</v>
      </c>
      <c r="I434" t="s">
        <v>15</v>
      </c>
      <c r="J434" t="s">
        <v>642</v>
      </c>
      <c r="K434" s="2">
        <v>294.16000000000003</v>
      </c>
    </row>
    <row r="435" spans="1:11" x14ac:dyDescent="0.25">
      <c r="A435" t="s">
        <v>55</v>
      </c>
      <c r="C435">
        <v>15950276</v>
      </c>
      <c r="D435" t="s">
        <v>424</v>
      </c>
      <c r="E435" t="s">
        <v>559</v>
      </c>
      <c r="F435" t="s">
        <v>560</v>
      </c>
      <c r="G435" s="1">
        <v>46054</v>
      </c>
      <c r="H435" s="1">
        <v>46066</v>
      </c>
      <c r="I435" t="s">
        <v>15</v>
      </c>
      <c r="J435" t="s">
        <v>643</v>
      </c>
      <c r="K435" s="2">
        <v>323.58</v>
      </c>
    </row>
    <row r="436" spans="1:11" x14ac:dyDescent="0.25">
      <c r="A436" t="s">
        <v>11</v>
      </c>
      <c r="C436">
        <v>17528908</v>
      </c>
      <c r="D436" t="s">
        <v>578</v>
      </c>
      <c r="E436" t="s">
        <v>245</v>
      </c>
      <c r="F436" t="s">
        <v>579</v>
      </c>
      <c r="G436" s="1">
        <v>46054</v>
      </c>
      <c r="H436" s="1">
        <v>46066</v>
      </c>
      <c r="I436" t="s">
        <v>15</v>
      </c>
      <c r="J436" t="s">
        <v>643</v>
      </c>
      <c r="K436" s="2">
        <v>323.58</v>
      </c>
    </row>
    <row r="437" spans="1:11" x14ac:dyDescent="0.25">
      <c r="A437" t="s">
        <v>11</v>
      </c>
      <c r="C437">
        <v>17528908</v>
      </c>
      <c r="D437" t="s">
        <v>599</v>
      </c>
      <c r="E437" t="s">
        <v>600</v>
      </c>
      <c r="F437" t="s">
        <v>601</v>
      </c>
      <c r="G437" s="1">
        <v>46023</v>
      </c>
      <c r="H437" s="1">
        <v>46066</v>
      </c>
      <c r="I437" t="s">
        <v>15</v>
      </c>
      <c r="J437" t="s">
        <v>643</v>
      </c>
      <c r="K437" s="2">
        <v>323.58</v>
      </c>
    </row>
    <row r="438" spans="1:11" x14ac:dyDescent="0.25">
      <c r="A438" t="s">
        <v>11</v>
      </c>
      <c r="C438">
        <v>17528908</v>
      </c>
      <c r="D438" t="s">
        <v>580</v>
      </c>
      <c r="E438" t="s">
        <v>581</v>
      </c>
      <c r="F438" t="s">
        <v>582</v>
      </c>
      <c r="G438" s="1">
        <v>46054</v>
      </c>
      <c r="H438" s="1">
        <v>46066</v>
      </c>
      <c r="I438" t="s">
        <v>15</v>
      </c>
      <c r="J438" t="s">
        <v>643</v>
      </c>
      <c r="K438" s="2">
        <v>323.58</v>
      </c>
    </row>
    <row r="439" spans="1:11" x14ac:dyDescent="0.25">
      <c r="A439" t="s">
        <v>11</v>
      </c>
      <c r="C439">
        <v>17528908</v>
      </c>
      <c r="D439" t="s">
        <v>190</v>
      </c>
      <c r="E439" t="s">
        <v>618</v>
      </c>
      <c r="F439" t="s">
        <v>619</v>
      </c>
      <c r="G439" s="1">
        <v>46054</v>
      </c>
      <c r="H439" s="1">
        <v>46066</v>
      </c>
      <c r="I439" t="s">
        <v>15</v>
      </c>
      <c r="J439" t="s">
        <v>643</v>
      </c>
      <c r="K439" s="2">
        <v>323.58</v>
      </c>
    </row>
    <row r="440" spans="1:11" x14ac:dyDescent="0.25">
      <c r="A440" t="s">
        <v>11</v>
      </c>
      <c r="C440">
        <v>17528908</v>
      </c>
      <c r="D440" t="s">
        <v>566</v>
      </c>
      <c r="E440" t="s">
        <v>567</v>
      </c>
      <c r="F440" t="s">
        <v>568</v>
      </c>
      <c r="G440" s="1">
        <v>46054</v>
      </c>
      <c r="H440" s="1">
        <v>46066</v>
      </c>
      <c r="I440" t="s">
        <v>15</v>
      </c>
      <c r="J440" t="s">
        <v>643</v>
      </c>
      <c r="K440" s="2">
        <v>323.58</v>
      </c>
    </row>
    <row r="441" spans="1:11" x14ac:dyDescent="0.25">
      <c r="A441" t="s">
        <v>11</v>
      </c>
      <c r="B441">
        <v>17528908</v>
      </c>
      <c r="C441">
        <v>17528908</v>
      </c>
      <c r="D441" t="s">
        <v>35</v>
      </c>
      <c r="E441" t="s">
        <v>36</v>
      </c>
      <c r="F441" t="s">
        <v>37</v>
      </c>
      <c r="G441" s="1">
        <v>41275</v>
      </c>
      <c r="H441" s="1">
        <v>46066</v>
      </c>
      <c r="I441" t="s">
        <v>15</v>
      </c>
      <c r="J441" t="s">
        <v>643</v>
      </c>
      <c r="K441" s="2">
        <v>323.58</v>
      </c>
    </row>
    <row r="442" spans="1:11" x14ac:dyDescent="0.25">
      <c r="A442" t="s">
        <v>11</v>
      </c>
      <c r="C442">
        <v>17528908</v>
      </c>
      <c r="D442" t="s">
        <v>128</v>
      </c>
      <c r="E442" t="s">
        <v>614</v>
      </c>
      <c r="F442" t="s">
        <v>615</v>
      </c>
      <c r="G442" s="1">
        <v>46054</v>
      </c>
      <c r="H442" s="1">
        <v>46066</v>
      </c>
      <c r="I442" t="s">
        <v>15</v>
      </c>
      <c r="J442" t="s">
        <v>643</v>
      </c>
      <c r="K442" s="2">
        <v>323.58</v>
      </c>
    </row>
    <row r="443" spans="1:11" x14ac:dyDescent="0.25">
      <c r="A443" t="s">
        <v>84</v>
      </c>
      <c r="C443">
        <v>18598357</v>
      </c>
      <c r="D443" t="s">
        <v>61</v>
      </c>
      <c r="E443" t="s">
        <v>553</v>
      </c>
      <c r="F443" t="s">
        <v>554</v>
      </c>
      <c r="G443" s="1">
        <v>45261</v>
      </c>
      <c r="H443" s="1">
        <v>46066</v>
      </c>
      <c r="I443" t="s">
        <v>15</v>
      </c>
      <c r="J443" t="s">
        <v>643</v>
      </c>
      <c r="K443" s="2">
        <v>323.58</v>
      </c>
    </row>
    <row r="444" spans="1:11" x14ac:dyDescent="0.25">
      <c r="A444" t="s">
        <v>30</v>
      </c>
      <c r="C444">
        <v>18710070</v>
      </c>
      <c r="D444" t="s">
        <v>602</v>
      </c>
      <c r="E444" t="s">
        <v>603</v>
      </c>
      <c r="F444" t="s">
        <v>604</v>
      </c>
      <c r="G444" s="1">
        <v>46054</v>
      </c>
      <c r="H444" s="1">
        <v>46066</v>
      </c>
      <c r="I444" t="s">
        <v>15</v>
      </c>
      <c r="J444" t="s">
        <v>643</v>
      </c>
      <c r="K444" s="2">
        <v>323.58</v>
      </c>
    </row>
    <row r="445" spans="1:11" x14ac:dyDescent="0.25">
      <c r="A445" t="s">
        <v>30</v>
      </c>
      <c r="C445">
        <v>18710070</v>
      </c>
      <c r="D445" t="s">
        <v>31</v>
      </c>
      <c r="E445" t="s">
        <v>32</v>
      </c>
      <c r="F445" t="s">
        <v>33</v>
      </c>
      <c r="G445" s="1">
        <v>46054</v>
      </c>
      <c r="H445" s="1">
        <v>46066</v>
      </c>
      <c r="I445" t="s">
        <v>15</v>
      </c>
      <c r="J445" t="s">
        <v>643</v>
      </c>
      <c r="K445" s="2">
        <v>323.58</v>
      </c>
    </row>
    <row r="446" spans="1:11" x14ac:dyDescent="0.25">
      <c r="A446" t="s">
        <v>30</v>
      </c>
      <c r="C446">
        <v>18710070</v>
      </c>
      <c r="D446" t="s">
        <v>584</v>
      </c>
      <c r="E446" t="s">
        <v>585</v>
      </c>
      <c r="F446" t="s">
        <v>586</v>
      </c>
      <c r="G446" s="1">
        <v>45870</v>
      </c>
      <c r="H446" s="1">
        <v>46066</v>
      </c>
      <c r="I446" t="s">
        <v>15</v>
      </c>
      <c r="J446" t="s">
        <v>643</v>
      </c>
      <c r="K446" s="2">
        <v>323.58</v>
      </c>
    </row>
    <row r="447" spans="1:11" x14ac:dyDescent="0.25">
      <c r="A447" t="s">
        <v>38</v>
      </c>
      <c r="C447">
        <v>18794740</v>
      </c>
      <c r="D447" t="s">
        <v>39</v>
      </c>
      <c r="E447" t="s">
        <v>40</v>
      </c>
      <c r="F447" t="s">
        <v>41</v>
      </c>
      <c r="G447" s="1">
        <v>46054</v>
      </c>
      <c r="H447" s="1">
        <v>46066</v>
      </c>
      <c r="I447" t="s">
        <v>15</v>
      </c>
      <c r="J447" t="s">
        <v>643</v>
      </c>
      <c r="K447" s="2">
        <v>323.58</v>
      </c>
    </row>
    <row r="448" spans="1:11" x14ac:dyDescent="0.25">
      <c r="A448" t="s">
        <v>38</v>
      </c>
      <c r="C448">
        <v>18794740</v>
      </c>
      <c r="D448" t="s">
        <v>612</v>
      </c>
      <c r="E448" t="s">
        <v>610</v>
      </c>
      <c r="F448" t="s">
        <v>613</v>
      </c>
      <c r="G448" s="1">
        <v>46054</v>
      </c>
      <c r="H448" s="1">
        <v>46066</v>
      </c>
      <c r="I448" t="s">
        <v>15</v>
      </c>
      <c r="J448" t="s">
        <v>643</v>
      </c>
      <c r="K448" s="2">
        <v>323.58</v>
      </c>
    </row>
    <row r="449" spans="1:11" x14ac:dyDescent="0.25">
      <c r="A449" t="s">
        <v>38</v>
      </c>
      <c r="C449">
        <v>18794740</v>
      </c>
      <c r="D449" t="s">
        <v>609</v>
      </c>
      <c r="E449" t="s">
        <v>610</v>
      </c>
      <c r="F449" t="s">
        <v>611</v>
      </c>
      <c r="G449" s="1">
        <v>46054</v>
      </c>
      <c r="H449" s="1">
        <v>46066</v>
      </c>
      <c r="I449" t="s">
        <v>15</v>
      </c>
      <c r="J449" t="s">
        <v>643</v>
      </c>
      <c r="K449" s="2">
        <v>323.58</v>
      </c>
    </row>
    <row r="450" spans="1:11" x14ac:dyDescent="0.25">
      <c r="A450" t="s">
        <v>38</v>
      </c>
      <c r="C450">
        <v>18794740</v>
      </c>
      <c r="D450" t="s">
        <v>569</v>
      </c>
      <c r="E450" t="s">
        <v>570</v>
      </c>
      <c r="F450" t="s">
        <v>571</v>
      </c>
      <c r="G450" s="1">
        <v>46054</v>
      </c>
      <c r="H450" s="1">
        <v>46066</v>
      </c>
      <c r="I450" t="s">
        <v>15</v>
      </c>
      <c r="J450" t="s">
        <v>643</v>
      </c>
      <c r="K450" s="2">
        <v>323.58</v>
      </c>
    </row>
    <row r="451" spans="1:11" x14ac:dyDescent="0.25">
      <c r="A451" t="s">
        <v>11</v>
      </c>
      <c r="B451">
        <v>17528908</v>
      </c>
      <c r="C451">
        <v>17528908</v>
      </c>
      <c r="D451" t="s">
        <v>35</v>
      </c>
      <c r="E451" t="s">
        <v>36</v>
      </c>
      <c r="F451" t="s">
        <v>37</v>
      </c>
      <c r="G451" s="1">
        <v>41275</v>
      </c>
      <c r="H451" s="1">
        <v>46066</v>
      </c>
      <c r="I451" t="s">
        <v>15</v>
      </c>
      <c r="J451" t="s">
        <v>644</v>
      </c>
      <c r="K451" s="2">
        <v>-353</v>
      </c>
    </row>
    <row r="452" spans="1:11" x14ac:dyDescent="0.25">
      <c r="A452" t="s">
        <v>11</v>
      </c>
      <c r="C452">
        <v>17528908</v>
      </c>
      <c r="D452" t="s">
        <v>645</v>
      </c>
      <c r="E452" t="s">
        <v>646</v>
      </c>
      <c r="F452" t="s">
        <v>647</v>
      </c>
      <c r="G452" s="1">
        <v>46023</v>
      </c>
      <c r="H452" s="1">
        <v>46066</v>
      </c>
      <c r="I452" t="s">
        <v>15</v>
      </c>
      <c r="J452" t="s">
        <v>648</v>
      </c>
      <c r="K452" s="2">
        <v>55</v>
      </c>
    </row>
    <row r="453" spans="1:11" x14ac:dyDescent="0.25">
      <c r="A453" t="s">
        <v>343</v>
      </c>
      <c r="C453">
        <v>19278370</v>
      </c>
      <c r="D453" t="s">
        <v>235</v>
      </c>
      <c r="E453" t="s">
        <v>649</v>
      </c>
      <c r="F453" t="s">
        <v>650</v>
      </c>
      <c r="G453" s="1">
        <v>46023</v>
      </c>
      <c r="H453" s="1">
        <v>46066</v>
      </c>
      <c r="I453" t="s">
        <v>15</v>
      </c>
      <c r="J453" t="s">
        <v>648</v>
      </c>
      <c r="K453" s="2">
        <v>55</v>
      </c>
    </row>
    <row r="454" spans="1:11" x14ac:dyDescent="0.25">
      <c r="A454" t="s">
        <v>382</v>
      </c>
      <c r="C454">
        <v>21618313</v>
      </c>
      <c r="D454" t="s">
        <v>12</v>
      </c>
      <c r="E454" t="s">
        <v>651</v>
      </c>
      <c r="F454" t="s">
        <v>652</v>
      </c>
      <c r="G454" s="1">
        <v>46023</v>
      </c>
      <c r="H454" s="1">
        <v>46066</v>
      </c>
      <c r="I454" t="s">
        <v>15</v>
      </c>
      <c r="J454" t="s">
        <v>648</v>
      </c>
      <c r="K454" s="2">
        <v>55</v>
      </c>
    </row>
    <row r="455" spans="1:11" x14ac:dyDescent="0.25">
      <c r="A455" t="s">
        <v>653</v>
      </c>
      <c r="B455">
        <v>15278437</v>
      </c>
      <c r="C455">
        <v>15278437</v>
      </c>
      <c r="D455" t="s">
        <v>654</v>
      </c>
      <c r="E455" t="s">
        <v>655</v>
      </c>
      <c r="F455" t="s">
        <v>656</v>
      </c>
      <c r="G455" s="1">
        <v>45658</v>
      </c>
      <c r="H455" s="1">
        <v>46066</v>
      </c>
      <c r="I455" t="s">
        <v>15</v>
      </c>
      <c r="J455" t="s">
        <v>657</v>
      </c>
      <c r="K455" s="2">
        <v>313</v>
      </c>
    </row>
    <row r="456" spans="1:11" x14ac:dyDescent="0.25">
      <c r="A456" t="s">
        <v>11</v>
      </c>
      <c r="B456">
        <v>17528908</v>
      </c>
      <c r="C456">
        <v>17528908</v>
      </c>
      <c r="D456" t="s">
        <v>27</v>
      </c>
      <c r="E456" t="s">
        <v>28</v>
      </c>
      <c r="F456" t="s">
        <v>29</v>
      </c>
      <c r="G456" s="1">
        <v>45292</v>
      </c>
      <c r="H456" s="1">
        <v>46066</v>
      </c>
      <c r="I456" t="s">
        <v>15</v>
      </c>
      <c r="J456" t="s">
        <v>657</v>
      </c>
      <c r="K456" s="2">
        <v>313</v>
      </c>
    </row>
    <row r="457" spans="1:11" x14ac:dyDescent="0.25">
      <c r="A457" t="s">
        <v>343</v>
      </c>
      <c r="B457">
        <v>19278370</v>
      </c>
      <c r="C457">
        <v>19278370</v>
      </c>
      <c r="D457" t="s">
        <v>340</v>
      </c>
      <c r="E457" t="s">
        <v>658</v>
      </c>
      <c r="F457" t="s">
        <v>659</v>
      </c>
      <c r="G457" s="1">
        <v>45383</v>
      </c>
      <c r="H457" s="1">
        <v>46066</v>
      </c>
      <c r="I457" t="s">
        <v>15</v>
      </c>
      <c r="J457" t="s">
        <v>657</v>
      </c>
      <c r="K457" s="2">
        <v>313</v>
      </c>
    </row>
    <row r="458" spans="1:11" x14ac:dyDescent="0.25">
      <c r="A458" t="s">
        <v>653</v>
      </c>
      <c r="B458">
        <v>15278437</v>
      </c>
      <c r="C458">
        <v>15278437</v>
      </c>
      <c r="D458" t="s">
        <v>654</v>
      </c>
      <c r="E458" t="s">
        <v>655</v>
      </c>
      <c r="F458" t="s">
        <v>656</v>
      </c>
      <c r="G458" s="1">
        <v>45658</v>
      </c>
      <c r="H458" s="1">
        <v>46066</v>
      </c>
      <c r="I458" t="s">
        <v>15</v>
      </c>
      <c r="J458" t="s">
        <v>660</v>
      </c>
      <c r="K458" s="2">
        <v>50</v>
      </c>
    </row>
    <row r="459" spans="1:11" x14ac:dyDescent="0.25">
      <c r="A459" t="s">
        <v>343</v>
      </c>
      <c r="B459">
        <v>19278370</v>
      </c>
      <c r="C459">
        <v>19278370</v>
      </c>
      <c r="D459" t="s">
        <v>340</v>
      </c>
      <c r="E459" t="s">
        <v>658</v>
      </c>
      <c r="F459" t="s">
        <v>659</v>
      </c>
      <c r="G459" s="1">
        <v>45383</v>
      </c>
      <c r="H459" s="1">
        <v>46066</v>
      </c>
      <c r="I459" t="s">
        <v>15</v>
      </c>
      <c r="J459" t="s">
        <v>660</v>
      </c>
      <c r="K459" s="2">
        <v>50</v>
      </c>
    </row>
    <row r="460" spans="1:11" x14ac:dyDescent="0.25">
      <c r="A460" t="s">
        <v>661</v>
      </c>
      <c r="C460">
        <v>14936854</v>
      </c>
      <c r="D460" t="s">
        <v>662</v>
      </c>
      <c r="E460" t="s">
        <v>663</v>
      </c>
      <c r="F460" t="s">
        <v>664</v>
      </c>
      <c r="G460" s="1">
        <v>46054</v>
      </c>
      <c r="H460" s="1">
        <v>46066</v>
      </c>
      <c r="I460" t="s">
        <v>15</v>
      </c>
      <c r="J460" t="s">
        <v>665</v>
      </c>
      <c r="K460" s="2">
        <v>68.75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0CDD0-276F-480A-B638-D1D269E1CE0E}">
  <dimension ref="A1:O460"/>
  <sheetViews>
    <sheetView tabSelected="1" topLeftCell="A460" workbookViewId="0">
      <selection activeCell="L2" sqref="L2:L460"/>
    </sheetView>
  </sheetViews>
  <sheetFormatPr defaultColWidth="13.28515625" defaultRowHeight="15" x14ac:dyDescent="0.25"/>
  <cols>
    <col min="1" max="1" width="18.7109375" bestFit="1" customWidth="1"/>
    <col min="2" max="2" width="10.7109375" bestFit="1" customWidth="1"/>
    <col min="3" max="3" width="13.85546875" bestFit="1" customWidth="1"/>
    <col min="4" max="4" width="15.28515625" bestFit="1" customWidth="1"/>
    <col min="5" max="5" width="15.28515625" customWidth="1"/>
    <col min="6" max="6" width="11" bestFit="1" customWidth="1"/>
    <col min="7" max="7" width="13.85546875" customWidth="1"/>
    <col min="8" max="8" width="11.85546875" bestFit="1" customWidth="1"/>
    <col min="9" max="9" width="54.85546875" bestFit="1" customWidth="1"/>
    <col min="10" max="10" width="15.7109375" bestFit="1" customWidth="1"/>
    <col min="11" max="11" width="21.140625" bestFit="1" customWidth="1"/>
    <col min="12" max="12" width="24.140625" bestFit="1" customWidth="1"/>
  </cols>
  <sheetData>
    <row r="1" spans="1:15" x14ac:dyDescent="0.25">
      <c r="A1" t="s">
        <v>0</v>
      </c>
      <c r="B1" t="s">
        <v>2</v>
      </c>
      <c r="C1" t="s">
        <v>3</v>
      </c>
      <c r="D1" t="s">
        <v>4</v>
      </c>
      <c r="F1" t="s">
        <v>5</v>
      </c>
      <c r="H1" t="s">
        <v>6</v>
      </c>
      <c r="I1" t="s">
        <v>9</v>
      </c>
      <c r="J1" t="s">
        <v>10</v>
      </c>
    </row>
    <row r="2" spans="1:15" s="3" customFormat="1" x14ac:dyDescent="0.25">
      <c r="A2" t="s">
        <v>324</v>
      </c>
      <c r="B2" t="s">
        <v>677</v>
      </c>
      <c r="C2" t="s">
        <v>501</v>
      </c>
      <c r="D2" t="s">
        <v>502</v>
      </c>
      <c r="E2" t="str">
        <f>CONCATENATE(C2," ",D2)</f>
        <v>Merli Estrellado</v>
      </c>
      <c r="F2">
        <v>3970</v>
      </c>
      <c r="G2" s="6" t="str">
        <f>CONCATENATE(F2,55)</f>
        <v>397055</v>
      </c>
      <c r="H2" s="1">
        <v>46023</v>
      </c>
      <c r="I2" t="s">
        <v>641</v>
      </c>
      <c r="J2" s="2">
        <v>353</v>
      </c>
      <c r="K2" t="s">
        <v>667</v>
      </c>
      <c r="L2" t="s">
        <v>671</v>
      </c>
      <c r="M2"/>
      <c r="N2"/>
      <c r="O2"/>
    </row>
    <row r="3" spans="1:15" s="3" customFormat="1" x14ac:dyDescent="0.25">
      <c r="A3" t="s">
        <v>324</v>
      </c>
      <c r="B3">
        <v>9254978</v>
      </c>
      <c r="C3" t="s">
        <v>508</v>
      </c>
      <c r="D3" t="s">
        <v>509</v>
      </c>
      <c r="E3" t="str">
        <f t="shared" ref="E3:E66" si="0">CONCATENATE(C3," ",D3)</f>
        <v>Ruth Grove</v>
      </c>
      <c r="F3">
        <v>80850</v>
      </c>
      <c r="G3" s="6" t="str">
        <f>CONCATENATE(F3,55)</f>
        <v>8085055</v>
      </c>
      <c r="H3" s="1">
        <v>46023</v>
      </c>
      <c r="I3" t="s">
        <v>641</v>
      </c>
      <c r="J3" s="2">
        <v>353</v>
      </c>
      <c r="K3" t="s">
        <v>667</v>
      </c>
      <c r="L3" t="s">
        <v>671</v>
      </c>
      <c r="M3"/>
      <c r="N3"/>
      <c r="O3"/>
    </row>
    <row r="4" spans="1:15" s="3" customFormat="1" x14ac:dyDescent="0.25">
      <c r="A4" t="s">
        <v>324</v>
      </c>
      <c r="B4">
        <v>9254978</v>
      </c>
      <c r="C4" t="s">
        <v>393</v>
      </c>
      <c r="D4" t="s">
        <v>394</v>
      </c>
      <c r="E4" t="str">
        <f t="shared" si="0"/>
        <v>Roberto Luna</v>
      </c>
      <c r="F4">
        <v>91310</v>
      </c>
      <c r="G4" s="6" t="str">
        <f>CONCATENATE(F4,55)</f>
        <v>9131055</v>
      </c>
      <c r="H4" s="1">
        <v>46023</v>
      </c>
      <c r="I4" t="s">
        <v>641</v>
      </c>
      <c r="J4" s="2">
        <v>353</v>
      </c>
      <c r="K4" t="s">
        <v>667</v>
      </c>
      <c r="L4" t="s">
        <v>671</v>
      </c>
      <c r="M4"/>
      <c r="N4"/>
      <c r="O4"/>
    </row>
    <row r="5" spans="1:15" s="3" customFormat="1" x14ac:dyDescent="0.25">
      <c r="A5" t="s">
        <v>324</v>
      </c>
      <c r="B5">
        <v>9254978</v>
      </c>
      <c r="C5" t="s">
        <v>487</v>
      </c>
      <c r="D5" t="s">
        <v>488</v>
      </c>
      <c r="E5" t="str">
        <f t="shared" si="0"/>
        <v>Jane Price</v>
      </c>
      <c r="F5">
        <v>36140</v>
      </c>
      <c r="G5" s="6" t="str">
        <f>CONCATENATE(F5,55)</f>
        <v>3614055</v>
      </c>
      <c r="H5" s="1">
        <v>45689</v>
      </c>
      <c r="I5" t="s">
        <v>641</v>
      </c>
      <c r="J5" s="2">
        <v>353</v>
      </c>
      <c r="K5" t="s">
        <v>667</v>
      </c>
      <c r="L5" t="s">
        <v>671</v>
      </c>
      <c r="M5"/>
      <c r="N5"/>
      <c r="O5"/>
    </row>
    <row r="6" spans="1:15" s="3" customFormat="1" x14ac:dyDescent="0.25">
      <c r="A6" t="s">
        <v>324</v>
      </c>
      <c r="B6">
        <v>9254978</v>
      </c>
      <c r="C6" t="s">
        <v>325</v>
      </c>
      <c r="D6" t="s">
        <v>326</v>
      </c>
      <c r="E6" t="str">
        <f t="shared" si="0"/>
        <v>Shirley Defibaugh</v>
      </c>
      <c r="F6">
        <v>22800</v>
      </c>
      <c r="G6" s="6" t="str">
        <f>CONCATENATE(F6,55)</f>
        <v>2280055</v>
      </c>
      <c r="H6" s="1">
        <v>45658</v>
      </c>
      <c r="I6" t="s">
        <v>641</v>
      </c>
      <c r="J6" s="2">
        <v>353</v>
      </c>
      <c r="K6" t="s">
        <v>667</v>
      </c>
      <c r="L6" t="s">
        <v>671</v>
      </c>
      <c r="M6"/>
      <c r="N6"/>
      <c r="O6"/>
    </row>
    <row r="7" spans="1:15" s="3" customFormat="1" x14ac:dyDescent="0.25">
      <c r="A7" t="s">
        <v>343</v>
      </c>
      <c r="B7" t="s">
        <v>678</v>
      </c>
      <c r="C7" t="s">
        <v>235</v>
      </c>
      <c r="D7" t="s">
        <v>649</v>
      </c>
      <c r="E7" t="str">
        <f t="shared" si="0"/>
        <v>Susan Adams</v>
      </c>
      <c r="F7">
        <v>18930</v>
      </c>
      <c r="G7" s="6" t="str">
        <f>CONCATENATE(F7,55)</f>
        <v>1893055</v>
      </c>
      <c r="H7" s="1">
        <v>46023</v>
      </c>
      <c r="I7" t="s">
        <v>648</v>
      </c>
      <c r="J7" s="2">
        <v>55</v>
      </c>
      <c r="K7" t="s">
        <v>668</v>
      </c>
      <c r="L7"/>
      <c r="M7"/>
      <c r="N7"/>
      <c r="O7"/>
    </row>
    <row r="8" spans="1:15" s="3" customFormat="1" x14ac:dyDescent="0.25">
      <c r="A8" t="s">
        <v>343</v>
      </c>
      <c r="B8" t="s">
        <v>678</v>
      </c>
      <c r="C8" t="s">
        <v>340</v>
      </c>
      <c r="D8" t="s">
        <v>658</v>
      </c>
      <c r="E8" t="str">
        <f t="shared" si="0"/>
        <v>Mary Sklar</v>
      </c>
      <c r="F8">
        <v>81340</v>
      </c>
      <c r="G8" s="6" t="str">
        <f>CONCATENATE(F8,55)</f>
        <v>8134055</v>
      </c>
      <c r="H8" s="1">
        <v>45383</v>
      </c>
      <c r="I8" t="s">
        <v>657</v>
      </c>
      <c r="J8" s="2">
        <v>313</v>
      </c>
      <c r="K8" t="s">
        <v>669</v>
      </c>
      <c r="L8" t="s">
        <v>674</v>
      </c>
      <c r="M8"/>
      <c r="N8"/>
      <c r="O8"/>
    </row>
    <row r="9" spans="1:15" s="3" customFormat="1" x14ac:dyDescent="0.25">
      <c r="A9" t="s">
        <v>343</v>
      </c>
      <c r="B9" t="s">
        <v>678</v>
      </c>
      <c r="C9" t="s">
        <v>344</v>
      </c>
      <c r="D9" t="s">
        <v>345</v>
      </c>
      <c r="E9" t="str">
        <f t="shared" si="0"/>
        <v>Kevin Ecenrode</v>
      </c>
      <c r="F9">
        <v>69010</v>
      </c>
      <c r="G9" s="6" t="str">
        <f>CONCATENATE(F9,55)</f>
        <v>6901055</v>
      </c>
      <c r="H9" s="1">
        <v>45689</v>
      </c>
      <c r="I9" t="s">
        <v>641</v>
      </c>
      <c r="J9" s="2">
        <v>353</v>
      </c>
      <c r="K9" t="s">
        <v>667</v>
      </c>
      <c r="L9" t="s">
        <v>671</v>
      </c>
      <c r="M9"/>
      <c r="N9"/>
      <c r="O9"/>
    </row>
    <row r="10" spans="1:15" s="3" customFormat="1" x14ac:dyDescent="0.25">
      <c r="A10" t="s">
        <v>343</v>
      </c>
      <c r="B10" t="s">
        <v>678</v>
      </c>
      <c r="C10" t="s">
        <v>523</v>
      </c>
      <c r="D10" t="s">
        <v>345</v>
      </c>
      <c r="E10" t="str">
        <f t="shared" si="0"/>
        <v>Theresa Ecenrode</v>
      </c>
      <c r="F10">
        <v>91790</v>
      </c>
      <c r="G10" s="6" t="str">
        <f>CONCATENATE(F10,55)</f>
        <v>9179055</v>
      </c>
      <c r="H10" s="1">
        <v>46023</v>
      </c>
      <c r="I10" t="s">
        <v>641</v>
      </c>
      <c r="J10" s="2">
        <v>353</v>
      </c>
      <c r="K10" t="s">
        <v>667</v>
      </c>
      <c r="L10" t="s">
        <v>671</v>
      </c>
      <c r="M10"/>
      <c r="N10"/>
      <c r="O10"/>
    </row>
    <row r="11" spans="1:15" s="3" customFormat="1" x14ac:dyDescent="0.25">
      <c r="A11" t="s">
        <v>141</v>
      </c>
      <c r="B11">
        <v>17425766</v>
      </c>
      <c r="C11" t="s">
        <v>142</v>
      </c>
      <c r="D11" t="s">
        <v>143</v>
      </c>
      <c r="E11" t="str">
        <f t="shared" si="0"/>
        <v>Terri Shuminsky</v>
      </c>
      <c r="F11">
        <v>36080</v>
      </c>
      <c r="G11" s="6" t="str">
        <f>CONCATENATE(F11,75)</f>
        <v>3608075</v>
      </c>
      <c r="H11" s="1">
        <v>46023</v>
      </c>
      <c r="I11" t="s">
        <v>640</v>
      </c>
      <c r="J11" s="2">
        <v>705</v>
      </c>
      <c r="K11" t="s">
        <v>670</v>
      </c>
      <c r="L11" t="s">
        <v>675</v>
      </c>
      <c r="M11"/>
      <c r="N11"/>
      <c r="O11"/>
    </row>
    <row r="12" spans="1:15" s="3" customFormat="1" x14ac:dyDescent="0.25">
      <c r="A12" t="s">
        <v>84</v>
      </c>
      <c r="B12">
        <v>18598357</v>
      </c>
      <c r="C12" t="s">
        <v>85</v>
      </c>
      <c r="D12" t="s">
        <v>86</v>
      </c>
      <c r="E12" t="str">
        <f t="shared" si="0"/>
        <v>Pamela Robinson</v>
      </c>
      <c r="F12">
        <v>40290</v>
      </c>
      <c r="G12" s="6" t="str">
        <f>CONCATENATE(F12,75)</f>
        <v>4029075</v>
      </c>
      <c r="H12" s="1">
        <v>46054</v>
      </c>
      <c r="I12" t="s">
        <v>640</v>
      </c>
      <c r="J12" s="2">
        <v>705</v>
      </c>
      <c r="K12" t="s">
        <v>670</v>
      </c>
      <c r="L12" t="s">
        <v>675</v>
      </c>
      <c r="M12"/>
      <c r="N12"/>
      <c r="O12"/>
    </row>
    <row r="13" spans="1:15" s="3" customFormat="1" x14ac:dyDescent="0.25">
      <c r="A13" t="s">
        <v>84</v>
      </c>
      <c r="B13">
        <v>18598357</v>
      </c>
      <c r="C13" t="s">
        <v>24</v>
      </c>
      <c r="D13" t="s">
        <v>139</v>
      </c>
      <c r="E13" t="str">
        <f t="shared" si="0"/>
        <v>Joseph Smith</v>
      </c>
      <c r="F13">
        <v>65680</v>
      </c>
      <c r="G13" s="6" t="str">
        <f>CONCATENATE(F13,75)</f>
        <v>6568075</v>
      </c>
      <c r="H13" s="1">
        <v>46023</v>
      </c>
      <c r="I13" t="s">
        <v>640</v>
      </c>
      <c r="J13" s="2">
        <v>705</v>
      </c>
      <c r="K13" t="s">
        <v>670</v>
      </c>
      <c r="L13" t="s">
        <v>675</v>
      </c>
      <c r="M13"/>
      <c r="N13"/>
      <c r="O13"/>
    </row>
    <row r="14" spans="1:15" s="3" customFormat="1" x14ac:dyDescent="0.25">
      <c r="A14" t="s">
        <v>84</v>
      </c>
      <c r="B14">
        <v>18598357</v>
      </c>
      <c r="C14" t="s">
        <v>470</v>
      </c>
      <c r="D14" t="s">
        <v>471</v>
      </c>
      <c r="E14" t="str">
        <f t="shared" si="0"/>
        <v>Elisa Martinez</v>
      </c>
      <c r="F14">
        <v>59900</v>
      </c>
      <c r="G14" s="6" t="str">
        <f>CONCATENATE(F14,55)</f>
        <v>5990055</v>
      </c>
      <c r="H14" s="1">
        <v>46023</v>
      </c>
      <c r="I14" t="s">
        <v>641</v>
      </c>
      <c r="J14" s="2">
        <v>353</v>
      </c>
      <c r="K14" t="s">
        <v>667</v>
      </c>
      <c r="L14" t="s">
        <v>671</v>
      </c>
      <c r="M14"/>
      <c r="N14"/>
      <c r="O14"/>
    </row>
    <row r="15" spans="1:15" s="3" customFormat="1" x14ac:dyDescent="0.25">
      <c r="A15" t="s">
        <v>84</v>
      </c>
      <c r="B15">
        <v>18598357</v>
      </c>
      <c r="C15" t="s">
        <v>473</v>
      </c>
      <c r="D15" t="s">
        <v>474</v>
      </c>
      <c r="E15" t="str">
        <f t="shared" si="0"/>
        <v>Mildred Rivera Silva</v>
      </c>
      <c r="F15">
        <v>61770</v>
      </c>
      <c r="G15" s="6" t="str">
        <f>CONCATENATE(F15,55)</f>
        <v>6177055</v>
      </c>
      <c r="H15" s="1">
        <v>45658</v>
      </c>
      <c r="I15" t="s">
        <v>641</v>
      </c>
      <c r="J15" s="2">
        <v>353</v>
      </c>
      <c r="K15" t="s">
        <v>667</v>
      </c>
      <c r="L15" t="s">
        <v>671</v>
      </c>
      <c r="M15"/>
      <c r="N15"/>
      <c r="O15"/>
    </row>
    <row r="16" spans="1:15" s="3" customFormat="1" x14ac:dyDescent="0.25">
      <c r="A16" t="s">
        <v>84</v>
      </c>
      <c r="B16" t="s">
        <v>679</v>
      </c>
      <c r="C16" t="s">
        <v>61</v>
      </c>
      <c r="D16" t="s">
        <v>553</v>
      </c>
      <c r="E16" t="str">
        <f t="shared" si="0"/>
        <v>Patricia Pagan</v>
      </c>
      <c r="F16">
        <v>97090</v>
      </c>
      <c r="G16" s="6" t="str">
        <f>CONCATENATE(F16,55)</f>
        <v>9709055</v>
      </c>
      <c r="H16" s="1">
        <v>45261</v>
      </c>
      <c r="I16" t="s">
        <v>643</v>
      </c>
      <c r="J16" s="2">
        <v>323.58</v>
      </c>
      <c r="K16" t="s">
        <v>667</v>
      </c>
      <c r="L16" t="s">
        <v>673</v>
      </c>
      <c r="M16"/>
      <c r="N16"/>
      <c r="O16"/>
    </row>
    <row r="17" spans="1:15" s="3" customFormat="1" x14ac:dyDescent="0.25">
      <c r="A17" t="s">
        <v>84</v>
      </c>
      <c r="B17" t="s">
        <v>679</v>
      </c>
      <c r="C17" t="s">
        <v>429</v>
      </c>
      <c r="D17" t="s">
        <v>430</v>
      </c>
      <c r="E17" t="str">
        <f t="shared" si="0"/>
        <v>Elesia Kindberg</v>
      </c>
      <c r="F17">
        <v>61720</v>
      </c>
      <c r="G17" s="6" t="str">
        <f>CONCATENATE(F17,55)</f>
        <v>6172055</v>
      </c>
      <c r="H17" s="1">
        <v>44866</v>
      </c>
      <c r="I17" t="s">
        <v>641</v>
      </c>
      <c r="J17" s="2">
        <v>353</v>
      </c>
      <c r="K17" t="s">
        <v>667</v>
      </c>
      <c r="L17" t="s">
        <v>671</v>
      </c>
      <c r="M17"/>
      <c r="N17"/>
      <c r="O17"/>
    </row>
    <row r="18" spans="1:15" s="3" customFormat="1" x14ac:dyDescent="0.25">
      <c r="A18" t="s">
        <v>11</v>
      </c>
      <c r="B18" t="s">
        <v>680</v>
      </c>
      <c r="C18" t="s">
        <v>128</v>
      </c>
      <c r="D18" t="s">
        <v>129</v>
      </c>
      <c r="E18" t="str">
        <f t="shared" si="0"/>
        <v>John Meanor</v>
      </c>
      <c r="F18">
        <v>60130</v>
      </c>
      <c r="G18" s="6" t="str">
        <f>CONCATENATE(F18,75)</f>
        <v>6013075</v>
      </c>
      <c r="H18" s="1">
        <v>46082</v>
      </c>
      <c r="I18" t="s">
        <v>640</v>
      </c>
      <c r="J18" s="2">
        <v>705</v>
      </c>
      <c r="K18" t="s">
        <v>670</v>
      </c>
      <c r="L18" t="s">
        <v>675</v>
      </c>
      <c r="M18"/>
      <c r="N18"/>
      <c r="O18"/>
    </row>
    <row r="19" spans="1:15" s="3" customFormat="1" x14ac:dyDescent="0.25">
      <c r="A19" t="s">
        <v>11</v>
      </c>
      <c r="B19" t="s">
        <v>680</v>
      </c>
      <c r="C19" t="s">
        <v>125</v>
      </c>
      <c r="D19" t="s">
        <v>126</v>
      </c>
      <c r="E19" t="str">
        <f t="shared" si="0"/>
        <v>Cynthia Pieniadz</v>
      </c>
      <c r="F19">
        <v>59040</v>
      </c>
      <c r="G19" s="6" t="str">
        <f>CONCATENATE(F19,75)</f>
        <v>5904075</v>
      </c>
      <c r="H19" s="1">
        <v>46082</v>
      </c>
      <c r="I19" t="s">
        <v>640</v>
      </c>
      <c r="J19" s="2">
        <v>705</v>
      </c>
      <c r="K19" t="s">
        <v>670</v>
      </c>
      <c r="L19" t="s">
        <v>675</v>
      </c>
      <c r="M19"/>
      <c r="N19"/>
      <c r="O19"/>
    </row>
    <row r="20" spans="1:15" s="3" customFormat="1" x14ac:dyDescent="0.25">
      <c r="A20" t="s">
        <v>11</v>
      </c>
      <c r="B20" t="s">
        <v>680</v>
      </c>
      <c r="C20" t="s">
        <v>27</v>
      </c>
      <c r="D20" t="s">
        <v>532</v>
      </c>
      <c r="E20" t="str">
        <f t="shared" si="0"/>
        <v>Diana Gianino</v>
      </c>
      <c r="F20">
        <v>74230</v>
      </c>
      <c r="G20" s="6" t="str">
        <f>CONCATENATE(F20,55)</f>
        <v>7423055</v>
      </c>
      <c r="H20" s="1">
        <v>46082</v>
      </c>
      <c r="I20" t="s">
        <v>642</v>
      </c>
      <c r="J20" s="2">
        <v>294.16000000000003</v>
      </c>
      <c r="K20" t="s">
        <v>667</v>
      </c>
      <c r="L20" t="s">
        <v>672</v>
      </c>
      <c r="M20"/>
      <c r="N20"/>
      <c r="O20"/>
    </row>
    <row r="21" spans="1:15" s="3" customFormat="1" x14ac:dyDescent="0.25">
      <c r="A21" t="s">
        <v>11</v>
      </c>
      <c r="B21" t="s">
        <v>680</v>
      </c>
      <c r="C21" t="s">
        <v>487</v>
      </c>
      <c r="D21" t="s">
        <v>535</v>
      </c>
      <c r="E21" t="str">
        <f t="shared" si="0"/>
        <v>Jane Young</v>
      </c>
      <c r="F21">
        <v>26280</v>
      </c>
      <c r="G21" s="6" t="str">
        <f>CONCATENATE(F21,55)</f>
        <v>2628055</v>
      </c>
      <c r="H21" s="1">
        <v>46082</v>
      </c>
      <c r="I21" t="s">
        <v>642</v>
      </c>
      <c r="J21" s="2">
        <v>294.16000000000003</v>
      </c>
      <c r="K21" t="s">
        <v>667</v>
      </c>
      <c r="L21" t="s">
        <v>672</v>
      </c>
      <c r="M21"/>
      <c r="N21"/>
      <c r="O21"/>
    </row>
    <row r="22" spans="1:15" s="3" customFormat="1" x14ac:dyDescent="0.25">
      <c r="A22" t="s">
        <v>11</v>
      </c>
      <c r="B22" t="s">
        <v>680</v>
      </c>
      <c r="C22" t="s">
        <v>75</v>
      </c>
      <c r="D22" t="s">
        <v>76</v>
      </c>
      <c r="E22" t="str">
        <f t="shared" si="0"/>
        <v>Kimberly Basick</v>
      </c>
      <c r="F22">
        <v>61450</v>
      </c>
      <c r="G22" s="6" t="str">
        <f>CONCATENATE(F22,75)</f>
        <v>6145075</v>
      </c>
      <c r="H22" s="1">
        <v>46054</v>
      </c>
      <c r="I22" t="s">
        <v>640</v>
      </c>
      <c r="J22" s="2">
        <v>705</v>
      </c>
      <c r="K22" t="s">
        <v>670</v>
      </c>
      <c r="L22" t="s">
        <v>675</v>
      </c>
      <c r="M22"/>
      <c r="N22"/>
      <c r="O22"/>
    </row>
    <row r="23" spans="1:15" s="3" customFormat="1" x14ac:dyDescent="0.25">
      <c r="A23" t="s">
        <v>11</v>
      </c>
      <c r="B23" t="s">
        <v>680</v>
      </c>
      <c r="C23" t="s">
        <v>58</v>
      </c>
      <c r="D23" t="s">
        <v>59</v>
      </c>
      <c r="E23" t="str">
        <f t="shared" si="0"/>
        <v>Jeffrey Dobbins</v>
      </c>
      <c r="F23">
        <v>81730</v>
      </c>
      <c r="G23" s="6" t="str">
        <f>CONCATENATE(F23,75)</f>
        <v>8173075</v>
      </c>
      <c r="H23" s="1">
        <v>46054</v>
      </c>
      <c r="I23" t="s">
        <v>640</v>
      </c>
      <c r="J23" s="2">
        <v>705</v>
      </c>
      <c r="K23" t="s">
        <v>670</v>
      </c>
      <c r="L23" t="s">
        <v>675</v>
      </c>
      <c r="M23"/>
      <c r="N23"/>
      <c r="O23"/>
    </row>
    <row r="24" spans="1:15" s="3" customFormat="1" x14ac:dyDescent="0.25">
      <c r="A24" t="s">
        <v>11</v>
      </c>
      <c r="B24" t="s">
        <v>680</v>
      </c>
      <c r="C24" t="s">
        <v>578</v>
      </c>
      <c r="D24" t="s">
        <v>245</v>
      </c>
      <c r="E24" t="str">
        <f t="shared" si="0"/>
        <v>Otis Johnson</v>
      </c>
      <c r="F24">
        <v>95710</v>
      </c>
      <c r="G24" s="6" t="str">
        <f>CONCATENATE(F24,55)</f>
        <v>9571055</v>
      </c>
      <c r="H24" s="1">
        <v>46054</v>
      </c>
      <c r="I24" t="s">
        <v>643</v>
      </c>
      <c r="J24" s="2">
        <v>323.58</v>
      </c>
      <c r="K24" t="s">
        <v>667</v>
      </c>
      <c r="L24" t="s">
        <v>673</v>
      </c>
      <c r="M24"/>
      <c r="N24"/>
      <c r="O24"/>
    </row>
    <row r="25" spans="1:15" s="3" customFormat="1" x14ac:dyDescent="0.25">
      <c r="A25" t="s">
        <v>11</v>
      </c>
      <c r="B25" t="s">
        <v>680</v>
      </c>
      <c r="C25" t="s">
        <v>580</v>
      </c>
      <c r="D25" t="s">
        <v>581</v>
      </c>
      <c r="E25" t="str">
        <f t="shared" si="0"/>
        <v>Dennis Mcconnell</v>
      </c>
      <c r="F25">
        <v>72210</v>
      </c>
      <c r="G25" s="6" t="str">
        <f>CONCATENATE(F25,55)</f>
        <v>7221055</v>
      </c>
      <c r="H25" s="1">
        <v>46054</v>
      </c>
      <c r="I25" t="s">
        <v>643</v>
      </c>
      <c r="J25" s="2">
        <v>323.58</v>
      </c>
      <c r="K25" t="s">
        <v>667</v>
      </c>
      <c r="L25" t="s">
        <v>673</v>
      </c>
      <c r="M25"/>
      <c r="N25"/>
      <c r="O25"/>
    </row>
    <row r="26" spans="1:15" s="3" customFormat="1" x14ac:dyDescent="0.25">
      <c r="A26" t="s">
        <v>11</v>
      </c>
      <c r="B26" t="s">
        <v>680</v>
      </c>
      <c r="C26" t="s">
        <v>190</v>
      </c>
      <c r="D26" t="s">
        <v>618</v>
      </c>
      <c r="E26" t="str">
        <f t="shared" si="0"/>
        <v>James Piotrowski</v>
      </c>
      <c r="F26">
        <v>9490</v>
      </c>
      <c r="G26" s="6" t="str">
        <f>CONCATENATE(F26,55)</f>
        <v>949055</v>
      </c>
      <c r="H26" s="1">
        <v>46054</v>
      </c>
      <c r="I26" t="s">
        <v>643</v>
      </c>
      <c r="J26" s="2">
        <v>323.58</v>
      </c>
      <c r="K26" t="s">
        <v>667</v>
      </c>
      <c r="L26" t="s">
        <v>673</v>
      </c>
      <c r="M26"/>
      <c r="N26"/>
      <c r="O26"/>
    </row>
    <row r="27" spans="1:15" s="3" customFormat="1" x14ac:dyDescent="0.25">
      <c r="A27" t="s">
        <v>11</v>
      </c>
      <c r="B27" t="s">
        <v>680</v>
      </c>
      <c r="C27" t="s">
        <v>566</v>
      </c>
      <c r="D27" t="s">
        <v>567</v>
      </c>
      <c r="E27" t="str">
        <f t="shared" si="0"/>
        <v>Laurie Rosso</v>
      </c>
      <c r="F27">
        <v>19120</v>
      </c>
      <c r="G27" s="6" t="str">
        <f>CONCATENATE(F27,55)</f>
        <v>1912055</v>
      </c>
      <c r="H27" s="1">
        <v>46054</v>
      </c>
      <c r="I27" t="s">
        <v>643</v>
      </c>
      <c r="J27" s="2">
        <v>323.58</v>
      </c>
      <c r="K27" t="s">
        <v>667</v>
      </c>
      <c r="L27" t="s">
        <v>673</v>
      </c>
      <c r="M27"/>
      <c r="N27"/>
      <c r="O27"/>
    </row>
    <row r="28" spans="1:15" s="3" customFormat="1" x14ac:dyDescent="0.25">
      <c r="A28" t="s">
        <v>11</v>
      </c>
      <c r="B28" t="s">
        <v>680</v>
      </c>
      <c r="C28" t="s">
        <v>128</v>
      </c>
      <c r="D28" t="s">
        <v>614</v>
      </c>
      <c r="E28" t="str">
        <f t="shared" si="0"/>
        <v>John Senderling</v>
      </c>
      <c r="F28">
        <v>93850</v>
      </c>
      <c r="G28" s="6" t="str">
        <f>CONCATENATE(F28,55)</f>
        <v>9385055</v>
      </c>
      <c r="H28" s="1">
        <v>46054</v>
      </c>
      <c r="I28" t="s">
        <v>643</v>
      </c>
      <c r="J28" s="2">
        <v>323.58</v>
      </c>
      <c r="K28" t="s">
        <v>667</v>
      </c>
      <c r="L28" t="s">
        <v>673</v>
      </c>
      <c r="M28"/>
      <c r="N28"/>
      <c r="O28"/>
    </row>
    <row r="29" spans="1:15" s="3" customFormat="1" x14ac:dyDescent="0.25">
      <c r="A29" t="s">
        <v>11</v>
      </c>
      <c r="B29" t="s">
        <v>680</v>
      </c>
      <c r="C29" t="s">
        <v>645</v>
      </c>
      <c r="D29" t="s">
        <v>646</v>
      </c>
      <c r="E29" t="str">
        <f t="shared" si="0"/>
        <v>Lynda Duncan</v>
      </c>
      <c r="F29">
        <v>11970</v>
      </c>
      <c r="G29" s="6" t="str">
        <f>CONCATENATE(F29,55)</f>
        <v>1197055</v>
      </c>
      <c r="H29" s="1">
        <v>46023</v>
      </c>
      <c r="I29" t="s">
        <v>648</v>
      </c>
      <c r="J29" s="2">
        <v>55</v>
      </c>
      <c r="K29" t="s">
        <v>668</v>
      </c>
      <c r="L29"/>
      <c r="M29"/>
      <c r="N29"/>
      <c r="O29"/>
    </row>
    <row r="30" spans="1:15" s="3" customFormat="1" x14ac:dyDescent="0.25">
      <c r="A30" t="s">
        <v>11</v>
      </c>
      <c r="B30" t="s">
        <v>680</v>
      </c>
      <c r="C30" t="s">
        <v>108</v>
      </c>
      <c r="D30" t="s">
        <v>109</v>
      </c>
      <c r="E30" t="str">
        <f t="shared" si="0"/>
        <v>Judith Albert</v>
      </c>
      <c r="F30">
        <v>72790</v>
      </c>
      <c r="G30" s="6" t="str">
        <f>CONCATENATE(F30,75)</f>
        <v>7279075</v>
      </c>
      <c r="H30" s="1">
        <v>46023</v>
      </c>
      <c r="I30" t="s">
        <v>640</v>
      </c>
      <c r="J30" s="2">
        <v>705</v>
      </c>
      <c r="K30" t="s">
        <v>670</v>
      </c>
      <c r="L30" t="s">
        <v>675</v>
      </c>
      <c r="M30"/>
      <c r="N30"/>
      <c r="O30"/>
    </row>
    <row r="31" spans="1:15" s="3" customFormat="1" x14ac:dyDescent="0.25">
      <c r="A31" t="s">
        <v>11</v>
      </c>
      <c r="B31" t="s">
        <v>680</v>
      </c>
      <c r="C31" t="s">
        <v>91</v>
      </c>
      <c r="D31" t="s">
        <v>92</v>
      </c>
      <c r="E31" t="str">
        <f t="shared" si="0"/>
        <v>Peggy Dempe</v>
      </c>
      <c r="F31">
        <v>91020</v>
      </c>
      <c r="G31" s="6" t="str">
        <f>CONCATENATE(F31,75)</f>
        <v>9102075</v>
      </c>
      <c r="H31" s="1">
        <v>46023</v>
      </c>
      <c r="I31" t="s">
        <v>640</v>
      </c>
      <c r="J31" s="2">
        <v>705</v>
      </c>
      <c r="K31" t="s">
        <v>670</v>
      </c>
      <c r="L31" t="s">
        <v>675</v>
      </c>
      <c r="M31"/>
      <c r="N31"/>
      <c r="O31"/>
    </row>
    <row r="32" spans="1:15" s="3" customFormat="1" x14ac:dyDescent="0.25">
      <c r="A32" t="s">
        <v>11</v>
      </c>
      <c r="B32" t="s">
        <v>680</v>
      </c>
      <c r="C32" t="s">
        <v>64</v>
      </c>
      <c r="D32" t="s">
        <v>70</v>
      </c>
      <c r="E32" t="str">
        <f t="shared" si="0"/>
        <v>Barbara Keefe</v>
      </c>
      <c r="F32">
        <v>3170</v>
      </c>
      <c r="G32" s="6" t="str">
        <f>CONCATENATE(F32,75)</f>
        <v>317075</v>
      </c>
      <c r="H32" s="1">
        <v>46023</v>
      </c>
      <c r="I32" t="s">
        <v>640</v>
      </c>
      <c r="J32" s="2">
        <v>705</v>
      </c>
      <c r="K32" t="s">
        <v>670</v>
      </c>
      <c r="L32" t="s">
        <v>675</v>
      </c>
      <c r="M32"/>
      <c r="N32"/>
      <c r="O32"/>
    </row>
    <row r="33" spans="1:15" s="3" customFormat="1" x14ac:dyDescent="0.25">
      <c r="A33" t="s">
        <v>11</v>
      </c>
      <c r="B33" t="s">
        <v>680</v>
      </c>
      <c r="C33" t="s">
        <v>134</v>
      </c>
      <c r="D33" t="s">
        <v>135</v>
      </c>
      <c r="E33" t="str">
        <f t="shared" si="0"/>
        <v>M Lastoria</v>
      </c>
      <c r="F33">
        <v>64820</v>
      </c>
      <c r="G33" s="6" t="str">
        <f>CONCATENATE(F33,75)</f>
        <v>6482075</v>
      </c>
      <c r="H33" s="1">
        <v>46023</v>
      </c>
      <c r="I33" t="s">
        <v>640</v>
      </c>
      <c r="J33" s="2">
        <v>705</v>
      </c>
      <c r="K33" t="s">
        <v>670</v>
      </c>
      <c r="L33" t="s">
        <v>675</v>
      </c>
      <c r="M33"/>
      <c r="N33"/>
      <c r="O33"/>
    </row>
    <row r="34" spans="1:15" s="3" customFormat="1" x14ac:dyDescent="0.25">
      <c r="A34" t="s">
        <v>11</v>
      </c>
      <c r="B34" t="s">
        <v>680</v>
      </c>
      <c r="C34" t="s">
        <v>88</v>
      </c>
      <c r="D34" t="s">
        <v>89</v>
      </c>
      <c r="E34" t="str">
        <f t="shared" si="0"/>
        <v>Jean Otoole</v>
      </c>
      <c r="F34">
        <v>90920</v>
      </c>
      <c r="G34" s="6" t="str">
        <f>CONCATENATE(F34,75)</f>
        <v>9092075</v>
      </c>
      <c r="H34" s="1">
        <v>46023</v>
      </c>
      <c r="I34" t="s">
        <v>640</v>
      </c>
      <c r="J34" s="2">
        <v>705</v>
      </c>
      <c r="K34" t="s">
        <v>670</v>
      </c>
      <c r="L34" t="s">
        <v>675</v>
      </c>
      <c r="M34"/>
      <c r="N34"/>
      <c r="O34"/>
    </row>
    <row r="35" spans="1:15" s="3" customFormat="1" x14ac:dyDescent="0.25">
      <c r="A35" t="s">
        <v>11</v>
      </c>
      <c r="B35" t="s">
        <v>680</v>
      </c>
      <c r="C35" t="s">
        <v>97</v>
      </c>
      <c r="D35" t="s">
        <v>98</v>
      </c>
      <c r="E35" t="str">
        <f t="shared" si="0"/>
        <v>Donna Paladino</v>
      </c>
      <c r="F35">
        <v>20790</v>
      </c>
      <c r="G35" s="6" t="str">
        <f>CONCATENATE(F35,75)</f>
        <v>2079075</v>
      </c>
      <c r="H35" s="1">
        <v>46023</v>
      </c>
      <c r="I35" t="s">
        <v>640</v>
      </c>
      <c r="J35" s="2">
        <v>705</v>
      </c>
      <c r="K35" t="s">
        <v>670</v>
      </c>
      <c r="L35" t="s">
        <v>675</v>
      </c>
      <c r="M35"/>
      <c r="N35"/>
      <c r="O35"/>
    </row>
    <row r="36" spans="1:15" s="3" customFormat="1" x14ac:dyDescent="0.25">
      <c r="A36" t="s">
        <v>11</v>
      </c>
      <c r="B36" t="s">
        <v>680</v>
      </c>
      <c r="C36" t="s">
        <v>94</v>
      </c>
      <c r="D36" t="s">
        <v>95</v>
      </c>
      <c r="E36" t="str">
        <f t="shared" si="0"/>
        <v>Lynn Papso</v>
      </c>
      <c r="F36">
        <v>91330</v>
      </c>
      <c r="G36" s="6" t="str">
        <f>CONCATENATE(F36,75)</f>
        <v>9133075</v>
      </c>
      <c r="H36" s="1">
        <v>46023</v>
      </c>
      <c r="I36" t="s">
        <v>640</v>
      </c>
      <c r="J36" s="2">
        <v>705</v>
      </c>
      <c r="K36" t="s">
        <v>670</v>
      </c>
      <c r="L36" t="s">
        <v>675</v>
      </c>
      <c r="M36"/>
      <c r="N36"/>
      <c r="O36"/>
    </row>
    <row r="37" spans="1:15" s="3" customFormat="1" x14ac:dyDescent="0.25">
      <c r="A37" t="s">
        <v>11</v>
      </c>
      <c r="B37" t="s">
        <v>680</v>
      </c>
      <c r="C37" t="s">
        <v>106</v>
      </c>
      <c r="D37" t="s">
        <v>101</v>
      </c>
      <c r="E37" t="str">
        <f t="shared" si="0"/>
        <v>E Rebmann</v>
      </c>
      <c r="F37">
        <v>60290</v>
      </c>
      <c r="G37" s="6" t="str">
        <f>CONCATENATE(F37,75)</f>
        <v>6029075</v>
      </c>
      <c r="H37" s="1">
        <v>46023</v>
      </c>
      <c r="I37" t="s">
        <v>640</v>
      </c>
      <c r="J37" s="2">
        <v>705</v>
      </c>
      <c r="K37" t="s">
        <v>670</v>
      </c>
      <c r="L37" t="s">
        <v>675</v>
      </c>
      <c r="M37"/>
      <c r="N37"/>
      <c r="O37"/>
    </row>
    <row r="38" spans="1:15" s="3" customFormat="1" x14ac:dyDescent="0.25">
      <c r="A38" t="s">
        <v>11</v>
      </c>
      <c r="B38" t="s">
        <v>680</v>
      </c>
      <c r="C38" t="s">
        <v>100</v>
      </c>
      <c r="D38" t="s">
        <v>101</v>
      </c>
      <c r="E38" t="str">
        <f t="shared" si="0"/>
        <v>Maureen Rebmann</v>
      </c>
      <c r="F38">
        <v>59790</v>
      </c>
      <c r="G38" s="6" t="str">
        <f>CONCATENATE(F38,75)</f>
        <v>5979075</v>
      </c>
      <c r="H38" s="1">
        <v>46023</v>
      </c>
      <c r="I38" t="s">
        <v>640</v>
      </c>
      <c r="J38" s="2">
        <v>705</v>
      </c>
      <c r="K38" t="s">
        <v>670</v>
      </c>
      <c r="L38" t="s">
        <v>675</v>
      </c>
      <c r="M38"/>
      <c r="N38"/>
      <c r="O38"/>
    </row>
    <row r="39" spans="1:15" s="3" customFormat="1" x14ac:dyDescent="0.25">
      <c r="A39" t="s">
        <v>11</v>
      </c>
      <c r="B39" t="s">
        <v>680</v>
      </c>
      <c r="C39" t="s">
        <v>599</v>
      </c>
      <c r="D39" t="s">
        <v>600</v>
      </c>
      <c r="E39" t="str">
        <f t="shared" si="0"/>
        <v>Angela Mazzocca</v>
      </c>
      <c r="F39">
        <v>68750</v>
      </c>
      <c r="G39" s="6" t="str">
        <f>CONCATENATE(F39,55)</f>
        <v>6875055</v>
      </c>
      <c r="H39" s="1">
        <v>46023</v>
      </c>
      <c r="I39" t="s">
        <v>643</v>
      </c>
      <c r="J39" s="2">
        <v>323.58</v>
      </c>
      <c r="K39" t="s">
        <v>667</v>
      </c>
      <c r="L39" t="s">
        <v>673</v>
      </c>
      <c r="M39"/>
      <c r="N39"/>
      <c r="O39"/>
    </row>
    <row r="40" spans="1:15" s="3" customFormat="1" x14ac:dyDescent="0.25">
      <c r="A40" t="s">
        <v>11</v>
      </c>
      <c r="B40" t="s">
        <v>680</v>
      </c>
      <c r="C40" t="s">
        <v>232</v>
      </c>
      <c r="D40" t="s">
        <v>233</v>
      </c>
      <c r="E40" t="str">
        <f t="shared" si="0"/>
        <v>Dorothy Alfred</v>
      </c>
      <c r="F40">
        <v>91110</v>
      </c>
      <c r="G40" s="6" t="str">
        <f>CONCATENATE(F40,55)</f>
        <v>9111055</v>
      </c>
      <c r="H40" s="1">
        <v>46023</v>
      </c>
      <c r="I40" t="s">
        <v>641</v>
      </c>
      <c r="J40" s="2">
        <v>353</v>
      </c>
      <c r="K40" t="s">
        <v>667</v>
      </c>
      <c r="L40" t="s">
        <v>671</v>
      </c>
      <c r="M40"/>
      <c r="N40"/>
      <c r="O40"/>
    </row>
    <row r="41" spans="1:15" s="3" customFormat="1" x14ac:dyDescent="0.25">
      <c r="A41" t="s">
        <v>11</v>
      </c>
      <c r="B41" t="s">
        <v>680</v>
      </c>
      <c r="C41" t="s">
        <v>380</v>
      </c>
      <c r="D41" t="s">
        <v>233</v>
      </c>
      <c r="E41" t="str">
        <f t="shared" si="0"/>
        <v>Floyd Alfred</v>
      </c>
      <c r="F41">
        <v>91670</v>
      </c>
      <c r="G41" s="6" t="str">
        <f>CONCATENATE(F41,55)</f>
        <v>9167055</v>
      </c>
      <c r="H41" s="1">
        <v>46023</v>
      </c>
      <c r="I41" t="s">
        <v>641</v>
      </c>
      <c r="J41" s="2">
        <v>353</v>
      </c>
      <c r="K41" t="s">
        <v>667</v>
      </c>
      <c r="L41" t="s">
        <v>671</v>
      </c>
      <c r="M41"/>
      <c r="N41"/>
      <c r="O41"/>
    </row>
    <row r="42" spans="1:15" s="3" customFormat="1" x14ac:dyDescent="0.25">
      <c r="A42" t="s">
        <v>11</v>
      </c>
      <c r="B42" t="s">
        <v>680</v>
      </c>
      <c r="C42" t="s">
        <v>176</v>
      </c>
      <c r="D42" t="s">
        <v>177</v>
      </c>
      <c r="E42" t="str">
        <f t="shared" si="0"/>
        <v>Loretta Dulski</v>
      </c>
      <c r="F42">
        <v>39270</v>
      </c>
      <c r="G42" s="6" t="str">
        <f>CONCATENATE(F42,55)</f>
        <v>3927055</v>
      </c>
      <c r="H42" s="1">
        <v>46023</v>
      </c>
      <c r="I42" t="s">
        <v>641</v>
      </c>
      <c r="J42" s="2">
        <v>353</v>
      </c>
      <c r="K42" t="s">
        <v>667</v>
      </c>
      <c r="L42" t="s">
        <v>671</v>
      </c>
      <c r="M42"/>
      <c r="N42"/>
      <c r="O42"/>
    </row>
    <row r="43" spans="1:15" s="3" customFormat="1" x14ac:dyDescent="0.25">
      <c r="A43" t="s">
        <v>11</v>
      </c>
      <c r="B43" t="s">
        <v>680</v>
      </c>
      <c r="C43" t="s">
        <v>418</v>
      </c>
      <c r="D43" t="s">
        <v>506</v>
      </c>
      <c r="E43" t="str">
        <f t="shared" si="0"/>
        <v>Patrick Erwin</v>
      </c>
      <c r="F43">
        <v>73940</v>
      </c>
      <c r="G43" s="6" t="str">
        <f>CONCATENATE(F43,55)</f>
        <v>7394055</v>
      </c>
      <c r="H43" s="1">
        <v>46023</v>
      </c>
      <c r="I43" t="s">
        <v>641</v>
      </c>
      <c r="J43" s="2">
        <v>353</v>
      </c>
      <c r="K43" t="s">
        <v>667</v>
      </c>
      <c r="L43" t="s">
        <v>671</v>
      </c>
      <c r="M43"/>
      <c r="N43"/>
      <c r="O43"/>
    </row>
    <row r="44" spans="1:15" s="3" customFormat="1" x14ac:dyDescent="0.25">
      <c r="A44" t="s">
        <v>11</v>
      </c>
      <c r="B44" t="s">
        <v>680</v>
      </c>
      <c r="C44" t="s">
        <v>513</v>
      </c>
      <c r="D44" t="s">
        <v>514</v>
      </c>
      <c r="E44" t="str">
        <f t="shared" si="0"/>
        <v>Charles Fritzley</v>
      </c>
      <c r="F44">
        <v>33520</v>
      </c>
      <c r="G44" s="6" t="str">
        <f>CONCATENATE(F44,55)</f>
        <v>3352055</v>
      </c>
      <c r="H44" s="1">
        <v>46023</v>
      </c>
      <c r="I44" t="s">
        <v>641</v>
      </c>
      <c r="J44" s="2">
        <v>353</v>
      </c>
      <c r="K44" t="s">
        <v>667</v>
      </c>
      <c r="L44" t="s">
        <v>671</v>
      </c>
      <c r="M44"/>
      <c r="N44"/>
      <c r="O44"/>
    </row>
    <row r="45" spans="1:15" s="3" customFormat="1" x14ac:dyDescent="0.25">
      <c r="A45" t="s">
        <v>11</v>
      </c>
      <c r="B45" t="s">
        <v>680</v>
      </c>
      <c r="C45" t="s">
        <v>97</v>
      </c>
      <c r="D45" t="s">
        <v>238</v>
      </c>
      <c r="E45" t="str">
        <f t="shared" si="0"/>
        <v>Donna Giovanazzi</v>
      </c>
      <c r="F45">
        <v>17450</v>
      </c>
      <c r="G45" s="6" t="str">
        <f>CONCATENATE(F45,55)</f>
        <v>1745055</v>
      </c>
      <c r="H45" s="1">
        <v>46023</v>
      </c>
      <c r="I45" t="s">
        <v>641</v>
      </c>
      <c r="J45" s="2">
        <v>353</v>
      </c>
      <c r="K45" t="s">
        <v>667</v>
      </c>
      <c r="L45" t="s">
        <v>671</v>
      </c>
      <c r="M45"/>
      <c r="N45"/>
      <c r="O45"/>
    </row>
    <row r="46" spans="1:15" s="3" customFormat="1" x14ac:dyDescent="0.25">
      <c r="A46" t="s">
        <v>11</v>
      </c>
      <c r="B46" t="s">
        <v>680</v>
      </c>
      <c r="C46" t="s">
        <v>128</v>
      </c>
      <c r="D46" t="s">
        <v>308</v>
      </c>
      <c r="E46" t="str">
        <f t="shared" si="0"/>
        <v>John Gregor</v>
      </c>
      <c r="F46">
        <v>88550</v>
      </c>
      <c r="G46" s="6" t="str">
        <f>CONCATENATE(F46,55)</f>
        <v>8855055</v>
      </c>
      <c r="H46" s="1">
        <v>46023</v>
      </c>
      <c r="I46" t="s">
        <v>641</v>
      </c>
      <c r="J46" s="2">
        <v>353</v>
      </c>
      <c r="K46" t="s">
        <v>667</v>
      </c>
      <c r="L46" t="s">
        <v>671</v>
      </c>
      <c r="M46"/>
      <c r="N46"/>
      <c r="O46"/>
    </row>
    <row r="47" spans="1:15" s="3" customFormat="1" x14ac:dyDescent="0.25">
      <c r="A47" t="s">
        <v>11</v>
      </c>
      <c r="B47" t="s">
        <v>680</v>
      </c>
      <c r="C47" t="s">
        <v>88</v>
      </c>
      <c r="D47" t="s">
        <v>164</v>
      </c>
      <c r="E47" t="str">
        <f t="shared" si="0"/>
        <v>Jean Jenkins</v>
      </c>
      <c r="F47">
        <v>38800</v>
      </c>
      <c r="G47" s="6" t="str">
        <f>CONCATENATE(F47,55)</f>
        <v>3880055</v>
      </c>
      <c r="H47" s="1">
        <v>46023</v>
      </c>
      <c r="I47" t="s">
        <v>641</v>
      </c>
      <c r="J47" s="2">
        <v>353</v>
      </c>
      <c r="K47" t="s">
        <v>667</v>
      </c>
      <c r="L47" t="s">
        <v>671</v>
      </c>
      <c r="M47"/>
      <c r="N47"/>
      <c r="O47"/>
    </row>
    <row r="48" spans="1:15" s="3" customFormat="1" x14ac:dyDescent="0.25">
      <c r="A48" t="s">
        <v>11</v>
      </c>
      <c r="B48" t="s">
        <v>680</v>
      </c>
      <c r="C48" t="s">
        <v>31</v>
      </c>
      <c r="D48" t="s">
        <v>504</v>
      </c>
      <c r="E48" t="str">
        <f t="shared" si="0"/>
        <v>Donald Kaminski</v>
      </c>
      <c r="F48">
        <v>24550</v>
      </c>
      <c r="G48" s="6" t="str">
        <f>CONCATENATE(F48,55)</f>
        <v>2455055</v>
      </c>
      <c r="H48" s="1">
        <v>46023</v>
      </c>
      <c r="I48" t="s">
        <v>641</v>
      </c>
      <c r="J48" s="2">
        <v>353</v>
      </c>
      <c r="K48" t="s">
        <v>667</v>
      </c>
      <c r="L48" t="s">
        <v>671</v>
      </c>
      <c r="M48"/>
      <c r="N48"/>
      <c r="O48"/>
    </row>
    <row r="49" spans="1:15" s="3" customFormat="1" x14ac:dyDescent="0.25">
      <c r="A49" t="s">
        <v>11</v>
      </c>
      <c r="B49" t="s">
        <v>680</v>
      </c>
      <c r="C49" t="s">
        <v>276</v>
      </c>
      <c r="D49" t="s">
        <v>277</v>
      </c>
      <c r="E49" t="str">
        <f t="shared" si="0"/>
        <v>Edward Lowe</v>
      </c>
      <c r="F49">
        <v>50190</v>
      </c>
      <c r="G49" s="6" t="str">
        <f>CONCATENATE(F49,55)</f>
        <v>5019055</v>
      </c>
      <c r="H49" s="1">
        <v>46023</v>
      </c>
      <c r="I49" t="s">
        <v>641</v>
      </c>
      <c r="J49" s="2">
        <v>353</v>
      </c>
      <c r="K49" t="s">
        <v>667</v>
      </c>
      <c r="L49" t="s">
        <v>671</v>
      </c>
      <c r="M49"/>
      <c r="N49"/>
      <c r="O49"/>
    </row>
    <row r="50" spans="1:15" s="3" customFormat="1" x14ac:dyDescent="0.25">
      <c r="A50" t="s">
        <v>11</v>
      </c>
      <c r="B50" t="s">
        <v>680</v>
      </c>
      <c r="C50" t="s">
        <v>285</v>
      </c>
      <c r="D50" t="s">
        <v>286</v>
      </c>
      <c r="E50" t="str">
        <f t="shared" si="0"/>
        <v>Cecilia Makatura</v>
      </c>
      <c r="F50">
        <v>36180</v>
      </c>
      <c r="G50" s="6" t="str">
        <f>CONCATENATE(F50,55)</f>
        <v>3618055</v>
      </c>
      <c r="H50" s="1">
        <v>46023</v>
      </c>
      <c r="I50" t="s">
        <v>641</v>
      </c>
      <c r="J50" s="2">
        <v>353</v>
      </c>
      <c r="K50" t="s">
        <v>667</v>
      </c>
      <c r="L50" t="s">
        <v>671</v>
      </c>
      <c r="M50"/>
      <c r="N50"/>
      <c r="O50"/>
    </row>
    <row r="51" spans="1:15" s="3" customFormat="1" x14ac:dyDescent="0.25">
      <c r="A51" t="s">
        <v>11</v>
      </c>
      <c r="B51" t="s">
        <v>680</v>
      </c>
      <c r="C51" t="s">
        <v>72</v>
      </c>
      <c r="D51" t="s">
        <v>196</v>
      </c>
      <c r="E51" t="str">
        <f t="shared" si="0"/>
        <v>Timothy Mckee</v>
      </c>
      <c r="F51">
        <v>37590</v>
      </c>
      <c r="G51" s="6" t="str">
        <f>CONCATENATE(F51,55)</f>
        <v>3759055</v>
      </c>
      <c r="H51" s="1">
        <v>46023</v>
      </c>
      <c r="I51" t="s">
        <v>641</v>
      </c>
      <c r="J51" s="2">
        <v>353</v>
      </c>
      <c r="K51" t="s">
        <v>667</v>
      </c>
      <c r="L51" t="s">
        <v>671</v>
      </c>
      <c r="M51"/>
      <c r="N51"/>
      <c r="O51"/>
    </row>
    <row r="52" spans="1:15" s="3" customFormat="1" x14ac:dyDescent="0.25">
      <c r="A52" t="s">
        <v>11</v>
      </c>
      <c r="B52" t="s">
        <v>680</v>
      </c>
      <c r="C52" t="s">
        <v>212</v>
      </c>
      <c r="D52" t="s">
        <v>213</v>
      </c>
      <c r="E52" t="str">
        <f t="shared" si="0"/>
        <v>Toni Multunas</v>
      </c>
      <c r="F52">
        <v>91120</v>
      </c>
      <c r="G52" s="6" t="str">
        <f>CONCATENATE(F52,55)</f>
        <v>9112055</v>
      </c>
      <c r="H52" s="1">
        <v>46023</v>
      </c>
      <c r="I52" t="s">
        <v>641</v>
      </c>
      <c r="J52" s="2">
        <v>353</v>
      </c>
      <c r="K52" t="s">
        <v>667</v>
      </c>
      <c r="L52" t="s">
        <v>671</v>
      </c>
      <c r="M52"/>
      <c r="N52"/>
      <c r="O52"/>
    </row>
    <row r="53" spans="1:15" s="3" customFormat="1" x14ac:dyDescent="0.25">
      <c r="A53" t="s">
        <v>11</v>
      </c>
      <c r="B53" t="s">
        <v>680</v>
      </c>
      <c r="C53" t="s">
        <v>117</v>
      </c>
      <c r="D53" t="s">
        <v>355</v>
      </c>
      <c r="E53" t="str">
        <f t="shared" si="0"/>
        <v>Michael Pachasa</v>
      </c>
      <c r="F53">
        <v>58840</v>
      </c>
      <c r="G53" s="6" t="str">
        <f>CONCATENATE(F53,55)</f>
        <v>5884055</v>
      </c>
      <c r="H53" s="1">
        <v>46023</v>
      </c>
      <c r="I53" t="s">
        <v>641</v>
      </c>
      <c r="J53" s="2">
        <v>353</v>
      </c>
      <c r="K53" t="s">
        <v>667</v>
      </c>
      <c r="L53" t="s">
        <v>671</v>
      </c>
      <c r="M53"/>
      <c r="N53"/>
      <c r="O53"/>
    </row>
    <row r="54" spans="1:15" s="3" customFormat="1" x14ac:dyDescent="0.25">
      <c r="A54" t="s">
        <v>11</v>
      </c>
      <c r="B54" t="s">
        <v>680</v>
      </c>
      <c r="C54" t="s">
        <v>20</v>
      </c>
      <c r="D54" t="s">
        <v>174</v>
      </c>
      <c r="E54" t="str">
        <f t="shared" si="0"/>
        <v>Eric Pankuch</v>
      </c>
      <c r="F54">
        <v>95640</v>
      </c>
      <c r="G54" s="6" t="str">
        <f>CONCATENATE(F54,55)</f>
        <v>9564055</v>
      </c>
      <c r="H54" s="1">
        <v>46023</v>
      </c>
      <c r="I54" t="s">
        <v>641</v>
      </c>
      <c r="J54" s="2">
        <v>353</v>
      </c>
      <c r="K54" t="s">
        <v>667</v>
      </c>
      <c r="L54" t="s">
        <v>671</v>
      </c>
      <c r="M54"/>
      <c r="N54"/>
      <c r="O54"/>
    </row>
    <row r="55" spans="1:15" s="3" customFormat="1" x14ac:dyDescent="0.25">
      <c r="A55" t="s">
        <v>11</v>
      </c>
      <c r="B55" t="s">
        <v>680</v>
      </c>
      <c r="C55" t="s">
        <v>173</v>
      </c>
      <c r="D55" t="s">
        <v>174</v>
      </c>
      <c r="E55" t="str">
        <f t="shared" si="0"/>
        <v>Tamara Pankuch</v>
      </c>
      <c r="F55">
        <v>50510</v>
      </c>
      <c r="G55" s="6" t="str">
        <f>CONCATENATE(F55,55)</f>
        <v>5051055</v>
      </c>
      <c r="H55" s="1">
        <v>46023</v>
      </c>
      <c r="I55" t="s">
        <v>641</v>
      </c>
      <c r="J55" s="2">
        <v>353</v>
      </c>
      <c r="K55" t="s">
        <v>667</v>
      </c>
      <c r="L55" t="s">
        <v>671</v>
      </c>
      <c r="M55"/>
      <c r="N55"/>
      <c r="O55"/>
    </row>
    <row r="56" spans="1:15" s="3" customFormat="1" x14ac:dyDescent="0.25">
      <c r="A56" t="s">
        <v>11</v>
      </c>
      <c r="B56" t="s">
        <v>680</v>
      </c>
      <c r="C56" t="s">
        <v>193</v>
      </c>
      <c r="D56" t="s">
        <v>199</v>
      </c>
      <c r="E56" t="str">
        <f t="shared" si="0"/>
        <v>Nancy Pollack</v>
      </c>
      <c r="F56">
        <v>49010</v>
      </c>
      <c r="G56" s="6" t="str">
        <f>CONCATENATE(F56,55)</f>
        <v>4901055</v>
      </c>
      <c r="H56" s="1">
        <v>46023</v>
      </c>
      <c r="I56" t="s">
        <v>641</v>
      </c>
      <c r="J56" s="2">
        <v>353</v>
      </c>
      <c r="K56" t="s">
        <v>667</v>
      </c>
      <c r="L56" t="s">
        <v>671</v>
      </c>
      <c r="M56"/>
      <c r="N56"/>
      <c r="O56"/>
    </row>
    <row r="57" spans="1:15" s="3" customFormat="1" x14ac:dyDescent="0.25">
      <c r="A57" t="s">
        <v>11</v>
      </c>
      <c r="B57" t="s">
        <v>680</v>
      </c>
      <c r="C57" t="s">
        <v>521</v>
      </c>
      <c r="D57" t="s">
        <v>519</v>
      </c>
      <c r="E57" t="str">
        <f t="shared" si="0"/>
        <v>Lynnette Steinmetz</v>
      </c>
      <c r="F57">
        <v>64450</v>
      </c>
      <c r="G57" s="6" t="str">
        <f>CONCATENATE(F57,55)</f>
        <v>6445055</v>
      </c>
      <c r="H57" s="1">
        <v>46023</v>
      </c>
      <c r="I57" t="s">
        <v>641</v>
      </c>
      <c r="J57" s="2">
        <v>353</v>
      </c>
      <c r="K57" t="s">
        <v>667</v>
      </c>
      <c r="L57" t="s">
        <v>671</v>
      </c>
      <c r="M57"/>
      <c r="N57"/>
      <c r="O57"/>
    </row>
    <row r="58" spans="1:15" s="3" customFormat="1" x14ac:dyDescent="0.25">
      <c r="A58" t="s">
        <v>11</v>
      </c>
      <c r="B58" t="s">
        <v>680</v>
      </c>
      <c r="C58" t="s">
        <v>273</v>
      </c>
      <c r="D58" t="s">
        <v>519</v>
      </c>
      <c r="E58" t="str">
        <f t="shared" si="0"/>
        <v>Raymond Steinmetz</v>
      </c>
      <c r="F58">
        <v>64290</v>
      </c>
      <c r="G58" s="6" t="str">
        <f>CONCATENATE(F58,55)</f>
        <v>6429055</v>
      </c>
      <c r="H58" s="1">
        <v>46023</v>
      </c>
      <c r="I58" t="s">
        <v>641</v>
      </c>
      <c r="J58" s="2">
        <v>353</v>
      </c>
      <c r="K58" t="s">
        <v>667</v>
      </c>
      <c r="L58" t="s">
        <v>671</v>
      </c>
      <c r="M58"/>
      <c r="N58"/>
      <c r="O58"/>
    </row>
    <row r="59" spans="1:15" s="3" customFormat="1" x14ac:dyDescent="0.25">
      <c r="A59" t="s">
        <v>11</v>
      </c>
      <c r="B59" t="s">
        <v>680</v>
      </c>
      <c r="C59" t="s">
        <v>209</v>
      </c>
      <c r="D59" t="s">
        <v>210</v>
      </c>
      <c r="E59" t="str">
        <f t="shared" si="0"/>
        <v>Roseanne Szybka</v>
      </c>
      <c r="F59">
        <v>9830</v>
      </c>
      <c r="G59" s="6" t="str">
        <f>CONCATENATE(F59,55)</f>
        <v>983055</v>
      </c>
      <c r="H59" s="1">
        <v>46023</v>
      </c>
      <c r="I59" t="s">
        <v>641</v>
      </c>
      <c r="J59" s="2">
        <v>353</v>
      </c>
      <c r="K59" t="s">
        <v>667</v>
      </c>
      <c r="L59" t="s">
        <v>671</v>
      </c>
      <c r="M59"/>
      <c r="N59"/>
      <c r="O59"/>
    </row>
    <row r="60" spans="1:15" s="3" customFormat="1" x14ac:dyDescent="0.25">
      <c r="A60" t="s">
        <v>11</v>
      </c>
      <c r="B60" t="s">
        <v>680</v>
      </c>
      <c r="C60" t="s">
        <v>12</v>
      </c>
      <c r="D60" t="s">
        <v>13</v>
      </c>
      <c r="E60" t="str">
        <f t="shared" si="0"/>
        <v>Karen Torre</v>
      </c>
      <c r="F60">
        <v>36920</v>
      </c>
      <c r="G60" s="6" t="str">
        <f>CONCATENATE(F60,55)</f>
        <v>3692055</v>
      </c>
      <c r="H60" s="1">
        <v>46023</v>
      </c>
      <c r="I60" t="s">
        <v>641</v>
      </c>
      <c r="J60" s="2">
        <v>353</v>
      </c>
      <c r="K60" t="s">
        <v>667</v>
      </c>
      <c r="L60" t="s">
        <v>671</v>
      </c>
      <c r="M60"/>
      <c r="N60"/>
      <c r="O60"/>
    </row>
    <row r="61" spans="1:15" s="3" customFormat="1" x14ac:dyDescent="0.25">
      <c r="A61" t="s">
        <v>11</v>
      </c>
      <c r="B61" t="s">
        <v>680</v>
      </c>
      <c r="C61" t="s">
        <v>215</v>
      </c>
      <c r="D61" t="s">
        <v>216</v>
      </c>
      <c r="E61" t="str">
        <f t="shared" si="0"/>
        <v>Deborah Vadas</v>
      </c>
      <c r="F61">
        <v>97490</v>
      </c>
      <c r="G61" s="6" t="str">
        <f>CONCATENATE(F61,55)</f>
        <v>9749055</v>
      </c>
      <c r="H61" s="1">
        <v>46023</v>
      </c>
      <c r="I61" t="s">
        <v>641</v>
      </c>
      <c r="J61" s="2">
        <v>353</v>
      </c>
      <c r="K61" t="s">
        <v>667</v>
      </c>
      <c r="L61" t="s">
        <v>671</v>
      </c>
      <c r="M61"/>
      <c r="N61"/>
      <c r="O61"/>
    </row>
    <row r="62" spans="1:15" s="3" customFormat="1" x14ac:dyDescent="0.25">
      <c r="A62" t="s">
        <v>11</v>
      </c>
      <c r="B62" t="s">
        <v>680</v>
      </c>
      <c r="C62" t="s">
        <v>369</v>
      </c>
      <c r="D62" t="s">
        <v>370</v>
      </c>
      <c r="E62" t="str">
        <f t="shared" si="0"/>
        <v>Joann Homer</v>
      </c>
      <c r="F62">
        <v>61770</v>
      </c>
      <c r="G62" s="6" t="str">
        <f>CONCATENATE(F62,55)</f>
        <v>6177055</v>
      </c>
      <c r="H62" s="1">
        <v>45901</v>
      </c>
      <c r="I62" t="s">
        <v>641</v>
      </c>
      <c r="J62" s="2">
        <v>353</v>
      </c>
      <c r="K62" t="s">
        <v>667</v>
      </c>
      <c r="L62" t="s">
        <v>671</v>
      </c>
      <c r="M62"/>
      <c r="N62"/>
      <c r="O62"/>
    </row>
    <row r="63" spans="1:15" s="3" customFormat="1" x14ac:dyDescent="0.25">
      <c r="A63" t="s">
        <v>11</v>
      </c>
      <c r="B63" t="s">
        <v>680</v>
      </c>
      <c r="C63" t="s">
        <v>390</v>
      </c>
      <c r="D63" t="s">
        <v>391</v>
      </c>
      <c r="E63" t="str">
        <f t="shared" si="0"/>
        <v>Candice Sainato</v>
      </c>
      <c r="F63">
        <v>20230</v>
      </c>
      <c r="G63" s="6" t="str">
        <f>CONCATENATE(F63,55)</f>
        <v>2023055</v>
      </c>
      <c r="H63" s="1">
        <v>45901</v>
      </c>
      <c r="I63" t="s">
        <v>641</v>
      </c>
      <c r="J63" s="2">
        <v>353</v>
      </c>
      <c r="K63" t="s">
        <v>667</v>
      </c>
      <c r="L63" t="s">
        <v>671</v>
      </c>
      <c r="M63"/>
      <c r="N63"/>
      <c r="O63"/>
    </row>
    <row r="64" spans="1:15" s="3" customFormat="1" x14ac:dyDescent="0.25">
      <c r="A64" t="s">
        <v>11</v>
      </c>
      <c r="B64" t="s">
        <v>680</v>
      </c>
      <c r="C64" t="s">
        <v>496</v>
      </c>
      <c r="D64" t="s">
        <v>497</v>
      </c>
      <c r="E64" t="str">
        <f t="shared" si="0"/>
        <v>Barry Zielinski</v>
      </c>
      <c r="F64">
        <v>37270</v>
      </c>
      <c r="G64" s="6" t="str">
        <f>CONCATENATE(F64,55)</f>
        <v>3727055</v>
      </c>
      <c r="H64" s="1">
        <v>45870</v>
      </c>
      <c r="I64" t="s">
        <v>641</v>
      </c>
      <c r="J64" s="2">
        <v>353</v>
      </c>
      <c r="K64" t="s">
        <v>667</v>
      </c>
      <c r="L64" t="s">
        <v>671</v>
      </c>
      <c r="M64"/>
      <c r="N64"/>
      <c r="O64"/>
    </row>
    <row r="65" spans="1:15" s="3" customFormat="1" x14ac:dyDescent="0.25">
      <c r="A65" t="s">
        <v>11</v>
      </c>
      <c r="B65" t="s">
        <v>680</v>
      </c>
      <c r="C65" t="s">
        <v>187</v>
      </c>
      <c r="D65" t="s">
        <v>188</v>
      </c>
      <c r="E65" t="str">
        <f t="shared" si="0"/>
        <v>Christine Peters</v>
      </c>
      <c r="F65">
        <v>42290</v>
      </c>
      <c r="G65" s="6" t="str">
        <f>CONCATENATE(F65,55)</f>
        <v>4229055</v>
      </c>
      <c r="H65" s="1">
        <v>45839</v>
      </c>
      <c r="I65" t="s">
        <v>641</v>
      </c>
      <c r="J65" s="2">
        <v>353</v>
      </c>
      <c r="K65" t="s">
        <v>667</v>
      </c>
      <c r="L65" t="s">
        <v>671</v>
      </c>
      <c r="M65"/>
      <c r="N65"/>
      <c r="O65"/>
    </row>
    <row r="66" spans="1:15" s="3" customFormat="1" x14ac:dyDescent="0.25">
      <c r="A66" t="s">
        <v>11</v>
      </c>
      <c r="B66" t="s">
        <v>680</v>
      </c>
      <c r="C66" t="s">
        <v>494</v>
      </c>
      <c r="D66" t="s">
        <v>188</v>
      </c>
      <c r="E66" t="str">
        <f t="shared" si="0"/>
        <v>Glenn Peters</v>
      </c>
      <c r="F66">
        <v>86210</v>
      </c>
      <c r="G66" s="6" t="str">
        <f>CONCATENATE(F66,55)</f>
        <v>8621055</v>
      </c>
      <c r="H66" s="1">
        <v>45839</v>
      </c>
      <c r="I66" t="s">
        <v>641</v>
      </c>
      <c r="J66" s="2">
        <v>353</v>
      </c>
      <c r="K66" t="s">
        <v>667</v>
      </c>
      <c r="L66" t="s">
        <v>671</v>
      </c>
      <c r="M66"/>
      <c r="N66"/>
      <c r="O66"/>
    </row>
    <row r="67" spans="1:15" s="3" customFormat="1" x14ac:dyDescent="0.25">
      <c r="A67" t="s">
        <v>11</v>
      </c>
      <c r="B67" t="s">
        <v>680</v>
      </c>
      <c r="C67" t="s">
        <v>190</v>
      </c>
      <c r="D67" t="s">
        <v>191</v>
      </c>
      <c r="E67" t="str">
        <f t="shared" ref="E67:E130" si="1">CONCATENATE(C67," ",D67)</f>
        <v>James Miller</v>
      </c>
      <c r="F67">
        <v>77520</v>
      </c>
      <c r="G67" s="6" t="str">
        <f>CONCATENATE(F67,55)</f>
        <v>7752055</v>
      </c>
      <c r="H67" s="1">
        <v>45809</v>
      </c>
      <c r="I67" t="s">
        <v>641</v>
      </c>
      <c r="J67" s="2">
        <v>353</v>
      </c>
      <c r="K67" t="s">
        <v>667</v>
      </c>
      <c r="L67" t="s">
        <v>671</v>
      </c>
      <c r="M67"/>
      <c r="N67"/>
      <c r="O67"/>
    </row>
    <row r="68" spans="1:15" s="3" customFormat="1" x14ac:dyDescent="0.25">
      <c r="A68" t="s">
        <v>11</v>
      </c>
      <c r="B68" t="s">
        <v>680</v>
      </c>
      <c r="C68" t="s">
        <v>491</v>
      </c>
      <c r="D68" t="s">
        <v>355</v>
      </c>
      <c r="E68" t="str">
        <f t="shared" si="1"/>
        <v>Maryelizabeth Pachasa</v>
      </c>
      <c r="F68">
        <v>45350</v>
      </c>
      <c r="G68" s="6" t="str">
        <f>CONCATENATE(F68,55)</f>
        <v>4535055</v>
      </c>
      <c r="H68" s="1">
        <v>45809</v>
      </c>
      <c r="I68" t="s">
        <v>641</v>
      </c>
      <c r="J68" s="2">
        <v>353</v>
      </c>
      <c r="K68" t="s">
        <v>667</v>
      </c>
      <c r="L68" t="s">
        <v>671</v>
      </c>
      <c r="M68"/>
      <c r="N68"/>
      <c r="O68"/>
    </row>
    <row r="69" spans="1:15" s="3" customFormat="1" x14ac:dyDescent="0.25">
      <c r="A69" t="s">
        <v>11</v>
      </c>
      <c r="B69" t="s">
        <v>680</v>
      </c>
      <c r="C69" t="s">
        <v>463</v>
      </c>
      <c r="D69" t="s">
        <v>271</v>
      </c>
      <c r="E69" t="str">
        <f t="shared" si="1"/>
        <v>Elizabeth Shook</v>
      </c>
      <c r="F69">
        <v>68620</v>
      </c>
      <c r="G69" s="6" t="str">
        <f>CONCATENATE(F69,55)</f>
        <v>6862055</v>
      </c>
      <c r="H69" s="1">
        <v>45809</v>
      </c>
      <c r="I69" t="s">
        <v>641</v>
      </c>
      <c r="J69" s="2">
        <v>353</v>
      </c>
      <c r="K69" t="s">
        <v>667</v>
      </c>
      <c r="L69" t="s">
        <v>671</v>
      </c>
      <c r="M69"/>
      <c r="N69"/>
      <c r="O69"/>
    </row>
    <row r="70" spans="1:15" s="3" customFormat="1" x14ac:dyDescent="0.25">
      <c r="A70" t="s">
        <v>11</v>
      </c>
      <c r="B70" t="s">
        <v>680</v>
      </c>
      <c r="C70" t="s">
        <v>64</v>
      </c>
      <c r="D70" t="s">
        <v>411</v>
      </c>
      <c r="E70" t="str">
        <f t="shared" si="1"/>
        <v>Barbara Contenta</v>
      </c>
      <c r="F70">
        <v>24560</v>
      </c>
      <c r="G70" s="6" t="str">
        <f>CONCATENATE(F70,55)</f>
        <v>2456055</v>
      </c>
      <c r="H70" s="1">
        <v>45748</v>
      </c>
      <c r="I70" t="s">
        <v>641</v>
      </c>
      <c r="J70" s="2">
        <v>353</v>
      </c>
      <c r="K70" t="s">
        <v>667</v>
      </c>
      <c r="L70" t="s">
        <v>671</v>
      </c>
      <c r="M70"/>
      <c r="N70"/>
      <c r="O70"/>
    </row>
    <row r="71" spans="1:15" s="3" customFormat="1" x14ac:dyDescent="0.25">
      <c r="A71" t="s">
        <v>11</v>
      </c>
      <c r="B71" t="s">
        <v>680</v>
      </c>
      <c r="C71" t="s">
        <v>525</v>
      </c>
      <c r="D71" t="s">
        <v>273</v>
      </c>
      <c r="E71" t="str">
        <f t="shared" si="1"/>
        <v>Angeline Raymond</v>
      </c>
      <c r="F71">
        <v>33630</v>
      </c>
      <c r="G71" s="6" t="str">
        <f>CONCATENATE(F71,55)</f>
        <v>3363055</v>
      </c>
      <c r="H71" s="1">
        <v>45748</v>
      </c>
      <c r="I71" t="s">
        <v>641</v>
      </c>
      <c r="J71" s="2">
        <v>353</v>
      </c>
      <c r="K71" t="s">
        <v>667</v>
      </c>
      <c r="L71" t="s">
        <v>671</v>
      </c>
      <c r="M71"/>
      <c r="N71"/>
      <c r="O71"/>
    </row>
    <row r="72" spans="1:15" s="3" customFormat="1" x14ac:dyDescent="0.25">
      <c r="A72" t="s">
        <v>11</v>
      </c>
      <c r="B72" t="s">
        <v>680</v>
      </c>
      <c r="C72" t="s">
        <v>190</v>
      </c>
      <c r="D72" t="s">
        <v>271</v>
      </c>
      <c r="E72" t="str">
        <f t="shared" si="1"/>
        <v>James Shook</v>
      </c>
      <c r="F72">
        <v>39880</v>
      </c>
      <c r="G72" s="6" t="str">
        <f>CONCATENATE(F72,55)</f>
        <v>3988055</v>
      </c>
      <c r="H72" s="1">
        <v>45748</v>
      </c>
      <c r="I72" t="s">
        <v>641</v>
      </c>
      <c r="J72" s="2">
        <v>353</v>
      </c>
      <c r="K72" t="s">
        <v>667</v>
      </c>
      <c r="L72" t="s">
        <v>671</v>
      </c>
      <c r="M72"/>
      <c r="N72"/>
      <c r="O72"/>
    </row>
    <row r="73" spans="1:15" s="3" customFormat="1" x14ac:dyDescent="0.25">
      <c r="A73" t="s">
        <v>11</v>
      </c>
      <c r="B73" t="s">
        <v>680</v>
      </c>
      <c r="C73" t="s">
        <v>244</v>
      </c>
      <c r="D73" t="s">
        <v>245</v>
      </c>
      <c r="E73" t="str">
        <f t="shared" si="1"/>
        <v>Cheryl Johnson</v>
      </c>
      <c r="F73">
        <v>52740</v>
      </c>
      <c r="G73" s="6" t="str">
        <f>CONCATENATE(F73,55)</f>
        <v>5274055</v>
      </c>
      <c r="H73" s="1">
        <v>45717</v>
      </c>
      <c r="I73" t="s">
        <v>641</v>
      </c>
      <c r="J73" s="2">
        <v>353</v>
      </c>
      <c r="K73" t="s">
        <v>667</v>
      </c>
      <c r="L73" t="s">
        <v>671</v>
      </c>
      <c r="M73"/>
      <c r="N73"/>
      <c r="O73"/>
    </row>
    <row r="74" spans="1:15" s="3" customFormat="1" x14ac:dyDescent="0.25">
      <c r="A74" t="s">
        <v>11</v>
      </c>
      <c r="B74">
        <v>17528908</v>
      </c>
      <c r="C74" t="s">
        <v>479</v>
      </c>
      <c r="D74" t="s">
        <v>253</v>
      </c>
      <c r="E74" t="str">
        <f t="shared" si="1"/>
        <v>Carl Bolton</v>
      </c>
      <c r="F74">
        <v>13270</v>
      </c>
      <c r="G74" s="6" t="str">
        <f>CONCATENATE(F74,55)</f>
        <v>1327055</v>
      </c>
      <c r="H74" s="1">
        <v>45658</v>
      </c>
      <c r="I74" t="s">
        <v>641</v>
      </c>
      <c r="J74" s="2">
        <v>353</v>
      </c>
      <c r="K74" t="s">
        <v>667</v>
      </c>
      <c r="L74" t="s">
        <v>671</v>
      </c>
      <c r="M74"/>
      <c r="N74"/>
      <c r="O74"/>
    </row>
    <row r="75" spans="1:15" s="3" customFormat="1" x14ac:dyDescent="0.25">
      <c r="A75" t="s">
        <v>11</v>
      </c>
      <c r="B75">
        <v>17528908</v>
      </c>
      <c r="C75" t="s">
        <v>252</v>
      </c>
      <c r="D75" t="s">
        <v>253</v>
      </c>
      <c r="E75" t="str">
        <f t="shared" si="1"/>
        <v>Ellen Bolton</v>
      </c>
      <c r="F75">
        <v>25400</v>
      </c>
      <c r="G75" s="6" t="str">
        <f>CONCATENATE(F75,55)</f>
        <v>2540055</v>
      </c>
      <c r="H75" s="1">
        <v>45658</v>
      </c>
      <c r="I75" t="s">
        <v>641</v>
      </c>
      <c r="J75" s="2">
        <v>353</v>
      </c>
      <c r="K75" t="s">
        <v>667</v>
      </c>
      <c r="L75" t="s">
        <v>671</v>
      </c>
      <c r="M75"/>
      <c r="N75"/>
      <c r="O75"/>
    </row>
    <row r="76" spans="1:15" s="3" customFormat="1" x14ac:dyDescent="0.25">
      <c r="A76" t="s">
        <v>11</v>
      </c>
      <c r="B76">
        <v>17528908</v>
      </c>
      <c r="C76" t="s">
        <v>321</v>
      </c>
      <c r="D76" t="s">
        <v>322</v>
      </c>
      <c r="E76" t="str">
        <f t="shared" si="1"/>
        <v>Josephine Stempkowski</v>
      </c>
      <c r="F76">
        <v>83370</v>
      </c>
      <c r="G76" s="6" t="str">
        <f>CONCATENATE(F76,55)</f>
        <v>8337055</v>
      </c>
      <c r="H76" s="1">
        <v>45658</v>
      </c>
      <c r="I76" t="s">
        <v>641</v>
      </c>
      <c r="J76" s="2">
        <v>353</v>
      </c>
      <c r="K76" t="s">
        <v>667</v>
      </c>
      <c r="L76" t="s">
        <v>671</v>
      </c>
      <c r="M76"/>
      <c r="N76"/>
      <c r="O76"/>
    </row>
    <row r="77" spans="1:15" s="3" customFormat="1" x14ac:dyDescent="0.25">
      <c r="A77" t="s">
        <v>11</v>
      </c>
      <c r="B77">
        <v>17528908</v>
      </c>
      <c r="C77" t="s">
        <v>340</v>
      </c>
      <c r="D77" t="s">
        <v>341</v>
      </c>
      <c r="E77" t="str">
        <f t="shared" si="1"/>
        <v>Mary Ayres</v>
      </c>
      <c r="F77">
        <v>40980</v>
      </c>
      <c r="G77" s="6" t="str">
        <f>CONCATENATE(F77,55)</f>
        <v>4098055</v>
      </c>
      <c r="H77" s="1">
        <v>45658</v>
      </c>
      <c r="I77" t="s">
        <v>641</v>
      </c>
      <c r="J77" s="2">
        <v>353</v>
      </c>
      <c r="K77" t="s">
        <v>667</v>
      </c>
      <c r="L77" t="s">
        <v>671</v>
      </c>
      <c r="M77"/>
      <c r="N77"/>
      <c r="O77"/>
    </row>
    <row r="78" spans="1:15" s="3" customFormat="1" x14ac:dyDescent="0.25">
      <c r="A78" t="s">
        <v>11</v>
      </c>
      <c r="B78">
        <v>17528908</v>
      </c>
      <c r="C78" t="s">
        <v>64</v>
      </c>
      <c r="D78" t="s">
        <v>468</v>
      </c>
      <c r="E78" t="str">
        <f t="shared" si="1"/>
        <v>Barbara Burg</v>
      </c>
      <c r="F78">
        <v>36720</v>
      </c>
      <c r="G78" s="6" t="str">
        <f>CONCATENATE(F78,55)</f>
        <v>3672055</v>
      </c>
      <c r="H78" s="1">
        <v>45658</v>
      </c>
      <c r="I78" t="s">
        <v>641</v>
      </c>
      <c r="J78" s="2">
        <v>353</v>
      </c>
      <c r="K78" t="s">
        <v>667</v>
      </c>
      <c r="L78" t="s">
        <v>671</v>
      </c>
      <c r="M78"/>
      <c r="N78"/>
      <c r="O78"/>
    </row>
    <row r="79" spans="1:15" s="3" customFormat="1" x14ac:dyDescent="0.25">
      <c r="A79" t="s">
        <v>11</v>
      </c>
      <c r="B79">
        <v>17528908</v>
      </c>
      <c r="C79" t="s">
        <v>466</v>
      </c>
      <c r="D79" t="s">
        <v>300</v>
      </c>
      <c r="E79" t="str">
        <f t="shared" si="1"/>
        <v>Marcia Clarke</v>
      </c>
      <c r="F79">
        <v>81980</v>
      </c>
      <c r="G79" s="6" t="str">
        <f>CONCATENATE(F79,55)</f>
        <v>8198055</v>
      </c>
      <c r="H79" s="1">
        <v>45658</v>
      </c>
      <c r="I79" t="s">
        <v>641</v>
      </c>
      <c r="J79" s="2">
        <v>353</v>
      </c>
      <c r="K79" t="s">
        <v>667</v>
      </c>
      <c r="L79" t="s">
        <v>671</v>
      </c>
      <c r="M79"/>
      <c r="N79"/>
      <c r="O79"/>
    </row>
    <row r="80" spans="1:15" s="3" customFormat="1" x14ac:dyDescent="0.25">
      <c r="A80" t="s">
        <v>11</v>
      </c>
      <c r="B80">
        <v>17528908</v>
      </c>
      <c r="C80" t="s">
        <v>299</v>
      </c>
      <c r="D80" t="s">
        <v>300</v>
      </c>
      <c r="E80" t="str">
        <f t="shared" si="1"/>
        <v>William Clarke</v>
      </c>
      <c r="F80">
        <v>59260</v>
      </c>
      <c r="G80" s="6" t="str">
        <f>CONCATENATE(F80,55)</f>
        <v>5926055</v>
      </c>
      <c r="H80" s="1">
        <v>45658</v>
      </c>
      <c r="I80" t="s">
        <v>641</v>
      </c>
      <c r="J80" s="2">
        <v>353</v>
      </c>
      <c r="K80" t="s">
        <v>667</v>
      </c>
      <c r="L80" t="s">
        <v>671</v>
      </c>
      <c r="M80"/>
      <c r="N80"/>
      <c r="O80"/>
    </row>
    <row r="81" spans="1:15" s="3" customFormat="1" x14ac:dyDescent="0.25">
      <c r="A81" t="s">
        <v>11</v>
      </c>
      <c r="B81">
        <v>17528908</v>
      </c>
      <c r="C81" t="s">
        <v>128</v>
      </c>
      <c r="D81" t="s">
        <v>280</v>
      </c>
      <c r="E81" t="str">
        <f t="shared" si="1"/>
        <v>John Horvath</v>
      </c>
      <c r="F81">
        <v>7050</v>
      </c>
      <c r="G81" s="6" t="str">
        <f>CONCATENATE(F81,55)</f>
        <v>705055</v>
      </c>
      <c r="H81" s="1">
        <v>45658</v>
      </c>
      <c r="I81" t="s">
        <v>641</v>
      </c>
      <c r="J81" s="2">
        <v>353</v>
      </c>
      <c r="K81" t="s">
        <v>667</v>
      </c>
      <c r="L81" t="s">
        <v>671</v>
      </c>
      <c r="M81"/>
      <c r="N81"/>
      <c r="O81"/>
    </row>
    <row r="82" spans="1:15" s="3" customFormat="1" x14ac:dyDescent="0.25">
      <c r="A82" t="s">
        <v>11</v>
      </c>
      <c r="B82">
        <v>17528908</v>
      </c>
      <c r="C82" t="s">
        <v>279</v>
      </c>
      <c r="D82" t="s">
        <v>280</v>
      </c>
      <c r="E82" t="str">
        <f t="shared" si="1"/>
        <v>Sheila Horvath</v>
      </c>
      <c r="F82">
        <v>99140</v>
      </c>
      <c r="G82" s="6" t="str">
        <f>CONCATENATE(F82,55)</f>
        <v>9914055</v>
      </c>
      <c r="H82" s="1">
        <v>45658</v>
      </c>
      <c r="I82" t="s">
        <v>641</v>
      </c>
      <c r="J82" s="2">
        <v>353</v>
      </c>
      <c r="K82" t="s">
        <v>667</v>
      </c>
      <c r="L82" t="s">
        <v>671</v>
      </c>
      <c r="M82"/>
      <c r="N82"/>
      <c r="O82"/>
    </row>
    <row r="83" spans="1:15" s="3" customFormat="1" x14ac:dyDescent="0.25">
      <c r="A83" t="s">
        <v>11</v>
      </c>
      <c r="B83">
        <v>17528908</v>
      </c>
      <c r="C83" t="s">
        <v>20</v>
      </c>
      <c r="D83" t="s">
        <v>21</v>
      </c>
      <c r="E83" t="str">
        <f t="shared" si="1"/>
        <v>Eric Hunker</v>
      </c>
      <c r="F83">
        <v>29430</v>
      </c>
      <c r="G83" s="6" t="str">
        <f>CONCATENATE(F83,55)</f>
        <v>2943055</v>
      </c>
      <c r="H83" s="1">
        <v>45658</v>
      </c>
      <c r="I83" t="s">
        <v>641</v>
      </c>
      <c r="J83" s="2">
        <v>353</v>
      </c>
      <c r="K83" t="s">
        <v>667</v>
      </c>
      <c r="L83" t="s">
        <v>671</v>
      </c>
      <c r="M83"/>
      <c r="N83"/>
      <c r="O83"/>
    </row>
    <row r="84" spans="1:15" s="3" customFormat="1" x14ac:dyDescent="0.25">
      <c r="A84" t="s">
        <v>11</v>
      </c>
      <c r="B84">
        <v>17528908</v>
      </c>
      <c r="C84" t="s">
        <v>193</v>
      </c>
      <c r="D84" t="s">
        <v>274</v>
      </c>
      <c r="E84" t="str">
        <f t="shared" si="1"/>
        <v>Nancy Martin</v>
      </c>
      <c r="F84">
        <v>75180</v>
      </c>
      <c r="G84" s="6" t="str">
        <f>CONCATENATE(F84,55)</f>
        <v>7518055</v>
      </c>
      <c r="H84" s="1">
        <v>45658</v>
      </c>
      <c r="I84" t="s">
        <v>641</v>
      </c>
      <c r="J84" s="2">
        <v>353</v>
      </c>
      <c r="K84" t="s">
        <v>667</v>
      </c>
      <c r="L84" t="s">
        <v>671</v>
      </c>
      <c r="M84"/>
      <c r="N84"/>
      <c r="O84"/>
    </row>
    <row r="85" spans="1:15" s="3" customFormat="1" x14ac:dyDescent="0.25">
      <c r="A85" t="s">
        <v>11</v>
      </c>
      <c r="B85">
        <v>17528908</v>
      </c>
      <c r="C85" t="s">
        <v>273</v>
      </c>
      <c r="D85" t="s">
        <v>274</v>
      </c>
      <c r="E85" t="str">
        <f t="shared" si="1"/>
        <v>Raymond Martin</v>
      </c>
      <c r="F85">
        <v>9110</v>
      </c>
      <c r="G85" s="6" t="str">
        <f>CONCATENATE(F85,55)</f>
        <v>911055</v>
      </c>
      <c r="H85" s="1">
        <v>45658</v>
      </c>
      <c r="I85" t="s">
        <v>641</v>
      </c>
      <c r="J85" s="2">
        <v>353</v>
      </c>
      <c r="K85" t="s">
        <v>667</v>
      </c>
      <c r="L85" t="s">
        <v>671</v>
      </c>
      <c r="M85"/>
      <c r="N85"/>
      <c r="O85"/>
    </row>
    <row r="86" spans="1:15" s="3" customFormat="1" x14ac:dyDescent="0.25">
      <c r="A86" t="s">
        <v>11</v>
      </c>
      <c r="B86">
        <v>17528908</v>
      </c>
      <c r="C86" t="s">
        <v>43</v>
      </c>
      <c r="D86" t="s">
        <v>477</v>
      </c>
      <c r="E86" t="str">
        <f t="shared" si="1"/>
        <v>Lisa Phillips</v>
      </c>
      <c r="F86">
        <v>10250</v>
      </c>
      <c r="G86" s="6" t="str">
        <f>CONCATENATE(F86,55)</f>
        <v>1025055</v>
      </c>
      <c r="H86" s="1">
        <v>45658</v>
      </c>
      <c r="I86" t="s">
        <v>641</v>
      </c>
      <c r="J86" s="2">
        <v>353</v>
      </c>
      <c r="K86" t="s">
        <v>667</v>
      </c>
      <c r="L86" t="s">
        <v>671</v>
      </c>
      <c r="M86"/>
      <c r="N86"/>
      <c r="O86"/>
    </row>
    <row r="87" spans="1:15" s="3" customFormat="1" x14ac:dyDescent="0.25">
      <c r="A87" t="s">
        <v>11</v>
      </c>
      <c r="B87">
        <v>17528908</v>
      </c>
      <c r="C87" t="s">
        <v>190</v>
      </c>
      <c r="D87" t="s">
        <v>201</v>
      </c>
      <c r="E87" t="str">
        <f t="shared" si="1"/>
        <v>James Ripple</v>
      </c>
      <c r="F87">
        <v>78490</v>
      </c>
      <c r="G87" s="6" t="str">
        <f>CONCATENATE(F87,55)</f>
        <v>7849055</v>
      </c>
      <c r="H87" s="1">
        <v>45658</v>
      </c>
      <c r="I87" t="s">
        <v>641</v>
      </c>
      <c r="J87" s="2">
        <v>353</v>
      </c>
      <c r="K87" t="s">
        <v>667</v>
      </c>
      <c r="L87" t="s">
        <v>671</v>
      </c>
      <c r="M87"/>
      <c r="N87"/>
      <c r="O87"/>
    </row>
    <row r="88" spans="1:15" s="3" customFormat="1" x14ac:dyDescent="0.25">
      <c r="A88" t="s">
        <v>11</v>
      </c>
      <c r="B88">
        <v>17528908</v>
      </c>
      <c r="C88" t="s">
        <v>61</v>
      </c>
      <c r="D88" t="s">
        <v>201</v>
      </c>
      <c r="E88" t="str">
        <f t="shared" si="1"/>
        <v>Patricia Ripple</v>
      </c>
      <c r="F88">
        <v>87650</v>
      </c>
      <c r="G88" s="6" t="str">
        <f>CONCATENATE(F88,55)</f>
        <v>8765055</v>
      </c>
      <c r="H88" s="1">
        <v>45658</v>
      </c>
      <c r="I88" t="s">
        <v>641</v>
      </c>
      <c r="J88" s="2">
        <v>353</v>
      </c>
      <c r="K88" t="s">
        <v>667</v>
      </c>
      <c r="L88" t="s">
        <v>671</v>
      </c>
      <c r="M88"/>
      <c r="N88"/>
      <c r="O88"/>
    </row>
    <row r="89" spans="1:15" s="3" customFormat="1" x14ac:dyDescent="0.25">
      <c r="A89" t="s">
        <v>11</v>
      </c>
      <c r="B89">
        <v>17528908</v>
      </c>
      <c r="C89" t="s">
        <v>215</v>
      </c>
      <c r="D89" t="s">
        <v>475</v>
      </c>
      <c r="E89" t="str">
        <f t="shared" si="1"/>
        <v>Deborah Rugg</v>
      </c>
      <c r="F89">
        <v>62570</v>
      </c>
      <c r="G89" s="6" t="str">
        <f>CONCATENATE(F89,55)</f>
        <v>6257055</v>
      </c>
      <c r="H89" s="1">
        <v>45658</v>
      </c>
      <c r="I89" t="s">
        <v>641</v>
      </c>
      <c r="J89" s="2">
        <v>353</v>
      </c>
      <c r="K89" t="s">
        <v>667</v>
      </c>
      <c r="L89" t="s">
        <v>671</v>
      </c>
      <c r="M89"/>
      <c r="N89"/>
      <c r="O89"/>
    </row>
    <row r="90" spans="1:15" s="3" customFormat="1" x14ac:dyDescent="0.25">
      <c r="A90" t="s">
        <v>11</v>
      </c>
      <c r="B90">
        <v>17528908</v>
      </c>
      <c r="C90" t="s">
        <v>31</v>
      </c>
      <c r="D90" t="s">
        <v>338</v>
      </c>
      <c r="E90" t="str">
        <f t="shared" si="1"/>
        <v>Donald Lennon</v>
      </c>
      <c r="F90">
        <v>67310</v>
      </c>
      <c r="G90" s="6" t="str">
        <f>CONCATENATE(F90,55)</f>
        <v>6731055</v>
      </c>
      <c r="H90" s="1">
        <v>45505</v>
      </c>
      <c r="I90" t="s">
        <v>641</v>
      </c>
      <c r="J90" s="2">
        <v>353</v>
      </c>
      <c r="K90" t="s">
        <v>667</v>
      </c>
      <c r="L90" t="s">
        <v>671</v>
      </c>
      <c r="M90"/>
      <c r="N90"/>
      <c r="O90"/>
    </row>
    <row r="91" spans="1:15" s="3" customFormat="1" x14ac:dyDescent="0.25">
      <c r="A91" t="s">
        <v>11</v>
      </c>
      <c r="B91">
        <v>17528908</v>
      </c>
      <c r="C91" t="s">
        <v>114</v>
      </c>
      <c r="D91" t="s">
        <v>315</v>
      </c>
      <c r="E91" t="str">
        <f t="shared" si="1"/>
        <v>Daniel Reeder</v>
      </c>
      <c r="F91">
        <v>4530</v>
      </c>
      <c r="G91" s="6" t="str">
        <f>CONCATENATE(F91,55)</f>
        <v>453055</v>
      </c>
      <c r="H91" s="1">
        <v>45505</v>
      </c>
      <c r="I91" t="s">
        <v>641</v>
      </c>
      <c r="J91" s="2">
        <v>353</v>
      </c>
      <c r="K91" t="s">
        <v>667</v>
      </c>
      <c r="L91" t="s">
        <v>671</v>
      </c>
      <c r="M91"/>
      <c r="N91"/>
      <c r="O91"/>
    </row>
    <row r="92" spans="1:15" s="3" customFormat="1" x14ac:dyDescent="0.25">
      <c r="A92" t="s">
        <v>11</v>
      </c>
      <c r="B92">
        <v>17528908</v>
      </c>
      <c r="C92" t="s">
        <v>117</v>
      </c>
      <c r="D92" t="s">
        <v>225</v>
      </c>
      <c r="E92" t="str">
        <f t="shared" si="1"/>
        <v>Michael Steele</v>
      </c>
      <c r="F92">
        <v>23230</v>
      </c>
      <c r="G92" s="6" t="str">
        <f>CONCATENATE(F92,55)</f>
        <v>2323055</v>
      </c>
      <c r="H92" s="1">
        <v>45505</v>
      </c>
      <c r="I92" t="s">
        <v>641</v>
      </c>
      <c r="J92" s="2">
        <v>353</v>
      </c>
      <c r="K92" t="s">
        <v>667</v>
      </c>
      <c r="L92" t="s">
        <v>671</v>
      </c>
      <c r="M92"/>
      <c r="N92"/>
      <c r="O92"/>
    </row>
    <row r="93" spans="1:15" s="3" customFormat="1" x14ac:dyDescent="0.25">
      <c r="A93" t="s">
        <v>11</v>
      </c>
      <c r="B93">
        <v>17528908</v>
      </c>
      <c r="C93" t="s">
        <v>457</v>
      </c>
      <c r="D93" t="s">
        <v>458</v>
      </c>
      <c r="E93" t="str">
        <f t="shared" si="1"/>
        <v>Kim Besset</v>
      </c>
      <c r="F93">
        <v>71290</v>
      </c>
      <c r="G93" s="6" t="str">
        <f>CONCATENATE(F93,55)</f>
        <v>7129055</v>
      </c>
      <c r="H93" s="1">
        <v>45474</v>
      </c>
      <c r="I93" t="s">
        <v>641</v>
      </c>
      <c r="J93" s="2">
        <v>353</v>
      </c>
      <c r="K93" t="s">
        <v>667</v>
      </c>
      <c r="L93" t="s">
        <v>671</v>
      </c>
      <c r="M93"/>
      <c r="N93"/>
      <c r="O93"/>
    </row>
    <row r="94" spans="1:15" s="3" customFormat="1" x14ac:dyDescent="0.25">
      <c r="A94" t="s">
        <v>11</v>
      </c>
      <c r="B94">
        <v>17528908</v>
      </c>
      <c r="C94" t="s">
        <v>218</v>
      </c>
      <c r="D94" t="s">
        <v>219</v>
      </c>
      <c r="E94" t="str">
        <f t="shared" si="1"/>
        <v>Russel Wilson</v>
      </c>
      <c r="F94">
        <v>22370</v>
      </c>
      <c r="G94" s="6" t="str">
        <f>CONCATENATE(F94,55)</f>
        <v>2237055</v>
      </c>
      <c r="H94" s="1">
        <v>45474</v>
      </c>
      <c r="I94" t="s">
        <v>641</v>
      </c>
      <c r="J94" s="2">
        <v>353</v>
      </c>
      <c r="K94" t="s">
        <v>667</v>
      </c>
      <c r="L94" t="s">
        <v>671</v>
      </c>
      <c r="M94"/>
      <c r="N94"/>
      <c r="O94"/>
    </row>
    <row r="95" spans="1:15" s="3" customFormat="1" x14ac:dyDescent="0.25">
      <c r="A95" t="s">
        <v>11</v>
      </c>
      <c r="B95">
        <v>17528908</v>
      </c>
      <c r="C95" t="s">
        <v>24</v>
      </c>
      <c r="D95" t="s">
        <v>182</v>
      </c>
      <c r="E95" t="str">
        <f t="shared" si="1"/>
        <v>Joseph Bagnato</v>
      </c>
      <c r="F95">
        <v>39350</v>
      </c>
      <c r="G95" s="6" t="str">
        <f>CONCATENATE(F95,55)</f>
        <v>3935055</v>
      </c>
      <c r="H95" s="1">
        <v>45444</v>
      </c>
      <c r="I95" t="s">
        <v>641</v>
      </c>
      <c r="J95" s="2">
        <v>353</v>
      </c>
      <c r="K95" t="s">
        <v>667</v>
      </c>
      <c r="L95" t="s">
        <v>671</v>
      </c>
      <c r="M95"/>
      <c r="N95"/>
      <c r="O95"/>
    </row>
    <row r="96" spans="1:15" s="3" customFormat="1" x14ac:dyDescent="0.25">
      <c r="A96" t="s">
        <v>11</v>
      </c>
      <c r="B96">
        <v>17528908</v>
      </c>
      <c r="C96" t="s">
        <v>357</v>
      </c>
      <c r="D96" t="s">
        <v>204</v>
      </c>
      <c r="E96" t="str">
        <f t="shared" si="1"/>
        <v>Janice Freiss</v>
      </c>
      <c r="F96">
        <v>4830</v>
      </c>
      <c r="G96" s="6" t="str">
        <f>CONCATENATE(F96,55)</f>
        <v>483055</v>
      </c>
      <c r="H96" s="1">
        <v>45444</v>
      </c>
      <c r="I96" t="s">
        <v>641</v>
      </c>
      <c r="J96" s="2">
        <v>353</v>
      </c>
      <c r="K96" t="s">
        <v>667</v>
      </c>
      <c r="L96" t="s">
        <v>671</v>
      </c>
      <c r="M96"/>
      <c r="N96"/>
      <c r="O96"/>
    </row>
    <row r="97" spans="1:15" s="3" customFormat="1" x14ac:dyDescent="0.25">
      <c r="A97" t="s">
        <v>11</v>
      </c>
      <c r="B97">
        <v>17528908</v>
      </c>
      <c r="C97" t="s">
        <v>454</v>
      </c>
      <c r="D97" t="s">
        <v>455</v>
      </c>
      <c r="E97" t="str">
        <f t="shared" si="1"/>
        <v>Fred Rasbach</v>
      </c>
      <c r="F97">
        <v>49320</v>
      </c>
      <c r="G97" s="6" t="str">
        <f>CONCATENATE(F97,55)</f>
        <v>4932055</v>
      </c>
      <c r="H97" s="1">
        <v>45444</v>
      </c>
      <c r="I97" t="s">
        <v>641</v>
      </c>
      <c r="J97" s="2">
        <v>353</v>
      </c>
      <c r="K97" t="s">
        <v>667</v>
      </c>
      <c r="L97" t="s">
        <v>671</v>
      </c>
      <c r="M97"/>
      <c r="N97"/>
      <c r="O97"/>
    </row>
    <row r="98" spans="1:15" s="3" customFormat="1" x14ac:dyDescent="0.25">
      <c r="A98" t="s">
        <v>11</v>
      </c>
      <c r="B98">
        <v>17528908</v>
      </c>
      <c r="C98" t="s">
        <v>193</v>
      </c>
      <c r="D98" t="s">
        <v>242</v>
      </c>
      <c r="E98" t="str">
        <f t="shared" si="1"/>
        <v>Nancy Cushanick</v>
      </c>
      <c r="F98">
        <v>29780</v>
      </c>
      <c r="G98" s="6" t="str">
        <f>CONCATENATE(F98,55)</f>
        <v>2978055</v>
      </c>
      <c r="H98" s="1">
        <v>45413</v>
      </c>
      <c r="I98" t="s">
        <v>641</v>
      </c>
      <c r="J98" s="2">
        <v>353</v>
      </c>
      <c r="K98" t="s">
        <v>667</v>
      </c>
      <c r="L98" t="s">
        <v>671</v>
      </c>
      <c r="M98"/>
      <c r="N98"/>
      <c r="O98"/>
    </row>
    <row r="99" spans="1:15" s="3" customFormat="1" x14ac:dyDescent="0.25">
      <c r="A99" t="s">
        <v>11</v>
      </c>
      <c r="B99">
        <v>17528908</v>
      </c>
      <c r="C99" t="s">
        <v>24</v>
      </c>
      <c r="D99" t="s">
        <v>266</v>
      </c>
      <c r="E99" t="str">
        <f t="shared" si="1"/>
        <v>Joseph Zawacki</v>
      </c>
      <c r="F99">
        <v>47950</v>
      </c>
      <c r="G99" s="6" t="str">
        <f>CONCATENATE(F99,55)</f>
        <v>4795055</v>
      </c>
      <c r="H99" s="1">
        <v>45383</v>
      </c>
      <c r="I99" t="s">
        <v>641</v>
      </c>
      <c r="J99" s="2">
        <v>353</v>
      </c>
      <c r="K99" t="s">
        <v>667</v>
      </c>
      <c r="L99" t="s">
        <v>671</v>
      </c>
      <c r="M99"/>
      <c r="N99"/>
      <c r="O99"/>
    </row>
    <row r="100" spans="1:15" s="3" customFormat="1" x14ac:dyDescent="0.25">
      <c r="A100" t="s">
        <v>11</v>
      </c>
      <c r="B100">
        <v>17528908</v>
      </c>
      <c r="C100" t="s">
        <v>258</v>
      </c>
      <c r="D100" t="s">
        <v>259</v>
      </c>
      <c r="E100" t="str">
        <f t="shared" si="1"/>
        <v>Kathleen Barbaro</v>
      </c>
      <c r="F100">
        <v>72370</v>
      </c>
      <c r="G100" s="6" t="str">
        <f>CONCATENATE(F100,55)</f>
        <v>7237055</v>
      </c>
      <c r="H100" s="1">
        <v>45323</v>
      </c>
      <c r="I100" t="s">
        <v>641</v>
      </c>
      <c r="J100" s="2">
        <v>353</v>
      </c>
      <c r="K100" t="s">
        <v>667</v>
      </c>
      <c r="L100" t="s">
        <v>671</v>
      </c>
      <c r="M100"/>
      <c r="N100"/>
      <c r="O100"/>
    </row>
    <row r="101" spans="1:15" s="3" customFormat="1" x14ac:dyDescent="0.25">
      <c r="A101" t="s">
        <v>11</v>
      </c>
      <c r="B101">
        <v>17528908</v>
      </c>
      <c r="C101" t="s">
        <v>47</v>
      </c>
      <c r="D101" t="s">
        <v>329</v>
      </c>
      <c r="E101" t="str">
        <f t="shared" si="1"/>
        <v>Brian Carter</v>
      </c>
      <c r="F101">
        <v>25560</v>
      </c>
      <c r="G101" s="6" t="str">
        <f>CONCATENATE(F101,55)</f>
        <v>2556055</v>
      </c>
      <c r="H101" s="1">
        <v>45323</v>
      </c>
      <c r="I101" t="s">
        <v>641</v>
      </c>
      <c r="J101" s="2">
        <v>353</v>
      </c>
      <c r="K101" t="s">
        <v>667</v>
      </c>
      <c r="L101" t="s">
        <v>671</v>
      </c>
      <c r="M101"/>
      <c r="N101"/>
      <c r="O101"/>
    </row>
    <row r="102" spans="1:15" s="3" customFormat="1" x14ac:dyDescent="0.25">
      <c r="A102" t="s">
        <v>11</v>
      </c>
      <c r="B102">
        <v>17528908</v>
      </c>
      <c r="C102" t="s">
        <v>215</v>
      </c>
      <c r="D102" t="s">
        <v>329</v>
      </c>
      <c r="E102" t="str">
        <f t="shared" si="1"/>
        <v>Deborah Carter</v>
      </c>
      <c r="F102">
        <v>88610</v>
      </c>
      <c r="G102" s="6" t="str">
        <f>CONCATENATE(F102,55)</f>
        <v>8861055</v>
      </c>
      <c r="H102" s="1">
        <v>45323</v>
      </c>
      <c r="I102" t="s">
        <v>641</v>
      </c>
      <c r="J102" s="2">
        <v>353</v>
      </c>
      <c r="K102" t="s">
        <v>667</v>
      </c>
      <c r="L102" t="s">
        <v>671</v>
      </c>
      <c r="M102"/>
      <c r="N102"/>
      <c r="O102"/>
    </row>
    <row r="103" spans="1:15" s="3" customFormat="1" x14ac:dyDescent="0.25">
      <c r="A103" t="s">
        <v>11</v>
      </c>
      <c r="B103">
        <v>17528908</v>
      </c>
      <c r="C103" t="s">
        <v>27</v>
      </c>
      <c r="D103" t="s">
        <v>28</v>
      </c>
      <c r="E103" t="str">
        <f t="shared" si="1"/>
        <v>Diana Degarmo</v>
      </c>
      <c r="F103">
        <v>50150</v>
      </c>
      <c r="G103" s="6" t="str">
        <f>CONCATENATE(F103,55)</f>
        <v>5015055</v>
      </c>
      <c r="H103" s="1">
        <v>45292</v>
      </c>
      <c r="I103" t="s">
        <v>657</v>
      </c>
      <c r="J103" s="2">
        <v>313</v>
      </c>
      <c r="K103" t="s">
        <v>669</v>
      </c>
      <c r="L103" t="s">
        <v>674</v>
      </c>
      <c r="M103"/>
      <c r="N103"/>
      <c r="O103"/>
    </row>
    <row r="104" spans="1:15" s="3" customFormat="1" x14ac:dyDescent="0.25">
      <c r="A104" t="s">
        <v>11</v>
      </c>
      <c r="B104">
        <v>17528908</v>
      </c>
      <c r="C104" t="s">
        <v>61</v>
      </c>
      <c r="D104" t="s">
        <v>313</v>
      </c>
      <c r="E104" t="str">
        <f t="shared" si="1"/>
        <v>Patricia Barron</v>
      </c>
      <c r="F104">
        <v>30160</v>
      </c>
      <c r="G104" s="6" t="str">
        <f>CONCATENATE(F104,55)</f>
        <v>3016055</v>
      </c>
      <c r="H104" s="1">
        <v>45292</v>
      </c>
      <c r="I104" t="s">
        <v>641</v>
      </c>
      <c r="J104" s="2">
        <v>353</v>
      </c>
      <c r="K104" t="s">
        <v>667</v>
      </c>
      <c r="L104" t="s">
        <v>671</v>
      </c>
      <c r="M104"/>
      <c r="N104"/>
      <c r="O104"/>
    </row>
    <row r="105" spans="1:15" s="3" customFormat="1" x14ac:dyDescent="0.25">
      <c r="A105" t="s">
        <v>11</v>
      </c>
      <c r="B105">
        <v>17528908</v>
      </c>
      <c r="C105" t="s">
        <v>403</v>
      </c>
      <c r="D105" t="s">
        <v>404</v>
      </c>
      <c r="E105" t="str">
        <f t="shared" si="1"/>
        <v>Marian Lang</v>
      </c>
      <c r="F105">
        <v>21930</v>
      </c>
      <c r="G105" s="6" t="str">
        <f>CONCATENATE(F105,55)</f>
        <v>2193055</v>
      </c>
      <c r="H105" s="1">
        <v>45292</v>
      </c>
      <c r="I105" t="s">
        <v>641</v>
      </c>
      <c r="J105" s="2">
        <v>353</v>
      </c>
      <c r="K105" t="s">
        <v>667</v>
      </c>
      <c r="L105" t="s">
        <v>671</v>
      </c>
      <c r="M105"/>
      <c r="N105"/>
      <c r="O105"/>
    </row>
    <row r="106" spans="1:15" s="3" customFormat="1" x14ac:dyDescent="0.25">
      <c r="A106" t="s">
        <v>11</v>
      </c>
      <c r="B106">
        <v>17528908</v>
      </c>
      <c r="C106" t="s">
        <v>302</v>
      </c>
      <c r="D106" t="s">
        <v>303</v>
      </c>
      <c r="E106" t="str">
        <f t="shared" si="1"/>
        <v>Sharon Morgan</v>
      </c>
      <c r="F106">
        <v>58240</v>
      </c>
      <c r="G106" s="6" t="str">
        <f>CONCATENATE(F106,55)</f>
        <v>5824055</v>
      </c>
      <c r="H106" s="1">
        <v>45292</v>
      </c>
      <c r="I106" t="s">
        <v>641</v>
      </c>
      <c r="J106" s="2">
        <v>353</v>
      </c>
      <c r="K106" t="s">
        <v>667</v>
      </c>
      <c r="L106" t="s">
        <v>671</v>
      </c>
      <c r="M106"/>
      <c r="N106"/>
      <c r="O106"/>
    </row>
    <row r="107" spans="1:15" s="3" customFormat="1" x14ac:dyDescent="0.25">
      <c r="A107" t="s">
        <v>11</v>
      </c>
      <c r="B107">
        <v>17528908</v>
      </c>
      <c r="C107" t="s">
        <v>24</v>
      </c>
      <c r="D107" t="s">
        <v>447</v>
      </c>
      <c r="E107" t="str">
        <f t="shared" si="1"/>
        <v>Joseph Bowers</v>
      </c>
      <c r="F107">
        <v>46350</v>
      </c>
      <c r="G107" s="6" t="str">
        <f>CONCATENATE(F107,55)</f>
        <v>4635055</v>
      </c>
      <c r="H107" s="1">
        <v>45292</v>
      </c>
      <c r="I107" t="s">
        <v>641</v>
      </c>
      <c r="J107" s="2">
        <v>353</v>
      </c>
      <c r="K107" t="s">
        <v>667</v>
      </c>
      <c r="L107" t="s">
        <v>671</v>
      </c>
      <c r="M107"/>
      <c r="N107"/>
      <c r="O107"/>
    </row>
    <row r="108" spans="1:15" s="3" customFormat="1" x14ac:dyDescent="0.25">
      <c r="A108" t="s">
        <v>11</v>
      </c>
      <c r="B108">
        <v>17528908</v>
      </c>
      <c r="C108" t="s">
        <v>255</v>
      </c>
      <c r="D108" t="s">
        <v>256</v>
      </c>
      <c r="E108" t="str">
        <f t="shared" si="1"/>
        <v>Sandra Giles</v>
      </c>
      <c r="F108">
        <v>68380</v>
      </c>
      <c r="G108" s="6" t="str">
        <f>CONCATENATE(F108,55)</f>
        <v>6838055</v>
      </c>
      <c r="H108" s="1">
        <v>45139</v>
      </c>
      <c r="I108" t="s">
        <v>641</v>
      </c>
      <c r="J108" s="2">
        <v>353</v>
      </c>
      <c r="K108" t="s">
        <v>667</v>
      </c>
      <c r="L108" t="s">
        <v>671</v>
      </c>
      <c r="M108"/>
      <c r="N108"/>
      <c r="O108"/>
    </row>
    <row r="109" spans="1:15" s="3" customFormat="1" x14ac:dyDescent="0.25">
      <c r="A109" t="s">
        <v>11</v>
      </c>
      <c r="B109">
        <v>17528908</v>
      </c>
      <c r="C109" t="s">
        <v>17</v>
      </c>
      <c r="D109" t="s">
        <v>18</v>
      </c>
      <c r="E109" t="str">
        <f t="shared" si="1"/>
        <v>Alice Jones</v>
      </c>
      <c r="F109">
        <v>50140</v>
      </c>
      <c r="G109" s="6" t="str">
        <f>CONCATENATE(F109,55)</f>
        <v>5014055</v>
      </c>
      <c r="H109" s="1">
        <v>45108</v>
      </c>
      <c r="I109" t="s">
        <v>641</v>
      </c>
      <c r="J109" s="2">
        <v>353</v>
      </c>
      <c r="K109" t="s">
        <v>667</v>
      </c>
      <c r="L109" t="s">
        <v>671</v>
      </c>
      <c r="M109"/>
      <c r="N109"/>
      <c r="O109"/>
    </row>
    <row r="110" spans="1:15" s="3" customFormat="1" x14ac:dyDescent="0.25">
      <c r="A110" t="s">
        <v>11</v>
      </c>
      <c r="B110">
        <v>17528908</v>
      </c>
      <c r="C110" t="s">
        <v>374</v>
      </c>
      <c r="D110" t="s">
        <v>375</v>
      </c>
      <c r="E110" t="str">
        <f t="shared" si="1"/>
        <v>Carlene Mcdermott</v>
      </c>
      <c r="F110">
        <v>98760</v>
      </c>
      <c r="G110" s="6" t="str">
        <f>CONCATENATE(F110,55)</f>
        <v>9876055</v>
      </c>
      <c r="H110" s="1">
        <v>44927</v>
      </c>
      <c r="I110" t="s">
        <v>641</v>
      </c>
      <c r="J110" s="2">
        <v>353</v>
      </c>
      <c r="K110" t="s">
        <v>667</v>
      </c>
      <c r="L110" t="s">
        <v>671</v>
      </c>
      <c r="M110"/>
      <c r="N110"/>
      <c r="O110"/>
    </row>
    <row r="111" spans="1:15" s="3" customFormat="1" x14ac:dyDescent="0.25">
      <c r="A111" t="s">
        <v>11</v>
      </c>
      <c r="B111">
        <v>17528908</v>
      </c>
      <c r="C111" t="s">
        <v>128</v>
      </c>
      <c r="D111" t="s">
        <v>364</v>
      </c>
      <c r="E111" t="str">
        <f t="shared" si="1"/>
        <v>John Mcginnis</v>
      </c>
      <c r="F111">
        <v>95450</v>
      </c>
      <c r="G111" s="6" t="str">
        <f>CONCATENATE(F111,55)</f>
        <v>9545055</v>
      </c>
      <c r="H111" s="1">
        <v>44927</v>
      </c>
      <c r="I111" t="s">
        <v>641</v>
      </c>
      <c r="J111" s="2">
        <v>353</v>
      </c>
      <c r="K111" t="s">
        <v>667</v>
      </c>
      <c r="L111" t="s">
        <v>671</v>
      </c>
      <c r="M111"/>
      <c r="N111"/>
      <c r="O111"/>
    </row>
    <row r="112" spans="1:15" s="3" customFormat="1" x14ac:dyDescent="0.25">
      <c r="A112" t="s">
        <v>11</v>
      </c>
      <c r="B112">
        <v>17528908</v>
      </c>
      <c r="C112" t="s">
        <v>302</v>
      </c>
      <c r="D112" t="s">
        <v>334</v>
      </c>
      <c r="E112" t="str">
        <f t="shared" si="1"/>
        <v>Sharon Yochum</v>
      </c>
      <c r="F112">
        <v>10720</v>
      </c>
      <c r="G112" s="6" t="str">
        <f>CONCATENATE(F112,55)</f>
        <v>1072055</v>
      </c>
      <c r="H112" s="1">
        <v>44896</v>
      </c>
      <c r="I112" t="s">
        <v>641</v>
      </c>
      <c r="J112" s="2">
        <v>353</v>
      </c>
      <c r="K112" t="s">
        <v>667</v>
      </c>
      <c r="L112" t="s">
        <v>671</v>
      </c>
      <c r="M112"/>
      <c r="N112"/>
      <c r="O112"/>
    </row>
    <row r="113" spans="1:15" s="3" customFormat="1" x14ac:dyDescent="0.25">
      <c r="A113" t="s">
        <v>11</v>
      </c>
      <c r="B113">
        <v>17528908</v>
      </c>
      <c r="C113" t="s">
        <v>229</v>
      </c>
      <c r="D113" t="s">
        <v>230</v>
      </c>
      <c r="E113" t="str">
        <f t="shared" si="1"/>
        <v>Mark Falconer</v>
      </c>
      <c r="F113">
        <v>70580</v>
      </c>
      <c r="G113" s="6" t="str">
        <f>CONCATENATE(F113,55)</f>
        <v>7058055</v>
      </c>
      <c r="H113" s="1">
        <v>44713</v>
      </c>
      <c r="I113" t="s">
        <v>641</v>
      </c>
      <c r="J113" s="2">
        <v>353</v>
      </c>
      <c r="K113" t="s">
        <v>667</v>
      </c>
      <c r="L113" t="s">
        <v>671</v>
      </c>
      <c r="M113"/>
      <c r="N113"/>
      <c r="O113"/>
    </row>
    <row r="114" spans="1:15" s="3" customFormat="1" x14ac:dyDescent="0.25">
      <c r="A114" t="s">
        <v>11</v>
      </c>
      <c r="B114">
        <v>17528908</v>
      </c>
      <c r="C114" t="s">
        <v>386</v>
      </c>
      <c r="D114" t="s">
        <v>387</v>
      </c>
      <c r="E114" t="str">
        <f t="shared" si="1"/>
        <v>Mary Ann Knott</v>
      </c>
      <c r="F114">
        <v>91100</v>
      </c>
      <c r="G114" s="6" t="str">
        <f>CONCATENATE(F114,55)</f>
        <v>9110055</v>
      </c>
      <c r="H114" s="1">
        <v>44682</v>
      </c>
      <c r="I114" t="s">
        <v>641</v>
      </c>
      <c r="J114" s="2">
        <v>353</v>
      </c>
      <c r="K114" t="s">
        <v>667</v>
      </c>
      <c r="L114" t="s">
        <v>671</v>
      </c>
      <c r="M114"/>
      <c r="N114"/>
      <c r="O114"/>
    </row>
    <row r="115" spans="1:15" s="3" customFormat="1" x14ac:dyDescent="0.25">
      <c r="A115" t="s">
        <v>11</v>
      </c>
      <c r="B115">
        <v>17528908</v>
      </c>
      <c r="C115" t="s">
        <v>190</v>
      </c>
      <c r="D115" t="s">
        <v>411</v>
      </c>
      <c r="E115" t="str">
        <f t="shared" si="1"/>
        <v>James Contenta</v>
      </c>
      <c r="F115">
        <v>87150</v>
      </c>
      <c r="G115" s="6" t="str">
        <f>CONCATENATE(F115,55)</f>
        <v>8715055</v>
      </c>
      <c r="H115" s="1">
        <v>44562</v>
      </c>
      <c r="I115" t="s">
        <v>641</v>
      </c>
      <c r="J115" s="2">
        <v>353</v>
      </c>
      <c r="K115" t="s">
        <v>667</v>
      </c>
      <c r="L115" t="s">
        <v>671</v>
      </c>
      <c r="M115"/>
      <c r="N115"/>
      <c r="O115"/>
    </row>
    <row r="116" spans="1:15" s="3" customFormat="1" x14ac:dyDescent="0.25">
      <c r="A116" t="s">
        <v>11</v>
      </c>
      <c r="B116">
        <v>17528908</v>
      </c>
      <c r="C116" t="s">
        <v>131</v>
      </c>
      <c r="D116" t="s">
        <v>398</v>
      </c>
      <c r="E116" t="str">
        <f t="shared" si="1"/>
        <v>Brenda Nachreiner</v>
      </c>
      <c r="F116">
        <v>98180</v>
      </c>
      <c r="G116" s="6" t="str">
        <f>CONCATENATE(F116,55)</f>
        <v>9818055</v>
      </c>
      <c r="H116" s="1">
        <v>43556</v>
      </c>
      <c r="I116" t="s">
        <v>641</v>
      </c>
      <c r="J116" s="2">
        <v>353</v>
      </c>
      <c r="K116" t="s">
        <v>667</v>
      </c>
      <c r="L116" t="s">
        <v>671</v>
      </c>
      <c r="M116"/>
      <c r="N116"/>
      <c r="O116"/>
    </row>
    <row r="117" spans="1:15" s="3" customFormat="1" x14ac:dyDescent="0.25">
      <c r="A117" t="s">
        <v>11</v>
      </c>
      <c r="B117">
        <v>17528908</v>
      </c>
      <c r="C117" t="s">
        <v>340</v>
      </c>
      <c r="D117" t="s">
        <v>396</v>
      </c>
      <c r="E117" t="str">
        <f t="shared" si="1"/>
        <v>Mary Malone</v>
      </c>
      <c r="F117">
        <v>87970</v>
      </c>
      <c r="G117" s="6" t="str">
        <f>CONCATENATE(F117,55)</f>
        <v>8797055</v>
      </c>
      <c r="H117" s="1">
        <v>43009</v>
      </c>
      <c r="I117" t="s">
        <v>641</v>
      </c>
      <c r="J117" s="2">
        <v>353</v>
      </c>
      <c r="K117" t="s">
        <v>667</v>
      </c>
      <c r="L117" t="s">
        <v>671</v>
      </c>
      <c r="M117"/>
      <c r="N117"/>
      <c r="O117"/>
    </row>
    <row r="118" spans="1:15" s="3" customFormat="1" x14ac:dyDescent="0.25">
      <c r="A118" t="s">
        <v>11</v>
      </c>
      <c r="B118">
        <v>17528908</v>
      </c>
      <c r="C118" t="s">
        <v>203</v>
      </c>
      <c r="D118" t="s">
        <v>204</v>
      </c>
      <c r="E118" t="str">
        <f t="shared" si="1"/>
        <v>David Freiss</v>
      </c>
      <c r="F118">
        <v>83030</v>
      </c>
      <c r="G118" s="6" t="str">
        <f>CONCATENATE(F118,55)</f>
        <v>8303055</v>
      </c>
      <c r="H118" s="1">
        <v>42767</v>
      </c>
      <c r="I118" t="s">
        <v>641</v>
      </c>
      <c r="J118" s="2">
        <v>353</v>
      </c>
      <c r="K118" t="s">
        <v>667</v>
      </c>
      <c r="L118" t="s">
        <v>671</v>
      </c>
      <c r="M118"/>
      <c r="N118"/>
      <c r="O118"/>
    </row>
    <row r="119" spans="1:15" s="3" customFormat="1" x14ac:dyDescent="0.25">
      <c r="A119" t="s">
        <v>11</v>
      </c>
      <c r="B119">
        <v>17528908</v>
      </c>
      <c r="C119" t="s">
        <v>198</v>
      </c>
      <c r="D119" t="s">
        <v>199</v>
      </c>
      <c r="E119" t="str">
        <f t="shared" si="1"/>
        <v>Robert Pollack</v>
      </c>
      <c r="F119">
        <v>25240</v>
      </c>
      <c r="G119" s="6" t="str">
        <f>CONCATENATE(F119,55)</f>
        <v>2524055</v>
      </c>
      <c r="H119" s="1">
        <v>42095</v>
      </c>
      <c r="I119" t="s">
        <v>641</v>
      </c>
      <c r="J119" s="2">
        <v>353</v>
      </c>
      <c r="K119" t="s">
        <v>667</v>
      </c>
      <c r="L119" t="s">
        <v>671</v>
      </c>
      <c r="M119"/>
      <c r="N119"/>
      <c r="O119"/>
    </row>
    <row r="120" spans="1:15" s="3" customFormat="1" x14ac:dyDescent="0.25">
      <c r="A120" t="s">
        <v>11</v>
      </c>
      <c r="B120">
        <v>17528908</v>
      </c>
      <c r="C120" t="s">
        <v>170</v>
      </c>
      <c r="D120" t="s">
        <v>171</v>
      </c>
      <c r="E120" t="str">
        <f t="shared" si="1"/>
        <v>Aleka Costianis</v>
      </c>
      <c r="F120">
        <v>72420</v>
      </c>
      <c r="G120" s="6" t="str">
        <f>CONCATENATE(F120,55)</f>
        <v>7242055</v>
      </c>
      <c r="H120" s="1">
        <v>42005</v>
      </c>
      <c r="I120" t="s">
        <v>641</v>
      </c>
      <c r="J120" s="2">
        <v>353</v>
      </c>
      <c r="K120" t="s">
        <v>667</v>
      </c>
      <c r="L120" t="s">
        <v>671</v>
      </c>
      <c r="M120"/>
      <c r="N120"/>
      <c r="O120"/>
    </row>
    <row r="121" spans="1:15" s="3" customFormat="1" x14ac:dyDescent="0.25">
      <c r="A121" t="s">
        <v>11</v>
      </c>
      <c r="B121">
        <v>17528908</v>
      </c>
      <c r="C121" t="s">
        <v>288</v>
      </c>
      <c r="D121" t="s">
        <v>289</v>
      </c>
      <c r="E121" t="str">
        <f t="shared" si="1"/>
        <v>Kathryn Mcmahon</v>
      </c>
      <c r="F121">
        <v>73590</v>
      </c>
      <c r="G121" s="6" t="str">
        <f>CONCATENATE(F121,55)</f>
        <v>7359055</v>
      </c>
      <c r="H121" s="1">
        <v>42005</v>
      </c>
      <c r="I121" t="s">
        <v>641</v>
      </c>
      <c r="J121" s="2">
        <v>353</v>
      </c>
      <c r="K121" t="s">
        <v>667</v>
      </c>
      <c r="L121" t="s">
        <v>671</v>
      </c>
      <c r="M121"/>
      <c r="N121"/>
      <c r="O121"/>
    </row>
    <row r="122" spans="1:15" s="3" customFormat="1" x14ac:dyDescent="0.25">
      <c r="A122" t="s">
        <v>11</v>
      </c>
      <c r="B122">
        <v>17528908</v>
      </c>
      <c r="C122" t="s">
        <v>268</v>
      </c>
      <c r="D122" t="s">
        <v>269</v>
      </c>
      <c r="E122" t="str">
        <f t="shared" si="1"/>
        <v>Sally Ragus</v>
      </c>
      <c r="F122">
        <v>30690</v>
      </c>
      <c r="G122" s="6" t="str">
        <f>CONCATENATE(F122,55)</f>
        <v>3069055</v>
      </c>
      <c r="H122" s="1">
        <v>42005</v>
      </c>
      <c r="I122" t="s">
        <v>641</v>
      </c>
      <c r="J122" s="2">
        <v>353</v>
      </c>
      <c r="K122" t="s">
        <v>667</v>
      </c>
      <c r="L122" t="s">
        <v>671</v>
      </c>
      <c r="M122"/>
      <c r="N122"/>
      <c r="O122"/>
    </row>
    <row r="123" spans="1:15" s="3" customFormat="1" x14ac:dyDescent="0.25">
      <c r="A123" t="s">
        <v>11</v>
      </c>
      <c r="B123">
        <v>17528908</v>
      </c>
      <c r="C123" t="s">
        <v>64</v>
      </c>
      <c r="D123" t="s">
        <v>219</v>
      </c>
      <c r="E123" t="str">
        <f t="shared" si="1"/>
        <v>Barbara Wilson</v>
      </c>
      <c r="F123">
        <v>10610</v>
      </c>
      <c r="G123" s="6" t="str">
        <f>CONCATENATE(F123,55)</f>
        <v>1061055</v>
      </c>
      <c r="H123" s="1">
        <v>42005</v>
      </c>
      <c r="I123" t="s">
        <v>641</v>
      </c>
      <c r="J123" s="2">
        <v>353</v>
      </c>
      <c r="K123" t="s">
        <v>667</v>
      </c>
      <c r="L123" t="s">
        <v>671</v>
      </c>
      <c r="M123"/>
      <c r="N123"/>
      <c r="O123"/>
    </row>
    <row r="124" spans="1:15" s="3" customFormat="1" x14ac:dyDescent="0.25">
      <c r="A124" s="6" t="s">
        <v>11</v>
      </c>
      <c r="B124" s="6">
        <v>17528908</v>
      </c>
      <c r="C124" s="6" t="s">
        <v>35</v>
      </c>
      <c r="D124" s="6" t="s">
        <v>36</v>
      </c>
      <c r="E124" t="str">
        <f t="shared" si="1"/>
        <v>Erma Sekelik</v>
      </c>
      <c r="F124" s="6">
        <v>31920</v>
      </c>
      <c r="G124" s="6" t="str">
        <f>CONCATENATE(F124,55)</f>
        <v>3192055</v>
      </c>
      <c r="H124" s="7">
        <v>41275</v>
      </c>
      <c r="I124" s="6" t="s">
        <v>644</v>
      </c>
      <c r="J124" s="8">
        <v>-353</v>
      </c>
      <c r="K124" s="6" t="s">
        <v>667</v>
      </c>
      <c r="L124" s="6" t="s">
        <v>671</v>
      </c>
      <c r="M124" s="6"/>
      <c r="N124" s="6"/>
      <c r="O124" s="6"/>
    </row>
    <row r="125" spans="1:15" s="3" customFormat="1" x14ac:dyDescent="0.25">
      <c r="A125" t="s">
        <v>11</v>
      </c>
      <c r="B125">
        <v>17528908</v>
      </c>
      <c r="C125" t="s">
        <v>35</v>
      </c>
      <c r="D125" t="s">
        <v>36</v>
      </c>
      <c r="E125" t="str">
        <f t="shared" si="1"/>
        <v>Erma Sekelik</v>
      </c>
      <c r="F125">
        <v>31920</v>
      </c>
      <c r="G125" s="6" t="str">
        <f>CONCATENATE(F125,55)</f>
        <v>3192055</v>
      </c>
      <c r="H125" s="1">
        <v>41275</v>
      </c>
      <c r="I125" t="s">
        <v>643</v>
      </c>
      <c r="J125" s="2">
        <v>323.58</v>
      </c>
      <c r="K125" t="s">
        <v>667</v>
      </c>
      <c r="L125" t="s">
        <v>673</v>
      </c>
      <c r="M125"/>
      <c r="N125"/>
      <c r="O125"/>
    </row>
    <row r="126" spans="1:15" s="3" customFormat="1" x14ac:dyDescent="0.25">
      <c r="A126" t="s">
        <v>11</v>
      </c>
      <c r="B126">
        <v>17528908</v>
      </c>
      <c r="C126" t="s">
        <v>35</v>
      </c>
      <c r="D126" t="s">
        <v>36</v>
      </c>
      <c r="E126" t="str">
        <f t="shared" si="1"/>
        <v>Erma Sekelik</v>
      </c>
      <c r="F126">
        <v>31920</v>
      </c>
      <c r="G126" s="6" t="str">
        <f>CONCATENATE(F126,55)</f>
        <v>3192055</v>
      </c>
      <c r="H126" s="1">
        <v>41275</v>
      </c>
      <c r="I126" t="s">
        <v>641</v>
      </c>
      <c r="J126" s="2">
        <v>353</v>
      </c>
      <c r="K126" t="s">
        <v>667</v>
      </c>
      <c r="L126" t="s">
        <v>671</v>
      </c>
      <c r="M126"/>
      <c r="N126"/>
      <c r="O126"/>
    </row>
    <row r="127" spans="1:15" s="3" customFormat="1" x14ac:dyDescent="0.25">
      <c r="A127" t="s">
        <v>653</v>
      </c>
      <c r="B127">
        <v>15278437</v>
      </c>
      <c r="C127" t="s">
        <v>654</v>
      </c>
      <c r="D127" t="s">
        <v>655</v>
      </c>
      <c r="E127" t="str">
        <f t="shared" si="1"/>
        <v>Bruce Davis</v>
      </c>
      <c r="F127">
        <v>7960</v>
      </c>
      <c r="G127" s="6" t="str">
        <f>CONCATENATE(F127,55)</f>
        <v>796055</v>
      </c>
      <c r="H127" s="1">
        <v>45658</v>
      </c>
      <c r="I127" t="s">
        <v>657</v>
      </c>
      <c r="J127" s="2">
        <v>313</v>
      </c>
      <c r="K127" t="s">
        <v>669</v>
      </c>
      <c r="L127" t="s">
        <v>674</v>
      </c>
      <c r="M127"/>
      <c r="N127"/>
      <c r="O127"/>
    </row>
    <row r="128" spans="1:15" s="3" customFormat="1" x14ac:dyDescent="0.25">
      <c r="A128" s="3" t="s">
        <v>676</v>
      </c>
      <c r="B128" s="3">
        <v>20411454</v>
      </c>
      <c r="C128" s="3" t="s">
        <v>12</v>
      </c>
      <c r="D128" s="3" t="s">
        <v>13</v>
      </c>
      <c r="E128" t="str">
        <f t="shared" si="1"/>
        <v>Karen Torre</v>
      </c>
      <c r="F128" s="3">
        <v>36920</v>
      </c>
      <c r="G128" s="3" t="str">
        <f>CONCATENATE(F128,"OVR")</f>
        <v>36920OVR</v>
      </c>
      <c r="H128" s="4">
        <v>46023</v>
      </c>
      <c r="I128" s="3" t="s">
        <v>16</v>
      </c>
      <c r="J128" s="5">
        <v>93.75</v>
      </c>
      <c r="K128" s="3" t="s">
        <v>666</v>
      </c>
    </row>
    <row r="129" spans="1:11" s="3" customFormat="1" x14ac:dyDescent="0.25">
      <c r="A129" s="3" t="s">
        <v>676</v>
      </c>
      <c r="B129" s="3">
        <v>20411454</v>
      </c>
      <c r="C129" s="3" t="s">
        <v>17</v>
      </c>
      <c r="D129" s="3" t="s">
        <v>18</v>
      </c>
      <c r="E129" t="str">
        <f t="shared" si="1"/>
        <v>Alice Jones</v>
      </c>
      <c r="F129" s="3">
        <v>50140</v>
      </c>
      <c r="G129" s="3" t="str">
        <f>CONCATENATE(F129,"OVR")</f>
        <v>50140OVR</v>
      </c>
      <c r="H129" s="4">
        <v>45108</v>
      </c>
      <c r="I129" s="3" t="s">
        <v>16</v>
      </c>
      <c r="J129" s="5">
        <v>62.5</v>
      </c>
      <c r="K129" s="3" t="s">
        <v>666</v>
      </c>
    </row>
    <row r="130" spans="1:11" s="3" customFormat="1" x14ac:dyDescent="0.25">
      <c r="A130" s="3" t="s">
        <v>676</v>
      </c>
      <c r="B130" s="3">
        <v>20411454</v>
      </c>
      <c r="C130" s="3" t="s">
        <v>20</v>
      </c>
      <c r="D130" s="3" t="s">
        <v>21</v>
      </c>
      <c r="E130" t="str">
        <f t="shared" si="1"/>
        <v>Eric Hunker</v>
      </c>
      <c r="F130" s="3">
        <v>29430</v>
      </c>
      <c r="G130" s="3" t="str">
        <f>CONCATENATE(F130,"OVR")</f>
        <v>29430OVR</v>
      </c>
      <c r="H130" s="4">
        <v>45658</v>
      </c>
      <c r="I130" s="3" t="s">
        <v>16</v>
      </c>
      <c r="J130" s="5">
        <v>62.5</v>
      </c>
      <c r="K130" s="3" t="s">
        <v>666</v>
      </c>
    </row>
    <row r="131" spans="1:11" s="3" customFormat="1" x14ac:dyDescent="0.25">
      <c r="A131" s="3" t="s">
        <v>676</v>
      </c>
      <c r="B131" s="3">
        <v>20411454</v>
      </c>
      <c r="C131" s="3" t="s">
        <v>24</v>
      </c>
      <c r="D131" s="3" t="s">
        <v>25</v>
      </c>
      <c r="E131" t="str">
        <f t="shared" ref="E131:E194" si="2">CONCATENATE(C131," ",D131)</f>
        <v>Joseph Cardone</v>
      </c>
      <c r="F131" s="3">
        <v>60440</v>
      </c>
      <c r="G131" s="3" t="str">
        <f>CONCATENATE(F131,"OVR")</f>
        <v>60440OVR</v>
      </c>
      <c r="H131" s="4">
        <v>45505</v>
      </c>
      <c r="I131" s="3" t="s">
        <v>16</v>
      </c>
      <c r="J131" s="5">
        <v>62.5</v>
      </c>
      <c r="K131" s="3" t="s">
        <v>666</v>
      </c>
    </row>
    <row r="132" spans="1:11" s="3" customFormat="1" x14ac:dyDescent="0.25">
      <c r="A132" s="3" t="s">
        <v>676</v>
      </c>
      <c r="B132" s="3">
        <v>20411454</v>
      </c>
      <c r="C132" s="3" t="s">
        <v>27</v>
      </c>
      <c r="D132" s="3" t="s">
        <v>28</v>
      </c>
      <c r="E132" t="str">
        <f t="shared" si="2"/>
        <v>Diana Degarmo</v>
      </c>
      <c r="F132" s="3">
        <v>50150</v>
      </c>
      <c r="G132" s="3" t="str">
        <f>CONCATENATE(F132,"OVR")</f>
        <v>50150OVR</v>
      </c>
      <c r="H132" s="4">
        <v>45292</v>
      </c>
      <c r="I132" s="3" t="s">
        <v>16</v>
      </c>
      <c r="J132" s="5">
        <v>62.5</v>
      </c>
      <c r="K132" s="3" t="s">
        <v>666</v>
      </c>
    </row>
    <row r="133" spans="1:11" s="3" customFormat="1" x14ac:dyDescent="0.25">
      <c r="A133" s="3" t="s">
        <v>676</v>
      </c>
      <c r="B133" s="3">
        <v>20411454</v>
      </c>
      <c r="C133" s="3" t="s">
        <v>31</v>
      </c>
      <c r="D133" s="3" t="s">
        <v>32</v>
      </c>
      <c r="E133" t="str">
        <f t="shared" si="2"/>
        <v>Donald Mcknight</v>
      </c>
      <c r="F133" s="3">
        <v>17550</v>
      </c>
      <c r="G133" s="3" t="str">
        <f>CONCATENATE(F133,"OVR")</f>
        <v>17550OVR</v>
      </c>
      <c r="H133" s="4">
        <v>46054</v>
      </c>
      <c r="I133" s="3" t="s">
        <v>34</v>
      </c>
      <c r="J133" s="5">
        <v>85.93</v>
      </c>
      <c r="K133" s="3" t="s">
        <v>666</v>
      </c>
    </row>
    <row r="134" spans="1:11" s="3" customFormat="1" x14ac:dyDescent="0.25">
      <c r="A134" s="3" t="s">
        <v>676</v>
      </c>
      <c r="B134" s="3">
        <v>20411454</v>
      </c>
      <c r="C134" s="3" t="s">
        <v>35</v>
      </c>
      <c r="D134" s="3" t="s">
        <v>36</v>
      </c>
      <c r="E134" t="str">
        <f t="shared" si="2"/>
        <v>Erma Sekelik</v>
      </c>
      <c r="F134" s="3">
        <v>31920</v>
      </c>
      <c r="G134" s="3" t="str">
        <f>CONCATENATE(F134,"OVR")</f>
        <v>31920OVR</v>
      </c>
      <c r="H134" s="4">
        <v>41275</v>
      </c>
      <c r="I134" s="3" t="s">
        <v>34</v>
      </c>
      <c r="J134" s="5">
        <v>57.29</v>
      </c>
      <c r="K134" s="3" t="s">
        <v>666</v>
      </c>
    </row>
    <row r="135" spans="1:11" s="3" customFormat="1" x14ac:dyDescent="0.25">
      <c r="A135" s="3" t="s">
        <v>676</v>
      </c>
      <c r="B135" s="3">
        <v>20411454</v>
      </c>
      <c r="C135" s="3" t="s">
        <v>39</v>
      </c>
      <c r="D135" s="3" t="s">
        <v>40</v>
      </c>
      <c r="E135" t="str">
        <f t="shared" si="2"/>
        <v>Geraldine Craig</v>
      </c>
      <c r="F135" s="3">
        <v>2500</v>
      </c>
      <c r="G135" s="3" t="str">
        <f>CONCATENATE(F135,"OVR")</f>
        <v>2500OVR</v>
      </c>
      <c r="H135" s="4">
        <v>46054</v>
      </c>
      <c r="I135" s="3" t="s">
        <v>34</v>
      </c>
      <c r="J135" s="5">
        <v>85.93</v>
      </c>
      <c r="K135" s="3" t="s">
        <v>666</v>
      </c>
    </row>
    <row r="136" spans="1:11" s="3" customFormat="1" x14ac:dyDescent="0.25">
      <c r="A136" s="3" t="s">
        <v>676</v>
      </c>
      <c r="B136" s="3">
        <v>20411454</v>
      </c>
      <c r="C136" s="3" t="s">
        <v>43</v>
      </c>
      <c r="D136" s="3" t="s">
        <v>44</v>
      </c>
      <c r="E136" t="str">
        <f t="shared" si="2"/>
        <v>Lisa Gold</v>
      </c>
      <c r="F136" s="3">
        <v>9210</v>
      </c>
      <c r="G136" s="3" t="str">
        <f>CONCATENATE(F136,"OVR")</f>
        <v>9210OVR</v>
      </c>
      <c r="H136" s="4">
        <v>46054</v>
      </c>
      <c r="I136" s="3" t="s">
        <v>34</v>
      </c>
      <c r="J136" s="5">
        <v>57.29</v>
      </c>
      <c r="K136" s="3" t="s">
        <v>666</v>
      </c>
    </row>
    <row r="137" spans="1:11" s="3" customFormat="1" x14ac:dyDescent="0.25">
      <c r="A137" s="3" t="s">
        <v>676</v>
      </c>
      <c r="B137" s="3">
        <v>20411454</v>
      </c>
      <c r="C137" s="3" t="s">
        <v>47</v>
      </c>
      <c r="D137" s="3" t="s">
        <v>48</v>
      </c>
      <c r="E137" t="str">
        <f t="shared" si="2"/>
        <v>Brian Leroy</v>
      </c>
      <c r="F137" s="3">
        <v>17240</v>
      </c>
      <c r="G137" s="3" t="str">
        <f>CONCATENATE(F137,"OVR")</f>
        <v>17240OVR</v>
      </c>
      <c r="H137" s="4">
        <v>46054</v>
      </c>
      <c r="I137" s="3" t="s">
        <v>50</v>
      </c>
      <c r="J137" s="5">
        <v>100</v>
      </c>
      <c r="K137" s="3" t="s">
        <v>666</v>
      </c>
    </row>
    <row r="138" spans="1:11" s="3" customFormat="1" x14ac:dyDescent="0.25">
      <c r="A138" s="3" t="s">
        <v>676</v>
      </c>
      <c r="B138" s="3">
        <v>20411454</v>
      </c>
      <c r="C138" s="3" t="s">
        <v>51</v>
      </c>
      <c r="D138" s="3" t="s">
        <v>52</v>
      </c>
      <c r="E138" t="str">
        <f t="shared" si="2"/>
        <v>Suzanne Parsons</v>
      </c>
      <c r="F138" s="3">
        <v>5960</v>
      </c>
      <c r="G138" s="3" t="str">
        <f>CONCATENATE(F138,"OVR")</f>
        <v>5960OVR</v>
      </c>
      <c r="H138" s="4">
        <v>46054</v>
      </c>
      <c r="I138" s="3" t="s">
        <v>54</v>
      </c>
      <c r="J138" s="5">
        <v>110</v>
      </c>
      <c r="K138" s="3" t="s">
        <v>666</v>
      </c>
    </row>
    <row r="139" spans="1:11" s="3" customFormat="1" x14ac:dyDescent="0.25">
      <c r="A139" s="3" t="s">
        <v>676</v>
      </c>
      <c r="B139" s="3">
        <v>20411454</v>
      </c>
      <c r="C139" s="3" t="s">
        <v>31</v>
      </c>
      <c r="D139" s="3" t="s">
        <v>56</v>
      </c>
      <c r="E139" t="str">
        <f t="shared" si="2"/>
        <v>Donald Silfies</v>
      </c>
      <c r="F139" s="3">
        <v>38950</v>
      </c>
      <c r="G139" s="3" t="str">
        <f>CONCATENATE(F139,"OVR")</f>
        <v>38950OVR</v>
      </c>
      <c r="H139" s="4">
        <v>46023</v>
      </c>
      <c r="I139" s="3" t="s">
        <v>54</v>
      </c>
      <c r="J139" s="5">
        <v>165</v>
      </c>
      <c r="K139" s="3" t="s">
        <v>666</v>
      </c>
    </row>
    <row r="140" spans="1:11" s="3" customFormat="1" x14ac:dyDescent="0.25">
      <c r="A140" s="3" t="s">
        <v>676</v>
      </c>
      <c r="B140" s="3">
        <v>20411454</v>
      </c>
      <c r="C140" s="3" t="s">
        <v>58</v>
      </c>
      <c r="D140" s="3" t="s">
        <v>59</v>
      </c>
      <c r="E140" t="str">
        <f t="shared" si="2"/>
        <v>Jeffrey Dobbins</v>
      </c>
      <c r="F140" s="3">
        <v>81730</v>
      </c>
      <c r="G140" s="3" t="str">
        <f>CONCATENATE(F140,"OVR")</f>
        <v>81730OVR</v>
      </c>
      <c r="H140" s="4">
        <v>46054</v>
      </c>
      <c r="I140" s="3" t="s">
        <v>54</v>
      </c>
      <c r="J140" s="5">
        <v>165</v>
      </c>
      <c r="K140" s="3" t="s">
        <v>666</v>
      </c>
    </row>
    <row r="141" spans="1:11" s="3" customFormat="1" x14ac:dyDescent="0.25">
      <c r="A141" s="3" t="s">
        <v>676</v>
      </c>
      <c r="B141" s="3">
        <v>20411454</v>
      </c>
      <c r="C141" s="3" t="s">
        <v>61</v>
      </c>
      <c r="D141" s="3" t="s">
        <v>62</v>
      </c>
      <c r="E141" t="str">
        <f t="shared" si="2"/>
        <v>Patricia Sabo</v>
      </c>
      <c r="F141" s="3">
        <v>36870</v>
      </c>
      <c r="G141" s="3" t="str">
        <f>CONCATENATE(F141,"OVR")</f>
        <v>36870OVR</v>
      </c>
      <c r="H141" s="4">
        <v>46023</v>
      </c>
      <c r="I141" s="3" t="s">
        <v>54</v>
      </c>
      <c r="J141" s="5">
        <v>165</v>
      </c>
      <c r="K141" s="3" t="s">
        <v>666</v>
      </c>
    </row>
    <row r="142" spans="1:11" s="3" customFormat="1" x14ac:dyDescent="0.25">
      <c r="A142" s="3" t="s">
        <v>676</v>
      </c>
      <c r="B142" s="3">
        <v>20411454</v>
      </c>
      <c r="C142" s="3" t="s">
        <v>64</v>
      </c>
      <c r="D142" s="3" t="s">
        <v>65</v>
      </c>
      <c r="E142" t="str">
        <f t="shared" si="2"/>
        <v>Barbara Dzumela</v>
      </c>
      <c r="F142" s="3">
        <v>93430</v>
      </c>
      <c r="G142" s="3" t="str">
        <f>CONCATENATE(F142,"OVR")</f>
        <v>93430OVR</v>
      </c>
      <c r="H142" s="4">
        <v>46023</v>
      </c>
      <c r="I142" s="3" t="s">
        <v>54</v>
      </c>
      <c r="J142" s="5">
        <v>165</v>
      </c>
      <c r="K142" s="3" t="s">
        <v>666</v>
      </c>
    </row>
    <row r="143" spans="1:11" s="3" customFormat="1" x14ac:dyDescent="0.25">
      <c r="A143" s="3" t="s">
        <v>676</v>
      </c>
      <c r="B143" s="3">
        <v>20411454</v>
      </c>
      <c r="C143" s="3" t="s">
        <v>67</v>
      </c>
      <c r="D143" s="3" t="s">
        <v>68</v>
      </c>
      <c r="E143" t="str">
        <f t="shared" si="2"/>
        <v>Matthew Federkeil</v>
      </c>
      <c r="F143" s="3">
        <v>30560</v>
      </c>
      <c r="G143" s="3" t="str">
        <f>CONCATENATE(F143,"OVR")</f>
        <v>30560OVR</v>
      </c>
      <c r="H143" s="4">
        <v>46054</v>
      </c>
      <c r="I143" s="3" t="s">
        <v>54</v>
      </c>
      <c r="J143" s="5">
        <v>110</v>
      </c>
      <c r="K143" s="3" t="s">
        <v>666</v>
      </c>
    </row>
    <row r="144" spans="1:11" s="3" customFormat="1" x14ac:dyDescent="0.25">
      <c r="A144" s="3" t="s">
        <v>676</v>
      </c>
      <c r="B144" s="3">
        <v>20411454</v>
      </c>
      <c r="C144" s="3" t="s">
        <v>64</v>
      </c>
      <c r="D144" s="3" t="s">
        <v>70</v>
      </c>
      <c r="E144" t="str">
        <f t="shared" si="2"/>
        <v>Barbara Keefe</v>
      </c>
      <c r="F144" s="3">
        <v>3170</v>
      </c>
      <c r="G144" s="3" t="str">
        <f>CONCATENATE(F144,"OVR")</f>
        <v>3170OVR</v>
      </c>
      <c r="H144" s="4">
        <v>46023</v>
      </c>
      <c r="I144" s="3" t="s">
        <v>54</v>
      </c>
      <c r="J144" s="5">
        <v>165</v>
      </c>
      <c r="K144" s="3" t="s">
        <v>666</v>
      </c>
    </row>
    <row r="145" spans="1:11" s="3" customFormat="1" x14ac:dyDescent="0.25">
      <c r="A145" s="3" t="s">
        <v>676</v>
      </c>
      <c r="B145" s="3">
        <v>20411454</v>
      </c>
      <c r="C145" s="3" t="s">
        <v>72</v>
      </c>
      <c r="D145" s="3" t="s">
        <v>73</v>
      </c>
      <c r="E145" t="str">
        <f t="shared" si="2"/>
        <v>Timothy Vander Duim</v>
      </c>
      <c r="F145" s="3">
        <v>59650</v>
      </c>
      <c r="G145" s="3" t="str">
        <f>CONCATENATE(F145,"OVR")</f>
        <v>59650OVR</v>
      </c>
      <c r="H145" s="4">
        <v>46023</v>
      </c>
      <c r="I145" s="3" t="s">
        <v>54</v>
      </c>
      <c r="J145" s="5">
        <v>165</v>
      </c>
      <c r="K145" s="3" t="s">
        <v>666</v>
      </c>
    </row>
    <row r="146" spans="1:11" s="3" customFormat="1" x14ac:dyDescent="0.25">
      <c r="A146" s="3" t="s">
        <v>676</v>
      </c>
      <c r="B146" s="3">
        <v>20411454</v>
      </c>
      <c r="C146" s="3" t="s">
        <v>75</v>
      </c>
      <c r="D146" s="3" t="s">
        <v>76</v>
      </c>
      <c r="E146" t="str">
        <f t="shared" si="2"/>
        <v>Kimberly Basick</v>
      </c>
      <c r="F146" s="3">
        <v>61450</v>
      </c>
      <c r="G146" s="3" t="str">
        <f>CONCATENATE(F146,"OVR")</f>
        <v>61450OVR</v>
      </c>
      <c r="H146" s="4">
        <v>46054</v>
      </c>
      <c r="I146" s="3" t="s">
        <v>54</v>
      </c>
      <c r="J146" s="5">
        <v>165</v>
      </c>
      <c r="K146" s="3" t="s">
        <v>666</v>
      </c>
    </row>
    <row r="147" spans="1:11" s="3" customFormat="1" x14ac:dyDescent="0.25">
      <c r="A147" s="3" t="s">
        <v>676</v>
      </c>
      <c r="B147" s="3">
        <v>20411454</v>
      </c>
      <c r="C147" s="3" t="s">
        <v>78</v>
      </c>
      <c r="D147" s="3" t="s">
        <v>79</v>
      </c>
      <c r="E147" t="str">
        <f t="shared" si="2"/>
        <v>Christopher Rochez</v>
      </c>
      <c r="F147" s="3">
        <v>75740</v>
      </c>
      <c r="G147" s="3" t="str">
        <f>CONCATENATE(F147,"OVR")</f>
        <v>75740OVR</v>
      </c>
      <c r="H147" s="4">
        <v>46023</v>
      </c>
      <c r="I147" s="3" t="s">
        <v>54</v>
      </c>
      <c r="J147" s="5">
        <v>165</v>
      </c>
      <c r="K147" s="3" t="s">
        <v>666</v>
      </c>
    </row>
    <row r="148" spans="1:11" s="3" customFormat="1" x14ac:dyDescent="0.25">
      <c r="A148" s="3" t="s">
        <v>676</v>
      </c>
      <c r="B148" s="3">
        <v>20411454</v>
      </c>
      <c r="C148" s="3" t="s">
        <v>81</v>
      </c>
      <c r="D148" s="3" t="s">
        <v>82</v>
      </c>
      <c r="E148" t="str">
        <f t="shared" si="2"/>
        <v>Anthony Depaoli</v>
      </c>
      <c r="F148" s="3">
        <v>400</v>
      </c>
      <c r="G148" s="3" t="str">
        <f>CONCATENATE(F148,"OVR")</f>
        <v>400OVR</v>
      </c>
      <c r="H148" s="4">
        <v>46054</v>
      </c>
      <c r="I148" s="3" t="s">
        <v>54</v>
      </c>
      <c r="J148" s="5">
        <v>110</v>
      </c>
      <c r="K148" s="3" t="s">
        <v>666</v>
      </c>
    </row>
    <row r="149" spans="1:11" s="3" customFormat="1" x14ac:dyDescent="0.25">
      <c r="A149" s="3" t="s">
        <v>676</v>
      </c>
      <c r="B149" s="3">
        <v>20411454</v>
      </c>
      <c r="C149" s="3" t="s">
        <v>85</v>
      </c>
      <c r="D149" s="3" t="s">
        <v>86</v>
      </c>
      <c r="E149" t="str">
        <f t="shared" si="2"/>
        <v>Pamela Robinson</v>
      </c>
      <c r="F149" s="3">
        <v>40290</v>
      </c>
      <c r="G149" s="3" t="str">
        <f>CONCATENATE(F149,"OVR")</f>
        <v>40290OVR</v>
      </c>
      <c r="H149" s="4">
        <v>46054</v>
      </c>
      <c r="I149" s="3" t="s">
        <v>54</v>
      </c>
      <c r="J149" s="5">
        <v>165</v>
      </c>
      <c r="K149" s="3" t="s">
        <v>666</v>
      </c>
    </row>
    <row r="150" spans="1:11" s="3" customFormat="1" x14ac:dyDescent="0.25">
      <c r="A150" s="3" t="s">
        <v>676</v>
      </c>
      <c r="B150" s="3">
        <v>20411454</v>
      </c>
      <c r="C150" s="3" t="s">
        <v>88</v>
      </c>
      <c r="D150" s="3" t="s">
        <v>89</v>
      </c>
      <c r="E150" t="str">
        <f t="shared" si="2"/>
        <v>Jean Otoole</v>
      </c>
      <c r="F150" s="3">
        <v>90920</v>
      </c>
      <c r="G150" s="3" t="str">
        <f>CONCATENATE(F150,"OVR")</f>
        <v>90920OVR</v>
      </c>
      <c r="H150" s="4">
        <v>46023</v>
      </c>
      <c r="I150" s="3" t="s">
        <v>54</v>
      </c>
      <c r="J150" s="5">
        <v>165</v>
      </c>
      <c r="K150" s="3" t="s">
        <v>666</v>
      </c>
    </row>
    <row r="151" spans="1:11" s="3" customFormat="1" x14ac:dyDescent="0.25">
      <c r="A151" s="3" t="s">
        <v>676</v>
      </c>
      <c r="B151" s="3">
        <v>20411454</v>
      </c>
      <c r="C151" s="3" t="s">
        <v>91</v>
      </c>
      <c r="D151" s="3" t="s">
        <v>92</v>
      </c>
      <c r="E151" t="str">
        <f t="shared" si="2"/>
        <v>Peggy Dempe</v>
      </c>
      <c r="F151" s="3">
        <v>91020</v>
      </c>
      <c r="G151" s="3" t="str">
        <f>CONCATENATE(F151,"OVR")</f>
        <v>91020OVR</v>
      </c>
      <c r="H151" s="4">
        <v>46023</v>
      </c>
      <c r="I151" s="3" t="s">
        <v>54</v>
      </c>
      <c r="J151" s="5">
        <v>165</v>
      </c>
      <c r="K151" s="3" t="s">
        <v>666</v>
      </c>
    </row>
    <row r="152" spans="1:11" s="3" customFormat="1" x14ac:dyDescent="0.25">
      <c r="A152" s="3" t="s">
        <v>676</v>
      </c>
      <c r="B152" s="3">
        <v>20411454</v>
      </c>
      <c r="C152" s="3" t="s">
        <v>94</v>
      </c>
      <c r="D152" s="3" t="s">
        <v>95</v>
      </c>
      <c r="E152" t="str">
        <f t="shared" si="2"/>
        <v>Lynn Papso</v>
      </c>
      <c r="F152" s="3">
        <v>91330</v>
      </c>
      <c r="G152" s="3" t="str">
        <f>CONCATENATE(F152,"OVR")</f>
        <v>91330OVR</v>
      </c>
      <c r="H152" s="4">
        <v>46023</v>
      </c>
      <c r="I152" s="3" t="s">
        <v>54</v>
      </c>
      <c r="J152" s="5">
        <v>165</v>
      </c>
      <c r="K152" s="3" t="s">
        <v>666</v>
      </c>
    </row>
    <row r="153" spans="1:11" s="3" customFormat="1" x14ac:dyDescent="0.25">
      <c r="A153" s="3" t="s">
        <v>676</v>
      </c>
      <c r="B153" s="3">
        <v>20411454</v>
      </c>
      <c r="C153" s="3" t="s">
        <v>97</v>
      </c>
      <c r="D153" s="3" t="s">
        <v>98</v>
      </c>
      <c r="E153" t="str">
        <f t="shared" si="2"/>
        <v>Donna Paladino</v>
      </c>
      <c r="F153" s="3">
        <v>20790</v>
      </c>
      <c r="G153" s="3" t="str">
        <f>CONCATENATE(F153,"OVR")</f>
        <v>20790OVR</v>
      </c>
      <c r="H153" s="4">
        <v>46023</v>
      </c>
      <c r="I153" s="3" t="s">
        <v>54</v>
      </c>
      <c r="J153" s="5">
        <v>165</v>
      </c>
      <c r="K153" s="3" t="s">
        <v>666</v>
      </c>
    </row>
    <row r="154" spans="1:11" s="3" customFormat="1" x14ac:dyDescent="0.25">
      <c r="A154" s="3" t="s">
        <v>676</v>
      </c>
      <c r="B154" s="3">
        <v>20411454</v>
      </c>
      <c r="C154" s="3" t="s">
        <v>100</v>
      </c>
      <c r="D154" s="3" t="s">
        <v>101</v>
      </c>
      <c r="E154" t="str">
        <f t="shared" si="2"/>
        <v>Maureen Rebmann</v>
      </c>
      <c r="F154" s="3">
        <v>59790</v>
      </c>
      <c r="G154" s="3" t="str">
        <f>CONCATENATE(F154,"OVR")</f>
        <v>59790OVR</v>
      </c>
      <c r="H154" s="4">
        <v>46023</v>
      </c>
      <c r="I154" s="3" t="s">
        <v>54</v>
      </c>
      <c r="J154" s="5">
        <v>165</v>
      </c>
      <c r="K154" s="3" t="s">
        <v>666</v>
      </c>
    </row>
    <row r="155" spans="1:11" s="3" customFormat="1" x14ac:dyDescent="0.25">
      <c r="A155" s="3" t="s">
        <v>676</v>
      </c>
      <c r="B155" s="3">
        <v>20411454</v>
      </c>
      <c r="C155" s="3" t="s">
        <v>103</v>
      </c>
      <c r="D155" s="3" t="s">
        <v>104</v>
      </c>
      <c r="E155" t="str">
        <f t="shared" si="2"/>
        <v>Margaret Woodford</v>
      </c>
      <c r="F155" s="3">
        <v>60200</v>
      </c>
      <c r="G155" s="3" t="str">
        <f>CONCATENATE(F155,"OVR")</f>
        <v>60200OVR</v>
      </c>
      <c r="H155" s="4">
        <v>46054</v>
      </c>
      <c r="I155" s="3" t="s">
        <v>54</v>
      </c>
      <c r="J155" s="5">
        <v>165</v>
      </c>
      <c r="K155" s="3" t="s">
        <v>666</v>
      </c>
    </row>
    <row r="156" spans="1:11" s="3" customFormat="1" x14ac:dyDescent="0.25">
      <c r="A156" s="3" t="s">
        <v>676</v>
      </c>
      <c r="B156" s="3">
        <v>20411454</v>
      </c>
      <c r="C156" s="3" t="s">
        <v>106</v>
      </c>
      <c r="D156" s="3" t="s">
        <v>101</v>
      </c>
      <c r="E156" t="str">
        <f t="shared" si="2"/>
        <v>E Rebmann</v>
      </c>
      <c r="F156" s="3">
        <v>60290</v>
      </c>
      <c r="G156" s="3" t="str">
        <f>CONCATENATE(F156,"OVR")</f>
        <v>60290OVR</v>
      </c>
      <c r="H156" s="4">
        <v>46023</v>
      </c>
      <c r="I156" s="3" t="s">
        <v>54</v>
      </c>
      <c r="J156" s="5">
        <v>165</v>
      </c>
      <c r="K156" s="3" t="s">
        <v>666</v>
      </c>
    </row>
    <row r="157" spans="1:11" s="3" customFormat="1" x14ac:dyDescent="0.25">
      <c r="A157" s="3" t="s">
        <v>676</v>
      </c>
      <c r="B157" s="3">
        <v>20411454</v>
      </c>
      <c r="C157" s="3" t="s">
        <v>108</v>
      </c>
      <c r="D157" s="3" t="s">
        <v>109</v>
      </c>
      <c r="E157" t="str">
        <f t="shared" si="2"/>
        <v>Judith Albert</v>
      </c>
      <c r="F157" s="3">
        <v>72790</v>
      </c>
      <c r="G157" s="3" t="str">
        <f>CONCATENATE(F157,"OVR")</f>
        <v>72790OVR</v>
      </c>
      <c r="H157" s="4">
        <v>46023</v>
      </c>
      <c r="I157" s="3" t="s">
        <v>54</v>
      </c>
      <c r="J157" s="5">
        <v>165</v>
      </c>
      <c r="K157" s="3" t="s">
        <v>666</v>
      </c>
    </row>
    <row r="158" spans="1:11" s="3" customFormat="1" x14ac:dyDescent="0.25">
      <c r="A158" s="3" t="s">
        <v>676</v>
      </c>
      <c r="B158" s="3">
        <v>20411454</v>
      </c>
      <c r="C158" s="3" t="s">
        <v>75</v>
      </c>
      <c r="D158" s="3" t="s">
        <v>112</v>
      </c>
      <c r="E158" t="str">
        <f t="shared" si="2"/>
        <v>Kimberly Neal</v>
      </c>
      <c r="F158" s="3">
        <v>73300</v>
      </c>
      <c r="G158" s="3" t="str">
        <f>CONCATENATE(F158,"OVR")</f>
        <v>73300OVR</v>
      </c>
      <c r="H158" s="4">
        <v>46023</v>
      </c>
      <c r="I158" s="3" t="s">
        <v>54</v>
      </c>
      <c r="J158" s="5">
        <v>165</v>
      </c>
      <c r="K158" s="3" t="s">
        <v>666</v>
      </c>
    </row>
    <row r="159" spans="1:11" s="3" customFormat="1" x14ac:dyDescent="0.25">
      <c r="A159" s="3" t="s">
        <v>676</v>
      </c>
      <c r="B159" s="3">
        <v>20411454</v>
      </c>
      <c r="C159" s="3" t="s">
        <v>114</v>
      </c>
      <c r="D159" s="3" t="s">
        <v>115</v>
      </c>
      <c r="E159" t="str">
        <f t="shared" si="2"/>
        <v>Daniel Gornick</v>
      </c>
      <c r="F159" s="3">
        <v>90670</v>
      </c>
      <c r="G159" s="3" t="str">
        <f>CONCATENATE(F159,"OVR")</f>
        <v>90670OVR</v>
      </c>
      <c r="H159" s="4">
        <v>46023</v>
      </c>
      <c r="I159" s="3" t="s">
        <v>54</v>
      </c>
      <c r="J159" s="5">
        <v>165</v>
      </c>
      <c r="K159" s="3" t="s">
        <v>666</v>
      </c>
    </row>
    <row r="160" spans="1:11" s="3" customFormat="1" x14ac:dyDescent="0.25">
      <c r="A160" s="3" t="s">
        <v>676</v>
      </c>
      <c r="B160" s="3">
        <v>20411454</v>
      </c>
      <c r="C160" s="3" t="s">
        <v>117</v>
      </c>
      <c r="D160" s="3" t="s">
        <v>118</v>
      </c>
      <c r="E160" t="str">
        <f t="shared" si="2"/>
        <v>Michael Hill</v>
      </c>
      <c r="F160" s="3">
        <v>24220</v>
      </c>
      <c r="G160" s="3" t="str">
        <f>CONCATENATE(F160,"OVR")</f>
        <v>24220OVR</v>
      </c>
      <c r="H160" s="4">
        <v>46023</v>
      </c>
      <c r="I160" s="3" t="s">
        <v>54</v>
      </c>
      <c r="J160" s="5">
        <v>165</v>
      </c>
      <c r="K160" s="3" t="s">
        <v>666</v>
      </c>
    </row>
    <row r="161" spans="1:11" s="3" customFormat="1" x14ac:dyDescent="0.25">
      <c r="A161" s="3" t="s">
        <v>676</v>
      </c>
      <c r="B161" s="3">
        <v>20411454</v>
      </c>
      <c r="C161" s="3" t="s">
        <v>120</v>
      </c>
      <c r="D161" s="3" t="s">
        <v>121</v>
      </c>
      <c r="E161" t="str">
        <f t="shared" si="2"/>
        <v>Ida Howard</v>
      </c>
      <c r="F161" s="3">
        <v>28100</v>
      </c>
      <c r="G161" s="3" t="str">
        <f>CONCATENATE(F161,"OVR")</f>
        <v>28100OVR</v>
      </c>
      <c r="H161" s="4">
        <v>46023</v>
      </c>
      <c r="I161" s="3" t="s">
        <v>54</v>
      </c>
      <c r="J161" s="5">
        <v>165</v>
      </c>
      <c r="K161" s="3" t="s">
        <v>666</v>
      </c>
    </row>
    <row r="162" spans="1:11" s="3" customFormat="1" x14ac:dyDescent="0.25">
      <c r="A162" s="3" t="s">
        <v>676</v>
      </c>
      <c r="B162" s="3">
        <v>20411454</v>
      </c>
      <c r="C162" s="3" t="s">
        <v>64</v>
      </c>
      <c r="D162" s="3" t="s">
        <v>123</v>
      </c>
      <c r="E162" t="str">
        <f t="shared" si="2"/>
        <v>Barbara Davenport</v>
      </c>
      <c r="F162" s="3">
        <v>44950</v>
      </c>
      <c r="G162" s="3" t="str">
        <f>CONCATENATE(F162,"OVR")</f>
        <v>44950OVR</v>
      </c>
      <c r="H162" s="4">
        <v>46023</v>
      </c>
      <c r="I162" s="3" t="s">
        <v>54</v>
      </c>
      <c r="J162" s="5">
        <v>165</v>
      </c>
      <c r="K162" s="3" t="s">
        <v>666</v>
      </c>
    </row>
    <row r="163" spans="1:11" s="3" customFormat="1" x14ac:dyDescent="0.25">
      <c r="A163" s="3" t="s">
        <v>676</v>
      </c>
      <c r="B163" s="3">
        <v>20411454</v>
      </c>
      <c r="C163" s="3" t="s">
        <v>125</v>
      </c>
      <c r="D163" s="3" t="s">
        <v>126</v>
      </c>
      <c r="E163" t="str">
        <f t="shared" si="2"/>
        <v>Cynthia Pieniadz</v>
      </c>
      <c r="F163" s="3">
        <v>59040</v>
      </c>
      <c r="G163" s="3" t="str">
        <f>CONCATENATE(F163,"OVR")</f>
        <v>59040OVR</v>
      </c>
      <c r="H163" s="4">
        <v>46082</v>
      </c>
      <c r="I163" s="3" t="s">
        <v>54</v>
      </c>
      <c r="J163" s="5">
        <v>165</v>
      </c>
      <c r="K163" s="3" t="s">
        <v>666</v>
      </c>
    </row>
    <row r="164" spans="1:11" s="3" customFormat="1" x14ac:dyDescent="0.25">
      <c r="A164" s="3" t="s">
        <v>676</v>
      </c>
      <c r="B164" s="3">
        <v>20411454</v>
      </c>
      <c r="C164" s="3" t="s">
        <v>128</v>
      </c>
      <c r="D164" s="3" t="s">
        <v>129</v>
      </c>
      <c r="E164" t="str">
        <f t="shared" si="2"/>
        <v>John Meanor</v>
      </c>
      <c r="F164" s="3">
        <v>60130</v>
      </c>
      <c r="G164" s="3" t="str">
        <f>CONCATENATE(F164,"OVR")</f>
        <v>60130OVR</v>
      </c>
      <c r="H164" s="4">
        <v>46082</v>
      </c>
      <c r="I164" s="3" t="s">
        <v>54</v>
      </c>
      <c r="J164" s="5">
        <v>165</v>
      </c>
      <c r="K164" s="3" t="s">
        <v>666</v>
      </c>
    </row>
    <row r="165" spans="1:11" s="3" customFormat="1" x14ac:dyDescent="0.25">
      <c r="A165" s="3" t="s">
        <v>676</v>
      </c>
      <c r="B165" s="3">
        <v>20411454</v>
      </c>
      <c r="C165" s="3" t="s">
        <v>131</v>
      </c>
      <c r="D165" s="3" t="s">
        <v>132</v>
      </c>
      <c r="E165" t="str">
        <f t="shared" si="2"/>
        <v>Brenda Simmon</v>
      </c>
      <c r="F165" s="3">
        <v>64730</v>
      </c>
      <c r="G165" s="3" t="str">
        <f>CONCATENATE(F165,"OVR")</f>
        <v>64730OVR</v>
      </c>
      <c r="H165" s="4">
        <v>46023</v>
      </c>
      <c r="I165" s="3" t="s">
        <v>54</v>
      </c>
      <c r="J165" s="5">
        <v>165</v>
      </c>
      <c r="K165" s="3" t="s">
        <v>666</v>
      </c>
    </row>
    <row r="166" spans="1:11" s="3" customFormat="1" x14ac:dyDescent="0.25">
      <c r="A166" s="3" t="s">
        <v>676</v>
      </c>
      <c r="B166" s="3">
        <v>20411454</v>
      </c>
      <c r="C166" s="3" t="s">
        <v>134</v>
      </c>
      <c r="D166" s="3" t="s">
        <v>135</v>
      </c>
      <c r="E166" t="str">
        <f t="shared" si="2"/>
        <v>M Lastoria</v>
      </c>
      <c r="F166" s="3">
        <v>64820</v>
      </c>
      <c r="G166" s="3" t="str">
        <f>CONCATENATE(F166,"OVR")</f>
        <v>64820OVR</v>
      </c>
      <c r="H166" s="4">
        <v>46023</v>
      </c>
      <c r="I166" s="3" t="s">
        <v>54</v>
      </c>
      <c r="J166" s="5">
        <v>165</v>
      </c>
      <c r="K166" s="3" t="s">
        <v>666</v>
      </c>
    </row>
    <row r="167" spans="1:11" s="3" customFormat="1" x14ac:dyDescent="0.25">
      <c r="A167" s="3" t="s">
        <v>676</v>
      </c>
      <c r="B167" s="3">
        <v>20411454</v>
      </c>
      <c r="C167" s="3" t="s">
        <v>137</v>
      </c>
      <c r="D167" s="3" t="s">
        <v>65</v>
      </c>
      <c r="E167" t="str">
        <f t="shared" si="2"/>
        <v>Gary Dzumela</v>
      </c>
      <c r="F167" s="3">
        <v>68120</v>
      </c>
      <c r="G167" s="3" t="str">
        <f>CONCATENATE(F167,"OVR")</f>
        <v>68120OVR</v>
      </c>
      <c r="H167" s="4">
        <v>46023</v>
      </c>
      <c r="I167" s="3" t="s">
        <v>54</v>
      </c>
      <c r="J167" s="5">
        <v>165</v>
      </c>
      <c r="K167" s="3" t="s">
        <v>666</v>
      </c>
    </row>
    <row r="168" spans="1:11" s="3" customFormat="1" x14ac:dyDescent="0.25">
      <c r="A168" s="3" t="s">
        <v>676</v>
      </c>
      <c r="B168" s="3">
        <v>20411454</v>
      </c>
      <c r="C168" s="3" t="s">
        <v>24</v>
      </c>
      <c r="D168" s="3" t="s">
        <v>139</v>
      </c>
      <c r="E168" t="str">
        <f t="shared" si="2"/>
        <v>Joseph Smith</v>
      </c>
      <c r="F168" s="3">
        <v>65680</v>
      </c>
      <c r="G168" s="3" t="str">
        <f>CONCATENATE(F168,"OVR")</f>
        <v>65680OVR</v>
      </c>
      <c r="H168" s="4">
        <v>46023</v>
      </c>
      <c r="I168" s="3" t="s">
        <v>54</v>
      </c>
      <c r="J168" s="5">
        <v>165</v>
      </c>
      <c r="K168" s="3" t="s">
        <v>666</v>
      </c>
    </row>
    <row r="169" spans="1:11" s="3" customFormat="1" x14ac:dyDescent="0.25">
      <c r="A169" s="3" t="s">
        <v>676</v>
      </c>
      <c r="B169" s="3">
        <v>20411454</v>
      </c>
      <c r="C169" s="3" t="s">
        <v>142</v>
      </c>
      <c r="D169" s="3" t="s">
        <v>143</v>
      </c>
      <c r="E169" t="str">
        <f t="shared" si="2"/>
        <v>Terri Shuminsky</v>
      </c>
      <c r="F169" s="3">
        <v>36080</v>
      </c>
      <c r="G169" s="3" t="str">
        <f>CONCATENATE(F169,"OVR")</f>
        <v>36080OVR</v>
      </c>
      <c r="H169" s="4">
        <v>46023</v>
      </c>
      <c r="I169" s="3" t="s">
        <v>54</v>
      </c>
      <c r="J169" s="5">
        <v>165</v>
      </c>
      <c r="K169" s="3" t="s">
        <v>666</v>
      </c>
    </row>
    <row r="170" spans="1:11" s="3" customFormat="1" x14ac:dyDescent="0.25">
      <c r="A170" s="3" t="s">
        <v>676</v>
      </c>
      <c r="B170" s="3">
        <v>20411454</v>
      </c>
      <c r="C170" s="3" t="s">
        <v>145</v>
      </c>
      <c r="D170" s="3" t="s">
        <v>146</v>
      </c>
      <c r="E170" t="str">
        <f t="shared" si="2"/>
        <v>Mitchell Malecky</v>
      </c>
      <c r="F170" s="3">
        <v>84410</v>
      </c>
      <c r="G170" s="3" t="str">
        <f>CONCATENATE(F170,"OVR")</f>
        <v>84410OVR</v>
      </c>
      <c r="H170" s="4">
        <v>46082</v>
      </c>
      <c r="I170" s="3" t="s">
        <v>54</v>
      </c>
      <c r="J170" s="5">
        <v>110</v>
      </c>
      <c r="K170" s="3" t="s">
        <v>666</v>
      </c>
    </row>
    <row r="171" spans="1:11" s="3" customFormat="1" x14ac:dyDescent="0.25">
      <c r="A171" s="3" t="s">
        <v>676</v>
      </c>
      <c r="B171" s="3">
        <v>20411454</v>
      </c>
      <c r="C171" s="3" t="s">
        <v>75</v>
      </c>
      <c r="D171" s="3" t="s">
        <v>148</v>
      </c>
      <c r="E171" t="str">
        <f t="shared" si="2"/>
        <v>Kimberly Johnston</v>
      </c>
      <c r="F171" s="3">
        <v>64220</v>
      </c>
      <c r="G171" s="3" t="str">
        <f>CONCATENATE(F171,"OVR")</f>
        <v>64220OVR</v>
      </c>
      <c r="H171" s="4">
        <v>46082</v>
      </c>
      <c r="I171" s="3" t="s">
        <v>54</v>
      </c>
      <c r="J171" s="5">
        <v>110</v>
      </c>
      <c r="K171" s="3" t="s">
        <v>666</v>
      </c>
    </row>
    <row r="172" spans="1:11" s="3" customFormat="1" x14ac:dyDescent="0.25">
      <c r="A172" s="3" t="s">
        <v>676</v>
      </c>
      <c r="B172" s="3">
        <v>20411454</v>
      </c>
      <c r="C172" s="3" t="s">
        <v>150</v>
      </c>
      <c r="D172" s="3" t="s">
        <v>151</v>
      </c>
      <c r="E172" t="str">
        <f t="shared" si="2"/>
        <v>Arlene Freehling</v>
      </c>
      <c r="F172" s="3">
        <v>20970</v>
      </c>
      <c r="G172" s="3" t="str">
        <f>CONCATENATE(F172,"OVR")</f>
        <v>20970OVR</v>
      </c>
      <c r="H172" s="4">
        <v>46054</v>
      </c>
      <c r="I172" s="3" t="s">
        <v>54</v>
      </c>
      <c r="J172" s="5">
        <v>110</v>
      </c>
      <c r="K172" s="3" t="s">
        <v>666</v>
      </c>
    </row>
    <row r="173" spans="1:11" s="3" customFormat="1" x14ac:dyDescent="0.25">
      <c r="A173" s="3" t="s">
        <v>676</v>
      </c>
      <c r="B173" s="3">
        <v>20411454</v>
      </c>
      <c r="C173" s="3" t="s">
        <v>12</v>
      </c>
      <c r="D173" s="3" t="s">
        <v>153</v>
      </c>
      <c r="E173" t="str">
        <f t="shared" si="2"/>
        <v>Karen Monday</v>
      </c>
      <c r="F173" s="3">
        <v>2890</v>
      </c>
      <c r="G173" s="3" t="str">
        <f>CONCATENATE(F173,"OVR")</f>
        <v>2890OVR</v>
      </c>
      <c r="H173" s="4">
        <v>46082</v>
      </c>
      <c r="I173" s="3" t="s">
        <v>54</v>
      </c>
      <c r="J173" s="5">
        <v>110</v>
      </c>
      <c r="K173" s="3" t="s">
        <v>666</v>
      </c>
    </row>
    <row r="174" spans="1:11" s="3" customFormat="1" x14ac:dyDescent="0.25">
      <c r="A174" s="3" t="s">
        <v>676</v>
      </c>
      <c r="B174" s="3">
        <v>20411454</v>
      </c>
      <c r="C174" s="3" t="s">
        <v>155</v>
      </c>
      <c r="D174" s="3" t="s">
        <v>156</v>
      </c>
      <c r="E174" t="str">
        <f t="shared" si="2"/>
        <v>Dawn Wissinger</v>
      </c>
      <c r="F174" s="3">
        <v>17560</v>
      </c>
      <c r="G174" s="3" t="str">
        <f>CONCATENATE(F174,"OVR")</f>
        <v>17560OVR</v>
      </c>
      <c r="H174" s="4">
        <v>46054</v>
      </c>
      <c r="I174" s="3" t="s">
        <v>54</v>
      </c>
      <c r="J174" s="5">
        <v>110</v>
      </c>
      <c r="K174" s="3" t="s">
        <v>666</v>
      </c>
    </row>
    <row r="175" spans="1:11" s="3" customFormat="1" x14ac:dyDescent="0.25">
      <c r="A175" s="3" t="s">
        <v>676</v>
      </c>
      <c r="B175" s="3">
        <v>20411454</v>
      </c>
      <c r="C175" s="3" t="s">
        <v>158</v>
      </c>
      <c r="D175" s="3" t="s">
        <v>159</v>
      </c>
      <c r="E175" t="str">
        <f t="shared" si="2"/>
        <v>Bernadette Graves</v>
      </c>
      <c r="F175" s="3">
        <v>65970</v>
      </c>
      <c r="G175" s="3" t="str">
        <f>CONCATENATE(F175,"OVR")</f>
        <v>65970OVR</v>
      </c>
      <c r="H175" s="4">
        <v>46054</v>
      </c>
      <c r="I175" s="3" t="s">
        <v>54</v>
      </c>
      <c r="J175" s="5">
        <v>110</v>
      </c>
      <c r="K175" s="3" t="s">
        <v>666</v>
      </c>
    </row>
    <row r="176" spans="1:11" s="3" customFormat="1" x14ac:dyDescent="0.25">
      <c r="A176" s="3" t="s">
        <v>676</v>
      </c>
      <c r="B176" s="3">
        <v>20411454</v>
      </c>
      <c r="C176" s="3" t="s">
        <v>161</v>
      </c>
      <c r="D176" s="3" t="s">
        <v>162</v>
      </c>
      <c r="E176" t="str">
        <f t="shared" si="2"/>
        <v>Paul Mcvicker</v>
      </c>
      <c r="F176" s="3">
        <v>73590</v>
      </c>
      <c r="G176" s="3" t="str">
        <f>CONCATENATE(F176,"OVR")</f>
        <v>73590OVR</v>
      </c>
      <c r="H176" s="4">
        <v>46054</v>
      </c>
      <c r="I176" s="3" t="s">
        <v>54</v>
      </c>
      <c r="J176" s="5">
        <v>110</v>
      </c>
      <c r="K176" s="3" t="s">
        <v>666</v>
      </c>
    </row>
    <row r="177" spans="1:11" s="3" customFormat="1" x14ac:dyDescent="0.25">
      <c r="A177" s="3" t="s">
        <v>676</v>
      </c>
      <c r="B177" s="3">
        <v>20411454</v>
      </c>
      <c r="C177" s="3" t="s">
        <v>88</v>
      </c>
      <c r="D177" s="3" t="s">
        <v>164</v>
      </c>
      <c r="E177" t="str">
        <f t="shared" si="2"/>
        <v>Jean Jenkins</v>
      </c>
      <c r="F177" s="3">
        <v>38800</v>
      </c>
      <c r="G177" s="3" t="str">
        <f>CONCATENATE(F177,"OVR")</f>
        <v>38800OVR</v>
      </c>
      <c r="H177" s="4">
        <v>46023</v>
      </c>
      <c r="I177" s="3" t="s">
        <v>166</v>
      </c>
      <c r="J177" s="5">
        <v>108.75</v>
      </c>
      <c r="K177" s="3" t="s">
        <v>666</v>
      </c>
    </row>
    <row r="178" spans="1:11" s="3" customFormat="1" x14ac:dyDescent="0.25">
      <c r="A178" s="3" t="s">
        <v>676</v>
      </c>
      <c r="B178" s="3">
        <v>20411454</v>
      </c>
      <c r="C178" s="3" t="s">
        <v>167</v>
      </c>
      <c r="D178" s="3" t="s">
        <v>168</v>
      </c>
      <c r="E178" t="str">
        <f t="shared" si="2"/>
        <v>Mario Soto</v>
      </c>
      <c r="F178" s="3">
        <v>76660</v>
      </c>
      <c r="G178" s="3" t="str">
        <f>CONCATENATE(F178,"OVR")</f>
        <v>76660OVR</v>
      </c>
      <c r="H178" s="4">
        <v>46023</v>
      </c>
      <c r="I178" s="3" t="s">
        <v>166</v>
      </c>
      <c r="J178" s="5">
        <v>108.75</v>
      </c>
      <c r="K178" s="3" t="s">
        <v>666</v>
      </c>
    </row>
    <row r="179" spans="1:11" s="3" customFormat="1" x14ac:dyDescent="0.25">
      <c r="A179" s="3" t="s">
        <v>676</v>
      </c>
      <c r="B179" s="3">
        <v>20411454</v>
      </c>
      <c r="C179" s="3" t="s">
        <v>170</v>
      </c>
      <c r="D179" s="3" t="s">
        <v>171</v>
      </c>
      <c r="E179" t="str">
        <f t="shared" si="2"/>
        <v>Aleka Costianis</v>
      </c>
      <c r="F179" s="3">
        <v>72420</v>
      </c>
      <c r="G179" s="3" t="str">
        <f>CONCATENATE(F179,"OVR")</f>
        <v>72420OVR</v>
      </c>
      <c r="H179" s="4">
        <v>42005</v>
      </c>
      <c r="I179" s="3" t="s">
        <v>166</v>
      </c>
      <c r="J179" s="5">
        <v>72.5</v>
      </c>
      <c r="K179" s="3" t="s">
        <v>666</v>
      </c>
    </row>
    <row r="180" spans="1:11" s="3" customFormat="1" x14ac:dyDescent="0.25">
      <c r="A180" s="3" t="s">
        <v>676</v>
      </c>
      <c r="B180" s="3">
        <v>20411454</v>
      </c>
      <c r="C180" s="3" t="s">
        <v>173</v>
      </c>
      <c r="D180" s="3" t="s">
        <v>174</v>
      </c>
      <c r="E180" t="str">
        <f t="shared" si="2"/>
        <v>Tamara Pankuch</v>
      </c>
      <c r="F180" s="3">
        <v>50510</v>
      </c>
      <c r="G180" s="3" t="str">
        <f>CONCATENATE(F180,"OVR")</f>
        <v>50510OVR</v>
      </c>
      <c r="H180" s="4">
        <v>46023</v>
      </c>
      <c r="I180" s="3" t="s">
        <v>166</v>
      </c>
      <c r="J180" s="5">
        <v>108.75</v>
      </c>
      <c r="K180" s="3" t="s">
        <v>666</v>
      </c>
    </row>
    <row r="181" spans="1:11" s="3" customFormat="1" x14ac:dyDescent="0.25">
      <c r="A181" s="3" t="s">
        <v>676</v>
      </c>
      <c r="B181" s="3">
        <v>20411454</v>
      </c>
      <c r="C181" s="3" t="s">
        <v>176</v>
      </c>
      <c r="D181" s="3" t="s">
        <v>177</v>
      </c>
      <c r="E181" t="str">
        <f t="shared" si="2"/>
        <v>Loretta Dulski</v>
      </c>
      <c r="F181" s="3">
        <v>39270</v>
      </c>
      <c r="G181" s="3" t="str">
        <f>CONCATENATE(F181,"OVR")</f>
        <v>39270OVR</v>
      </c>
      <c r="H181" s="4">
        <v>46023</v>
      </c>
      <c r="I181" s="3" t="s">
        <v>166</v>
      </c>
      <c r="J181" s="5">
        <v>108.75</v>
      </c>
      <c r="K181" s="3" t="s">
        <v>666</v>
      </c>
    </row>
    <row r="182" spans="1:11" s="3" customFormat="1" x14ac:dyDescent="0.25">
      <c r="A182" s="3" t="s">
        <v>676</v>
      </c>
      <c r="B182" s="3">
        <v>20411454</v>
      </c>
      <c r="C182" s="3" t="s">
        <v>179</v>
      </c>
      <c r="D182" s="3" t="s">
        <v>180</v>
      </c>
      <c r="E182" t="str">
        <f t="shared" si="2"/>
        <v>Darlene Boehm</v>
      </c>
      <c r="F182" s="3">
        <v>72460</v>
      </c>
      <c r="G182" s="3" t="str">
        <f>CONCATENATE(F182,"OVR")</f>
        <v>72460OVR</v>
      </c>
      <c r="H182" s="4">
        <v>46023</v>
      </c>
      <c r="I182" s="3" t="s">
        <v>166</v>
      </c>
      <c r="J182" s="5">
        <v>108.75</v>
      </c>
      <c r="K182" s="3" t="s">
        <v>666</v>
      </c>
    </row>
    <row r="183" spans="1:11" s="3" customFormat="1" x14ac:dyDescent="0.25">
      <c r="A183" s="3" t="s">
        <v>676</v>
      </c>
      <c r="B183" s="3">
        <v>20411454</v>
      </c>
      <c r="C183" s="3" t="s">
        <v>24</v>
      </c>
      <c r="D183" s="3" t="s">
        <v>182</v>
      </c>
      <c r="E183" t="str">
        <f t="shared" si="2"/>
        <v>Joseph Bagnato</v>
      </c>
      <c r="F183" s="3">
        <v>39350</v>
      </c>
      <c r="G183" s="3" t="str">
        <f>CONCATENATE(F183,"OVR")</f>
        <v>39350OVR</v>
      </c>
      <c r="H183" s="4">
        <v>45444</v>
      </c>
      <c r="I183" s="3" t="s">
        <v>166</v>
      </c>
      <c r="J183" s="5">
        <v>72.5</v>
      </c>
      <c r="K183" s="3" t="s">
        <v>666</v>
      </c>
    </row>
    <row r="184" spans="1:11" s="3" customFormat="1" x14ac:dyDescent="0.25">
      <c r="A184" s="3" t="s">
        <v>676</v>
      </c>
      <c r="B184" s="3">
        <v>20411454</v>
      </c>
      <c r="C184" s="3" t="s">
        <v>184</v>
      </c>
      <c r="D184" s="3" t="s">
        <v>185</v>
      </c>
      <c r="E184" t="str">
        <f t="shared" si="2"/>
        <v>Kenneth Barna</v>
      </c>
      <c r="F184" s="3">
        <v>23190</v>
      </c>
      <c r="G184" s="3" t="str">
        <f>CONCATENATE(F184,"OVR")</f>
        <v>23190OVR</v>
      </c>
      <c r="H184" s="4">
        <v>46023</v>
      </c>
      <c r="I184" s="3" t="s">
        <v>166</v>
      </c>
      <c r="J184" s="5">
        <v>108.75</v>
      </c>
      <c r="K184" s="3" t="s">
        <v>666</v>
      </c>
    </row>
    <row r="185" spans="1:11" s="3" customFormat="1" x14ac:dyDescent="0.25">
      <c r="A185" s="3" t="s">
        <v>676</v>
      </c>
      <c r="B185" s="3">
        <v>20411454</v>
      </c>
      <c r="C185" s="3" t="s">
        <v>187</v>
      </c>
      <c r="D185" s="3" t="s">
        <v>188</v>
      </c>
      <c r="E185" t="str">
        <f t="shared" si="2"/>
        <v>Christine Peters</v>
      </c>
      <c r="F185" s="3">
        <v>42290</v>
      </c>
      <c r="G185" s="3" t="str">
        <f>CONCATENATE(F185,"OVR")</f>
        <v>42290OVR</v>
      </c>
      <c r="H185" s="4">
        <v>45839</v>
      </c>
      <c r="I185" s="3" t="s">
        <v>166</v>
      </c>
      <c r="J185" s="5">
        <v>72.5</v>
      </c>
      <c r="K185" s="3" t="s">
        <v>666</v>
      </c>
    </row>
    <row r="186" spans="1:11" s="3" customFormat="1" x14ac:dyDescent="0.25">
      <c r="A186" s="3" t="s">
        <v>676</v>
      </c>
      <c r="B186" s="3">
        <v>20411454</v>
      </c>
      <c r="C186" s="3" t="s">
        <v>190</v>
      </c>
      <c r="D186" s="3" t="s">
        <v>191</v>
      </c>
      <c r="E186" t="str">
        <f t="shared" si="2"/>
        <v>James Miller</v>
      </c>
      <c r="F186" s="3">
        <v>77520</v>
      </c>
      <c r="G186" s="3" t="str">
        <f>CONCATENATE(F186,"OVR")</f>
        <v>77520OVR</v>
      </c>
      <c r="H186" s="4">
        <v>45809</v>
      </c>
      <c r="I186" s="3" t="s">
        <v>166</v>
      </c>
      <c r="J186" s="5">
        <v>72.5</v>
      </c>
      <c r="K186" s="3" t="s">
        <v>666</v>
      </c>
    </row>
    <row r="187" spans="1:11" s="3" customFormat="1" x14ac:dyDescent="0.25">
      <c r="A187" s="3" t="s">
        <v>676</v>
      </c>
      <c r="B187" s="3">
        <v>20411454</v>
      </c>
      <c r="C187" s="3" t="s">
        <v>193</v>
      </c>
      <c r="D187" s="3" t="s">
        <v>194</v>
      </c>
      <c r="E187" t="str">
        <f t="shared" si="2"/>
        <v>Nancy Fry</v>
      </c>
      <c r="F187" s="3">
        <v>41020</v>
      </c>
      <c r="G187" s="3" t="str">
        <f>CONCATENATE(F187,"OVR")</f>
        <v>41020OVR</v>
      </c>
      <c r="H187" s="4">
        <v>44682</v>
      </c>
      <c r="I187" s="3" t="s">
        <v>166</v>
      </c>
      <c r="J187" s="5">
        <v>108.75</v>
      </c>
      <c r="K187" s="3" t="s">
        <v>666</v>
      </c>
    </row>
    <row r="188" spans="1:11" s="3" customFormat="1" x14ac:dyDescent="0.25">
      <c r="A188" s="3" t="s">
        <v>676</v>
      </c>
      <c r="B188" s="3">
        <v>20411454</v>
      </c>
      <c r="C188" s="3" t="s">
        <v>72</v>
      </c>
      <c r="D188" s="3" t="s">
        <v>196</v>
      </c>
      <c r="E188" t="str">
        <f t="shared" si="2"/>
        <v>Timothy Mckee</v>
      </c>
      <c r="F188" s="3">
        <v>37590</v>
      </c>
      <c r="G188" s="3" t="str">
        <f>CONCATENATE(F188,"OVR")</f>
        <v>37590OVR</v>
      </c>
      <c r="H188" s="4">
        <v>46023</v>
      </c>
      <c r="I188" s="3" t="s">
        <v>166</v>
      </c>
      <c r="J188" s="5">
        <v>108.75</v>
      </c>
      <c r="K188" s="3" t="s">
        <v>666</v>
      </c>
    </row>
    <row r="189" spans="1:11" s="3" customFormat="1" x14ac:dyDescent="0.25">
      <c r="A189" s="3" t="s">
        <v>676</v>
      </c>
      <c r="B189" s="3">
        <v>20411454</v>
      </c>
      <c r="C189" s="3" t="s">
        <v>198</v>
      </c>
      <c r="D189" s="3" t="s">
        <v>199</v>
      </c>
      <c r="E189" t="str">
        <f t="shared" si="2"/>
        <v>Robert Pollack</v>
      </c>
      <c r="F189" s="3">
        <v>25240</v>
      </c>
      <c r="G189" s="3" t="str">
        <f>CONCATENATE(F189,"OVR")</f>
        <v>25240OVR</v>
      </c>
      <c r="H189" s="4">
        <v>42095</v>
      </c>
      <c r="I189" s="3" t="s">
        <v>166</v>
      </c>
      <c r="J189" s="5">
        <v>72.5</v>
      </c>
      <c r="K189" s="3" t="s">
        <v>666</v>
      </c>
    </row>
    <row r="190" spans="1:11" s="3" customFormat="1" x14ac:dyDescent="0.25">
      <c r="A190" s="3" t="s">
        <v>676</v>
      </c>
      <c r="B190" s="3">
        <v>20411454</v>
      </c>
      <c r="C190" s="3" t="s">
        <v>190</v>
      </c>
      <c r="D190" s="3" t="s">
        <v>201</v>
      </c>
      <c r="E190" t="str">
        <f t="shared" si="2"/>
        <v>James Ripple</v>
      </c>
      <c r="F190" s="3">
        <v>78490</v>
      </c>
      <c r="G190" s="3" t="str">
        <f>CONCATENATE(F190,"OVR")</f>
        <v>78490OVR</v>
      </c>
      <c r="H190" s="4">
        <v>45658</v>
      </c>
      <c r="I190" s="3" t="s">
        <v>166</v>
      </c>
      <c r="J190" s="5">
        <v>72.5</v>
      </c>
      <c r="K190" s="3" t="s">
        <v>666</v>
      </c>
    </row>
    <row r="191" spans="1:11" s="3" customFormat="1" x14ac:dyDescent="0.25">
      <c r="A191" s="3" t="s">
        <v>676</v>
      </c>
      <c r="B191" s="3">
        <v>20411454</v>
      </c>
      <c r="C191" s="3" t="s">
        <v>203</v>
      </c>
      <c r="D191" s="3" t="s">
        <v>204</v>
      </c>
      <c r="E191" t="str">
        <f t="shared" si="2"/>
        <v>David Freiss</v>
      </c>
      <c r="F191" s="3">
        <v>83030</v>
      </c>
      <c r="G191" s="3" t="str">
        <f>CONCATENATE(F191,"OVR")</f>
        <v>83030OVR</v>
      </c>
      <c r="H191" s="4">
        <v>42767</v>
      </c>
      <c r="I191" s="3" t="s">
        <v>166</v>
      </c>
      <c r="J191" s="5">
        <v>72.5</v>
      </c>
      <c r="K191" s="3" t="s">
        <v>666</v>
      </c>
    </row>
    <row r="192" spans="1:11" s="3" customFormat="1" x14ac:dyDescent="0.25">
      <c r="A192" s="3" t="s">
        <v>676</v>
      </c>
      <c r="B192" s="3">
        <v>20411454</v>
      </c>
      <c r="C192" s="3" t="s">
        <v>206</v>
      </c>
      <c r="D192" s="3" t="s">
        <v>207</v>
      </c>
      <c r="E192" t="str">
        <f t="shared" si="2"/>
        <v>Ann Germond</v>
      </c>
      <c r="F192" s="3">
        <v>98740</v>
      </c>
      <c r="G192" s="3" t="str">
        <f>CONCATENATE(F192,"OVR")</f>
        <v>98740OVR</v>
      </c>
      <c r="H192" s="4">
        <v>46023</v>
      </c>
      <c r="I192" s="3" t="s">
        <v>166</v>
      </c>
      <c r="J192" s="5">
        <v>108.75</v>
      </c>
      <c r="K192" s="3" t="s">
        <v>666</v>
      </c>
    </row>
    <row r="193" spans="1:11" s="3" customFormat="1" x14ac:dyDescent="0.25">
      <c r="A193" s="3" t="s">
        <v>676</v>
      </c>
      <c r="B193" s="3">
        <v>20411454</v>
      </c>
      <c r="C193" s="3" t="s">
        <v>209</v>
      </c>
      <c r="D193" s="3" t="s">
        <v>210</v>
      </c>
      <c r="E193" t="str">
        <f t="shared" si="2"/>
        <v>Roseanne Szybka</v>
      </c>
      <c r="F193" s="3">
        <v>9830</v>
      </c>
      <c r="G193" s="3" t="str">
        <f>CONCATENATE(F193,"OVR")</f>
        <v>9830OVR</v>
      </c>
      <c r="H193" s="4">
        <v>46023</v>
      </c>
      <c r="I193" s="3" t="s">
        <v>166</v>
      </c>
      <c r="J193" s="5">
        <v>108.75</v>
      </c>
      <c r="K193" s="3" t="s">
        <v>666</v>
      </c>
    </row>
    <row r="194" spans="1:11" s="3" customFormat="1" x14ac:dyDescent="0.25">
      <c r="A194" s="3" t="s">
        <v>676</v>
      </c>
      <c r="B194" s="3">
        <v>20411454</v>
      </c>
      <c r="C194" s="3" t="s">
        <v>212</v>
      </c>
      <c r="D194" s="3" t="s">
        <v>213</v>
      </c>
      <c r="E194" t="str">
        <f t="shared" si="2"/>
        <v>Toni Multunas</v>
      </c>
      <c r="F194" s="3">
        <v>91120</v>
      </c>
      <c r="G194" s="3" t="str">
        <f>CONCATENATE(F194,"OVR")</f>
        <v>91120OVR</v>
      </c>
      <c r="H194" s="4">
        <v>46023</v>
      </c>
      <c r="I194" s="3" t="s">
        <v>166</v>
      </c>
      <c r="J194" s="5">
        <v>108.75</v>
      </c>
      <c r="K194" s="3" t="s">
        <v>666</v>
      </c>
    </row>
    <row r="195" spans="1:11" s="3" customFormat="1" x14ac:dyDescent="0.25">
      <c r="A195" s="3" t="s">
        <v>676</v>
      </c>
      <c r="B195" s="3">
        <v>20411454</v>
      </c>
      <c r="C195" s="3" t="s">
        <v>215</v>
      </c>
      <c r="D195" s="3" t="s">
        <v>216</v>
      </c>
      <c r="E195" t="str">
        <f t="shared" ref="E195:E258" si="3">CONCATENATE(C195," ",D195)</f>
        <v>Deborah Vadas</v>
      </c>
      <c r="F195" s="3">
        <v>97490</v>
      </c>
      <c r="G195" s="3" t="str">
        <f>CONCATENATE(F195,"OVR")</f>
        <v>97490OVR</v>
      </c>
      <c r="H195" s="4">
        <v>46023</v>
      </c>
      <c r="I195" s="3" t="s">
        <v>166</v>
      </c>
      <c r="J195" s="5">
        <v>108.75</v>
      </c>
      <c r="K195" s="3" t="s">
        <v>666</v>
      </c>
    </row>
    <row r="196" spans="1:11" s="3" customFormat="1" x14ac:dyDescent="0.25">
      <c r="A196" s="3" t="s">
        <v>676</v>
      </c>
      <c r="B196" s="3">
        <v>20411454</v>
      </c>
      <c r="C196" s="3" t="s">
        <v>218</v>
      </c>
      <c r="D196" s="3" t="s">
        <v>219</v>
      </c>
      <c r="E196" t="str">
        <f t="shared" si="3"/>
        <v>Russel Wilson</v>
      </c>
      <c r="F196" s="3">
        <v>22370</v>
      </c>
      <c r="G196" s="3" t="str">
        <f>CONCATENATE(F196,"OVR")</f>
        <v>22370OVR</v>
      </c>
      <c r="H196" s="4">
        <v>45474</v>
      </c>
      <c r="I196" s="3" t="s">
        <v>166</v>
      </c>
      <c r="J196" s="5">
        <v>72.5</v>
      </c>
      <c r="K196" s="3" t="s">
        <v>666</v>
      </c>
    </row>
    <row r="197" spans="1:11" s="3" customFormat="1" x14ac:dyDescent="0.25">
      <c r="A197" s="3" t="s">
        <v>676</v>
      </c>
      <c r="B197" s="3">
        <v>20411454</v>
      </c>
      <c r="C197" s="3" t="s">
        <v>20</v>
      </c>
      <c r="D197" s="3" t="s">
        <v>174</v>
      </c>
      <c r="E197" t="str">
        <f t="shared" si="3"/>
        <v>Eric Pankuch</v>
      </c>
      <c r="F197" s="3">
        <v>95640</v>
      </c>
      <c r="G197" s="3" t="str">
        <f>CONCATENATE(F197,"OVR")</f>
        <v>95640OVR</v>
      </c>
      <c r="H197" s="4">
        <v>46023</v>
      </c>
      <c r="I197" s="3" t="s">
        <v>166</v>
      </c>
      <c r="J197" s="5">
        <v>108.75</v>
      </c>
      <c r="K197" s="3" t="s">
        <v>666</v>
      </c>
    </row>
    <row r="198" spans="1:11" s="3" customFormat="1" x14ac:dyDescent="0.25">
      <c r="A198" s="3" t="s">
        <v>676</v>
      </c>
      <c r="B198" s="3">
        <v>20411454</v>
      </c>
      <c r="C198" s="3" t="s">
        <v>222</v>
      </c>
      <c r="D198" s="3" t="s">
        <v>86</v>
      </c>
      <c r="E198" t="str">
        <f t="shared" si="3"/>
        <v>Denise Robinson</v>
      </c>
      <c r="F198" s="3">
        <v>39160</v>
      </c>
      <c r="G198" s="3" t="str">
        <f>CONCATENATE(F198,"OVR")</f>
        <v>39160OVR</v>
      </c>
      <c r="H198" s="4">
        <v>46023</v>
      </c>
      <c r="I198" s="3" t="s">
        <v>166</v>
      </c>
      <c r="J198" s="5">
        <v>108.75</v>
      </c>
      <c r="K198" s="3" t="s">
        <v>666</v>
      </c>
    </row>
    <row r="199" spans="1:11" s="3" customFormat="1" x14ac:dyDescent="0.25">
      <c r="A199" s="3" t="s">
        <v>676</v>
      </c>
      <c r="B199" s="3">
        <v>20411454</v>
      </c>
      <c r="C199" s="3" t="s">
        <v>61</v>
      </c>
      <c r="D199" s="3" t="s">
        <v>201</v>
      </c>
      <c r="E199" t="str">
        <f t="shared" si="3"/>
        <v>Patricia Ripple</v>
      </c>
      <c r="F199" s="3">
        <v>87650</v>
      </c>
      <c r="G199" s="3" t="str">
        <f>CONCATENATE(F199,"OVR")</f>
        <v>87650OVR</v>
      </c>
      <c r="H199" s="4">
        <v>45658</v>
      </c>
      <c r="I199" s="3" t="s">
        <v>166</v>
      </c>
      <c r="J199" s="5">
        <v>72.5</v>
      </c>
      <c r="K199" s="3" t="s">
        <v>666</v>
      </c>
    </row>
    <row r="200" spans="1:11" s="3" customFormat="1" x14ac:dyDescent="0.25">
      <c r="A200" s="3" t="s">
        <v>676</v>
      </c>
      <c r="B200" s="3">
        <v>20411454</v>
      </c>
      <c r="C200" s="3" t="s">
        <v>117</v>
      </c>
      <c r="D200" s="3" t="s">
        <v>225</v>
      </c>
      <c r="E200" t="str">
        <f t="shared" si="3"/>
        <v>Michael Steele</v>
      </c>
      <c r="F200" s="3">
        <v>23230</v>
      </c>
      <c r="G200" s="3" t="str">
        <f>CONCATENATE(F200,"OVR")</f>
        <v>23230OVR</v>
      </c>
      <c r="H200" s="4">
        <v>45505</v>
      </c>
      <c r="I200" s="3" t="s">
        <v>166</v>
      </c>
      <c r="J200" s="5">
        <v>72.5</v>
      </c>
      <c r="K200" s="3" t="s">
        <v>666</v>
      </c>
    </row>
    <row r="201" spans="1:11" s="3" customFormat="1" x14ac:dyDescent="0.25">
      <c r="A201" s="3" t="s">
        <v>676</v>
      </c>
      <c r="B201" s="3">
        <v>20411454</v>
      </c>
      <c r="C201" s="3" t="s">
        <v>12</v>
      </c>
      <c r="D201" s="3" t="s">
        <v>227</v>
      </c>
      <c r="E201" t="str">
        <f t="shared" si="3"/>
        <v>Karen Maglicco</v>
      </c>
      <c r="F201" s="3">
        <v>72730</v>
      </c>
      <c r="G201" s="3" t="str">
        <f>CONCATENATE(F201,"OVR")</f>
        <v>72730OVR</v>
      </c>
      <c r="H201" s="4">
        <v>46023</v>
      </c>
      <c r="I201" s="3" t="s">
        <v>166</v>
      </c>
      <c r="J201" s="5">
        <v>108.75</v>
      </c>
      <c r="K201" s="3" t="s">
        <v>666</v>
      </c>
    </row>
    <row r="202" spans="1:11" s="3" customFormat="1" x14ac:dyDescent="0.25">
      <c r="A202" s="3" t="s">
        <v>676</v>
      </c>
      <c r="B202" s="3">
        <v>20411454</v>
      </c>
      <c r="C202" s="3" t="s">
        <v>229</v>
      </c>
      <c r="D202" s="3" t="s">
        <v>230</v>
      </c>
      <c r="E202" t="str">
        <f t="shared" si="3"/>
        <v>Mark Falconer</v>
      </c>
      <c r="F202" s="3">
        <v>70580</v>
      </c>
      <c r="G202" s="3" t="str">
        <f>CONCATENATE(F202,"OVR")</f>
        <v>70580OVR</v>
      </c>
      <c r="H202" s="4">
        <v>44713</v>
      </c>
      <c r="I202" s="3" t="s">
        <v>166</v>
      </c>
      <c r="J202" s="5">
        <v>72.5</v>
      </c>
      <c r="K202" s="3" t="s">
        <v>666</v>
      </c>
    </row>
    <row r="203" spans="1:11" s="3" customFormat="1" x14ac:dyDescent="0.25">
      <c r="A203" s="3" t="s">
        <v>676</v>
      </c>
      <c r="B203" s="3">
        <v>20411454</v>
      </c>
      <c r="C203" s="3" t="s">
        <v>232</v>
      </c>
      <c r="D203" s="3" t="s">
        <v>233</v>
      </c>
      <c r="E203" t="str">
        <f t="shared" si="3"/>
        <v>Dorothy Alfred</v>
      </c>
      <c r="F203" s="3">
        <v>91110</v>
      </c>
      <c r="G203" s="3" t="str">
        <f>CONCATENATE(F203,"OVR")</f>
        <v>91110OVR</v>
      </c>
      <c r="H203" s="4">
        <v>46023</v>
      </c>
      <c r="I203" s="3" t="s">
        <v>166</v>
      </c>
      <c r="J203" s="5">
        <v>108.75</v>
      </c>
      <c r="K203" s="3" t="s">
        <v>666</v>
      </c>
    </row>
    <row r="204" spans="1:11" s="3" customFormat="1" x14ac:dyDescent="0.25">
      <c r="A204" s="3" t="s">
        <v>676</v>
      </c>
      <c r="B204" s="3">
        <v>20411454</v>
      </c>
      <c r="C204" s="3" t="s">
        <v>235</v>
      </c>
      <c r="D204" s="3" t="s">
        <v>236</v>
      </c>
      <c r="E204" t="str">
        <f t="shared" si="3"/>
        <v>Susan Hufnagel</v>
      </c>
      <c r="F204" s="3">
        <v>63190</v>
      </c>
      <c r="G204" s="3" t="str">
        <f>CONCATENATE(F204,"OVR")</f>
        <v>63190OVR</v>
      </c>
      <c r="H204" s="4">
        <v>46023</v>
      </c>
      <c r="I204" s="3" t="s">
        <v>166</v>
      </c>
      <c r="J204" s="5">
        <v>108.75</v>
      </c>
      <c r="K204" s="3" t="s">
        <v>666</v>
      </c>
    </row>
    <row r="205" spans="1:11" s="3" customFormat="1" x14ac:dyDescent="0.25">
      <c r="A205" s="3" t="s">
        <v>676</v>
      </c>
      <c r="B205" s="3">
        <v>20411454</v>
      </c>
      <c r="C205" s="3" t="s">
        <v>97</v>
      </c>
      <c r="D205" s="3" t="s">
        <v>238</v>
      </c>
      <c r="E205" t="str">
        <f t="shared" si="3"/>
        <v>Donna Giovanazzi</v>
      </c>
      <c r="F205" s="3">
        <v>17450</v>
      </c>
      <c r="G205" s="3" t="str">
        <f>CONCATENATE(F205,"OVR")</f>
        <v>17450OVR</v>
      </c>
      <c r="H205" s="4">
        <v>46023</v>
      </c>
      <c r="I205" s="3" t="s">
        <v>166</v>
      </c>
      <c r="J205" s="5">
        <v>108.75</v>
      </c>
      <c r="K205" s="3" t="s">
        <v>666</v>
      </c>
    </row>
    <row r="206" spans="1:11" s="3" customFormat="1" x14ac:dyDescent="0.25">
      <c r="A206" s="3" t="s">
        <v>676</v>
      </c>
      <c r="B206" s="3">
        <v>20411454</v>
      </c>
      <c r="C206" s="3" t="s">
        <v>24</v>
      </c>
      <c r="D206" s="3" t="s">
        <v>240</v>
      </c>
      <c r="E206" t="str">
        <f t="shared" si="3"/>
        <v>Joseph Karam</v>
      </c>
      <c r="F206" s="3">
        <v>9980</v>
      </c>
      <c r="G206" s="3" t="str">
        <f>CONCATENATE(F206,"OVR")</f>
        <v>9980OVR</v>
      </c>
      <c r="H206" s="4">
        <v>44986</v>
      </c>
      <c r="I206" s="3" t="s">
        <v>166</v>
      </c>
      <c r="J206" s="5">
        <v>108.75</v>
      </c>
      <c r="K206" s="3" t="s">
        <v>666</v>
      </c>
    </row>
    <row r="207" spans="1:11" s="3" customFormat="1" x14ac:dyDescent="0.25">
      <c r="A207" s="3" t="s">
        <v>676</v>
      </c>
      <c r="B207" s="3">
        <v>20411454</v>
      </c>
      <c r="C207" s="3" t="s">
        <v>193</v>
      </c>
      <c r="D207" s="3" t="s">
        <v>242</v>
      </c>
      <c r="E207" t="str">
        <f t="shared" si="3"/>
        <v>Nancy Cushanick</v>
      </c>
      <c r="F207" s="3">
        <v>29780</v>
      </c>
      <c r="G207" s="3" t="str">
        <f>CONCATENATE(F207,"OVR")</f>
        <v>29780OVR</v>
      </c>
      <c r="H207" s="4">
        <v>45413</v>
      </c>
      <c r="I207" s="3" t="s">
        <v>166</v>
      </c>
      <c r="J207" s="5">
        <v>72.5</v>
      </c>
      <c r="K207" s="3" t="s">
        <v>666</v>
      </c>
    </row>
    <row r="208" spans="1:11" s="3" customFormat="1" x14ac:dyDescent="0.25">
      <c r="A208" s="3" t="s">
        <v>676</v>
      </c>
      <c r="B208" s="3">
        <v>20411454</v>
      </c>
      <c r="C208" s="3" t="s">
        <v>244</v>
      </c>
      <c r="D208" s="3" t="s">
        <v>245</v>
      </c>
      <c r="E208" t="str">
        <f t="shared" si="3"/>
        <v>Cheryl Johnson</v>
      </c>
      <c r="F208" s="3">
        <v>52740</v>
      </c>
      <c r="G208" s="3" t="str">
        <f>CONCATENATE(F208,"OVR")</f>
        <v>52740OVR</v>
      </c>
      <c r="H208" s="4">
        <v>45717</v>
      </c>
      <c r="I208" s="3" t="s">
        <v>166</v>
      </c>
      <c r="J208" s="5">
        <v>72.5</v>
      </c>
      <c r="K208" s="3" t="s">
        <v>666</v>
      </c>
    </row>
    <row r="209" spans="1:11" s="3" customFormat="1" x14ac:dyDescent="0.25">
      <c r="A209" s="3" t="s">
        <v>676</v>
      </c>
      <c r="B209" s="3">
        <v>20411454</v>
      </c>
      <c r="C209" s="3" t="s">
        <v>247</v>
      </c>
      <c r="D209" s="3" t="s">
        <v>248</v>
      </c>
      <c r="E209" t="str">
        <f t="shared" si="3"/>
        <v>Scott Mengel</v>
      </c>
      <c r="F209" s="3">
        <v>11270</v>
      </c>
      <c r="G209" s="3" t="str">
        <f>CONCATENATE(F209,"OVR")</f>
        <v>11270OVR</v>
      </c>
      <c r="H209" s="4">
        <v>45292</v>
      </c>
      <c r="I209" s="3" t="s">
        <v>166</v>
      </c>
      <c r="J209" s="5">
        <v>72.5</v>
      </c>
      <c r="K209" s="3" t="s">
        <v>666</v>
      </c>
    </row>
    <row r="210" spans="1:11" s="3" customFormat="1" x14ac:dyDescent="0.25">
      <c r="A210" s="3" t="s">
        <v>676</v>
      </c>
      <c r="B210" s="3">
        <v>20411454</v>
      </c>
      <c r="C210" s="3" t="s">
        <v>128</v>
      </c>
      <c r="D210" s="3" t="s">
        <v>251</v>
      </c>
      <c r="E210" t="str">
        <f t="shared" si="3"/>
        <v>John Daley</v>
      </c>
      <c r="F210" s="3">
        <v>90670</v>
      </c>
      <c r="G210" s="3" t="str">
        <f>CONCATENATE(F210,"OVR")</f>
        <v>90670OVR</v>
      </c>
      <c r="H210" s="4">
        <v>45658</v>
      </c>
      <c r="I210" s="3" t="s">
        <v>166</v>
      </c>
      <c r="J210" s="5">
        <v>72.5</v>
      </c>
      <c r="K210" s="3" t="s">
        <v>666</v>
      </c>
    </row>
    <row r="211" spans="1:11" s="3" customFormat="1" x14ac:dyDescent="0.25">
      <c r="A211" s="3" t="s">
        <v>676</v>
      </c>
      <c r="B211" s="3">
        <v>20411454</v>
      </c>
      <c r="C211" s="3" t="s">
        <v>252</v>
      </c>
      <c r="D211" s="3" t="s">
        <v>253</v>
      </c>
      <c r="E211" t="str">
        <f t="shared" si="3"/>
        <v>Ellen Bolton</v>
      </c>
      <c r="F211" s="3">
        <v>25400</v>
      </c>
      <c r="G211" s="3" t="str">
        <f>CONCATENATE(F211,"OVR")</f>
        <v>25400OVR</v>
      </c>
      <c r="H211" s="4">
        <v>45658</v>
      </c>
      <c r="I211" s="3" t="s">
        <v>166</v>
      </c>
      <c r="J211" s="5">
        <v>72.5</v>
      </c>
      <c r="K211" s="3" t="s">
        <v>666</v>
      </c>
    </row>
    <row r="212" spans="1:11" s="3" customFormat="1" x14ac:dyDescent="0.25">
      <c r="A212" s="3" t="s">
        <v>676</v>
      </c>
      <c r="B212" s="3">
        <v>20411454</v>
      </c>
      <c r="C212" s="3" t="s">
        <v>255</v>
      </c>
      <c r="D212" s="3" t="s">
        <v>256</v>
      </c>
      <c r="E212" t="str">
        <f t="shared" si="3"/>
        <v>Sandra Giles</v>
      </c>
      <c r="F212" s="3">
        <v>68380</v>
      </c>
      <c r="G212" s="3" t="str">
        <f>CONCATENATE(F212,"OVR")</f>
        <v>68380OVR</v>
      </c>
      <c r="H212" s="4">
        <v>45139</v>
      </c>
      <c r="I212" s="3" t="s">
        <v>166</v>
      </c>
      <c r="J212" s="5">
        <v>72.5</v>
      </c>
      <c r="K212" s="3" t="s">
        <v>666</v>
      </c>
    </row>
    <row r="213" spans="1:11" s="3" customFormat="1" x14ac:dyDescent="0.25">
      <c r="A213" s="3" t="s">
        <v>676</v>
      </c>
      <c r="B213" s="3">
        <v>20411454</v>
      </c>
      <c r="C213" s="3" t="s">
        <v>258</v>
      </c>
      <c r="D213" s="3" t="s">
        <v>259</v>
      </c>
      <c r="E213" t="str">
        <f t="shared" si="3"/>
        <v>Kathleen Barbaro</v>
      </c>
      <c r="F213" s="3">
        <v>72370</v>
      </c>
      <c r="G213" s="3" t="str">
        <f>CONCATENATE(F213,"OVR")</f>
        <v>72370OVR</v>
      </c>
      <c r="H213" s="4">
        <v>45323</v>
      </c>
      <c r="I213" s="3" t="s">
        <v>166</v>
      </c>
      <c r="J213" s="5">
        <v>72.5</v>
      </c>
      <c r="K213" s="3" t="s">
        <v>666</v>
      </c>
    </row>
    <row r="214" spans="1:11" s="3" customFormat="1" x14ac:dyDescent="0.25">
      <c r="A214" s="3" t="s">
        <v>676</v>
      </c>
      <c r="B214" s="3">
        <v>20411454</v>
      </c>
      <c r="C214" s="3" t="s">
        <v>261</v>
      </c>
      <c r="D214" s="3" t="s">
        <v>262</v>
      </c>
      <c r="E214" t="str">
        <f t="shared" si="3"/>
        <v>Stephen Gronsky</v>
      </c>
      <c r="F214" s="3">
        <v>67110</v>
      </c>
      <c r="G214" s="3" t="str">
        <f>CONCATENATE(F214,"OVR")</f>
        <v>67110OVR</v>
      </c>
      <c r="H214" s="4">
        <v>46023</v>
      </c>
      <c r="I214" s="3" t="s">
        <v>166</v>
      </c>
      <c r="J214" s="5">
        <v>108.75</v>
      </c>
      <c r="K214" s="3" t="s">
        <v>666</v>
      </c>
    </row>
    <row r="215" spans="1:11" s="3" customFormat="1" x14ac:dyDescent="0.25">
      <c r="A215" s="3" t="s">
        <v>676</v>
      </c>
      <c r="B215" s="3">
        <v>20411454</v>
      </c>
      <c r="C215" s="3" t="s">
        <v>97</v>
      </c>
      <c r="D215" s="3" t="s">
        <v>264</v>
      </c>
      <c r="E215" t="str">
        <f t="shared" si="3"/>
        <v>Donna Frack</v>
      </c>
      <c r="F215" s="3">
        <v>71770</v>
      </c>
      <c r="G215" s="3" t="str">
        <f>CONCATENATE(F215,"OVR")</f>
        <v>71770OVR</v>
      </c>
      <c r="H215" s="4">
        <v>44986</v>
      </c>
      <c r="I215" s="3" t="s">
        <v>166</v>
      </c>
      <c r="J215" s="5">
        <v>72.5</v>
      </c>
      <c r="K215" s="3" t="s">
        <v>666</v>
      </c>
    </row>
    <row r="216" spans="1:11" s="3" customFormat="1" x14ac:dyDescent="0.25">
      <c r="A216" s="3" t="s">
        <v>676</v>
      </c>
      <c r="B216" s="3">
        <v>20411454</v>
      </c>
      <c r="C216" s="3" t="s">
        <v>24</v>
      </c>
      <c r="D216" s="3" t="s">
        <v>266</v>
      </c>
      <c r="E216" t="str">
        <f t="shared" si="3"/>
        <v>Joseph Zawacki</v>
      </c>
      <c r="F216" s="3">
        <v>47950</v>
      </c>
      <c r="G216" s="3" t="str">
        <f>CONCATENATE(F216,"OVR")</f>
        <v>47950OVR</v>
      </c>
      <c r="H216" s="4">
        <v>45383</v>
      </c>
      <c r="I216" s="3" t="s">
        <v>166</v>
      </c>
      <c r="J216" s="5">
        <v>72.5</v>
      </c>
      <c r="K216" s="3" t="s">
        <v>666</v>
      </c>
    </row>
    <row r="217" spans="1:11" s="3" customFormat="1" x14ac:dyDescent="0.25">
      <c r="A217" s="3" t="s">
        <v>676</v>
      </c>
      <c r="B217" s="3">
        <v>20411454</v>
      </c>
      <c r="C217" s="3" t="s">
        <v>268</v>
      </c>
      <c r="D217" s="3" t="s">
        <v>269</v>
      </c>
      <c r="E217" t="str">
        <f t="shared" si="3"/>
        <v>Sally Ragus</v>
      </c>
      <c r="F217" s="3">
        <v>30690</v>
      </c>
      <c r="G217" s="3" t="str">
        <f>CONCATENATE(F217,"OVR")</f>
        <v>30690OVR</v>
      </c>
      <c r="H217" s="4">
        <v>42005</v>
      </c>
      <c r="I217" s="3" t="s">
        <v>166</v>
      </c>
      <c r="J217" s="5">
        <v>72.5</v>
      </c>
      <c r="K217" s="3" t="s">
        <v>666</v>
      </c>
    </row>
    <row r="218" spans="1:11" s="3" customFormat="1" x14ac:dyDescent="0.25">
      <c r="A218" s="3" t="s">
        <v>676</v>
      </c>
      <c r="B218" s="3">
        <v>20411454</v>
      </c>
      <c r="C218" s="3" t="s">
        <v>190</v>
      </c>
      <c r="D218" s="3" t="s">
        <v>271</v>
      </c>
      <c r="E218" t="str">
        <f t="shared" si="3"/>
        <v>James Shook</v>
      </c>
      <c r="F218" s="3">
        <v>39880</v>
      </c>
      <c r="G218" s="3" t="str">
        <f>CONCATENATE(F218,"OVR")</f>
        <v>39880OVR</v>
      </c>
      <c r="H218" s="4">
        <v>45748</v>
      </c>
      <c r="I218" s="3" t="s">
        <v>166</v>
      </c>
      <c r="J218" s="5">
        <v>72.5</v>
      </c>
      <c r="K218" s="3" t="s">
        <v>666</v>
      </c>
    </row>
    <row r="219" spans="1:11" s="3" customFormat="1" x14ac:dyDescent="0.25">
      <c r="A219" s="3" t="s">
        <v>676</v>
      </c>
      <c r="B219" s="3">
        <v>20411454</v>
      </c>
      <c r="C219" s="3" t="s">
        <v>273</v>
      </c>
      <c r="D219" s="3" t="s">
        <v>274</v>
      </c>
      <c r="E219" t="str">
        <f t="shared" si="3"/>
        <v>Raymond Martin</v>
      </c>
      <c r="F219" s="3">
        <v>9110</v>
      </c>
      <c r="G219" s="3" t="str">
        <f>CONCATENATE(F219,"OVR")</f>
        <v>9110OVR</v>
      </c>
      <c r="H219" s="4">
        <v>45658</v>
      </c>
      <c r="I219" s="3" t="s">
        <v>166</v>
      </c>
      <c r="J219" s="5">
        <v>72.5</v>
      </c>
      <c r="K219" s="3" t="s">
        <v>666</v>
      </c>
    </row>
    <row r="220" spans="1:11" s="3" customFormat="1" x14ac:dyDescent="0.25">
      <c r="A220" s="3" t="s">
        <v>676</v>
      </c>
      <c r="B220" s="3">
        <v>20411454</v>
      </c>
      <c r="C220" s="3" t="s">
        <v>276</v>
      </c>
      <c r="D220" s="3" t="s">
        <v>277</v>
      </c>
      <c r="E220" t="str">
        <f t="shared" si="3"/>
        <v>Edward Lowe</v>
      </c>
      <c r="F220" s="3">
        <v>50190</v>
      </c>
      <c r="G220" s="3" t="str">
        <f>CONCATENATE(F220,"OVR")</f>
        <v>50190OVR</v>
      </c>
      <c r="H220" s="4">
        <v>46023</v>
      </c>
      <c r="I220" s="3" t="s">
        <v>166</v>
      </c>
      <c r="J220" s="5">
        <v>108.75</v>
      </c>
      <c r="K220" s="3" t="s">
        <v>666</v>
      </c>
    </row>
    <row r="221" spans="1:11" s="3" customFormat="1" x14ac:dyDescent="0.25">
      <c r="A221" s="3" t="s">
        <v>676</v>
      </c>
      <c r="B221" s="3">
        <v>20411454</v>
      </c>
      <c r="C221" s="3" t="s">
        <v>279</v>
      </c>
      <c r="D221" s="3" t="s">
        <v>280</v>
      </c>
      <c r="E221" t="str">
        <f t="shared" si="3"/>
        <v>Sheila Horvath</v>
      </c>
      <c r="F221" s="3">
        <v>99140</v>
      </c>
      <c r="G221" s="3" t="str">
        <f>CONCATENATE(F221,"OVR")</f>
        <v>99140OVR</v>
      </c>
      <c r="H221" s="4">
        <v>45658</v>
      </c>
      <c r="I221" s="3" t="s">
        <v>166</v>
      </c>
      <c r="J221" s="5">
        <v>72.5</v>
      </c>
      <c r="K221" s="3" t="s">
        <v>666</v>
      </c>
    </row>
    <row r="222" spans="1:11" s="3" customFormat="1" x14ac:dyDescent="0.25">
      <c r="A222" s="3" t="s">
        <v>676</v>
      </c>
      <c r="B222" s="3">
        <v>20411454</v>
      </c>
      <c r="C222" s="3" t="s">
        <v>64</v>
      </c>
      <c r="D222" s="3" t="s">
        <v>219</v>
      </c>
      <c r="E222" t="str">
        <f t="shared" si="3"/>
        <v>Barbara Wilson</v>
      </c>
      <c r="F222" s="3">
        <v>10610</v>
      </c>
      <c r="G222" s="3" t="str">
        <f>CONCATENATE(F222,"OVR")</f>
        <v>10610OVR</v>
      </c>
      <c r="H222" s="4">
        <v>42005</v>
      </c>
      <c r="I222" s="3" t="s">
        <v>166</v>
      </c>
      <c r="J222" s="5">
        <v>72.5</v>
      </c>
      <c r="K222" s="3" t="s">
        <v>666</v>
      </c>
    </row>
    <row r="223" spans="1:11" s="3" customFormat="1" x14ac:dyDescent="0.25">
      <c r="A223" s="3" t="s">
        <v>676</v>
      </c>
      <c r="B223" s="3">
        <v>20411454</v>
      </c>
      <c r="C223" s="3" t="s">
        <v>258</v>
      </c>
      <c r="D223" s="3" t="s">
        <v>283</v>
      </c>
      <c r="E223" t="str">
        <f t="shared" si="3"/>
        <v>Kathleen Achey</v>
      </c>
      <c r="F223" s="3">
        <v>20460</v>
      </c>
      <c r="G223" s="3" t="str">
        <f>CONCATENATE(F223,"OVR")</f>
        <v>20460OVR</v>
      </c>
      <c r="H223" s="4">
        <v>45292</v>
      </c>
      <c r="I223" s="3" t="s">
        <v>166</v>
      </c>
      <c r="J223" s="5">
        <v>72.5</v>
      </c>
      <c r="K223" s="3" t="s">
        <v>666</v>
      </c>
    </row>
    <row r="224" spans="1:11" s="3" customFormat="1" x14ac:dyDescent="0.25">
      <c r="A224" s="3" t="s">
        <v>676</v>
      </c>
      <c r="B224" s="3">
        <v>20411454</v>
      </c>
      <c r="C224" s="3" t="s">
        <v>285</v>
      </c>
      <c r="D224" s="3" t="s">
        <v>286</v>
      </c>
      <c r="E224" t="str">
        <f t="shared" si="3"/>
        <v>Cecilia Makatura</v>
      </c>
      <c r="F224" s="3">
        <v>36180</v>
      </c>
      <c r="G224" s="3" t="str">
        <f>CONCATENATE(F224,"OVR")</f>
        <v>36180OVR</v>
      </c>
      <c r="H224" s="4">
        <v>46023</v>
      </c>
      <c r="I224" s="3" t="s">
        <v>166</v>
      </c>
      <c r="J224" s="5">
        <v>108.75</v>
      </c>
      <c r="K224" s="3" t="s">
        <v>666</v>
      </c>
    </row>
    <row r="225" spans="1:11" s="3" customFormat="1" x14ac:dyDescent="0.25">
      <c r="A225" s="3" t="s">
        <v>676</v>
      </c>
      <c r="B225" s="3">
        <v>20411454</v>
      </c>
      <c r="C225" s="3" t="s">
        <v>288</v>
      </c>
      <c r="D225" s="3" t="s">
        <v>289</v>
      </c>
      <c r="E225" t="str">
        <f t="shared" si="3"/>
        <v>Kathryn Mcmahon</v>
      </c>
      <c r="F225" s="3">
        <v>73590</v>
      </c>
      <c r="G225" s="3" t="str">
        <f>CONCATENATE(F225,"OVR")</f>
        <v>73590OVR</v>
      </c>
      <c r="H225" s="4">
        <v>42005</v>
      </c>
      <c r="I225" s="3" t="s">
        <v>166</v>
      </c>
      <c r="J225" s="5">
        <v>72.5</v>
      </c>
      <c r="K225" s="3" t="s">
        <v>666</v>
      </c>
    </row>
    <row r="226" spans="1:11" s="3" customFormat="1" x14ac:dyDescent="0.25">
      <c r="A226" s="3" t="s">
        <v>676</v>
      </c>
      <c r="B226" s="3">
        <v>20411454</v>
      </c>
      <c r="C226" s="3" t="s">
        <v>290</v>
      </c>
      <c r="D226" s="3" t="s">
        <v>291</v>
      </c>
      <c r="E226" t="str">
        <f t="shared" si="3"/>
        <v>Lucyann Greggo</v>
      </c>
      <c r="F226" s="3">
        <v>20900</v>
      </c>
      <c r="G226" s="3" t="str">
        <f>CONCATENATE(F226,"OVR")</f>
        <v>20900OVR</v>
      </c>
      <c r="H226" s="4">
        <v>46023</v>
      </c>
      <c r="I226" s="3" t="s">
        <v>166</v>
      </c>
      <c r="J226" s="5">
        <v>108.75</v>
      </c>
      <c r="K226" s="3" t="s">
        <v>666</v>
      </c>
    </row>
    <row r="227" spans="1:11" s="3" customFormat="1" x14ac:dyDescent="0.25">
      <c r="A227" s="3" t="s">
        <v>676</v>
      </c>
      <c r="B227" s="3">
        <v>20411454</v>
      </c>
      <c r="C227" s="3" t="s">
        <v>293</v>
      </c>
      <c r="D227" s="3" t="s">
        <v>294</v>
      </c>
      <c r="E227" t="str">
        <f t="shared" si="3"/>
        <v>George Titchnell</v>
      </c>
      <c r="F227" s="3">
        <v>18230</v>
      </c>
      <c r="G227" s="3" t="str">
        <f>CONCATENATE(F227,"OVR")</f>
        <v>18230OVR</v>
      </c>
      <c r="H227" s="4">
        <v>45597</v>
      </c>
      <c r="I227" s="3" t="s">
        <v>166</v>
      </c>
      <c r="J227" s="5">
        <v>72.5</v>
      </c>
      <c r="K227" s="3" t="s">
        <v>666</v>
      </c>
    </row>
    <row r="228" spans="1:11" s="3" customFormat="1" x14ac:dyDescent="0.25">
      <c r="A228" s="3" t="s">
        <v>676</v>
      </c>
      <c r="B228" s="3">
        <v>20411454</v>
      </c>
      <c r="C228" s="3" t="s">
        <v>158</v>
      </c>
      <c r="D228" s="3" t="s">
        <v>296</v>
      </c>
      <c r="E228" t="str">
        <f t="shared" si="3"/>
        <v>Bernadette Little</v>
      </c>
      <c r="F228" s="3">
        <v>39920</v>
      </c>
      <c r="G228" s="3" t="str">
        <f>CONCATENATE(F228,"OVR")</f>
        <v>39920OVR</v>
      </c>
      <c r="H228" s="4">
        <v>45292</v>
      </c>
      <c r="I228" s="3" t="s">
        <v>166</v>
      </c>
      <c r="J228" s="5">
        <v>72.5</v>
      </c>
      <c r="K228" s="3" t="s">
        <v>666</v>
      </c>
    </row>
    <row r="229" spans="1:11" s="3" customFormat="1" x14ac:dyDescent="0.25">
      <c r="A229" s="3" t="s">
        <v>676</v>
      </c>
      <c r="B229" s="3">
        <v>20411454</v>
      </c>
      <c r="C229" s="3" t="s">
        <v>193</v>
      </c>
      <c r="D229" s="3" t="s">
        <v>199</v>
      </c>
      <c r="E229" t="str">
        <f t="shared" si="3"/>
        <v>Nancy Pollack</v>
      </c>
      <c r="F229" s="3">
        <v>49010</v>
      </c>
      <c r="G229" s="3" t="str">
        <f>CONCATENATE(F229,"OVR")</f>
        <v>49010OVR</v>
      </c>
      <c r="H229" s="4">
        <v>46023</v>
      </c>
      <c r="I229" s="3" t="s">
        <v>166</v>
      </c>
      <c r="J229" s="5">
        <v>108.75</v>
      </c>
      <c r="K229" s="3" t="s">
        <v>666</v>
      </c>
    </row>
    <row r="230" spans="1:11" s="3" customFormat="1" x14ac:dyDescent="0.25">
      <c r="A230" s="3" t="s">
        <v>676</v>
      </c>
      <c r="B230" s="3">
        <v>20411454</v>
      </c>
      <c r="C230" s="3" t="s">
        <v>299</v>
      </c>
      <c r="D230" s="3" t="s">
        <v>300</v>
      </c>
      <c r="E230" t="str">
        <f t="shared" si="3"/>
        <v>William Clarke</v>
      </c>
      <c r="F230" s="3">
        <v>59260</v>
      </c>
      <c r="G230" s="3" t="str">
        <f>CONCATENATE(F230,"OVR")</f>
        <v>59260OVR</v>
      </c>
      <c r="H230" s="4">
        <v>45658</v>
      </c>
      <c r="I230" s="3" t="s">
        <v>166</v>
      </c>
      <c r="J230" s="5">
        <v>72.5</v>
      </c>
      <c r="K230" s="3" t="s">
        <v>666</v>
      </c>
    </row>
    <row r="231" spans="1:11" s="3" customFormat="1" x14ac:dyDescent="0.25">
      <c r="A231" s="3" t="s">
        <v>676</v>
      </c>
      <c r="B231" s="3">
        <v>20411454</v>
      </c>
      <c r="C231" s="3" t="s">
        <v>302</v>
      </c>
      <c r="D231" s="3" t="s">
        <v>303</v>
      </c>
      <c r="E231" t="str">
        <f t="shared" si="3"/>
        <v>Sharon Morgan</v>
      </c>
      <c r="F231" s="3">
        <v>58240</v>
      </c>
      <c r="G231" s="3" t="str">
        <f>CONCATENATE(F231,"OVR")</f>
        <v>58240OVR</v>
      </c>
      <c r="H231" s="4">
        <v>45292</v>
      </c>
      <c r="I231" s="3" t="s">
        <v>166</v>
      </c>
      <c r="J231" s="5">
        <v>72.5</v>
      </c>
      <c r="K231" s="3" t="s">
        <v>666</v>
      </c>
    </row>
    <row r="232" spans="1:11" s="3" customFormat="1" x14ac:dyDescent="0.25">
      <c r="A232" s="3" t="s">
        <v>676</v>
      </c>
      <c r="B232" s="3">
        <v>20411454</v>
      </c>
      <c r="C232" s="3" t="s">
        <v>305</v>
      </c>
      <c r="D232" s="3" t="s">
        <v>306</v>
      </c>
      <c r="E232" t="str">
        <f t="shared" si="3"/>
        <v>Rosemary Marks</v>
      </c>
      <c r="F232" s="3">
        <v>72070</v>
      </c>
      <c r="G232" s="3" t="str">
        <f>CONCATENATE(F232,"OVR")</f>
        <v>72070OVR</v>
      </c>
      <c r="H232" s="4">
        <v>46023</v>
      </c>
      <c r="I232" s="3" t="s">
        <v>166</v>
      </c>
      <c r="J232" s="5">
        <v>108.75</v>
      </c>
      <c r="K232" s="3" t="s">
        <v>666</v>
      </c>
    </row>
    <row r="233" spans="1:11" s="3" customFormat="1" x14ac:dyDescent="0.25">
      <c r="A233" s="3" t="s">
        <v>676</v>
      </c>
      <c r="B233" s="3">
        <v>20411454</v>
      </c>
      <c r="C233" s="3" t="s">
        <v>128</v>
      </c>
      <c r="D233" s="3" t="s">
        <v>308</v>
      </c>
      <c r="E233" t="str">
        <f t="shared" si="3"/>
        <v>John Gregor</v>
      </c>
      <c r="F233" s="3">
        <v>88550</v>
      </c>
      <c r="G233" s="3" t="str">
        <f>CONCATENATE(F233,"OVR")</f>
        <v>88550OVR</v>
      </c>
      <c r="H233" s="4">
        <v>46023</v>
      </c>
      <c r="I233" s="3" t="s">
        <v>166</v>
      </c>
      <c r="J233" s="5">
        <v>108.75</v>
      </c>
      <c r="K233" s="3" t="s">
        <v>666</v>
      </c>
    </row>
    <row r="234" spans="1:11" s="3" customFormat="1" x14ac:dyDescent="0.25">
      <c r="A234" s="3" t="s">
        <v>676</v>
      </c>
      <c r="B234" s="3">
        <v>20411454</v>
      </c>
      <c r="C234" s="3" t="s">
        <v>310</v>
      </c>
      <c r="D234" s="3" t="s">
        <v>311</v>
      </c>
      <c r="E234" t="str">
        <f t="shared" si="3"/>
        <v>Barbra Zagurasky</v>
      </c>
      <c r="F234" s="3">
        <v>73030</v>
      </c>
      <c r="G234" s="3" t="str">
        <f>CONCATENATE(F234,"OVR")</f>
        <v>73030OVR</v>
      </c>
      <c r="H234" s="4">
        <v>45658</v>
      </c>
      <c r="I234" s="3" t="s">
        <v>166</v>
      </c>
      <c r="J234" s="5">
        <v>72.5</v>
      </c>
      <c r="K234" s="3" t="s">
        <v>666</v>
      </c>
    </row>
    <row r="235" spans="1:11" s="3" customFormat="1" x14ac:dyDescent="0.25">
      <c r="A235" s="3" t="s">
        <v>676</v>
      </c>
      <c r="B235" s="3">
        <v>20411454</v>
      </c>
      <c r="C235" s="3" t="s">
        <v>61</v>
      </c>
      <c r="D235" s="3" t="s">
        <v>313</v>
      </c>
      <c r="E235" t="str">
        <f t="shared" si="3"/>
        <v>Patricia Barron</v>
      </c>
      <c r="F235" s="3">
        <v>30160</v>
      </c>
      <c r="G235" s="3" t="str">
        <f>CONCATENATE(F235,"OVR")</f>
        <v>30160OVR</v>
      </c>
      <c r="H235" s="4">
        <v>45292</v>
      </c>
      <c r="I235" s="3" t="s">
        <v>166</v>
      </c>
      <c r="J235" s="5">
        <v>72.5</v>
      </c>
      <c r="K235" s="3" t="s">
        <v>666</v>
      </c>
    </row>
    <row r="236" spans="1:11" s="3" customFormat="1" x14ac:dyDescent="0.25">
      <c r="A236" s="3" t="s">
        <v>676</v>
      </c>
      <c r="B236" s="3">
        <v>20411454</v>
      </c>
      <c r="C236" s="3" t="s">
        <v>114</v>
      </c>
      <c r="D236" s="3" t="s">
        <v>315</v>
      </c>
      <c r="E236" t="str">
        <f t="shared" si="3"/>
        <v>Daniel Reeder</v>
      </c>
      <c r="F236" s="3">
        <v>4530</v>
      </c>
      <c r="G236" s="3" t="str">
        <f>CONCATENATE(F236,"OVR")</f>
        <v>4530OVR</v>
      </c>
      <c r="H236" s="4">
        <v>45505</v>
      </c>
      <c r="I236" s="3" t="s">
        <v>166</v>
      </c>
      <c r="J236" s="5">
        <v>72.5</v>
      </c>
      <c r="K236" s="3" t="s">
        <v>666</v>
      </c>
    </row>
    <row r="237" spans="1:11" s="3" customFormat="1" x14ac:dyDescent="0.25">
      <c r="A237" s="3" t="s">
        <v>676</v>
      </c>
      <c r="B237" s="3">
        <v>20411454</v>
      </c>
      <c r="C237" s="3" t="s">
        <v>128</v>
      </c>
      <c r="D237" s="3" t="s">
        <v>317</v>
      </c>
      <c r="E237" t="str">
        <f t="shared" si="3"/>
        <v>John Rosa</v>
      </c>
      <c r="F237" s="3">
        <v>1760</v>
      </c>
      <c r="G237" s="3" t="str">
        <f>CONCATENATE(F237,"OVR")</f>
        <v>1760OVR</v>
      </c>
      <c r="H237" s="4">
        <v>46023</v>
      </c>
      <c r="I237" s="3" t="s">
        <v>166</v>
      </c>
      <c r="J237" s="5">
        <v>108.75</v>
      </c>
      <c r="K237" s="3" t="s">
        <v>666</v>
      </c>
    </row>
    <row r="238" spans="1:11" s="3" customFormat="1" x14ac:dyDescent="0.25">
      <c r="A238" s="3" t="s">
        <v>676</v>
      </c>
      <c r="B238" s="3">
        <v>20411454</v>
      </c>
      <c r="C238" s="3" t="s">
        <v>319</v>
      </c>
      <c r="D238" s="3" t="s">
        <v>320</v>
      </c>
      <c r="E238" t="str">
        <f t="shared" si="3"/>
        <v>Rosanne Leszcynski</v>
      </c>
      <c r="F238" s="3">
        <v>9110</v>
      </c>
      <c r="G238" s="3" t="str">
        <f>CONCATENATE(F238,"OVR")</f>
        <v>9110OVR</v>
      </c>
      <c r="H238" s="4">
        <v>44866</v>
      </c>
      <c r="I238" s="3" t="s">
        <v>166</v>
      </c>
      <c r="J238" s="5">
        <v>72.5</v>
      </c>
      <c r="K238" s="3" t="s">
        <v>666</v>
      </c>
    </row>
    <row r="239" spans="1:11" s="3" customFormat="1" x14ac:dyDescent="0.25">
      <c r="A239" s="3" t="s">
        <v>676</v>
      </c>
      <c r="B239" s="3">
        <v>20411454</v>
      </c>
      <c r="C239" s="3" t="s">
        <v>321</v>
      </c>
      <c r="D239" s="3" t="s">
        <v>322</v>
      </c>
      <c r="E239" t="str">
        <f t="shared" si="3"/>
        <v>Josephine Stempkowski</v>
      </c>
      <c r="F239" s="3">
        <v>83370</v>
      </c>
      <c r="G239" s="3" t="str">
        <f>CONCATENATE(F239,"OVR")</f>
        <v>83370OVR</v>
      </c>
      <c r="H239" s="4">
        <v>45658</v>
      </c>
      <c r="I239" s="3" t="s">
        <v>166</v>
      </c>
      <c r="J239" s="5">
        <v>72.5</v>
      </c>
      <c r="K239" s="3" t="s">
        <v>666</v>
      </c>
    </row>
    <row r="240" spans="1:11" s="3" customFormat="1" x14ac:dyDescent="0.25">
      <c r="A240" s="3" t="s">
        <v>676</v>
      </c>
      <c r="B240" s="3">
        <v>20411454</v>
      </c>
      <c r="C240" s="3" t="s">
        <v>325</v>
      </c>
      <c r="D240" s="3" t="s">
        <v>326</v>
      </c>
      <c r="E240" t="str">
        <f t="shared" si="3"/>
        <v>Shirley Defibaugh</v>
      </c>
      <c r="F240" s="3">
        <v>22800</v>
      </c>
      <c r="G240" s="3" t="str">
        <f>CONCATENATE(F240,"OVR")</f>
        <v>22800OVR</v>
      </c>
      <c r="H240" s="4">
        <v>45658</v>
      </c>
      <c r="I240" s="3" t="s">
        <v>166</v>
      </c>
      <c r="J240" s="5">
        <v>72.5</v>
      </c>
      <c r="K240" s="3" t="s">
        <v>666</v>
      </c>
    </row>
    <row r="241" spans="1:15" s="3" customFormat="1" x14ac:dyDescent="0.25">
      <c r="A241" s="3" t="s">
        <v>676</v>
      </c>
      <c r="B241" s="3">
        <v>20411454</v>
      </c>
      <c r="C241" s="3" t="s">
        <v>193</v>
      </c>
      <c r="D241" s="3" t="s">
        <v>274</v>
      </c>
      <c r="E241" t="str">
        <f t="shared" si="3"/>
        <v>Nancy Martin</v>
      </c>
      <c r="F241" s="3">
        <v>75180</v>
      </c>
      <c r="G241" s="3" t="str">
        <f>CONCATENATE(F241,"OVR")</f>
        <v>75180OVR</v>
      </c>
      <c r="H241" s="4">
        <v>45658</v>
      </c>
      <c r="I241" s="3" t="s">
        <v>166</v>
      </c>
      <c r="J241" s="5">
        <v>72.5</v>
      </c>
      <c r="K241" s="3" t="s">
        <v>666</v>
      </c>
    </row>
    <row r="242" spans="1:15" s="3" customFormat="1" x14ac:dyDescent="0.25">
      <c r="A242" s="3" t="s">
        <v>676</v>
      </c>
      <c r="B242" s="3">
        <v>20411454</v>
      </c>
      <c r="C242" s="3" t="s">
        <v>215</v>
      </c>
      <c r="D242" s="3" t="s">
        <v>329</v>
      </c>
      <c r="E242" t="str">
        <f t="shared" si="3"/>
        <v>Deborah Carter</v>
      </c>
      <c r="F242" s="3">
        <v>88610</v>
      </c>
      <c r="G242" s="3" t="str">
        <f>CONCATENATE(F242,"OVR")</f>
        <v>88610OVR</v>
      </c>
      <c r="H242" s="4">
        <v>45323</v>
      </c>
      <c r="I242" s="3" t="s">
        <v>166</v>
      </c>
      <c r="J242" s="5">
        <v>72.5</v>
      </c>
      <c r="K242" s="3" t="s">
        <v>666</v>
      </c>
    </row>
    <row r="243" spans="1:15" s="3" customFormat="1" x14ac:dyDescent="0.25">
      <c r="A243" s="3" t="s">
        <v>676</v>
      </c>
      <c r="B243" s="3">
        <v>20411454</v>
      </c>
      <c r="C243" s="3" t="s">
        <v>331</v>
      </c>
      <c r="D243" s="3" t="s">
        <v>332</v>
      </c>
      <c r="E243" t="str">
        <f t="shared" si="3"/>
        <v>Alan Shaffer</v>
      </c>
      <c r="F243" s="3">
        <v>76470</v>
      </c>
      <c r="G243" s="3" t="str">
        <f>CONCATENATE(F243,"OVR")</f>
        <v>76470OVR</v>
      </c>
      <c r="H243" s="4">
        <v>45658</v>
      </c>
      <c r="I243" s="3" t="s">
        <v>166</v>
      </c>
      <c r="J243" s="5">
        <v>72.5</v>
      </c>
      <c r="K243" s="3" t="s">
        <v>666</v>
      </c>
    </row>
    <row r="244" spans="1:15" s="3" customFormat="1" x14ac:dyDescent="0.25">
      <c r="A244" s="3" t="s">
        <v>676</v>
      </c>
      <c r="B244" s="3">
        <v>20411454</v>
      </c>
      <c r="C244" s="3" t="s">
        <v>302</v>
      </c>
      <c r="D244" s="3" t="s">
        <v>334</v>
      </c>
      <c r="E244" t="str">
        <f t="shared" si="3"/>
        <v>Sharon Yochum</v>
      </c>
      <c r="F244" s="3">
        <v>10720</v>
      </c>
      <c r="G244" s="3" t="str">
        <f>CONCATENATE(F244,"OVR")</f>
        <v>10720OVR</v>
      </c>
      <c r="H244" s="4">
        <v>44896</v>
      </c>
      <c r="I244" s="3" t="s">
        <v>166</v>
      </c>
      <c r="J244" s="5">
        <v>72.5</v>
      </c>
      <c r="K244" s="3" t="s">
        <v>666</v>
      </c>
    </row>
    <row r="245" spans="1:15" s="3" customFormat="1" x14ac:dyDescent="0.25">
      <c r="A245" s="3" t="s">
        <v>676</v>
      </c>
      <c r="B245" s="3">
        <v>20411454</v>
      </c>
      <c r="C245" s="3" t="s">
        <v>203</v>
      </c>
      <c r="D245" s="3" t="s">
        <v>336</v>
      </c>
      <c r="E245" t="str">
        <f t="shared" si="3"/>
        <v>David King</v>
      </c>
      <c r="F245" s="3">
        <v>5650</v>
      </c>
      <c r="G245" s="3" t="str">
        <f>CONCATENATE(F245,"OVR")</f>
        <v>5650OVR</v>
      </c>
      <c r="H245" s="4">
        <v>45809</v>
      </c>
      <c r="I245" s="3" t="s">
        <v>166</v>
      </c>
      <c r="J245" s="5">
        <v>72.5</v>
      </c>
      <c r="K245" s="3" t="s">
        <v>666</v>
      </c>
    </row>
    <row r="246" spans="1:15" s="3" customFormat="1" x14ac:dyDescent="0.25">
      <c r="A246" s="3" t="s">
        <v>676</v>
      </c>
      <c r="B246" s="3">
        <v>20411454</v>
      </c>
      <c r="C246" s="3" t="s">
        <v>31</v>
      </c>
      <c r="D246" s="3" t="s">
        <v>338</v>
      </c>
      <c r="E246" t="str">
        <f t="shared" si="3"/>
        <v>Donald Lennon</v>
      </c>
      <c r="F246" s="3">
        <v>67310</v>
      </c>
      <c r="G246" s="3" t="str">
        <f>CONCATENATE(F246,"OVR")</f>
        <v>67310OVR</v>
      </c>
      <c r="H246" s="4">
        <v>45505</v>
      </c>
      <c r="I246" s="3" t="s">
        <v>166</v>
      </c>
      <c r="J246" s="5">
        <v>72.5</v>
      </c>
      <c r="K246" s="3" t="s">
        <v>666</v>
      </c>
    </row>
    <row r="247" spans="1:15" s="3" customFormat="1" x14ac:dyDescent="0.25">
      <c r="A247" s="3" t="s">
        <v>676</v>
      </c>
      <c r="B247" s="3">
        <v>20411454</v>
      </c>
      <c r="C247" s="3" t="s">
        <v>340</v>
      </c>
      <c r="D247" s="3" t="s">
        <v>341</v>
      </c>
      <c r="E247" t="str">
        <f t="shared" si="3"/>
        <v>Mary Ayres</v>
      </c>
      <c r="F247" s="3">
        <v>40980</v>
      </c>
      <c r="G247" s="3" t="str">
        <f>CONCATENATE(F247,"OVR")</f>
        <v>40980OVR</v>
      </c>
      <c r="H247" s="4">
        <v>45658</v>
      </c>
      <c r="I247" s="3" t="s">
        <v>166</v>
      </c>
      <c r="J247" s="5">
        <v>72.5</v>
      </c>
      <c r="K247" s="3" t="s">
        <v>666</v>
      </c>
    </row>
    <row r="248" spans="1:15" s="6" customFormat="1" x14ac:dyDescent="0.25">
      <c r="A248" s="3" t="s">
        <v>676</v>
      </c>
      <c r="B248" s="3">
        <v>20411454</v>
      </c>
      <c r="C248" s="3" t="s">
        <v>344</v>
      </c>
      <c r="D248" s="3" t="s">
        <v>345</v>
      </c>
      <c r="E248" t="str">
        <f t="shared" si="3"/>
        <v>Kevin Ecenrode</v>
      </c>
      <c r="F248" s="3">
        <v>69010</v>
      </c>
      <c r="G248" s="3" t="str">
        <f>CONCATENATE(F248,"OVR")</f>
        <v>69010OVR</v>
      </c>
      <c r="H248" s="4">
        <v>45689</v>
      </c>
      <c r="I248" s="3" t="s">
        <v>166</v>
      </c>
      <c r="J248" s="5">
        <v>72.5</v>
      </c>
      <c r="K248" s="3" t="s">
        <v>666</v>
      </c>
      <c r="L248" s="3"/>
      <c r="M248" s="3"/>
      <c r="N248" s="3"/>
      <c r="O248" s="3"/>
    </row>
    <row r="249" spans="1:15" s="3" customFormat="1" x14ac:dyDescent="0.25">
      <c r="A249" s="3" t="s">
        <v>676</v>
      </c>
      <c r="B249" s="3">
        <v>20411454</v>
      </c>
      <c r="C249" s="3" t="s">
        <v>258</v>
      </c>
      <c r="D249" s="3" t="s">
        <v>347</v>
      </c>
      <c r="E249" t="str">
        <f t="shared" si="3"/>
        <v>Kathleen Snyder</v>
      </c>
      <c r="F249" s="3">
        <v>68650</v>
      </c>
      <c r="G249" s="3" t="str">
        <f>CONCATENATE(F249,"OVR")</f>
        <v>68650OVR</v>
      </c>
      <c r="H249" s="4">
        <v>45748</v>
      </c>
      <c r="I249" s="3" t="s">
        <v>166</v>
      </c>
      <c r="J249" s="5">
        <v>108.75</v>
      </c>
      <c r="K249" s="3" t="s">
        <v>666</v>
      </c>
    </row>
    <row r="250" spans="1:15" s="3" customFormat="1" x14ac:dyDescent="0.25">
      <c r="A250" s="3" t="s">
        <v>676</v>
      </c>
      <c r="B250" s="3">
        <v>20411454</v>
      </c>
      <c r="C250" s="3" t="s">
        <v>58</v>
      </c>
      <c r="D250" s="3" t="s">
        <v>336</v>
      </c>
      <c r="E250" t="str">
        <f t="shared" si="3"/>
        <v>Jeffrey King</v>
      </c>
      <c r="F250" s="3">
        <v>93470</v>
      </c>
      <c r="G250" s="3" t="str">
        <f>CONCATENATE(F250,"OVR")</f>
        <v>93470OVR</v>
      </c>
      <c r="H250" s="4">
        <v>46023</v>
      </c>
      <c r="I250" s="3" t="s">
        <v>166</v>
      </c>
      <c r="J250" s="5">
        <v>108.75</v>
      </c>
      <c r="K250" s="3" t="s">
        <v>666</v>
      </c>
    </row>
    <row r="251" spans="1:15" x14ac:dyDescent="0.25">
      <c r="A251" s="3" t="s">
        <v>676</v>
      </c>
      <c r="B251" s="3">
        <v>20411454</v>
      </c>
      <c r="C251" s="3" t="s">
        <v>350</v>
      </c>
      <c r="D251" s="3" t="s">
        <v>351</v>
      </c>
      <c r="E251" t="str">
        <f t="shared" si="3"/>
        <v>Elaine Hillgartner</v>
      </c>
      <c r="F251" s="3">
        <v>43480</v>
      </c>
      <c r="G251" s="3" t="str">
        <f>CONCATENATE(F251,"OVR")</f>
        <v>43480OVR</v>
      </c>
      <c r="H251" s="4">
        <v>45658</v>
      </c>
      <c r="I251" s="3" t="s">
        <v>166</v>
      </c>
      <c r="J251" s="5">
        <v>72.5</v>
      </c>
      <c r="K251" s="3" t="s">
        <v>666</v>
      </c>
      <c r="L251" s="3"/>
      <c r="M251" s="3"/>
      <c r="N251" s="3"/>
      <c r="O251" s="3"/>
    </row>
    <row r="252" spans="1:15" x14ac:dyDescent="0.25">
      <c r="A252" s="3" t="s">
        <v>676</v>
      </c>
      <c r="B252" s="3">
        <v>20411454</v>
      </c>
      <c r="C252" s="3" t="s">
        <v>244</v>
      </c>
      <c r="D252" s="3" t="s">
        <v>353</v>
      </c>
      <c r="E252" t="str">
        <f t="shared" si="3"/>
        <v>Cheryl Martorana</v>
      </c>
      <c r="F252" s="3">
        <v>15000</v>
      </c>
      <c r="G252" s="3" t="str">
        <f>CONCATENATE(F252,"OVR")</f>
        <v>15000OVR</v>
      </c>
      <c r="H252" s="4">
        <v>46023</v>
      </c>
      <c r="I252" s="3" t="s">
        <v>166</v>
      </c>
      <c r="J252" s="5">
        <v>108.75</v>
      </c>
      <c r="K252" s="3" t="s">
        <v>666</v>
      </c>
      <c r="L252" s="3"/>
      <c r="M252" s="3"/>
      <c r="N252" s="3"/>
      <c r="O252" s="3"/>
    </row>
    <row r="253" spans="1:15" x14ac:dyDescent="0.25">
      <c r="A253" s="3" t="s">
        <v>676</v>
      </c>
      <c r="B253" s="3">
        <v>20411454</v>
      </c>
      <c r="C253" s="3" t="s">
        <v>117</v>
      </c>
      <c r="D253" s="3" t="s">
        <v>355</v>
      </c>
      <c r="E253" t="str">
        <f t="shared" si="3"/>
        <v>Michael Pachasa</v>
      </c>
      <c r="F253" s="3">
        <v>58840</v>
      </c>
      <c r="G253" s="3" t="str">
        <f>CONCATENATE(F253,"OVR")</f>
        <v>58840OVR</v>
      </c>
      <c r="H253" s="4">
        <v>46023</v>
      </c>
      <c r="I253" s="3" t="s">
        <v>166</v>
      </c>
      <c r="J253" s="5">
        <v>108.75</v>
      </c>
      <c r="K253" s="3" t="s">
        <v>666</v>
      </c>
      <c r="L253" s="3"/>
      <c r="M253" s="3"/>
      <c r="N253" s="3"/>
      <c r="O253" s="3"/>
    </row>
    <row r="254" spans="1:15" s="3" customFormat="1" x14ac:dyDescent="0.25">
      <c r="A254" s="3" t="s">
        <v>676</v>
      </c>
      <c r="B254" s="3">
        <v>20411454</v>
      </c>
      <c r="C254" s="3" t="s">
        <v>357</v>
      </c>
      <c r="D254" s="3" t="s">
        <v>204</v>
      </c>
      <c r="E254" t="str">
        <f t="shared" si="3"/>
        <v>Janice Freiss</v>
      </c>
      <c r="F254" s="3">
        <v>4830</v>
      </c>
      <c r="G254" s="3" t="str">
        <f>CONCATENATE(F254,"OVR")</f>
        <v>4830OVR</v>
      </c>
      <c r="H254" s="4">
        <v>45444</v>
      </c>
      <c r="I254" s="3" t="s">
        <v>166</v>
      </c>
      <c r="J254" s="5">
        <v>72.5</v>
      </c>
      <c r="K254" s="3" t="s">
        <v>666</v>
      </c>
    </row>
    <row r="255" spans="1:15" x14ac:dyDescent="0.25">
      <c r="A255" s="3" t="s">
        <v>676</v>
      </c>
      <c r="B255" s="3">
        <v>20411454</v>
      </c>
      <c r="C255" s="3" t="s">
        <v>229</v>
      </c>
      <c r="D255" s="3" t="s">
        <v>359</v>
      </c>
      <c r="E255" t="str">
        <f t="shared" si="3"/>
        <v>Mark Moses</v>
      </c>
      <c r="F255" s="3">
        <v>5780</v>
      </c>
      <c r="G255" s="3" t="str">
        <f>CONCATENATE(F255,"OVR")</f>
        <v>5780OVR</v>
      </c>
      <c r="H255" s="4">
        <v>46023</v>
      </c>
      <c r="I255" s="3" t="s">
        <v>166</v>
      </c>
      <c r="J255" s="5">
        <v>108.75</v>
      </c>
      <c r="K255" s="3" t="s">
        <v>666</v>
      </c>
      <c r="L255" s="3"/>
      <c r="M255" s="3"/>
      <c r="N255" s="3"/>
      <c r="O255" s="3"/>
    </row>
    <row r="256" spans="1:15" x14ac:dyDescent="0.25">
      <c r="A256" s="3" t="s">
        <v>676</v>
      </c>
      <c r="B256" s="3">
        <v>20411454</v>
      </c>
      <c r="C256" s="3" t="s">
        <v>361</v>
      </c>
      <c r="D256" s="3" t="s">
        <v>362</v>
      </c>
      <c r="E256" t="str">
        <f t="shared" si="3"/>
        <v>Jeff Dean</v>
      </c>
      <c r="F256" s="3">
        <v>24780</v>
      </c>
      <c r="G256" s="3" t="str">
        <f>CONCATENATE(F256,"OVR")</f>
        <v>24780OVR</v>
      </c>
      <c r="H256" s="4">
        <v>45292</v>
      </c>
      <c r="I256" s="3" t="s">
        <v>166</v>
      </c>
      <c r="J256" s="5">
        <v>72.5</v>
      </c>
      <c r="K256" s="3" t="s">
        <v>666</v>
      </c>
      <c r="L256" s="3"/>
      <c r="M256" s="3"/>
      <c r="N256" s="3"/>
      <c r="O256" s="3"/>
    </row>
    <row r="257" spans="1:15" x14ac:dyDescent="0.25">
      <c r="A257" s="3" t="s">
        <v>676</v>
      </c>
      <c r="B257" s="3">
        <v>20411454</v>
      </c>
      <c r="C257" s="3" t="s">
        <v>128</v>
      </c>
      <c r="D257" s="3" t="s">
        <v>364</v>
      </c>
      <c r="E257" t="str">
        <f t="shared" si="3"/>
        <v>John Mcginnis</v>
      </c>
      <c r="F257" s="3">
        <v>95450</v>
      </c>
      <c r="G257" s="3" t="str">
        <f>CONCATENATE(F257,"OVR")</f>
        <v>95450OVR</v>
      </c>
      <c r="H257" s="4">
        <v>44927</v>
      </c>
      <c r="I257" s="3" t="s">
        <v>166</v>
      </c>
      <c r="J257" s="5">
        <v>72.5</v>
      </c>
      <c r="K257" s="3" t="s">
        <v>666</v>
      </c>
      <c r="L257" s="3"/>
      <c r="M257" s="3"/>
      <c r="N257" s="3"/>
      <c r="O257" s="3"/>
    </row>
    <row r="258" spans="1:15" x14ac:dyDescent="0.25">
      <c r="A258" s="3" t="s">
        <v>676</v>
      </c>
      <c r="B258" s="3">
        <v>20411454</v>
      </c>
      <c r="C258" s="3" t="s">
        <v>350</v>
      </c>
      <c r="D258" s="3" t="s">
        <v>366</v>
      </c>
      <c r="E258" t="str">
        <f t="shared" si="3"/>
        <v>Elaine Wasko</v>
      </c>
      <c r="F258" s="3">
        <v>88580</v>
      </c>
      <c r="G258" s="3" t="str">
        <f>CONCATENATE(F258,"OVR")</f>
        <v>88580OVR</v>
      </c>
      <c r="H258" s="4">
        <v>45962</v>
      </c>
      <c r="I258" s="3" t="s">
        <v>166</v>
      </c>
      <c r="J258" s="5">
        <v>108.75</v>
      </c>
      <c r="K258" s="3" t="s">
        <v>666</v>
      </c>
      <c r="L258" s="3"/>
      <c r="M258" s="3"/>
      <c r="N258" s="3"/>
      <c r="O258" s="3"/>
    </row>
    <row r="259" spans="1:15" x14ac:dyDescent="0.25">
      <c r="A259" s="3" t="s">
        <v>676</v>
      </c>
      <c r="B259" s="3">
        <v>20411454</v>
      </c>
      <c r="C259" s="3" t="s">
        <v>117</v>
      </c>
      <c r="D259" s="3" t="s">
        <v>347</v>
      </c>
      <c r="E259" t="str">
        <f t="shared" ref="E259:E322" si="4">CONCATENATE(C259," ",D259)</f>
        <v>Michael Snyder</v>
      </c>
      <c r="F259" s="3">
        <v>37740</v>
      </c>
      <c r="G259" s="3" t="str">
        <f>CONCATENATE(F259,"OVR")</f>
        <v>37740OVR</v>
      </c>
      <c r="H259" s="4">
        <v>45748</v>
      </c>
      <c r="I259" s="3" t="s">
        <v>166</v>
      </c>
      <c r="J259" s="5">
        <v>108.75</v>
      </c>
      <c r="K259" s="3" t="s">
        <v>666</v>
      </c>
      <c r="L259" s="3"/>
      <c r="M259" s="3"/>
      <c r="N259" s="3"/>
      <c r="O259" s="3"/>
    </row>
    <row r="260" spans="1:15" x14ac:dyDescent="0.25">
      <c r="A260" s="3" t="s">
        <v>676</v>
      </c>
      <c r="B260" s="3">
        <v>20411454</v>
      </c>
      <c r="C260" s="3" t="s">
        <v>369</v>
      </c>
      <c r="D260" s="3" t="s">
        <v>370</v>
      </c>
      <c r="E260" t="str">
        <f t="shared" si="4"/>
        <v>Joann Homer</v>
      </c>
      <c r="F260" s="3">
        <v>61770</v>
      </c>
      <c r="G260" s="3" t="str">
        <f>CONCATENATE(F260,"OVR")</f>
        <v>61770OVR</v>
      </c>
      <c r="H260" s="4">
        <v>45901</v>
      </c>
      <c r="I260" s="3" t="s">
        <v>166</v>
      </c>
      <c r="J260" s="5">
        <v>108.75</v>
      </c>
      <c r="K260" s="3" t="s">
        <v>666</v>
      </c>
      <c r="L260" s="3"/>
      <c r="M260" s="3"/>
      <c r="N260" s="3"/>
      <c r="O260" s="3"/>
    </row>
    <row r="261" spans="1:15" x14ac:dyDescent="0.25">
      <c r="A261" s="3" t="s">
        <v>676</v>
      </c>
      <c r="B261" s="3">
        <v>20411454</v>
      </c>
      <c r="C261" s="3" t="s">
        <v>64</v>
      </c>
      <c r="D261" s="3" t="s">
        <v>372</v>
      </c>
      <c r="E261" t="str">
        <f t="shared" si="4"/>
        <v>Barbara Allemang</v>
      </c>
      <c r="F261" s="3">
        <v>45380</v>
      </c>
      <c r="G261" s="3" t="str">
        <f>CONCATENATE(F261,"OVR")</f>
        <v>45380OVR</v>
      </c>
      <c r="H261" s="4">
        <v>46023</v>
      </c>
      <c r="I261" s="3" t="s">
        <v>166</v>
      </c>
      <c r="J261" s="5">
        <v>108.75</v>
      </c>
      <c r="K261" s="3" t="s">
        <v>666</v>
      </c>
      <c r="L261" s="3"/>
      <c r="M261" s="3"/>
      <c r="N261" s="3"/>
      <c r="O261" s="3"/>
    </row>
    <row r="262" spans="1:15" x14ac:dyDescent="0.25">
      <c r="A262" s="3" t="s">
        <v>676</v>
      </c>
      <c r="B262" s="3">
        <v>20411454</v>
      </c>
      <c r="C262" s="3" t="s">
        <v>374</v>
      </c>
      <c r="D262" s="3" t="s">
        <v>375</v>
      </c>
      <c r="E262" t="str">
        <f t="shared" si="4"/>
        <v>Carlene Mcdermott</v>
      </c>
      <c r="F262" s="3">
        <v>98760</v>
      </c>
      <c r="G262" s="3" t="str">
        <f>CONCATENATE(F262,"OVR")</f>
        <v>98760OVR</v>
      </c>
      <c r="H262" s="4">
        <v>44927</v>
      </c>
      <c r="I262" s="3" t="s">
        <v>166</v>
      </c>
      <c r="J262" s="5">
        <v>72.5</v>
      </c>
      <c r="K262" s="3" t="s">
        <v>666</v>
      </c>
      <c r="L262" s="3"/>
      <c r="M262" s="3"/>
      <c r="N262" s="3"/>
      <c r="O262" s="3"/>
    </row>
    <row r="263" spans="1:15" x14ac:dyDescent="0.25">
      <c r="A263" s="3" t="s">
        <v>676</v>
      </c>
      <c r="B263" s="3">
        <v>20411454</v>
      </c>
      <c r="C263" s="3" t="s">
        <v>377</v>
      </c>
      <c r="D263" s="3" t="s">
        <v>378</v>
      </c>
      <c r="E263" t="str">
        <f t="shared" si="4"/>
        <v>Tina Moon</v>
      </c>
      <c r="F263" s="3">
        <v>12630</v>
      </c>
      <c r="G263" s="3" t="str">
        <f>CONCATENATE(F263,"OVR")</f>
        <v>12630OVR</v>
      </c>
      <c r="H263" s="4">
        <v>46023</v>
      </c>
      <c r="I263" s="3" t="s">
        <v>166</v>
      </c>
      <c r="J263" s="5">
        <v>108.75</v>
      </c>
      <c r="K263" s="3" t="s">
        <v>666</v>
      </c>
      <c r="L263" s="3"/>
      <c r="M263" s="3"/>
      <c r="N263" s="3"/>
      <c r="O263" s="3"/>
    </row>
    <row r="264" spans="1:15" x14ac:dyDescent="0.25">
      <c r="A264" s="3" t="s">
        <v>676</v>
      </c>
      <c r="B264" s="3">
        <v>20411454</v>
      </c>
      <c r="C264" s="3" t="s">
        <v>380</v>
      </c>
      <c r="D264" s="3" t="s">
        <v>233</v>
      </c>
      <c r="E264" t="str">
        <f t="shared" si="4"/>
        <v>Floyd Alfred</v>
      </c>
      <c r="F264" s="3">
        <v>91670</v>
      </c>
      <c r="G264" s="3" t="str">
        <f>CONCATENATE(F264,"OVR")</f>
        <v>91670OVR</v>
      </c>
      <c r="H264" s="4">
        <v>46023</v>
      </c>
      <c r="I264" s="3" t="s">
        <v>166</v>
      </c>
      <c r="J264" s="5">
        <v>108.75</v>
      </c>
      <c r="K264" s="3" t="s">
        <v>666</v>
      </c>
      <c r="L264" s="3"/>
      <c r="M264" s="3"/>
      <c r="N264" s="3"/>
      <c r="O264" s="3"/>
    </row>
    <row r="265" spans="1:15" x14ac:dyDescent="0.25">
      <c r="A265" s="3" t="s">
        <v>676</v>
      </c>
      <c r="B265" s="3">
        <v>20411454</v>
      </c>
      <c r="C265" s="3" t="s">
        <v>128</v>
      </c>
      <c r="D265" s="3" t="s">
        <v>383</v>
      </c>
      <c r="E265" t="str">
        <f t="shared" si="4"/>
        <v>John Heckman</v>
      </c>
      <c r="F265" s="3">
        <v>90250</v>
      </c>
      <c r="G265" s="3" t="str">
        <f>CONCATENATE(F265,"OVR")</f>
        <v>90250OVR</v>
      </c>
      <c r="H265" s="4">
        <v>44927</v>
      </c>
      <c r="I265" s="3" t="s">
        <v>166</v>
      </c>
      <c r="J265" s="5">
        <v>72.5</v>
      </c>
      <c r="K265" s="3" t="s">
        <v>666</v>
      </c>
      <c r="L265" s="3"/>
      <c r="M265" s="3"/>
      <c r="N265" s="3"/>
      <c r="O265" s="3"/>
    </row>
    <row r="266" spans="1:15" x14ac:dyDescent="0.25">
      <c r="A266" s="3" t="s">
        <v>676</v>
      </c>
      <c r="B266" s="3">
        <v>20411454</v>
      </c>
      <c r="C266" s="3" t="s">
        <v>114</v>
      </c>
      <c r="D266" s="3" t="s">
        <v>372</v>
      </c>
      <c r="E266" t="str">
        <f t="shared" si="4"/>
        <v>Daniel Allemang</v>
      </c>
      <c r="F266" s="3">
        <v>74370</v>
      </c>
      <c r="G266" s="3" t="str">
        <f>CONCATENATE(F266,"OVR")</f>
        <v>74370OVR</v>
      </c>
      <c r="H266" s="4">
        <v>46023</v>
      </c>
      <c r="I266" s="3" t="s">
        <v>166</v>
      </c>
      <c r="J266" s="5">
        <v>108.75</v>
      </c>
      <c r="K266" s="3" t="s">
        <v>666</v>
      </c>
      <c r="L266" s="3"/>
      <c r="M266" s="3"/>
      <c r="N266" s="3"/>
      <c r="O266" s="3"/>
    </row>
    <row r="267" spans="1:15" x14ac:dyDescent="0.25">
      <c r="A267" s="3" t="s">
        <v>676</v>
      </c>
      <c r="B267" s="3">
        <v>20411454</v>
      </c>
      <c r="C267" s="3" t="s">
        <v>386</v>
      </c>
      <c r="D267" s="3" t="s">
        <v>387</v>
      </c>
      <c r="E267" t="str">
        <f t="shared" si="4"/>
        <v>Mary Ann Knott</v>
      </c>
      <c r="F267" s="3">
        <v>91100</v>
      </c>
      <c r="G267" s="3" t="str">
        <f>CONCATENATE(F267,"OVR")</f>
        <v>91100OVR</v>
      </c>
      <c r="H267" s="4">
        <v>44682</v>
      </c>
      <c r="I267" s="3" t="s">
        <v>166</v>
      </c>
      <c r="J267" s="5">
        <v>72.5</v>
      </c>
      <c r="K267" s="3" t="s">
        <v>666</v>
      </c>
      <c r="L267" s="3"/>
      <c r="M267" s="3"/>
      <c r="N267" s="3"/>
      <c r="O267" s="3"/>
    </row>
    <row r="268" spans="1:15" x14ac:dyDescent="0.25">
      <c r="A268" s="3" t="s">
        <v>676</v>
      </c>
      <c r="B268" s="3">
        <v>20411454</v>
      </c>
      <c r="C268" s="3" t="s">
        <v>24</v>
      </c>
      <c r="D268" s="3" t="s">
        <v>227</v>
      </c>
      <c r="E268" t="str">
        <f t="shared" si="4"/>
        <v>Joseph Maglicco</v>
      </c>
      <c r="F268" s="3">
        <v>81240</v>
      </c>
      <c r="G268" s="3" t="str">
        <f>CONCATENATE(F268,"OVR")</f>
        <v>81240OVR</v>
      </c>
      <c r="H268" s="4">
        <v>46023</v>
      </c>
      <c r="I268" s="3" t="s">
        <v>166</v>
      </c>
      <c r="J268" s="5">
        <v>108.75</v>
      </c>
      <c r="K268" s="3" t="s">
        <v>666</v>
      </c>
      <c r="L268" s="3"/>
      <c r="M268" s="3"/>
      <c r="N268" s="3"/>
      <c r="O268" s="3"/>
    </row>
    <row r="269" spans="1:15" x14ac:dyDescent="0.25">
      <c r="A269" s="3" t="s">
        <v>676</v>
      </c>
      <c r="B269" s="3">
        <v>20411454</v>
      </c>
      <c r="C269" s="3" t="s">
        <v>390</v>
      </c>
      <c r="D269" s="3" t="s">
        <v>391</v>
      </c>
      <c r="E269" t="str">
        <f t="shared" si="4"/>
        <v>Candice Sainato</v>
      </c>
      <c r="F269" s="3">
        <v>20230</v>
      </c>
      <c r="G269" s="3" t="str">
        <f>CONCATENATE(F269,"OVR")</f>
        <v>20230OVR</v>
      </c>
      <c r="H269" s="4">
        <v>45901</v>
      </c>
      <c r="I269" s="3" t="s">
        <v>166</v>
      </c>
      <c r="J269" s="5">
        <v>108.75</v>
      </c>
      <c r="K269" s="3" t="s">
        <v>666</v>
      </c>
      <c r="L269" s="3"/>
      <c r="M269" s="3"/>
      <c r="N269" s="3"/>
      <c r="O269" s="3"/>
    </row>
    <row r="270" spans="1:15" x14ac:dyDescent="0.25">
      <c r="A270" s="3" t="s">
        <v>676</v>
      </c>
      <c r="B270" s="3">
        <v>20411454</v>
      </c>
      <c r="C270" s="3" t="s">
        <v>393</v>
      </c>
      <c r="D270" s="3" t="s">
        <v>394</v>
      </c>
      <c r="E270" t="str">
        <f t="shared" si="4"/>
        <v>Roberto Luna</v>
      </c>
      <c r="F270" s="3">
        <v>91310</v>
      </c>
      <c r="G270" s="3" t="str">
        <f>CONCATENATE(F270,"OVR")</f>
        <v>91310OVR</v>
      </c>
      <c r="H270" s="4">
        <v>46023</v>
      </c>
      <c r="I270" s="3" t="s">
        <v>166</v>
      </c>
      <c r="J270" s="5">
        <v>108.75</v>
      </c>
      <c r="K270" s="3" t="s">
        <v>666</v>
      </c>
      <c r="L270" s="3"/>
      <c r="M270" s="3"/>
      <c r="N270" s="3"/>
      <c r="O270" s="3"/>
    </row>
    <row r="271" spans="1:15" x14ac:dyDescent="0.25">
      <c r="A271" s="3" t="s">
        <v>676</v>
      </c>
      <c r="B271" s="3">
        <v>20411454</v>
      </c>
      <c r="C271" s="3" t="s">
        <v>340</v>
      </c>
      <c r="D271" s="3" t="s">
        <v>396</v>
      </c>
      <c r="E271" t="str">
        <f t="shared" si="4"/>
        <v>Mary Malone</v>
      </c>
      <c r="F271" s="3">
        <v>87970</v>
      </c>
      <c r="G271" s="3" t="str">
        <f>CONCATENATE(F271,"OVR")</f>
        <v>87970OVR</v>
      </c>
      <c r="H271" s="4">
        <v>43009</v>
      </c>
      <c r="I271" s="3" t="s">
        <v>166</v>
      </c>
      <c r="J271" s="5">
        <v>72.5</v>
      </c>
      <c r="K271" s="3" t="s">
        <v>666</v>
      </c>
      <c r="L271" s="3"/>
      <c r="M271" s="3"/>
      <c r="N271" s="3"/>
      <c r="O271" s="3"/>
    </row>
    <row r="272" spans="1:15" x14ac:dyDescent="0.25">
      <c r="A272" s="3" t="s">
        <v>676</v>
      </c>
      <c r="B272" s="3">
        <v>20411454</v>
      </c>
      <c r="C272" s="3" t="s">
        <v>131</v>
      </c>
      <c r="D272" s="3" t="s">
        <v>398</v>
      </c>
      <c r="E272" t="str">
        <f t="shared" si="4"/>
        <v>Brenda Nachreiner</v>
      </c>
      <c r="F272" s="3">
        <v>98180</v>
      </c>
      <c r="G272" s="3" t="str">
        <f>CONCATENATE(F272,"OVR")</f>
        <v>98180OVR</v>
      </c>
      <c r="H272" s="4">
        <v>43556</v>
      </c>
      <c r="I272" s="3" t="s">
        <v>166</v>
      </c>
      <c r="J272" s="5">
        <v>72.5</v>
      </c>
      <c r="K272" s="3" t="s">
        <v>666</v>
      </c>
      <c r="L272" s="3"/>
      <c r="M272" s="3"/>
      <c r="N272" s="3"/>
      <c r="O272" s="3"/>
    </row>
    <row r="273" spans="1:15" x14ac:dyDescent="0.25">
      <c r="A273" s="3" t="s">
        <v>676</v>
      </c>
      <c r="B273" s="3">
        <v>20411454</v>
      </c>
      <c r="C273" s="3" t="s">
        <v>400</v>
      </c>
      <c r="D273" s="3" t="s">
        <v>401</v>
      </c>
      <c r="E273" t="str">
        <f t="shared" si="4"/>
        <v>Linda Handwerk</v>
      </c>
      <c r="F273" s="3">
        <v>29770</v>
      </c>
      <c r="G273" s="3" t="str">
        <f>CONCATENATE(F273,"OVR")</f>
        <v>29770OVR</v>
      </c>
      <c r="H273" s="4">
        <v>43831</v>
      </c>
      <c r="I273" s="3" t="s">
        <v>166</v>
      </c>
      <c r="J273" s="5">
        <v>72.5</v>
      </c>
      <c r="K273" s="3" t="s">
        <v>666</v>
      </c>
      <c r="L273" s="3"/>
      <c r="M273" s="3"/>
      <c r="N273" s="3"/>
      <c r="O273" s="3"/>
    </row>
    <row r="274" spans="1:15" x14ac:dyDescent="0.25">
      <c r="A274" s="3" t="s">
        <v>676</v>
      </c>
      <c r="B274" s="3">
        <v>20411454</v>
      </c>
      <c r="C274" s="3" t="s">
        <v>403</v>
      </c>
      <c r="D274" s="3" t="s">
        <v>404</v>
      </c>
      <c r="E274" t="str">
        <f t="shared" si="4"/>
        <v>Marian Lang</v>
      </c>
      <c r="F274" s="3">
        <v>21930</v>
      </c>
      <c r="G274" s="3" t="str">
        <f>CONCATENATE(F274,"OVR")</f>
        <v>21930OVR</v>
      </c>
      <c r="H274" s="4">
        <v>45292</v>
      </c>
      <c r="I274" s="3" t="s">
        <v>166</v>
      </c>
      <c r="J274" s="5">
        <v>72.5</v>
      </c>
      <c r="K274" s="3" t="s">
        <v>666</v>
      </c>
      <c r="L274" s="3"/>
      <c r="M274" s="3"/>
      <c r="N274" s="3"/>
      <c r="O274" s="3"/>
    </row>
    <row r="275" spans="1:15" x14ac:dyDescent="0.25">
      <c r="A275" s="3" t="s">
        <v>676</v>
      </c>
      <c r="B275" s="3">
        <v>20411454</v>
      </c>
      <c r="C275" s="3" t="s">
        <v>331</v>
      </c>
      <c r="D275" s="3" t="s">
        <v>406</v>
      </c>
      <c r="E275" t="str">
        <f t="shared" si="4"/>
        <v>Alan Pang</v>
      </c>
      <c r="F275" s="3">
        <v>22460</v>
      </c>
      <c r="G275" s="3" t="str">
        <f>CONCATENATE(F275,"OVR")</f>
        <v>22460OVR</v>
      </c>
      <c r="H275" s="4">
        <v>44378</v>
      </c>
      <c r="I275" s="3" t="s">
        <v>166</v>
      </c>
      <c r="J275" s="5">
        <v>72.5</v>
      </c>
      <c r="K275" s="3" t="s">
        <v>666</v>
      </c>
      <c r="L275" s="3"/>
      <c r="M275" s="3"/>
      <c r="N275" s="3"/>
      <c r="O275" s="3"/>
    </row>
    <row r="276" spans="1:15" x14ac:dyDescent="0.25">
      <c r="A276" s="3" t="s">
        <v>676</v>
      </c>
      <c r="B276" s="3">
        <v>20411454</v>
      </c>
      <c r="C276" s="3" t="s">
        <v>408</v>
      </c>
      <c r="D276" s="3" t="s">
        <v>409</v>
      </c>
      <c r="E276" t="str">
        <f t="shared" si="4"/>
        <v>Arthur Stamets</v>
      </c>
      <c r="F276" s="3">
        <v>3470</v>
      </c>
      <c r="G276" s="3" t="str">
        <f>CONCATENATE(F276,"OVR")</f>
        <v>3470OVR</v>
      </c>
      <c r="H276" s="4">
        <v>44562</v>
      </c>
      <c r="I276" s="3" t="s">
        <v>166</v>
      </c>
      <c r="J276" s="5">
        <v>108.75</v>
      </c>
      <c r="K276" s="3" t="s">
        <v>666</v>
      </c>
      <c r="L276" s="3"/>
      <c r="M276" s="3"/>
      <c r="N276" s="3"/>
      <c r="O276" s="3"/>
    </row>
    <row r="277" spans="1:15" x14ac:dyDescent="0.25">
      <c r="A277" s="3" t="s">
        <v>676</v>
      </c>
      <c r="B277" s="3">
        <v>20411454</v>
      </c>
      <c r="C277" s="3" t="s">
        <v>190</v>
      </c>
      <c r="D277" s="3" t="s">
        <v>411</v>
      </c>
      <c r="E277" t="str">
        <f t="shared" si="4"/>
        <v>James Contenta</v>
      </c>
      <c r="F277" s="3">
        <v>87150</v>
      </c>
      <c r="G277" s="3" t="str">
        <f>CONCATENATE(F277,"OVR")</f>
        <v>87150OVR</v>
      </c>
      <c r="H277" s="4">
        <v>44562</v>
      </c>
      <c r="I277" s="3" t="s">
        <v>166</v>
      </c>
      <c r="J277" s="5">
        <v>72.5</v>
      </c>
      <c r="K277" s="3" t="s">
        <v>666</v>
      </c>
      <c r="L277" s="3"/>
      <c r="M277" s="3"/>
      <c r="N277" s="3"/>
      <c r="O277" s="3"/>
    </row>
    <row r="278" spans="1:15" x14ac:dyDescent="0.25">
      <c r="A278" s="3" t="s">
        <v>676</v>
      </c>
      <c r="B278" s="3">
        <v>20411454</v>
      </c>
      <c r="C278" s="3" t="s">
        <v>413</v>
      </c>
      <c r="D278" s="3" t="s">
        <v>414</v>
      </c>
      <c r="E278" t="str">
        <f t="shared" si="4"/>
        <v>Maryann Kern</v>
      </c>
      <c r="F278" s="3">
        <v>270</v>
      </c>
      <c r="G278" s="3" t="str">
        <f>CONCATENATE(F278,"OVR")</f>
        <v>270OVR</v>
      </c>
      <c r="H278" s="4">
        <v>44562</v>
      </c>
      <c r="I278" s="3" t="s">
        <v>166</v>
      </c>
      <c r="J278" s="5">
        <v>72.5</v>
      </c>
      <c r="K278" s="3" t="s">
        <v>666</v>
      </c>
      <c r="L278" s="3"/>
      <c r="M278" s="3"/>
      <c r="N278" s="3"/>
      <c r="O278" s="3"/>
    </row>
    <row r="279" spans="1:15" x14ac:dyDescent="0.25">
      <c r="A279" s="3" t="s">
        <v>676</v>
      </c>
      <c r="B279" s="3">
        <v>20411454</v>
      </c>
      <c r="C279" s="3" t="s">
        <v>229</v>
      </c>
      <c r="D279" s="3" t="s">
        <v>416</v>
      </c>
      <c r="E279" t="str">
        <f t="shared" si="4"/>
        <v>Mark Ferretti</v>
      </c>
      <c r="F279" s="3">
        <v>22060</v>
      </c>
      <c r="G279" s="3" t="str">
        <f>CONCATENATE(F279,"OVR")</f>
        <v>22060OVR</v>
      </c>
      <c r="H279" s="4">
        <v>44562</v>
      </c>
      <c r="I279" s="3" t="s">
        <v>166</v>
      </c>
      <c r="J279" s="5">
        <v>108.75</v>
      </c>
      <c r="K279" s="3" t="s">
        <v>666</v>
      </c>
      <c r="L279" s="3"/>
      <c r="M279" s="3"/>
      <c r="N279" s="3"/>
      <c r="O279" s="3"/>
    </row>
    <row r="280" spans="1:15" x14ac:dyDescent="0.25">
      <c r="A280" s="3" t="s">
        <v>676</v>
      </c>
      <c r="B280" s="3">
        <v>20411454</v>
      </c>
      <c r="C280" s="3" t="s">
        <v>418</v>
      </c>
      <c r="D280" s="3" t="s">
        <v>104</v>
      </c>
      <c r="E280" t="str">
        <f t="shared" si="4"/>
        <v>Patrick Woodford</v>
      </c>
      <c r="F280" s="3">
        <v>38540</v>
      </c>
      <c r="G280" s="3" t="str">
        <f>CONCATENATE(F280,"OVR")</f>
        <v>38540OVR</v>
      </c>
      <c r="H280" s="4">
        <v>44562</v>
      </c>
      <c r="I280" s="3" t="s">
        <v>166</v>
      </c>
      <c r="J280" s="5">
        <v>72.5</v>
      </c>
      <c r="K280" s="3" t="s">
        <v>666</v>
      </c>
      <c r="L280" s="3"/>
      <c r="M280" s="3"/>
      <c r="N280" s="3"/>
      <c r="O280" s="3"/>
    </row>
    <row r="281" spans="1:15" x14ac:dyDescent="0.25">
      <c r="A281" s="3" t="s">
        <v>676</v>
      </c>
      <c r="B281" s="3">
        <v>20411454</v>
      </c>
      <c r="C281" s="3" t="s">
        <v>420</v>
      </c>
      <c r="D281" s="3" t="s">
        <v>188</v>
      </c>
      <c r="E281" t="str">
        <f t="shared" si="4"/>
        <v>Laura Peters</v>
      </c>
      <c r="F281" s="3">
        <v>73330</v>
      </c>
      <c r="G281" s="3" t="str">
        <f>CONCATENATE(F281,"OVR")</f>
        <v>73330OVR</v>
      </c>
      <c r="H281" s="4">
        <v>44562</v>
      </c>
      <c r="I281" s="3" t="s">
        <v>166</v>
      </c>
      <c r="J281" s="5">
        <v>108.75</v>
      </c>
      <c r="K281" s="3" t="s">
        <v>666</v>
      </c>
      <c r="L281" s="3"/>
      <c r="M281" s="3"/>
      <c r="N281" s="3"/>
      <c r="O281" s="3"/>
    </row>
    <row r="282" spans="1:15" x14ac:dyDescent="0.25">
      <c r="A282" s="3" t="s">
        <v>676</v>
      </c>
      <c r="B282" s="3">
        <v>20411454</v>
      </c>
      <c r="C282" s="3" t="s">
        <v>184</v>
      </c>
      <c r="D282" s="3" t="s">
        <v>422</v>
      </c>
      <c r="E282" t="str">
        <f t="shared" si="4"/>
        <v>Kenneth Kasprzak</v>
      </c>
      <c r="F282" s="3">
        <v>60600</v>
      </c>
      <c r="G282" s="3" t="str">
        <f>CONCATENATE(F282,"OVR")</f>
        <v>60600OVR</v>
      </c>
      <c r="H282" s="4">
        <v>44774</v>
      </c>
      <c r="I282" s="3" t="s">
        <v>166</v>
      </c>
      <c r="J282" s="5">
        <v>108.75</v>
      </c>
      <c r="K282" s="3" t="s">
        <v>666</v>
      </c>
      <c r="L282" s="3"/>
      <c r="M282" s="3"/>
      <c r="N282" s="3"/>
      <c r="O282" s="3"/>
    </row>
    <row r="283" spans="1:15" x14ac:dyDescent="0.25">
      <c r="A283" s="3" t="s">
        <v>676</v>
      </c>
      <c r="B283" s="3">
        <v>20411454</v>
      </c>
      <c r="C283" s="3" t="s">
        <v>424</v>
      </c>
      <c r="D283" s="3" t="s">
        <v>194</v>
      </c>
      <c r="E283" t="str">
        <f t="shared" si="4"/>
        <v>Randy Fry</v>
      </c>
      <c r="F283" s="3">
        <v>83890</v>
      </c>
      <c r="G283" s="3" t="str">
        <f>CONCATENATE(F283,"OVR")</f>
        <v>83890OVR</v>
      </c>
      <c r="H283" s="4">
        <v>44774</v>
      </c>
      <c r="I283" s="3" t="s">
        <v>166</v>
      </c>
      <c r="J283" s="5">
        <v>108.75</v>
      </c>
      <c r="K283" s="3" t="s">
        <v>666</v>
      </c>
      <c r="L283" s="3"/>
      <c r="M283" s="3"/>
      <c r="N283" s="3"/>
      <c r="O283" s="3"/>
    </row>
    <row r="284" spans="1:15" x14ac:dyDescent="0.25">
      <c r="A284" s="3" t="s">
        <v>676</v>
      </c>
      <c r="B284" s="3">
        <v>20411454</v>
      </c>
      <c r="C284" s="3" t="s">
        <v>426</v>
      </c>
      <c r="D284" s="3" t="s">
        <v>427</v>
      </c>
      <c r="E284" t="str">
        <f t="shared" si="4"/>
        <v>Terrell Higashi</v>
      </c>
      <c r="F284" s="3">
        <v>71150</v>
      </c>
      <c r="G284" s="3" t="str">
        <f>CONCATENATE(F284,"OVR")</f>
        <v>71150OVR</v>
      </c>
      <c r="H284" s="4">
        <v>45323</v>
      </c>
      <c r="I284" s="3" t="s">
        <v>166</v>
      </c>
      <c r="J284" s="5">
        <v>108.75</v>
      </c>
      <c r="K284" s="3" t="s">
        <v>666</v>
      </c>
      <c r="L284" s="3"/>
      <c r="M284" s="3"/>
      <c r="N284" s="3"/>
      <c r="O284" s="3"/>
    </row>
    <row r="285" spans="1:15" x14ac:dyDescent="0.25">
      <c r="A285" s="3" t="s">
        <v>676</v>
      </c>
      <c r="B285" s="3">
        <v>20411454</v>
      </c>
      <c r="C285" s="3" t="s">
        <v>429</v>
      </c>
      <c r="D285" s="3" t="s">
        <v>430</v>
      </c>
      <c r="E285" t="str">
        <f t="shared" si="4"/>
        <v>Elesia Kindberg</v>
      </c>
      <c r="F285" s="3">
        <v>61720</v>
      </c>
      <c r="G285" s="3" t="str">
        <f>CONCATENATE(F285,"OVR")</f>
        <v>61720OVR</v>
      </c>
      <c r="H285" s="4">
        <v>44866</v>
      </c>
      <c r="I285" s="3" t="s">
        <v>166</v>
      </c>
      <c r="J285" s="5">
        <v>108.75</v>
      </c>
      <c r="K285" s="3" t="s">
        <v>666</v>
      </c>
      <c r="L285" s="3"/>
      <c r="M285" s="3"/>
      <c r="N285" s="3"/>
      <c r="O285" s="3"/>
    </row>
    <row r="286" spans="1:15" x14ac:dyDescent="0.25">
      <c r="A286" s="3" t="s">
        <v>676</v>
      </c>
      <c r="B286" s="3">
        <v>20411454</v>
      </c>
      <c r="C286" s="3" t="s">
        <v>432</v>
      </c>
      <c r="D286" s="3" t="s">
        <v>433</v>
      </c>
      <c r="E286" t="str">
        <f t="shared" si="4"/>
        <v>Lori Higgins</v>
      </c>
      <c r="F286" s="3">
        <v>61860</v>
      </c>
      <c r="G286" s="3" t="str">
        <f>CONCATENATE(F286,"OVR")</f>
        <v>61860OVR</v>
      </c>
      <c r="H286" s="4">
        <v>44958</v>
      </c>
      <c r="I286" s="3" t="s">
        <v>166</v>
      </c>
      <c r="J286" s="5">
        <v>72.5</v>
      </c>
      <c r="K286" s="3" t="s">
        <v>666</v>
      </c>
      <c r="L286" s="3"/>
      <c r="M286" s="3"/>
      <c r="N286" s="3"/>
      <c r="O286" s="3"/>
    </row>
    <row r="287" spans="1:15" x14ac:dyDescent="0.25">
      <c r="A287" s="3" t="s">
        <v>676</v>
      </c>
      <c r="B287" s="3">
        <v>20411454</v>
      </c>
      <c r="C287" s="3" t="s">
        <v>435</v>
      </c>
      <c r="D287" s="3" t="s">
        <v>436</v>
      </c>
      <c r="E287" t="str">
        <f t="shared" si="4"/>
        <v>Harry Ziem</v>
      </c>
      <c r="F287" s="3">
        <v>70330</v>
      </c>
      <c r="G287" s="3" t="str">
        <f>CONCATENATE(F287,"OVR")</f>
        <v>70330OVR</v>
      </c>
      <c r="H287" s="4">
        <v>46023</v>
      </c>
      <c r="I287" s="3" t="s">
        <v>166</v>
      </c>
      <c r="J287" s="5">
        <v>108.75</v>
      </c>
      <c r="K287" s="3" t="s">
        <v>666</v>
      </c>
      <c r="L287" s="3"/>
      <c r="M287" s="3"/>
      <c r="N287" s="3"/>
      <c r="O287" s="3"/>
    </row>
    <row r="288" spans="1:15" x14ac:dyDescent="0.25">
      <c r="A288" s="3" t="s">
        <v>676</v>
      </c>
      <c r="B288" s="3">
        <v>20411454</v>
      </c>
      <c r="C288" s="3" t="s">
        <v>235</v>
      </c>
      <c r="D288" s="3" t="s">
        <v>438</v>
      </c>
      <c r="E288" t="str">
        <f t="shared" si="4"/>
        <v>Susan Hecht</v>
      </c>
      <c r="F288" s="3">
        <v>19380</v>
      </c>
      <c r="G288" s="3" t="str">
        <f>CONCATENATE(F288,"OVR")</f>
        <v>19380OVR</v>
      </c>
      <c r="H288" s="4">
        <v>45078</v>
      </c>
      <c r="I288" s="3" t="s">
        <v>166</v>
      </c>
      <c r="J288" s="5">
        <v>72.5</v>
      </c>
      <c r="K288" s="3" t="s">
        <v>666</v>
      </c>
      <c r="L288" s="3"/>
      <c r="M288" s="3"/>
      <c r="N288" s="3"/>
      <c r="O288" s="3"/>
    </row>
    <row r="289" spans="1:15" x14ac:dyDescent="0.25">
      <c r="A289" s="3" t="s">
        <v>676</v>
      </c>
      <c r="B289" s="3">
        <v>20411454</v>
      </c>
      <c r="C289" s="3" t="s">
        <v>61</v>
      </c>
      <c r="D289" s="3" t="s">
        <v>383</v>
      </c>
      <c r="E289" t="str">
        <f t="shared" si="4"/>
        <v>Patricia Heckman</v>
      </c>
      <c r="F289" s="3">
        <v>60990</v>
      </c>
      <c r="G289" s="3" t="str">
        <f>CONCATENATE(F289,"OVR")</f>
        <v>60990OVR</v>
      </c>
      <c r="H289" s="4">
        <v>45170</v>
      </c>
      <c r="I289" s="3" t="s">
        <v>166</v>
      </c>
      <c r="J289" s="5">
        <v>72.5</v>
      </c>
      <c r="K289" s="3" t="s">
        <v>666</v>
      </c>
      <c r="L289" s="3"/>
      <c r="M289" s="3"/>
      <c r="N289" s="3"/>
      <c r="O289" s="3"/>
    </row>
    <row r="290" spans="1:15" x14ac:dyDescent="0.25">
      <c r="A290" s="3" t="s">
        <v>676</v>
      </c>
      <c r="B290" s="3">
        <v>20411454</v>
      </c>
      <c r="C290" s="3" t="s">
        <v>441</v>
      </c>
      <c r="D290" s="3" t="s">
        <v>442</v>
      </c>
      <c r="E290" t="str">
        <f t="shared" si="4"/>
        <v>Thomas Shinn</v>
      </c>
      <c r="F290" s="3">
        <v>58330</v>
      </c>
      <c r="G290" s="3" t="str">
        <f>CONCATENATE(F290,"OVR")</f>
        <v>58330OVR</v>
      </c>
      <c r="H290" s="4">
        <v>45413</v>
      </c>
      <c r="I290" s="3" t="s">
        <v>166</v>
      </c>
      <c r="J290" s="5">
        <v>108.75</v>
      </c>
      <c r="K290" s="3" t="s">
        <v>666</v>
      </c>
      <c r="L290" s="3"/>
      <c r="M290" s="3"/>
      <c r="N290" s="3"/>
      <c r="O290" s="3"/>
    </row>
    <row r="291" spans="1:15" x14ac:dyDescent="0.25">
      <c r="A291" s="3" t="s">
        <v>676</v>
      </c>
      <c r="B291" s="3">
        <v>20411454</v>
      </c>
      <c r="C291" s="3" t="s">
        <v>444</v>
      </c>
      <c r="D291" s="3" t="s">
        <v>445</v>
      </c>
      <c r="E291" t="str">
        <f t="shared" si="4"/>
        <v>Hiam Aranki</v>
      </c>
      <c r="F291" s="3">
        <v>10950</v>
      </c>
      <c r="G291" s="3" t="str">
        <f>CONCATENATE(F291,"OVR")</f>
        <v>10950OVR</v>
      </c>
      <c r="H291" s="4">
        <v>45231</v>
      </c>
      <c r="I291" s="3" t="s">
        <v>166</v>
      </c>
      <c r="J291" s="5">
        <v>72.5</v>
      </c>
      <c r="K291" s="3" t="s">
        <v>666</v>
      </c>
      <c r="L291" s="3"/>
      <c r="M291" s="3"/>
      <c r="N291" s="3"/>
      <c r="O291" s="3"/>
    </row>
    <row r="292" spans="1:15" x14ac:dyDescent="0.25">
      <c r="A292" s="3" t="s">
        <v>676</v>
      </c>
      <c r="B292" s="3">
        <v>20411454</v>
      </c>
      <c r="C292" s="3" t="s">
        <v>24</v>
      </c>
      <c r="D292" s="3" t="s">
        <v>447</v>
      </c>
      <c r="E292" t="str">
        <f t="shared" si="4"/>
        <v>Joseph Bowers</v>
      </c>
      <c r="F292" s="3">
        <v>46350</v>
      </c>
      <c r="G292" s="3" t="str">
        <f>CONCATENATE(F292,"OVR")</f>
        <v>46350OVR</v>
      </c>
      <c r="H292" s="4">
        <v>45292</v>
      </c>
      <c r="I292" s="3" t="s">
        <v>166</v>
      </c>
      <c r="J292" s="5">
        <v>72.5</v>
      </c>
      <c r="K292" s="3" t="s">
        <v>666</v>
      </c>
      <c r="L292" s="3"/>
      <c r="M292" s="3"/>
      <c r="N292" s="3"/>
      <c r="O292" s="3"/>
    </row>
    <row r="293" spans="1:15" x14ac:dyDescent="0.25">
      <c r="A293" s="3" t="s">
        <v>676</v>
      </c>
      <c r="B293" s="3">
        <v>20411454</v>
      </c>
      <c r="C293" s="3" t="s">
        <v>344</v>
      </c>
      <c r="D293" s="3" t="s">
        <v>283</v>
      </c>
      <c r="E293" t="str">
        <f t="shared" si="4"/>
        <v>Kevin Achey</v>
      </c>
      <c r="F293" s="3">
        <v>46940</v>
      </c>
      <c r="G293" s="3" t="str">
        <f>CONCATENATE(F293,"OVR")</f>
        <v>46940OVR</v>
      </c>
      <c r="H293" s="4">
        <v>45292</v>
      </c>
      <c r="I293" s="3" t="s">
        <v>166</v>
      </c>
      <c r="J293" s="5">
        <v>72.5</v>
      </c>
      <c r="K293" s="3" t="s">
        <v>666</v>
      </c>
      <c r="L293" s="3"/>
      <c r="M293" s="3"/>
      <c r="N293" s="3"/>
      <c r="O293" s="3"/>
    </row>
    <row r="294" spans="1:15" x14ac:dyDescent="0.25">
      <c r="A294" s="3" t="s">
        <v>676</v>
      </c>
      <c r="B294" s="3">
        <v>20411454</v>
      </c>
      <c r="C294" s="3" t="s">
        <v>450</v>
      </c>
      <c r="D294" s="3" t="s">
        <v>451</v>
      </c>
      <c r="E294" t="str">
        <f t="shared" si="4"/>
        <v>Rebecca Hock</v>
      </c>
      <c r="F294" s="3">
        <v>6390</v>
      </c>
      <c r="G294" s="3" t="str">
        <f>CONCATENATE(F294,"OVR")</f>
        <v>6390OVR</v>
      </c>
      <c r="H294" s="4">
        <v>45323</v>
      </c>
      <c r="I294" s="3" t="s">
        <v>166</v>
      </c>
      <c r="J294" s="5">
        <v>72.5</v>
      </c>
      <c r="K294" s="3" t="s">
        <v>666</v>
      </c>
      <c r="L294" s="3"/>
      <c r="M294" s="3"/>
      <c r="N294" s="3"/>
      <c r="O294" s="3"/>
    </row>
    <row r="295" spans="1:15" x14ac:dyDescent="0.25">
      <c r="A295" s="3" t="s">
        <v>676</v>
      </c>
      <c r="B295" s="3">
        <v>20411454</v>
      </c>
      <c r="C295" s="3" t="s">
        <v>47</v>
      </c>
      <c r="D295" s="3" t="s">
        <v>329</v>
      </c>
      <c r="E295" t="str">
        <f t="shared" si="4"/>
        <v>Brian Carter</v>
      </c>
      <c r="F295" s="3">
        <v>25560</v>
      </c>
      <c r="G295" s="3" t="str">
        <f>CONCATENATE(F295,"OVR")</f>
        <v>25560OVR</v>
      </c>
      <c r="H295" s="4">
        <v>45323</v>
      </c>
      <c r="I295" s="3" t="s">
        <v>166</v>
      </c>
      <c r="J295" s="5">
        <v>72.5</v>
      </c>
      <c r="K295" s="3" t="s">
        <v>666</v>
      </c>
      <c r="L295" s="3"/>
      <c r="M295" s="3"/>
      <c r="N295" s="3"/>
      <c r="O295" s="3"/>
    </row>
    <row r="296" spans="1:15" x14ac:dyDescent="0.25">
      <c r="A296" s="3" t="s">
        <v>676</v>
      </c>
      <c r="B296" s="3">
        <v>20411454</v>
      </c>
      <c r="C296" s="3" t="s">
        <v>454</v>
      </c>
      <c r="D296" s="3" t="s">
        <v>455</v>
      </c>
      <c r="E296" t="str">
        <f t="shared" si="4"/>
        <v>Fred Rasbach</v>
      </c>
      <c r="F296" s="3">
        <v>49320</v>
      </c>
      <c r="G296" s="3" t="str">
        <f>CONCATENATE(F296,"OVR")</f>
        <v>49320OVR</v>
      </c>
      <c r="H296" s="4">
        <v>45444</v>
      </c>
      <c r="I296" s="3" t="s">
        <v>166</v>
      </c>
      <c r="J296" s="5">
        <v>72.5</v>
      </c>
      <c r="K296" s="3" t="s">
        <v>666</v>
      </c>
      <c r="L296" s="3"/>
      <c r="M296" s="3"/>
      <c r="N296" s="3"/>
      <c r="O296" s="3"/>
    </row>
    <row r="297" spans="1:15" x14ac:dyDescent="0.25">
      <c r="A297" s="3" t="s">
        <v>676</v>
      </c>
      <c r="B297" s="3">
        <v>20411454</v>
      </c>
      <c r="C297" s="3" t="s">
        <v>457</v>
      </c>
      <c r="D297" s="3" t="s">
        <v>458</v>
      </c>
      <c r="E297" t="str">
        <f t="shared" si="4"/>
        <v>Kim Besset</v>
      </c>
      <c r="F297" s="3">
        <v>71290</v>
      </c>
      <c r="G297" s="3" t="str">
        <f>CONCATENATE(F297,"OVR")</f>
        <v>71290OVR</v>
      </c>
      <c r="H297" s="4">
        <v>45474</v>
      </c>
      <c r="I297" s="3" t="s">
        <v>166</v>
      </c>
      <c r="J297" s="5">
        <v>72.5</v>
      </c>
      <c r="K297" s="3" t="s">
        <v>666</v>
      </c>
      <c r="L297" s="3"/>
      <c r="M297" s="3"/>
      <c r="N297" s="3"/>
      <c r="O297" s="3"/>
    </row>
    <row r="298" spans="1:15" x14ac:dyDescent="0.25">
      <c r="A298" s="3" t="s">
        <v>676</v>
      </c>
      <c r="B298" s="3">
        <v>20411454</v>
      </c>
      <c r="C298" s="3" t="s">
        <v>460</v>
      </c>
      <c r="D298" s="3" t="s">
        <v>461</v>
      </c>
      <c r="E298" t="str">
        <f t="shared" si="4"/>
        <v>Sue Gallo</v>
      </c>
      <c r="F298" s="3">
        <v>98190</v>
      </c>
      <c r="G298" s="3" t="str">
        <f>CONCATENATE(F298,"OVR")</f>
        <v>98190OVR</v>
      </c>
      <c r="H298" s="4">
        <v>45505</v>
      </c>
      <c r="I298" s="3" t="s">
        <v>166</v>
      </c>
      <c r="J298" s="5">
        <v>108.75</v>
      </c>
      <c r="K298" s="3" t="s">
        <v>666</v>
      </c>
      <c r="L298" s="3"/>
      <c r="M298" s="3"/>
      <c r="N298" s="3"/>
      <c r="O298" s="3"/>
    </row>
    <row r="299" spans="1:15" x14ac:dyDescent="0.25">
      <c r="A299" s="3" t="s">
        <v>676</v>
      </c>
      <c r="B299" s="3">
        <v>20411454</v>
      </c>
      <c r="C299" s="3" t="s">
        <v>463</v>
      </c>
      <c r="D299" s="3" t="s">
        <v>464</v>
      </c>
      <c r="E299" t="str">
        <f t="shared" si="4"/>
        <v>Elizabeth Eckhart</v>
      </c>
      <c r="F299" s="3">
        <v>25230</v>
      </c>
      <c r="G299" s="3" t="str">
        <f>CONCATENATE(F299,"OVR")</f>
        <v>25230OVR</v>
      </c>
      <c r="H299" s="4">
        <v>45658</v>
      </c>
      <c r="I299" s="3" t="s">
        <v>166</v>
      </c>
      <c r="J299" s="5">
        <v>108.75</v>
      </c>
      <c r="K299" s="3" t="s">
        <v>666</v>
      </c>
      <c r="L299" s="3"/>
      <c r="M299" s="3"/>
      <c r="N299" s="3"/>
      <c r="O299" s="3"/>
    </row>
    <row r="300" spans="1:15" x14ac:dyDescent="0.25">
      <c r="A300" s="3" t="s">
        <v>676</v>
      </c>
      <c r="B300" s="3">
        <v>20411454</v>
      </c>
      <c r="C300" s="3" t="s">
        <v>466</v>
      </c>
      <c r="D300" s="3" t="s">
        <v>300</v>
      </c>
      <c r="E300" t="str">
        <f t="shared" si="4"/>
        <v>Marcia Clarke</v>
      </c>
      <c r="F300" s="3">
        <v>81980</v>
      </c>
      <c r="G300" s="3" t="str">
        <f>CONCATENATE(F300,"OVR")</f>
        <v>81980OVR</v>
      </c>
      <c r="H300" s="4">
        <v>45658</v>
      </c>
      <c r="I300" s="3" t="s">
        <v>166</v>
      </c>
      <c r="J300" s="5">
        <v>72.5</v>
      </c>
      <c r="K300" s="3" t="s">
        <v>666</v>
      </c>
      <c r="L300" s="3"/>
      <c r="M300" s="3"/>
      <c r="N300" s="3"/>
      <c r="O300" s="3"/>
    </row>
    <row r="301" spans="1:15" x14ac:dyDescent="0.25">
      <c r="A301" s="3" t="s">
        <v>676</v>
      </c>
      <c r="B301" s="3">
        <v>20411454</v>
      </c>
      <c r="C301" s="3" t="s">
        <v>64</v>
      </c>
      <c r="D301" s="3" t="s">
        <v>468</v>
      </c>
      <c r="E301" t="str">
        <f t="shared" si="4"/>
        <v>Barbara Burg</v>
      </c>
      <c r="F301" s="3">
        <v>36720</v>
      </c>
      <c r="G301" s="3" t="str">
        <f>CONCATENATE(F301,"OVR")</f>
        <v>36720OVR</v>
      </c>
      <c r="H301" s="4">
        <v>45658</v>
      </c>
      <c r="I301" s="3" t="s">
        <v>166</v>
      </c>
      <c r="J301" s="5">
        <v>72.5</v>
      </c>
      <c r="K301" s="3" t="s">
        <v>666</v>
      </c>
      <c r="L301" s="3"/>
      <c r="M301" s="3"/>
      <c r="N301" s="3"/>
      <c r="O301" s="3"/>
    </row>
    <row r="302" spans="1:15" x14ac:dyDescent="0.25">
      <c r="A302" s="3" t="s">
        <v>676</v>
      </c>
      <c r="B302" s="3">
        <v>20411454</v>
      </c>
      <c r="C302" s="3" t="s">
        <v>470</v>
      </c>
      <c r="D302" s="3" t="s">
        <v>471</v>
      </c>
      <c r="E302" t="str">
        <f t="shared" si="4"/>
        <v>Elisa Martinez</v>
      </c>
      <c r="F302" s="3">
        <v>59900</v>
      </c>
      <c r="G302" s="3" t="str">
        <f>CONCATENATE(F302,"OVR")</f>
        <v>59900OVR</v>
      </c>
      <c r="H302" s="4">
        <v>46023</v>
      </c>
      <c r="I302" s="3" t="s">
        <v>166</v>
      </c>
      <c r="J302" s="5">
        <v>108.75</v>
      </c>
      <c r="K302" s="3" t="s">
        <v>666</v>
      </c>
      <c r="L302" s="3"/>
      <c r="M302" s="3"/>
      <c r="N302" s="3"/>
      <c r="O302" s="3"/>
    </row>
    <row r="303" spans="1:15" x14ac:dyDescent="0.25">
      <c r="A303" s="3" t="s">
        <v>676</v>
      </c>
      <c r="B303" s="3">
        <v>20411454</v>
      </c>
      <c r="C303" s="3" t="s">
        <v>473</v>
      </c>
      <c r="D303" s="3" t="s">
        <v>474</v>
      </c>
      <c r="E303" t="str">
        <f t="shared" si="4"/>
        <v>Mildred Rivera Silva</v>
      </c>
      <c r="F303" s="3">
        <v>61770</v>
      </c>
      <c r="G303" s="3" t="str">
        <f>CONCATENATE(F303,"OVR")</f>
        <v>61770OVR</v>
      </c>
      <c r="H303" s="4">
        <v>45658</v>
      </c>
      <c r="I303" s="3" t="s">
        <v>166</v>
      </c>
      <c r="J303" s="5">
        <v>108.75</v>
      </c>
      <c r="K303" s="3" t="s">
        <v>666</v>
      </c>
      <c r="L303" s="3"/>
      <c r="M303" s="3"/>
      <c r="N303" s="3"/>
      <c r="O303" s="3"/>
    </row>
    <row r="304" spans="1:15" x14ac:dyDescent="0.25">
      <c r="A304" s="3" t="s">
        <v>676</v>
      </c>
      <c r="B304" s="3">
        <v>20411454</v>
      </c>
      <c r="C304" s="3" t="s">
        <v>215</v>
      </c>
      <c r="D304" s="3" t="s">
        <v>475</v>
      </c>
      <c r="E304" t="str">
        <f t="shared" si="4"/>
        <v>Deborah Rugg</v>
      </c>
      <c r="F304" s="3">
        <v>62570</v>
      </c>
      <c r="G304" s="3" t="str">
        <f>CONCATENATE(F304,"OVR")</f>
        <v>62570OVR</v>
      </c>
      <c r="H304" s="4">
        <v>45658</v>
      </c>
      <c r="I304" s="3" t="s">
        <v>166</v>
      </c>
      <c r="J304" s="5">
        <v>72.5</v>
      </c>
      <c r="K304" s="3" t="s">
        <v>666</v>
      </c>
      <c r="L304" s="3"/>
      <c r="M304" s="3"/>
      <c r="N304" s="3"/>
      <c r="O304" s="3"/>
    </row>
    <row r="305" spans="1:15" x14ac:dyDescent="0.25">
      <c r="A305" s="3" t="s">
        <v>676</v>
      </c>
      <c r="B305" s="3">
        <v>20411454</v>
      </c>
      <c r="C305" s="3" t="s">
        <v>43</v>
      </c>
      <c r="D305" s="3" t="s">
        <v>477</v>
      </c>
      <c r="E305" t="str">
        <f t="shared" si="4"/>
        <v>Lisa Phillips</v>
      </c>
      <c r="F305" s="3">
        <v>10250</v>
      </c>
      <c r="G305" s="3" t="str">
        <f>CONCATENATE(F305,"OVR")</f>
        <v>10250OVR</v>
      </c>
      <c r="H305" s="4">
        <v>45658</v>
      </c>
      <c r="I305" s="3" t="s">
        <v>166</v>
      </c>
      <c r="J305" s="5">
        <v>72.5</v>
      </c>
      <c r="K305" s="3" t="s">
        <v>666</v>
      </c>
      <c r="L305" s="3"/>
      <c r="M305" s="3"/>
      <c r="N305" s="3"/>
      <c r="O305" s="3"/>
    </row>
    <row r="306" spans="1:15" x14ac:dyDescent="0.25">
      <c r="A306" s="3" t="s">
        <v>676</v>
      </c>
      <c r="B306" s="3">
        <v>20411454</v>
      </c>
      <c r="C306" s="3" t="s">
        <v>479</v>
      </c>
      <c r="D306" s="3" t="s">
        <v>253</v>
      </c>
      <c r="E306" t="str">
        <f t="shared" si="4"/>
        <v>Carl Bolton</v>
      </c>
      <c r="F306" s="3">
        <v>13270</v>
      </c>
      <c r="G306" s="3" t="str">
        <f>CONCATENATE(F306,"OVR")</f>
        <v>13270OVR</v>
      </c>
      <c r="H306" s="4">
        <v>45658</v>
      </c>
      <c r="I306" s="3" t="s">
        <v>166</v>
      </c>
      <c r="J306" s="5">
        <v>72.5</v>
      </c>
      <c r="K306" s="3" t="s">
        <v>666</v>
      </c>
      <c r="L306" s="3"/>
      <c r="M306" s="3"/>
      <c r="N306" s="3"/>
      <c r="O306" s="3"/>
    </row>
    <row r="307" spans="1:15" x14ac:dyDescent="0.25">
      <c r="A307" s="3" t="s">
        <v>676</v>
      </c>
      <c r="B307" s="3">
        <v>20411454</v>
      </c>
      <c r="C307" s="3" t="s">
        <v>128</v>
      </c>
      <c r="D307" s="3" t="s">
        <v>280</v>
      </c>
      <c r="E307" t="str">
        <f t="shared" si="4"/>
        <v>John Horvath</v>
      </c>
      <c r="F307" s="3">
        <v>7050</v>
      </c>
      <c r="G307" s="3" t="str">
        <f>CONCATENATE(F307,"OVR")</f>
        <v>7050OVR</v>
      </c>
      <c r="H307" s="4">
        <v>45658</v>
      </c>
      <c r="I307" s="3" t="s">
        <v>166</v>
      </c>
      <c r="J307" s="5">
        <v>72.5</v>
      </c>
      <c r="K307" s="3" t="s">
        <v>666</v>
      </c>
      <c r="L307" s="3"/>
      <c r="M307" s="3"/>
      <c r="N307" s="3"/>
      <c r="O307" s="3"/>
    </row>
    <row r="308" spans="1:15" x14ac:dyDescent="0.25">
      <c r="A308" s="3" t="s">
        <v>676</v>
      </c>
      <c r="B308" s="3">
        <v>20411454</v>
      </c>
      <c r="C308" s="3" t="s">
        <v>482</v>
      </c>
      <c r="D308" s="3" t="s">
        <v>483</v>
      </c>
      <c r="E308" t="str">
        <f t="shared" si="4"/>
        <v>Jorge Duarte</v>
      </c>
      <c r="F308" s="3">
        <v>96650</v>
      </c>
      <c r="G308" s="3" t="str">
        <f>CONCATENATE(F308,"OVR")</f>
        <v>96650OVR</v>
      </c>
      <c r="H308" s="4">
        <v>45658</v>
      </c>
      <c r="I308" s="3" t="s">
        <v>166</v>
      </c>
      <c r="J308" s="5">
        <v>108.75</v>
      </c>
      <c r="K308" s="3" t="s">
        <v>666</v>
      </c>
      <c r="L308" s="3"/>
      <c r="M308" s="3"/>
      <c r="N308" s="3"/>
      <c r="O308" s="3"/>
    </row>
    <row r="309" spans="1:15" x14ac:dyDescent="0.25">
      <c r="A309" s="3" t="s">
        <v>676</v>
      </c>
      <c r="B309" s="3">
        <v>20411454</v>
      </c>
      <c r="C309" s="3" t="s">
        <v>203</v>
      </c>
      <c r="D309" s="3" t="s">
        <v>485</v>
      </c>
      <c r="E309" t="str">
        <f t="shared" si="4"/>
        <v>David Wisser</v>
      </c>
      <c r="F309" s="3">
        <v>2440</v>
      </c>
      <c r="G309" s="3" t="str">
        <f>CONCATENATE(F309,"OVR")</f>
        <v>2440OVR</v>
      </c>
      <c r="H309" s="4">
        <v>45689</v>
      </c>
      <c r="I309" s="3" t="s">
        <v>166</v>
      </c>
      <c r="J309" s="5">
        <v>72.5</v>
      </c>
      <c r="K309" s="3" t="s">
        <v>666</v>
      </c>
      <c r="L309" s="3"/>
      <c r="M309" s="3"/>
      <c r="N309" s="3"/>
      <c r="O309" s="3"/>
    </row>
    <row r="310" spans="1:15" x14ac:dyDescent="0.25">
      <c r="A310" s="3" t="s">
        <v>676</v>
      </c>
      <c r="B310" s="3">
        <v>20411454</v>
      </c>
      <c r="C310" s="3" t="s">
        <v>487</v>
      </c>
      <c r="D310" s="3" t="s">
        <v>488</v>
      </c>
      <c r="E310" t="str">
        <f t="shared" si="4"/>
        <v>Jane Price</v>
      </c>
      <c r="F310" s="3">
        <v>36140</v>
      </c>
      <c r="G310" s="3" t="str">
        <f>CONCATENATE(F310,"OVR")</f>
        <v>36140OVR</v>
      </c>
      <c r="H310" s="4">
        <v>45689</v>
      </c>
      <c r="I310" s="3" t="s">
        <v>166</v>
      </c>
      <c r="J310" s="5">
        <v>72.5</v>
      </c>
      <c r="K310" s="3" t="s">
        <v>666</v>
      </c>
      <c r="L310" s="3"/>
      <c r="M310" s="3"/>
      <c r="N310" s="3"/>
      <c r="O310" s="3"/>
    </row>
    <row r="311" spans="1:15" x14ac:dyDescent="0.25">
      <c r="A311" s="3" t="s">
        <v>676</v>
      </c>
      <c r="B311" s="3">
        <v>20411454</v>
      </c>
      <c r="C311" s="3" t="s">
        <v>64</v>
      </c>
      <c r="D311" s="3" t="s">
        <v>411</v>
      </c>
      <c r="E311" t="str">
        <f t="shared" si="4"/>
        <v>Barbara Contenta</v>
      </c>
      <c r="F311" s="3">
        <v>24560</v>
      </c>
      <c r="G311" s="3" t="str">
        <f>CONCATENATE(F311,"OVR")</f>
        <v>24560OVR</v>
      </c>
      <c r="H311" s="4">
        <v>45748</v>
      </c>
      <c r="I311" s="3" t="s">
        <v>166</v>
      </c>
      <c r="J311" s="5">
        <v>72.5</v>
      </c>
      <c r="K311" s="3" t="s">
        <v>666</v>
      </c>
      <c r="L311" s="3"/>
      <c r="M311" s="3"/>
      <c r="N311" s="3"/>
      <c r="O311" s="3"/>
    </row>
    <row r="312" spans="1:15" x14ac:dyDescent="0.25">
      <c r="A312" s="3" t="s">
        <v>676</v>
      </c>
      <c r="B312" s="3">
        <v>20411454</v>
      </c>
      <c r="C312" s="3" t="s">
        <v>491</v>
      </c>
      <c r="D312" s="3" t="s">
        <v>355</v>
      </c>
      <c r="E312" t="str">
        <f t="shared" si="4"/>
        <v>Maryelizabeth Pachasa</v>
      </c>
      <c r="F312" s="3">
        <v>45350</v>
      </c>
      <c r="G312" s="3" t="str">
        <f>CONCATENATE(F312,"OVR")</f>
        <v>45350OVR</v>
      </c>
      <c r="H312" s="4">
        <v>45809</v>
      </c>
      <c r="I312" s="3" t="s">
        <v>166</v>
      </c>
      <c r="J312" s="5">
        <v>72.5</v>
      </c>
      <c r="K312" s="3" t="s">
        <v>666</v>
      </c>
      <c r="L312" s="3"/>
      <c r="M312" s="3"/>
      <c r="N312" s="3"/>
      <c r="O312" s="3"/>
    </row>
    <row r="313" spans="1:15" x14ac:dyDescent="0.25">
      <c r="A313" s="3" t="s">
        <v>676</v>
      </c>
      <c r="B313" s="3">
        <v>20411454</v>
      </c>
      <c r="C313" s="3" t="s">
        <v>463</v>
      </c>
      <c r="D313" s="3" t="s">
        <v>271</v>
      </c>
      <c r="E313" t="str">
        <f t="shared" si="4"/>
        <v>Elizabeth Shook</v>
      </c>
      <c r="F313" s="3">
        <v>68620</v>
      </c>
      <c r="G313" s="3" t="str">
        <f>CONCATENATE(F313,"OVR")</f>
        <v>68620OVR</v>
      </c>
      <c r="H313" s="4">
        <v>45809</v>
      </c>
      <c r="I313" s="3" t="s">
        <v>166</v>
      </c>
      <c r="J313" s="5">
        <v>72.5</v>
      </c>
      <c r="K313" s="3" t="s">
        <v>666</v>
      </c>
      <c r="L313" s="3"/>
      <c r="M313" s="3"/>
      <c r="N313" s="3"/>
      <c r="O313" s="3"/>
    </row>
    <row r="314" spans="1:15" x14ac:dyDescent="0.25">
      <c r="A314" s="3" t="s">
        <v>676</v>
      </c>
      <c r="B314" s="3">
        <v>20411454</v>
      </c>
      <c r="C314" s="3" t="s">
        <v>494</v>
      </c>
      <c r="D314" s="3" t="s">
        <v>188</v>
      </c>
      <c r="E314" t="str">
        <f t="shared" si="4"/>
        <v>Glenn Peters</v>
      </c>
      <c r="F314" s="3">
        <v>86210</v>
      </c>
      <c r="G314" s="3" t="str">
        <f>CONCATENATE(F314,"OVR")</f>
        <v>86210OVR</v>
      </c>
      <c r="H314" s="4">
        <v>45839</v>
      </c>
      <c r="I314" s="3" t="s">
        <v>166</v>
      </c>
      <c r="J314" s="5">
        <v>72.5</v>
      </c>
      <c r="K314" s="3" t="s">
        <v>666</v>
      </c>
      <c r="L314" s="3"/>
      <c r="M314" s="3"/>
      <c r="N314" s="3"/>
      <c r="O314" s="3"/>
    </row>
    <row r="315" spans="1:15" x14ac:dyDescent="0.25">
      <c r="A315" s="3" t="s">
        <v>676</v>
      </c>
      <c r="B315" s="3">
        <v>20411454</v>
      </c>
      <c r="C315" s="3" t="s">
        <v>496</v>
      </c>
      <c r="D315" s="3" t="s">
        <v>497</v>
      </c>
      <c r="E315" t="str">
        <f t="shared" si="4"/>
        <v>Barry Zielinski</v>
      </c>
      <c r="F315" s="3">
        <v>37270</v>
      </c>
      <c r="G315" s="3" t="str">
        <f>CONCATENATE(F315,"OVR")</f>
        <v>37270OVR</v>
      </c>
      <c r="H315" s="4">
        <v>45870</v>
      </c>
      <c r="I315" s="3" t="s">
        <v>166</v>
      </c>
      <c r="J315" s="5">
        <v>108.75</v>
      </c>
      <c r="K315" s="3" t="s">
        <v>666</v>
      </c>
      <c r="L315" s="3"/>
      <c r="M315" s="3"/>
      <c r="N315" s="3"/>
      <c r="O315" s="3"/>
    </row>
    <row r="316" spans="1:15" x14ac:dyDescent="0.25">
      <c r="A316" s="3" t="s">
        <v>676</v>
      </c>
      <c r="B316" s="3">
        <v>20411454</v>
      </c>
      <c r="C316" s="3" t="s">
        <v>64</v>
      </c>
      <c r="D316" s="3" t="s">
        <v>499</v>
      </c>
      <c r="E316" t="str">
        <f t="shared" si="4"/>
        <v>Barbara Duke</v>
      </c>
      <c r="F316" s="3">
        <v>23990</v>
      </c>
      <c r="G316" s="3" t="str">
        <f>CONCATENATE(F316,"OVR")</f>
        <v>23990OVR</v>
      </c>
      <c r="H316" s="4">
        <v>45931</v>
      </c>
      <c r="I316" s="3" t="s">
        <v>166</v>
      </c>
      <c r="J316" s="5">
        <v>108.75</v>
      </c>
      <c r="K316" s="3" t="s">
        <v>666</v>
      </c>
      <c r="L316" s="3"/>
      <c r="M316" s="3"/>
      <c r="N316" s="3"/>
      <c r="O316" s="3"/>
    </row>
    <row r="317" spans="1:15" x14ac:dyDescent="0.25">
      <c r="A317" s="3" t="s">
        <v>676</v>
      </c>
      <c r="B317" s="3">
        <v>20411454</v>
      </c>
      <c r="C317" s="3" t="s">
        <v>501</v>
      </c>
      <c r="D317" s="3" t="s">
        <v>502</v>
      </c>
      <c r="E317" t="str">
        <f t="shared" si="4"/>
        <v>Merli Estrellado</v>
      </c>
      <c r="F317" s="3">
        <v>3970</v>
      </c>
      <c r="G317" s="3" t="str">
        <f>CONCATENATE(F317,"OVR")</f>
        <v>3970OVR</v>
      </c>
      <c r="H317" s="4">
        <v>46023</v>
      </c>
      <c r="I317" s="3" t="s">
        <v>166</v>
      </c>
      <c r="J317" s="5">
        <v>108.75</v>
      </c>
      <c r="K317" s="3" t="s">
        <v>666</v>
      </c>
      <c r="L317" s="3"/>
      <c r="M317" s="3"/>
      <c r="N317" s="3"/>
      <c r="O317" s="3"/>
    </row>
    <row r="318" spans="1:15" x14ac:dyDescent="0.25">
      <c r="A318" s="3" t="s">
        <v>676</v>
      </c>
      <c r="B318" s="3">
        <v>20411454</v>
      </c>
      <c r="C318" s="3" t="s">
        <v>31</v>
      </c>
      <c r="D318" s="3" t="s">
        <v>504</v>
      </c>
      <c r="E318" t="str">
        <f t="shared" si="4"/>
        <v>Donald Kaminski</v>
      </c>
      <c r="F318" s="3">
        <v>24550</v>
      </c>
      <c r="G318" s="3" t="str">
        <f>CONCATENATE(F318,"OVR")</f>
        <v>24550OVR</v>
      </c>
      <c r="H318" s="4">
        <v>46023</v>
      </c>
      <c r="I318" s="3" t="s">
        <v>166</v>
      </c>
      <c r="J318" s="5">
        <v>108.75</v>
      </c>
      <c r="K318" s="3" t="s">
        <v>666</v>
      </c>
      <c r="L318" s="3"/>
      <c r="M318" s="3"/>
      <c r="N318" s="3"/>
      <c r="O318" s="3"/>
    </row>
    <row r="319" spans="1:15" x14ac:dyDescent="0.25">
      <c r="A319" s="3" t="s">
        <v>676</v>
      </c>
      <c r="B319" s="3">
        <v>20411454</v>
      </c>
      <c r="C319" s="3" t="s">
        <v>418</v>
      </c>
      <c r="D319" s="3" t="s">
        <v>506</v>
      </c>
      <c r="E319" t="str">
        <f t="shared" si="4"/>
        <v>Patrick Erwin</v>
      </c>
      <c r="F319" s="3">
        <v>73940</v>
      </c>
      <c r="G319" s="3" t="str">
        <f>CONCATENATE(F319,"OVR")</f>
        <v>73940OVR</v>
      </c>
      <c r="H319" s="4">
        <v>46023</v>
      </c>
      <c r="I319" s="3" t="s">
        <v>166</v>
      </c>
      <c r="J319" s="5">
        <v>108.75</v>
      </c>
      <c r="K319" s="3" t="s">
        <v>666</v>
      </c>
      <c r="L319" s="3"/>
      <c r="M319" s="3"/>
      <c r="N319" s="3"/>
      <c r="O319" s="3"/>
    </row>
    <row r="320" spans="1:15" x14ac:dyDescent="0.25">
      <c r="A320" s="3" t="s">
        <v>676</v>
      </c>
      <c r="B320" s="3">
        <v>20411454</v>
      </c>
      <c r="C320" s="3" t="s">
        <v>508</v>
      </c>
      <c r="D320" s="3" t="s">
        <v>509</v>
      </c>
      <c r="E320" t="str">
        <f t="shared" si="4"/>
        <v>Ruth Grove</v>
      </c>
      <c r="F320" s="3">
        <v>80850</v>
      </c>
      <c r="G320" s="3" t="str">
        <f>CONCATENATE(F320,"OVR")</f>
        <v>80850OVR</v>
      </c>
      <c r="H320" s="4">
        <v>46023</v>
      </c>
      <c r="I320" s="3" t="s">
        <v>166</v>
      </c>
      <c r="J320" s="5">
        <v>108.75</v>
      </c>
      <c r="K320" s="3" t="s">
        <v>666</v>
      </c>
      <c r="L320" s="3"/>
      <c r="M320" s="3"/>
      <c r="N320" s="3"/>
      <c r="O320" s="3"/>
    </row>
    <row r="321" spans="1:15" x14ac:dyDescent="0.25">
      <c r="A321" s="3" t="s">
        <v>676</v>
      </c>
      <c r="B321" s="3">
        <v>20411454</v>
      </c>
      <c r="C321" s="3" t="s">
        <v>97</v>
      </c>
      <c r="D321" s="3" t="s">
        <v>511</v>
      </c>
      <c r="E321" t="str">
        <f t="shared" si="4"/>
        <v>Donna Koerbel</v>
      </c>
      <c r="F321" s="3">
        <v>20670</v>
      </c>
      <c r="G321" s="3" t="str">
        <f>CONCATENATE(F321,"OVR")</f>
        <v>20670OVR</v>
      </c>
      <c r="H321" s="4">
        <v>46023</v>
      </c>
      <c r="I321" s="3" t="s">
        <v>166</v>
      </c>
      <c r="J321" s="5">
        <v>108.75</v>
      </c>
      <c r="K321" s="3" t="s">
        <v>666</v>
      </c>
      <c r="L321" s="3"/>
      <c r="M321" s="3"/>
      <c r="N321" s="3"/>
      <c r="O321" s="3"/>
    </row>
    <row r="322" spans="1:15" x14ac:dyDescent="0.25">
      <c r="A322" s="3" t="s">
        <v>676</v>
      </c>
      <c r="B322" s="3">
        <v>20411454</v>
      </c>
      <c r="C322" s="3" t="s">
        <v>513</v>
      </c>
      <c r="D322" s="3" t="s">
        <v>514</v>
      </c>
      <c r="E322" t="str">
        <f t="shared" si="4"/>
        <v>Charles Fritzley</v>
      </c>
      <c r="F322" s="3">
        <v>33520</v>
      </c>
      <c r="G322" s="3" t="str">
        <f>CONCATENATE(F322,"OVR")</f>
        <v>33520OVR</v>
      </c>
      <c r="H322" s="4">
        <v>46023</v>
      </c>
      <c r="I322" s="3" t="s">
        <v>166</v>
      </c>
      <c r="J322" s="5">
        <v>108.75</v>
      </c>
      <c r="K322" s="3" t="s">
        <v>666</v>
      </c>
      <c r="L322" s="3"/>
      <c r="M322" s="3"/>
      <c r="N322" s="3"/>
      <c r="O322" s="3"/>
    </row>
    <row r="323" spans="1:15" x14ac:dyDescent="0.25">
      <c r="A323" s="3" t="s">
        <v>676</v>
      </c>
      <c r="B323" s="3">
        <v>20411454</v>
      </c>
      <c r="C323" s="3" t="s">
        <v>516</v>
      </c>
      <c r="D323" s="3" t="s">
        <v>517</v>
      </c>
      <c r="E323" t="str">
        <f t="shared" ref="E323:E386" si="5">CONCATENATE(C323," ",D323)</f>
        <v>Alexander Twombly</v>
      </c>
      <c r="F323" s="3">
        <v>36640</v>
      </c>
      <c r="G323" s="3" t="str">
        <f>CONCATENATE(F323,"OVR")</f>
        <v>36640OVR</v>
      </c>
      <c r="H323" s="4">
        <v>46023</v>
      </c>
      <c r="I323" s="3" t="s">
        <v>166</v>
      </c>
      <c r="J323" s="5">
        <v>108.75</v>
      </c>
      <c r="K323" s="3" t="s">
        <v>666</v>
      </c>
      <c r="L323" s="3"/>
      <c r="M323" s="3"/>
      <c r="N323" s="3"/>
      <c r="O323" s="3"/>
    </row>
    <row r="324" spans="1:15" x14ac:dyDescent="0.25">
      <c r="A324" s="3" t="s">
        <v>676</v>
      </c>
      <c r="B324" s="3">
        <v>20411454</v>
      </c>
      <c r="C324" s="3" t="s">
        <v>273</v>
      </c>
      <c r="D324" s="3" t="s">
        <v>519</v>
      </c>
      <c r="E324" t="str">
        <f t="shared" si="5"/>
        <v>Raymond Steinmetz</v>
      </c>
      <c r="F324" s="3">
        <v>64290</v>
      </c>
      <c r="G324" s="3" t="str">
        <f>CONCATENATE(F324,"OVR")</f>
        <v>64290OVR</v>
      </c>
      <c r="H324" s="4">
        <v>46023</v>
      </c>
      <c r="I324" s="3" t="s">
        <v>166</v>
      </c>
      <c r="J324" s="5">
        <v>108.75</v>
      </c>
      <c r="K324" s="3" t="s">
        <v>666</v>
      </c>
      <c r="L324" s="3"/>
      <c r="M324" s="3"/>
      <c r="N324" s="3"/>
      <c r="O324" s="3"/>
    </row>
    <row r="325" spans="1:15" x14ac:dyDescent="0.25">
      <c r="A325" s="3" t="s">
        <v>676</v>
      </c>
      <c r="B325" s="3">
        <v>20411454</v>
      </c>
      <c r="C325" s="3" t="s">
        <v>521</v>
      </c>
      <c r="D325" s="3" t="s">
        <v>519</v>
      </c>
      <c r="E325" t="str">
        <f t="shared" si="5"/>
        <v>Lynnette Steinmetz</v>
      </c>
      <c r="F325" s="3">
        <v>64450</v>
      </c>
      <c r="G325" s="3" t="str">
        <f>CONCATENATE(F325,"OVR")</f>
        <v>64450OVR</v>
      </c>
      <c r="H325" s="4">
        <v>46023</v>
      </c>
      <c r="I325" s="3" t="s">
        <v>166</v>
      </c>
      <c r="J325" s="5">
        <v>108.75</v>
      </c>
      <c r="K325" s="3" t="s">
        <v>666</v>
      </c>
      <c r="L325" s="3"/>
      <c r="M325" s="3"/>
      <c r="N325" s="3"/>
      <c r="O325" s="3"/>
    </row>
    <row r="326" spans="1:15" x14ac:dyDescent="0.25">
      <c r="A326" s="3" t="s">
        <v>676</v>
      </c>
      <c r="B326" s="3">
        <v>20411454</v>
      </c>
      <c r="C326" s="3" t="s">
        <v>523</v>
      </c>
      <c r="D326" s="3" t="s">
        <v>345</v>
      </c>
      <c r="E326" t="str">
        <f t="shared" si="5"/>
        <v>Theresa Ecenrode</v>
      </c>
      <c r="F326" s="3">
        <v>91790</v>
      </c>
      <c r="G326" s="3" t="str">
        <f>CONCATENATE(F326,"OVR")</f>
        <v>91790OVR</v>
      </c>
      <c r="H326" s="4">
        <v>46023</v>
      </c>
      <c r="I326" s="3" t="s">
        <v>166</v>
      </c>
      <c r="J326" s="5">
        <v>108.75</v>
      </c>
      <c r="K326" s="3" t="s">
        <v>666</v>
      </c>
      <c r="L326" s="3"/>
      <c r="M326" s="3"/>
      <c r="N326" s="3"/>
      <c r="O326" s="3"/>
    </row>
    <row r="327" spans="1:15" x14ac:dyDescent="0.25">
      <c r="A327" s="3" t="s">
        <v>676</v>
      </c>
      <c r="B327" s="3">
        <v>20411454</v>
      </c>
      <c r="C327" s="3" t="s">
        <v>525</v>
      </c>
      <c r="D327" s="3" t="s">
        <v>273</v>
      </c>
      <c r="E327" t="str">
        <f t="shared" si="5"/>
        <v>Angeline Raymond</v>
      </c>
      <c r="F327" s="3">
        <v>33630</v>
      </c>
      <c r="G327" s="3" t="str">
        <f>CONCATENATE(F327,"OVR")</f>
        <v>33630OVR</v>
      </c>
      <c r="H327" s="4">
        <v>45748</v>
      </c>
      <c r="I327" s="3" t="s">
        <v>166</v>
      </c>
      <c r="J327" s="5">
        <v>72.5</v>
      </c>
      <c r="K327" s="3" t="s">
        <v>666</v>
      </c>
      <c r="L327" s="3"/>
      <c r="M327" s="3"/>
      <c r="N327" s="3"/>
      <c r="O327" s="3"/>
    </row>
    <row r="328" spans="1:15" x14ac:dyDescent="0.25">
      <c r="A328" s="3" t="s">
        <v>676</v>
      </c>
      <c r="B328" s="3">
        <v>20411454</v>
      </c>
      <c r="C328" s="3" t="s">
        <v>528</v>
      </c>
      <c r="D328" s="3" t="s">
        <v>529</v>
      </c>
      <c r="E328" t="str">
        <f t="shared" si="5"/>
        <v>Amy Cosentino</v>
      </c>
      <c r="F328" s="3">
        <v>47880</v>
      </c>
      <c r="G328" s="3" t="str">
        <f>CONCATENATE(F328,"OVR")</f>
        <v>47880OVR</v>
      </c>
      <c r="H328" s="4">
        <v>45870</v>
      </c>
      <c r="I328" s="3" t="s">
        <v>531</v>
      </c>
      <c r="J328" s="5">
        <v>9.06</v>
      </c>
      <c r="K328" s="3" t="s">
        <v>666</v>
      </c>
      <c r="L328" s="3"/>
      <c r="M328" s="3"/>
      <c r="N328" s="3"/>
      <c r="O328" s="3"/>
    </row>
    <row r="329" spans="1:15" x14ac:dyDescent="0.25">
      <c r="A329" s="3" t="s">
        <v>676</v>
      </c>
      <c r="B329" s="3">
        <v>20411454</v>
      </c>
      <c r="C329" s="3" t="s">
        <v>27</v>
      </c>
      <c r="D329" s="3" t="s">
        <v>532</v>
      </c>
      <c r="E329" t="str">
        <f t="shared" si="5"/>
        <v>Diana Gianino</v>
      </c>
      <c r="F329" s="3">
        <v>74230</v>
      </c>
      <c r="G329" s="3" t="str">
        <f>CONCATENATE(F329,"OVR")</f>
        <v>74230OVR</v>
      </c>
      <c r="H329" s="4">
        <v>46082</v>
      </c>
      <c r="I329" s="3" t="s">
        <v>534</v>
      </c>
      <c r="J329" s="5">
        <v>90.62</v>
      </c>
      <c r="K329" s="3" t="s">
        <v>666</v>
      </c>
      <c r="L329" s="3"/>
      <c r="M329" s="3"/>
      <c r="N329" s="3"/>
      <c r="O329" s="3"/>
    </row>
    <row r="330" spans="1:15" x14ac:dyDescent="0.25">
      <c r="A330" s="3" t="s">
        <v>676</v>
      </c>
      <c r="B330" s="3">
        <v>20411454</v>
      </c>
      <c r="C330" s="3" t="s">
        <v>487</v>
      </c>
      <c r="D330" s="3" t="s">
        <v>535</v>
      </c>
      <c r="E330" t="str">
        <f t="shared" si="5"/>
        <v>Jane Young</v>
      </c>
      <c r="F330" s="3">
        <v>26280</v>
      </c>
      <c r="G330" s="3" t="str">
        <f>CONCATENATE(F330,"OVR")</f>
        <v>26280OVR</v>
      </c>
      <c r="H330" s="4">
        <v>46082</v>
      </c>
      <c r="I330" s="3" t="s">
        <v>534</v>
      </c>
      <c r="J330" s="5">
        <v>90.62</v>
      </c>
      <c r="K330" s="3" t="s">
        <v>666</v>
      </c>
      <c r="L330" s="3"/>
      <c r="M330" s="3"/>
      <c r="N330" s="3"/>
      <c r="O330" s="3"/>
    </row>
    <row r="331" spans="1:15" x14ac:dyDescent="0.25">
      <c r="A331" s="3" t="s">
        <v>676</v>
      </c>
      <c r="B331" s="3">
        <v>20411454</v>
      </c>
      <c r="C331" s="3" t="s">
        <v>537</v>
      </c>
      <c r="D331" s="3" t="s">
        <v>538</v>
      </c>
      <c r="E331" t="str">
        <f t="shared" si="5"/>
        <v>Carol Tegyi</v>
      </c>
      <c r="F331" s="3">
        <v>90430</v>
      </c>
      <c r="G331" s="3" t="str">
        <f>CONCATENATE(F331,"OVR")</f>
        <v>90430OVR</v>
      </c>
      <c r="H331" s="4">
        <v>46082</v>
      </c>
      <c r="I331" s="3" t="s">
        <v>534</v>
      </c>
      <c r="J331" s="5">
        <v>90.62</v>
      </c>
      <c r="K331" s="3" t="s">
        <v>666</v>
      </c>
      <c r="L331" s="3"/>
      <c r="M331" s="3"/>
      <c r="N331" s="3"/>
      <c r="O331" s="3"/>
    </row>
    <row r="332" spans="1:15" x14ac:dyDescent="0.25">
      <c r="A332" s="3" t="s">
        <v>676</v>
      </c>
      <c r="B332" s="3">
        <v>20411454</v>
      </c>
      <c r="C332" s="3" t="s">
        <v>229</v>
      </c>
      <c r="D332" s="3" t="s">
        <v>540</v>
      </c>
      <c r="E332" t="str">
        <f t="shared" si="5"/>
        <v>Mark Heade</v>
      </c>
      <c r="F332" s="3">
        <v>26260</v>
      </c>
      <c r="G332" s="3" t="str">
        <f>CONCATENATE(F332,"OVR")</f>
        <v>26260OVR</v>
      </c>
      <c r="H332" s="4">
        <v>46082</v>
      </c>
      <c r="I332" s="3" t="s">
        <v>534</v>
      </c>
      <c r="J332" s="5">
        <v>60.42</v>
      </c>
      <c r="K332" s="3" t="s">
        <v>666</v>
      </c>
      <c r="L332" s="3"/>
      <c r="M332" s="3"/>
      <c r="N332" s="3"/>
      <c r="O332" s="3"/>
    </row>
    <row r="333" spans="1:15" x14ac:dyDescent="0.25">
      <c r="A333" s="3" t="s">
        <v>676</v>
      </c>
      <c r="B333" s="3">
        <v>20411454</v>
      </c>
      <c r="C333" s="3" t="s">
        <v>542</v>
      </c>
      <c r="D333" s="3" t="s">
        <v>543</v>
      </c>
      <c r="E333" t="str">
        <f t="shared" si="5"/>
        <v>Cindy Booher</v>
      </c>
      <c r="F333" s="3">
        <v>63770</v>
      </c>
      <c r="G333" s="3" t="str">
        <f>CONCATENATE(F333,"OVR")</f>
        <v>63770OVR</v>
      </c>
      <c r="H333" s="4">
        <v>46082</v>
      </c>
      <c r="I333" s="3" t="s">
        <v>534</v>
      </c>
      <c r="J333" s="5">
        <v>60.42</v>
      </c>
      <c r="K333" s="3" t="s">
        <v>666</v>
      </c>
      <c r="L333" s="3"/>
      <c r="M333" s="3"/>
      <c r="N333" s="3"/>
      <c r="O333" s="3"/>
    </row>
    <row r="334" spans="1:15" x14ac:dyDescent="0.25">
      <c r="A334" s="3" t="s">
        <v>676</v>
      </c>
      <c r="B334" s="3">
        <v>20411454</v>
      </c>
      <c r="C334" s="3" t="s">
        <v>43</v>
      </c>
      <c r="D334" s="3" t="s">
        <v>545</v>
      </c>
      <c r="E334" t="str">
        <f t="shared" si="5"/>
        <v>Lisa Edwards</v>
      </c>
      <c r="F334" s="3">
        <v>45230</v>
      </c>
      <c r="G334" s="3" t="str">
        <f>CONCATENATE(F334,"OVR")</f>
        <v>45230OVR</v>
      </c>
      <c r="H334" s="4">
        <v>46082</v>
      </c>
      <c r="I334" s="3" t="s">
        <v>534</v>
      </c>
      <c r="J334" s="5">
        <v>60.42</v>
      </c>
      <c r="K334" s="3" t="s">
        <v>666</v>
      </c>
      <c r="L334" s="3"/>
      <c r="M334" s="3"/>
      <c r="N334" s="3"/>
      <c r="O334" s="3"/>
    </row>
    <row r="335" spans="1:15" x14ac:dyDescent="0.25">
      <c r="A335" s="3" t="s">
        <v>676</v>
      </c>
      <c r="B335" s="3">
        <v>20411454</v>
      </c>
      <c r="C335" s="3" t="s">
        <v>441</v>
      </c>
      <c r="D335" s="3" t="s">
        <v>548</v>
      </c>
      <c r="E335" t="str">
        <f t="shared" si="5"/>
        <v>Thomas Sams</v>
      </c>
      <c r="F335" s="3">
        <v>2010</v>
      </c>
      <c r="G335" s="3" t="str">
        <f>CONCATENATE(F335,"OVR")</f>
        <v>2010OVR</v>
      </c>
      <c r="H335" s="4">
        <v>46082</v>
      </c>
      <c r="I335" s="3" t="s">
        <v>534</v>
      </c>
      <c r="J335" s="5">
        <v>90.62</v>
      </c>
      <c r="K335" s="3" t="s">
        <v>666</v>
      </c>
      <c r="L335" s="3"/>
      <c r="M335" s="3"/>
      <c r="N335" s="3"/>
      <c r="O335" s="3"/>
    </row>
    <row r="336" spans="1:15" x14ac:dyDescent="0.25">
      <c r="A336" s="3" t="s">
        <v>676</v>
      </c>
      <c r="B336" s="3">
        <v>20411454</v>
      </c>
      <c r="C336" s="3" t="s">
        <v>550</v>
      </c>
      <c r="D336" s="3" t="s">
        <v>551</v>
      </c>
      <c r="E336" t="str">
        <f t="shared" si="5"/>
        <v>Katherine Prady</v>
      </c>
      <c r="F336" s="3">
        <v>2120</v>
      </c>
      <c r="G336" s="3" t="str">
        <f>CONCATENATE(F336,"OVR")</f>
        <v>2120OVR</v>
      </c>
      <c r="H336" s="4">
        <v>46082</v>
      </c>
      <c r="I336" s="3" t="s">
        <v>534</v>
      </c>
      <c r="J336" s="5">
        <v>60.42</v>
      </c>
      <c r="K336" s="3" t="s">
        <v>666</v>
      </c>
      <c r="L336" s="3"/>
      <c r="M336" s="3"/>
      <c r="N336" s="3"/>
      <c r="O336" s="3"/>
    </row>
    <row r="337" spans="1:15" x14ac:dyDescent="0.25">
      <c r="A337" s="3" t="s">
        <v>676</v>
      </c>
      <c r="B337" s="3">
        <v>20411454</v>
      </c>
      <c r="C337" s="3" t="s">
        <v>61</v>
      </c>
      <c r="D337" s="3" t="s">
        <v>553</v>
      </c>
      <c r="E337" t="str">
        <f t="shared" si="5"/>
        <v>Patricia Pagan</v>
      </c>
      <c r="F337" s="3">
        <v>97090</v>
      </c>
      <c r="G337" s="3" t="str">
        <f>CONCATENATE(F337,"OVR")</f>
        <v>97090OVR</v>
      </c>
      <c r="H337" s="4">
        <v>45261</v>
      </c>
      <c r="I337" s="3" t="s">
        <v>555</v>
      </c>
      <c r="J337" s="5">
        <v>99.68</v>
      </c>
      <c r="K337" s="3" t="s">
        <v>666</v>
      </c>
      <c r="L337" s="3"/>
      <c r="M337" s="3"/>
      <c r="N337" s="3"/>
      <c r="O337" s="3"/>
    </row>
    <row r="338" spans="1:15" x14ac:dyDescent="0.25">
      <c r="A338" s="3" t="s">
        <v>676</v>
      </c>
      <c r="B338" s="3">
        <v>20411454</v>
      </c>
      <c r="C338" s="3" t="s">
        <v>556</v>
      </c>
      <c r="D338" s="3" t="s">
        <v>557</v>
      </c>
      <c r="E338" t="str">
        <f t="shared" si="5"/>
        <v>Margie Rome</v>
      </c>
      <c r="F338" s="3">
        <v>85050</v>
      </c>
      <c r="G338" s="3" t="str">
        <f>CONCATENATE(F338,"OVR")</f>
        <v>85050OVR</v>
      </c>
      <c r="H338" s="4">
        <v>46054</v>
      </c>
      <c r="I338" s="3" t="s">
        <v>555</v>
      </c>
      <c r="J338" s="5">
        <v>66.459999999999994</v>
      </c>
      <c r="K338" s="3" t="s">
        <v>666</v>
      </c>
      <c r="L338" s="3"/>
      <c r="M338" s="3"/>
      <c r="N338" s="3"/>
      <c r="O338" s="3"/>
    </row>
    <row r="339" spans="1:15" x14ac:dyDescent="0.25">
      <c r="A339" s="3" t="s">
        <v>676</v>
      </c>
      <c r="B339" s="3">
        <v>20411454</v>
      </c>
      <c r="C339" s="3" t="s">
        <v>424</v>
      </c>
      <c r="D339" s="3" t="s">
        <v>559</v>
      </c>
      <c r="E339" t="str">
        <f t="shared" si="5"/>
        <v>Randy Seidel</v>
      </c>
      <c r="F339" s="3">
        <v>58940</v>
      </c>
      <c r="G339" s="3" t="str">
        <f>CONCATENATE(F339,"OVR")</f>
        <v>58940OVR</v>
      </c>
      <c r="H339" s="4">
        <v>46054</v>
      </c>
      <c r="I339" s="3" t="s">
        <v>555</v>
      </c>
      <c r="J339" s="5">
        <v>99.68</v>
      </c>
      <c r="K339" s="3" t="s">
        <v>666</v>
      </c>
      <c r="L339" s="3"/>
      <c r="M339" s="3"/>
      <c r="N339" s="3"/>
      <c r="O339" s="3"/>
    </row>
    <row r="340" spans="1:15" x14ac:dyDescent="0.25">
      <c r="A340" s="3" t="s">
        <v>676</v>
      </c>
      <c r="B340" s="3">
        <v>20411454</v>
      </c>
      <c r="C340" s="3" t="s">
        <v>463</v>
      </c>
      <c r="D340" s="3" t="s">
        <v>561</v>
      </c>
      <c r="E340" t="str">
        <f t="shared" si="5"/>
        <v>Elizabeth Weaver</v>
      </c>
      <c r="F340" s="3">
        <v>69790</v>
      </c>
      <c r="G340" s="3" t="str">
        <f>CONCATENATE(F340,"OVR")</f>
        <v>69790OVR</v>
      </c>
      <c r="H340" s="4">
        <v>46054</v>
      </c>
      <c r="I340" s="3" t="s">
        <v>555</v>
      </c>
      <c r="J340" s="5">
        <v>66.459999999999994</v>
      </c>
      <c r="K340" s="3" t="s">
        <v>666</v>
      </c>
      <c r="L340" s="3"/>
      <c r="M340" s="3"/>
      <c r="N340" s="3"/>
      <c r="O340" s="3"/>
    </row>
    <row r="341" spans="1:15" x14ac:dyDescent="0.25">
      <c r="A341" s="3" t="s">
        <v>676</v>
      </c>
      <c r="B341" s="3">
        <v>20411454</v>
      </c>
      <c r="C341" s="3" t="s">
        <v>563</v>
      </c>
      <c r="D341" s="3" t="s">
        <v>564</v>
      </c>
      <c r="E341" t="str">
        <f t="shared" si="5"/>
        <v>Leslie Bridgeman</v>
      </c>
      <c r="F341" s="3">
        <v>89850</v>
      </c>
      <c r="G341" s="3" t="str">
        <f>CONCATENATE(F341,"OVR")</f>
        <v>89850OVR</v>
      </c>
      <c r="H341" s="4">
        <v>46054</v>
      </c>
      <c r="I341" s="3" t="s">
        <v>555</v>
      </c>
      <c r="J341" s="5">
        <v>66.459999999999994</v>
      </c>
      <c r="K341" s="3" t="s">
        <v>666</v>
      </c>
      <c r="L341" s="3"/>
      <c r="M341" s="3"/>
      <c r="N341" s="3"/>
      <c r="O341" s="3"/>
    </row>
    <row r="342" spans="1:15" x14ac:dyDescent="0.25">
      <c r="A342" s="3" t="s">
        <v>676</v>
      </c>
      <c r="B342" s="3">
        <v>20411454</v>
      </c>
      <c r="C342" s="3" t="s">
        <v>566</v>
      </c>
      <c r="D342" s="3" t="s">
        <v>567</v>
      </c>
      <c r="E342" t="str">
        <f t="shared" si="5"/>
        <v>Laurie Rosso</v>
      </c>
      <c r="F342" s="3">
        <v>19120</v>
      </c>
      <c r="G342" s="3" t="str">
        <f>CONCATENATE(F342,"OVR")</f>
        <v>19120OVR</v>
      </c>
      <c r="H342" s="4">
        <v>46054</v>
      </c>
      <c r="I342" s="3" t="s">
        <v>555</v>
      </c>
      <c r="J342" s="5">
        <v>99.68</v>
      </c>
      <c r="K342" s="3" t="s">
        <v>666</v>
      </c>
      <c r="L342" s="3"/>
      <c r="M342" s="3"/>
      <c r="N342" s="3"/>
      <c r="O342" s="3"/>
    </row>
    <row r="343" spans="1:15" x14ac:dyDescent="0.25">
      <c r="A343" s="3" t="s">
        <v>676</v>
      </c>
      <c r="B343" s="3">
        <v>20411454</v>
      </c>
      <c r="C343" s="3" t="s">
        <v>569</v>
      </c>
      <c r="D343" s="3" t="s">
        <v>570</v>
      </c>
      <c r="E343" t="str">
        <f t="shared" si="5"/>
        <v>Mike Mashraky</v>
      </c>
      <c r="F343" s="3">
        <v>95730</v>
      </c>
      <c r="G343" s="3" t="str">
        <f>CONCATENATE(F343,"OVR")</f>
        <v>95730OVR</v>
      </c>
      <c r="H343" s="4">
        <v>46054</v>
      </c>
      <c r="I343" s="3" t="s">
        <v>555</v>
      </c>
      <c r="J343" s="5">
        <v>99.68</v>
      </c>
      <c r="K343" s="3" t="s">
        <v>666</v>
      </c>
      <c r="L343" s="3"/>
      <c r="M343" s="3"/>
      <c r="N343" s="3"/>
      <c r="O343" s="3"/>
    </row>
    <row r="344" spans="1:15" x14ac:dyDescent="0.25">
      <c r="A344" s="3" t="s">
        <v>676</v>
      </c>
      <c r="B344" s="3">
        <v>20411454</v>
      </c>
      <c r="C344" s="3" t="s">
        <v>572</v>
      </c>
      <c r="D344" s="3" t="s">
        <v>573</v>
      </c>
      <c r="E344" t="str">
        <f t="shared" si="5"/>
        <v>Bonnie Hile</v>
      </c>
      <c r="F344" s="3">
        <v>10630</v>
      </c>
      <c r="G344" s="3" t="str">
        <f>CONCATENATE(F344,"OVR")</f>
        <v>10630OVR</v>
      </c>
      <c r="H344" s="4">
        <v>46054</v>
      </c>
      <c r="I344" s="3" t="s">
        <v>555</v>
      </c>
      <c r="J344" s="5">
        <v>66.459999999999994</v>
      </c>
      <c r="K344" s="3" t="s">
        <v>666</v>
      </c>
      <c r="L344" s="3"/>
      <c r="M344" s="3"/>
      <c r="N344" s="3"/>
      <c r="O344" s="3"/>
    </row>
    <row r="345" spans="1:15" x14ac:dyDescent="0.25">
      <c r="A345" s="3" t="s">
        <v>676</v>
      </c>
      <c r="B345" s="3">
        <v>20411454</v>
      </c>
      <c r="C345" s="3" t="s">
        <v>575</v>
      </c>
      <c r="D345" s="3" t="s">
        <v>576</v>
      </c>
      <c r="E345" t="str">
        <f t="shared" si="5"/>
        <v>Larry Stephens</v>
      </c>
      <c r="F345" s="3">
        <v>21860</v>
      </c>
      <c r="G345" s="3" t="str">
        <f>CONCATENATE(F345,"OVR")</f>
        <v>21860OVR</v>
      </c>
      <c r="H345" s="4">
        <v>46054</v>
      </c>
      <c r="I345" s="3" t="s">
        <v>555</v>
      </c>
      <c r="J345" s="5">
        <v>66.459999999999994</v>
      </c>
      <c r="K345" s="3" t="s">
        <v>666</v>
      </c>
      <c r="L345" s="3"/>
      <c r="M345" s="3"/>
      <c r="N345" s="3"/>
      <c r="O345" s="3"/>
    </row>
    <row r="346" spans="1:15" x14ac:dyDescent="0.25">
      <c r="A346" s="3" t="s">
        <v>676</v>
      </c>
      <c r="B346" s="3">
        <v>20411454</v>
      </c>
      <c r="C346" s="3" t="s">
        <v>578</v>
      </c>
      <c r="D346" s="3" t="s">
        <v>245</v>
      </c>
      <c r="E346" t="str">
        <f t="shared" si="5"/>
        <v>Otis Johnson</v>
      </c>
      <c r="F346" s="3">
        <v>95710</v>
      </c>
      <c r="G346" s="3" t="str">
        <f>CONCATENATE(F346,"OVR")</f>
        <v>95710OVR</v>
      </c>
      <c r="H346" s="4">
        <v>46054</v>
      </c>
      <c r="I346" s="3" t="s">
        <v>555</v>
      </c>
      <c r="J346" s="5">
        <v>99.68</v>
      </c>
      <c r="K346" s="3" t="s">
        <v>666</v>
      </c>
      <c r="L346" s="3"/>
      <c r="M346" s="3"/>
      <c r="N346" s="3"/>
      <c r="O346" s="3"/>
    </row>
    <row r="347" spans="1:15" x14ac:dyDescent="0.25">
      <c r="A347" s="3" t="s">
        <v>676</v>
      </c>
      <c r="B347" s="3">
        <v>20411454</v>
      </c>
      <c r="C347" s="3" t="s">
        <v>580</v>
      </c>
      <c r="D347" s="3" t="s">
        <v>581</v>
      </c>
      <c r="E347" t="str">
        <f t="shared" si="5"/>
        <v>Dennis Mcconnell</v>
      </c>
      <c r="F347" s="3">
        <v>72210</v>
      </c>
      <c r="G347" s="3" t="str">
        <f>CONCATENATE(F347,"OVR")</f>
        <v>72210OVR</v>
      </c>
      <c r="H347" s="4">
        <v>46054</v>
      </c>
      <c r="I347" s="3" t="s">
        <v>555</v>
      </c>
      <c r="J347" s="5">
        <v>99.68</v>
      </c>
      <c r="K347" s="3" t="s">
        <v>666</v>
      </c>
      <c r="L347" s="3"/>
      <c r="M347" s="3"/>
      <c r="N347" s="3"/>
      <c r="O347" s="3"/>
    </row>
    <row r="348" spans="1:15" x14ac:dyDescent="0.25">
      <c r="A348" s="3" t="s">
        <v>676</v>
      </c>
      <c r="B348" s="3">
        <v>20411454</v>
      </c>
      <c r="C348" s="3" t="s">
        <v>128</v>
      </c>
      <c r="D348" s="3" t="s">
        <v>139</v>
      </c>
      <c r="E348" t="str">
        <f t="shared" si="5"/>
        <v>John Smith</v>
      </c>
      <c r="F348" s="3">
        <v>84210</v>
      </c>
      <c r="G348" s="3" t="str">
        <f>CONCATENATE(F348,"OVR")</f>
        <v>84210OVR</v>
      </c>
      <c r="H348" s="4">
        <v>46054</v>
      </c>
      <c r="I348" s="3" t="s">
        <v>555</v>
      </c>
      <c r="J348" s="5">
        <v>66.459999999999994</v>
      </c>
      <c r="K348" s="3" t="s">
        <v>666</v>
      </c>
      <c r="L348" s="3"/>
      <c r="M348" s="3"/>
      <c r="N348" s="3"/>
      <c r="O348" s="3"/>
    </row>
    <row r="349" spans="1:15" x14ac:dyDescent="0.25">
      <c r="A349" s="3" t="s">
        <v>676</v>
      </c>
      <c r="B349" s="3">
        <v>20411454</v>
      </c>
      <c r="C349" s="3" t="s">
        <v>584</v>
      </c>
      <c r="D349" s="3" t="s">
        <v>585</v>
      </c>
      <c r="E349" t="str">
        <f t="shared" si="5"/>
        <v>Richard Ryan</v>
      </c>
      <c r="F349" s="3">
        <v>93110</v>
      </c>
      <c r="G349" s="3" t="str">
        <f>CONCATENATE(F349,"OVR")</f>
        <v>93110OVR</v>
      </c>
      <c r="H349" s="4">
        <v>45870</v>
      </c>
      <c r="I349" s="3" t="s">
        <v>555</v>
      </c>
      <c r="J349" s="5">
        <v>99.68</v>
      </c>
      <c r="K349" s="3" t="s">
        <v>666</v>
      </c>
      <c r="L349" s="3"/>
      <c r="M349" s="3"/>
      <c r="N349" s="3"/>
      <c r="O349" s="3"/>
    </row>
    <row r="350" spans="1:15" x14ac:dyDescent="0.25">
      <c r="A350" s="3" t="s">
        <v>676</v>
      </c>
      <c r="B350" s="3">
        <v>20411454</v>
      </c>
      <c r="C350" s="3" t="s">
        <v>587</v>
      </c>
      <c r="D350" s="3" t="s">
        <v>588</v>
      </c>
      <c r="E350" t="str">
        <f t="shared" si="5"/>
        <v>Paula Cline</v>
      </c>
      <c r="F350" s="3">
        <v>75390</v>
      </c>
      <c r="G350" s="3" t="str">
        <f>CONCATENATE(F350,"OVR")</f>
        <v>75390OVR</v>
      </c>
      <c r="H350" s="4">
        <v>46054</v>
      </c>
      <c r="I350" s="3" t="s">
        <v>555</v>
      </c>
      <c r="J350" s="5">
        <v>66.459999999999994</v>
      </c>
      <c r="K350" s="3" t="s">
        <v>666</v>
      </c>
      <c r="L350" s="3"/>
      <c r="M350" s="3"/>
      <c r="N350" s="3"/>
      <c r="O350" s="3"/>
    </row>
    <row r="351" spans="1:15" x14ac:dyDescent="0.25">
      <c r="A351" s="3" t="s">
        <v>676</v>
      </c>
      <c r="B351" s="3">
        <v>20411454</v>
      </c>
      <c r="C351" s="3" t="s">
        <v>302</v>
      </c>
      <c r="D351" s="3" t="s">
        <v>590</v>
      </c>
      <c r="E351" t="str">
        <f t="shared" si="5"/>
        <v>Sharon Carben</v>
      </c>
      <c r="F351" s="3">
        <v>90880</v>
      </c>
      <c r="G351" s="3" t="str">
        <f>CONCATENATE(F351,"OVR")</f>
        <v>90880OVR</v>
      </c>
      <c r="H351" s="4">
        <v>46054</v>
      </c>
      <c r="I351" s="3" t="s">
        <v>555</v>
      </c>
      <c r="J351" s="5">
        <v>66.459999999999994</v>
      </c>
      <c r="K351" s="3" t="s">
        <v>666</v>
      </c>
      <c r="L351" s="3"/>
      <c r="M351" s="3"/>
      <c r="N351" s="3"/>
      <c r="O351" s="3"/>
    </row>
    <row r="352" spans="1:15" x14ac:dyDescent="0.25">
      <c r="A352" s="3" t="s">
        <v>676</v>
      </c>
      <c r="B352" s="3">
        <v>20411454</v>
      </c>
      <c r="C352" s="3" t="s">
        <v>203</v>
      </c>
      <c r="D352" s="3" t="s">
        <v>592</v>
      </c>
      <c r="E352" t="str">
        <f t="shared" si="5"/>
        <v>David Cramer</v>
      </c>
      <c r="F352" s="3">
        <v>58370</v>
      </c>
      <c r="G352" s="3" t="str">
        <f>CONCATENATE(F352,"OVR")</f>
        <v>58370OVR</v>
      </c>
      <c r="H352" s="4">
        <v>46054</v>
      </c>
      <c r="I352" s="3" t="s">
        <v>555</v>
      </c>
      <c r="J352" s="5">
        <v>66.459999999999994</v>
      </c>
      <c r="K352" s="3" t="s">
        <v>666</v>
      </c>
      <c r="L352" s="3"/>
      <c r="M352" s="3"/>
      <c r="N352" s="3"/>
      <c r="O352" s="3"/>
    </row>
    <row r="353" spans="1:15" x14ac:dyDescent="0.25">
      <c r="A353" s="3" t="s">
        <v>676</v>
      </c>
      <c r="B353" s="3">
        <v>20411454</v>
      </c>
      <c r="C353" s="3" t="s">
        <v>302</v>
      </c>
      <c r="D353" s="3" t="s">
        <v>576</v>
      </c>
      <c r="E353" t="str">
        <f t="shared" si="5"/>
        <v>Sharon Stephens</v>
      </c>
      <c r="F353" s="3">
        <v>46600</v>
      </c>
      <c r="G353" s="3" t="str">
        <f>CONCATENATE(F353,"OVR")</f>
        <v>46600OVR</v>
      </c>
      <c r="H353" s="4">
        <v>46054</v>
      </c>
      <c r="I353" s="3" t="s">
        <v>555</v>
      </c>
      <c r="J353" s="5">
        <v>66.459999999999994</v>
      </c>
      <c r="K353" s="3" t="s">
        <v>666</v>
      </c>
      <c r="L353" s="3"/>
      <c r="M353" s="3"/>
      <c r="N353" s="3"/>
      <c r="O353" s="3"/>
    </row>
    <row r="354" spans="1:15" x14ac:dyDescent="0.25">
      <c r="A354" s="3" t="s">
        <v>676</v>
      </c>
      <c r="B354" s="3">
        <v>20411454</v>
      </c>
      <c r="C354" s="3" t="s">
        <v>232</v>
      </c>
      <c r="D354" s="3" t="s">
        <v>595</v>
      </c>
      <c r="E354" t="str">
        <f t="shared" si="5"/>
        <v>Dorothy Perry</v>
      </c>
      <c r="F354" s="3">
        <v>17890</v>
      </c>
      <c r="G354" s="3" t="str">
        <f>CONCATENATE(F354,"OVR")</f>
        <v>17890OVR</v>
      </c>
      <c r="H354" s="4">
        <v>46054</v>
      </c>
      <c r="I354" s="3" t="s">
        <v>555</v>
      </c>
      <c r="J354" s="5">
        <v>66.459999999999994</v>
      </c>
      <c r="K354" s="3" t="s">
        <v>666</v>
      </c>
      <c r="L354" s="3"/>
      <c r="M354" s="3"/>
      <c r="N354" s="3"/>
      <c r="O354" s="3"/>
    </row>
    <row r="355" spans="1:15" x14ac:dyDescent="0.25">
      <c r="A355" s="3" t="s">
        <v>676</v>
      </c>
      <c r="B355" s="3">
        <v>20411454</v>
      </c>
      <c r="C355" s="3" t="s">
        <v>97</v>
      </c>
      <c r="D355" s="3" t="s">
        <v>597</v>
      </c>
      <c r="E355" t="str">
        <f t="shared" si="5"/>
        <v>Donna Laslavic</v>
      </c>
      <c r="F355" s="3">
        <v>66800</v>
      </c>
      <c r="G355" s="3" t="str">
        <f>CONCATENATE(F355,"OVR")</f>
        <v>66800OVR</v>
      </c>
      <c r="H355" s="4">
        <v>46054</v>
      </c>
      <c r="I355" s="3" t="s">
        <v>555</v>
      </c>
      <c r="J355" s="5">
        <v>66.459999999999994</v>
      </c>
      <c r="K355" s="3" t="s">
        <v>666</v>
      </c>
      <c r="L355" s="3"/>
      <c r="M355" s="3"/>
      <c r="N355" s="3"/>
      <c r="O355" s="3"/>
    </row>
    <row r="356" spans="1:15" x14ac:dyDescent="0.25">
      <c r="A356" s="3" t="s">
        <v>676</v>
      </c>
      <c r="B356" s="3">
        <v>20411454</v>
      </c>
      <c r="C356" s="3" t="s">
        <v>599</v>
      </c>
      <c r="D356" s="3" t="s">
        <v>600</v>
      </c>
      <c r="E356" t="str">
        <f t="shared" si="5"/>
        <v>Angela Mazzocca</v>
      </c>
      <c r="F356" s="3">
        <v>68750</v>
      </c>
      <c r="G356" s="3" t="str">
        <f>CONCATENATE(F356,"OVR")</f>
        <v>68750OVR</v>
      </c>
      <c r="H356" s="4">
        <v>46023</v>
      </c>
      <c r="I356" s="3" t="s">
        <v>555</v>
      </c>
      <c r="J356" s="5">
        <v>99.68</v>
      </c>
      <c r="K356" s="3" t="s">
        <v>666</v>
      </c>
      <c r="L356" s="3"/>
      <c r="M356" s="3"/>
      <c r="N356" s="3"/>
      <c r="O356" s="3"/>
    </row>
    <row r="357" spans="1:15" x14ac:dyDescent="0.25">
      <c r="A357" s="3" t="s">
        <v>676</v>
      </c>
      <c r="B357" s="3">
        <v>20411454</v>
      </c>
      <c r="C357" s="3" t="s">
        <v>602</v>
      </c>
      <c r="D357" s="3" t="s">
        <v>603</v>
      </c>
      <c r="E357" t="str">
        <f t="shared" si="5"/>
        <v>Maria Martinez-Rivera</v>
      </c>
      <c r="F357" s="3">
        <v>80970</v>
      </c>
      <c r="G357" s="3" t="str">
        <f>CONCATENATE(F357,"OVR")</f>
        <v>80970OVR</v>
      </c>
      <c r="H357" s="4">
        <v>46054</v>
      </c>
      <c r="I357" s="3" t="s">
        <v>555</v>
      </c>
      <c r="J357" s="5">
        <v>99.68</v>
      </c>
      <c r="K357" s="3" t="s">
        <v>666</v>
      </c>
      <c r="L357" s="3"/>
      <c r="M357" s="3"/>
      <c r="N357" s="3"/>
      <c r="O357" s="3"/>
    </row>
    <row r="358" spans="1:15" x14ac:dyDescent="0.25">
      <c r="A358" s="3" t="s">
        <v>676</v>
      </c>
      <c r="B358" s="3">
        <v>20411454</v>
      </c>
      <c r="C358" s="3" t="s">
        <v>403</v>
      </c>
      <c r="D358" s="3" t="s">
        <v>605</v>
      </c>
      <c r="E358" t="str">
        <f t="shared" si="5"/>
        <v>Marian West</v>
      </c>
      <c r="F358" s="3">
        <v>85220</v>
      </c>
      <c r="G358" s="3" t="str">
        <f>CONCATENATE(F358,"OVR")</f>
        <v>85220OVR</v>
      </c>
      <c r="H358" s="4">
        <v>46054</v>
      </c>
      <c r="I358" s="3" t="s">
        <v>555</v>
      </c>
      <c r="J358" s="5">
        <v>66.459999999999994</v>
      </c>
      <c r="K358" s="3" t="s">
        <v>666</v>
      </c>
      <c r="L358" s="3"/>
      <c r="M358" s="3"/>
      <c r="N358" s="3"/>
      <c r="O358" s="3"/>
    </row>
    <row r="359" spans="1:15" x14ac:dyDescent="0.25">
      <c r="A359" s="3" t="s">
        <v>676</v>
      </c>
      <c r="B359" s="3">
        <v>20411454</v>
      </c>
      <c r="C359" s="3" t="s">
        <v>607</v>
      </c>
      <c r="D359" s="3" t="s">
        <v>605</v>
      </c>
      <c r="E359" t="str">
        <f t="shared" si="5"/>
        <v>Jack West</v>
      </c>
      <c r="F359" s="3">
        <v>85630</v>
      </c>
      <c r="G359" s="3" t="str">
        <f>CONCATENATE(F359,"OVR")</f>
        <v>85630OVR</v>
      </c>
      <c r="H359" s="4">
        <v>46054</v>
      </c>
      <c r="I359" s="3" t="s">
        <v>555</v>
      </c>
      <c r="J359" s="5">
        <v>66.459999999999994</v>
      </c>
      <c r="K359" s="3" t="s">
        <v>666</v>
      </c>
      <c r="L359" s="3"/>
      <c r="M359" s="3"/>
      <c r="N359" s="3"/>
      <c r="O359" s="3"/>
    </row>
    <row r="360" spans="1:15" x14ac:dyDescent="0.25">
      <c r="A360" s="3" t="s">
        <v>676</v>
      </c>
      <c r="B360" s="3">
        <v>20411454</v>
      </c>
      <c r="C360" s="3" t="s">
        <v>609</v>
      </c>
      <c r="D360" s="3" t="s">
        <v>610</v>
      </c>
      <c r="E360" t="str">
        <f t="shared" si="5"/>
        <v>Rose Henn</v>
      </c>
      <c r="F360" s="3">
        <v>90570</v>
      </c>
      <c r="G360" s="3" t="str">
        <f>CONCATENATE(F360,"OVR")</f>
        <v>90570OVR</v>
      </c>
      <c r="H360" s="4">
        <v>46054</v>
      </c>
      <c r="I360" s="3" t="s">
        <v>555</v>
      </c>
      <c r="J360" s="5">
        <v>99.68</v>
      </c>
      <c r="K360" s="3" t="s">
        <v>666</v>
      </c>
      <c r="L360" s="3"/>
      <c r="M360" s="3"/>
      <c r="N360" s="3"/>
      <c r="O360" s="3"/>
    </row>
    <row r="361" spans="1:15" x14ac:dyDescent="0.25">
      <c r="A361" s="3" t="s">
        <v>676</v>
      </c>
      <c r="B361" s="3">
        <v>20411454</v>
      </c>
      <c r="C361" s="3" t="s">
        <v>612</v>
      </c>
      <c r="D361" s="3" t="s">
        <v>610</v>
      </c>
      <c r="E361" t="str">
        <f t="shared" si="5"/>
        <v>Alton Henn</v>
      </c>
      <c r="F361" s="3">
        <v>90680</v>
      </c>
      <c r="G361" s="3" t="str">
        <f>CONCATENATE(F361,"OVR")</f>
        <v>90680OVR</v>
      </c>
      <c r="H361" s="4">
        <v>46054</v>
      </c>
      <c r="I361" s="3" t="s">
        <v>555</v>
      </c>
      <c r="J361" s="5">
        <v>99.68</v>
      </c>
      <c r="K361" s="3" t="s">
        <v>666</v>
      </c>
      <c r="L361" s="3"/>
      <c r="M361" s="3"/>
      <c r="N361" s="3"/>
      <c r="O361" s="3"/>
    </row>
    <row r="362" spans="1:15" x14ac:dyDescent="0.25">
      <c r="A362" s="3" t="s">
        <v>676</v>
      </c>
      <c r="B362" s="3">
        <v>20411454</v>
      </c>
      <c r="C362" s="3" t="s">
        <v>128</v>
      </c>
      <c r="D362" s="3" t="s">
        <v>614</v>
      </c>
      <c r="E362" t="str">
        <f t="shared" si="5"/>
        <v>John Senderling</v>
      </c>
      <c r="F362" s="3">
        <v>93850</v>
      </c>
      <c r="G362" s="3" t="str">
        <f>CONCATENATE(F362,"OVR")</f>
        <v>93850OVR</v>
      </c>
      <c r="H362" s="4">
        <v>46054</v>
      </c>
      <c r="I362" s="3" t="s">
        <v>555</v>
      </c>
      <c r="J362" s="5">
        <v>99.68</v>
      </c>
      <c r="K362" s="3" t="s">
        <v>666</v>
      </c>
      <c r="L362" s="3"/>
      <c r="M362" s="3"/>
      <c r="N362" s="3"/>
      <c r="O362" s="3"/>
    </row>
    <row r="363" spans="1:15" x14ac:dyDescent="0.25">
      <c r="A363" s="3" t="s">
        <v>676</v>
      </c>
      <c r="B363" s="3">
        <v>20411454</v>
      </c>
      <c r="C363" s="3" t="s">
        <v>244</v>
      </c>
      <c r="D363" s="3" t="s">
        <v>616</v>
      </c>
      <c r="E363" t="str">
        <f t="shared" si="5"/>
        <v>Cheryl Lind</v>
      </c>
      <c r="F363" s="3">
        <v>98730</v>
      </c>
      <c r="G363" s="3" t="str">
        <f>CONCATENATE(F363,"OVR")</f>
        <v>98730OVR</v>
      </c>
      <c r="H363" s="4">
        <v>46054</v>
      </c>
      <c r="I363" s="3" t="s">
        <v>555</v>
      </c>
      <c r="J363" s="5">
        <v>66.459999999999994</v>
      </c>
      <c r="K363" s="3" t="s">
        <v>666</v>
      </c>
      <c r="L363" s="3"/>
      <c r="M363" s="3"/>
      <c r="N363" s="3"/>
      <c r="O363" s="3"/>
    </row>
    <row r="364" spans="1:15" x14ac:dyDescent="0.25">
      <c r="A364" s="3" t="s">
        <v>676</v>
      </c>
      <c r="B364" s="3">
        <v>20411454</v>
      </c>
      <c r="C364" s="3" t="s">
        <v>190</v>
      </c>
      <c r="D364" s="3" t="s">
        <v>618</v>
      </c>
      <c r="E364" t="str">
        <f t="shared" si="5"/>
        <v>James Piotrowski</v>
      </c>
      <c r="F364" s="3">
        <v>9490</v>
      </c>
      <c r="G364" s="3" t="str">
        <f>CONCATENATE(F364,"OVR")</f>
        <v>9490OVR</v>
      </c>
      <c r="H364" s="4">
        <v>46054</v>
      </c>
      <c r="I364" s="3" t="s">
        <v>555</v>
      </c>
      <c r="J364" s="5">
        <v>99.68</v>
      </c>
      <c r="K364" s="3" t="s">
        <v>666</v>
      </c>
      <c r="L364" s="3"/>
      <c r="M364" s="3"/>
      <c r="N364" s="3"/>
      <c r="O364" s="3"/>
    </row>
    <row r="365" spans="1:15" x14ac:dyDescent="0.25">
      <c r="A365" s="3" t="s">
        <v>676</v>
      </c>
      <c r="B365" s="3">
        <v>20411454</v>
      </c>
      <c r="C365" s="3" t="s">
        <v>72</v>
      </c>
      <c r="D365" s="3" t="s">
        <v>620</v>
      </c>
      <c r="E365" t="str">
        <f t="shared" si="5"/>
        <v>Timothy Drake</v>
      </c>
      <c r="F365" s="3">
        <v>10320</v>
      </c>
      <c r="G365" s="3" t="str">
        <f>CONCATENATE(F365,"OVR")</f>
        <v>10320OVR</v>
      </c>
      <c r="H365" s="4">
        <v>46054</v>
      </c>
      <c r="I365" s="3" t="s">
        <v>555</v>
      </c>
      <c r="J365" s="5">
        <v>66.459999999999994</v>
      </c>
      <c r="K365" s="3" t="s">
        <v>666</v>
      </c>
      <c r="L365" s="3"/>
      <c r="M365" s="3"/>
      <c r="N365" s="3"/>
      <c r="O365" s="3"/>
    </row>
    <row r="366" spans="1:15" x14ac:dyDescent="0.25">
      <c r="A366" s="3" t="s">
        <v>676</v>
      </c>
      <c r="B366" s="3">
        <v>20411454</v>
      </c>
      <c r="C366" s="3" t="s">
        <v>623</v>
      </c>
      <c r="D366" s="3" t="s">
        <v>624</v>
      </c>
      <c r="E366" t="str">
        <f t="shared" si="5"/>
        <v>Justice Petho</v>
      </c>
      <c r="F366" s="3">
        <v>970</v>
      </c>
      <c r="G366" s="3" t="str">
        <f>CONCATENATE(F366,"OVR")</f>
        <v>970OVR</v>
      </c>
      <c r="H366" s="4">
        <v>46054</v>
      </c>
      <c r="I366" s="3" t="s">
        <v>555</v>
      </c>
      <c r="J366" s="5">
        <v>66.459999999999994</v>
      </c>
      <c r="K366" s="3" t="s">
        <v>666</v>
      </c>
      <c r="L366" s="3"/>
      <c r="M366" s="3"/>
      <c r="N366" s="3"/>
      <c r="O366" s="3"/>
    </row>
    <row r="367" spans="1:15" x14ac:dyDescent="0.25">
      <c r="A367" s="3" t="s">
        <v>676</v>
      </c>
      <c r="B367" s="3">
        <v>20411454</v>
      </c>
      <c r="C367" s="3" t="s">
        <v>626</v>
      </c>
      <c r="D367" s="3" t="s">
        <v>457</v>
      </c>
      <c r="E367" t="str">
        <f t="shared" si="5"/>
        <v>Marcey Kim</v>
      </c>
      <c r="F367" s="3">
        <v>66820</v>
      </c>
      <c r="G367" s="3" t="str">
        <f>CONCATENATE(F367,"OVR")</f>
        <v>66820OVR</v>
      </c>
      <c r="H367" s="4">
        <v>46054</v>
      </c>
      <c r="I367" s="3" t="s">
        <v>555</v>
      </c>
      <c r="J367" s="5">
        <v>66.459999999999994</v>
      </c>
      <c r="K367" s="3" t="s">
        <v>666</v>
      </c>
      <c r="L367" s="3"/>
      <c r="M367" s="3"/>
      <c r="N367" s="3"/>
      <c r="O367" s="3"/>
    </row>
    <row r="368" spans="1:15" x14ac:dyDescent="0.25">
      <c r="A368" s="3" t="s">
        <v>676</v>
      </c>
      <c r="B368" s="3">
        <v>20411454</v>
      </c>
      <c r="C368" s="3" t="s">
        <v>628</v>
      </c>
      <c r="D368" s="3" t="s">
        <v>629</v>
      </c>
      <c r="E368" t="str">
        <f t="shared" si="5"/>
        <v>Joyce Lesser</v>
      </c>
      <c r="F368" s="3">
        <v>76700</v>
      </c>
      <c r="G368" s="3" t="str">
        <f>CONCATENATE(F368,"OVR")</f>
        <v>76700OVR</v>
      </c>
      <c r="H368" s="4">
        <v>46054</v>
      </c>
      <c r="I368" s="3" t="s">
        <v>555</v>
      </c>
      <c r="J368" s="5">
        <v>66.459999999999994</v>
      </c>
      <c r="K368" s="3" t="s">
        <v>666</v>
      </c>
      <c r="L368" s="3"/>
      <c r="M368" s="3"/>
      <c r="N368" s="3"/>
      <c r="O368" s="3"/>
    </row>
    <row r="369" spans="1:15" x14ac:dyDescent="0.25">
      <c r="A369" s="3" t="s">
        <v>676</v>
      </c>
      <c r="B369" s="3">
        <v>20411454</v>
      </c>
      <c r="C369" s="3" t="s">
        <v>268</v>
      </c>
      <c r="D369" s="3" t="s">
        <v>631</v>
      </c>
      <c r="E369" t="str">
        <f t="shared" si="5"/>
        <v>Sally Freshwater</v>
      </c>
      <c r="F369" s="3">
        <v>93100</v>
      </c>
      <c r="G369" s="3" t="str">
        <f>CONCATENATE(F369,"OVR")</f>
        <v>93100OVR</v>
      </c>
      <c r="H369" s="4">
        <v>46054</v>
      </c>
      <c r="I369" s="3" t="s">
        <v>555</v>
      </c>
      <c r="J369" s="5">
        <v>66.459999999999994</v>
      </c>
      <c r="K369" s="3" t="s">
        <v>666</v>
      </c>
      <c r="L369" s="3"/>
      <c r="M369" s="3"/>
      <c r="N369" s="3"/>
      <c r="O369" s="3"/>
    </row>
    <row r="370" spans="1:15" x14ac:dyDescent="0.25">
      <c r="A370" s="3" t="s">
        <v>676</v>
      </c>
      <c r="B370" s="3">
        <v>20411454</v>
      </c>
      <c r="C370" s="3" t="s">
        <v>528</v>
      </c>
      <c r="D370" s="3" t="s">
        <v>529</v>
      </c>
      <c r="E370" t="str">
        <f t="shared" si="5"/>
        <v>Amy Cosentino</v>
      </c>
      <c r="F370" s="3">
        <v>47880</v>
      </c>
      <c r="G370" s="3" t="str">
        <f>CONCATENATE(F370,"OVR")</f>
        <v>47880OVR</v>
      </c>
      <c r="H370" s="4">
        <v>45870</v>
      </c>
      <c r="I370" s="3" t="s">
        <v>633</v>
      </c>
      <c r="J370" s="5">
        <v>18.12</v>
      </c>
      <c r="K370" s="3" t="s">
        <v>666</v>
      </c>
      <c r="L370" s="3"/>
      <c r="M370" s="3"/>
      <c r="N370" s="3"/>
      <c r="O370" s="3"/>
    </row>
    <row r="371" spans="1:15" x14ac:dyDescent="0.25">
      <c r="A371" s="3" t="s">
        <v>676</v>
      </c>
      <c r="B371" s="3">
        <v>20411454</v>
      </c>
      <c r="C371" s="3" t="s">
        <v>78</v>
      </c>
      <c r="D371" s="3" t="s">
        <v>634</v>
      </c>
      <c r="E371" t="str">
        <f t="shared" si="5"/>
        <v>Christopher Parinella</v>
      </c>
      <c r="F371" s="3">
        <v>85280</v>
      </c>
      <c r="G371" s="3" t="str">
        <f>CONCATENATE(F371,"OVR")</f>
        <v>85280OVR</v>
      </c>
      <c r="H371" s="4">
        <v>46113</v>
      </c>
      <c r="I371" s="3" t="s">
        <v>636</v>
      </c>
      <c r="J371" s="5">
        <v>54.38</v>
      </c>
      <c r="K371" s="3" t="s">
        <v>666</v>
      </c>
      <c r="L371" s="3"/>
      <c r="M371" s="3"/>
      <c r="N371" s="3"/>
      <c r="O371" s="3"/>
    </row>
    <row r="372" spans="1:15" x14ac:dyDescent="0.25">
      <c r="A372" s="3" t="s">
        <v>676</v>
      </c>
      <c r="B372" s="3">
        <v>20411454</v>
      </c>
      <c r="C372" s="3" t="s">
        <v>276</v>
      </c>
      <c r="D372" s="3" t="s">
        <v>488</v>
      </c>
      <c r="E372" t="str">
        <f t="shared" si="5"/>
        <v>Edward Price</v>
      </c>
      <c r="F372" s="3">
        <v>72780</v>
      </c>
      <c r="G372" s="3" t="str">
        <f>CONCATENATE(F372,"OVR")</f>
        <v>72780OVR</v>
      </c>
      <c r="H372" s="4">
        <v>46113</v>
      </c>
      <c r="I372" s="3" t="s">
        <v>636</v>
      </c>
      <c r="J372" s="5">
        <v>54.38</v>
      </c>
      <c r="K372" s="3" t="s">
        <v>666</v>
      </c>
      <c r="L372" s="3"/>
      <c r="M372" s="3"/>
      <c r="N372" s="3"/>
      <c r="O372" s="3"/>
    </row>
    <row r="373" spans="1:15" x14ac:dyDescent="0.25">
      <c r="A373" s="3" t="s">
        <v>676</v>
      </c>
      <c r="B373" s="3">
        <v>20411454</v>
      </c>
      <c r="C373" s="3" t="s">
        <v>261</v>
      </c>
      <c r="D373" s="3" t="s">
        <v>638</v>
      </c>
      <c r="E373" t="str">
        <f t="shared" si="5"/>
        <v>Stephen Cobern</v>
      </c>
      <c r="F373" s="3">
        <v>98490</v>
      </c>
      <c r="G373" s="3" t="str">
        <f>CONCATENATE(F373,"OVR")</f>
        <v>98490OVR</v>
      </c>
      <c r="H373" s="4">
        <v>46113</v>
      </c>
      <c r="I373" s="3" t="s">
        <v>636</v>
      </c>
      <c r="J373" s="5">
        <v>54.38</v>
      </c>
      <c r="K373" s="3" t="s">
        <v>666</v>
      </c>
      <c r="L373" s="3"/>
      <c r="M373" s="3"/>
      <c r="N373" s="3"/>
      <c r="O373" s="3"/>
    </row>
    <row r="374" spans="1:15" x14ac:dyDescent="0.25">
      <c r="A374" s="3" t="s">
        <v>676</v>
      </c>
      <c r="B374" s="3">
        <v>20411454</v>
      </c>
      <c r="C374" s="3" t="s">
        <v>654</v>
      </c>
      <c r="D374" s="3" t="s">
        <v>655</v>
      </c>
      <c r="E374" t="str">
        <f t="shared" si="5"/>
        <v>Bruce Davis</v>
      </c>
      <c r="F374" s="3">
        <v>7960</v>
      </c>
      <c r="G374" s="3" t="str">
        <f>CONCATENATE(F374,"OVR")</f>
        <v>7960OVR</v>
      </c>
      <c r="H374" s="4">
        <v>45658</v>
      </c>
      <c r="I374" s="3" t="s">
        <v>660</v>
      </c>
      <c r="J374" s="5">
        <v>50</v>
      </c>
      <c r="K374" s="3" t="s">
        <v>666</v>
      </c>
      <c r="L374" s="3"/>
      <c r="M374" s="3"/>
      <c r="N374" s="3"/>
      <c r="O374" s="3"/>
    </row>
    <row r="375" spans="1:15" x14ac:dyDescent="0.25">
      <c r="A375" s="3" t="s">
        <v>676</v>
      </c>
      <c r="B375" s="3">
        <v>20411454</v>
      </c>
      <c r="C375" s="3" t="s">
        <v>340</v>
      </c>
      <c r="D375" s="3" t="s">
        <v>658</v>
      </c>
      <c r="E375" t="str">
        <f t="shared" si="5"/>
        <v>Mary Sklar</v>
      </c>
      <c r="F375" s="3">
        <v>81340</v>
      </c>
      <c r="G375" s="3" t="str">
        <f>CONCATENATE(F375,"OVR")</f>
        <v>81340OVR</v>
      </c>
      <c r="H375" s="4">
        <v>45383</v>
      </c>
      <c r="I375" s="3" t="s">
        <v>660</v>
      </c>
      <c r="J375" s="5">
        <v>50</v>
      </c>
      <c r="K375" s="3" t="s">
        <v>666</v>
      </c>
      <c r="L375" s="3"/>
      <c r="M375" s="3"/>
      <c r="N375" s="3"/>
      <c r="O375" s="3"/>
    </row>
    <row r="376" spans="1:15" x14ac:dyDescent="0.25">
      <c r="A376" s="3" t="s">
        <v>676</v>
      </c>
      <c r="B376" s="3">
        <v>20411454</v>
      </c>
      <c r="C376" s="3" t="s">
        <v>662</v>
      </c>
      <c r="D376" s="3" t="s">
        <v>663</v>
      </c>
      <c r="E376" t="str">
        <f t="shared" si="5"/>
        <v>Anistine Mossberg</v>
      </c>
      <c r="F376" s="3">
        <v>11950</v>
      </c>
      <c r="G376" s="3" t="str">
        <f>CONCATENATE(F376,"OVR")</f>
        <v>11950OVR</v>
      </c>
      <c r="H376" s="4">
        <v>46054</v>
      </c>
      <c r="I376" s="3" t="s">
        <v>665</v>
      </c>
      <c r="J376" s="5">
        <v>68.75</v>
      </c>
      <c r="K376" s="3" t="s">
        <v>666</v>
      </c>
      <c r="L376" s="3"/>
      <c r="M376" s="3"/>
      <c r="N376" s="3"/>
      <c r="O376" s="3"/>
    </row>
    <row r="377" spans="1:15" x14ac:dyDescent="0.25">
      <c r="A377" t="s">
        <v>382</v>
      </c>
      <c r="B377">
        <v>21618313</v>
      </c>
      <c r="C377" t="s">
        <v>12</v>
      </c>
      <c r="D377" t="s">
        <v>651</v>
      </c>
      <c r="E377" t="str">
        <f t="shared" si="5"/>
        <v>Karen Spector</v>
      </c>
      <c r="F377">
        <v>27900</v>
      </c>
      <c r="G377" s="6" t="str">
        <f>CONCATENATE(F377,55)</f>
        <v>2790055</v>
      </c>
      <c r="H377" s="1">
        <v>46023</v>
      </c>
      <c r="I377" t="s">
        <v>648</v>
      </c>
      <c r="J377" s="2">
        <v>55</v>
      </c>
      <c r="K377" t="s">
        <v>668</v>
      </c>
    </row>
    <row r="378" spans="1:15" x14ac:dyDescent="0.25">
      <c r="A378" t="s">
        <v>382</v>
      </c>
      <c r="B378">
        <v>21618313</v>
      </c>
      <c r="C378" t="s">
        <v>128</v>
      </c>
      <c r="D378" t="s">
        <v>383</v>
      </c>
      <c r="E378" t="str">
        <f t="shared" si="5"/>
        <v>John Heckman</v>
      </c>
      <c r="F378">
        <v>90250</v>
      </c>
      <c r="G378" s="6" t="str">
        <f>CONCATENATE(F378,55)</f>
        <v>9025055</v>
      </c>
      <c r="H378" s="1">
        <v>44927</v>
      </c>
      <c r="I378" t="s">
        <v>641</v>
      </c>
      <c r="J378" s="2">
        <v>353</v>
      </c>
      <c r="K378" t="s">
        <v>667</v>
      </c>
      <c r="L378" t="s">
        <v>671</v>
      </c>
    </row>
    <row r="379" spans="1:15" x14ac:dyDescent="0.25">
      <c r="A379" t="s">
        <v>382</v>
      </c>
      <c r="B379">
        <v>21618313</v>
      </c>
      <c r="C379" t="s">
        <v>61</v>
      </c>
      <c r="D379" t="s">
        <v>383</v>
      </c>
      <c r="E379" t="str">
        <f t="shared" si="5"/>
        <v>Patricia Heckman</v>
      </c>
      <c r="F379">
        <v>60990</v>
      </c>
      <c r="G379" s="6" t="str">
        <f>CONCATENATE(F379,55)</f>
        <v>6099055</v>
      </c>
      <c r="H379" s="1">
        <v>45170</v>
      </c>
      <c r="I379" t="s">
        <v>641</v>
      </c>
      <c r="J379" s="2">
        <v>353</v>
      </c>
      <c r="K379" t="s">
        <v>667</v>
      </c>
      <c r="L379" t="s">
        <v>671</v>
      </c>
    </row>
    <row r="380" spans="1:15" x14ac:dyDescent="0.25">
      <c r="A380" t="s">
        <v>30</v>
      </c>
      <c r="B380" t="s">
        <v>681</v>
      </c>
      <c r="C380" t="s">
        <v>103</v>
      </c>
      <c r="D380" t="s">
        <v>104</v>
      </c>
      <c r="E380" t="str">
        <f t="shared" si="5"/>
        <v>Margaret Woodford</v>
      </c>
      <c r="F380">
        <v>60200</v>
      </c>
      <c r="G380" s="6" t="str">
        <f>CONCATENATE(F380,75)</f>
        <v>6020075</v>
      </c>
      <c r="H380" s="1">
        <v>46054</v>
      </c>
      <c r="I380" t="s">
        <v>640</v>
      </c>
      <c r="J380" s="2">
        <v>705</v>
      </c>
      <c r="K380" t="s">
        <v>670</v>
      </c>
      <c r="L380" t="s">
        <v>675</v>
      </c>
    </row>
    <row r="381" spans="1:15" x14ac:dyDescent="0.25">
      <c r="A381" t="s">
        <v>30</v>
      </c>
      <c r="B381" t="s">
        <v>681</v>
      </c>
      <c r="C381" t="s">
        <v>602</v>
      </c>
      <c r="D381" t="s">
        <v>603</v>
      </c>
      <c r="E381" t="str">
        <f t="shared" si="5"/>
        <v>Maria Martinez-Rivera</v>
      </c>
      <c r="F381">
        <v>80970</v>
      </c>
      <c r="G381" s="6" t="str">
        <f>CONCATENATE(F381,55)</f>
        <v>8097055</v>
      </c>
      <c r="H381" s="1">
        <v>46054</v>
      </c>
      <c r="I381" t="s">
        <v>643</v>
      </c>
      <c r="J381" s="2">
        <v>323.58</v>
      </c>
      <c r="K381" t="s">
        <v>667</v>
      </c>
      <c r="L381" t="s">
        <v>673</v>
      </c>
    </row>
    <row r="382" spans="1:15" x14ac:dyDescent="0.25">
      <c r="A382" t="s">
        <v>30</v>
      </c>
      <c r="B382" t="s">
        <v>681</v>
      </c>
      <c r="C382" t="s">
        <v>31</v>
      </c>
      <c r="D382" t="s">
        <v>32</v>
      </c>
      <c r="E382" t="str">
        <f t="shared" si="5"/>
        <v>Donald Mcknight</v>
      </c>
      <c r="F382">
        <v>17550</v>
      </c>
      <c r="G382" s="6" t="str">
        <f>CONCATENATE(F382,55)</f>
        <v>1755055</v>
      </c>
      <c r="H382" s="1">
        <v>46054</v>
      </c>
      <c r="I382" t="s">
        <v>643</v>
      </c>
      <c r="J382" s="2">
        <v>323.58</v>
      </c>
      <c r="K382" t="s">
        <v>667</v>
      </c>
      <c r="L382" t="s">
        <v>673</v>
      </c>
    </row>
    <row r="383" spans="1:15" x14ac:dyDescent="0.25">
      <c r="A383" t="s">
        <v>30</v>
      </c>
      <c r="B383" t="s">
        <v>681</v>
      </c>
      <c r="C383" t="s">
        <v>64</v>
      </c>
      <c r="D383" t="s">
        <v>65</v>
      </c>
      <c r="E383" t="str">
        <f t="shared" si="5"/>
        <v>Barbara Dzumela</v>
      </c>
      <c r="F383">
        <v>93430</v>
      </c>
      <c r="G383" s="6" t="str">
        <f>CONCATENATE(F383,75)</f>
        <v>9343075</v>
      </c>
      <c r="H383" s="1">
        <v>46023</v>
      </c>
      <c r="I383" t="s">
        <v>640</v>
      </c>
      <c r="J383" s="2">
        <v>705</v>
      </c>
      <c r="K383" t="s">
        <v>670</v>
      </c>
      <c r="L383" t="s">
        <v>675</v>
      </c>
    </row>
    <row r="384" spans="1:15" x14ac:dyDescent="0.25">
      <c r="A384" t="s">
        <v>30</v>
      </c>
      <c r="B384" t="s">
        <v>681</v>
      </c>
      <c r="C384" t="s">
        <v>137</v>
      </c>
      <c r="D384" t="s">
        <v>65</v>
      </c>
      <c r="E384" t="str">
        <f t="shared" si="5"/>
        <v>Gary Dzumela</v>
      </c>
      <c r="F384">
        <v>68120</v>
      </c>
      <c r="G384" s="6" t="str">
        <f>CONCATENATE(F384,75)</f>
        <v>6812075</v>
      </c>
      <c r="H384" s="1">
        <v>46023</v>
      </c>
      <c r="I384" t="s">
        <v>640</v>
      </c>
      <c r="J384" s="2">
        <v>705</v>
      </c>
      <c r="K384" t="s">
        <v>670</v>
      </c>
      <c r="L384" t="s">
        <v>675</v>
      </c>
    </row>
    <row r="385" spans="1:12" x14ac:dyDescent="0.25">
      <c r="A385" t="s">
        <v>30</v>
      </c>
      <c r="B385" t="s">
        <v>681</v>
      </c>
      <c r="C385" t="s">
        <v>114</v>
      </c>
      <c r="D385" t="s">
        <v>115</v>
      </c>
      <c r="E385" t="str">
        <f t="shared" si="5"/>
        <v>Daniel Gornick</v>
      </c>
      <c r="F385">
        <v>90670</v>
      </c>
      <c r="G385" s="6" t="str">
        <f>CONCATENATE(F385,75)</f>
        <v>9067075</v>
      </c>
      <c r="H385" s="1">
        <v>46023</v>
      </c>
      <c r="I385" t="s">
        <v>640</v>
      </c>
      <c r="J385" s="2">
        <v>705</v>
      </c>
      <c r="K385" t="s">
        <v>670</v>
      </c>
      <c r="L385" t="s">
        <v>675</v>
      </c>
    </row>
    <row r="386" spans="1:12" x14ac:dyDescent="0.25">
      <c r="A386" t="s">
        <v>30</v>
      </c>
      <c r="B386" t="s">
        <v>681</v>
      </c>
      <c r="C386" t="s">
        <v>117</v>
      </c>
      <c r="D386" t="s">
        <v>118</v>
      </c>
      <c r="E386" t="str">
        <f t="shared" si="5"/>
        <v>Michael Hill</v>
      </c>
      <c r="F386">
        <v>24220</v>
      </c>
      <c r="G386" s="6" t="str">
        <f>CONCATENATE(F386,75)</f>
        <v>2422075</v>
      </c>
      <c r="H386" s="1">
        <v>46023</v>
      </c>
      <c r="I386" t="s">
        <v>640</v>
      </c>
      <c r="J386" s="2">
        <v>705</v>
      </c>
      <c r="K386" t="s">
        <v>670</v>
      </c>
      <c r="L386" t="s">
        <v>675</v>
      </c>
    </row>
    <row r="387" spans="1:12" x14ac:dyDescent="0.25">
      <c r="A387" t="s">
        <v>30</v>
      </c>
      <c r="B387" t="s">
        <v>681</v>
      </c>
      <c r="C387" t="s">
        <v>78</v>
      </c>
      <c r="D387" t="s">
        <v>79</v>
      </c>
      <c r="E387" t="str">
        <f t="shared" ref="E387:E450" si="6">CONCATENATE(C387," ",D387)</f>
        <v>Christopher Rochez</v>
      </c>
      <c r="F387">
        <v>75740</v>
      </c>
      <c r="G387" s="6" t="str">
        <f>CONCATENATE(F387,75)</f>
        <v>7574075</v>
      </c>
      <c r="H387" s="1">
        <v>46023</v>
      </c>
      <c r="I387" t="s">
        <v>640</v>
      </c>
      <c r="J387" s="2">
        <v>705</v>
      </c>
      <c r="K387" t="s">
        <v>670</v>
      </c>
      <c r="L387" t="s">
        <v>675</v>
      </c>
    </row>
    <row r="388" spans="1:12" x14ac:dyDescent="0.25">
      <c r="A388" t="s">
        <v>30</v>
      </c>
      <c r="B388" t="s">
        <v>681</v>
      </c>
      <c r="C388" t="s">
        <v>61</v>
      </c>
      <c r="D388" t="s">
        <v>62</v>
      </c>
      <c r="E388" t="str">
        <f t="shared" si="6"/>
        <v>Patricia Sabo</v>
      </c>
      <c r="F388">
        <v>36870</v>
      </c>
      <c r="G388" s="6" t="str">
        <f>CONCATENATE(F388,75)</f>
        <v>3687075</v>
      </c>
      <c r="H388" s="1">
        <v>46023</v>
      </c>
      <c r="I388" t="s">
        <v>640</v>
      </c>
      <c r="J388" s="2">
        <v>705</v>
      </c>
      <c r="K388" t="s">
        <v>670</v>
      </c>
      <c r="L388" t="s">
        <v>675</v>
      </c>
    </row>
    <row r="389" spans="1:12" x14ac:dyDescent="0.25">
      <c r="A389" t="s">
        <v>30</v>
      </c>
      <c r="B389" t="s">
        <v>681</v>
      </c>
      <c r="C389" t="s">
        <v>64</v>
      </c>
      <c r="D389" t="s">
        <v>372</v>
      </c>
      <c r="E389" t="str">
        <f t="shared" si="6"/>
        <v>Barbara Allemang</v>
      </c>
      <c r="F389">
        <v>45380</v>
      </c>
      <c r="G389" s="6" t="str">
        <f>CONCATENATE(F389,55)</f>
        <v>4538055</v>
      </c>
      <c r="H389" s="1">
        <v>46023</v>
      </c>
      <c r="I389" t="s">
        <v>641</v>
      </c>
      <c r="J389" s="2">
        <v>353</v>
      </c>
      <c r="K389" t="s">
        <v>667</v>
      </c>
      <c r="L389" t="s">
        <v>671</v>
      </c>
    </row>
    <row r="390" spans="1:12" x14ac:dyDescent="0.25">
      <c r="A390" t="s">
        <v>30</v>
      </c>
      <c r="B390" t="s">
        <v>681</v>
      </c>
      <c r="C390" t="s">
        <v>114</v>
      </c>
      <c r="D390" t="s">
        <v>372</v>
      </c>
      <c r="E390" t="str">
        <f t="shared" si="6"/>
        <v>Daniel Allemang</v>
      </c>
      <c r="F390">
        <v>74370</v>
      </c>
      <c r="G390" s="6" t="str">
        <f>CONCATENATE(F390,55)</f>
        <v>7437055</v>
      </c>
      <c r="H390" s="1">
        <v>46023</v>
      </c>
      <c r="I390" t="s">
        <v>641</v>
      </c>
      <c r="J390" s="2">
        <v>353</v>
      </c>
      <c r="K390" t="s">
        <v>667</v>
      </c>
      <c r="L390" t="s">
        <v>671</v>
      </c>
    </row>
    <row r="391" spans="1:12" x14ac:dyDescent="0.25">
      <c r="A391" t="s">
        <v>30</v>
      </c>
      <c r="B391" t="s">
        <v>681</v>
      </c>
      <c r="C391" t="s">
        <v>184</v>
      </c>
      <c r="D391" t="s">
        <v>185</v>
      </c>
      <c r="E391" t="str">
        <f t="shared" si="6"/>
        <v>Kenneth Barna</v>
      </c>
      <c r="F391">
        <v>23190</v>
      </c>
      <c r="G391" s="6" t="str">
        <f>CONCATENATE(F391,55)</f>
        <v>2319055</v>
      </c>
      <c r="H391" s="1">
        <v>46023</v>
      </c>
      <c r="I391" t="s">
        <v>641</v>
      </c>
      <c r="J391" s="2">
        <v>353</v>
      </c>
      <c r="K391" t="s">
        <v>667</v>
      </c>
      <c r="L391" t="s">
        <v>671</v>
      </c>
    </row>
    <row r="392" spans="1:12" x14ac:dyDescent="0.25">
      <c r="A392" t="s">
        <v>30</v>
      </c>
      <c r="B392" t="s">
        <v>681</v>
      </c>
      <c r="C392" t="s">
        <v>179</v>
      </c>
      <c r="D392" t="s">
        <v>180</v>
      </c>
      <c r="E392" t="str">
        <f t="shared" si="6"/>
        <v>Darlene Boehm</v>
      </c>
      <c r="F392">
        <v>72460</v>
      </c>
      <c r="G392" s="6" t="str">
        <f>CONCATENATE(F392,55)</f>
        <v>7246055</v>
      </c>
      <c r="H392" s="1">
        <v>46023</v>
      </c>
      <c r="I392" t="s">
        <v>641</v>
      </c>
      <c r="J392" s="2">
        <v>353</v>
      </c>
      <c r="K392" t="s">
        <v>667</v>
      </c>
      <c r="L392" t="s">
        <v>671</v>
      </c>
    </row>
    <row r="393" spans="1:12" x14ac:dyDescent="0.25">
      <c r="A393" t="s">
        <v>30</v>
      </c>
      <c r="B393" t="s">
        <v>681</v>
      </c>
      <c r="C393" t="s">
        <v>206</v>
      </c>
      <c r="D393" t="s">
        <v>207</v>
      </c>
      <c r="E393" t="str">
        <f t="shared" si="6"/>
        <v>Ann Germond</v>
      </c>
      <c r="F393">
        <v>98740</v>
      </c>
      <c r="G393" s="6" t="str">
        <f>CONCATENATE(F393,55)</f>
        <v>9874055</v>
      </c>
      <c r="H393" s="1">
        <v>46023</v>
      </c>
      <c r="I393" t="s">
        <v>641</v>
      </c>
      <c r="J393" s="2">
        <v>353</v>
      </c>
      <c r="K393" t="s">
        <v>667</v>
      </c>
      <c r="L393" t="s">
        <v>671</v>
      </c>
    </row>
    <row r="394" spans="1:12" x14ac:dyDescent="0.25">
      <c r="A394" t="s">
        <v>30</v>
      </c>
      <c r="B394" t="s">
        <v>681</v>
      </c>
      <c r="C394" t="s">
        <v>261</v>
      </c>
      <c r="D394" t="s">
        <v>262</v>
      </c>
      <c r="E394" t="str">
        <f t="shared" si="6"/>
        <v>Stephen Gronsky</v>
      </c>
      <c r="F394">
        <v>67110</v>
      </c>
      <c r="G394" s="6" t="str">
        <f>CONCATENATE(F394,55)</f>
        <v>6711055</v>
      </c>
      <c r="H394" s="1">
        <v>46023</v>
      </c>
      <c r="I394" t="s">
        <v>641</v>
      </c>
      <c r="J394" s="2">
        <v>353</v>
      </c>
      <c r="K394" t="s">
        <v>667</v>
      </c>
      <c r="L394" t="s">
        <v>671</v>
      </c>
    </row>
    <row r="395" spans="1:12" x14ac:dyDescent="0.25">
      <c r="A395" t="s">
        <v>30</v>
      </c>
      <c r="B395" t="s">
        <v>681</v>
      </c>
      <c r="C395" t="s">
        <v>235</v>
      </c>
      <c r="D395" t="s">
        <v>236</v>
      </c>
      <c r="E395" t="str">
        <f t="shared" si="6"/>
        <v>Susan Hufnagel</v>
      </c>
      <c r="F395">
        <v>63190</v>
      </c>
      <c r="G395" s="6" t="str">
        <f>CONCATENATE(F395,55)</f>
        <v>6319055</v>
      </c>
      <c r="H395" s="1">
        <v>46023</v>
      </c>
      <c r="I395" t="s">
        <v>641</v>
      </c>
      <c r="J395" s="2">
        <v>353</v>
      </c>
      <c r="K395" t="s">
        <v>667</v>
      </c>
      <c r="L395" t="s">
        <v>671</v>
      </c>
    </row>
    <row r="396" spans="1:12" x14ac:dyDescent="0.25">
      <c r="A396" t="s">
        <v>30</v>
      </c>
      <c r="B396" t="s">
        <v>681</v>
      </c>
      <c r="C396" t="s">
        <v>58</v>
      </c>
      <c r="D396" t="s">
        <v>336</v>
      </c>
      <c r="E396" t="str">
        <f t="shared" si="6"/>
        <v>Jeffrey King</v>
      </c>
      <c r="F396">
        <v>93470</v>
      </c>
      <c r="G396" s="6" t="str">
        <f>CONCATENATE(F396,55)</f>
        <v>9347055</v>
      </c>
      <c r="H396" s="1">
        <v>46023</v>
      </c>
      <c r="I396" t="s">
        <v>641</v>
      </c>
      <c r="J396" s="2">
        <v>353</v>
      </c>
      <c r="K396" t="s">
        <v>667</v>
      </c>
      <c r="L396" t="s">
        <v>671</v>
      </c>
    </row>
    <row r="397" spans="1:12" x14ac:dyDescent="0.25">
      <c r="A397" t="s">
        <v>30</v>
      </c>
      <c r="B397" t="s">
        <v>681</v>
      </c>
      <c r="C397" t="s">
        <v>97</v>
      </c>
      <c r="D397" t="s">
        <v>511</v>
      </c>
      <c r="E397" t="str">
        <f t="shared" si="6"/>
        <v>Donna Koerbel</v>
      </c>
      <c r="F397">
        <v>20670</v>
      </c>
      <c r="G397" s="6" t="str">
        <f>CONCATENATE(F397,55)</f>
        <v>2067055</v>
      </c>
      <c r="H397" s="1">
        <v>46023</v>
      </c>
      <c r="I397" t="s">
        <v>641</v>
      </c>
      <c r="J397" s="2">
        <v>353</v>
      </c>
      <c r="K397" t="s">
        <v>667</v>
      </c>
      <c r="L397" t="s">
        <v>671</v>
      </c>
    </row>
    <row r="398" spans="1:12" x14ac:dyDescent="0.25">
      <c r="A398" t="s">
        <v>30</v>
      </c>
      <c r="B398" t="s">
        <v>681</v>
      </c>
      <c r="C398" t="s">
        <v>24</v>
      </c>
      <c r="D398" t="s">
        <v>227</v>
      </c>
      <c r="E398" t="str">
        <f t="shared" si="6"/>
        <v>Joseph Maglicco</v>
      </c>
      <c r="F398">
        <v>81240</v>
      </c>
      <c r="G398" s="6" t="str">
        <f>CONCATENATE(F398,55)</f>
        <v>8124055</v>
      </c>
      <c r="H398" s="1">
        <v>46023</v>
      </c>
      <c r="I398" t="s">
        <v>641</v>
      </c>
      <c r="J398" s="2">
        <v>353</v>
      </c>
      <c r="K398" t="s">
        <v>667</v>
      </c>
      <c r="L398" t="s">
        <v>671</v>
      </c>
    </row>
    <row r="399" spans="1:12" x14ac:dyDescent="0.25">
      <c r="A399" t="s">
        <v>30</v>
      </c>
      <c r="B399" t="s">
        <v>681</v>
      </c>
      <c r="C399" t="s">
        <v>12</v>
      </c>
      <c r="D399" t="s">
        <v>227</v>
      </c>
      <c r="E399" t="str">
        <f t="shared" si="6"/>
        <v>Karen Maglicco</v>
      </c>
      <c r="F399">
        <v>72730</v>
      </c>
      <c r="G399" s="6" t="str">
        <f>CONCATENATE(F399,55)</f>
        <v>7273055</v>
      </c>
      <c r="H399" s="1">
        <v>46023</v>
      </c>
      <c r="I399" t="s">
        <v>641</v>
      </c>
      <c r="J399" s="2">
        <v>353</v>
      </c>
      <c r="K399" t="s">
        <v>667</v>
      </c>
      <c r="L399" t="s">
        <v>671</v>
      </c>
    </row>
    <row r="400" spans="1:12" x14ac:dyDescent="0.25">
      <c r="A400" t="s">
        <v>30</v>
      </c>
      <c r="B400" t="s">
        <v>681</v>
      </c>
      <c r="C400" t="s">
        <v>305</v>
      </c>
      <c r="D400" t="s">
        <v>306</v>
      </c>
      <c r="E400" t="str">
        <f t="shared" si="6"/>
        <v>Rosemary Marks</v>
      </c>
      <c r="F400">
        <v>72070</v>
      </c>
      <c r="G400" s="6" t="str">
        <f>CONCATENATE(F400,55)</f>
        <v>7207055</v>
      </c>
      <c r="H400" s="1">
        <v>46023</v>
      </c>
      <c r="I400" t="s">
        <v>641</v>
      </c>
      <c r="J400" s="2">
        <v>353</v>
      </c>
      <c r="K400" t="s">
        <v>667</v>
      </c>
      <c r="L400" t="s">
        <v>671</v>
      </c>
    </row>
    <row r="401" spans="1:12" x14ac:dyDescent="0.25">
      <c r="A401" t="s">
        <v>30</v>
      </c>
      <c r="B401" t="s">
        <v>681</v>
      </c>
      <c r="C401" t="s">
        <v>244</v>
      </c>
      <c r="D401" t="s">
        <v>353</v>
      </c>
      <c r="E401" t="str">
        <f t="shared" si="6"/>
        <v>Cheryl Martorana</v>
      </c>
      <c r="F401">
        <v>15000</v>
      </c>
      <c r="G401" s="6" t="str">
        <f>CONCATENATE(F401,55)</f>
        <v>1500055</v>
      </c>
      <c r="H401" s="1">
        <v>46023</v>
      </c>
      <c r="I401" t="s">
        <v>641</v>
      </c>
      <c r="J401" s="2">
        <v>353</v>
      </c>
      <c r="K401" t="s">
        <v>667</v>
      </c>
      <c r="L401" t="s">
        <v>671</v>
      </c>
    </row>
    <row r="402" spans="1:12" x14ac:dyDescent="0.25">
      <c r="A402" t="s">
        <v>30</v>
      </c>
      <c r="B402" t="s">
        <v>681</v>
      </c>
      <c r="C402" t="s">
        <v>377</v>
      </c>
      <c r="D402" t="s">
        <v>378</v>
      </c>
      <c r="E402" t="str">
        <f t="shared" si="6"/>
        <v>Tina Moon</v>
      </c>
      <c r="F402">
        <v>12630</v>
      </c>
      <c r="G402" s="6" t="str">
        <f>CONCATENATE(F402,55)</f>
        <v>1263055</v>
      </c>
      <c r="H402" s="1">
        <v>46023</v>
      </c>
      <c r="I402" t="s">
        <v>641</v>
      </c>
      <c r="J402" s="2">
        <v>353</v>
      </c>
      <c r="K402" t="s">
        <v>667</v>
      </c>
      <c r="L402" t="s">
        <v>671</v>
      </c>
    </row>
    <row r="403" spans="1:12" x14ac:dyDescent="0.25">
      <c r="A403" t="s">
        <v>30</v>
      </c>
      <c r="B403" t="s">
        <v>681</v>
      </c>
      <c r="C403" t="s">
        <v>229</v>
      </c>
      <c r="D403" t="s">
        <v>359</v>
      </c>
      <c r="E403" t="str">
        <f t="shared" si="6"/>
        <v>Mark Moses</v>
      </c>
      <c r="F403">
        <v>5780</v>
      </c>
      <c r="G403" s="6" t="str">
        <f>CONCATENATE(F403,55)</f>
        <v>578055</v>
      </c>
      <c r="H403" s="1">
        <v>46023</v>
      </c>
      <c r="I403" t="s">
        <v>641</v>
      </c>
      <c r="J403" s="2">
        <v>353</v>
      </c>
      <c r="K403" t="s">
        <v>667</v>
      </c>
      <c r="L403" t="s">
        <v>671</v>
      </c>
    </row>
    <row r="404" spans="1:12" x14ac:dyDescent="0.25">
      <c r="A404" t="s">
        <v>30</v>
      </c>
      <c r="B404" t="s">
        <v>681</v>
      </c>
      <c r="C404" t="s">
        <v>222</v>
      </c>
      <c r="D404" t="s">
        <v>86</v>
      </c>
      <c r="E404" t="str">
        <f t="shared" si="6"/>
        <v>Denise Robinson</v>
      </c>
      <c r="F404">
        <v>39160</v>
      </c>
      <c r="G404" s="6" t="str">
        <f>CONCATENATE(F404,55)</f>
        <v>3916055</v>
      </c>
      <c r="H404" s="1">
        <v>46023</v>
      </c>
      <c r="I404" t="s">
        <v>641</v>
      </c>
      <c r="J404" s="2">
        <v>353</v>
      </c>
      <c r="K404" t="s">
        <v>667</v>
      </c>
      <c r="L404" t="s">
        <v>671</v>
      </c>
    </row>
    <row r="405" spans="1:12" x14ac:dyDescent="0.25">
      <c r="A405" t="s">
        <v>30</v>
      </c>
      <c r="B405" t="s">
        <v>681</v>
      </c>
      <c r="C405" t="s">
        <v>128</v>
      </c>
      <c r="D405" t="s">
        <v>317</v>
      </c>
      <c r="E405" t="str">
        <f t="shared" si="6"/>
        <v>John Rosa</v>
      </c>
      <c r="F405">
        <v>1760</v>
      </c>
      <c r="G405" s="6" t="str">
        <f>CONCATENATE(F405,55)</f>
        <v>176055</v>
      </c>
      <c r="H405" s="1">
        <v>46023</v>
      </c>
      <c r="I405" t="s">
        <v>641</v>
      </c>
      <c r="J405" s="2">
        <v>353</v>
      </c>
      <c r="K405" t="s">
        <v>667</v>
      </c>
      <c r="L405" t="s">
        <v>671</v>
      </c>
    </row>
    <row r="406" spans="1:12" x14ac:dyDescent="0.25">
      <c r="A406" t="s">
        <v>30</v>
      </c>
      <c r="B406" t="s">
        <v>681</v>
      </c>
      <c r="C406" t="s">
        <v>350</v>
      </c>
      <c r="D406" t="s">
        <v>366</v>
      </c>
      <c r="E406" t="str">
        <f t="shared" si="6"/>
        <v>Elaine Wasko</v>
      </c>
      <c r="F406">
        <v>88580</v>
      </c>
      <c r="G406" s="6" t="str">
        <f>CONCATENATE(F406,55)</f>
        <v>8858055</v>
      </c>
      <c r="H406" s="1">
        <v>45962</v>
      </c>
      <c r="I406" t="s">
        <v>641</v>
      </c>
      <c r="J406" s="2">
        <v>353</v>
      </c>
      <c r="K406" t="s">
        <v>667</v>
      </c>
      <c r="L406" t="s">
        <v>671</v>
      </c>
    </row>
    <row r="407" spans="1:12" x14ac:dyDescent="0.25">
      <c r="A407" t="s">
        <v>30</v>
      </c>
      <c r="B407" t="s">
        <v>681</v>
      </c>
      <c r="C407" t="s">
        <v>584</v>
      </c>
      <c r="D407" t="s">
        <v>585</v>
      </c>
      <c r="E407" t="str">
        <f t="shared" si="6"/>
        <v>Richard Ryan</v>
      </c>
      <c r="F407">
        <v>93110</v>
      </c>
      <c r="G407" s="6" t="str">
        <f>CONCATENATE(F407,55)</f>
        <v>9311055</v>
      </c>
      <c r="H407" s="1">
        <v>45870</v>
      </c>
      <c r="I407" t="s">
        <v>643</v>
      </c>
      <c r="J407" s="2">
        <v>323.58</v>
      </c>
      <c r="K407" t="s">
        <v>667</v>
      </c>
      <c r="L407" t="s">
        <v>673</v>
      </c>
    </row>
    <row r="408" spans="1:12" x14ac:dyDescent="0.25">
      <c r="A408" t="s">
        <v>30</v>
      </c>
      <c r="B408">
        <v>18710070</v>
      </c>
      <c r="C408" t="s">
        <v>350</v>
      </c>
      <c r="D408" t="s">
        <v>351</v>
      </c>
      <c r="E408" t="str">
        <f t="shared" si="6"/>
        <v>Elaine Hillgartner</v>
      </c>
      <c r="F408">
        <v>43480</v>
      </c>
      <c r="G408" s="6" t="str">
        <f>CONCATENATE(F408,55)</f>
        <v>4348055</v>
      </c>
      <c r="H408" s="1">
        <v>45658</v>
      </c>
      <c r="I408" t="s">
        <v>641</v>
      </c>
      <c r="J408" s="2">
        <v>353</v>
      </c>
      <c r="K408" t="s">
        <v>667</v>
      </c>
      <c r="L408" t="s">
        <v>671</v>
      </c>
    </row>
    <row r="409" spans="1:12" x14ac:dyDescent="0.25">
      <c r="A409" t="s">
        <v>30</v>
      </c>
      <c r="B409">
        <v>18710070</v>
      </c>
      <c r="C409" t="s">
        <v>331</v>
      </c>
      <c r="D409" t="s">
        <v>332</v>
      </c>
      <c r="E409" t="str">
        <f t="shared" si="6"/>
        <v>Alan Shaffer</v>
      </c>
      <c r="F409">
        <v>76470</v>
      </c>
      <c r="G409" s="6" t="str">
        <f>CONCATENATE(F409,55)</f>
        <v>7647055</v>
      </c>
      <c r="H409" s="1">
        <v>45658</v>
      </c>
      <c r="I409" t="s">
        <v>641</v>
      </c>
      <c r="J409" s="2">
        <v>353</v>
      </c>
      <c r="K409" t="s">
        <v>667</v>
      </c>
      <c r="L409" t="s">
        <v>671</v>
      </c>
    </row>
    <row r="410" spans="1:12" x14ac:dyDescent="0.25">
      <c r="A410" t="s">
        <v>30</v>
      </c>
      <c r="B410">
        <v>18710070</v>
      </c>
      <c r="C410" t="s">
        <v>310</v>
      </c>
      <c r="D410" t="s">
        <v>311</v>
      </c>
      <c r="E410" t="str">
        <f t="shared" si="6"/>
        <v>Barbra Zagurasky</v>
      </c>
      <c r="F410">
        <v>73030</v>
      </c>
      <c r="G410" s="6" t="str">
        <f>CONCATENATE(F410,55)</f>
        <v>7303055</v>
      </c>
      <c r="H410" s="1">
        <v>45658</v>
      </c>
      <c r="I410" t="s">
        <v>641</v>
      </c>
      <c r="J410" s="2">
        <v>353</v>
      </c>
      <c r="K410" t="s">
        <v>667</v>
      </c>
      <c r="L410" t="s">
        <v>671</v>
      </c>
    </row>
    <row r="411" spans="1:12" x14ac:dyDescent="0.25">
      <c r="A411" t="s">
        <v>30</v>
      </c>
      <c r="B411">
        <v>18710070</v>
      </c>
      <c r="C411" t="s">
        <v>361</v>
      </c>
      <c r="D411" t="s">
        <v>362</v>
      </c>
      <c r="E411" t="str">
        <f t="shared" si="6"/>
        <v>Jeff Dean</v>
      </c>
      <c r="F411">
        <v>24780</v>
      </c>
      <c r="G411" s="6" t="str">
        <f>CONCATENATE(F411,55)</f>
        <v>2478055</v>
      </c>
      <c r="H411" s="1">
        <v>45292</v>
      </c>
      <c r="I411" t="s">
        <v>641</v>
      </c>
      <c r="J411" s="2">
        <v>353</v>
      </c>
      <c r="K411" t="s">
        <v>667</v>
      </c>
      <c r="L411" t="s">
        <v>671</v>
      </c>
    </row>
    <row r="412" spans="1:12" x14ac:dyDescent="0.25">
      <c r="A412" t="s">
        <v>30</v>
      </c>
      <c r="B412">
        <v>18710070</v>
      </c>
      <c r="C412" t="s">
        <v>158</v>
      </c>
      <c r="D412" t="s">
        <v>296</v>
      </c>
      <c r="E412" t="str">
        <f t="shared" si="6"/>
        <v>Bernadette Little</v>
      </c>
      <c r="F412">
        <v>39920</v>
      </c>
      <c r="G412" s="6" t="str">
        <f>CONCATENATE(F412,55)</f>
        <v>3992055</v>
      </c>
      <c r="H412" s="1">
        <v>45292</v>
      </c>
      <c r="I412" t="s">
        <v>641</v>
      </c>
      <c r="J412" s="2">
        <v>353</v>
      </c>
      <c r="K412" t="s">
        <v>667</v>
      </c>
      <c r="L412" t="s">
        <v>671</v>
      </c>
    </row>
    <row r="413" spans="1:12" x14ac:dyDescent="0.25">
      <c r="A413" t="s">
        <v>30</v>
      </c>
      <c r="B413">
        <v>18710070</v>
      </c>
      <c r="C413" t="s">
        <v>235</v>
      </c>
      <c r="D413" t="s">
        <v>438</v>
      </c>
      <c r="E413" t="str">
        <f t="shared" si="6"/>
        <v>Susan Hecht</v>
      </c>
      <c r="F413">
        <v>19380</v>
      </c>
      <c r="G413" s="6" t="str">
        <f>CONCATENATE(F413,55)</f>
        <v>1938055</v>
      </c>
      <c r="H413" s="1">
        <v>45078</v>
      </c>
      <c r="I413" t="s">
        <v>641</v>
      </c>
      <c r="J413" s="2">
        <v>353</v>
      </c>
      <c r="K413" t="s">
        <v>667</v>
      </c>
      <c r="L413" t="s">
        <v>671</v>
      </c>
    </row>
    <row r="414" spans="1:12" x14ac:dyDescent="0.25">
      <c r="A414" t="s">
        <v>30</v>
      </c>
      <c r="B414">
        <v>18710070</v>
      </c>
      <c r="C414" t="s">
        <v>319</v>
      </c>
      <c r="D414" t="s">
        <v>320</v>
      </c>
      <c r="E414" t="str">
        <f t="shared" si="6"/>
        <v>Rosanne Leszcynski</v>
      </c>
      <c r="F414">
        <v>9110</v>
      </c>
      <c r="G414" s="6" t="str">
        <f>CONCATENATE(F414,55)</f>
        <v>911055</v>
      </c>
      <c r="H414" s="1">
        <v>44866</v>
      </c>
      <c r="I414" t="s">
        <v>641</v>
      </c>
      <c r="J414" s="2">
        <v>353</v>
      </c>
      <c r="K414" t="s">
        <v>667</v>
      </c>
      <c r="L414" t="s">
        <v>671</v>
      </c>
    </row>
    <row r="415" spans="1:12" x14ac:dyDescent="0.25">
      <c r="A415" t="s">
        <v>30</v>
      </c>
      <c r="B415">
        <v>18710070</v>
      </c>
      <c r="C415" t="s">
        <v>418</v>
      </c>
      <c r="D415" t="s">
        <v>104</v>
      </c>
      <c r="E415" t="str">
        <f t="shared" si="6"/>
        <v>Patrick Woodford</v>
      </c>
      <c r="F415">
        <v>38540</v>
      </c>
      <c r="G415" s="6" t="str">
        <f>CONCATENATE(F415,55)</f>
        <v>3854055</v>
      </c>
      <c r="H415" s="1">
        <v>44562</v>
      </c>
      <c r="I415" t="s">
        <v>641</v>
      </c>
      <c r="J415" s="2">
        <v>353</v>
      </c>
      <c r="K415" t="s">
        <v>667</v>
      </c>
      <c r="L415" t="s">
        <v>671</v>
      </c>
    </row>
    <row r="416" spans="1:12" x14ac:dyDescent="0.25">
      <c r="A416" t="s">
        <v>23</v>
      </c>
      <c r="B416">
        <v>16212649</v>
      </c>
      <c r="C416" t="s">
        <v>24</v>
      </c>
      <c r="D416" t="s">
        <v>25</v>
      </c>
      <c r="E416" t="str">
        <f t="shared" si="6"/>
        <v>Joseph Cardone</v>
      </c>
      <c r="F416">
        <v>60440</v>
      </c>
      <c r="G416" s="6" t="str">
        <f>CONCATENATE(F416,55)</f>
        <v>6044055</v>
      </c>
      <c r="H416" s="1">
        <v>45505</v>
      </c>
      <c r="I416" t="s">
        <v>641</v>
      </c>
      <c r="J416" s="2">
        <v>353</v>
      </c>
      <c r="K416" t="s">
        <v>667</v>
      </c>
      <c r="L416" t="s">
        <v>671</v>
      </c>
    </row>
    <row r="417" spans="1:12" x14ac:dyDescent="0.25">
      <c r="A417" t="s">
        <v>23</v>
      </c>
      <c r="B417">
        <v>16212649</v>
      </c>
      <c r="C417" t="s">
        <v>290</v>
      </c>
      <c r="D417" t="s">
        <v>291</v>
      </c>
      <c r="E417" t="str">
        <f t="shared" si="6"/>
        <v>Lucyann Greggo</v>
      </c>
      <c r="F417">
        <v>20900</v>
      </c>
      <c r="G417" s="6" t="str">
        <f>CONCATENATE(F417,55)</f>
        <v>2090055</v>
      </c>
      <c r="H417" s="1">
        <v>46023</v>
      </c>
      <c r="I417" t="s">
        <v>641</v>
      </c>
      <c r="J417" s="2">
        <v>353</v>
      </c>
      <c r="K417" t="s">
        <v>667</v>
      </c>
      <c r="L417" t="s">
        <v>671</v>
      </c>
    </row>
    <row r="418" spans="1:12" x14ac:dyDescent="0.25">
      <c r="A418" t="s">
        <v>38</v>
      </c>
      <c r="B418">
        <v>18794740</v>
      </c>
      <c r="C418" t="s">
        <v>120</v>
      </c>
      <c r="D418" t="s">
        <v>121</v>
      </c>
      <c r="E418" t="str">
        <f t="shared" si="6"/>
        <v>Ida Howard</v>
      </c>
      <c r="F418">
        <v>28100</v>
      </c>
      <c r="G418" s="6" t="str">
        <f>CONCATENATE(F418,75)</f>
        <v>2810075</v>
      </c>
      <c r="H418" s="1">
        <v>46023</v>
      </c>
      <c r="I418" t="s">
        <v>640</v>
      </c>
      <c r="J418" s="2">
        <v>705</v>
      </c>
      <c r="K418" t="s">
        <v>670</v>
      </c>
      <c r="L418" t="s">
        <v>675</v>
      </c>
    </row>
    <row r="419" spans="1:12" x14ac:dyDescent="0.25">
      <c r="A419" t="s">
        <v>38</v>
      </c>
      <c r="B419">
        <v>18794740</v>
      </c>
      <c r="C419" t="s">
        <v>131</v>
      </c>
      <c r="D419" t="s">
        <v>132</v>
      </c>
      <c r="E419" t="str">
        <f t="shared" si="6"/>
        <v>Brenda Simmon</v>
      </c>
      <c r="F419">
        <v>64730</v>
      </c>
      <c r="G419" s="6" t="str">
        <f>CONCATENATE(F419,75)</f>
        <v>6473075</v>
      </c>
      <c r="H419" s="1">
        <v>46023</v>
      </c>
      <c r="I419" t="s">
        <v>640</v>
      </c>
      <c r="J419" s="2">
        <v>705</v>
      </c>
      <c r="K419" t="s">
        <v>670</v>
      </c>
      <c r="L419" t="s">
        <v>675</v>
      </c>
    </row>
    <row r="420" spans="1:12" x14ac:dyDescent="0.25">
      <c r="A420" t="s">
        <v>38</v>
      </c>
      <c r="B420">
        <v>18794740</v>
      </c>
      <c r="C420" t="s">
        <v>72</v>
      </c>
      <c r="D420" t="s">
        <v>73</v>
      </c>
      <c r="E420" t="str">
        <f t="shared" si="6"/>
        <v>Timothy Vander Duim</v>
      </c>
      <c r="F420">
        <v>59650</v>
      </c>
      <c r="G420" s="6" t="str">
        <f>CONCATENATE(F420,75)</f>
        <v>5965075</v>
      </c>
      <c r="H420" s="1">
        <v>46023</v>
      </c>
      <c r="I420" t="s">
        <v>640</v>
      </c>
      <c r="J420" s="2">
        <v>705</v>
      </c>
      <c r="K420" t="s">
        <v>670</v>
      </c>
      <c r="L420" t="s">
        <v>675</v>
      </c>
    </row>
    <row r="421" spans="1:12" x14ac:dyDescent="0.25">
      <c r="A421" t="s">
        <v>38</v>
      </c>
      <c r="B421">
        <v>18794740</v>
      </c>
      <c r="C421" t="s">
        <v>537</v>
      </c>
      <c r="D421" t="s">
        <v>538</v>
      </c>
      <c r="E421" t="str">
        <f t="shared" si="6"/>
        <v>Carol Tegyi</v>
      </c>
      <c r="F421">
        <v>90430</v>
      </c>
      <c r="G421" s="6" t="str">
        <f>CONCATENATE(F421,55)</f>
        <v>9043055</v>
      </c>
      <c r="H421" s="1">
        <v>46082</v>
      </c>
      <c r="I421" t="s">
        <v>642</v>
      </c>
      <c r="J421" s="2">
        <v>294.16000000000003</v>
      </c>
      <c r="K421" t="s">
        <v>667</v>
      </c>
      <c r="L421" t="s">
        <v>672</v>
      </c>
    </row>
    <row r="422" spans="1:12" x14ac:dyDescent="0.25">
      <c r="A422" t="s">
        <v>38</v>
      </c>
      <c r="B422">
        <v>18794740</v>
      </c>
      <c r="C422" t="s">
        <v>39</v>
      </c>
      <c r="D422" t="s">
        <v>40</v>
      </c>
      <c r="E422" t="str">
        <f t="shared" si="6"/>
        <v>Geraldine Craig</v>
      </c>
      <c r="F422">
        <v>2500</v>
      </c>
      <c r="G422" s="6" t="str">
        <f>CONCATENATE(F422,55)</f>
        <v>250055</v>
      </c>
      <c r="H422" s="1">
        <v>46054</v>
      </c>
      <c r="I422" t="s">
        <v>643</v>
      </c>
      <c r="J422" s="2">
        <v>323.58</v>
      </c>
      <c r="K422" t="s">
        <v>667</v>
      </c>
      <c r="L422" t="s">
        <v>673</v>
      </c>
    </row>
    <row r="423" spans="1:12" x14ac:dyDescent="0.25">
      <c r="A423" t="s">
        <v>38</v>
      </c>
      <c r="B423">
        <v>18794740</v>
      </c>
      <c r="C423" t="s">
        <v>612</v>
      </c>
      <c r="D423" t="s">
        <v>610</v>
      </c>
      <c r="E423" t="str">
        <f t="shared" si="6"/>
        <v>Alton Henn</v>
      </c>
      <c r="F423">
        <v>90680</v>
      </c>
      <c r="G423" s="6" t="str">
        <f>CONCATENATE(F423,55)</f>
        <v>9068055</v>
      </c>
      <c r="H423" s="1">
        <v>46054</v>
      </c>
      <c r="I423" t="s">
        <v>643</v>
      </c>
      <c r="J423" s="2">
        <v>323.58</v>
      </c>
      <c r="K423" t="s">
        <v>667</v>
      </c>
      <c r="L423" t="s">
        <v>673</v>
      </c>
    </row>
    <row r="424" spans="1:12" x14ac:dyDescent="0.25">
      <c r="A424" t="s">
        <v>38</v>
      </c>
      <c r="B424">
        <v>18794740</v>
      </c>
      <c r="C424" t="s">
        <v>609</v>
      </c>
      <c r="D424" t="s">
        <v>610</v>
      </c>
      <c r="E424" t="str">
        <f t="shared" si="6"/>
        <v>Rose Henn</v>
      </c>
      <c r="F424">
        <v>90570</v>
      </c>
      <c r="G424" s="6" t="str">
        <f>CONCATENATE(F424,55)</f>
        <v>9057055</v>
      </c>
      <c r="H424" s="1">
        <v>46054</v>
      </c>
      <c r="I424" t="s">
        <v>643</v>
      </c>
      <c r="J424" s="2">
        <v>323.58</v>
      </c>
      <c r="K424" t="s">
        <v>667</v>
      </c>
      <c r="L424" t="s">
        <v>673</v>
      </c>
    </row>
    <row r="425" spans="1:12" x14ac:dyDescent="0.25">
      <c r="A425" t="s">
        <v>38</v>
      </c>
      <c r="B425">
        <v>18794740</v>
      </c>
      <c r="C425" t="s">
        <v>569</v>
      </c>
      <c r="D425" t="s">
        <v>570</v>
      </c>
      <c r="E425" t="str">
        <f t="shared" si="6"/>
        <v>Mike Mashraky</v>
      </c>
      <c r="F425">
        <v>95730</v>
      </c>
      <c r="G425" s="6" t="str">
        <f>CONCATENATE(F425,55)</f>
        <v>9573055</v>
      </c>
      <c r="H425" s="1">
        <v>46054</v>
      </c>
      <c r="I425" t="s">
        <v>643</v>
      </c>
      <c r="J425" s="2">
        <v>323.58</v>
      </c>
      <c r="K425" t="s">
        <v>667</v>
      </c>
      <c r="L425" t="s">
        <v>673</v>
      </c>
    </row>
    <row r="426" spans="1:12" x14ac:dyDescent="0.25">
      <c r="A426" t="s">
        <v>38</v>
      </c>
      <c r="B426">
        <v>18794740</v>
      </c>
      <c r="C426" t="s">
        <v>258</v>
      </c>
      <c r="D426" t="s">
        <v>283</v>
      </c>
      <c r="E426" t="str">
        <f t="shared" si="6"/>
        <v>Kathleen Achey</v>
      </c>
      <c r="F426">
        <v>20460</v>
      </c>
      <c r="G426" s="6" t="str">
        <f>CONCATENATE(F426,55)</f>
        <v>2046055</v>
      </c>
      <c r="H426" s="1">
        <v>45292</v>
      </c>
      <c r="I426" t="s">
        <v>641</v>
      </c>
      <c r="J426" s="2">
        <v>353</v>
      </c>
      <c r="K426" t="s">
        <v>667</v>
      </c>
      <c r="L426" t="s">
        <v>671</v>
      </c>
    </row>
    <row r="427" spans="1:12" x14ac:dyDescent="0.25">
      <c r="A427" t="s">
        <v>38</v>
      </c>
      <c r="B427">
        <v>18794740</v>
      </c>
      <c r="C427" t="s">
        <v>344</v>
      </c>
      <c r="D427" t="s">
        <v>283</v>
      </c>
      <c r="E427" t="str">
        <f t="shared" si="6"/>
        <v>Kevin Achey</v>
      </c>
      <c r="F427">
        <v>46940</v>
      </c>
      <c r="G427" s="6" t="str">
        <f>CONCATENATE(F427,55)</f>
        <v>4694055</v>
      </c>
      <c r="H427" s="1">
        <v>45292</v>
      </c>
      <c r="I427" t="s">
        <v>641</v>
      </c>
      <c r="J427" s="2">
        <v>353</v>
      </c>
      <c r="K427" t="s">
        <v>667</v>
      </c>
      <c r="L427" t="s">
        <v>671</v>
      </c>
    </row>
    <row r="428" spans="1:12" x14ac:dyDescent="0.25">
      <c r="A428" t="s">
        <v>38</v>
      </c>
      <c r="B428">
        <v>18794740</v>
      </c>
      <c r="C428" t="s">
        <v>444</v>
      </c>
      <c r="D428" t="s">
        <v>445</v>
      </c>
      <c r="E428" t="str">
        <f t="shared" si="6"/>
        <v>Hiam Aranki</v>
      </c>
      <c r="F428">
        <v>10950</v>
      </c>
      <c r="G428" s="6" t="str">
        <f>CONCATENATE(F428,55)</f>
        <v>1095055</v>
      </c>
      <c r="H428" s="1">
        <v>45231</v>
      </c>
      <c r="I428" t="s">
        <v>641</v>
      </c>
      <c r="J428" s="2">
        <v>353</v>
      </c>
      <c r="K428" t="s">
        <v>667</v>
      </c>
      <c r="L428" t="s">
        <v>671</v>
      </c>
    </row>
    <row r="429" spans="1:12" x14ac:dyDescent="0.25">
      <c r="A429" t="s">
        <v>38</v>
      </c>
      <c r="B429">
        <v>18794740</v>
      </c>
      <c r="C429" t="s">
        <v>97</v>
      </c>
      <c r="D429" t="s">
        <v>264</v>
      </c>
      <c r="E429" t="str">
        <f t="shared" si="6"/>
        <v>Donna Frack</v>
      </c>
      <c r="F429">
        <v>71770</v>
      </c>
      <c r="G429" s="6" t="str">
        <f>CONCATENATE(F429,55)</f>
        <v>7177055</v>
      </c>
      <c r="H429" s="1">
        <v>44986</v>
      </c>
      <c r="I429" t="s">
        <v>641</v>
      </c>
      <c r="J429" s="2">
        <v>353</v>
      </c>
      <c r="K429" t="s">
        <v>667</v>
      </c>
      <c r="L429" t="s">
        <v>671</v>
      </c>
    </row>
    <row r="430" spans="1:12" x14ac:dyDescent="0.25">
      <c r="A430" t="s">
        <v>38</v>
      </c>
      <c r="B430">
        <v>18794740</v>
      </c>
      <c r="C430" t="s">
        <v>400</v>
      </c>
      <c r="D430" t="s">
        <v>401</v>
      </c>
      <c r="E430" t="str">
        <f t="shared" si="6"/>
        <v>Linda Handwerk</v>
      </c>
      <c r="F430">
        <v>29770</v>
      </c>
      <c r="G430" s="6" t="str">
        <f>CONCATENATE(F430,55)</f>
        <v>2977055</v>
      </c>
      <c r="H430" s="1">
        <v>43831</v>
      </c>
      <c r="I430" t="s">
        <v>641</v>
      </c>
      <c r="J430" s="2">
        <v>353</v>
      </c>
      <c r="K430" t="s">
        <v>667</v>
      </c>
      <c r="L430" t="s">
        <v>671</v>
      </c>
    </row>
    <row r="431" spans="1:12" x14ac:dyDescent="0.25">
      <c r="A431" t="s">
        <v>38</v>
      </c>
      <c r="B431">
        <v>18794740</v>
      </c>
      <c r="C431" t="s">
        <v>432</v>
      </c>
      <c r="D431" t="s">
        <v>433</v>
      </c>
      <c r="E431" t="str">
        <f t="shared" si="6"/>
        <v>Lori Higgins</v>
      </c>
      <c r="F431">
        <v>61860</v>
      </c>
      <c r="G431" s="6" t="str">
        <f>CONCATENATE(F431,55)</f>
        <v>6186055</v>
      </c>
      <c r="H431" s="1">
        <v>44958</v>
      </c>
      <c r="I431" t="s">
        <v>641</v>
      </c>
      <c r="J431" s="2">
        <v>353</v>
      </c>
      <c r="K431" t="s">
        <v>667</v>
      </c>
      <c r="L431" t="s">
        <v>671</v>
      </c>
    </row>
    <row r="432" spans="1:12" x14ac:dyDescent="0.25">
      <c r="A432" t="s">
        <v>38</v>
      </c>
      <c r="B432">
        <v>18794740</v>
      </c>
      <c r="C432" t="s">
        <v>450</v>
      </c>
      <c r="D432" t="s">
        <v>451</v>
      </c>
      <c r="E432" t="str">
        <f t="shared" si="6"/>
        <v>Rebecca Hock</v>
      </c>
      <c r="F432">
        <v>6390</v>
      </c>
      <c r="G432" s="6" t="str">
        <f>CONCATENATE(F432,55)</f>
        <v>639055</v>
      </c>
      <c r="H432" s="1">
        <v>45323</v>
      </c>
      <c r="I432" t="s">
        <v>641</v>
      </c>
      <c r="J432" s="2">
        <v>353</v>
      </c>
      <c r="K432" t="s">
        <v>667</v>
      </c>
      <c r="L432" t="s">
        <v>671</v>
      </c>
    </row>
    <row r="433" spans="1:12" x14ac:dyDescent="0.25">
      <c r="A433" t="s">
        <v>38</v>
      </c>
      <c r="B433">
        <v>18794740</v>
      </c>
      <c r="C433" t="s">
        <v>413</v>
      </c>
      <c r="D433" t="s">
        <v>414</v>
      </c>
      <c r="E433" t="str">
        <f t="shared" si="6"/>
        <v>Maryann Kern</v>
      </c>
      <c r="F433">
        <v>270</v>
      </c>
      <c r="G433" s="6" t="str">
        <f>CONCATENATE(F433,55)</f>
        <v>27055</v>
      </c>
      <c r="H433" s="1">
        <v>44562</v>
      </c>
      <c r="I433" t="s">
        <v>641</v>
      </c>
      <c r="J433" s="2">
        <v>353</v>
      </c>
      <c r="K433" t="s">
        <v>667</v>
      </c>
      <c r="L433" t="s">
        <v>671</v>
      </c>
    </row>
    <row r="434" spans="1:12" x14ac:dyDescent="0.25">
      <c r="A434" t="s">
        <v>38</v>
      </c>
      <c r="B434">
        <v>18794740</v>
      </c>
      <c r="C434" t="s">
        <v>203</v>
      </c>
      <c r="D434" t="s">
        <v>336</v>
      </c>
      <c r="E434" t="str">
        <f t="shared" si="6"/>
        <v>David King</v>
      </c>
      <c r="F434">
        <v>5650</v>
      </c>
      <c r="G434" s="6" t="str">
        <f>CONCATENATE(F434,55)</f>
        <v>565055</v>
      </c>
      <c r="H434" s="1">
        <v>45809</v>
      </c>
      <c r="I434" t="s">
        <v>641</v>
      </c>
      <c r="J434" s="2">
        <v>353</v>
      </c>
      <c r="K434" t="s">
        <v>667</v>
      </c>
      <c r="L434" t="s">
        <v>671</v>
      </c>
    </row>
    <row r="435" spans="1:12" x14ac:dyDescent="0.25">
      <c r="A435" t="s">
        <v>38</v>
      </c>
      <c r="B435">
        <v>18794740</v>
      </c>
      <c r="C435" t="s">
        <v>331</v>
      </c>
      <c r="D435" t="s">
        <v>406</v>
      </c>
      <c r="E435" t="str">
        <f t="shared" si="6"/>
        <v>Alan Pang</v>
      </c>
      <c r="F435">
        <v>22460</v>
      </c>
      <c r="G435" s="6" t="str">
        <f>CONCATENATE(F435,55)</f>
        <v>2246055</v>
      </c>
      <c r="H435" s="1">
        <v>44378</v>
      </c>
      <c r="I435" t="s">
        <v>641</v>
      </c>
      <c r="J435" s="2">
        <v>353</v>
      </c>
      <c r="K435" t="s">
        <v>667</v>
      </c>
      <c r="L435" t="s">
        <v>671</v>
      </c>
    </row>
    <row r="436" spans="1:12" x14ac:dyDescent="0.25">
      <c r="A436" t="s">
        <v>38</v>
      </c>
      <c r="B436">
        <v>18794740</v>
      </c>
      <c r="C436" t="s">
        <v>167</v>
      </c>
      <c r="D436" t="s">
        <v>168</v>
      </c>
      <c r="E436" t="str">
        <f t="shared" si="6"/>
        <v>Mario Soto</v>
      </c>
      <c r="F436">
        <v>76660</v>
      </c>
      <c r="G436" s="6" t="str">
        <f>CONCATENATE(F436,55)</f>
        <v>7666055</v>
      </c>
      <c r="H436" s="1">
        <v>46023</v>
      </c>
      <c r="I436" t="s">
        <v>641</v>
      </c>
      <c r="J436" s="2">
        <v>353</v>
      </c>
      <c r="K436" t="s">
        <v>667</v>
      </c>
      <c r="L436" t="s">
        <v>671</v>
      </c>
    </row>
    <row r="437" spans="1:12" x14ac:dyDescent="0.25">
      <c r="A437" t="s">
        <v>38</v>
      </c>
      <c r="B437">
        <v>18794740</v>
      </c>
      <c r="C437" t="s">
        <v>203</v>
      </c>
      <c r="D437" t="s">
        <v>485</v>
      </c>
      <c r="E437" t="str">
        <f t="shared" si="6"/>
        <v>David Wisser</v>
      </c>
      <c r="F437">
        <v>2440</v>
      </c>
      <c r="G437" s="6" t="str">
        <f>CONCATENATE(F437,55)</f>
        <v>244055</v>
      </c>
      <c r="H437" s="1">
        <v>45689</v>
      </c>
      <c r="I437" t="s">
        <v>641</v>
      </c>
      <c r="J437" s="2">
        <v>353</v>
      </c>
      <c r="K437" t="s">
        <v>667</v>
      </c>
      <c r="L437" t="s">
        <v>671</v>
      </c>
    </row>
    <row r="438" spans="1:12" x14ac:dyDescent="0.25">
      <c r="A438" t="s">
        <v>55</v>
      </c>
      <c r="B438">
        <v>15950276</v>
      </c>
      <c r="C438" t="s">
        <v>64</v>
      </c>
      <c r="D438" t="s">
        <v>123</v>
      </c>
      <c r="E438" t="str">
        <f t="shared" si="6"/>
        <v>Barbara Davenport</v>
      </c>
      <c r="F438">
        <v>44950</v>
      </c>
      <c r="G438" s="6" t="str">
        <f>CONCATENATE(F438,75)</f>
        <v>4495075</v>
      </c>
      <c r="H438" s="1">
        <v>46023</v>
      </c>
      <c r="I438" t="s">
        <v>640</v>
      </c>
      <c r="J438" s="2">
        <v>705</v>
      </c>
      <c r="K438" t="s">
        <v>670</v>
      </c>
      <c r="L438" t="s">
        <v>675</v>
      </c>
    </row>
    <row r="439" spans="1:12" x14ac:dyDescent="0.25">
      <c r="A439" t="s">
        <v>55</v>
      </c>
      <c r="B439">
        <v>15950276</v>
      </c>
      <c r="C439" t="s">
        <v>31</v>
      </c>
      <c r="D439" t="s">
        <v>56</v>
      </c>
      <c r="E439" t="str">
        <f t="shared" si="6"/>
        <v>Donald Silfies</v>
      </c>
      <c r="F439">
        <v>38950</v>
      </c>
      <c r="G439" s="6" t="str">
        <f>CONCATENATE(F439,75)</f>
        <v>3895075</v>
      </c>
      <c r="H439" s="1">
        <v>46023</v>
      </c>
      <c r="I439" t="s">
        <v>640</v>
      </c>
      <c r="J439" s="2">
        <v>705</v>
      </c>
      <c r="K439" t="s">
        <v>670</v>
      </c>
      <c r="L439" t="s">
        <v>675</v>
      </c>
    </row>
    <row r="440" spans="1:12" x14ac:dyDescent="0.25">
      <c r="A440" t="s">
        <v>55</v>
      </c>
      <c r="B440">
        <v>15950276</v>
      </c>
      <c r="C440" t="s">
        <v>424</v>
      </c>
      <c r="D440" t="s">
        <v>559</v>
      </c>
      <c r="E440" t="str">
        <f t="shared" si="6"/>
        <v>Randy Seidel</v>
      </c>
      <c r="F440">
        <v>58940</v>
      </c>
      <c r="G440" s="6" t="str">
        <f>CONCATENATE(F440,55)</f>
        <v>5894055</v>
      </c>
      <c r="H440" s="1">
        <v>46054</v>
      </c>
      <c r="I440" t="s">
        <v>643</v>
      </c>
      <c r="J440" s="2">
        <v>323.58</v>
      </c>
      <c r="K440" t="s">
        <v>667</v>
      </c>
      <c r="L440" t="s">
        <v>673</v>
      </c>
    </row>
    <row r="441" spans="1:12" x14ac:dyDescent="0.25">
      <c r="A441" t="s">
        <v>55</v>
      </c>
      <c r="B441">
        <v>15950276</v>
      </c>
      <c r="C441" t="s">
        <v>482</v>
      </c>
      <c r="D441" t="s">
        <v>483</v>
      </c>
      <c r="E441" t="str">
        <f t="shared" si="6"/>
        <v>Jorge Duarte</v>
      </c>
      <c r="F441">
        <v>96650</v>
      </c>
      <c r="G441" s="6" t="str">
        <f>CONCATENATE(F441,55)</f>
        <v>9665055</v>
      </c>
      <c r="H441" s="1">
        <v>45658</v>
      </c>
      <c r="I441" t="s">
        <v>641</v>
      </c>
      <c r="J441" s="2">
        <v>353</v>
      </c>
      <c r="K441" t="s">
        <v>667</v>
      </c>
      <c r="L441" t="s">
        <v>671</v>
      </c>
    </row>
    <row r="442" spans="1:12" x14ac:dyDescent="0.25">
      <c r="A442" t="s">
        <v>55</v>
      </c>
      <c r="B442">
        <v>15950276</v>
      </c>
      <c r="C442" t="s">
        <v>64</v>
      </c>
      <c r="D442" t="s">
        <v>499</v>
      </c>
      <c r="E442" t="str">
        <f t="shared" si="6"/>
        <v>Barbara Duke</v>
      </c>
      <c r="F442">
        <v>23990</v>
      </c>
      <c r="G442" s="6" t="str">
        <f>CONCATENATE(F442,55)</f>
        <v>2399055</v>
      </c>
      <c r="H442" s="1">
        <v>45931</v>
      </c>
      <c r="I442" t="s">
        <v>641</v>
      </c>
      <c r="J442" s="2">
        <v>353</v>
      </c>
      <c r="K442" t="s">
        <v>667</v>
      </c>
      <c r="L442" t="s">
        <v>671</v>
      </c>
    </row>
    <row r="443" spans="1:12" x14ac:dyDescent="0.25">
      <c r="A443" t="s">
        <v>55</v>
      </c>
      <c r="B443">
        <v>15950276</v>
      </c>
      <c r="C443" t="s">
        <v>463</v>
      </c>
      <c r="D443" t="s">
        <v>464</v>
      </c>
      <c r="E443" t="str">
        <f t="shared" si="6"/>
        <v>Elizabeth Eckhart</v>
      </c>
      <c r="F443">
        <v>25230</v>
      </c>
      <c r="G443" s="6" t="str">
        <f>CONCATENATE(F443,55)</f>
        <v>2523055</v>
      </c>
      <c r="H443" s="1">
        <v>45658</v>
      </c>
      <c r="I443" t="s">
        <v>641</v>
      </c>
      <c r="J443" s="2">
        <v>353</v>
      </c>
      <c r="K443" t="s">
        <v>667</v>
      </c>
      <c r="L443" t="s">
        <v>671</v>
      </c>
    </row>
    <row r="444" spans="1:12" x14ac:dyDescent="0.25">
      <c r="A444" t="s">
        <v>55</v>
      </c>
      <c r="B444">
        <v>15950276</v>
      </c>
      <c r="C444" t="s">
        <v>229</v>
      </c>
      <c r="D444" t="s">
        <v>416</v>
      </c>
      <c r="E444" t="str">
        <f t="shared" si="6"/>
        <v>Mark Ferretti</v>
      </c>
      <c r="F444">
        <v>22060</v>
      </c>
      <c r="G444" s="6" t="str">
        <f>CONCATENATE(F444,55)</f>
        <v>2206055</v>
      </c>
      <c r="H444" s="1">
        <v>44562</v>
      </c>
      <c r="I444" t="s">
        <v>641</v>
      </c>
      <c r="J444" s="2">
        <v>353</v>
      </c>
      <c r="K444" t="s">
        <v>667</v>
      </c>
      <c r="L444" t="s">
        <v>671</v>
      </c>
    </row>
    <row r="445" spans="1:12" x14ac:dyDescent="0.25">
      <c r="A445" t="s">
        <v>55</v>
      </c>
      <c r="B445">
        <v>15950276</v>
      </c>
      <c r="C445" t="s">
        <v>193</v>
      </c>
      <c r="D445" t="s">
        <v>194</v>
      </c>
      <c r="E445" t="str">
        <f t="shared" si="6"/>
        <v>Nancy Fry</v>
      </c>
      <c r="F445">
        <v>41020</v>
      </c>
      <c r="G445" s="6" t="str">
        <f>CONCATENATE(F445,55)</f>
        <v>4102055</v>
      </c>
      <c r="H445" s="1">
        <v>44682</v>
      </c>
      <c r="I445" t="s">
        <v>641</v>
      </c>
      <c r="J445" s="2">
        <v>353</v>
      </c>
      <c r="K445" t="s">
        <v>667</v>
      </c>
      <c r="L445" t="s">
        <v>671</v>
      </c>
    </row>
    <row r="446" spans="1:12" x14ac:dyDescent="0.25">
      <c r="A446" t="s">
        <v>55</v>
      </c>
      <c r="B446">
        <v>15950276</v>
      </c>
      <c r="C446" t="s">
        <v>424</v>
      </c>
      <c r="D446" t="s">
        <v>194</v>
      </c>
      <c r="E446" t="str">
        <f t="shared" si="6"/>
        <v>Randy Fry</v>
      </c>
      <c r="F446">
        <v>83890</v>
      </c>
      <c r="G446" s="6" t="str">
        <f>CONCATENATE(F446,55)</f>
        <v>8389055</v>
      </c>
      <c r="H446" s="1">
        <v>44774</v>
      </c>
      <c r="I446" t="s">
        <v>641</v>
      </c>
      <c r="J446" s="2">
        <v>353</v>
      </c>
      <c r="K446" t="s">
        <v>667</v>
      </c>
      <c r="L446" t="s">
        <v>671</v>
      </c>
    </row>
    <row r="447" spans="1:12" x14ac:dyDescent="0.25">
      <c r="A447" t="s">
        <v>55</v>
      </c>
      <c r="B447">
        <v>15950276</v>
      </c>
      <c r="C447" t="s">
        <v>460</v>
      </c>
      <c r="D447" t="s">
        <v>461</v>
      </c>
      <c r="E447" t="str">
        <f t="shared" si="6"/>
        <v>Sue Gallo</v>
      </c>
      <c r="F447">
        <v>98190</v>
      </c>
      <c r="G447" s="6" t="str">
        <f>CONCATENATE(F447,55)</f>
        <v>9819055</v>
      </c>
      <c r="H447" s="1">
        <v>45505</v>
      </c>
      <c r="I447" t="s">
        <v>641</v>
      </c>
      <c r="J447" s="2">
        <v>353</v>
      </c>
      <c r="K447" t="s">
        <v>667</v>
      </c>
      <c r="L447" t="s">
        <v>671</v>
      </c>
    </row>
    <row r="448" spans="1:12" x14ac:dyDescent="0.25">
      <c r="A448" t="s">
        <v>55</v>
      </c>
      <c r="B448">
        <v>15950276</v>
      </c>
      <c r="C448" t="s">
        <v>426</v>
      </c>
      <c r="D448" t="s">
        <v>427</v>
      </c>
      <c r="E448" t="str">
        <f t="shared" si="6"/>
        <v>Terrell Higashi</v>
      </c>
      <c r="F448">
        <v>71150</v>
      </c>
      <c r="G448" s="6" t="str">
        <f>CONCATENATE(F448,55)</f>
        <v>7115055</v>
      </c>
      <c r="H448" s="1">
        <v>45323</v>
      </c>
      <c r="I448" t="s">
        <v>641</v>
      </c>
      <c r="J448" s="2">
        <v>353</v>
      </c>
      <c r="K448" t="s">
        <v>667</v>
      </c>
      <c r="L448" t="s">
        <v>671</v>
      </c>
    </row>
    <row r="449" spans="1:12" x14ac:dyDescent="0.25">
      <c r="A449" t="s">
        <v>55</v>
      </c>
      <c r="B449">
        <v>15950276</v>
      </c>
      <c r="C449" t="s">
        <v>24</v>
      </c>
      <c r="D449" t="s">
        <v>240</v>
      </c>
      <c r="E449" t="str">
        <f t="shared" si="6"/>
        <v>Joseph Karam</v>
      </c>
      <c r="F449">
        <v>9980</v>
      </c>
      <c r="G449" s="6" t="str">
        <f>CONCATENATE(F449,55)</f>
        <v>998055</v>
      </c>
      <c r="H449" s="1">
        <v>44986</v>
      </c>
      <c r="I449" t="s">
        <v>641</v>
      </c>
      <c r="J449" s="2">
        <v>353</v>
      </c>
      <c r="K449" t="s">
        <v>667</v>
      </c>
      <c r="L449" t="s">
        <v>671</v>
      </c>
    </row>
    <row r="450" spans="1:12" x14ac:dyDescent="0.25">
      <c r="A450" t="s">
        <v>55</v>
      </c>
      <c r="B450">
        <v>15950276</v>
      </c>
      <c r="C450" t="s">
        <v>184</v>
      </c>
      <c r="D450" t="s">
        <v>422</v>
      </c>
      <c r="E450" t="str">
        <f t="shared" si="6"/>
        <v>Kenneth Kasprzak</v>
      </c>
      <c r="F450">
        <v>60600</v>
      </c>
      <c r="G450" s="6" t="str">
        <f>CONCATENATE(F450,55)</f>
        <v>6060055</v>
      </c>
      <c r="H450" s="1">
        <v>44774</v>
      </c>
      <c r="I450" t="s">
        <v>641</v>
      </c>
      <c r="J450" s="2">
        <v>353</v>
      </c>
      <c r="K450" t="s">
        <v>667</v>
      </c>
      <c r="L450" t="s">
        <v>671</v>
      </c>
    </row>
    <row r="451" spans="1:12" x14ac:dyDescent="0.25">
      <c r="A451" t="s">
        <v>55</v>
      </c>
      <c r="B451">
        <v>15950276</v>
      </c>
      <c r="C451" t="s">
        <v>420</v>
      </c>
      <c r="D451" t="s">
        <v>188</v>
      </c>
      <c r="E451" t="str">
        <f t="shared" ref="E451:E460" si="7">CONCATENATE(C451," ",D451)</f>
        <v>Laura Peters</v>
      </c>
      <c r="F451">
        <v>73330</v>
      </c>
      <c r="G451" s="6" t="str">
        <f>CONCATENATE(F451,55)</f>
        <v>7333055</v>
      </c>
      <c r="H451" s="1">
        <v>44562</v>
      </c>
      <c r="I451" t="s">
        <v>641</v>
      </c>
      <c r="J451" s="2">
        <v>353</v>
      </c>
      <c r="K451" t="s">
        <v>667</v>
      </c>
      <c r="L451" t="s">
        <v>671</v>
      </c>
    </row>
    <row r="452" spans="1:12" x14ac:dyDescent="0.25">
      <c r="A452" t="s">
        <v>55</v>
      </c>
      <c r="B452">
        <v>15950276</v>
      </c>
      <c r="C452" t="s">
        <v>441</v>
      </c>
      <c r="D452" t="s">
        <v>442</v>
      </c>
      <c r="E452" t="str">
        <f t="shared" si="7"/>
        <v>Thomas Shinn</v>
      </c>
      <c r="F452">
        <v>58330</v>
      </c>
      <c r="G452" s="6" t="str">
        <f>CONCATENATE(F452,55)</f>
        <v>5833055</v>
      </c>
      <c r="H452" s="1">
        <v>45413</v>
      </c>
      <c r="I452" t="s">
        <v>641</v>
      </c>
      <c r="J452" s="2">
        <v>353</v>
      </c>
      <c r="K452" t="s">
        <v>667</v>
      </c>
      <c r="L452" t="s">
        <v>671</v>
      </c>
    </row>
    <row r="453" spans="1:12" x14ac:dyDescent="0.25">
      <c r="A453" t="s">
        <v>55</v>
      </c>
      <c r="B453">
        <v>15950276</v>
      </c>
      <c r="C453" t="s">
        <v>258</v>
      </c>
      <c r="D453" t="s">
        <v>347</v>
      </c>
      <c r="E453" t="str">
        <f t="shared" si="7"/>
        <v>Kathleen Snyder</v>
      </c>
      <c r="F453">
        <v>68650</v>
      </c>
      <c r="G453" s="6" t="str">
        <f>CONCATENATE(F453,55)</f>
        <v>6865055</v>
      </c>
      <c r="H453" s="1">
        <v>45748</v>
      </c>
      <c r="I453" t="s">
        <v>641</v>
      </c>
      <c r="J453" s="2">
        <v>353</v>
      </c>
      <c r="K453" t="s">
        <v>667</v>
      </c>
      <c r="L453" t="s">
        <v>671</v>
      </c>
    </row>
    <row r="454" spans="1:12" x14ac:dyDescent="0.25">
      <c r="A454" t="s">
        <v>55</v>
      </c>
      <c r="B454">
        <v>15950276</v>
      </c>
      <c r="C454" t="s">
        <v>117</v>
      </c>
      <c r="D454" t="s">
        <v>347</v>
      </c>
      <c r="E454" t="str">
        <f t="shared" si="7"/>
        <v>Michael Snyder</v>
      </c>
      <c r="F454">
        <v>37740</v>
      </c>
      <c r="G454" s="6" t="str">
        <f>CONCATENATE(F454,55)</f>
        <v>3774055</v>
      </c>
      <c r="H454" s="1">
        <v>45748</v>
      </c>
      <c r="I454" t="s">
        <v>641</v>
      </c>
      <c r="J454" s="2">
        <v>353</v>
      </c>
      <c r="K454" t="s">
        <v>667</v>
      </c>
      <c r="L454" t="s">
        <v>671</v>
      </c>
    </row>
    <row r="455" spans="1:12" x14ac:dyDescent="0.25">
      <c r="A455" t="s">
        <v>55</v>
      </c>
      <c r="B455">
        <v>15950276</v>
      </c>
      <c r="C455" t="s">
        <v>408</v>
      </c>
      <c r="D455" t="s">
        <v>409</v>
      </c>
      <c r="E455" t="str">
        <f t="shared" si="7"/>
        <v>Arthur Stamets</v>
      </c>
      <c r="F455">
        <v>3470</v>
      </c>
      <c r="G455" s="6" t="str">
        <f>CONCATENATE(F455,55)</f>
        <v>347055</v>
      </c>
      <c r="H455" s="1">
        <v>44562</v>
      </c>
      <c r="I455" t="s">
        <v>641</v>
      </c>
      <c r="J455" s="2">
        <v>353</v>
      </c>
      <c r="K455" t="s">
        <v>667</v>
      </c>
      <c r="L455" t="s">
        <v>671</v>
      </c>
    </row>
    <row r="456" spans="1:12" x14ac:dyDescent="0.25">
      <c r="A456" t="s">
        <v>55</v>
      </c>
      <c r="B456">
        <v>15950276</v>
      </c>
      <c r="C456" t="s">
        <v>516</v>
      </c>
      <c r="D456" t="s">
        <v>517</v>
      </c>
      <c r="E456" t="str">
        <f t="shared" si="7"/>
        <v>Alexander Twombly</v>
      </c>
      <c r="F456">
        <v>36640</v>
      </c>
      <c r="G456" s="6" t="str">
        <f>CONCATENATE(F456,55)</f>
        <v>3664055</v>
      </c>
      <c r="H456" s="1">
        <v>46023</v>
      </c>
      <c r="I456" t="s">
        <v>641</v>
      </c>
      <c r="J456" s="2">
        <v>353</v>
      </c>
      <c r="K456" t="s">
        <v>667</v>
      </c>
      <c r="L456" t="s">
        <v>671</v>
      </c>
    </row>
    <row r="457" spans="1:12" x14ac:dyDescent="0.25">
      <c r="A457" t="s">
        <v>55</v>
      </c>
      <c r="B457">
        <v>15950276</v>
      </c>
      <c r="C457" t="s">
        <v>435</v>
      </c>
      <c r="D457" t="s">
        <v>436</v>
      </c>
      <c r="E457" t="str">
        <f t="shared" si="7"/>
        <v>Harry Ziem</v>
      </c>
      <c r="F457">
        <v>70330</v>
      </c>
      <c r="G457" s="6" t="str">
        <f>CONCATENATE(F457,55)</f>
        <v>7033055</v>
      </c>
      <c r="H457" s="1">
        <v>46023</v>
      </c>
      <c r="I457" t="s">
        <v>641</v>
      </c>
      <c r="J457" s="2">
        <v>353</v>
      </c>
      <c r="K457" t="s">
        <v>667</v>
      </c>
      <c r="L457" t="s">
        <v>671</v>
      </c>
    </row>
    <row r="458" spans="1:12" x14ac:dyDescent="0.25">
      <c r="A458" t="s">
        <v>111</v>
      </c>
      <c r="B458" t="s">
        <v>682</v>
      </c>
      <c r="C458" t="s">
        <v>75</v>
      </c>
      <c r="D458" t="s">
        <v>112</v>
      </c>
      <c r="E458" t="str">
        <f t="shared" si="7"/>
        <v>Kimberly Neal</v>
      </c>
      <c r="F458">
        <v>73300</v>
      </c>
      <c r="G458" s="6" t="str">
        <f>CONCATENATE(F458,75)</f>
        <v>7330075</v>
      </c>
      <c r="H458" s="1">
        <v>46023</v>
      </c>
      <c r="I458" t="s">
        <v>640</v>
      </c>
      <c r="J458" s="2">
        <v>705</v>
      </c>
      <c r="K458" t="s">
        <v>670</v>
      </c>
      <c r="L458" t="s">
        <v>675</v>
      </c>
    </row>
    <row r="459" spans="1:12" x14ac:dyDescent="0.25">
      <c r="A459" t="s">
        <v>111</v>
      </c>
      <c r="B459">
        <v>8971826</v>
      </c>
      <c r="C459" t="s">
        <v>247</v>
      </c>
      <c r="D459" t="s">
        <v>248</v>
      </c>
      <c r="E459" t="str">
        <f t="shared" si="7"/>
        <v>Scott Mengel</v>
      </c>
      <c r="F459">
        <v>11270</v>
      </c>
      <c r="G459" s="6" t="str">
        <f>CONCATENATE(F459,55)</f>
        <v>1127055</v>
      </c>
      <c r="H459" s="1">
        <v>45292</v>
      </c>
      <c r="I459" t="s">
        <v>641</v>
      </c>
      <c r="J459" s="2">
        <v>353</v>
      </c>
      <c r="K459" t="s">
        <v>667</v>
      </c>
      <c r="L459" t="s">
        <v>671</v>
      </c>
    </row>
    <row r="460" spans="1:12" x14ac:dyDescent="0.25">
      <c r="A460" t="s">
        <v>547</v>
      </c>
      <c r="B460">
        <v>20678727</v>
      </c>
      <c r="C460" t="s">
        <v>441</v>
      </c>
      <c r="D460" t="s">
        <v>548</v>
      </c>
      <c r="E460" t="str">
        <f t="shared" si="7"/>
        <v>Thomas Sams</v>
      </c>
      <c r="F460">
        <v>2010</v>
      </c>
      <c r="G460" s="6" t="str">
        <f>CONCATENATE(F460,55)</f>
        <v>201055</v>
      </c>
      <c r="H460" s="1">
        <v>46082</v>
      </c>
      <c r="I460" t="s">
        <v>642</v>
      </c>
      <c r="J460" s="2">
        <v>294.16000000000003</v>
      </c>
      <c r="K460" t="s">
        <v>667</v>
      </c>
      <c r="L460" t="s">
        <v>672</v>
      </c>
    </row>
  </sheetData>
  <sortState xmlns:xlrd2="http://schemas.microsoft.com/office/spreadsheetml/2017/richdata2" ref="A380:O415">
    <sortCondition descending="1" ref="H380:H415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paras69</dc:creator>
  <cp:lastModifiedBy>Loula Irene Cabel</cp:lastModifiedBy>
  <dcterms:created xsi:type="dcterms:W3CDTF">2026-02-13T15:42:54Z</dcterms:created>
  <dcterms:modified xsi:type="dcterms:W3CDTF">2026-02-16T21:27:58Z</dcterms:modified>
</cp:coreProperties>
</file>