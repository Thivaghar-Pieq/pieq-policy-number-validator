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GS Nation\3-30-26\"/>
    </mc:Choice>
  </mc:AlternateContent>
  <xr:revisionPtr revIDLastSave="0" documentId="13_ncr:1_{BE04DE70-D8A6-4CEE-A8F2-106BD8F14612}" xr6:coauthVersionLast="47" xr6:coauthVersionMax="47" xr10:uidLastSave="{00000000-0000-0000-0000-000000000000}"/>
  <bookViews>
    <workbookView xWindow="28680" yWindow="-30" windowWidth="29040" windowHeight="16440" activeTab="1" xr2:uid="{AAD5A019-C17F-44BE-A66F-BC62F3C5562D}"/>
  </bookViews>
  <sheets>
    <sheet name="Renewal Agent Statement - 2026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3" i="2"/>
  <c r="B2" i="2"/>
  <c r="R2" i="2"/>
  <c r="R3" i="2"/>
  <c r="S3" i="2"/>
</calcChain>
</file>

<file path=xl/sharedStrings.xml><?xml version="1.0" encoding="utf-8"?>
<sst xmlns="http://schemas.openxmlformats.org/spreadsheetml/2006/main" count="445" uniqueCount="87">
  <si>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</si>
  <si>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</si>
  <si>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</si>
  <si>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</si>
  <si>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</si>
  <si>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</si>
  <si>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</si>
  <si>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</si>
  <si>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</si>
  <si>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</si>
  <si>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</si>
  <si>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</si>
  <si>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</si>
  <si>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</si>
  <si>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</si>
  <si>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</si>
  <si>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</si>
  <si>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</si>
  <si>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</si>
  <si>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</si>
  <si>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</si>
  <si>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</si>
  <si>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</si>
  <si>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</si>
  <si>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</si>
  <si>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</si>
  <si>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</si>
  <si>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</si>
  <si>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</si>
  <si>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</si>
  <si>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</si>
  <si>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</si>
  <si>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</si>
  <si>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</si>
  <si>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</si>
  <si>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</si>
  <si>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</si>
  <si>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</si>
  <si>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</si>
  <si>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</si>
  <si>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</si>
  <si>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</si>
  <si>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</si>
  <si>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</si>
  <si>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</si>
  <si>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</si>
  <si>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</si>
  <si>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</si>
  <si>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</si>
  <si>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</si>
  <si>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</si>
  <si>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</si>
  <si>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'1713068400</t>
  </si>
  <si>
    <t>RAY BURKHOLDER</t>
  </si>
  <si>
    <t>PA</t>
  </si>
  <si>
    <t>'19861194-HMRK</t>
  </si>
  <si>
    <t>MARGARET FINNEGAN</t>
  </si>
  <si>
    <t>'1965262100</t>
  </si>
  <si>
    <t>KEITH LOCKE</t>
  </si>
  <si>
    <t>'1965262100-ADM</t>
  </si>
  <si>
    <t>HMRK MAPD OVR</t>
  </si>
  <si>
    <t>'2003694630</t>
  </si>
  <si>
    <t>WILLIAM LAMPARTER III</t>
  </si>
  <si>
    <t>FY</t>
  </si>
  <si>
    <t>'2025433980</t>
  </si>
  <si>
    <t>JEAN WITMER</t>
  </si>
  <si>
    <t>'2025433980-ADM</t>
  </si>
  <si>
    <t>'2044272390</t>
  </si>
  <si>
    <t>KAREN CONDLE</t>
  </si>
  <si>
    <t>'2044272390-ADM</t>
  </si>
  <si>
    <t>'2085203420</t>
  </si>
  <si>
    <t>JOANNE ROMANO</t>
  </si>
  <si>
    <t>'2085203420-ADM</t>
  </si>
  <si>
    <t>'3180096120</t>
  </si>
  <si>
    <t>JULIUS COOK</t>
  </si>
  <si>
    <t>'3180096120-ADM</t>
  </si>
  <si>
    <t>1675408730OVR</t>
  </si>
  <si>
    <t>1965262100OVR</t>
  </si>
  <si>
    <t>2025433980OVR</t>
  </si>
  <si>
    <t>2044272390OVR</t>
  </si>
  <si>
    <t>2085203420OVR</t>
  </si>
  <si>
    <t>3180096120OVR</t>
  </si>
  <si>
    <t>[%/$=353][prorate=2/12]</t>
  </si>
  <si>
    <t>Highmark MAPD 2025..</t>
  </si>
  <si>
    <t>Highmark MAPD Ovr</t>
  </si>
  <si>
    <t>[%/$=353][prorate=3/12]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</si>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</sst>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C8EB-1E55-45E4-B075-C138C9D468FA}">
  <dimension ref="A1:AI21"/>
  <sheetViews>
    <sheetView topLeftCell="G1" workbookViewId="0">
      <selection activeCell="G1" sqref="A1:XFD1048576"/>
    </sheetView>
  </sheetViews>
  <sheetFormatPr defaultRowHeight="14.4" x14ac:dyDescent="0.3"/>
  <cols>
    <col min="19" max="19" width="9.88671875" bestFit="1" customWidth="1"/>
    <col min="30" max="30" width="12.77734375" bestFit="1" customWidth="1"/>
    <col min="31" max="31" width="18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 s="1">
        <v>46112</v>
      </c>
      <c r="B2" s="1">
        <v>46111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46023</v>
      </c>
      <c r="U2" t="s">
        <v>47</v>
      </c>
      <c r="V2">
        <v>1</v>
      </c>
      <c r="W2" s="1">
        <v>46111</v>
      </c>
      <c r="X2" t="s">
        <v>48</v>
      </c>
      <c r="Z2" s="2">
        <v>88.26</v>
      </c>
      <c r="AD2" s="2">
        <v>88.26</v>
      </c>
      <c r="AE2" s="2">
        <v>0</v>
      </c>
      <c r="AF2" s="2">
        <v>0</v>
      </c>
      <c r="AH2">
        <v>4760442</v>
      </c>
      <c r="AI2" t="s">
        <v>49</v>
      </c>
    </row>
    <row r="3" spans="1:35" x14ac:dyDescent="0.3">
      <c r="A3" s="1">
        <v>46112</v>
      </c>
      <c r="B3" s="1">
        <v>46111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O3" t="s">
        <v>43</v>
      </c>
      <c r="P3" t="s">
        <v>44</v>
      </c>
      <c r="Q3" t="s">
        <v>45</v>
      </c>
      <c r="R3" t="s">
        <v>46</v>
      </c>
      <c r="S3" s="1">
        <v>45597</v>
      </c>
      <c r="T3" s="1">
        <v>46023</v>
      </c>
      <c r="U3" t="s">
        <v>47</v>
      </c>
      <c r="V3">
        <v>1</v>
      </c>
      <c r="W3" s="1">
        <v>46111</v>
      </c>
      <c r="X3" t="s">
        <v>48</v>
      </c>
      <c r="Z3" s="2">
        <v>-58.84</v>
      </c>
      <c r="AD3" s="2">
        <v>0</v>
      </c>
      <c r="AE3" s="2">
        <v>-58.84</v>
      </c>
      <c r="AF3" s="2">
        <v>0</v>
      </c>
      <c r="AH3">
        <v>4762272</v>
      </c>
      <c r="AI3" t="s">
        <v>49</v>
      </c>
    </row>
    <row r="4" spans="1:35" x14ac:dyDescent="0.3">
      <c r="A4" s="1">
        <v>46112</v>
      </c>
      <c r="B4" s="1">
        <v>46111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50</v>
      </c>
      <c r="J4" t="s">
        <v>42</v>
      </c>
      <c r="O4" t="s">
        <v>43</v>
      </c>
      <c r="P4" t="s">
        <v>44</v>
      </c>
      <c r="Q4" t="s">
        <v>45</v>
      </c>
      <c r="R4" t="s">
        <v>51</v>
      </c>
      <c r="S4" s="1">
        <v>45597</v>
      </c>
      <c r="T4" s="1">
        <v>46082</v>
      </c>
      <c r="U4" t="s">
        <v>47</v>
      </c>
      <c r="V4">
        <v>1</v>
      </c>
      <c r="W4" s="1">
        <v>46111</v>
      </c>
      <c r="X4" t="s">
        <v>48</v>
      </c>
      <c r="Z4" s="2">
        <v>4.2300000000000004</v>
      </c>
      <c r="AD4" s="2">
        <v>4.2300000000000004</v>
      </c>
      <c r="AE4" s="2">
        <v>0</v>
      </c>
      <c r="AF4" s="2">
        <v>0</v>
      </c>
      <c r="AH4">
        <v>4760441</v>
      </c>
      <c r="AI4" t="s">
        <v>49</v>
      </c>
    </row>
    <row r="5" spans="1:35" x14ac:dyDescent="0.3">
      <c r="A5" s="1">
        <v>46112</v>
      </c>
      <c r="B5" s="1">
        <v>46111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52</v>
      </c>
      <c r="J5" t="s">
        <v>53</v>
      </c>
      <c r="K5" t="s">
        <v>54</v>
      </c>
      <c r="O5" t="s">
        <v>55</v>
      </c>
      <c r="P5" t="s">
        <v>56</v>
      </c>
      <c r="Q5" t="s">
        <v>45</v>
      </c>
      <c r="R5" t="s">
        <v>46</v>
      </c>
      <c r="S5" s="1">
        <v>46023</v>
      </c>
      <c r="T5" s="1">
        <v>46023</v>
      </c>
      <c r="U5" t="s">
        <v>47</v>
      </c>
      <c r="V5">
        <v>1</v>
      </c>
      <c r="W5" s="1">
        <v>46111</v>
      </c>
      <c r="X5" t="s">
        <v>48</v>
      </c>
      <c r="Z5" s="2">
        <v>0</v>
      </c>
      <c r="AD5" s="2">
        <v>0</v>
      </c>
      <c r="AE5" s="2">
        <v>0</v>
      </c>
      <c r="AF5" s="2">
        <v>0</v>
      </c>
      <c r="AH5">
        <v>4760409</v>
      </c>
      <c r="AI5" t="s">
        <v>49</v>
      </c>
    </row>
    <row r="6" spans="1:35" x14ac:dyDescent="0.3">
      <c r="A6" s="1">
        <v>46112</v>
      </c>
      <c r="B6" s="1">
        <v>46111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52</v>
      </c>
      <c r="J6" t="s">
        <v>53</v>
      </c>
      <c r="K6" t="s">
        <v>54</v>
      </c>
      <c r="O6" t="s">
        <v>55</v>
      </c>
      <c r="P6" t="s">
        <v>56</v>
      </c>
      <c r="Q6" t="s">
        <v>45</v>
      </c>
      <c r="R6" t="s">
        <v>46</v>
      </c>
      <c r="S6" s="1">
        <v>46023</v>
      </c>
      <c r="T6" s="1">
        <v>46023</v>
      </c>
      <c r="U6" t="s">
        <v>47</v>
      </c>
      <c r="V6">
        <v>1</v>
      </c>
      <c r="W6" s="1">
        <v>46111</v>
      </c>
      <c r="X6" t="s">
        <v>48</v>
      </c>
      <c r="Z6" s="2">
        <v>0</v>
      </c>
      <c r="AD6" s="2">
        <v>0</v>
      </c>
      <c r="AE6" s="2">
        <v>0</v>
      </c>
      <c r="AF6" s="2">
        <v>0</v>
      </c>
      <c r="AH6">
        <v>4761707</v>
      </c>
      <c r="AI6" t="s">
        <v>49</v>
      </c>
    </row>
    <row r="7" spans="1:35" x14ac:dyDescent="0.3">
      <c r="A7" s="1">
        <v>46112</v>
      </c>
      <c r="B7" s="1">
        <v>46111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57</v>
      </c>
      <c r="J7" t="s">
        <v>58</v>
      </c>
      <c r="O7" t="s">
        <v>43</v>
      </c>
      <c r="P7" t="s">
        <v>44</v>
      </c>
      <c r="Q7" t="s">
        <v>45</v>
      </c>
      <c r="R7" t="s">
        <v>46</v>
      </c>
      <c r="S7" s="1">
        <v>45292</v>
      </c>
      <c r="T7" s="1">
        <v>46023</v>
      </c>
      <c r="U7" t="s">
        <v>47</v>
      </c>
      <c r="V7">
        <v>1</v>
      </c>
      <c r="W7" s="1">
        <v>46111</v>
      </c>
      <c r="X7" t="s">
        <v>48</v>
      </c>
      <c r="Z7" s="2">
        <v>88.26</v>
      </c>
      <c r="AD7" s="2">
        <v>88.26</v>
      </c>
      <c r="AE7" s="2">
        <v>0</v>
      </c>
      <c r="AF7" s="2">
        <v>0</v>
      </c>
      <c r="AH7">
        <v>4760428</v>
      </c>
      <c r="AI7" t="s">
        <v>49</v>
      </c>
    </row>
    <row r="8" spans="1:35" x14ac:dyDescent="0.3">
      <c r="A8" s="1">
        <v>46112</v>
      </c>
      <c r="B8" s="1">
        <v>46111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57</v>
      </c>
      <c r="J8" t="s">
        <v>58</v>
      </c>
      <c r="O8" t="s">
        <v>43</v>
      </c>
      <c r="P8" t="s">
        <v>44</v>
      </c>
      <c r="Q8" t="s">
        <v>45</v>
      </c>
      <c r="R8" t="s">
        <v>46</v>
      </c>
      <c r="S8" s="1">
        <v>45292</v>
      </c>
      <c r="T8" s="1">
        <v>46023</v>
      </c>
      <c r="U8" t="s">
        <v>47</v>
      </c>
      <c r="V8">
        <v>1</v>
      </c>
      <c r="W8" s="1">
        <v>46111</v>
      </c>
      <c r="X8" t="s">
        <v>48</v>
      </c>
      <c r="Z8" s="2">
        <v>-58.84</v>
      </c>
      <c r="AD8" s="2">
        <v>0</v>
      </c>
      <c r="AE8" s="2">
        <v>-58.84</v>
      </c>
      <c r="AF8" s="2">
        <v>0</v>
      </c>
      <c r="AH8">
        <v>4762270</v>
      </c>
      <c r="AI8" t="s">
        <v>49</v>
      </c>
    </row>
    <row r="9" spans="1:35" x14ac:dyDescent="0.3">
      <c r="A9" s="1">
        <v>46112</v>
      </c>
      <c r="B9" s="1">
        <v>46111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59</v>
      </c>
      <c r="J9" t="s">
        <v>58</v>
      </c>
      <c r="O9" t="s">
        <v>43</v>
      </c>
      <c r="P9" t="s">
        <v>44</v>
      </c>
      <c r="Q9" t="s">
        <v>45</v>
      </c>
      <c r="R9" t="s">
        <v>60</v>
      </c>
      <c r="S9" s="1">
        <v>45292</v>
      </c>
      <c r="T9" s="1">
        <v>46082</v>
      </c>
      <c r="U9" t="s">
        <v>47</v>
      </c>
      <c r="V9">
        <v>1</v>
      </c>
      <c r="W9" s="1">
        <v>46111</v>
      </c>
      <c r="X9" t="s">
        <v>48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4760427</v>
      </c>
      <c r="AI9" t="s">
        <v>49</v>
      </c>
    </row>
    <row r="10" spans="1:35" x14ac:dyDescent="0.3">
      <c r="A10" s="1">
        <v>46112</v>
      </c>
      <c r="B10" s="1">
        <v>46111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61</v>
      </c>
      <c r="J10" t="s">
        <v>62</v>
      </c>
      <c r="K10" t="s">
        <v>54</v>
      </c>
      <c r="O10" t="s">
        <v>55</v>
      </c>
      <c r="P10" t="s">
        <v>56</v>
      </c>
      <c r="Q10" t="s">
        <v>45</v>
      </c>
      <c r="R10" t="s">
        <v>46</v>
      </c>
      <c r="S10" s="1">
        <v>46023</v>
      </c>
      <c r="T10" s="1">
        <v>46023</v>
      </c>
      <c r="U10" t="s">
        <v>47</v>
      </c>
      <c r="V10">
        <v>1</v>
      </c>
      <c r="W10" s="1">
        <v>46111</v>
      </c>
      <c r="X10" t="s">
        <v>48</v>
      </c>
      <c r="Z10" s="2">
        <v>0</v>
      </c>
      <c r="AD10" s="2">
        <v>0</v>
      </c>
      <c r="AE10" s="2">
        <v>0</v>
      </c>
      <c r="AF10" s="2">
        <v>0</v>
      </c>
      <c r="AH10">
        <v>4760426</v>
      </c>
      <c r="AI10" t="s">
        <v>63</v>
      </c>
    </row>
    <row r="11" spans="1:35" x14ac:dyDescent="0.3">
      <c r="A11" s="1">
        <v>46112</v>
      </c>
      <c r="B11" s="1">
        <v>46111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61</v>
      </c>
      <c r="J11" t="s">
        <v>62</v>
      </c>
      <c r="K11" t="s">
        <v>54</v>
      </c>
      <c r="O11" t="s">
        <v>55</v>
      </c>
      <c r="P11" t="s">
        <v>56</v>
      </c>
      <c r="Q11" t="s">
        <v>45</v>
      </c>
      <c r="R11" t="s">
        <v>46</v>
      </c>
      <c r="S11" s="1">
        <v>46023</v>
      </c>
      <c r="T11" s="1">
        <v>46023</v>
      </c>
      <c r="U11" t="s">
        <v>47</v>
      </c>
      <c r="V11">
        <v>1</v>
      </c>
      <c r="W11" s="1">
        <v>46111</v>
      </c>
      <c r="X11" t="s">
        <v>48</v>
      </c>
      <c r="Z11" s="2">
        <v>0</v>
      </c>
      <c r="AD11" s="2">
        <v>0</v>
      </c>
      <c r="AE11" s="2">
        <v>0</v>
      </c>
      <c r="AF11" s="2">
        <v>0</v>
      </c>
      <c r="AH11">
        <v>4761710</v>
      </c>
      <c r="AI11" t="s">
        <v>63</v>
      </c>
    </row>
    <row r="12" spans="1:35" x14ac:dyDescent="0.3">
      <c r="A12" s="1">
        <v>46112</v>
      </c>
      <c r="B12" s="1">
        <v>46111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64</v>
      </c>
      <c r="J12" t="s">
        <v>65</v>
      </c>
      <c r="K12" t="s">
        <v>54</v>
      </c>
      <c r="O12" t="s">
        <v>55</v>
      </c>
      <c r="P12" t="s">
        <v>56</v>
      </c>
      <c r="Q12" t="s">
        <v>45</v>
      </c>
      <c r="R12" t="s">
        <v>46</v>
      </c>
      <c r="S12" s="1">
        <v>45901</v>
      </c>
      <c r="T12" s="1">
        <v>46023</v>
      </c>
      <c r="U12" t="s">
        <v>47</v>
      </c>
      <c r="V12">
        <v>1</v>
      </c>
      <c r="W12" s="1">
        <v>46111</v>
      </c>
      <c r="X12" t="s">
        <v>48</v>
      </c>
      <c r="Z12" s="2">
        <v>0</v>
      </c>
      <c r="AD12" s="2">
        <v>0</v>
      </c>
      <c r="AE12" s="2">
        <v>0</v>
      </c>
      <c r="AF12" s="2">
        <v>0</v>
      </c>
      <c r="AH12">
        <v>4760450</v>
      </c>
      <c r="AI12" t="s">
        <v>49</v>
      </c>
    </row>
    <row r="13" spans="1:35" x14ac:dyDescent="0.3">
      <c r="A13" s="1">
        <v>46112</v>
      </c>
      <c r="B13" s="1">
        <v>46111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66</v>
      </c>
      <c r="J13" t="s">
        <v>65</v>
      </c>
      <c r="K13" t="s">
        <v>54</v>
      </c>
      <c r="O13" t="s">
        <v>55</v>
      </c>
      <c r="P13" t="s">
        <v>56</v>
      </c>
      <c r="Q13" t="s">
        <v>45</v>
      </c>
      <c r="R13" t="s">
        <v>51</v>
      </c>
      <c r="S13" s="1">
        <v>45901</v>
      </c>
      <c r="T13" s="1">
        <v>46023</v>
      </c>
      <c r="U13" t="s">
        <v>47</v>
      </c>
      <c r="V13">
        <v>1</v>
      </c>
      <c r="W13" s="1">
        <v>46111</v>
      </c>
      <c r="X13" t="s">
        <v>48</v>
      </c>
      <c r="Z13" s="2">
        <v>50.75</v>
      </c>
      <c r="AD13" s="2">
        <v>50.75</v>
      </c>
      <c r="AE13" s="2">
        <v>0</v>
      </c>
      <c r="AF13" s="2">
        <v>0</v>
      </c>
      <c r="AH13">
        <v>4760449</v>
      </c>
      <c r="AI13" t="s">
        <v>49</v>
      </c>
    </row>
    <row r="14" spans="1:35" x14ac:dyDescent="0.3">
      <c r="A14" s="1">
        <v>46112</v>
      </c>
      <c r="B14" s="1">
        <v>46111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67</v>
      </c>
      <c r="J14" t="s">
        <v>68</v>
      </c>
      <c r="O14" t="s">
        <v>43</v>
      </c>
      <c r="P14" t="s">
        <v>44</v>
      </c>
      <c r="Q14" t="s">
        <v>45</v>
      </c>
      <c r="R14" t="s">
        <v>46</v>
      </c>
      <c r="S14" s="1">
        <v>45292</v>
      </c>
      <c r="T14" s="1">
        <v>46023</v>
      </c>
      <c r="U14" t="s">
        <v>47</v>
      </c>
      <c r="V14">
        <v>1</v>
      </c>
      <c r="W14" s="1">
        <v>46111</v>
      </c>
      <c r="X14" t="s">
        <v>48</v>
      </c>
      <c r="Z14" s="2">
        <v>88.26</v>
      </c>
      <c r="AD14" s="2">
        <v>88.26</v>
      </c>
      <c r="AE14" s="2">
        <v>0</v>
      </c>
      <c r="AF14" s="2">
        <v>0</v>
      </c>
      <c r="AH14">
        <v>4760411</v>
      </c>
      <c r="AI14" t="s">
        <v>49</v>
      </c>
    </row>
    <row r="15" spans="1:35" x14ac:dyDescent="0.3">
      <c r="A15" s="1">
        <v>46112</v>
      </c>
      <c r="B15" s="1">
        <v>46111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67</v>
      </c>
      <c r="J15" t="s">
        <v>68</v>
      </c>
      <c r="O15" t="s">
        <v>43</v>
      </c>
      <c r="P15" t="s">
        <v>44</v>
      </c>
      <c r="Q15" t="s">
        <v>45</v>
      </c>
      <c r="R15" t="s">
        <v>46</v>
      </c>
      <c r="S15" s="1">
        <v>45292</v>
      </c>
      <c r="T15" s="1">
        <v>46023</v>
      </c>
      <c r="U15" t="s">
        <v>47</v>
      </c>
      <c r="V15">
        <v>1</v>
      </c>
      <c r="W15" s="1">
        <v>46111</v>
      </c>
      <c r="X15" t="s">
        <v>48</v>
      </c>
      <c r="Z15" s="2">
        <v>-58.84</v>
      </c>
      <c r="AD15" s="2">
        <v>0</v>
      </c>
      <c r="AE15" s="2">
        <v>-58.84</v>
      </c>
      <c r="AF15" s="2">
        <v>0</v>
      </c>
      <c r="AH15">
        <v>4762269</v>
      </c>
      <c r="AI15" t="s">
        <v>49</v>
      </c>
    </row>
    <row r="16" spans="1:35" x14ac:dyDescent="0.3">
      <c r="A16" s="1">
        <v>46112</v>
      </c>
      <c r="B16" s="1">
        <v>46111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69</v>
      </c>
      <c r="J16" t="s">
        <v>68</v>
      </c>
      <c r="O16" t="s">
        <v>43</v>
      </c>
      <c r="P16" t="s">
        <v>44</v>
      </c>
      <c r="Q16" t="s">
        <v>45</v>
      </c>
      <c r="R16" t="s">
        <v>60</v>
      </c>
      <c r="S16" s="1">
        <v>45292</v>
      </c>
      <c r="T16" s="1">
        <v>46082</v>
      </c>
      <c r="U16" t="s">
        <v>47</v>
      </c>
      <c r="V16">
        <v>1</v>
      </c>
      <c r="W16" s="1">
        <v>46111</v>
      </c>
      <c r="X16" t="s">
        <v>48</v>
      </c>
      <c r="Z16" s="2">
        <v>4.2300000000000004</v>
      </c>
      <c r="AD16" s="2">
        <v>4.2300000000000004</v>
      </c>
      <c r="AE16" s="2">
        <v>0</v>
      </c>
      <c r="AF16" s="2">
        <v>0</v>
      </c>
      <c r="AH16">
        <v>4760410</v>
      </c>
      <c r="AI16" t="s">
        <v>49</v>
      </c>
    </row>
    <row r="17" spans="1:35" x14ac:dyDescent="0.3">
      <c r="A17" s="1">
        <v>46112</v>
      </c>
      <c r="B17" s="1">
        <v>46111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70</v>
      </c>
      <c r="J17" t="s">
        <v>71</v>
      </c>
      <c r="O17" t="s">
        <v>43</v>
      </c>
      <c r="P17" t="s">
        <v>44</v>
      </c>
      <c r="Q17" t="s">
        <v>45</v>
      </c>
      <c r="R17" t="s">
        <v>46</v>
      </c>
      <c r="S17" s="1">
        <v>45200</v>
      </c>
      <c r="T17" s="1">
        <v>46023</v>
      </c>
      <c r="U17" t="s">
        <v>47</v>
      </c>
      <c r="V17">
        <v>1</v>
      </c>
      <c r="W17" s="1">
        <v>46111</v>
      </c>
      <c r="X17" t="s">
        <v>48</v>
      </c>
      <c r="Z17" s="2">
        <v>88.26</v>
      </c>
      <c r="AD17" s="2">
        <v>88.26</v>
      </c>
      <c r="AE17" s="2">
        <v>0</v>
      </c>
      <c r="AF17" s="2">
        <v>0</v>
      </c>
      <c r="AH17">
        <v>4760440</v>
      </c>
      <c r="AI17" t="s">
        <v>49</v>
      </c>
    </row>
    <row r="18" spans="1:35" x14ac:dyDescent="0.3">
      <c r="A18" s="1">
        <v>46112</v>
      </c>
      <c r="B18" s="1">
        <v>46111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70</v>
      </c>
      <c r="J18" t="s">
        <v>71</v>
      </c>
      <c r="O18" t="s">
        <v>43</v>
      </c>
      <c r="P18" t="s">
        <v>44</v>
      </c>
      <c r="Q18" t="s">
        <v>45</v>
      </c>
      <c r="R18" t="s">
        <v>46</v>
      </c>
      <c r="S18" s="1">
        <v>45200</v>
      </c>
      <c r="T18" s="1">
        <v>46023</v>
      </c>
      <c r="U18" t="s">
        <v>47</v>
      </c>
      <c r="V18">
        <v>1</v>
      </c>
      <c r="W18" s="1">
        <v>46111</v>
      </c>
      <c r="X18" t="s">
        <v>48</v>
      </c>
      <c r="Z18" s="2">
        <v>-58.84</v>
      </c>
      <c r="AD18" s="2">
        <v>0</v>
      </c>
      <c r="AE18" s="2">
        <v>-58.84</v>
      </c>
      <c r="AF18" s="2">
        <v>0</v>
      </c>
      <c r="AH18">
        <v>4762271</v>
      </c>
      <c r="AI18" t="s">
        <v>49</v>
      </c>
    </row>
    <row r="19" spans="1:35" x14ac:dyDescent="0.3">
      <c r="A19" s="1">
        <v>46112</v>
      </c>
      <c r="B19" s="1">
        <v>46111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72</v>
      </c>
      <c r="J19" t="s">
        <v>71</v>
      </c>
      <c r="O19" t="s">
        <v>43</v>
      </c>
      <c r="P19" t="s">
        <v>44</v>
      </c>
      <c r="Q19" t="s">
        <v>45</v>
      </c>
      <c r="R19" t="s">
        <v>60</v>
      </c>
      <c r="S19" s="1">
        <v>45200</v>
      </c>
      <c r="T19" s="1">
        <v>46082</v>
      </c>
      <c r="U19" t="s">
        <v>47</v>
      </c>
      <c r="V19">
        <v>1</v>
      </c>
      <c r="W19" s="1">
        <v>46111</v>
      </c>
      <c r="X19" t="s">
        <v>48</v>
      </c>
      <c r="Z19" s="2">
        <v>4.2300000000000004</v>
      </c>
      <c r="AD19" s="2">
        <v>4.2300000000000004</v>
      </c>
      <c r="AE19" s="2">
        <v>0</v>
      </c>
      <c r="AF19" s="2">
        <v>0</v>
      </c>
      <c r="AH19">
        <v>4760439</v>
      </c>
      <c r="AI19" t="s">
        <v>49</v>
      </c>
    </row>
    <row r="20" spans="1:35" x14ac:dyDescent="0.3">
      <c r="A20" s="1">
        <v>46112</v>
      </c>
      <c r="B20" s="1">
        <v>46111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73</v>
      </c>
      <c r="J20" t="s">
        <v>74</v>
      </c>
      <c r="O20" t="s">
        <v>55</v>
      </c>
      <c r="P20" t="s">
        <v>56</v>
      </c>
      <c r="Q20" t="s">
        <v>45</v>
      </c>
      <c r="R20" t="s">
        <v>46</v>
      </c>
      <c r="S20" s="1">
        <v>45962</v>
      </c>
      <c r="T20" s="1">
        <v>46082</v>
      </c>
      <c r="U20" t="s">
        <v>47</v>
      </c>
      <c r="V20">
        <v>1</v>
      </c>
      <c r="W20" s="1">
        <v>46111</v>
      </c>
      <c r="X20" t="s">
        <v>48</v>
      </c>
      <c r="Z20" s="2">
        <v>0</v>
      </c>
      <c r="AD20" s="2">
        <v>0</v>
      </c>
      <c r="AE20" s="2">
        <v>0</v>
      </c>
      <c r="AF20" s="2">
        <v>0</v>
      </c>
      <c r="AH20">
        <v>4761709</v>
      </c>
      <c r="AI20" t="s">
        <v>49</v>
      </c>
    </row>
    <row r="21" spans="1:35" x14ac:dyDescent="0.3">
      <c r="A21" s="1">
        <v>46112</v>
      </c>
      <c r="B21" s="1">
        <v>46111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75</v>
      </c>
      <c r="J21" t="s">
        <v>74</v>
      </c>
      <c r="O21" t="s">
        <v>55</v>
      </c>
      <c r="P21" t="s">
        <v>56</v>
      </c>
      <c r="Q21" t="s">
        <v>45</v>
      </c>
      <c r="R21" t="s">
        <v>51</v>
      </c>
      <c r="S21" s="1">
        <v>45962</v>
      </c>
      <c r="T21" s="1">
        <v>46082</v>
      </c>
      <c r="U21" t="s">
        <v>47</v>
      </c>
      <c r="V21">
        <v>1</v>
      </c>
      <c r="W21" s="1">
        <v>46111</v>
      </c>
      <c r="X21" t="s">
        <v>48</v>
      </c>
      <c r="Z21" s="2">
        <v>4.2300000000000004</v>
      </c>
      <c r="AD21" s="2">
        <v>4.2300000000000004</v>
      </c>
      <c r="AE21" s="2">
        <v>0</v>
      </c>
      <c r="AF21" s="2">
        <v>0</v>
      </c>
      <c r="AH21">
        <v>4761708</v>
      </c>
      <c r="AI2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E0D8-867F-4FF4-94DA-2FF10349BE27}">
  <dimension ref="A1:S15"/>
  <sheetViews>
    <sheetView tabSelected="1" workbookViewId="0">
      <selection activeCell="P2" sqref="P2:P15"/>
    </sheetView>
  </sheetViews>
  <sheetFormatPr defaultRowHeight="14.4" x14ac:dyDescent="0.3"/>
  <cols>
    <col min="1" max="1" width="15.77734375" bestFit="1" customWidth="1"/>
    <col min="2" max="2" width="15.77734375" customWidth="1"/>
    <col min="8" max="8" width="15.21875" bestFit="1" customWidth="1"/>
    <col min="11" max="11" width="25.77734375" bestFit="1" customWidth="1"/>
    <col min="12" max="12" width="9.88671875" bestFit="1" customWidth="1"/>
    <col min="15" max="15" width="20.5546875" bestFit="1" customWidth="1"/>
    <col min="16" max="16" width="22.44140625" bestFit="1" customWidth="1"/>
  </cols>
  <sheetData>
    <row r="1" spans="1:19" x14ac:dyDescent="0.3">
      <c r="A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25</v>
      </c>
    </row>
    <row r="2" spans="1:19" x14ac:dyDescent="0.3">
      <c r="A2">
        <v>1675408730</v>
      </c>
      <c r="B2" t="str">
        <f>_xlfn.CONCAT(A2,55)</f>
        <v>167540873055</v>
      </c>
      <c r="C2" t="s">
        <v>42</v>
      </c>
      <c r="H2">
        <v>18710070</v>
      </c>
      <c r="I2" t="s">
        <v>44</v>
      </c>
      <c r="J2" t="s">
        <v>45</v>
      </c>
      <c r="K2" t="s">
        <v>46</v>
      </c>
      <c r="L2" s="1">
        <v>45597</v>
      </c>
      <c r="M2" s="1">
        <v>46023</v>
      </c>
      <c r="N2" s="2">
        <v>88.26</v>
      </c>
      <c r="O2" t="s">
        <v>83</v>
      </c>
      <c r="P2" t="s">
        <v>85</v>
      </c>
      <c r="R2">
        <f>353/12*3</f>
        <v>88.25</v>
      </c>
    </row>
    <row r="3" spans="1:19" x14ac:dyDescent="0.3">
      <c r="A3">
        <v>1675408730</v>
      </c>
      <c r="B3" t="str">
        <f t="shared" ref="B3:B9" si="0">_xlfn.CONCAT(A3,55)</f>
        <v>167540873055</v>
      </c>
      <c r="C3" t="s">
        <v>42</v>
      </c>
      <c r="H3">
        <v>18710070</v>
      </c>
      <c r="I3" t="s">
        <v>44</v>
      </c>
      <c r="J3" t="s">
        <v>45</v>
      </c>
      <c r="K3" t="s">
        <v>46</v>
      </c>
      <c r="L3" s="1">
        <v>45597</v>
      </c>
      <c r="M3" s="1">
        <v>46023</v>
      </c>
      <c r="N3" s="2">
        <v>-58.84</v>
      </c>
      <c r="O3" t="s">
        <v>83</v>
      </c>
      <c r="P3" t="s">
        <v>82</v>
      </c>
      <c r="R3">
        <f>353/12*2</f>
        <v>58.833333333333336</v>
      </c>
      <c r="S3">
        <f>29.42*2</f>
        <v>58.84</v>
      </c>
    </row>
    <row r="4" spans="1:19" x14ac:dyDescent="0.3">
      <c r="A4">
        <v>1965262100</v>
      </c>
      <c r="B4" t="str">
        <f t="shared" si="0"/>
        <v>196526210055</v>
      </c>
      <c r="C4" t="s">
        <v>58</v>
      </c>
      <c r="H4">
        <v>18710070</v>
      </c>
      <c r="I4" t="s">
        <v>44</v>
      </c>
      <c r="J4" t="s">
        <v>45</v>
      </c>
      <c r="K4" t="s">
        <v>46</v>
      </c>
      <c r="L4" s="1">
        <v>45292</v>
      </c>
      <c r="M4" s="1">
        <v>46023</v>
      </c>
      <c r="N4" s="2">
        <v>88.26</v>
      </c>
      <c r="O4" t="s">
        <v>83</v>
      </c>
      <c r="P4" t="s">
        <v>85</v>
      </c>
    </row>
    <row r="5" spans="1:19" x14ac:dyDescent="0.3">
      <c r="A5">
        <v>1965262100</v>
      </c>
      <c r="B5" t="str">
        <f t="shared" si="0"/>
        <v>196526210055</v>
      </c>
      <c r="C5" t="s">
        <v>58</v>
      </c>
      <c r="H5">
        <v>18710070</v>
      </c>
      <c r="I5" t="s">
        <v>44</v>
      </c>
      <c r="J5" t="s">
        <v>45</v>
      </c>
      <c r="K5" t="s">
        <v>46</v>
      </c>
      <c r="L5" s="1">
        <v>45292</v>
      </c>
      <c r="M5" s="1">
        <v>46023</v>
      </c>
      <c r="N5" s="2">
        <v>-58.84</v>
      </c>
      <c r="O5" t="s">
        <v>83</v>
      </c>
      <c r="P5" t="s">
        <v>82</v>
      </c>
    </row>
    <row r="6" spans="1:19" x14ac:dyDescent="0.3">
      <c r="A6">
        <v>2044272390</v>
      </c>
      <c r="B6" t="str">
        <f t="shared" si="0"/>
        <v>204427239055</v>
      </c>
      <c r="C6" t="s">
        <v>68</v>
      </c>
      <c r="H6">
        <v>18710070</v>
      </c>
      <c r="I6" t="s">
        <v>44</v>
      </c>
      <c r="J6" t="s">
        <v>45</v>
      </c>
      <c r="K6" t="s">
        <v>46</v>
      </c>
      <c r="L6" s="1">
        <v>45292</v>
      </c>
      <c r="M6" s="1">
        <v>46023</v>
      </c>
      <c r="N6" s="2">
        <v>88.26</v>
      </c>
      <c r="O6" t="s">
        <v>83</v>
      </c>
      <c r="P6" t="s">
        <v>85</v>
      </c>
    </row>
    <row r="7" spans="1:19" x14ac:dyDescent="0.3">
      <c r="A7">
        <v>2044272390</v>
      </c>
      <c r="B7" t="str">
        <f t="shared" si="0"/>
        <v>204427239055</v>
      </c>
      <c r="C7" t="s">
        <v>68</v>
      </c>
      <c r="H7">
        <v>18710070</v>
      </c>
      <c r="I7" t="s">
        <v>44</v>
      </c>
      <c r="J7" t="s">
        <v>45</v>
      </c>
      <c r="K7" t="s">
        <v>46</v>
      </c>
      <c r="L7" s="1">
        <v>45292</v>
      </c>
      <c r="M7" s="1">
        <v>46023</v>
      </c>
      <c r="N7" s="2">
        <v>-58.84</v>
      </c>
      <c r="O7" t="s">
        <v>83</v>
      </c>
      <c r="P7" t="s">
        <v>82</v>
      </c>
    </row>
    <row r="8" spans="1:19" x14ac:dyDescent="0.3">
      <c r="A8">
        <v>2085203420</v>
      </c>
      <c r="B8" t="str">
        <f t="shared" si="0"/>
        <v>208520342055</v>
      </c>
      <c r="C8" t="s">
        <v>71</v>
      </c>
      <c r="H8">
        <v>18710070</v>
      </c>
      <c r="I8" t="s">
        <v>44</v>
      </c>
      <c r="J8" t="s">
        <v>45</v>
      </c>
      <c r="K8" t="s">
        <v>46</v>
      </c>
      <c r="L8" s="1">
        <v>45200</v>
      </c>
      <c r="M8" s="1">
        <v>46023</v>
      </c>
      <c r="N8" s="2">
        <v>88.26</v>
      </c>
      <c r="O8" t="s">
        <v>83</v>
      </c>
      <c r="P8" t="s">
        <v>85</v>
      </c>
    </row>
    <row r="9" spans="1:19" x14ac:dyDescent="0.3">
      <c r="A9">
        <v>2085203420</v>
      </c>
      <c r="B9" t="str">
        <f t="shared" si="0"/>
        <v>208520342055</v>
      </c>
      <c r="C9" t="s">
        <v>71</v>
      </c>
      <c r="H9">
        <v>18710070</v>
      </c>
      <c r="I9" t="s">
        <v>44</v>
      </c>
      <c r="J9" t="s">
        <v>45</v>
      </c>
      <c r="K9" t="s">
        <v>46</v>
      </c>
      <c r="L9" s="1">
        <v>45200</v>
      </c>
      <c r="M9" s="1">
        <v>46023</v>
      </c>
      <c r="N9" s="2">
        <v>-58.84</v>
      </c>
      <c r="O9" t="s">
        <v>83</v>
      </c>
      <c r="P9" t="s">
        <v>82</v>
      </c>
    </row>
    <row r="10" spans="1:19" s="3" customFormat="1" x14ac:dyDescent="0.3">
      <c r="A10" s="3" t="s">
        <v>77</v>
      </c>
      <c r="B10" s="3" t="s">
        <v>77</v>
      </c>
      <c r="C10" s="3" t="s">
        <v>58</v>
      </c>
      <c r="H10" s="3">
        <v>20411454</v>
      </c>
      <c r="I10" s="3" t="s">
        <v>86</v>
      </c>
      <c r="J10" s="3" t="s">
        <v>45</v>
      </c>
      <c r="K10" s="3" t="s">
        <v>60</v>
      </c>
      <c r="L10" s="4">
        <v>45292</v>
      </c>
      <c r="M10" s="4">
        <v>46082</v>
      </c>
      <c r="N10" s="5">
        <v>4.2300000000000004</v>
      </c>
      <c r="O10" s="3" t="s">
        <v>84</v>
      </c>
    </row>
    <row r="11" spans="1:19" s="3" customFormat="1" x14ac:dyDescent="0.3">
      <c r="A11" s="3" t="s">
        <v>79</v>
      </c>
      <c r="B11" s="3" t="s">
        <v>79</v>
      </c>
      <c r="C11" s="3" t="s">
        <v>68</v>
      </c>
      <c r="H11" s="3">
        <v>20411454</v>
      </c>
      <c r="I11" s="3" t="s">
        <v>86</v>
      </c>
      <c r="J11" s="3" t="s">
        <v>45</v>
      </c>
      <c r="K11" s="3" t="s">
        <v>60</v>
      </c>
      <c r="L11" s="4">
        <v>45292</v>
      </c>
      <c r="M11" s="4">
        <v>46082</v>
      </c>
      <c r="N11" s="5">
        <v>4.2300000000000004</v>
      </c>
      <c r="O11" s="3" t="s">
        <v>84</v>
      </c>
    </row>
    <row r="12" spans="1:19" s="3" customFormat="1" x14ac:dyDescent="0.3">
      <c r="A12" s="3" t="s">
        <v>80</v>
      </c>
      <c r="B12" s="3" t="s">
        <v>80</v>
      </c>
      <c r="C12" s="3" t="s">
        <v>71</v>
      </c>
      <c r="H12" s="3">
        <v>20411454</v>
      </c>
      <c r="I12" s="3" t="s">
        <v>86</v>
      </c>
      <c r="J12" s="3" t="s">
        <v>45</v>
      </c>
      <c r="K12" s="3" t="s">
        <v>60</v>
      </c>
      <c r="L12" s="4">
        <v>45200</v>
      </c>
      <c r="M12" s="4">
        <v>46082</v>
      </c>
      <c r="N12" s="5">
        <v>4.2300000000000004</v>
      </c>
      <c r="O12" s="3" t="s">
        <v>84</v>
      </c>
    </row>
    <row r="13" spans="1:19" s="3" customFormat="1" x14ac:dyDescent="0.3">
      <c r="A13" s="3" t="s">
        <v>76</v>
      </c>
      <c r="B13" s="3" t="s">
        <v>76</v>
      </c>
      <c r="C13" s="3" t="s">
        <v>42</v>
      </c>
      <c r="H13" s="3">
        <v>20411454</v>
      </c>
      <c r="I13" s="3" t="s">
        <v>86</v>
      </c>
      <c r="J13" s="3" t="s">
        <v>45</v>
      </c>
      <c r="K13" s="3" t="s">
        <v>51</v>
      </c>
      <c r="L13" s="4">
        <v>45597</v>
      </c>
      <c r="M13" s="4">
        <v>46082</v>
      </c>
      <c r="N13" s="5">
        <v>4.2300000000000004</v>
      </c>
      <c r="O13" s="3" t="s">
        <v>84</v>
      </c>
    </row>
    <row r="14" spans="1:19" s="3" customFormat="1" x14ac:dyDescent="0.3">
      <c r="A14" s="3" t="s">
        <v>78</v>
      </c>
      <c r="B14" s="3" t="s">
        <v>78</v>
      </c>
      <c r="C14" s="3" t="s">
        <v>65</v>
      </c>
      <c r="D14" s="3" t="s">
        <v>54</v>
      </c>
      <c r="H14" s="3">
        <v>20411454</v>
      </c>
      <c r="I14" s="3" t="s">
        <v>86</v>
      </c>
      <c r="J14" s="3" t="s">
        <v>45</v>
      </c>
      <c r="K14" s="3" t="s">
        <v>51</v>
      </c>
      <c r="L14" s="4">
        <v>45901</v>
      </c>
      <c r="M14" s="4">
        <v>46023</v>
      </c>
      <c r="N14" s="5">
        <v>50.75</v>
      </c>
      <c r="O14" s="3" t="s">
        <v>84</v>
      </c>
    </row>
    <row r="15" spans="1:19" s="3" customFormat="1" x14ac:dyDescent="0.3">
      <c r="A15" s="3" t="s">
        <v>81</v>
      </c>
      <c r="B15" s="3" t="s">
        <v>81</v>
      </c>
      <c r="C15" s="3" t="s">
        <v>74</v>
      </c>
      <c r="H15" s="3">
        <v>20411454</v>
      </c>
      <c r="I15" s="3" t="s">
        <v>86</v>
      </c>
      <c r="J15" s="3" t="s">
        <v>45</v>
      </c>
      <c r="K15" s="3" t="s">
        <v>51</v>
      </c>
      <c r="L15" s="4">
        <v>45962</v>
      </c>
      <c r="M15" s="4">
        <v>46082</v>
      </c>
      <c r="N15" s="5">
        <v>4.2300000000000004</v>
      </c>
      <c r="O15" s="3" t="s">
        <v>84</v>
      </c>
    </row>
  </sheetData>
  <sortState xmlns:xlrd2="http://schemas.microsoft.com/office/spreadsheetml/2017/richdata2" ref="A2:AJ15">
    <sortCondition ref="K2:K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- 2026-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2026-04-03T07:54:40Z</dcterms:created>
  <dcterms:modified xsi:type="dcterms:W3CDTF">2026-04-06T15:51:43Z</dcterms:modified>
</cp:coreProperties>
</file>