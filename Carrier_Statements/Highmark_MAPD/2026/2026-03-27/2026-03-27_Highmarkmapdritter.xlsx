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3-27-26\"/>
    </mc:Choice>
  </mc:AlternateContent>
  <xr:revisionPtr revIDLastSave="0" documentId="13_ncr:1_{08F55BC5-2971-4DB7-9EEC-46A97C343940}" xr6:coauthVersionLast="47" xr6:coauthVersionMax="47" xr10:uidLastSave="{00000000-0000-0000-0000-000000000000}"/>
  <bookViews>
    <workbookView xWindow="-120" yWindow="-120" windowWidth="29040" windowHeight="16440" activeTab="1" xr2:uid="{40EBEBDB-0D06-4EB3-AEBF-39EEA629B05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" i="2" l="1"/>
  <c r="Q23" i="2"/>
  <c r="E23" i="2"/>
  <c r="E29" i="2"/>
  <c r="E25" i="2"/>
  <c r="E26" i="2"/>
  <c r="E2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8" i="2"/>
  <c r="E3" i="2"/>
  <c r="E4" i="2"/>
  <c r="E5" i="2"/>
  <c r="E6" i="2"/>
  <c r="E7" i="2"/>
  <c r="E22" i="2"/>
  <c r="E24" i="2"/>
  <c r="E2" i="2"/>
  <c r="G22" i="2"/>
  <c r="G29" i="2"/>
  <c r="G28" i="2"/>
  <c r="G27" i="2"/>
  <c r="G26" i="2"/>
  <c r="G25" i="2"/>
  <c r="G23" i="2"/>
  <c r="G24" i="2"/>
  <c r="G2" i="2"/>
  <c r="G3" i="2"/>
  <c r="G4" i="2"/>
  <c r="G5" i="2"/>
  <c r="G7" i="2"/>
  <c r="G6" i="2"/>
  <c r="G10" i="2"/>
  <c r="G12" i="2"/>
  <c r="G11" i="2"/>
  <c r="G8" i="2"/>
  <c r="G14" i="2"/>
  <c r="G9" i="2"/>
  <c r="G17" i="2"/>
  <c r="G15" i="2"/>
  <c r="G16" i="2"/>
  <c r="G13" i="2"/>
  <c r="G18" i="2"/>
  <c r="G19" i="2"/>
  <c r="G20" i="2"/>
  <c r="G21" i="2"/>
</calcChain>
</file>

<file path=xl/sharedStrings.xml><?xml version="1.0" encoding="utf-8"?>
<sst xmlns="http://schemas.openxmlformats.org/spreadsheetml/2006/main" count="387" uniqueCount="108">
  <si>
    <t>Michelle McCorkle</t>
  </si>
  <si>
    <t>Jean</t>
  </si>
  <si>
    <t>Mullenix</t>
  </si>
  <si>
    <t>*****19090</t>
  </si>
  <si>
    <t>Highmark</t>
  </si>
  <si>
    <t>Highmark 2025-26 PA Replace Street / TrueUp (ProRata: -2)</t>
  </si>
  <si>
    <t>Mark</t>
  </si>
  <si>
    <t>Siwik</t>
  </si>
  <si>
    <t>*****47820</t>
  </si>
  <si>
    <t>Steven</t>
  </si>
  <si>
    <t>Horka</t>
  </si>
  <si>
    <t>*****91670</t>
  </si>
  <si>
    <t>Ronald</t>
  </si>
  <si>
    <t>Bartman</t>
  </si>
  <si>
    <t>*****31240</t>
  </si>
  <si>
    <t>Kathleen</t>
  </si>
  <si>
    <t>Vennare</t>
  </si>
  <si>
    <t>*****80240</t>
  </si>
  <si>
    <t>Highmark 2025-2026 PA Replace OR (ProRata: -2)</t>
  </si>
  <si>
    <t>Patricia Long</t>
  </si>
  <si>
    <t>Diane</t>
  </si>
  <si>
    <t>Erney</t>
  </si>
  <si>
    <t>*****3335B</t>
  </si>
  <si>
    <t>Highmark MS</t>
  </si>
  <si>
    <t>Highmark MS 2023-2026 Whole Health Balance YR 1 (ProRata: -6)</t>
  </si>
  <si>
    <t>Anne Kozacheck</t>
  </si>
  <si>
    <t>Bette</t>
  </si>
  <si>
    <t>Thomas</t>
  </si>
  <si>
    <t>*****4797B</t>
  </si>
  <si>
    <t>Highmark MS 2022-2025 65-80 years 1-6 ST (ProRata: 1)</t>
  </si>
  <si>
    <t>Brittany Oliver</t>
  </si>
  <si>
    <t>Rita</t>
  </si>
  <si>
    <t>Monroy</t>
  </si>
  <si>
    <t>*****3778B</t>
  </si>
  <si>
    <t>Highmark MS 2023-2026 Whole Health Balance YR 1 (ProRata: 9)</t>
  </si>
  <si>
    <t>Deborah Inskipt</t>
  </si>
  <si>
    <t>Jeff</t>
  </si>
  <si>
    <t>Stablow</t>
  </si>
  <si>
    <t>*****0090A</t>
  </si>
  <si>
    <t>Highmark MS 2026 DE, WV &amp; PA - NW, C, NE Plan ABDN 65+ Yr 1-6 ST (ProRata: 9)</t>
  </si>
  <si>
    <t>David</t>
  </si>
  <si>
    <t>Curio</t>
  </si>
  <si>
    <t>*****3401A</t>
  </si>
  <si>
    <t>Highmark MS 2026 PA Plan ABDN 65+ Yr 1-6 ST (ProRata: 9)</t>
  </si>
  <si>
    <t>Calvin</t>
  </si>
  <si>
    <t>Mullen</t>
  </si>
  <si>
    <t>*****7628A</t>
  </si>
  <si>
    <t>Highmark MS 2026 PA - SW &amp; SE 65+ Yr 1-6 ST (ProRata: 9)</t>
  </si>
  <si>
    <t>Mary Kay</t>
  </si>
  <si>
    <t>Newell</t>
  </si>
  <si>
    <t>*****9148B</t>
  </si>
  <si>
    <t>Highmark MS 2023 - 2026 65-80 years 1-6 OR (ProRata: 1)</t>
  </si>
  <si>
    <t>Highmark MS 2026 64 or less OR (ProRata: 9)</t>
  </si>
  <si>
    <t>Timothy Powers</t>
  </si>
  <si>
    <t>Gary</t>
  </si>
  <si>
    <t>Schneider</t>
  </si>
  <si>
    <t>*****9873A</t>
  </si>
  <si>
    <t>Highmark MS 2023 - 2026 65-80 years 1-6 OR (ProRata: 9)</t>
  </si>
  <si>
    <t>Margaret Smith</t>
  </si>
  <si>
    <t>Guy</t>
  </si>
  <si>
    <t>Daubenspeck</t>
  </si>
  <si>
    <t>*****8728A</t>
  </si>
  <si>
    <t>Highmark MS 2022-2026 64 or Less ST (ProRata: 3)</t>
  </si>
  <si>
    <t>Highmark MS 2026 Plan ABDN 64 or Less ST (ProRata: 9)</t>
  </si>
  <si>
    <t>Highmark MS 2026 64 or less OR (ProRata: 3)</t>
  </si>
  <si>
    <t>Cheryl</t>
  </si>
  <si>
    <t>Evans</t>
  </si>
  <si>
    <t>*****1129B</t>
  </si>
  <si>
    <t>Highmark MS 2026 Plan ABDN 65+ Yr 1-6 OR (ProRata: 9)</t>
  </si>
  <si>
    <t>Highmark MS 2026 Plan GCF 65+ Yr 1-6 OR (ProRata: 9)</t>
  </si>
  <si>
    <t>Joseph</t>
  </si>
  <si>
    <t>Leopardi</t>
  </si>
  <si>
    <t>*****6863A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</si>
  <si>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</si>
  <si>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</si>
  <si>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</si>
  <si>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</si>
  <si>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</si>
  <si>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</si>
  <si>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</si>
  <si>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</si>
  <si>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</si>
  <si>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</si>
  <si>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</si>
  <si>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Highmark 65-80 DE WV GI and OE</t>
  </si>
  <si>
    <t>[%/$=353][prorate=2/12]</t>
  </si>
  <si>
    <t>Highmark MAPD 2025..</t>
  </si>
  <si>
    <t>Highmark MAPD Ovr</t>
  </si>
  <si>
    <t>Highmark MS 2023-2026 Whole Health Balance</t>
  </si>
  <si>
    <t>Highmark MS 2026 DE, WV &amp; PA - NW, C, NE Plan ABDN 65+</t>
  </si>
  <si>
    <t>Highmark MS 2026 PA - SW &amp; SE 65+</t>
  </si>
  <si>
    <t>Highmark MS 2026 PA Plan ABDN 65+</t>
  </si>
  <si>
    <t>Highmark MS 2026 Plan ABDN 64 or Less</t>
  </si>
  <si>
    <t>Highmark MS 2022-2026 64 or Less</t>
  </si>
  <si>
    <t>4797B</t>
  </si>
  <si>
    <t>3335B</t>
  </si>
  <si>
    <t>9873A</t>
  </si>
  <si>
    <t>8728A</t>
  </si>
  <si>
    <t>3401A</t>
  </si>
  <si>
    <t>3778B</t>
  </si>
  <si>
    <t>0090A</t>
  </si>
  <si>
    <t>7628A</t>
  </si>
  <si>
    <t>9148B</t>
  </si>
  <si>
    <t>1129B</t>
  </si>
  <si>
    <t>6863A</t>
  </si>
  <si>
    <t>Main Line Benefits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</si>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</sst>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1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BE94-6CBC-4058-A232-770E46B6DF92}">
  <dimension ref="A1:K29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85546875" bestFit="1" customWidth="1"/>
    <col min="6" max="6" width="11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72.85546875" bestFit="1" customWidth="1"/>
    <col min="11" max="11" width="15.7109375" bestFit="1" customWidth="1"/>
  </cols>
  <sheetData>
    <row r="1" spans="1:11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25">
      <c r="A2" t="s">
        <v>0</v>
      </c>
      <c r="C2">
        <v>18710070</v>
      </c>
      <c r="D2" t="s">
        <v>1</v>
      </c>
      <c r="E2" t="s">
        <v>2</v>
      </c>
      <c r="F2" t="s">
        <v>3</v>
      </c>
      <c r="G2" s="1">
        <v>45566</v>
      </c>
      <c r="H2" s="1">
        <v>46108</v>
      </c>
      <c r="I2" t="s">
        <v>4</v>
      </c>
      <c r="J2" t="s">
        <v>5</v>
      </c>
      <c r="K2" s="2">
        <v>-58.83</v>
      </c>
    </row>
    <row r="3" spans="1:11" x14ac:dyDescent="0.25">
      <c r="A3" t="s">
        <v>0</v>
      </c>
      <c r="C3">
        <v>18710070</v>
      </c>
      <c r="D3" t="s">
        <v>6</v>
      </c>
      <c r="E3" t="s">
        <v>7</v>
      </c>
      <c r="F3" t="s">
        <v>8</v>
      </c>
      <c r="G3" s="1">
        <v>45566</v>
      </c>
      <c r="H3" s="1">
        <v>46108</v>
      </c>
      <c r="I3" t="s">
        <v>4</v>
      </c>
      <c r="J3" t="s">
        <v>5</v>
      </c>
      <c r="K3" s="2">
        <v>-58.83</v>
      </c>
    </row>
    <row r="4" spans="1:11" x14ac:dyDescent="0.25">
      <c r="A4" t="s">
        <v>0</v>
      </c>
      <c r="C4">
        <v>18710070</v>
      </c>
      <c r="D4" t="s">
        <v>9</v>
      </c>
      <c r="E4" t="s">
        <v>10</v>
      </c>
      <c r="F4" t="s">
        <v>11</v>
      </c>
      <c r="G4" s="1">
        <v>45658</v>
      </c>
      <c r="H4" s="1">
        <v>46108</v>
      </c>
      <c r="I4" t="s">
        <v>4</v>
      </c>
      <c r="J4" t="s">
        <v>5</v>
      </c>
      <c r="K4" s="2">
        <v>-58.83</v>
      </c>
    </row>
    <row r="5" spans="1:11" x14ac:dyDescent="0.25">
      <c r="A5" t="s">
        <v>0</v>
      </c>
      <c r="C5">
        <v>18710070</v>
      </c>
      <c r="D5" t="s">
        <v>12</v>
      </c>
      <c r="E5" t="s">
        <v>13</v>
      </c>
      <c r="F5" t="s">
        <v>14</v>
      </c>
      <c r="G5" s="1">
        <v>45658</v>
      </c>
      <c r="H5" s="1">
        <v>46108</v>
      </c>
      <c r="I5" t="s">
        <v>4</v>
      </c>
      <c r="J5" t="s">
        <v>5</v>
      </c>
      <c r="K5" s="2">
        <v>-58.83</v>
      </c>
    </row>
    <row r="6" spans="1:11" x14ac:dyDescent="0.25">
      <c r="A6" t="s">
        <v>0</v>
      </c>
      <c r="C6">
        <v>18710070</v>
      </c>
      <c r="D6" t="s">
        <v>15</v>
      </c>
      <c r="E6" t="s">
        <v>16</v>
      </c>
      <c r="F6" t="s">
        <v>17</v>
      </c>
      <c r="G6" s="1">
        <v>45689</v>
      </c>
      <c r="H6" s="1">
        <v>46108</v>
      </c>
      <c r="I6" t="s">
        <v>4</v>
      </c>
      <c r="J6" t="s">
        <v>5</v>
      </c>
      <c r="K6" s="2">
        <v>-58.83</v>
      </c>
    </row>
    <row r="7" spans="1:11" x14ac:dyDescent="0.25">
      <c r="A7" t="s">
        <v>0</v>
      </c>
      <c r="C7">
        <v>18710070</v>
      </c>
      <c r="D7" t="s">
        <v>9</v>
      </c>
      <c r="E7" t="s">
        <v>10</v>
      </c>
      <c r="F7" t="s">
        <v>11</v>
      </c>
      <c r="G7" s="1">
        <v>45658</v>
      </c>
      <c r="H7" s="1">
        <v>46108</v>
      </c>
      <c r="I7" t="s">
        <v>4</v>
      </c>
      <c r="J7" t="s">
        <v>18</v>
      </c>
      <c r="K7" s="2">
        <v>-12.08</v>
      </c>
    </row>
    <row r="8" spans="1:11" x14ac:dyDescent="0.25">
      <c r="A8" t="s">
        <v>0</v>
      </c>
      <c r="C8">
        <v>18710070</v>
      </c>
      <c r="D8" t="s">
        <v>12</v>
      </c>
      <c r="E8" t="s">
        <v>13</v>
      </c>
      <c r="F8" t="s">
        <v>14</v>
      </c>
      <c r="G8" s="1">
        <v>45658</v>
      </c>
      <c r="H8" s="1">
        <v>46108</v>
      </c>
      <c r="I8" t="s">
        <v>4</v>
      </c>
      <c r="J8" t="s">
        <v>18</v>
      </c>
      <c r="K8" s="2">
        <v>-12.08</v>
      </c>
    </row>
    <row r="9" spans="1:11" x14ac:dyDescent="0.25">
      <c r="A9" t="s">
        <v>0</v>
      </c>
      <c r="C9">
        <v>18710070</v>
      </c>
      <c r="D9" t="s">
        <v>15</v>
      </c>
      <c r="E9" t="s">
        <v>16</v>
      </c>
      <c r="F9" t="s">
        <v>17</v>
      </c>
      <c r="G9" s="1">
        <v>45689</v>
      </c>
      <c r="H9" s="1">
        <v>46108</v>
      </c>
      <c r="I9" t="s">
        <v>4</v>
      </c>
      <c r="J9" t="s">
        <v>18</v>
      </c>
      <c r="K9" s="2">
        <v>-12.08</v>
      </c>
    </row>
    <row r="10" spans="1:11" x14ac:dyDescent="0.25">
      <c r="A10" t="s">
        <v>19</v>
      </c>
      <c r="C10">
        <v>18794740</v>
      </c>
      <c r="D10" t="s">
        <v>20</v>
      </c>
      <c r="E10" t="s">
        <v>21</v>
      </c>
      <c r="F10" t="s">
        <v>22</v>
      </c>
      <c r="G10" s="1">
        <v>46023</v>
      </c>
      <c r="H10" s="1">
        <v>46108</v>
      </c>
      <c r="I10" t="s">
        <v>23</v>
      </c>
      <c r="J10" t="s">
        <v>24</v>
      </c>
      <c r="K10" s="2">
        <v>-19.2</v>
      </c>
    </row>
    <row r="11" spans="1:11" x14ac:dyDescent="0.25">
      <c r="A11" t="s">
        <v>25</v>
      </c>
      <c r="C11">
        <v>19278370</v>
      </c>
      <c r="D11" t="s">
        <v>26</v>
      </c>
      <c r="E11" t="s">
        <v>27</v>
      </c>
      <c r="F11" t="s">
        <v>28</v>
      </c>
      <c r="G11" s="1">
        <v>45748</v>
      </c>
      <c r="H11" s="1">
        <v>46108</v>
      </c>
      <c r="I11" t="s">
        <v>23</v>
      </c>
      <c r="J11" t="s">
        <v>29</v>
      </c>
      <c r="K11" s="2">
        <v>32.08</v>
      </c>
    </row>
    <row r="12" spans="1:11" x14ac:dyDescent="0.25">
      <c r="A12" t="s">
        <v>30</v>
      </c>
      <c r="C12">
        <v>17554531</v>
      </c>
      <c r="D12" t="s">
        <v>31</v>
      </c>
      <c r="E12" t="s">
        <v>32</v>
      </c>
      <c r="F12" t="s">
        <v>33</v>
      </c>
      <c r="G12" s="1">
        <v>46082</v>
      </c>
      <c r="H12" s="1">
        <v>46108</v>
      </c>
      <c r="I12" t="s">
        <v>23</v>
      </c>
      <c r="J12" t="s">
        <v>34</v>
      </c>
      <c r="K12" s="2">
        <v>28.8</v>
      </c>
    </row>
    <row r="13" spans="1:11" x14ac:dyDescent="0.25">
      <c r="A13" t="s">
        <v>35</v>
      </c>
      <c r="C13">
        <v>17528908</v>
      </c>
      <c r="D13" t="s">
        <v>36</v>
      </c>
      <c r="E13" t="s">
        <v>37</v>
      </c>
      <c r="F13" t="s">
        <v>38</v>
      </c>
      <c r="G13" s="1">
        <v>46082</v>
      </c>
      <c r="H13" s="1">
        <v>46108</v>
      </c>
      <c r="I13" t="s">
        <v>23</v>
      </c>
      <c r="J13" t="s">
        <v>39</v>
      </c>
      <c r="K13" s="2">
        <v>247.5</v>
      </c>
    </row>
    <row r="14" spans="1:11" x14ac:dyDescent="0.25">
      <c r="A14" t="s">
        <v>0</v>
      </c>
      <c r="C14">
        <v>18710070</v>
      </c>
      <c r="D14" t="s">
        <v>40</v>
      </c>
      <c r="E14" t="s">
        <v>41</v>
      </c>
      <c r="F14" t="s">
        <v>42</v>
      </c>
      <c r="G14" s="1">
        <v>46054</v>
      </c>
      <c r="H14" s="1">
        <v>46108</v>
      </c>
      <c r="I14" t="s">
        <v>23</v>
      </c>
      <c r="J14" t="s">
        <v>43</v>
      </c>
      <c r="K14" s="2">
        <v>300</v>
      </c>
    </row>
    <row r="15" spans="1:11" x14ac:dyDescent="0.25">
      <c r="A15" t="s">
        <v>35</v>
      </c>
      <c r="C15">
        <v>17528908</v>
      </c>
      <c r="D15" t="s">
        <v>44</v>
      </c>
      <c r="E15" t="s">
        <v>45</v>
      </c>
      <c r="F15" t="s">
        <v>46</v>
      </c>
      <c r="G15" s="1">
        <v>46082</v>
      </c>
      <c r="H15" s="1">
        <v>46108</v>
      </c>
      <c r="I15" t="s">
        <v>23</v>
      </c>
      <c r="J15" t="s">
        <v>47</v>
      </c>
      <c r="K15" s="2">
        <v>337.5</v>
      </c>
    </row>
    <row r="16" spans="1:11" x14ac:dyDescent="0.25">
      <c r="A16" t="s">
        <v>35</v>
      </c>
      <c r="C16">
        <v>17528908</v>
      </c>
      <c r="D16" t="s">
        <v>48</v>
      </c>
      <c r="E16" t="s">
        <v>49</v>
      </c>
      <c r="F16" t="s">
        <v>50</v>
      </c>
      <c r="G16" s="1">
        <v>46082</v>
      </c>
      <c r="H16" s="1">
        <v>46108</v>
      </c>
      <c r="I16" t="s">
        <v>23</v>
      </c>
      <c r="J16" t="s">
        <v>47</v>
      </c>
      <c r="K16" s="2">
        <v>337.5</v>
      </c>
    </row>
    <row r="17" spans="1:11" x14ac:dyDescent="0.25">
      <c r="A17" t="s">
        <v>25</v>
      </c>
      <c r="C17">
        <v>19278370</v>
      </c>
      <c r="D17" t="s">
        <v>26</v>
      </c>
      <c r="E17" t="s">
        <v>27</v>
      </c>
      <c r="F17" t="s">
        <v>28</v>
      </c>
      <c r="G17" s="1">
        <v>45748</v>
      </c>
      <c r="H17" s="1">
        <v>46108</v>
      </c>
      <c r="I17" t="s">
        <v>23</v>
      </c>
      <c r="J17" t="s">
        <v>51</v>
      </c>
      <c r="K17" s="2">
        <v>6.25</v>
      </c>
    </row>
    <row r="18" spans="1:11" x14ac:dyDescent="0.25">
      <c r="A18" t="s">
        <v>30</v>
      </c>
      <c r="C18">
        <v>17554531</v>
      </c>
      <c r="D18" t="s">
        <v>31</v>
      </c>
      <c r="E18" t="s">
        <v>32</v>
      </c>
      <c r="F18" t="s">
        <v>33</v>
      </c>
      <c r="G18" s="1">
        <v>46082</v>
      </c>
      <c r="H18" s="1">
        <v>46108</v>
      </c>
      <c r="I18" t="s">
        <v>23</v>
      </c>
      <c r="J18" t="s">
        <v>52</v>
      </c>
      <c r="K18" s="2">
        <v>9</v>
      </c>
    </row>
    <row r="19" spans="1:11" x14ac:dyDescent="0.25">
      <c r="A19" t="s">
        <v>53</v>
      </c>
      <c r="C19">
        <v>17886092</v>
      </c>
      <c r="D19" t="s">
        <v>54</v>
      </c>
      <c r="E19" t="s">
        <v>55</v>
      </c>
      <c r="F19" t="s">
        <v>56</v>
      </c>
      <c r="G19" s="1">
        <v>46082</v>
      </c>
      <c r="H19" s="1">
        <v>46108</v>
      </c>
      <c r="I19" t="s">
        <v>23</v>
      </c>
      <c r="J19" t="s">
        <v>57</v>
      </c>
      <c r="K19" s="2">
        <v>56.25</v>
      </c>
    </row>
    <row r="20" spans="1:11" x14ac:dyDescent="0.25">
      <c r="A20" t="s">
        <v>58</v>
      </c>
      <c r="C20">
        <v>20253958</v>
      </c>
      <c r="D20" t="s">
        <v>59</v>
      </c>
      <c r="E20" t="s">
        <v>60</v>
      </c>
      <c r="F20" t="s">
        <v>61</v>
      </c>
      <c r="G20" s="1">
        <v>46054</v>
      </c>
      <c r="H20" s="1">
        <v>46108</v>
      </c>
      <c r="I20" t="s">
        <v>23</v>
      </c>
      <c r="J20" t="s">
        <v>57</v>
      </c>
      <c r="K20" s="2">
        <v>56.25</v>
      </c>
    </row>
    <row r="21" spans="1:11" x14ac:dyDescent="0.25">
      <c r="A21" t="s">
        <v>19</v>
      </c>
      <c r="C21">
        <v>18794740</v>
      </c>
      <c r="D21" t="s">
        <v>20</v>
      </c>
      <c r="E21" t="s">
        <v>21</v>
      </c>
      <c r="F21" t="s">
        <v>22</v>
      </c>
      <c r="G21" s="1">
        <v>46023</v>
      </c>
      <c r="H21" s="1">
        <v>46108</v>
      </c>
      <c r="I21" t="s">
        <v>23</v>
      </c>
      <c r="J21" t="s">
        <v>62</v>
      </c>
      <c r="K21" s="2">
        <v>11.25</v>
      </c>
    </row>
    <row r="22" spans="1:11" x14ac:dyDescent="0.25">
      <c r="A22" t="s">
        <v>30</v>
      </c>
      <c r="C22">
        <v>17554531</v>
      </c>
      <c r="D22" t="s">
        <v>31</v>
      </c>
      <c r="E22" t="s">
        <v>32</v>
      </c>
      <c r="F22" t="s">
        <v>33</v>
      </c>
      <c r="G22" s="1">
        <v>46082</v>
      </c>
      <c r="H22" s="1">
        <v>46108</v>
      </c>
      <c r="I22" t="s">
        <v>23</v>
      </c>
      <c r="J22" t="s">
        <v>63</v>
      </c>
      <c r="K22" s="2">
        <v>30</v>
      </c>
    </row>
    <row r="23" spans="1:11" x14ac:dyDescent="0.25">
      <c r="A23" t="s">
        <v>19</v>
      </c>
      <c r="C23">
        <v>18794740</v>
      </c>
      <c r="D23" t="s">
        <v>20</v>
      </c>
      <c r="E23" t="s">
        <v>21</v>
      </c>
      <c r="F23" t="s">
        <v>22</v>
      </c>
      <c r="G23" s="1">
        <v>46023</v>
      </c>
      <c r="H23" s="1">
        <v>46108</v>
      </c>
      <c r="I23" t="s">
        <v>23</v>
      </c>
      <c r="J23" t="s">
        <v>64</v>
      </c>
      <c r="K23" s="2">
        <v>3</v>
      </c>
    </row>
    <row r="24" spans="1:11" x14ac:dyDescent="0.25">
      <c r="A24" t="s">
        <v>58</v>
      </c>
      <c r="C24">
        <v>20253958</v>
      </c>
      <c r="D24" t="s">
        <v>65</v>
      </c>
      <c r="E24" t="s">
        <v>66</v>
      </c>
      <c r="F24" t="s">
        <v>67</v>
      </c>
      <c r="G24" s="1">
        <v>46054</v>
      </c>
      <c r="H24" s="1">
        <v>46108</v>
      </c>
      <c r="I24" t="s">
        <v>23</v>
      </c>
      <c r="J24" t="s">
        <v>68</v>
      </c>
      <c r="K24" s="2">
        <v>49.5</v>
      </c>
    </row>
    <row r="25" spans="1:11" x14ac:dyDescent="0.25">
      <c r="A25" t="s">
        <v>35</v>
      </c>
      <c r="C25">
        <v>17528908</v>
      </c>
      <c r="D25" t="s">
        <v>36</v>
      </c>
      <c r="E25" t="s">
        <v>37</v>
      </c>
      <c r="F25" t="s">
        <v>38</v>
      </c>
      <c r="G25" s="1">
        <v>46082</v>
      </c>
      <c r="H25" s="1">
        <v>46108</v>
      </c>
      <c r="I25" t="s">
        <v>23</v>
      </c>
      <c r="J25" t="s">
        <v>68</v>
      </c>
      <c r="K25" s="2">
        <v>66</v>
      </c>
    </row>
    <row r="26" spans="1:11" x14ac:dyDescent="0.25">
      <c r="A26" t="s">
        <v>0</v>
      </c>
      <c r="C26">
        <v>18710070</v>
      </c>
      <c r="D26" t="s">
        <v>40</v>
      </c>
      <c r="E26" t="s">
        <v>41</v>
      </c>
      <c r="F26" t="s">
        <v>42</v>
      </c>
      <c r="G26" s="1">
        <v>46054</v>
      </c>
      <c r="H26" s="1">
        <v>46108</v>
      </c>
      <c r="I26" t="s">
        <v>23</v>
      </c>
      <c r="J26" t="s">
        <v>57</v>
      </c>
      <c r="K26" s="2">
        <v>75</v>
      </c>
    </row>
    <row r="27" spans="1:11" x14ac:dyDescent="0.25">
      <c r="A27" t="s">
        <v>35</v>
      </c>
      <c r="C27">
        <v>17528908</v>
      </c>
      <c r="D27" t="s">
        <v>44</v>
      </c>
      <c r="E27" t="s">
        <v>45</v>
      </c>
      <c r="F27" t="s">
        <v>46</v>
      </c>
      <c r="G27" s="1">
        <v>46082</v>
      </c>
      <c r="H27" s="1">
        <v>46108</v>
      </c>
      <c r="I27" t="s">
        <v>23</v>
      </c>
      <c r="J27" t="s">
        <v>69</v>
      </c>
      <c r="K27" s="2">
        <v>90</v>
      </c>
    </row>
    <row r="28" spans="1:11" x14ac:dyDescent="0.25">
      <c r="A28" t="s">
        <v>35</v>
      </c>
      <c r="C28">
        <v>17528908</v>
      </c>
      <c r="D28" t="s">
        <v>48</v>
      </c>
      <c r="E28" t="s">
        <v>49</v>
      </c>
      <c r="F28" t="s">
        <v>50</v>
      </c>
      <c r="G28" s="1">
        <v>46082</v>
      </c>
      <c r="H28" s="1">
        <v>46108</v>
      </c>
      <c r="I28" t="s">
        <v>23</v>
      </c>
      <c r="J28" t="s">
        <v>69</v>
      </c>
      <c r="K28" s="2">
        <v>90</v>
      </c>
    </row>
    <row r="29" spans="1:11" x14ac:dyDescent="0.25">
      <c r="A29" t="s">
        <v>53</v>
      </c>
      <c r="C29">
        <v>17886092</v>
      </c>
      <c r="D29" t="s">
        <v>70</v>
      </c>
      <c r="E29" t="s">
        <v>71</v>
      </c>
      <c r="F29" t="s">
        <v>72</v>
      </c>
      <c r="G29" s="1">
        <v>46082</v>
      </c>
      <c r="H29" s="1">
        <v>46108</v>
      </c>
      <c r="I29" t="s">
        <v>23</v>
      </c>
      <c r="J29" t="s">
        <v>69</v>
      </c>
      <c r="K29" s="2">
        <v>67.5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A23F-3F33-4A1E-93EC-BA67B71687CB}">
  <dimension ref="A1:R29"/>
  <sheetViews>
    <sheetView tabSelected="1" topLeftCell="D1" workbookViewId="0">
      <selection activeCell="R24" sqref="R24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12.85546875" customWidth="1"/>
    <col min="6" max="6" width="11.28515625" bestFit="1" customWidth="1"/>
    <col min="7" max="7" width="11.28515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72.85546875" bestFit="1" customWidth="1"/>
    <col min="12" max="12" width="15.7109375" bestFit="1" customWidth="1"/>
    <col min="13" max="13" width="30.42578125" bestFit="1" customWidth="1"/>
    <col min="14" max="14" width="23.140625" bestFit="1" customWidth="1"/>
  </cols>
  <sheetData>
    <row r="1" spans="1:18" x14ac:dyDescent="0.25">
      <c r="A1" t="s">
        <v>73</v>
      </c>
      <c r="B1" t="s">
        <v>75</v>
      </c>
      <c r="C1" t="s">
        <v>76</v>
      </c>
      <c r="D1" t="s">
        <v>77</v>
      </c>
      <c r="F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8" x14ac:dyDescent="0.25">
      <c r="A2" t="s">
        <v>25</v>
      </c>
      <c r="B2">
        <v>19278370</v>
      </c>
      <c r="C2" t="s">
        <v>26</v>
      </c>
      <c r="D2" t="s">
        <v>27</v>
      </c>
      <c r="E2" t="str">
        <f>CONCATENATE(D2," ",C2)</f>
        <v>Thomas Bette</v>
      </c>
      <c r="F2" s="8" t="s">
        <v>94</v>
      </c>
      <c r="G2" t="str">
        <f>CONCATENATE(F2,"MS")</f>
        <v>4797BMS</v>
      </c>
      <c r="H2" s="1">
        <v>45748</v>
      </c>
      <c r="I2" s="1">
        <v>46108</v>
      </c>
      <c r="J2" t="s">
        <v>23</v>
      </c>
      <c r="K2" t="s">
        <v>29</v>
      </c>
      <c r="L2" s="2">
        <v>32.08</v>
      </c>
      <c r="M2" t="s">
        <v>84</v>
      </c>
    </row>
    <row r="3" spans="1:18" x14ac:dyDescent="0.25">
      <c r="A3" t="s">
        <v>0</v>
      </c>
      <c r="B3" t="s">
        <v>107</v>
      </c>
      <c r="C3" t="s">
        <v>15</v>
      </c>
      <c r="D3" t="s">
        <v>16</v>
      </c>
      <c r="E3" t="str">
        <f>CONCATENATE(D3," ",C3)</f>
        <v>Vennare Kathleen</v>
      </c>
      <c r="F3" s="8">
        <v>80240</v>
      </c>
      <c r="G3" t="str">
        <f>CONCATENATE(F3,55)</f>
        <v>8024055</v>
      </c>
      <c r="H3" s="1">
        <v>45689</v>
      </c>
      <c r="I3" s="1">
        <v>46108</v>
      </c>
      <c r="J3" t="s">
        <v>4</v>
      </c>
      <c r="K3" t="s">
        <v>5</v>
      </c>
      <c r="L3" s="2">
        <v>-58.83</v>
      </c>
      <c r="M3" t="s">
        <v>86</v>
      </c>
      <c r="N3" t="s">
        <v>85</v>
      </c>
      <c r="R3" s="3"/>
    </row>
    <row r="4" spans="1:18" x14ac:dyDescent="0.25">
      <c r="A4" t="s">
        <v>0</v>
      </c>
      <c r="B4">
        <v>18710070</v>
      </c>
      <c r="C4" t="s">
        <v>12</v>
      </c>
      <c r="D4" t="s">
        <v>13</v>
      </c>
      <c r="E4" t="str">
        <f>CONCATENATE(D4," ",C4)</f>
        <v>Bartman Ronald</v>
      </c>
      <c r="F4" s="8">
        <v>31240</v>
      </c>
      <c r="G4" t="str">
        <f>CONCATENATE(F4,55)</f>
        <v>3124055</v>
      </c>
      <c r="H4" s="1">
        <v>45658</v>
      </c>
      <c r="I4" s="1">
        <v>46108</v>
      </c>
      <c r="J4" t="s">
        <v>4</v>
      </c>
      <c r="K4" t="s">
        <v>5</v>
      </c>
      <c r="L4" s="2">
        <v>-58.83</v>
      </c>
      <c r="M4" t="s">
        <v>86</v>
      </c>
      <c r="N4" t="s">
        <v>85</v>
      </c>
      <c r="R4" s="3"/>
    </row>
    <row r="5" spans="1:18" x14ac:dyDescent="0.25">
      <c r="A5" t="s">
        <v>0</v>
      </c>
      <c r="B5">
        <v>18710070</v>
      </c>
      <c r="C5" t="s">
        <v>9</v>
      </c>
      <c r="D5" t="s">
        <v>10</v>
      </c>
      <c r="E5" t="str">
        <f>CONCATENATE(D5," ",C5)</f>
        <v>Horka Steven</v>
      </c>
      <c r="F5" s="8">
        <v>91670</v>
      </c>
      <c r="G5" t="str">
        <f>CONCATENATE(F5,55)</f>
        <v>9167055</v>
      </c>
      <c r="H5" s="1">
        <v>45658</v>
      </c>
      <c r="I5" s="1">
        <v>46108</v>
      </c>
      <c r="J5" t="s">
        <v>4</v>
      </c>
      <c r="K5" t="s">
        <v>5</v>
      </c>
      <c r="L5" s="2">
        <v>-58.83</v>
      </c>
      <c r="M5" t="s">
        <v>86</v>
      </c>
      <c r="N5" t="s">
        <v>85</v>
      </c>
      <c r="R5" s="3"/>
    </row>
    <row r="6" spans="1:18" x14ac:dyDescent="0.25">
      <c r="A6" t="s">
        <v>0</v>
      </c>
      <c r="B6">
        <v>18710070</v>
      </c>
      <c r="C6" t="s">
        <v>1</v>
      </c>
      <c r="D6" t="s">
        <v>2</v>
      </c>
      <c r="E6" t="str">
        <f>CONCATENATE(D6," ",C6)</f>
        <v>Mullenix Jean</v>
      </c>
      <c r="F6" s="8">
        <v>19090</v>
      </c>
      <c r="G6" t="str">
        <f>CONCATENATE(F6,55)</f>
        <v>1909055</v>
      </c>
      <c r="H6" s="1">
        <v>45566</v>
      </c>
      <c r="I6" s="1">
        <v>46108</v>
      </c>
      <c r="J6" t="s">
        <v>4</v>
      </c>
      <c r="K6" t="s">
        <v>5</v>
      </c>
      <c r="L6" s="2">
        <v>-58.83</v>
      </c>
      <c r="M6" t="s">
        <v>86</v>
      </c>
      <c r="N6" t="s">
        <v>85</v>
      </c>
    </row>
    <row r="7" spans="1:18" s="3" customFormat="1" x14ac:dyDescent="0.25">
      <c r="A7" t="s">
        <v>0</v>
      </c>
      <c r="B7">
        <v>18710070</v>
      </c>
      <c r="C7" t="s">
        <v>6</v>
      </c>
      <c r="D7" t="s">
        <v>7</v>
      </c>
      <c r="E7" t="str">
        <f>CONCATENATE(D7," ",C7)</f>
        <v>Siwik Mark</v>
      </c>
      <c r="F7" s="8">
        <v>47820</v>
      </c>
      <c r="G7" t="str">
        <f>CONCATENATE(F7,55)</f>
        <v>4782055</v>
      </c>
      <c r="H7" s="1">
        <v>45566</v>
      </c>
      <c r="I7" s="1">
        <v>46108</v>
      </c>
      <c r="J7" t="s">
        <v>4</v>
      </c>
      <c r="K7" t="s">
        <v>5</v>
      </c>
      <c r="L7" s="2">
        <v>-58.83</v>
      </c>
      <c r="M7" t="s">
        <v>86</v>
      </c>
      <c r="N7" t="s">
        <v>85</v>
      </c>
      <c r="O7"/>
      <c r="P7"/>
      <c r="Q7"/>
      <c r="R7"/>
    </row>
    <row r="8" spans="1:18" s="3" customFormat="1" x14ac:dyDescent="0.25">
      <c r="A8" s="3" t="s">
        <v>105</v>
      </c>
      <c r="B8" s="3">
        <v>20411454</v>
      </c>
      <c r="C8" s="3" t="s">
        <v>36</v>
      </c>
      <c r="D8" s="3" t="s">
        <v>37</v>
      </c>
      <c r="E8" t="str">
        <f>CONCATENATE(D8," ",C8)</f>
        <v>Stablow Jeff</v>
      </c>
      <c r="F8" s="7" t="s">
        <v>100</v>
      </c>
      <c r="G8" s="3" t="str">
        <f>CONCATENATE(F8,"OVR")</f>
        <v>0090AOVR</v>
      </c>
      <c r="H8" s="4">
        <v>46082</v>
      </c>
      <c r="I8" s="4">
        <v>46108</v>
      </c>
      <c r="J8" s="3" t="s">
        <v>23</v>
      </c>
      <c r="K8" s="3" t="s">
        <v>68</v>
      </c>
      <c r="L8" s="5">
        <v>66</v>
      </c>
      <c r="M8" s="3" t="s">
        <v>87</v>
      </c>
    </row>
    <row r="9" spans="1:18" s="3" customFormat="1" x14ac:dyDescent="0.25">
      <c r="A9" s="3" t="s">
        <v>105</v>
      </c>
      <c r="B9" s="3">
        <v>20411454</v>
      </c>
      <c r="C9" s="3" t="s">
        <v>31</v>
      </c>
      <c r="D9" s="3" t="s">
        <v>32</v>
      </c>
      <c r="E9" t="str">
        <f>CONCATENATE(D9," ",C9)</f>
        <v>Monroy Rita</v>
      </c>
      <c r="F9" s="7" t="s">
        <v>99</v>
      </c>
      <c r="G9" s="3" t="str">
        <f>CONCATENATE(F9,"OVR")</f>
        <v>3778BOVR</v>
      </c>
      <c r="H9" s="4">
        <v>46082</v>
      </c>
      <c r="I9" s="4">
        <v>46108</v>
      </c>
      <c r="J9" s="3" t="s">
        <v>23</v>
      </c>
      <c r="K9" s="3" t="s">
        <v>52</v>
      </c>
      <c r="L9" s="5">
        <v>9</v>
      </c>
      <c r="M9" s="3" t="s">
        <v>87</v>
      </c>
    </row>
    <row r="10" spans="1:18" x14ac:dyDescent="0.25">
      <c r="A10" s="3" t="s">
        <v>105</v>
      </c>
      <c r="B10" s="3">
        <v>20411454</v>
      </c>
      <c r="C10" s="3" t="s">
        <v>70</v>
      </c>
      <c r="D10" s="3" t="s">
        <v>71</v>
      </c>
      <c r="E10" t="str">
        <f>CONCATENATE(D10," ",C10)</f>
        <v>Leopardi Joseph</v>
      </c>
      <c r="F10" s="7" t="s">
        <v>104</v>
      </c>
      <c r="G10" s="3" t="str">
        <f>CONCATENATE(F10,"OVR")</f>
        <v>6863AOVR</v>
      </c>
      <c r="H10" s="4">
        <v>46082</v>
      </c>
      <c r="I10" s="4">
        <v>46108</v>
      </c>
      <c r="J10" s="3" t="s">
        <v>23</v>
      </c>
      <c r="K10" s="3" t="s">
        <v>69</v>
      </c>
      <c r="L10" s="5">
        <v>67.5</v>
      </c>
      <c r="M10" s="3" t="s">
        <v>87</v>
      </c>
      <c r="N10" s="3"/>
      <c r="O10" s="3"/>
      <c r="P10" s="3"/>
      <c r="Q10" s="3"/>
      <c r="R10" s="3"/>
    </row>
    <row r="11" spans="1:18" s="6" customFormat="1" x14ac:dyDescent="0.25">
      <c r="A11" s="3" t="s">
        <v>105</v>
      </c>
      <c r="B11" s="3">
        <v>20411454</v>
      </c>
      <c r="C11" s="3" t="s">
        <v>44</v>
      </c>
      <c r="D11" s="3" t="s">
        <v>45</v>
      </c>
      <c r="E11" t="str">
        <f>CONCATENATE(D11," ",C11)</f>
        <v>Mullen Calvin</v>
      </c>
      <c r="F11" s="7" t="s">
        <v>101</v>
      </c>
      <c r="G11" s="3" t="str">
        <f>CONCATENATE(F11,"OVR")</f>
        <v>7628AOVR</v>
      </c>
      <c r="H11" s="4">
        <v>46082</v>
      </c>
      <c r="I11" s="4">
        <v>46108</v>
      </c>
      <c r="J11" s="3" t="s">
        <v>23</v>
      </c>
      <c r="K11" s="3" t="s">
        <v>69</v>
      </c>
      <c r="L11" s="5">
        <v>90</v>
      </c>
      <c r="M11" s="3" t="s">
        <v>87</v>
      </c>
      <c r="N11" s="3"/>
      <c r="O11" s="3"/>
      <c r="P11" s="3"/>
      <c r="Q11" s="3"/>
      <c r="R11" s="3"/>
    </row>
    <row r="12" spans="1:18" x14ac:dyDescent="0.25">
      <c r="A12" s="3" t="s">
        <v>105</v>
      </c>
      <c r="B12" s="3">
        <v>20411454</v>
      </c>
      <c r="C12" s="3" t="s">
        <v>48</v>
      </c>
      <c r="D12" s="3" t="s">
        <v>49</v>
      </c>
      <c r="E12" t="str">
        <f>CONCATENATE(D12," ",C12)</f>
        <v>Newell Mary Kay</v>
      </c>
      <c r="F12" s="7" t="s">
        <v>102</v>
      </c>
      <c r="G12" s="3" t="str">
        <f>CONCATENATE(F12,"OVR")</f>
        <v>9148BOVR</v>
      </c>
      <c r="H12" s="4">
        <v>46082</v>
      </c>
      <c r="I12" s="4">
        <v>46108</v>
      </c>
      <c r="J12" s="3" t="s">
        <v>23</v>
      </c>
      <c r="K12" s="3" t="s">
        <v>69</v>
      </c>
      <c r="L12" s="5">
        <v>90</v>
      </c>
      <c r="M12" s="3" t="s">
        <v>87</v>
      </c>
      <c r="N12" s="3"/>
      <c r="O12" s="3"/>
      <c r="P12" s="3"/>
      <c r="Q12" s="3"/>
      <c r="R12" s="3"/>
    </row>
    <row r="13" spans="1:18" x14ac:dyDescent="0.25">
      <c r="A13" s="3" t="s">
        <v>105</v>
      </c>
      <c r="B13" s="3">
        <v>20411454</v>
      </c>
      <c r="C13" s="3" t="s">
        <v>54</v>
      </c>
      <c r="D13" s="3" t="s">
        <v>55</v>
      </c>
      <c r="E13" t="str">
        <f>CONCATENATE(D13," ",C13)</f>
        <v>Schneider Gary</v>
      </c>
      <c r="F13" s="7" t="s">
        <v>96</v>
      </c>
      <c r="G13" s="3" t="str">
        <f>CONCATENATE(F13,"OVR")</f>
        <v>9873AOVR</v>
      </c>
      <c r="H13" s="4">
        <v>46082</v>
      </c>
      <c r="I13" s="4">
        <v>46108</v>
      </c>
      <c r="J13" s="3" t="s">
        <v>23</v>
      </c>
      <c r="K13" s="3" t="s">
        <v>57</v>
      </c>
      <c r="L13" s="5">
        <v>56.25</v>
      </c>
      <c r="M13" s="3" t="s">
        <v>87</v>
      </c>
      <c r="N13" s="3"/>
      <c r="O13" s="3"/>
      <c r="P13" s="3"/>
      <c r="Q13" s="3"/>
    </row>
    <row r="14" spans="1:18" x14ac:dyDescent="0.25">
      <c r="A14" s="3" t="s">
        <v>105</v>
      </c>
      <c r="B14" s="3">
        <v>20411454</v>
      </c>
      <c r="C14" s="3" t="s">
        <v>65</v>
      </c>
      <c r="D14" s="3" t="s">
        <v>66</v>
      </c>
      <c r="E14" t="str">
        <f>CONCATENATE(D14," ",C14)</f>
        <v>Evans Cheryl</v>
      </c>
      <c r="F14" s="7" t="s">
        <v>103</v>
      </c>
      <c r="G14" s="3" t="str">
        <f>CONCATENATE(F14,"OVR")</f>
        <v>1129BOVR</v>
      </c>
      <c r="H14" s="4">
        <v>46054</v>
      </c>
      <c r="I14" s="4">
        <v>46108</v>
      </c>
      <c r="J14" s="3" t="s">
        <v>23</v>
      </c>
      <c r="K14" s="3" t="s">
        <v>68</v>
      </c>
      <c r="L14" s="5">
        <v>49.5</v>
      </c>
      <c r="M14" s="3" t="s">
        <v>87</v>
      </c>
      <c r="N14" s="3"/>
      <c r="O14" s="3"/>
      <c r="P14" s="3"/>
      <c r="Q14" s="3"/>
      <c r="R14" s="3"/>
    </row>
    <row r="15" spans="1:18" x14ac:dyDescent="0.25">
      <c r="A15" s="3" t="s">
        <v>105</v>
      </c>
      <c r="B15" s="3">
        <v>20411454</v>
      </c>
      <c r="C15" s="3" t="s">
        <v>40</v>
      </c>
      <c r="D15" s="3" t="s">
        <v>41</v>
      </c>
      <c r="E15" t="str">
        <f>CONCATENATE(D15," ",C15)</f>
        <v>Curio David</v>
      </c>
      <c r="F15" s="7" t="s">
        <v>98</v>
      </c>
      <c r="G15" s="3" t="str">
        <f>CONCATENATE(F15,"OVR")</f>
        <v>3401AOVR</v>
      </c>
      <c r="H15" s="4">
        <v>46054</v>
      </c>
      <c r="I15" s="4">
        <v>46108</v>
      </c>
      <c r="J15" s="3" t="s">
        <v>23</v>
      </c>
      <c r="K15" s="3" t="s">
        <v>57</v>
      </c>
      <c r="L15" s="5">
        <v>75</v>
      </c>
      <c r="M15" s="3" t="s">
        <v>87</v>
      </c>
      <c r="N15" s="3"/>
      <c r="O15" s="3"/>
      <c r="P15" s="3"/>
      <c r="Q15" s="3"/>
    </row>
    <row r="16" spans="1:18" x14ac:dyDescent="0.25">
      <c r="A16" s="3" t="s">
        <v>105</v>
      </c>
      <c r="B16" s="3">
        <v>20411454</v>
      </c>
      <c r="C16" s="3" t="s">
        <v>59</v>
      </c>
      <c r="D16" s="3" t="s">
        <v>60</v>
      </c>
      <c r="E16" t="str">
        <f>CONCATENATE(D16," ",C16)</f>
        <v>Daubenspeck Guy</v>
      </c>
      <c r="F16" s="7" t="s">
        <v>97</v>
      </c>
      <c r="G16" s="3" t="str">
        <f>CONCATENATE(F16,"OVR")</f>
        <v>8728AOVR</v>
      </c>
      <c r="H16" s="4">
        <v>46054</v>
      </c>
      <c r="I16" s="4">
        <v>46108</v>
      </c>
      <c r="J16" s="3" t="s">
        <v>23</v>
      </c>
      <c r="K16" s="3" t="s">
        <v>57</v>
      </c>
      <c r="L16" s="5">
        <v>56.25</v>
      </c>
      <c r="M16" s="3" t="s">
        <v>87</v>
      </c>
      <c r="N16" s="3"/>
      <c r="O16" s="3"/>
      <c r="P16" s="3"/>
      <c r="Q16" s="3"/>
    </row>
    <row r="17" spans="1:18" s="3" customFormat="1" x14ac:dyDescent="0.25">
      <c r="A17" s="3" t="s">
        <v>105</v>
      </c>
      <c r="B17" s="3">
        <v>20411454</v>
      </c>
      <c r="C17" s="3" t="s">
        <v>20</v>
      </c>
      <c r="D17" s="3" t="s">
        <v>21</v>
      </c>
      <c r="E17" t="str">
        <f>CONCATENATE(D17," ",C17)</f>
        <v>Erney Diane</v>
      </c>
      <c r="F17" s="7" t="s">
        <v>95</v>
      </c>
      <c r="G17" s="3" t="str">
        <f>CONCATENATE(F17,"OVR")</f>
        <v>3335BOVR</v>
      </c>
      <c r="H17" s="4">
        <v>46023</v>
      </c>
      <c r="I17" s="4">
        <v>46108</v>
      </c>
      <c r="J17" s="3" t="s">
        <v>23</v>
      </c>
      <c r="K17" s="3" t="s">
        <v>64</v>
      </c>
      <c r="L17" s="5">
        <v>3</v>
      </c>
      <c r="M17" s="3" t="s">
        <v>87</v>
      </c>
    </row>
    <row r="18" spans="1:18" s="3" customFormat="1" x14ac:dyDescent="0.25">
      <c r="A18" s="3" t="s">
        <v>105</v>
      </c>
      <c r="B18" s="3">
        <v>20411454</v>
      </c>
      <c r="C18" s="3" t="s">
        <v>26</v>
      </c>
      <c r="D18" s="3" t="s">
        <v>27</v>
      </c>
      <c r="E18" t="str">
        <f>CONCATENATE(D18," ",C18)</f>
        <v>Thomas Bette</v>
      </c>
      <c r="F18" s="7" t="s">
        <v>94</v>
      </c>
      <c r="G18" s="3" t="str">
        <f>CONCATENATE(F18,"OVR")</f>
        <v>4797BOVR</v>
      </c>
      <c r="H18" s="4">
        <v>45748</v>
      </c>
      <c r="I18" s="4">
        <v>46108</v>
      </c>
      <c r="J18" s="3" t="s">
        <v>23</v>
      </c>
      <c r="K18" s="3" t="s">
        <v>51</v>
      </c>
      <c r="L18" s="5">
        <v>6.25</v>
      </c>
      <c r="M18" s="3" t="s">
        <v>87</v>
      </c>
      <c r="R18"/>
    </row>
    <row r="19" spans="1:18" s="3" customFormat="1" x14ac:dyDescent="0.25">
      <c r="A19" s="3" t="s">
        <v>105</v>
      </c>
      <c r="B19" s="3">
        <v>20411454</v>
      </c>
      <c r="C19" s="3" t="s">
        <v>15</v>
      </c>
      <c r="D19" s="3" t="s">
        <v>16</v>
      </c>
      <c r="E19" t="str">
        <f>CONCATENATE(D19," ",C19)</f>
        <v>Vennare Kathleen</v>
      </c>
      <c r="F19" s="7">
        <v>80240</v>
      </c>
      <c r="G19" s="3" t="str">
        <f>CONCATENATE(F19,"OVR")</f>
        <v>80240OVR</v>
      </c>
      <c r="H19" s="4">
        <v>45689</v>
      </c>
      <c r="I19" s="4">
        <v>46108</v>
      </c>
      <c r="J19" s="3" t="s">
        <v>4</v>
      </c>
      <c r="K19" s="3" t="s">
        <v>18</v>
      </c>
      <c r="L19" s="5">
        <v>-12.08</v>
      </c>
      <c r="M19" s="3" t="s">
        <v>87</v>
      </c>
      <c r="R19"/>
    </row>
    <row r="20" spans="1:18" s="3" customFormat="1" x14ac:dyDescent="0.25">
      <c r="A20" s="3" t="s">
        <v>105</v>
      </c>
      <c r="B20" s="3">
        <v>20411454</v>
      </c>
      <c r="C20" s="3" t="s">
        <v>12</v>
      </c>
      <c r="D20" s="3" t="s">
        <v>13</v>
      </c>
      <c r="E20" t="str">
        <f>CONCATENATE(D20," ",C20)</f>
        <v>Bartman Ronald</v>
      </c>
      <c r="F20" s="7">
        <v>31240</v>
      </c>
      <c r="G20" s="3" t="str">
        <f>CONCATENATE(F20,"OVR")</f>
        <v>31240OVR</v>
      </c>
      <c r="H20" s="4">
        <v>45658</v>
      </c>
      <c r="I20" s="4">
        <v>46108</v>
      </c>
      <c r="J20" s="3" t="s">
        <v>4</v>
      </c>
      <c r="K20" s="3" t="s">
        <v>18</v>
      </c>
      <c r="L20" s="5">
        <v>-12.08</v>
      </c>
      <c r="M20" s="3" t="s">
        <v>87</v>
      </c>
      <c r="R20"/>
    </row>
    <row r="21" spans="1:18" x14ac:dyDescent="0.25">
      <c r="A21" s="3" t="s">
        <v>105</v>
      </c>
      <c r="B21" s="3">
        <v>20411454</v>
      </c>
      <c r="C21" s="3" t="s">
        <v>9</v>
      </c>
      <c r="D21" s="3" t="s">
        <v>10</v>
      </c>
      <c r="E21" t="str">
        <f>CONCATENATE(D21," ",C21)</f>
        <v>Horka Steven</v>
      </c>
      <c r="F21" s="7">
        <v>91670</v>
      </c>
      <c r="G21" s="3" t="str">
        <f>CONCATENATE(F21,"OVR")</f>
        <v>91670OVR</v>
      </c>
      <c r="H21" s="4">
        <v>45658</v>
      </c>
      <c r="I21" s="4">
        <v>46108</v>
      </c>
      <c r="J21" s="3" t="s">
        <v>4</v>
      </c>
      <c r="K21" s="3" t="s">
        <v>18</v>
      </c>
      <c r="L21" s="5">
        <v>-12.08</v>
      </c>
      <c r="M21" s="3" t="s">
        <v>87</v>
      </c>
      <c r="N21" s="3"/>
      <c r="O21" s="3"/>
      <c r="P21" s="3"/>
      <c r="Q21" s="3"/>
    </row>
    <row r="22" spans="1:18" s="9" customFormat="1" x14ac:dyDescent="0.25">
      <c r="A22" s="9" t="s">
        <v>19</v>
      </c>
      <c r="B22" s="9">
        <v>18794740</v>
      </c>
      <c r="C22" s="9" t="s">
        <v>20</v>
      </c>
      <c r="D22" s="9" t="s">
        <v>21</v>
      </c>
      <c r="E22" t="str">
        <f>CONCATENATE(D22," ",C22)</f>
        <v>Erney Diane</v>
      </c>
      <c r="F22" s="10" t="s">
        <v>95</v>
      </c>
      <c r="G22" s="9" t="str">
        <f>CONCATENATE(F22,"MS1")</f>
        <v>3335BMS1</v>
      </c>
      <c r="H22" s="11">
        <v>46023</v>
      </c>
      <c r="I22" s="11">
        <v>46108</v>
      </c>
      <c r="J22" s="9" t="s">
        <v>23</v>
      </c>
      <c r="K22" s="9" t="s">
        <v>62</v>
      </c>
      <c r="L22" s="12">
        <v>11.25</v>
      </c>
      <c r="M22" s="9" t="s">
        <v>93</v>
      </c>
      <c r="O22" s="9">
        <v>3</v>
      </c>
    </row>
    <row r="23" spans="1:18" s="3" customFormat="1" x14ac:dyDescent="0.25">
      <c r="A23" t="s">
        <v>30</v>
      </c>
      <c r="B23">
        <v>17554531</v>
      </c>
      <c r="C23" t="s">
        <v>31</v>
      </c>
      <c r="D23" t="s">
        <v>32</v>
      </c>
      <c r="E23" t="str">
        <f>CONCATENATE(D23," ",C23)</f>
        <v>Monroy Rita</v>
      </c>
      <c r="F23" s="8" t="s">
        <v>99</v>
      </c>
      <c r="G23" t="str">
        <f>CONCATENATE(F23,"MS")</f>
        <v>3778BMS</v>
      </c>
      <c r="H23" s="1">
        <v>46082</v>
      </c>
      <c r="I23" s="1">
        <v>46108</v>
      </c>
      <c r="J23" t="s">
        <v>23</v>
      </c>
      <c r="K23" t="s">
        <v>34</v>
      </c>
      <c r="L23" s="2">
        <v>28.8</v>
      </c>
      <c r="M23" t="s">
        <v>88</v>
      </c>
      <c r="N23"/>
      <c r="O23">
        <v>9</v>
      </c>
      <c r="P23"/>
      <c r="Q23">
        <f>28.8/9</f>
        <v>3.2</v>
      </c>
      <c r="R23" s="3">
        <f>Q23*12</f>
        <v>38.400000000000006</v>
      </c>
    </row>
    <row r="24" spans="1:18" s="3" customFormat="1" x14ac:dyDescent="0.25">
      <c r="A24" t="s">
        <v>19</v>
      </c>
      <c r="B24">
        <v>18794740</v>
      </c>
      <c r="C24" t="s">
        <v>20</v>
      </c>
      <c r="D24" t="s">
        <v>21</v>
      </c>
      <c r="E24" t="str">
        <f>CONCATENATE(D24," ",C24)</f>
        <v>Erney Diane</v>
      </c>
      <c r="F24" s="8" t="s">
        <v>95</v>
      </c>
      <c r="G24" t="str">
        <f>CONCATENATE(F24,"MS")</f>
        <v>3335BMS</v>
      </c>
      <c r="H24" s="1">
        <v>46023</v>
      </c>
      <c r="I24" s="1">
        <v>46108</v>
      </c>
      <c r="J24" t="s">
        <v>23</v>
      </c>
      <c r="K24" t="s">
        <v>24</v>
      </c>
      <c r="L24" s="2">
        <v>-19.2</v>
      </c>
      <c r="M24" t="s">
        <v>88</v>
      </c>
      <c r="N24"/>
      <c r="O24">
        <v>6</v>
      </c>
      <c r="P24"/>
      <c r="Q24"/>
      <c r="R24"/>
    </row>
    <row r="25" spans="1:18" s="3" customFormat="1" x14ac:dyDescent="0.25">
      <c r="A25" t="s">
        <v>35</v>
      </c>
      <c r="B25" t="s">
        <v>106</v>
      </c>
      <c r="C25" t="s">
        <v>36</v>
      </c>
      <c r="D25" t="s">
        <v>37</v>
      </c>
      <c r="E25" t="str">
        <f>CONCATENATE(D25," ",C25)</f>
        <v>Stablow Jeff</v>
      </c>
      <c r="F25" s="8" t="s">
        <v>100</v>
      </c>
      <c r="G25" t="str">
        <f>CONCATENATE(F25,"MS")</f>
        <v>0090AMS</v>
      </c>
      <c r="H25" s="1">
        <v>46082</v>
      </c>
      <c r="I25" s="1">
        <v>46108</v>
      </c>
      <c r="J25" t="s">
        <v>23</v>
      </c>
      <c r="K25" t="s">
        <v>39</v>
      </c>
      <c r="L25" s="2">
        <v>247.5</v>
      </c>
      <c r="M25" t="s">
        <v>89</v>
      </c>
      <c r="N25"/>
      <c r="O25">
        <v>9</v>
      </c>
      <c r="P25"/>
      <c r="Q25"/>
    </row>
    <row r="26" spans="1:18" s="3" customFormat="1" x14ac:dyDescent="0.25">
      <c r="A26" t="s">
        <v>35</v>
      </c>
      <c r="B26" t="s">
        <v>106</v>
      </c>
      <c r="C26" t="s">
        <v>44</v>
      </c>
      <c r="D26" t="s">
        <v>45</v>
      </c>
      <c r="E26" t="str">
        <f>CONCATENATE(D26," ",C26)</f>
        <v>Mullen Calvin</v>
      </c>
      <c r="F26" s="8" t="s">
        <v>101</v>
      </c>
      <c r="G26" t="str">
        <f>CONCATENATE(F26,"MS")</f>
        <v>7628AMS</v>
      </c>
      <c r="H26" s="1">
        <v>46082</v>
      </c>
      <c r="I26" s="1">
        <v>46108</v>
      </c>
      <c r="J26" t="s">
        <v>23</v>
      </c>
      <c r="K26" t="s">
        <v>47</v>
      </c>
      <c r="L26" s="2">
        <v>337.5</v>
      </c>
      <c r="M26" t="s">
        <v>90</v>
      </c>
      <c r="N26"/>
      <c r="O26">
        <v>9</v>
      </c>
      <c r="P26"/>
      <c r="Q26"/>
      <c r="R26"/>
    </row>
    <row r="27" spans="1:18" s="3" customFormat="1" x14ac:dyDescent="0.25">
      <c r="A27" t="s">
        <v>35</v>
      </c>
      <c r="B27" t="s">
        <v>106</v>
      </c>
      <c r="C27" t="s">
        <v>48</v>
      </c>
      <c r="D27" t="s">
        <v>49</v>
      </c>
      <c r="E27" t="str">
        <f>CONCATENATE(D27," ",C27)</f>
        <v>Newell Mary Kay</v>
      </c>
      <c r="F27" s="8" t="s">
        <v>102</v>
      </c>
      <c r="G27" t="str">
        <f>CONCATENATE(F27,"MS")</f>
        <v>9148BMS</v>
      </c>
      <c r="H27" s="1">
        <v>46082</v>
      </c>
      <c r="I27" s="1">
        <v>46108</v>
      </c>
      <c r="J27" t="s">
        <v>23</v>
      </c>
      <c r="K27" t="s">
        <v>47</v>
      </c>
      <c r="L27" s="2">
        <v>337.5</v>
      </c>
      <c r="M27" t="s">
        <v>90</v>
      </c>
      <c r="N27"/>
      <c r="O27">
        <v>9</v>
      </c>
      <c r="P27"/>
      <c r="Q27"/>
      <c r="R27"/>
    </row>
    <row r="28" spans="1:18" s="3" customFormat="1" x14ac:dyDescent="0.25">
      <c r="A28" t="s">
        <v>0</v>
      </c>
      <c r="B28" t="s">
        <v>107</v>
      </c>
      <c r="C28" t="s">
        <v>40</v>
      </c>
      <c r="D28" t="s">
        <v>41</v>
      </c>
      <c r="E28" t="str">
        <f>CONCATENATE(D28," ",C28)</f>
        <v>Curio David</v>
      </c>
      <c r="F28" s="8" t="s">
        <v>98</v>
      </c>
      <c r="G28" t="str">
        <f>CONCATENATE(F28,"MS")</f>
        <v>3401AMS</v>
      </c>
      <c r="H28" s="1">
        <v>46054</v>
      </c>
      <c r="I28" s="1">
        <v>46108</v>
      </c>
      <c r="J28" t="s">
        <v>23</v>
      </c>
      <c r="K28" t="s">
        <v>43</v>
      </c>
      <c r="L28" s="2">
        <v>300</v>
      </c>
      <c r="M28" t="s">
        <v>91</v>
      </c>
      <c r="N28"/>
      <c r="O28">
        <v>9</v>
      </c>
      <c r="P28"/>
      <c r="Q28"/>
    </row>
    <row r="29" spans="1:18" s="3" customFormat="1" x14ac:dyDescent="0.25">
      <c r="A29" t="s">
        <v>30</v>
      </c>
      <c r="B29">
        <v>17554531</v>
      </c>
      <c r="C29" t="s">
        <v>31</v>
      </c>
      <c r="D29" t="s">
        <v>32</v>
      </c>
      <c r="E29" t="str">
        <f>CONCATENATE(D29," ",C29)</f>
        <v>Monroy Rita</v>
      </c>
      <c r="F29" s="8" t="s">
        <v>99</v>
      </c>
      <c r="G29" t="str">
        <f>CONCATENATE(F29,"MS")</f>
        <v>3778BMS</v>
      </c>
      <c r="H29" s="1">
        <v>46082</v>
      </c>
      <c r="I29" s="1">
        <v>46108</v>
      </c>
      <c r="J29" t="s">
        <v>23</v>
      </c>
      <c r="K29" t="s">
        <v>63</v>
      </c>
      <c r="L29" s="2">
        <v>30</v>
      </c>
      <c r="M29" t="s">
        <v>92</v>
      </c>
      <c r="N29"/>
      <c r="O29">
        <v>9</v>
      </c>
      <c r="P29"/>
      <c r="Q29"/>
    </row>
  </sheetData>
  <sortState xmlns:xlrd2="http://schemas.microsoft.com/office/spreadsheetml/2017/richdata2" ref="A2:R29">
    <sortCondition ref="M2:M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2026-03-27T15:46:30Z</dcterms:created>
  <dcterms:modified xsi:type="dcterms:W3CDTF">2026-03-31T14:40:33Z</dcterms:modified>
</cp:coreProperties>
</file>