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GS National\Highmark MAPD GS 11-26-25\"/>
    </mc:Choice>
  </mc:AlternateContent>
  <xr:revisionPtr revIDLastSave="0" documentId="13_ncr:1_{A864F776-258B-481B-ACCE-020AD00CEB56}" xr6:coauthVersionLast="47" xr6:coauthVersionMax="47" xr10:uidLastSave="{00000000-0000-0000-0000-000000000000}"/>
  <bookViews>
    <workbookView xWindow="28680" yWindow="-120" windowWidth="29040" windowHeight="16440" activeTab="1" xr2:uid="{9D188682-A9D9-4164-AA20-54E03FA9D009}"/>
  </bookViews>
  <sheets>
    <sheet name="Renewal Agent Statement - 2025-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11" i="2" l="1"/>
  <c r="B10" i="2"/>
  <c r="B9" i="2"/>
  <c r="B8" i="2"/>
</calcChain>
</file>

<file path=xl/sharedStrings.xml><?xml version="1.0" encoding="utf-8"?>
<sst xmlns="http://schemas.openxmlformats.org/spreadsheetml/2006/main" count="297" uniqueCount="82">
  <si>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</si>
  <si>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</si>
  <si>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</si>
  <si>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</si>
  <si>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</si>
  <si>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</si>
  <si>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</si>
  <si>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</si>
  <si>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</si>
  <si>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</si>
  <si>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</si>
  <si>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</si>
  <si>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</si>
  <si>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</si>
  <si>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</si>
  <si>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</si>
  <si>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</si>
  <si>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</si>
  <si>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</si>
  <si>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</si>
  <si>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</si>
  <si>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</si>
  <si>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</si>
  <si>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</si>
  <si>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</si>
  <si>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</si>
  <si>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</si>
  <si>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</si>
  <si>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</si>
  <si>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</si>
  <si>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</si>
  <si>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</si>
  <si>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</si>
  <si>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</si>
  <si>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</si>
  <si>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</si>
  <si>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</si>
  <si>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</si>
  <si>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</si>
  <si>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</si>
  <si>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</si>
  <si>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'1675408730</t>
  </si>
  <si>
    <t>JEAN SIWIK</t>
  </si>
  <si>
    <t>'18710070-HMRK</t>
  </si>
  <si>
    <t>MICHELLE MCCORKLE</t>
  </si>
  <si>
    <t>Active</t>
  </si>
  <si>
    <t>HMRK MAPD</t>
  </si>
  <si>
    <t>Monthly</t>
  </si>
  <si>
    <t>AE</t>
  </si>
  <si>
    <t>RY</t>
  </si>
  <si>
    <t>'1675408730-ADM</t>
  </si>
  <si>
    <t>HMRK MAPD OVR PA/WV CB</t>
  </si>
  <si>
    <t>'1965262100</t>
  </si>
  <si>
    <t>KEITH LOCKE</t>
  </si>
  <si>
    <t>'1965262100-ADM</t>
  </si>
  <si>
    <t>HMRK MAPD OVR</t>
  </si>
  <si>
    <t>'2044272390</t>
  </si>
  <si>
    <t>KAREN CONDLE</t>
  </si>
  <si>
    <t>'2044272390-ADM</t>
  </si>
  <si>
    <t>'2085203420</t>
  </si>
  <si>
    <t>JOANNE ROMANO</t>
  </si>
  <si>
    <t>'2085203420-ADM</t>
  </si>
  <si>
    <t>'3180096000</t>
  </si>
  <si>
    <t>DONNA WELK</t>
  </si>
  <si>
    <t>PA</t>
  </si>
  <si>
    <t>'19861194-HMRK</t>
  </si>
  <si>
    <t>MARGARET FINNEGAN</t>
  </si>
  <si>
    <t>FY</t>
  </si>
  <si>
    <t>'3180096000-ADM</t>
  </si>
  <si>
    <t>'3180096120</t>
  </si>
  <si>
    <t>JULIUS COOK</t>
  </si>
  <si>
    <t>'3180096120-ADM</t>
  </si>
  <si>
    <t>1675408730OVR</t>
  </si>
  <si>
    <t>1965262100OVR</t>
  </si>
  <si>
    <t>2044272390OVR</t>
  </si>
  <si>
    <t>2085203420OVR</t>
  </si>
  <si>
    <t>3180096000OVR</t>
  </si>
  <si>
    <t>3180096120OVR</t>
  </si>
  <si>
    <t>Main Line Benefits</t>
  </si>
  <si>
    <t>Highmark MAPD 2025..</t>
  </si>
  <si>
    <t>Highmark 2025 Ovr</t>
  </si>
  <si>
    <t>[%/$=353][prorate=1/12]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</si>
</sst>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16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0C42A-D7F4-4CD4-8AED-6AFE21DD8E1B}">
  <dimension ref="A1:AI13"/>
  <sheetViews>
    <sheetView workbookViewId="0">
      <selection sqref="A1:XFD1048576"/>
    </sheetView>
  </sheetViews>
  <sheetFormatPr defaultRowHeight="15" x14ac:dyDescent="0.25"/>
  <cols>
    <col min="1" max="1" width="10.710937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7.7109375" bestFit="1" customWidth="1"/>
    <col min="7" max="7" width="11.42578125" bestFit="1" customWidth="1"/>
    <col min="8" max="8" width="22.5703125" bestFit="1" customWidth="1"/>
    <col min="9" max="9" width="16.5703125" bestFit="1" customWidth="1"/>
    <col min="10" max="10" width="18.1406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1" bestFit="1" customWidth="1"/>
    <col min="17" max="17" width="12.140625" bestFit="1" customWidth="1"/>
    <col min="18" max="18" width="26.57031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45987</v>
      </c>
      <c r="B2" s="1">
        <v>45987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45597</v>
      </c>
      <c r="T2" s="1">
        <v>45962</v>
      </c>
      <c r="U2" t="s">
        <v>47</v>
      </c>
      <c r="V2">
        <v>1</v>
      </c>
      <c r="W2" s="1">
        <v>45986</v>
      </c>
      <c r="X2" t="s">
        <v>48</v>
      </c>
      <c r="Z2" s="2">
        <v>29.42</v>
      </c>
      <c r="AD2" s="2">
        <v>29.42</v>
      </c>
      <c r="AE2" s="2">
        <v>0</v>
      </c>
      <c r="AF2" s="2">
        <v>0</v>
      </c>
      <c r="AH2">
        <v>4384703</v>
      </c>
      <c r="AI2" t="s">
        <v>49</v>
      </c>
    </row>
    <row r="3" spans="1:35" x14ac:dyDescent="0.25">
      <c r="A3" s="1">
        <v>45987</v>
      </c>
      <c r="B3" s="1">
        <v>45987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45597</v>
      </c>
      <c r="T3" s="1">
        <v>45962</v>
      </c>
      <c r="U3" t="s">
        <v>47</v>
      </c>
      <c r="V3">
        <v>1</v>
      </c>
      <c r="W3" s="1">
        <v>45986</v>
      </c>
      <c r="X3" t="s">
        <v>48</v>
      </c>
      <c r="Z3" s="2">
        <v>4.2300000000000004</v>
      </c>
      <c r="AD3" s="2">
        <v>4.2300000000000004</v>
      </c>
      <c r="AE3" s="2">
        <v>0</v>
      </c>
      <c r="AF3" s="2">
        <v>0</v>
      </c>
      <c r="AH3">
        <v>4384702</v>
      </c>
      <c r="AI3" t="s">
        <v>49</v>
      </c>
    </row>
    <row r="4" spans="1:35" x14ac:dyDescent="0.25">
      <c r="A4" s="1">
        <v>45987</v>
      </c>
      <c r="B4" s="1">
        <v>45987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45292</v>
      </c>
      <c r="T4" s="1">
        <v>45962</v>
      </c>
      <c r="U4" t="s">
        <v>47</v>
      </c>
      <c r="V4">
        <v>1</v>
      </c>
      <c r="W4" s="1">
        <v>45986</v>
      </c>
      <c r="X4" t="s">
        <v>48</v>
      </c>
      <c r="Z4" s="2">
        <v>29.42</v>
      </c>
      <c r="AD4" s="2">
        <v>29.42</v>
      </c>
      <c r="AE4" s="2">
        <v>0</v>
      </c>
      <c r="AF4" s="2">
        <v>0</v>
      </c>
      <c r="AH4">
        <v>4384699</v>
      </c>
      <c r="AI4" t="s">
        <v>49</v>
      </c>
    </row>
    <row r="5" spans="1:35" x14ac:dyDescent="0.25">
      <c r="A5" s="1">
        <v>45987</v>
      </c>
      <c r="B5" s="1">
        <v>45987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55</v>
      </c>
      <c r="S5" s="1">
        <v>45292</v>
      </c>
      <c r="T5" s="1">
        <v>45962</v>
      </c>
      <c r="U5" t="s">
        <v>47</v>
      </c>
      <c r="V5">
        <v>1</v>
      </c>
      <c r="W5" s="1">
        <v>45986</v>
      </c>
      <c r="X5" t="s">
        <v>48</v>
      </c>
      <c r="Z5" s="2">
        <v>4.2300000000000004</v>
      </c>
      <c r="AD5" s="2">
        <v>4.2300000000000004</v>
      </c>
      <c r="AE5" s="2">
        <v>0</v>
      </c>
      <c r="AF5" s="2">
        <v>0</v>
      </c>
      <c r="AH5">
        <v>4384698</v>
      </c>
      <c r="AI5" t="s">
        <v>49</v>
      </c>
    </row>
    <row r="6" spans="1:35" x14ac:dyDescent="0.25">
      <c r="A6" s="1">
        <v>45987</v>
      </c>
      <c r="B6" s="1">
        <v>45987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56</v>
      </c>
      <c r="J6" t="s">
        <v>57</v>
      </c>
      <c r="O6" t="s">
        <v>43</v>
      </c>
      <c r="P6" t="s">
        <v>44</v>
      </c>
      <c r="Q6" t="s">
        <v>45</v>
      </c>
      <c r="R6" t="s">
        <v>46</v>
      </c>
      <c r="S6" s="1">
        <v>45292</v>
      </c>
      <c r="T6" s="1">
        <v>45962</v>
      </c>
      <c r="U6" t="s">
        <v>47</v>
      </c>
      <c r="V6">
        <v>1</v>
      </c>
      <c r="W6" s="1">
        <v>45986</v>
      </c>
      <c r="X6" t="s">
        <v>48</v>
      </c>
      <c r="Z6" s="2">
        <v>29.42</v>
      </c>
      <c r="AD6" s="2">
        <v>29.42</v>
      </c>
      <c r="AE6" s="2">
        <v>0</v>
      </c>
      <c r="AF6" s="2">
        <v>0</v>
      </c>
      <c r="AH6">
        <v>4384697</v>
      </c>
      <c r="AI6" t="s">
        <v>49</v>
      </c>
    </row>
    <row r="7" spans="1:35" x14ac:dyDescent="0.25">
      <c r="A7" s="1">
        <v>45987</v>
      </c>
      <c r="B7" s="1">
        <v>45987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58</v>
      </c>
      <c r="J7" t="s">
        <v>57</v>
      </c>
      <c r="O7" t="s">
        <v>43</v>
      </c>
      <c r="P7" t="s">
        <v>44</v>
      </c>
      <c r="Q7" t="s">
        <v>45</v>
      </c>
      <c r="R7" t="s">
        <v>55</v>
      </c>
      <c r="S7" s="1">
        <v>45292</v>
      </c>
      <c r="T7" s="1">
        <v>45962</v>
      </c>
      <c r="U7" t="s">
        <v>47</v>
      </c>
      <c r="V7">
        <v>1</v>
      </c>
      <c r="W7" s="1">
        <v>45986</v>
      </c>
      <c r="X7" t="s">
        <v>48</v>
      </c>
      <c r="Z7" s="2">
        <v>4.2300000000000004</v>
      </c>
      <c r="AD7" s="2">
        <v>4.2300000000000004</v>
      </c>
      <c r="AE7" s="2">
        <v>0</v>
      </c>
      <c r="AF7" s="2">
        <v>0</v>
      </c>
      <c r="AH7">
        <v>4384696</v>
      </c>
      <c r="AI7" t="s">
        <v>49</v>
      </c>
    </row>
    <row r="8" spans="1:35" x14ac:dyDescent="0.25">
      <c r="A8" s="1">
        <v>45987</v>
      </c>
      <c r="B8" s="1">
        <v>45987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59</v>
      </c>
      <c r="J8" t="s">
        <v>60</v>
      </c>
      <c r="O8" t="s">
        <v>43</v>
      </c>
      <c r="P8" t="s">
        <v>44</v>
      </c>
      <c r="Q8" t="s">
        <v>45</v>
      </c>
      <c r="R8" t="s">
        <v>46</v>
      </c>
      <c r="S8" s="1">
        <v>45200</v>
      </c>
      <c r="T8" s="1">
        <v>45962</v>
      </c>
      <c r="U8" t="s">
        <v>47</v>
      </c>
      <c r="V8">
        <v>1</v>
      </c>
      <c r="W8" s="1">
        <v>45986</v>
      </c>
      <c r="X8" t="s">
        <v>48</v>
      </c>
      <c r="Z8" s="2">
        <v>29.42</v>
      </c>
      <c r="AD8" s="2">
        <v>29.42</v>
      </c>
      <c r="AE8" s="2">
        <v>0</v>
      </c>
      <c r="AF8" s="2">
        <v>0</v>
      </c>
      <c r="AH8">
        <v>4384701</v>
      </c>
      <c r="AI8" t="s">
        <v>49</v>
      </c>
    </row>
    <row r="9" spans="1:35" x14ac:dyDescent="0.25">
      <c r="A9" s="1">
        <v>45987</v>
      </c>
      <c r="B9" s="1">
        <v>45987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61</v>
      </c>
      <c r="J9" t="s">
        <v>60</v>
      </c>
      <c r="O9" t="s">
        <v>43</v>
      </c>
      <c r="P9" t="s">
        <v>44</v>
      </c>
      <c r="Q9" t="s">
        <v>45</v>
      </c>
      <c r="R9" t="s">
        <v>55</v>
      </c>
      <c r="S9" s="1">
        <v>45200</v>
      </c>
      <c r="T9" s="1">
        <v>45962</v>
      </c>
      <c r="U9" t="s">
        <v>47</v>
      </c>
      <c r="V9">
        <v>1</v>
      </c>
      <c r="W9" s="1">
        <v>45986</v>
      </c>
      <c r="X9" t="s">
        <v>48</v>
      </c>
      <c r="Z9" s="2">
        <v>4.2300000000000004</v>
      </c>
      <c r="AD9" s="2">
        <v>4.2300000000000004</v>
      </c>
      <c r="AE9" s="2">
        <v>0</v>
      </c>
      <c r="AF9" s="2">
        <v>0</v>
      </c>
      <c r="AH9">
        <v>4384700</v>
      </c>
      <c r="AI9" t="s">
        <v>49</v>
      </c>
    </row>
    <row r="10" spans="1:35" x14ac:dyDescent="0.25">
      <c r="A10" s="1">
        <v>45987</v>
      </c>
      <c r="B10" s="1">
        <v>45987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62</v>
      </c>
      <c r="J10" t="s">
        <v>63</v>
      </c>
      <c r="K10" t="s">
        <v>64</v>
      </c>
      <c r="O10" t="s">
        <v>65</v>
      </c>
      <c r="P10" t="s">
        <v>66</v>
      </c>
      <c r="Q10" t="s">
        <v>45</v>
      </c>
      <c r="R10" t="s">
        <v>46</v>
      </c>
      <c r="S10" s="1">
        <v>45962</v>
      </c>
      <c r="T10" s="1">
        <v>45962</v>
      </c>
      <c r="U10" t="s">
        <v>47</v>
      </c>
      <c r="V10">
        <v>1</v>
      </c>
      <c r="W10" s="1">
        <v>45986</v>
      </c>
      <c r="X10" t="s">
        <v>48</v>
      </c>
      <c r="Z10" s="2">
        <v>0</v>
      </c>
      <c r="AD10" s="2">
        <v>0</v>
      </c>
      <c r="AE10" s="2">
        <v>0</v>
      </c>
      <c r="AF10" s="2">
        <v>0</v>
      </c>
      <c r="AH10">
        <v>4379817</v>
      </c>
      <c r="AI10" t="s">
        <v>67</v>
      </c>
    </row>
    <row r="11" spans="1:35" x14ac:dyDescent="0.25">
      <c r="A11" s="1">
        <v>45987</v>
      </c>
      <c r="B11" s="1">
        <v>45987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68</v>
      </c>
      <c r="J11" t="s">
        <v>63</v>
      </c>
      <c r="K11" t="s">
        <v>64</v>
      </c>
      <c r="O11" t="s">
        <v>65</v>
      </c>
      <c r="P11" t="s">
        <v>66</v>
      </c>
      <c r="Q11" t="s">
        <v>45</v>
      </c>
      <c r="R11" t="s">
        <v>51</v>
      </c>
      <c r="S11" s="1">
        <v>45962</v>
      </c>
      <c r="T11" s="1">
        <v>45962</v>
      </c>
      <c r="U11" t="s">
        <v>47</v>
      </c>
      <c r="V11">
        <v>1</v>
      </c>
      <c r="W11" s="1">
        <v>45986</v>
      </c>
      <c r="X11" t="s">
        <v>48</v>
      </c>
      <c r="Z11" s="2">
        <v>8.4600000000000009</v>
      </c>
      <c r="AD11" s="2">
        <v>8.4600000000000009</v>
      </c>
      <c r="AE11" s="2">
        <v>0</v>
      </c>
      <c r="AF11" s="2">
        <v>0</v>
      </c>
      <c r="AH11">
        <v>4379816</v>
      </c>
      <c r="AI11" t="s">
        <v>67</v>
      </c>
    </row>
    <row r="12" spans="1:35" x14ac:dyDescent="0.25">
      <c r="A12" s="1">
        <v>45987</v>
      </c>
      <c r="B12" s="1">
        <v>45987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69</v>
      </c>
      <c r="J12" t="s">
        <v>70</v>
      </c>
      <c r="K12" t="s">
        <v>64</v>
      </c>
      <c r="O12" t="s">
        <v>65</v>
      </c>
      <c r="P12" t="s">
        <v>66</v>
      </c>
      <c r="Q12" t="s">
        <v>45</v>
      </c>
      <c r="R12" t="s">
        <v>46</v>
      </c>
      <c r="S12" s="1">
        <v>45962</v>
      </c>
      <c r="T12" s="1">
        <v>45962</v>
      </c>
      <c r="U12" t="s">
        <v>47</v>
      </c>
      <c r="V12">
        <v>1</v>
      </c>
      <c r="W12" s="1">
        <v>45986</v>
      </c>
      <c r="X12" t="s">
        <v>48</v>
      </c>
      <c r="Z12" s="2">
        <v>0</v>
      </c>
      <c r="AD12" s="2">
        <v>0</v>
      </c>
      <c r="AE12" s="2">
        <v>0</v>
      </c>
      <c r="AF12" s="2">
        <v>0</v>
      </c>
      <c r="AH12">
        <v>4379815</v>
      </c>
      <c r="AI12" t="s">
        <v>67</v>
      </c>
    </row>
    <row r="13" spans="1:35" x14ac:dyDescent="0.25">
      <c r="A13" s="1">
        <v>45987</v>
      </c>
      <c r="B13" s="1">
        <v>45987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71</v>
      </c>
      <c r="J13" t="s">
        <v>70</v>
      </c>
      <c r="K13" t="s">
        <v>64</v>
      </c>
      <c r="O13" t="s">
        <v>65</v>
      </c>
      <c r="P13" t="s">
        <v>66</v>
      </c>
      <c r="Q13" t="s">
        <v>45</v>
      </c>
      <c r="R13" t="s">
        <v>51</v>
      </c>
      <c r="S13" s="1">
        <v>45962</v>
      </c>
      <c r="T13" s="1">
        <v>45962</v>
      </c>
      <c r="U13" t="s">
        <v>47</v>
      </c>
      <c r="V13">
        <v>1</v>
      </c>
      <c r="W13" s="1">
        <v>45986</v>
      </c>
      <c r="X13" t="s">
        <v>48</v>
      </c>
      <c r="Z13" s="2">
        <v>77</v>
      </c>
      <c r="AD13" s="2">
        <v>77</v>
      </c>
      <c r="AE13" s="2">
        <v>0</v>
      </c>
      <c r="AF13" s="2">
        <v>0</v>
      </c>
      <c r="AH13">
        <v>4379814</v>
      </c>
      <c r="AI13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5A2A6-8456-4E78-84A6-A4BA4903BBF3}">
  <dimension ref="A1:AJ11"/>
  <sheetViews>
    <sheetView tabSelected="1" workbookViewId="0">
      <selection activeCell="M2" sqref="M2:M11"/>
    </sheetView>
  </sheetViews>
  <sheetFormatPr defaultRowHeight="15" x14ac:dyDescent="0.25"/>
  <cols>
    <col min="1" max="1" width="16.5703125" bestFit="1" customWidth="1"/>
    <col min="2" max="2" width="16.5703125" customWidth="1"/>
    <col min="3" max="3" width="18.140625" bestFit="1" customWidth="1"/>
    <col min="4" max="4" width="8.140625" bestFit="1" customWidth="1"/>
    <col min="5" max="5" width="15.7109375" bestFit="1" customWidth="1"/>
    <col min="6" max="6" width="21" bestFit="1" customWidth="1"/>
    <col min="7" max="7" width="12.140625" bestFit="1" customWidth="1"/>
    <col min="8" max="8" width="26.5703125" bestFit="1" customWidth="1"/>
    <col min="9" max="9" width="10.140625" bestFit="1" customWidth="1"/>
    <col min="10" max="10" width="12.28515625" bestFit="1" customWidth="1"/>
    <col min="11" max="11" width="17.42578125" bestFit="1" customWidth="1"/>
    <col min="12" max="12" width="21.140625" bestFit="1" customWidth="1"/>
  </cols>
  <sheetData>
    <row r="1" spans="1:36" x14ac:dyDescent="0.25">
      <c r="A1" t="s">
        <v>8</v>
      </c>
      <c r="C1" t="s">
        <v>9</v>
      </c>
      <c r="D1" t="s">
        <v>10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25</v>
      </c>
    </row>
    <row r="2" spans="1:36" x14ac:dyDescent="0.25">
      <c r="A2" s="4" t="s">
        <v>72</v>
      </c>
      <c r="B2" s="4" t="s">
        <v>72</v>
      </c>
      <c r="C2" s="5" t="s">
        <v>42</v>
      </c>
      <c r="D2" s="5"/>
      <c r="E2" s="5">
        <v>20411454</v>
      </c>
      <c r="F2" s="5" t="s">
        <v>78</v>
      </c>
      <c r="G2" s="5" t="s">
        <v>45</v>
      </c>
      <c r="H2" s="5" t="s">
        <v>51</v>
      </c>
      <c r="I2" s="6">
        <v>45597</v>
      </c>
      <c r="J2" s="6">
        <v>45962</v>
      </c>
      <c r="K2" s="7">
        <v>4.2300000000000004</v>
      </c>
      <c r="L2" s="5" t="s">
        <v>80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s="5" customFormat="1" x14ac:dyDescent="0.25">
      <c r="A3" s="4" t="s">
        <v>73</v>
      </c>
      <c r="B3" s="4" t="s">
        <v>73</v>
      </c>
      <c r="C3" s="5" t="s">
        <v>53</v>
      </c>
      <c r="E3" s="5">
        <v>20411454</v>
      </c>
      <c r="F3" s="5" t="s">
        <v>78</v>
      </c>
      <c r="G3" s="5" t="s">
        <v>45</v>
      </c>
      <c r="H3" s="5" t="s">
        <v>55</v>
      </c>
      <c r="I3" s="6">
        <v>45292</v>
      </c>
      <c r="J3" s="6">
        <v>45962</v>
      </c>
      <c r="K3" s="7">
        <v>4.2300000000000004</v>
      </c>
      <c r="L3" s="5" t="s">
        <v>80</v>
      </c>
    </row>
    <row r="4" spans="1:36" x14ac:dyDescent="0.25">
      <c r="A4" s="4" t="s">
        <v>74</v>
      </c>
      <c r="B4" s="4" t="s">
        <v>74</v>
      </c>
      <c r="C4" s="5" t="s">
        <v>57</v>
      </c>
      <c r="D4" s="5"/>
      <c r="E4" s="5">
        <v>20411454</v>
      </c>
      <c r="F4" s="5" t="s">
        <v>78</v>
      </c>
      <c r="G4" s="5" t="s">
        <v>45</v>
      </c>
      <c r="H4" s="5" t="s">
        <v>55</v>
      </c>
      <c r="I4" s="6">
        <v>45292</v>
      </c>
      <c r="J4" s="6">
        <v>45962</v>
      </c>
      <c r="K4" s="7">
        <v>4.2300000000000004</v>
      </c>
      <c r="L4" s="5" t="s">
        <v>80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s="5" customFormat="1" x14ac:dyDescent="0.25">
      <c r="A5" s="4" t="s">
        <v>75</v>
      </c>
      <c r="B5" s="4" t="s">
        <v>75</v>
      </c>
      <c r="C5" s="5" t="s">
        <v>60</v>
      </c>
      <c r="E5" s="5">
        <v>20411454</v>
      </c>
      <c r="F5" s="5" t="s">
        <v>78</v>
      </c>
      <c r="G5" s="5" t="s">
        <v>45</v>
      </c>
      <c r="H5" s="5" t="s">
        <v>55</v>
      </c>
      <c r="I5" s="6">
        <v>45200</v>
      </c>
      <c r="J5" s="6">
        <v>45962</v>
      </c>
      <c r="K5" s="7">
        <v>4.2300000000000004</v>
      </c>
      <c r="L5" s="5" t="s">
        <v>80</v>
      </c>
    </row>
    <row r="6" spans="1:36" x14ac:dyDescent="0.25">
      <c r="A6" s="4" t="s">
        <v>76</v>
      </c>
      <c r="B6" s="4" t="s">
        <v>76</v>
      </c>
      <c r="C6" s="5" t="s">
        <v>63</v>
      </c>
      <c r="D6" s="5" t="s">
        <v>64</v>
      </c>
      <c r="E6" s="5">
        <v>20411454</v>
      </c>
      <c r="F6" s="5" t="s">
        <v>78</v>
      </c>
      <c r="G6" s="5" t="s">
        <v>45</v>
      </c>
      <c r="H6" s="5" t="s">
        <v>51</v>
      </c>
      <c r="I6" s="6">
        <v>45962</v>
      </c>
      <c r="J6" s="6">
        <v>45962</v>
      </c>
      <c r="K6" s="7">
        <v>8.4600000000000009</v>
      </c>
      <c r="L6" s="5" t="s">
        <v>80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1:36" s="5" customFormat="1" x14ac:dyDescent="0.25">
      <c r="A7" s="4" t="s">
        <v>77</v>
      </c>
      <c r="B7" s="4" t="s">
        <v>77</v>
      </c>
      <c r="C7" s="5" t="s">
        <v>70</v>
      </c>
      <c r="D7" s="5" t="s">
        <v>64</v>
      </c>
      <c r="E7" s="5">
        <v>20411454</v>
      </c>
      <c r="F7" s="5" t="s">
        <v>78</v>
      </c>
      <c r="G7" s="5" t="s">
        <v>45</v>
      </c>
      <c r="H7" s="5" t="s">
        <v>51</v>
      </c>
      <c r="I7" s="6">
        <v>45962</v>
      </c>
      <c r="J7" s="6">
        <v>45962</v>
      </c>
      <c r="K7" s="7">
        <v>77</v>
      </c>
      <c r="L7" s="5" t="s">
        <v>80</v>
      </c>
    </row>
    <row r="8" spans="1:36" x14ac:dyDescent="0.25">
      <c r="A8" s="3">
        <v>1675408730</v>
      </c>
      <c r="B8" s="3" t="str">
        <f>CONCATENATE(A8,55)</f>
        <v>167540873055</v>
      </c>
      <c r="C8" t="s">
        <v>42</v>
      </c>
      <c r="E8">
        <v>18710070</v>
      </c>
      <c r="F8" t="s">
        <v>44</v>
      </c>
      <c r="G8" t="s">
        <v>45</v>
      </c>
      <c r="H8" t="s">
        <v>46</v>
      </c>
      <c r="I8" s="1">
        <v>45597</v>
      </c>
      <c r="J8" s="1">
        <v>45962</v>
      </c>
      <c r="K8" s="2">
        <v>29.42</v>
      </c>
      <c r="L8" t="s">
        <v>79</v>
      </c>
      <c r="M8" t="s">
        <v>81</v>
      </c>
    </row>
    <row r="9" spans="1:36" s="5" customFormat="1" x14ac:dyDescent="0.25">
      <c r="A9" s="3">
        <v>1965262100</v>
      </c>
      <c r="B9" s="3" t="str">
        <f t="shared" ref="B9:B11" si="0">CONCATENATE(A9,55)</f>
        <v>196526210055</v>
      </c>
      <c r="C9" t="s">
        <v>53</v>
      </c>
      <c r="D9"/>
      <c r="E9">
        <v>18710070</v>
      </c>
      <c r="F9" t="s">
        <v>44</v>
      </c>
      <c r="G9" t="s">
        <v>45</v>
      </c>
      <c r="H9" t="s">
        <v>46</v>
      </c>
      <c r="I9" s="1">
        <v>45292</v>
      </c>
      <c r="J9" s="1">
        <v>45962</v>
      </c>
      <c r="K9" s="2">
        <v>29.42</v>
      </c>
      <c r="L9" t="s">
        <v>79</v>
      </c>
      <c r="M9" t="s">
        <v>81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</row>
    <row r="10" spans="1:36" s="5" customFormat="1" x14ac:dyDescent="0.25">
      <c r="A10" s="3">
        <v>2044272390</v>
      </c>
      <c r="B10" s="3" t="str">
        <f t="shared" si="0"/>
        <v>204427239055</v>
      </c>
      <c r="C10" t="s">
        <v>57</v>
      </c>
      <c r="D10"/>
      <c r="E10">
        <v>18710070</v>
      </c>
      <c r="F10" t="s">
        <v>44</v>
      </c>
      <c r="G10" t="s">
        <v>45</v>
      </c>
      <c r="H10" t="s">
        <v>46</v>
      </c>
      <c r="I10" s="1">
        <v>45292</v>
      </c>
      <c r="J10" s="1">
        <v>45962</v>
      </c>
      <c r="K10" s="2">
        <v>29.42</v>
      </c>
      <c r="L10" t="s">
        <v>79</v>
      </c>
      <c r="M10" t="s">
        <v>81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</row>
    <row r="11" spans="1:36" s="5" customFormat="1" x14ac:dyDescent="0.25">
      <c r="A11" s="3">
        <v>2085203420</v>
      </c>
      <c r="B11" s="3" t="str">
        <f t="shared" si="0"/>
        <v>208520342055</v>
      </c>
      <c r="C11" t="s">
        <v>60</v>
      </c>
      <c r="D11"/>
      <c r="E11">
        <v>18710070</v>
      </c>
      <c r="F11" t="s">
        <v>44</v>
      </c>
      <c r="G11" t="s">
        <v>45</v>
      </c>
      <c r="H11" t="s">
        <v>46</v>
      </c>
      <c r="I11" s="1">
        <v>45200</v>
      </c>
      <c r="J11" s="1">
        <v>45962</v>
      </c>
      <c r="K11" s="2">
        <v>29.42</v>
      </c>
      <c r="L11" t="s">
        <v>79</v>
      </c>
      <c r="M11" t="s">
        <v>81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</row>
  </sheetData>
  <sortState xmlns:xlrd2="http://schemas.microsoft.com/office/spreadsheetml/2017/richdata2" ref="A2:AJ11">
    <sortCondition ref="L2:L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2025-11-27T12:32:19Z</dcterms:created>
  <dcterms:modified xsi:type="dcterms:W3CDTF">2025-12-01T15:09:55Z</dcterms:modified>
</cp:coreProperties>
</file>