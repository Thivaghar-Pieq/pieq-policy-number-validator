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4-4-25 Ritter\"/>
    </mc:Choice>
  </mc:AlternateContent>
  <xr:revisionPtr revIDLastSave="0" documentId="13_ncr:9_{DFAA55C7-5313-4226-BDCA-46681EBCAC17}" xr6:coauthVersionLast="47" xr6:coauthVersionMax="47" xr10:uidLastSave="{00000000-0000-0000-0000-000000000000}"/>
  <bookViews>
    <workbookView xWindow="28680" yWindow="-120" windowWidth="29040" windowHeight="16440" activeTab="1" xr2:uid="{0B54CBC9-D6A8-4188-94DA-2CD0FAA46ECF}"/>
  </bookViews>
  <sheets>
    <sheet name="Commissions_Main Line Benefits,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G10" i="2" l="1"/>
  <c r="G11" i="2"/>
  <c r="G12" i="2"/>
  <c r="G13" i="2"/>
  <c r="G14" i="2"/>
  <c r="G15" i="2"/>
  <c r="G9" i="2"/>
  <c r="G3" i="2"/>
  <c r="G4" i="2"/>
  <c r="G5" i="2"/>
  <c r="G6" i="2"/>
  <c r="G7" i="2"/>
  <c r="G8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</calcChain>
</file>

<file path=xl/sharedStrings.xml><?xml version="1.0" encoding="utf-8"?>
<sst xmlns="http://schemas.openxmlformats.org/spreadsheetml/2006/main" count="203" uniqueCount="45">
  <si>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</si>
  <si>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</si>
  <si>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</si>
  <si>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</si>
  <si>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</si>
  <si>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</si>
  <si>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</si>
  <si>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</si>
  <si>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</si>
  <si>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</si>
  <si>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</si>
  <si>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</si>
  <si>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Christopher</t>
  </si>
  <si>
    <t>Nancy</t>
  </si>
  <si>
    <t>Cushanick</t>
  </si>
  <si>
    <t>*****29780</t>
  </si>
  <si>
    <t>Highmark</t>
  </si>
  <si>
    <t>Highmark 2025 PA Replace Street / TrueUp (ProRata: -1)</t>
  </si>
  <si>
    <t>Barbara</t>
  </si>
  <si>
    <t>Contenta</t>
  </si>
  <si>
    <t>*****24560</t>
  </si>
  <si>
    <t>Highmark 2025 PA Replace Street / TrueUp (ProRata: 9)</t>
  </si>
  <si>
    <t>Lauff</t>
  </si>
  <si>
    <t>*****23630</t>
  </si>
  <si>
    <t>Maria</t>
  </si>
  <si>
    <t>Welshons</t>
  </si>
  <si>
    <t>*****19300</t>
  </si>
  <si>
    <t>Mckown</t>
  </si>
  <si>
    <t>*****12270</t>
  </si>
  <si>
    <t>Highmark 2025 PA Replace Street / TrueUp (ProRata: -9)</t>
  </si>
  <si>
    <t>Angeline</t>
  </si>
  <si>
    <t>Raymond</t>
  </si>
  <si>
    <t>*****33630</t>
  </si>
  <si>
    <t>James</t>
  </si>
  <si>
    <t>Shook</t>
  </si>
  <si>
    <t>*****39880</t>
  </si>
  <si>
    <t>Highmark 2025 PA Replace OR (ProRata: -1)</t>
  </si>
  <si>
    <t>Highmark 2025 PA Replace OR (ProRata: 9)</t>
  </si>
  <si>
    <t>Highmark 2025 PA Replace OR (ProRata: -9)</t>
  </si>
  <si>
    <t>17528908N</t>
  </si>
  <si>
    <t>Main Line Benefits</t>
  </si>
  <si>
    <t>Highmark MAPD 2025..</t>
  </si>
  <si>
    <t>Highmark 2025 Ovr</t>
  </si>
  <si>
    <t>[%/$=353][prorate=1/12]</t>
  </si>
  <si>
    <t>[%/$=353][prorate=9/12]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</si>
</sst>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03F7-2B3A-47FE-B560-56536A7CC5FB}">
  <dimension ref="A1:K41"/>
  <sheetViews>
    <sheetView workbookViewId="0">
      <selection sqref="A1:XFD1048576"/>
    </sheetView>
  </sheetViews>
  <sheetFormatPr defaultRowHeight="15" x14ac:dyDescent="0.25"/>
  <cols>
    <col min="1" max="2" width="15.42578125" bestFit="1" customWidth="1"/>
    <col min="3" max="3" width="10.7109375" bestFit="1" customWidth="1"/>
    <col min="4" max="4" width="11.42578125" bestFit="1" customWidth="1"/>
    <col min="5" max="5" width="10.425781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8.85546875" bestFit="1" customWidth="1"/>
    <col min="10" max="10" width="85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17528908</v>
      </c>
      <c r="C2">
        <v>17528908</v>
      </c>
      <c r="D2" t="s">
        <v>13</v>
      </c>
      <c r="E2" t="s">
        <v>14</v>
      </c>
      <c r="F2" t="s">
        <v>15</v>
      </c>
      <c r="G2" s="1">
        <v>45413</v>
      </c>
      <c r="H2" s="1">
        <v>45751</v>
      </c>
      <c r="I2" t="s">
        <v>16</v>
      </c>
      <c r="J2" t="s">
        <v>36</v>
      </c>
      <c r="K2" s="2">
        <v>-6.04</v>
      </c>
    </row>
    <row r="3" spans="1:11" x14ac:dyDescent="0.25">
      <c r="A3" t="s">
        <v>11</v>
      </c>
      <c r="B3">
        <v>17528908</v>
      </c>
      <c r="C3">
        <v>17528908</v>
      </c>
      <c r="D3" t="s">
        <v>18</v>
      </c>
      <c r="E3" t="s">
        <v>19</v>
      </c>
      <c r="F3" t="s">
        <v>20</v>
      </c>
      <c r="G3" s="1">
        <v>45748</v>
      </c>
      <c r="H3" s="1">
        <v>45751</v>
      </c>
      <c r="I3" t="s">
        <v>16</v>
      </c>
      <c r="J3" t="s">
        <v>37</v>
      </c>
      <c r="K3" s="2">
        <v>54.37</v>
      </c>
    </row>
    <row r="4" spans="1:11" x14ac:dyDescent="0.25">
      <c r="A4" t="s">
        <v>11</v>
      </c>
      <c r="B4">
        <v>17528908</v>
      </c>
      <c r="C4">
        <v>17528908</v>
      </c>
      <c r="D4" t="s">
        <v>12</v>
      </c>
      <c r="E4" t="s">
        <v>22</v>
      </c>
      <c r="F4" t="s">
        <v>23</v>
      </c>
      <c r="G4" s="1">
        <v>45748</v>
      </c>
      <c r="H4" s="1">
        <v>45751</v>
      </c>
      <c r="I4" t="s">
        <v>16</v>
      </c>
      <c r="J4" t="s">
        <v>37</v>
      </c>
      <c r="K4" s="2">
        <v>54.37</v>
      </c>
    </row>
    <row r="5" spans="1:11" x14ac:dyDescent="0.25">
      <c r="A5" t="s">
        <v>11</v>
      </c>
      <c r="B5">
        <v>17528908</v>
      </c>
      <c r="C5">
        <v>17528908</v>
      </c>
      <c r="D5" t="s">
        <v>24</v>
      </c>
      <c r="E5" t="s">
        <v>25</v>
      </c>
      <c r="F5" t="s">
        <v>26</v>
      </c>
      <c r="G5" s="1">
        <v>45748</v>
      </c>
      <c r="H5" s="1">
        <v>45751</v>
      </c>
      <c r="I5" t="s">
        <v>16</v>
      </c>
      <c r="J5" t="s">
        <v>37</v>
      </c>
      <c r="K5" s="2">
        <v>54.37</v>
      </c>
    </row>
    <row r="6" spans="1:11" x14ac:dyDescent="0.25">
      <c r="A6" t="s">
        <v>11</v>
      </c>
      <c r="B6">
        <v>17528908</v>
      </c>
      <c r="C6">
        <v>17528908</v>
      </c>
      <c r="D6" t="s">
        <v>30</v>
      </c>
      <c r="E6" t="s">
        <v>31</v>
      </c>
      <c r="F6" t="s">
        <v>32</v>
      </c>
      <c r="G6" s="1">
        <v>45748</v>
      </c>
      <c r="H6" s="1">
        <v>45751</v>
      </c>
      <c r="I6" t="s">
        <v>16</v>
      </c>
      <c r="J6" t="s">
        <v>37</v>
      </c>
      <c r="K6" s="2">
        <v>54.37</v>
      </c>
    </row>
    <row r="7" spans="1:11" x14ac:dyDescent="0.25">
      <c r="A7" t="s">
        <v>11</v>
      </c>
      <c r="B7">
        <v>17528908</v>
      </c>
      <c r="C7">
        <v>17528908</v>
      </c>
      <c r="D7" t="s">
        <v>33</v>
      </c>
      <c r="E7" t="s">
        <v>34</v>
      </c>
      <c r="F7" t="s">
        <v>35</v>
      </c>
      <c r="G7" s="1">
        <v>45748</v>
      </c>
      <c r="H7" s="1">
        <v>45751</v>
      </c>
      <c r="I7" t="s">
        <v>16</v>
      </c>
      <c r="J7" t="s">
        <v>37</v>
      </c>
      <c r="K7" s="2">
        <v>54.37</v>
      </c>
    </row>
    <row r="8" spans="1:11" x14ac:dyDescent="0.25">
      <c r="A8" t="s">
        <v>11</v>
      </c>
      <c r="B8">
        <v>17528908</v>
      </c>
      <c r="C8">
        <v>17528908</v>
      </c>
      <c r="D8" t="s">
        <v>13</v>
      </c>
      <c r="E8" t="s">
        <v>27</v>
      </c>
      <c r="F8" t="s">
        <v>28</v>
      </c>
      <c r="G8" s="1">
        <v>45658</v>
      </c>
      <c r="H8" s="1">
        <v>45751</v>
      </c>
      <c r="I8" t="s">
        <v>16</v>
      </c>
      <c r="J8" t="s">
        <v>38</v>
      </c>
      <c r="K8" s="2">
        <v>-54.37</v>
      </c>
    </row>
    <row r="9" spans="1:11" x14ac:dyDescent="0.25">
      <c r="A9" t="s">
        <v>11</v>
      </c>
      <c r="B9">
        <v>17528908</v>
      </c>
      <c r="C9">
        <v>17528908</v>
      </c>
      <c r="D9" t="s">
        <v>13</v>
      </c>
      <c r="E9" t="s">
        <v>14</v>
      </c>
      <c r="F9" t="s">
        <v>15</v>
      </c>
      <c r="G9" s="1">
        <v>45413</v>
      </c>
      <c r="H9" s="1">
        <v>45751</v>
      </c>
      <c r="I9" t="s">
        <v>16</v>
      </c>
      <c r="J9" t="s">
        <v>17</v>
      </c>
      <c r="K9" s="2">
        <v>-29.41</v>
      </c>
    </row>
    <row r="10" spans="1:11" x14ac:dyDescent="0.25">
      <c r="A10" t="s">
        <v>11</v>
      </c>
      <c r="B10">
        <v>17528908</v>
      </c>
      <c r="C10">
        <v>17528908</v>
      </c>
      <c r="D10" t="s">
        <v>18</v>
      </c>
      <c r="E10" t="s">
        <v>19</v>
      </c>
      <c r="F10" t="s">
        <v>20</v>
      </c>
      <c r="G10" s="1">
        <v>45748</v>
      </c>
      <c r="H10" s="1">
        <v>45751</v>
      </c>
      <c r="I10" t="s">
        <v>16</v>
      </c>
      <c r="J10" t="s">
        <v>21</v>
      </c>
      <c r="K10" s="2">
        <v>264.75</v>
      </c>
    </row>
    <row r="11" spans="1:11" x14ac:dyDescent="0.25">
      <c r="A11" t="s">
        <v>11</v>
      </c>
      <c r="B11">
        <v>17528908</v>
      </c>
      <c r="C11">
        <v>17528908</v>
      </c>
      <c r="D11" t="s">
        <v>12</v>
      </c>
      <c r="E11" t="s">
        <v>22</v>
      </c>
      <c r="F11" t="s">
        <v>23</v>
      </c>
      <c r="G11" s="1">
        <v>45748</v>
      </c>
      <c r="H11" s="1">
        <v>45751</v>
      </c>
      <c r="I11" t="s">
        <v>16</v>
      </c>
      <c r="J11" t="s">
        <v>21</v>
      </c>
      <c r="K11" s="2">
        <v>264.75</v>
      </c>
    </row>
    <row r="12" spans="1:11" x14ac:dyDescent="0.25">
      <c r="A12" t="s">
        <v>11</v>
      </c>
      <c r="B12">
        <v>17528908</v>
      </c>
      <c r="C12">
        <v>17528908</v>
      </c>
      <c r="D12" t="s">
        <v>24</v>
      </c>
      <c r="E12" t="s">
        <v>25</v>
      </c>
      <c r="F12" t="s">
        <v>26</v>
      </c>
      <c r="G12" s="1">
        <v>45748</v>
      </c>
      <c r="H12" s="1">
        <v>45751</v>
      </c>
      <c r="I12" t="s">
        <v>16</v>
      </c>
      <c r="J12" t="s">
        <v>21</v>
      </c>
      <c r="K12" s="2">
        <v>264.75</v>
      </c>
    </row>
    <row r="13" spans="1:11" x14ac:dyDescent="0.25">
      <c r="A13" t="s">
        <v>11</v>
      </c>
      <c r="B13">
        <v>17528908</v>
      </c>
      <c r="C13">
        <v>17528908</v>
      </c>
      <c r="D13" t="s">
        <v>30</v>
      </c>
      <c r="E13" t="s">
        <v>31</v>
      </c>
      <c r="F13" t="s">
        <v>32</v>
      </c>
      <c r="G13" s="1">
        <v>45748</v>
      </c>
      <c r="H13" s="1">
        <v>45751</v>
      </c>
      <c r="I13" t="s">
        <v>16</v>
      </c>
      <c r="J13" t="s">
        <v>21</v>
      </c>
      <c r="K13" s="2">
        <v>264.75</v>
      </c>
    </row>
    <row r="14" spans="1:11" x14ac:dyDescent="0.25">
      <c r="A14" t="s">
        <v>11</v>
      </c>
      <c r="B14">
        <v>17528908</v>
      </c>
      <c r="C14">
        <v>17528908</v>
      </c>
      <c r="D14" t="s">
        <v>33</v>
      </c>
      <c r="E14" t="s">
        <v>34</v>
      </c>
      <c r="F14" t="s">
        <v>35</v>
      </c>
      <c r="G14" s="1">
        <v>45748</v>
      </c>
      <c r="H14" s="1">
        <v>45751</v>
      </c>
      <c r="I14" t="s">
        <v>16</v>
      </c>
      <c r="J14" t="s">
        <v>21</v>
      </c>
      <c r="K14" s="2">
        <v>264.75</v>
      </c>
    </row>
    <row r="15" spans="1:11" x14ac:dyDescent="0.25">
      <c r="A15" t="s">
        <v>11</v>
      </c>
      <c r="B15">
        <v>17528908</v>
      </c>
      <c r="C15">
        <v>17528908</v>
      </c>
      <c r="D15" t="s">
        <v>13</v>
      </c>
      <c r="E15" t="s">
        <v>27</v>
      </c>
      <c r="F15" t="s">
        <v>28</v>
      </c>
      <c r="G15" s="1">
        <v>45658</v>
      </c>
      <c r="H15" s="1">
        <v>45751</v>
      </c>
      <c r="I15" t="s">
        <v>16</v>
      </c>
      <c r="J15" t="s">
        <v>29</v>
      </c>
      <c r="K15" s="2">
        <v>-264.75</v>
      </c>
    </row>
    <row r="16" spans="1:11" x14ac:dyDescent="0.25">
      <c r="G16" s="1"/>
      <c r="H16" s="1"/>
      <c r="K16" s="2"/>
    </row>
    <row r="17" spans="7:11" x14ac:dyDescent="0.25">
      <c r="G17" s="1"/>
      <c r="H17" s="1"/>
      <c r="K17" s="2"/>
    </row>
    <row r="23" spans="7:11" x14ac:dyDescent="0.25">
      <c r="G23" s="1"/>
      <c r="H23" s="1"/>
      <c r="K23" s="2"/>
    </row>
    <row r="24" spans="7:11" x14ac:dyDescent="0.25">
      <c r="G24" s="1"/>
      <c r="H24" s="1"/>
      <c r="K24" s="2"/>
    </row>
    <row r="40" spans="7:11" x14ac:dyDescent="0.25">
      <c r="G40" s="1"/>
      <c r="H40" s="1"/>
      <c r="K40" s="2"/>
    </row>
    <row r="41" spans="7:11" x14ac:dyDescent="0.25">
      <c r="G41" s="1"/>
      <c r="H41" s="1"/>
      <c r="K41" s="2"/>
    </row>
  </sheetData>
  <sortState xmlns:xlrd2="http://schemas.microsoft.com/office/spreadsheetml/2017/richdata2" ref="A2:K52">
    <sortCondition ref="J2:J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9D49-A3DD-46FC-B4E8-13B2A3893F75}">
  <dimension ref="A1:N41"/>
  <sheetViews>
    <sheetView tabSelected="1" workbookViewId="0">
      <selection activeCell="E11" sqref="E11"/>
    </sheetView>
  </sheetViews>
  <sheetFormatPr defaultRowHeight="15" x14ac:dyDescent="0.25"/>
  <cols>
    <col min="1" max="1" width="15.42578125" style="4" bestFit="1" customWidth="1"/>
    <col min="2" max="2" width="10.7109375" style="4" bestFit="1" customWidth="1"/>
    <col min="3" max="3" width="11.42578125" style="4" bestFit="1" customWidth="1"/>
    <col min="4" max="4" width="10.42578125" style="4" bestFit="1" customWidth="1"/>
    <col min="5" max="5" width="18" style="4" bestFit="1" customWidth="1"/>
    <col min="6" max="6" width="11" style="4" bestFit="1" customWidth="1"/>
    <col min="7" max="7" width="11" style="4" customWidth="1"/>
    <col min="8" max="8" width="11.85546875" style="4" bestFit="1" customWidth="1"/>
    <col min="9" max="9" width="14.7109375" style="4" bestFit="1" customWidth="1"/>
    <col min="10" max="10" width="18.85546875" style="4" bestFit="1" customWidth="1"/>
    <col min="11" max="11" width="49.7109375" style="4" customWidth="1"/>
    <col min="12" max="12" width="15.7109375" style="4" bestFit="1" customWidth="1"/>
    <col min="13" max="13" width="21.140625" style="4" bestFit="1" customWidth="1"/>
    <col min="14" max="16384" width="9.140625" style="4"/>
  </cols>
  <sheetData>
    <row r="1" spans="1:14" x14ac:dyDescent="0.25">
      <c r="A1" s="4" t="s">
        <v>0</v>
      </c>
      <c r="B1" s="4" t="s">
        <v>2</v>
      </c>
      <c r="C1" s="4" t="s">
        <v>3</v>
      </c>
      <c r="D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4" x14ac:dyDescent="0.25">
      <c r="A2" s="4" t="s">
        <v>40</v>
      </c>
      <c r="B2" s="4">
        <v>20411454</v>
      </c>
      <c r="C2" s="4" t="s">
        <v>13</v>
      </c>
      <c r="D2" s="4" t="s">
        <v>14</v>
      </c>
      <c r="E2" s="4" t="str">
        <f>CONCATENATE(C2, " ",D2)</f>
        <v>Nancy Cushanick</v>
      </c>
      <c r="F2" s="4">
        <v>29780</v>
      </c>
      <c r="G2" s="4" t="str">
        <f>CONCATENATE(F2,65)</f>
        <v>2978065</v>
      </c>
      <c r="H2" s="5">
        <v>45413</v>
      </c>
      <c r="I2" s="5">
        <v>45751</v>
      </c>
      <c r="J2" s="4" t="s">
        <v>16</v>
      </c>
      <c r="K2" s="4" t="s">
        <v>36</v>
      </c>
      <c r="L2" s="6">
        <v>-6.04</v>
      </c>
      <c r="M2" s="4" t="s">
        <v>42</v>
      </c>
    </row>
    <row r="3" spans="1:14" x14ac:dyDescent="0.25">
      <c r="A3" s="4" t="s">
        <v>40</v>
      </c>
      <c r="B3" s="4">
        <v>20411454</v>
      </c>
      <c r="C3" s="4" t="s">
        <v>18</v>
      </c>
      <c r="D3" s="4" t="s">
        <v>19</v>
      </c>
      <c r="E3" s="4" t="str">
        <f t="shared" ref="E3:E15" si="0">CONCATENATE(C3, " ",D3)</f>
        <v>Barbara Contenta</v>
      </c>
      <c r="F3" s="4">
        <v>24560</v>
      </c>
      <c r="G3" s="4" t="str">
        <f t="shared" ref="G3:G9" si="1">CONCATENATE(F3,65)</f>
        <v>2456065</v>
      </c>
      <c r="H3" s="5">
        <v>45748</v>
      </c>
      <c r="I3" s="5">
        <v>45751</v>
      </c>
      <c r="J3" s="4" t="s">
        <v>16</v>
      </c>
      <c r="K3" s="4" t="s">
        <v>37</v>
      </c>
      <c r="L3" s="6">
        <v>54.37</v>
      </c>
      <c r="M3" s="4" t="s">
        <v>42</v>
      </c>
    </row>
    <row r="4" spans="1:14" x14ac:dyDescent="0.25">
      <c r="A4" s="4" t="s">
        <v>40</v>
      </c>
      <c r="B4" s="4">
        <v>20411454</v>
      </c>
      <c r="C4" s="4" t="s">
        <v>12</v>
      </c>
      <c r="D4" s="4" t="s">
        <v>22</v>
      </c>
      <c r="E4" s="4" t="str">
        <f t="shared" si="0"/>
        <v>Christopher Lauff</v>
      </c>
      <c r="F4" s="4">
        <v>23630</v>
      </c>
      <c r="G4" s="4" t="str">
        <f t="shared" si="1"/>
        <v>2363065</v>
      </c>
      <c r="H4" s="5">
        <v>45748</v>
      </c>
      <c r="I4" s="5">
        <v>45751</v>
      </c>
      <c r="J4" s="4" t="s">
        <v>16</v>
      </c>
      <c r="K4" s="4" t="s">
        <v>37</v>
      </c>
      <c r="L4" s="6">
        <v>54.37</v>
      </c>
      <c r="M4" s="4" t="s">
        <v>42</v>
      </c>
    </row>
    <row r="5" spans="1:14" x14ac:dyDescent="0.25">
      <c r="A5" s="4" t="s">
        <v>40</v>
      </c>
      <c r="B5" s="4">
        <v>20411454</v>
      </c>
      <c r="C5" s="4" t="s">
        <v>24</v>
      </c>
      <c r="D5" s="4" t="s">
        <v>25</v>
      </c>
      <c r="E5" s="4" t="str">
        <f t="shared" si="0"/>
        <v>Maria Welshons</v>
      </c>
      <c r="F5" s="4">
        <v>19300</v>
      </c>
      <c r="G5" s="4" t="str">
        <f t="shared" si="1"/>
        <v>1930065</v>
      </c>
      <c r="H5" s="5">
        <v>45748</v>
      </c>
      <c r="I5" s="5">
        <v>45751</v>
      </c>
      <c r="J5" s="4" t="s">
        <v>16</v>
      </c>
      <c r="K5" s="4" t="s">
        <v>37</v>
      </c>
      <c r="L5" s="6">
        <v>54.37</v>
      </c>
      <c r="M5" s="4" t="s">
        <v>42</v>
      </c>
    </row>
    <row r="6" spans="1:14" x14ac:dyDescent="0.25">
      <c r="A6" s="4" t="s">
        <v>40</v>
      </c>
      <c r="B6" s="4">
        <v>20411454</v>
      </c>
      <c r="C6" s="4" t="s">
        <v>30</v>
      </c>
      <c r="D6" s="4" t="s">
        <v>31</v>
      </c>
      <c r="E6" s="4" t="str">
        <f t="shared" si="0"/>
        <v>Angeline Raymond</v>
      </c>
      <c r="F6" s="4">
        <v>33630</v>
      </c>
      <c r="G6" s="4" t="str">
        <f t="shared" si="1"/>
        <v>3363065</v>
      </c>
      <c r="H6" s="5">
        <v>45748</v>
      </c>
      <c r="I6" s="5">
        <v>45751</v>
      </c>
      <c r="J6" s="4" t="s">
        <v>16</v>
      </c>
      <c r="K6" s="4" t="s">
        <v>37</v>
      </c>
      <c r="L6" s="6">
        <v>54.37</v>
      </c>
      <c r="M6" s="4" t="s">
        <v>42</v>
      </c>
    </row>
    <row r="7" spans="1:14" x14ac:dyDescent="0.25">
      <c r="A7" s="4" t="s">
        <v>40</v>
      </c>
      <c r="B7" s="4">
        <v>20411454</v>
      </c>
      <c r="C7" s="4" t="s">
        <v>33</v>
      </c>
      <c r="D7" s="4" t="s">
        <v>34</v>
      </c>
      <c r="E7" s="4" t="str">
        <f t="shared" si="0"/>
        <v>James Shook</v>
      </c>
      <c r="F7" s="4">
        <v>39880</v>
      </c>
      <c r="G7" s="4" t="str">
        <f t="shared" si="1"/>
        <v>3988065</v>
      </c>
      <c r="H7" s="5">
        <v>45748</v>
      </c>
      <c r="I7" s="5">
        <v>45751</v>
      </c>
      <c r="J7" s="4" t="s">
        <v>16</v>
      </c>
      <c r="K7" s="4" t="s">
        <v>37</v>
      </c>
      <c r="L7" s="6">
        <v>54.37</v>
      </c>
      <c r="M7" s="4" t="s">
        <v>42</v>
      </c>
    </row>
    <row r="8" spans="1:14" x14ac:dyDescent="0.25">
      <c r="A8" s="4" t="s">
        <v>40</v>
      </c>
      <c r="B8" s="4">
        <v>20411454</v>
      </c>
      <c r="C8" s="4" t="s">
        <v>13</v>
      </c>
      <c r="D8" s="4" t="s">
        <v>27</v>
      </c>
      <c r="E8" s="4" t="str">
        <f t="shared" si="0"/>
        <v>Nancy Mckown</v>
      </c>
      <c r="F8" s="4">
        <v>12270</v>
      </c>
      <c r="G8" s="4" t="str">
        <f t="shared" si="1"/>
        <v>1227065</v>
      </c>
      <c r="H8" s="5">
        <v>45658</v>
      </c>
      <c r="I8" s="5">
        <v>45751</v>
      </c>
      <c r="J8" s="4" t="s">
        <v>16</v>
      </c>
      <c r="K8" s="4" t="s">
        <v>38</v>
      </c>
      <c r="L8" s="6">
        <v>-54.37</v>
      </c>
      <c r="M8" s="4" t="s">
        <v>42</v>
      </c>
    </row>
    <row r="9" spans="1:14" x14ac:dyDescent="0.25">
      <c r="A9" s="4" t="s">
        <v>11</v>
      </c>
      <c r="B9" s="4" t="s">
        <v>39</v>
      </c>
      <c r="C9" s="4" t="s">
        <v>13</v>
      </c>
      <c r="D9" s="4" t="s">
        <v>14</v>
      </c>
      <c r="E9" s="4" t="str">
        <f t="shared" si="0"/>
        <v>Nancy Cushanick</v>
      </c>
      <c r="F9" s="4">
        <v>29780</v>
      </c>
      <c r="G9" s="4" t="str">
        <f>CONCATENATE(F9,55)</f>
        <v>2978055</v>
      </c>
      <c r="H9" s="5">
        <v>45413</v>
      </c>
      <c r="I9" s="5">
        <v>45751</v>
      </c>
      <c r="J9" s="4" t="s">
        <v>16</v>
      </c>
      <c r="K9" s="4" t="s">
        <v>17</v>
      </c>
      <c r="L9" s="6">
        <v>-29.41</v>
      </c>
      <c r="M9" s="4" t="s">
        <v>41</v>
      </c>
      <c r="N9" s="4" t="s">
        <v>43</v>
      </c>
    </row>
    <row r="10" spans="1:14" x14ac:dyDescent="0.25">
      <c r="A10" s="4" t="s">
        <v>11</v>
      </c>
      <c r="B10" s="4" t="s">
        <v>39</v>
      </c>
      <c r="C10" s="4" t="s">
        <v>18</v>
      </c>
      <c r="D10" s="4" t="s">
        <v>19</v>
      </c>
      <c r="E10" s="4" t="str">
        <f t="shared" si="0"/>
        <v>Barbara Contenta</v>
      </c>
      <c r="F10" s="4">
        <v>24560</v>
      </c>
      <c r="G10" s="4" t="str">
        <f t="shared" ref="G10:G15" si="2">CONCATENATE(F10,55)</f>
        <v>2456055</v>
      </c>
      <c r="H10" s="5">
        <v>45748</v>
      </c>
      <c r="I10" s="5">
        <v>45751</v>
      </c>
      <c r="J10" s="4" t="s">
        <v>16</v>
      </c>
      <c r="K10" s="4" t="s">
        <v>21</v>
      </c>
      <c r="L10" s="6">
        <v>264.75</v>
      </c>
      <c r="M10" s="4" t="s">
        <v>41</v>
      </c>
      <c r="N10" s="4" t="s">
        <v>44</v>
      </c>
    </row>
    <row r="11" spans="1:14" x14ac:dyDescent="0.25">
      <c r="A11" s="4" t="s">
        <v>11</v>
      </c>
      <c r="B11" s="4" t="s">
        <v>39</v>
      </c>
      <c r="C11" s="4" t="s">
        <v>12</v>
      </c>
      <c r="D11" s="4" t="s">
        <v>22</v>
      </c>
      <c r="E11" s="4" t="str">
        <f t="shared" si="0"/>
        <v>Christopher Lauff</v>
      </c>
      <c r="F11" s="4">
        <v>23630</v>
      </c>
      <c r="G11" s="4" t="str">
        <f t="shared" si="2"/>
        <v>2363055</v>
      </c>
      <c r="H11" s="5">
        <v>45748</v>
      </c>
      <c r="I11" s="5">
        <v>45751</v>
      </c>
      <c r="J11" s="4" t="s">
        <v>16</v>
      </c>
      <c r="K11" s="4" t="s">
        <v>21</v>
      </c>
      <c r="L11" s="6">
        <v>264.75</v>
      </c>
      <c r="M11" s="4" t="s">
        <v>41</v>
      </c>
      <c r="N11" s="4" t="s">
        <v>44</v>
      </c>
    </row>
    <row r="12" spans="1:14" x14ac:dyDescent="0.25">
      <c r="A12" s="4" t="s">
        <v>11</v>
      </c>
      <c r="B12" s="4" t="s">
        <v>39</v>
      </c>
      <c r="C12" s="4" t="s">
        <v>24</v>
      </c>
      <c r="D12" s="4" t="s">
        <v>25</v>
      </c>
      <c r="E12" s="4" t="str">
        <f t="shared" si="0"/>
        <v>Maria Welshons</v>
      </c>
      <c r="F12" s="4">
        <v>19300</v>
      </c>
      <c r="G12" s="4" t="str">
        <f t="shared" si="2"/>
        <v>1930055</v>
      </c>
      <c r="H12" s="5">
        <v>45748</v>
      </c>
      <c r="I12" s="5">
        <v>45751</v>
      </c>
      <c r="J12" s="4" t="s">
        <v>16</v>
      </c>
      <c r="K12" s="4" t="s">
        <v>21</v>
      </c>
      <c r="L12" s="6">
        <v>264.75</v>
      </c>
      <c r="M12" s="4" t="s">
        <v>41</v>
      </c>
      <c r="N12" s="4" t="s">
        <v>44</v>
      </c>
    </row>
    <row r="13" spans="1:14" x14ac:dyDescent="0.25">
      <c r="A13" s="4" t="s">
        <v>11</v>
      </c>
      <c r="B13" s="4" t="s">
        <v>39</v>
      </c>
      <c r="C13" s="4" t="s">
        <v>30</v>
      </c>
      <c r="D13" s="4" t="s">
        <v>31</v>
      </c>
      <c r="E13" s="4" t="str">
        <f t="shared" si="0"/>
        <v>Angeline Raymond</v>
      </c>
      <c r="F13" s="4">
        <v>33630</v>
      </c>
      <c r="G13" s="4" t="str">
        <f t="shared" si="2"/>
        <v>3363055</v>
      </c>
      <c r="H13" s="5">
        <v>45748</v>
      </c>
      <c r="I13" s="5">
        <v>45751</v>
      </c>
      <c r="J13" s="4" t="s">
        <v>16</v>
      </c>
      <c r="K13" s="4" t="s">
        <v>21</v>
      </c>
      <c r="L13" s="6">
        <v>264.75</v>
      </c>
      <c r="M13" s="4" t="s">
        <v>41</v>
      </c>
      <c r="N13" s="4" t="s">
        <v>44</v>
      </c>
    </row>
    <row r="14" spans="1:14" x14ac:dyDescent="0.25">
      <c r="A14" s="4" t="s">
        <v>11</v>
      </c>
      <c r="B14" s="4" t="s">
        <v>39</v>
      </c>
      <c r="C14" s="4" t="s">
        <v>33</v>
      </c>
      <c r="D14" s="4" t="s">
        <v>34</v>
      </c>
      <c r="E14" s="4" t="str">
        <f t="shared" si="0"/>
        <v>James Shook</v>
      </c>
      <c r="F14" s="4">
        <v>39880</v>
      </c>
      <c r="G14" s="4" t="str">
        <f t="shared" si="2"/>
        <v>3988055</v>
      </c>
      <c r="H14" s="5">
        <v>45748</v>
      </c>
      <c r="I14" s="5">
        <v>45751</v>
      </c>
      <c r="J14" s="4" t="s">
        <v>16</v>
      </c>
      <c r="K14" s="4" t="s">
        <v>21</v>
      </c>
      <c r="L14" s="6">
        <v>264.75</v>
      </c>
      <c r="M14" s="4" t="s">
        <v>41</v>
      </c>
      <c r="N14" s="4" t="s">
        <v>44</v>
      </c>
    </row>
    <row r="15" spans="1:14" x14ac:dyDescent="0.25">
      <c r="A15" s="4" t="s">
        <v>11</v>
      </c>
      <c r="B15" s="4" t="s">
        <v>39</v>
      </c>
      <c r="C15" s="4" t="s">
        <v>13</v>
      </c>
      <c r="D15" s="4" t="s">
        <v>27</v>
      </c>
      <c r="E15" s="4" t="str">
        <f t="shared" si="0"/>
        <v>Nancy Mckown</v>
      </c>
      <c r="F15" s="4">
        <v>12270</v>
      </c>
      <c r="G15" s="4" t="str">
        <f t="shared" si="2"/>
        <v>1227055</v>
      </c>
      <c r="H15" s="5">
        <v>45658</v>
      </c>
      <c r="I15" s="5">
        <v>45751</v>
      </c>
      <c r="J15" s="4" t="s">
        <v>16</v>
      </c>
      <c r="K15" s="4" t="s">
        <v>29</v>
      </c>
      <c r="L15" s="6">
        <v>-264.75</v>
      </c>
      <c r="M15" s="4" t="s">
        <v>41</v>
      </c>
      <c r="N15" s="4" t="s">
        <v>44</v>
      </c>
    </row>
    <row r="16" spans="1:14" x14ac:dyDescent="0.25">
      <c r="H16" s="5"/>
      <c r="I16" s="5"/>
      <c r="L16" s="6"/>
    </row>
    <row r="17" spans="8:12" x14ac:dyDescent="0.25">
      <c r="H17" s="5"/>
      <c r="I17" s="5"/>
      <c r="L17" s="6"/>
    </row>
    <row r="23" spans="8:12" x14ac:dyDescent="0.25">
      <c r="H23" s="5"/>
      <c r="I23" s="5"/>
      <c r="L23" s="6"/>
    </row>
    <row r="24" spans="8:12" x14ac:dyDescent="0.25">
      <c r="H24" s="5"/>
      <c r="I24" s="5"/>
      <c r="L24" s="6"/>
    </row>
    <row r="40" spans="8:12" x14ac:dyDescent="0.25">
      <c r="H40" s="5"/>
      <c r="I40" s="5"/>
      <c r="L40" s="6"/>
    </row>
    <row r="41" spans="8:12" x14ac:dyDescent="0.25">
      <c r="H41" s="5"/>
      <c r="I41" s="5"/>
      <c r="L4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7577-67C1-4EDE-999E-FB6D3F0CECF1}">
  <dimension ref="A1:F14"/>
  <sheetViews>
    <sheetView workbookViewId="0">
      <selection activeCell="F1" sqref="F1:F14"/>
    </sheetView>
  </sheetViews>
  <sheetFormatPr defaultRowHeight="15" x14ac:dyDescent="0.25"/>
  <sheetData>
    <row r="1" spans="1:6" x14ac:dyDescent="0.25">
      <c r="A1" s="3"/>
      <c r="F1">
        <v>29780</v>
      </c>
    </row>
    <row r="2" spans="1:6" x14ac:dyDescent="0.25">
      <c r="A2" s="3"/>
      <c r="F2">
        <v>24560</v>
      </c>
    </row>
    <row r="3" spans="1:6" x14ac:dyDescent="0.25">
      <c r="A3" s="3"/>
      <c r="F3">
        <v>23630</v>
      </c>
    </row>
    <row r="4" spans="1:6" x14ac:dyDescent="0.25">
      <c r="A4" s="3"/>
      <c r="F4">
        <v>19300</v>
      </c>
    </row>
    <row r="5" spans="1:6" x14ac:dyDescent="0.25">
      <c r="A5" s="3"/>
      <c r="F5">
        <v>33630</v>
      </c>
    </row>
    <row r="6" spans="1:6" x14ac:dyDescent="0.25">
      <c r="A6" s="3"/>
      <c r="F6">
        <v>39880</v>
      </c>
    </row>
    <row r="7" spans="1:6" x14ac:dyDescent="0.25">
      <c r="A7" s="3"/>
      <c r="F7">
        <v>12270</v>
      </c>
    </row>
    <row r="8" spans="1:6" x14ac:dyDescent="0.25">
      <c r="F8">
        <v>29780</v>
      </c>
    </row>
    <row r="9" spans="1:6" x14ac:dyDescent="0.25">
      <c r="F9">
        <v>24560</v>
      </c>
    </row>
    <row r="10" spans="1:6" x14ac:dyDescent="0.25">
      <c r="F10">
        <v>23630</v>
      </c>
    </row>
    <row r="11" spans="1:6" x14ac:dyDescent="0.25">
      <c r="F11">
        <v>19300</v>
      </c>
    </row>
    <row r="12" spans="1:6" x14ac:dyDescent="0.25">
      <c r="F12">
        <v>33630</v>
      </c>
    </row>
    <row r="13" spans="1:6" x14ac:dyDescent="0.25">
      <c r="F13">
        <v>39880</v>
      </c>
    </row>
    <row r="14" spans="1:6" x14ac:dyDescent="0.25">
      <c r="F14">
        <v>12270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2025-04-04T18:40:32Z</dcterms:created>
  <dcterms:modified xsi:type="dcterms:W3CDTF">2025-04-04T19:40:38Z</dcterms:modified>
</cp:coreProperties>
</file>