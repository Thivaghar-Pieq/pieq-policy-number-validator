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9-05-25 Ritter\"/>
    </mc:Choice>
  </mc:AlternateContent>
  <xr:revisionPtr revIDLastSave="0" documentId="13_ncr:1_{7C5CF9E7-432D-494F-AB7C-1265EB3018A8}" xr6:coauthVersionLast="47" xr6:coauthVersionMax="47" xr10:uidLastSave="{00000000-0000-0000-0000-000000000000}"/>
  <bookViews>
    <workbookView xWindow="28680" yWindow="-120" windowWidth="29040" windowHeight="16440" activeTab="1" xr2:uid="{3C992C05-2FC2-47C6-8B52-B4E5DBDFD078}"/>
  </bookViews>
  <sheets>
    <sheet name="Commissions_Main Line Benefits,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H89" i="2" l="1"/>
  <c r="H85" i="2"/>
  <c r="H88" i="2"/>
  <c r="H84" i="2"/>
  <c r="H91" i="2"/>
  <c r="H87" i="2"/>
  <c r="H83" i="2"/>
  <c r="H82" i="2"/>
  <c r="H90" i="2"/>
  <c r="H86" i="2"/>
  <c r="H81" i="2"/>
  <c r="H80" i="2"/>
  <c r="H79" i="2"/>
  <c r="H78" i="2"/>
  <c r="H77" i="2"/>
  <c r="H76" i="2"/>
  <c r="H75" i="2"/>
  <c r="H74" i="2"/>
  <c r="H128" i="2"/>
  <c r="H114" i="2"/>
  <c r="H127" i="2"/>
  <c r="H113" i="2"/>
  <c r="H137" i="2"/>
  <c r="H126" i="2"/>
  <c r="H112" i="2"/>
  <c r="H111" i="2"/>
  <c r="H136" i="2"/>
  <c r="H125" i="2"/>
  <c r="H110" i="2"/>
  <c r="H109" i="2"/>
  <c r="H135" i="2"/>
  <c r="H124" i="2"/>
  <c r="H108" i="2"/>
  <c r="H107" i="2"/>
  <c r="H106" i="2"/>
  <c r="H105" i="2"/>
  <c r="H134" i="2"/>
  <c r="H123" i="2"/>
  <c r="H104" i="2"/>
  <c r="H103" i="2"/>
  <c r="H102" i="2"/>
  <c r="H101" i="2"/>
  <c r="H133" i="2"/>
  <c r="H122" i="2"/>
  <c r="H116" i="2"/>
  <c r="H100" i="2"/>
  <c r="H99" i="2"/>
  <c r="H98" i="2"/>
  <c r="H97" i="2"/>
  <c r="H92" i="2"/>
  <c r="H138" i="2"/>
  <c r="H132" i="2"/>
  <c r="H121" i="2"/>
  <c r="H115" i="2"/>
  <c r="H96" i="2"/>
  <c r="H95" i="2"/>
  <c r="H131" i="2"/>
  <c r="H130" i="2"/>
  <c r="H120" i="2"/>
  <c r="H94" i="2"/>
  <c r="H129" i="2"/>
  <c r="H119" i="2"/>
  <c r="H118" i="2"/>
  <c r="H93" i="2"/>
  <c r="H117" i="2"/>
  <c r="H73" i="2"/>
  <c r="H72" i="2"/>
  <c r="H71" i="2"/>
  <c r="H70" i="2"/>
  <c r="H65" i="2"/>
  <c r="H69" i="2"/>
  <c r="H68" i="2"/>
  <c r="H67" i="2"/>
  <c r="H66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89" i="2"/>
  <c r="E85" i="2"/>
  <c r="E88" i="2"/>
  <c r="E84" i="2"/>
  <c r="E91" i="2"/>
  <c r="E87" i="2"/>
  <c r="E83" i="2"/>
  <c r="E82" i="2"/>
  <c r="E90" i="2"/>
  <c r="E86" i="2"/>
  <c r="E81" i="2"/>
  <c r="E80" i="2"/>
  <c r="E17" i="2"/>
  <c r="E4" i="2"/>
  <c r="E51" i="2"/>
  <c r="E31" i="2"/>
  <c r="E63" i="2"/>
  <c r="E26" i="2"/>
  <c r="E20" i="2"/>
  <c r="E6" i="2"/>
  <c r="E10" i="2"/>
  <c r="E18" i="2"/>
  <c r="E64" i="2"/>
  <c r="E56" i="2"/>
  <c r="E12" i="2"/>
  <c r="E42" i="2"/>
  <c r="E65" i="2"/>
  <c r="E66" i="2"/>
  <c r="E22" i="2"/>
  <c r="E52" i="2"/>
  <c r="E53" i="2"/>
  <c r="E32" i="2"/>
  <c r="E67" i="2"/>
  <c r="E36" i="2"/>
  <c r="E27" i="2"/>
  <c r="E7" i="2"/>
  <c r="E68" i="2"/>
  <c r="E28" i="2"/>
  <c r="E43" i="2"/>
  <c r="E54" i="2"/>
  <c r="E73" i="2"/>
  <c r="E71" i="2"/>
  <c r="E77" i="2"/>
  <c r="E78" i="2"/>
  <c r="E99" i="2"/>
  <c r="E100" i="2"/>
  <c r="E114" i="2"/>
  <c r="E105" i="2"/>
  <c r="E111" i="2"/>
  <c r="E106" i="2"/>
  <c r="E107" i="2"/>
  <c r="E108" i="2"/>
  <c r="E112" i="2"/>
  <c r="E79" i="2"/>
  <c r="E116" i="2"/>
  <c r="E122" i="2"/>
  <c r="E128" i="2"/>
  <c r="E124" i="2"/>
  <c r="E119" i="2"/>
  <c r="E126" i="2"/>
  <c r="E135" i="2"/>
  <c r="E137" i="2"/>
  <c r="E131" i="2"/>
  <c r="E133" i="2"/>
  <c r="E13" i="2"/>
  <c r="E14" i="2"/>
  <c r="E2" i="2"/>
  <c r="E44" i="2"/>
  <c r="E29" i="2"/>
  <c r="E57" i="2"/>
  <c r="E23" i="2"/>
  <c r="E58" i="2"/>
  <c r="E69" i="2"/>
  <c r="E19" i="2"/>
  <c r="E5" i="2"/>
  <c r="E9" i="2"/>
  <c r="E15" i="2"/>
  <c r="E11" i="2"/>
  <c r="E37" i="2"/>
  <c r="E59" i="2"/>
  <c r="E60" i="2"/>
  <c r="E21" i="2"/>
  <c r="E45" i="2"/>
  <c r="E46" i="2"/>
  <c r="E30" i="2"/>
  <c r="E61" i="2"/>
  <c r="E33" i="2"/>
  <c r="E24" i="2"/>
  <c r="E8" i="2"/>
  <c r="E62" i="2"/>
  <c r="E25" i="2"/>
  <c r="E38" i="2"/>
  <c r="E47" i="2"/>
  <c r="E72" i="2"/>
  <c r="E70" i="2"/>
  <c r="E74" i="2"/>
  <c r="E75" i="2"/>
  <c r="E95" i="2"/>
  <c r="E96" i="2"/>
  <c r="E113" i="2"/>
  <c r="E101" i="2"/>
  <c r="E109" i="2"/>
  <c r="E102" i="2"/>
  <c r="E103" i="2"/>
  <c r="E104" i="2"/>
  <c r="E110" i="2"/>
  <c r="E76" i="2"/>
  <c r="E115" i="2"/>
  <c r="E121" i="2"/>
  <c r="E127" i="2"/>
  <c r="E123" i="2"/>
  <c r="E117" i="2"/>
  <c r="E125" i="2"/>
  <c r="E134" i="2"/>
  <c r="E136" i="2"/>
  <c r="E129" i="2"/>
  <c r="E132" i="2"/>
  <c r="E138" i="2"/>
  <c r="E92" i="2"/>
  <c r="E93" i="2"/>
  <c r="E94" i="2"/>
  <c r="E97" i="2"/>
  <c r="E98" i="2"/>
  <c r="E118" i="2"/>
  <c r="E120" i="2"/>
  <c r="E130" i="2"/>
  <c r="E48" i="2"/>
  <c r="E49" i="2"/>
  <c r="E55" i="2"/>
  <c r="E34" i="2"/>
  <c r="E39" i="2"/>
  <c r="E3" i="2"/>
  <c r="E50" i="2"/>
  <c r="E35" i="2"/>
  <c r="E40" i="2"/>
  <c r="E41" i="2"/>
  <c r="E16" i="2"/>
</calcChain>
</file>

<file path=xl/sharedStrings.xml><?xml version="1.0" encoding="utf-8"?>
<sst xmlns="http://schemas.openxmlformats.org/spreadsheetml/2006/main" count="1971" uniqueCount="169">
  <si>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</si>
  <si>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</si>
  <si>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</si>
  <si>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</si>
  <si>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</si>
  <si>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</si>
  <si>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</si>
  <si>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</si>
  <si>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</si>
  <si>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</si>
  <si>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</si>
  <si>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</si>
  <si>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Bobbi</t>
  </si>
  <si>
    <t>Zimmerman</t>
  </si>
  <si>
    <t>*****45790</t>
  </si>
  <si>
    <t>Highmark</t>
  </si>
  <si>
    <t>Highmark 2025 Comm Blue PA Full OR (ProRata: -12)</t>
  </si>
  <si>
    <t>Edna</t>
  </si>
  <si>
    <t>Zielinski</t>
  </si>
  <si>
    <t>*****81290</t>
  </si>
  <si>
    <t>Candice</t>
  </si>
  <si>
    <t>Sainato</t>
  </si>
  <si>
    <t>*****20230</t>
  </si>
  <si>
    <t>Highmark 2022-2025 PA DE &amp; WV Replace OR (ProRata: -4)</t>
  </si>
  <si>
    <t>David</t>
  </si>
  <si>
    <t>Mckivitz</t>
  </si>
  <si>
    <t>*****74200</t>
  </si>
  <si>
    <t>Highmark 2025 PA Replace OR (ProRata: -4)</t>
  </si>
  <si>
    <t>Highmark 2025 Comm Blue PA Full OR 9/1 Trueup (ProRata: -12)</t>
  </si>
  <si>
    <t>Kuklis</t>
  </si>
  <si>
    <t>*****55510</t>
  </si>
  <si>
    <t>Highmark 2025 PA Replace OR (ProRata: -5)</t>
  </si>
  <si>
    <t>Highmark 2025 Comm Blue PA Full OR 8/1 Trueup (ProRata: -12)</t>
  </si>
  <si>
    <t>Mark</t>
  </si>
  <si>
    <t>Serpa</t>
  </si>
  <si>
    <t>*****59760</t>
  </si>
  <si>
    <t>Highmark 2025 Comm Blue PA Full OR (ProRata: -5)</t>
  </si>
  <si>
    <t>Emerson</t>
  </si>
  <si>
    <t>Evans</t>
  </si>
  <si>
    <t>*****91260</t>
  </si>
  <si>
    <t>Highmark 2022-2025 PA DE &amp; WV Replace OR (ProRata: -5)</t>
  </si>
  <si>
    <t>Highmark 2023-2025 PA WV Renewal OR 8/1 Trueup (ProRata: -12)</t>
  </si>
  <si>
    <t>Barry</t>
  </si>
  <si>
    <t>*****37270</t>
  </si>
  <si>
    <t>Highmark 2025 PA Replace OR (ProRata: 5)</t>
  </si>
  <si>
    <t>Klaus Herchenroder</t>
  </si>
  <si>
    <t>Theresa</t>
  </si>
  <si>
    <t>*****00640</t>
  </si>
  <si>
    <t>Highmark 2024-25 DE / WNY Renewal OR (ProRata: -5)</t>
  </si>
  <si>
    <t>Marina O'Brien</t>
  </si>
  <si>
    <t>Sujata</t>
  </si>
  <si>
    <t>Naik</t>
  </si>
  <si>
    <t>*****49730</t>
  </si>
  <si>
    <t>Highmark 2025 PA Replace OR (ProRata: -3)</t>
  </si>
  <si>
    <t>Amy</t>
  </si>
  <si>
    <t>Cosentino</t>
  </si>
  <si>
    <t>*****47880</t>
  </si>
  <si>
    <t>Wayne</t>
  </si>
  <si>
    <t>Wells</t>
  </si>
  <si>
    <t>*****47890</t>
  </si>
  <si>
    <t>Highmark 2025 Comm Blue PA Full OR 10/1 TrueUp (ProRata: -12)</t>
  </si>
  <si>
    <t>Mark Roccia</t>
  </si>
  <si>
    <t>Diane</t>
  </si>
  <si>
    <t>Brackbill</t>
  </si>
  <si>
    <t>*****87700</t>
  </si>
  <si>
    <t>Michelle McCorkle</t>
  </si>
  <si>
    <t>Eric</t>
  </si>
  <si>
    <t>Rupert</t>
  </si>
  <si>
    <t>*****81990</t>
  </si>
  <si>
    <t>Richard</t>
  </si>
  <si>
    <t>Ryan</t>
  </si>
  <si>
    <t>*****93110</t>
  </si>
  <si>
    <t>Elaine</t>
  </si>
  <si>
    <t>Wasko</t>
  </si>
  <si>
    <t>*****88580</t>
  </si>
  <si>
    <t>Highmark 2025 PA Replace OR (ProRata: -2)</t>
  </si>
  <si>
    <t>Terence</t>
  </si>
  <si>
    <t>Jacob</t>
  </si>
  <si>
    <t>*****67170</t>
  </si>
  <si>
    <t>Highmark 2023-2024  Comm Blue PA Full OR</t>
  </si>
  <si>
    <t>Patricia Long</t>
  </si>
  <si>
    <t>Craig</t>
  </si>
  <si>
    <t>Spragle</t>
  </si>
  <si>
    <t>*****97130</t>
  </si>
  <si>
    <t>Forrest</t>
  </si>
  <si>
    <t>Graver</t>
  </si>
  <si>
    <t>*****66990</t>
  </si>
  <si>
    <t>Irene</t>
  </si>
  <si>
    <t>Hayward</t>
  </si>
  <si>
    <t>*****71400</t>
  </si>
  <si>
    <t>Anne Kozacheck</t>
  </si>
  <si>
    <t>Delyn</t>
  </si>
  <si>
    <t>Byerly</t>
  </si>
  <si>
    <t>*****13020</t>
  </si>
  <si>
    <t>Highmark 2025 PDP Replace Street (ProRata: -3)</t>
  </si>
  <si>
    <t>Highmark 2025 PDP Initial 10/1 True Up (ProRata: -12)</t>
  </si>
  <si>
    <t>Highmark 2025 PA Initial Street (ProRata: -12)</t>
  </si>
  <si>
    <t>Highmark 2025 PA Replace Street / TrueUp (ProRata: -4)</t>
  </si>
  <si>
    <t>Highmark 2025 PA Street 9/1 True Up (ProRata: -12)</t>
  </si>
  <si>
    <t>Highmark 2025 PA Replace Street / TrueUp (ProRata: -5)</t>
  </si>
  <si>
    <t>Highmark 2025 PA Street 8/1 True Up (ProRata: -12)</t>
  </si>
  <si>
    <t>Highmark 2025 PA Replace Street / TrueUp (ProRata: -2)</t>
  </si>
  <si>
    <t>Highmark 2025 PA Replace Street / TrueUp (ProRata: -3)</t>
  </si>
  <si>
    <t>Highmark 2025 Comm Blue PA Full OR</t>
  </si>
  <si>
    <t>Highmark 2022-2025 PA DE &amp; WV Replace OR (ProRata: 4)</t>
  </si>
  <si>
    <t>Highmark 2025 PA Replace OR (ProRata: 4)</t>
  </si>
  <si>
    <t>Highmark 2025 Comm Blue PA Full OR 9/1 Trueup</t>
  </si>
  <si>
    <t>Highmark 2025 Comm Blue PA Full OR 8/1 Trueup</t>
  </si>
  <si>
    <t>Highmark 2025 Comm Blue PA Full OR (ProRata: 5)</t>
  </si>
  <si>
    <t>Highmark 2022-2025 PA DE &amp; WV Replace OR (ProRata: 5)</t>
  </si>
  <si>
    <t>Highmark 2023-2025 PA WV Renewal OR 8/1 Trueup</t>
  </si>
  <si>
    <t>Highmark 2024-25 DE / WNY Renewal OR (ProRata: 5)</t>
  </si>
  <si>
    <t>Highmark 2025 PA Replace OR (ProRata: 3)</t>
  </si>
  <si>
    <t>Highmark 2025 Comm Blue PA Full OR 10/1 TrueUp</t>
  </si>
  <si>
    <t>Highmark 2025 PA Replace OR (ProRata: 2)</t>
  </si>
  <si>
    <t>Highmark 2023-2024  Comm Blue PA Full OR (ProRata: -12)</t>
  </si>
  <si>
    <t>Highmark 2025 PDP Replace Street (ProRata: 3)</t>
  </si>
  <si>
    <t>Highmark 2025 PDP Initial 10/1 True Up</t>
  </si>
  <si>
    <t>Highmark 2025 PA Initial Street</t>
  </si>
  <si>
    <t>Highmark 2025 PA Replace Street / TrueUp (ProRata: 4)</t>
  </si>
  <si>
    <t>Highmark 2025 PA Street 9/1 True Up</t>
  </si>
  <si>
    <t>Highmark 2025 PA Replace Street / TrueUp (ProRata: 5)</t>
  </si>
  <si>
    <t>Highmark 2025 PA Street 8/1 True Up</t>
  </si>
  <si>
    <t>Highmark 2025 PA Replace Street / TrueUp (ProRata: 2)</t>
  </si>
  <si>
    <t>Highmark 2025 PA Replace Street / TrueUp (ProRata: 3)</t>
  </si>
  <si>
    <t>Scott Aguglia</t>
  </si>
  <si>
    <t>Candi</t>
  </si>
  <si>
    <t>Mengel</t>
  </si>
  <si>
    <t>*****05240</t>
  </si>
  <si>
    <t>Alison Luse</t>
  </si>
  <si>
    <t>Mary</t>
  </si>
  <si>
    <t>Reese</t>
  </si>
  <si>
    <t>*****04770</t>
  </si>
  <si>
    <t>Joyce</t>
  </si>
  <si>
    <t>Kweder</t>
  </si>
  <si>
    <t>*****34550</t>
  </si>
  <si>
    <t>George</t>
  </si>
  <si>
    <t>Rice</t>
  </si>
  <si>
    <t>*****69910</t>
  </si>
  <si>
    <t>Joann</t>
  </si>
  <si>
    <t>Homer</t>
  </si>
  <si>
    <t>*****61770</t>
  </si>
  <si>
    <t>Ann</t>
  </si>
  <si>
    <t>Paulikonis</t>
  </si>
  <si>
    <t>*****19440</t>
  </si>
  <si>
    <t>Hartman</t>
  </si>
  <si>
    <t>*****06530</t>
  </si>
  <si>
    <t>Daniel</t>
  </si>
  <si>
    <t>*****11490</t>
  </si>
  <si>
    <t>Leila</t>
  </si>
  <si>
    <t>Ojeil</t>
  </si>
  <si>
    <t>*****34090</t>
  </si>
  <si>
    <t>Deanna</t>
  </si>
  <si>
    <t>Wiseman</t>
  </si>
  <si>
    <t>*****52560</t>
  </si>
  <si>
    <t>Highmark 2025 Ovr</t>
  </si>
  <si>
    <t>Highmark 2025 PDP</t>
  </si>
  <si>
    <t>Highmark MAPD 2025.</t>
  </si>
  <si>
    <t>Highmark MAPD 2025..</t>
  </si>
  <si>
    <t>*****</t>
  </si>
  <si>
    <t>[%/$=353][prorate=4/12]</t>
  </si>
  <si>
    <t>[%/$=353][prorate=2/12]</t>
  </si>
  <si>
    <t>[%/$=353][prorate=3/12]</t>
  </si>
  <si>
    <t>[%/$=353][prorate=5/12]</t>
  </si>
  <si>
    <t>[%/$=705]</t>
  </si>
  <si>
    <t>Main Line Benefits</t>
  </si>
  <si>
    <t>9254978N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</si>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</sst>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14" fillId="0" borderId="0" xfId="0" applyFont="1" applyFill="1"/>
    <xf numFmtId="14" fontId="14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57C5-012E-471A-92AD-7C9AD99873FC}">
  <dimension ref="A1:K126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71093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0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 t="s">
        <v>14</v>
      </c>
      <c r="G2" s="1">
        <v>45870</v>
      </c>
      <c r="H2" s="1">
        <v>45905</v>
      </c>
      <c r="I2" t="s">
        <v>15</v>
      </c>
      <c r="J2" t="s">
        <v>16</v>
      </c>
      <c r="K2" s="2">
        <v>-110</v>
      </c>
    </row>
    <row r="3" spans="1:11" x14ac:dyDescent="0.25">
      <c r="A3" t="s">
        <v>11</v>
      </c>
      <c r="B3">
        <v>17528908</v>
      </c>
      <c r="C3">
        <v>17528908</v>
      </c>
      <c r="D3" t="s">
        <v>17</v>
      </c>
      <c r="E3" t="s">
        <v>18</v>
      </c>
      <c r="F3" t="s">
        <v>19</v>
      </c>
      <c r="G3" s="1">
        <v>45870</v>
      </c>
      <c r="H3" s="1">
        <v>45905</v>
      </c>
      <c r="I3" t="s">
        <v>15</v>
      </c>
      <c r="J3" t="s">
        <v>16</v>
      </c>
      <c r="K3" s="2">
        <v>-110</v>
      </c>
    </row>
    <row r="4" spans="1:11" x14ac:dyDescent="0.25">
      <c r="A4" t="s">
        <v>11</v>
      </c>
      <c r="B4">
        <v>17528908</v>
      </c>
      <c r="C4">
        <v>17528908</v>
      </c>
      <c r="D4" t="s">
        <v>20</v>
      </c>
      <c r="E4" t="s">
        <v>21</v>
      </c>
      <c r="F4" t="s">
        <v>22</v>
      </c>
      <c r="G4" s="1">
        <v>45901</v>
      </c>
      <c r="H4" s="1">
        <v>45905</v>
      </c>
      <c r="I4" t="s">
        <v>15</v>
      </c>
      <c r="J4" t="s">
        <v>23</v>
      </c>
      <c r="K4" s="2">
        <v>-20.83</v>
      </c>
    </row>
    <row r="5" spans="1:11" x14ac:dyDescent="0.25">
      <c r="A5" t="s">
        <v>11</v>
      </c>
      <c r="B5">
        <v>17528908</v>
      </c>
      <c r="C5">
        <v>17528908</v>
      </c>
      <c r="D5" t="s">
        <v>24</v>
      </c>
      <c r="E5" t="s">
        <v>25</v>
      </c>
      <c r="F5" t="s">
        <v>26</v>
      </c>
      <c r="G5" s="1">
        <v>45901</v>
      </c>
      <c r="H5" s="1">
        <v>45905</v>
      </c>
      <c r="I5" t="s">
        <v>15</v>
      </c>
      <c r="J5" t="s">
        <v>27</v>
      </c>
      <c r="K5" s="2">
        <v>-24.16</v>
      </c>
    </row>
    <row r="6" spans="1:11" x14ac:dyDescent="0.25">
      <c r="A6" t="s">
        <v>11</v>
      </c>
      <c r="B6">
        <v>17528908</v>
      </c>
      <c r="C6">
        <v>17528908</v>
      </c>
      <c r="D6" t="s">
        <v>24</v>
      </c>
      <c r="E6" t="s">
        <v>25</v>
      </c>
      <c r="F6" t="s">
        <v>26</v>
      </c>
      <c r="G6" s="1">
        <v>45901</v>
      </c>
      <c r="H6" s="1">
        <v>45905</v>
      </c>
      <c r="I6" t="s">
        <v>15</v>
      </c>
      <c r="J6" t="s">
        <v>28</v>
      </c>
      <c r="K6" s="2">
        <v>-85.83</v>
      </c>
    </row>
    <row r="7" spans="1:11" x14ac:dyDescent="0.25">
      <c r="A7" t="s">
        <v>11</v>
      </c>
      <c r="B7">
        <v>17528908</v>
      </c>
      <c r="C7">
        <v>17528908</v>
      </c>
      <c r="D7" t="s">
        <v>17</v>
      </c>
      <c r="E7" t="s">
        <v>29</v>
      </c>
      <c r="F7" t="s">
        <v>30</v>
      </c>
      <c r="G7" s="1">
        <v>45870</v>
      </c>
      <c r="H7" s="1">
        <v>45905</v>
      </c>
      <c r="I7" t="s">
        <v>15</v>
      </c>
      <c r="J7" t="s">
        <v>31</v>
      </c>
      <c r="K7" s="2">
        <v>-30.2</v>
      </c>
    </row>
    <row r="8" spans="1:11" x14ac:dyDescent="0.25">
      <c r="A8" t="s">
        <v>11</v>
      </c>
      <c r="B8">
        <v>17528908</v>
      </c>
      <c r="C8">
        <v>17528908</v>
      </c>
      <c r="D8" t="s">
        <v>17</v>
      </c>
      <c r="E8" t="s">
        <v>29</v>
      </c>
      <c r="F8" t="s">
        <v>30</v>
      </c>
      <c r="G8" s="1">
        <v>45870</v>
      </c>
      <c r="H8" s="1">
        <v>45905</v>
      </c>
      <c r="I8" t="s">
        <v>15</v>
      </c>
      <c r="J8" t="s">
        <v>32</v>
      </c>
      <c r="K8" s="2">
        <v>-79.790000000000006</v>
      </c>
    </row>
    <row r="9" spans="1:11" x14ac:dyDescent="0.25">
      <c r="A9" t="s">
        <v>11</v>
      </c>
      <c r="B9">
        <v>17528908</v>
      </c>
      <c r="C9">
        <v>17528908</v>
      </c>
      <c r="D9" t="s">
        <v>33</v>
      </c>
      <c r="E9" t="s">
        <v>34</v>
      </c>
      <c r="F9" t="s">
        <v>35</v>
      </c>
      <c r="G9" s="1">
        <v>45870</v>
      </c>
      <c r="H9" s="1">
        <v>45905</v>
      </c>
      <c r="I9" t="s">
        <v>15</v>
      </c>
      <c r="J9" t="s">
        <v>36</v>
      </c>
      <c r="K9" s="2">
        <v>-45.83</v>
      </c>
    </row>
    <row r="10" spans="1:11" x14ac:dyDescent="0.25">
      <c r="A10" t="s">
        <v>11</v>
      </c>
      <c r="B10">
        <v>17528908</v>
      </c>
      <c r="C10">
        <v>17528908</v>
      </c>
      <c r="D10" t="s">
        <v>37</v>
      </c>
      <c r="E10" t="s">
        <v>38</v>
      </c>
      <c r="F10" t="s">
        <v>39</v>
      </c>
      <c r="G10" s="1">
        <v>45870</v>
      </c>
      <c r="H10" s="1">
        <v>45905</v>
      </c>
      <c r="I10" t="s">
        <v>15</v>
      </c>
      <c r="J10" t="s">
        <v>40</v>
      </c>
      <c r="K10" s="2">
        <v>-26.04</v>
      </c>
    </row>
    <row r="11" spans="1:11" x14ac:dyDescent="0.25">
      <c r="A11" t="s">
        <v>11</v>
      </c>
      <c r="B11">
        <v>17528908</v>
      </c>
      <c r="C11">
        <v>17528908</v>
      </c>
      <c r="D11" t="s">
        <v>37</v>
      </c>
      <c r="E11" t="s">
        <v>38</v>
      </c>
      <c r="F11" t="s">
        <v>39</v>
      </c>
      <c r="G11" s="1">
        <v>45870</v>
      </c>
      <c r="H11" s="1">
        <v>45905</v>
      </c>
      <c r="I11" t="s">
        <v>15</v>
      </c>
      <c r="J11" t="s">
        <v>41</v>
      </c>
      <c r="K11" s="2">
        <v>-73.959999999999994</v>
      </c>
    </row>
    <row r="12" spans="1:11" x14ac:dyDescent="0.25">
      <c r="A12" t="s">
        <v>11</v>
      </c>
      <c r="B12">
        <v>17528908</v>
      </c>
      <c r="C12">
        <v>17528908</v>
      </c>
      <c r="D12" t="s">
        <v>42</v>
      </c>
      <c r="E12" t="s">
        <v>18</v>
      </c>
      <c r="F12" t="s">
        <v>43</v>
      </c>
      <c r="G12" s="1">
        <v>45870</v>
      </c>
      <c r="H12" s="1">
        <v>45905</v>
      </c>
      <c r="I12" t="s">
        <v>15</v>
      </c>
      <c r="J12" t="s">
        <v>16</v>
      </c>
      <c r="K12" s="2">
        <v>-110</v>
      </c>
    </row>
    <row r="13" spans="1:11" x14ac:dyDescent="0.25">
      <c r="A13" t="s">
        <v>11</v>
      </c>
      <c r="B13">
        <v>17528908</v>
      </c>
      <c r="C13">
        <v>17528908</v>
      </c>
      <c r="D13" t="s">
        <v>33</v>
      </c>
      <c r="E13" t="s">
        <v>34</v>
      </c>
      <c r="F13" t="s">
        <v>35</v>
      </c>
      <c r="G13" s="1">
        <v>45870</v>
      </c>
      <c r="H13" s="1">
        <v>45905</v>
      </c>
      <c r="I13" t="s">
        <v>15</v>
      </c>
      <c r="J13" t="s">
        <v>31</v>
      </c>
      <c r="K13" s="2">
        <v>-30.2</v>
      </c>
    </row>
    <row r="14" spans="1:11" x14ac:dyDescent="0.25">
      <c r="A14" t="s">
        <v>11</v>
      </c>
      <c r="B14">
        <v>17528908</v>
      </c>
      <c r="C14">
        <v>17528908</v>
      </c>
      <c r="D14" t="s">
        <v>33</v>
      </c>
      <c r="E14" t="s">
        <v>34</v>
      </c>
      <c r="F14" t="s">
        <v>35</v>
      </c>
      <c r="G14" s="1">
        <v>45870</v>
      </c>
      <c r="H14" s="1">
        <v>45905</v>
      </c>
      <c r="I14" t="s">
        <v>15</v>
      </c>
      <c r="J14" t="s">
        <v>44</v>
      </c>
      <c r="K14" s="2">
        <v>30.2</v>
      </c>
    </row>
    <row r="15" spans="1:11" x14ac:dyDescent="0.25">
      <c r="A15" t="s">
        <v>45</v>
      </c>
      <c r="C15">
        <v>14936854</v>
      </c>
      <c r="D15" t="s">
        <v>46</v>
      </c>
      <c r="E15" t="s">
        <v>38</v>
      </c>
      <c r="F15" t="s">
        <v>47</v>
      </c>
      <c r="G15" s="1">
        <v>45870</v>
      </c>
      <c r="H15" s="1">
        <v>45905</v>
      </c>
      <c r="I15" t="s">
        <v>15</v>
      </c>
      <c r="J15" t="s">
        <v>48</v>
      </c>
      <c r="K15" s="2">
        <v>-20.83</v>
      </c>
    </row>
    <row r="16" spans="1:11" x14ac:dyDescent="0.25">
      <c r="A16" t="s">
        <v>49</v>
      </c>
      <c r="C16">
        <v>16865242</v>
      </c>
      <c r="D16" t="s">
        <v>50</v>
      </c>
      <c r="E16" t="s">
        <v>51</v>
      </c>
      <c r="F16" t="s">
        <v>52</v>
      </c>
      <c r="G16" s="1">
        <v>45931</v>
      </c>
      <c r="H16" s="1">
        <v>45905</v>
      </c>
      <c r="I16" t="s">
        <v>15</v>
      </c>
      <c r="J16" t="s">
        <v>53</v>
      </c>
      <c r="K16" s="2">
        <v>-18.12</v>
      </c>
    </row>
    <row r="17" spans="1:11" x14ac:dyDescent="0.25">
      <c r="A17" t="s">
        <v>49</v>
      </c>
      <c r="C17">
        <v>16865242</v>
      </c>
      <c r="D17" t="s">
        <v>54</v>
      </c>
      <c r="E17" t="s">
        <v>55</v>
      </c>
      <c r="F17" t="s">
        <v>56</v>
      </c>
      <c r="G17" s="1">
        <v>45870</v>
      </c>
      <c r="H17" s="1">
        <v>45905</v>
      </c>
      <c r="I17" t="s">
        <v>15</v>
      </c>
      <c r="J17" t="s">
        <v>31</v>
      </c>
      <c r="K17" s="2">
        <v>-30.2</v>
      </c>
    </row>
    <row r="18" spans="1:11" x14ac:dyDescent="0.25">
      <c r="A18" t="s">
        <v>49</v>
      </c>
      <c r="C18">
        <v>16865242</v>
      </c>
      <c r="D18" t="s">
        <v>57</v>
      </c>
      <c r="E18" t="s">
        <v>58</v>
      </c>
      <c r="F18" t="s">
        <v>59</v>
      </c>
      <c r="G18" s="1">
        <v>45870</v>
      </c>
      <c r="H18" s="1">
        <v>45905</v>
      </c>
      <c r="I18" t="s">
        <v>15</v>
      </c>
      <c r="J18" t="s">
        <v>31</v>
      </c>
      <c r="K18" s="2">
        <v>-30.2</v>
      </c>
    </row>
    <row r="19" spans="1:11" x14ac:dyDescent="0.25">
      <c r="A19" t="s">
        <v>49</v>
      </c>
      <c r="C19">
        <v>16865242</v>
      </c>
      <c r="D19" t="s">
        <v>50</v>
      </c>
      <c r="E19" t="s">
        <v>51</v>
      </c>
      <c r="F19" t="s">
        <v>52</v>
      </c>
      <c r="G19" s="1">
        <v>45931</v>
      </c>
      <c r="H19" s="1">
        <v>45905</v>
      </c>
      <c r="I19" t="s">
        <v>15</v>
      </c>
      <c r="J19" t="s">
        <v>60</v>
      </c>
      <c r="K19" s="2">
        <v>-91.88</v>
      </c>
    </row>
    <row r="20" spans="1:11" x14ac:dyDescent="0.25">
      <c r="A20" t="s">
        <v>61</v>
      </c>
      <c r="C20">
        <v>21618313</v>
      </c>
      <c r="D20" t="s">
        <v>62</v>
      </c>
      <c r="E20" t="s">
        <v>63</v>
      </c>
      <c r="F20" t="s">
        <v>64</v>
      </c>
      <c r="G20" s="1">
        <v>45901</v>
      </c>
      <c r="H20" s="1">
        <v>45905</v>
      </c>
      <c r="I20" t="s">
        <v>15</v>
      </c>
      <c r="J20" t="s">
        <v>27</v>
      </c>
      <c r="K20" s="2">
        <v>-24.16</v>
      </c>
    </row>
    <row r="21" spans="1:11" x14ac:dyDescent="0.25">
      <c r="A21" t="s">
        <v>65</v>
      </c>
      <c r="C21">
        <v>18710070</v>
      </c>
      <c r="D21" t="s">
        <v>66</v>
      </c>
      <c r="E21" t="s">
        <v>67</v>
      </c>
      <c r="F21" t="s">
        <v>68</v>
      </c>
      <c r="G21" s="1">
        <v>45901</v>
      </c>
      <c r="H21" s="1">
        <v>45905</v>
      </c>
      <c r="I21" t="s">
        <v>15</v>
      </c>
      <c r="J21" t="s">
        <v>27</v>
      </c>
      <c r="K21" s="2">
        <v>-24.16</v>
      </c>
    </row>
    <row r="22" spans="1:11" x14ac:dyDescent="0.25">
      <c r="A22" t="s">
        <v>65</v>
      </c>
      <c r="C22">
        <v>18710070</v>
      </c>
      <c r="D22" t="s">
        <v>66</v>
      </c>
      <c r="E22" t="s">
        <v>67</v>
      </c>
      <c r="F22" t="s">
        <v>68</v>
      </c>
      <c r="G22" s="1">
        <v>45901</v>
      </c>
      <c r="H22" s="1">
        <v>45905</v>
      </c>
      <c r="I22" t="s">
        <v>15</v>
      </c>
      <c r="J22" t="s">
        <v>28</v>
      </c>
      <c r="K22" s="2">
        <v>-85.83</v>
      </c>
    </row>
    <row r="23" spans="1:11" x14ac:dyDescent="0.25">
      <c r="A23" t="s">
        <v>65</v>
      </c>
      <c r="C23">
        <v>18710070</v>
      </c>
      <c r="D23" t="s">
        <v>69</v>
      </c>
      <c r="E23" t="s">
        <v>70</v>
      </c>
      <c r="F23" t="s">
        <v>71</v>
      </c>
      <c r="G23" s="1">
        <v>45870</v>
      </c>
      <c r="H23" s="1">
        <v>45905</v>
      </c>
      <c r="I23" t="s">
        <v>15</v>
      </c>
      <c r="J23" t="s">
        <v>31</v>
      </c>
      <c r="K23" s="2">
        <v>-30.2</v>
      </c>
    </row>
    <row r="24" spans="1:11" x14ac:dyDescent="0.25">
      <c r="A24" t="s">
        <v>65</v>
      </c>
      <c r="C24">
        <v>18710070</v>
      </c>
      <c r="D24" t="s">
        <v>72</v>
      </c>
      <c r="E24" t="s">
        <v>73</v>
      </c>
      <c r="F24" t="s">
        <v>74</v>
      </c>
      <c r="G24" s="1">
        <v>45962</v>
      </c>
      <c r="H24" s="1">
        <v>45905</v>
      </c>
      <c r="I24" t="s">
        <v>15</v>
      </c>
      <c r="J24" t="s">
        <v>75</v>
      </c>
      <c r="K24" s="2">
        <v>-12.08</v>
      </c>
    </row>
    <row r="25" spans="1:11" x14ac:dyDescent="0.25">
      <c r="A25" t="s">
        <v>65</v>
      </c>
      <c r="C25">
        <v>18710070</v>
      </c>
      <c r="D25" t="s">
        <v>69</v>
      </c>
      <c r="E25" t="s">
        <v>70</v>
      </c>
      <c r="F25" t="s">
        <v>71</v>
      </c>
      <c r="G25" s="1">
        <v>45870</v>
      </c>
      <c r="H25" s="1">
        <v>45905</v>
      </c>
      <c r="I25" t="s">
        <v>15</v>
      </c>
      <c r="J25" t="s">
        <v>32</v>
      </c>
      <c r="K25" s="2">
        <v>-79.790000000000006</v>
      </c>
    </row>
    <row r="26" spans="1:11" x14ac:dyDescent="0.25">
      <c r="A26" t="s">
        <v>65</v>
      </c>
      <c r="C26">
        <v>18710070</v>
      </c>
      <c r="D26" t="s">
        <v>76</v>
      </c>
      <c r="E26" t="s">
        <v>77</v>
      </c>
      <c r="F26" t="s">
        <v>78</v>
      </c>
      <c r="G26" s="1">
        <v>45992</v>
      </c>
      <c r="H26" s="1">
        <v>45905</v>
      </c>
      <c r="I26" t="s">
        <v>15</v>
      </c>
      <c r="J26" t="s">
        <v>79</v>
      </c>
      <c r="K26" s="2">
        <v>112.5</v>
      </c>
    </row>
    <row r="27" spans="1:11" x14ac:dyDescent="0.25">
      <c r="A27" t="s">
        <v>80</v>
      </c>
      <c r="B27">
        <v>18794740</v>
      </c>
      <c r="C27">
        <v>18794740</v>
      </c>
      <c r="D27" t="s">
        <v>81</v>
      </c>
      <c r="E27" t="s">
        <v>82</v>
      </c>
      <c r="F27" t="s">
        <v>83</v>
      </c>
      <c r="G27" s="1">
        <v>45870</v>
      </c>
      <c r="H27" s="1">
        <v>45905</v>
      </c>
      <c r="I27" t="s">
        <v>15</v>
      </c>
      <c r="J27" t="s">
        <v>31</v>
      </c>
      <c r="K27" s="2">
        <v>-30.2</v>
      </c>
    </row>
    <row r="28" spans="1:11" x14ac:dyDescent="0.25">
      <c r="A28" t="s">
        <v>80</v>
      </c>
      <c r="B28">
        <v>18794740</v>
      </c>
      <c r="C28">
        <v>18794740</v>
      </c>
      <c r="D28" t="s">
        <v>81</v>
      </c>
      <c r="E28" t="s">
        <v>82</v>
      </c>
      <c r="F28" t="s">
        <v>83</v>
      </c>
      <c r="G28" s="1">
        <v>45870</v>
      </c>
      <c r="H28" s="1">
        <v>45905</v>
      </c>
      <c r="I28" t="s">
        <v>15</v>
      </c>
      <c r="J28" t="s">
        <v>32</v>
      </c>
      <c r="K28" s="2">
        <v>-79.790000000000006</v>
      </c>
    </row>
    <row r="29" spans="1:11" x14ac:dyDescent="0.25">
      <c r="A29" t="s">
        <v>80</v>
      </c>
      <c r="B29">
        <v>18794740</v>
      </c>
      <c r="C29">
        <v>18794740</v>
      </c>
      <c r="D29" t="s">
        <v>84</v>
      </c>
      <c r="E29" t="s">
        <v>85</v>
      </c>
      <c r="F29" t="s">
        <v>86</v>
      </c>
      <c r="G29" s="1">
        <v>45931</v>
      </c>
      <c r="H29" s="1">
        <v>45905</v>
      </c>
      <c r="I29" t="s">
        <v>15</v>
      </c>
      <c r="J29" t="s">
        <v>53</v>
      </c>
      <c r="K29" s="2">
        <v>-18.12</v>
      </c>
    </row>
    <row r="30" spans="1:11" x14ac:dyDescent="0.25">
      <c r="A30" t="s">
        <v>80</v>
      </c>
      <c r="B30">
        <v>18794740</v>
      </c>
      <c r="C30">
        <v>18794740</v>
      </c>
      <c r="D30" t="s">
        <v>87</v>
      </c>
      <c r="E30" t="s">
        <v>88</v>
      </c>
      <c r="F30" t="s">
        <v>89</v>
      </c>
      <c r="G30" s="1">
        <v>45901</v>
      </c>
      <c r="H30" s="1">
        <v>45905</v>
      </c>
      <c r="I30" t="s">
        <v>15</v>
      </c>
      <c r="J30" t="s">
        <v>27</v>
      </c>
      <c r="K30" s="2">
        <v>-24.16</v>
      </c>
    </row>
    <row r="31" spans="1:11" x14ac:dyDescent="0.25">
      <c r="A31" t="s">
        <v>90</v>
      </c>
      <c r="B31">
        <v>19278370</v>
      </c>
      <c r="C31">
        <v>19278370</v>
      </c>
      <c r="D31" t="s">
        <v>91</v>
      </c>
      <c r="E31" t="s">
        <v>92</v>
      </c>
      <c r="F31" t="s">
        <v>93</v>
      </c>
      <c r="G31" s="1">
        <v>45931</v>
      </c>
      <c r="H31" s="1">
        <v>45905</v>
      </c>
      <c r="I31" t="s">
        <v>15</v>
      </c>
      <c r="J31" t="s">
        <v>94</v>
      </c>
      <c r="K31" s="2">
        <v>-13.75</v>
      </c>
    </row>
    <row r="32" spans="1:11" x14ac:dyDescent="0.25">
      <c r="A32" t="s">
        <v>90</v>
      </c>
      <c r="B32">
        <v>19278370</v>
      </c>
      <c r="C32">
        <v>19278370</v>
      </c>
      <c r="D32" t="s">
        <v>91</v>
      </c>
      <c r="E32" t="s">
        <v>92</v>
      </c>
      <c r="F32" t="s">
        <v>93</v>
      </c>
      <c r="G32" s="1">
        <v>45931</v>
      </c>
      <c r="H32" s="1">
        <v>45905</v>
      </c>
      <c r="I32" t="s">
        <v>15</v>
      </c>
      <c r="J32" t="s">
        <v>95</v>
      </c>
      <c r="K32" s="2">
        <v>-95.25</v>
      </c>
    </row>
    <row r="33" spans="1:11" x14ac:dyDescent="0.25">
      <c r="A33" t="s">
        <v>11</v>
      </c>
      <c r="B33">
        <v>17528908</v>
      </c>
      <c r="C33">
        <v>17528908</v>
      </c>
      <c r="D33" t="s">
        <v>12</v>
      </c>
      <c r="E33" t="s">
        <v>13</v>
      </c>
      <c r="F33" t="s">
        <v>14</v>
      </c>
      <c r="G33" s="1">
        <v>45870</v>
      </c>
      <c r="H33" s="1">
        <v>45905</v>
      </c>
      <c r="I33" t="s">
        <v>15</v>
      </c>
      <c r="J33" t="s">
        <v>96</v>
      </c>
      <c r="K33" s="2">
        <v>-705</v>
      </c>
    </row>
    <row r="34" spans="1:11" x14ac:dyDescent="0.25">
      <c r="A34" t="s">
        <v>11</v>
      </c>
      <c r="B34">
        <v>17528908</v>
      </c>
      <c r="C34">
        <v>17528908</v>
      </c>
      <c r="D34" t="s">
        <v>17</v>
      </c>
      <c r="E34" t="s">
        <v>18</v>
      </c>
      <c r="F34" t="s">
        <v>19</v>
      </c>
      <c r="G34" s="1">
        <v>45870</v>
      </c>
      <c r="H34" s="1">
        <v>45905</v>
      </c>
      <c r="I34" t="s">
        <v>15</v>
      </c>
      <c r="J34" t="s">
        <v>96</v>
      </c>
      <c r="K34" s="2">
        <v>-705</v>
      </c>
    </row>
    <row r="35" spans="1:11" x14ac:dyDescent="0.25">
      <c r="A35" t="s">
        <v>11</v>
      </c>
      <c r="B35">
        <v>17528908</v>
      </c>
      <c r="C35">
        <v>17528908</v>
      </c>
      <c r="D35" t="s">
        <v>20</v>
      </c>
      <c r="E35" t="s">
        <v>21</v>
      </c>
      <c r="F35" t="s">
        <v>22</v>
      </c>
      <c r="G35" s="1">
        <v>45901</v>
      </c>
      <c r="H35" s="1">
        <v>45905</v>
      </c>
      <c r="I35" t="s">
        <v>15</v>
      </c>
      <c r="J35" t="s">
        <v>97</v>
      </c>
      <c r="K35" s="2">
        <v>-117.66</v>
      </c>
    </row>
    <row r="36" spans="1:11" x14ac:dyDescent="0.25">
      <c r="A36" t="s">
        <v>11</v>
      </c>
      <c r="B36">
        <v>17528908</v>
      </c>
      <c r="C36">
        <v>17528908</v>
      </c>
      <c r="D36" t="s">
        <v>24</v>
      </c>
      <c r="E36" t="s">
        <v>25</v>
      </c>
      <c r="F36" t="s">
        <v>26</v>
      </c>
      <c r="G36" s="1">
        <v>45901</v>
      </c>
      <c r="H36" s="1">
        <v>45905</v>
      </c>
      <c r="I36" t="s">
        <v>15</v>
      </c>
      <c r="J36" t="s">
        <v>97</v>
      </c>
      <c r="K36" s="2">
        <v>-117.66</v>
      </c>
    </row>
    <row r="37" spans="1:11" x14ac:dyDescent="0.25">
      <c r="A37" t="s">
        <v>11</v>
      </c>
      <c r="B37">
        <v>17528908</v>
      </c>
      <c r="C37">
        <v>17528908</v>
      </c>
      <c r="D37" t="s">
        <v>24</v>
      </c>
      <c r="E37" t="s">
        <v>25</v>
      </c>
      <c r="F37" t="s">
        <v>26</v>
      </c>
      <c r="G37" s="1">
        <v>45901</v>
      </c>
      <c r="H37" s="1">
        <v>45905</v>
      </c>
      <c r="I37" t="s">
        <v>15</v>
      </c>
      <c r="J37" t="s">
        <v>98</v>
      </c>
      <c r="K37" s="2">
        <v>-587.33000000000004</v>
      </c>
    </row>
    <row r="38" spans="1:11" x14ac:dyDescent="0.25">
      <c r="A38" t="s">
        <v>11</v>
      </c>
      <c r="B38">
        <v>17528908</v>
      </c>
      <c r="C38">
        <v>17528908</v>
      </c>
      <c r="D38" t="s">
        <v>17</v>
      </c>
      <c r="E38" t="s">
        <v>29</v>
      </c>
      <c r="F38" t="s">
        <v>30</v>
      </c>
      <c r="G38" s="1">
        <v>45870</v>
      </c>
      <c r="H38" s="1">
        <v>45905</v>
      </c>
      <c r="I38" t="s">
        <v>15</v>
      </c>
      <c r="J38" t="s">
        <v>99</v>
      </c>
      <c r="K38" s="2">
        <v>-147.08000000000001</v>
      </c>
    </row>
    <row r="39" spans="1:11" x14ac:dyDescent="0.25">
      <c r="A39" t="s">
        <v>11</v>
      </c>
      <c r="B39">
        <v>17528908</v>
      </c>
      <c r="C39">
        <v>17528908</v>
      </c>
      <c r="D39" t="s">
        <v>17</v>
      </c>
      <c r="E39" t="s">
        <v>29</v>
      </c>
      <c r="F39" t="s">
        <v>30</v>
      </c>
      <c r="G39" s="1">
        <v>45870</v>
      </c>
      <c r="H39" s="1">
        <v>45905</v>
      </c>
      <c r="I39" t="s">
        <v>15</v>
      </c>
      <c r="J39" t="s">
        <v>100</v>
      </c>
      <c r="K39" s="2">
        <v>-557.91999999999996</v>
      </c>
    </row>
    <row r="40" spans="1:11" x14ac:dyDescent="0.25">
      <c r="A40" t="s">
        <v>11</v>
      </c>
      <c r="B40">
        <v>17528908</v>
      </c>
      <c r="C40">
        <v>17528908</v>
      </c>
      <c r="D40" t="s">
        <v>33</v>
      </c>
      <c r="E40" t="s">
        <v>34</v>
      </c>
      <c r="F40" t="s">
        <v>35</v>
      </c>
      <c r="G40" s="1">
        <v>45870</v>
      </c>
      <c r="H40" s="1">
        <v>45905</v>
      </c>
      <c r="I40" t="s">
        <v>15</v>
      </c>
      <c r="J40" t="s">
        <v>99</v>
      </c>
      <c r="K40" s="2">
        <v>-147.08000000000001</v>
      </c>
    </row>
    <row r="41" spans="1:11" x14ac:dyDescent="0.25">
      <c r="A41" t="s">
        <v>11</v>
      </c>
      <c r="B41">
        <v>17528908</v>
      </c>
      <c r="C41">
        <v>17528908</v>
      </c>
      <c r="D41" t="s">
        <v>33</v>
      </c>
      <c r="E41" t="s">
        <v>34</v>
      </c>
      <c r="F41" t="s">
        <v>35</v>
      </c>
      <c r="G41" s="1">
        <v>45870</v>
      </c>
      <c r="H41" s="1">
        <v>45905</v>
      </c>
      <c r="I41" t="s">
        <v>15</v>
      </c>
      <c r="J41" t="s">
        <v>99</v>
      </c>
      <c r="K41" s="2">
        <v>-147.08000000000001</v>
      </c>
    </row>
    <row r="42" spans="1:11" x14ac:dyDescent="0.25">
      <c r="A42" t="s">
        <v>11</v>
      </c>
      <c r="B42">
        <v>17528908</v>
      </c>
      <c r="C42">
        <v>17528908</v>
      </c>
      <c r="D42" t="s">
        <v>37</v>
      </c>
      <c r="E42" t="s">
        <v>38</v>
      </c>
      <c r="F42" t="s">
        <v>39</v>
      </c>
      <c r="G42" s="1">
        <v>45870</v>
      </c>
      <c r="H42" s="1">
        <v>45905</v>
      </c>
      <c r="I42" t="s">
        <v>15</v>
      </c>
      <c r="J42" t="s">
        <v>99</v>
      </c>
      <c r="K42" s="2">
        <v>-147.08000000000001</v>
      </c>
    </row>
    <row r="43" spans="1:11" x14ac:dyDescent="0.25">
      <c r="A43" t="s">
        <v>11</v>
      </c>
      <c r="B43">
        <v>17528908</v>
      </c>
      <c r="C43">
        <v>17528908</v>
      </c>
      <c r="D43" t="s">
        <v>37</v>
      </c>
      <c r="E43" t="s">
        <v>38</v>
      </c>
      <c r="F43" t="s">
        <v>39</v>
      </c>
      <c r="G43" s="1">
        <v>45870</v>
      </c>
      <c r="H43" s="1">
        <v>45905</v>
      </c>
      <c r="I43" t="s">
        <v>15</v>
      </c>
      <c r="J43" t="s">
        <v>100</v>
      </c>
      <c r="K43" s="2">
        <v>-557.91999999999996</v>
      </c>
    </row>
    <row r="44" spans="1:11" x14ac:dyDescent="0.25">
      <c r="A44" t="s">
        <v>11</v>
      </c>
      <c r="B44">
        <v>17528908</v>
      </c>
      <c r="C44">
        <v>17528908</v>
      </c>
      <c r="D44" t="s">
        <v>42</v>
      </c>
      <c r="E44" t="s">
        <v>18</v>
      </c>
      <c r="F44" t="s">
        <v>43</v>
      </c>
      <c r="G44" s="1">
        <v>45870</v>
      </c>
      <c r="H44" s="1">
        <v>45905</v>
      </c>
      <c r="I44" t="s">
        <v>15</v>
      </c>
      <c r="J44" t="s">
        <v>96</v>
      </c>
      <c r="K44" s="2">
        <v>-705</v>
      </c>
    </row>
    <row r="45" spans="1:11" x14ac:dyDescent="0.25">
      <c r="A45" t="s">
        <v>61</v>
      </c>
      <c r="C45">
        <v>21618313</v>
      </c>
      <c r="D45" t="s">
        <v>62</v>
      </c>
      <c r="E45" t="s">
        <v>63</v>
      </c>
      <c r="F45" t="s">
        <v>64</v>
      </c>
      <c r="G45" s="1">
        <v>45901</v>
      </c>
      <c r="H45" s="1">
        <v>45905</v>
      </c>
      <c r="I45" t="s">
        <v>15</v>
      </c>
      <c r="J45" t="s">
        <v>97</v>
      </c>
      <c r="K45" s="2">
        <v>-117.66</v>
      </c>
    </row>
    <row r="46" spans="1:11" x14ac:dyDescent="0.25">
      <c r="A46" t="s">
        <v>65</v>
      </c>
      <c r="C46">
        <v>18710070</v>
      </c>
      <c r="D46" t="s">
        <v>66</v>
      </c>
      <c r="E46" t="s">
        <v>67</v>
      </c>
      <c r="F46" t="s">
        <v>68</v>
      </c>
      <c r="G46" s="1">
        <v>45901</v>
      </c>
      <c r="H46" s="1">
        <v>45905</v>
      </c>
      <c r="I46" t="s">
        <v>15</v>
      </c>
      <c r="J46" t="s">
        <v>97</v>
      </c>
      <c r="K46" s="2">
        <v>-117.66</v>
      </c>
    </row>
    <row r="47" spans="1:11" x14ac:dyDescent="0.25">
      <c r="A47" t="s">
        <v>65</v>
      </c>
      <c r="C47">
        <v>18710070</v>
      </c>
      <c r="D47" t="s">
        <v>66</v>
      </c>
      <c r="E47" t="s">
        <v>67</v>
      </c>
      <c r="F47" t="s">
        <v>68</v>
      </c>
      <c r="G47" s="1">
        <v>45901</v>
      </c>
      <c r="H47" s="1">
        <v>45905</v>
      </c>
      <c r="I47" t="s">
        <v>15</v>
      </c>
      <c r="J47" t="s">
        <v>98</v>
      </c>
      <c r="K47" s="2">
        <v>-587.33000000000004</v>
      </c>
    </row>
    <row r="48" spans="1:11" x14ac:dyDescent="0.25">
      <c r="A48" t="s">
        <v>65</v>
      </c>
      <c r="C48">
        <v>18710070</v>
      </c>
      <c r="D48" t="s">
        <v>69</v>
      </c>
      <c r="E48" t="s">
        <v>70</v>
      </c>
      <c r="F48" t="s">
        <v>71</v>
      </c>
      <c r="G48" s="1">
        <v>45870</v>
      </c>
      <c r="H48" s="1">
        <v>45905</v>
      </c>
      <c r="I48" t="s">
        <v>15</v>
      </c>
      <c r="J48" t="s">
        <v>99</v>
      </c>
      <c r="K48" s="2">
        <v>-147.08000000000001</v>
      </c>
    </row>
    <row r="49" spans="1:11" x14ac:dyDescent="0.25">
      <c r="A49" t="s">
        <v>65</v>
      </c>
      <c r="C49">
        <v>18710070</v>
      </c>
      <c r="D49" t="s">
        <v>72</v>
      </c>
      <c r="E49" t="s">
        <v>73</v>
      </c>
      <c r="F49" t="s">
        <v>74</v>
      </c>
      <c r="G49" s="1">
        <v>45962</v>
      </c>
      <c r="H49" s="1">
        <v>45905</v>
      </c>
      <c r="I49" t="s">
        <v>15</v>
      </c>
      <c r="J49" t="s">
        <v>101</v>
      </c>
      <c r="K49" s="2">
        <v>-58.83</v>
      </c>
    </row>
    <row r="50" spans="1:11" x14ac:dyDescent="0.25">
      <c r="A50" t="s">
        <v>65</v>
      </c>
      <c r="C50">
        <v>18710070</v>
      </c>
      <c r="D50" t="s">
        <v>69</v>
      </c>
      <c r="E50" t="s">
        <v>70</v>
      </c>
      <c r="F50" t="s">
        <v>71</v>
      </c>
      <c r="G50" s="1">
        <v>45870</v>
      </c>
      <c r="H50" s="1">
        <v>45905</v>
      </c>
      <c r="I50" t="s">
        <v>15</v>
      </c>
      <c r="J50" t="s">
        <v>100</v>
      </c>
      <c r="K50" s="2">
        <v>-557.91999999999996</v>
      </c>
    </row>
    <row r="51" spans="1:11" x14ac:dyDescent="0.25">
      <c r="A51" t="s">
        <v>80</v>
      </c>
      <c r="B51">
        <v>18794740</v>
      </c>
      <c r="C51">
        <v>18794740</v>
      </c>
      <c r="D51" t="s">
        <v>81</v>
      </c>
      <c r="E51" t="s">
        <v>82</v>
      </c>
      <c r="F51" t="s">
        <v>83</v>
      </c>
      <c r="G51" s="1">
        <v>45870</v>
      </c>
      <c r="H51" s="1">
        <v>45905</v>
      </c>
      <c r="I51" t="s">
        <v>15</v>
      </c>
      <c r="J51" t="s">
        <v>99</v>
      </c>
      <c r="K51" s="2">
        <v>-147.08000000000001</v>
      </c>
    </row>
    <row r="52" spans="1:11" x14ac:dyDescent="0.25">
      <c r="A52" t="s">
        <v>80</v>
      </c>
      <c r="B52">
        <v>18794740</v>
      </c>
      <c r="C52">
        <v>18794740</v>
      </c>
      <c r="D52" t="s">
        <v>81</v>
      </c>
      <c r="E52" t="s">
        <v>82</v>
      </c>
      <c r="F52" t="s">
        <v>83</v>
      </c>
      <c r="G52" s="1">
        <v>45870</v>
      </c>
      <c r="H52" s="1">
        <v>45905</v>
      </c>
      <c r="I52" t="s">
        <v>15</v>
      </c>
      <c r="J52" t="s">
        <v>100</v>
      </c>
      <c r="K52" s="2">
        <v>-557.91999999999996</v>
      </c>
    </row>
    <row r="53" spans="1:11" x14ac:dyDescent="0.25">
      <c r="A53" t="s">
        <v>80</v>
      </c>
      <c r="B53">
        <v>18794740</v>
      </c>
      <c r="C53">
        <v>18794740</v>
      </c>
      <c r="D53" t="s">
        <v>84</v>
      </c>
      <c r="E53" t="s">
        <v>85</v>
      </c>
      <c r="F53" t="s">
        <v>86</v>
      </c>
      <c r="G53" s="1">
        <v>45931</v>
      </c>
      <c r="H53" s="1">
        <v>45905</v>
      </c>
      <c r="I53" t="s">
        <v>15</v>
      </c>
      <c r="J53" t="s">
        <v>102</v>
      </c>
      <c r="K53" s="2">
        <v>-88.25</v>
      </c>
    </row>
    <row r="54" spans="1:11" x14ac:dyDescent="0.25">
      <c r="A54" t="s">
        <v>80</v>
      </c>
      <c r="B54">
        <v>18794740</v>
      </c>
      <c r="C54">
        <v>18794740</v>
      </c>
      <c r="D54" t="s">
        <v>87</v>
      </c>
      <c r="E54" t="s">
        <v>88</v>
      </c>
      <c r="F54" t="s">
        <v>89</v>
      </c>
      <c r="G54" s="1">
        <v>45901</v>
      </c>
      <c r="H54" s="1">
        <v>45905</v>
      </c>
      <c r="I54" t="s">
        <v>15</v>
      </c>
      <c r="J54" t="s">
        <v>97</v>
      </c>
      <c r="K54" s="2">
        <v>-117.66</v>
      </c>
    </row>
    <row r="55" spans="1:11" x14ac:dyDescent="0.25">
      <c r="A55" t="s">
        <v>11</v>
      </c>
      <c r="C55">
        <v>17528908</v>
      </c>
      <c r="D55" t="s">
        <v>12</v>
      </c>
      <c r="E55" t="s">
        <v>13</v>
      </c>
      <c r="F55" t="s">
        <v>14</v>
      </c>
      <c r="G55" s="1">
        <v>45870</v>
      </c>
      <c r="H55" s="1">
        <v>45905</v>
      </c>
      <c r="I55" t="s">
        <v>15</v>
      </c>
      <c r="J55" t="s">
        <v>103</v>
      </c>
      <c r="K55" s="2">
        <v>165</v>
      </c>
    </row>
    <row r="56" spans="1:11" x14ac:dyDescent="0.25">
      <c r="A56" t="s">
        <v>11</v>
      </c>
      <c r="C56">
        <v>17528908</v>
      </c>
      <c r="D56" t="s">
        <v>17</v>
      </c>
      <c r="E56" t="s">
        <v>18</v>
      </c>
      <c r="F56" t="s">
        <v>19</v>
      </c>
      <c r="G56" s="1">
        <v>45870</v>
      </c>
      <c r="H56" s="1">
        <v>45905</v>
      </c>
      <c r="I56" t="s">
        <v>15</v>
      </c>
      <c r="J56" t="s">
        <v>103</v>
      </c>
      <c r="K56" s="2">
        <v>165</v>
      </c>
    </row>
    <row r="57" spans="1:11" x14ac:dyDescent="0.25">
      <c r="A57" t="s">
        <v>11</v>
      </c>
      <c r="C57">
        <v>17528908</v>
      </c>
      <c r="D57" t="s">
        <v>20</v>
      </c>
      <c r="E57" t="s">
        <v>21</v>
      </c>
      <c r="F57" t="s">
        <v>22</v>
      </c>
      <c r="G57" s="1">
        <v>45901</v>
      </c>
      <c r="H57" s="1">
        <v>45905</v>
      </c>
      <c r="I57" t="s">
        <v>15</v>
      </c>
      <c r="J57" t="s">
        <v>104</v>
      </c>
      <c r="K57" s="2">
        <v>31.25</v>
      </c>
    </row>
    <row r="58" spans="1:11" x14ac:dyDescent="0.25">
      <c r="A58" t="s">
        <v>11</v>
      </c>
      <c r="C58">
        <v>17528908</v>
      </c>
      <c r="D58" t="s">
        <v>24</v>
      </c>
      <c r="E58" t="s">
        <v>25</v>
      </c>
      <c r="F58" t="s">
        <v>26</v>
      </c>
      <c r="G58" s="1">
        <v>45901</v>
      </c>
      <c r="H58" s="1">
        <v>45905</v>
      </c>
      <c r="I58" t="s">
        <v>15</v>
      </c>
      <c r="J58" t="s">
        <v>105</v>
      </c>
      <c r="K58" s="2">
        <v>36.25</v>
      </c>
    </row>
    <row r="59" spans="1:11" x14ac:dyDescent="0.25">
      <c r="A59" t="s">
        <v>11</v>
      </c>
      <c r="C59">
        <v>17528908</v>
      </c>
      <c r="D59" t="s">
        <v>24</v>
      </c>
      <c r="E59" t="s">
        <v>25</v>
      </c>
      <c r="F59" t="s">
        <v>26</v>
      </c>
      <c r="G59" s="1">
        <v>45901</v>
      </c>
      <c r="H59" s="1">
        <v>45905</v>
      </c>
      <c r="I59" t="s">
        <v>15</v>
      </c>
      <c r="J59" t="s">
        <v>106</v>
      </c>
      <c r="K59" s="2">
        <v>128.75</v>
      </c>
    </row>
    <row r="60" spans="1:11" x14ac:dyDescent="0.25">
      <c r="A60" t="s">
        <v>11</v>
      </c>
      <c r="C60">
        <v>17528908</v>
      </c>
      <c r="D60" t="s">
        <v>17</v>
      </c>
      <c r="E60" t="s">
        <v>29</v>
      </c>
      <c r="F60" t="s">
        <v>30</v>
      </c>
      <c r="G60" s="1">
        <v>45870</v>
      </c>
      <c r="H60" s="1">
        <v>45905</v>
      </c>
      <c r="I60" t="s">
        <v>15</v>
      </c>
      <c r="J60" t="s">
        <v>44</v>
      </c>
      <c r="K60" s="2">
        <v>45.31</v>
      </c>
    </row>
    <row r="61" spans="1:11" x14ac:dyDescent="0.25">
      <c r="A61" t="s">
        <v>11</v>
      </c>
      <c r="C61">
        <v>17528908</v>
      </c>
      <c r="D61" t="s">
        <v>17</v>
      </c>
      <c r="E61" t="s">
        <v>29</v>
      </c>
      <c r="F61" t="s">
        <v>30</v>
      </c>
      <c r="G61" s="1">
        <v>45870</v>
      </c>
      <c r="H61" s="1">
        <v>45905</v>
      </c>
      <c r="I61" t="s">
        <v>15</v>
      </c>
      <c r="J61" t="s">
        <v>107</v>
      </c>
      <c r="K61" s="2">
        <v>119.69</v>
      </c>
    </row>
    <row r="62" spans="1:11" x14ac:dyDescent="0.25">
      <c r="A62" t="s">
        <v>11</v>
      </c>
      <c r="C62">
        <v>17528908</v>
      </c>
      <c r="D62" t="s">
        <v>33</v>
      </c>
      <c r="E62" t="s">
        <v>34</v>
      </c>
      <c r="F62" t="s">
        <v>35</v>
      </c>
      <c r="G62" s="1">
        <v>45870</v>
      </c>
      <c r="H62" s="1">
        <v>45905</v>
      </c>
      <c r="I62" t="s">
        <v>15</v>
      </c>
      <c r="J62" t="s">
        <v>44</v>
      </c>
      <c r="K62" s="2">
        <v>45.31</v>
      </c>
    </row>
    <row r="63" spans="1:11" x14ac:dyDescent="0.25">
      <c r="A63" t="s">
        <v>11</v>
      </c>
      <c r="C63">
        <v>17528908</v>
      </c>
      <c r="D63" t="s">
        <v>33</v>
      </c>
      <c r="E63" t="s">
        <v>34</v>
      </c>
      <c r="F63" t="s">
        <v>35</v>
      </c>
      <c r="G63" s="1">
        <v>45870</v>
      </c>
      <c r="H63" s="1">
        <v>45905</v>
      </c>
      <c r="I63" t="s">
        <v>15</v>
      </c>
      <c r="J63" t="s">
        <v>31</v>
      </c>
      <c r="K63" s="2">
        <v>-45.31</v>
      </c>
    </row>
    <row r="64" spans="1:11" x14ac:dyDescent="0.25">
      <c r="A64" t="s">
        <v>11</v>
      </c>
      <c r="C64">
        <v>17528908</v>
      </c>
      <c r="D64" t="s">
        <v>33</v>
      </c>
      <c r="E64" t="s">
        <v>34</v>
      </c>
      <c r="F64" t="s">
        <v>35</v>
      </c>
      <c r="G64" s="1">
        <v>45870</v>
      </c>
      <c r="H64" s="1">
        <v>45905</v>
      </c>
      <c r="I64" t="s">
        <v>15</v>
      </c>
      <c r="J64" t="s">
        <v>108</v>
      </c>
      <c r="K64" s="2">
        <v>68.75</v>
      </c>
    </row>
    <row r="65" spans="1:11" x14ac:dyDescent="0.25">
      <c r="A65" t="s">
        <v>11</v>
      </c>
      <c r="C65">
        <v>17528908</v>
      </c>
      <c r="D65" t="s">
        <v>37</v>
      </c>
      <c r="E65" t="s">
        <v>38</v>
      </c>
      <c r="F65" t="s">
        <v>39</v>
      </c>
      <c r="G65" s="1">
        <v>45870</v>
      </c>
      <c r="H65" s="1">
        <v>45905</v>
      </c>
      <c r="I65" t="s">
        <v>15</v>
      </c>
      <c r="J65" t="s">
        <v>109</v>
      </c>
      <c r="K65" s="2">
        <v>39.06</v>
      </c>
    </row>
    <row r="66" spans="1:11" x14ac:dyDescent="0.25">
      <c r="A66" t="s">
        <v>11</v>
      </c>
      <c r="C66">
        <v>17528908</v>
      </c>
      <c r="D66" t="s">
        <v>37</v>
      </c>
      <c r="E66" t="s">
        <v>38</v>
      </c>
      <c r="F66" t="s">
        <v>39</v>
      </c>
      <c r="G66" s="1">
        <v>45870</v>
      </c>
      <c r="H66" s="1">
        <v>45905</v>
      </c>
      <c r="I66" t="s">
        <v>15</v>
      </c>
      <c r="J66" t="s">
        <v>110</v>
      </c>
      <c r="K66" s="2">
        <v>110.94</v>
      </c>
    </row>
    <row r="67" spans="1:11" x14ac:dyDescent="0.25">
      <c r="A67" t="s">
        <v>11</v>
      </c>
      <c r="C67">
        <v>17528908</v>
      </c>
      <c r="D67" t="s">
        <v>42</v>
      </c>
      <c r="E67" t="s">
        <v>18</v>
      </c>
      <c r="F67" t="s">
        <v>43</v>
      </c>
      <c r="G67" s="1">
        <v>45870</v>
      </c>
      <c r="H67" s="1">
        <v>45905</v>
      </c>
      <c r="I67" t="s">
        <v>15</v>
      </c>
      <c r="J67" t="s">
        <v>103</v>
      </c>
      <c r="K67" s="2">
        <v>165</v>
      </c>
    </row>
    <row r="68" spans="1:11" x14ac:dyDescent="0.25">
      <c r="A68" t="s">
        <v>45</v>
      </c>
      <c r="C68">
        <v>14936854</v>
      </c>
      <c r="D68" t="s">
        <v>46</v>
      </c>
      <c r="E68" t="s">
        <v>38</v>
      </c>
      <c r="F68" t="s">
        <v>47</v>
      </c>
      <c r="G68" s="1">
        <v>45870</v>
      </c>
      <c r="H68" s="1">
        <v>45905</v>
      </c>
      <c r="I68" t="s">
        <v>15</v>
      </c>
      <c r="J68" t="s">
        <v>111</v>
      </c>
      <c r="K68" s="2">
        <v>31.25</v>
      </c>
    </row>
    <row r="69" spans="1:11" x14ac:dyDescent="0.25">
      <c r="A69" t="s">
        <v>49</v>
      </c>
      <c r="C69">
        <v>16865242</v>
      </c>
      <c r="D69" t="s">
        <v>50</v>
      </c>
      <c r="E69" t="s">
        <v>51</v>
      </c>
      <c r="F69" t="s">
        <v>52</v>
      </c>
      <c r="G69" s="1">
        <v>45931</v>
      </c>
      <c r="H69" s="1">
        <v>45905</v>
      </c>
      <c r="I69" t="s">
        <v>15</v>
      </c>
      <c r="J69" t="s">
        <v>112</v>
      </c>
      <c r="K69" s="2">
        <v>27.18</v>
      </c>
    </row>
    <row r="70" spans="1:11" x14ac:dyDescent="0.25">
      <c r="A70" t="s">
        <v>49</v>
      </c>
      <c r="C70">
        <v>16865242</v>
      </c>
      <c r="D70" t="s">
        <v>54</v>
      </c>
      <c r="E70" t="s">
        <v>55</v>
      </c>
      <c r="F70" t="s">
        <v>56</v>
      </c>
      <c r="G70" s="1">
        <v>45870</v>
      </c>
      <c r="H70" s="1">
        <v>45905</v>
      </c>
      <c r="I70" t="s">
        <v>15</v>
      </c>
      <c r="J70" t="s">
        <v>44</v>
      </c>
      <c r="K70" s="2">
        <v>45.31</v>
      </c>
    </row>
    <row r="71" spans="1:11" x14ac:dyDescent="0.25">
      <c r="A71" t="s">
        <v>49</v>
      </c>
      <c r="C71">
        <v>16865242</v>
      </c>
      <c r="D71" t="s">
        <v>57</v>
      </c>
      <c r="E71" t="s">
        <v>58</v>
      </c>
      <c r="F71" t="s">
        <v>59</v>
      </c>
      <c r="G71" s="1">
        <v>45870</v>
      </c>
      <c r="H71" s="1">
        <v>45905</v>
      </c>
      <c r="I71" t="s">
        <v>15</v>
      </c>
      <c r="J71" t="s">
        <v>44</v>
      </c>
      <c r="K71" s="2">
        <v>45.31</v>
      </c>
    </row>
    <row r="72" spans="1:11" x14ac:dyDescent="0.25">
      <c r="A72" t="s">
        <v>49</v>
      </c>
      <c r="C72">
        <v>16865242</v>
      </c>
      <c r="D72" t="s">
        <v>50</v>
      </c>
      <c r="E72" t="s">
        <v>51</v>
      </c>
      <c r="F72" t="s">
        <v>52</v>
      </c>
      <c r="G72" s="1">
        <v>45931</v>
      </c>
      <c r="H72" s="1">
        <v>45905</v>
      </c>
      <c r="I72" t="s">
        <v>15</v>
      </c>
      <c r="J72" t="s">
        <v>113</v>
      </c>
      <c r="K72" s="2">
        <v>137.81</v>
      </c>
    </row>
    <row r="73" spans="1:11" x14ac:dyDescent="0.25">
      <c r="A73" t="s">
        <v>61</v>
      </c>
      <c r="C73">
        <v>21618313</v>
      </c>
      <c r="D73" t="s">
        <v>62</v>
      </c>
      <c r="E73" t="s">
        <v>63</v>
      </c>
      <c r="F73" t="s">
        <v>64</v>
      </c>
      <c r="G73" s="1">
        <v>45901</v>
      </c>
      <c r="H73" s="1">
        <v>45905</v>
      </c>
      <c r="I73" t="s">
        <v>15</v>
      </c>
      <c r="J73" t="s">
        <v>105</v>
      </c>
      <c r="K73" s="2">
        <v>36.25</v>
      </c>
    </row>
    <row r="74" spans="1:11" x14ac:dyDescent="0.25">
      <c r="A74" t="s">
        <v>65</v>
      </c>
      <c r="C74">
        <v>18710070</v>
      </c>
      <c r="D74" t="s">
        <v>66</v>
      </c>
      <c r="E74" t="s">
        <v>67</v>
      </c>
      <c r="F74" t="s">
        <v>68</v>
      </c>
      <c r="G74" s="1">
        <v>45901</v>
      </c>
      <c r="H74" s="1">
        <v>45905</v>
      </c>
      <c r="I74" t="s">
        <v>15</v>
      </c>
      <c r="J74" t="s">
        <v>105</v>
      </c>
      <c r="K74" s="2">
        <v>36.25</v>
      </c>
    </row>
    <row r="75" spans="1:11" x14ac:dyDescent="0.25">
      <c r="A75" t="s">
        <v>65</v>
      </c>
      <c r="C75">
        <v>18710070</v>
      </c>
      <c r="D75" t="s">
        <v>66</v>
      </c>
      <c r="E75" t="s">
        <v>67</v>
      </c>
      <c r="F75" t="s">
        <v>68</v>
      </c>
      <c r="G75" s="1">
        <v>45901</v>
      </c>
      <c r="H75" s="1">
        <v>45905</v>
      </c>
      <c r="I75" t="s">
        <v>15</v>
      </c>
      <c r="J75" t="s">
        <v>106</v>
      </c>
      <c r="K75" s="2">
        <v>128.75</v>
      </c>
    </row>
    <row r="76" spans="1:11" x14ac:dyDescent="0.25">
      <c r="A76" t="s">
        <v>65</v>
      </c>
      <c r="C76">
        <v>18710070</v>
      </c>
      <c r="D76" t="s">
        <v>69</v>
      </c>
      <c r="E76" t="s">
        <v>70</v>
      </c>
      <c r="F76" t="s">
        <v>71</v>
      </c>
      <c r="G76" s="1">
        <v>45870</v>
      </c>
      <c r="H76" s="1">
        <v>45905</v>
      </c>
      <c r="I76" t="s">
        <v>15</v>
      </c>
      <c r="J76" t="s">
        <v>44</v>
      </c>
      <c r="K76" s="2">
        <v>45.31</v>
      </c>
    </row>
    <row r="77" spans="1:11" x14ac:dyDescent="0.25">
      <c r="A77" t="s">
        <v>65</v>
      </c>
      <c r="C77">
        <v>18710070</v>
      </c>
      <c r="D77" t="s">
        <v>72</v>
      </c>
      <c r="E77" t="s">
        <v>73</v>
      </c>
      <c r="F77" t="s">
        <v>74</v>
      </c>
      <c r="G77" s="1">
        <v>45962</v>
      </c>
      <c r="H77" s="1">
        <v>45905</v>
      </c>
      <c r="I77" t="s">
        <v>15</v>
      </c>
      <c r="J77" t="s">
        <v>114</v>
      </c>
      <c r="K77" s="2">
        <v>18.12</v>
      </c>
    </row>
    <row r="78" spans="1:11" x14ac:dyDescent="0.25">
      <c r="A78" t="s">
        <v>65</v>
      </c>
      <c r="C78">
        <v>18710070</v>
      </c>
      <c r="D78" t="s">
        <v>69</v>
      </c>
      <c r="E78" t="s">
        <v>70</v>
      </c>
      <c r="F78" t="s">
        <v>71</v>
      </c>
      <c r="G78" s="1">
        <v>45870</v>
      </c>
      <c r="H78" s="1">
        <v>45905</v>
      </c>
      <c r="I78" t="s">
        <v>15</v>
      </c>
      <c r="J78" t="s">
        <v>107</v>
      </c>
      <c r="K78" s="2">
        <v>119.69</v>
      </c>
    </row>
    <row r="79" spans="1:11" x14ac:dyDescent="0.25">
      <c r="A79" t="s">
        <v>65</v>
      </c>
      <c r="C79">
        <v>18710070</v>
      </c>
      <c r="D79" t="s">
        <v>76</v>
      </c>
      <c r="E79" t="s">
        <v>77</v>
      </c>
      <c r="F79" t="s">
        <v>78</v>
      </c>
      <c r="G79" s="1">
        <v>45627</v>
      </c>
      <c r="H79" s="1">
        <v>45905</v>
      </c>
      <c r="I79" t="s">
        <v>15</v>
      </c>
      <c r="J79" t="s">
        <v>115</v>
      </c>
      <c r="K79" s="2">
        <v>-112.5</v>
      </c>
    </row>
    <row r="80" spans="1:11" x14ac:dyDescent="0.25">
      <c r="A80" t="s">
        <v>80</v>
      </c>
      <c r="C80">
        <v>18794740</v>
      </c>
      <c r="D80" t="s">
        <v>81</v>
      </c>
      <c r="E80" t="s">
        <v>82</v>
      </c>
      <c r="F80" t="s">
        <v>83</v>
      </c>
      <c r="G80" s="1">
        <v>45870</v>
      </c>
      <c r="H80" s="1">
        <v>45905</v>
      </c>
      <c r="I80" t="s">
        <v>15</v>
      </c>
      <c r="J80" t="s">
        <v>44</v>
      </c>
      <c r="K80" s="2">
        <v>45.31</v>
      </c>
    </row>
    <row r="81" spans="1:11" x14ac:dyDescent="0.25">
      <c r="A81" t="s">
        <v>80</v>
      </c>
      <c r="C81">
        <v>18794740</v>
      </c>
      <c r="D81" t="s">
        <v>81</v>
      </c>
      <c r="E81" t="s">
        <v>82</v>
      </c>
      <c r="F81" t="s">
        <v>83</v>
      </c>
      <c r="G81" s="1">
        <v>45870</v>
      </c>
      <c r="H81" s="1">
        <v>45905</v>
      </c>
      <c r="I81" t="s">
        <v>15</v>
      </c>
      <c r="J81" t="s">
        <v>107</v>
      </c>
      <c r="K81" s="2">
        <v>119.69</v>
      </c>
    </row>
    <row r="82" spans="1:11" x14ac:dyDescent="0.25">
      <c r="A82" t="s">
        <v>80</v>
      </c>
      <c r="C82">
        <v>18794740</v>
      </c>
      <c r="D82" t="s">
        <v>84</v>
      </c>
      <c r="E82" t="s">
        <v>85</v>
      </c>
      <c r="F82" t="s">
        <v>86</v>
      </c>
      <c r="G82" s="1">
        <v>45931</v>
      </c>
      <c r="H82" s="1">
        <v>45905</v>
      </c>
      <c r="I82" t="s">
        <v>15</v>
      </c>
      <c r="J82" t="s">
        <v>112</v>
      </c>
      <c r="K82" s="2">
        <v>27.18</v>
      </c>
    </row>
    <row r="83" spans="1:11" x14ac:dyDescent="0.25">
      <c r="A83" t="s">
        <v>80</v>
      </c>
      <c r="C83">
        <v>18794740</v>
      </c>
      <c r="D83" t="s">
        <v>87</v>
      </c>
      <c r="E83" t="s">
        <v>88</v>
      </c>
      <c r="F83" t="s">
        <v>89</v>
      </c>
      <c r="G83" s="1">
        <v>45901</v>
      </c>
      <c r="H83" s="1">
        <v>45905</v>
      </c>
      <c r="I83" t="s">
        <v>15</v>
      </c>
      <c r="J83" t="s">
        <v>105</v>
      </c>
      <c r="K83" s="2">
        <v>36.25</v>
      </c>
    </row>
    <row r="84" spans="1:11" x14ac:dyDescent="0.25">
      <c r="A84" t="s">
        <v>90</v>
      </c>
      <c r="C84">
        <v>19278370</v>
      </c>
      <c r="D84" t="s">
        <v>91</v>
      </c>
      <c r="E84" t="s">
        <v>92</v>
      </c>
      <c r="F84" t="s">
        <v>93</v>
      </c>
      <c r="G84" s="1">
        <v>45931</v>
      </c>
      <c r="H84" s="1">
        <v>45905</v>
      </c>
      <c r="I84" t="s">
        <v>15</v>
      </c>
      <c r="J84" t="s">
        <v>116</v>
      </c>
      <c r="K84" s="2">
        <v>13.75</v>
      </c>
    </row>
    <row r="85" spans="1:11" x14ac:dyDescent="0.25">
      <c r="A85" t="s">
        <v>90</v>
      </c>
      <c r="C85">
        <v>19278370</v>
      </c>
      <c r="D85" t="s">
        <v>91</v>
      </c>
      <c r="E85" t="s">
        <v>92</v>
      </c>
      <c r="F85" t="s">
        <v>93</v>
      </c>
      <c r="G85" s="1">
        <v>45931</v>
      </c>
      <c r="H85" s="1">
        <v>45905</v>
      </c>
      <c r="I85" t="s">
        <v>15</v>
      </c>
      <c r="J85" t="s">
        <v>117</v>
      </c>
      <c r="K85" s="2">
        <v>95.25</v>
      </c>
    </row>
    <row r="86" spans="1:11" x14ac:dyDescent="0.25">
      <c r="A86" t="s">
        <v>11</v>
      </c>
      <c r="C86">
        <v>17528908</v>
      </c>
      <c r="D86" t="s">
        <v>12</v>
      </c>
      <c r="E86" t="s">
        <v>13</v>
      </c>
      <c r="F86" t="s">
        <v>14</v>
      </c>
      <c r="G86" s="1">
        <v>45870</v>
      </c>
      <c r="H86" s="1">
        <v>45905</v>
      </c>
      <c r="I86" t="s">
        <v>15</v>
      </c>
      <c r="J86" t="s">
        <v>118</v>
      </c>
      <c r="K86" s="2">
        <v>705</v>
      </c>
    </row>
    <row r="87" spans="1:11" x14ac:dyDescent="0.25">
      <c r="A87" t="s">
        <v>11</v>
      </c>
      <c r="C87">
        <v>17528908</v>
      </c>
      <c r="D87" t="s">
        <v>17</v>
      </c>
      <c r="E87" t="s">
        <v>18</v>
      </c>
      <c r="F87" t="s">
        <v>19</v>
      </c>
      <c r="G87" s="1">
        <v>45870</v>
      </c>
      <c r="H87" s="1">
        <v>45905</v>
      </c>
      <c r="I87" t="s">
        <v>15</v>
      </c>
      <c r="J87" t="s">
        <v>118</v>
      </c>
      <c r="K87" s="2">
        <v>705</v>
      </c>
    </row>
    <row r="88" spans="1:11" x14ac:dyDescent="0.25">
      <c r="A88" t="s">
        <v>11</v>
      </c>
      <c r="C88">
        <v>17528908</v>
      </c>
      <c r="D88" t="s">
        <v>20</v>
      </c>
      <c r="E88" t="s">
        <v>21</v>
      </c>
      <c r="F88" t="s">
        <v>22</v>
      </c>
      <c r="G88" s="1">
        <v>45901</v>
      </c>
      <c r="H88" s="1">
        <v>45905</v>
      </c>
      <c r="I88" t="s">
        <v>15</v>
      </c>
      <c r="J88" t="s">
        <v>119</v>
      </c>
      <c r="K88" s="2">
        <v>117.66</v>
      </c>
    </row>
    <row r="89" spans="1:11" x14ac:dyDescent="0.25">
      <c r="A89" t="s">
        <v>11</v>
      </c>
      <c r="C89">
        <v>17528908</v>
      </c>
      <c r="D89" t="s">
        <v>24</v>
      </c>
      <c r="E89" t="s">
        <v>25</v>
      </c>
      <c r="F89" t="s">
        <v>26</v>
      </c>
      <c r="G89" s="1">
        <v>45901</v>
      </c>
      <c r="H89" s="1">
        <v>45905</v>
      </c>
      <c r="I89" t="s">
        <v>15</v>
      </c>
      <c r="J89" t="s">
        <v>119</v>
      </c>
      <c r="K89" s="2">
        <v>117.66</v>
      </c>
    </row>
    <row r="90" spans="1:11" x14ac:dyDescent="0.25">
      <c r="A90" t="s">
        <v>11</v>
      </c>
      <c r="C90">
        <v>17528908</v>
      </c>
      <c r="D90" t="s">
        <v>24</v>
      </c>
      <c r="E90" t="s">
        <v>25</v>
      </c>
      <c r="F90" t="s">
        <v>26</v>
      </c>
      <c r="G90" s="1">
        <v>45901</v>
      </c>
      <c r="H90" s="1">
        <v>45905</v>
      </c>
      <c r="I90" t="s">
        <v>15</v>
      </c>
      <c r="J90" t="s">
        <v>120</v>
      </c>
      <c r="K90" s="2">
        <v>587.33000000000004</v>
      </c>
    </row>
    <row r="91" spans="1:11" x14ac:dyDescent="0.25">
      <c r="A91" t="s">
        <v>11</v>
      </c>
      <c r="C91">
        <v>17528908</v>
      </c>
      <c r="D91" t="s">
        <v>17</v>
      </c>
      <c r="E91" t="s">
        <v>29</v>
      </c>
      <c r="F91" t="s">
        <v>30</v>
      </c>
      <c r="G91" s="1">
        <v>45870</v>
      </c>
      <c r="H91" s="1">
        <v>45905</v>
      </c>
      <c r="I91" t="s">
        <v>15</v>
      </c>
      <c r="J91" t="s">
        <v>121</v>
      </c>
      <c r="K91" s="2">
        <v>147.08000000000001</v>
      </c>
    </row>
    <row r="92" spans="1:11" x14ac:dyDescent="0.25">
      <c r="A92" t="s">
        <v>11</v>
      </c>
      <c r="C92">
        <v>17528908</v>
      </c>
      <c r="D92" t="s">
        <v>17</v>
      </c>
      <c r="E92" t="s">
        <v>29</v>
      </c>
      <c r="F92" t="s">
        <v>30</v>
      </c>
      <c r="G92" s="1">
        <v>45870</v>
      </c>
      <c r="H92" s="1">
        <v>45905</v>
      </c>
      <c r="I92" t="s">
        <v>15</v>
      </c>
      <c r="J92" t="s">
        <v>122</v>
      </c>
      <c r="K92" s="2">
        <v>557.91999999999996</v>
      </c>
    </row>
    <row r="93" spans="1:11" x14ac:dyDescent="0.25">
      <c r="A93" t="s">
        <v>11</v>
      </c>
      <c r="C93">
        <v>17528908</v>
      </c>
      <c r="D93" t="s">
        <v>33</v>
      </c>
      <c r="E93" t="s">
        <v>34</v>
      </c>
      <c r="F93" t="s">
        <v>35</v>
      </c>
      <c r="G93" s="1">
        <v>45870</v>
      </c>
      <c r="H93" s="1">
        <v>45905</v>
      </c>
      <c r="I93" t="s">
        <v>15</v>
      </c>
      <c r="J93" t="s">
        <v>121</v>
      </c>
      <c r="K93" s="2">
        <v>147.08000000000001</v>
      </c>
    </row>
    <row r="94" spans="1:11" x14ac:dyDescent="0.25">
      <c r="A94" t="s">
        <v>11</v>
      </c>
      <c r="C94">
        <v>17528908</v>
      </c>
      <c r="D94" t="s">
        <v>33</v>
      </c>
      <c r="E94" t="s">
        <v>34</v>
      </c>
      <c r="F94" t="s">
        <v>35</v>
      </c>
      <c r="G94" s="1">
        <v>45870</v>
      </c>
      <c r="H94" s="1">
        <v>45905</v>
      </c>
      <c r="I94" t="s">
        <v>15</v>
      </c>
      <c r="J94" t="s">
        <v>121</v>
      </c>
      <c r="K94" s="2">
        <v>147.08000000000001</v>
      </c>
    </row>
    <row r="95" spans="1:11" x14ac:dyDescent="0.25">
      <c r="A95" t="s">
        <v>11</v>
      </c>
      <c r="C95">
        <v>17528908</v>
      </c>
      <c r="D95" t="s">
        <v>37</v>
      </c>
      <c r="E95" t="s">
        <v>38</v>
      </c>
      <c r="F95" t="s">
        <v>39</v>
      </c>
      <c r="G95" s="1">
        <v>45870</v>
      </c>
      <c r="H95" s="1">
        <v>45905</v>
      </c>
      <c r="I95" t="s">
        <v>15</v>
      </c>
      <c r="J95" t="s">
        <v>121</v>
      </c>
      <c r="K95" s="2">
        <v>147.08000000000001</v>
      </c>
    </row>
    <row r="96" spans="1:11" x14ac:dyDescent="0.25">
      <c r="A96" t="s">
        <v>11</v>
      </c>
      <c r="C96">
        <v>17528908</v>
      </c>
      <c r="D96" t="s">
        <v>37</v>
      </c>
      <c r="E96" t="s">
        <v>38</v>
      </c>
      <c r="F96" t="s">
        <v>39</v>
      </c>
      <c r="G96" s="1">
        <v>45870</v>
      </c>
      <c r="H96" s="1">
        <v>45905</v>
      </c>
      <c r="I96" t="s">
        <v>15</v>
      </c>
      <c r="J96" t="s">
        <v>122</v>
      </c>
      <c r="K96" s="2">
        <v>557.91999999999996</v>
      </c>
    </row>
    <row r="97" spans="1:11" x14ac:dyDescent="0.25">
      <c r="A97" t="s">
        <v>11</v>
      </c>
      <c r="C97">
        <v>17528908</v>
      </c>
      <c r="D97" t="s">
        <v>42</v>
      </c>
      <c r="E97" t="s">
        <v>18</v>
      </c>
      <c r="F97" t="s">
        <v>43</v>
      </c>
      <c r="G97" s="1">
        <v>45870</v>
      </c>
      <c r="H97" s="1">
        <v>45905</v>
      </c>
      <c r="I97" t="s">
        <v>15</v>
      </c>
      <c r="J97" t="s">
        <v>118</v>
      </c>
      <c r="K97" s="2">
        <v>705</v>
      </c>
    </row>
    <row r="98" spans="1:11" x14ac:dyDescent="0.25">
      <c r="A98" t="s">
        <v>61</v>
      </c>
      <c r="C98">
        <v>21618313</v>
      </c>
      <c r="D98" t="s">
        <v>62</v>
      </c>
      <c r="E98" t="s">
        <v>63</v>
      </c>
      <c r="F98" t="s">
        <v>64</v>
      </c>
      <c r="G98" s="1">
        <v>45901</v>
      </c>
      <c r="H98" s="1">
        <v>45905</v>
      </c>
      <c r="I98" t="s">
        <v>15</v>
      </c>
      <c r="J98" t="s">
        <v>119</v>
      </c>
      <c r="K98" s="2">
        <v>117.66</v>
      </c>
    </row>
    <row r="99" spans="1:11" x14ac:dyDescent="0.25">
      <c r="A99" t="s">
        <v>65</v>
      </c>
      <c r="C99">
        <v>18710070</v>
      </c>
      <c r="D99" t="s">
        <v>66</v>
      </c>
      <c r="E99" t="s">
        <v>67</v>
      </c>
      <c r="F99" t="s">
        <v>68</v>
      </c>
      <c r="G99" s="1">
        <v>45901</v>
      </c>
      <c r="H99" s="1">
        <v>45905</v>
      </c>
      <c r="I99" t="s">
        <v>15</v>
      </c>
      <c r="J99" t="s">
        <v>119</v>
      </c>
      <c r="K99" s="2">
        <v>117.66</v>
      </c>
    </row>
    <row r="100" spans="1:11" x14ac:dyDescent="0.25">
      <c r="A100" t="s">
        <v>65</v>
      </c>
      <c r="C100">
        <v>18710070</v>
      </c>
      <c r="D100" t="s">
        <v>66</v>
      </c>
      <c r="E100" t="s">
        <v>67</v>
      </c>
      <c r="F100" t="s">
        <v>68</v>
      </c>
      <c r="G100" s="1">
        <v>45901</v>
      </c>
      <c r="H100" s="1">
        <v>45905</v>
      </c>
      <c r="I100" t="s">
        <v>15</v>
      </c>
      <c r="J100" t="s">
        <v>120</v>
      </c>
      <c r="K100" s="2">
        <v>587.33000000000004</v>
      </c>
    </row>
    <row r="101" spans="1:11" x14ac:dyDescent="0.25">
      <c r="A101" t="s">
        <v>65</v>
      </c>
      <c r="C101">
        <v>18710070</v>
      </c>
      <c r="D101" t="s">
        <v>69</v>
      </c>
      <c r="E101" t="s">
        <v>70</v>
      </c>
      <c r="F101" t="s">
        <v>71</v>
      </c>
      <c r="G101" s="1">
        <v>45870</v>
      </c>
      <c r="H101" s="1">
        <v>45905</v>
      </c>
      <c r="I101" t="s">
        <v>15</v>
      </c>
      <c r="J101" t="s">
        <v>121</v>
      </c>
      <c r="K101" s="2">
        <v>147.08000000000001</v>
      </c>
    </row>
    <row r="102" spans="1:11" x14ac:dyDescent="0.25">
      <c r="A102" t="s">
        <v>65</v>
      </c>
      <c r="C102">
        <v>18710070</v>
      </c>
      <c r="D102" t="s">
        <v>72</v>
      </c>
      <c r="E102" t="s">
        <v>73</v>
      </c>
      <c r="F102" t="s">
        <v>74</v>
      </c>
      <c r="G102" s="1">
        <v>45962</v>
      </c>
      <c r="H102" s="1">
        <v>45905</v>
      </c>
      <c r="I102" t="s">
        <v>15</v>
      </c>
      <c r="J102" t="s">
        <v>123</v>
      </c>
      <c r="K102" s="2">
        <v>58.83</v>
      </c>
    </row>
    <row r="103" spans="1:11" x14ac:dyDescent="0.25">
      <c r="A103" t="s">
        <v>65</v>
      </c>
      <c r="C103">
        <v>18710070</v>
      </c>
      <c r="D103" t="s">
        <v>69</v>
      </c>
      <c r="E103" t="s">
        <v>70</v>
      </c>
      <c r="F103" t="s">
        <v>71</v>
      </c>
      <c r="G103" s="1">
        <v>45870</v>
      </c>
      <c r="H103" s="1">
        <v>45905</v>
      </c>
      <c r="I103" t="s">
        <v>15</v>
      </c>
      <c r="J103" t="s">
        <v>122</v>
      </c>
      <c r="K103" s="2">
        <v>557.91999999999996</v>
      </c>
    </row>
    <row r="104" spans="1:11" x14ac:dyDescent="0.25">
      <c r="A104" t="s">
        <v>80</v>
      </c>
      <c r="C104">
        <v>18794740</v>
      </c>
      <c r="D104" t="s">
        <v>81</v>
      </c>
      <c r="E104" t="s">
        <v>82</v>
      </c>
      <c r="F104" t="s">
        <v>83</v>
      </c>
      <c r="G104" s="1">
        <v>45870</v>
      </c>
      <c r="H104" s="1">
        <v>45905</v>
      </c>
      <c r="I104" t="s">
        <v>15</v>
      </c>
      <c r="J104" t="s">
        <v>121</v>
      </c>
      <c r="K104" s="2">
        <v>147.08000000000001</v>
      </c>
    </row>
    <row r="105" spans="1:11" x14ac:dyDescent="0.25">
      <c r="A105" t="s">
        <v>80</v>
      </c>
      <c r="C105">
        <v>18794740</v>
      </c>
      <c r="D105" t="s">
        <v>81</v>
      </c>
      <c r="E105" t="s">
        <v>82</v>
      </c>
      <c r="F105" t="s">
        <v>83</v>
      </c>
      <c r="G105" s="1">
        <v>45870</v>
      </c>
      <c r="H105" s="1">
        <v>45905</v>
      </c>
      <c r="I105" t="s">
        <v>15</v>
      </c>
      <c r="J105" t="s">
        <v>122</v>
      </c>
      <c r="K105" s="2">
        <v>557.91999999999996</v>
      </c>
    </row>
    <row r="106" spans="1:11" x14ac:dyDescent="0.25">
      <c r="A106" t="s">
        <v>80</v>
      </c>
      <c r="C106">
        <v>18794740</v>
      </c>
      <c r="D106" t="s">
        <v>84</v>
      </c>
      <c r="E106" t="s">
        <v>85</v>
      </c>
      <c r="F106" t="s">
        <v>86</v>
      </c>
      <c r="G106" s="1">
        <v>45931</v>
      </c>
      <c r="H106" s="1">
        <v>45905</v>
      </c>
      <c r="I106" t="s">
        <v>15</v>
      </c>
      <c r="J106" t="s">
        <v>124</v>
      </c>
      <c r="K106" s="2">
        <v>88.25</v>
      </c>
    </row>
    <row r="107" spans="1:11" x14ac:dyDescent="0.25">
      <c r="A107" t="s">
        <v>80</v>
      </c>
      <c r="C107">
        <v>18794740</v>
      </c>
      <c r="D107" t="s">
        <v>87</v>
      </c>
      <c r="E107" t="s">
        <v>88</v>
      </c>
      <c r="F107" t="s">
        <v>89</v>
      </c>
      <c r="G107" s="1">
        <v>45901</v>
      </c>
      <c r="H107" s="1">
        <v>45905</v>
      </c>
      <c r="I107" t="s">
        <v>15</v>
      </c>
      <c r="J107" t="s">
        <v>119</v>
      </c>
      <c r="K107" s="2">
        <v>117.66</v>
      </c>
    </row>
    <row r="108" spans="1:11" x14ac:dyDescent="0.25">
      <c r="A108" t="s">
        <v>125</v>
      </c>
      <c r="C108">
        <v>8971826</v>
      </c>
      <c r="D108" t="s">
        <v>126</v>
      </c>
      <c r="E108" t="s">
        <v>127</v>
      </c>
      <c r="F108" t="s">
        <v>128</v>
      </c>
      <c r="G108" s="1">
        <v>45901</v>
      </c>
      <c r="H108" s="1">
        <v>45905</v>
      </c>
      <c r="I108" t="s">
        <v>15</v>
      </c>
      <c r="J108" t="s">
        <v>119</v>
      </c>
      <c r="K108" s="2">
        <v>117.66</v>
      </c>
    </row>
    <row r="109" spans="1:11" x14ac:dyDescent="0.25">
      <c r="A109" t="s">
        <v>129</v>
      </c>
      <c r="C109">
        <v>9254978</v>
      </c>
      <c r="D109" t="s">
        <v>130</v>
      </c>
      <c r="E109" t="s">
        <v>131</v>
      </c>
      <c r="F109" t="s">
        <v>132</v>
      </c>
      <c r="G109" s="1">
        <v>45901</v>
      </c>
      <c r="H109" s="1">
        <v>45905</v>
      </c>
      <c r="I109" t="s">
        <v>15</v>
      </c>
      <c r="J109" t="s">
        <v>119</v>
      </c>
      <c r="K109" s="2">
        <v>117.66</v>
      </c>
    </row>
    <row r="110" spans="1:11" x14ac:dyDescent="0.25">
      <c r="A110" t="s">
        <v>11</v>
      </c>
      <c r="C110">
        <v>17528908</v>
      </c>
      <c r="D110" t="s">
        <v>133</v>
      </c>
      <c r="E110" t="s">
        <v>134</v>
      </c>
      <c r="F110" t="s">
        <v>135</v>
      </c>
      <c r="G110" s="1">
        <v>45962</v>
      </c>
      <c r="H110" s="1">
        <v>45905</v>
      </c>
      <c r="I110" t="s">
        <v>15</v>
      </c>
      <c r="J110" t="s">
        <v>123</v>
      </c>
      <c r="K110" s="2">
        <v>58.83</v>
      </c>
    </row>
    <row r="111" spans="1:11" x14ac:dyDescent="0.25">
      <c r="A111" t="s">
        <v>11</v>
      </c>
      <c r="C111">
        <v>17528908</v>
      </c>
      <c r="D111" t="s">
        <v>136</v>
      </c>
      <c r="E111" t="s">
        <v>137</v>
      </c>
      <c r="F111" t="s">
        <v>138</v>
      </c>
      <c r="G111" s="1">
        <v>45931</v>
      </c>
      <c r="H111" s="1">
        <v>45905</v>
      </c>
      <c r="I111" t="s">
        <v>15</v>
      </c>
      <c r="J111" t="s">
        <v>124</v>
      </c>
      <c r="K111" s="2">
        <v>88.25</v>
      </c>
    </row>
    <row r="112" spans="1:11" x14ac:dyDescent="0.25">
      <c r="A112" t="s">
        <v>11</v>
      </c>
      <c r="C112">
        <v>17528908</v>
      </c>
      <c r="D112" t="s">
        <v>139</v>
      </c>
      <c r="E112" t="s">
        <v>140</v>
      </c>
      <c r="F112" t="s">
        <v>141</v>
      </c>
      <c r="G112" s="1">
        <v>45901</v>
      </c>
      <c r="H112" s="1">
        <v>45905</v>
      </c>
      <c r="I112" t="s">
        <v>15</v>
      </c>
      <c r="J112" t="s">
        <v>119</v>
      </c>
      <c r="K112" s="2">
        <v>117.66</v>
      </c>
    </row>
    <row r="113" spans="1:11" x14ac:dyDescent="0.25">
      <c r="A113" t="s">
        <v>11</v>
      </c>
      <c r="C113">
        <v>17528908</v>
      </c>
      <c r="D113" t="s">
        <v>142</v>
      </c>
      <c r="E113" t="s">
        <v>143</v>
      </c>
      <c r="F113" t="s">
        <v>144</v>
      </c>
      <c r="G113" s="1">
        <v>45901</v>
      </c>
      <c r="H113" s="1">
        <v>45905</v>
      </c>
      <c r="I113" t="s">
        <v>15</v>
      </c>
      <c r="J113" t="s">
        <v>119</v>
      </c>
      <c r="K113" s="2">
        <v>117.66</v>
      </c>
    </row>
    <row r="114" spans="1:11" x14ac:dyDescent="0.25">
      <c r="A114" t="s">
        <v>65</v>
      </c>
      <c r="C114">
        <v>18710070</v>
      </c>
      <c r="D114" t="s">
        <v>69</v>
      </c>
      <c r="E114" t="s">
        <v>145</v>
      </c>
      <c r="F114" t="s">
        <v>146</v>
      </c>
      <c r="G114" s="1">
        <v>45962</v>
      </c>
      <c r="H114" s="1">
        <v>45905</v>
      </c>
      <c r="I114" t="s">
        <v>15</v>
      </c>
      <c r="J114" t="s">
        <v>123</v>
      </c>
      <c r="K114" s="2">
        <v>58.83</v>
      </c>
    </row>
    <row r="115" spans="1:11" x14ac:dyDescent="0.25">
      <c r="A115" t="s">
        <v>65</v>
      </c>
      <c r="C115">
        <v>18710070</v>
      </c>
      <c r="D115" t="s">
        <v>147</v>
      </c>
      <c r="E115" t="s">
        <v>73</v>
      </c>
      <c r="F115" t="s">
        <v>148</v>
      </c>
      <c r="G115" s="1">
        <v>45931</v>
      </c>
      <c r="H115" s="1">
        <v>45905</v>
      </c>
      <c r="I115" t="s">
        <v>15</v>
      </c>
      <c r="J115" t="s">
        <v>124</v>
      </c>
      <c r="K115" s="2">
        <v>88.25</v>
      </c>
    </row>
    <row r="116" spans="1:11" x14ac:dyDescent="0.25">
      <c r="A116" t="s">
        <v>80</v>
      </c>
      <c r="C116">
        <v>18794740</v>
      </c>
      <c r="D116" t="s">
        <v>149</v>
      </c>
      <c r="E116" t="s">
        <v>150</v>
      </c>
      <c r="F116" t="s">
        <v>151</v>
      </c>
      <c r="G116" s="1">
        <v>45931</v>
      </c>
      <c r="H116" s="1">
        <v>45905</v>
      </c>
      <c r="I116" t="s">
        <v>15</v>
      </c>
      <c r="J116" t="s">
        <v>124</v>
      </c>
      <c r="K116" s="2">
        <v>88.25</v>
      </c>
    </row>
    <row r="117" spans="1:11" x14ac:dyDescent="0.25">
      <c r="A117" t="s">
        <v>125</v>
      </c>
      <c r="C117">
        <v>8971826</v>
      </c>
      <c r="D117" t="s">
        <v>126</v>
      </c>
      <c r="E117" t="s">
        <v>127</v>
      </c>
      <c r="F117" t="s">
        <v>128</v>
      </c>
      <c r="G117" s="1">
        <v>45901</v>
      </c>
      <c r="H117" s="1">
        <v>45905</v>
      </c>
      <c r="I117" t="s">
        <v>15</v>
      </c>
      <c r="J117" t="s">
        <v>105</v>
      </c>
      <c r="K117" s="2">
        <v>36.25</v>
      </c>
    </row>
    <row r="118" spans="1:11" x14ac:dyDescent="0.25">
      <c r="A118" t="s">
        <v>129</v>
      </c>
      <c r="C118">
        <v>9254978</v>
      </c>
      <c r="D118" t="s">
        <v>130</v>
      </c>
      <c r="E118" t="s">
        <v>131</v>
      </c>
      <c r="F118" t="s">
        <v>132</v>
      </c>
      <c r="G118" s="1">
        <v>45901</v>
      </c>
      <c r="H118" s="1">
        <v>45905</v>
      </c>
      <c r="I118" t="s">
        <v>15</v>
      </c>
      <c r="J118" t="s">
        <v>105</v>
      </c>
      <c r="K118" s="2">
        <v>36.25</v>
      </c>
    </row>
    <row r="119" spans="1:11" x14ac:dyDescent="0.25">
      <c r="A119" t="s">
        <v>49</v>
      </c>
      <c r="C119">
        <v>16865242</v>
      </c>
      <c r="D119" t="s">
        <v>152</v>
      </c>
      <c r="E119" t="s">
        <v>153</v>
      </c>
      <c r="F119" t="s">
        <v>154</v>
      </c>
      <c r="G119" s="1">
        <v>45658</v>
      </c>
      <c r="H119" s="1">
        <v>45905</v>
      </c>
      <c r="I119" t="s">
        <v>15</v>
      </c>
      <c r="J119" t="s">
        <v>27</v>
      </c>
      <c r="K119" s="2">
        <v>-24.16</v>
      </c>
    </row>
    <row r="120" spans="1:11" x14ac:dyDescent="0.25">
      <c r="A120" t="s">
        <v>11</v>
      </c>
      <c r="C120">
        <v>17528908</v>
      </c>
      <c r="D120" t="s">
        <v>133</v>
      </c>
      <c r="E120" t="s">
        <v>134</v>
      </c>
      <c r="F120" t="s">
        <v>135</v>
      </c>
      <c r="G120" s="1">
        <v>45962</v>
      </c>
      <c r="H120" s="1">
        <v>45905</v>
      </c>
      <c r="I120" t="s">
        <v>15</v>
      </c>
      <c r="J120" t="s">
        <v>114</v>
      </c>
      <c r="K120" s="2">
        <v>18.12</v>
      </c>
    </row>
    <row r="121" spans="1:11" x14ac:dyDescent="0.25">
      <c r="A121" t="s">
        <v>11</v>
      </c>
      <c r="C121">
        <v>17528908</v>
      </c>
      <c r="D121" t="s">
        <v>136</v>
      </c>
      <c r="E121" t="s">
        <v>137</v>
      </c>
      <c r="F121" t="s">
        <v>138</v>
      </c>
      <c r="G121" s="1">
        <v>45931</v>
      </c>
      <c r="H121" s="1">
        <v>45905</v>
      </c>
      <c r="I121" t="s">
        <v>15</v>
      </c>
      <c r="J121" t="s">
        <v>112</v>
      </c>
      <c r="K121" s="2">
        <v>27.18</v>
      </c>
    </row>
    <row r="122" spans="1:11" x14ac:dyDescent="0.25">
      <c r="A122" t="s">
        <v>11</v>
      </c>
      <c r="C122">
        <v>17528908</v>
      </c>
      <c r="D122" t="s">
        <v>142</v>
      </c>
      <c r="E122" t="s">
        <v>143</v>
      </c>
      <c r="F122" t="s">
        <v>144</v>
      </c>
      <c r="G122" s="1">
        <v>45901</v>
      </c>
      <c r="H122" s="1">
        <v>45905</v>
      </c>
      <c r="I122" t="s">
        <v>15</v>
      </c>
      <c r="J122" t="s">
        <v>104</v>
      </c>
      <c r="K122" s="2">
        <v>31.25</v>
      </c>
    </row>
    <row r="123" spans="1:11" x14ac:dyDescent="0.25">
      <c r="A123" t="s">
        <v>11</v>
      </c>
      <c r="C123">
        <v>17528908</v>
      </c>
      <c r="D123" t="s">
        <v>139</v>
      </c>
      <c r="E123" t="s">
        <v>140</v>
      </c>
      <c r="F123" t="s">
        <v>141</v>
      </c>
      <c r="G123" s="1">
        <v>45901</v>
      </c>
      <c r="H123" s="1">
        <v>45905</v>
      </c>
      <c r="I123" t="s">
        <v>15</v>
      </c>
      <c r="J123" t="s">
        <v>105</v>
      </c>
      <c r="K123" s="2">
        <v>36.25</v>
      </c>
    </row>
    <row r="124" spans="1:11" x14ac:dyDescent="0.25">
      <c r="A124" t="s">
        <v>65</v>
      </c>
      <c r="C124">
        <v>18710070</v>
      </c>
      <c r="D124" t="s">
        <v>69</v>
      </c>
      <c r="E124" t="s">
        <v>145</v>
      </c>
      <c r="F124" t="s">
        <v>146</v>
      </c>
      <c r="G124" s="1">
        <v>45962</v>
      </c>
      <c r="H124" s="1">
        <v>45905</v>
      </c>
      <c r="I124" t="s">
        <v>15</v>
      </c>
      <c r="J124" t="s">
        <v>114</v>
      </c>
      <c r="K124" s="2">
        <v>18.12</v>
      </c>
    </row>
    <row r="125" spans="1:11" x14ac:dyDescent="0.25">
      <c r="A125" t="s">
        <v>65</v>
      </c>
      <c r="C125">
        <v>18710070</v>
      </c>
      <c r="D125" t="s">
        <v>147</v>
      </c>
      <c r="E125" t="s">
        <v>73</v>
      </c>
      <c r="F125" t="s">
        <v>148</v>
      </c>
      <c r="G125" s="1">
        <v>45931</v>
      </c>
      <c r="H125" s="1">
        <v>45905</v>
      </c>
      <c r="I125" t="s">
        <v>15</v>
      </c>
      <c r="J125" t="s">
        <v>112</v>
      </c>
      <c r="K125" s="2">
        <v>27.18</v>
      </c>
    </row>
    <row r="126" spans="1:11" x14ac:dyDescent="0.25">
      <c r="A126" t="s">
        <v>80</v>
      </c>
      <c r="C126">
        <v>18794740</v>
      </c>
      <c r="D126" t="s">
        <v>149</v>
      </c>
      <c r="E126" t="s">
        <v>150</v>
      </c>
      <c r="F126" t="s">
        <v>151</v>
      </c>
      <c r="G126" s="1">
        <v>45931</v>
      </c>
      <c r="H126" s="1">
        <v>45905</v>
      </c>
      <c r="I126" t="s">
        <v>15</v>
      </c>
      <c r="J126" t="s">
        <v>112</v>
      </c>
      <c r="K126" s="2">
        <v>27.18</v>
      </c>
    </row>
  </sheetData>
  <sortState xmlns:xlrd2="http://schemas.microsoft.com/office/spreadsheetml/2017/richdata2" ref="A2:K126">
    <sortCondition ref="I2:I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D903-AFA6-4FE9-BD4D-9C6BACE51F24}">
  <dimension ref="A1:R138"/>
  <sheetViews>
    <sheetView tabSelected="1" topLeftCell="A138" workbookViewId="0">
      <selection activeCell="O2" sqref="O2:O138"/>
    </sheetView>
  </sheetViews>
  <sheetFormatPr defaultRowHeight="15" x14ac:dyDescent="0.25"/>
  <cols>
    <col min="1" max="1" width="18.7109375" style="4" bestFit="1" customWidth="1"/>
    <col min="2" max="2" width="10.7109375" style="4" bestFit="1" customWidth="1"/>
    <col min="3" max="3" width="10.5703125" style="4" bestFit="1" customWidth="1"/>
    <col min="4" max="4" width="11.7109375" style="4" bestFit="1" customWidth="1"/>
    <col min="5" max="5" width="17.5703125" style="4" bestFit="1" customWidth="1"/>
    <col min="6" max="6" width="11" style="4" bestFit="1" customWidth="1"/>
    <col min="7" max="8" width="11" style="4" customWidth="1"/>
    <col min="9" max="9" width="11.85546875" style="4" bestFit="1" customWidth="1"/>
    <col min="10" max="10" width="14.7109375" style="4" bestFit="1" customWidth="1"/>
    <col min="11" max="11" width="12.7109375" style="4" bestFit="1" customWidth="1"/>
    <col min="12" max="12" width="60.28515625" style="4" bestFit="1" customWidth="1"/>
    <col min="13" max="13" width="15.7109375" style="4" bestFit="1" customWidth="1"/>
    <col min="14" max="14" width="21.140625" style="4" bestFit="1" customWidth="1"/>
    <col min="15" max="15" width="23.140625" style="4" bestFit="1" customWidth="1"/>
    <col min="16" max="16384" width="9.140625" style="4"/>
  </cols>
  <sheetData>
    <row r="1" spans="1:14" ht="17.25" customHeight="1" x14ac:dyDescent="0.25">
      <c r="A1" s="4" t="s">
        <v>0</v>
      </c>
      <c r="B1" s="4" t="s">
        <v>2</v>
      </c>
      <c r="C1" s="4" t="s">
        <v>3</v>
      </c>
      <c r="D1" s="4" t="s">
        <v>4</v>
      </c>
      <c r="F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4" x14ac:dyDescent="0.25">
      <c r="A2" s="4" t="s">
        <v>165</v>
      </c>
      <c r="B2" s="4">
        <v>20411454</v>
      </c>
      <c r="C2" s="4" t="s">
        <v>20</v>
      </c>
      <c r="D2" s="4" t="s">
        <v>21</v>
      </c>
      <c r="E2" s="4" t="str">
        <f>CONCATENATE(C2, " ",D2)</f>
        <v>Candice Sainato</v>
      </c>
      <c r="F2" s="4" t="s">
        <v>22</v>
      </c>
      <c r="G2" s="4">
        <v>20230</v>
      </c>
      <c r="H2" s="4" t="str">
        <f>CONCATENATE(G2,2)</f>
        <v>202302</v>
      </c>
      <c r="I2" s="5">
        <v>45901</v>
      </c>
      <c r="J2" s="5">
        <v>45905</v>
      </c>
      <c r="K2" s="4" t="s">
        <v>15</v>
      </c>
      <c r="L2" s="4" t="s">
        <v>104</v>
      </c>
      <c r="M2" s="6">
        <v>31.25</v>
      </c>
      <c r="N2" s="4" t="s">
        <v>155</v>
      </c>
    </row>
    <row r="3" spans="1:14" x14ac:dyDescent="0.25">
      <c r="A3" s="4" t="s">
        <v>165</v>
      </c>
      <c r="B3" s="4">
        <v>20411454</v>
      </c>
      <c r="C3" s="4" t="s">
        <v>142</v>
      </c>
      <c r="D3" s="4" t="s">
        <v>143</v>
      </c>
      <c r="E3" s="4" t="str">
        <f>CONCATENATE(C3, " ",D3)</f>
        <v>Ann Paulikonis</v>
      </c>
      <c r="F3" s="4" t="s">
        <v>144</v>
      </c>
      <c r="G3" s="4">
        <v>19440</v>
      </c>
      <c r="H3" s="4" t="str">
        <f>CONCATENATE(G3,2)</f>
        <v>194402</v>
      </c>
      <c r="I3" s="5">
        <v>45901</v>
      </c>
      <c r="J3" s="5">
        <v>45905</v>
      </c>
      <c r="K3" s="4" t="s">
        <v>15</v>
      </c>
      <c r="L3" s="4" t="s">
        <v>104</v>
      </c>
      <c r="M3" s="6">
        <v>31.25</v>
      </c>
      <c r="N3" s="4" t="s">
        <v>155</v>
      </c>
    </row>
    <row r="4" spans="1:14" x14ac:dyDescent="0.25">
      <c r="A4" s="4" t="s">
        <v>165</v>
      </c>
      <c r="B4" s="4">
        <v>20411454</v>
      </c>
      <c r="C4" s="4" t="s">
        <v>20</v>
      </c>
      <c r="D4" s="4" t="s">
        <v>21</v>
      </c>
      <c r="E4" s="4" t="str">
        <f>CONCATENATE(C4, " ",D4)</f>
        <v>Candice Sainato</v>
      </c>
      <c r="F4" s="4" t="s">
        <v>22</v>
      </c>
      <c r="G4" s="4">
        <v>20230</v>
      </c>
      <c r="H4" s="4" t="str">
        <f>CONCATENATE(G4,2)</f>
        <v>202302</v>
      </c>
      <c r="I4" s="5">
        <v>45901</v>
      </c>
      <c r="J4" s="5">
        <v>45905</v>
      </c>
      <c r="K4" s="4" t="s">
        <v>15</v>
      </c>
      <c r="L4" s="4" t="s">
        <v>23</v>
      </c>
      <c r="M4" s="6">
        <v>-20.83</v>
      </c>
      <c r="N4" s="4" t="s">
        <v>155</v>
      </c>
    </row>
    <row r="5" spans="1:14" x14ac:dyDescent="0.25">
      <c r="A5" s="4" t="s">
        <v>165</v>
      </c>
      <c r="B5" s="4">
        <v>20411454</v>
      </c>
      <c r="C5" s="4" t="s">
        <v>37</v>
      </c>
      <c r="D5" s="4" t="s">
        <v>38</v>
      </c>
      <c r="E5" s="4" t="str">
        <f>CONCATENATE(C5, " ",D5)</f>
        <v>Emerson Evans</v>
      </c>
      <c r="F5" s="4" t="s">
        <v>39</v>
      </c>
      <c r="G5" s="4">
        <v>91260</v>
      </c>
      <c r="H5" s="4" t="str">
        <f>CONCATENATE(G5,2)</f>
        <v>912602</v>
      </c>
      <c r="I5" s="5">
        <v>45870</v>
      </c>
      <c r="J5" s="5">
        <v>45905</v>
      </c>
      <c r="K5" s="4" t="s">
        <v>15</v>
      </c>
      <c r="L5" s="4" t="s">
        <v>109</v>
      </c>
      <c r="M5" s="6">
        <v>39.06</v>
      </c>
      <c r="N5" s="4" t="s">
        <v>155</v>
      </c>
    </row>
    <row r="6" spans="1:14" x14ac:dyDescent="0.25">
      <c r="A6" s="4" t="s">
        <v>165</v>
      </c>
      <c r="B6" s="4">
        <v>20411454</v>
      </c>
      <c r="C6" s="4" t="s">
        <v>37</v>
      </c>
      <c r="D6" s="4" t="s">
        <v>38</v>
      </c>
      <c r="E6" s="4" t="str">
        <f>CONCATENATE(C6, " ",D6)</f>
        <v>Emerson Evans</v>
      </c>
      <c r="F6" s="4" t="s">
        <v>39</v>
      </c>
      <c r="G6" s="4">
        <v>91260</v>
      </c>
      <c r="H6" s="4" t="str">
        <f>CONCATENATE(G6,2)</f>
        <v>912602</v>
      </c>
      <c r="I6" s="5">
        <v>45870</v>
      </c>
      <c r="J6" s="5">
        <v>45905</v>
      </c>
      <c r="K6" s="4" t="s">
        <v>15</v>
      </c>
      <c r="L6" s="4" t="s">
        <v>40</v>
      </c>
      <c r="M6" s="6">
        <v>-26.04</v>
      </c>
      <c r="N6" s="4" t="s">
        <v>155</v>
      </c>
    </row>
    <row r="7" spans="1:14" x14ac:dyDescent="0.25">
      <c r="A7" s="4" t="s">
        <v>165</v>
      </c>
      <c r="B7" s="4">
        <v>20411454</v>
      </c>
      <c r="C7" s="4" t="s">
        <v>76</v>
      </c>
      <c r="D7" s="4" t="s">
        <v>77</v>
      </c>
      <c r="E7" s="4" t="str">
        <f>CONCATENATE(C7, " ",D7)</f>
        <v>Terence Jacob</v>
      </c>
      <c r="F7" s="4" t="s">
        <v>78</v>
      </c>
      <c r="G7" s="4">
        <v>67170</v>
      </c>
      <c r="H7" s="4" t="str">
        <f>CONCATENATE(G7,2)</f>
        <v>671702</v>
      </c>
      <c r="I7" s="5">
        <v>45992</v>
      </c>
      <c r="J7" s="5">
        <v>45905</v>
      </c>
      <c r="K7" s="4" t="s">
        <v>15</v>
      </c>
      <c r="L7" s="4" t="s">
        <v>79</v>
      </c>
      <c r="M7" s="6">
        <v>112.5</v>
      </c>
      <c r="N7" s="4" t="s">
        <v>155</v>
      </c>
    </row>
    <row r="8" spans="1:14" x14ac:dyDescent="0.25">
      <c r="A8" s="4" t="s">
        <v>165</v>
      </c>
      <c r="B8" s="4">
        <v>20411454</v>
      </c>
      <c r="C8" s="4" t="s">
        <v>76</v>
      </c>
      <c r="D8" s="4" t="s">
        <v>77</v>
      </c>
      <c r="E8" s="4" t="str">
        <f>CONCATENATE(C8, " ",D8)</f>
        <v>Terence Jacob</v>
      </c>
      <c r="F8" s="4" t="s">
        <v>78</v>
      </c>
      <c r="G8" s="4">
        <v>67170</v>
      </c>
      <c r="H8" s="4" t="str">
        <f>CONCATENATE(G8,2)</f>
        <v>671702</v>
      </c>
      <c r="I8" s="5">
        <v>45627</v>
      </c>
      <c r="J8" s="5">
        <v>45905</v>
      </c>
      <c r="K8" s="4" t="s">
        <v>15</v>
      </c>
      <c r="L8" s="4" t="s">
        <v>115</v>
      </c>
      <c r="M8" s="6">
        <v>-112.5</v>
      </c>
      <c r="N8" s="4" t="s">
        <v>155</v>
      </c>
    </row>
    <row r="9" spans="1:14" x14ac:dyDescent="0.25">
      <c r="A9" s="4" t="s">
        <v>165</v>
      </c>
      <c r="B9" s="4">
        <v>20411454</v>
      </c>
      <c r="C9" s="4" t="s">
        <v>37</v>
      </c>
      <c r="D9" s="4" t="s">
        <v>38</v>
      </c>
      <c r="E9" s="4" t="str">
        <f>CONCATENATE(C9, " ",D9)</f>
        <v>Emerson Evans</v>
      </c>
      <c r="F9" s="4" t="s">
        <v>39</v>
      </c>
      <c r="G9" s="4">
        <v>91260</v>
      </c>
      <c r="H9" s="4" t="str">
        <f>CONCATENATE(G9,2)</f>
        <v>912602</v>
      </c>
      <c r="I9" s="5">
        <v>45870</v>
      </c>
      <c r="J9" s="5">
        <v>45905</v>
      </c>
      <c r="K9" s="4" t="s">
        <v>15</v>
      </c>
      <c r="L9" s="4" t="s">
        <v>110</v>
      </c>
      <c r="M9" s="6">
        <v>110.94</v>
      </c>
      <c r="N9" s="4" t="s">
        <v>155</v>
      </c>
    </row>
    <row r="10" spans="1:14" x14ac:dyDescent="0.25">
      <c r="A10" s="4" t="s">
        <v>165</v>
      </c>
      <c r="B10" s="4">
        <v>20411454</v>
      </c>
      <c r="C10" s="4" t="s">
        <v>37</v>
      </c>
      <c r="D10" s="4" t="s">
        <v>38</v>
      </c>
      <c r="E10" s="4" t="str">
        <f>CONCATENATE(C10, " ",D10)</f>
        <v>Emerson Evans</v>
      </c>
      <c r="F10" s="4" t="s">
        <v>39</v>
      </c>
      <c r="G10" s="4">
        <v>91260</v>
      </c>
      <c r="H10" s="4" t="str">
        <f>CONCATENATE(G10,2)</f>
        <v>912602</v>
      </c>
      <c r="I10" s="5">
        <v>45870</v>
      </c>
      <c r="J10" s="5">
        <v>45905</v>
      </c>
      <c r="K10" s="4" t="s">
        <v>15</v>
      </c>
      <c r="L10" s="4" t="s">
        <v>41</v>
      </c>
      <c r="M10" s="6">
        <v>-73.959999999999994</v>
      </c>
      <c r="N10" s="4" t="s">
        <v>155</v>
      </c>
    </row>
    <row r="11" spans="1:14" x14ac:dyDescent="0.25">
      <c r="A11" s="4" t="s">
        <v>165</v>
      </c>
      <c r="B11" s="4">
        <v>20411454</v>
      </c>
      <c r="C11" s="4" t="s">
        <v>46</v>
      </c>
      <c r="D11" s="4" t="s">
        <v>38</v>
      </c>
      <c r="E11" s="4" t="str">
        <f>CONCATENATE(C11, " ",D11)</f>
        <v>Theresa Evans</v>
      </c>
      <c r="F11" s="4" t="s">
        <v>47</v>
      </c>
      <c r="G11" s="4">
        <v>640</v>
      </c>
      <c r="H11" s="4" t="str">
        <f>CONCATENATE(G11,2)</f>
        <v>6402</v>
      </c>
      <c r="I11" s="5">
        <v>45870</v>
      </c>
      <c r="J11" s="5">
        <v>45905</v>
      </c>
      <c r="K11" s="4" t="s">
        <v>15</v>
      </c>
      <c r="L11" s="4" t="s">
        <v>111</v>
      </c>
      <c r="M11" s="6">
        <v>31.25</v>
      </c>
      <c r="N11" s="4" t="s">
        <v>155</v>
      </c>
    </row>
    <row r="12" spans="1:14" x14ac:dyDescent="0.25">
      <c r="A12" s="4" t="s">
        <v>165</v>
      </c>
      <c r="B12" s="4">
        <v>20411454</v>
      </c>
      <c r="C12" s="4" t="s">
        <v>46</v>
      </c>
      <c r="D12" s="4" t="s">
        <v>38</v>
      </c>
      <c r="E12" s="4" t="str">
        <f>CONCATENATE(C12, " ",D12)</f>
        <v>Theresa Evans</v>
      </c>
      <c r="F12" s="4" t="s">
        <v>47</v>
      </c>
      <c r="G12" s="4">
        <v>640</v>
      </c>
      <c r="H12" s="4" t="str">
        <f>CONCATENATE(G12,2)</f>
        <v>6402</v>
      </c>
      <c r="I12" s="5">
        <v>45870</v>
      </c>
      <c r="J12" s="5">
        <v>45905</v>
      </c>
      <c r="K12" s="4" t="s">
        <v>15</v>
      </c>
      <c r="L12" s="4" t="s">
        <v>48</v>
      </c>
      <c r="M12" s="6">
        <v>-20.83</v>
      </c>
      <c r="N12" s="4" t="s">
        <v>155</v>
      </c>
    </row>
    <row r="13" spans="1:14" x14ac:dyDescent="0.25">
      <c r="A13" s="4" t="s">
        <v>165</v>
      </c>
      <c r="B13" s="4">
        <v>20411454</v>
      </c>
      <c r="C13" s="4" t="s">
        <v>12</v>
      </c>
      <c r="D13" s="4" t="s">
        <v>13</v>
      </c>
      <c r="E13" s="4" t="str">
        <f>CONCATENATE(C13, " ",D13)</f>
        <v>Bobbi Zimmerman</v>
      </c>
      <c r="F13" s="4" t="s">
        <v>14</v>
      </c>
      <c r="G13" s="4">
        <v>45790</v>
      </c>
      <c r="H13" s="4" t="str">
        <f>CONCATENATE(G13,2)</f>
        <v>457902</v>
      </c>
      <c r="I13" s="5">
        <v>45870</v>
      </c>
      <c r="J13" s="5">
        <v>45905</v>
      </c>
      <c r="K13" s="4" t="s">
        <v>15</v>
      </c>
      <c r="L13" s="4" t="s">
        <v>103</v>
      </c>
      <c r="M13" s="6">
        <v>165</v>
      </c>
      <c r="N13" s="4" t="s">
        <v>155</v>
      </c>
    </row>
    <row r="14" spans="1:14" x14ac:dyDescent="0.25">
      <c r="A14" s="4" t="s">
        <v>165</v>
      </c>
      <c r="B14" s="4">
        <v>20411454</v>
      </c>
      <c r="C14" s="4" t="s">
        <v>17</v>
      </c>
      <c r="D14" s="4" t="s">
        <v>18</v>
      </c>
      <c r="E14" s="4" t="str">
        <f>CONCATENATE(C14, " ",D14)</f>
        <v>Edna Zielinski</v>
      </c>
      <c r="F14" s="4" t="s">
        <v>19</v>
      </c>
      <c r="G14" s="4">
        <v>81290</v>
      </c>
      <c r="H14" s="4" t="str">
        <f>CONCATENATE(G14,2)</f>
        <v>812902</v>
      </c>
      <c r="I14" s="5">
        <v>45870</v>
      </c>
      <c r="J14" s="5">
        <v>45905</v>
      </c>
      <c r="K14" s="4" t="s">
        <v>15</v>
      </c>
      <c r="L14" s="4" t="s">
        <v>103</v>
      </c>
      <c r="M14" s="6">
        <v>165</v>
      </c>
      <c r="N14" s="4" t="s">
        <v>155</v>
      </c>
    </row>
    <row r="15" spans="1:14" x14ac:dyDescent="0.25">
      <c r="A15" s="4" t="s">
        <v>165</v>
      </c>
      <c r="B15" s="4">
        <v>20411454</v>
      </c>
      <c r="C15" s="4" t="s">
        <v>42</v>
      </c>
      <c r="D15" s="4" t="s">
        <v>18</v>
      </c>
      <c r="E15" s="4" t="str">
        <f>CONCATENATE(C15, " ",D15)</f>
        <v>Barry Zielinski</v>
      </c>
      <c r="F15" s="4" t="s">
        <v>43</v>
      </c>
      <c r="G15" s="4">
        <v>37270</v>
      </c>
      <c r="H15" s="4" t="str">
        <f>CONCATENATE(G15,2)</f>
        <v>372702</v>
      </c>
      <c r="I15" s="5">
        <v>45870</v>
      </c>
      <c r="J15" s="5">
        <v>45905</v>
      </c>
      <c r="K15" s="4" t="s">
        <v>15</v>
      </c>
      <c r="L15" s="4" t="s">
        <v>103</v>
      </c>
      <c r="M15" s="6">
        <v>165</v>
      </c>
      <c r="N15" s="4" t="s">
        <v>155</v>
      </c>
    </row>
    <row r="16" spans="1:14" x14ac:dyDescent="0.25">
      <c r="A16" s="4" t="s">
        <v>165</v>
      </c>
      <c r="B16" s="4">
        <v>20411454</v>
      </c>
      <c r="C16" s="4" t="s">
        <v>12</v>
      </c>
      <c r="D16" s="4" t="s">
        <v>13</v>
      </c>
      <c r="E16" s="4" t="str">
        <f>CONCATENATE(C16, " ",D16)</f>
        <v>Bobbi Zimmerman</v>
      </c>
      <c r="F16" s="4" t="s">
        <v>14</v>
      </c>
      <c r="G16" s="4">
        <v>45790</v>
      </c>
      <c r="H16" s="4" t="str">
        <f>CONCATENATE(G16,2)</f>
        <v>457902</v>
      </c>
      <c r="I16" s="5">
        <v>45870</v>
      </c>
      <c r="J16" s="5">
        <v>45905</v>
      </c>
      <c r="K16" s="4" t="s">
        <v>15</v>
      </c>
      <c r="L16" s="4" t="s">
        <v>16</v>
      </c>
      <c r="M16" s="6">
        <v>-110</v>
      </c>
      <c r="N16" s="4" t="s">
        <v>155</v>
      </c>
    </row>
    <row r="17" spans="1:14" x14ac:dyDescent="0.25">
      <c r="A17" s="4" t="s">
        <v>165</v>
      </c>
      <c r="B17" s="4">
        <v>20411454</v>
      </c>
      <c r="C17" s="4" t="s">
        <v>17</v>
      </c>
      <c r="D17" s="4" t="s">
        <v>18</v>
      </c>
      <c r="E17" s="4" t="str">
        <f>CONCATENATE(C17, " ",D17)</f>
        <v>Edna Zielinski</v>
      </c>
      <c r="F17" s="4" t="s">
        <v>19</v>
      </c>
      <c r="G17" s="4">
        <v>81290</v>
      </c>
      <c r="H17" s="4" t="str">
        <f>CONCATENATE(G17,2)</f>
        <v>812902</v>
      </c>
      <c r="I17" s="5">
        <v>45870</v>
      </c>
      <c r="J17" s="5">
        <v>45905</v>
      </c>
      <c r="K17" s="4" t="s">
        <v>15</v>
      </c>
      <c r="L17" s="4" t="s">
        <v>16</v>
      </c>
      <c r="M17" s="6">
        <v>-110</v>
      </c>
      <c r="N17" s="4" t="s">
        <v>155</v>
      </c>
    </row>
    <row r="18" spans="1:14" x14ac:dyDescent="0.25">
      <c r="A18" s="4" t="s">
        <v>165</v>
      </c>
      <c r="B18" s="4">
        <v>20411454</v>
      </c>
      <c r="C18" s="4" t="s">
        <v>42</v>
      </c>
      <c r="D18" s="4" t="s">
        <v>18</v>
      </c>
      <c r="E18" s="4" t="str">
        <f>CONCATENATE(C18, " ",D18)</f>
        <v>Barry Zielinski</v>
      </c>
      <c r="F18" s="4" t="s">
        <v>43</v>
      </c>
      <c r="G18" s="4">
        <v>37270</v>
      </c>
      <c r="H18" s="4" t="str">
        <f>CONCATENATE(G18,2)</f>
        <v>372702</v>
      </c>
      <c r="I18" s="5">
        <v>45870</v>
      </c>
      <c r="J18" s="5">
        <v>45905</v>
      </c>
      <c r="K18" s="4" t="s">
        <v>15</v>
      </c>
      <c r="L18" s="4" t="s">
        <v>16</v>
      </c>
      <c r="M18" s="6">
        <v>-110</v>
      </c>
      <c r="N18" s="4" t="s">
        <v>155</v>
      </c>
    </row>
    <row r="19" spans="1:14" x14ac:dyDescent="0.25">
      <c r="A19" s="4" t="s">
        <v>165</v>
      </c>
      <c r="B19" s="4">
        <v>20411454</v>
      </c>
      <c r="C19" s="4" t="s">
        <v>33</v>
      </c>
      <c r="D19" s="4" t="s">
        <v>34</v>
      </c>
      <c r="E19" s="4" t="str">
        <f>CONCATENATE(C19, " ",D19)</f>
        <v>Mark Serpa</v>
      </c>
      <c r="F19" s="4" t="s">
        <v>35</v>
      </c>
      <c r="G19" s="4">
        <v>59760</v>
      </c>
      <c r="H19" s="4" t="str">
        <f>CONCATENATE(G19,2)</f>
        <v>597602</v>
      </c>
      <c r="I19" s="5">
        <v>45870</v>
      </c>
      <c r="J19" s="5">
        <v>45905</v>
      </c>
      <c r="K19" s="4" t="s">
        <v>15</v>
      </c>
      <c r="L19" s="4" t="s">
        <v>108</v>
      </c>
      <c r="M19" s="6">
        <v>68.75</v>
      </c>
      <c r="N19" s="4" t="s">
        <v>155</v>
      </c>
    </row>
    <row r="20" spans="1:14" x14ac:dyDescent="0.25">
      <c r="A20" s="4" t="s">
        <v>165</v>
      </c>
      <c r="B20" s="4">
        <v>20411454</v>
      </c>
      <c r="C20" s="4" t="s">
        <v>33</v>
      </c>
      <c r="D20" s="4" t="s">
        <v>34</v>
      </c>
      <c r="E20" s="4" t="str">
        <f>CONCATENATE(C20, " ",D20)</f>
        <v>Mark Serpa</v>
      </c>
      <c r="F20" s="4" t="s">
        <v>35</v>
      </c>
      <c r="G20" s="4">
        <v>59760</v>
      </c>
      <c r="H20" s="4" t="str">
        <f>CONCATENATE(G20,2)</f>
        <v>597602</v>
      </c>
      <c r="I20" s="5">
        <v>45870</v>
      </c>
      <c r="J20" s="5">
        <v>45905</v>
      </c>
      <c r="K20" s="4" t="s">
        <v>15</v>
      </c>
      <c r="L20" s="4" t="s">
        <v>36</v>
      </c>
      <c r="M20" s="6">
        <v>-45.83</v>
      </c>
      <c r="N20" s="4" t="s">
        <v>155</v>
      </c>
    </row>
    <row r="21" spans="1:14" x14ac:dyDescent="0.25">
      <c r="A21" s="4" t="s">
        <v>165</v>
      </c>
      <c r="B21" s="4">
        <v>20411454</v>
      </c>
      <c r="C21" s="4" t="s">
        <v>50</v>
      </c>
      <c r="D21" s="4" t="s">
        <v>51</v>
      </c>
      <c r="E21" s="4" t="str">
        <f>CONCATENATE(C21, " ",D21)</f>
        <v>Sujata Naik</v>
      </c>
      <c r="F21" s="4" t="s">
        <v>52</v>
      </c>
      <c r="G21" s="4">
        <v>49730</v>
      </c>
      <c r="H21" s="4" t="str">
        <f>CONCATENATE(G21,2)</f>
        <v>497302</v>
      </c>
      <c r="I21" s="5">
        <v>45931</v>
      </c>
      <c r="J21" s="5">
        <v>45905</v>
      </c>
      <c r="K21" s="4" t="s">
        <v>15</v>
      </c>
      <c r="L21" s="4" t="s">
        <v>113</v>
      </c>
      <c r="M21" s="6">
        <v>137.81</v>
      </c>
      <c r="N21" s="4" t="s">
        <v>155</v>
      </c>
    </row>
    <row r="22" spans="1:14" x14ac:dyDescent="0.25">
      <c r="A22" s="4" t="s">
        <v>165</v>
      </c>
      <c r="B22" s="4">
        <v>20411454</v>
      </c>
      <c r="C22" s="4" t="s">
        <v>50</v>
      </c>
      <c r="D22" s="4" t="s">
        <v>51</v>
      </c>
      <c r="E22" s="4" t="str">
        <f>CONCATENATE(C22, " ",D22)</f>
        <v>Sujata Naik</v>
      </c>
      <c r="F22" s="4" t="s">
        <v>52</v>
      </c>
      <c r="G22" s="4">
        <v>49730</v>
      </c>
      <c r="H22" s="4" t="str">
        <f>CONCATENATE(G22,2)</f>
        <v>497302</v>
      </c>
      <c r="I22" s="5">
        <v>45931</v>
      </c>
      <c r="J22" s="5">
        <v>45905</v>
      </c>
      <c r="K22" s="4" t="s">
        <v>15</v>
      </c>
      <c r="L22" s="4" t="s">
        <v>60</v>
      </c>
      <c r="M22" s="6">
        <v>-91.88</v>
      </c>
      <c r="N22" s="4" t="s">
        <v>155</v>
      </c>
    </row>
    <row r="23" spans="1:14" x14ac:dyDescent="0.25">
      <c r="A23" s="4" t="s">
        <v>165</v>
      </c>
      <c r="B23" s="4">
        <v>20411454</v>
      </c>
      <c r="C23" s="4" t="s">
        <v>17</v>
      </c>
      <c r="D23" s="4" t="s">
        <v>29</v>
      </c>
      <c r="E23" s="4" t="str">
        <f>CONCATENATE(C23, " ",D23)</f>
        <v>Edna Kuklis</v>
      </c>
      <c r="F23" s="4" t="s">
        <v>30</v>
      </c>
      <c r="G23" s="4">
        <v>55510</v>
      </c>
      <c r="H23" s="4" t="str">
        <f>CONCATENATE(G23,2)</f>
        <v>555102</v>
      </c>
      <c r="I23" s="5">
        <v>45870</v>
      </c>
      <c r="J23" s="5">
        <v>45905</v>
      </c>
      <c r="K23" s="4" t="s">
        <v>15</v>
      </c>
      <c r="L23" s="4" t="s">
        <v>107</v>
      </c>
      <c r="M23" s="6">
        <v>119.69</v>
      </c>
      <c r="N23" s="4" t="s">
        <v>155</v>
      </c>
    </row>
    <row r="24" spans="1:14" x14ac:dyDescent="0.25">
      <c r="A24" s="4" t="s">
        <v>165</v>
      </c>
      <c r="B24" s="4">
        <v>20411454</v>
      </c>
      <c r="C24" s="4" t="s">
        <v>69</v>
      </c>
      <c r="D24" s="4" t="s">
        <v>70</v>
      </c>
      <c r="E24" s="4" t="str">
        <f>CONCATENATE(C24, " ",D24)</f>
        <v>Richard Ryan</v>
      </c>
      <c r="F24" s="4" t="s">
        <v>71</v>
      </c>
      <c r="G24" s="4">
        <v>93110</v>
      </c>
      <c r="H24" s="4" t="str">
        <f>CONCATENATE(G24,2)</f>
        <v>931102</v>
      </c>
      <c r="I24" s="5">
        <v>45870</v>
      </c>
      <c r="J24" s="5">
        <v>45905</v>
      </c>
      <c r="K24" s="4" t="s">
        <v>15</v>
      </c>
      <c r="L24" s="4" t="s">
        <v>107</v>
      </c>
      <c r="M24" s="6">
        <v>119.69</v>
      </c>
      <c r="N24" s="4" t="s">
        <v>155</v>
      </c>
    </row>
    <row r="25" spans="1:14" x14ac:dyDescent="0.25">
      <c r="A25" s="4" t="s">
        <v>165</v>
      </c>
      <c r="B25" s="4">
        <v>20411454</v>
      </c>
      <c r="C25" s="4" t="s">
        <v>81</v>
      </c>
      <c r="D25" s="4" t="s">
        <v>82</v>
      </c>
      <c r="E25" s="4" t="str">
        <f>CONCATENATE(C25, " ",D25)</f>
        <v>Craig Spragle</v>
      </c>
      <c r="F25" s="4" t="s">
        <v>83</v>
      </c>
      <c r="G25" s="4">
        <v>97130</v>
      </c>
      <c r="H25" s="4" t="str">
        <f>CONCATENATE(G25,2)</f>
        <v>971302</v>
      </c>
      <c r="I25" s="5">
        <v>45870</v>
      </c>
      <c r="J25" s="5">
        <v>45905</v>
      </c>
      <c r="K25" s="4" t="s">
        <v>15</v>
      </c>
      <c r="L25" s="4" t="s">
        <v>107</v>
      </c>
      <c r="M25" s="6">
        <v>119.69</v>
      </c>
      <c r="N25" s="4" t="s">
        <v>155</v>
      </c>
    </row>
    <row r="26" spans="1:14" x14ac:dyDescent="0.25">
      <c r="A26" s="4" t="s">
        <v>165</v>
      </c>
      <c r="B26" s="4">
        <v>20411454</v>
      </c>
      <c r="C26" s="4" t="s">
        <v>17</v>
      </c>
      <c r="D26" s="4" t="s">
        <v>29</v>
      </c>
      <c r="E26" s="4" t="str">
        <f>CONCATENATE(C26, " ",D26)</f>
        <v>Edna Kuklis</v>
      </c>
      <c r="F26" s="4" t="s">
        <v>30</v>
      </c>
      <c r="G26" s="4">
        <v>55510</v>
      </c>
      <c r="H26" s="4" t="str">
        <f>CONCATENATE(G26,2)</f>
        <v>555102</v>
      </c>
      <c r="I26" s="5">
        <v>45870</v>
      </c>
      <c r="J26" s="5">
        <v>45905</v>
      </c>
      <c r="K26" s="4" t="s">
        <v>15</v>
      </c>
      <c r="L26" s="4" t="s">
        <v>32</v>
      </c>
      <c r="M26" s="6">
        <v>-79.790000000000006</v>
      </c>
      <c r="N26" s="4" t="s">
        <v>155</v>
      </c>
    </row>
    <row r="27" spans="1:14" x14ac:dyDescent="0.25">
      <c r="A27" s="4" t="s">
        <v>165</v>
      </c>
      <c r="B27" s="4">
        <v>20411454</v>
      </c>
      <c r="C27" s="4" t="s">
        <v>69</v>
      </c>
      <c r="D27" s="4" t="s">
        <v>70</v>
      </c>
      <c r="E27" s="4" t="str">
        <f>CONCATENATE(C27, " ",D27)</f>
        <v>Richard Ryan</v>
      </c>
      <c r="F27" s="4" t="s">
        <v>71</v>
      </c>
      <c r="G27" s="4">
        <v>93110</v>
      </c>
      <c r="H27" s="4" t="str">
        <f>CONCATENATE(G27,2)</f>
        <v>931102</v>
      </c>
      <c r="I27" s="5">
        <v>45870</v>
      </c>
      <c r="J27" s="5">
        <v>45905</v>
      </c>
      <c r="K27" s="4" t="s">
        <v>15</v>
      </c>
      <c r="L27" s="4" t="s">
        <v>32</v>
      </c>
      <c r="M27" s="6">
        <v>-79.790000000000006</v>
      </c>
      <c r="N27" s="4" t="s">
        <v>155</v>
      </c>
    </row>
    <row r="28" spans="1:14" x14ac:dyDescent="0.25">
      <c r="A28" s="4" t="s">
        <v>165</v>
      </c>
      <c r="B28" s="4">
        <v>20411454</v>
      </c>
      <c r="C28" s="4" t="s">
        <v>81</v>
      </c>
      <c r="D28" s="4" t="s">
        <v>82</v>
      </c>
      <c r="E28" s="4" t="str">
        <f>CONCATENATE(C28, " ",D28)</f>
        <v>Craig Spragle</v>
      </c>
      <c r="F28" s="4" t="s">
        <v>83</v>
      </c>
      <c r="G28" s="4">
        <v>97130</v>
      </c>
      <c r="H28" s="4" t="str">
        <f>CONCATENATE(G28,2)</f>
        <v>971302</v>
      </c>
      <c r="I28" s="5">
        <v>45870</v>
      </c>
      <c r="J28" s="5">
        <v>45905</v>
      </c>
      <c r="K28" s="4" t="s">
        <v>15</v>
      </c>
      <c r="L28" s="4" t="s">
        <v>32</v>
      </c>
      <c r="M28" s="6">
        <v>-79.790000000000006</v>
      </c>
      <c r="N28" s="4" t="s">
        <v>155</v>
      </c>
    </row>
    <row r="29" spans="1:14" x14ac:dyDescent="0.25">
      <c r="A29" s="4" t="s">
        <v>165</v>
      </c>
      <c r="B29" s="4">
        <v>20411454</v>
      </c>
      <c r="C29" s="4" t="s">
        <v>24</v>
      </c>
      <c r="D29" s="4" t="s">
        <v>25</v>
      </c>
      <c r="E29" s="4" t="str">
        <f>CONCATENATE(C29, " ",D29)</f>
        <v>David Mckivitz</v>
      </c>
      <c r="F29" s="4" t="s">
        <v>26</v>
      </c>
      <c r="G29" s="4">
        <v>74200</v>
      </c>
      <c r="H29" s="4" t="str">
        <f>CONCATENATE(G29,2)</f>
        <v>742002</v>
      </c>
      <c r="I29" s="5">
        <v>45901</v>
      </c>
      <c r="J29" s="5">
        <v>45905</v>
      </c>
      <c r="K29" s="4" t="s">
        <v>15</v>
      </c>
      <c r="L29" s="4" t="s">
        <v>106</v>
      </c>
      <c r="M29" s="6">
        <v>128.75</v>
      </c>
      <c r="N29" s="4" t="s">
        <v>155</v>
      </c>
    </row>
    <row r="30" spans="1:14" x14ac:dyDescent="0.25">
      <c r="A30" s="4" t="s">
        <v>165</v>
      </c>
      <c r="B30" s="4">
        <v>20411454</v>
      </c>
      <c r="C30" s="4" t="s">
        <v>66</v>
      </c>
      <c r="D30" s="4" t="s">
        <v>67</v>
      </c>
      <c r="E30" s="4" t="str">
        <f>CONCATENATE(C30, " ",D30)</f>
        <v>Eric Rupert</v>
      </c>
      <c r="F30" s="4" t="s">
        <v>68</v>
      </c>
      <c r="G30" s="4">
        <v>81990</v>
      </c>
      <c r="H30" s="4" t="str">
        <f>CONCATENATE(G30,2)</f>
        <v>819902</v>
      </c>
      <c r="I30" s="5">
        <v>45901</v>
      </c>
      <c r="J30" s="5">
        <v>45905</v>
      </c>
      <c r="K30" s="4" t="s">
        <v>15</v>
      </c>
      <c r="L30" s="4" t="s">
        <v>106</v>
      </c>
      <c r="M30" s="6">
        <v>128.75</v>
      </c>
      <c r="N30" s="4" t="s">
        <v>155</v>
      </c>
    </row>
    <row r="31" spans="1:14" x14ac:dyDescent="0.25">
      <c r="A31" s="4" t="s">
        <v>165</v>
      </c>
      <c r="B31" s="4">
        <v>20411454</v>
      </c>
      <c r="C31" s="4" t="s">
        <v>24</v>
      </c>
      <c r="D31" s="4" t="s">
        <v>25</v>
      </c>
      <c r="E31" s="4" t="str">
        <f>CONCATENATE(C31, " ",D31)</f>
        <v>David Mckivitz</v>
      </c>
      <c r="F31" s="4" t="s">
        <v>26</v>
      </c>
      <c r="G31" s="4">
        <v>74200</v>
      </c>
      <c r="H31" s="4" t="str">
        <f>CONCATENATE(G31,2)</f>
        <v>742002</v>
      </c>
      <c r="I31" s="5">
        <v>45901</v>
      </c>
      <c r="J31" s="5">
        <v>45905</v>
      </c>
      <c r="K31" s="4" t="s">
        <v>15</v>
      </c>
      <c r="L31" s="4" t="s">
        <v>28</v>
      </c>
      <c r="M31" s="6">
        <v>-85.83</v>
      </c>
      <c r="N31" s="4" t="s">
        <v>155</v>
      </c>
    </row>
    <row r="32" spans="1:14" x14ac:dyDescent="0.25">
      <c r="A32" s="4" t="s">
        <v>165</v>
      </c>
      <c r="B32" s="4">
        <v>20411454</v>
      </c>
      <c r="C32" s="4" t="s">
        <v>66</v>
      </c>
      <c r="D32" s="4" t="s">
        <v>67</v>
      </c>
      <c r="E32" s="4" t="str">
        <f>CONCATENATE(C32, " ",D32)</f>
        <v>Eric Rupert</v>
      </c>
      <c r="F32" s="4" t="s">
        <v>68</v>
      </c>
      <c r="G32" s="4">
        <v>81990</v>
      </c>
      <c r="H32" s="4" t="str">
        <f>CONCATENATE(G32,2)</f>
        <v>819902</v>
      </c>
      <c r="I32" s="5">
        <v>45901</v>
      </c>
      <c r="J32" s="5">
        <v>45905</v>
      </c>
      <c r="K32" s="4" t="s">
        <v>15</v>
      </c>
      <c r="L32" s="4" t="s">
        <v>28</v>
      </c>
      <c r="M32" s="6">
        <v>-85.83</v>
      </c>
      <c r="N32" s="4" t="s">
        <v>155</v>
      </c>
    </row>
    <row r="33" spans="1:14" x14ac:dyDescent="0.25">
      <c r="A33" s="4" t="s">
        <v>165</v>
      </c>
      <c r="B33" s="4">
        <v>20411454</v>
      </c>
      <c r="C33" s="4" t="s">
        <v>72</v>
      </c>
      <c r="D33" s="4" t="s">
        <v>73</v>
      </c>
      <c r="E33" s="4" t="str">
        <f>CONCATENATE(C33, " ",D33)</f>
        <v>Elaine Wasko</v>
      </c>
      <c r="F33" s="4" t="s">
        <v>74</v>
      </c>
      <c r="G33" s="4">
        <v>88580</v>
      </c>
      <c r="H33" s="4" t="str">
        <f>CONCATENATE(G33,2)</f>
        <v>885802</v>
      </c>
      <c r="I33" s="5">
        <v>45962</v>
      </c>
      <c r="J33" s="5">
        <v>45905</v>
      </c>
      <c r="K33" s="4" t="s">
        <v>15</v>
      </c>
      <c r="L33" s="4" t="s">
        <v>114</v>
      </c>
      <c r="M33" s="6">
        <v>18.12</v>
      </c>
      <c r="N33" s="4" t="s">
        <v>155</v>
      </c>
    </row>
    <row r="34" spans="1:14" x14ac:dyDescent="0.25">
      <c r="A34" s="4" t="s">
        <v>165</v>
      </c>
      <c r="B34" s="4">
        <v>20411454</v>
      </c>
      <c r="C34" s="4" t="s">
        <v>133</v>
      </c>
      <c r="D34" s="4" t="s">
        <v>134</v>
      </c>
      <c r="E34" s="4" t="str">
        <f>CONCATENATE(C34, " ",D34)</f>
        <v>Joyce Kweder</v>
      </c>
      <c r="F34" s="4" t="s">
        <v>135</v>
      </c>
      <c r="G34" s="4">
        <v>34550</v>
      </c>
      <c r="H34" s="4" t="str">
        <f>CONCATENATE(G34,2)</f>
        <v>345502</v>
      </c>
      <c r="I34" s="5">
        <v>45962</v>
      </c>
      <c r="J34" s="5">
        <v>45905</v>
      </c>
      <c r="K34" s="4" t="s">
        <v>15</v>
      </c>
      <c r="L34" s="4" t="s">
        <v>114</v>
      </c>
      <c r="M34" s="6">
        <v>18.12</v>
      </c>
      <c r="N34" s="4" t="s">
        <v>155</v>
      </c>
    </row>
    <row r="35" spans="1:14" x14ac:dyDescent="0.25">
      <c r="A35" s="4" t="s">
        <v>165</v>
      </c>
      <c r="B35" s="4">
        <v>20411454</v>
      </c>
      <c r="C35" s="4" t="s">
        <v>69</v>
      </c>
      <c r="D35" s="4" t="s">
        <v>145</v>
      </c>
      <c r="E35" s="4" t="str">
        <f>CONCATENATE(C35, " ",D35)</f>
        <v>Richard Hartman</v>
      </c>
      <c r="F35" s="4" t="s">
        <v>146</v>
      </c>
      <c r="G35" s="4">
        <v>6530</v>
      </c>
      <c r="H35" s="4" t="str">
        <f>CONCATENATE(G35,2)</f>
        <v>65302</v>
      </c>
      <c r="I35" s="5">
        <v>45962</v>
      </c>
      <c r="J35" s="5">
        <v>45905</v>
      </c>
      <c r="K35" s="4" t="s">
        <v>15</v>
      </c>
      <c r="L35" s="4" t="s">
        <v>114</v>
      </c>
      <c r="M35" s="6">
        <v>18.12</v>
      </c>
      <c r="N35" s="4" t="s">
        <v>155</v>
      </c>
    </row>
    <row r="36" spans="1:14" x14ac:dyDescent="0.25">
      <c r="A36" s="4" t="s">
        <v>165</v>
      </c>
      <c r="B36" s="4">
        <v>20411454</v>
      </c>
      <c r="C36" s="4" t="s">
        <v>72</v>
      </c>
      <c r="D36" s="4" t="s">
        <v>73</v>
      </c>
      <c r="E36" s="4" t="str">
        <f>CONCATENATE(C36, " ",D36)</f>
        <v>Elaine Wasko</v>
      </c>
      <c r="F36" s="4" t="s">
        <v>74</v>
      </c>
      <c r="G36" s="4">
        <v>88580</v>
      </c>
      <c r="H36" s="4" t="str">
        <f>CONCATENATE(G36,2)</f>
        <v>885802</v>
      </c>
      <c r="I36" s="5">
        <v>45962</v>
      </c>
      <c r="J36" s="5">
        <v>45905</v>
      </c>
      <c r="K36" s="4" t="s">
        <v>15</v>
      </c>
      <c r="L36" s="4" t="s">
        <v>75</v>
      </c>
      <c r="M36" s="6">
        <v>-12.08</v>
      </c>
      <c r="N36" s="4" t="s">
        <v>155</v>
      </c>
    </row>
    <row r="37" spans="1:14" x14ac:dyDescent="0.25">
      <c r="A37" s="4" t="s">
        <v>165</v>
      </c>
      <c r="B37" s="4">
        <v>20411454</v>
      </c>
      <c r="C37" s="4" t="s">
        <v>50</v>
      </c>
      <c r="D37" s="4" t="s">
        <v>51</v>
      </c>
      <c r="E37" s="4" t="str">
        <f>CONCATENATE(C37, " ",D37)</f>
        <v>Sujata Naik</v>
      </c>
      <c r="F37" s="4" t="s">
        <v>52</v>
      </c>
      <c r="G37" s="4">
        <v>49730</v>
      </c>
      <c r="H37" s="4" t="str">
        <f>CONCATENATE(G37,2)</f>
        <v>497302</v>
      </c>
      <c r="I37" s="5">
        <v>45931</v>
      </c>
      <c r="J37" s="5">
        <v>45905</v>
      </c>
      <c r="K37" s="4" t="s">
        <v>15</v>
      </c>
      <c r="L37" s="4" t="s">
        <v>112</v>
      </c>
      <c r="M37" s="6">
        <v>27.18</v>
      </c>
      <c r="N37" s="4" t="s">
        <v>155</v>
      </c>
    </row>
    <row r="38" spans="1:14" x14ac:dyDescent="0.25">
      <c r="A38" s="4" t="s">
        <v>165</v>
      </c>
      <c r="B38" s="4">
        <v>20411454</v>
      </c>
      <c r="C38" s="4" t="s">
        <v>84</v>
      </c>
      <c r="D38" s="4" t="s">
        <v>85</v>
      </c>
      <c r="E38" s="4" t="str">
        <f>CONCATENATE(C38, " ",D38)</f>
        <v>Forrest Graver</v>
      </c>
      <c r="F38" s="4" t="s">
        <v>86</v>
      </c>
      <c r="G38" s="4">
        <v>66990</v>
      </c>
      <c r="H38" s="4" t="str">
        <f>CONCATENATE(G38,2)</f>
        <v>669902</v>
      </c>
      <c r="I38" s="5">
        <v>45931</v>
      </c>
      <c r="J38" s="5">
        <v>45905</v>
      </c>
      <c r="K38" s="4" t="s">
        <v>15</v>
      </c>
      <c r="L38" s="4" t="s">
        <v>112</v>
      </c>
      <c r="M38" s="6">
        <v>27.18</v>
      </c>
      <c r="N38" s="4" t="s">
        <v>155</v>
      </c>
    </row>
    <row r="39" spans="1:14" x14ac:dyDescent="0.25">
      <c r="A39" s="4" t="s">
        <v>165</v>
      </c>
      <c r="B39" s="4">
        <v>20411454</v>
      </c>
      <c r="C39" s="4" t="s">
        <v>136</v>
      </c>
      <c r="D39" s="4" t="s">
        <v>137</v>
      </c>
      <c r="E39" s="4" t="str">
        <f>CONCATENATE(C39, " ",D39)</f>
        <v>George Rice</v>
      </c>
      <c r="F39" s="4" t="s">
        <v>138</v>
      </c>
      <c r="G39" s="4">
        <v>69910</v>
      </c>
      <c r="H39" s="4" t="str">
        <f>CONCATENATE(G39,2)</f>
        <v>699102</v>
      </c>
      <c r="I39" s="5">
        <v>45931</v>
      </c>
      <c r="J39" s="5">
        <v>45905</v>
      </c>
      <c r="K39" s="4" t="s">
        <v>15</v>
      </c>
      <c r="L39" s="4" t="s">
        <v>112</v>
      </c>
      <c r="M39" s="6">
        <v>27.18</v>
      </c>
      <c r="N39" s="4" t="s">
        <v>155</v>
      </c>
    </row>
    <row r="40" spans="1:14" x14ac:dyDescent="0.25">
      <c r="A40" s="4" t="s">
        <v>165</v>
      </c>
      <c r="B40" s="4">
        <v>20411454</v>
      </c>
      <c r="C40" s="4" t="s">
        <v>147</v>
      </c>
      <c r="D40" s="4" t="s">
        <v>73</v>
      </c>
      <c r="E40" s="4" t="str">
        <f>CONCATENATE(C40, " ",D40)</f>
        <v>Daniel Wasko</v>
      </c>
      <c r="F40" s="4" t="s">
        <v>148</v>
      </c>
      <c r="G40" s="4">
        <v>11490</v>
      </c>
      <c r="H40" s="4" t="str">
        <f>CONCATENATE(G40,2)</f>
        <v>114902</v>
      </c>
      <c r="I40" s="5">
        <v>45931</v>
      </c>
      <c r="J40" s="5">
        <v>45905</v>
      </c>
      <c r="K40" s="4" t="s">
        <v>15</v>
      </c>
      <c r="L40" s="4" t="s">
        <v>112</v>
      </c>
      <c r="M40" s="6">
        <v>27.18</v>
      </c>
      <c r="N40" s="4" t="s">
        <v>155</v>
      </c>
    </row>
    <row r="41" spans="1:14" x14ac:dyDescent="0.25">
      <c r="A41" s="4" t="s">
        <v>165</v>
      </c>
      <c r="B41" s="4">
        <v>20411454</v>
      </c>
      <c r="C41" s="4" t="s">
        <v>149</v>
      </c>
      <c r="D41" s="4" t="s">
        <v>150</v>
      </c>
      <c r="E41" s="4" t="str">
        <f>CONCATENATE(C41, " ",D41)</f>
        <v>Leila Ojeil</v>
      </c>
      <c r="F41" s="4" t="s">
        <v>151</v>
      </c>
      <c r="G41" s="4">
        <v>34090</v>
      </c>
      <c r="H41" s="4" t="str">
        <f>CONCATENATE(G41,2)</f>
        <v>340902</v>
      </c>
      <c r="I41" s="5">
        <v>45931</v>
      </c>
      <c r="J41" s="5">
        <v>45905</v>
      </c>
      <c r="K41" s="4" t="s">
        <v>15</v>
      </c>
      <c r="L41" s="4" t="s">
        <v>112</v>
      </c>
      <c r="M41" s="6">
        <v>27.18</v>
      </c>
      <c r="N41" s="4" t="s">
        <v>155</v>
      </c>
    </row>
    <row r="42" spans="1:14" x14ac:dyDescent="0.25">
      <c r="A42" s="4" t="s">
        <v>165</v>
      </c>
      <c r="B42" s="4">
        <v>20411454</v>
      </c>
      <c r="C42" s="4" t="s">
        <v>50</v>
      </c>
      <c r="D42" s="4" t="s">
        <v>51</v>
      </c>
      <c r="E42" s="4" t="str">
        <f>CONCATENATE(C42, " ",D42)</f>
        <v>Sujata Naik</v>
      </c>
      <c r="F42" s="4" t="s">
        <v>52</v>
      </c>
      <c r="G42" s="4">
        <v>49730</v>
      </c>
      <c r="H42" s="4" t="str">
        <f>CONCATENATE(G42,2)</f>
        <v>497302</v>
      </c>
      <c r="I42" s="5">
        <v>45931</v>
      </c>
      <c r="J42" s="5">
        <v>45905</v>
      </c>
      <c r="K42" s="4" t="s">
        <v>15</v>
      </c>
      <c r="L42" s="4" t="s">
        <v>53</v>
      </c>
      <c r="M42" s="6">
        <v>-18.12</v>
      </c>
      <c r="N42" s="4" t="s">
        <v>155</v>
      </c>
    </row>
    <row r="43" spans="1:14" x14ac:dyDescent="0.25">
      <c r="A43" s="4" t="s">
        <v>165</v>
      </c>
      <c r="B43" s="4">
        <v>20411454</v>
      </c>
      <c r="C43" s="4" t="s">
        <v>84</v>
      </c>
      <c r="D43" s="4" t="s">
        <v>85</v>
      </c>
      <c r="E43" s="4" t="str">
        <f>CONCATENATE(C43, " ",D43)</f>
        <v>Forrest Graver</v>
      </c>
      <c r="F43" s="4" t="s">
        <v>86</v>
      </c>
      <c r="G43" s="4">
        <v>66990</v>
      </c>
      <c r="H43" s="4" t="str">
        <f>CONCATENATE(G43,2)</f>
        <v>669902</v>
      </c>
      <c r="I43" s="5">
        <v>45931</v>
      </c>
      <c r="J43" s="5">
        <v>45905</v>
      </c>
      <c r="K43" s="4" t="s">
        <v>15</v>
      </c>
      <c r="L43" s="4" t="s">
        <v>53</v>
      </c>
      <c r="M43" s="6">
        <v>-18.12</v>
      </c>
      <c r="N43" s="4" t="s">
        <v>155</v>
      </c>
    </row>
    <row r="44" spans="1:14" x14ac:dyDescent="0.25">
      <c r="A44" s="4" t="s">
        <v>165</v>
      </c>
      <c r="B44" s="4">
        <v>20411454</v>
      </c>
      <c r="C44" s="4" t="s">
        <v>24</v>
      </c>
      <c r="D44" s="4" t="s">
        <v>25</v>
      </c>
      <c r="E44" s="4" t="str">
        <f>CONCATENATE(C44, " ",D44)</f>
        <v>David Mckivitz</v>
      </c>
      <c r="F44" s="4" t="s">
        <v>26</v>
      </c>
      <c r="G44" s="4">
        <v>74200</v>
      </c>
      <c r="H44" s="4" t="str">
        <f>CONCATENATE(G44,2)</f>
        <v>742002</v>
      </c>
      <c r="I44" s="5">
        <v>45901</v>
      </c>
      <c r="J44" s="5">
        <v>45905</v>
      </c>
      <c r="K44" s="4" t="s">
        <v>15</v>
      </c>
      <c r="L44" s="4" t="s">
        <v>105</v>
      </c>
      <c r="M44" s="6">
        <v>36.25</v>
      </c>
      <c r="N44" s="4" t="s">
        <v>155</v>
      </c>
    </row>
    <row r="45" spans="1:14" x14ac:dyDescent="0.25">
      <c r="A45" s="4" t="s">
        <v>165</v>
      </c>
      <c r="B45" s="4">
        <v>20411454</v>
      </c>
      <c r="C45" s="4" t="s">
        <v>62</v>
      </c>
      <c r="D45" s="4" t="s">
        <v>63</v>
      </c>
      <c r="E45" s="4" t="str">
        <f>CONCATENATE(C45, " ",D45)</f>
        <v>Diane Brackbill</v>
      </c>
      <c r="F45" s="4" t="s">
        <v>64</v>
      </c>
      <c r="G45" s="4">
        <v>87700</v>
      </c>
      <c r="H45" s="4" t="str">
        <f>CONCATENATE(G45,2)</f>
        <v>877002</v>
      </c>
      <c r="I45" s="5">
        <v>45901</v>
      </c>
      <c r="J45" s="5">
        <v>45905</v>
      </c>
      <c r="K45" s="4" t="s">
        <v>15</v>
      </c>
      <c r="L45" s="4" t="s">
        <v>105</v>
      </c>
      <c r="M45" s="6">
        <v>36.25</v>
      </c>
      <c r="N45" s="4" t="s">
        <v>155</v>
      </c>
    </row>
    <row r="46" spans="1:14" x14ac:dyDescent="0.25">
      <c r="A46" s="4" t="s">
        <v>165</v>
      </c>
      <c r="B46" s="4">
        <v>20411454</v>
      </c>
      <c r="C46" s="4" t="s">
        <v>66</v>
      </c>
      <c r="D46" s="4" t="s">
        <v>67</v>
      </c>
      <c r="E46" s="4" t="str">
        <f>CONCATENATE(C46, " ",D46)</f>
        <v>Eric Rupert</v>
      </c>
      <c r="F46" s="4" t="s">
        <v>68</v>
      </c>
      <c r="G46" s="4">
        <v>81990</v>
      </c>
      <c r="H46" s="4" t="str">
        <f>CONCATENATE(G46,2)</f>
        <v>819902</v>
      </c>
      <c r="I46" s="5">
        <v>45901</v>
      </c>
      <c r="J46" s="5">
        <v>45905</v>
      </c>
      <c r="K46" s="4" t="s">
        <v>15</v>
      </c>
      <c r="L46" s="4" t="s">
        <v>105</v>
      </c>
      <c r="M46" s="6">
        <v>36.25</v>
      </c>
      <c r="N46" s="4" t="s">
        <v>155</v>
      </c>
    </row>
    <row r="47" spans="1:14" x14ac:dyDescent="0.25">
      <c r="A47" s="4" t="s">
        <v>165</v>
      </c>
      <c r="B47" s="4">
        <v>20411454</v>
      </c>
      <c r="C47" s="4" t="s">
        <v>87</v>
      </c>
      <c r="D47" s="4" t="s">
        <v>88</v>
      </c>
      <c r="E47" s="4" t="str">
        <f>CONCATENATE(C47, " ",D47)</f>
        <v>Irene Hayward</v>
      </c>
      <c r="F47" s="4" t="s">
        <v>89</v>
      </c>
      <c r="G47" s="4">
        <v>71400</v>
      </c>
      <c r="H47" s="4" t="str">
        <f>CONCATENATE(G47,2)</f>
        <v>714002</v>
      </c>
      <c r="I47" s="5">
        <v>45901</v>
      </c>
      <c r="J47" s="5">
        <v>45905</v>
      </c>
      <c r="K47" s="4" t="s">
        <v>15</v>
      </c>
      <c r="L47" s="4" t="s">
        <v>105</v>
      </c>
      <c r="M47" s="6">
        <v>36.25</v>
      </c>
      <c r="N47" s="4" t="s">
        <v>155</v>
      </c>
    </row>
    <row r="48" spans="1:14" x14ac:dyDescent="0.25">
      <c r="A48" s="4" t="s">
        <v>165</v>
      </c>
      <c r="B48" s="4">
        <v>20411454</v>
      </c>
      <c r="C48" s="4" t="s">
        <v>126</v>
      </c>
      <c r="D48" s="4" t="s">
        <v>127</v>
      </c>
      <c r="E48" s="4" t="str">
        <f>CONCATENATE(C48, " ",D48)</f>
        <v>Candi Mengel</v>
      </c>
      <c r="F48" s="4" t="s">
        <v>128</v>
      </c>
      <c r="G48" s="4">
        <v>5240</v>
      </c>
      <c r="H48" s="4" t="str">
        <f>CONCATENATE(G48,2)</f>
        <v>52402</v>
      </c>
      <c r="I48" s="5">
        <v>45901</v>
      </c>
      <c r="J48" s="5">
        <v>45905</v>
      </c>
      <c r="K48" s="4" t="s">
        <v>15</v>
      </c>
      <c r="L48" s="4" t="s">
        <v>105</v>
      </c>
      <c r="M48" s="6">
        <v>36.25</v>
      </c>
      <c r="N48" s="4" t="s">
        <v>155</v>
      </c>
    </row>
    <row r="49" spans="1:14" x14ac:dyDescent="0.25">
      <c r="A49" s="4" t="s">
        <v>165</v>
      </c>
      <c r="B49" s="4">
        <v>20411454</v>
      </c>
      <c r="C49" s="4" t="s">
        <v>130</v>
      </c>
      <c r="D49" s="4" t="s">
        <v>131</v>
      </c>
      <c r="E49" s="4" t="str">
        <f>CONCATENATE(C49, " ",D49)</f>
        <v>Mary Reese</v>
      </c>
      <c r="F49" s="4" t="s">
        <v>132</v>
      </c>
      <c r="G49" s="4">
        <v>4770</v>
      </c>
      <c r="H49" s="4" t="str">
        <f>CONCATENATE(G49,2)</f>
        <v>47702</v>
      </c>
      <c r="I49" s="5">
        <v>45901</v>
      </c>
      <c r="J49" s="5">
        <v>45905</v>
      </c>
      <c r="K49" s="4" t="s">
        <v>15</v>
      </c>
      <c r="L49" s="4" t="s">
        <v>105</v>
      </c>
      <c r="M49" s="6">
        <v>36.25</v>
      </c>
      <c r="N49" s="4" t="s">
        <v>155</v>
      </c>
    </row>
    <row r="50" spans="1:14" x14ac:dyDescent="0.25">
      <c r="A50" s="4" t="s">
        <v>165</v>
      </c>
      <c r="B50" s="4">
        <v>20411454</v>
      </c>
      <c r="C50" s="4" t="s">
        <v>139</v>
      </c>
      <c r="D50" s="4" t="s">
        <v>140</v>
      </c>
      <c r="E50" s="4" t="str">
        <f>CONCATENATE(C50, " ",D50)</f>
        <v>Joann Homer</v>
      </c>
      <c r="F50" s="4" t="s">
        <v>141</v>
      </c>
      <c r="G50" s="4">
        <v>61770</v>
      </c>
      <c r="H50" s="4" t="str">
        <f>CONCATENATE(G50,2)</f>
        <v>617702</v>
      </c>
      <c r="I50" s="5">
        <v>45901</v>
      </c>
      <c r="J50" s="5">
        <v>45905</v>
      </c>
      <c r="K50" s="4" t="s">
        <v>15</v>
      </c>
      <c r="L50" s="4" t="s">
        <v>105</v>
      </c>
      <c r="M50" s="6">
        <v>36.25</v>
      </c>
      <c r="N50" s="4" t="s">
        <v>155</v>
      </c>
    </row>
    <row r="51" spans="1:14" x14ac:dyDescent="0.25">
      <c r="A51" s="4" t="s">
        <v>165</v>
      </c>
      <c r="B51" s="4">
        <v>20411454</v>
      </c>
      <c r="C51" s="4" t="s">
        <v>24</v>
      </c>
      <c r="D51" s="4" t="s">
        <v>25</v>
      </c>
      <c r="E51" s="4" t="str">
        <f>CONCATENATE(C51, " ",D51)</f>
        <v>David Mckivitz</v>
      </c>
      <c r="F51" s="4" t="s">
        <v>26</v>
      </c>
      <c r="G51" s="4">
        <v>74200</v>
      </c>
      <c r="H51" s="4" t="str">
        <f>CONCATENATE(G51,2)</f>
        <v>742002</v>
      </c>
      <c r="I51" s="5">
        <v>45901</v>
      </c>
      <c r="J51" s="5">
        <v>45905</v>
      </c>
      <c r="K51" s="4" t="s">
        <v>15</v>
      </c>
      <c r="L51" s="4" t="s">
        <v>27</v>
      </c>
      <c r="M51" s="6">
        <v>-24.16</v>
      </c>
      <c r="N51" s="4" t="s">
        <v>155</v>
      </c>
    </row>
    <row r="52" spans="1:14" x14ac:dyDescent="0.25">
      <c r="A52" s="4" t="s">
        <v>165</v>
      </c>
      <c r="B52" s="4">
        <v>20411454</v>
      </c>
      <c r="C52" s="4" t="s">
        <v>62</v>
      </c>
      <c r="D52" s="4" t="s">
        <v>63</v>
      </c>
      <c r="E52" s="4" t="str">
        <f>CONCATENATE(C52, " ",D52)</f>
        <v>Diane Brackbill</v>
      </c>
      <c r="F52" s="4" t="s">
        <v>64</v>
      </c>
      <c r="G52" s="4">
        <v>87700</v>
      </c>
      <c r="H52" s="4" t="str">
        <f>CONCATENATE(G52,2)</f>
        <v>877002</v>
      </c>
      <c r="I52" s="5">
        <v>45901</v>
      </c>
      <c r="J52" s="5">
        <v>45905</v>
      </c>
      <c r="K52" s="4" t="s">
        <v>15</v>
      </c>
      <c r="L52" s="4" t="s">
        <v>27</v>
      </c>
      <c r="M52" s="6">
        <v>-24.16</v>
      </c>
      <c r="N52" s="4" t="s">
        <v>155</v>
      </c>
    </row>
    <row r="53" spans="1:14" x14ac:dyDescent="0.25">
      <c r="A53" s="4" t="s">
        <v>165</v>
      </c>
      <c r="B53" s="4">
        <v>20411454</v>
      </c>
      <c r="C53" s="4" t="s">
        <v>66</v>
      </c>
      <c r="D53" s="4" t="s">
        <v>67</v>
      </c>
      <c r="E53" s="4" t="str">
        <f>CONCATENATE(C53, " ",D53)</f>
        <v>Eric Rupert</v>
      </c>
      <c r="F53" s="4" t="s">
        <v>68</v>
      </c>
      <c r="G53" s="4">
        <v>81990</v>
      </c>
      <c r="H53" s="4" t="str">
        <f>CONCATENATE(G53,2)</f>
        <v>819902</v>
      </c>
      <c r="I53" s="5">
        <v>45901</v>
      </c>
      <c r="J53" s="5">
        <v>45905</v>
      </c>
      <c r="K53" s="4" t="s">
        <v>15</v>
      </c>
      <c r="L53" s="4" t="s">
        <v>27</v>
      </c>
      <c r="M53" s="6">
        <v>-24.16</v>
      </c>
      <c r="N53" s="4" t="s">
        <v>155</v>
      </c>
    </row>
    <row r="54" spans="1:14" x14ac:dyDescent="0.25">
      <c r="A54" s="4" t="s">
        <v>165</v>
      </c>
      <c r="B54" s="4">
        <v>20411454</v>
      </c>
      <c r="C54" s="4" t="s">
        <v>87</v>
      </c>
      <c r="D54" s="4" t="s">
        <v>88</v>
      </c>
      <c r="E54" s="4" t="str">
        <f>CONCATENATE(C54, " ",D54)</f>
        <v>Irene Hayward</v>
      </c>
      <c r="F54" s="4" t="s">
        <v>89</v>
      </c>
      <c r="G54" s="4">
        <v>71400</v>
      </c>
      <c r="H54" s="4" t="str">
        <f>CONCATENATE(G54,2)</f>
        <v>714002</v>
      </c>
      <c r="I54" s="5">
        <v>45901</v>
      </c>
      <c r="J54" s="5">
        <v>45905</v>
      </c>
      <c r="K54" s="4" t="s">
        <v>15</v>
      </c>
      <c r="L54" s="4" t="s">
        <v>27</v>
      </c>
      <c r="M54" s="6">
        <v>-24.16</v>
      </c>
      <c r="N54" s="4" t="s">
        <v>155</v>
      </c>
    </row>
    <row r="55" spans="1:14" x14ac:dyDescent="0.25">
      <c r="A55" s="4" t="s">
        <v>165</v>
      </c>
      <c r="B55" s="4">
        <v>20411454</v>
      </c>
      <c r="C55" s="4" t="s">
        <v>152</v>
      </c>
      <c r="D55" s="4" t="s">
        <v>153</v>
      </c>
      <c r="E55" s="4" t="str">
        <f>CONCATENATE(C55, " ",D55)</f>
        <v>Deanna Wiseman</v>
      </c>
      <c r="F55" s="4" t="s">
        <v>154</v>
      </c>
      <c r="G55" s="4">
        <v>52560</v>
      </c>
      <c r="H55" s="4" t="str">
        <f>CONCATENATE(G55,2)</f>
        <v>525602</v>
      </c>
      <c r="I55" s="5">
        <v>45658</v>
      </c>
      <c r="J55" s="5">
        <v>45905</v>
      </c>
      <c r="K55" s="4" t="s">
        <v>15</v>
      </c>
      <c r="L55" s="4" t="s">
        <v>27</v>
      </c>
      <c r="M55" s="6">
        <v>-24.16</v>
      </c>
      <c r="N55" s="4" t="s">
        <v>155</v>
      </c>
    </row>
    <row r="56" spans="1:14" x14ac:dyDescent="0.25">
      <c r="A56" s="4" t="s">
        <v>165</v>
      </c>
      <c r="B56" s="4">
        <v>20411454</v>
      </c>
      <c r="C56" s="4" t="s">
        <v>33</v>
      </c>
      <c r="D56" s="4" t="s">
        <v>34</v>
      </c>
      <c r="E56" s="4" t="str">
        <f>CONCATENATE(C56, " ",D56)</f>
        <v>Mark Serpa</v>
      </c>
      <c r="F56" s="4" t="s">
        <v>35</v>
      </c>
      <c r="G56" s="4">
        <v>59760</v>
      </c>
      <c r="H56" s="4" t="str">
        <f>CONCATENATE(G56,2)</f>
        <v>597602</v>
      </c>
      <c r="I56" s="5">
        <v>45870</v>
      </c>
      <c r="J56" s="5">
        <v>45905</v>
      </c>
      <c r="K56" s="4" t="s">
        <v>15</v>
      </c>
      <c r="L56" s="4" t="s">
        <v>44</v>
      </c>
      <c r="M56" s="6">
        <v>30.2</v>
      </c>
      <c r="N56" s="4" t="s">
        <v>155</v>
      </c>
    </row>
    <row r="57" spans="1:14" x14ac:dyDescent="0.25">
      <c r="A57" s="4" t="s">
        <v>165</v>
      </c>
      <c r="B57" s="4">
        <v>20411454</v>
      </c>
      <c r="C57" s="4" t="s">
        <v>17</v>
      </c>
      <c r="D57" s="4" t="s">
        <v>29</v>
      </c>
      <c r="E57" s="4" t="str">
        <f>CONCATENATE(C57, " ",D57)</f>
        <v>Edna Kuklis</v>
      </c>
      <c r="F57" s="4" t="s">
        <v>30</v>
      </c>
      <c r="G57" s="4">
        <v>55510</v>
      </c>
      <c r="H57" s="4" t="str">
        <f>CONCATENATE(G57,2)</f>
        <v>555102</v>
      </c>
      <c r="I57" s="5">
        <v>45870</v>
      </c>
      <c r="J57" s="5">
        <v>45905</v>
      </c>
      <c r="K57" s="4" t="s">
        <v>15</v>
      </c>
      <c r="L57" s="4" t="s">
        <v>44</v>
      </c>
      <c r="M57" s="6">
        <v>45.31</v>
      </c>
      <c r="N57" s="4" t="s">
        <v>155</v>
      </c>
    </row>
    <row r="58" spans="1:14" x14ac:dyDescent="0.25">
      <c r="A58" s="4" t="s">
        <v>165</v>
      </c>
      <c r="B58" s="4">
        <v>20411454</v>
      </c>
      <c r="C58" s="4" t="s">
        <v>33</v>
      </c>
      <c r="D58" s="4" t="s">
        <v>34</v>
      </c>
      <c r="E58" s="4" t="str">
        <f>CONCATENATE(C58, " ",D58)</f>
        <v>Mark Serpa</v>
      </c>
      <c r="F58" s="4" t="s">
        <v>35</v>
      </c>
      <c r="G58" s="4">
        <v>59760</v>
      </c>
      <c r="H58" s="4" t="str">
        <f>CONCATENATE(G58,2)</f>
        <v>597602</v>
      </c>
      <c r="I58" s="5">
        <v>45870</v>
      </c>
      <c r="J58" s="5">
        <v>45905</v>
      </c>
      <c r="K58" s="4" t="s">
        <v>15</v>
      </c>
      <c r="L58" s="4" t="s">
        <v>44</v>
      </c>
      <c r="M58" s="6">
        <v>45.31</v>
      </c>
      <c r="N58" s="4" t="s">
        <v>155</v>
      </c>
    </row>
    <row r="59" spans="1:14" x14ac:dyDescent="0.25">
      <c r="A59" s="4" t="s">
        <v>165</v>
      </c>
      <c r="B59" s="4">
        <v>20411454</v>
      </c>
      <c r="C59" s="4" t="s">
        <v>54</v>
      </c>
      <c r="D59" s="4" t="s">
        <v>55</v>
      </c>
      <c r="E59" s="4" t="str">
        <f>CONCATENATE(C59, " ",D59)</f>
        <v>Amy Cosentino</v>
      </c>
      <c r="F59" s="4" t="s">
        <v>56</v>
      </c>
      <c r="G59" s="4">
        <v>47880</v>
      </c>
      <c r="H59" s="4" t="str">
        <f>CONCATENATE(G59,2)</f>
        <v>478802</v>
      </c>
      <c r="I59" s="5">
        <v>45870</v>
      </c>
      <c r="J59" s="5">
        <v>45905</v>
      </c>
      <c r="K59" s="4" t="s">
        <v>15</v>
      </c>
      <c r="L59" s="4" t="s">
        <v>44</v>
      </c>
      <c r="M59" s="6">
        <v>45.31</v>
      </c>
      <c r="N59" s="4" t="s">
        <v>155</v>
      </c>
    </row>
    <row r="60" spans="1:14" x14ac:dyDescent="0.25">
      <c r="A60" s="4" t="s">
        <v>165</v>
      </c>
      <c r="B60" s="4">
        <v>20411454</v>
      </c>
      <c r="C60" s="4" t="s">
        <v>57</v>
      </c>
      <c r="D60" s="4" t="s">
        <v>58</v>
      </c>
      <c r="E60" s="4" t="str">
        <f>CONCATENATE(C60, " ",D60)</f>
        <v>Wayne Wells</v>
      </c>
      <c r="F60" s="4" t="s">
        <v>59</v>
      </c>
      <c r="G60" s="4">
        <v>47890</v>
      </c>
      <c r="H60" s="4" t="str">
        <f>CONCATENATE(G60,2)</f>
        <v>478902</v>
      </c>
      <c r="I60" s="5">
        <v>45870</v>
      </c>
      <c r="J60" s="5">
        <v>45905</v>
      </c>
      <c r="K60" s="4" t="s">
        <v>15</v>
      </c>
      <c r="L60" s="4" t="s">
        <v>44</v>
      </c>
      <c r="M60" s="6">
        <v>45.31</v>
      </c>
      <c r="N60" s="4" t="s">
        <v>155</v>
      </c>
    </row>
    <row r="61" spans="1:14" x14ac:dyDescent="0.25">
      <c r="A61" s="4" t="s">
        <v>165</v>
      </c>
      <c r="B61" s="4">
        <v>20411454</v>
      </c>
      <c r="C61" s="4" t="s">
        <v>69</v>
      </c>
      <c r="D61" s="4" t="s">
        <v>70</v>
      </c>
      <c r="E61" s="4" t="str">
        <f>CONCATENATE(C61, " ",D61)</f>
        <v>Richard Ryan</v>
      </c>
      <c r="F61" s="4" t="s">
        <v>71</v>
      </c>
      <c r="G61" s="4">
        <v>93110</v>
      </c>
      <c r="H61" s="4" t="str">
        <f>CONCATENATE(G61,2)</f>
        <v>931102</v>
      </c>
      <c r="I61" s="5">
        <v>45870</v>
      </c>
      <c r="J61" s="5">
        <v>45905</v>
      </c>
      <c r="K61" s="4" t="s">
        <v>15</v>
      </c>
      <c r="L61" s="4" t="s">
        <v>44</v>
      </c>
      <c r="M61" s="6">
        <v>45.31</v>
      </c>
      <c r="N61" s="4" t="s">
        <v>155</v>
      </c>
    </row>
    <row r="62" spans="1:14" x14ac:dyDescent="0.25">
      <c r="A62" s="4" t="s">
        <v>165</v>
      </c>
      <c r="B62" s="4">
        <v>20411454</v>
      </c>
      <c r="C62" s="4" t="s">
        <v>81</v>
      </c>
      <c r="D62" s="4" t="s">
        <v>82</v>
      </c>
      <c r="E62" s="4" t="str">
        <f>CONCATENATE(C62, " ",D62)</f>
        <v>Craig Spragle</v>
      </c>
      <c r="F62" s="4" t="s">
        <v>83</v>
      </c>
      <c r="G62" s="4">
        <v>97130</v>
      </c>
      <c r="H62" s="4" t="str">
        <f>CONCATENATE(G62,2)</f>
        <v>971302</v>
      </c>
      <c r="I62" s="5">
        <v>45870</v>
      </c>
      <c r="J62" s="5">
        <v>45905</v>
      </c>
      <c r="K62" s="4" t="s">
        <v>15</v>
      </c>
      <c r="L62" s="4" t="s">
        <v>44</v>
      </c>
      <c r="M62" s="6">
        <v>45.31</v>
      </c>
      <c r="N62" s="4" t="s">
        <v>155</v>
      </c>
    </row>
    <row r="63" spans="1:14" x14ac:dyDescent="0.25">
      <c r="A63" s="4" t="s">
        <v>165</v>
      </c>
      <c r="B63" s="4">
        <v>20411454</v>
      </c>
      <c r="C63" s="4" t="s">
        <v>17</v>
      </c>
      <c r="D63" s="4" t="s">
        <v>29</v>
      </c>
      <c r="E63" s="4" t="str">
        <f>CONCATENATE(C63, " ",D63)</f>
        <v>Edna Kuklis</v>
      </c>
      <c r="F63" s="4" t="s">
        <v>30</v>
      </c>
      <c r="G63" s="4">
        <v>55510</v>
      </c>
      <c r="H63" s="4" t="str">
        <f>CONCATENATE(G63,2)</f>
        <v>555102</v>
      </c>
      <c r="I63" s="5">
        <v>45870</v>
      </c>
      <c r="J63" s="5">
        <v>45905</v>
      </c>
      <c r="K63" s="4" t="s">
        <v>15</v>
      </c>
      <c r="L63" s="4" t="s">
        <v>31</v>
      </c>
      <c r="M63" s="6">
        <v>-30.2</v>
      </c>
      <c r="N63" s="4" t="s">
        <v>155</v>
      </c>
    </row>
    <row r="64" spans="1:14" x14ac:dyDescent="0.25">
      <c r="A64" s="4" t="s">
        <v>165</v>
      </c>
      <c r="B64" s="4">
        <v>20411454</v>
      </c>
      <c r="C64" s="4" t="s">
        <v>33</v>
      </c>
      <c r="D64" s="4" t="s">
        <v>34</v>
      </c>
      <c r="E64" s="4" t="str">
        <f>CONCATENATE(C64, " ",D64)</f>
        <v>Mark Serpa</v>
      </c>
      <c r="F64" s="4" t="s">
        <v>35</v>
      </c>
      <c r="G64" s="4">
        <v>59760</v>
      </c>
      <c r="H64" s="4" t="str">
        <f>CONCATENATE(G64,2)</f>
        <v>597602</v>
      </c>
      <c r="I64" s="5">
        <v>45870</v>
      </c>
      <c r="J64" s="5">
        <v>45905</v>
      </c>
      <c r="K64" s="4" t="s">
        <v>15</v>
      </c>
      <c r="L64" s="4" t="s">
        <v>31</v>
      </c>
      <c r="M64" s="6">
        <v>-30.2</v>
      </c>
      <c r="N64" s="4" t="s">
        <v>155</v>
      </c>
    </row>
    <row r="65" spans="1:18" x14ac:dyDescent="0.25">
      <c r="A65" s="4" t="s">
        <v>165</v>
      </c>
      <c r="B65" s="4">
        <v>20411454</v>
      </c>
      <c r="C65" s="4" t="s">
        <v>54</v>
      </c>
      <c r="D65" s="4" t="s">
        <v>55</v>
      </c>
      <c r="E65" s="4" t="str">
        <f>CONCATENATE(C65, " ",D65)</f>
        <v>Amy Cosentino</v>
      </c>
      <c r="F65" s="4" t="s">
        <v>56</v>
      </c>
      <c r="G65" s="4">
        <v>47880</v>
      </c>
      <c r="H65" s="4" t="str">
        <f>CONCATENATE(G65,2)</f>
        <v>478802</v>
      </c>
      <c r="I65" s="5">
        <v>45870</v>
      </c>
      <c r="J65" s="5">
        <v>45905</v>
      </c>
      <c r="K65" s="4" t="s">
        <v>15</v>
      </c>
      <c r="L65" s="4" t="s">
        <v>31</v>
      </c>
      <c r="M65" s="6">
        <v>-30.2</v>
      </c>
      <c r="N65" s="4" t="s">
        <v>155</v>
      </c>
    </row>
    <row r="66" spans="1:18" x14ac:dyDescent="0.25">
      <c r="A66" s="4" t="s">
        <v>165</v>
      </c>
      <c r="B66" s="4">
        <v>20411454</v>
      </c>
      <c r="C66" s="4" t="s">
        <v>57</v>
      </c>
      <c r="D66" s="4" t="s">
        <v>58</v>
      </c>
      <c r="E66" s="4" t="str">
        <f>CONCATENATE(C66, " ",D66)</f>
        <v>Wayne Wells</v>
      </c>
      <c r="F66" s="4" t="s">
        <v>59</v>
      </c>
      <c r="G66" s="4">
        <v>47890</v>
      </c>
      <c r="H66" s="4" t="str">
        <f>CONCATENATE(G66,2)</f>
        <v>478902</v>
      </c>
      <c r="I66" s="5">
        <v>45870</v>
      </c>
      <c r="J66" s="5">
        <v>45905</v>
      </c>
      <c r="K66" s="4" t="s">
        <v>15</v>
      </c>
      <c r="L66" s="4" t="s">
        <v>31</v>
      </c>
      <c r="M66" s="6">
        <v>-30.2</v>
      </c>
      <c r="N66" s="4" t="s">
        <v>155</v>
      </c>
    </row>
    <row r="67" spans="1:18" x14ac:dyDescent="0.25">
      <c r="A67" s="4" t="s">
        <v>165</v>
      </c>
      <c r="B67" s="4">
        <v>20411454</v>
      </c>
      <c r="C67" s="4" t="s">
        <v>69</v>
      </c>
      <c r="D67" s="4" t="s">
        <v>70</v>
      </c>
      <c r="E67" s="4" t="str">
        <f>CONCATENATE(C67, " ",D67)</f>
        <v>Richard Ryan</v>
      </c>
      <c r="F67" s="4" t="s">
        <v>71</v>
      </c>
      <c r="G67" s="4">
        <v>93110</v>
      </c>
      <c r="H67" s="4" t="str">
        <f>CONCATENATE(G67,2)</f>
        <v>931102</v>
      </c>
      <c r="I67" s="5">
        <v>45870</v>
      </c>
      <c r="J67" s="5">
        <v>45905</v>
      </c>
      <c r="K67" s="4" t="s">
        <v>15</v>
      </c>
      <c r="L67" s="4" t="s">
        <v>31</v>
      </c>
      <c r="M67" s="6">
        <v>-30.2</v>
      </c>
      <c r="N67" s="4" t="s">
        <v>155</v>
      </c>
    </row>
    <row r="68" spans="1:18" x14ac:dyDescent="0.25">
      <c r="A68" s="4" t="s">
        <v>165</v>
      </c>
      <c r="B68" s="4">
        <v>20411454</v>
      </c>
      <c r="C68" s="4" t="s">
        <v>81</v>
      </c>
      <c r="D68" s="4" t="s">
        <v>82</v>
      </c>
      <c r="E68" s="4" t="str">
        <f>CONCATENATE(C68, " ",D68)</f>
        <v>Craig Spragle</v>
      </c>
      <c r="F68" s="4" t="s">
        <v>83</v>
      </c>
      <c r="G68" s="4">
        <v>97130</v>
      </c>
      <c r="H68" s="4" t="str">
        <f>CONCATENATE(G68,2)</f>
        <v>971302</v>
      </c>
      <c r="I68" s="5">
        <v>45870</v>
      </c>
      <c r="J68" s="5">
        <v>45905</v>
      </c>
      <c r="K68" s="4" t="s">
        <v>15</v>
      </c>
      <c r="L68" s="4" t="s">
        <v>31</v>
      </c>
      <c r="M68" s="6">
        <v>-30.2</v>
      </c>
      <c r="N68" s="4" t="s">
        <v>155</v>
      </c>
    </row>
    <row r="69" spans="1:18" x14ac:dyDescent="0.25">
      <c r="A69" s="4" t="s">
        <v>165</v>
      </c>
      <c r="B69" s="4">
        <v>20411454</v>
      </c>
      <c r="C69" s="4" t="s">
        <v>33</v>
      </c>
      <c r="D69" s="4" t="s">
        <v>34</v>
      </c>
      <c r="E69" s="4" t="str">
        <f>CONCATENATE(C69, " ",D69)</f>
        <v>Mark Serpa</v>
      </c>
      <c r="F69" s="4" t="s">
        <v>35</v>
      </c>
      <c r="G69" s="4">
        <v>59760</v>
      </c>
      <c r="H69" s="4" t="str">
        <f>CONCATENATE(G69,2)</f>
        <v>597602</v>
      </c>
      <c r="I69" s="5">
        <v>45870</v>
      </c>
      <c r="J69" s="5">
        <v>45905</v>
      </c>
      <c r="K69" s="4" t="s">
        <v>15</v>
      </c>
      <c r="L69" s="4" t="s">
        <v>31</v>
      </c>
      <c r="M69" s="6">
        <v>-45.31</v>
      </c>
      <c r="N69" s="4" t="s">
        <v>155</v>
      </c>
    </row>
    <row r="70" spans="1:18" x14ac:dyDescent="0.25">
      <c r="A70" s="4" t="s">
        <v>90</v>
      </c>
      <c r="B70" s="4">
        <v>19278370</v>
      </c>
      <c r="C70" s="4" t="s">
        <v>91</v>
      </c>
      <c r="D70" s="4" t="s">
        <v>92</v>
      </c>
      <c r="E70" s="4" t="str">
        <f>CONCATENATE(C70, " ",D70)</f>
        <v>Delyn Byerly</v>
      </c>
      <c r="F70" s="4" t="s">
        <v>93</v>
      </c>
      <c r="G70" s="4">
        <v>13020</v>
      </c>
      <c r="H70" s="4" t="str">
        <f>CONCATENATE(G70,55)</f>
        <v>1302055</v>
      </c>
      <c r="I70" s="5">
        <v>45931</v>
      </c>
      <c r="J70" s="5">
        <v>45905</v>
      </c>
      <c r="K70" s="4" t="s">
        <v>15</v>
      </c>
      <c r="L70" s="4" t="s">
        <v>117</v>
      </c>
      <c r="M70" s="6">
        <v>95.25</v>
      </c>
      <c r="N70" s="4" t="s">
        <v>156</v>
      </c>
    </row>
    <row r="71" spans="1:18" x14ac:dyDescent="0.25">
      <c r="A71" s="4" t="s">
        <v>90</v>
      </c>
      <c r="B71" s="4">
        <v>19278370</v>
      </c>
      <c r="C71" s="4" t="s">
        <v>91</v>
      </c>
      <c r="D71" s="4" t="s">
        <v>92</v>
      </c>
      <c r="E71" s="4" t="str">
        <f>CONCATENATE(C71, " ",D71)</f>
        <v>Delyn Byerly</v>
      </c>
      <c r="F71" s="4" t="s">
        <v>93</v>
      </c>
      <c r="G71" s="4">
        <v>13020</v>
      </c>
      <c r="H71" s="4" t="str">
        <f>CONCATENATE(G71,55)</f>
        <v>1302055</v>
      </c>
      <c r="I71" s="5">
        <v>45931</v>
      </c>
      <c r="J71" s="5">
        <v>45905</v>
      </c>
      <c r="K71" s="4" t="s">
        <v>15</v>
      </c>
      <c r="L71" s="4" t="s">
        <v>95</v>
      </c>
      <c r="M71" s="6">
        <v>-95.25</v>
      </c>
      <c r="N71" s="4" t="s">
        <v>156</v>
      </c>
    </row>
    <row r="72" spans="1:18" x14ac:dyDescent="0.25">
      <c r="A72" s="4" t="s">
        <v>90</v>
      </c>
      <c r="B72" s="4">
        <v>19278370</v>
      </c>
      <c r="C72" s="4" t="s">
        <v>91</v>
      </c>
      <c r="D72" s="4" t="s">
        <v>92</v>
      </c>
      <c r="E72" s="4" t="str">
        <f>CONCATENATE(C72, " ",D72)</f>
        <v>Delyn Byerly</v>
      </c>
      <c r="F72" s="4" t="s">
        <v>93</v>
      </c>
      <c r="G72" s="4">
        <v>13020</v>
      </c>
      <c r="H72" s="4" t="str">
        <f>CONCATENATE(G72,55)</f>
        <v>1302055</v>
      </c>
      <c r="I72" s="5">
        <v>45931</v>
      </c>
      <c r="J72" s="5">
        <v>45905</v>
      </c>
      <c r="K72" s="4" t="s">
        <v>15</v>
      </c>
      <c r="L72" s="4" t="s">
        <v>116</v>
      </c>
      <c r="M72" s="6">
        <v>13.75</v>
      </c>
      <c r="N72" s="4" t="s">
        <v>156</v>
      </c>
    </row>
    <row r="73" spans="1:18" x14ac:dyDescent="0.25">
      <c r="A73" s="4" t="s">
        <v>90</v>
      </c>
      <c r="B73" s="4">
        <v>19278370</v>
      </c>
      <c r="C73" s="4" t="s">
        <v>91</v>
      </c>
      <c r="D73" s="4" t="s">
        <v>92</v>
      </c>
      <c r="E73" s="4" t="str">
        <f>CONCATENATE(C73, " ",D73)</f>
        <v>Delyn Byerly</v>
      </c>
      <c r="F73" s="4" t="s">
        <v>93</v>
      </c>
      <c r="G73" s="4">
        <v>13020</v>
      </c>
      <c r="H73" s="4" t="str">
        <f>CONCATENATE(G73,55)</f>
        <v>1302055</v>
      </c>
      <c r="I73" s="5">
        <v>45931</v>
      </c>
      <c r="J73" s="5">
        <v>45905</v>
      </c>
      <c r="K73" s="4" t="s">
        <v>15</v>
      </c>
      <c r="L73" s="4" t="s">
        <v>94</v>
      </c>
      <c r="M73" s="6">
        <v>-13.75</v>
      </c>
      <c r="N73" s="4" t="s">
        <v>156</v>
      </c>
    </row>
    <row r="74" spans="1:18" x14ac:dyDescent="0.25">
      <c r="A74" s="4" t="s">
        <v>11</v>
      </c>
      <c r="B74" s="4" t="s">
        <v>167</v>
      </c>
      <c r="C74" s="4" t="s">
        <v>12</v>
      </c>
      <c r="D74" s="4" t="s">
        <v>13</v>
      </c>
      <c r="E74" s="4" t="str">
        <f>CONCATENATE(C74, " ",D74)</f>
        <v>Bobbi Zimmerman</v>
      </c>
      <c r="F74" s="4" t="s">
        <v>14</v>
      </c>
      <c r="G74" s="4">
        <v>45790</v>
      </c>
      <c r="H74" s="4" t="str">
        <f>CONCATENATE(G74,75)</f>
        <v>4579075</v>
      </c>
      <c r="I74" s="5">
        <v>45870</v>
      </c>
      <c r="J74" s="5">
        <v>45905</v>
      </c>
      <c r="K74" s="4" t="s">
        <v>15</v>
      </c>
      <c r="L74" s="4" t="s">
        <v>118</v>
      </c>
      <c r="M74" s="6">
        <v>705</v>
      </c>
      <c r="N74" s="4" t="s">
        <v>157</v>
      </c>
      <c r="O74" s="4" t="s">
        <v>164</v>
      </c>
    </row>
    <row r="75" spans="1:18" x14ac:dyDescent="0.25">
      <c r="A75" s="4" t="s">
        <v>11</v>
      </c>
      <c r="B75" s="4" t="s">
        <v>167</v>
      </c>
      <c r="C75" s="4" t="s">
        <v>17</v>
      </c>
      <c r="D75" s="4" t="s">
        <v>18</v>
      </c>
      <c r="E75" s="4" t="str">
        <f>CONCATENATE(C75, " ",D75)</f>
        <v>Edna Zielinski</v>
      </c>
      <c r="F75" s="4" t="s">
        <v>19</v>
      </c>
      <c r="G75" s="4">
        <v>81290</v>
      </c>
      <c r="H75" s="4" t="str">
        <f>CONCATENATE(G75,75)</f>
        <v>8129075</v>
      </c>
      <c r="I75" s="5">
        <v>45870</v>
      </c>
      <c r="J75" s="5">
        <v>45905</v>
      </c>
      <c r="K75" s="4" t="s">
        <v>15</v>
      </c>
      <c r="L75" s="4" t="s">
        <v>118</v>
      </c>
      <c r="M75" s="6">
        <v>705</v>
      </c>
      <c r="N75" s="4" t="s">
        <v>157</v>
      </c>
      <c r="O75" s="4" t="s">
        <v>164</v>
      </c>
    </row>
    <row r="76" spans="1:18" x14ac:dyDescent="0.25">
      <c r="A76" s="4" t="s">
        <v>11</v>
      </c>
      <c r="B76" s="4" t="s">
        <v>167</v>
      </c>
      <c r="C76" s="4" t="s">
        <v>42</v>
      </c>
      <c r="D76" s="4" t="s">
        <v>18</v>
      </c>
      <c r="E76" s="4" t="str">
        <f>CONCATENATE(C76, " ",D76)</f>
        <v>Barry Zielinski</v>
      </c>
      <c r="F76" s="4" t="s">
        <v>43</v>
      </c>
      <c r="G76" s="4">
        <v>37270</v>
      </c>
      <c r="H76" s="4" t="str">
        <f>CONCATENATE(G76,75)</f>
        <v>3727075</v>
      </c>
      <c r="I76" s="5">
        <v>45870</v>
      </c>
      <c r="J76" s="5">
        <v>45905</v>
      </c>
      <c r="K76" s="4" t="s">
        <v>15</v>
      </c>
      <c r="L76" s="4" t="s">
        <v>118</v>
      </c>
      <c r="M76" s="6">
        <v>705</v>
      </c>
      <c r="N76" s="4" t="s">
        <v>157</v>
      </c>
      <c r="O76" s="4" t="s">
        <v>164</v>
      </c>
    </row>
    <row r="77" spans="1:18" x14ac:dyDescent="0.25">
      <c r="A77" s="4" t="s">
        <v>11</v>
      </c>
      <c r="B77" s="4" t="s">
        <v>167</v>
      </c>
      <c r="C77" s="4" t="s">
        <v>12</v>
      </c>
      <c r="D77" s="4" t="s">
        <v>13</v>
      </c>
      <c r="E77" s="4" t="str">
        <f>CONCATENATE(C77, " ",D77)</f>
        <v>Bobbi Zimmerman</v>
      </c>
      <c r="F77" s="4" t="s">
        <v>14</v>
      </c>
      <c r="G77" s="4">
        <v>45790</v>
      </c>
      <c r="H77" s="4" t="str">
        <f>CONCATENATE(G77,75)</f>
        <v>4579075</v>
      </c>
      <c r="I77" s="5">
        <v>45870</v>
      </c>
      <c r="J77" s="5">
        <v>45905</v>
      </c>
      <c r="K77" s="4" t="s">
        <v>15</v>
      </c>
      <c r="L77" s="4" t="s">
        <v>96</v>
      </c>
      <c r="M77" s="6">
        <v>-705</v>
      </c>
      <c r="N77" s="4" t="s">
        <v>157</v>
      </c>
      <c r="O77" s="4" t="s">
        <v>164</v>
      </c>
    </row>
    <row r="78" spans="1:18" x14ac:dyDescent="0.25">
      <c r="A78" s="4" t="s">
        <v>11</v>
      </c>
      <c r="B78" s="4" t="s">
        <v>167</v>
      </c>
      <c r="C78" s="4" t="s">
        <v>17</v>
      </c>
      <c r="D78" s="4" t="s">
        <v>18</v>
      </c>
      <c r="E78" s="4" t="str">
        <f>CONCATENATE(C78, " ",D78)</f>
        <v>Edna Zielinski</v>
      </c>
      <c r="F78" s="4" t="s">
        <v>19</v>
      </c>
      <c r="G78" s="4">
        <v>81290</v>
      </c>
      <c r="H78" s="4" t="str">
        <f>CONCATENATE(G78,75)</f>
        <v>8129075</v>
      </c>
      <c r="I78" s="5">
        <v>45870</v>
      </c>
      <c r="J78" s="5">
        <v>45905</v>
      </c>
      <c r="K78" s="4" t="s">
        <v>15</v>
      </c>
      <c r="L78" s="4" t="s">
        <v>96</v>
      </c>
      <c r="M78" s="6">
        <v>-705</v>
      </c>
      <c r="N78" s="4" t="s">
        <v>157</v>
      </c>
      <c r="O78" s="4" t="s">
        <v>164</v>
      </c>
    </row>
    <row r="79" spans="1:18" x14ac:dyDescent="0.25">
      <c r="A79" s="4" t="s">
        <v>11</v>
      </c>
      <c r="B79" s="4" t="s">
        <v>167</v>
      </c>
      <c r="C79" s="4" t="s">
        <v>42</v>
      </c>
      <c r="D79" s="4" t="s">
        <v>18</v>
      </c>
      <c r="E79" s="4" t="str">
        <f>CONCATENATE(C79, " ",D79)</f>
        <v>Barry Zielinski</v>
      </c>
      <c r="F79" s="4" t="s">
        <v>43</v>
      </c>
      <c r="G79" s="4">
        <v>37270</v>
      </c>
      <c r="H79" s="4" t="str">
        <f>CONCATENATE(G79,75)</f>
        <v>3727075</v>
      </c>
      <c r="I79" s="5">
        <v>45870</v>
      </c>
      <c r="J79" s="5">
        <v>45905</v>
      </c>
      <c r="K79" s="4" t="s">
        <v>15</v>
      </c>
      <c r="L79" s="4" t="s">
        <v>96</v>
      </c>
      <c r="M79" s="6">
        <v>-705</v>
      </c>
      <c r="N79" s="4" t="s">
        <v>157</v>
      </c>
      <c r="O79" s="4" t="s">
        <v>164</v>
      </c>
    </row>
    <row r="80" spans="1:18" x14ac:dyDescent="0.25">
      <c r="A80" s="7" t="s">
        <v>11</v>
      </c>
      <c r="B80" s="4" t="s">
        <v>167</v>
      </c>
      <c r="C80" s="7" t="s">
        <v>17</v>
      </c>
      <c r="D80" s="7" t="s">
        <v>29</v>
      </c>
      <c r="E80" s="7" t="str">
        <f>CONCATENATE(C80, " ",D80)</f>
        <v>Edna Kuklis</v>
      </c>
      <c r="F80" s="7" t="s">
        <v>30</v>
      </c>
      <c r="G80" s="7">
        <v>55510</v>
      </c>
      <c r="H80" s="4" t="str">
        <f>CONCATENATE(G80,75)</f>
        <v>5551075</v>
      </c>
      <c r="I80" s="8">
        <v>45870</v>
      </c>
      <c r="J80" s="8">
        <v>45905</v>
      </c>
      <c r="K80" s="7" t="s">
        <v>15</v>
      </c>
      <c r="L80" s="7" t="s">
        <v>122</v>
      </c>
      <c r="M80" s="7">
        <v>705</v>
      </c>
      <c r="N80" s="4" t="s">
        <v>157</v>
      </c>
      <c r="O80" s="4" t="s">
        <v>164</v>
      </c>
      <c r="P80" s="7">
        <v>705</v>
      </c>
      <c r="Q80" s="7"/>
      <c r="R80" s="7"/>
    </row>
    <row r="81" spans="1:18" x14ac:dyDescent="0.25">
      <c r="A81" s="7" t="s">
        <v>11</v>
      </c>
      <c r="B81" s="4" t="s">
        <v>167</v>
      </c>
      <c r="C81" s="7" t="s">
        <v>37</v>
      </c>
      <c r="D81" s="7" t="s">
        <v>38</v>
      </c>
      <c r="E81" s="7" t="str">
        <f>CONCATENATE(C81, " ",D81)</f>
        <v>Emerson Evans</v>
      </c>
      <c r="F81" s="7" t="s">
        <v>39</v>
      </c>
      <c r="G81" s="7">
        <v>91260</v>
      </c>
      <c r="H81" s="4" t="str">
        <f>CONCATENATE(G81,75)</f>
        <v>9126075</v>
      </c>
      <c r="I81" s="8">
        <v>45870</v>
      </c>
      <c r="J81" s="8">
        <v>45905</v>
      </c>
      <c r="K81" s="7" t="s">
        <v>15</v>
      </c>
      <c r="L81" s="7" t="s">
        <v>122</v>
      </c>
      <c r="M81" s="7">
        <v>705</v>
      </c>
      <c r="N81" s="4" t="s">
        <v>157</v>
      </c>
      <c r="O81" s="4" t="s">
        <v>164</v>
      </c>
      <c r="P81" s="7">
        <v>705</v>
      </c>
      <c r="Q81" s="7"/>
      <c r="R81" s="7"/>
    </row>
    <row r="82" spans="1:18" x14ac:dyDescent="0.25">
      <c r="A82" s="7" t="s">
        <v>11</v>
      </c>
      <c r="B82" s="4" t="s">
        <v>167</v>
      </c>
      <c r="C82" s="7" t="s">
        <v>17</v>
      </c>
      <c r="D82" s="7" t="s">
        <v>29</v>
      </c>
      <c r="E82" s="7" t="str">
        <f>CONCATENATE(C82, " ",D82)</f>
        <v>Edna Kuklis</v>
      </c>
      <c r="F82" s="7" t="s">
        <v>30</v>
      </c>
      <c r="G82" s="7">
        <v>55510</v>
      </c>
      <c r="H82" s="4" t="str">
        <f>CONCATENATE(G82,75)</f>
        <v>5551075</v>
      </c>
      <c r="I82" s="8">
        <v>45870</v>
      </c>
      <c r="J82" s="8">
        <v>45905</v>
      </c>
      <c r="K82" s="7" t="s">
        <v>15</v>
      </c>
      <c r="L82" s="7" t="s">
        <v>100</v>
      </c>
      <c r="M82" s="7">
        <v>-705</v>
      </c>
      <c r="N82" s="4" t="s">
        <v>157</v>
      </c>
      <c r="O82" s="4" t="s">
        <v>164</v>
      </c>
      <c r="P82" s="7">
        <v>-705</v>
      </c>
      <c r="Q82" s="7"/>
      <c r="R82" s="7"/>
    </row>
    <row r="83" spans="1:18" x14ac:dyDescent="0.25">
      <c r="A83" s="7" t="s">
        <v>11</v>
      </c>
      <c r="B83" s="4" t="s">
        <v>167</v>
      </c>
      <c r="C83" s="7" t="s">
        <v>37</v>
      </c>
      <c r="D83" s="7" t="s">
        <v>38</v>
      </c>
      <c r="E83" s="7" t="str">
        <f>CONCATENATE(C83, " ",D83)</f>
        <v>Emerson Evans</v>
      </c>
      <c r="F83" s="7" t="s">
        <v>39</v>
      </c>
      <c r="G83" s="7">
        <v>91260</v>
      </c>
      <c r="H83" s="4" t="str">
        <f>CONCATENATE(G83,75)</f>
        <v>9126075</v>
      </c>
      <c r="I83" s="8">
        <v>45870</v>
      </c>
      <c r="J83" s="8">
        <v>45905</v>
      </c>
      <c r="K83" s="7" t="s">
        <v>15</v>
      </c>
      <c r="L83" s="7" t="s">
        <v>100</v>
      </c>
      <c r="M83" s="7">
        <v>-705</v>
      </c>
      <c r="N83" s="4" t="s">
        <v>157</v>
      </c>
      <c r="O83" s="4" t="s">
        <v>164</v>
      </c>
      <c r="P83" s="7">
        <v>-705</v>
      </c>
      <c r="Q83" s="7"/>
      <c r="R83" s="7"/>
    </row>
    <row r="84" spans="1:18" x14ac:dyDescent="0.25">
      <c r="A84" s="7" t="s">
        <v>11</v>
      </c>
      <c r="B84" s="4" t="s">
        <v>167</v>
      </c>
      <c r="C84" s="7" t="s">
        <v>24</v>
      </c>
      <c r="D84" s="7" t="s">
        <v>25</v>
      </c>
      <c r="E84" s="7" t="str">
        <f>CONCATENATE(C84, " ",D84)</f>
        <v>David Mckivitz</v>
      </c>
      <c r="F84" s="7" t="s">
        <v>26</v>
      </c>
      <c r="G84" s="7">
        <v>74200</v>
      </c>
      <c r="H84" s="4" t="str">
        <f>CONCATENATE(G84,75)</f>
        <v>7420075</v>
      </c>
      <c r="I84" s="8">
        <v>45901</v>
      </c>
      <c r="J84" s="8">
        <v>45905</v>
      </c>
      <c r="K84" s="7" t="s">
        <v>15</v>
      </c>
      <c r="L84" s="7" t="s">
        <v>120</v>
      </c>
      <c r="M84" s="7">
        <v>705</v>
      </c>
      <c r="N84" s="4" t="s">
        <v>157</v>
      </c>
      <c r="O84" s="4" t="s">
        <v>164</v>
      </c>
      <c r="P84" s="7">
        <v>705</v>
      </c>
      <c r="Q84" s="7"/>
      <c r="R84" s="7"/>
    </row>
    <row r="85" spans="1:18" x14ac:dyDescent="0.25">
      <c r="A85" s="7" t="s">
        <v>11</v>
      </c>
      <c r="B85" s="4" t="s">
        <v>167</v>
      </c>
      <c r="C85" s="7" t="s">
        <v>24</v>
      </c>
      <c r="D85" s="7" t="s">
        <v>25</v>
      </c>
      <c r="E85" s="7" t="str">
        <f>CONCATENATE(C85, " ",D85)</f>
        <v>David Mckivitz</v>
      </c>
      <c r="F85" s="7" t="s">
        <v>26</v>
      </c>
      <c r="G85" s="7">
        <v>74200</v>
      </c>
      <c r="H85" s="4" t="str">
        <f>CONCATENATE(G85,75)</f>
        <v>7420075</v>
      </c>
      <c r="I85" s="8">
        <v>45901</v>
      </c>
      <c r="J85" s="8">
        <v>45905</v>
      </c>
      <c r="K85" s="7" t="s">
        <v>15</v>
      </c>
      <c r="L85" s="7" t="s">
        <v>98</v>
      </c>
      <c r="M85" s="7">
        <v>-705</v>
      </c>
      <c r="N85" s="4" t="s">
        <v>157</v>
      </c>
      <c r="O85" s="4" t="s">
        <v>164</v>
      </c>
      <c r="P85" s="7">
        <v>-705</v>
      </c>
      <c r="Q85" s="7"/>
      <c r="R85" s="7"/>
    </row>
    <row r="86" spans="1:18" x14ac:dyDescent="0.25">
      <c r="A86" s="7" t="s">
        <v>65</v>
      </c>
      <c r="B86" s="7" t="s">
        <v>168</v>
      </c>
      <c r="C86" s="7" t="s">
        <v>69</v>
      </c>
      <c r="D86" s="7" t="s">
        <v>70</v>
      </c>
      <c r="E86" s="7" t="str">
        <f>CONCATENATE(C86, " ",D86)</f>
        <v>Richard Ryan</v>
      </c>
      <c r="F86" s="7" t="s">
        <v>71</v>
      </c>
      <c r="G86" s="7">
        <v>93110</v>
      </c>
      <c r="H86" s="4" t="str">
        <f>CONCATENATE(G86,75)</f>
        <v>9311075</v>
      </c>
      <c r="I86" s="8">
        <v>45870</v>
      </c>
      <c r="J86" s="8">
        <v>45905</v>
      </c>
      <c r="K86" s="7" t="s">
        <v>15</v>
      </c>
      <c r="L86" s="7" t="s">
        <v>122</v>
      </c>
      <c r="M86" s="7">
        <v>705</v>
      </c>
      <c r="N86" s="4" t="s">
        <v>157</v>
      </c>
      <c r="O86" s="4" t="s">
        <v>164</v>
      </c>
      <c r="P86" s="7">
        <v>705</v>
      </c>
      <c r="Q86" s="7"/>
      <c r="R86" s="7"/>
    </row>
    <row r="87" spans="1:18" x14ac:dyDescent="0.25">
      <c r="A87" s="7" t="s">
        <v>65</v>
      </c>
      <c r="B87" s="7" t="s">
        <v>168</v>
      </c>
      <c r="C87" s="7" t="s">
        <v>69</v>
      </c>
      <c r="D87" s="7" t="s">
        <v>70</v>
      </c>
      <c r="E87" s="7" t="str">
        <f>CONCATENATE(C87, " ",D87)</f>
        <v>Richard Ryan</v>
      </c>
      <c r="F87" s="7" t="s">
        <v>71</v>
      </c>
      <c r="G87" s="7">
        <v>93110</v>
      </c>
      <c r="H87" s="4" t="str">
        <f>CONCATENATE(G87,75)</f>
        <v>9311075</v>
      </c>
      <c r="I87" s="8">
        <v>45870</v>
      </c>
      <c r="J87" s="8">
        <v>45905</v>
      </c>
      <c r="K87" s="7" t="s">
        <v>15</v>
      </c>
      <c r="L87" s="7" t="s">
        <v>100</v>
      </c>
      <c r="M87" s="7">
        <v>-705</v>
      </c>
      <c r="N87" s="4" t="s">
        <v>157</v>
      </c>
      <c r="O87" s="4" t="s">
        <v>164</v>
      </c>
      <c r="P87" s="7">
        <v>-705</v>
      </c>
      <c r="Q87" s="7"/>
      <c r="R87" s="7"/>
    </row>
    <row r="88" spans="1:18" x14ac:dyDescent="0.25">
      <c r="A88" s="7" t="s">
        <v>65</v>
      </c>
      <c r="B88" s="7" t="s">
        <v>168</v>
      </c>
      <c r="C88" s="7" t="s">
        <v>66</v>
      </c>
      <c r="D88" s="7" t="s">
        <v>67</v>
      </c>
      <c r="E88" s="7" t="str">
        <f>CONCATENATE(C88, " ",D88)</f>
        <v>Eric Rupert</v>
      </c>
      <c r="F88" s="7" t="s">
        <v>68</v>
      </c>
      <c r="G88" s="7">
        <v>81990</v>
      </c>
      <c r="H88" s="4" t="str">
        <f>CONCATENATE(G88,75)</f>
        <v>8199075</v>
      </c>
      <c r="I88" s="8">
        <v>45901</v>
      </c>
      <c r="J88" s="8">
        <v>45905</v>
      </c>
      <c r="K88" s="7" t="s">
        <v>15</v>
      </c>
      <c r="L88" s="7" t="s">
        <v>120</v>
      </c>
      <c r="M88" s="7">
        <v>705</v>
      </c>
      <c r="N88" s="4" t="s">
        <v>157</v>
      </c>
      <c r="O88" s="4" t="s">
        <v>164</v>
      </c>
      <c r="P88" s="7">
        <v>705</v>
      </c>
      <c r="Q88" s="7"/>
      <c r="R88" s="7"/>
    </row>
    <row r="89" spans="1:18" x14ac:dyDescent="0.25">
      <c r="A89" s="7" t="s">
        <v>65</v>
      </c>
      <c r="B89" s="7" t="s">
        <v>168</v>
      </c>
      <c r="C89" s="7" t="s">
        <v>66</v>
      </c>
      <c r="D89" s="7" t="s">
        <v>67</v>
      </c>
      <c r="E89" s="7" t="str">
        <f>CONCATENATE(C89, " ",D89)</f>
        <v>Eric Rupert</v>
      </c>
      <c r="F89" s="7" t="s">
        <v>68</v>
      </c>
      <c r="G89" s="7">
        <v>81990</v>
      </c>
      <c r="H89" s="4" t="str">
        <f>CONCATENATE(G89,75)</f>
        <v>8199075</v>
      </c>
      <c r="I89" s="8">
        <v>45901</v>
      </c>
      <c r="J89" s="8">
        <v>45905</v>
      </c>
      <c r="K89" s="7" t="s">
        <v>15</v>
      </c>
      <c r="L89" s="7" t="s">
        <v>98</v>
      </c>
      <c r="M89" s="7">
        <v>-705</v>
      </c>
      <c r="N89" s="4" t="s">
        <v>157</v>
      </c>
      <c r="O89" s="4" t="s">
        <v>164</v>
      </c>
      <c r="P89" s="7">
        <v>-705</v>
      </c>
      <c r="Q89" s="7"/>
      <c r="R89" s="7"/>
    </row>
    <row r="90" spans="1:18" x14ac:dyDescent="0.25">
      <c r="A90" s="7" t="s">
        <v>80</v>
      </c>
      <c r="B90" s="7">
        <v>18794740</v>
      </c>
      <c r="C90" s="7" t="s">
        <v>81</v>
      </c>
      <c r="D90" s="7" t="s">
        <v>82</v>
      </c>
      <c r="E90" s="7" t="str">
        <f>CONCATENATE(C90, " ",D90)</f>
        <v>Craig Spragle</v>
      </c>
      <c r="F90" s="7" t="s">
        <v>83</v>
      </c>
      <c r="G90" s="7">
        <v>97130</v>
      </c>
      <c r="H90" s="4" t="str">
        <f>CONCATENATE(G90,75)</f>
        <v>9713075</v>
      </c>
      <c r="I90" s="8">
        <v>45870</v>
      </c>
      <c r="J90" s="8">
        <v>45905</v>
      </c>
      <c r="K90" s="7" t="s">
        <v>15</v>
      </c>
      <c r="L90" s="7" t="s">
        <v>122</v>
      </c>
      <c r="M90" s="7">
        <v>705</v>
      </c>
      <c r="N90" s="4" t="s">
        <v>157</v>
      </c>
      <c r="O90" s="4" t="s">
        <v>164</v>
      </c>
      <c r="P90" s="7">
        <v>705</v>
      </c>
      <c r="Q90" s="7"/>
      <c r="R90" s="7"/>
    </row>
    <row r="91" spans="1:18" x14ac:dyDescent="0.25">
      <c r="A91" s="7" t="s">
        <v>80</v>
      </c>
      <c r="B91" s="7">
        <v>18794740</v>
      </c>
      <c r="C91" s="7" t="s">
        <v>81</v>
      </c>
      <c r="D91" s="7" t="s">
        <v>82</v>
      </c>
      <c r="E91" s="7" t="str">
        <f>CONCATENATE(C91, " ",D91)</f>
        <v>Craig Spragle</v>
      </c>
      <c r="F91" s="7" t="s">
        <v>83</v>
      </c>
      <c r="G91" s="7">
        <v>97130</v>
      </c>
      <c r="H91" s="4" t="str">
        <f>CONCATENATE(G91,75)</f>
        <v>9713075</v>
      </c>
      <c r="I91" s="8">
        <v>45870</v>
      </c>
      <c r="J91" s="8">
        <v>45905</v>
      </c>
      <c r="K91" s="7" t="s">
        <v>15</v>
      </c>
      <c r="L91" s="7" t="s">
        <v>100</v>
      </c>
      <c r="M91" s="7">
        <v>-705</v>
      </c>
      <c r="N91" s="4" t="s">
        <v>157</v>
      </c>
      <c r="O91" s="4" t="s">
        <v>164</v>
      </c>
      <c r="P91" s="7">
        <v>-705</v>
      </c>
      <c r="Q91" s="7"/>
      <c r="R91" s="7"/>
    </row>
    <row r="92" spans="1:18" x14ac:dyDescent="0.25">
      <c r="A92" s="4" t="s">
        <v>129</v>
      </c>
      <c r="B92" s="4" t="s">
        <v>166</v>
      </c>
      <c r="C92" s="4" t="s">
        <v>130</v>
      </c>
      <c r="D92" s="4" t="s">
        <v>131</v>
      </c>
      <c r="E92" s="4" t="str">
        <f>CONCATENATE(C92, " ",D92)</f>
        <v>Mary Reese</v>
      </c>
      <c r="F92" s="4" t="s">
        <v>132</v>
      </c>
      <c r="G92" s="4">
        <v>4770</v>
      </c>
      <c r="H92" s="4" t="str">
        <f>CONCATENATE(G92,55)</f>
        <v>477055</v>
      </c>
      <c r="I92" s="5">
        <v>45901</v>
      </c>
      <c r="J92" s="5">
        <v>45905</v>
      </c>
      <c r="K92" s="4" t="s">
        <v>15</v>
      </c>
      <c r="L92" s="4" t="s">
        <v>119</v>
      </c>
      <c r="M92" s="6">
        <v>117.66</v>
      </c>
      <c r="N92" s="4" t="s">
        <v>158</v>
      </c>
      <c r="O92" s="4" t="s">
        <v>160</v>
      </c>
    </row>
    <row r="93" spans="1:18" x14ac:dyDescent="0.25">
      <c r="A93" s="4" t="s">
        <v>11</v>
      </c>
      <c r="B93" s="4" t="s">
        <v>167</v>
      </c>
      <c r="C93" s="4" t="s">
        <v>133</v>
      </c>
      <c r="D93" s="4" t="s">
        <v>134</v>
      </c>
      <c r="E93" s="4" t="str">
        <f>CONCATENATE(C93, " ",D93)</f>
        <v>Joyce Kweder</v>
      </c>
      <c r="F93" s="4" t="s">
        <v>135</v>
      </c>
      <c r="G93" s="4">
        <v>34550</v>
      </c>
      <c r="H93" s="4" t="str">
        <f>CONCATENATE(G93,55)</f>
        <v>3455055</v>
      </c>
      <c r="I93" s="5">
        <v>45962</v>
      </c>
      <c r="J93" s="5">
        <v>45905</v>
      </c>
      <c r="K93" s="4" t="s">
        <v>15</v>
      </c>
      <c r="L93" s="4" t="s">
        <v>123</v>
      </c>
      <c r="M93" s="6">
        <v>58.83</v>
      </c>
      <c r="N93" s="4" t="s">
        <v>158</v>
      </c>
      <c r="O93" s="4" t="s">
        <v>161</v>
      </c>
    </row>
    <row r="94" spans="1:18" x14ac:dyDescent="0.25">
      <c r="A94" s="4" t="s">
        <v>11</v>
      </c>
      <c r="B94" s="4" t="s">
        <v>167</v>
      </c>
      <c r="C94" s="4" t="s">
        <v>136</v>
      </c>
      <c r="D94" s="4" t="s">
        <v>137</v>
      </c>
      <c r="E94" s="4" t="str">
        <f>CONCATENATE(C94, " ",D94)</f>
        <v>George Rice</v>
      </c>
      <c r="F94" s="4" t="s">
        <v>138</v>
      </c>
      <c r="G94" s="4">
        <v>69910</v>
      </c>
      <c r="H94" s="4" t="str">
        <f>CONCATENATE(G94,55)</f>
        <v>6991055</v>
      </c>
      <c r="I94" s="5">
        <v>45931</v>
      </c>
      <c r="J94" s="5">
        <v>45905</v>
      </c>
      <c r="K94" s="4" t="s">
        <v>15</v>
      </c>
      <c r="L94" s="4" t="s">
        <v>124</v>
      </c>
      <c r="M94" s="6">
        <v>88.25</v>
      </c>
      <c r="N94" s="4" t="s">
        <v>158</v>
      </c>
      <c r="O94" s="4" t="s">
        <v>162</v>
      </c>
    </row>
    <row r="95" spans="1:18" x14ac:dyDescent="0.25">
      <c r="A95" s="4" t="s">
        <v>11</v>
      </c>
      <c r="B95" s="4" t="s">
        <v>167</v>
      </c>
      <c r="C95" s="4" t="s">
        <v>20</v>
      </c>
      <c r="D95" s="4" t="s">
        <v>21</v>
      </c>
      <c r="E95" s="4" t="str">
        <f>CONCATENATE(C95, " ",D95)</f>
        <v>Candice Sainato</v>
      </c>
      <c r="F95" s="4" t="s">
        <v>22</v>
      </c>
      <c r="G95" s="4">
        <v>20230</v>
      </c>
      <c r="H95" s="4" t="str">
        <f>CONCATENATE(G95,55)</f>
        <v>2023055</v>
      </c>
      <c r="I95" s="5">
        <v>45901</v>
      </c>
      <c r="J95" s="5">
        <v>45905</v>
      </c>
      <c r="K95" s="4" t="s">
        <v>15</v>
      </c>
      <c r="L95" s="4" t="s">
        <v>119</v>
      </c>
      <c r="M95" s="6">
        <v>117.66</v>
      </c>
      <c r="N95" s="4" t="s">
        <v>158</v>
      </c>
      <c r="O95" s="4" t="s">
        <v>160</v>
      </c>
    </row>
    <row r="96" spans="1:18" x14ac:dyDescent="0.25">
      <c r="A96" s="4" t="s">
        <v>11</v>
      </c>
      <c r="B96" s="4" t="s">
        <v>167</v>
      </c>
      <c r="C96" s="4" t="s">
        <v>24</v>
      </c>
      <c r="D96" s="4" t="s">
        <v>25</v>
      </c>
      <c r="E96" s="4" t="str">
        <f>CONCATENATE(C96, " ",D96)</f>
        <v>David Mckivitz</v>
      </c>
      <c r="F96" s="4" t="s">
        <v>26</v>
      </c>
      <c r="G96" s="4">
        <v>74200</v>
      </c>
      <c r="H96" s="4" t="str">
        <f>CONCATENATE(G96,55)</f>
        <v>7420055</v>
      </c>
      <c r="I96" s="5">
        <v>45901</v>
      </c>
      <c r="J96" s="5">
        <v>45905</v>
      </c>
      <c r="K96" s="4" t="s">
        <v>15</v>
      </c>
      <c r="L96" s="4" t="s">
        <v>119</v>
      </c>
      <c r="M96" s="6">
        <v>117.66</v>
      </c>
      <c r="N96" s="4" t="s">
        <v>158</v>
      </c>
      <c r="O96" s="4" t="s">
        <v>160</v>
      </c>
    </row>
    <row r="97" spans="1:16" x14ac:dyDescent="0.25">
      <c r="A97" s="4" t="s">
        <v>11</v>
      </c>
      <c r="B97" s="4" t="s">
        <v>167</v>
      </c>
      <c r="C97" s="4" t="s">
        <v>139</v>
      </c>
      <c r="D97" s="4" t="s">
        <v>140</v>
      </c>
      <c r="E97" s="4" t="str">
        <f>CONCATENATE(C97, " ",D97)</f>
        <v>Joann Homer</v>
      </c>
      <c r="F97" s="4" t="s">
        <v>141</v>
      </c>
      <c r="G97" s="4">
        <v>61770</v>
      </c>
      <c r="H97" s="4" t="str">
        <f>CONCATENATE(G97,55)</f>
        <v>6177055</v>
      </c>
      <c r="I97" s="5">
        <v>45901</v>
      </c>
      <c r="J97" s="5">
        <v>45905</v>
      </c>
      <c r="K97" s="4" t="s">
        <v>15</v>
      </c>
      <c r="L97" s="4" t="s">
        <v>119</v>
      </c>
      <c r="M97" s="6">
        <v>117.66</v>
      </c>
      <c r="N97" s="4" t="s">
        <v>158</v>
      </c>
      <c r="O97" s="4" t="s">
        <v>160</v>
      </c>
    </row>
    <row r="98" spans="1:16" x14ac:dyDescent="0.25">
      <c r="A98" s="4" t="s">
        <v>11</v>
      </c>
      <c r="B98" s="4" t="s">
        <v>167</v>
      </c>
      <c r="C98" s="4" t="s">
        <v>142</v>
      </c>
      <c r="D98" s="4" t="s">
        <v>143</v>
      </c>
      <c r="E98" s="4" t="str">
        <f>CONCATENATE(C98, " ",D98)</f>
        <v>Ann Paulikonis</v>
      </c>
      <c r="F98" s="4" t="s">
        <v>144</v>
      </c>
      <c r="G98" s="4">
        <v>19440</v>
      </c>
      <c r="H98" s="4" t="str">
        <f>CONCATENATE(G98,55)</f>
        <v>1944055</v>
      </c>
      <c r="I98" s="5">
        <v>45901</v>
      </c>
      <c r="J98" s="5">
        <v>45905</v>
      </c>
      <c r="K98" s="4" t="s">
        <v>15</v>
      </c>
      <c r="L98" s="4" t="s">
        <v>119</v>
      </c>
      <c r="M98" s="6">
        <v>117.66</v>
      </c>
      <c r="N98" s="4" t="s">
        <v>158</v>
      </c>
      <c r="O98" s="4" t="s">
        <v>160</v>
      </c>
    </row>
    <row r="99" spans="1:16" x14ac:dyDescent="0.25">
      <c r="A99" s="4" t="s">
        <v>11</v>
      </c>
      <c r="B99" s="4" t="s">
        <v>167</v>
      </c>
      <c r="C99" s="4" t="s">
        <v>20</v>
      </c>
      <c r="D99" s="4" t="s">
        <v>21</v>
      </c>
      <c r="E99" s="4" t="str">
        <f>CONCATENATE(C99, " ",D99)</f>
        <v>Candice Sainato</v>
      </c>
      <c r="F99" s="4" t="s">
        <v>22</v>
      </c>
      <c r="G99" s="4">
        <v>20230</v>
      </c>
      <c r="H99" s="4" t="str">
        <f>CONCATENATE(G99,55)</f>
        <v>2023055</v>
      </c>
      <c r="I99" s="5">
        <v>45901</v>
      </c>
      <c r="J99" s="5">
        <v>45905</v>
      </c>
      <c r="K99" s="4" t="s">
        <v>15</v>
      </c>
      <c r="L99" s="4" t="s">
        <v>97</v>
      </c>
      <c r="M99" s="6">
        <v>-117.66</v>
      </c>
      <c r="N99" s="4" t="s">
        <v>158</v>
      </c>
      <c r="O99" s="4" t="s">
        <v>160</v>
      </c>
    </row>
    <row r="100" spans="1:16" x14ac:dyDescent="0.25">
      <c r="A100" s="4" t="s">
        <v>11</v>
      </c>
      <c r="B100" s="4" t="s">
        <v>167</v>
      </c>
      <c r="C100" s="4" t="s">
        <v>24</v>
      </c>
      <c r="D100" s="4" t="s">
        <v>25</v>
      </c>
      <c r="E100" s="4" t="str">
        <f>CONCATENATE(C100, " ",D100)</f>
        <v>David Mckivitz</v>
      </c>
      <c r="F100" s="4" t="s">
        <v>26</v>
      </c>
      <c r="G100" s="4">
        <v>74200</v>
      </c>
      <c r="H100" s="4" t="str">
        <f>CONCATENATE(G100,55)</f>
        <v>7420055</v>
      </c>
      <c r="I100" s="5">
        <v>45901</v>
      </c>
      <c r="J100" s="5">
        <v>45905</v>
      </c>
      <c r="K100" s="4" t="s">
        <v>15</v>
      </c>
      <c r="L100" s="4" t="s">
        <v>97</v>
      </c>
      <c r="M100" s="6">
        <v>-117.66</v>
      </c>
      <c r="N100" s="4" t="s">
        <v>158</v>
      </c>
      <c r="O100" s="4" t="s">
        <v>160</v>
      </c>
    </row>
    <row r="101" spans="1:16" x14ac:dyDescent="0.25">
      <c r="A101" s="4" t="s">
        <v>11</v>
      </c>
      <c r="B101" s="4" t="s">
        <v>167</v>
      </c>
      <c r="C101" s="4" t="s">
        <v>17</v>
      </c>
      <c r="D101" s="4" t="s">
        <v>29</v>
      </c>
      <c r="E101" s="4" t="str">
        <f>CONCATENATE(C101, " ",D101)</f>
        <v>Edna Kuklis</v>
      </c>
      <c r="F101" s="4" t="s">
        <v>30</v>
      </c>
      <c r="G101" s="4">
        <v>55510</v>
      </c>
      <c r="H101" s="4" t="str">
        <f>CONCATENATE(G101,55)</f>
        <v>5551055</v>
      </c>
      <c r="I101" s="5">
        <v>45870</v>
      </c>
      <c r="J101" s="5">
        <v>45905</v>
      </c>
      <c r="K101" s="4" t="s">
        <v>15</v>
      </c>
      <c r="L101" s="4" t="s">
        <v>121</v>
      </c>
      <c r="M101" s="6">
        <v>147.08000000000001</v>
      </c>
      <c r="N101" s="4" t="s">
        <v>158</v>
      </c>
      <c r="O101" s="4" t="s">
        <v>163</v>
      </c>
    </row>
    <row r="102" spans="1:16" x14ac:dyDescent="0.25">
      <c r="A102" s="4" t="s">
        <v>11</v>
      </c>
      <c r="B102" s="4" t="s">
        <v>167</v>
      </c>
      <c r="C102" s="4" t="s">
        <v>33</v>
      </c>
      <c r="D102" s="4" t="s">
        <v>34</v>
      </c>
      <c r="E102" s="4" t="str">
        <f>CONCATENATE(C102, " ",D102)</f>
        <v>Mark Serpa</v>
      </c>
      <c r="F102" s="4" t="s">
        <v>35</v>
      </c>
      <c r="G102" s="4">
        <v>59760</v>
      </c>
      <c r="H102" s="4" t="str">
        <f>CONCATENATE(G102,55)</f>
        <v>5976055</v>
      </c>
      <c r="I102" s="5">
        <v>45870</v>
      </c>
      <c r="J102" s="5">
        <v>45905</v>
      </c>
      <c r="K102" s="4" t="s">
        <v>15</v>
      </c>
      <c r="L102" s="4" t="s">
        <v>121</v>
      </c>
      <c r="M102" s="6">
        <v>147.08000000000001</v>
      </c>
      <c r="N102" s="4" t="s">
        <v>158</v>
      </c>
      <c r="O102" s="4" t="s">
        <v>163</v>
      </c>
    </row>
    <row r="103" spans="1:16" x14ac:dyDescent="0.25">
      <c r="A103" s="4" t="s">
        <v>11</v>
      </c>
      <c r="B103" s="4" t="s">
        <v>167</v>
      </c>
      <c r="C103" s="4" t="s">
        <v>33</v>
      </c>
      <c r="D103" s="4" t="s">
        <v>34</v>
      </c>
      <c r="E103" s="4" t="str">
        <f>CONCATENATE(C103, " ",D103)</f>
        <v>Mark Serpa</v>
      </c>
      <c r="F103" s="4" t="s">
        <v>35</v>
      </c>
      <c r="G103" s="4">
        <v>59760</v>
      </c>
      <c r="H103" s="4" t="str">
        <f>CONCATENATE(G103,55)</f>
        <v>5976055</v>
      </c>
      <c r="I103" s="5">
        <v>45870</v>
      </c>
      <c r="J103" s="5">
        <v>45905</v>
      </c>
      <c r="K103" s="4" t="s">
        <v>15</v>
      </c>
      <c r="L103" s="4" t="s">
        <v>121</v>
      </c>
      <c r="M103" s="6">
        <v>147.08000000000001</v>
      </c>
      <c r="N103" s="4" t="s">
        <v>158</v>
      </c>
      <c r="O103" s="4" t="s">
        <v>163</v>
      </c>
    </row>
    <row r="104" spans="1:16" x14ac:dyDescent="0.25">
      <c r="A104" s="4" t="s">
        <v>11</v>
      </c>
      <c r="B104" s="4" t="s">
        <v>167</v>
      </c>
      <c r="C104" s="4" t="s">
        <v>37</v>
      </c>
      <c r="D104" s="4" t="s">
        <v>38</v>
      </c>
      <c r="E104" s="4" t="str">
        <f>CONCATENATE(C104, " ",D104)</f>
        <v>Emerson Evans</v>
      </c>
      <c r="F104" s="4" t="s">
        <v>39</v>
      </c>
      <c r="G104" s="4">
        <v>91260</v>
      </c>
      <c r="H104" s="4" t="str">
        <f>CONCATENATE(G104,55)</f>
        <v>9126055</v>
      </c>
      <c r="I104" s="5">
        <v>45870</v>
      </c>
      <c r="J104" s="5">
        <v>45905</v>
      </c>
      <c r="K104" s="4" t="s">
        <v>15</v>
      </c>
      <c r="L104" s="4" t="s">
        <v>121</v>
      </c>
      <c r="M104" s="6">
        <v>147.08000000000001</v>
      </c>
      <c r="N104" s="4" t="s">
        <v>158</v>
      </c>
      <c r="O104" s="4" t="s">
        <v>163</v>
      </c>
    </row>
    <row r="105" spans="1:16" x14ac:dyDescent="0.25">
      <c r="A105" s="4" t="s">
        <v>11</v>
      </c>
      <c r="B105" s="4" t="s">
        <v>167</v>
      </c>
      <c r="C105" s="4" t="s">
        <v>17</v>
      </c>
      <c r="D105" s="4" t="s">
        <v>29</v>
      </c>
      <c r="E105" s="4" t="str">
        <f>CONCATENATE(C105, " ",D105)</f>
        <v>Edna Kuklis</v>
      </c>
      <c r="F105" s="4" t="s">
        <v>30</v>
      </c>
      <c r="G105" s="4">
        <v>55510</v>
      </c>
      <c r="H105" s="4" t="str">
        <f>CONCATENATE(G105,55)</f>
        <v>5551055</v>
      </c>
      <c r="I105" s="5">
        <v>45870</v>
      </c>
      <c r="J105" s="5">
        <v>45905</v>
      </c>
      <c r="K105" s="4" t="s">
        <v>15</v>
      </c>
      <c r="L105" s="4" t="s">
        <v>99</v>
      </c>
      <c r="M105" s="6">
        <v>-147.08000000000001</v>
      </c>
      <c r="N105" s="4" t="s">
        <v>158</v>
      </c>
      <c r="O105" s="4" t="s">
        <v>163</v>
      </c>
    </row>
    <row r="106" spans="1:16" x14ac:dyDescent="0.25">
      <c r="A106" s="4" t="s">
        <v>11</v>
      </c>
      <c r="B106" s="4" t="s">
        <v>167</v>
      </c>
      <c r="C106" s="4" t="s">
        <v>33</v>
      </c>
      <c r="D106" s="4" t="s">
        <v>34</v>
      </c>
      <c r="E106" s="4" t="str">
        <f>CONCATENATE(C106, " ",D106)</f>
        <v>Mark Serpa</v>
      </c>
      <c r="F106" s="4" t="s">
        <v>35</v>
      </c>
      <c r="G106" s="4">
        <v>59760</v>
      </c>
      <c r="H106" s="4" t="str">
        <f>CONCATENATE(G106,55)</f>
        <v>5976055</v>
      </c>
      <c r="I106" s="5">
        <v>45870</v>
      </c>
      <c r="J106" s="5">
        <v>45905</v>
      </c>
      <c r="K106" s="4" t="s">
        <v>15</v>
      </c>
      <c r="L106" s="4" t="s">
        <v>99</v>
      </c>
      <c r="M106" s="6">
        <v>-147.08000000000001</v>
      </c>
      <c r="N106" s="4" t="s">
        <v>158</v>
      </c>
      <c r="O106" s="4" t="s">
        <v>163</v>
      </c>
    </row>
    <row r="107" spans="1:16" x14ac:dyDescent="0.25">
      <c r="A107" s="4" t="s">
        <v>11</v>
      </c>
      <c r="B107" s="4" t="s">
        <v>167</v>
      </c>
      <c r="C107" s="4" t="s">
        <v>33</v>
      </c>
      <c r="D107" s="4" t="s">
        <v>34</v>
      </c>
      <c r="E107" s="4" t="str">
        <f>CONCATENATE(C107, " ",D107)</f>
        <v>Mark Serpa</v>
      </c>
      <c r="F107" s="4" t="s">
        <v>35</v>
      </c>
      <c r="G107" s="4">
        <v>59760</v>
      </c>
      <c r="H107" s="4" t="str">
        <f>CONCATENATE(G107,55)</f>
        <v>5976055</v>
      </c>
      <c r="I107" s="5">
        <v>45870</v>
      </c>
      <c r="J107" s="5">
        <v>45905</v>
      </c>
      <c r="K107" s="4" t="s">
        <v>15</v>
      </c>
      <c r="L107" s="4" t="s">
        <v>99</v>
      </c>
      <c r="M107" s="6">
        <v>-147.08000000000001</v>
      </c>
      <c r="N107" s="4" t="s">
        <v>158</v>
      </c>
      <c r="O107" s="4" t="s">
        <v>163</v>
      </c>
    </row>
    <row r="108" spans="1:16" x14ac:dyDescent="0.25">
      <c r="A108" s="4" t="s">
        <v>11</v>
      </c>
      <c r="B108" s="4" t="s">
        <v>167</v>
      </c>
      <c r="C108" s="4" t="s">
        <v>37</v>
      </c>
      <c r="D108" s="4" t="s">
        <v>38</v>
      </c>
      <c r="E108" s="4" t="str">
        <f>CONCATENATE(C108, " ",D108)</f>
        <v>Emerson Evans</v>
      </c>
      <c r="F108" s="4" t="s">
        <v>39</v>
      </c>
      <c r="G108" s="4">
        <v>91260</v>
      </c>
      <c r="H108" s="4" t="str">
        <f>CONCATENATE(G108,55)</f>
        <v>9126055</v>
      </c>
      <c r="I108" s="5">
        <v>45870</v>
      </c>
      <c r="J108" s="5">
        <v>45905</v>
      </c>
      <c r="K108" s="4" t="s">
        <v>15</v>
      </c>
      <c r="L108" s="4" t="s">
        <v>99</v>
      </c>
      <c r="M108" s="6">
        <v>-147.08000000000001</v>
      </c>
      <c r="N108" s="4" t="s">
        <v>158</v>
      </c>
      <c r="O108" s="4" t="s">
        <v>163</v>
      </c>
    </row>
    <row r="109" spans="1:16" x14ac:dyDescent="0.25">
      <c r="A109" s="4" t="s">
        <v>11</v>
      </c>
      <c r="B109" s="4" t="s">
        <v>167</v>
      </c>
      <c r="C109" s="4" t="s">
        <v>17</v>
      </c>
      <c r="D109" s="4" t="s">
        <v>29</v>
      </c>
      <c r="E109" s="4" t="str">
        <f>CONCATENATE(C109, " ",D109)</f>
        <v>Edna Kuklis</v>
      </c>
      <c r="F109" s="4" t="s">
        <v>30</v>
      </c>
      <c r="G109" s="4">
        <v>55510</v>
      </c>
      <c r="H109" s="4" t="str">
        <f>CONCATENATE(G109,55)</f>
        <v>5551055</v>
      </c>
      <c r="I109" s="5">
        <v>45870</v>
      </c>
      <c r="J109" s="5">
        <v>45905</v>
      </c>
      <c r="K109" s="4" t="s">
        <v>15</v>
      </c>
      <c r="L109" s="4" t="s">
        <v>122</v>
      </c>
      <c r="M109" s="4">
        <v>-147.08000000000001</v>
      </c>
      <c r="N109" s="4" t="s">
        <v>158</v>
      </c>
      <c r="O109" s="4" t="s">
        <v>163</v>
      </c>
      <c r="P109" s="4">
        <v>-147.08000000000001</v>
      </c>
    </row>
    <row r="110" spans="1:16" x14ac:dyDescent="0.25">
      <c r="A110" s="4" t="s">
        <v>11</v>
      </c>
      <c r="B110" s="4" t="s">
        <v>167</v>
      </c>
      <c r="C110" s="4" t="s">
        <v>37</v>
      </c>
      <c r="D110" s="4" t="s">
        <v>38</v>
      </c>
      <c r="E110" s="4" t="str">
        <f>CONCATENATE(C110, " ",D110)</f>
        <v>Emerson Evans</v>
      </c>
      <c r="F110" s="4" t="s">
        <v>39</v>
      </c>
      <c r="G110" s="4">
        <v>91260</v>
      </c>
      <c r="H110" s="4" t="str">
        <f>CONCATENATE(G110,55)</f>
        <v>9126055</v>
      </c>
      <c r="I110" s="5">
        <v>45870</v>
      </c>
      <c r="J110" s="5">
        <v>45905</v>
      </c>
      <c r="K110" s="4" t="s">
        <v>15</v>
      </c>
      <c r="L110" s="4" t="s">
        <v>122</v>
      </c>
      <c r="M110" s="4">
        <v>-147.08000000000001</v>
      </c>
      <c r="N110" s="4" t="s">
        <v>158</v>
      </c>
      <c r="O110" s="4" t="s">
        <v>163</v>
      </c>
      <c r="P110" s="4">
        <v>-147.08000000000001</v>
      </c>
    </row>
    <row r="111" spans="1:16" x14ac:dyDescent="0.25">
      <c r="A111" s="4" t="s">
        <v>11</v>
      </c>
      <c r="B111" s="4" t="s">
        <v>167</v>
      </c>
      <c r="C111" s="4" t="s">
        <v>17</v>
      </c>
      <c r="D111" s="4" t="s">
        <v>29</v>
      </c>
      <c r="E111" s="4" t="str">
        <f>CONCATENATE(C111, " ",D111)</f>
        <v>Edna Kuklis</v>
      </c>
      <c r="F111" s="4" t="s">
        <v>30</v>
      </c>
      <c r="G111" s="4">
        <v>55510</v>
      </c>
      <c r="H111" s="4" t="str">
        <f>CONCATENATE(G111,55)</f>
        <v>5551055</v>
      </c>
      <c r="I111" s="5">
        <v>45870</v>
      </c>
      <c r="J111" s="5">
        <v>45905</v>
      </c>
      <c r="K111" s="4" t="s">
        <v>15</v>
      </c>
      <c r="L111" s="4" t="s">
        <v>100</v>
      </c>
      <c r="M111" s="4">
        <v>147.08000000000001</v>
      </c>
      <c r="N111" s="4" t="s">
        <v>158</v>
      </c>
      <c r="O111" s="4" t="s">
        <v>163</v>
      </c>
      <c r="P111" s="4">
        <v>147.08000000000001</v>
      </c>
    </row>
    <row r="112" spans="1:16" x14ac:dyDescent="0.25">
      <c r="A112" s="4" t="s">
        <v>11</v>
      </c>
      <c r="B112" s="4" t="s">
        <v>167</v>
      </c>
      <c r="C112" s="4" t="s">
        <v>37</v>
      </c>
      <c r="D112" s="4" t="s">
        <v>38</v>
      </c>
      <c r="E112" s="4" t="str">
        <f>CONCATENATE(C112, " ",D112)</f>
        <v>Emerson Evans</v>
      </c>
      <c r="F112" s="4" t="s">
        <v>39</v>
      </c>
      <c r="G112" s="4">
        <v>91260</v>
      </c>
      <c r="H112" s="4" t="str">
        <f>CONCATENATE(G112,55)</f>
        <v>9126055</v>
      </c>
      <c r="I112" s="5">
        <v>45870</v>
      </c>
      <c r="J112" s="5">
        <v>45905</v>
      </c>
      <c r="K112" s="4" t="s">
        <v>15</v>
      </c>
      <c r="L112" s="4" t="s">
        <v>100</v>
      </c>
      <c r="M112" s="4">
        <v>147.08000000000001</v>
      </c>
      <c r="N112" s="4" t="s">
        <v>158</v>
      </c>
      <c r="O112" s="4" t="s">
        <v>163</v>
      </c>
      <c r="P112" s="4">
        <v>147.08000000000001</v>
      </c>
    </row>
    <row r="113" spans="1:18" x14ac:dyDescent="0.25">
      <c r="A113" s="4" t="s">
        <v>11</v>
      </c>
      <c r="B113" s="4" t="s">
        <v>167</v>
      </c>
      <c r="C113" s="4" t="s">
        <v>24</v>
      </c>
      <c r="D113" s="4" t="s">
        <v>25</v>
      </c>
      <c r="E113" s="4" t="str">
        <f>CONCATENATE(C113, " ",D113)</f>
        <v>David Mckivitz</v>
      </c>
      <c r="F113" s="4" t="s">
        <v>26</v>
      </c>
      <c r="G113" s="4">
        <v>74200</v>
      </c>
      <c r="H113" s="4" t="str">
        <f>CONCATENATE(G113,55)</f>
        <v>7420055</v>
      </c>
      <c r="I113" s="5">
        <v>45901</v>
      </c>
      <c r="J113" s="5">
        <v>45905</v>
      </c>
      <c r="K113" s="4" t="s">
        <v>15</v>
      </c>
      <c r="L113" s="4" t="s">
        <v>120</v>
      </c>
      <c r="M113" s="4">
        <v>-117.67</v>
      </c>
      <c r="N113" s="4" t="s">
        <v>158</v>
      </c>
      <c r="O113" s="4" t="s">
        <v>160</v>
      </c>
      <c r="P113" s="4">
        <v>-117.67</v>
      </c>
    </row>
    <row r="114" spans="1:18" x14ac:dyDescent="0.25">
      <c r="A114" s="4" t="s">
        <v>11</v>
      </c>
      <c r="B114" s="4" t="s">
        <v>167</v>
      </c>
      <c r="C114" s="4" t="s">
        <v>24</v>
      </c>
      <c r="D114" s="4" t="s">
        <v>25</v>
      </c>
      <c r="E114" s="4" t="str">
        <f>CONCATENATE(C114, " ",D114)</f>
        <v>David Mckivitz</v>
      </c>
      <c r="F114" s="4" t="s">
        <v>26</v>
      </c>
      <c r="G114" s="4">
        <v>74200</v>
      </c>
      <c r="H114" s="4" t="str">
        <f>CONCATENATE(G114,55)</f>
        <v>7420055</v>
      </c>
      <c r="I114" s="5">
        <v>45901</v>
      </c>
      <c r="J114" s="5">
        <v>45905</v>
      </c>
      <c r="K114" s="4" t="s">
        <v>15</v>
      </c>
      <c r="L114" s="4" t="s">
        <v>98</v>
      </c>
      <c r="M114" s="4">
        <v>117.67</v>
      </c>
      <c r="N114" s="4" t="s">
        <v>158</v>
      </c>
      <c r="O114" s="4" t="s">
        <v>160</v>
      </c>
      <c r="P114" s="4">
        <v>117.67</v>
      </c>
    </row>
    <row r="115" spans="1:18" x14ac:dyDescent="0.25">
      <c r="A115" s="4" t="s">
        <v>61</v>
      </c>
      <c r="B115" s="4">
        <v>21618313</v>
      </c>
      <c r="C115" s="4" t="s">
        <v>62</v>
      </c>
      <c r="D115" s="4" t="s">
        <v>63</v>
      </c>
      <c r="E115" s="4" t="str">
        <f>CONCATENATE(C115, " ",D115)</f>
        <v>Diane Brackbill</v>
      </c>
      <c r="F115" s="4" t="s">
        <v>64</v>
      </c>
      <c r="G115" s="4">
        <v>87700</v>
      </c>
      <c r="H115" s="4" t="str">
        <f>CONCATENATE(G115,55)</f>
        <v>8770055</v>
      </c>
      <c r="I115" s="5">
        <v>45901</v>
      </c>
      <c r="J115" s="5">
        <v>45905</v>
      </c>
      <c r="K115" s="4" t="s">
        <v>15</v>
      </c>
      <c r="L115" s="4" t="s">
        <v>119</v>
      </c>
      <c r="M115" s="6">
        <v>117.66</v>
      </c>
      <c r="N115" s="4" t="s">
        <v>158</v>
      </c>
      <c r="O115" s="4" t="s">
        <v>160</v>
      </c>
    </row>
    <row r="116" spans="1:18" x14ac:dyDescent="0.25">
      <c r="A116" s="4" t="s">
        <v>61</v>
      </c>
      <c r="B116" s="4">
        <v>21618313</v>
      </c>
      <c r="C116" s="4" t="s">
        <v>62</v>
      </c>
      <c r="D116" s="4" t="s">
        <v>63</v>
      </c>
      <c r="E116" s="4" t="str">
        <f>CONCATENATE(C116, " ",D116)</f>
        <v>Diane Brackbill</v>
      </c>
      <c r="F116" s="4" t="s">
        <v>64</v>
      </c>
      <c r="G116" s="4">
        <v>87700</v>
      </c>
      <c r="H116" s="4" t="str">
        <f>CONCATENATE(G116,55)</f>
        <v>8770055</v>
      </c>
      <c r="I116" s="5">
        <v>45901</v>
      </c>
      <c r="J116" s="5">
        <v>45905</v>
      </c>
      <c r="K116" s="4" t="s">
        <v>15</v>
      </c>
      <c r="L116" s="4" t="s">
        <v>97</v>
      </c>
      <c r="M116" s="6">
        <v>-117.66</v>
      </c>
      <c r="N116" s="4" t="s">
        <v>158</v>
      </c>
      <c r="O116" s="4" t="s">
        <v>160</v>
      </c>
    </row>
    <row r="117" spans="1:18" x14ac:dyDescent="0.25">
      <c r="A117" s="4" t="s">
        <v>65</v>
      </c>
      <c r="B117" s="7" t="s">
        <v>168</v>
      </c>
      <c r="C117" s="4" t="s">
        <v>72</v>
      </c>
      <c r="D117" s="4" t="s">
        <v>73</v>
      </c>
      <c r="E117" s="4" t="str">
        <f>CONCATENATE(C117, " ",D117)</f>
        <v>Elaine Wasko</v>
      </c>
      <c r="F117" s="4" t="s">
        <v>74</v>
      </c>
      <c r="G117" s="4">
        <v>88580</v>
      </c>
      <c r="H117" s="4" t="str">
        <f>CONCATENATE(G117,55)</f>
        <v>8858055</v>
      </c>
      <c r="I117" s="5">
        <v>45962</v>
      </c>
      <c r="J117" s="5">
        <v>45905</v>
      </c>
      <c r="K117" s="4" t="s">
        <v>15</v>
      </c>
      <c r="L117" s="4" t="s">
        <v>123</v>
      </c>
      <c r="M117" s="6">
        <v>58.83</v>
      </c>
      <c r="N117" s="4" t="s">
        <v>158</v>
      </c>
      <c r="O117" s="4" t="s">
        <v>161</v>
      </c>
    </row>
    <row r="118" spans="1:18" x14ac:dyDescent="0.25">
      <c r="A118" s="4" t="s">
        <v>65</v>
      </c>
      <c r="B118" s="7" t="s">
        <v>168</v>
      </c>
      <c r="C118" s="4" t="s">
        <v>69</v>
      </c>
      <c r="D118" s="4" t="s">
        <v>145</v>
      </c>
      <c r="E118" s="4" t="str">
        <f>CONCATENATE(C118, " ",D118)</f>
        <v>Richard Hartman</v>
      </c>
      <c r="F118" s="4" t="s">
        <v>146</v>
      </c>
      <c r="G118" s="4">
        <v>6530</v>
      </c>
      <c r="H118" s="4" t="str">
        <f>CONCATENATE(G118,55)</f>
        <v>653055</v>
      </c>
      <c r="I118" s="5">
        <v>45962</v>
      </c>
      <c r="J118" s="5">
        <v>45905</v>
      </c>
      <c r="K118" s="4" t="s">
        <v>15</v>
      </c>
      <c r="L118" s="4" t="s">
        <v>123</v>
      </c>
      <c r="M118" s="6">
        <v>58.83</v>
      </c>
      <c r="N118" s="4" t="s">
        <v>158</v>
      </c>
      <c r="O118" s="4" t="s">
        <v>161</v>
      </c>
    </row>
    <row r="119" spans="1:18" s="7" customFormat="1" x14ac:dyDescent="0.25">
      <c r="A119" s="4" t="s">
        <v>65</v>
      </c>
      <c r="B119" s="7" t="s">
        <v>168</v>
      </c>
      <c r="C119" s="4" t="s">
        <v>72</v>
      </c>
      <c r="D119" s="4" t="s">
        <v>73</v>
      </c>
      <c r="E119" s="4" t="str">
        <f>CONCATENATE(C119, " ",D119)</f>
        <v>Elaine Wasko</v>
      </c>
      <c r="F119" s="4" t="s">
        <v>74</v>
      </c>
      <c r="G119" s="4">
        <v>88580</v>
      </c>
      <c r="H119" s="4" t="str">
        <f>CONCATENATE(G119,55)</f>
        <v>8858055</v>
      </c>
      <c r="I119" s="5">
        <v>45962</v>
      </c>
      <c r="J119" s="5">
        <v>45905</v>
      </c>
      <c r="K119" s="4" t="s">
        <v>15</v>
      </c>
      <c r="L119" s="4" t="s">
        <v>101</v>
      </c>
      <c r="M119" s="6">
        <v>-58.83</v>
      </c>
      <c r="N119" s="4" t="s">
        <v>158</v>
      </c>
      <c r="O119" s="4" t="s">
        <v>161</v>
      </c>
      <c r="P119" s="4"/>
      <c r="Q119" s="4"/>
      <c r="R119" s="4"/>
    </row>
    <row r="120" spans="1:18" s="7" customFormat="1" x14ac:dyDescent="0.25">
      <c r="A120" s="4" t="s">
        <v>65</v>
      </c>
      <c r="B120" s="7" t="s">
        <v>168</v>
      </c>
      <c r="C120" s="4" t="s">
        <v>147</v>
      </c>
      <c r="D120" s="4" t="s">
        <v>73</v>
      </c>
      <c r="E120" s="4" t="str">
        <f>CONCATENATE(C120, " ",D120)</f>
        <v>Daniel Wasko</v>
      </c>
      <c r="F120" s="4" t="s">
        <v>148</v>
      </c>
      <c r="G120" s="4">
        <v>11490</v>
      </c>
      <c r="H120" s="4" t="str">
        <f>CONCATENATE(G120,55)</f>
        <v>1149055</v>
      </c>
      <c r="I120" s="5">
        <v>45931</v>
      </c>
      <c r="J120" s="5">
        <v>45905</v>
      </c>
      <c r="K120" s="4" t="s">
        <v>15</v>
      </c>
      <c r="L120" s="4" t="s">
        <v>124</v>
      </c>
      <c r="M120" s="6">
        <v>88.25</v>
      </c>
      <c r="N120" s="4" t="s">
        <v>158</v>
      </c>
      <c r="O120" s="4" t="s">
        <v>162</v>
      </c>
      <c r="P120" s="4"/>
      <c r="Q120" s="4"/>
      <c r="R120" s="4"/>
    </row>
    <row r="121" spans="1:18" s="7" customFormat="1" x14ac:dyDescent="0.25">
      <c r="A121" s="4" t="s">
        <v>65</v>
      </c>
      <c r="B121" s="7" t="s">
        <v>168</v>
      </c>
      <c r="C121" s="4" t="s">
        <v>66</v>
      </c>
      <c r="D121" s="4" t="s">
        <v>67</v>
      </c>
      <c r="E121" s="4" t="str">
        <f>CONCATENATE(C121, " ",D121)</f>
        <v>Eric Rupert</v>
      </c>
      <c r="F121" s="4" t="s">
        <v>68</v>
      </c>
      <c r="G121" s="4">
        <v>81990</v>
      </c>
      <c r="H121" s="4" t="str">
        <f>CONCATENATE(G121,55)</f>
        <v>8199055</v>
      </c>
      <c r="I121" s="5">
        <v>45901</v>
      </c>
      <c r="J121" s="5">
        <v>45905</v>
      </c>
      <c r="K121" s="4" t="s">
        <v>15</v>
      </c>
      <c r="L121" s="4" t="s">
        <v>119</v>
      </c>
      <c r="M121" s="6">
        <v>117.66</v>
      </c>
      <c r="N121" s="4" t="s">
        <v>158</v>
      </c>
      <c r="O121" s="4" t="s">
        <v>160</v>
      </c>
      <c r="P121" s="4"/>
      <c r="Q121" s="4"/>
      <c r="R121" s="4"/>
    </row>
    <row r="122" spans="1:18" s="7" customFormat="1" x14ac:dyDescent="0.25">
      <c r="A122" s="4" t="s">
        <v>65</v>
      </c>
      <c r="B122" s="7" t="s">
        <v>168</v>
      </c>
      <c r="C122" s="4" t="s">
        <v>66</v>
      </c>
      <c r="D122" s="4" t="s">
        <v>67</v>
      </c>
      <c r="E122" s="4" t="str">
        <f>CONCATENATE(C122, " ",D122)</f>
        <v>Eric Rupert</v>
      </c>
      <c r="F122" s="4" t="s">
        <v>68</v>
      </c>
      <c r="G122" s="4">
        <v>81990</v>
      </c>
      <c r="H122" s="4" t="str">
        <f>CONCATENATE(G122,55)</f>
        <v>8199055</v>
      </c>
      <c r="I122" s="5">
        <v>45901</v>
      </c>
      <c r="J122" s="5">
        <v>45905</v>
      </c>
      <c r="K122" s="4" t="s">
        <v>15</v>
      </c>
      <c r="L122" s="4" t="s">
        <v>97</v>
      </c>
      <c r="M122" s="6">
        <v>-117.66</v>
      </c>
      <c r="N122" s="4" t="s">
        <v>158</v>
      </c>
      <c r="O122" s="4" t="s">
        <v>160</v>
      </c>
      <c r="P122" s="4"/>
      <c r="Q122" s="4"/>
      <c r="R122" s="4"/>
    </row>
    <row r="123" spans="1:18" x14ac:dyDescent="0.25">
      <c r="A123" s="4" t="s">
        <v>65</v>
      </c>
      <c r="B123" s="7" t="s">
        <v>168</v>
      </c>
      <c r="C123" s="4" t="s">
        <v>69</v>
      </c>
      <c r="D123" s="4" t="s">
        <v>70</v>
      </c>
      <c r="E123" s="4" t="str">
        <f>CONCATENATE(C123, " ",D123)</f>
        <v>Richard Ryan</v>
      </c>
      <c r="F123" s="4" t="s">
        <v>71</v>
      </c>
      <c r="G123" s="4">
        <v>93110</v>
      </c>
      <c r="H123" s="4" t="str">
        <f>CONCATENATE(G123,55)</f>
        <v>9311055</v>
      </c>
      <c r="I123" s="5">
        <v>45870</v>
      </c>
      <c r="J123" s="5">
        <v>45905</v>
      </c>
      <c r="K123" s="4" t="s">
        <v>15</v>
      </c>
      <c r="L123" s="4" t="s">
        <v>121</v>
      </c>
      <c r="M123" s="6">
        <v>147.08000000000001</v>
      </c>
      <c r="N123" s="4" t="s">
        <v>158</v>
      </c>
      <c r="O123" s="4" t="s">
        <v>163</v>
      </c>
    </row>
    <row r="124" spans="1:18" x14ac:dyDescent="0.25">
      <c r="A124" s="4" t="s">
        <v>65</v>
      </c>
      <c r="B124" s="7" t="s">
        <v>168</v>
      </c>
      <c r="C124" s="4" t="s">
        <v>69</v>
      </c>
      <c r="D124" s="4" t="s">
        <v>70</v>
      </c>
      <c r="E124" s="4" t="str">
        <f>CONCATENATE(C124, " ",D124)</f>
        <v>Richard Ryan</v>
      </c>
      <c r="F124" s="4" t="s">
        <v>71</v>
      </c>
      <c r="G124" s="4">
        <v>93110</v>
      </c>
      <c r="H124" s="4" t="str">
        <f>CONCATENATE(G124,55)</f>
        <v>9311055</v>
      </c>
      <c r="I124" s="5">
        <v>45870</v>
      </c>
      <c r="J124" s="5">
        <v>45905</v>
      </c>
      <c r="K124" s="4" t="s">
        <v>15</v>
      </c>
      <c r="L124" s="4" t="s">
        <v>99</v>
      </c>
      <c r="M124" s="6">
        <v>-147.08000000000001</v>
      </c>
      <c r="N124" s="4" t="s">
        <v>158</v>
      </c>
      <c r="O124" s="4" t="s">
        <v>163</v>
      </c>
    </row>
    <row r="125" spans="1:18" x14ac:dyDescent="0.25">
      <c r="A125" s="4" t="s">
        <v>65</v>
      </c>
      <c r="B125" s="7" t="s">
        <v>168</v>
      </c>
      <c r="C125" s="4" t="s">
        <v>69</v>
      </c>
      <c r="D125" s="4" t="s">
        <v>70</v>
      </c>
      <c r="E125" s="4" t="str">
        <f>CONCATENATE(C125, " ",D125)</f>
        <v>Richard Ryan</v>
      </c>
      <c r="F125" s="4" t="s">
        <v>71</v>
      </c>
      <c r="G125" s="4">
        <v>93110</v>
      </c>
      <c r="H125" s="4" t="str">
        <f>CONCATENATE(G125,55)</f>
        <v>9311055</v>
      </c>
      <c r="I125" s="5">
        <v>45870</v>
      </c>
      <c r="J125" s="5">
        <v>45905</v>
      </c>
      <c r="K125" s="4" t="s">
        <v>15</v>
      </c>
      <c r="L125" s="4" t="s">
        <v>122</v>
      </c>
      <c r="M125" s="4">
        <v>-147.08000000000001</v>
      </c>
      <c r="N125" s="4" t="s">
        <v>158</v>
      </c>
      <c r="O125" s="4" t="s">
        <v>163</v>
      </c>
      <c r="P125" s="4">
        <v>-147.08000000000001</v>
      </c>
    </row>
    <row r="126" spans="1:18" x14ac:dyDescent="0.25">
      <c r="A126" s="4" t="s">
        <v>65</v>
      </c>
      <c r="B126" s="7" t="s">
        <v>168</v>
      </c>
      <c r="C126" s="4" t="s">
        <v>69</v>
      </c>
      <c r="D126" s="4" t="s">
        <v>70</v>
      </c>
      <c r="E126" s="4" t="str">
        <f>CONCATENATE(C126, " ",D126)</f>
        <v>Richard Ryan</v>
      </c>
      <c r="F126" s="4" t="s">
        <v>71</v>
      </c>
      <c r="G126" s="4">
        <v>93110</v>
      </c>
      <c r="H126" s="4" t="str">
        <f>CONCATENATE(G126,55)</f>
        <v>9311055</v>
      </c>
      <c r="I126" s="5">
        <v>45870</v>
      </c>
      <c r="J126" s="5">
        <v>45905</v>
      </c>
      <c r="K126" s="4" t="s">
        <v>15</v>
      </c>
      <c r="L126" s="4" t="s">
        <v>100</v>
      </c>
      <c r="M126" s="4">
        <v>147.08000000000001</v>
      </c>
      <c r="N126" s="4" t="s">
        <v>158</v>
      </c>
      <c r="O126" s="4" t="s">
        <v>163</v>
      </c>
      <c r="P126" s="4">
        <v>147.08000000000001</v>
      </c>
    </row>
    <row r="127" spans="1:18" s="7" customFormat="1" x14ac:dyDescent="0.25">
      <c r="A127" s="4" t="s">
        <v>65</v>
      </c>
      <c r="B127" s="7" t="s">
        <v>168</v>
      </c>
      <c r="C127" s="4" t="s">
        <v>66</v>
      </c>
      <c r="D127" s="4" t="s">
        <v>67</v>
      </c>
      <c r="E127" s="4" t="str">
        <f>CONCATENATE(C127, " ",D127)</f>
        <v>Eric Rupert</v>
      </c>
      <c r="F127" s="4" t="s">
        <v>68</v>
      </c>
      <c r="G127" s="4">
        <v>81990</v>
      </c>
      <c r="H127" s="4" t="str">
        <f>CONCATENATE(G127,55)</f>
        <v>8199055</v>
      </c>
      <c r="I127" s="5">
        <v>45901</v>
      </c>
      <c r="J127" s="5">
        <v>45905</v>
      </c>
      <c r="K127" s="4" t="s">
        <v>15</v>
      </c>
      <c r="L127" s="4" t="s">
        <v>120</v>
      </c>
      <c r="M127" s="4">
        <v>-117.67</v>
      </c>
      <c r="N127" s="4" t="s">
        <v>158</v>
      </c>
      <c r="O127" s="4" t="s">
        <v>160</v>
      </c>
      <c r="P127" s="4">
        <v>-117.67</v>
      </c>
      <c r="Q127" s="4"/>
      <c r="R127" s="4"/>
    </row>
    <row r="128" spans="1:18" s="7" customFormat="1" x14ac:dyDescent="0.25">
      <c r="A128" s="4" t="s">
        <v>65</v>
      </c>
      <c r="B128" s="7" t="s">
        <v>168</v>
      </c>
      <c r="C128" s="4" t="s">
        <v>66</v>
      </c>
      <c r="D128" s="4" t="s">
        <v>67</v>
      </c>
      <c r="E128" s="4" t="str">
        <f>CONCATENATE(C128, " ",D128)</f>
        <v>Eric Rupert</v>
      </c>
      <c r="F128" s="4" t="s">
        <v>68</v>
      </c>
      <c r="G128" s="4">
        <v>81990</v>
      </c>
      <c r="H128" s="4" t="str">
        <f>CONCATENATE(G128,55)</f>
        <v>8199055</v>
      </c>
      <c r="I128" s="5">
        <v>45901</v>
      </c>
      <c r="J128" s="5">
        <v>45905</v>
      </c>
      <c r="K128" s="4" t="s">
        <v>15</v>
      </c>
      <c r="L128" s="4" t="s">
        <v>98</v>
      </c>
      <c r="M128" s="4">
        <v>117.67</v>
      </c>
      <c r="N128" s="4" t="s">
        <v>158</v>
      </c>
      <c r="O128" s="4" t="s">
        <v>160</v>
      </c>
      <c r="P128" s="4">
        <v>117.67</v>
      </c>
      <c r="Q128" s="4"/>
      <c r="R128" s="4"/>
    </row>
    <row r="129" spans="1:18" s="7" customFormat="1" x14ac:dyDescent="0.25">
      <c r="A129" s="4" t="s">
        <v>80</v>
      </c>
      <c r="B129" s="4">
        <v>18794740</v>
      </c>
      <c r="C129" s="4" t="s">
        <v>84</v>
      </c>
      <c r="D129" s="4" t="s">
        <v>85</v>
      </c>
      <c r="E129" s="4" t="str">
        <f>CONCATENATE(C129, " ",D129)</f>
        <v>Forrest Graver</v>
      </c>
      <c r="F129" s="4" t="s">
        <v>86</v>
      </c>
      <c r="G129" s="4">
        <v>66990</v>
      </c>
      <c r="H129" s="4" t="str">
        <f>CONCATENATE(G129,55)</f>
        <v>6699055</v>
      </c>
      <c r="I129" s="5">
        <v>45931</v>
      </c>
      <c r="J129" s="5">
        <v>45905</v>
      </c>
      <c r="K129" s="4" t="s">
        <v>15</v>
      </c>
      <c r="L129" s="4" t="s">
        <v>124</v>
      </c>
      <c r="M129" s="6">
        <v>88.25</v>
      </c>
      <c r="N129" s="4" t="s">
        <v>158</v>
      </c>
      <c r="O129" s="4" t="s">
        <v>162</v>
      </c>
      <c r="P129" s="4"/>
      <c r="Q129" s="4"/>
      <c r="R129" s="4"/>
    </row>
    <row r="130" spans="1:18" s="7" customFormat="1" x14ac:dyDescent="0.25">
      <c r="A130" s="4" t="s">
        <v>80</v>
      </c>
      <c r="B130" s="4">
        <v>18794740</v>
      </c>
      <c r="C130" s="4" t="s">
        <v>149</v>
      </c>
      <c r="D130" s="4" t="s">
        <v>150</v>
      </c>
      <c r="E130" s="4" t="str">
        <f>CONCATENATE(C130, " ",D130)</f>
        <v>Leila Ojeil</v>
      </c>
      <c r="F130" s="4" t="s">
        <v>151</v>
      </c>
      <c r="G130" s="4">
        <v>34090</v>
      </c>
      <c r="H130" s="4" t="str">
        <f>CONCATENATE(G130,55)</f>
        <v>3409055</v>
      </c>
      <c r="I130" s="5">
        <v>45931</v>
      </c>
      <c r="J130" s="5">
        <v>45905</v>
      </c>
      <c r="K130" s="4" t="s">
        <v>15</v>
      </c>
      <c r="L130" s="4" t="s">
        <v>124</v>
      </c>
      <c r="M130" s="6">
        <v>88.25</v>
      </c>
      <c r="N130" s="4" t="s">
        <v>158</v>
      </c>
      <c r="O130" s="4" t="s">
        <v>162</v>
      </c>
      <c r="P130" s="4"/>
      <c r="Q130" s="4"/>
      <c r="R130" s="4"/>
    </row>
    <row r="131" spans="1:18" x14ac:dyDescent="0.25">
      <c r="A131" s="4" t="s">
        <v>80</v>
      </c>
      <c r="B131" s="4">
        <v>18794740</v>
      </c>
      <c r="C131" s="4" t="s">
        <v>84</v>
      </c>
      <c r="D131" s="4" t="s">
        <v>85</v>
      </c>
      <c r="E131" s="4" t="str">
        <f>CONCATENATE(C131, " ",D131)</f>
        <v>Forrest Graver</v>
      </c>
      <c r="F131" s="4" t="s">
        <v>86</v>
      </c>
      <c r="G131" s="4">
        <v>66990</v>
      </c>
      <c r="H131" s="4" t="str">
        <f>CONCATENATE(G131,55)</f>
        <v>6699055</v>
      </c>
      <c r="I131" s="5">
        <v>45931</v>
      </c>
      <c r="J131" s="5">
        <v>45905</v>
      </c>
      <c r="K131" s="4" t="s">
        <v>15</v>
      </c>
      <c r="L131" s="4" t="s">
        <v>102</v>
      </c>
      <c r="M131" s="6">
        <v>-88.25</v>
      </c>
      <c r="N131" s="4" t="s">
        <v>158</v>
      </c>
      <c r="O131" s="4" t="s">
        <v>162</v>
      </c>
    </row>
    <row r="132" spans="1:18" x14ac:dyDescent="0.25">
      <c r="A132" s="4" t="s">
        <v>80</v>
      </c>
      <c r="B132" s="4">
        <v>18794740</v>
      </c>
      <c r="C132" s="4" t="s">
        <v>87</v>
      </c>
      <c r="D132" s="4" t="s">
        <v>88</v>
      </c>
      <c r="E132" s="4" t="str">
        <f>CONCATENATE(C132, " ",D132)</f>
        <v>Irene Hayward</v>
      </c>
      <c r="F132" s="4" t="s">
        <v>89</v>
      </c>
      <c r="G132" s="4">
        <v>71400</v>
      </c>
      <c r="H132" s="4" t="str">
        <f>CONCATENATE(G132,55)</f>
        <v>7140055</v>
      </c>
      <c r="I132" s="5">
        <v>45901</v>
      </c>
      <c r="J132" s="5">
        <v>45905</v>
      </c>
      <c r="K132" s="4" t="s">
        <v>15</v>
      </c>
      <c r="L132" s="4" t="s">
        <v>119</v>
      </c>
      <c r="M132" s="6">
        <v>117.66</v>
      </c>
      <c r="N132" s="4" t="s">
        <v>158</v>
      </c>
      <c r="O132" s="4" t="s">
        <v>160</v>
      </c>
    </row>
    <row r="133" spans="1:18" s="7" customFormat="1" x14ac:dyDescent="0.25">
      <c r="A133" s="4" t="s">
        <v>80</v>
      </c>
      <c r="B133" s="4">
        <v>18794740</v>
      </c>
      <c r="C133" s="4" t="s">
        <v>87</v>
      </c>
      <c r="D133" s="4" t="s">
        <v>88</v>
      </c>
      <c r="E133" s="4" t="str">
        <f>CONCATENATE(C133, " ",D133)</f>
        <v>Irene Hayward</v>
      </c>
      <c r="F133" s="4" t="s">
        <v>89</v>
      </c>
      <c r="G133" s="4">
        <v>71400</v>
      </c>
      <c r="H133" s="4" t="str">
        <f>CONCATENATE(G133,55)</f>
        <v>7140055</v>
      </c>
      <c r="I133" s="5">
        <v>45901</v>
      </c>
      <c r="J133" s="5">
        <v>45905</v>
      </c>
      <c r="K133" s="4" t="s">
        <v>15</v>
      </c>
      <c r="L133" s="4" t="s">
        <v>97</v>
      </c>
      <c r="M133" s="6">
        <v>-117.66</v>
      </c>
      <c r="N133" s="4" t="s">
        <v>158</v>
      </c>
      <c r="O133" s="4" t="s">
        <v>160</v>
      </c>
      <c r="P133" s="4"/>
      <c r="Q133" s="4"/>
      <c r="R133" s="4"/>
    </row>
    <row r="134" spans="1:18" s="7" customFormat="1" x14ac:dyDescent="0.25">
      <c r="A134" s="4" t="s">
        <v>80</v>
      </c>
      <c r="B134" s="4">
        <v>18794740</v>
      </c>
      <c r="C134" s="4" t="s">
        <v>81</v>
      </c>
      <c r="D134" s="4" t="s">
        <v>82</v>
      </c>
      <c r="E134" s="4" t="str">
        <f>CONCATENATE(C134, " ",D134)</f>
        <v>Craig Spragle</v>
      </c>
      <c r="F134" s="4" t="s">
        <v>83</v>
      </c>
      <c r="G134" s="4">
        <v>97130</v>
      </c>
      <c r="H134" s="4" t="str">
        <f>CONCATENATE(G134,55)</f>
        <v>9713055</v>
      </c>
      <c r="I134" s="5">
        <v>45870</v>
      </c>
      <c r="J134" s="5">
        <v>45905</v>
      </c>
      <c r="K134" s="4" t="s">
        <v>15</v>
      </c>
      <c r="L134" s="4" t="s">
        <v>121</v>
      </c>
      <c r="M134" s="6">
        <v>147.08000000000001</v>
      </c>
      <c r="N134" s="4" t="s">
        <v>158</v>
      </c>
      <c r="O134" s="4" t="s">
        <v>163</v>
      </c>
      <c r="P134" s="4"/>
      <c r="Q134" s="4"/>
      <c r="R134" s="4"/>
    </row>
    <row r="135" spans="1:18" x14ac:dyDescent="0.25">
      <c r="A135" s="4" t="s">
        <v>80</v>
      </c>
      <c r="B135" s="4">
        <v>18794740</v>
      </c>
      <c r="C135" s="4" t="s">
        <v>81</v>
      </c>
      <c r="D135" s="4" t="s">
        <v>82</v>
      </c>
      <c r="E135" s="4" t="str">
        <f>CONCATENATE(C135, " ",D135)</f>
        <v>Craig Spragle</v>
      </c>
      <c r="F135" s="4" t="s">
        <v>83</v>
      </c>
      <c r="G135" s="4">
        <v>97130</v>
      </c>
      <c r="H135" s="4" t="str">
        <f>CONCATENATE(G135,55)</f>
        <v>9713055</v>
      </c>
      <c r="I135" s="5">
        <v>45870</v>
      </c>
      <c r="J135" s="5">
        <v>45905</v>
      </c>
      <c r="K135" s="4" t="s">
        <v>15</v>
      </c>
      <c r="L135" s="4" t="s">
        <v>99</v>
      </c>
      <c r="M135" s="6">
        <v>-147.08000000000001</v>
      </c>
      <c r="N135" s="4" t="s">
        <v>158</v>
      </c>
      <c r="O135" s="4" t="s">
        <v>163</v>
      </c>
    </row>
    <row r="136" spans="1:18" x14ac:dyDescent="0.25">
      <c r="A136" s="4" t="s">
        <v>80</v>
      </c>
      <c r="B136" s="4">
        <v>18794740</v>
      </c>
      <c r="C136" s="4" t="s">
        <v>81</v>
      </c>
      <c r="D136" s="4" t="s">
        <v>82</v>
      </c>
      <c r="E136" s="4" t="str">
        <f>CONCATENATE(C136, " ",D136)</f>
        <v>Craig Spragle</v>
      </c>
      <c r="F136" s="4" t="s">
        <v>83</v>
      </c>
      <c r="G136" s="4">
        <v>97130</v>
      </c>
      <c r="H136" s="4" t="str">
        <f>CONCATENATE(G136,55)</f>
        <v>9713055</v>
      </c>
      <c r="I136" s="5">
        <v>45870</v>
      </c>
      <c r="J136" s="5">
        <v>45905</v>
      </c>
      <c r="K136" s="4" t="s">
        <v>15</v>
      </c>
      <c r="L136" s="4" t="s">
        <v>122</v>
      </c>
      <c r="M136" s="4">
        <v>-147.08000000000001</v>
      </c>
      <c r="N136" s="4" t="s">
        <v>158</v>
      </c>
      <c r="O136" s="4" t="s">
        <v>163</v>
      </c>
      <c r="P136" s="4">
        <v>-147.08000000000001</v>
      </c>
    </row>
    <row r="137" spans="1:18" s="7" customFormat="1" x14ac:dyDescent="0.25">
      <c r="A137" s="4" t="s">
        <v>80</v>
      </c>
      <c r="B137" s="4">
        <v>18794740</v>
      </c>
      <c r="C137" s="4" t="s">
        <v>81</v>
      </c>
      <c r="D137" s="4" t="s">
        <v>82</v>
      </c>
      <c r="E137" s="4" t="str">
        <f>CONCATENATE(C137, " ",D137)</f>
        <v>Craig Spragle</v>
      </c>
      <c r="F137" s="4" t="s">
        <v>83</v>
      </c>
      <c r="G137" s="4">
        <v>97130</v>
      </c>
      <c r="H137" s="4" t="str">
        <f>CONCATENATE(G137,55)</f>
        <v>9713055</v>
      </c>
      <c r="I137" s="5">
        <v>45870</v>
      </c>
      <c r="J137" s="5">
        <v>45905</v>
      </c>
      <c r="K137" s="4" t="s">
        <v>15</v>
      </c>
      <c r="L137" s="4" t="s">
        <v>100</v>
      </c>
      <c r="M137" s="4">
        <v>147.08000000000001</v>
      </c>
      <c r="N137" s="4" t="s">
        <v>158</v>
      </c>
      <c r="O137" s="4" t="s">
        <v>163</v>
      </c>
      <c r="P137" s="4">
        <v>147.08000000000001</v>
      </c>
      <c r="Q137" s="4"/>
      <c r="R137" s="4"/>
    </row>
    <row r="138" spans="1:18" s="7" customFormat="1" x14ac:dyDescent="0.25">
      <c r="A138" s="4" t="s">
        <v>125</v>
      </c>
      <c r="B138" s="4">
        <v>8971826</v>
      </c>
      <c r="C138" s="4" t="s">
        <v>126</v>
      </c>
      <c r="D138" s="4" t="s">
        <v>127</v>
      </c>
      <c r="E138" s="4" t="str">
        <f>CONCATENATE(C138, " ",D138)</f>
        <v>Candi Mengel</v>
      </c>
      <c r="F138" s="4" t="s">
        <v>128</v>
      </c>
      <c r="G138" s="4">
        <v>5240</v>
      </c>
      <c r="H138" s="4" t="str">
        <f>CONCATENATE(G138,55)</f>
        <v>524055</v>
      </c>
      <c r="I138" s="5">
        <v>45901</v>
      </c>
      <c r="J138" s="5">
        <v>45905</v>
      </c>
      <c r="K138" s="4" t="s">
        <v>15</v>
      </c>
      <c r="L138" s="4" t="s">
        <v>119</v>
      </c>
      <c r="M138" s="6">
        <v>117.66</v>
      </c>
      <c r="N138" s="4" t="s">
        <v>158</v>
      </c>
      <c r="O138" s="4" t="s">
        <v>160</v>
      </c>
      <c r="P138" s="4"/>
      <c r="Q138" s="4"/>
      <c r="R138" s="4"/>
    </row>
  </sheetData>
  <sortState xmlns:xlrd2="http://schemas.microsoft.com/office/spreadsheetml/2017/richdata2" ref="A2:R138">
    <sortCondition ref="N2:N13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302A-6314-4063-B077-F3A8FBCE6937}">
  <dimension ref="A1:B125"/>
  <sheetViews>
    <sheetView topLeftCell="A86" workbookViewId="0">
      <selection activeCell="B1" sqref="B1:B125"/>
    </sheetView>
  </sheetViews>
  <sheetFormatPr defaultRowHeight="15" x14ac:dyDescent="0.25"/>
  <sheetData>
    <row r="1" spans="1:2" x14ac:dyDescent="0.25">
      <c r="A1" s="3" t="s">
        <v>159</v>
      </c>
      <c r="B1">
        <v>20230</v>
      </c>
    </row>
    <row r="2" spans="1:2" x14ac:dyDescent="0.25">
      <c r="A2" s="3" t="s">
        <v>159</v>
      </c>
      <c r="B2">
        <v>19440</v>
      </c>
    </row>
    <row r="3" spans="1:2" x14ac:dyDescent="0.25">
      <c r="A3" s="3" t="s">
        <v>159</v>
      </c>
      <c r="B3">
        <v>20230</v>
      </c>
    </row>
    <row r="4" spans="1:2" x14ac:dyDescent="0.25">
      <c r="A4" s="3" t="s">
        <v>159</v>
      </c>
      <c r="B4">
        <v>91260</v>
      </c>
    </row>
    <row r="5" spans="1:2" x14ac:dyDescent="0.25">
      <c r="A5" s="3" t="s">
        <v>159</v>
      </c>
      <c r="B5">
        <v>91260</v>
      </c>
    </row>
    <row r="6" spans="1:2" x14ac:dyDescent="0.25">
      <c r="A6" s="3" t="s">
        <v>159</v>
      </c>
      <c r="B6">
        <v>67170</v>
      </c>
    </row>
    <row r="7" spans="1:2" x14ac:dyDescent="0.25">
      <c r="A7" s="3" t="s">
        <v>159</v>
      </c>
      <c r="B7">
        <v>67170</v>
      </c>
    </row>
    <row r="8" spans="1:2" x14ac:dyDescent="0.25">
      <c r="A8" s="3" t="s">
        <v>159</v>
      </c>
      <c r="B8">
        <v>91260</v>
      </c>
    </row>
    <row r="9" spans="1:2" x14ac:dyDescent="0.25">
      <c r="A9" s="3" t="s">
        <v>159</v>
      </c>
      <c r="B9">
        <v>91260</v>
      </c>
    </row>
    <row r="10" spans="1:2" x14ac:dyDescent="0.25">
      <c r="A10" s="3" t="s">
        <v>159</v>
      </c>
      <c r="B10">
        <v>640</v>
      </c>
    </row>
    <row r="11" spans="1:2" x14ac:dyDescent="0.25">
      <c r="A11" s="3" t="s">
        <v>159</v>
      </c>
      <c r="B11">
        <v>640</v>
      </c>
    </row>
    <row r="12" spans="1:2" x14ac:dyDescent="0.25">
      <c r="A12" s="3" t="s">
        <v>159</v>
      </c>
      <c r="B12">
        <v>45790</v>
      </c>
    </row>
    <row r="13" spans="1:2" x14ac:dyDescent="0.25">
      <c r="A13" s="3" t="s">
        <v>159</v>
      </c>
      <c r="B13">
        <v>81290</v>
      </c>
    </row>
    <row r="14" spans="1:2" x14ac:dyDescent="0.25">
      <c r="A14" s="3" t="s">
        <v>159</v>
      </c>
      <c r="B14">
        <v>37270</v>
      </c>
    </row>
    <row r="15" spans="1:2" x14ac:dyDescent="0.25">
      <c r="A15" s="3" t="s">
        <v>159</v>
      </c>
      <c r="B15">
        <v>45790</v>
      </c>
    </row>
    <row r="16" spans="1:2" x14ac:dyDescent="0.25">
      <c r="A16" s="3" t="s">
        <v>159</v>
      </c>
      <c r="B16">
        <v>81290</v>
      </c>
    </row>
    <row r="17" spans="1:2" x14ac:dyDescent="0.25">
      <c r="A17" s="3" t="s">
        <v>159</v>
      </c>
      <c r="B17">
        <v>37270</v>
      </c>
    </row>
    <row r="18" spans="1:2" x14ac:dyDescent="0.25">
      <c r="A18" s="3" t="s">
        <v>159</v>
      </c>
      <c r="B18">
        <v>59760</v>
      </c>
    </row>
    <row r="19" spans="1:2" x14ac:dyDescent="0.25">
      <c r="A19" s="3" t="s">
        <v>159</v>
      </c>
      <c r="B19">
        <v>59760</v>
      </c>
    </row>
    <row r="20" spans="1:2" x14ac:dyDescent="0.25">
      <c r="A20" s="3" t="s">
        <v>159</v>
      </c>
      <c r="B20">
        <v>49730</v>
      </c>
    </row>
    <row r="21" spans="1:2" x14ac:dyDescent="0.25">
      <c r="A21" s="3" t="s">
        <v>159</v>
      </c>
      <c r="B21">
        <v>49730</v>
      </c>
    </row>
    <row r="22" spans="1:2" x14ac:dyDescent="0.25">
      <c r="A22" s="3" t="s">
        <v>159</v>
      </c>
      <c r="B22">
        <v>55510</v>
      </c>
    </row>
    <row r="23" spans="1:2" x14ac:dyDescent="0.25">
      <c r="A23" s="3" t="s">
        <v>159</v>
      </c>
      <c r="B23">
        <v>93110</v>
      </c>
    </row>
    <row r="24" spans="1:2" x14ac:dyDescent="0.25">
      <c r="A24" s="3" t="s">
        <v>159</v>
      </c>
      <c r="B24">
        <v>97130</v>
      </c>
    </row>
    <row r="25" spans="1:2" x14ac:dyDescent="0.25">
      <c r="A25" s="3" t="s">
        <v>159</v>
      </c>
      <c r="B25">
        <v>55510</v>
      </c>
    </row>
    <row r="26" spans="1:2" x14ac:dyDescent="0.25">
      <c r="A26" s="3" t="s">
        <v>159</v>
      </c>
      <c r="B26">
        <v>93110</v>
      </c>
    </row>
    <row r="27" spans="1:2" x14ac:dyDescent="0.25">
      <c r="A27" s="3" t="s">
        <v>159</v>
      </c>
      <c r="B27">
        <v>97130</v>
      </c>
    </row>
    <row r="28" spans="1:2" x14ac:dyDescent="0.25">
      <c r="A28" s="3" t="s">
        <v>159</v>
      </c>
      <c r="B28">
        <v>74200</v>
      </c>
    </row>
    <row r="29" spans="1:2" x14ac:dyDescent="0.25">
      <c r="A29" s="3" t="s">
        <v>159</v>
      </c>
      <c r="B29">
        <v>81990</v>
      </c>
    </row>
    <row r="30" spans="1:2" x14ac:dyDescent="0.25">
      <c r="A30" s="3" t="s">
        <v>159</v>
      </c>
      <c r="B30">
        <v>74200</v>
      </c>
    </row>
    <row r="31" spans="1:2" x14ac:dyDescent="0.25">
      <c r="A31" s="3" t="s">
        <v>159</v>
      </c>
      <c r="B31">
        <v>81990</v>
      </c>
    </row>
    <row r="32" spans="1:2" x14ac:dyDescent="0.25">
      <c r="A32" s="3" t="s">
        <v>159</v>
      </c>
      <c r="B32">
        <v>88580</v>
      </c>
    </row>
    <row r="33" spans="1:2" x14ac:dyDescent="0.25">
      <c r="A33" s="3" t="s">
        <v>159</v>
      </c>
      <c r="B33">
        <v>34550</v>
      </c>
    </row>
    <row r="34" spans="1:2" x14ac:dyDescent="0.25">
      <c r="A34" s="3" t="s">
        <v>159</v>
      </c>
      <c r="B34">
        <v>6530</v>
      </c>
    </row>
    <row r="35" spans="1:2" x14ac:dyDescent="0.25">
      <c r="A35" s="3" t="s">
        <v>159</v>
      </c>
      <c r="B35">
        <v>88580</v>
      </c>
    </row>
    <row r="36" spans="1:2" x14ac:dyDescent="0.25">
      <c r="A36" s="3" t="s">
        <v>159</v>
      </c>
      <c r="B36">
        <v>49730</v>
      </c>
    </row>
    <row r="37" spans="1:2" x14ac:dyDescent="0.25">
      <c r="A37" s="3" t="s">
        <v>159</v>
      </c>
      <c r="B37">
        <v>66990</v>
      </c>
    </row>
    <row r="38" spans="1:2" x14ac:dyDescent="0.25">
      <c r="A38" s="3" t="s">
        <v>159</v>
      </c>
      <c r="B38">
        <v>69910</v>
      </c>
    </row>
    <row r="39" spans="1:2" x14ac:dyDescent="0.25">
      <c r="A39" s="3" t="s">
        <v>159</v>
      </c>
      <c r="B39">
        <v>11490</v>
      </c>
    </row>
    <row r="40" spans="1:2" x14ac:dyDescent="0.25">
      <c r="A40" s="3" t="s">
        <v>159</v>
      </c>
      <c r="B40">
        <v>34090</v>
      </c>
    </row>
    <row r="41" spans="1:2" x14ac:dyDescent="0.25">
      <c r="A41" s="3" t="s">
        <v>159</v>
      </c>
      <c r="B41">
        <v>49730</v>
      </c>
    </row>
    <row r="42" spans="1:2" x14ac:dyDescent="0.25">
      <c r="A42" s="3" t="s">
        <v>159</v>
      </c>
      <c r="B42">
        <v>66990</v>
      </c>
    </row>
    <row r="43" spans="1:2" x14ac:dyDescent="0.25">
      <c r="A43" s="3" t="s">
        <v>159</v>
      </c>
      <c r="B43">
        <v>74200</v>
      </c>
    </row>
    <row r="44" spans="1:2" x14ac:dyDescent="0.25">
      <c r="A44" s="3" t="s">
        <v>159</v>
      </c>
      <c r="B44">
        <v>87700</v>
      </c>
    </row>
    <row r="45" spans="1:2" x14ac:dyDescent="0.25">
      <c r="A45" s="3" t="s">
        <v>159</v>
      </c>
      <c r="B45">
        <v>81990</v>
      </c>
    </row>
    <row r="46" spans="1:2" x14ac:dyDescent="0.25">
      <c r="A46" s="3" t="s">
        <v>159</v>
      </c>
      <c r="B46">
        <v>71400</v>
      </c>
    </row>
    <row r="47" spans="1:2" x14ac:dyDescent="0.25">
      <c r="A47" s="3" t="s">
        <v>159</v>
      </c>
      <c r="B47">
        <v>5240</v>
      </c>
    </row>
    <row r="48" spans="1:2" x14ac:dyDescent="0.25">
      <c r="A48" s="3" t="s">
        <v>159</v>
      </c>
      <c r="B48">
        <v>4770</v>
      </c>
    </row>
    <row r="49" spans="1:2" x14ac:dyDescent="0.25">
      <c r="A49" s="3" t="s">
        <v>159</v>
      </c>
      <c r="B49">
        <v>61770</v>
      </c>
    </row>
    <row r="50" spans="1:2" x14ac:dyDescent="0.25">
      <c r="A50" s="3" t="s">
        <v>159</v>
      </c>
      <c r="B50">
        <v>74200</v>
      </c>
    </row>
    <row r="51" spans="1:2" x14ac:dyDescent="0.25">
      <c r="A51" s="3" t="s">
        <v>159</v>
      </c>
      <c r="B51">
        <v>87700</v>
      </c>
    </row>
    <row r="52" spans="1:2" x14ac:dyDescent="0.25">
      <c r="A52" s="3" t="s">
        <v>159</v>
      </c>
      <c r="B52">
        <v>81990</v>
      </c>
    </row>
    <row r="53" spans="1:2" x14ac:dyDescent="0.25">
      <c r="A53" s="3" t="s">
        <v>159</v>
      </c>
      <c r="B53">
        <v>71400</v>
      </c>
    </row>
    <row r="54" spans="1:2" x14ac:dyDescent="0.25">
      <c r="A54" s="3" t="s">
        <v>159</v>
      </c>
      <c r="B54">
        <v>52560</v>
      </c>
    </row>
    <row r="55" spans="1:2" x14ac:dyDescent="0.25">
      <c r="A55" s="3" t="s">
        <v>159</v>
      </c>
      <c r="B55">
        <v>59760</v>
      </c>
    </row>
    <row r="56" spans="1:2" x14ac:dyDescent="0.25">
      <c r="A56" s="3" t="s">
        <v>159</v>
      </c>
      <c r="B56">
        <v>55510</v>
      </c>
    </row>
    <row r="57" spans="1:2" x14ac:dyDescent="0.25">
      <c r="A57" s="3" t="s">
        <v>159</v>
      </c>
      <c r="B57">
        <v>59760</v>
      </c>
    </row>
    <row r="58" spans="1:2" x14ac:dyDescent="0.25">
      <c r="A58" s="3" t="s">
        <v>159</v>
      </c>
      <c r="B58">
        <v>47880</v>
      </c>
    </row>
    <row r="59" spans="1:2" x14ac:dyDescent="0.25">
      <c r="A59" s="3" t="s">
        <v>159</v>
      </c>
      <c r="B59">
        <v>47890</v>
      </c>
    </row>
    <row r="60" spans="1:2" x14ac:dyDescent="0.25">
      <c r="A60" s="3" t="s">
        <v>159</v>
      </c>
      <c r="B60">
        <v>93110</v>
      </c>
    </row>
    <row r="61" spans="1:2" x14ac:dyDescent="0.25">
      <c r="A61" s="3" t="s">
        <v>159</v>
      </c>
      <c r="B61">
        <v>97130</v>
      </c>
    </row>
    <row r="62" spans="1:2" x14ac:dyDescent="0.25">
      <c r="A62" s="3" t="s">
        <v>159</v>
      </c>
      <c r="B62">
        <v>55510</v>
      </c>
    </row>
    <row r="63" spans="1:2" x14ac:dyDescent="0.25">
      <c r="A63" s="3" t="s">
        <v>159</v>
      </c>
      <c r="B63">
        <v>59760</v>
      </c>
    </row>
    <row r="64" spans="1:2" x14ac:dyDescent="0.25">
      <c r="A64" s="3" t="s">
        <v>159</v>
      </c>
      <c r="B64">
        <v>47880</v>
      </c>
    </row>
    <row r="65" spans="1:2" x14ac:dyDescent="0.25">
      <c r="A65" s="3" t="s">
        <v>159</v>
      </c>
      <c r="B65">
        <v>47890</v>
      </c>
    </row>
    <row r="66" spans="1:2" x14ac:dyDescent="0.25">
      <c r="A66" s="3" t="s">
        <v>159</v>
      </c>
      <c r="B66">
        <v>93110</v>
      </c>
    </row>
    <row r="67" spans="1:2" x14ac:dyDescent="0.25">
      <c r="A67" s="3" t="s">
        <v>159</v>
      </c>
      <c r="B67">
        <v>97130</v>
      </c>
    </row>
    <row r="68" spans="1:2" x14ac:dyDescent="0.25">
      <c r="A68" s="3" t="s">
        <v>159</v>
      </c>
      <c r="B68">
        <v>59760</v>
      </c>
    </row>
    <row r="69" spans="1:2" x14ac:dyDescent="0.25">
      <c r="A69" s="4" t="s">
        <v>159</v>
      </c>
      <c r="B69">
        <v>13020</v>
      </c>
    </row>
    <row r="70" spans="1:2" x14ac:dyDescent="0.25">
      <c r="A70" s="4" t="s">
        <v>159</v>
      </c>
      <c r="B70">
        <v>13020</v>
      </c>
    </row>
    <row r="71" spans="1:2" x14ac:dyDescent="0.25">
      <c r="A71" s="4" t="s">
        <v>159</v>
      </c>
      <c r="B71">
        <v>13020</v>
      </c>
    </row>
    <row r="72" spans="1:2" x14ac:dyDescent="0.25">
      <c r="A72" s="4" t="s">
        <v>159</v>
      </c>
      <c r="B72">
        <v>13020</v>
      </c>
    </row>
    <row r="73" spans="1:2" x14ac:dyDescent="0.25">
      <c r="A73" s="4" t="s">
        <v>159</v>
      </c>
      <c r="B73">
        <v>45790</v>
      </c>
    </row>
    <row r="74" spans="1:2" x14ac:dyDescent="0.25">
      <c r="A74" s="4" t="s">
        <v>159</v>
      </c>
      <c r="B74">
        <v>81290</v>
      </c>
    </row>
    <row r="75" spans="1:2" x14ac:dyDescent="0.25">
      <c r="A75" s="4" t="s">
        <v>159</v>
      </c>
      <c r="B75">
        <v>37270</v>
      </c>
    </row>
    <row r="76" spans="1:2" x14ac:dyDescent="0.25">
      <c r="A76" s="4" t="s">
        <v>159</v>
      </c>
      <c r="B76">
        <v>45790</v>
      </c>
    </row>
    <row r="77" spans="1:2" x14ac:dyDescent="0.25">
      <c r="A77" s="4" t="s">
        <v>159</v>
      </c>
      <c r="B77">
        <v>81290</v>
      </c>
    </row>
    <row r="78" spans="1:2" x14ac:dyDescent="0.25">
      <c r="A78" s="4" t="s">
        <v>159</v>
      </c>
      <c r="B78">
        <v>37270</v>
      </c>
    </row>
    <row r="79" spans="1:2" x14ac:dyDescent="0.25">
      <c r="A79" s="4" t="s">
        <v>159</v>
      </c>
      <c r="B79">
        <v>88580</v>
      </c>
    </row>
    <row r="80" spans="1:2" x14ac:dyDescent="0.25">
      <c r="A80" s="4" t="s">
        <v>159</v>
      </c>
      <c r="B80">
        <v>34550</v>
      </c>
    </row>
    <row r="81" spans="1:2" x14ac:dyDescent="0.25">
      <c r="A81" s="4" t="s">
        <v>159</v>
      </c>
      <c r="B81">
        <v>6530</v>
      </c>
    </row>
    <row r="82" spans="1:2" x14ac:dyDescent="0.25">
      <c r="A82" s="4" t="s">
        <v>159</v>
      </c>
      <c r="B82">
        <v>88580</v>
      </c>
    </row>
    <row r="83" spans="1:2" x14ac:dyDescent="0.25">
      <c r="A83" s="4" t="s">
        <v>159</v>
      </c>
      <c r="B83">
        <v>66990</v>
      </c>
    </row>
    <row r="84" spans="1:2" x14ac:dyDescent="0.25">
      <c r="A84" s="4" t="s">
        <v>159</v>
      </c>
      <c r="B84">
        <v>69910</v>
      </c>
    </row>
    <row r="85" spans="1:2" x14ac:dyDescent="0.25">
      <c r="A85" s="4" t="s">
        <v>159</v>
      </c>
      <c r="B85">
        <v>11490</v>
      </c>
    </row>
    <row r="86" spans="1:2" x14ac:dyDescent="0.25">
      <c r="A86" s="4" t="s">
        <v>159</v>
      </c>
      <c r="B86">
        <v>34090</v>
      </c>
    </row>
    <row r="87" spans="1:2" x14ac:dyDescent="0.25">
      <c r="A87" s="4" t="s">
        <v>159</v>
      </c>
      <c r="B87">
        <v>66990</v>
      </c>
    </row>
    <row r="88" spans="1:2" x14ac:dyDescent="0.25">
      <c r="A88" s="4" t="s">
        <v>159</v>
      </c>
      <c r="B88">
        <v>20230</v>
      </c>
    </row>
    <row r="89" spans="1:2" x14ac:dyDescent="0.25">
      <c r="A89" s="4" t="s">
        <v>159</v>
      </c>
      <c r="B89">
        <v>74200</v>
      </c>
    </row>
    <row r="90" spans="1:2" x14ac:dyDescent="0.25">
      <c r="A90" s="4" t="s">
        <v>159</v>
      </c>
      <c r="B90">
        <v>87700</v>
      </c>
    </row>
    <row r="91" spans="1:2" x14ac:dyDescent="0.25">
      <c r="A91" s="4" t="s">
        <v>159</v>
      </c>
      <c r="B91">
        <v>81990</v>
      </c>
    </row>
    <row r="92" spans="1:2" x14ac:dyDescent="0.25">
      <c r="A92" s="4" t="s">
        <v>159</v>
      </c>
      <c r="B92">
        <v>71400</v>
      </c>
    </row>
    <row r="93" spans="1:2" x14ac:dyDescent="0.25">
      <c r="A93" s="4" t="s">
        <v>159</v>
      </c>
      <c r="B93">
        <v>5240</v>
      </c>
    </row>
    <row r="94" spans="1:2" x14ac:dyDescent="0.25">
      <c r="A94" s="4" t="s">
        <v>159</v>
      </c>
      <c r="B94">
        <v>4770</v>
      </c>
    </row>
    <row r="95" spans="1:2" x14ac:dyDescent="0.25">
      <c r="A95" s="4" t="s">
        <v>159</v>
      </c>
      <c r="B95">
        <v>61770</v>
      </c>
    </row>
    <row r="96" spans="1:2" x14ac:dyDescent="0.25">
      <c r="A96" s="4" t="s">
        <v>159</v>
      </c>
      <c r="B96">
        <v>19440</v>
      </c>
    </row>
    <row r="97" spans="1:2" x14ac:dyDescent="0.25">
      <c r="A97" s="4" t="s">
        <v>159</v>
      </c>
      <c r="B97">
        <v>20230</v>
      </c>
    </row>
    <row r="98" spans="1:2" x14ac:dyDescent="0.25">
      <c r="A98" s="4" t="s">
        <v>159</v>
      </c>
      <c r="B98">
        <v>74200</v>
      </c>
    </row>
    <row r="99" spans="1:2" x14ac:dyDescent="0.25">
      <c r="A99" s="4" t="s">
        <v>159</v>
      </c>
      <c r="B99">
        <v>87700</v>
      </c>
    </row>
    <row r="100" spans="1:2" x14ac:dyDescent="0.25">
      <c r="A100" s="4" t="s">
        <v>159</v>
      </c>
      <c r="B100">
        <v>81990</v>
      </c>
    </row>
    <row r="101" spans="1:2" x14ac:dyDescent="0.25">
      <c r="A101" s="4" t="s">
        <v>159</v>
      </c>
      <c r="B101">
        <v>71400</v>
      </c>
    </row>
    <row r="102" spans="1:2" x14ac:dyDescent="0.25">
      <c r="A102" s="4" t="s">
        <v>159</v>
      </c>
      <c r="B102">
        <v>55510</v>
      </c>
    </row>
    <row r="103" spans="1:2" x14ac:dyDescent="0.25">
      <c r="A103" s="4" t="s">
        <v>159</v>
      </c>
      <c r="B103">
        <v>59760</v>
      </c>
    </row>
    <row r="104" spans="1:2" x14ac:dyDescent="0.25">
      <c r="A104" s="4" t="s">
        <v>159</v>
      </c>
      <c r="B104">
        <v>59760</v>
      </c>
    </row>
    <row r="105" spans="1:2" x14ac:dyDescent="0.25">
      <c r="A105" s="4" t="s">
        <v>159</v>
      </c>
      <c r="B105">
        <v>91260</v>
      </c>
    </row>
    <row r="106" spans="1:2" x14ac:dyDescent="0.25">
      <c r="A106" s="4" t="s">
        <v>159</v>
      </c>
      <c r="B106">
        <v>93110</v>
      </c>
    </row>
    <row r="107" spans="1:2" x14ac:dyDescent="0.25">
      <c r="A107" s="4" t="s">
        <v>159</v>
      </c>
      <c r="B107">
        <v>97130</v>
      </c>
    </row>
    <row r="108" spans="1:2" x14ac:dyDescent="0.25">
      <c r="A108" s="4" t="s">
        <v>159</v>
      </c>
      <c r="B108">
        <v>55510</v>
      </c>
    </row>
    <row r="109" spans="1:2" x14ac:dyDescent="0.25">
      <c r="A109" s="4" t="s">
        <v>159</v>
      </c>
      <c r="B109">
        <v>59760</v>
      </c>
    </row>
    <row r="110" spans="1:2" x14ac:dyDescent="0.25">
      <c r="A110" s="4" t="s">
        <v>159</v>
      </c>
      <c r="B110">
        <v>59760</v>
      </c>
    </row>
    <row r="111" spans="1:2" x14ac:dyDescent="0.25">
      <c r="A111" s="4" t="s">
        <v>159</v>
      </c>
      <c r="B111">
        <v>91260</v>
      </c>
    </row>
    <row r="112" spans="1:2" x14ac:dyDescent="0.25">
      <c r="A112" s="4" t="s">
        <v>159</v>
      </c>
      <c r="B112">
        <v>93110</v>
      </c>
    </row>
    <row r="113" spans="1:2" x14ac:dyDescent="0.25">
      <c r="A113" s="4" t="s">
        <v>159</v>
      </c>
      <c r="B113">
        <v>97130</v>
      </c>
    </row>
    <row r="114" spans="1:2" x14ac:dyDescent="0.25">
      <c r="A114" s="4" t="s">
        <v>159</v>
      </c>
      <c r="B114">
        <v>55510</v>
      </c>
    </row>
    <row r="115" spans="1:2" x14ac:dyDescent="0.25">
      <c r="A115" s="4" t="s">
        <v>159</v>
      </c>
      <c r="B115">
        <v>91260</v>
      </c>
    </row>
    <row r="116" spans="1:2" x14ac:dyDescent="0.25">
      <c r="A116" s="4" t="s">
        <v>159</v>
      </c>
      <c r="B116">
        <v>93110</v>
      </c>
    </row>
    <row r="117" spans="1:2" x14ac:dyDescent="0.25">
      <c r="A117" s="4" t="s">
        <v>159</v>
      </c>
      <c r="B117">
        <v>97130</v>
      </c>
    </row>
    <row r="118" spans="1:2" x14ac:dyDescent="0.25">
      <c r="A118" s="4" t="s">
        <v>159</v>
      </c>
      <c r="B118">
        <v>55510</v>
      </c>
    </row>
    <row r="119" spans="1:2" x14ac:dyDescent="0.25">
      <c r="A119" s="4" t="s">
        <v>159</v>
      </c>
      <c r="B119">
        <v>91260</v>
      </c>
    </row>
    <row r="120" spans="1:2" x14ac:dyDescent="0.25">
      <c r="A120" s="4" t="s">
        <v>159</v>
      </c>
      <c r="B120">
        <v>93110</v>
      </c>
    </row>
    <row r="121" spans="1:2" x14ac:dyDescent="0.25">
      <c r="A121" s="4" t="s">
        <v>159</v>
      </c>
      <c r="B121">
        <v>97130</v>
      </c>
    </row>
    <row r="122" spans="1:2" x14ac:dyDescent="0.25">
      <c r="A122" s="4" t="s">
        <v>159</v>
      </c>
      <c r="B122">
        <v>74200</v>
      </c>
    </row>
    <row r="123" spans="1:2" x14ac:dyDescent="0.25">
      <c r="A123" s="4" t="s">
        <v>159</v>
      </c>
      <c r="B123">
        <v>81990</v>
      </c>
    </row>
    <row r="124" spans="1:2" x14ac:dyDescent="0.25">
      <c r="A124" s="4" t="s">
        <v>159</v>
      </c>
      <c r="B124">
        <v>74200</v>
      </c>
    </row>
    <row r="125" spans="1:2" x14ac:dyDescent="0.25">
      <c r="A125" s="4" t="s">
        <v>159</v>
      </c>
      <c r="B125">
        <v>81990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2025-09-05T18:04:36Z</dcterms:created>
  <dcterms:modified xsi:type="dcterms:W3CDTF">2025-09-08T17:02:07Z</dcterms:modified>
</cp:coreProperties>
</file>