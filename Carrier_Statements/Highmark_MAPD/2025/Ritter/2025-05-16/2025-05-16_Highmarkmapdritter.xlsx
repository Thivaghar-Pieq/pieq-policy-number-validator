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l MAPD 05-16-25 Ritter\"/>
    </mc:Choice>
  </mc:AlternateContent>
  <xr:revisionPtr revIDLastSave="0" documentId="13_ncr:1_{CFD5A83C-C56D-4E0D-BFC8-29CAA94F4F8F}" xr6:coauthVersionLast="47" xr6:coauthVersionMax="47" xr10:uidLastSave="{00000000-0000-0000-0000-000000000000}"/>
  <bookViews>
    <workbookView xWindow="28680" yWindow="-120" windowWidth="29040" windowHeight="16440" activeTab="1" xr2:uid="{74FB7089-D7DC-439A-9927-0A7AD61D1664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  <c r="G6" i="2"/>
  <c r="G9" i="2"/>
  <c r="G8" i="2"/>
  <c r="E9" i="2"/>
  <c r="E8" i="2"/>
  <c r="E10" i="2"/>
  <c r="G10" i="2"/>
  <c r="E11" i="2"/>
  <c r="G11" i="2"/>
  <c r="E3" i="2"/>
  <c r="E4" i="2"/>
  <c r="E5" i="2"/>
  <c r="E6" i="2"/>
  <c r="E7" i="2"/>
  <c r="E12" i="2"/>
  <c r="E13" i="2"/>
  <c r="E14" i="2"/>
  <c r="E15" i="2"/>
  <c r="E16" i="2"/>
  <c r="E17" i="2"/>
  <c r="E18" i="2"/>
  <c r="E2" i="2"/>
  <c r="G5" i="2"/>
  <c r="G4" i="2"/>
  <c r="G3" i="2"/>
  <c r="G2" i="2"/>
  <c r="G15" i="2"/>
  <c r="G14" i="2"/>
  <c r="G18" i="2"/>
  <c r="G17" i="2"/>
  <c r="G13" i="2"/>
  <c r="G12" i="2"/>
  <c r="G16" i="2"/>
</calcChain>
</file>

<file path=xl/sharedStrings.xml><?xml version="1.0" encoding="utf-8"?>
<sst xmlns="http://schemas.openxmlformats.org/spreadsheetml/2006/main" count="215" uniqueCount="54">
  <si>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</si>
  <si>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</si>
  <si>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</si>
  <si>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</si>
  <si>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</si>
  <si>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</si>
  <si>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</si>
  <si>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</si>
  <si>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</si>
  <si>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</si>
  <si>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</si>
  <si>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</si>
  <si>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Christy</t>
  </si>
  <si>
    <t>Russell</t>
  </si>
  <si>
    <t>*****11460</t>
  </si>
  <si>
    <t>Highmark</t>
  </si>
  <si>
    <t>Highmark 2023-25 WV&amp;DE Renewal OR 7/1 Trueup</t>
  </si>
  <si>
    <t>Michelle McCorkle</t>
  </si>
  <si>
    <t>Olive</t>
  </si>
  <si>
    <t>Hinzman</t>
  </si>
  <si>
    <t>*****63860</t>
  </si>
  <si>
    <t>Highmark 2025 Comm Blue PA Full OR</t>
  </si>
  <si>
    <t>Terry</t>
  </si>
  <si>
    <t>Bain</t>
  </si>
  <si>
    <t>*****23380</t>
  </si>
  <si>
    <t>Highmark 2025 Comm Blue PA Full OR 5/1 True Up</t>
  </si>
  <si>
    <t>Patricia Long</t>
  </si>
  <si>
    <t>William</t>
  </si>
  <si>
    <t>Baughman</t>
  </si>
  <si>
    <t>*****29220</t>
  </si>
  <si>
    <t>Denise</t>
  </si>
  <si>
    <t>Rumpf</t>
  </si>
  <si>
    <t>*****32690</t>
  </si>
  <si>
    <t>Highmark 2025 Comm Blue PA Full OR 6/1 True Up</t>
  </si>
  <si>
    <t>James</t>
  </si>
  <si>
    <t>Cox</t>
  </si>
  <si>
    <t>*****35830</t>
  </si>
  <si>
    <t>Highmark 2025 Comm Blue PA Full OR	6/1 Trueup</t>
  </si>
  <si>
    <t>Highmark 2025 PA Initial Street</t>
  </si>
  <si>
    <t>Highmark 2025 PA Street 5/1 True Up</t>
  </si>
  <si>
    <t>Highmark 2025 WV/ DE/ NY Initial Street (ProRata: 9)</t>
  </si>
  <si>
    <t>[%/$=353][prorate=8/12]</t>
  </si>
  <si>
    <t>Highmark MAPD 2025..</t>
  </si>
  <si>
    <t>[%/$=313][prorate=6/12]</t>
  </si>
  <si>
    <t>Highmark MAPD 2025</t>
  </si>
  <si>
    <t>Highmark MAPD 2025.</t>
  </si>
  <si>
    <t>Highmark MAPD 2025*</t>
  </si>
  <si>
    <t>Highmark 2025 Ovr</t>
  </si>
  <si>
    <t>Main Line Benefits</t>
  </si>
  <si>
    <t>18710070N</t>
  </si>
  <si>
    <t>17528908N</t>
  </si>
  <si>
    <t>[%/$=353][prorate=7/12]</t>
  </si>
  <si>
    <t>[%/$=705]</t>
  </si>
  <si>
    <t>[%/$=626]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</si>
</sst>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89C7-B8C5-4ACF-89D0-4BE4E6DC2594}">
  <dimension ref="A1:K13"/>
  <sheetViews>
    <sheetView workbookViewId="0">
      <selection activeCell="A6" sqref="A6:XFD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17528908</v>
      </c>
      <c r="C2">
        <v>17528908</v>
      </c>
      <c r="D2" t="s">
        <v>12</v>
      </c>
      <c r="E2" t="s">
        <v>13</v>
      </c>
      <c r="F2" t="s">
        <v>14</v>
      </c>
      <c r="G2" s="1">
        <v>45839</v>
      </c>
      <c r="H2" s="1">
        <v>45793</v>
      </c>
      <c r="I2" t="s">
        <v>15</v>
      </c>
      <c r="J2" t="s">
        <v>16</v>
      </c>
      <c r="K2" s="2">
        <v>68.75</v>
      </c>
    </row>
    <row r="3" spans="1:11" x14ac:dyDescent="0.25">
      <c r="A3" t="s">
        <v>17</v>
      </c>
      <c r="C3">
        <v>18710070</v>
      </c>
      <c r="D3" t="s">
        <v>18</v>
      </c>
      <c r="E3" t="s">
        <v>19</v>
      </c>
      <c r="F3" t="s">
        <v>20</v>
      </c>
      <c r="G3" s="1">
        <v>45778</v>
      </c>
      <c r="H3" s="1">
        <v>45793</v>
      </c>
      <c r="I3" t="s">
        <v>15</v>
      </c>
      <c r="J3" t="s">
        <v>21</v>
      </c>
      <c r="K3" s="2">
        <v>110</v>
      </c>
    </row>
    <row r="4" spans="1:11" x14ac:dyDescent="0.25">
      <c r="A4" t="s">
        <v>11</v>
      </c>
      <c r="B4">
        <v>17528908</v>
      </c>
      <c r="C4">
        <v>17528908</v>
      </c>
      <c r="D4" t="s">
        <v>22</v>
      </c>
      <c r="E4" t="s">
        <v>23</v>
      </c>
      <c r="F4" t="s">
        <v>24</v>
      </c>
      <c r="G4" s="1">
        <v>45778</v>
      </c>
      <c r="H4" s="1">
        <v>45793</v>
      </c>
      <c r="I4" t="s">
        <v>15</v>
      </c>
      <c r="J4" t="s">
        <v>25</v>
      </c>
      <c r="K4" s="2">
        <v>61.67</v>
      </c>
    </row>
    <row r="5" spans="1:11" x14ac:dyDescent="0.25">
      <c r="A5" t="s">
        <v>26</v>
      </c>
      <c r="B5">
        <v>18794740</v>
      </c>
      <c r="C5">
        <v>18794740</v>
      </c>
      <c r="D5" t="s">
        <v>27</v>
      </c>
      <c r="E5" t="s">
        <v>28</v>
      </c>
      <c r="F5" t="s">
        <v>29</v>
      </c>
      <c r="G5" s="1">
        <v>45778</v>
      </c>
      <c r="H5" s="1">
        <v>45793</v>
      </c>
      <c r="I5" t="s">
        <v>15</v>
      </c>
      <c r="J5" t="s">
        <v>25</v>
      </c>
      <c r="K5" s="2">
        <v>61.67</v>
      </c>
    </row>
    <row r="6" spans="1:11" x14ac:dyDescent="0.25">
      <c r="A6" t="s">
        <v>11</v>
      </c>
      <c r="B6">
        <v>17528908</v>
      </c>
      <c r="C6">
        <v>17528908</v>
      </c>
      <c r="D6" t="s">
        <v>30</v>
      </c>
      <c r="E6" t="s">
        <v>31</v>
      </c>
      <c r="F6" t="s">
        <v>32</v>
      </c>
      <c r="G6" s="1">
        <v>45809</v>
      </c>
      <c r="H6" s="1">
        <v>45793</v>
      </c>
      <c r="I6" t="s">
        <v>15</v>
      </c>
      <c r="J6" t="s">
        <v>33</v>
      </c>
      <c r="K6" s="2">
        <v>499.08</v>
      </c>
    </row>
    <row r="7" spans="1:11" x14ac:dyDescent="0.25">
      <c r="A7" t="s">
        <v>17</v>
      </c>
      <c r="C7">
        <v>18710070</v>
      </c>
      <c r="D7" t="s">
        <v>34</v>
      </c>
      <c r="E7" t="s">
        <v>35</v>
      </c>
      <c r="F7" t="s">
        <v>36</v>
      </c>
      <c r="G7" s="1">
        <v>45809</v>
      </c>
      <c r="H7" s="1">
        <v>45793</v>
      </c>
      <c r="I7" t="s">
        <v>15</v>
      </c>
      <c r="J7" t="s">
        <v>33</v>
      </c>
      <c r="K7" s="2">
        <v>499.08</v>
      </c>
    </row>
    <row r="8" spans="1:11" x14ac:dyDescent="0.25">
      <c r="A8" t="s">
        <v>11</v>
      </c>
      <c r="B8">
        <v>17528908</v>
      </c>
      <c r="C8">
        <v>17528908</v>
      </c>
      <c r="D8" t="s">
        <v>30</v>
      </c>
      <c r="E8" t="s">
        <v>31</v>
      </c>
      <c r="F8" t="s">
        <v>32</v>
      </c>
      <c r="G8" s="1">
        <v>45809</v>
      </c>
      <c r="H8" s="1">
        <v>45793</v>
      </c>
      <c r="I8" t="s">
        <v>15</v>
      </c>
      <c r="J8" t="s">
        <v>37</v>
      </c>
      <c r="K8" s="2">
        <v>67.709999999999994</v>
      </c>
    </row>
    <row r="9" spans="1:11" x14ac:dyDescent="0.25">
      <c r="A9" t="s">
        <v>17</v>
      </c>
      <c r="C9">
        <v>18710070</v>
      </c>
      <c r="D9" t="s">
        <v>34</v>
      </c>
      <c r="E9" t="s">
        <v>35</v>
      </c>
      <c r="F9" t="s">
        <v>36</v>
      </c>
      <c r="G9" s="1">
        <v>45809</v>
      </c>
      <c r="H9" s="1">
        <v>45793</v>
      </c>
      <c r="I9" t="s">
        <v>15</v>
      </c>
      <c r="J9" t="s">
        <v>37</v>
      </c>
      <c r="K9" s="2">
        <v>67.709999999999994</v>
      </c>
    </row>
    <row r="10" spans="1:11" x14ac:dyDescent="0.25">
      <c r="A10" t="s">
        <v>17</v>
      </c>
      <c r="C10">
        <v>18710070</v>
      </c>
      <c r="D10" t="s">
        <v>18</v>
      </c>
      <c r="E10" t="s">
        <v>19</v>
      </c>
      <c r="F10" t="s">
        <v>20</v>
      </c>
      <c r="G10" s="1">
        <v>45778</v>
      </c>
      <c r="H10" s="1">
        <v>45793</v>
      </c>
      <c r="I10" t="s">
        <v>15</v>
      </c>
      <c r="J10" t="s">
        <v>38</v>
      </c>
      <c r="K10" s="2">
        <v>705</v>
      </c>
    </row>
    <row r="11" spans="1:11" x14ac:dyDescent="0.25">
      <c r="A11" t="s">
        <v>11</v>
      </c>
      <c r="B11">
        <v>17528908</v>
      </c>
      <c r="C11">
        <v>17528908</v>
      </c>
      <c r="D11" t="s">
        <v>22</v>
      </c>
      <c r="E11" t="s">
        <v>23</v>
      </c>
      <c r="F11" t="s">
        <v>24</v>
      </c>
      <c r="G11" s="1">
        <v>45778</v>
      </c>
      <c r="H11" s="1">
        <v>45793</v>
      </c>
      <c r="I11" t="s">
        <v>15</v>
      </c>
      <c r="J11" t="s">
        <v>39</v>
      </c>
      <c r="K11" s="2">
        <v>469.67</v>
      </c>
    </row>
    <row r="12" spans="1:11" x14ac:dyDescent="0.25">
      <c r="A12" t="s">
        <v>26</v>
      </c>
      <c r="B12">
        <v>18794740</v>
      </c>
      <c r="C12">
        <v>18794740</v>
      </c>
      <c r="D12" t="s">
        <v>27</v>
      </c>
      <c r="E12" t="s">
        <v>28</v>
      </c>
      <c r="F12" t="s">
        <v>29</v>
      </c>
      <c r="G12" s="1">
        <v>45778</v>
      </c>
      <c r="H12" s="1">
        <v>45793</v>
      </c>
      <c r="I12" t="s">
        <v>15</v>
      </c>
      <c r="J12" t="s">
        <v>39</v>
      </c>
      <c r="K12" s="2">
        <v>469.67</v>
      </c>
    </row>
    <row r="13" spans="1:11" x14ac:dyDescent="0.25">
      <c r="A13" t="s">
        <v>11</v>
      </c>
      <c r="B13">
        <v>17528908</v>
      </c>
      <c r="C13">
        <v>17528908</v>
      </c>
      <c r="D13" t="s">
        <v>12</v>
      </c>
      <c r="E13" t="s">
        <v>13</v>
      </c>
      <c r="F13" t="s">
        <v>14</v>
      </c>
      <c r="G13" s="1">
        <v>45839</v>
      </c>
      <c r="H13" s="1">
        <v>45793</v>
      </c>
      <c r="I13" t="s">
        <v>15</v>
      </c>
      <c r="J13" t="s">
        <v>40</v>
      </c>
      <c r="K13" s="2">
        <v>469.5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EA04-E132-47AC-AF5F-AE8C215D6629}">
  <dimension ref="A1:N18"/>
  <sheetViews>
    <sheetView tabSelected="1" workbookViewId="0">
      <selection activeCell="N2" sqref="N2:N18"/>
    </sheetView>
  </sheetViews>
  <sheetFormatPr defaultRowHeight="15" x14ac:dyDescent="0.25"/>
  <cols>
    <col min="1" max="1" width="17.7109375" style="3" bestFit="1" customWidth="1"/>
    <col min="2" max="2" width="10.7109375" style="3" bestFit="1" customWidth="1"/>
    <col min="3" max="3" width="10.5703125" style="3" bestFit="1" customWidth="1"/>
    <col min="4" max="4" width="10.28515625" style="3" bestFit="1" customWidth="1"/>
    <col min="5" max="5" width="14" style="3" bestFit="1" customWidth="1"/>
    <col min="6" max="6" width="11" style="3" bestFit="1" customWidth="1"/>
    <col min="7" max="7" width="11" style="3" customWidth="1"/>
    <col min="8" max="8" width="11.85546875" style="3" bestFit="1" customWidth="1"/>
    <col min="9" max="9" width="14.7109375" style="3" bestFit="1" customWidth="1"/>
    <col min="10" max="10" width="12.7109375" style="3" bestFit="1" customWidth="1"/>
    <col min="11" max="11" width="48.140625" style="3" bestFit="1" customWidth="1"/>
    <col min="12" max="12" width="15.7109375" style="3" bestFit="1" customWidth="1"/>
    <col min="13" max="13" width="23.140625" style="3" bestFit="1" customWidth="1"/>
    <col min="14" max="16384" width="9.140625" style="3"/>
  </cols>
  <sheetData>
    <row r="1" spans="1:14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4" x14ac:dyDescent="0.25">
      <c r="A2" s="3" t="s">
        <v>48</v>
      </c>
      <c r="B2" s="3">
        <v>20411454</v>
      </c>
      <c r="C2" s="3" t="s">
        <v>12</v>
      </c>
      <c r="D2" s="3" t="s">
        <v>13</v>
      </c>
      <c r="E2" s="3" t="str">
        <f>CONCATENATE(C2, " ",D2)</f>
        <v>Christy Russell</v>
      </c>
      <c r="F2" s="3">
        <v>11460</v>
      </c>
      <c r="G2" s="3" t="str">
        <f>CONCATENATE(F2,65)</f>
        <v>1146065</v>
      </c>
      <c r="H2" s="4">
        <v>45839</v>
      </c>
      <c r="I2" s="4">
        <v>45793</v>
      </c>
      <c r="J2" s="3" t="s">
        <v>15</v>
      </c>
      <c r="K2" s="3" t="s">
        <v>16</v>
      </c>
      <c r="L2" s="5">
        <v>68.75</v>
      </c>
      <c r="M2" s="3" t="s">
        <v>47</v>
      </c>
    </row>
    <row r="3" spans="1:14" x14ac:dyDescent="0.25">
      <c r="A3" s="3" t="s">
        <v>48</v>
      </c>
      <c r="B3" s="3">
        <v>20411454</v>
      </c>
      <c r="C3" s="3" t="s">
        <v>18</v>
      </c>
      <c r="D3" s="3" t="s">
        <v>19</v>
      </c>
      <c r="E3" s="3" t="str">
        <f t="shared" ref="E3:E18" si="0">CONCATENATE(C3, " ",D3)</f>
        <v>Olive Hinzman</v>
      </c>
      <c r="F3" s="3">
        <v>63860</v>
      </c>
      <c r="G3" s="3" t="str">
        <f t="shared" ref="G3:G11" si="1">CONCATENATE(F3,65)</f>
        <v>6386065</v>
      </c>
      <c r="H3" s="4">
        <v>45778</v>
      </c>
      <c r="I3" s="4">
        <v>45793</v>
      </c>
      <c r="J3" s="3" t="s">
        <v>15</v>
      </c>
      <c r="K3" s="3" t="s">
        <v>21</v>
      </c>
      <c r="L3" s="5">
        <v>110</v>
      </c>
      <c r="M3" s="3" t="s">
        <v>47</v>
      </c>
    </row>
    <row r="4" spans="1:14" x14ac:dyDescent="0.25">
      <c r="A4" s="3" t="s">
        <v>48</v>
      </c>
      <c r="B4" s="3">
        <v>20411454</v>
      </c>
      <c r="C4" s="3" t="s">
        <v>22</v>
      </c>
      <c r="D4" s="3" t="s">
        <v>23</v>
      </c>
      <c r="E4" s="3" t="str">
        <f t="shared" si="0"/>
        <v>Terry Bain</v>
      </c>
      <c r="F4" s="3">
        <v>23380</v>
      </c>
      <c r="G4" s="3" t="str">
        <f t="shared" si="1"/>
        <v>2338065</v>
      </c>
      <c r="H4" s="4">
        <v>45778</v>
      </c>
      <c r="I4" s="4">
        <v>45793</v>
      </c>
      <c r="J4" s="3" t="s">
        <v>15</v>
      </c>
      <c r="K4" s="3" t="s">
        <v>25</v>
      </c>
      <c r="L4" s="5">
        <v>61.67</v>
      </c>
      <c r="M4" s="3" t="s">
        <v>47</v>
      </c>
    </row>
    <row r="5" spans="1:14" x14ac:dyDescent="0.25">
      <c r="A5" s="3" t="s">
        <v>48</v>
      </c>
      <c r="B5" s="3">
        <v>20411454</v>
      </c>
      <c r="C5" s="3" t="s">
        <v>27</v>
      </c>
      <c r="D5" s="3" t="s">
        <v>28</v>
      </c>
      <c r="E5" s="3" t="str">
        <f t="shared" si="0"/>
        <v>William Baughman</v>
      </c>
      <c r="F5" s="3">
        <v>29220</v>
      </c>
      <c r="G5" s="3" t="str">
        <f t="shared" si="1"/>
        <v>2922065</v>
      </c>
      <c r="H5" s="4">
        <v>45778</v>
      </c>
      <c r="I5" s="4">
        <v>45793</v>
      </c>
      <c r="J5" s="3" t="s">
        <v>15</v>
      </c>
      <c r="K5" s="3" t="s">
        <v>25</v>
      </c>
      <c r="L5" s="5">
        <v>61.67</v>
      </c>
      <c r="M5" s="3" t="s">
        <v>47</v>
      </c>
    </row>
    <row r="6" spans="1:14" x14ac:dyDescent="0.25">
      <c r="A6" s="3" t="s">
        <v>11</v>
      </c>
      <c r="B6" s="3" t="s">
        <v>50</v>
      </c>
      <c r="C6" s="3" t="s">
        <v>30</v>
      </c>
      <c r="D6" s="3" t="s">
        <v>31</v>
      </c>
      <c r="E6" s="3" t="str">
        <f t="shared" si="0"/>
        <v>Denise Rumpf</v>
      </c>
      <c r="F6" s="3">
        <v>32690</v>
      </c>
      <c r="G6" s="3" t="str">
        <f t="shared" ref="G6:G7" si="2">CONCATENATE(F6,55)</f>
        <v>3269055</v>
      </c>
      <c r="H6" s="4">
        <v>45809</v>
      </c>
      <c r="I6" s="4">
        <v>45793</v>
      </c>
      <c r="J6" s="3" t="s">
        <v>15</v>
      </c>
      <c r="K6" s="3" t="s">
        <v>33</v>
      </c>
      <c r="L6" s="5">
        <v>-205.91</v>
      </c>
      <c r="M6" s="3" t="s">
        <v>42</v>
      </c>
      <c r="N6" s="3" t="s">
        <v>51</v>
      </c>
    </row>
    <row r="7" spans="1:14" x14ac:dyDescent="0.25">
      <c r="A7" s="3" t="s">
        <v>17</v>
      </c>
      <c r="B7" s="3" t="s">
        <v>49</v>
      </c>
      <c r="C7" s="3" t="s">
        <v>34</v>
      </c>
      <c r="D7" s="3" t="s">
        <v>35</v>
      </c>
      <c r="E7" s="3" t="str">
        <f t="shared" si="0"/>
        <v>James Cox</v>
      </c>
      <c r="F7" s="3">
        <v>35830</v>
      </c>
      <c r="G7" s="3" t="str">
        <f t="shared" si="2"/>
        <v>3583055</v>
      </c>
      <c r="H7" s="4">
        <v>45809</v>
      </c>
      <c r="I7" s="4">
        <v>45793</v>
      </c>
      <c r="J7" s="3" t="s">
        <v>15</v>
      </c>
      <c r="K7" s="3" t="s">
        <v>33</v>
      </c>
      <c r="L7" s="5">
        <v>-205.91</v>
      </c>
      <c r="M7" s="3" t="s">
        <v>42</v>
      </c>
      <c r="N7" s="3" t="s">
        <v>51</v>
      </c>
    </row>
    <row r="8" spans="1:14" x14ac:dyDescent="0.25">
      <c r="A8" s="3" t="s">
        <v>11</v>
      </c>
      <c r="B8" s="3" t="s">
        <v>50</v>
      </c>
      <c r="C8" s="3" t="s">
        <v>30</v>
      </c>
      <c r="D8" s="3" t="s">
        <v>31</v>
      </c>
      <c r="E8" s="3" t="str">
        <f t="shared" ref="E8:E9" si="3">CONCATENATE(C8, " ",D8)</f>
        <v>Denise Rumpf</v>
      </c>
      <c r="F8" s="3">
        <v>32690</v>
      </c>
      <c r="G8" s="3" t="str">
        <f t="shared" ref="G8:G9" si="4">CONCATENATE(F8,75)</f>
        <v>3269075</v>
      </c>
      <c r="H8" s="4">
        <v>45809</v>
      </c>
      <c r="I8" s="4">
        <v>45793</v>
      </c>
      <c r="J8" s="3" t="s">
        <v>15</v>
      </c>
      <c r="K8" s="3" t="s">
        <v>33</v>
      </c>
      <c r="L8" s="5">
        <v>705</v>
      </c>
      <c r="M8" s="3" t="s">
        <v>45</v>
      </c>
      <c r="N8" s="3" t="s">
        <v>52</v>
      </c>
    </row>
    <row r="9" spans="1:14" x14ac:dyDescent="0.25">
      <c r="A9" s="3" t="s">
        <v>17</v>
      </c>
      <c r="B9" s="3" t="s">
        <v>49</v>
      </c>
      <c r="C9" s="3" t="s">
        <v>34</v>
      </c>
      <c r="D9" s="3" t="s">
        <v>35</v>
      </c>
      <c r="E9" s="3" t="str">
        <f t="shared" si="3"/>
        <v>James Cox</v>
      </c>
      <c r="F9" s="3">
        <v>35830</v>
      </c>
      <c r="G9" s="3" t="str">
        <f t="shared" si="4"/>
        <v>3583075</v>
      </c>
      <c r="H9" s="4">
        <v>45809</v>
      </c>
      <c r="I9" s="4">
        <v>45793</v>
      </c>
      <c r="J9" s="3" t="s">
        <v>15</v>
      </c>
      <c r="K9" s="3" t="s">
        <v>33</v>
      </c>
      <c r="L9" s="5">
        <v>705</v>
      </c>
      <c r="M9" s="3" t="s">
        <v>45</v>
      </c>
      <c r="N9" s="3" t="s">
        <v>52</v>
      </c>
    </row>
    <row r="10" spans="1:14" x14ac:dyDescent="0.25">
      <c r="A10" s="3" t="s">
        <v>48</v>
      </c>
      <c r="B10" s="3">
        <v>20411454</v>
      </c>
      <c r="C10" s="3" t="s">
        <v>30</v>
      </c>
      <c r="D10" s="3" t="s">
        <v>31</v>
      </c>
      <c r="E10" s="3" t="str">
        <f t="shared" si="0"/>
        <v>Denise Rumpf</v>
      </c>
      <c r="F10" s="3">
        <v>32690</v>
      </c>
      <c r="G10" s="3" t="str">
        <f t="shared" si="1"/>
        <v>3269065</v>
      </c>
      <c r="H10" s="4">
        <v>45809</v>
      </c>
      <c r="I10" s="4">
        <v>45793</v>
      </c>
      <c r="J10" s="3" t="s">
        <v>15</v>
      </c>
      <c r="K10" s="3" t="s">
        <v>37</v>
      </c>
      <c r="L10" s="5">
        <v>67.709999999999994</v>
      </c>
      <c r="M10" s="3" t="s">
        <v>47</v>
      </c>
    </row>
    <row r="11" spans="1:14" x14ac:dyDescent="0.25">
      <c r="A11" s="3" t="s">
        <v>48</v>
      </c>
      <c r="B11" s="3">
        <v>20411454</v>
      </c>
      <c r="C11" s="3" t="s">
        <v>34</v>
      </c>
      <c r="D11" s="3" t="s">
        <v>35</v>
      </c>
      <c r="E11" s="3" t="str">
        <f t="shared" si="0"/>
        <v>James Cox</v>
      </c>
      <c r="F11" s="3">
        <v>35830</v>
      </c>
      <c r="G11" s="3" t="str">
        <f t="shared" si="1"/>
        <v>3583065</v>
      </c>
      <c r="H11" s="4">
        <v>45809</v>
      </c>
      <c r="I11" s="4">
        <v>45793</v>
      </c>
      <c r="J11" s="3" t="s">
        <v>15</v>
      </c>
      <c r="K11" s="3" t="s">
        <v>37</v>
      </c>
      <c r="L11" s="5">
        <v>67.709999999999994</v>
      </c>
      <c r="M11" s="3" t="s">
        <v>47</v>
      </c>
    </row>
    <row r="12" spans="1:14" x14ac:dyDescent="0.25">
      <c r="A12" s="3" t="s">
        <v>17</v>
      </c>
      <c r="B12" s="3" t="s">
        <v>49</v>
      </c>
      <c r="C12" s="3" t="s">
        <v>18</v>
      </c>
      <c r="D12" s="3" t="s">
        <v>19</v>
      </c>
      <c r="E12" s="3" t="str">
        <f t="shared" si="0"/>
        <v>Olive Hinzman</v>
      </c>
      <c r="F12" s="3">
        <v>63860</v>
      </c>
      <c r="G12" s="3" t="str">
        <f>CONCATENATE(F12,75)</f>
        <v>6386075</v>
      </c>
      <c r="H12" s="4">
        <v>45778</v>
      </c>
      <c r="I12" s="4">
        <v>45793</v>
      </c>
      <c r="J12" s="3" t="s">
        <v>15</v>
      </c>
      <c r="K12" s="3" t="s">
        <v>38</v>
      </c>
      <c r="L12" s="5">
        <v>705</v>
      </c>
      <c r="M12" s="3" t="s">
        <v>45</v>
      </c>
      <c r="N12" s="3" t="s">
        <v>52</v>
      </c>
    </row>
    <row r="13" spans="1:14" x14ac:dyDescent="0.25">
      <c r="A13" s="3" t="s">
        <v>11</v>
      </c>
      <c r="B13" s="3" t="s">
        <v>50</v>
      </c>
      <c r="C13" s="3" t="s">
        <v>22</v>
      </c>
      <c r="D13" s="3" t="s">
        <v>23</v>
      </c>
      <c r="E13" s="3" t="str">
        <f t="shared" si="0"/>
        <v>Terry Bain</v>
      </c>
      <c r="F13" s="3">
        <v>23380</v>
      </c>
      <c r="G13" s="3" t="str">
        <f>CONCATENATE(F13,75)</f>
        <v>2338075</v>
      </c>
      <c r="H13" s="4">
        <v>45778</v>
      </c>
      <c r="I13" s="4">
        <v>45793</v>
      </c>
      <c r="J13" s="3" t="s">
        <v>15</v>
      </c>
      <c r="K13" s="3" t="s">
        <v>39</v>
      </c>
      <c r="L13" s="5">
        <v>705</v>
      </c>
      <c r="M13" s="3" t="s">
        <v>45</v>
      </c>
      <c r="N13" s="3" t="s">
        <v>52</v>
      </c>
    </row>
    <row r="14" spans="1:14" x14ac:dyDescent="0.25">
      <c r="A14" s="3" t="s">
        <v>26</v>
      </c>
      <c r="B14" s="3">
        <v>18794740</v>
      </c>
      <c r="C14" s="3" t="s">
        <v>27</v>
      </c>
      <c r="D14" s="3" t="s">
        <v>28</v>
      </c>
      <c r="E14" s="3" t="str">
        <f t="shared" si="0"/>
        <v>William Baughman</v>
      </c>
      <c r="F14" s="3">
        <v>29220</v>
      </c>
      <c r="G14" s="3" t="str">
        <f t="shared" ref="G14:G15" si="5">CONCATENATE(F14,75)</f>
        <v>2922075</v>
      </c>
      <c r="H14" s="4">
        <v>45778</v>
      </c>
      <c r="I14" s="4">
        <v>45793</v>
      </c>
      <c r="J14" s="3" t="s">
        <v>15</v>
      </c>
      <c r="K14" s="3" t="s">
        <v>39</v>
      </c>
      <c r="L14" s="5">
        <v>705</v>
      </c>
      <c r="M14" s="3" t="s">
        <v>45</v>
      </c>
      <c r="N14" s="3" t="s">
        <v>52</v>
      </c>
    </row>
    <row r="15" spans="1:14" x14ac:dyDescent="0.25">
      <c r="A15" s="3" t="s">
        <v>11</v>
      </c>
      <c r="B15" s="3" t="s">
        <v>50</v>
      </c>
      <c r="C15" s="3" t="s">
        <v>12</v>
      </c>
      <c r="D15" s="3" t="s">
        <v>13</v>
      </c>
      <c r="E15" s="3" t="str">
        <f t="shared" si="0"/>
        <v>Christy Russell</v>
      </c>
      <c r="F15" s="3">
        <v>11460</v>
      </c>
      <c r="G15" s="3" t="str">
        <f t="shared" si="5"/>
        <v>1146075</v>
      </c>
      <c r="H15" s="4">
        <v>45839</v>
      </c>
      <c r="I15" s="4">
        <v>45793</v>
      </c>
      <c r="J15" s="3" t="s">
        <v>15</v>
      </c>
      <c r="K15" s="3" t="s">
        <v>40</v>
      </c>
      <c r="L15" s="5">
        <v>626</v>
      </c>
      <c r="M15" s="3" t="s">
        <v>44</v>
      </c>
      <c r="N15" s="3" t="s">
        <v>53</v>
      </c>
    </row>
    <row r="16" spans="1:14" x14ac:dyDescent="0.25">
      <c r="A16" s="3" t="s">
        <v>11</v>
      </c>
      <c r="B16" s="3" t="s">
        <v>50</v>
      </c>
      <c r="C16" s="3" t="s">
        <v>22</v>
      </c>
      <c r="D16" s="3" t="s">
        <v>23</v>
      </c>
      <c r="E16" s="3" t="str">
        <f t="shared" si="0"/>
        <v>Terry Bain</v>
      </c>
      <c r="F16" s="3">
        <v>23380</v>
      </c>
      <c r="G16" s="3" t="str">
        <f>CONCATENATE(F16,55)</f>
        <v>2338055</v>
      </c>
      <c r="H16" s="4">
        <v>45778</v>
      </c>
      <c r="I16" s="4">
        <v>45793</v>
      </c>
      <c r="J16" s="3" t="s">
        <v>15</v>
      </c>
      <c r="K16" s="3" t="s">
        <v>39</v>
      </c>
      <c r="L16" s="5">
        <v>-235.33</v>
      </c>
      <c r="M16" s="3" t="s">
        <v>42</v>
      </c>
      <c r="N16" s="3" t="s">
        <v>41</v>
      </c>
    </row>
    <row r="17" spans="1:14" x14ac:dyDescent="0.25">
      <c r="A17" s="3" t="s">
        <v>26</v>
      </c>
      <c r="B17" s="3">
        <v>18794740</v>
      </c>
      <c r="C17" s="3" t="s">
        <v>27</v>
      </c>
      <c r="D17" s="3" t="s">
        <v>28</v>
      </c>
      <c r="E17" s="3" t="str">
        <f t="shared" si="0"/>
        <v>William Baughman</v>
      </c>
      <c r="F17" s="3">
        <v>29220</v>
      </c>
      <c r="G17" s="3" t="str">
        <f>CONCATENATE(F17,55)</f>
        <v>2922055</v>
      </c>
      <c r="H17" s="4">
        <v>45778</v>
      </c>
      <c r="I17" s="4">
        <v>45793</v>
      </c>
      <c r="J17" s="3" t="s">
        <v>15</v>
      </c>
      <c r="K17" s="3" t="s">
        <v>39</v>
      </c>
      <c r="L17" s="5">
        <v>-235.33</v>
      </c>
      <c r="M17" s="3" t="s">
        <v>42</v>
      </c>
      <c r="N17" s="3" t="s">
        <v>41</v>
      </c>
    </row>
    <row r="18" spans="1:14" x14ac:dyDescent="0.25">
      <c r="A18" s="3" t="s">
        <v>11</v>
      </c>
      <c r="B18" s="3" t="s">
        <v>50</v>
      </c>
      <c r="C18" s="3" t="s">
        <v>12</v>
      </c>
      <c r="D18" s="3" t="s">
        <v>13</v>
      </c>
      <c r="E18" s="3" t="str">
        <f t="shared" si="0"/>
        <v>Christy Russell</v>
      </c>
      <c r="F18" s="3">
        <v>11460</v>
      </c>
      <c r="G18" s="3" t="str">
        <f>CONCATENATE(F18,55)</f>
        <v>1146055</v>
      </c>
      <c r="H18" s="4">
        <v>45839</v>
      </c>
      <c r="I18" s="4">
        <v>45793</v>
      </c>
      <c r="J18" s="3" t="s">
        <v>15</v>
      </c>
      <c r="K18" s="3" t="s">
        <v>40</v>
      </c>
      <c r="L18" s="5">
        <v>-156.5</v>
      </c>
      <c r="M18" s="3" t="s">
        <v>46</v>
      </c>
      <c r="N18" s="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BA30-B588-469D-B3DC-CEF9ABAA2FD8}">
  <dimension ref="F1:F12"/>
  <sheetViews>
    <sheetView workbookViewId="0">
      <selection activeCell="F1" sqref="F1:F12"/>
    </sheetView>
  </sheetViews>
  <sheetFormatPr defaultRowHeight="15" x14ac:dyDescent="0.25"/>
  <sheetData>
    <row r="1" spans="6:6" x14ac:dyDescent="0.25">
      <c r="F1">
        <v>11460</v>
      </c>
    </row>
    <row r="2" spans="6:6" x14ac:dyDescent="0.25">
      <c r="F2">
        <v>63860</v>
      </c>
    </row>
    <row r="3" spans="6:6" x14ac:dyDescent="0.25">
      <c r="F3">
        <v>23380</v>
      </c>
    </row>
    <row r="4" spans="6:6" x14ac:dyDescent="0.25">
      <c r="F4">
        <v>29220</v>
      </c>
    </row>
    <row r="5" spans="6:6" x14ac:dyDescent="0.25">
      <c r="F5">
        <v>32690</v>
      </c>
    </row>
    <row r="6" spans="6:6" x14ac:dyDescent="0.25">
      <c r="F6">
        <v>35830</v>
      </c>
    </row>
    <row r="7" spans="6:6" x14ac:dyDescent="0.25">
      <c r="F7">
        <v>32690</v>
      </c>
    </row>
    <row r="8" spans="6:6" x14ac:dyDescent="0.25">
      <c r="F8">
        <v>35830</v>
      </c>
    </row>
    <row r="9" spans="6:6" x14ac:dyDescent="0.25">
      <c r="F9">
        <v>63860</v>
      </c>
    </row>
    <row r="10" spans="6:6" x14ac:dyDescent="0.25">
      <c r="F10">
        <v>23380</v>
      </c>
    </row>
    <row r="11" spans="6:6" x14ac:dyDescent="0.25">
      <c r="F11">
        <v>29220</v>
      </c>
    </row>
    <row r="12" spans="6:6" x14ac:dyDescent="0.25">
      <c r="F12">
        <v>11460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2025-05-19T14:25:59Z</dcterms:created>
  <dcterms:modified xsi:type="dcterms:W3CDTF">2025-05-20T14:31:17Z</dcterms:modified>
</cp:coreProperties>
</file>