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11-07-25 Ritter\"/>
    </mc:Choice>
  </mc:AlternateContent>
  <xr:revisionPtr revIDLastSave="0" documentId="13_ncr:1_{3D5A1BC3-D32F-4DEA-A539-F174B21CB38A}" xr6:coauthVersionLast="47" xr6:coauthVersionMax="47" xr10:uidLastSave="{00000000-0000-0000-0000-000000000000}"/>
  <bookViews>
    <workbookView xWindow="28680" yWindow="-120" windowWidth="29040" windowHeight="16440" xr2:uid="{8DAE167A-AF80-4173-BEA0-E03821C027A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  <c r="G9" i="2"/>
  <c r="G8" i="2"/>
  <c r="G7" i="2"/>
  <c r="G6" i="2"/>
  <c r="G5" i="2"/>
  <c r="G4" i="2"/>
  <c r="G3" i="2"/>
  <c r="G2" i="2"/>
  <c r="G18" i="2"/>
  <c r="G17" i="2"/>
  <c r="G13" i="2"/>
  <c r="G12" i="2"/>
  <c r="G11" i="2"/>
  <c r="G22" i="2"/>
  <c r="G21" i="2"/>
  <c r="G20" i="2"/>
  <c r="G19" i="2"/>
  <c r="G16" i="2"/>
  <c r="G15" i="2"/>
  <c r="G14" i="2"/>
  <c r="G24" i="2"/>
  <c r="G23" i="2"/>
  <c r="G10" i="2"/>
</calcChain>
</file>

<file path=xl/sharedStrings.xml><?xml version="1.0" encoding="utf-8"?>
<sst xmlns="http://schemas.openxmlformats.org/spreadsheetml/2006/main" count="280" uniqueCount="52">
  <si>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</si>
  <si>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</si>
  <si>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</si>
  <si>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</si>
  <si>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</si>
  <si>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</si>
  <si>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</si>
  <si>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</si>
  <si>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</si>
  <si>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</si>
  <si>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</si>
  <si>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</si>
  <si>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Margie</t>
  </si>
  <si>
    <t>Horner</t>
  </si>
  <si>
    <t>*****05130</t>
  </si>
  <si>
    <t>Highmark</t>
  </si>
  <si>
    <t>Highmark 2025 PA Replace Street / TrueUp (ProRata: 2)</t>
  </si>
  <si>
    <t>Highmark 2025 PA Replace OR (ProRata: 2)</t>
  </si>
  <si>
    <t>Ryan Stocker</t>
  </si>
  <si>
    <t>Barbara</t>
  </si>
  <si>
    <t>Duke</t>
  </si>
  <si>
    <t>*****23990</t>
  </si>
  <si>
    <t>Highmark 2025 PA Street 10/1 True Up</t>
  </si>
  <si>
    <t>David</t>
  </si>
  <si>
    <t>Altemose</t>
  </si>
  <si>
    <t>*****35670</t>
  </si>
  <si>
    <t>Deborah Inskipt</t>
  </si>
  <si>
    <t>Michele</t>
  </si>
  <si>
    <t>Osborne</t>
  </si>
  <si>
    <t>*****01010</t>
  </si>
  <si>
    <t>Jody</t>
  </si>
  <si>
    <t>Duffy</t>
  </si>
  <si>
    <t>*****27030</t>
  </si>
  <si>
    <t>Kevin</t>
  </si>
  <si>
    <t>*****23500</t>
  </si>
  <si>
    <t>Michelle McCorkle</t>
  </si>
  <si>
    <t>Marylou</t>
  </si>
  <si>
    <t>Bichler</t>
  </si>
  <si>
    <t>*****94210</t>
  </si>
  <si>
    <t>Michelle</t>
  </si>
  <si>
    <t>Mcknight</t>
  </si>
  <si>
    <t>*****09640</t>
  </si>
  <si>
    <t>Highmark 2025 Comm Blue PA Full OR 10/1 TrueUp</t>
  </si>
  <si>
    <t>Highmark 2025 Ovr</t>
  </si>
  <si>
    <t>Highmark MAPD 2025..</t>
  </si>
  <si>
    <t>Highmark MAPD 2025.</t>
  </si>
  <si>
    <t>[%/$=353][prorate=3/12]</t>
  </si>
  <si>
    <t>[%/$=353][prorate=2/12]</t>
  </si>
  <si>
    <t>[%/$=705]</t>
  </si>
  <si>
    <t>Main Line Benefits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</si>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</sst>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 applyFill="1"/>
    <xf numFmtId="14" fontId="1" fillId="0" borderId="0" xfId="0" applyNumberFormat="1" applyFont="1" applyFill="1"/>
    <xf numFmtId="8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8693-CE48-49DE-A8A4-6FB7BFA8850A}">
  <dimension ref="A1:K17"/>
  <sheetViews>
    <sheetView tabSelected="1" workbookViewId="0">
      <selection activeCell="K1" sqref="K1:K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0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18598357</v>
      </c>
      <c r="D2" t="s">
        <v>12</v>
      </c>
      <c r="E2" t="s">
        <v>13</v>
      </c>
      <c r="F2" t="s">
        <v>14</v>
      </c>
      <c r="G2" s="1">
        <v>45962</v>
      </c>
      <c r="H2" s="1">
        <v>45968</v>
      </c>
      <c r="I2" t="s">
        <v>15</v>
      </c>
      <c r="J2" t="s">
        <v>16</v>
      </c>
      <c r="K2" s="2">
        <v>58.83</v>
      </c>
    </row>
    <row r="3" spans="1:11" x14ac:dyDescent="0.25">
      <c r="A3" t="s">
        <v>11</v>
      </c>
      <c r="C3">
        <v>18598357</v>
      </c>
      <c r="D3" t="s">
        <v>12</v>
      </c>
      <c r="E3" t="s">
        <v>13</v>
      </c>
      <c r="F3" t="s">
        <v>14</v>
      </c>
      <c r="G3" s="1">
        <v>45962</v>
      </c>
      <c r="H3" s="1">
        <v>45968</v>
      </c>
      <c r="I3" t="s">
        <v>15</v>
      </c>
      <c r="J3" t="s">
        <v>17</v>
      </c>
      <c r="K3" s="2">
        <v>18.12</v>
      </c>
    </row>
    <row r="4" spans="1:11" x14ac:dyDescent="0.25">
      <c r="A4" t="s">
        <v>18</v>
      </c>
      <c r="C4">
        <v>15950276</v>
      </c>
      <c r="D4" t="s">
        <v>19</v>
      </c>
      <c r="E4" t="s">
        <v>20</v>
      </c>
      <c r="F4" t="s">
        <v>21</v>
      </c>
      <c r="G4" s="1">
        <v>45931</v>
      </c>
      <c r="H4" s="1">
        <v>45968</v>
      </c>
      <c r="I4" t="s">
        <v>15</v>
      </c>
      <c r="J4" t="s">
        <v>22</v>
      </c>
      <c r="K4" s="2">
        <v>616.75</v>
      </c>
    </row>
    <row r="5" spans="1:11" x14ac:dyDescent="0.25">
      <c r="A5" t="s">
        <v>18</v>
      </c>
      <c r="C5">
        <v>15950276</v>
      </c>
      <c r="D5" t="s">
        <v>23</v>
      </c>
      <c r="E5" t="s">
        <v>24</v>
      </c>
      <c r="F5" t="s">
        <v>25</v>
      </c>
      <c r="G5" s="1">
        <v>45931</v>
      </c>
      <c r="H5" s="1">
        <v>45968</v>
      </c>
      <c r="I5" t="s">
        <v>15</v>
      </c>
      <c r="J5" t="s">
        <v>22</v>
      </c>
      <c r="K5" s="2">
        <v>616.75</v>
      </c>
    </row>
    <row r="6" spans="1:11" x14ac:dyDescent="0.25">
      <c r="A6" t="s">
        <v>26</v>
      </c>
      <c r="C6">
        <v>17528908</v>
      </c>
      <c r="D6" t="s">
        <v>27</v>
      </c>
      <c r="E6" t="s">
        <v>28</v>
      </c>
      <c r="F6" t="s">
        <v>29</v>
      </c>
      <c r="G6" s="1">
        <v>45931</v>
      </c>
      <c r="H6" s="1">
        <v>45968</v>
      </c>
      <c r="I6" t="s">
        <v>15</v>
      </c>
      <c r="J6" t="s">
        <v>22</v>
      </c>
      <c r="K6" s="2">
        <v>616.75</v>
      </c>
    </row>
    <row r="7" spans="1:11" x14ac:dyDescent="0.25">
      <c r="A7" t="s">
        <v>26</v>
      </c>
      <c r="C7">
        <v>17528908</v>
      </c>
      <c r="D7" t="s">
        <v>30</v>
      </c>
      <c r="E7" t="s">
        <v>31</v>
      </c>
      <c r="F7" t="s">
        <v>32</v>
      </c>
      <c r="G7" s="1">
        <v>45931</v>
      </c>
      <c r="H7" s="1">
        <v>45968</v>
      </c>
      <c r="I7" t="s">
        <v>15</v>
      </c>
      <c r="J7" t="s">
        <v>22</v>
      </c>
      <c r="K7" s="2">
        <v>616.75</v>
      </c>
    </row>
    <row r="8" spans="1:11" x14ac:dyDescent="0.25">
      <c r="A8" t="s">
        <v>26</v>
      </c>
      <c r="C8">
        <v>17528908</v>
      </c>
      <c r="D8" t="s">
        <v>33</v>
      </c>
      <c r="E8" t="s">
        <v>31</v>
      </c>
      <c r="F8" t="s">
        <v>34</v>
      </c>
      <c r="G8" s="1">
        <v>45931</v>
      </c>
      <c r="H8" s="1">
        <v>45968</v>
      </c>
      <c r="I8" t="s">
        <v>15</v>
      </c>
      <c r="J8" t="s">
        <v>22</v>
      </c>
      <c r="K8" s="2">
        <v>616.75</v>
      </c>
    </row>
    <row r="9" spans="1:11" x14ac:dyDescent="0.25">
      <c r="A9" t="s">
        <v>35</v>
      </c>
      <c r="C9">
        <v>18710070</v>
      </c>
      <c r="D9" t="s">
        <v>36</v>
      </c>
      <c r="E9" t="s">
        <v>37</v>
      </c>
      <c r="F9" t="s">
        <v>38</v>
      </c>
      <c r="G9" s="1">
        <v>45931</v>
      </c>
      <c r="H9" s="1">
        <v>45968</v>
      </c>
      <c r="I9" t="s">
        <v>15</v>
      </c>
      <c r="J9" t="s">
        <v>22</v>
      </c>
      <c r="K9" s="2">
        <v>616.75</v>
      </c>
    </row>
    <row r="10" spans="1:11" x14ac:dyDescent="0.25">
      <c r="A10" t="s">
        <v>35</v>
      </c>
      <c r="C10">
        <v>18710070</v>
      </c>
      <c r="D10" t="s">
        <v>39</v>
      </c>
      <c r="E10" t="s">
        <v>40</v>
      </c>
      <c r="F10" t="s">
        <v>41</v>
      </c>
      <c r="G10" s="1">
        <v>45931</v>
      </c>
      <c r="H10" s="1">
        <v>45968</v>
      </c>
      <c r="I10" t="s">
        <v>15</v>
      </c>
      <c r="J10" t="s">
        <v>22</v>
      </c>
      <c r="K10" s="2">
        <v>616.75</v>
      </c>
    </row>
    <row r="11" spans="1:11" x14ac:dyDescent="0.25">
      <c r="A11" t="s">
        <v>18</v>
      </c>
      <c r="C11">
        <v>15950276</v>
      </c>
      <c r="D11" t="s">
        <v>19</v>
      </c>
      <c r="E11" t="s">
        <v>20</v>
      </c>
      <c r="F11" t="s">
        <v>21</v>
      </c>
      <c r="G11" s="1">
        <v>45931</v>
      </c>
      <c r="H11" s="1">
        <v>45968</v>
      </c>
      <c r="I11" t="s">
        <v>15</v>
      </c>
      <c r="J11" t="s">
        <v>42</v>
      </c>
      <c r="K11" s="2">
        <v>137.81</v>
      </c>
    </row>
    <row r="12" spans="1:11" x14ac:dyDescent="0.25">
      <c r="A12" t="s">
        <v>18</v>
      </c>
      <c r="C12">
        <v>15950276</v>
      </c>
      <c r="D12" t="s">
        <v>23</v>
      </c>
      <c r="E12" t="s">
        <v>24</v>
      </c>
      <c r="F12" t="s">
        <v>25</v>
      </c>
      <c r="G12" s="1">
        <v>45931</v>
      </c>
      <c r="H12" s="1">
        <v>45968</v>
      </c>
      <c r="I12" t="s">
        <v>15</v>
      </c>
      <c r="J12" t="s">
        <v>42</v>
      </c>
      <c r="K12" s="2">
        <v>137.81</v>
      </c>
    </row>
    <row r="13" spans="1:11" x14ac:dyDescent="0.25">
      <c r="A13" t="s">
        <v>26</v>
      </c>
      <c r="C13">
        <v>17528908</v>
      </c>
      <c r="D13" t="s">
        <v>27</v>
      </c>
      <c r="E13" t="s">
        <v>28</v>
      </c>
      <c r="F13" t="s">
        <v>29</v>
      </c>
      <c r="G13" s="1">
        <v>45931</v>
      </c>
      <c r="H13" s="1">
        <v>45968</v>
      </c>
      <c r="I13" t="s">
        <v>15</v>
      </c>
      <c r="J13" t="s">
        <v>42</v>
      </c>
      <c r="K13" s="2">
        <v>137.81</v>
      </c>
    </row>
    <row r="14" spans="1:11" x14ac:dyDescent="0.25">
      <c r="A14" t="s">
        <v>26</v>
      </c>
      <c r="C14">
        <v>17528908</v>
      </c>
      <c r="D14" t="s">
        <v>30</v>
      </c>
      <c r="E14" t="s">
        <v>31</v>
      </c>
      <c r="F14" t="s">
        <v>32</v>
      </c>
      <c r="G14" s="1">
        <v>45931</v>
      </c>
      <c r="H14" s="1">
        <v>45968</v>
      </c>
      <c r="I14" t="s">
        <v>15</v>
      </c>
      <c r="J14" t="s">
        <v>42</v>
      </c>
      <c r="K14" s="2">
        <v>137.81</v>
      </c>
    </row>
    <row r="15" spans="1:11" x14ac:dyDescent="0.25">
      <c r="A15" t="s">
        <v>26</v>
      </c>
      <c r="C15">
        <v>17528908</v>
      </c>
      <c r="D15" t="s">
        <v>33</v>
      </c>
      <c r="E15" t="s">
        <v>31</v>
      </c>
      <c r="F15" t="s">
        <v>34</v>
      </c>
      <c r="G15" s="1">
        <v>45931</v>
      </c>
      <c r="H15" s="1">
        <v>45968</v>
      </c>
      <c r="I15" t="s">
        <v>15</v>
      </c>
      <c r="J15" t="s">
        <v>42</v>
      </c>
      <c r="K15" s="2">
        <v>137.81</v>
      </c>
    </row>
    <row r="16" spans="1:11" x14ac:dyDescent="0.25">
      <c r="A16" t="s">
        <v>35</v>
      </c>
      <c r="C16">
        <v>18710070</v>
      </c>
      <c r="D16" t="s">
        <v>36</v>
      </c>
      <c r="E16" t="s">
        <v>37</v>
      </c>
      <c r="F16" t="s">
        <v>38</v>
      </c>
      <c r="G16" s="1">
        <v>45931</v>
      </c>
      <c r="H16" s="1">
        <v>45968</v>
      </c>
      <c r="I16" t="s">
        <v>15</v>
      </c>
      <c r="J16" t="s">
        <v>42</v>
      </c>
      <c r="K16" s="2">
        <v>137.81</v>
      </c>
    </row>
    <row r="17" spans="1:11" x14ac:dyDescent="0.25">
      <c r="A17" t="s">
        <v>35</v>
      </c>
      <c r="C17">
        <v>18710070</v>
      </c>
      <c r="D17" t="s">
        <v>39</v>
      </c>
      <c r="E17" t="s">
        <v>40</v>
      </c>
      <c r="F17" t="s">
        <v>41</v>
      </c>
      <c r="G17" s="1">
        <v>45931</v>
      </c>
      <c r="H17" s="1">
        <v>45968</v>
      </c>
      <c r="I17" t="s">
        <v>15</v>
      </c>
      <c r="J17" t="s">
        <v>42</v>
      </c>
      <c r="K17" s="2">
        <v>137.81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D175-9350-4C21-9C12-723315C40ACF}">
  <dimension ref="A1:N24"/>
  <sheetViews>
    <sheetView workbookViewId="0">
      <selection activeCell="N2" sqref="N2:N24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3" width="10.5703125" style="3" bestFit="1" customWidth="1"/>
    <col min="4" max="4" width="10.140625" style="3" bestFit="1" customWidth="1"/>
    <col min="5" max="5" width="13.85546875" style="3" bestFit="1" customWidth="1"/>
    <col min="6" max="6" width="11" style="3" bestFit="1" customWidth="1"/>
    <col min="7" max="7" width="11" style="3" customWidth="1"/>
    <col min="8" max="8" width="11.85546875" style="3" bestFit="1" customWidth="1"/>
    <col min="9" max="9" width="14.7109375" style="3" bestFit="1" customWidth="1"/>
    <col min="10" max="10" width="12.7109375" style="3" bestFit="1" customWidth="1"/>
    <col min="11" max="11" width="50.140625" style="3" bestFit="1" customWidth="1"/>
    <col min="12" max="12" width="15.7109375" style="3" bestFit="1" customWidth="1"/>
    <col min="13" max="13" width="21.140625" style="3" bestFit="1" customWidth="1"/>
    <col min="14" max="14" width="23.140625" style="3" bestFit="1" customWidth="1"/>
    <col min="15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4" x14ac:dyDescent="0.25">
      <c r="A2" s="3" t="s">
        <v>49</v>
      </c>
      <c r="B2" s="3">
        <v>20411454</v>
      </c>
      <c r="C2" s="3" t="s">
        <v>12</v>
      </c>
      <c r="D2" s="3" t="s">
        <v>13</v>
      </c>
      <c r="E2" s="3" t="str">
        <f>CONCATENATE(C2, " ",D2)</f>
        <v>Margie Horner</v>
      </c>
      <c r="F2" s="3">
        <v>5130</v>
      </c>
      <c r="G2" s="3" t="str">
        <f>CONCATENATE(F2,"OVR")</f>
        <v>5130OVR</v>
      </c>
      <c r="H2" s="4">
        <v>45962</v>
      </c>
      <c r="I2" s="4">
        <v>45968</v>
      </c>
      <c r="J2" s="3" t="s">
        <v>15</v>
      </c>
      <c r="K2" s="3" t="s">
        <v>17</v>
      </c>
      <c r="L2" s="5">
        <v>18.12</v>
      </c>
      <c r="M2" s="3" t="s">
        <v>43</v>
      </c>
    </row>
    <row r="3" spans="1:14" x14ac:dyDescent="0.25">
      <c r="A3" s="3" t="s">
        <v>49</v>
      </c>
      <c r="B3" s="3">
        <v>20411454</v>
      </c>
      <c r="C3" s="3" t="s">
        <v>19</v>
      </c>
      <c r="D3" s="3" t="s">
        <v>20</v>
      </c>
      <c r="E3" s="3" t="str">
        <f t="shared" ref="E3:E24" si="0">CONCATENATE(C3, " ",D3)</f>
        <v>Barbara Duke</v>
      </c>
      <c r="F3" s="3">
        <v>23990</v>
      </c>
      <c r="G3" s="3" t="str">
        <f>CONCATENATE(F3,"OVR")</f>
        <v>23990OVR</v>
      </c>
      <c r="H3" s="4">
        <v>45931</v>
      </c>
      <c r="I3" s="4">
        <v>45968</v>
      </c>
      <c r="J3" s="3" t="s">
        <v>15</v>
      </c>
      <c r="K3" s="3" t="s">
        <v>42</v>
      </c>
      <c r="L3" s="5">
        <v>137.81</v>
      </c>
      <c r="M3" s="3" t="s">
        <v>43</v>
      </c>
    </row>
    <row r="4" spans="1:14" x14ac:dyDescent="0.25">
      <c r="A4" s="3" t="s">
        <v>49</v>
      </c>
      <c r="B4" s="3">
        <v>20411454</v>
      </c>
      <c r="C4" s="3" t="s">
        <v>23</v>
      </c>
      <c r="D4" s="3" t="s">
        <v>24</v>
      </c>
      <c r="E4" s="3" t="str">
        <f t="shared" si="0"/>
        <v>David Altemose</v>
      </c>
      <c r="F4" s="3">
        <v>35670</v>
      </c>
      <c r="G4" s="3" t="str">
        <f>CONCATENATE(F4,"OVR")</f>
        <v>35670OVR</v>
      </c>
      <c r="H4" s="4">
        <v>45931</v>
      </c>
      <c r="I4" s="4">
        <v>45968</v>
      </c>
      <c r="J4" s="3" t="s">
        <v>15</v>
      </c>
      <c r="K4" s="3" t="s">
        <v>42</v>
      </c>
      <c r="L4" s="5">
        <v>137.81</v>
      </c>
      <c r="M4" s="3" t="s">
        <v>43</v>
      </c>
    </row>
    <row r="5" spans="1:14" x14ac:dyDescent="0.25">
      <c r="A5" s="3" t="s">
        <v>49</v>
      </c>
      <c r="B5" s="3">
        <v>20411454</v>
      </c>
      <c r="C5" s="3" t="s">
        <v>27</v>
      </c>
      <c r="D5" s="3" t="s">
        <v>28</v>
      </c>
      <c r="E5" s="3" t="str">
        <f t="shared" si="0"/>
        <v>Michele Osborne</v>
      </c>
      <c r="F5" s="3">
        <v>1010</v>
      </c>
      <c r="G5" s="3" t="str">
        <f>CONCATENATE(F5,"OVR")</f>
        <v>1010OVR</v>
      </c>
      <c r="H5" s="4">
        <v>45931</v>
      </c>
      <c r="I5" s="4">
        <v>45968</v>
      </c>
      <c r="J5" s="3" t="s">
        <v>15</v>
      </c>
      <c r="K5" s="3" t="s">
        <v>42</v>
      </c>
      <c r="L5" s="5">
        <v>137.81</v>
      </c>
      <c r="M5" s="3" t="s">
        <v>43</v>
      </c>
    </row>
    <row r="6" spans="1:14" x14ac:dyDescent="0.25">
      <c r="A6" s="3" t="s">
        <v>49</v>
      </c>
      <c r="B6" s="3">
        <v>20411454</v>
      </c>
      <c r="C6" s="3" t="s">
        <v>30</v>
      </c>
      <c r="D6" s="3" t="s">
        <v>31</v>
      </c>
      <c r="E6" s="3" t="str">
        <f t="shared" si="0"/>
        <v>Jody Duffy</v>
      </c>
      <c r="F6" s="3">
        <v>27030</v>
      </c>
      <c r="G6" s="3" t="str">
        <f>CONCATENATE(F6,"OVR")</f>
        <v>27030OVR</v>
      </c>
      <c r="H6" s="4">
        <v>45931</v>
      </c>
      <c r="I6" s="4">
        <v>45968</v>
      </c>
      <c r="J6" s="3" t="s">
        <v>15</v>
      </c>
      <c r="K6" s="3" t="s">
        <v>42</v>
      </c>
      <c r="L6" s="5">
        <v>137.81</v>
      </c>
      <c r="M6" s="3" t="s">
        <v>43</v>
      </c>
    </row>
    <row r="7" spans="1:14" x14ac:dyDescent="0.25">
      <c r="A7" s="3" t="s">
        <v>49</v>
      </c>
      <c r="B7" s="3">
        <v>20411454</v>
      </c>
      <c r="C7" s="3" t="s">
        <v>33</v>
      </c>
      <c r="D7" s="3" t="s">
        <v>31</v>
      </c>
      <c r="E7" s="3" t="str">
        <f t="shared" si="0"/>
        <v>Kevin Duffy</v>
      </c>
      <c r="F7" s="3">
        <v>23500</v>
      </c>
      <c r="G7" s="3" t="str">
        <f>CONCATENATE(F7,"OVR")</f>
        <v>23500OVR</v>
      </c>
      <c r="H7" s="4">
        <v>45931</v>
      </c>
      <c r="I7" s="4">
        <v>45968</v>
      </c>
      <c r="J7" s="3" t="s">
        <v>15</v>
      </c>
      <c r="K7" s="3" t="s">
        <v>42</v>
      </c>
      <c r="L7" s="5">
        <v>137.81</v>
      </c>
      <c r="M7" s="3" t="s">
        <v>43</v>
      </c>
    </row>
    <row r="8" spans="1:14" x14ac:dyDescent="0.25">
      <c r="A8" s="3" t="s">
        <v>49</v>
      </c>
      <c r="B8" s="3">
        <v>20411454</v>
      </c>
      <c r="C8" s="3" t="s">
        <v>36</v>
      </c>
      <c r="D8" s="3" t="s">
        <v>37</v>
      </c>
      <c r="E8" s="3" t="str">
        <f t="shared" si="0"/>
        <v>Marylou Bichler</v>
      </c>
      <c r="F8" s="3">
        <v>94210</v>
      </c>
      <c r="G8" s="3" t="str">
        <f>CONCATENATE(F8,"OVR")</f>
        <v>94210OVR</v>
      </c>
      <c r="H8" s="4">
        <v>45931</v>
      </c>
      <c r="I8" s="4">
        <v>45968</v>
      </c>
      <c r="J8" s="3" t="s">
        <v>15</v>
      </c>
      <c r="K8" s="3" t="s">
        <v>42</v>
      </c>
      <c r="L8" s="5">
        <v>137.81</v>
      </c>
      <c r="M8" s="3" t="s">
        <v>43</v>
      </c>
    </row>
    <row r="9" spans="1:14" x14ac:dyDescent="0.25">
      <c r="A9" s="3" t="s">
        <v>49</v>
      </c>
      <c r="B9" s="3">
        <v>20411454</v>
      </c>
      <c r="C9" s="3" t="s">
        <v>39</v>
      </c>
      <c r="D9" s="3" t="s">
        <v>40</v>
      </c>
      <c r="E9" s="3" t="str">
        <f t="shared" si="0"/>
        <v>Michelle Mcknight</v>
      </c>
      <c r="F9" s="3">
        <v>9640</v>
      </c>
      <c r="G9" s="3" t="str">
        <f>CONCATENATE(F9,"OVR")</f>
        <v>9640OVR</v>
      </c>
      <c r="H9" s="4">
        <v>45931</v>
      </c>
      <c r="I9" s="4">
        <v>45968</v>
      </c>
      <c r="J9" s="3" t="s">
        <v>15</v>
      </c>
      <c r="K9" s="3" t="s">
        <v>42</v>
      </c>
      <c r="L9" s="5">
        <v>137.81</v>
      </c>
      <c r="M9" s="3" t="s">
        <v>43</v>
      </c>
    </row>
    <row r="10" spans="1:14" x14ac:dyDescent="0.25">
      <c r="A10" s="3" t="s">
        <v>11</v>
      </c>
      <c r="B10" s="3">
        <v>18598357</v>
      </c>
      <c r="C10" s="3" t="s">
        <v>12</v>
      </c>
      <c r="D10" s="3" t="s">
        <v>13</v>
      </c>
      <c r="E10" s="3" t="str">
        <f t="shared" si="0"/>
        <v>Margie Horner</v>
      </c>
      <c r="F10" s="3">
        <v>5130</v>
      </c>
      <c r="G10" s="3" t="str">
        <f>CONCATENATE(F10,55)</f>
        <v>513055</v>
      </c>
      <c r="H10" s="4">
        <v>45962</v>
      </c>
      <c r="I10" s="4">
        <v>45968</v>
      </c>
      <c r="J10" s="3" t="s">
        <v>15</v>
      </c>
      <c r="K10" s="3" t="s">
        <v>16</v>
      </c>
      <c r="L10" s="5">
        <v>58.83</v>
      </c>
      <c r="M10" s="3" t="s">
        <v>44</v>
      </c>
      <c r="N10" s="3" t="s">
        <v>47</v>
      </c>
    </row>
    <row r="11" spans="1:14" x14ac:dyDescent="0.25">
      <c r="A11" s="3" t="s">
        <v>26</v>
      </c>
      <c r="B11" s="3" t="s">
        <v>50</v>
      </c>
      <c r="C11" s="3" t="s">
        <v>27</v>
      </c>
      <c r="D11" s="3" t="s">
        <v>28</v>
      </c>
      <c r="E11" s="3" t="str">
        <f t="shared" si="0"/>
        <v>Michele Osborne</v>
      </c>
      <c r="F11" s="3">
        <v>1010</v>
      </c>
      <c r="G11" s="3" t="str">
        <f>CONCATENATE(F11,75)</f>
        <v>101075</v>
      </c>
      <c r="H11" s="4">
        <v>45931</v>
      </c>
      <c r="I11" s="4">
        <v>45968</v>
      </c>
      <c r="J11" s="3" t="s">
        <v>15</v>
      </c>
      <c r="K11" s="3" t="s">
        <v>22</v>
      </c>
      <c r="L11" s="5">
        <v>705</v>
      </c>
      <c r="M11" s="3" t="s">
        <v>45</v>
      </c>
      <c r="N11" s="3" t="s">
        <v>48</v>
      </c>
    </row>
    <row r="12" spans="1:14" x14ac:dyDescent="0.25">
      <c r="A12" s="3" t="s">
        <v>26</v>
      </c>
      <c r="B12" s="3" t="s">
        <v>50</v>
      </c>
      <c r="C12" s="3" t="s">
        <v>30</v>
      </c>
      <c r="D12" s="3" t="s">
        <v>31</v>
      </c>
      <c r="E12" s="3" t="str">
        <f t="shared" si="0"/>
        <v>Jody Duffy</v>
      </c>
      <c r="F12" s="3">
        <v>27030</v>
      </c>
      <c r="G12" s="3" t="str">
        <f>CONCATENATE(F12,75)</f>
        <v>2703075</v>
      </c>
      <c r="H12" s="4">
        <v>45931</v>
      </c>
      <c r="I12" s="4">
        <v>45968</v>
      </c>
      <c r="J12" s="3" t="s">
        <v>15</v>
      </c>
      <c r="K12" s="3" t="s">
        <v>22</v>
      </c>
      <c r="L12" s="5">
        <v>705</v>
      </c>
      <c r="M12" s="3" t="s">
        <v>45</v>
      </c>
      <c r="N12" s="3" t="s">
        <v>48</v>
      </c>
    </row>
    <row r="13" spans="1:14" x14ac:dyDescent="0.25">
      <c r="A13" s="3" t="s">
        <v>26</v>
      </c>
      <c r="B13" s="3" t="s">
        <v>50</v>
      </c>
      <c r="C13" s="3" t="s">
        <v>33</v>
      </c>
      <c r="D13" s="3" t="s">
        <v>31</v>
      </c>
      <c r="E13" s="3" t="str">
        <f t="shared" si="0"/>
        <v>Kevin Duffy</v>
      </c>
      <c r="F13" s="3">
        <v>23500</v>
      </c>
      <c r="G13" s="3" t="str">
        <f>CONCATENATE(F13,75)</f>
        <v>2350075</v>
      </c>
      <c r="H13" s="4">
        <v>45931</v>
      </c>
      <c r="I13" s="4">
        <v>45968</v>
      </c>
      <c r="J13" s="3" t="s">
        <v>15</v>
      </c>
      <c r="K13" s="3" t="s">
        <v>22</v>
      </c>
      <c r="L13" s="5">
        <v>705</v>
      </c>
      <c r="M13" s="3" t="s">
        <v>45</v>
      </c>
      <c r="N13" s="3" t="s">
        <v>48</v>
      </c>
    </row>
    <row r="14" spans="1:14" x14ac:dyDescent="0.25">
      <c r="A14" s="3" t="s">
        <v>26</v>
      </c>
      <c r="B14" s="3" t="s">
        <v>50</v>
      </c>
      <c r="C14" s="3" t="s">
        <v>27</v>
      </c>
      <c r="D14" s="3" t="s">
        <v>28</v>
      </c>
      <c r="E14" s="3" t="str">
        <f t="shared" si="0"/>
        <v>Michele Osborne</v>
      </c>
      <c r="F14" s="3">
        <v>1010</v>
      </c>
      <c r="G14" s="3" t="str">
        <f>CONCATENATE(F14,55)</f>
        <v>101055</v>
      </c>
      <c r="H14" s="4">
        <v>45931</v>
      </c>
      <c r="I14" s="4">
        <v>45968</v>
      </c>
      <c r="J14" s="3" t="s">
        <v>15</v>
      </c>
      <c r="K14" s="3" t="s">
        <v>22</v>
      </c>
      <c r="L14" s="5">
        <v>-88.25</v>
      </c>
      <c r="M14" s="3" t="s">
        <v>44</v>
      </c>
      <c r="N14" s="3" t="s">
        <v>46</v>
      </c>
    </row>
    <row r="15" spans="1:14" x14ac:dyDescent="0.25">
      <c r="A15" s="3" t="s">
        <v>26</v>
      </c>
      <c r="B15" s="3" t="s">
        <v>50</v>
      </c>
      <c r="C15" s="3" t="s">
        <v>30</v>
      </c>
      <c r="D15" s="3" t="s">
        <v>31</v>
      </c>
      <c r="E15" s="3" t="str">
        <f t="shared" si="0"/>
        <v>Jody Duffy</v>
      </c>
      <c r="F15" s="3">
        <v>27030</v>
      </c>
      <c r="G15" s="3" t="str">
        <f>CONCATENATE(F15,55)</f>
        <v>2703055</v>
      </c>
      <c r="H15" s="4">
        <v>45931</v>
      </c>
      <c r="I15" s="4">
        <v>45968</v>
      </c>
      <c r="J15" s="3" t="s">
        <v>15</v>
      </c>
      <c r="K15" s="3" t="s">
        <v>22</v>
      </c>
      <c r="L15" s="5">
        <v>-88.25</v>
      </c>
      <c r="M15" s="3" t="s">
        <v>44</v>
      </c>
      <c r="N15" s="3" t="s">
        <v>46</v>
      </c>
    </row>
    <row r="16" spans="1:14" x14ac:dyDescent="0.25">
      <c r="A16" s="3" t="s">
        <v>26</v>
      </c>
      <c r="B16" s="3" t="s">
        <v>50</v>
      </c>
      <c r="C16" s="3" t="s">
        <v>33</v>
      </c>
      <c r="D16" s="3" t="s">
        <v>31</v>
      </c>
      <c r="E16" s="3" t="str">
        <f t="shared" si="0"/>
        <v>Kevin Duffy</v>
      </c>
      <c r="F16" s="3">
        <v>23500</v>
      </c>
      <c r="G16" s="3" t="str">
        <f>CONCATENATE(F16,55)</f>
        <v>2350055</v>
      </c>
      <c r="H16" s="4">
        <v>45931</v>
      </c>
      <c r="I16" s="4">
        <v>45968</v>
      </c>
      <c r="J16" s="3" t="s">
        <v>15</v>
      </c>
      <c r="K16" s="3" t="s">
        <v>22</v>
      </c>
      <c r="L16" s="5">
        <v>-88.25</v>
      </c>
      <c r="M16" s="3" t="s">
        <v>44</v>
      </c>
      <c r="N16" s="3" t="s">
        <v>46</v>
      </c>
    </row>
    <row r="17" spans="1:14" x14ac:dyDescent="0.25">
      <c r="A17" s="3" t="s">
        <v>35</v>
      </c>
      <c r="B17" s="3" t="s">
        <v>51</v>
      </c>
      <c r="C17" s="3" t="s">
        <v>36</v>
      </c>
      <c r="D17" s="3" t="s">
        <v>37</v>
      </c>
      <c r="E17" s="3" t="str">
        <f t="shared" si="0"/>
        <v>Marylou Bichler</v>
      </c>
      <c r="F17" s="3">
        <v>94210</v>
      </c>
      <c r="G17" s="3" t="str">
        <f>CONCATENATE(F17,75)</f>
        <v>9421075</v>
      </c>
      <c r="H17" s="4">
        <v>45931</v>
      </c>
      <c r="I17" s="4">
        <v>45968</v>
      </c>
      <c r="J17" s="3" t="s">
        <v>15</v>
      </c>
      <c r="K17" s="3" t="s">
        <v>22</v>
      </c>
      <c r="L17" s="5">
        <v>705</v>
      </c>
      <c r="M17" s="3" t="s">
        <v>45</v>
      </c>
      <c r="N17" s="3" t="s">
        <v>48</v>
      </c>
    </row>
    <row r="18" spans="1:14" x14ac:dyDescent="0.25">
      <c r="A18" s="3" t="s">
        <v>35</v>
      </c>
      <c r="B18" s="3" t="s">
        <v>51</v>
      </c>
      <c r="C18" s="3" t="s">
        <v>39</v>
      </c>
      <c r="D18" s="3" t="s">
        <v>40</v>
      </c>
      <c r="E18" s="3" t="str">
        <f t="shared" si="0"/>
        <v>Michelle Mcknight</v>
      </c>
      <c r="F18" s="3">
        <v>9640</v>
      </c>
      <c r="G18" s="3" t="str">
        <f>CONCATENATE(F18,75)</f>
        <v>964075</v>
      </c>
      <c r="H18" s="4">
        <v>45931</v>
      </c>
      <c r="I18" s="4">
        <v>45968</v>
      </c>
      <c r="J18" s="3" t="s">
        <v>15</v>
      </c>
      <c r="K18" s="3" t="s">
        <v>22</v>
      </c>
      <c r="L18" s="5">
        <v>705</v>
      </c>
      <c r="M18" s="3" t="s">
        <v>45</v>
      </c>
      <c r="N18" s="3" t="s">
        <v>48</v>
      </c>
    </row>
    <row r="19" spans="1:14" x14ac:dyDescent="0.25">
      <c r="A19" s="3" t="s">
        <v>35</v>
      </c>
      <c r="B19" s="3" t="s">
        <v>51</v>
      </c>
      <c r="C19" s="3" t="s">
        <v>36</v>
      </c>
      <c r="D19" s="3" t="s">
        <v>37</v>
      </c>
      <c r="E19" s="3" t="str">
        <f t="shared" si="0"/>
        <v>Marylou Bichler</v>
      </c>
      <c r="F19" s="3">
        <v>94210</v>
      </c>
      <c r="G19" s="3" t="str">
        <f>CONCATENATE(F19,55)</f>
        <v>9421055</v>
      </c>
      <c r="H19" s="4">
        <v>45931</v>
      </c>
      <c r="I19" s="4">
        <v>45968</v>
      </c>
      <c r="J19" s="3" t="s">
        <v>15</v>
      </c>
      <c r="K19" s="3" t="s">
        <v>22</v>
      </c>
      <c r="L19" s="5">
        <v>-88.25</v>
      </c>
      <c r="M19" s="3" t="s">
        <v>44</v>
      </c>
      <c r="N19" s="3" t="s">
        <v>46</v>
      </c>
    </row>
    <row r="20" spans="1:14" x14ac:dyDescent="0.25">
      <c r="A20" s="3" t="s">
        <v>35</v>
      </c>
      <c r="B20" s="3" t="s">
        <v>51</v>
      </c>
      <c r="C20" s="3" t="s">
        <v>39</v>
      </c>
      <c r="D20" s="3" t="s">
        <v>40</v>
      </c>
      <c r="E20" s="3" t="str">
        <f t="shared" si="0"/>
        <v>Michelle Mcknight</v>
      </c>
      <c r="F20" s="3">
        <v>9640</v>
      </c>
      <c r="G20" s="3" t="str">
        <f>CONCATENATE(F20,55)</f>
        <v>964055</v>
      </c>
      <c r="H20" s="4">
        <v>45931</v>
      </c>
      <c r="I20" s="4">
        <v>45968</v>
      </c>
      <c r="J20" s="3" t="s">
        <v>15</v>
      </c>
      <c r="K20" s="3" t="s">
        <v>22</v>
      </c>
      <c r="L20" s="5">
        <v>-88.25</v>
      </c>
      <c r="M20" s="3" t="s">
        <v>44</v>
      </c>
      <c r="N20" s="3" t="s">
        <v>46</v>
      </c>
    </row>
    <row r="21" spans="1:14" x14ac:dyDescent="0.25">
      <c r="A21" s="3" t="s">
        <v>18</v>
      </c>
      <c r="B21" s="3">
        <v>15950276</v>
      </c>
      <c r="C21" s="3" t="s">
        <v>19</v>
      </c>
      <c r="D21" s="3" t="s">
        <v>20</v>
      </c>
      <c r="E21" s="3" t="str">
        <f t="shared" si="0"/>
        <v>Barbara Duke</v>
      </c>
      <c r="F21" s="3">
        <v>23990</v>
      </c>
      <c r="G21" s="3" t="str">
        <f>CONCATENATE(F21,75)</f>
        <v>2399075</v>
      </c>
      <c r="H21" s="4">
        <v>45931</v>
      </c>
      <c r="I21" s="4">
        <v>45968</v>
      </c>
      <c r="J21" s="3" t="s">
        <v>15</v>
      </c>
      <c r="K21" s="3" t="s">
        <v>22</v>
      </c>
      <c r="L21" s="5">
        <v>705</v>
      </c>
      <c r="M21" s="3" t="s">
        <v>45</v>
      </c>
      <c r="N21" s="3" t="s">
        <v>48</v>
      </c>
    </row>
    <row r="22" spans="1:14" x14ac:dyDescent="0.25">
      <c r="A22" s="3" t="s">
        <v>18</v>
      </c>
      <c r="B22" s="3">
        <v>15950276</v>
      </c>
      <c r="C22" s="3" t="s">
        <v>23</v>
      </c>
      <c r="D22" s="3" t="s">
        <v>24</v>
      </c>
      <c r="E22" s="3" t="str">
        <f t="shared" si="0"/>
        <v>David Altemose</v>
      </c>
      <c r="F22" s="3">
        <v>35670</v>
      </c>
      <c r="G22" s="3" t="str">
        <f>CONCATENATE(F22,75)</f>
        <v>3567075</v>
      </c>
      <c r="H22" s="4">
        <v>45931</v>
      </c>
      <c r="I22" s="4">
        <v>45968</v>
      </c>
      <c r="J22" s="3" t="s">
        <v>15</v>
      </c>
      <c r="K22" s="3" t="s">
        <v>22</v>
      </c>
      <c r="L22" s="5">
        <v>705</v>
      </c>
      <c r="M22" s="3" t="s">
        <v>45</v>
      </c>
      <c r="N22" s="3" t="s">
        <v>48</v>
      </c>
    </row>
    <row r="23" spans="1:14" x14ac:dyDescent="0.25">
      <c r="A23" s="3" t="s">
        <v>18</v>
      </c>
      <c r="B23" s="3">
        <v>15950276</v>
      </c>
      <c r="C23" s="3" t="s">
        <v>19</v>
      </c>
      <c r="D23" s="3" t="s">
        <v>20</v>
      </c>
      <c r="E23" s="3" t="str">
        <f t="shared" si="0"/>
        <v>Barbara Duke</v>
      </c>
      <c r="F23" s="3">
        <v>23990</v>
      </c>
      <c r="G23" s="3" t="str">
        <f>CONCATENATE(F23,55)</f>
        <v>2399055</v>
      </c>
      <c r="H23" s="4">
        <v>45931</v>
      </c>
      <c r="I23" s="4">
        <v>45968</v>
      </c>
      <c r="J23" s="3" t="s">
        <v>15</v>
      </c>
      <c r="K23" s="3" t="s">
        <v>22</v>
      </c>
      <c r="L23" s="5">
        <v>-88.25</v>
      </c>
      <c r="M23" s="3" t="s">
        <v>44</v>
      </c>
      <c r="N23" s="3" t="s">
        <v>46</v>
      </c>
    </row>
    <row r="24" spans="1:14" x14ac:dyDescent="0.25">
      <c r="A24" s="3" t="s">
        <v>18</v>
      </c>
      <c r="B24" s="3">
        <v>15950276</v>
      </c>
      <c r="C24" s="3" t="s">
        <v>23</v>
      </c>
      <c r="D24" s="3" t="s">
        <v>24</v>
      </c>
      <c r="E24" s="3" t="str">
        <f t="shared" si="0"/>
        <v>David Altemose</v>
      </c>
      <c r="F24" s="3">
        <v>35670</v>
      </c>
      <c r="G24" s="3" t="str">
        <f>CONCATENATE(F24,55)</f>
        <v>3567055</v>
      </c>
      <c r="H24" s="4">
        <v>45931</v>
      </c>
      <c r="I24" s="4">
        <v>45968</v>
      </c>
      <c r="J24" s="3" t="s">
        <v>15</v>
      </c>
      <c r="K24" s="3" t="s">
        <v>22</v>
      </c>
      <c r="L24" s="5">
        <v>-88.25</v>
      </c>
      <c r="M24" s="3" t="s">
        <v>44</v>
      </c>
      <c r="N24" s="3" t="s">
        <v>46</v>
      </c>
    </row>
  </sheetData>
  <sortState xmlns:xlrd2="http://schemas.microsoft.com/office/spreadsheetml/2017/richdata2" ref="A10:P24">
    <sortCondition ref="A10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2025-11-07T15:36:38Z</dcterms:created>
  <dcterms:modified xsi:type="dcterms:W3CDTF">2025-11-11T14:13:59Z</dcterms:modified>
</cp:coreProperties>
</file>