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Highmark MAPD 05-02-25 from Ritter\"/>
    </mc:Choice>
  </mc:AlternateContent>
  <xr:revisionPtr revIDLastSave="0" documentId="13_ncr:1_{1FCD1ADA-4F88-49CD-B51D-E5EEDB696CE6}" xr6:coauthVersionLast="47" xr6:coauthVersionMax="47" xr10:uidLastSave="{00000000-0000-0000-0000-000000000000}"/>
  <bookViews>
    <workbookView xWindow="28680" yWindow="-120" windowWidth="29040" windowHeight="16440" activeTab="1" xr2:uid="{7ADE46A0-991D-484B-A070-F1CADAF87248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G22" i="2"/>
  <c r="G17" i="2"/>
  <c r="G14" i="2"/>
  <c r="G10" i="2"/>
  <c r="G5" i="2"/>
  <c r="G19" i="2"/>
  <c r="G3" i="2"/>
  <c r="E3" i="2"/>
  <c r="G23" i="2"/>
  <c r="E23" i="2"/>
  <c r="G18" i="2"/>
  <c r="E18" i="2"/>
  <c r="G15" i="2"/>
  <c r="E15" i="2"/>
  <c r="G11" i="2"/>
  <c r="E11" i="2"/>
  <c r="G6" i="2"/>
  <c r="E6" i="2"/>
  <c r="G20" i="2"/>
  <c r="E20" i="2"/>
  <c r="G8" i="2"/>
  <c r="G30" i="2"/>
  <c r="G28" i="2"/>
  <c r="G29" i="2"/>
  <c r="G9" i="2"/>
  <c r="G26" i="2"/>
  <c r="G21" i="2"/>
  <c r="G12" i="2"/>
  <c r="G4" i="2"/>
  <c r="G13" i="2"/>
  <c r="G7" i="2"/>
  <c r="G24" i="2"/>
  <c r="G16" i="2"/>
  <c r="G25" i="2"/>
  <c r="E16" i="2"/>
  <c r="E27" i="2"/>
  <c r="E24" i="2"/>
  <c r="E7" i="2"/>
  <c r="E13" i="2"/>
  <c r="E4" i="2"/>
  <c r="E12" i="2"/>
  <c r="E21" i="2"/>
  <c r="E26" i="2"/>
  <c r="E9" i="2"/>
  <c r="E29" i="2"/>
  <c r="E28" i="2"/>
  <c r="E8" i="2"/>
  <c r="E30" i="2"/>
  <c r="E19" i="2"/>
  <c r="E5" i="2"/>
  <c r="E10" i="2"/>
  <c r="E14" i="2"/>
  <c r="E17" i="2"/>
  <c r="E22" i="2"/>
  <c r="E2" i="2"/>
  <c r="E25" i="2"/>
</calcChain>
</file>

<file path=xl/sharedStrings.xml><?xml version="1.0" encoding="utf-8"?>
<sst xmlns="http://schemas.openxmlformats.org/spreadsheetml/2006/main" count="360" uniqueCount="71">
  <si>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</si>
  <si>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</si>
  <si>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</si>
  <si>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</si>
  <si>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</si>
  <si>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</si>
  <si>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</si>
  <si>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</si>
  <si>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</si>
  <si>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</si>
  <si>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</si>
  <si>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Michelle McCorkle</t>
  </si>
  <si>
    <t>Terence</t>
  </si>
  <si>
    <t>Jacob</t>
  </si>
  <si>
    <t>*****67170</t>
  </si>
  <si>
    <t>Highmark</t>
  </si>
  <si>
    <t>Highmark 2023-2024  Comm Blue PA Full OR (ProRata: -12)</t>
  </si>
  <si>
    <t>Scott Aguglia</t>
  </si>
  <si>
    <t>Karen</t>
  </si>
  <si>
    <t>Rush</t>
  </si>
  <si>
    <t>*****87660</t>
  </si>
  <si>
    <t>Highmark 2023-2025 PA Renewal OR 4/1 Trueup</t>
  </si>
  <si>
    <t>Highmark 2024 PA Initial Street (ProRata: -12)</t>
  </si>
  <si>
    <t>Deborah Inskipt</t>
  </si>
  <si>
    <t>Robert</t>
  </si>
  <si>
    <t>Allen</t>
  </si>
  <si>
    <t>*****89760</t>
  </si>
  <si>
    <t>Highmark 2025 Comm Blue PA Full OR 4/1 True Up</t>
  </si>
  <si>
    <t>Christopher</t>
  </si>
  <si>
    <t>Lauff</t>
  </si>
  <si>
    <t>*****23630</t>
  </si>
  <si>
    <t>Jayne</t>
  </si>
  <si>
    <t>Capane</t>
  </si>
  <si>
    <t>*****69680</t>
  </si>
  <si>
    <t>Barbara</t>
  </si>
  <si>
    <t>Contenta</t>
  </si>
  <si>
    <t>*****24560</t>
  </si>
  <si>
    <t>James</t>
  </si>
  <si>
    <t>Shook</t>
  </si>
  <si>
    <t>*****39880</t>
  </si>
  <si>
    <t>Maria</t>
  </si>
  <si>
    <t>Welshons</t>
  </si>
  <si>
    <t>*****19300</t>
  </si>
  <si>
    <t>Highmark 2025 PA Replace OR (ProRata: -4)</t>
  </si>
  <si>
    <t>Denise</t>
  </si>
  <si>
    <t>Rumpf</t>
  </si>
  <si>
    <t>*****32690</t>
  </si>
  <si>
    <t>Highmark 2025 PA Replace OR (ProRata: 7)</t>
  </si>
  <si>
    <t>Patricia Long</t>
  </si>
  <si>
    <t>William</t>
  </si>
  <si>
    <t>Baughman</t>
  </si>
  <si>
    <t>*****29220</t>
  </si>
  <si>
    <t>Highmark 2025 PA Replace OR (ProRata: 8)</t>
  </si>
  <si>
    <t>Highmark 2025 PA Replace Street / TrueUp (ProRata: -4)</t>
  </si>
  <si>
    <t>Highmark 2025 PA Replace Street / TrueUp (ProRata: 7)</t>
  </si>
  <si>
    <t>Highmark 2025 PA Replace Street / TrueUp (ProRata: 8)</t>
  </si>
  <si>
    <t>Highmark 2025 PA Street 4/1 True Up</t>
  </si>
  <si>
    <t>Highmark MAPD CT, PA, DC 2024!</t>
  </si>
  <si>
    <t>[%/$=689]</t>
  </si>
  <si>
    <t>Main Line Benefits</t>
  </si>
  <si>
    <t>Highmark 2025 Ovr</t>
  </si>
  <si>
    <t>[%/$=353][prorate=4/12]</t>
  </si>
  <si>
    <t>Highmark MAPD 2025..</t>
  </si>
  <si>
    <t>[%/$=353][prorate=8/12]</t>
  </si>
  <si>
    <t>[%/$=353][prorate=7/12]</t>
  </si>
  <si>
    <t>[%/$=353][prorate=9/12]</t>
  </si>
  <si>
    <t>Highmark MAPD 2025.</t>
  </si>
  <si>
    <t>[%/$=705]</t>
  </si>
  <si>
    <t>17528908N</t>
  </si>
  <si>
    <t>18710070N</t>
  </si>
  <si>
    <t>8971826N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</si>
</sst>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/>
    <xf numFmtId="8" fontId="1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14" fontId="1" fillId="2" borderId="0" xfId="0" applyNumberFormat="1" applyFont="1" applyFill="1"/>
    <xf numFmtId="8" fontId="1" fillId="2" borderId="0" xfId="0" applyNumberFormat="1" applyFont="1" applyFill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7D0B-E056-4F5C-BE90-4AA43358C3DA}">
  <dimension ref="A1:K23"/>
  <sheetViews>
    <sheetView workbookViewId="0">
      <selection activeCell="A22" sqref="A22:XFD22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0.2851562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53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18710070</v>
      </c>
      <c r="D2" t="s">
        <v>12</v>
      </c>
      <c r="E2" t="s">
        <v>13</v>
      </c>
      <c r="F2" t="s">
        <v>14</v>
      </c>
      <c r="G2" s="1">
        <v>45992</v>
      </c>
      <c r="H2" s="1">
        <v>45779</v>
      </c>
      <c r="I2" t="s">
        <v>15</v>
      </c>
      <c r="J2" t="s">
        <v>16</v>
      </c>
      <c r="K2" s="2">
        <v>-112.5</v>
      </c>
    </row>
    <row r="3" spans="1:11" x14ac:dyDescent="0.25">
      <c r="A3" t="s">
        <v>17</v>
      </c>
      <c r="B3">
        <v>8971826</v>
      </c>
      <c r="C3">
        <v>8971826</v>
      </c>
      <c r="D3" t="s">
        <v>18</v>
      </c>
      <c r="E3" t="s">
        <v>19</v>
      </c>
      <c r="F3" t="s">
        <v>20</v>
      </c>
      <c r="G3" s="1">
        <v>45748</v>
      </c>
      <c r="H3" s="1">
        <v>45779</v>
      </c>
      <c r="I3" t="s">
        <v>15</v>
      </c>
      <c r="J3" t="s">
        <v>21</v>
      </c>
      <c r="K3" s="2">
        <v>53.13</v>
      </c>
    </row>
    <row r="4" spans="1:11" x14ac:dyDescent="0.25">
      <c r="A4" t="s">
        <v>11</v>
      </c>
      <c r="C4">
        <v>18710070</v>
      </c>
      <c r="D4" t="s">
        <v>12</v>
      </c>
      <c r="E4" t="s">
        <v>13</v>
      </c>
      <c r="F4" t="s">
        <v>14</v>
      </c>
      <c r="G4" s="1">
        <v>45627</v>
      </c>
      <c r="H4" s="1">
        <v>45779</v>
      </c>
      <c r="I4" t="s">
        <v>15</v>
      </c>
      <c r="J4" t="s">
        <v>22</v>
      </c>
      <c r="K4" s="2">
        <v>-689</v>
      </c>
    </row>
    <row r="5" spans="1:11" s="11" customFormat="1" x14ac:dyDescent="0.25">
      <c r="A5" s="11" t="s">
        <v>23</v>
      </c>
      <c r="B5" s="11">
        <v>17528908</v>
      </c>
      <c r="C5" s="11">
        <v>17528908</v>
      </c>
      <c r="D5" s="11" t="s">
        <v>24</v>
      </c>
      <c r="E5" s="11" t="s">
        <v>25</v>
      </c>
      <c r="F5" s="11" t="s">
        <v>26</v>
      </c>
      <c r="G5" s="12">
        <v>45748</v>
      </c>
      <c r="H5" s="12">
        <v>45779</v>
      </c>
      <c r="I5" s="11" t="s">
        <v>15</v>
      </c>
      <c r="J5" s="11" t="s">
        <v>27</v>
      </c>
      <c r="K5" s="13">
        <v>55.63</v>
      </c>
    </row>
    <row r="6" spans="1:11" x14ac:dyDescent="0.25">
      <c r="A6" t="s">
        <v>23</v>
      </c>
      <c r="B6">
        <v>17528908</v>
      </c>
      <c r="C6">
        <v>17528908</v>
      </c>
      <c r="D6" t="s">
        <v>28</v>
      </c>
      <c r="E6" t="s">
        <v>29</v>
      </c>
      <c r="F6" t="s">
        <v>30</v>
      </c>
      <c r="G6" s="1">
        <v>45748</v>
      </c>
      <c r="H6" s="1">
        <v>45779</v>
      </c>
      <c r="I6" t="s">
        <v>15</v>
      </c>
      <c r="J6" t="s">
        <v>27</v>
      </c>
      <c r="K6" s="2">
        <v>55.63</v>
      </c>
    </row>
    <row r="7" spans="1:11" x14ac:dyDescent="0.25">
      <c r="A7" t="s">
        <v>11</v>
      </c>
      <c r="C7">
        <v>18710070</v>
      </c>
      <c r="D7" t="s">
        <v>31</v>
      </c>
      <c r="E7" t="s">
        <v>32</v>
      </c>
      <c r="F7" t="s">
        <v>33</v>
      </c>
      <c r="G7" s="1">
        <v>45748</v>
      </c>
      <c r="H7" s="1">
        <v>45779</v>
      </c>
      <c r="I7" t="s">
        <v>15</v>
      </c>
      <c r="J7" t="s">
        <v>27</v>
      </c>
      <c r="K7" s="2">
        <v>55.63</v>
      </c>
    </row>
    <row r="8" spans="1:11" x14ac:dyDescent="0.25">
      <c r="A8" t="s">
        <v>23</v>
      </c>
      <c r="B8">
        <v>17528908</v>
      </c>
      <c r="C8">
        <v>17528908</v>
      </c>
      <c r="D8" t="s">
        <v>34</v>
      </c>
      <c r="E8" t="s">
        <v>35</v>
      </c>
      <c r="F8" t="s">
        <v>36</v>
      </c>
      <c r="G8" s="1">
        <v>45748</v>
      </c>
      <c r="H8" s="1">
        <v>45779</v>
      </c>
      <c r="I8" t="s">
        <v>15</v>
      </c>
      <c r="J8" t="s">
        <v>27</v>
      </c>
      <c r="K8" s="2">
        <v>55.63</v>
      </c>
    </row>
    <row r="9" spans="1:11" x14ac:dyDescent="0.25">
      <c r="A9" t="s">
        <v>23</v>
      </c>
      <c r="B9">
        <v>17528908</v>
      </c>
      <c r="C9">
        <v>17528908</v>
      </c>
      <c r="D9" t="s">
        <v>37</v>
      </c>
      <c r="E9" t="s">
        <v>38</v>
      </c>
      <c r="F9" t="s">
        <v>39</v>
      </c>
      <c r="G9" s="1">
        <v>45748</v>
      </c>
      <c r="H9" s="1">
        <v>45779</v>
      </c>
      <c r="I9" t="s">
        <v>15</v>
      </c>
      <c r="J9" t="s">
        <v>27</v>
      </c>
      <c r="K9" s="2">
        <v>55.63</v>
      </c>
    </row>
    <row r="10" spans="1:11" x14ac:dyDescent="0.25">
      <c r="A10" t="s">
        <v>23</v>
      </c>
      <c r="B10">
        <v>17528908</v>
      </c>
      <c r="C10">
        <v>17528908</v>
      </c>
      <c r="D10" t="s">
        <v>40</v>
      </c>
      <c r="E10" t="s">
        <v>41</v>
      </c>
      <c r="F10" t="s">
        <v>42</v>
      </c>
      <c r="G10" s="1">
        <v>45748</v>
      </c>
      <c r="H10" s="1">
        <v>45779</v>
      </c>
      <c r="I10" t="s">
        <v>15</v>
      </c>
      <c r="J10" t="s">
        <v>27</v>
      </c>
      <c r="K10" s="2">
        <v>55.63</v>
      </c>
    </row>
    <row r="11" spans="1:11" x14ac:dyDescent="0.25">
      <c r="A11" t="s">
        <v>11</v>
      </c>
      <c r="C11">
        <v>18710070</v>
      </c>
      <c r="D11" t="s">
        <v>12</v>
      </c>
      <c r="E11" t="s">
        <v>13</v>
      </c>
      <c r="F11" t="s">
        <v>14</v>
      </c>
      <c r="G11" s="1">
        <v>45627</v>
      </c>
      <c r="H11" s="1">
        <v>45779</v>
      </c>
      <c r="I11" t="s">
        <v>15</v>
      </c>
      <c r="J11" t="s">
        <v>43</v>
      </c>
      <c r="K11" s="2">
        <v>-24.16</v>
      </c>
    </row>
    <row r="12" spans="1:11" x14ac:dyDescent="0.25">
      <c r="A12" t="s">
        <v>23</v>
      </c>
      <c r="B12">
        <v>17528908</v>
      </c>
      <c r="C12">
        <v>17528908</v>
      </c>
      <c r="D12" t="s">
        <v>44</v>
      </c>
      <c r="E12" t="s">
        <v>45</v>
      </c>
      <c r="F12" t="s">
        <v>46</v>
      </c>
      <c r="G12" s="1">
        <v>45809</v>
      </c>
      <c r="H12" s="1">
        <v>45779</v>
      </c>
      <c r="I12" t="s">
        <v>15</v>
      </c>
      <c r="J12" t="s">
        <v>47</v>
      </c>
      <c r="K12" s="2">
        <v>42.29</v>
      </c>
    </row>
    <row r="13" spans="1:11" x14ac:dyDescent="0.25">
      <c r="A13" t="s">
        <v>48</v>
      </c>
      <c r="B13">
        <v>18794740</v>
      </c>
      <c r="C13">
        <v>18794740</v>
      </c>
      <c r="D13" t="s">
        <v>49</v>
      </c>
      <c r="E13" t="s">
        <v>50</v>
      </c>
      <c r="F13" t="s">
        <v>51</v>
      </c>
      <c r="G13" s="1">
        <v>45778</v>
      </c>
      <c r="H13" s="1">
        <v>45779</v>
      </c>
      <c r="I13" t="s">
        <v>15</v>
      </c>
      <c r="J13" t="s">
        <v>52</v>
      </c>
      <c r="K13" s="2">
        <v>48.33</v>
      </c>
    </row>
    <row r="14" spans="1:11" x14ac:dyDescent="0.25">
      <c r="A14" t="s">
        <v>11</v>
      </c>
      <c r="C14">
        <v>18710070</v>
      </c>
      <c r="D14" t="s">
        <v>12</v>
      </c>
      <c r="E14" t="s">
        <v>13</v>
      </c>
      <c r="F14" t="s">
        <v>14</v>
      </c>
      <c r="G14" s="1">
        <v>45627</v>
      </c>
      <c r="H14" s="1">
        <v>45779</v>
      </c>
      <c r="I14" t="s">
        <v>15</v>
      </c>
      <c r="J14" t="s">
        <v>53</v>
      </c>
      <c r="K14" s="2">
        <v>-117.66</v>
      </c>
    </row>
    <row r="15" spans="1:11" x14ac:dyDescent="0.25">
      <c r="A15" t="s">
        <v>23</v>
      </c>
      <c r="B15">
        <v>17528908</v>
      </c>
      <c r="C15">
        <v>17528908</v>
      </c>
      <c r="D15" t="s">
        <v>44</v>
      </c>
      <c r="E15" t="s">
        <v>45</v>
      </c>
      <c r="F15" t="s">
        <v>46</v>
      </c>
      <c r="G15" s="1">
        <v>45809</v>
      </c>
      <c r="H15" s="1">
        <v>45779</v>
      </c>
      <c r="I15" t="s">
        <v>15</v>
      </c>
      <c r="J15" t="s">
        <v>54</v>
      </c>
      <c r="K15" s="2">
        <v>205.91</v>
      </c>
    </row>
    <row r="16" spans="1:11" x14ac:dyDescent="0.25">
      <c r="A16" t="s">
        <v>48</v>
      </c>
      <c r="B16">
        <v>18794740</v>
      </c>
      <c r="C16">
        <v>18794740</v>
      </c>
      <c r="D16" t="s">
        <v>49</v>
      </c>
      <c r="E16" t="s">
        <v>50</v>
      </c>
      <c r="F16" t="s">
        <v>51</v>
      </c>
      <c r="G16" s="1">
        <v>45778</v>
      </c>
      <c r="H16" s="1">
        <v>45779</v>
      </c>
      <c r="I16" t="s">
        <v>15</v>
      </c>
      <c r="J16" t="s">
        <v>55</v>
      </c>
      <c r="K16" s="2">
        <v>235.33</v>
      </c>
    </row>
    <row r="17" spans="1:11" x14ac:dyDescent="0.25">
      <c r="A17" t="s">
        <v>23</v>
      </c>
      <c r="B17">
        <v>17528908</v>
      </c>
      <c r="C17">
        <v>17528908</v>
      </c>
      <c r="D17" t="s">
        <v>40</v>
      </c>
      <c r="E17" t="s">
        <v>41</v>
      </c>
      <c r="F17" t="s">
        <v>42</v>
      </c>
      <c r="G17" s="1">
        <v>45748</v>
      </c>
      <c r="H17" s="1">
        <v>45779</v>
      </c>
      <c r="I17" t="s">
        <v>15</v>
      </c>
      <c r="J17" t="s">
        <v>56</v>
      </c>
      <c r="K17" s="2">
        <v>440.25</v>
      </c>
    </row>
    <row r="18" spans="1:11" x14ac:dyDescent="0.25">
      <c r="A18" t="s">
        <v>23</v>
      </c>
      <c r="B18">
        <v>17528908</v>
      </c>
      <c r="C18">
        <v>17528908</v>
      </c>
      <c r="D18" t="s">
        <v>28</v>
      </c>
      <c r="E18" t="s">
        <v>29</v>
      </c>
      <c r="F18" t="s">
        <v>30</v>
      </c>
      <c r="G18" s="1">
        <v>45748</v>
      </c>
      <c r="H18" s="1">
        <v>45779</v>
      </c>
      <c r="I18" t="s">
        <v>15</v>
      </c>
      <c r="J18" t="s">
        <v>56</v>
      </c>
      <c r="K18" s="2">
        <v>440.25</v>
      </c>
    </row>
    <row r="19" spans="1:11" x14ac:dyDescent="0.25">
      <c r="A19" t="s">
        <v>23</v>
      </c>
      <c r="B19">
        <v>17528908</v>
      </c>
      <c r="C19">
        <v>17528908</v>
      </c>
      <c r="D19" t="s">
        <v>37</v>
      </c>
      <c r="E19" t="s">
        <v>38</v>
      </c>
      <c r="F19" t="s">
        <v>39</v>
      </c>
      <c r="G19" s="1">
        <v>45748</v>
      </c>
      <c r="H19" s="1">
        <v>45779</v>
      </c>
      <c r="I19" t="s">
        <v>15</v>
      </c>
      <c r="J19" t="s">
        <v>56</v>
      </c>
      <c r="K19" s="2">
        <v>440.25</v>
      </c>
    </row>
    <row r="20" spans="1:11" x14ac:dyDescent="0.25">
      <c r="A20" t="s">
        <v>11</v>
      </c>
      <c r="C20">
        <v>18710070</v>
      </c>
      <c r="D20" t="s">
        <v>31</v>
      </c>
      <c r="E20" t="s">
        <v>32</v>
      </c>
      <c r="F20" t="s">
        <v>33</v>
      </c>
      <c r="G20" s="1">
        <v>45748</v>
      </c>
      <c r="H20" s="1">
        <v>45779</v>
      </c>
      <c r="I20" t="s">
        <v>15</v>
      </c>
      <c r="J20" t="s">
        <v>56</v>
      </c>
      <c r="K20" s="2">
        <v>440.25</v>
      </c>
    </row>
    <row r="21" spans="1:11" x14ac:dyDescent="0.25">
      <c r="A21" t="s">
        <v>17</v>
      </c>
      <c r="B21">
        <v>8971826</v>
      </c>
      <c r="C21">
        <v>8971826</v>
      </c>
      <c r="D21" t="s">
        <v>18</v>
      </c>
      <c r="E21" t="s">
        <v>19</v>
      </c>
      <c r="F21" t="s">
        <v>20</v>
      </c>
      <c r="G21" s="1">
        <v>45748</v>
      </c>
      <c r="H21" s="1">
        <v>45779</v>
      </c>
      <c r="I21" t="s">
        <v>15</v>
      </c>
      <c r="J21" t="s">
        <v>56</v>
      </c>
      <c r="K21" s="2">
        <v>440.25</v>
      </c>
    </row>
    <row r="22" spans="1:11" s="11" customFormat="1" x14ac:dyDescent="0.25">
      <c r="A22" s="11" t="s">
        <v>23</v>
      </c>
      <c r="B22" s="11">
        <v>17528908</v>
      </c>
      <c r="C22" s="11">
        <v>17528908</v>
      </c>
      <c r="D22" s="11" t="s">
        <v>24</v>
      </c>
      <c r="E22" s="11" t="s">
        <v>25</v>
      </c>
      <c r="F22" s="11" t="s">
        <v>26</v>
      </c>
      <c r="G22" s="12">
        <v>45748</v>
      </c>
      <c r="H22" s="12">
        <v>45779</v>
      </c>
      <c r="I22" s="11" t="s">
        <v>15</v>
      </c>
      <c r="J22" s="11" t="s">
        <v>56</v>
      </c>
      <c r="K22" s="13">
        <v>440.25</v>
      </c>
    </row>
    <row r="23" spans="1:11" x14ac:dyDescent="0.25">
      <c r="A23" t="s">
        <v>23</v>
      </c>
      <c r="B23">
        <v>17528908</v>
      </c>
      <c r="C23">
        <v>17528908</v>
      </c>
      <c r="D23" t="s">
        <v>34</v>
      </c>
      <c r="E23" t="s">
        <v>35</v>
      </c>
      <c r="F23" t="s">
        <v>36</v>
      </c>
      <c r="G23" s="1">
        <v>45748</v>
      </c>
      <c r="H23" s="1">
        <v>45779</v>
      </c>
      <c r="I23" t="s">
        <v>15</v>
      </c>
      <c r="J23" t="s">
        <v>56</v>
      </c>
      <c r="K23" s="2">
        <v>440.25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D5BD-A5DC-4E33-9B32-01306456319B}">
  <dimension ref="A1:N30"/>
  <sheetViews>
    <sheetView tabSelected="1" workbookViewId="0">
      <selection activeCell="A10" sqref="A10:XFD12"/>
    </sheetView>
  </sheetViews>
  <sheetFormatPr defaultRowHeight="15" x14ac:dyDescent="0.25"/>
  <cols>
    <col min="1" max="1" width="17.7109375" style="3" bestFit="1" customWidth="1"/>
    <col min="2" max="2" width="10.7109375" style="3" bestFit="1" customWidth="1"/>
    <col min="3" max="3" width="11.42578125" style="3" bestFit="1" customWidth="1"/>
    <col min="4" max="4" width="10.28515625" style="3" bestFit="1" customWidth="1"/>
    <col min="5" max="5" width="13.5703125" style="3" bestFit="1" customWidth="1"/>
    <col min="6" max="6" width="11" style="3" bestFit="1" customWidth="1"/>
    <col min="7" max="7" width="11" style="4" customWidth="1"/>
    <col min="8" max="8" width="11.85546875" style="3" bestFit="1" customWidth="1"/>
    <col min="9" max="9" width="14.7109375" style="3" bestFit="1" customWidth="1"/>
    <col min="10" max="10" width="12.7109375" style="3" bestFit="1" customWidth="1"/>
    <col min="11" max="11" width="53" style="3" bestFit="1" customWidth="1"/>
    <col min="12" max="12" width="15.7109375" style="3" bestFit="1" customWidth="1"/>
    <col min="13" max="13" width="30.5703125" style="3" bestFit="1" customWidth="1"/>
    <col min="14" max="16384" width="9.140625" style="3"/>
  </cols>
  <sheetData>
    <row r="1" spans="1:14" x14ac:dyDescent="0.25">
      <c r="A1" s="3" t="s">
        <v>0</v>
      </c>
      <c r="B1" s="3" t="s">
        <v>2</v>
      </c>
      <c r="C1" s="3" t="s">
        <v>3</v>
      </c>
      <c r="D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4" x14ac:dyDescent="0.25">
      <c r="A2" s="3" t="s">
        <v>23</v>
      </c>
      <c r="B2" s="3" t="s">
        <v>68</v>
      </c>
      <c r="C2" s="3" t="s">
        <v>34</v>
      </c>
      <c r="D2" s="3" t="s">
        <v>35</v>
      </c>
      <c r="E2" s="3" t="str">
        <f>CONCATENATE(C2, " ",D2)</f>
        <v>Barbara Contenta</v>
      </c>
      <c r="F2" s="3">
        <v>24560</v>
      </c>
      <c r="G2" s="4" t="str">
        <f>CONCATENATE(F2,75)</f>
        <v>2456075</v>
      </c>
      <c r="H2" s="5">
        <v>45748</v>
      </c>
      <c r="I2" s="5">
        <v>45779</v>
      </c>
      <c r="J2" s="3" t="s">
        <v>15</v>
      </c>
      <c r="K2" s="3" t="s">
        <v>56</v>
      </c>
      <c r="L2" s="6">
        <v>705</v>
      </c>
      <c r="M2" s="3" t="s">
        <v>66</v>
      </c>
      <c r="N2" s="3" t="s">
        <v>67</v>
      </c>
    </row>
    <row r="3" spans="1:14" x14ac:dyDescent="0.25">
      <c r="A3" s="3" t="s">
        <v>23</v>
      </c>
      <c r="B3" s="3" t="s">
        <v>68</v>
      </c>
      <c r="C3" s="3" t="s">
        <v>34</v>
      </c>
      <c r="D3" s="3" t="s">
        <v>35</v>
      </c>
      <c r="E3" s="3" t="str">
        <f>CONCATENATE(C3, " ",D3)</f>
        <v>Barbara Contenta</v>
      </c>
      <c r="F3" s="3">
        <v>24560</v>
      </c>
      <c r="G3" s="4" t="str">
        <f>CONCATENATE(F3,55)</f>
        <v>2456055</v>
      </c>
      <c r="H3" s="5">
        <v>45748</v>
      </c>
      <c r="I3" s="5">
        <v>45779</v>
      </c>
      <c r="J3" s="3" t="s">
        <v>15</v>
      </c>
      <c r="K3" s="3" t="s">
        <v>56</v>
      </c>
      <c r="L3" s="6">
        <v>-264.75</v>
      </c>
      <c r="M3" s="3" t="s">
        <v>62</v>
      </c>
      <c r="N3" s="3" t="s">
        <v>65</v>
      </c>
    </row>
    <row r="4" spans="1:14" x14ac:dyDescent="0.25">
      <c r="A4" s="3" t="s">
        <v>59</v>
      </c>
      <c r="B4" s="3">
        <v>20411454</v>
      </c>
      <c r="C4" s="3" t="s">
        <v>34</v>
      </c>
      <c r="D4" s="3" t="s">
        <v>35</v>
      </c>
      <c r="E4" s="3" t="str">
        <f>CONCATENATE(C4, " ",D4)</f>
        <v>Barbara Contenta</v>
      </c>
      <c r="F4" s="3">
        <v>24560</v>
      </c>
      <c r="G4" s="4" t="str">
        <f>CONCATENATE(F4,65)</f>
        <v>2456065</v>
      </c>
      <c r="H4" s="5">
        <v>45748</v>
      </c>
      <c r="I4" s="5">
        <v>45779</v>
      </c>
      <c r="J4" s="3" t="s">
        <v>15</v>
      </c>
      <c r="K4" s="3" t="s">
        <v>27</v>
      </c>
      <c r="L4" s="6">
        <v>55.63</v>
      </c>
      <c r="M4" s="3" t="s">
        <v>60</v>
      </c>
    </row>
    <row r="5" spans="1:14" x14ac:dyDescent="0.25">
      <c r="A5" s="3" t="s">
        <v>23</v>
      </c>
      <c r="B5" s="3" t="s">
        <v>68</v>
      </c>
      <c r="C5" s="3" t="s">
        <v>28</v>
      </c>
      <c r="D5" s="3" t="s">
        <v>29</v>
      </c>
      <c r="E5" s="3" t="str">
        <f>CONCATENATE(C5, " ",D5)</f>
        <v>Christopher Lauff</v>
      </c>
      <c r="F5" s="3">
        <v>23630</v>
      </c>
      <c r="G5" s="4" t="str">
        <f>CONCATENATE(F5,75)</f>
        <v>2363075</v>
      </c>
      <c r="H5" s="5">
        <v>45748</v>
      </c>
      <c r="I5" s="5">
        <v>45779</v>
      </c>
      <c r="J5" s="3" t="s">
        <v>15</v>
      </c>
      <c r="K5" s="3" t="s">
        <v>56</v>
      </c>
      <c r="L5" s="6">
        <v>705</v>
      </c>
      <c r="M5" s="3" t="s">
        <v>66</v>
      </c>
      <c r="N5" s="3" t="s">
        <v>67</v>
      </c>
    </row>
    <row r="6" spans="1:14" s="7" customFormat="1" x14ac:dyDescent="0.25">
      <c r="A6" s="3" t="s">
        <v>23</v>
      </c>
      <c r="B6" s="3" t="s">
        <v>68</v>
      </c>
      <c r="C6" s="3" t="s">
        <v>28</v>
      </c>
      <c r="D6" s="3" t="s">
        <v>29</v>
      </c>
      <c r="E6" s="3" t="str">
        <f>CONCATENATE(C6, " ",D6)</f>
        <v>Christopher Lauff</v>
      </c>
      <c r="F6" s="3">
        <v>23630</v>
      </c>
      <c r="G6" s="4" t="str">
        <f>CONCATENATE(F6,55)</f>
        <v>2363055</v>
      </c>
      <c r="H6" s="5">
        <v>45748</v>
      </c>
      <c r="I6" s="5">
        <v>45779</v>
      </c>
      <c r="J6" s="3" t="s">
        <v>15</v>
      </c>
      <c r="K6" s="3" t="s">
        <v>56</v>
      </c>
      <c r="L6" s="6">
        <v>-264.75</v>
      </c>
      <c r="M6" s="3" t="s">
        <v>62</v>
      </c>
      <c r="N6" s="3" t="s">
        <v>65</v>
      </c>
    </row>
    <row r="7" spans="1:14" x14ac:dyDescent="0.25">
      <c r="A7" s="3" t="s">
        <v>59</v>
      </c>
      <c r="B7" s="3">
        <v>20411454</v>
      </c>
      <c r="C7" s="3" t="s">
        <v>28</v>
      </c>
      <c r="D7" s="3" t="s">
        <v>29</v>
      </c>
      <c r="E7" s="3" t="str">
        <f>CONCATENATE(C7, " ",D7)</f>
        <v>Christopher Lauff</v>
      </c>
      <c r="F7" s="3">
        <v>23630</v>
      </c>
      <c r="G7" s="4" t="str">
        <f>CONCATENATE(F7,65)</f>
        <v>2363065</v>
      </c>
      <c r="H7" s="5">
        <v>45748</v>
      </c>
      <c r="I7" s="5">
        <v>45779</v>
      </c>
      <c r="J7" s="3" t="s">
        <v>15</v>
      </c>
      <c r="K7" s="3" t="s">
        <v>27</v>
      </c>
      <c r="L7" s="6">
        <v>55.63</v>
      </c>
      <c r="M7" s="3" t="s">
        <v>60</v>
      </c>
    </row>
    <row r="8" spans="1:14" x14ac:dyDescent="0.25">
      <c r="A8" s="3" t="s">
        <v>23</v>
      </c>
      <c r="B8" s="3" t="s">
        <v>68</v>
      </c>
      <c r="C8" s="3" t="s">
        <v>44</v>
      </c>
      <c r="D8" s="3" t="s">
        <v>45</v>
      </c>
      <c r="E8" s="3" t="str">
        <f>CONCATENATE(C8, " ",D8)</f>
        <v>Denise Rumpf</v>
      </c>
      <c r="F8" s="3">
        <v>32690</v>
      </c>
      <c r="G8" s="4" t="str">
        <f>CONCATENATE(F8,55)</f>
        <v>3269055</v>
      </c>
      <c r="H8" s="5">
        <v>45809</v>
      </c>
      <c r="I8" s="5">
        <v>45779</v>
      </c>
      <c r="J8" s="3" t="s">
        <v>15</v>
      </c>
      <c r="K8" s="3" t="s">
        <v>54</v>
      </c>
      <c r="L8" s="6">
        <v>205.91</v>
      </c>
      <c r="M8" s="3" t="s">
        <v>62</v>
      </c>
      <c r="N8" s="3" t="s">
        <v>64</v>
      </c>
    </row>
    <row r="9" spans="1:14" x14ac:dyDescent="0.25">
      <c r="A9" s="3" t="s">
        <v>59</v>
      </c>
      <c r="B9" s="3">
        <v>20411454</v>
      </c>
      <c r="C9" s="3" t="s">
        <v>44</v>
      </c>
      <c r="D9" s="3" t="s">
        <v>45</v>
      </c>
      <c r="E9" s="3" t="str">
        <f>CONCATENATE(C9, " ",D9)</f>
        <v>Denise Rumpf</v>
      </c>
      <c r="F9" s="3">
        <v>32690</v>
      </c>
      <c r="G9" s="4" t="str">
        <f>CONCATENATE(F9,65)</f>
        <v>3269065</v>
      </c>
      <c r="H9" s="5">
        <v>45809</v>
      </c>
      <c r="I9" s="5">
        <v>45779</v>
      </c>
      <c r="J9" s="3" t="s">
        <v>15</v>
      </c>
      <c r="K9" s="3" t="s">
        <v>47</v>
      </c>
      <c r="L9" s="6">
        <v>42.29</v>
      </c>
      <c r="M9" s="3" t="s">
        <v>60</v>
      </c>
    </row>
    <row r="10" spans="1:14" s="7" customFormat="1" x14ac:dyDescent="0.25">
      <c r="A10" s="7" t="s">
        <v>23</v>
      </c>
      <c r="B10" s="7" t="s">
        <v>68</v>
      </c>
      <c r="C10" s="7" t="s">
        <v>37</v>
      </c>
      <c r="D10" s="7" t="s">
        <v>38</v>
      </c>
      <c r="E10" s="7" t="str">
        <f>CONCATENATE(C10, " ",D10)</f>
        <v>James Shook</v>
      </c>
      <c r="F10" s="7">
        <v>39880</v>
      </c>
      <c r="G10" s="8" t="str">
        <f>CONCATENATE(F10,75)</f>
        <v>3988075</v>
      </c>
      <c r="H10" s="9">
        <v>45748</v>
      </c>
      <c r="I10" s="9">
        <v>45779</v>
      </c>
      <c r="J10" s="7" t="s">
        <v>15</v>
      </c>
      <c r="K10" s="7" t="s">
        <v>56</v>
      </c>
      <c r="L10" s="10">
        <v>705</v>
      </c>
      <c r="M10" s="7" t="s">
        <v>66</v>
      </c>
      <c r="N10" s="7" t="s">
        <v>67</v>
      </c>
    </row>
    <row r="11" spans="1:14" s="7" customFormat="1" x14ac:dyDescent="0.25">
      <c r="A11" s="7" t="s">
        <v>23</v>
      </c>
      <c r="B11" s="7" t="s">
        <v>68</v>
      </c>
      <c r="C11" s="7" t="s">
        <v>37</v>
      </c>
      <c r="D11" s="7" t="s">
        <v>38</v>
      </c>
      <c r="E11" s="7" t="str">
        <f>CONCATENATE(C11, " ",D11)</f>
        <v>James Shook</v>
      </c>
      <c r="F11" s="7">
        <v>39880</v>
      </c>
      <c r="G11" s="8" t="str">
        <f>CONCATENATE(F11,55)</f>
        <v>3988055</v>
      </c>
      <c r="H11" s="9">
        <v>45748</v>
      </c>
      <c r="I11" s="9">
        <v>45779</v>
      </c>
      <c r="J11" s="7" t="s">
        <v>15</v>
      </c>
      <c r="K11" s="7" t="s">
        <v>56</v>
      </c>
      <c r="L11" s="10">
        <v>-264.75</v>
      </c>
      <c r="M11" s="7" t="s">
        <v>62</v>
      </c>
      <c r="N11" s="7" t="s">
        <v>65</v>
      </c>
    </row>
    <row r="12" spans="1:14" s="7" customFormat="1" x14ac:dyDescent="0.25">
      <c r="A12" s="7" t="s">
        <v>59</v>
      </c>
      <c r="B12" s="7">
        <v>20411454</v>
      </c>
      <c r="C12" s="7" t="s">
        <v>37</v>
      </c>
      <c r="D12" s="7" t="s">
        <v>38</v>
      </c>
      <c r="E12" s="7" t="str">
        <f>CONCATENATE(C12, " ",D12)</f>
        <v>James Shook</v>
      </c>
      <c r="F12" s="7">
        <v>39880</v>
      </c>
      <c r="G12" s="8" t="str">
        <f>CONCATENATE(F12,65)</f>
        <v>3988065</v>
      </c>
      <c r="H12" s="9">
        <v>45748</v>
      </c>
      <c r="I12" s="9">
        <v>45779</v>
      </c>
      <c r="J12" s="7" t="s">
        <v>15</v>
      </c>
      <c r="K12" s="7" t="s">
        <v>27</v>
      </c>
      <c r="L12" s="10">
        <v>55.63</v>
      </c>
      <c r="M12" s="7" t="s">
        <v>60</v>
      </c>
    </row>
    <row r="13" spans="1:14" x14ac:dyDescent="0.25">
      <c r="A13" s="3" t="s">
        <v>59</v>
      </c>
      <c r="B13" s="3">
        <v>20411454</v>
      </c>
      <c r="C13" s="3" t="s">
        <v>31</v>
      </c>
      <c r="D13" s="3" t="s">
        <v>32</v>
      </c>
      <c r="E13" s="3" t="str">
        <f>CONCATENATE(C13, " ",D13)</f>
        <v>Jayne Capane</v>
      </c>
      <c r="F13" s="3">
        <v>69680</v>
      </c>
      <c r="G13" s="4" t="str">
        <f>CONCATENATE(F13,65)</f>
        <v>6968065</v>
      </c>
      <c r="H13" s="5">
        <v>45748</v>
      </c>
      <c r="I13" s="5">
        <v>45779</v>
      </c>
      <c r="J13" s="3" t="s">
        <v>15</v>
      </c>
      <c r="K13" s="3" t="s">
        <v>27</v>
      </c>
      <c r="L13" s="6">
        <v>55.63</v>
      </c>
      <c r="M13" s="3" t="s">
        <v>60</v>
      </c>
    </row>
    <row r="14" spans="1:14" x14ac:dyDescent="0.25">
      <c r="A14" s="3" t="s">
        <v>11</v>
      </c>
      <c r="B14" s="3" t="s">
        <v>69</v>
      </c>
      <c r="C14" s="3" t="s">
        <v>31</v>
      </c>
      <c r="D14" s="3" t="s">
        <v>32</v>
      </c>
      <c r="E14" s="3" t="str">
        <f>CONCATENATE(C14, " ",D14)</f>
        <v>Jayne Capane</v>
      </c>
      <c r="F14" s="3">
        <v>69680</v>
      </c>
      <c r="G14" s="4" t="str">
        <f>CONCATENATE(F14,75)</f>
        <v>6968075</v>
      </c>
      <c r="H14" s="5">
        <v>45748</v>
      </c>
      <c r="I14" s="5">
        <v>45779</v>
      </c>
      <c r="J14" s="3" t="s">
        <v>15</v>
      </c>
      <c r="K14" s="3" t="s">
        <v>56</v>
      </c>
      <c r="L14" s="6">
        <v>705</v>
      </c>
      <c r="M14" s="3" t="s">
        <v>66</v>
      </c>
      <c r="N14" s="3" t="s">
        <v>67</v>
      </c>
    </row>
    <row r="15" spans="1:14" s="7" customFormat="1" x14ac:dyDescent="0.25">
      <c r="A15" s="3" t="s">
        <v>11</v>
      </c>
      <c r="B15" s="3" t="s">
        <v>69</v>
      </c>
      <c r="C15" s="3" t="s">
        <v>31</v>
      </c>
      <c r="D15" s="3" t="s">
        <v>32</v>
      </c>
      <c r="E15" s="3" t="str">
        <f>CONCATENATE(C15, " ",D15)</f>
        <v>Jayne Capane</v>
      </c>
      <c r="F15" s="3">
        <v>69680</v>
      </c>
      <c r="G15" s="4" t="str">
        <f>CONCATENATE(F15,55)</f>
        <v>6968055</v>
      </c>
      <c r="H15" s="5">
        <v>45748</v>
      </c>
      <c r="I15" s="5">
        <v>45779</v>
      </c>
      <c r="J15" s="3" t="s">
        <v>15</v>
      </c>
      <c r="K15" s="3" t="s">
        <v>56</v>
      </c>
      <c r="L15" s="6">
        <v>-264.75</v>
      </c>
      <c r="M15" s="3" t="s">
        <v>62</v>
      </c>
      <c r="N15" s="3" t="s">
        <v>65</v>
      </c>
    </row>
    <row r="16" spans="1:14" s="7" customFormat="1" x14ac:dyDescent="0.25">
      <c r="A16" s="7" t="s">
        <v>59</v>
      </c>
      <c r="B16" s="7">
        <v>20411454</v>
      </c>
      <c r="C16" s="7" t="s">
        <v>18</v>
      </c>
      <c r="D16" s="7" t="s">
        <v>19</v>
      </c>
      <c r="E16" s="7" t="str">
        <f>CONCATENATE(C16, " ",D16)</f>
        <v>Karen Rush</v>
      </c>
      <c r="F16" s="7">
        <v>87660</v>
      </c>
      <c r="G16" s="8" t="str">
        <f>CONCATENATE(F16,65)</f>
        <v>8766065</v>
      </c>
      <c r="H16" s="9">
        <v>45748</v>
      </c>
      <c r="I16" s="9">
        <v>45779</v>
      </c>
      <c r="J16" s="7" t="s">
        <v>15</v>
      </c>
      <c r="K16" s="7" t="s">
        <v>21</v>
      </c>
      <c r="L16" s="10">
        <v>53.13</v>
      </c>
      <c r="M16" s="7" t="s">
        <v>60</v>
      </c>
    </row>
    <row r="17" spans="1:14" s="7" customFormat="1" x14ac:dyDescent="0.25">
      <c r="A17" s="7" t="s">
        <v>17</v>
      </c>
      <c r="B17" s="7" t="s">
        <v>70</v>
      </c>
      <c r="C17" s="7" t="s">
        <v>18</v>
      </c>
      <c r="D17" s="7" t="s">
        <v>19</v>
      </c>
      <c r="E17" s="7" t="str">
        <f>CONCATENATE(C17, " ",D17)</f>
        <v>Karen Rush</v>
      </c>
      <c r="F17" s="7">
        <v>87660</v>
      </c>
      <c r="G17" s="8" t="str">
        <f>CONCATENATE(F17,75)</f>
        <v>8766075</v>
      </c>
      <c r="H17" s="9">
        <v>45748</v>
      </c>
      <c r="I17" s="9">
        <v>45779</v>
      </c>
      <c r="J17" s="7" t="s">
        <v>15</v>
      </c>
      <c r="K17" s="7" t="s">
        <v>56</v>
      </c>
      <c r="L17" s="10">
        <v>705</v>
      </c>
      <c r="M17" s="7" t="s">
        <v>66</v>
      </c>
      <c r="N17" s="7" t="s">
        <v>67</v>
      </c>
    </row>
    <row r="18" spans="1:14" s="7" customFormat="1" x14ac:dyDescent="0.25">
      <c r="A18" s="7" t="s">
        <v>17</v>
      </c>
      <c r="B18" s="7" t="s">
        <v>70</v>
      </c>
      <c r="C18" s="7" t="s">
        <v>18</v>
      </c>
      <c r="D18" s="7" t="s">
        <v>19</v>
      </c>
      <c r="E18" s="7" t="str">
        <f>CONCATENATE(C18, " ",D18)</f>
        <v>Karen Rush</v>
      </c>
      <c r="F18" s="7">
        <v>87660</v>
      </c>
      <c r="G18" s="8" t="str">
        <f>CONCATENATE(F18,55)</f>
        <v>8766055</v>
      </c>
      <c r="H18" s="9">
        <v>45748</v>
      </c>
      <c r="I18" s="9">
        <v>45779</v>
      </c>
      <c r="J18" s="7" t="s">
        <v>15</v>
      </c>
      <c r="K18" s="7" t="s">
        <v>56</v>
      </c>
      <c r="L18" s="10">
        <v>-264.75</v>
      </c>
      <c r="M18" s="7" t="s">
        <v>62</v>
      </c>
      <c r="N18" s="7" t="s">
        <v>65</v>
      </c>
    </row>
    <row r="19" spans="1:14" x14ac:dyDescent="0.25">
      <c r="A19" s="3" t="s">
        <v>23</v>
      </c>
      <c r="B19" s="3" t="s">
        <v>68</v>
      </c>
      <c r="C19" s="3" t="s">
        <v>40</v>
      </c>
      <c r="D19" s="3" t="s">
        <v>41</v>
      </c>
      <c r="E19" s="3" t="str">
        <f>CONCATENATE(C19, " ",D19)</f>
        <v>Maria Welshons</v>
      </c>
      <c r="F19" s="3">
        <v>19300</v>
      </c>
      <c r="G19" s="4" t="str">
        <f>CONCATENATE(F19,75)</f>
        <v>1930075</v>
      </c>
      <c r="H19" s="5">
        <v>45748</v>
      </c>
      <c r="I19" s="5">
        <v>45779</v>
      </c>
      <c r="J19" s="3" t="s">
        <v>15</v>
      </c>
      <c r="K19" s="3" t="s">
        <v>56</v>
      </c>
      <c r="L19" s="6">
        <v>705</v>
      </c>
      <c r="M19" s="3" t="s">
        <v>66</v>
      </c>
      <c r="N19" s="3" t="s">
        <v>67</v>
      </c>
    </row>
    <row r="20" spans="1:14" x14ac:dyDescent="0.25">
      <c r="A20" s="3" t="s">
        <v>23</v>
      </c>
      <c r="B20" s="3" t="s">
        <v>68</v>
      </c>
      <c r="C20" s="3" t="s">
        <v>40</v>
      </c>
      <c r="D20" s="3" t="s">
        <v>41</v>
      </c>
      <c r="E20" s="3" t="str">
        <f>CONCATENATE(C20, " ",D20)</f>
        <v>Maria Welshons</v>
      </c>
      <c r="F20" s="3">
        <v>19300</v>
      </c>
      <c r="G20" s="4" t="str">
        <f>CONCATENATE(F20,55)</f>
        <v>1930055</v>
      </c>
      <c r="H20" s="5">
        <v>45748</v>
      </c>
      <c r="I20" s="5">
        <v>45779</v>
      </c>
      <c r="J20" s="3" t="s">
        <v>15</v>
      </c>
      <c r="K20" s="3" t="s">
        <v>56</v>
      </c>
      <c r="L20" s="6">
        <v>-264.75</v>
      </c>
      <c r="M20" s="3" t="s">
        <v>62</v>
      </c>
      <c r="N20" s="3" t="s">
        <v>65</v>
      </c>
    </row>
    <row r="21" spans="1:14" x14ac:dyDescent="0.25">
      <c r="A21" s="3" t="s">
        <v>59</v>
      </c>
      <c r="B21" s="3">
        <v>20411454</v>
      </c>
      <c r="C21" s="3" t="s">
        <v>40</v>
      </c>
      <c r="D21" s="3" t="s">
        <v>41</v>
      </c>
      <c r="E21" s="3" t="str">
        <f>CONCATENATE(C21, " ",D21)</f>
        <v>Maria Welshons</v>
      </c>
      <c r="F21" s="3">
        <v>19300</v>
      </c>
      <c r="G21" s="4" t="str">
        <f>CONCATENATE(F21,65)</f>
        <v>1930065</v>
      </c>
      <c r="H21" s="5">
        <v>45748</v>
      </c>
      <c r="I21" s="5">
        <v>45779</v>
      </c>
      <c r="J21" s="3" t="s">
        <v>15</v>
      </c>
      <c r="K21" s="3" t="s">
        <v>27</v>
      </c>
      <c r="L21" s="6">
        <v>55.63</v>
      </c>
      <c r="M21" s="3" t="s">
        <v>60</v>
      </c>
    </row>
    <row r="22" spans="1:14" x14ac:dyDescent="0.25">
      <c r="A22" s="7" t="s">
        <v>23</v>
      </c>
      <c r="B22" s="7" t="s">
        <v>68</v>
      </c>
      <c r="C22" s="7" t="s">
        <v>24</v>
      </c>
      <c r="D22" s="7" t="s">
        <v>25</v>
      </c>
      <c r="E22" s="7" t="str">
        <f>CONCATENATE(C22, " ",D22)</f>
        <v>Robert Allen</v>
      </c>
      <c r="F22" s="7">
        <v>89760</v>
      </c>
      <c r="G22" s="8" t="str">
        <f>CONCATENATE(F22,75)</f>
        <v>8976075</v>
      </c>
      <c r="H22" s="9">
        <v>45748</v>
      </c>
      <c r="I22" s="9">
        <v>45779</v>
      </c>
      <c r="J22" s="7" t="s">
        <v>15</v>
      </c>
      <c r="K22" s="7" t="s">
        <v>56</v>
      </c>
      <c r="L22" s="10">
        <v>705</v>
      </c>
      <c r="M22" s="7" t="s">
        <v>66</v>
      </c>
      <c r="N22" s="7" t="s">
        <v>67</v>
      </c>
    </row>
    <row r="23" spans="1:14" x14ac:dyDescent="0.25">
      <c r="A23" s="7" t="s">
        <v>23</v>
      </c>
      <c r="B23" s="7" t="s">
        <v>68</v>
      </c>
      <c r="C23" s="7" t="s">
        <v>24</v>
      </c>
      <c r="D23" s="7" t="s">
        <v>25</v>
      </c>
      <c r="E23" s="7" t="str">
        <f>CONCATENATE(C23, " ",D23)</f>
        <v>Robert Allen</v>
      </c>
      <c r="F23" s="7">
        <v>89760</v>
      </c>
      <c r="G23" s="8" t="str">
        <f>CONCATENATE(F23,55)</f>
        <v>8976055</v>
      </c>
      <c r="H23" s="9">
        <v>45748</v>
      </c>
      <c r="I23" s="9">
        <v>45779</v>
      </c>
      <c r="J23" s="7" t="s">
        <v>15</v>
      </c>
      <c r="K23" s="7" t="s">
        <v>56</v>
      </c>
      <c r="L23" s="10">
        <v>-264.75</v>
      </c>
      <c r="M23" s="7" t="s">
        <v>62</v>
      </c>
      <c r="N23" s="7" t="s">
        <v>65</v>
      </c>
    </row>
    <row r="24" spans="1:14" x14ac:dyDescent="0.25">
      <c r="A24" s="7" t="s">
        <v>59</v>
      </c>
      <c r="B24" s="7">
        <v>20411454</v>
      </c>
      <c r="C24" s="7" t="s">
        <v>24</v>
      </c>
      <c r="D24" s="7" t="s">
        <v>25</v>
      </c>
      <c r="E24" s="7" t="str">
        <f>CONCATENATE(C24, " ",D24)</f>
        <v>Robert Allen</v>
      </c>
      <c r="F24" s="7">
        <v>89760</v>
      </c>
      <c r="G24" s="8" t="str">
        <f>CONCATENATE(F24,65)</f>
        <v>8976065</v>
      </c>
      <c r="H24" s="9">
        <v>45748</v>
      </c>
      <c r="I24" s="9">
        <v>45779</v>
      </c>
      <c r="J24" s="7" t="s">
        <v>15</v>
      </c>
      <c r="K24" s="7" t="s">
        <v>27</v>
      </c>
      <c r="L24" s="10">
        <v>55.63</v>
      </c>
      <c r="M24" s="7" t="s">
        <v>60</v>
      </c>
      <c r="N24" s="7"/>
    </row>
    <row r="25" spans="1:14" x14ac:dyDescent="0.25">
      <c r="A25" s="3" t="s">
        <v>59</v>
      </c>
      <c r="B25" s="3">
        <v>20411454</v>
      </c>
      <c r="C25" s="3" t="s">
        <v>12</v>
      </c>
      <c r="D25" s="3" t="s">
        <v>13</v>
      </c>
      <c r="E25" s="3" t="str">
        <f>CONCATENATE(C25, " ",D25)</f>
        <v>Terence Jacob</v>
      </c>
      <c r="F25" s="3">
        <v>67170</v>
      </c>
      <c r="G25" s="4" t="str">
        <f>CONCATENATE(F25,65)</f>
        <v>6717065</v>
      </c>
      <c r="H25" s="5">
        <v>45992</v>
      </c>
      <c r="I25" s="5">
        <v>45779</v>
      </c>
      <c r="J25" s="3" t="s">
        <v>15</v>
      </c>
      <c r="K25" s="3" t="s">
        <v>16</v>
      </c>
      <c r="L25" s="6">
        <v>-112.5</v>
      </c>
      <c r="M25" s="3" t="s">
        <v>60</v>
      </c>
    </row>
    <row r="26" spans="1:14" x14ac:dyDescent="0.25">
      <c r="A26" s="3" t="s">
        <v>59</v>
      </c>
      <c r="B26" s="3">
        <v>20411454</v>
      </c>
      <c r="C26" s="3" t="s">
        <v>12</v>
      </c>
      <c r="D26" s="3" t="s">
        <v>13</v>
      </c>
      <c r="E26" s="3" t="str">
        <f>CONCATENATE(C26, " ",D26)</f>
        <v>Terence Jacob</v>
      </c>
      <c r="F26" s="3">
        <v>67170</v>
      </c>
      <c r="G26" s="4" t="str">
        <f>CONCATENATE(F26,65)</f>
        <v>6717065</v>
      </c>
      <c r="H26" s="5">
        <v>45627</v>
      </c>
      <c r="I26" s="5">
        <v>45779</v>
      </c>
      <c r="J26" s="3" t="s">
        <v>15</v>
      </c>
      <c r="K26" s="3" t="s">
        <v>43</v>
      </c>
      <c r="L26" s="6">
        <v>-24.16</v>
      </c>
      <c r="M26" s="3" t="s">
        <v>60</v>
      </c>
    </row>
    <row r="27" spans="1:14" x14ac:dyDescent="0.25">
      <c r="A27" s="3" t="s">
        <v>11</v>
      </c>
      <c r="B27" s="3">
        <v>18710070</v>
      </c>
      <c r="C27" s="3" t="s">
        <v>12</v>
      </c>
      <c r="D27" s="3" t="s">
        <v>13</v>
      </c>
      <c r="E27" s="3" t="str">
        <f>CONCATENATE(C27, " ",D27)</f>
        <v>Terence Jacob</v>
      </c>
      <c r="F27" s="3">
        <v>67170</v>
      </c>
      <c r="G27" s="4">
        <v>67170</v>
      </c>
      <c r="H27" s="5">
        <v>45627</v>
      </c>
      <c r="I27" s="5">
        <v>45779</v>
      </c>
      <c r="J27" s="3" t="s">
        <v>15</v>
      </c>
      <c r="K27" s="3" t="s">
        <v>22</v>
      </c>
      <c r="L27" s="6">
        <v>-689</v>
      </c>
      <c r="M27" s="3" t="s">
        <v>57</v>
      </c>
      <c r="N27" s="3" t="s">
        <v>58</v>
      </c>
    </row>
    <row r="28" spans="1:14" x14ac:dyDescent="0.25">
      <c r="A28" s="3" t="s">
        <v>11</v>
      </c>
      <c r="B28" s="3">
        <v>18710070</v>
      </c>
      <c r="C28" s="3" t="s">
        <v>12</v>
      </c>
      <c r="D28" s="3" t="s">
        <v>13</v>
      </c>
      <c r="E28" s="3" t="str">
        <f>CONCATENATE(C28, " ",D28)</f>
        <v>Terence Jacob</v>
      </c>
      <c r="F28" s="3">
        <v>67170</v>
      </c>
      <c r="G28" s="4" t="str">
        <f>CONCATENATE(F28,55)</f>
        <v>6717055</v>
      </c>
      <c r="H28" s="5">
        <v>45627</v>
      </c>
      <c r="I28" s="5">
        <v>45779</v>
      </c>
      <c r="J28" s="3" t="s">
        <v>15</v>
      </c>
      <c r="K28" s="3" t="s">
        <v>53</v>
      </c>
      <c r="L28" s="6">
        <v>-117.66</v>
      </c>
      <c r="M28" s="3" t="s">
        <v>62</v>
      </c>
      <c r="N28" s="3" t="s">
        <v>61</v>
      </c>
    </row>
    <row r="29" spans="1:14" x14ac:dyDescent="0.25">
      <c r="A29" s="3" t="s">
        <v>59</v>
      </c>
      <c r="B29" s="3">
        <v>20411454</v>
      </c>
      <c r="C29" s="3" t="s">
        <v>49</v>
      </c>
      <c r="D29" s="3" t="s">
        <v>50</v>
      </c>
      <c r="E29" s="3" t="str">
        <f>CONCATENATE(C29, " ",D29)</f>
        <v>William Baughman</v>
      </c>
      <c r="F29" s="3">
        <v>29220</v>
      </c>
      <c r="G29" s="4" t="str">
        <f>CONCATENATE(F29,65)</f>
        <v>2922065</v>
      </c>
      <c r="H29" s="5">
        <v>45778</v>
      </c>
      <c r="I29" s="5">
        <v>45779</v>
      </c>
      <c r="J29" s="3" t="s">
        <v>15</v>
      </c>
      <c r="K29" s="3" t="s">
        <v>52</v>
      </c>
      <c r="L29" s="6">
        <v>48.33</v>
      </c>
      <c r="M29" s="3" t="s">
        <v>60</v>
      </c>
    </row>
    <row r="30" spans="1:14" x14ac:dyDescent="0.25">
      <c r="A30" s="3" t="s">
        <v>48</v>
      </c>
      <c r="B30" s="3">
        <v>18794740</v>
      </c>
      <c r="C30" s="3" t="s">
        <v>49</v>
      </c>
      <c r="D30" s="3" t="s">
        <v>50</v>
      </c>
      <c r="E30" s="3" t="str">
        <f>CONCATENATE(C30, " ",D30)</f>
        <v>William Baughman</v>
      </c>
      <c r="F30" s="3">
        <v>29220</v>
      </c>
      <c r="G30" s="4" t="str">
        <f>CONCATENATE(F30,55)</f>
        <v>2922055</v>
      </c>
      <c r="H30" s="5">
        <v>45778</v>
      </c>
      <c r="I30" s="5">
        <v>45779</v>
      </c>
      <c r="J30" s="3" t="s">
        <v>15</v>
      </c>
      <c r="K30" s="3" t="s">
        <v>55</v>
      </c>
      <c r="L30" s="6">
        <v>235.33</v>
      </c>
      <c r="M30" s="3" t="s">
        <v>62</v>
      </c>
      <c r="N30" s="3" t="s">
        <v>63</v>
      </c>
    </row>
  </sheetData>
  <sortState xmlns:xlrd2="http://schemas.microsoft.com/office/spreadsheetml/2017/richdata2" ref="A2:N30">
    <sortCondition ref="E2:E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90A1-512D-4668-90BE-3546473C347B}">
  <dimension ref="F1:F22"/>
  <sheetViews>
    <sheetView workbookViewId="0">
      <selection activeCell="F1" sqref="F1:F22"/>
    </sheetView>
  </sheetViews>
  <sheetFormatPr defaultRowHeight="15" x14ac:dyDescent="0.25"/>
  <sheetData>
    <row r="1" spans="6:6" x14ac:dyDescent="0.25">
      <c r="F1">
        <v>67170</v>
      </c>
    </row>
    <row r="2" spans="6:6" x14ac:dyDescent="0.25">
      <c r="F2">
        <v>87660</v>
      </c>
    </row>
    <row r="3" spans="6:6" x14ac:dyDescent="0.25">
      <c r="F3">
        <v>67170</v>
      </c>
    </row>
    <row r="4" spans="6:6" x14ac:dyDescent="0.25">
      <c r="F4">
        <v>89760</v>
      </c>
    </row>
    <row r="5" spans="6:6" x14ac:dyDescent="0.25">
      <c r="F5">
        <v>23630</v>
      </c>
    </row>
    <row r="6" spans="6:6" x14ac:dyDescent="0.25">
      <c r="F6">
        <v>69680</v>
      </c>
    </row>
    <row r="7" spans="6:6" x14ac:dyDescent="0.25">
      <c r="F7">
        <v>24560</v>
      </c>
    </row>
    <row r="8" spans="6:6" x14ac:dyDescent="0.25">
      <c r="F8">
        <v>39880</v>
      </c>
    </row>
    <row r="9" spans="6:6" x14ac:dyDescent="0.25">
      <c r="F9">
        <v>19300</v>
      </c>
    </row>
    <row r="10" spans="6:6" x14ac:dyDescent="0.25">
      <c r="F10">
        <v>67170</v>
      </c>
    </row>
    <row r="11" spans="6:6" x14ac:dyDescent="0.25">
      <c r="F11">
        <v>32690</v>
      </c>
    </row>
    <row r="12" spans="6:6" x14ac:dyDescent="0.25">
      <c r="F12">
        <v>29220</v>
      </c>
    </row>
    <row r="13" spans="6:6" x14ac:dyDescent="0.25">
      <c r="F13">
        <v>67170</v>
      </c>
    </row>
    <row r="14" spans="6:6" x14ac:dyDescent="0.25">
      <c r="F14">
        <v>32690</v>
      </c>
    </row>
    <row r="15" spans="6:6" x14ac:dyDescent="0.25">
      <c r="F15">
        <v>29220</v>
      </c>
    </row>
    <row r="16" spans="6:6" x14ac:dyDescent="0.25">
      <c r="F16">
        <v>19300</v>
      </c>
    </row>
    <row r="17" spans="6:6" x14ac:dyDescent="0.25">
      <c r="F17">
        <v>23630</v>
      </c>
    </row>
    <row r="18" spans="6:6" x14ac:dyDescent="0.25">
      <c r="F18">
        <v>39880</v>
      </c>
    </row>
    <row r="19" spans="6:6" x14ac:dyDescent="0.25">
      <c r="F19">
        <v>69680</v>
      </c>
    </row>
    <row r="20" spans="6:6" x14ac:dyDescent="0.25">
      <c r="F20">
        <v>87660</v>
      </c>
    </row>
    <row r="21" spans="6:6" x14ac:dyDescent="0.25">
      <c r="F21">
        <v>89760</v>
      </c>
    </row>
    <row r="22" spans="6:6" x14ac:dyDescent="0.25">
      <c r="F22">
        <v>24560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2025-05-02T17:28:07Z</dcterms:created>
  <dcterms:modified xsi:type="dcterms:W3CDTF">2025-05-02T20:44:57Z</dcterms:modified>
</cp:coreProperties>
</file>