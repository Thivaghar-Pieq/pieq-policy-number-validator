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5\Ritter\Highmark 08-08-25 Ritter\"/>
    </mc:Choice>
  </mc:AlternateContent>
  <xr:revisionPtr revIDLastSave="0" documentId="13_ncr:1_{3886DC3D-268F-476C-93D7-DEB08E76D1DB}" xr6:coauthVersionLast="47" xr6:coauthVersionMax="47" xr10:uidLastSave="{00000000-0000-0000-0000-000000000000}"/>
  <bookViews>
    <workbookView xWindow="-57720" yWindow="-45" windowWidth="29040" windowHeight="15720" activeTab="1" xr2:uid="{55B58DDA-F84F-4EEE-B0D9-E1B5889F38E8}"/>
  </bookViews>
  <sheets>
    <sheet name="Commissions_Main Line Benefits,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2" l="1"/>
  <c r="G18" i="2"/>
  <c r="G19" i="2"/>
  <c r="G20" i="2"/>
  <c r="G21" i="2"/>
  <c r="G16" i="2"/>
  <c r="G15" i="2"/>
  <c r="G14" i="2"/>
  <c r="G12" i="2"/>
  <c r="G11" i="2"/>
  <c r="G10" i="2"/>
  <c r="G9" i="2"/>
  <c r="G8" i="2"/>
  <c r="G7" i="2"/>
  <c r="G6" i="2"/>
  <c r="G5" i="2"/>
  <c r="G4" i="2"/>
  <c r="G3" i="2"/>
  <c r="G2" i="2"/>
  <c r="E21" i="2"/>
  <c r="E3" i="2"/>
  <c r="E12" i="2"/>
  <c r="E16" i="2"/>
  <c r="E15" i="2"/>
  <c r="E14" i="2"/>
  <c r="E17" i="2"/>
  <c r="E18" i="2"/>
  <c r="E19" i="2"/>
  <c r="E20" i="2"/>
  <c r="E4" i="2"/>
  <c r="E7" i="2"/>
  <c r="E8" i="2"/>
  <c r="E6" i="2"/>
  <c r="E5" i="2"/>
  <c r="E9" i="2"/>
  <c r="E2" i="2"/>
  <c r="E10" i="2"/>
  <c r="E11" i="2"/>
  <c r="E13" i="2"/>
</calcChain>
</file>

<file path=xl/sharedStrings.xml><?xml version="1.0" encoding="utf-8"?>
<sst xmlns="http://schemas.openxmlformats.org/spreadsheetml/2006/main" count="275" uniqueCount="68">
  <si>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</si>
  <si>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</si>
  <si>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</si>
  <si>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</si>
  <si>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</si>
  <si>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</si>
  <si>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</si>
  <si>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</si>
  <si>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</si>
  <si>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</si>
  <si>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</si>
  <si>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Michelle McCorkle</t>
  </si>
  <si>
    <t>Terence</t>
  </si>
  <si>
    <t>Jacob</t>
  </si>
  <si>
    <t>*****67170</t>
  </si>
  <si>
    <t>Highmark</t>
  </si>
  <si>
    <t>Highmark 2024 PA Initial Street (ProRata: -12)</t>
  </si>
  <si>
    <t>Highmark 2025 PA Replace Street / TrueUp (ProRata: -6)</t>
  </si>
  <si>
    <t>Highmark 2023-2024  Comm Blue PA Full OR (ProRata: -12)</t>
  </si>
  <si>
    <t>Highmark 2025 PA Replace OR (ProRata: -6)</t>
  </si>
  <si>
    <t>Deborah Inskipt</t>
  </si>
  <si>
    <t>Mark</t>
  </si>
  <si>
    <t>Serpa</t>
  </si>
  <si>
    <t>*****59760</t>
  </si>
  <si>
    <t>Highmark 2025 PA Replace Street / TrueUp (ProRata: 5)</t>
  </si>
  <si>
    <t>Dennis</t>
  </si>
  <si>
    <t>Brickley</t>
  </si>
  <si>
    <t>*****41680</t>
  </si>
  <si>
    <t>Highmark 2025 PA Initial Street (ProRata: -12)</t>
  </si>
  <si>
    <t>Highmark 2025 PA Initial Street</t>
  </si>
  <si>
    <t>Edna</t>
  </si>
  <si>
    <t>Kuklis</t>
  </si>
  <si>
    <t>*****55510</t>
  </si>
  <si>
    <t>Emerson</t>
  </si>
  <si>
    <t>Evans</t>
  </si>
  <si>
    <t>*****91260</t>
  </si>
  <si>
    <t>Richard</t>
  </si>
  <si>
    <t>Ryan</t>
  </si>
  <si>
    <t>*****93110</t>
  </si>
  <si>
    <t>Patricia Long</t>
  </si>
  <si>
    <t>Joseph</t>
  </si>
  <si>
    <t>Kurzawa</t>
  </si>
  <si>
    <t>*****72770</t>
  </si>
  <si>
    <t>Highmark 2025 PA Replace Street / TrueUp (ProRata: -5)</t>
  </si>
  <si>
    <t>Klaus Herchenroder</t>
  </si>
  <si>
    <t>Theresa</t>
  </si>
  <si>
    <t>*****00640</t>
  </si>
  <si>
    <t>Highmark 2024-25 DE / WNY Renewal OR (ProRata: 5)</t>
  </si>
  <si>
    <t>Marina O'Brien</t>
  </si>
  <si>
    <t>Sujata</t>
  </si>
  <si>
    <t>Naik</t>
  </si>
  <si>
    <t>*****49730</t>
  </si>
  <si>
    <t>Highmark 2025 PA Replace OR (ProRata: 3)</t>
  </si>
  <si>
    <t>Highmark 2025 PA Replace OR (ProRata: 5)</t>
  </si>
  <si>
    <t>Highmark 2025 Comm Blue PA Full OR (ProRata: -12)</t>
  </si>
  <si>
    <t>Highmark 2025 Comm Blue PA Full OR</t>
  </si>
  <si>
    <t>Highmark 2022-2025 PA DE &amp; WV Replace OR (ProRata: 5)</t>
  </si>
  <si>
    <t>Highmark 2025 PA Replace OR (ProRata: -5)</t>
  </si>
  <si>
    <t>Highmark 2025 Ovr</t>
  </si>
  <si>
    <t>Highmark MAPD 2025.</t>
  </si>
  <si>
    <t>Highmark MAPD PA 2024 Initial</t>
  </si>
  <si>
    <t>Highmark MAPD 2025..</t>
  </si>
  <si>
    <t>[%/$=353][prorate=5/12]</t>
  </si>
  <si>
    <t>[%/$=353][prorate=6/12]</t>
  </si>
  <si>
    <t>[%/$=705]</t>
  </si>
  <si>
    <t>[%/$=689]</t>
  </si>
  <si>
    <t>Main Line Benefits</t>
  </si>
  <si>
    <t>17528908N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</si>
</sst>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50C86-917E-40B0-850E-775500EA3713}">
  <dimension ref="A1:K34"/>
  <sheetViews>
    <sheetView workbookViewId="0">
      <selection activeCell="J26" sqref="J26"/>
    </sheetView>
  </sheetViews>
  <sheetFormatPr defaultRowHeight="15" x14ac:dyDescent="0.25"/>
  <cols>
    <col min="1" max="1" width="18.710937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1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53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18710070</v>
      </c>
      <c r="D2" t="s">
        <v>12</v>
      </c>
      <c r="E2" t="s">
        <v>13</v>
      </c>
      <c r="F2" t="s">
        <v>14</v>
      </c>
      <c r="G2" s="1">
        <v>45627</v>
      </c>
      <c r="H2" s="1">
        <v>45877</v>
      </c>
      <c r="I2" t="s">
        <v>15</v>
      </c>
      <c r="J2" t="s">
        <v>16</v>
      </c>
      <c r="K2" s="2">
        <v>-689</v>
      </c>
    </row>
    <row r="3" spans="1:11" x14ac:dyDescent="0.25">
      <c r="A3" t="s">
        <v>11</v>
      </c>
      <c r="C3">
        <v>18710070</v>
      </c>
      <c r="D3" t="s">
        <v>12</v>
      </c>
      <c r="E3" t="s">
        <v>13</v>
      </c>
      <c r="F3" t="s">
        <v>14</v>
      </c>
      <c r="G3" s="1">
        <v>45627</v>
      </c>
      <c r="H3" s="1">
        <v>45877</v>
      </c>
      <c r="I3" t="s">
        <v>15</v>
      </c>
      <c r="J3" t="s">
        <v>17</v>
      </c>
      <c r="K3" s="2">
        <v>-176.5</v>
      </c>
    </row>
    <row r="4" spans="1:11" x14ac:dyDescent="0.25">
      <c r="A4" t="s">
        <v>11</v>
      </c>
      <c r="C4">
        <v>18710070</v>
      </c>
      <c r="D4" t="s">
        <v>12</v>
      </c>
      <c r="E4" t="s">
        <v>13</v>
      </c>
      <c r="F4" t="s">
        <v>14</v>
      </c>
      <c r="G4" s="1">
        <v>45627</v>
      </c>
      <c r="H4" s="1">
        <v>45877</v>
      </c>
      <c r="I4" t="s">
        <v>15</v>
      </c>
      <c r="J4" t="s">
        <v>18</v>
      </c>
      <c r="K4" s="2">
        <v>-112.5</v>
      </c>
    </row>
    <row r="5" spans="1:11" x14ac:dyDescent="0.25">
      <c r="A5" t="s">
        <v>11</v>
      </c>
      <c r="C5">
        <v>18710070</v>
      </c>
      <c r="D5" t="s">
        <v>12</v>
      </c>
      <c r="E5" t="s">
        <v>13</v>
      </c>
      <c r="F5" t="s">
        <v>14</v>
      </c>
      <c r="G5" s="1">
        <v>45627</v>
      </c>
      <c r="H5" s="1">
        <v>45877</v>
      </c>
      <c r="I5" t="s">
        <v>15</v>
      </c>
      <c r="J5" t="s">
        <v>19</v>
      </c>
      <c r="K5" s="2">
        <v>-36.25</v>
      </c>
    </row>
    <row r="6" spans="1:11" x14ac:dyDescent="0.25">
      <c r="A6" t="s">
        <v>20</v>
      </c>
      <c r="B6">
        <v>17528908</v>
      </c>
      <c r="C6">
        <v>17528908</v>
      </c>
      <c r="D6" t="s">
        <v>21</v>
      </c>
      <c r="E6" t="s">
        <v>22</v>
      </c>
      <c r="F6" t="s">
        <v>23</v>
      </c>
      <c r="G6" s="1">
        <v>45870</v>
      </c>
      <c r="H6" s="1">
        <v>45877</v>
      </c>
      <c r="I6" t="s">
        <v>15</v>
      </c>
      <c r="J6" t="s">
        <v>24</v>
      </c>
      <c r="K6" s="2">
        <v>147.08000000000001</v>
      </c>
    </row>
    <row r="7" spans="1:11" x14ac:dyDescent="0.25">
      <c r="A7" t="s">
        <v>20</v>
      </c>
      <c r="B7">
        <v>17528908</v>
      </c>
      <c r="C7">
        <v>17528908</v>
      </c>
      <c r="D7" t="s">
        <v>25</v>
      </c>
      <c r="E7" t="s">
        <v>26</v>
      </c>
      <c r="F7" t="s">
        <v>27</v>
      </c>
      <c r="G7" s="1">
        <v>45839</v>
      </c>
      <c r="H7" s="1">
        <v>45877</v>
      </c>
      <c r="I7" t="s">
        <v>15</v>
      </c>
      <c r="J7" t="s">
        <v>28</v>
      </c>
      <c r="K7" s="2">
        <v>-705</v>
      </c>
    </row>
    <row r="8" spans="1:11" x14ac:dyDescent="0.25">
      <c r="A8" t="s">
        <v>20</v>
      </c>
      <c r="B8">
        <v>17528908</v>
      </c>
      <c r="C8">
        <v>17528908</v>
      </c>
      <c r="D8" t="s">
        <v>25</v>
      </c>
      <c r="E8" t="s">
        <v>26</v>
      </c>
      <c r="F8" t="s">
        <v>27</v>
      </c>
      <c r="G8" s="1">
        <v>45839</v>
      </c>
      <c r="H8" s="1">
        <v>45877</v>
      </c>
      <c r="I8" t="s">
        <v>15</v>
      </c>
      <c r="J8" t="s">
        <v>29</v>
      </c>
      <c r="K8" s="2">
        <v>705</v>
      </c>
    </row>
    <row r="9" spans="1:11" x14ac:dyDescent="0.25">
      <c r="A9" t="s">
        <v>20</v>
      </c>
      <c r="B9">
        <v>17528908</v>
      </c>
      <c r="C9">
        <v>17528908</v>
      </c>
      <c r="D9" t="s">
        <v>30</v>
      </c>
      <c r="E9" t="s">
        <v>31</v>
      </c>
      <c r="F9" t="s">
        <v>32</v>
      </c>
      <c r="G9" s="1">
        <v>45870</v>
      </c>
      <c r="H9" s="1">
        <v>45877</v>
      </c>
      <c r="I9" t="s">
        <v>15</v>
      </c>
      <c r="J9" t="s">
        <v>24</v>
      </c>
      <c r="K9" s="2">
        <v>147.08000000000001</v>
      </c>
    </row>
    <row r="10" spans="1:11" x14ac:dyDescent="0.25">
      <c r="A10" t="s">
        <v>20</v>
      </c>
      <c r="B10">
        <v>17528908</v>
      </c>
      <c r="C10">
        <v>17528908</v>
      </c>
      <c r="D10" t="s">
        <v>33</v>
      </c>
      <c r="E10" t="s">
        <v>34</v>
      </c>
      <c r="F10" t="s">
        <v>35</v>
      </c>
      <c r="G10" s="1">
        <v>45870</v>
      </c>
      <c r="H10" s="1">
        <v>45877</v>
      </c>
      <c r="I10" t="s">
        <v>15</v>
      </c>
      <c r="J10" t="s">
        <v>24</v>
      </c>
      <c r="K10" s="2">
        <v>147.08000000000001</v>
      </c>
    </row>
    <row r="11" spans="1:11" x14ac:dyDescent="0.25">
      <c r="A11" t="s">
        <v>11</v>
      </c>
      <c r="C11">
        <v>18710070</v>
      </c>
      <c r="D11" t="s">
        <v>36</v>
      </c>
      <c r="E11" t="s">
        <v>37</v>
      </c>
      <c r="F11" t="s">
        <v>38</v>
      </c>
      <c r="G11" s="1">
        <v>45870</v>
      </c>
      <c r="H11" s="1">
        <v>45877</v>
      </c>
      <c r="I11" t="s">
        <v>15</v>
      </c>
      <c r="J11" t="s">
        <v>24</v>
      </c>
      <c r="K11" s="2">
        <v>147.08000000000001</v>
      </c>
    </row>
    <row r="12" spans="1:11" x14ac:dyDescent="0.25">
      <c r="A12" t="s">
        <v>39</v>
      </c>
      <c r="B12">
        <v>18794740</v>
      </c>
      <c r="C12">
        <v>18794740</v>
      </c>
      <c r="D12" t="s">
        <v>40</v>
      </c>
      <c r="E12" t="s">
        <v>41</v>
      </c>
      <c r="F12" t="s">
        <v>42</v>
      </c>
      <c r="G12" s="1">
        <v>45689</v>
      </c>
      <c r="H12" s="1">
        <v>45877</v>
      </c>
      <c r="I12" t="s">
        <v>15</v>
      </c>
      <c r="J12" t="s">
        <v>43</v>
      </c>
      <c r="K12" s="2">
        <v>-147.08000000000001</v>
      </c>
    </row>
    <row r="13" spans="1:11" x14ac:dyDescent="0.25">
      <c r="A13" t="s">
        <v>44</v>
      </c>
      <c r="C13">
        <v>14936854</v>
      </c>
      <c r="D13" t="s">
        <v>45</v>
      </c>
      <c r="E13" t="s">
        <v>34</v>
      </c>
      <c r="F13" t="s">
        <v>46</v>
      </c>
      <c r="G13" s="1">
        <v>45870</v>
      </c>
      <c r="H13" s="1">
        <v>45877</v>
      </c>
      <c r="I13" t="s">
        <v>15</v>
      </c>
      <c r="J13" t="s">
        <v>47</v>
      </c>
      <c r="K13" s="2">
        <v>20.83</v>
      </c>
    </row>
    <row r="14" spans="1:11" x14ac:dyDescent="0.25">
      <c r="A14" t="s">
        <v>48</v>
      </c>
      <c r="C14">
        <v>16865242</v>
      </c>
      <c r="D14" t="s">
        <v>49</v>
      </c>
      <c r="E14" t="s">
        <v>50</v>
      </c>
      <c r="F14" t="s">
        <v>51</v>
      </c>
      <c r="G14" s="1">
        <v>45931</v>
      </c>
      <c r="H14" s="1">
        <v>45877</v>
      </c>
      <c r="I14" t="s">
        <v>15</v>
      </c>
      <c r="J14" t="s">
        <v>52</v>
      </c>
      <c r="K14" s="2">
        <v>18.12</v>
      </c>
    </row>
    <row r="15" spans="1:11" x14ac:dyDescent="0.25">
      <c r="A15" t="s">
        <v>20</v>
      </c>
      <c r="B15">
        <v>17528908</v>
      </c>
      <c r="C15">
        <v>17528908</v>
      </c>
      <c r="D15" t="s">
        <v>21</v>
      </c>
      <c r="E15" t="s">
        <v>22</v>
      </c>
      <c r="F15" t="s">
        <v>23</v>
      </c>
      <c r="G15" s="1">
        <v>45870</v>
      </c>
      <c r="H15" s="1">
        <v>45877</v>
      </c>
      <c r="I15" t="s">
        <v>15</v>
      </c>
      <c r="J15" t="s">
        <v>53</v>
      </c>
      <c r="K15" s="2">
        <v>30.2</v>
      </c>
    </row>
    <row r="16" spans="1:11" x14ac:dyDescent="0.25">
      <c r="A16" t="s">
        <v>20</v>
      </c>
      <c r="B16">
        <v>17528908</v>
      </c>
      <c r="C16">
        <v>17528908</v>
      </c>
      <c r="D16" t="s">
        <v>25</v>
      </c>
      <c r="E16" t="s">
        <v>26</v>
      </c>
      <c r="F16" t="s">
        <v>27</v>
      </c>
      <c r="G16" s="1">
        <v>45839</v>
      </c>
      <c r="H16" s="1">
        <v>45877</v>
      </c>
      <c r="I16" t="s">
        <v>15</v>
      </c>
      <c r="J16" t="s">
        <v>54</v>
      </c>
      <c r="K16" s="2">
        <v>-110</v>
      </c>
    </row>
    <row r="17" spans="1:11" x14ac:dyDescent="0.25">
      <c r="A17" t="s">
        <v>20</v>
      </c>
      <c r="B17">
        <v>17528908</v>
      </c>
      <c r="C17">
        <v>17528908</v>
      </c>
      <c r="D17" t="s">
        <v>25</v>
      </c>
      <c r="E17" t="s">
        <v>26</v>
      </c>
      <c r="F17" t="s">
        <v>27</v>
      </c>
      <c r="G17" s="1">
        <v>45839</v>
      </c>
      <c r="H17" s="1">
        <v>45877</v>
      </c>
      <c r="I17" t="s">
        <v>15</v>
      </c>
      <c r="J17" t="s">
        <v>55</v>
      </c>
      <c r="K17" s="2">
        <v>110</v>
      </c>
    </row>
    <row r="18" spans="1:11" x14ac:dyDescent="0.25">
      <c r="A18" t="s">
        <v>20</v>
      </c>
      <c r="B18">
        <v>17528908</v>
      </c>
      <c r="C18">
        <v>17528908</v>
      </c>
      <c r="D18" t="s">
        <v>30</v>
      </c>
      <c r="E18" t="s">
        <v>31</v>
      </c>
      <c r="F18" t="s">
        <v>32</v>
      </c>
      <c r="G18" s="1">
        <v>45870</v>
      </c>
      <c r="H18" s="1">
        <v>45877</v>
      </c>
      <c r="I18" t="s">
        <v>15</v>
      </c>
      <c r="J18" t="s">
        <v>53</v>
      </c>
      <c r="K18" s="2">
        <v>30.2</v>
      </c>
    </row>
    <row r="19" spans="1:11" x14ac:dyDescent="0.25">
      <c r="A19" t="s">
        <v>20</v>
      </c>
      <c r="B19">
        <v>17528908</v>
      </c>
      <c r="C19">
        <v>17528908</v>
      </c>
      <c r="D19" t="s">
        <v>33</v>
      </c>
      <c r="E19" t="s">
        <v>34</v>
      </c>
      <c r="F19" t="s">
        <v>35</v>
      </c>
      <c r="G19" s="1">
        <v>45870</v>
      </c>
      <c r="H19" s="1">
        <v>45877</v>
      </c>
      <c r="I19" t="s">
        <v>15</v>
      </c>
      <c r="J19" t="s">
        <v>56</v>
      </c>
      <c r="K19" s="2">
        <v>26.04</v>
      </c>
    </row>
    <row r="20" spans="1:11" x14ac:dyDescent="0.25">
      <c r="A20" t="s">
        <v>11</v>
      </c>
      <c r="C20">
        <v>18710070</v>
      </c>
      <c r="D20" t="s">
        <v>36</v>
      </c>
      <c r="E20" t="s">
        <v>37</v>
      </c>
      <c r="F20" t="s">
        <v>38</v>
      </c>
      <c r="G20" s="1">
        <v>45870</v>
      </c>
      <c r="H20" s="1">
        <v>45877</v>
      </c>
      <c r="I20" t="s">
        <v>15</v>
      </c>
      <c r="J20" t="s">
        <v>53</v>
      </c>
      <c r="K20" s="2">
        <v>30.2</v>
      </c>
    </row>
    <row r="21" spans="1:11" x14ac:dyDescent="0.25">
      <c r="A21" t="s">
        <v>39</v>
      </c>
      <c r="B21">
        <v>18794740</v>
      </c>
      <c r="C21">
        <v>18794740</v>
      </c>
      <c r="D21" t="s">
        <v>40</v>
      </c>
      <c r="E21" t="s">
        <v>41</v>
      </c>
      <c r="F21" t="s">
        <v>42</v>
      </c>
      <c r="G21" s="1">
        <v>45689</v>
      </c>
      <c r="H21" s="1">
        <v>45877</v>
      </c>
      <c r="I21" t="s">
        <v>15</v>
      </c>
      <c r="J21" t="s">
        <v>57</v>
      </c>
      <c r="K21" s="2">
        <v>-30.2</v>
      </c>
    </row>
    <row r="22" spans="1:11" x14ac:dyDescent="0.25">
      <c r="G22" s="1"/>
      <c r="H22" s="1"/>
      <c r="K22" s="2"/>
    </row>
    <row r="23" spans="1:11" x14ac:dyDescent="0.25">
      <c r="G23" s="1"/>
      <c r="H23" s="1"/>
      <c r="K23" s="2"/>
    </row>
    <row r="33" spans="7:11" x14ac:dyDescent="0.25">
      <c r="G33" s="1"/>
      <c r="H33" s="1"/>
      <c r="K33" s="2"/>
    </row>
    <row r="34" spans="7:11" x14ac:dyDescent="0.25">
      <c r="G34" s="1"/>
      <c r="H34" s="1"/>
      <c r="K34" s="2"/>
    </row>
  </sheetData>
  <sortState xmlns:xlrd2="http://schemas.microsoft.com/office/spreadsheetml/2017/richdata2" ref="A2:K40">
    <sortCondition ref="I2:I4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696BA-5F7C-4D23-BD8F-06A709291CAE}">
  <dimension ref="A1:N34"/>
  <sheetViews>
    <sheetView tabSelected="1" workbookViewId="0">
      <selection activeCell="G18" sqref="G18"/>
    </sheetView>
  </sheetViews>
  <sheetFormatPr defaultRowHeight="15" x14ac:dyDescent="0.25"/>
  <cols>
    <col min="1" max="1" width="18.7109375" bestFit="1" customWidth="1"/>
    <col min="2" max="2" width="10.7109375" bestFit="1" customWidth="1"/>
    <col min="3" max="3" width="10.5703125" bestFit="1" customWidth="1"/>
    <col min="4" max="4" width="10.140625" bestFit="1" customWidth="1"/>
    <col min="5" max="5" width="13.5703125" bestFit="1" customWidth="1"/>
    <col min="6" max="6" width="13.85546875" bestFit="1" customWidth="1"/>
    <col min="7" max="7" width="13.85546875" customWidth="1"/>
    <col min="8" max="8" width="11.85546875" bestFit="1" customWidth="1"/>
    <col min="9" max="9" width="14.7109375" bestFit="1" customWidth="1"/>
    <col min="10" max="10" width="12.7109375" bestFit="1" customWidth="1"/>
    <col min="11" max="11" width="67.7109375" bestFit="1" customWidth="1"/>
    <col min="12" max="12" width="15.7109375" bestFit="1" customWidth="1"/>
    <col min="13" max="13" width="28.7109375" bestFit="1" customWidth="1"/>
  </cols>
  <sheetData>
    <row r="1" spans="1:14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4" x14ac:dyDescent="0.25">
      <c r="A2" t="s">
        <v>66</v>
      </c>
      <c r="B2">
        <v>20411454</v>
      </c>
      <c r="C2" t="s">
        <v>33</v>
      </c>
      <c r="D2" t="s">
        <v>34</v>
      </c>
      <c r="E2" t="str">
        <f t="shared" ref="E2:E21" si="0">CONCATENATE(C2, " ",D2)</f>
        <v>Emerson Evans</v>
      </c>
      <c r="F2">
        <v>91260</v>
      </c>
      <c r="G2" t="str">
        <f>CONCATENATE(F2,65)</f>
        <v>9126065</v>
      </c>
      <c r="H2" s="1">
        <v>45870</v>
      </c>
      <c r="I2" s="1">
        <v>45877</v>
      </c>
      <c r="J2" t="s">
        <v>15</v>
      </c>
      <c r="K2" t="s">
        <v>56</v>
      </c>
      <c r="L2" s="2">
        <v>26.04</v>
      </c>
      <c r="M2" t="s">
        <v>58</v>
      </c>
    </row>
    <row r="3" spans="1:14" x14ac:dyDescent="0.25">
      <c r="A3" t="s">
        <v>66</v>
      </c>
      <c r="B3">
        <v>20411454</v>
      </c>
      <c r="C3" t="s">
        <v>12</v>
      </c>
      <c r="D3" t="s">
        <v>13</v>
      </c>
      <c r="E3" t="str">
        <f t="shared" si="0"/>
        <v>Terence Jacob</v>
      </c>
      <c r="F3">
        <v>67170</v>
      </c>
      <c r="G3" t="str">
        <f t="shared" ref="G3:G12" si="1">CONCATENATE(F3,65)</f>
        <v>6717065</v>
      </c>
      <c r="H3" s="1">
        <v>45627</v>
      </c>
      <c r="I3" s="1">
        <v>45877</v>
      </c>
      <c r="J3" t="s">
        <v>15</v>
      </c>
      <c r="K3" t="s">
        <v>18</v>
      </c>
      <c r="L3" s="2">
        <v>-112.5</v>
      </c>
      <c r="M3" t="s">
        <v>58</v>
      </c>
    </row>
    <row r="4" spans="1:14" x14ac:dyDescent="0.25">
      <c r="A4" t="s">
        <v>66</v>
      </c>
      <c r="B4">
        <v>20411454</v>
      </c>
      <c r="C4" t="s">
        <v>45</v>
      </c>
      <c r="D4" t="s">
        <v>34</v>
      </c>
      <c r="E4" t="str">
        <f t="shared" si="0"/>
        <v>Theresa Evans</v>
      </c>
      <c r="F4">
        <v>640</v>
      </c>
      <c r="G4" t="str">
        <f t="shared" si="1"/>
        <v>64065</v>
      </c>
      <c r="H4" s="1">
        <v>45870</v>
      </c>
      <c r="I4" s="1">
        <v>45877</v>
      </c>
      <c r="J4" t="s">
        <v>15</v>
      </c>
      <c r="K4" t="s">
        <v>47</v>
      </c>
      <c r="L4" s="2">
        <v>20.83</v>
      </c>
      <c r="M4" t="s">
        <v>58</v>
      </c>
    </row>
    <row r="5" spans="1:14" x14ac:dyDescent="0.25">
      <c r="A5" t="s">
        <v>66</v>
      </c>
      <c r="B5">
        <v>20411454</v>
      </c>
      <c r="C5" t="s">
        <v>25</v>
      </c>
      <c r="D5" t="s">
        <v>26</v>
      </c>
      <c r="E5" t="str">
        <f t="shared" si="0"/>
        <v>Dennis Brickley</v>
      </c>
      <c r="F5">
        <v>41680</v>
      </c>
      <c r="G5" t="str">
        <f t="shared" si="1"/>
        <v>4168065</v>
      </c>
      <c r="H5" s="1">
        <v>45839</v>
      </c>
      <c r="I5" s="1">
        <v>45877</v>
      </c>
      <c r="J5" t="s">
        <v>15</v>
      </c>
      <c r="K5" t="s">
        <v>55</v>
      </c>
      <c r="L5" s="2">
        <v>110</v>
      </c>
      <c r="M5" t="s">
        <v>58</v>
      </c>
    </row>
    <row r="6" spans="1:14" x14ac:dyDescent="0.25">
      <c r="A6" t="s">
        <v>66</v>
      </c>
      <c r="B6">
        <v>20411454</v>
      </c>
      <c r="C6" t="s">
        <v>25</v>
      </c>
      <c r="D6" t="s">
        <v>26</v>
      </c>
      <c r="E6" t="str">
        <f t="shared" si="0"/>
        <v>Dennis Brickley</v>
      </c>
      <c r="F6">
        <v>41680</v>
      </c>
      <c r="G6" t="str">
        <f t="shared" si="1"/>
        <v>4168065</v>
      </c>
      <c r="H6" s="1">
        <v>45839</v>
      </c>
      <c r="I6" s="1">
        <v>45877</v>
      </c>
      <c r="J6" t="s">
        <v>15</v>
      </c>
      <c r="K6" t="s">
        <v>54</v>
      </c>
      <c r="L6" s="2">
        <v>-110</v>
      </c>
      <c r="M6" t="s">
        <v>58</v>
      </c>
    </row>
    <row r="7" spans="1:14" x14ac:dyDescent="0.25">
      <c r="A7" t="s">
        <v>66</v>
      </c>
      <c r="B7">
        <v>20411454</v>
      </c>
      <c r="C7" t="s">
        <v>49</v>
      </c>
      <c r="D7" t="s">
        <v>50</v>
      </c>
      <c r="E7" t="str">
        <f t="shared" si="0"/>
        <v>Sujata Naik</v>
      </c>
      <c r="F7">
        <v>49730</v>
      </c>
      <c r="G7" t="str">
        <f t="shared" si="1"/>
        <v>4973065</v>
      </c>
      <c r="H7" s="1">
        <v>45931</v>
      </c>
      <c r="I7" s="1">
        <v>45877</v>
      </c>
      <c r="J7" t="s">
        <v>15</v>
      </c>
      <c r="K7" t="s">
        <v>52</v>
      </c>
      <c r="L7" s="2">
        <v>18.12</v>
      </c>
      <c r="M7" t="s">
        <v>58</v>
      </c>
    </row>
    <row r="8" spans="1:14" x14ac:dyDescent="0.25">
      <c r="A8" t="s">
        <v>66</v>
      </c>
      <c r="B8">
        <v>20411454</v>
      </c>
      <c r="C8" t="s">
        <v>21</v>
      </c>
      <c r="D8" t="s">
        <v>22</v>
      </c>
      <c r="E8" t="str">
        <f t="shared" si="0"/>
        <v>Mark Serpa</v>
      </c>
      <c r="F8">
        <v>59760</v>
      </c>
      <c r="G8" t="str">
        <f t="shared" si="1"/>
        <v>5976065</v>
      </c>
      <c r="H8" s="1">
        <v>45870</v>
      </c>
      <c r="I8" s="1">
        <v>45877</v>
      </c>
      <c r="J8" t="s">
        <v>15</v>
      </c>
      <c r="K8" t="s">
        <v>53</v>
      </c>
      <c r="L8" s="2">
        <v>30.2</v>
      </c>
      <c r="M8" t="s">
        <v>58</v>
      </c>
    </row>
    <row r="9" spans="1:14" x14ac:dyDescent="0.25">
      <c r="A9" t="s">
        <v>66</v>
      </c>
      <c r="B9">
        <v>20411454</v>
      </c>
      <c r="C9" t="s">
        <v>30</v>
      </c>
      <c r="D9" t="s">
        <v>31</v>
      </c>
      <c r="E9" t="str">
        <f t="shared" si="0"/>
        <v>Edna Kuklis</v>
      </c>
      <c r="F9">
        <v>55510</v>
      </c>
      <c r="G9" t="str">
        <f t="shared" si="1"/>
        <v>5551065</v>
      </c>
      <c r="H9" s="1">
        <v>45870</v>
      </c>
      <c r="I9" s="1">
        <v>45877</v>
      </c>
      <c r="J9" t="s">
        <v>15</v>
      </c>
      <c r="K9" t="s">
        <v>53</v>
      </c>
      <c r="L9" s="2">
        <v>30.2</v>
      </c>
      <c r="M9" t="s">
        <v>58</v>
      </c>
    </row>
    <row r="10" spans="1:14" x14ac:dyDescent="0.25">
      <c r="A10" t="s">
        <v>66</v>
      </c>
      <c r="B10">
        <v>20411454</v>
      </c>
      <c r="C10" t="s">
        <v>36</v>
      </c>
      <c r="D10" t="s">
        <v>37</v>
      </c>
      <c r="E10" t="str">
        <f t="shared" si="0"/>
        <v>Richard Ryan</v>
      </c>
      <c r="F10">
        <v>93110</v>
      </c>
      <c r="G10" t="str">
        <f t="shared" si="1"/>
        <v>9311065</v>
      </c>
      <c r="H10" s="1">
        <v>45870</v>
      </c>
      <c r="I10" s="1">
        <v>45877</v>
      </c>
      <c r="J10" t="s">
        <v>15</v>
      </c>
      <c r="K10" t="s">
        <v>53</v>
      </c>
      <c r="L10" s="2">
        <v>30.2</v>
      </c>
      <c r="M10" t="s">
        <v>58</v>
      </c>
    </row>
    <row r="11" spans="1:14" x14ac:dyDescent="0.25">
      <c r="A11" t="s">
        <v>66</v>
      </c>
      <c r="B11">
        <v>20411454</v>
      </c>
      <c r="C11" t="s">
        <v>40</v>
      </c>
      <c r="D11" t="s">
        <v>41</v>
      </c>
      <c r="E11" t="str">
        <f t="shared" si="0"/>
        <v>Joseph Kurzawa</v>
      </c>
      <c r="F11">
        <v>72770</v>
      </c>
      <c r="G11" t="str">
        <f t="shared" si="1"/>
        <v>7277065</v>
      </c>
      <c r="H11" s="1">
        <v>45689</v>
      </c>
      <c r="I11" s="1">
        <v>45877</v>
      </c>
      <c r="J11" t="s">
        <v>15</v>
      </c>
      <c r="K11" t="s">
        <v>57</v>
      </c>
      <c r="L11" s="2">
        <v>-30.2</v>
      </c>
      <c r="M11" t="s">
        <v>58</v>
      </c>
    </row>
    <row r="12" spans="1:14" x14ac:dyDescent="0.25">
      <c r="A12" t="s">
        <v>66</v>
      </c>
      <c r="B12">
        <v>20411454</v>
      </c>
      <c r="C12" t="s">
        <v>12</v>
      </c>
      <c r="D12" t="s">
        <v>13</v>
      </c>
      <c r="E12" t="str">
        <f t="shared" si="0"/>
        <v>Terence Jacob</v>
      </c>
      <c r="F12">
        <v>67170</v>
      </c>
      <c r="G12" t="str">
        <f t="shared" si="1"/>
        <v>6717065</v>
      </c>
      <c r="H12" s="1">
        <v>45627</v>
      </c>
      <c r="I12" s="1">
        <v>45877</v>
      </c>
      <c r="J12" t="s">
        <v>15</v>
      </c>
      <c r="K12" t="s">
        <v>19</v>
      </c>
      <c r="L12" s="2">
        <v>-36.25</v>
      </c>
      <c r="M12" t="s">
        <v>58</v>
      </c>
    </row>
    <row r="13" spans="1:14" x14ac:dyDescent="0.25">
      <c r="A13" t="s">
        <v>11</v>
      </c>
      <c r="B13">
        <v>18710070</v>
      </c>
      <c r="C13" t="s">
        <v>12</v>
      </c>
      <c r="D13" t="s">
        <v>13</v>
      </c>
      <c r="E13" t="str">
        <f t="shared" si="0"/>
        <v>Terence Jacob</v>
      </c>
      <c r="F13">
        <v>67170</v>
      </c>
      <c r="G13" s="3">
        <v>67170</v>
      </c>
      <c r="H13" s="1">
        <v>45627</v>
      </c>
      <c r="I13" s="1">
        <v>45877</v>
      </c>
      <c r="J13" t="s">
        <v>15</v>
      </c>
      <c r="K13" t="s">
        <v>16</v>
      </c>
      <c r="L13" s="2">
        <v>-689</v>
      </c>
      <c r="M13" t="s">
        <v>60</v>
      </c>
      <c r="N13" t="s">
        <v>65</v>
      </c>
    </row>
    <row r="14" spans="1:14" x14ac:dyDescent="0.25">
      <c r="A14" t="s">
        <v>20</v>
      </c>
      <c r="B14" t="s">
        <v>67</v>
      </c>
      <c r="C14" t="s">
        <v>25</v>
      </c>
      <c r="D14" t="s">
        <v>26</v>
      </c>
      <c r="E14" t="str">
        <f t="shared" si="0"/>
        <v>Dennis Brickley</v>
      </c>
      <c r="F14">
        <v>41680</v>
      </c>
      <c r="G14" t="str">
        <f>CONCATENATE(F14,75)</f>
        <v>4168075</v>
      </c>
      <c r="H14" s="1">
        <v>45839</v>
      </c>
      <c r="I14" s="1">
        <v>45877</v>
      </c>
      <c r="J14" t="s">
        <v>15</v>
      </c>
      <c r="K14" t="s">
        <v>29</v>
      </c>
      <c r="L14" s="2">
        <v>705</v>
      </c>
      <c r="M14" t="s">
        <v>59</v>
      </c>
      <c r="N14" t="s">
        <v>64</v>
      </c>
    </row>
    <row r="15" spans="1:14" x14ac:dyDescent="0.25">
      <c r="A15" t="s">
        <v>20</v>
      </c>
      <c r="B15" t="s">
        <v>67</v>
      </c>
      <c r="C15" t="s">
        <v>25</v>
      </c>
      <c r="D15" t="s">
        <v>26</v>
      </c>
      <c r="E15" t="str">
        <f t="shared" si="0"/>
        <v>Dennis Brickley</v>
      </c>
      <c r="F15">
        <v>41680</v>
      </c>
      <c r="G15" t="str">
        <f>CONCATENATE(F15,75)</f>
        <v>4168075</v>
      </c>
      <c r="H15" s="1">
        <v>45839</v>
      </c>
      <c r="I15" s="1">
        <v>45877</v>
      </c>
      <c r="J15" t="s">
        <v>15</v>
      </c>
      <c r="K15" t="s">
        <v>28</v>
      </c>
      <c r="L15" s="2">
        <v>-705</v>
      </c>
      <c r="M15" t="s">
        <v>59</v>
      </c>
      <c r="N15" t="s">
        <v>64</v>
      </c>
    </row>
    <row r="16" spans="1:14" x14ac:dyDescent="0.25">
      <c r="A16" t="s">
        <v>20</v>
      </c>
      <c r="B16" t="s">
        <v>67</v>
      </c>
      <c r="C16" t="s">
        <v>21</v>
      </c>
      <c r="D16" t="s">
        <v>22</v>
      </c>
      <c r="E16" t="str">
        <f t="shared" si="0"/>
        <v>Mark Serpa</v>
      </c>
      <c r="F16">
        <v>59760</v>
      </c>
      <c r="G16" t="str">
        <f>CONCATENATE(F16,55)</f>
        <v>5976055</v>
      </c>
      <c r="H16" s="1">
        <v>45870</v>
      </c>
      <c r="I16" s="1">
        <v>45877</v>
      </c>
      <c r="J16" t="s">
        <v>15</v>
      </c>
      <c r="K16" t="s">
        <v>24</v>
      </c>
      <c r="L16" s="2">
        <v>147.08000000000001</v>
      </c>
      <c r="M16" t="s">
        <v>61</v>
      </c>
      <c r="N16" t="s">
        <v>62</v>
      </c>
    </row>
    <row r="17" spans="1:14" x14ac:dyDescent="0.25">
      <c r="A17" t="s">
        <v>20</v>
      </c>
      <c r="B17" t="s">
        <v>67</v>
      </c>
      <c r="C17" t="s">
        <v>30</v>
      </c>
      <c r="D17" t="s">
        <v>31</v>
      </c>
      <c r="E17" t="str">
        <f t="shared" si="0"/>
        <v>Edna Kuklis</v>
      </c>
      <c r="F17">
        <v>55510</v>
      </c>
      <c r="G17" t="str">
        <f t="shared" ref="G17:G21" si="2">CONCATENATE(F17,55)</f>
        <v>5551055</v>
      </c>
      <c r="H17" s="1">
        <v>45870</v>
      </c>
      <c r="I17" s="1">
        <v>45877</v>
      </c>
      <c r="J17" t="s">
        <v>15</v>
      </c>
      <c r="K17" t="s">
        <v>24</v>
      </c>
      <c r="L17" s="2">
        <v>147.08000000000001</v>
      </c>
      <c r="M17" t="s">
        <v>61</v>
      </c>
      <c r="N17" t="s">
        <v>62</v>
      </c>
    </row>
    <row r="18" spans="1:14" x14ac:dyDescent="0.25">
      <c r="A18" t="s">
        <v>20</v>
      </c>
      <c r="B18" t="s">
        <v>67</v>
      </c>
      <c r="C18" t="s">
        <v>33</v>
      </c>
      <c r="D18" t="s">
        <v>34</v>
      </c>
      <c r="E18" t="str">
        <f t="shared" si="0"/>
        <v>Emerson Evans</v>
      </c>
      <c r="F18">
        <v>91260</v>
      </c>
      <c r="G18" t="str">
        <f t="shared" si="2"/>
        <v>9126055</v>
      </c>
      <c r="H18" s="1">
        <v>45870</v>
      </c>
      <c r="I18" s="1">
        <v>45877</v>
      </c>
      <c r="J18" t="s">
        <v>15</v>
      </c>
      <c r="K18" t="s">
        <v>24</v>
      </c>
      <c r="L18" s="2">
        <v>147.08000000000001</v>
      </c>
      <c r="M18" t="s">
        <v>61</v>
      </c>
      <c r="N18" t="s">
        <v>62</v>
      </c>
    </row>
    <row r="19" spans="1:14" x14ac:dyDescent="0.25">
      <c r="A19" t="s">
        <v>11</v>
      </c>
      <c r="B19">
        <v>18710070</v>
      </c>
      <c r="C19" t="s">
        <v>36</v>
      </c>
      <c r="D19" t="s">
        <v>37</v>
      </c>
      <c r="E19" t="str">
        <f t="shared" si="0"/>
        <v>Richard Ryan</v>
      </c>
      <c r="F19">
        <v>93110</v>
      </c>
      <c r="G19" t="str">
        <f t="shared" si="2"/>
        <v>9311055</v>
      </c>
      <c r="H19" s="1">
        <v>45870</v>
      </c>
      <c r="I19" s="1">
        <v>45877</v>
      </c>
      <c r="J19" t="s">
        <v>15</v>
      </c>
      <c r="K19" t="s">
        <v>24</v>
      </c>
      <c r="L19" s="2">
        <v>147.08000000000001</v>
      </c>
      <c r="M19" t="s">
        <v>61</v>
      </c>
      <c r="N19" t="s">
        <v>62</v>
      </c>
    </row>
    <row r="20" spans="1:14" x14ac:dyDescent="0.25">
      <c r="A20" t="s">
        <v>39</v>
      </c>
      <c r="B20">
        <v>18794740</v>
      </c>
      <c r="C20" t="s">
        <v>40</v>
      </c>
      <c r="D20" t="s">
        <v>41</v>
      </c>
      <c r="E20" t="str">
        <f t="shared" si="0"/>
        <v>Joseph Kurzawa</v>
      </c>
      <c r="F20">
        <v>72770</v>
      </c>
      <c r="G20" t="str">
        <f t="shared" si="2"/>
        <v>7277055</v>
      </c>
      <c r="H20" s="1">
        <v>45689</v>
      </c>
      <c r="I20" s="1">
        <v>45877</v>
      </c>
      <c r="J20" t="s">
        <v>15</v>
      </c>
      <c r="K20" t="s">
        <v>43</v>
      </c>
      <c r="L20" s="2">
        <v>-147.08000000000001</v>
      </c>
      <c r="M20" t="s">
        <v>61</v>
      </c>
      <c r="N20" t="s">
        <v>62</v>
      </c>
    </row>
    <row r="21" spans="1:14" x14ac:dyDescent="0.25">
      <c r="A21" t="s">
        <v>11</v>
      </c>
      <c r="B21">
        <v>18710070</v>
      </c>
      <c r="C21" t="s">
        <v>12</v>
      </c>
      <c r="D21" t="s">
        <v>13</v>
      </c>
      <c r="E21" t="str">
        <f t="shared" si="0"/>
        <v>Terence Jacob</v>
      </c>
      <c r="F21">
        <v>67170</v>
      </c>
      <c r="G21" t="str">
        <f t="shared" si="2"/>
        <v>6717055</v>
      </c>
      <c r="H21" s="1">
        <v>45627</v>
      </c>
      <c r="I21" s="1">
        <v>45877</v>
      </c>
      <c r="J21" t="s">
        <v>15</v>
      </c>
      <c r="K21" t="s">
        <v>17</v>
      </c>
      <c r="L21" s="2">
        <v>-176.5</v>
      </c>
      <c r="M21" t="s">
        <v>61</v>
      </c>
      <c r="N21" t="s">
        <v>63</v>
      </c>
    </row>
    <row r="22" spans="1:14" x14ac:dyDescent="0.25">
      <c r="H22" s="1"/>
      <c r="I22" s="1"/>
      <c r="L22" s="2"/>
    </row>
    <row r="23" spans="1:14" x14ac:dyDescent="0.25">
      <c r="H23" s="1"/>
      <c r="I23" s="1"/>
      <c r="L23" s="2"/>
    </row>
    <row r="24" spans="1:14" ht="15.75" customHeight="1" x14ac:dyDescent="0.25"/>
    <row r="33" spans="8:12" x14ac:dyDescent="0.25">
      <c r="H33" s="1"/>
      <c r="I33" s="1"/>
      <c r="L33" s="2"/>
    </row>
    <row r="34" spans="8:12" x14ac:dyDescent="0.25">
      <c r="H34" s="1"/>
      <c r="I34" s="1"/>
      <c r="L34" s="2"/>
    </row>
  </sheetData>
  <sortState xmlns:xlrd2="http://schemas.microsoft.com/office/spreadsheetml/2017/richdata2" ref="A2:M21">
    <sortCondition ref="M2:M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Commissions_Main Line Benefits,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2025-08-08T16:03:52Z</dcterms:created>
  <dcterms:modified xsi:type="dcterms:W3CDTF">2025-08-12T16:03:41Z</dcterms:modified>
</cp:coreProperties>
</file>