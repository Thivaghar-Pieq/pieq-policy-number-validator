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1I4lPQXznka8QxehsYM4XlFdlANwLmct+H5VfAI8N3Q="/>
    </ext>
  </extLst>
</workbook>
</file>

<file path=xl/sharedStrings.xml><?xml version="1.0" encoding="utf-8"?>
<sst xmlns="http://schemas.openxmlformats.org/spreadsheetml/2006/main" count="118" uniqueCount="39">
  <si>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</si>
  <si>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</si>
  <si>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</si>
  <si>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</si>
  <si>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</si>
  <si>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</si>
  <si>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</si>
  <si>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</si>
  <si>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</si>
  <si>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</si>
  <si>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</si>
  <si>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</si>
  <si>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Deborah</t>
  </si>
  <si>
    <t>Bordenick</t>
  </si>
  <si>
    <t>*****58760</t>
  </si>
  <si>
    <t>Highmark</t>
  </si>
  <si>
    <t>Highmark 2025 PA Initial Street</t>
  </si>
  <si>
    <t>Kathleen</t>
  </si>
  <si>
    <t>Evans</t>
  </si>
  <si>
    <t>*****56750</t>
  </si>
  <si>
    <t>George</t>
  </si>
  <si>
    <t>Kiefer</t>
  </si>
  <si>
    <t>*****44430</t>
  </si>
  <si>
    <t>Highmark 2025 PA Replace Street / TrueUp (ProRata: 2)</t>
  </si>
  <si>
    <t>Highmark 2025 Comm Blue PA Full OR</t>
  </si>
  <si>
    <t>Highmark 2025 PA Replace OR (ProRata: 2)</t>
  </si>
  <si>
    <t>Lori Tunstall</t>
  </si>
  <si>
    <t>Adam</t>
  </si>
  <si>
    <t>Bottenfield</t>
  </si>
  <si>
    <t>*****00310</t>
  </si>
  <si>
    <t>Highmark 2022-2025 PA DE &amp; WV Replace OR (ProRata: 1)</t>
  </si>
  <si>
    <t>17528908N</t>
  </si>
  <si>
    <t>Highmark MAPD 2025.</t>
  </si>
  <si>
    <t>[%/$=705]</t>
  </si>
  <si>
    <t>*****</t>
  </si>
  <si>
    <t>Highmark MAPD 2025..</t>
  </si>
  <si>
    <t>[%/$=353][prorate=2/12]</t>
  </si>
  <si>
    <t>Main Line Benefits</t>
  </si>
  <si>
    <t>Highmark 2025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</si>
</sst>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4.86"/>
    <col customWidth="1" min="3" max="3" width="10.43"/>
    <col customWidth="1" min="4" max="4" width="10.29"/>
    <col customWidth="1" min="5" max="5" width="10.57"/>
    <col customWidth="1" min="6" max="6" width="11.71"/>
    <col customWidth="1" min="7" max="7" width="11.57"/>
    <col customWidth="1" min="8" max="8" width="14.14"/>
    <col customWidth="1" min="9" max="9" width="12.57"/>
    <col customWidth="1" min="10" max="10" width="50.43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45931.0</v>
      </c>
      <c r="H2" s="2">
        <v>45996.0</v>
      </c>
      <c r="I2" s="1" t="s">
        <v>15</v>
      </c>
      <c r="J2" s="1" t="s">
        <v>16</v>
      </c>
      <c r="K2" s="3">
        <v>705.0</v>
      </c>
    </row>
    <row r="3">
      <c r="A3" s="1" t="s">
        <v>11</v>
      </c>
      <c r="C3" s="1">
        <v>1.7528908E7</v>
      </c>
      <c r="D3" s="1" t="s">
        <v>17</v>
      </c>
      <c r="E3" s="1" t="s">
        <v>18</v>
      </c>
      <c r="F3" s="1" t="s">
        <v>19</v>
      </c>
      <c r="G3" s="2">
        <v>45962.0</v>
      </c>
      <c r="H3" s="2">
        <v>45996.0</v>
      </c>
      <c r="I3" s="1" t="s">
        <v>15</v>
      </c>
      <c r="J3" s="1" t="s">
        <v>16</v>
      </c>
      <c r="K3" s="3">
        <v>705.0</v>
      </c>
    </row>
    <row r="4">
      <c r="A4" s="1" t="s">
        <v>11</v>
      </c>
      <c r="C4" s="1">
        <v>1.7528908E7</v>
      </c>
      <c r="D4" s="1" t="s">
        <v>20</v>
      </c>
      <c r="E4" s="1" t="s">
        <v>21</v>
      </c>
      <c r="F4" s="1" t="s">
        <v>22</v>
      </c>
      <c r="G4" s="2">
        <v>45962.0</v>
      </c>
      <c r="H4" s="2">
        <v>45996.0</v>
      </c>
      <c r="I4" s="1" t="s">
        <v>15</v>
      </c>
      <c r="J4" s="1" t="s">
        <v>23</v>
      </c>
      <c r="K4" s="3">
        <v>58.83</v>
      </c>
    </row>
    <row r="5">
      <c r="A5" s="1" t="s">
        <v>11</v>
      </c>
      <c r="C5" s="1">
        <v>1.7528908E7</v>
      </c>
      <c r="D5" s="1" t="s">
        <v>12</v>
      </c>
      <c r="E5" s="1" t="s">
        <v>13</v>
      </c>
      <c r="F5" s="1" t="s">
        <v>14</v>
      </c>
      <c r="G5" s="2">
        <v>45931.0</v>
      </c>
      <c r="H5" s="2">
        <v>45996.0</v>
      </c>
      <c r="I5" s="1" t="s">
        <v>15</v>
      </c>
      <c r="J5" s="1" t="s">
        <v>24</v>
      </c>
      <c r="K5" s="3">
        <v>165.0</v>
      </c>
    </row>
    <row r="6">
      <c r="A6" s="1" t="s">
        <v>11</v>
      </c>
      <c r="C6" s="1">
        <v>1.7528908E7</v>
      </c>
      <c r="D6" s="1" t="s">
        <v>17</v>
      </c>
      <c r="E6" s="1" t="s">
        <v>18</v>
      </c>
      <c r="F6" s="1" t="s">
        <v>19</v>
      </c>
      <c r="G6" s="2">
        <v>45962.0</v>
      </c>
      <c r="H6" s="2">
        <v>45996.0</v>
      </c>
      <c r="I6" s="1" t="s">
        <v>15</v>
      </c>
      <c r="J6" s="1" t="s">
        <v>24</v>
      </c>
      <c r="K6" s="3">
        <v>165.0</v>
      </c>
    </row>
    <row r="7">
      <c r="A7" s="1" t="s">
        <v>11</v>
      </c>
      <c r="C7" s="1">
        <v>1.7528908E7</v>
      </c>
      <c r="D7" s="1" t="s">
        <v>20</v>
      </c>
      <c r="E7" s="1" t="s">
        <v>21</v>
      </c>
      <c r="F7" s="1" t="s">
        <v>22</v>
      </c>
      <c r="G7" s="2">
        <v>45962.0</v>
      </c>
      <c r="H7" s="2">
        <v>45996.0</v>
      </c>
      <c r="I7" s="1" t="s">
        <v>15</v>
      </c>
      <c r="J7" s="1" t="s">
        <v>25</v>
      </c>
      <c r="K7" s="3">
        <v>18.12</v>
      </c>
    </row>
    <row r="8">
      <c r="A8" s="1" t="s">
        <v>26</v>
      </c>
      <c r="C8" s="1">
        <v>1.8134413E7</v>
      </c>
      <c r="D8" s="1" t="s">
        <v>27</v>
      </c>
      <c r="E8" s="1" t="s">
        <v>28</v>
      </c>
      <c r="F8" s="1" t="s">
        <v>29</v>
      </c>
      <c r="G8" s="2">
        <v>45992.0</v>
      </c>
      <c r="H8" s="2">
        <v>45996.0</v>
      </c>
      <c r="I8" s="1" t="s">
        <v>15</v>
      </c>
      <c r="J8" s="1" t="s">
        <v>30</v>
      </c>
      <c r="K8" s="3">
        <v>7.81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71"/>
    <col customWidth="1" min="3" max="5" width="8.71"/>
    <col customWidth="1" min="6" max="7" width="11.0"/>
    <col customWidth="1" min="8" max="8" width="11.86"/>
    <col customWidth="1" min="9" max="9" width="14.71"/>
    <col customWidth="1" min="10" max="10" width="12.71"/>
    <col customWidth="1" min="11" max="11" width="52.14"/>
    <col customWidth="1" min="12" max="12" width="15.71"/>
    <col customWidth="1" min="13" max="13" width="20.57"/>
    <col customWidth="1" min="14" max="14" width="23.14"/>
    <col customWidth="1" min="1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 t="s">
        <v>31</v>
      </c>
      <c r="C2" s="1" t="s">
        <v>12</v>
      </c>
      <c r="D2" s="1" t="s">
        <v>13</v>
      </c>
      <c r="E2" s="1" t="str">
        <f t="shared" ref="E2:E8" si="1">CONCATENATE(C2, " ",D2)</f>
        <v>Deborah Bordenick</v>
      </c>
      <c r="F2" s="1">
        <v>58760.0</v>
      </c>
      <c r="G2" s="1" t="str">
        <f t="shared" ref="G2:G3" si="2">CONCATENATE(F2,75)</f>
        <v>5876075</v>
      </c>
      <c r="H2" s="2">
        <v>45931.0</v>
      </c>
      <c r="I2" s="2">
        <v>45996.0</v>
      </c>
      <c r="J2" s="1" t="s">
        <v>15</v>
      </c>
      <c r="K2" s="1" t="s">
        <v>16</v>
      </c>
      <c r="L2" s="3">
        <v>705.0</v>
      </c>
      <c r="M2" s="1" t="s">
        <v>32</v>
      </c>
      <c r="N2" s="1" t="s">
        <v>33</v>
      </c>
      <c r="P2" s="1" t="s">
        <v>34</v>
      </c>
      <c r="Q2" s="1">
        <v>58760.0</v>
      </c>
    </row>
    <row r="3">
      <c r="A3" s="1" t="s">
        <v>11</v>
      </c>
      <c r="B3" s="1" t="s">
        <v>31</v>
      </c>
      <c r="C3" s="1" t="s">
        <v>17</v>
      </c>
      <c r="D3" s="1" t="s">
        <v>18</v>
      </c>
      <c r="E3" s="1" t="str">
        <f t="shared" si="1"/>
        <v>Kathleen Evans</v>
      </c>
      <c r="F3" s="1">
        <v>56750.0</v>
      </c>
      <c r="G3" s="1" t="str">
        <f t="shared" si="2"/>
        <v>5675075</v>
      </c>
      <c r="H3" s="2">
        <v>45962.0</v>
      </c>
      <c r="I3" s="2">
        <v>45996.0</v>
      </c>
      <c r="J3" s="1" t="s">
        <v>15</v>
      </c>
      <c r="K3" s="1" t="s">
        <v>16</v>
      </c>
      <c r="L3" s="3">
        <v>705.0</v>
      </c>
      <c r="M3" s="1" t="s">
        <v>32</v>
      </c>
      <c r="N3" s="1" t="s">
        <v>33</v>
      </c>
      <c r="P3" s="1" t="s">
        <v>34</v>
      </c>
      <c r="Q3" s="1">
        <v>56750.0</v>
      </c>
    </row>
    <row r="4">
      <c r="A4" s="1" t="s">
        <v>11</v>
      </c>
      <c r="B4" s="1" t="s">
        <v>31</v>
      </c>
      <c r="C4" s="1" t="s">
        <v>20</v>
      </c>
      <c r="D4" s="1" t="s">
        <v>21</v>
      </c>
      <c r="E4" s="1" t="str">
        <f t="shared" si="1"/>
        <v>George Kiefer</v>
      </c>
      <c r="F4" s="1">
        <v>44430.0</v>
      </c>
      <c r="G4" s="1" t="str">
        <f>CONCATENATE(F4,55)</f>
        <v>4443055</v>
      </c>
      <c r="H4" s="2">
        <v>45962.0</v>
      </c>
      <c r="I4" s="2">
        <v>45996.0</v>
      </c>
      <c r="J4" s="1" t="s">
        <v>15</v>
      </c>
      <c r="K4" s="1" t="s">
        <v>23</v>
      </c>
      <c r="L4" s="3">
        <v>58.83</v>
      </c>
      <c r="M4" s="1" t="s">
        <v>35</v>
      </c>
      <c r="N4" s="1" t="s">
        <v>36</v>
      </c>
      <c r="P4" s="1" t="s">
        <v>34</v>
      </c>
      <c r="Q4" s="1">
        <v>44430.0</v>
      </c>
    </row>
    <row r="5">
      <c r="A5" s="4" t="s">
        <v>37</v>
      </c>
      <c r="B5" s="4">
        <v>2.0411454E7</v>
      </c>
      <c r="C5" s="4" t="s">
        <v>12</v>
      </c>
      <c r="D5" s="4" t="s">
        <v>13</v>
      </c>
      <c r="E5" s="4" t="str">
        <f t="shared" si="1"/>
        <v>Deborah Bordenick</v>
      </c>
      <c r="F5" s="4">
        <v>58760.0</v>
      </c>
      <c r="G5" s="4" t="str">
        <f t="shared" ref="G5:G8" si="3">CONCATENATE(F5,"OVR")</f>
        <v>58760OVR</v>
      </c>
      <c r="H5" s="5">
        <v>45931.0</v>
      </c>
      <c r="I5" s="5">
        <v>45996.0</v>
      </c>
      <c r="J5" s="4" t="s">
        <v>15</v>
      </c>
      <c r="K5" s="4" t="s">
        <v>24</v>
      </c>
      <c r="L5" s="6">
        <v>165.0</v>
      </c>
      <c r="M5" s="4" t="s">
        <v>38</v>
      </c>
      <c r="N5" s="4"/>
      <c r="O5" s="4"/>
      <c r="P5" s="4" t="s">
        <v>34</v>
      </c>
      <c r="Q5" s="4">
        <v>58760.0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37</v>
      </c>
      <c r="B6" s="4">
        <v>2.0411454E7</v>
      </c>
      <c r="C6" s="4" t="s">
        <v>17</v>
      </c>
      <c r="D6" s="4" t="s">
        <v>18</v>
      </c>
      <c r="E6" s="4" t="str">
        <f t="shared" si="1"/>
        <v>Kathleen Evans</v>
      </c>
      <c r="F6" s="4">
        <v>56750.0</v>
      </c>
      <c r="G6" s="4" t="str">
        <f t="shared" si="3"/>
        <v>56750OVR</v>
      </c>
      <c r="H6" s="5">
        <v>45962.0</v>
      </c>
      <c r="I6" s="5">
        <v>45996.0</v>
      </c>
      <c r="J6" s="4" t="s">
        <v>15</v>
      </c>
      <c r="K6" s="4" t="s">
        <v>24</v>
      </c>
      <c r="L6" s="6">
        <v>165.0</v>
      </c>
      <c r="M6" s="4" t="s">
        <v>38</v>
      </c>
      <c r="N6" s="4"/>
      <c r="O6" s="4"/>
      <c r="P6" s="4" t="s">
        <v>34</v>
      </c>
      <c r="Q6" s="4">
        <v>56750.0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37</v>
      </c>
      <c r="B7" s="4">
        <v>2.0411454E7</v>
      </c>
      <c r="C7" s="4" t="s">
        <v>20</v>
      </c>
      <c r="D7" s="4" t="s">
        <v>21</v>
      </c>
      <c r="E7" s="4" t="str">
        <f t="shared" si="1"/>
        <v>George Kiefer</v>
      </c>
      <c r="F7" s="4">
        <v>44430.0</v>
      </c>
      <c r="G7" s="4" t="str">
        <f t="shared" si="3"/>
        <v>44430OVR</v>
      </c>
      <c r="H7" s="5">
        <v>45962.0</v>
      </c>
      <c r="I7" s="5">
        <v>45996.0</v>
      </c>
      <c r="J7" s="4" t="s">
        <v>15</v>
      </c>
      <c r="K7" s="4" t="s">
        <v>25</v>
      </c>
      <c r="L7" s="6">
        <v>18.12</v>
      </c>
      <c r="M7" s="4" t="s">
        <v>38</v>
      </c>
      <c r="N7" s="4"/>
      <c r="O7" s="4"/>
      <c r="P7" s="4" t="s">
        <v>34</v>
      </c>
      <c r="Q7" s="4">
        <v>44430.0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37</v>
      </c>
      <c r="B8" s="4">
        <v>2.0411454E7</v>
      </c>
      <c r="C8" s="4" t="s">
        <v>27</v>
      </c>
      <c r="D8" s="4" t="s">
        <v>28</v>
      </c>
      <c r="E8" s="4" t="str">
        <f t="shared" si="1"/>
        <v>Adam Bottenfield</v>
      </c>
      <c r="F8" s="4">
        <v>310.0</v>
      </c>
      <c r="G8" s="4" t="str">
        <f t="shared" si="3"/>
        <v>310OVR</v>
      </c>
      <c r="H8" s="5">
        <v>45992.0</v>
      </c>
      <c r="I8" s="5">
        <v>45996.0</v>
      </c>
      <c r="J8" s="4" t="s">
        <v>15</v>
      </c>
      <c r="K8" s="4" t="s">
        <v>30</v>
      </c>
      <c r="L8" s="6">
        <v>7.81</v>
      </c>
      <c r="M8" s="4" t="s">
        <v>38</v>
      </c>
      <c r="N8" s="4"/>
      <c r="O8" s="4"/>
      <c r="P8" s="4" t="s">
        <v>34</v>
      </c>
      <c r="Q8" s="4">
        <v>310.0</v>
      </c>
      <c r="R8" s="4"/>
      <c r="S8" s="4"/>
      <c r="T8" s="4"/>
      <c r="U8" s="4"/>
      <c r="V8" s="4"/>
      <c r="W8" s="4"/>
      <c r="X8" s="4"/>
      <c r="Y8" s="4"/>
      <c r="Z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2025-12-05T17:02:44Z</dcterms:created>
  <dc:creator>paras69</dc:creator>
</cp:coreProperties>
</file>