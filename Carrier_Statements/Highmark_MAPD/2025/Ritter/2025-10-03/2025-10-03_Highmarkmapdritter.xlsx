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10-03-25 Ritter\"/>
    </mc:Choice>
  </mc:AlternateContent>
  <xr:revisionPtr revIDLastSave="0" documentId="13_ncr:1_{008CAD4B-F63E-4997-88EC-80AA19EE1DE7}" xr6:coauthVersionLast="47" xr6:coauthVersionMax="47" xr10:uidLastSave="{00000000-0000-0000-0000-000000000000}"/>
  <bookViews>
    <workbookView xWindow="28680" yWindow="-120" windowWidth="29040" windowHeight="16440" activeTab="1" xr2:uid="{76EB58B6-EADE-4654-B40F-2D984AA0F90A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G38" i="2"/>
  <c r="G39" i="2"/>
  <c r="G40" i="2"/>
  <c r="G41" i="2"/>
  <c r="G42" i="2"/>
  <c r="G43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7" i="2"/>
  <c r="E38" i="2"/>
  <c r="E39" i="2"/>
  <c r="E32" i="2"/>
  <c r="E33" i="2"/>
  <c r="E34" i="2"/>
  <c r="E35" i="2"/>
  <c r="E4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41" i="2"/>
  <c r="E42" i="2"/>
  <c r="E43" i="2"/>
  <c r="E27" i="2"/>
  <c r="E28" i="2"/>
  <c r="E29" i="2"/>
  <c r="E30" i="2"/>
  <c r="E31" i="2"/>
  <c r="E36" i="2"/>
</calcChain>
</file>

<file path=xl/sharedStrings.xml><?xml version="1.0" encoding="utf-8"?>
<sst xmlns="http://schemas.openxmlformats.org/spreadsheetml/2006/main" count="585" uniqueCount="113">
  <si>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</si>
  <si>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</si>
  <si>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</si>
  <si>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</si>
  <si>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</si>
  <si>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</si>
  <si>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</si>
  <si>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</si>
  <si>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</si>
  <si>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</si>
  <si>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</si>
  <si>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</si>
  <si>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Betty</t>
  </si>
  <si>
    <t>Crooks</t>
  </si>
  <si>
    <t>*****41550</t>
  </si>
  <si>
    <t>Highmark</t>
  </si>
  <si>
    <t>Highmark 2025 PA Replace Street / TrueUp (ProRata: 3)</t>
  </si>
  <si>
    <t>Jody</t>
  </si>
  <si>
    <t>Duffy</t>
  </si>
  <si>
    <t>*****27030</t>
  </si>
  <si>
    <t>Kevin</t>
  </si>
  <si>
    <t>*****23500</t>
  </si>
  <si>
    <t>Michelle McCorkle</t>
  </si>
  <si>
    <t>Michelle</t>
  </si>
  <si>
    <t>Mcknight</t>
  </si>
  <si>
    <t>*****09640</t>
  </si>
  <si>
    <t>Eric</t>
  </si>
  <si>
    <t>Rupert</t>
  </si>
  <si>
    <t>*****81990</t>
  </si>
  <si>
    <t>Highmark 2025 PA Initial Street (ProRata: -12)</t>
  </si>
  <si>
    <t>Highmark 2025 PA Initial Street</t>
  </si>
  <si>
    <t>Patricia Long</t>
  </si>
  <si>
    <t>Irene</t>
  </si>
  <si>
    <t>Hayward</t>
  </si>
  <si>
    <t>*****71400</t>
  </si>
  <si>
    <t>Donna</t>
  </si>
  <si>
    <t>Slazinski</t>
  </si>
  <si>
    <t>*****82860</t>
  </si>
  <si>
    <t>Highmark 2025 PA Replace Street / TrueUp (ProRata: -3)</t>
  </si>
  <si>
    <t>Marina O'Brien</t>
  </si>
  <si>
    <t>Amy</t>
  </si>
  <si>
    <t>Cosentino</t>
  </si>
  <si>
    <t>*****47880</t>
  </si>
  <si>
    <t>Highmark 2025 PA Replace OR (ProRata: -1)</t>
  </si>
  <si>
    <t>Highmark 2025 PA Replace OR (ProRata: 1)</t>
  </si>
  <si>
    <t>Lori Tunstall</t>
  </si>
  <si>
    <t>Karen</t>
  </si>
  <si>
    <t>Valdes</t>
  </si>
  <si>
    <t>*****86820</t>
  </si>
  <si>
    <t>John</t>
  </si>
  <si>
    <t>Daley</t>
  </si>
  <si>
    <t>*****90670</t>
  </si>
  <si>
    <t>Highmark 2025 PA Replace OR</t>
  </si>
  <si>
    <t>Bliss</t>
  </si>
  <si>
    <t>*****23730</t>
  </si>
  <si>
    <t>Rose</t>
  </si>
  <si>
    <t>*****23750</t>
  </si>
  <si>
    <t>Randall</t>
  </si>
  <si>
    <t>Darby</t>
  </si>
  <si>
    <t>*****49860</t>
  </si>
  <si>
    <t>Harry</t>
  </si>
  <si>
    <t>Fedyk</t>
  </si>
  <si>
    <t>*****47450</t>
  </si>
  <si>
    <t>Vickie</t>
  </si>
  <si>
    <t>*****49580</t>
  </si>
  <si>
    <t>Mark</t>
  </si>
  <si>
    <t>Finsen</t>
  </si>
  <si>
    <t>*****77530</t>
  </si>
  <si>
    <t>Kenneth</t>
  </si>
  <si>
    <t>Stebbins</t>
  </si>
  <si>
    <t>*****86870</t>
  </si>
  <si>
    <t>Highmark 2025 PA Replace OR (ProRata: 4)</t>
  </si>
  <si>
    <t>Highmark 2025 PA Replace OR (ProRata: 3)</t>
  </si>
  <si>
    <t>Highmark 2025 PA Replace OR (ProRata: -3)</t>
  </si>
  <si>
    <t>Lisa</t>
  </si>
  <si>
    <t>Mosheim</t>
  </si>
  <si>
    <t>*****16300</t>
  </si>
  <si>
    <t>Highmark 2025 Comm Blue PA Full OR</t>
  </si>
  <si>
    <t>Michele</t>
  </si>
  <si>
    <t>Barbitta</t>
  </si>
  <si>
    <t>*****76530</t>
  </si>
  <si>
    <t>George</t>
  </si>
  <si>
    <t>Titchnell</t>
  </si>
  <si>
    <t>*****18230</t>
  </si>
  <si>
    <t>Highmark 2023-2024  Comm Blue PA Full OR</t>
  </si>
  <si>
    <t>Highmark 2025 Comm Blue PA Full OR (ProRata: -12)</t>
  </si>
  <si>
    <t>Christina</t>
  </si>
  <si>
    <t>Heinbaugh</t>
  </si>
  <si>
    <t>*****30100</t>
  </si>
  <si>
    <t>Highmark 2025 PA Replace OR (ProRata: 8)</t>
  </si>
  <si>
    <t>Ryan Stocker</t>
  </si>
  <si>
    <t>Barbara</t>
  </si>
  <si>
    <t>Duke</t>
  </si>
  <si>
    <t>*****23990</t>
  </si>
  <si>
    <t>Isaac</t>
  </si>
  <si>
    <t>Orosco</t>
  </si>
  <si>
    <t>*****29180</t>
  </si>
  <si>
    <t>David</t>
  </si>
  <si>
    <t>Altemose</t>
  </si>
  <si>
    <t>*****35670</t>
  </si>
  <si>
    <t>Beverly</t>
  </si>
  <si>
    <t>Verbeke</t>
  </si>
  <si>
    <t>*****65460</t>
  </si>
  <si>
    <t>Highmark 2025 PA Replace OR (ProRata: 9)</t>
  </si>
  <si>
    <t>*****</t>
  </si>
  <si>
    <t>Highmark 2025 Ovr</t>
  </si>
  <si>
    <t>Highmark MAPD 2025..</t>
  </si>
  <si>
    <t>Highmark MAPD 2025.</t>
  </si>
  <si>
    <t>[%/$=353][prorate=3/12]</t>
  </si>
  <si>
    <t>Main Line Benefits</t>
  </si>
  <si>
    <t>18710070N</t>
  </si>
  <si>
    <t>17528908N</t>
  </si>
  <si>
    <t>[%/$=705]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</si>
</sst>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89E1-1835-4E86-9CA9-AD8BF23ABAAE}">
  <dimension ref="A1:K43"/>
  <sheetViews>
    <sheetView topLeftCell="A16" workbookViewId="0">
      <selection activeCell="A16" sqref="A1:XFD1048576"/>
    </sheetView>
  </sheetViews>
  <sheetFormatPr defaultRowHeight="15" x14ac:dyDescent="0.25"/>
  <cols>
    <col min="8" max="8" width="14.7109375" bestFit="1" customWidth="1"/>
    <col min="9" max="9" width="12.7109375" bestFit="1" customWidth="1"/>
    <col min="10" max="10" width="5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17528908</v>
      </c>
      <c r="D2" t="s">
        <v>12</v>
      </c>
      <c r="E2" t="s">
        <v>13</v>
      </c>
      <c r="F2" t="s">
        <v>14</v>
      </c>
      <c r="G2" s="1">
        <v>45931</v>
      </c>
      <c r="H2" s="1">
        <v>45933</v>
      </c>
      <c r="I2" t="s">
        <v>15</v>
      </c>
      <c r="J2" t="s">
        <v>16</v>
      </c>
      <c r="K2" s="2">
        <v>88.25</v>
      </c>
    </row>
    <row r="3" spans="1:11" x14ac:dyDescent="0.25">
      <c r="A3" t="s">
        <v>11</v>
      </c>
      <c r="C3">
        <v>17528908</v>
      </c>
      <c r="D3" t="s">
        <v>17</v>
      </c>
      <c r="E3" t="s">
        <v>18</v>
      </c>
      <c r="F3" t="s">
        <v>19</v>
      </c>
      <c r="G3" s="1">
        <v>45931</v>
      </c>
      <c r="H3" s="1">
        <v>45933</v>
      </c>
      <c r="I3" t="s">
        <v>15</v>
      </c>
      <c r="J3" t="s">
        <v>16</v>
      </c>
      <c r="K3" s="2">
        <v>88.25</v>
      </c>
    </row>
    <row r="4" spans="1:11" x14ac:dyDescent="0.25">
      <c r="A4" t="s">
        <v>11</v>
      </c>
      <c r="C4">
        <v>17528908</v>
      </c>
      <c r="D4" t="s">
        <v>20</v>
      </c>
      <c r="E4" t="s">
        <v>18</v>
      </c>
      <c r="F4" t="s">
        <v>21</v>
      </c>
      <c r="G4" s="1">
        <v>45931</v>
      </c>
      <c r="H4" s="1">
        <v>45933</v>
      </c>
      <c r="I4" t="s">
        <v>15</v>
      </c>
      <c r="J4" t="s">
        <v>16</v>
      </c>
      <c r="K4" s="2">
        <v>88.25</v>
      </c>
    </row>
    <row r="5" spans="1:11" x14ac:dyDescent="0.25">
      <c r="A5" t="s">
        <v>22</v>
      </c>
      <c r="C5">
        <v>18710070</v>
      </c>
      <c r="D5" t="s">
        <v>23</v>
      </c>
      <c r="E5" t="s">
        <v>24</v>
      </c>
      <c r="F5" t="s">
        <v>25</v>
      </c>
      <c r="G5" s="1">
        <v>45931</v>
      </c>
      <c r="H5" s="1">
        <v>45933</v>
      </c>
      <c r="I5" t="s">
        <v>15</v>
      </c>
      <c r="J5" t="s">
        <v>16</v>
      </c>
      <c r="K5" s="2">
        <v>88.25</v>
      </c>
    </row>
    <row r="6" spans="1:11" x14ac:dyDescent="0.25">
      <c r="A6" t="s">
        <v>22</v>
      </c>
      <c r="C6">
        <v>18710070</v>
      </c>
      <c r="D6" t="s">
        <v>26</v>
      </c>
      <c r="E6" t="s">
        <v>27</v>
      </c>
      <c r="F6" t="s">
        <v>28</v>
      </c>
      <c r="G6" s="1">
        <v>45901</v>
      </c>
      <c r="H6" s="1">
        <v>45933</v>
      </c>
      <c r="I6" t="s">
        <v>15</v>
      </c>
      <c r="J6" t="s">
        <v>29</v>
      </c>
      <c r="K6" s="2">
        <v>-705</v>
      </c>
    </row>
    <row r="7" spans="1:11" x14ac:dyDescent="0.25">
      <c r="A7" t="s">
        <v>22</v>
      </c>
      <c r="C7">
        <v>18710070</v>
      </c>
      <c r="D7" t="s">
        <v>26</v>
      </c>
      <c r="E7" t="s">
        <v>27</v>
      </c>
      <c r="F7" t="s">
        <v>28</v>
      </c>
      <c r="G7" s="1">
        <v>45901</v>
      </c>
      <c r="H7" s="1">
        <v>45933</v>
      </c>
      <c r="I7" t="s">
        <v>15</v>
      </c>
      <c r="J7" t="s">
        <v>30</v>
      </c>
      <c r="K7" s="2">
        <v>705</v>
      </c>
    </row>
    <row r="8" spans="1:11" x14ac:dyDescent="0.25">
      <c r="A8" t="s">
        <v>31</v>
      </c>
      <c r="C8">
        <v>18794740</v>
      </c>
      <c r="D8" t="s">
        <v>32</v>
      </c>
      <c r="E8" t="s">
        <v>33</v>
      </c>
      <c r="F8" t="s">
        <v>34</v>
      </c>
      <c r="G8" s="1">
        <v>45901</v>
      </c>
      <c r="H8" s="1">
        <v>45933</v>
      </c>
      <c r="I8" t="s">
        <v>15</v>
      </c>
      <c r="J8" t="s">
        <v>29</v>
      </c>
      <c r="K8" s="2">
        <v>-705</v>
      </c>
    </row>
    <row r="9" spans="1:11" x14ac:dyDescent="0.25">
      <c r="A9" t="s">
        <v>31</v>
      </c>
      <c r="C9">
        <v>18794740</v>
      </c>
      <c r="D9" t="s">
        <v>32</v>
      </c>
      <c r="E9" t="s">
        <v>33</v>
      </c>
      <c r="F9" t="s">
        <v>34</v>
      </c>
      <c r="G9" s="1">
        <v>45901</v>
      </c>
      <c r="H9" s="1">
        <v>45933</v>
      </c>
      <c r="I9" t="s">
        <v>15</v>
      </c>
      <c r="J9" t="s">
        <v>30</v>
      </c>
      <c r="K9" s="2">
        <v>705</v>
      </c>
    </row>
    <row r="10" spans="1:11" x14ac:dyDescent="0.25">
      <c r="A10" t="s">
        <v>11</v>
      </c>
      <c r="B10">
        <v>17528908</v>
      </c>
      <c r="C10">
        <v>17528908</v>
      </c>
      <c r="D10" t="s">
        <v>35</v>
      </c>
      <c r="E10" t="s">
        <v>36</v>
      </c>
      <c r="F10" t="s">
        <v>37</v>
      </c>
      <c r="G10" s="1">
        <v>45658</v>
      </c>
      <c r="H10" s="1">
        <v>45933</v>
      </c>
      <c r="I10" t="s">
        <v>15</v>
      </c>
      <c r="J10" t="s">
        <v>38</v>
      </c>
      <c r="K10" s="2">
        <v>-88.25</v>
      </c>
    </row>
    <row r="11" spans="1:11" x14ac:dyDescent="0.25">
      <c r="A11" t="s">
        <v>39</v>
      </c>
      <c r="C11">
        <v>16865242</v>
      </c>
      <c r="D11" t="s">
        <v>40</v>
      </c>
      <c r="E11" t="s">
        <v>41</v>
      </c>
      <c r="F11" t="s">
        <v>42</v>
      </c>
      <c r="G11" s="1">
        <v>45870</v>
      </c>
      <c r="H11" s="1">
        <v>45933</v>
      </c>
      <c r="I11" t="s">
        <v>15</v>
      </c>
      <c r="J11" t="s">
        <v>43</v>
      </c>
      <c r="K11" s="2">
        <v>-9.06</v>
      </c>
    </row>
    <row r="12" spans="1:11" x14ac:dyDescent="0.25">
      <c r="A12" t="s">
        <v>39</v>
      </c>
      <c r="C12">
        <v>16865242</v>
      </c>
      <c r="D12" t="s">
        <v>40</v>
      </c>
      <c r="E12" t="s">
        <v>41</v>
      </c>
      <c r="F12" t="s">
        <v>42</v>
      </c>
      <c r="G12" s="1">
        <v>45870</v>
      </c>
      <c r="H12" s="1">
        <v>45933</v>
      </c>
      <c r="I12" t="s">
        <v>15</v>
      </c>
      <c r="J12" t="s">
        <v>44</v>
      </c>
      <c r="K12" s="2">
        <v>9.06</v>
      </c>
    </row>
    <row r="13" spans="1:11" x14ac:dyDescent="0.25">
      <c r="A13" t="s">
        <v>45</v>
      </c>
      <c r="B13">
        <v>18134413</v>
      </c>
      <c r="C13">
        <v>18134413</v>
      </c>
      <c r="D13" t="s">
        <v>46</v>
      </c>
      <c r="E13" t="s">
        <v>47</v>
      </c>
      <c r="F13" t="s">
        <v>48</v>
      </c>
      <c r="G13" s="1">
        <v>45292</v>
      </c>
      <c r="H13" s="1">
        <v>45933</v>
      </c>
      <c r="I13" t="s">
        <v>15</v>
      </c>
      <c r="J13" t="s">
        <v>44</v>
      </c>
      <c r="K13" s="2">
        <v>6.04</v>
      </c>
    </row>
    <row r="14" spans="1:11" x14ac:dyDescent="0.25">
      <c r="A14" t="s">
        <v>45</v>
      </c>
      <c r="B14">
        <v>18134413</v>
      </c>
      <c r="C14">
        <v>18134413</v>
      </c>
      <c r="D14" t="s">
        <v>49</v>
      </c>
      <c r="E14" t="s">
        <v>50</v>
      </c>
      <c r="F14" t="s">
        <v>51</v>
      </c>
      <c r="G14" s="1">
        <v>45658</v>
      </c>
      <c r="H14" s="1">
        <v>45933</v>
      </c>
      <c r="I14" t="s">
        <v>15</v>
      </c>
      <c r="J14" t="s">
        <v>52</v>
      </c>
      <c r="K14" s="2">
        <v>72.5</v>
      </c>
    </row>
    <row r="15" spans="1:11" x14ac:dyDescent="0.25">
      <c r="A15" t="s">
        <v>45</v>
      </c>
      <c r="B15">
        <v>18134413</v>
      </c>
      <c r="C15">
        <v>18134413</v>
      </c>
      <c r="D15" t="s">
        <v>49</v>
      </c>
      <c r="E15" t="s">
        <v>53</v>
      </c>
      <c r="F15" t="s">
        <v>54</v>
      </c>
      <c r="G15" s="1">
        <v>45658</v>
      </c>
      <c r="H15" s="1">
        <v>45933</v>
      </c>
      <c r="I15" t="s">
        <v>15</v>
      </c>
      <c r="J15" t="s">
        <v>52</v>
      </c>
      <c r="K15" s="2">
        <v>72.5</v>
      </c>
    </row>
    <row r="16" spans="1:11" x14ac:dyDescent="0.25">
      <c r="A16" t="s">
        <v>45</v>
      </c>
      <c r="B16">
        <v>18134413</v>
      </c>
      <c r="C16">
        <v>18134413</v>
      </c>
      <c r="D16" t="s">
        <v>55</v>
      </c>
      <c r="E16" t="s">
        <v>53</v>
      </c>
      <c r="F16" t="s">
        <v>56</v>
      </c>
      <c r="G16" s="1">
        <v>45658</v>
      </c>
      <c r="H16" s="1">
        <v>45933</v>
      </c>
      <c r="I16" t="s">
        <v>15</v>
      </c>
      <c r="J16" t="s">
        <v>52</v>
      </c>
      <c r="K16" s="2">
        <v>72.5</v>
      </c>
    </row>
    <row r="17" spans="1:11" x14ac:dyDescent="0.25">
      <c r="A17" t="s">
        <v>45</v>
      </c>
      <c r="B17">
        <v>18134413</v>
      </c>
      <c r="C17">
        <v>18134413</v>
      </c>
      <c r="D17" t="s">
        <v>57</v>
      </c>
      <c r="E17" t="s">
        <v>58</v>
      </c>
      <c r="F17" t="s">
        <v>59</v>
      </c>
      <c r="G17" s="1">
        <v>45658</v>
      </c>
      <c r="H17" s="1">
        <v>45933</v>
      </c>
      <c r="I17" t="s">
        <v>15</v>
      </c>
      <c r="J17" t="s">
        <v>52</v>
      </c>
      <c r="K17" s="2">
        <v>72.5</v>
      </c>
    </row>
    <row r="18" spans="1:11" x14ac:dyDescent="0.25">
      <c r="A18" t="s">
        <v>45</v>
      </c>
      <c r="B18">
        <v>18134413</v>
      </c>
      <c r="C18">
        <v>18134413</v>
      </c>
      <c r="D18" t="s">
        <v>60</v>
      </c>
      <c r="E18" t="s">
        <v>61</v>
      </c>
      <c r="F18" t="s">
        <v>62</v>
      </c>
      <c r="G18" s="1">
        <v>45658</v>
      </c>
      <c r="H18" s="1">
        <v>45933</v>
      </c>
      <c r="I18" t="s">
        <v>15</v>
      </c>
      <c r="J18" t="s">
        <v>52</v>
      </c>
      <c r="K18" s="2">
        <v>72.5</v>
      </c>
    </row>
    <row r="19" spans="1:11" x14ac:dyDescent="0.25">
      <c r="A19" t="s">
        <v>45</v>
      </c>
      <c r="B19">
        <v>18134413</v>
      </c>
      <c r="C19">
        <v>18134413</v>
      </c>
      <c r="D19" t="s">
        <v>63</v>
      </c>
      <c r="E19" t="s">
        <v>61</v>
      </c>
      <c r="F19" t="s">
        <v>64</v>
      </c>
      <c r="G19" s="1">
        <v>45658</v>
      </c>
      <c r="H19" s="1">
        <v>45933</v>
      </c>
      <c r="I19" t="s">
        <v>15</v>
      </c>
      <c r="J19" t="s">
        <v>52</v>
      </c>
      <c r="K19" s="2">
        <v>72.5</v>
      </c>
    </row>
    <row r="20" spans="1:11" x14ac:dyDescent="0.25">
      <c r="A20" t="s">
        <v>45</v>
      </c>
      <c r="B20">
        <v>18134413</v>
      </c>
      <c r="C20">
        <v>18134413</v>
      </c>
      <c r="D20" t="s">
        <v>65</v>
      </c>
      <c r="E20" t="s">
        <v>66</v>
      </c>
      <c r="F20" t="s">
        <v>67</v>
      </c>
      <c r="G20" s="1">
        <v>45658</v>
      </c>
      <c r="H20" s="1">
        <v>45933</v>
      </c>
      <c r="I20" t="s">
        <v>15</v>
      </c>
      <c r="J20" t="s">
        <v>52</v>
      </c>
      <c r="K20" s="2">
        <v>72.5</v>
      </c>
    </row>
    <row r="21" spans="1:11" x14ac:dyDescent="0.25">
      <c r="A21" t="s">
        <v>45</v>
      </c>
      <c r="B21">
        <v>18134413</v>
      </c>
      <c r="C21">
        <v>18134413</v>
      </c>
      <c r="D21" t="s">
        <v>68</v>
      </c>
      <c r="E21" t="s">
        <v>69</v>
      </c>
      <c r="F21" t="s">
        <v>70</v>
      </c>
      <c r="G21" s="1">
        <v>45658</v>
      </c>
      <c r="H21" s="1">
        <v>45933</v>
      </c>
      <c r="I21" t="s">
        <v>15</v>
      </c>
      <c r="J21" t="s">
        <v>71</v>
      </c>
      <c r="K21" s="2">
        <v>24.16</v>
      </c>
    </row>
    <row r="22" spans="1:11" x14ac:dyDescent="0.25">
      <c r="A22" t="s">
        <v>11</v>
      </c>
      <c r="C22">
        <v>17528908</v>
      </c>
      <c r="D22" t="s">
        <v>12</v>
      </c>
      <c r="E22" t="s">
        <v>13</v>
      </c>
      <c r="F22" t="s">
        <v>14</v>
      </c>
      <c r="G22" s="1">
        <v>45931</v>
      </c>
      <c r="H22" s="1">
        <v>45933</v>
      </c>
      <c r="I22" t="s">
        <v>15</v>
      </c>
      <c r="J22" t="s">
        <v>72</v>
      </c>
      <c r="K22" s="2">
        <v>27.18</v>
      </c>
    </row>
    <row r="23" spans="1:11" x14ac:dyDescent="0.25">
      <c r="A23" t="s">
        <v>11</v>
      </c>
      <c r="C23">
        <v>17528908</v>
      </c>
      <c r="D23" t="s">
        <v>17</v>
      </c>
      <c r="E23" t="s">
        <v>18</v>
      </c>
      <c r="F23" t="s">
        <v>19</v>
      </c>
      <c r="G23" s="1">
        <v>45931</v>
      </c>
      <c r="H23" s="1">
        <v>45933</v>
      </c>
      <c r="I23" t="s">
        <v>15</v>
      </c>
      <c r="J23" t="s">
        <v>72</v>
      </c>
      <c r="K23" s="2">
        <v>27.18</v>
      </c>
    </row>
    <row r="24" spans="1:11" x14ac:dyDescent="0.25">
      <c r="A24" t="s">
        <v>11</v>
      </c>
      <c r="C24">
        <v>17528908</v>
      </c>
      <c r="D24" t="s">
        <v>20</v>
      </c>
      <c r="E24" t="s">
        <v>18</v>
      </c>
      <c r="F24" t="s">
        <v>21</v>
      </c>
      <c r="G24" s="1">
        <v>45931</v>
      </c>
      <c r="H24" s="1">
        <v>45933</v>
      </c>
      <c r="I24" t="s">
        <v>15</v>
      </c>
      <c r="J24" t="s">
        <v>72</v>
      </c>
      <c r="K24" s="2">
        <v>27.18</v>
      </c>
    </row>
    <row r="25" spans="1:11" x14ac:dyDescent="0.25">
      <c r="A25" t="s">
        <v>11</v>
      </c>
      <c r="B25">
        <v>17528908</v>
      </c>
      <c r="C25">
        <v>17528908</v>
      </c>
      <c r="D25" t="s">
        <v>35</v>
      </c>
      <c r="E25" t="s">
        <v>36</v>
      </c>
      <c r="F25" t="s">
        <v>37</v>
      </c>
      <c r="G25" s="1">
        <v>45658</v>
      </c>
      <c r="H25" s="1">
        <v>45933</v>
      </c>
      <c r="I25" t="s">
        <v>15</v>
      </c>
      <c r="J25" t="s">
        <v>73</v>
      </c>
      <c r="K25" s="2">
        <v>-18.12</v>
      </c>
    </row>
    <row r="26" spans="1:11" x14ac:dyDescent="0.25">
      <c r="A26" t="s">
        <v>45</v>
      </c>
      <c r="B26">
        <v>18134413</v>
      </c>
      <c r="C26">
        <v>18134413</v>
      </c>
      <c r="D26" t="s">
        <v>74</v>
      </c>
      <c r="E26" t="s">
        <v>75</v>
      </c>
      <c r="F26" t="s">
        <v>76</v>
      </c>
      <c r="G26" s="1">
        <v>45809</v>
      </c>
      <c r="H26" s="1">
        <v>45933</v>
      </c>
      <c r="I26" t="s">
        <v>15</v>
      </c>
      <c r="J26" t="s">
        <v>77</v>
      </c>
      <c r="K26" s="2">
        <v>110</v>
      </c>
    </row>
    <row r="27" spans="1:11" x14ac:dyDescent="0.25">
      <c r="A27" t="s">
        <v>45</v>
      </c>
      <c r="B27">
        <v>18134413</v>
      </c>
      <c r="C27">
        <v>18134413</v>
      </c>
      <c r="D27" t="s">
        <v>78</v>
      </c>
      <c r="E27" t="s">
        <v>79</v>
      </c>
      <c r="F27" t="s">
        <v>80</v>
      </c>
      <c r="G27" s="1">
        <v>45658</v>
      </c>
      <c r="H27" s="1">
        <v>45933</v>
      </c>
      <c r="I27" t="s">
        <v>15</v>
      </c>
      <c r="J27" t="s">
        <v>77</v>
      </c>
      <c r="K27" s="2">
        <v>110</v>
      </c>
    </row>
    <row r="28" spans="1:11" x14ac:dyDescent="0.25">
      <c r="A28" t="s">
        <v>45</v>
      </c>
      <c r="B28">
        <v>18134413</v>
      </c>
      <c r="C28">
        <v>18134413</v>
      </c>
      <c r="D28" t="s">
        <v>81</v>
      </c>
      <c r="E28" t="s">
        <v>82</v>
      </c>
      <c r="F28" t="s">
        <v>83</v>
      </c>
      <c r="G28" s="1">
        <v>45597</v>
      </c>
      <c r="H28" s="1">
        <v>45933</v>
      </c>
      <c r="I28" t="s">
        <v>15</v>
      </c>
      <c r="J28" t="s">
        <v>84</v>
      </c>
      <c r="K28" s="2">
        <v>112.5</v>
      </c>
    </row>
    <row r="29" spans="1:11" x14ac:dyDescent="0.25">
      <c r="A29" t="s">
        <v>22</v>
      </c>
      <c r="C29">
        <v>18710070</v>
      </c>
      <c r="D29" t="s">
        <v>23</v>
      </c>
      <c r="E29" t="s">
        <v>24</v>
      </c>
      <c r="F29" t="s">
        <v>25</v>
      </c>
      <c r="G29" s="1">
        <v>45931</v>
      </c>
      <c r="H29" s="1">
        <v>45933</v>
      </c>
      <c r="I29" t="s">
        <v>15</v>
      </c>
      <c r="J29" t="s">
        <v>72</v>
      </c>
      <c r="K29" s="2">
        <v>27.18</v>
      </c>
    </row>
    <row r="30" spans="1:11" x14ac:dyDescent="0.25">
      <c r="A30" t="s">
        <v>22</v>
      </c>
      <c r="C30">
        <v>18710070</v>
      </c>
      <c r="D30" t="s">
        <v>26</v>
      </c>
      <c r="E30" t="s">
        <v>27</v>
      </c>
      <c r="F30" t="s">
        <v>28</v>
      </c>
      <c r="G30" s="1">
        <v>45901</v>
      </c>
      <c r="H30" s="1">
        <v>45933</v>
      </c>
      <c r="I30" t="s">
        <v>15</v>
      </c>
      <c r="J30" t="s">
        <v>85</v>
      </c>
      <c r="K30" s="2">
        <v>-165</v>
      </c>
    </row>
    <row r="31" spans="1:11" x14ac:dyDescent="0.25">
      <c r="A31" t="s">
        <v>22</v>
      </c>
      <c r="C31">
        <v>18710070</v>
      </c>
      <c r="D31" t="s">
        <v>26</v>
      </c>
      <c r="E31" t="s">
        <v>27</v>
      </c>
      <c r="F31" t="s">
        <v>28</v>
      </c>
      <c r="G31" s="1">
        <v>45901</v>
      </c>
      <c r="H31" s="1">
        <v>45933</v>
      </c>
      <c r="I31" t="s">
        <v>15</v>
      </c>
      <c r="J31" t="s">
        <v>77</v>
      </c>
      <c r="K31" s="2">
        <v>165</v>
      </c>
    </row>
    <row r="32" spans="1:11" x14ac:dyDescent="0.25">
      <c r="A32" t="s">
        <v>31</v>
      </c>
      <c r="C32">
        <v>18794740</v>
      </c>
      <c r="D32" t="s">
        <v>32</v>
      </c>
      <c r="E32" t="s">
        <v>33</v>
      </c>
      <c r="F32" t="s">
        <v>34</v>
      </c>
      <c r="G32" s="1">
        <v>45901</v>
      </c>
      <c r="H32" s="1">
        <v>45933</v>
      </c>
      <c r="I32" t="s">
        <v>15</v>
      </c>
      <c r="J32" t="s">
        <v>85</v>
      </c>
      <c r="K32" s="2">
        <v>-165</v>
      </c>
    </row>
    <row r="33" spans="1:11" x14ac:dyDescent="0.25">
      <c r="A33" t="s">
        <v>31</v>
      </c>
      <c r="C33">
        <v>18794740</v>
      </c>
      <c r="D33" t="s">
        <v>32</v>
      </c>
      <c r="E33" t="s">
        <v>33</v>
      </c>
      <c r="F33" t="s">
        <v>34</v>
      </c>
      <c r="G33" s="1">
        <v>45901</v>
      </c>
      <c r="H33" s="1">
        <v>45933</v>
      </c>
      <c r="I33" t="s">
        <v>15</v>
      </c>
      <c r="J33" t="s">
        <v>77</v>
      </c>
      <c r="K33" s="2">
        <v>165</v>
      </c>
    </row>
    <row r="34" spans="1:11" x14ac:dyDescent="0.25">
      <c r="A34" t="s">
        <v>45</v>
      </c>
      <c r="B34">
        <v>18134413</v>
      </c>
      <c r="C34">
        <v>18134413</v>
      </c>
      <c r="D34" t="s">
        <v>86</v>
      </c>
      <c r="E34" t="s">
        <v>87</v>
      </c>
      <c r="F34" t="s">
        <v>88</v>
      </c>
      <c r="G34" s="1">
        <v>45292</v>
      </c>
      <c r="H34" s="1">
        <v>45933</v>
      </c>
      <c r="I34" t="s">
        <v>15</v>
      </c>
      <c r="J34" t="s">
        <v>89</v>
      </c>
      <c r="K34" s="2">
        <v>48.33</v>
      </c>
    </row>
    <row r="35" spans="1:11" x14ac:dyDescent="0.25">
      <c r="A35" t="s">
        <v>45</v>
      </c>
      <c r="B35">
        <v>18134413</v>
      </c>
      <c r="C35">
        <v>18134413</v>
      </c>
      <c r="D35" t="s">
        <v>68</v>
      </c>
      <c r="E35" t="s">
        <v>69</v>
      </c>
      <c r="F35" t="s">
        <v>70</v>
      </c>
      <c r="G35" s="1">
        <v>45658</v>
      </c>
      <c r="H35" s="1">
        <v>45933</v>
      </c>
      <c r="I35" t="s">
        <v>15</v>
      </c>
      <c r="J35" t="s">
        <v>89</v>
      </c>
      <c r="K35" s="2">
        <v>48.33</v>
      </c>
    </row>
    <row r="36" spans="1:11" x14ac:dyDescent="0.25">
      <c r="A36" t="s">
        <v>90</v>
      </c>
      <c r="C36">
        <v>15950276</v>
      </c>
      <c r="D36" t="s">
        <v>91</v>
      </c>
      <c r="E36" t="s">
        <v>92</v>
      </c>
      <c r="F36" t="s">
        <v>93</v>
      </c>
      <c r="G36" s="1">
        <v>45931</v>
      </c>
      <c r="H36" s="1">
        <v>45933</v>
      </c>
      <c r="I36" t="s">
        <v>15</v>
      </c>
      <c r="J36" t="s">
        <v>16</v>
      </c>
      <c r="K36" s="2">
        <v>88.25</v>
      </c>
    </row>
    <row r="37" spans="1:11" x14ac:dyDescent="0.25">
      <c r="A37" t="s">
        <v>90</v>
      </c>
      <c r="C37">
        <v>15950276</v>
      </c>
      <c r="D37" t="s">
        <v>94</v>
      </c>
      <c r="E37" t="s">
        <v>95</v>
      </c>
      <c r="F37" t="s">
        <v>96</v>
      </c>
      <c r="G37" s="1">
        <v>45931</v>
      </c>
      <c r="H37" s="1">
        <v>45933</v>
      </c>
      <c r="I37" t="s">
        <v>15</v>
      </c>
      <c r="J37" t="s">
        <v>16</v>
      </c>
      <c r="K37" s="2">
        <v>88.25</v>
      </c>
    </row>
    <row r="38" spans="1:11" x14ac:dyDescent="0.25">
      <c r="A38" t="s">
        <v>90</v>
      </c>
      <c r="C38">
        <v>15950276</v>
      </c>
      <c r="D38" t="s">
        <v>97</v>
      </c>
      <c r="E38" t="s">
        <v>98</v>
      </c>
      <c r="F38" t="s">
        <v>99</v>
      </c>
      <c r="G38" s="1">
        <v>45931</v>
      </c>
      <c r="H38" s="1">
        <v>45933</v>
      </c>
      <c r="I38" t="s">
        <v>15</v>
      </c>
      <c r="J38" t="s">
        <v>16</v>
      </c>
      <c r="K38" s="2">
        <v>88.25</v>
      </c>
    </row>
    <row r="39" spans="1:11" x14ac:dyDescent="0.25">
      <c r="A39" t="s">
        <v>90</v>
      </c>
      <c r="C39">
        <v>15950276</v>
      </c>
      <c r="D39" t="s">
        <v>91</v>
      </c>
      <c r="E39" t="s">
        <v>92</v>
      </c>
      <c r="F39" t="s">
        <v>93</v>
      </c>
      <c r="G39" s="1">
        <v>45931</v>
      </c>
      <c r="H39" s="1">
        <v>45933</v>
      </c>
      <c r="I39" t="s">
        <v>15</v>
      </c>
      <c r="J39" t="s">
        <v>72</v>
      </c>
      <c r="K39" s="2">
        <v>27.18</v>
      </c>
    </row>
    <row r="40" spans="1:11" x14ac:dyDescent="0.25">
      <c r="A40" t="s">
        <v>90</v>
      </c>
      <c r="C40">
        <v>15950276</v>
      </c>
      <c r="D40" t="s">
        <v>94</v>
      </c>
      <c r="E40" t="s">
        <v>95</v>
      </c>
      <c r="F40" t="s">
        <v>96</v>
      </c>
      <c r="G40" s="1">
        <v>45931</v>
      </c>
      <c r="H40" s="1">
        <v>45933</v>
      </c>
      <c r="I40" t="s">
        <v>15</v>
      </c>
      <c r="J40" t="s">
        <v>72</v>
      </c>
      <c r="K40" s="2">
        <v>27.18</v>
      </c>
    </row>
    <row r="41" spans="1:11" x14ac:dyDescent="0.25">
      <c r="A41" t="s">
        <v>90</v>
      </c>
      <c r="C41">
        <v>15950276</v>
      </c>
      <c r="D41" t="s">
        <v>97</v>
      </c>
      <c r="E41" t="s">
        <v>98</v>
      </c>
      <c r="F41" t="s">
        <v>99</v>
      </c>
      <c r="G41" s="1">
        <v>45931</v>
      </c>
      <c r="H41" s="1">
        <v>45933</v>
      </c>
      <c r="I41" t="s">
        <v>15</v>
      </c>
      <c r="J41" t="s">
        <v>72</v>
      </c>
      <c r="K41" s="2">
        <v>27.18</v>
      </c>
    </row>
    <row r="42" spans="1:11" x14ac:dyDescent="0.25">
      <c r="A42" t="s">
        <v>45</v>
      </c>
      <c r="B42">
        <v>18134413</v>
      </c>
      <c r="C42">
        <v>18134413</v>
      </c>
      <c r="D42" t="s">
        <v>100</v>
      </c>
      <c r="E42" t="s">
        <v>101</v>
      </c>
      <c r="F42" t="s">
        <v>102</v>
      </c>
      <c r="G42" s="1">
        <v>45292</v>
      </c>
      <c r="H42" s="1">
        <v>45933</v>
      </c>
      <c r="I42" t="s">
        <v>15</v>
      </c>
      <c r="J42" t="s">
        <v>103</v>
      </c>
      <c r="K42" s="2">
        <v>54.37</v>
      </c>
    </row>
    <row r="43" spans="1:11" x14ac:dyDescent="0.25">
      <c r="A43" t="s">
        <v>45</v>
      </c>
      <c r="B43">
        <v>18134413</v>
      </c>
      <c r="C43">
        <v>18134413</v>
      </c>
      <c r="D43" t="s">
        <v>81</v>
      </c>
      <c r="E43" t="s">
        <v>82</v>
      </c>
      <c r="F43" t="s">
        <v>83</v>
      </c>
      <c r="G43" s="1">
        <v>45597</v>
      </c>
      <c r="H43" s="1">
        <v>45933</v>
      </c>
      <c r="I43" t="s">
        <v>15</v>
      </c>
      <c r="J43" t="s">
        <v>103</v>
      </c>
      <c r="K43" s="2">
        <v>54.37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520B-51EA-4B6F-8668-ABB6BA58B2DB}">
  <dimension ref="A1:N43"/>
  <sheetViews>
    <sheetView tabSelected="1" topLeftCell="A4" workbookViewId="0">
      <selection activeCell="N2" sqref="N2:N43"/>
    </sheetView>
  </sheetViews>
  <sheetFormatPr defaultRowHeight="15" x14ac:dyDescent="0.25"/>
  <cols>
    <col min="1" max="1" width="17.7109375" bestFit="1" customWidth="1"/>
    <col min="5" max="5" width="16.42578125" customWidth="1"/>
    <col min="6" max="7" width="12.710937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51" bestFit="1" customWidth="1"/>
    <col min="13" max="13" width="21.1406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109</v>
      </c>
      <c r="B2">
        <v>20411454</v>
      </c>
      <c r="C2" t="s">
        <v>40</v>
      </c>
      <c r="D2" t="s">
        <v>41</v>
      </c>
      <c r="E2" t="str">
        <f>CONCATENATE(C2, " ",D2)</f>
        <v>Amy Cosentino</v>
      </c>
      <c r="F2">
        <v>47880</v>
      </c>
      <c r="G2" t="str">
        <f>CONCATENATE(F2,"OVR")</f>
        <v>47880OVR</v>
      </c>
      <c r="H2" s="1">
        <v>45870</v>
      </c>
      <c r="I2" s="1">
        <v>45933</v>
      </c>
      <c r="J2" t="s">
        <v>15</v>
      </c>
      <c r="K2" t="s">
        <v>43</v>
      </c>
      <c r="L2" s="2">
        <v>-9.06</v>
      </c>
      <c r="M2" t="s">
        <v>105</v>
      </c>
    </row>
    <row r="3" spans="1:13" x14ac:dyDescent="0.25">
      <c r="A3" t="s">
        <v>109</v>
      </c>
      <c r="B3">
        <v>20411454</v>
      </c>
      <c r="C3" t="s">
        <v>40</v>
      </c>
      <c r="D3" t="s">
        <v>41</v>
      </c>
      <c r="E3" t="str">
        <f>CONCATENATE(C3, " ",D3)</f>
        <v>Amy Cosentino</v>
      </c>
      <c r="F3">
        <v>47880</v>
      </c>
      <c r="G3" t="str">
        <f t="shared" ref="G3:G31" si="0">CONCATENATE(F3,"OVR")</f>
        <v>47880OVR</v>
      </c>
      <c r="H3" s="1">
        <v>45870</v>
      </c>
      <c r="I3" s="1">
        <v>45933</v>
      </c>
      <c r="J3" t="s">
        <v>15</v>
      </c>
      <c r="K3" t="s">
        <v>44</v>
      </c>
      <c r="L3" s="2">
        <v>9.06</v>
      </c>
      <c r="M3" t="s">
        <v>105</v>
      </c>
    </row>
    <row r="4" spans="1:13" x14ac:dyDescent="0.25">
      <c r="A4" t="s">
        <v>109</v>
      </c>
      <c r="B4">
        <v>20411454</v>
      </c>
      <c r="C4" t="s">
        <v>46</v>
      </c>
      <c r="D4" t="s">
        <v>47</v>
      </c>
      <c r="E4" t="str">
        <f>CONCATENATE(C4, " ",D4)</f>
        <v>Karen Valdes</v>
      </c>
      <c r="F4">
        <v>86820</v>
      </c>
      <c r="G4" t="str">
        <f t="shared" si="0"/>
        <v>86820OVR</v>
      </c>
      <c r="H4" s="1">
        <v>45292</v>
      </c>
      <c r="I4" s="1">
        <v>45933</v>
      </c>
      <c r="J4" t="s">
        <v>15</v>
      </c>
      <c r="K4" t="s">
        <v>44</v>
      </c>
      <c r="L4" s="2">
        <v>6.04</v>
      </c>
      <c r="M4" t="s">
        <v>105</v>
      </c>
    </row>
    <row r="5" spans="1:13" x14ac:dyDescent="0.25">
      <c r="A5" t="s">
        <v>109</v>
      </c>
      <c r="B5">
        <v>20411454</v>
      </c>
      <c r="C5" t="s">
        <v>49</v>
      </c>
      <c r="D5" t="s">
        <v>50</v>
      </c>
      <c r="E5" t="str">
        <f>CONCATENATE(C5, " ",D5)</f>
        <v>John Daley</v>
      </c>
      <c r="F5">
        <v>90670</v>
      </c>
      <c r="G5" t="str">
        <f t="shared" si="0"/>
        <v>90670OVR</v>
      </c>
      <c r="H5" s="1">
        <v>45658</v>
      </c>
      <c r="I5" s="1">
        <v>45933</v>
      </c>
      <c r="J5" t="s">
        <v>15</v>
      </c>
      <c r="K5" t="s">
        <v>52</v>
      </c>
      <c r="L5" s="2">
        <v>72.5</v>
      </c>
      <c r="M5" t="s">
        <v>105</v>
      </c>
    </row>
    <row r="6" spans="1:13" x14ac:dyDescent="0.25">
      <c r="A6" t="s">
        <v>109</v>
      </c>
      <c r="B6">
        <v>20411454</v>
      </c>
      <c r="C6" t="s">
        <v>49</v>
      </c>
      <c r="D6" t="s">
        <v>53</v>
      </c>
      <c r="E6" t="str">
        <f>CONCATENATE(C6, " ",D6)</f>
        <v>John Bliss</v>
      </c>
      <c r="F6">
        <v>23730</v>
      </c>
      <c r="G6" t="str">
        <f t="shared" si="0"/>
        <v>23730OVR</v>
      </c>
      <c r="H6" s="1">
        <v>45658</v>
      </c>
      <c r="I6" s="1">
        <v>45933</v>
      </c>
      <c r="J6" t="s">
        <v>15</v>
      </c>
      <c r="K6" t="s">
        <v>52</v>
      </c>
      <c r="L6" s="2">
        <v>72.5</v>
      </c>
      <c r="M6" t="s">
        <v>105</v>
      </c>
    </row>
    <row r="7" spans="1:13" x14ac:dyDescent="0.25">
      <c r="A7" t="s">
        <v>109</v>
      </c>
      <c r="B7">
        <v>20411454</v>
      </c>
      <c r="C7" t="s">
        <v>55</v>
      </c>
      <c r="D7" t="s">
        <v>53</v>
      </c>
      <c r="E7" t="str">
        <f>CONCATENATE(C7, " ",D7)</f>
        <v>Rose Bliss</v>
      </c>
      <c r="F7">
        <v>23750</v>
      </c>
      <c r="G7" t="str">
        <f t="shared" si="0"/>
        <v>23750OVR</v>
      </c>
      <c r="H7" s="1">
        <v>45658</v>
      </c>
      <c r="I7" s="1">
        <v>45933</v>
      </c>
      <c r="J7" t="s">
        <v>15</v>
      </c>
      <c r="K7" t="s">
        <v>52</v>
      </c>
      <c r="L7" s="2">
        <v>72.5</v>
      </c>
      <c r="M7" t="s">
        <v>105</v>
      </c>
    </row>
    <row r="8" spans="1:13" x14ac:dyDescent="0.25">
      <c r="A8" t="s">
        <v>109</v>
      </c>
      <c r="B8">
        <v>20411454</v>
      </c>
      <c r="C8" t="s">
        <v>57</v>
      </c>
      <c r="D8" t="s">
        <v>58</v>
      </c>
      <c r="E8" t="str">
        <f>CONCATENATE(C8, " ",D8)</f>
        <v>Randall Darby</v>
      </c>
      <c r="F8">
        <v>49860</v>
      </c>
      <c r="G8" t="str">
        <f t="shared" si="0"/>
        <v>49860OVR</v>
      </c>
      <c r="H8" s="1">
        <v>45658</v>
      </c>
      <c r="I8" s="1">
        <v>45933</v>
      </c>
      <c r="J8" t="s">
        <v>15</v>
      </c>
      <c r="K8" t="s">
        <v>52</v>
      </c>
      <c r="L8" s="2">
        <v>72.5</v>
      </c>
      <c r="M8" t="s">
        <v>105</v>
      </c>
    </row>
    <row r="9" spans="1:13" x14ac:dyDescent="0.25">
      <c r="A9" t="s">
        <v>109</v>
      </c>
      <c r="B9">
        <v>20411454</v>
      </c>
      <c r="C9" t="s">
        <v>60</v>
      </c>
      <c r="D9" t="s">
        <v>61</v>
      </c>
      <c r="E9" t="str">
        <f>CONCATENATE(C9, " ",D9)</f>
        <v>Harry Fedyk</v>
      </c>
      <c r="F9">
        <v>47450</v>
      </c>
      <c r="G9" t="str">
        <f t="shared" si="0"/>
        <v>47450OVR</v>
      </c>
      <c r="H9" s="1">
        <v>45658</v>
      </c>
      <c r="I9" s="1">
        <v>45933</v>
      </c>
      <c r="J9" t="s">
        <v>15</v>
      </c>
      <c r="K9" t="s">
        <v>52</v>
      </c>
      <c r="L9" s="2">
        <v>72.5</v>
      </c>
      <c r="M9" t="s">
        <v>105</v>
      </c>
    </row>
    <row r="10" spans="1:13" x14ac:dyDescent="0.25">
      <c r="A10" t="s">
        <v>109</v>
      </c>
      <c r="B10">
        <v>20411454</v>
      </c>
      <c r="C10" t="s">
        <v>63</v>
      </c>
      <c r="D10" t="s">
        <v>61</v>
      </c>
      <c r="E10" t="str">
        <f>CONCATENATE(C10, " ",D10)</f>
        <v>Vickie Fedyk</v>
      </c>
      <c r="F10">
        <v>49580</v>
      </c>
      <c r="G10" t="str">
        <f t="shared" si="0"/>
        <v>49580OVR</v>
      </c>
      <c r="H10" s="1">
        <v>45658</v>
      </c>
      <c r="I10" s="1">
        <v>45933</v>
      </c>
      <c r="J10" t="s">
        <v>15</v>
      </c>
      <c r="K10" t="s">
        <v>52</v>
      </c>
      <c r="L10" s="2">
        <v>72.5</v>
      </c>
      <c r="M10" t="s">
        <v>105</v>
      </c>
    </row>
    <row r="11" spans="1:13" x14ac:dyDescent="0.25">
      <c r="A11" t="s">
        <v>109</v>
      </c>
      <c r="B11">
        <v>20411454</v>
      </c>
      <c r="C11" t="s">
        <v>65</v>
      </c>
      <c r="D11" t="s">
        <v>66</v>
      </c>
      <c r="E11" t="str">
        <f>CONCATENATE(C11, " ",D11)</f>
        <v>Mark Finsen</v>
      </c>
      <c r="F11">
        <v>77530</v>
      </c>
      <c r="G11" t="str">
        <f t="shared" si="0"/>
        <v>77530OVR</v>
      </c>
      <c r="H11" s="1">
        <v>45658</v>
      </c>
      <c r="I11" s="1">
        <v>45933</v>
      </c>
      <c r="J11" t="s">
        <v>15</v>
      </c>
      <c r="K11" t="s">
        <v>52</v>
      </c>
      <c r="L11" s="2">
        <v>72.5</v>
      </c>
      <c r="M11" t="s">
        <v>105</v>
      </c>
    </row>
    <row r="12" spans="1:13" x14ac:dyDescent="0.25">
      <c r="A12" t="s">
        <v>109</v>
      </c>
      <c r="B12">
        <v>20411454</v>
      </c>
      <c r="C12" t="s">
        <v>68</v>
      </c>
      <c r="D12" t="s">
        <v>69</v>
      </c>
      <c r="E12" t="str">
        <f>CONCATENATE(C12, " ",D12)</f>
        <v>Kenneth Stebbins</v>
      </c>
      <c r="F12">
        <v>86870</v>
      </c>
      <c r="G12" t="str">
        <f t="shared" si="0"/>
        <v>86870OVR</v>
      </c>
      <c r="H12" s="1">
        <v>45658</v>
      </c>
      <c r="I12" s="1">
        <v>45933</v>
      </c>
      <c r="J12" t="s">
        <v>15</v>
      </c>
      <c r="K12" t="s">
        <v>71</v>
      </c>
      <c r="L12" s="2">
        <v>24.16</v>
      </c>
      <c r="M12" t="s">
        <v>105</v>
      </c>
    </row>
    <row r="13" spans="1:13" x14ac:dyDescent="0.25">
      <c r="A13" t="s">
        <v>109</v>
      </c>
      <c r="B13">
        <v>20411454</v>
      </c>
      <c r="C13" t="s">
        <v>12</v>
      </c>
      <c r="D13" t="s">
        <v>13</v>
      </c>
      <c r="E13" t="str">
        <f>CONCATENATE(C13, " ",D13)</f>
        <v>Betty Crooks</v>
      </c>
      <c r="F13">
        <v>41550</v>
      </c>
      <c r="G13" t="str">
        <f t="shared" si="0"/>
        <v>41550OVR</v>
      </c>
      <c r="H13" s="1">
        <v>45931</v>
      </c>
      <c r="I13" s="1">
        <v>45933</v>
      </c>
      <c r="J13" t="s">
        <v>15</v>
      </c>
      <c r="K13" t="s">
        <v>72</v>
      </c>
      <c r="L13" s="2">
        <v>27.18</v>
      </c>
      <c r="M13" t="s">
        <v>105</v>
      </c>
    </row>
    <row r="14" spans="1:13" x14ac:dyDescent="0.25">
      <c r="A14" t="s">
        <v>109</v>
      </c>
      <c r="B14">
        <v>20411454</v>
      </c>
      <c r="C14" t="s">
        <v>17</v>
      </c>
      <c r="D14" t="s">
        <v>18</v>
      </c>
      <c r="E14" t="str">
        <f>CONCATENATE(C14, " ",D14)</f>
        <v>Jody Duffy</v>
      </c>
      <c r="F14">
        <v>27030</v>
      </c>
      <c r="G14" t="str">
        <f t="shared" si="0"/>
        <v>27030OVR</v>
      </c>
      <c r="H14" s="1">
        <v>45931</v>
      </c>
      <c r="I14" s="1">
        <v>45933</v>
      </c>
      <c r="J14" t="s">
        <v>15</v>
      </c>
      <c r="K14" t="s">
        <v>72</v>
      </c>
      <c r="L14" s="2">
        <v>27.18</v>
      </c>
      <c r="M14" t="s">
        <v>105</v>
      </c>
    </row>
    <row r="15" spans="1:13" x14ac:dyDescent="0.25">
      <c r="A15" t="s">
        <v>109</v>
      </c>
      <c r="B15">
        <v>20411454</v>
      </c>
      <c r="C15" t="s">
        <v>20</v>
      </c>
      <c r="D15" t="s">
        <v>18</v>
      </c>
      <c r="E15" t="str">
        <f>CONCATENATE(C15, " ",D15)</f>
        <v>Kevin Duffy</v>
      </c>
      <c r="F15">
        <v>23500</v>
      </c>
      <c r="G15" t="str">
        <f t="shared" si="0"/>
        <v>23500OVR</v>
      </c>
      <c r="H15" s="1">
        <v>45931</v>
      </c>
      <c r="I15" s="1">
        <v>45933</v>
      </c>
      <c r="J15" t="s">
        <v>15</v>
      </c>
      <c r="K15" t="s">
        <v>72</v>
      </c>
      <c r="L15" s="2">
        <v>27.18</v>
      </c>
      <c r="M15" t="s">
        <v>105</v>
      </c>
    </row>
    <row r="16" spans="1:13" x14ac:dyDescent="0.25">
      <c r="A16" t="s">
        <v>109</v>
      </c>
      <c r="B16">
        <v>20411454</v>
      </c>
      <c r="C16" t="s">
        <v>35</v>
      </c>
      <c r="D16" t="s">
        <v>36</v>
      </c>
      <c r="E16" t="str">
        <f>CONCATENATE(C16, " ",D16)</f>
        <v>Donna Slazinski</v>
      </c>
      <c r="F16">
        <v>82860</v>
      </c>
      <c r="G16" t="str">
        <f t="shared" si="0"/>
        <v>82860OVR</v>
      </c>
      <c r="H16" s="1">
        <v>45658</v>
      </c>
      <c r="I16" s="1">
        <v>45933</v>
      </c>
      <c r="J16" t="s">
        <v>15</v>
      </c>
      <c r="K16" t="s">
        <v>73</v>
      </c>
      <c r="L16" s="2">
        <v>-18.12</v>
      </c>
      <c r="M16" t="s">
        <v>105</v>
      </c>
    </row>
    <row r="17" spans="1:14" x14ac:dyDescent="0.25">
      <c r="A17" t="s">
        <v>109</v>
      </c>
      <c r="B17">
        <v>20411454</v>
      </c>
      <c r="C17" t="s">
        <v>74</v>
      </c>
      <c r="D17" t="s">
        <v>75</v>
      </c>
      <c r="E17" t="str">
        <f>CONCATENATE(C17, " ",D17)</f>
        <v>Lisa Mosheim</v>
      </c>
      <c r="F17">
        <v>16300</v>
      </c>
      <c r="G17" t="str">
        <f t="shared" si="0"/>
        <v>16300OVR</v>
      </c>
      <c r="H17" s="1">
        <v>45809</v>
      </c>
      <c r="I17" s="1">
        <v>45933</v>
      </c>
      <c r="J17" t="s">
        <v>15</v>
      </c>
      <c r="K17" t="s">
        <v>77</v>
      </c>
      <c r="L17" s="2">
        <v>110</v>
      </c>
      <c r="M17" t="s">
        <v>105</v>
      </c>
    </row>
    <row r="18" spans="1:14" x14ac:dyDescent="0.25">
      <c r="A18" t="s">
        <v>109</v>
      </c>
      <c r="B18">
        <v>20411454</v>
      </c>
      <c r="C18" t="s">
        <v>78</v>
      </c>
      <c r="D18" t="s">
        <v>79</v>
      </c>
      <c r="E18" t="str">
        <f>CONCATENATE(C18, " ",D18)</f>
        <v>Michele Barbitta</v>
      </c>
      <c r="F18">
        <v>76530</v>
      </c>
      <c r="G18" t="str">
        <f t="shared" si="0"/>
        <v>76530OVR</v>
      </c>
      <c r="H18" s="1">
        <v>45658</v>
      </c>
      <c r="I18" s="1">
        <v>45933</v>
      </c>
      <c r="J18" t="s">
        <v>15</v>
      </c>
      <c r="K18" t="s">
        <v>77</v>
      </c>
      <c r="L18" s="2">
        <v>110</v>
      </c>
      <c r="M18" t="s">
        <v>105</v>
      </c>
    </row>
    <row r="19" spans="1:14" x14ac:dyDescent="0.25">
      <c r="A19" t="s">
        <v>109</v>
      </c>
      <c r="B19">
        <v>20411454</v>
      </c>
      <c r="C19" t="s">
        <v>81</v>
      </c>
      <c r="D19" t="s">
        <v>82</v>
      </c>
      <c r="E19" t="str">
        <f>CONCATENATE(C19, " ",D19)</f>
        <v>George Titchnell</v>
      </c>
      <c r="F19">
        <v>18230</v>
      </c>
      <c r="G19" t="str">
        <f t="shared" si="0"/>
        <v>18230OVR</v>
      </c>
      <c r="H19" s="1">
        <v>45597</v>
      </c>
      <c r="I19" s="1">
        <v>45933</v>
      </c>
      <c r="J19" t="s">
        <v>15</v>
      </c>
      <c r="K19" t="s">
        <v>84</v>
      </c>
      <c r="L19" s="2">
        <v>112.5</v>
      </c>
      <c r="M19" t="s">
        <v>105</v>
      </c>
    </row>
    <row r="20" spans="1:14" x14ac:dyDescent="0.25">
      <c r="A20" t="s">
        <v>109</v>
      </c>
      <c r="B20">
        <v>20411454</v>
      </c>
      <c r="C20" t="s">
        <v>23</v>
      </c>
      <c r="D20" t="s">
        <v>24</v>
      </c>
      <c r="E20" t="str">
        <f>CONCATENATE(C20, " ",D20)</f>
        <v>Michelle Mcknight</v>
      </c>
      <c r="F20">
        <v>9640</v>
      </c>
      <c r="G20" t="str">
        <f t="shared" si="0"/>
        <v>9640OVR</v>
      </c>
      <c r="H20" s="1">
        <v>45931</v>
      </c>
      <c r="I20" s="1">
        <v>45933</v>
      </c>
      <c r="J20" t="s">
        <v>15</v>
      </c>
      <c r="K20" t="s">
        <v>72</v>
      </c>
      <c r="L20" s="2">
        <v>27.18</v>
      </c>
      <c r="M20" t="s">
        <v>105</v>
      </c>
    </row>
    <row r="21" spans="1:14" x14ac:dyDescent="0.25">
      <c r="A21" t="s">
        <v>109</v>
      </c>
      <c r="B21">
        <v>20411454</v>
      </c>
      <c r="C21" t="s">
        <v>26</v>
      </c>
      <c r="D21" t="s">
        <v>27</v>
      </c>
      <c r="E21" t="str">
        <f>CONCATENATE(C21, " ",D21)</f>
        <v>Eric Rupert</v>
      </c>
      <c r="F21">
        <v>81990</v>
      </c>
      <c r="G21" t="str">
        <f t="shared" si="0"/>
        <v>81990OVR</v>
      </c>
      <c r="H21" s="1">
        <v>45901</v>
      </c>
      <c r="I21" s="1">
        <v>45933</v>
      </c>
      <c r="J21" t="s">
        <v>15</v>
      </c>
      <c r="K21" t="s">
        <v>85</v>
      </c>
      <c r="L21" s="2">
        <v>-165</v>
      </c>
      <c r="M21" t="s">
        <v>105</v>
      </c>
    </row>
    <row r="22" spans="1:14" x14ac:dyDescent="0.25">
      <c r="A22" t="s">
        <v>109</v>
      </c>
      <c r="B22">
        <v>20411454</v>
      </c>
      <c r="C22" t="s">
        <v>26</v>
      </c>
      <c r="D22" t="s">
        <v>27</v>
      </c>
      <c r="E22" t="str">
        <f>CONCATENATE(C22, " ",D22)</f>
        <v>Eric Rupert</v>
      </c>
      <c r="F22">
        <v>81990</v>
      </c>
      <c r="G22" t="str">
        <f t="shared" si="0"/>
        <v>81990OVR</v>
      </c>
      <c r="H22" s="1">
        <v>45901</v>
      </c>
      <c r="I22" s="1">
        <v>45933</v>
      </c>
      <c r="J22" t="s">
        <v>15</v>
      </c>
      <c r="K22" t="s">
        <v>77</v>
      </c>
      <c r="L22" s="2">
        <v>165</v>
      </c>
      <c r="M22" t="s">
        <v>105</v>
      </c>
    </row>
    <row r="23" spans="1:14" x14ac:dyDescent="0.25">
      <c r="A23" t="s">
        <v>109</v>
      </c>
      <c r="B23">
        <v>20411454</v>
      </c>
      <c r="C23" t="s">
        <v>32</v>
      </c>
      <c r="D23" t="s">
        <v>33</v>
      </c>
      <c r="E23" t="str">
        <f>CONCATENATE(C23, " ",D23)</f>
        <v>Irene Hayward</v>
      </c>
      <c r="F23">
        <v>71400</v>
      </c>
      <c r="G23" t="str">
        <f t="shared" si="0"/>
        <v>71400OVR</v>
      </c>
      <c r="H23" s="1">
        <v>45901</v>
      </c>
      <c r="I23" s="1">
        <v>45933</v>
      </c>
      <c r="J23" t="s">
        <v>15</v>
      </c>
      <c r="K23" t="s">
        <v>85</v>
      </c>
      <c r="L23" s="2">
        <v>-165</v>
      </c>
      <c r="M23" t="s">
        <v>105</v>
      </c>
    </row>
    <row r="24" spans="1:14" x14ac:dyDescent="0.25">
      <c r="A24" t="s">
        <v>109</v>
      </c>
      <c r="B24">
        <v>20411454</v>
      </c>
      <c r="C24" t="s">
        <v>32</v>
      </c>
      <c r="D24" t="s">
        <v>33</v>
      </c>
      <c r="E24" t="str">
        <f>CONCATENATE(C24, " ",D24)</f>
        <v>Irene Hayward</v>
      </c>
      <c r="F24">
        <v>71400</v>
      </c>
      <c r="G24" t="str">
        <f t="shared" si="0"/>
        <v>71400OVR</v>
      </c>
      <c r="H24" s="1">
        <v>45901</v>
      </c>
      <c r="I24" s="1">
        <v>45933</v>
      </c>
      <c r="J24" t="s">
        <v>15</v>
      </c>
      <c r="K24" t="s">
        <v>77</v>
      </c>
      <c r="L24" s="2">
        <v>165</v>
      </c>
      <c r="M24" t="s">
        <v>105</v>
      </c>
    </row>
    <row r="25" spans="1:14" x14ac:dyDescent="0.25">
      <c r="A25" t="s">
        <v>109</v>
      </c>
      <c r="B25">
        <v>20411454</v>
      </c>
      <c r="C25" t="s">
        <v>86</v>
      </c>
      <c r="D25" t="s">
        <v>87</v>
      </c>
      <c r="E25" t="str">
        <f>CONCATENATE(C25, " ",D25)</f>
        <v>Christina Heinbaugh</v>
      </c>
      <c r="F25">
        <v>30100</v>
      </c>
      <c r="G25" t="str">
        <f t="shared" si="0"/>
        <v>30100OVR</v>
      </c>
      <c r="H25" s="1">
        <v>45292</v>
      </c>
      <c r="I25" s="1">
        <v>45933</v>
      </c>
      <c r="J25" t="s">
        <v>15</v>
      </c>
      <c r="K25" t="s">
        <v>89</v>
      </c>
      <c r="L25" s="2">
        <v>48.33</v>
      </c>
      <c r="M25" t="s">
        <v>105</v>
      </c>
    </row>
    <row r="26" spans="1:14" x14ac:dyDescent="0.25">
      <c r="A26" t="s">
        <v>109</v>
      </c>
      <c r="B26">
        <v>20411454</v>
      </c>
      <c r="C26" t="s">
        <v>68</v>
      </c>
      <c r="D26" t="s">
        <v>69</v>
      </c>
      <c r="E26" t="str">
        <f>CONCATENATE(C26, " ",D26)</f>
        <v>Kenneth Stebbins</v>
      </c>
      <c r="F26">
        <v>86870</v>
      </c>
      <c r="G26" t="str">
        <f t="shared" si="0"/>
        <v>86870OVR</v>
      </c>
      <c r="H26" s="1">
        <v>45658</v>
      </c>
      <c r="I26" s="1">
        <v>45933</v>
      </c>
      <c r="J26" t="s">
        <v>15</v>
      </c>
      <c r="K26" t="s">
        <v>89</v>
      </c>
      <c r="L26" s="2">
        <v>48.33</v>
      </c>
      <c r="M26" t="s">
        <v>105</v>
      </c>
    </row>
    <row r="27" spans="1:14" x14ac:dyDescent="0.25">
      <c r="A27" t="s">
        <v>109</v>
      </c>
      <c r="B27">
        <v>20411454</v>
      </c>
      <c r="C27" t="s">
        <v>91</v>
      </c>
      <c r="D27" t="s">
        <v>92</v>
      </c>
      <c r="E27" t="str">
        <f>CONCATENATE(C27, " ",D27)</f>
        <v>Barbara Duke</v>
      </c>
      <c r="F27">
        <v>23990</v>
      </c>
      <c r="G27" t="str">
        <f t="shared" si="0"/>
        <v>23990OVR</v>
      </c>
      <c r="H27" s="1">
        <v>45931</v>
      </c>
      <c r="I27" s="1">
        <v>45933</v>
      </c>
      <c r="J27" t="s">
        <v>15</v>
      </c>
      <c r="K27" t="s">
        <v>72</v>
      </c>
      <c r="L27" s="2">
        <v>27.18</v>
      </c>
      <c r="M27" t="s">
        <v>105</v>
      </c>
    </row>
    <row r="28" spans="1:14" x14ac:dyDescent="0.25">
      <c r="A28" t="s">
        <v>109</v>
      </c>
      <c r="B28">
        <v>20411454</v>
      </c>
      <c r="C28" t="s">
        <v>94</v>
      </c>
      <c r="D28" t="s">
        <v>95</v>
      </c>
      <c r="E28" t="str">
        <f>CONCATENATE(C28, " ",D28)</f>
        <v>Isaac Orosco</v>
      </c>
      <c r="F28">
        <v>29180</v>
      </c>
      <c r="G28" t="str">
        <f t="shared" si="0"/>
        <v>29180OVR</v>
      </c>
      <c r="H28" s="1">
        <v>45931</v>
      </c>
      <c r="I28" s="1">
        <v>45933</v>
      </c>
      <c r="J28" t="s">
        <v>15</v>
      </c>
      <c r="K28" t="s">
        <v>72</v>
      </c>
      <c r="L28" s="2">
        <v>27.18</v>
      </c>
      <c r="M28" t="s">
        <v>105</v>
      </c>
    </row>
    <row r="29" spans="1:14" x14ac:dyDescent="0.25">
      <c r="A29" t="s">
        <v>109</v>
      </c>
      <c r="B29">
        <v>20411454</v>
      </c>
      <c r="C29" t="s">
        <v>97</v>
      </c>
      <c r="D29" t="s">
        <v>98</v>
      </c>
      <c r="E29" t="str">
        <f>CONCATENATE(C29, " ",D29)</f>
        <v>David Altemose</v>
      </c>
      <c r="F29">
        <v>35670</v>
      </c>
      <c r="G29" t="str">
        <f t="shared" si="0"/>
        <v>35670OVR</v>
      </c>
      <c r="H29" s="1">
        <v>45931</v>
      </c>
      <c r="I29" s="1">
        <v>45933</v>
      </c>
      <c r="J29" t="s">
        <v>15</v>
      </c>
      <c r="K29" t="s">
        <v>72</v>
      </c>
      <c r="L29" s="2">
        <v>27.18</v>
      </c>
      <c r="M29" t="s">
        <v>105</v>
      </c>
    </row>
    <row r="30" spans="1:14" x14ac:dyDescent="0.25">
      <c r="A30" t="s">
        <v>109</v>
      </c>
      <c r="B30">
        <v>20411454</v>
      </c>
      <c r="C30" t="s">
        <v>100</v>
      </c>
      <c r="D30" t="s">
        <v>101</v>
      </c>
      <c r="E30" t="str">
        <f>CONCATENATE(C30, " ",D30)</f>
        <v>Beverly Verbeke</v>
      </c>
      <c r="F30">
        <v>65460</v>
      </c>
      <c r="G30" t="str">
        <f t="shared" si="0"/>
        <v>65460OVR</v>
      </c>
      <c r="H30" s="1">
        <v>45292</v>
      </c>
      <c r="I30" s="1">
        <v>45933</v>
      </c>
      <c r="J30" t="s">
        <v>15</v>
      </c>
      <c r="K30" t="s">
        <v>103</v>
      </c>
      <c r="L30" s="2">
        <v>54.37</v>
      </c>
      <c r="M30" t="s">
        <v>105</v>
      </c>
    </row>
    <row r="31" spans="1:14" x14ac:dyDescent="0.25">
      <c r="A31" t="s">
        <v>109</v>
      </c>
      <c r="B31">
        <v>20411454</v>
      </c>
      <c r="C31" t="s">
        <v>81</v>
      </c>
      <c r="D31" t="s">
        <v>82</v>
      </c>
      <c r="E31" t="str">
        <f>CONCATENATE(C31, " ",D31)</f>
        <v>George Titchnell</v>
      </c>
      <c r="F31">
        <v>18230</v>
      </c>
      <c r="G31" t="str">
        <f t="shared" si="0"/>
        <v>18230OVR</v>
      </c>
      <c r="H31" s="1">
        <v>45597</v>
      </c>
      <c r="I31" s="1">
        <v>45933</v>
      </c>
      <c r="J31" t="s">
        <v>15</v>
      </c>
      <c r="K31" t="s">
        <v>103</v>
      </c>
      <c r="L31" s="2">
        <v>54.37</v>
      </c>
      <c r="M31" t="s">
        <v>105</v>
      </c>
    </row>
    <row r="32" spans="1:14" s="6" customFormat="1" x14ac:dyDescent="0.25">
      <c r="A32" s="6" t="s">
        <v>22</v>
      </c>
      <c r="B32" s="6" t="s">
        <v>110</v>
      </c>
      <c r="C32" s="6" t="s">
        <v>26</v>
      </c>
      <c r="D32" s="6" t="s">
        <v>27</v>
      </c>
      <c r="E32" s="6" t="str">
        <f>CONCATENATE(C32, " ",D32)</f>
        <v>Eric Rupert</v>
      </c>
      <c r="F32" s="6">
        <v>81990</v>
      </c>
      <c r="G32" s="6" t="str">
        <f>CONCATENATE(F32,75)</f>
        <v>8199075</v>
      </c>
      <c r="H32" s="7">
        <v>45901</v>
      </c>
      <c r="I32" s="7">
        <v>45933</v>
      </c>
      <c r="J32" s="6" t="s">
        <v>15</v>
      </c>
      <c r="K32" s="6" t="s">
        <v>29</v>
      </c>
      <c r="L32" s="8">
        <v>-705</v>
      </c>
      <c r="M32" s="6" t="s">
        <v>107</v>
      </c>
      <c r="N32" s="6" t="s">
        <v>112</v>
      </c>
    </row>
    <row r="33" spans="1:14" s="6" customFormat="1" x14ac:dyDescent="0.25">
      <c r="A33" s="6" t="s">
        <v>22</v>
      </c>
      <c r="B33" s="6" t="s">
        <v>110</v>
      </c>
      <c r="C33" s="6" t="s">
        <v>26</v>
      </c>
      <c r="D33" s="6" t="s">
        <v>27</v>
      </c>
      <c r="E33" s="6" t="str">
        <f>CONCATENATE(C33, " ",D33)</f>
        <v>Eric Rupert</v>
      </c>
      <c r="F33" s="6">
        <v>81990</v>
      </c>
      <c r="G33" s="6" t="str">
        <f t="shared" ref="G33:G35" si="1">CONCATENATE(F33,75)</f>
        <v>8199075</v>
      </c>
      <c r="H33" s="7">
        <v>45901</v>
      </c>
      <c r="I33" s="7">
        <v>45933</v>
      </c>
      <c r="J33" s="6" t="s">
        <v>15</v>
      </c>
      <c r="K33" s="6" t="s">
        <v>30</v>
      </c>
      <c r="L33" s="8">
        <v>705</v>
      </c>
      <c r="M33" s="6" t="s">
        <v>107</v>
      </c>
      <c r="N33" s="6" t="s">
        <v>112</v>
      </c>
    </row>
    <row r="34" spans="1:14" s="6" customFormat="1" x14ac:dyDescent="0.25">
      <c r="A34" s="6" t="s">
        <v>31</v>
      </c>
      <c r="B34" s="6">
        <v>18794740</v>
      </c>
      <c r="C34" s="6" t="s">
        <v>32</v>
      </c>
      <c r="D34" s="6" t="s">
        <v>33</v>
      </c>
      <c r="E34" s="6" t="str">
        <f>CONCATENATE(C34, " ",D34)</f>
        <v>Irene Hayward</v>
      </c>
      <c r="F34" s="6">
        <v>71400</v>
      </c>
      <c r="G34" s="6" t="str">
        <f t="shared" si="1"/>
        <v>7140075</v>
      </c>
      <c r="H34" s="7">
        <v>45901</v>
      </c>
      <c r="I34" s="7">
        <v>45933</v>
      </c>
      <c r="J34" s="6" t="s">
        <v>15</v>
      </c>
      <c r="K34" s="6" t="s">
        <v>29</v>
      </c>
      <c r="L34" s="8">
        <v>-705</v>
      </c>
      <c r="M34" s="6" t="s">
        <v>107</v>
      </c>
      <c r="N34" s="6" t="s">
        <v>112</v>
      </c>
    </row>
    <row r="35" spans="1:14" s="6" customFormat="1" x14ac:dyDescent="0.25">
      <c r="A35" s="6" t="s">
        <v>31</v>
      </c>
      <c r="B35" s="6">
        <v>18794740</v>
      </c>
      <c r="C35" s="6" t="s">
        <v>32</v>
      </c>
      <c r="D35" s="6" t="s">
        <v>33</v>
      </c>
      <c r="E35" s="6" t="str">
        <f>CONCATENATE(C35, " ",D35)</f>
        <v>Irene Hayward</v>
      </c>
      <c r="F35" s="6">
        <v>71400</v>
      </c>
      <c r="G35" s="6" t="str">
        <f t="shared" si="1"/>
        <v>7140075</v>
      </c>
      <c r="H35" s="7">
        <v>45901</v>
      </c>
      <c r="I35" s="7">
        <v>45933</v>
      </c>
      <c r="J35" s="6" t="s">
        <v>15</v>
      </c>
      <c r="K35" s="6" t="s">
        <v>30</v>
      </c>
      <c r="L35" s="8">
        <v>705</v>
      </c>
      <c r="M35" s="6" t="s">
        <v>107</v>
      </c>
      <c r="N35" s="6" t="s">
        <v>112</v>
      </c>
    </row>
    <row r="36" spans="1:14" s="3" customFormat="1" x14ac:dyDescent="0.25">
      <c r="A36" s="3" t="s">
        <v>11</v>
      </c>
      <c r="B36" s="3" t="s">
        <v>111</v>
      </c>
      <c r="C36" s="3" t="s">
        <v>12</v>
      </c>
      <c r="D36" s="3" t="s">
        <v>13</v>
      </c>
      <c r="E36" s="3" t="str">
        <f>CONCATENATE(C36, " ",D36)</f>
        <v>Betty Crooks</v>
      </c>
      <c r="F36" s="3">
        <v>41550</v>
      </c>
      <c r="G36" s="3" t="str">
        <f>CONCATENATE(F36,55)</f>
        <v>4155055</v>
      </c>
      <c r="H36" s="4">
        <v>45931</v>
      </c>
      <c r="I36" s="4">
        <v>45933</v>
      </c>
      <c r="J36" s="3" t="s">
        <v>15</v>
      </c>
      <c r="K36" s="3" t="s">
        <v>16</v>
      </c>
      <c r="L36" s="5">
        <v>88.25</v>
      </c>
      <c r="M36" s="3" t="s">
        <v>106</v>
      </c>
      <c r="N36" s="3" t="s">
        <v>108</v>
      </c>
    </row>
    <row r="37" spans="1:14" s="3" customFormat="1" x14ac:dyDescent="0.25">
      <c r="A37" s="3" t="s">
        <v>11</v>
      </c>
      <c r="B37" s="3" t="s">
        <v>111</v>
      </c>
      <c r="C37" s="3" t="s">
        <v>17</v>
      </c>
      <c r="D37" s="3" t="s">
        <v>18</v>
      </c>
      <c r="E37" s="3" t="str">
        <f>CONCATENATE(C37, " ",D37)</f>
        <v>Jody Duffy</v>
      </c>
      <c r="F37" s="3">
        <v>27030</v>
      </c>
      <c r="G37" s="3" t="str">
        <f t="shared" ref="G37:G43" si="2">CONCATENATE(F37,55)</f>
        <v>2703055</v>
      </c>
      <c r="H37" s="4">
        <v>45931</v>
      </c>
      <c r="I37" s="4">
        <v>45933</v>
      </c>
      <c r="J37" s="3" t="s">
        <v>15</v>
      </c>
      <c r="K37" s="3" t="s">
        <v>16</v>
      </c>
      <c r="L37" s="5">
        <v>88.25</v>
      </c>
      <c r="M37" s="3" t="s">
        <v>106</v>
      </c>
      <c r="N37" s="3" t="s">
        <v>108</v>
      </c>
    </row>
    <row r="38" spans="1:14" s="3" customFormat="1" x14ac:dyDescent="0.25">
      <c r="A38" s="3" t="s">
        <v>11</v>
      </c>
      <c r="B38" s="3" t="s">
        <v>111</v>
      </c>
      <c r="C38" s="3" t="s">
        <v>20</v>
      </c>
      <c r="D38" s="3" t="s">
        <v>18</v>
      </c>
      <c r="E38" s="3" t="str">
        <f>CONCATENATE(C38, " ",D38)</f>
        <v>Kevin Duffy</v>
      </c>
      <c r="F38" s="3">
        <v>23500</v>
      </c>
      <c r="G38" s="3" t="str">
        <f t="shared" si="2"/>
        <v>2350055</v>
      </c>
      <c r="H38" s="4">
        <v>45931</v>
      </c>
      <c r="I38" s="4">
        <v>45933</v>
      </c>
      <c r="J38" s="3" t="s">
        <v>15</v>
      </c>
      <c r="K38" s="3" t="s">
        <v>16</v>
      </c>
      <c r="L38" s="5">
        <v>88.25</v>
      </c>
      <c r="M38" s="3" t="s">
        <v>106</v>
      </c>
      <c r="N38" s="3" t="s">
        <v>108</v>
      </c>
    </row>
    <row r="39" spans="1:14" s="3" customFormat="1" x14ac:dyDescent="0.25">
      <c r="A39" s="3" t="s">
        <v>22</v>
      </c>
      <c r="B39" s="3" t="s">
        <v>110</v>
      </c>
      <c r="C39" s="3" t="s">
        <v>23</v>
      </c>
      <c r="D39" s="3" t="s">
        <v>24</v>
      </c>
      <c r="E39" s="3" t="str">
        <f>CONCATENATE(C39, " ",D39)</f>
        <v>Michelle Mcknight</v>
      </c>
      <c r="F39" s="3">
        <v>9640</v>
      </c>
      <c r="G39" s="3" t="str">
        <f t="shared" si="2"/>
        <v>964055</v>
      </c>
      <c r="H39" s="4">
        <v>45931</v>
      </c>
      <c r="I39" s="4">
        <v>45933</v>
      </c>
      <c r="J39" s="3" t="s">
        <v>15</v>
      </c>
      <c r="K39" s="3" t="s">
        <v>16</v>
      </c>
      <c r="L39" s="5">
        <v>88.25</v>
      </c>
      <c r="M39" s="3" t="s">
        <v>106</v>
      </c>
      <c r="N39" s="3" t="s">
        <v>108</v>
      </c>
    </row>
    <row r="40" spans="1:14" s="3" customFormat="1" x14ac:dyDescent="0.25">
      <c r="A40" s="3" t="s">
        <v>11</v>
      </c>
      <c r="B40" s="3">
        <v>17528908</v>
      </c>
      <c r="C40" s="3" t="s">
        <v>35</v>
      </c>
      <c r="D40" s="3" t="s">
        <v>36</v>
      </c>
      <c r="E40" s="3" t="str">
        <f>CONCATENATE(C40, " ",D40)</f>
        <v>Donna Slazinski</v>
      </c>
      <c r="F40" s="3">
        <v>82860</v>
      </c>
      <c r="G40" s="3" t="str">
        <f t="shared" si="2"/>
        <v>8286055</v>
      </c>
      <c r="H40" s="4">
        <v>45658</v>
      </c>
      <c r="I40" s="4">
        <v>45933</v>
      </c>
      <c r="J40" s="3" t="s">
        <v>15</v>
      </c>
      <c r="K40" s="3" t="s">
        <v>38</v>
      </c>
      <c r="L40" s="5">
        <v>-88.25</v>
      </c>
      <c r="M40" s="3" t="s">
        <v>106</v>
      </c>
      <c r="N40" s="3" t="s">
        <v>108</v>
      </c>
    </row>
    <row r="41" spans="1:14" s="3" customFormat="1" x14ac:dyDescent="0.25">
      <c r="A41" s="3" t="s">
        <v>90</v>
      </c>
      <c r="B41" s="3">
        <v>15950276</v>
      </c>
      <c r="C41" s="3" t="s">
        <v>91</v>
      </c>
      <c r="D41" s="3" t="s">
        <v>92</v>
      </c>
      <c r="E41" s="3" t="str">
        <f>CONCATENATE(C41, " ",D41)</f>
        <v>Barbara Duke</v>
      </c>
      <c r="F41" s="3">
        <v>23990</v>
      </c>
      <c r="G41" s="3" t="str">
        <f t="shared" si="2"/>
        <v>2399055</v>
      </c>
      <c r="H41" s="4">
        <v>45931</v>
      </c>
      <c r="I41" s="4">
        <v>45933</v>
      </c>
      <c r="J41" s="3" t="s">
        <v>15</v>
      </c>
      <c r="K41" s="3" t="s">
        <v>16</v>
      </c>
      <c r="L41" s="5">
        <v>88.25</v>
      </c>
      <c r="M41" s="3" t="s">
        <v>106</v>
      </c>
      <c r="N41" s="3" t="s">
        <v>108</v>
      </c>
    </row>
    <row r="42" spans="1:14" s="3" customFormat="1" x14ac:dyDescent="0.25">
      <c r="A42" s="3" t="s">
        <v>90</v>
      </c>
      <c r="B42" s="3">
        <v>15950276</v>
      </c>
      <c r="C42" s="3" t="s">
        <v>94</v>
      </c>
      <c r="D42" s="3" t="s">
        <v>95</v>
      </c>
      <c r="E42" s="3" t="str">
        <f>CONCATENATE(C42, " ",D42)</f>
        <v>Isaac Orosco</v>
      </c>
      <c r="F42" s="3">
        <v>29180</v>
      </c>
      <c r="G42" s="3" t="str">
        <f t="shared" si="2"/>
        <v>2918055</v>
      </c>
      <c r="H42" s="4">
        <v>45931</v>
      </c>
      <c r="I42" s="4">
        <v>45933</v>
      </c>
      <c r="J42" s="3" t="s">
        <v>15</v>
      </c>
      <c r="K42" s="3" t="s">
        <v>16</v>
      </c>
      <c r="L42" s="5">
        <v>88.25</v>
      </c>
      <c r="M42" s="3" t="s">
        <v>106</v>
      </c>
      <c r="N42" s="3" t="s">
        <v>108</v>
      </c>
    </row>
    <row r="43" spans="1:14" s="3" customFormat="1" x14ac:dyDescent="0.25">
      <c r="A43" s="3" t="s">
        <v>90</v>
      </c>
      <c r="B43" s="3">
        <v>15950276</v>
      </c>
      <c r="C43" s="3" t="s">
        <v>97</v>
      </c>
      <c r="D43" s="3" t="s">
        <v>98</v>
      </c>
      <c r="E43" s="3" t="str">
        <f>CONCATENATE(C43, " ",D43)</f>
        <v>David Altemose</v>
      </c>
      <c r="F43" s="3">
        <v>35670</v>
      </c>
      <c r="G43" s="3" t="str">
        <f t="shared" si="2"/>
        <v>3567055</v>
      </c>
      <c r="H43" s="4">
        <v>45931</v>
      </c>
      <c r="I43" s="4">
        <v>45933</v>
      </c>
      <c r="J43" s="3" t="s">
        <v>15</v>
      </c>
      <c r="K43" s="3" t="s">
        <v>16</v>
      </c>
      <c r="L43" s="5">
        <v>88.25</v>
      </c>
      <c r="M43" s="3" t="s">
        <v>106</v>
      </c>
      <c r="N43" s="3" t="s">
        <v>108</v>
      </c>
    </row>
  </sheetData>
  <sortState xmlns:xlrd2="http://schemas.microsoft.com/office/spreadsheetml/2017/richdata2" ref="A2:N43">
    <sortCondition ref="M2:M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4D76-3CA1-4525-8C1E-A7E5ACCEF8CA}">
  <dimension ref="A1:B42"/>
  <sheetViews>
    <sheetView topLeftCell="A3" workbookViewId="0">
      <selection activeCell="B1" sqref="B1:B42"/>
    </sheetView>
  </sheetViews>
  <sheetFormatPr defaultRowHeight="15" x14ac:dyDescent="0.25"/>
  <sheetData>
    <row r="1" spans="1:2" x14ac:dyDescent="0.25">
      <c r="A1" t="s">
        <v>104</v>
      </c>
      <c r="B1">
        <v>41550</v>
      </c>
    </row>
    <row r="2" spans="1:2" x14ac:dyDescent="0.25">
      <c r="A2" t="s">
        <v>104</v>
      </c>
      <c r="B2">
        <v>27030</v>
      </c>
    </row>
    <row r="3" spans="1:2" x14ac:dyDescent="0.25">
      <c r="A3" t="s">
        <v>104</v>
      </c>
      <c r="B3">
        <v>23500</v>
      </c>
    </row>
    <row r="4" spans="1:2" x14ac:dyDescent="0.25">
      <c r="A4" t="s">
        <v>104</v>
      </c>
      <c r="B4">
        <v>9640</v>
      </c>
    </row>
    <row r="5" spans="1:2" x14ac:dyDescent="0.25">
      <c r="A5" t="s">
        <v>104</v>
      </c>
      <c r="B5">
        <v>81990</v>
      </c>
    </row>
    <row r="6" spans="1:2" x14ac:dyDescent="0.25">
      <c r="A6" t="s">
        <v>104</v>
      </c>
      <c r="B6">
        <v>81990</v>
      </c>
    </row>
    <row r="7" spans="1:2" x14ac:dyDescent="0.25">
      <c r="A7" t="s">
        <v>104</v>
      </c>
      <c r="B7">
        <v>71400</v>
      </c>
    </row>
    <row r="8" spans="1:2" x14ac:dyDescent="0.25">
      <c r="A8" t="s">
        <v>104</v>
      </c>
      <c r="B8">
        <v>71400</v>
      </c>
    </row>
    <row r="9" spans="1:2" x14ac:dyDescent="0.25">
      <c r="A9" t="s">
        <v>104</v>
      </c>
      <c r="B9">
        <v>82860</v>
      </c>
    </row>
    <row r="10" spans="1:2" x14ac:dyDescent="0.25">
      <c r="A10" t="s">
        <v>104</v>
      </c>
      <c r="B10">
        <v>47880</v>
      </c>
    </row>
    <row r="11" spans="1:2" x14ac:dyDescent="0.25">
      <c r="A11" t="s">
        <v>104</v>
      </c>
      <c r="B11">
        <v>47880</v>
      </c>
    </row>
    <row r="12" spans="1:2" x14ac:dyDescent="0.25">
      <c r="A12" t="s">
        <v>104</v>
      </c>
      <c r="B12">
        <v>86820</v>
      </c>
    </row>
    <row r="13" spans="1:2" x14ac:dyDescent="0.25">
      <c r="A13" t="s">
        <v>104</v>
      </c>
      <c r="B13">
        <v>90670</v>
      </c>
    </row>
    <row r="14" spans="1:2" x14ac:dyDescent="0.25">
      <c r="A14" t="s">
        <v>104</v>
      </c>
      <c r="B14">
        <v>23730</v>
      </c>
    </row>
    <row r="15" spans="1:2" x14ac:dyDescent="0.25">
      <c r="A15" t="s">
        <v>104</v>
      </c>
      <c r="B15">
        <v>23750</v>
      </c>
    </row>
    <row r="16" spans="1:2" x14ac:dyDescent="0.25">
      <c r="A16" t="s">
        <v>104</v>
      </c>
      <c r="B16">
        <v>49860</v>
      </c>
    </row>
    <row r="17" spans="1:2" x14ac:dyDescent="0.25">
      <c r="A17" t="s">
        <v>104</v>
      </c>
      <c r="B17">
        <v>47450</v>
      </c>
    </row>
    <row r="18" spans="1:2" x14ac:dyDescent="0.25">
      <c r="A18" t="s">
        <v>104</v>
      </c>
      <c r="B18">
        <v>49580</v>
      </c>
    </row>
    <row r="19" spans="1:2" x14ac:dyDescent="0.25">
      <c r="A19" t="s">
        <v>104</v>
      </c>
      <c r="B19">
        <v>77530</v>
      </c>
    </row>
    <row r="20" spans="1:2" x14ac:dyDescent="0.25">
      <c r="A20" t="s">
        <v>104</v>
      </c>
      <c r="B20">
        <v>86870</v>
      </c>
    </row>
    <row r="21" spans="1:2" x14ac:dyDescent="0.25">
      <c r="A21" t="s">
        <v>104</v>
      </c>
      <c r="B21">
        <v>41550</v>
      </c>
    </row>
    <row r="22" spans="1:2" x14ac:dyDescent="0.25">
      <c r="A22" t="s">
        <v>104</v>
      </c>
      <c r="B22">
        <v>27030</v>
      </c>
    </row>
    <row r="23" spans="1:2" x14ac:dyDescent="0.25">
      <c r="A23" t="s">
        <v>104</v>
      </c>
      <c r="B23">
        <v>23500</v>
      </c>
    </row>
    <row r="24" spans="1:2" x14ac:dyDescent="0.25">
      <c r="A24" t="s">
        <v>104</v>
      </c>
      <c r="B24">
        <v>82860</v>
      </c>
    </row>
    <row r="25" spans="1:2" x14ac:dyDescent="0.25">
      <c r="A25" t="s">
        <v>104</v>
      </c>
      <c r="B25">
        <v>16300</v>
      </c>
    </row>
    <row r="26" spans="1:2" x14ac:dyDescent="0.25">
      <c r="A26" t="s">
        <v>104</v>
      </c>
      <c r="B26">
        <v>76530</v>
      </c>
    </row>
    <row r="27" spans="1:2" x14ac:dyDescent="0.25">
      <c r="A27" t="s">
        <v>104</v>
      </c>
      <c r="B27">
        <v>18230</v>
      </c>
    </row>
    <row r="28" spans="1:2" x14ac:dyDescent="0.25">
      <c r="A28" t="s">
        <v>104</v>
      </c>
      <c r="B28">
        <v>9640</v>
      </c>
    </row>
    <row r="29" spans="1:2" x14ac:dyDescent="0.25">
      <c r="A29" t="s">
        <v>104</v>
      </c>
      <c r="B29">
        <v>81990</v>
      </c>
    </row>
    <row r="30" spans="1:2" x14ac:dyDescent="0.25">
      <c r="A30" t="s">
        <v>104</v>
      </c>
      <c r="B30">
        <v>81990</v>
      </c>
    </row>
    <row r="31" spans="1:2" x14ac:dyDescent="0.25">
      <c r="A31" t="s">
        <v>104</v>
      </c>
      <c r="B31">
        <v>71400</v>
      </c>
    </row>
    <row r="32" spans="1:2" x14ac:dyDescent="0.25">
      <c r="A32" t="s">
        <v>104</v>
      </c>
      <c r="B32">
        <v>71400</v>
      </c>
    </row>
    <row r="33" spans="1:2" x14ac:dyDescent="0.25">
      <c r="A33" t="s">
        <v>104</v>
      </c>
      <c r="B33">
        <v>30100</v>
      </c>
    </row>
    <row r="34" spans="1:2" x14ac:dyDescent="0.25">
      <c r="A34" t="s">
        <v>104</v>
      </c>
      <c r="B34">
        <v>86870</v>
      </c>
    </row>
    <row r="35" spans="1:2" x14ac:dyDescent="0.25">
      <c r="A35" t="s">
        <v>104</v>
      </c>
      <c r="B35">
        <v>23990</v>
      </c>
    </row>
    <row r="36" spans="1:2" x14ac:dyDescent="0.25">
      <c r="A36" t="s">
        <v>104</v>
      </c>
      <c r="B36">
        <v>29180</v>
      </c>
    </row>
    <row r="37" spans="1:2" x14ac:dyDescent="0.25">
      <c r="A37" t="s">
        <v>104</v>
      </c>
      <c r="B37">
        <v>35670</v>
      </c>
    </row>
    <row r="38" spans="1:2" x14ac:dyDescent="0.25">
      <c r="A38" t="s">
        <v>104</v>
      </c>
      <c r="B38">
        <v>23990</v>
      </c>
    </row>
    <row r="39" spans="1:2" x14ac:dyDescent="0.25">
      <c r="A39" t="s">
        <v>104</v>
      </c>
      <c r="B39">
        <v>29180</v>
      </c>
    </row>
    <row r="40" spans="1:2" x14ac:dyDescent="0.25">
      <c r="A40" t="s">
        <v>104</v>
      </c>
      <c r="B40">
        <v>35670</v>
      </c>
    </row>
    <row r="41" spans="1:2" x14ac:dyDescent="0.25">
      <c r="A41" t="s">
        <v>104</v>
      </c>
      <c r="B41">
        <v>65460</v>
      </c>
    </row>
    <row r="42" spans="1:2" x14ac:dyDescent="0.25">
      <c r="A42" t="s">
        <v>104</v>
      </c>
      <c r="B42">
        <v>18230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2025-10-03T18:24:08Z</dcterms:created>
  <dcterms:modified xsi:type="dcterms:W3CDTF">2025-10-04T16:30:08Z</dcterms:modified>
</cp:coreProperties>
</file>