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Po+ymLrGHDvZv6Yx4P/ZdlxpzDzrZWXjZMu5IcGBKk="/>
    </ext>
  </extLst>
</workbook>
</file>

<file path=xl/sharedStrings.xml><?xml version="1.0" encoding="utf-8"?>
<sst xmlns="http://schemas.openxmlformats.org/spreadsheetml/2006/main" count="264" uniqueCount="61">
  <si>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</si>
  <si>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</si>
  <si>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</si>
  <si>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</si>
  <si>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</si>
  <si>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</si>
  <si>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</si>
  <si>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</si>
  <si>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</si>
  <si>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</si>
  <si>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</si>
  <si>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</si>
  <si>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Daniel</t>
  </si>
  <si>
    <t>Distefano</t>
  </si>
  <si>
    <t>*****26410</t>
  </si>
  <si>
    <t>Highmark</t>
  </si>
  <si>
    <t>Highmark 2025 PA Replace Street / TrueUp (ProRata: -1)</t>
  </si>
  <si>
    <t>Highmark 2025 PA Replace Street / TrueUp (ProRata: 1)</t>
  </si>
  <si>
    <t>Michelle McCorkle</t>
  </si>
  <si>
    <t>Eric</t>
  </si>
  <si>
    <t>Rupert</t>
  </si>
  <si>
    <t>*****81990</t>
  </si>
  <si>
    <t>Highmark 2025 PA Replace Street / TrueUp (ProRata: 4)</t>
  </si>
  <si>
    <t>Patricia Long</t>
  </si>
  <si>
    <t>Craig</t>
  </si>
  <si>
    <t>Spragle</t>
  </si>
  <si>
    <t>*****97130</t>
  </si>
  <si>
    <t>Highmark 2025 PA Replace Street / TrueUp (ProRata: 5)</t>
  </si>
  <si>
    <t>Christine</t>
  </si>
  <si>
    <t>Peters</t>
  </si>
  <si>
    <t>*****42290</t>
  </si>
  <si>
    <t>Highmark 2025 PA Replace Street / TrueUp (ProRata: 6)</t>
  </si>
  <si>
    <t>Glenn</t>
  </si>
  <si>
    <t>*****86210</t>
  </si>
  <si>
    <t>Susan</t>
  </si>
  <si>
    <t>Thomson</t>
  </si>
  <si>
    <t>*****67770</t>
  </si>
  <si>
    <t>William</t>
  </si>
  <si>
    <t>Steinmetz</t>
  </si>
  <si>
    <t>*****71450</t>
  </si>
  <si>
    <t>Martha</t>
  </si>
  <si>
    <t>Tapia Solorio</t>
  </si>
  <si>
    <t>*****19030</t>
  </si>
  <si>
    <t>Highmark 2025 PA Replace OR (ProRata: -1)</t>
  </si>
  <si>
    <t>Highmark 2025 PA Replace OR (ProRata: 1)</t>
  </si>
  <si>
    <t>Highmark 2025 PA Replace OR (ProRata: 4)</t>
  </si>
  <si>
    <t>Highmark 2025 PA Replace OR (ProRata: 5)</t>
  </si>
  <si>
    <t>Highmark 2025 PA Replace OR (ProRata: 6)</t>
  </si>
  <si>
    <t>Marina O'Brien</t>
  </si>
  <si>
    <t>Barry</t>
  </si>
  <si>
    <t>Wingard</t>
  </si>
  <si>
    <t>*****87700</t>
  </si>
  <si>
    <t>Highmark MAPD 2025..</t>
  </si>
  <si>
    <t>[%/$=353][prorate=1/12]</t>
  </si>
  <si>
    <t>18710070N</t>
  </si>
  <si>
    <t>[%/$=353][prorate=4/12]</t>
  </si>
  <si>
    <t>[%/$=353][prorate=5/12]</t>
  </si>
  <si>
    <t>17528908N</t>
  </si>
  <si>
    <t>[%/$=353][prorate=6/12]</t>
  </si>
  <si>
    <t>Main Line Benefits</t>
  </si>
  <si>
    <t>Highmark 2025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</si>
</sst>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8.14"/>
    <col customWidth="1" min="8" max="10" width="8.71"/>
    <col customWidth="1" min="11" max="11" width="22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1.7528908E7</v>
      </c>
      <c r="C2" s="1">
        <v>1.7528908E7</v>
      </c>
      <c r="D2" s="1" t="s">
        <v>12</v>
      </c>
      <c r="E2" s="1" t="s">
        <v>13</v>
      </c>
      <c r="F2" s="1" t="s">
        <v>14</v>
      </c>
      <c r="G2" s="2">
        <v>45170.0</v>
      </c>
      <c r="H2" s="2">
        <v>45841.0</v>
      </c>
      <c r="I2" s="1" t="s">
        <v>15</v>
      </c>
      <c r="J2" s="1" t="s">
        <v>16</v>
      </c>
      <c r="K2" s="3">
        <v>-29.41</v>
      </c>
    </row>
    <row r="3">
      <c r="A3" s="1" t="s">
        <v>11</v>
      </c>
      <c r="B3" s="1">
        <v>1.7528908E7</v>
      </c>
      <c r="C3" s="1">
        <v>1.7528908E7</v>
      </c>
      <c r="D3" s="1" t="s">
        <v>12</v>
      </c>
      <c r="E3" s="1" t="s">
        <v>13</v>
      </c>
      <c r="F3" s="1" t="s">
        <v>14</v>
      </c>
      <c r="G3" s="2">
        <v>45170.0</v>
      </c>
      <c r="H3" s="2">
        <v>45841.0</v>
      </c>
      <c r="I3" s="1" t="s">
        <v>15</v>
      </c>
      <c r="J3" s="1" t="s">
        <v>17</v>
      </c>
      <c r="K3" s="3">
        <v>29.41</v>
      </c>
    </row>
    <row r="4">
      <c r="A4" s="1" t="s">
        <v>18</v>
      </c>
      <c r="C4" s="1">
        <v>1.871007E7</v>
      </c>
      <c r="D4" s="1" t="s">
        <v>19</v>
      </c>
      <c r="E4" s="1" t="s">
        <v>20</v>
      </c>
      <c r="F4" s="1" t="s">
        <v>21</v>
      </c>
      <c r="G4" s="2">
        <v>45901.0</v>
      </c>
      <c r="H4" s="2">
        <v>45841.0</v>
      </c>
      <c r="I4" s="1" t="s">
        <v>15</v>
      </c>
      <c r="J4" s="1" t="s">
        <v>22</v>
      </c>
      <c r="K4" s="3">
        <v>117.66</v>
      </c>
    </row>
    <row r="5">
      <c r="A5" s="1" t="s">
        <v>23</v>
      </c>
      <c r="B5" s="1">
        <v>1.879474E7</v>
      </c>
      <c r="C5" s="1">
        <v>1.879474E7</v>
      </c>
      <c r="D5" s="1" t="s">
        <v>24</v>
      </c>
      <c r="E5" s="1" t="s">
        <v>25</v>
      </c>
      <c r="F5" s="1" t="s">
        <v>26</v>
      </c>
      <c r="G5" s="2">
        <v>45870.0</v>
      </c>
      <c r="H5" s="2">
        <v>45841.0</v>
      </c>
      <c r="I5" s="1" t="s">
        <v>15</v>
      </c>
      <c r="J5" s="1" t="s">
        <v>27</v>
      </c>
      <c r="K5" s="3">
        <v>147.08</v>
      </c>
    </row>
    <row r="6">
      <c r="A6" s="1" t="s">
        <v>11</v>
      </c>
      <c r="B6" s="1">
        <v>1.7528908E7</v>
      </c>
      <c r="C6" s="1">
        <v>1.7528908E7</v>
      </c>
      <c r="D6" s="1" t="s">
        <v>28</v>
      </c>
      <c r="E6" s="1" t="s">
        <v>29</v>
      </c>
      <c r="F6" s="1" t="s">
        <v>30</v>
      </c>
      <c r="G6" s="2">
        <v>45839.0</v>
      </c>
      <c r="H6" s="2">
        <v>45841.0</v>
      </c>
      <c r="I6" s="1" t="s">
        <v>15</v>
      </c>
      <c r="J6" s="1" t="s">
        <v>31</v>
      </c>
      <c r="K6" s="3">
        <v>176.5</v>
      </c>
    </row>
    <row r="7">
      <c r="A7" s="1" t="s">
        <v>11</v>
      </c>
      <c r="B7" s="1">
        <v>1.7528908E7</v>
      </c>
      <c r="C7" s="1">
        <v>1.7528908E7</v>
      </c>
      <c r="D7" s="1" t="s">
        <v>32</v>
      </c>
      <c r="E7" s="1" t="s">
        <v>29</v>
      </c>
      <c r="F7" s="1" t="s">
        <v>33</v>
      </c>
      <c r="G7" s="2">
        <v>45839.0</v>
      </c>
      <c r="H7" s="2">
        <v>45841.0</v>
      </c>
      <c r="I7" s="1" t="s">
        <v>15</v>
      </c>
      <c r="J7" s="1" t="s">
        <v>31</v>
      </c>
      <c r="K7" s="3">
        <v>176.5</v>
      </c>
    </row>
    <row r="8">
      <c r="A8" s="1" t="s">
        <v>11</v>
      </c>
      <c r="B8" s="1">
        <v>1.7528908E7</v>
      </c>
      <c r="C8" s="1">
        <v>1.7528908E7</v>
      </c>
      <c r="D8" s="1" t="s">
        <v>34</v>
      </c>
      <c r="E8" s="1" t="s">
        <v>35</v>
      </c>
      <c r="F8" s="1" t="s">
        <v>36</v>
      </c>
      <c r="G8" s="2">
        <v>45839.0</v>
      </c>
      <c r="H8" s="2">
        <v>45841.0</v>
      </c>
      <c r="I8" s="1" t="s">
        <v>15</v>
      </c>
      <c r="J8" s="1" t="s">
        <v>31</v>
      </c>
      <c r="K8" s="3">
        <v>176.5</v>
      </c>
    </row>
    <row r="9">
      <c r="A9" s="1" t="s">
        <v>18</v>
      </c>
      <c r="C9" s="1">
        <v>1.871007E7</v>
      </c>
      <c r="D9" s="1" t="s">
        <v>37</v>
      </c>
      <c r="E9" s="1" t="s">
        <v>38</v>
      </c>
      <c r="F9" s="1" t="s">
        <v>39</v>
      </c>
      <c r="G9" s="2">
        <v>45839.0</v>
      </c>
      <c r="H9" s="2">
        <v>45841.0</v>
      </c>
      <c r="I9" s="1" t="s">
        <v>15</v>
      </c>
      <c r="J9" s="1" t="s">
        <v>31</v>
      </c>
      <c r="K9" s="3">
        <v>176.5</v>
      </c>
    </row>
    <row r="10">
      <c r="A10" s="1" t="s">
        <v>18</v>
      </c>
      <c r="C10" s="1">
        <v>1.871007E7</v>
      </c>
      <c r="D10" s="1" t="s">
        <v>40</v>
      </c>
      <c r="E10" s="1" t="s">
        <v>41</v>
      </c>
      <c r="F10" s="1" t="s">
        <v>42</v>
      </c>
      <c r="G10" s="2">
        <v>45839.0</v>
      </c>
      <c r="H10" s="2">
        <v>45841.0</v>
      </c>
      <c r="I10" s="1" t="s">
        <v>15</v>
      </c>
      <c r="J10" s="1" t="s">
        <v>31</v>
      </c>
      <c r="K10" s="3">
        <v>176.5</v>
      </c>
    </row>
    <row r="11">
      <c r="A11" s="1" t="s">
        <v>11</v>
      </c>
      <c r="B11" s="1">
        <v>1.7528908E7</v>
      </c>
      <c r="C11" s="1">
        <v>1.7528908E7</v>
      </c>
      <c r="D11" s="1" t="s">
        <v>12</v>
      </c>
      <c r="E11" s="1" t="s">
        <v>13</v>
      </c>
      <c r="F11" s="1" t="s">
        <v>14</v>
      </c>
      <c r="G11" s="2">
        <v>45170.0</v>
      </c>
      <c r="H11" s="2">
        <v>45841.0</v>
      </c>
      <c r="I11" s="1" t="s">
        <v>15</v>
      </c>
      <c r="J11" s="1" t="s">
        <v>43</v>
      </c>
      <c r="K11" s="3">
        <v>-6.04</v>
      </c>
    </row>
    <row r="12">
      <c r="A12" s="1" t="s">
        <v>11</v>
      </c>
      <c r="B12" s="1">
        <v>1.7528908E7</v>
      </c>
      <c r="C12" s="1">
        <v>1.7528908E7</v>
      </c>
      <c r="D12" s="1" t="s">
        <v>12</v>
      </c>
      <c r="E12" s="1" t="s">
        <v>13</v>
      </c>
      <c r="F12" s="1" t="s">
        <v>14</v>
      </c>
      <c r="G12" s="2">
        <v>45170.0</v>
      </c>
      <c r="H12" s="2">
        <v>45841.0</v>
      </c>
      <c r="I12" s="1" t="s">
        <v>15</v>
      </c>
      <c r="J12" s="1" t="s">
        <v>44</v>
      </c>
      <c r="K12" s="3">
        <v>6.04</v>
      </c>
    </row>
    <row r="13">
      <c r="A13" s="1" t="s">
        <v>18</v>
      </c>
      <c r="C13" s="1">
        <v>1.871007E7</v>
      </c>
      <c r="D13" s="1" t="s">
        <v>19</v>
      </c>
      <c r="E13" s="1" t="s">
        <v>20</v>
      </c>
      <c r="F13" s="1" t="s">
        <v>21</v>
      </c>
      <c r="G13" s="2">
        <v>45901.0</v>
      </c>
      <c r="H13" s="2">
        <v>45841.0</v>
      </c>
      <c r="I13" s="1" t="s">
        <v>15</v>
      </c>
      <c r="J13" s="1" t="s">
        <v>45</v>
      </c>
      <c r="K13" s="3">
        <v>24.16</v>
      </c>
    </row>
    <row r="14">
      <c r="A14" s="1" t="s">
        <v>23</v>
      </c>
      <c r="B14" s="1">
        <v>1.879474E7</v>
      </c>
      <c r="C14" s="1">
        <v>1.879474E7</v>
      </c>
      <c r="D14" s="1" t="s">
        <v>24</v>
      </c>
      <c r="E14" s="1" t="s">
        <v>25</v>
      </c>
      <c r="F14" s="1" t="s">
        <v>26</v>
      </c>
      <c r="G14" s="2">
        <v>45870.0</v>
      </c>
      <c r="H14" s="2">
        <v>45841.0</v>
      </c>
      <c r="I14" s="1" t="s">
        <v>15</v>
      </c>
      <c r="J14" s="1" t="s">
        <v>46</v>
      </c>
      <c r="K14" s="3">
        <v>30.2</v>
      </c>
    </row>
    <row r="15">
      <c r="A15" s="1" t="s">
        <v>11</v>
      </c>
      <c r="B15" s="1">
        <v>1.7528908E7</v>
      </c>
      <c r="C15" s="1">
        <v>1.7528908E7</v>
      </c>
      <c r="D15" s="1" t="s">
        <v>28</v>
      </c>
      <c r="E15" s="1" t="s">
        <v>29</v>
      </c>
      <c r="F15" s="1" t="s">
        <v>30</v>
      </c>
      <c r="G15" s="2">
        <v>45839.0</v>
      </c>
      <c r="H15" s="2">
        <v>45841.0</v>
      </c>
      <c r="I15" s="1" t="s">
        <v>15</v>
      </c>
      <c r="J15" s="1" t="s">
        <v>47</v>
      </c>
      <c r="K15" s="3">
        <v>36.25</v>
      </c>
    </row>
    <row r="16">
      <c r="A16" s="1" t="s">
        <v>11</v>
      </c>
      <c r="B16" s="1">
        <v>1.7528908E7</v>
      </c>
      <c r="C16" s="1">
        <v>1.7528908E7</v>
      </c>
      <c r="D16" s="1" t="s">
        <v>32</v>
      </c>
      <c r="E16" s="1" t="s">
        <v>29</v>
      </c>
      <c r="F16" s="1" t="s">
        <v>33</v>
      </c>
      <c r="G16" s="2">
        <v>45839.0</v>
      </c>
      <c r="H16" s="2">
        <v>45841.0</v>
      </c>
      <c r="I16" s="1" t="s">
        <v>15</v>
      </c>
      <c r="J16" s="1" t="s">
        <v>47</v>
      </c>
      <c r="K16" s="3">
        <v>36.25</v>
      </c>
    </row>
    <row r="17">
      <c r="A17" s="1" t="s">
        <v>11</v>
      </c>
      <c r="B17" s="1">
        <v>1.7528908E7</v>
      </c>
      <c r="C17" s="1">
        <v>1.7528908E7</v>
      </c>
      <c r="D17" s="1" t="s">
        <v>34</v>
      </c>
      <c r="E17" s="1" t="s">
        <v>35</v>
      </c>
      <c r="F17" s="1" t="s">
        <v>36</v>
      </c>
      <c r="G17" s="2">
        <v>45839.0</v>
      </c>
      <c r="H17" s="2">
        <v>45841.0</v>
      </c>
      <c r="I17" s="1" t="s">
        <v>15</v>
      </c>
      <c r="J17" s="1" t="s">
        <v>47</v>
      </c>
      <c r="K17" s="3">
        <v>36.25</v>
      </c>
    </row>
    <row r="18">
      <c r="A18" s="1" t="s">
        <v>18</v>
      </c>
      <c r="C18" s="1">
        <v>1.871007E7</v>
      </c>
      <c r="D18" s="1" t="s">
        <v>37</v>
      </c>
      <c r="E18" s="1" t="s">
        <v>38</v>
      </c>
      <c r="F18" s="1" t="s">
        <v>39</v>
      </c>
      <c r="G18" s="2">
        <v>45839.0</v>
      </c>
      <c r="H18" s="2">
        <v>45841.0</v>
      </c>
      <c r="I18" s="1" t="s">
        <v>15</v>
      </c>
      <c r="J18" s="1" t="s">
        <v>47</v>
      </c>
      <c r="K18" s="3">
        <v>36.25</v>
      </c>
    </row>
    <row r="19">
      <c r="A19" s="1" t="s">
        <v>18</v>
      </c>
      <c r="C19" s="1">
        <v>1.871007E7</v>
      </c>
      <c r="D19" s="1" t="s">
        <v>40</v>
      </c>
      <c r="E19" s="1" t="s">
        <v>41</v>
      </c>
      <c r="F19" s="1" t="s">
        <v>42</v>
      </c>
      <c r="G19" s="2">
        <v>45839.0</v>
      </c>
      <c r="H19" s="2">
        <v>45841.0</v>
      </c>
      <c r="I19" s="1" t="s">
        <v>15</v>
      </c>
      <c r="J19" s="1" t="s">
        <v>47</v>
      </c>
      <c r="K19" s="3">
        <v>36.25</v>
      </c>
    </row>
    <row r="20">
      <c r="A20" s="1" t="s">
        <v>48</v>
      </c>
      <c r="C20" s="1">
        <v>1.6865242E7</v>
      </c>
      <c r="D20" s="1" t="s">
        <v>49</v>
      </c>
      <c r="E20" s="1" t="s">
        <v>50</v>
      </c>
      <c r="F20" s="1" t="s">
        <v>51</v>
      </c>
      <c r="G20" s="2">
        <v>45839.0</v>
      </c>
      <c r="H20" s="2">
        <v>45841.0</v>
      </c>
      <c r="I20" s="1" t="s">
        <v>15</v>
      </c>
      <c r="J20" s="1" t="s">
        <v>47</v>
      </c>
      <c r="K20" s="3">
        <v>36.25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0.71"/>
    <col customWidth="1" min="3" max="3" width="10.57"/>
    <col customWidth="1" min="4" max="4" width="12.43"/>
    <col customWidth="1" min="5" max="5" width="15.86"/>
    <col customWidth="1" min="6" max="7" width="11.0"/>
    <col customWidth="1" min="8" max="8" width="11.86"/>
    <col customWidth="1" min="9" max="9" width="14.71"/>
    <col customWidth="1" min="10" max="10" width="12.71"/>
    <col customWidth="1" min="11" max="11" width="51.0"/>
    <col customWidth="1" min="12" max="12" width="15.71"/>
    <col customWidth="1" min="13" max="13" width="21.14"/>
    <col customWidth="1" min="14" max="14" width="22.14"/>
    <col customWidth="1" min="15" max="16" width="9.14"/>
    <col customWidth="1" min="17" max="26" width="8.71"/>
  </cols>
  <sheetData>
    <row r="1">
      <c r="A1" s="4" t="s">
        <v>0</v>
      </c>
      <c r="B1" s="4" t="s">
        <v>2</v>
      </c>
      <c r="C1" s="4" t="s">
        <v>3</v>
      </c>
      <c r="D1" s="4" t="s">
        <v>4</v>
      </c>
      <c r="E1" s="4"/>
      <c r="F1" s="4" t="s">
        <v>5</v>
      </c>
      <c r="G1" s="4"/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11</v>
      </c>
      <c r="B2" s="4">
        <v>1.7528908E7</v>
      </c>
      <c r="C2" s="4" t="s">
        <v>12</v>
      </c>
      <c r="D2" s="4" t="s">
        <v>13</v>
      </c>
      <c r="E2" s="4" t="str">
        <f t="shared" ref="E2:E20" si="1">CONCATENATE(C2, " ",D2)</f>
        <v>Daniel Distefano</v>
      </c>
      <c r="F2" s="4">
        <v>26410.0</v>
      </c>
      <c r="G2" s="4" t="str">
        <f t="shared" ref="G2:G10" si="2">CONCATENATE(F2,55)</f>
        <v>2641055</v>
      </c>
      <c r="H2" s="2">
        <v>45170.0</v>
      </c>
      <c r="I2" s="2">
        <v>45841.0</v>
      </c>
      <c r="J2" s="4" t="s">
        <v>15</v>
      </c>
      <c r="K2" s="4" t="s">
        <v>16</v>
      </c>
      <c r="L2" s="3">
        <v>-29.41</v>
      </c>
      <c r="M2" s="4" t="s">
        <v>52</v>
      </c>
      <c r="N2" s="4" t="s">
        <v>53</v>
      </c>
      <c r="O2" s="4"/>
      <c r="P2" s="4">
        <f>353/12*1</f>
        <v>29.41666667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11</v>
      </c>
      <c r="B3" s="4">
        <v>1.7528908E7</v>
      </c>
      <c r="C3" s="4" t="s">
        <v>12</v>
      </c>
      <c r="D3" s="4" t="s">
        <v>13</v>
      </c>
      <c r="E3" s="4" t="str">
        <f t="shared" si="1"/>
        <v>Daniel Distefano</v>
      </c>
      <c r="F3" s="4">
        <v>26410.0</v>
      </c>
      <c r="G3" s="4" t="str">
        <f t="shared" si="2"/>
        <v>2641055</v>
      </c>
      <c r="H3" s="2">
        <v>45170.0</v>
      </c>
      <c r="I3" s="2">
        <v>45841.0</v>
      </c>
      <c r="J3" s="4" t="s">
        <v>15</v>
      </c>
      <c r="K3" s="4" t="s">
        <v>17</v>
      </c>
      <c r="L3" s="3">
        <v>29.41</v>
      </c>
      <c r="M3" s="4" t="s">
        <v>52</v>
      </c>
      <c r="N3" s="4" t="s">
        <v>53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18</v>
      </c>
      <c r="B4" s="4" t="s">
        <v>54</v>
      </c>
      <c r="C4" s="4" t="s">
        <v>19</v>
      </c>
      <c r="D4" s="4" t="s">
        <v>20</v>
      </c>
      <c r="E4" s="4" t="str">
        <f t="shared" si="1"/>
        <v>Eric Rupert</v>
      </c>
      <c r="F4" s="4">
        <v>81990.0</v>
      </c>
      <c r="G4" s="4" t="str">
        <f t="shared" si="2"/>
        <v>8199055</v>
      </c>
      <c r="H4" s="2">
        <v>45901.0</v>
      </c>
      <c r="I4" s="2">
        <v>45841.0</v>
      </c>
      <c r="J4" s="4" t="s">
        <v>15</v>
      </c>
      <c r="K4" s="4" t="s">
        <v>22</v>
      </c>
      <c r="L4" s="3">
        <v>117.66</v>
      </c>
      <c r="M4" s="4" t="s">
        <v>52</v>
      </c>
      <c r="N4" s="4" t="s">
        <v>55</v>
      </c>
      <c r="O4" s="4"/>
      <c r="P4" s="4">
        <f>353/12*4</f>
        <v>117.6666667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23</v>
      </c>
      <c r="B5" s="4">
        <v>1.879474E7</v>
      </c>
      <c r="C5" s="4" t="s">
        <v>24</v>
      </c>
      <c r="D5" s="4" t="s">
        <v>25</v>
      </c>
      <c r="E5" s="4" t="str">
        <f t="shared" si="1"/>
        <v>Craig Spragle</v>
      </c>
      <c r="F5" s="4">
        <v>97130.0</v>
      </c>
      <c r="G5" s="4" t="str">
        <f t="shared" si="2"/>
        <v>9713055</v>
      </c>
      <c r="H5" s="2">
        <v>45870.0</v>
      </c>
      <c r="I5" s="2">
        <v>45841.0</v>
      </c>
      <c r="J5" s="4" t="s">
        <v>15</v>
      </c>
      <c r="K5" s="4" t="s">
        <v>27</v>
      </c>
      <c r="L5" s="3">
        <v>147.08</v>
      </c>
      <c r="M5" s="4" t="s">
        <v>52</v>
      </c>
      <c r="N5" s="4" t="s">
        <v>56</v>
      </c>
      <c r="O5" s="4"/>
      <c r="P5" s="4">
        <f>353/12*5</f>
        <v>147.0833333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11</v>
      </c>
      <c r="B6" s="4" t="s">
        <v>57</v>
      </c>
      <c r="C6" s="4" t="s">
        <v>28</v>
      </c>
      <c r="D6" s="4" t="s">
        <v>29</v>
      </c>
      <c r="E6" s="4" t="str">
        <f t="shared" si="1"/>
        <v>Christine Peters</v>
      </c>
      <c r="F6" s="4">
        <v>42290.0</v>
      </c>
      <c r="G6" s="4" t="str">
        <f t="shared" si="2"/>
        <v>4229055</v>
      </c>
      <c r="H6" s="2">
        <v>45839.0</v>
      </c>
      <c r="I6" s="2">
        <v>45841.0</v>
      </c>
      <c r="J6" s="4" t="s">
        <v>15</v>
      </c>
      <c r="K6" s="4" t="s">
        <v>31</v>
      </c>
      <c r="L6" s="3">
        <v>176.5</v>
      </c>
      <c r="M6" s="4" t="s">
        <v>52</v>
      </c>
      <c r="N6" s="4" t="s">
        <v>58</v>
      </c>
      <c r="O6" s="4"/>
      <c r="P6" s="4">
        <f>353/12*6</f>
        <v>176.5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11</v>
      </c>
      <c r="B7" s="4" t="s">
        <v>57</v>
      </c>
      <c r="C7" s="4" t="s">
        <v>32</v>
      </c>
      <c r="D7" s="4" t="s">
        <v>29</v>
      </c>
      <c r="E7" s="4" t="str">
        <f t="shared" si="1"/>
        <v>Glenn Peters</v>
      </c>
      <c r="F7" s="4">
        <v>86210.0</v>
      </c>
      <c r="G7" s="4" t="str">
        <f t="shared" si="2"/>
        <v>8621055</v>
      </c>
      <c r="H7" s="2">
        <v>45839.0</v>
      </c>
      <c r="I7" s="2">
        <v>45841.0</v>
      </c>
      <c r="J7" s="4" t="s">
        <v>15</v>
      </c>
      <c r="K7" s="4" t="s">
        <v>31</v>
      </c>
      <c r="L7" s="3">
        <v>176.5</v>
      </c>
      <c r="M7" s="4" t="s">
        <v>52</v>
      </c>
      <c r="N7" s="4" t="s">
        <v>58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11</v>
      </c>
      <c r="B8" s="4" t="s">
        <v>57</v>
      </c>
      <c r="C8" s="4" t="s">
        <v>34</v>
      </c>
      <c r="D8" s="4" t="s">
        <v>35</v>
      </c>
      <c r="E8" s="4" t="str">
        <f t="shared" si="1"/>
        <v>Susan Thomson</v>
      </c>
      <c r="F8" s="4">
        <v>67770.0</v>
      </c>
      <c r="G8" s="4" t="str">
        <f t="shared" si="2"/>
        <v>6777055</v>
      </c>
      <c r="H8" s="2">
        <v>45839.0</v>
      </c>
      <c r="I8" s="2">
        <v>45841.0</v>
      </c>
      <c r="J8" s="4" t="s">
        <v>15</v>
      </c>
      <c r="K8" s="4" t="s">
        <v>31</v>
      </c>
      <c r="L8" s="3">
        <v>176.5</v>
      </c>
      <c r="M8" s="4" t="s">
        <v>52</v>
      </c>
      <c r="N8" s="4" t="s">
        <v>58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18</v>
      </c>
      <c r="B9" s="4" t="s">
        <v>54</v>
      </c>
      <c r="C9" s="4" t="s">
        <v>37</v>
      </c>
      <c r="D9" s="4" t="s">
        <v>38</v>
      </c>
      <c r="E9" s="4" t="str">
        <f t="shared" si="1"/>
        <v>William Steinmetz</v>
      </c>
      <c r="F9" s="4">
        <v>71450.0</v>
      </c>
      <c r="G9" s="4" t="str">
        <f t="shared" si="2"/>
        <v>7145055</v>
      </c>
      <c r="H9" s="2">
        <v>45839.0</v>
      </c>
      <c r="I9" s="2">
        <v>45841.0</v>
      </c>
      <c r="J9" s="4" t="s">
        <v>15</v>
      </c>
      <c r="K9" s="4" t="s">
        <v>31</v>
      </c>
      <c r="L9" s="3">
        <v>176.5</v>
      </c>
      <c r="M9" s="4" t="s">
        <v>52</v>
      </c>
      <c r="N9" s="4" t="s">
        <v>58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18</v>
      </c>
      <c r="B10" s="4" t="s">
        <v>54</v>
      </c>
      <c r="C10" s="4" t="s">
        <v>40</v>
      </c>
      <c r="D10" s="4" t="s">
        <v>41</v>
      </c>
      <c r="E10" s="4" t="str">
        <f t="shared" si="1"/>
        <v>Martha Tapia Solorio</v>
      </c>
      <c r="F10" s="4">
        <v>19030.0</v>
      </c>
      <c r="G10" s="4" t="str">
        <f t="shared" si="2"/>
        <v>1903055</v>
      </c>
      <c r="H10" s="2">
        <v>45839.0</v>
      </c>
      <c r="I10" s="2">
        <v>45841.0</v>
      </c>
      <c r="J10" s="4" t="s">
        <v>15</v>
      </c>
      <c r="K10" s="4" t="s">
        <v>31</v>
      </c>
      <c r="L10" s="3">
        <v>176.5</v>
      </c>
      <c r="M10" s="4" t="s">
        <v>52</v>
      </c>
      <c r="N10" s="4" t="s">
        <v>58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59</v>
      </c>
      <c r="B11" s="4">
        <v>2.0411454E7</v>
      </c>
      <c r="C11" s="4" t="s">
        <v>12</v>
      </c>
      <c r="D11" s="4" t="s">
        <v>13</v>
      </c>
      <c r="E11" s="4" t="str">
        <f t="shared" si="1"/>
        <v>Daniel Distefano</v>
      </c>
      <c r="F11" s="4">
        <v>26410.0</v>
      </c>
      <c r="G11" s="4" t="str">
        <f t="shared" ref="G11:G20" si="3">CONCATENATE(F11,2)</f>
        <v>264102</v>
      </c>
      <c r="H11" s="2">
        <v>45170.0</v>
      </c>
      <c r="I11" s="2">
        <v>45841.0</v>
      </c>
      <c r="J11" s="4" t="s">
        <v>15</v>
      </c>
      <c r="K11" s="4" t="s">
        <v>43</v>
      </c>
      <c r="L11" s="3">
        <v>-6.04</v>
      </c>
      <c r="M11" s="4" t="s">
        <v>60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59</v>
      </c>
      <c r="B12" s="4">
        <v>2.0411454E7</v>
      </c>
      <c r="C12" s="4" t="s">
        <v>12</v>
      </c>
      <c r="D12" s="4" t="s">
        <v>13</v>
      </c>
      <c r="E12" s="4" t="str">
        <f t="shared" si="1"/>
        <v>Daniel Distefano</v>
      </c>
      <c r="F12" s="4">
        <v>26410.0</v>
      </c>
      <c r="G12" s="4" t="str">
        <f t="shared" si="3"/>
        <v>264102</v>
      </c>
      <c r="H12" s="2">
        <v>45170.0</v>
      </c>
      <c r="I12" s="2">
        <v>45841.0</v>
      </c>
      <c r="J12" s="4" t="s">
        <v>15</v>
      </c>
      <c r="K12" s="4" t="s">
        <v>44</v>
      </c>
      <c r="L12" s="3">
        <v>6.04</v>
      </c>
      <c r="M12" s="4" t="s">
        <v>60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59</v>
      </c>
      <c r="B13" s="4">
        <v>2.0411454E7</v>
      </c>
      <c r="C13" s="4" t="s">
        <v>19</v>
      </c>
      <c r="D13" s="4" t="s">
        <v>20</v>
      </c>
      <c r="E13" s="4" t="str">
        <f t="shared" si="1"/>
        <v>Eric Rupert</v>
      </c>
      <c r="F13" s="4">
        <v>81990.0</v>
      </c>
      <c r="G13" s="4" t="str">
        <f t="shared" si="3"/>
        <v>819902</v>
      </c>
      <c r="H13" s="2">
        <v>45901.0</v>
      </c>
      <c r="I13" s="2">
        <v>45841.0</v>
      </c>
      <c r="J13" s="4" t="s">
        <v>15</v>
      </c>
      <c r="K13" s="4" t="s">
        <v>45</v>
      </c>
      <c r="L13" s="3">
        <v>24.16</v>
      </c>
      <c r="M13" s="4" t="s">
        <v>60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59</v>
      </c>
      <c r="B14" s="4">
        <v>2.0411454E7</v>
      </c>
      <c r="C14" s="4" t="s">
        <v>24</v>
      </c>
      <c r="D14" s="4" t="s">
        <v>25</v>
      </c>
      <c r="E14" s="4" t="str">
        <f t="shared" si="1"/>
        <v>Craig Spragle</v>
      </c>
      <c r="F14" s="4">
        <v>97130.0</v>
      </c>
      <c r="G14" s="4" t="str">
        <f t="shared" si="3"/>
        <v>971302</v>
      </c>
      <c r="H14" s="2">
        <v>45870.0</v>
      </c>
      <c r="I14" s="2">
        <v>45841.0</v>
      </c>
      <c r="J14" s="4" t="s">
        <v>15</v>
      </c>
      <c r="K14" s="4" t="s">
        <v>46</v>
      </c>
      <c r="L14" s="3">
        <v>30.2</v>
      </c>
      <c r="M14" s="4" t="s">
        <v>60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59</v>
      </c>
      <c r="B15" s="4">
        <v>2.0411454E7</v>
      </c>
      <c r="C15" s="4" t="s">
        <v>28</v>
      </c>
      <c r="D15" s="4" t="s">
        <v>29</v>
      </c>
      <c r="E15" s="4" t="str">
        <f t="shared" si="1"/>
        <v>Christine Peters</v>
      </c>
      <c r="F15" s="4">
        <v>42290.0</v>
      </c>
      <c r="G15" s="4" t="str">
        <f t="shared" si="3"/>
        <v>422902</v>
      </c>
      <c r="H15" s="2">
        <v>45839.0</v>
      </c>
      <c r="I15" s="2">
        <v>45841.0</v>
      </c>
      <c r="J15" s="4" t="s">
        <v>15</v>
      </c>
      <c r="K15" s="4" t="s">
        <v>47</v>
      </c>
      <c r="L15" s="3">
        <v>36.25</v>
      </c>
      <c r="M15" s="4" t="s">
        <v>60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59</v>
      </c>
      <c r="B16" s="4">
        <v>2.0411454E7</v>
      </c>
      <c r="C16" s="4" t="s">
        <v>32</v>
      </c>
      <c r="D16" s="4" t="s">
        <v>29</v>
      </c>
      <c r="E16" s="4" t="str">
        <f t="shared" si="1"/>
        <v>Glenn Peters</v>
      </c>
      <c r="F16" s="4">
        <v>86210.0</v>
      </c>
      <c r="G16" s="4" t="str">
        <f t="shared" si="3"/>
        <v>862102</v>
      </c>
      <c r="H16" s="2">
        <v>45839.0</v>
      </c>
      <c r="I16" s="2">
        <v>45841.0</v>
      </c>
      <c r="J16" s="4" t="s">
        <v>15</v>
      </c>
      <c r="K16" s="4" t="s">
        <v>47</v>
      </c>
      <c r="L16" s="3">
        <v>36.25</v>
      </c>
      <c r="M16" s="4" t="s">
        <v>60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59</v>
      </c>
      <c r="B17" s="4">
        <v>2.0411454E7</v>
      </c>
      <c r="C17" s="4" t="s">
        <v>34</v>
      </c>
      <c r="D17" s="4" t="s">
        <v>35</v>
      </c>
      <c r="E17" s="4" t="str">
        <f t="shared" si="1"/>
        <v>Susan Thomson</v>
      </c>
      <c r="F17" s="4">
        <v>67770.0</v>
      </c>
      <c r="G17" s="4" t="str">
        <f t="shared" si="3"/>
        <v>677702</v>
      </c>
      <c r="H17" s="2">
        <v>45839.0</v>
      </c>
      <c r="I17" s="2">
        <v>45841.0</v>
      </c>
      <c r="J17" s="4" t="s">
        <v>15</v>
      </c>
      <c r="K17" s="4" t="s">
        <v>47</v>
      </c>
      <c r="L17" s="3">
        <v>36.25</v>
      </c>
      <c r="M17" s="4" t="s">
        <v>60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59</v>
      </c>
      <c r="B18" s="4">
        <v>2.0411454E7</v>
      </c>
      <c r="C18" s="4" t="s">
        <v>37</v>
      </c>
      <c r="D18" s="4" t="s">
        <v>38</v>
      </c>
      <c r="E18" s="4" t="str">
        <f t="shared" si="1"/>
        <v>William Steinmetz</v>
      </c>
      <c r="F18" s="4">
        <v>71450.0</v>
      </c>
      <c r="G18" s="4" t="str">
        <f t="shared" si="3"/>
        <v>714502</v>
      </c>
      <c r="H18" s="2">
        <v>45839.0</v>
      </c>
      <c r="I18" s="2">
        <v>45841.0</v>
      </c>
      <c r="J18" s="4" t="s">
        <v>15</v>
      </c>
      <c r="K18" s="4" t="s">
        <v>47</v>
      </c>
      <c r="L18" s="3">
        <v>36.25</v>
      </c>
      <c r="M18" s="4" t="s">
        <v>60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59</v>
      </c>
      <c r="B19" s="4">
        <v>2.0411454E7</v>
      </c>
      <c r="C19" s="4" t="s">
        <v>40</v>
      </c>
      <c r="D19" s="4" t="s">
        <v>41</v>
      </c>
      <c r="E19" s="4" t="str">
        <f t="shared" si="1"/>
        <v>Martha Tapia Solorio</v>
      </c>
      <c r="F19" s="4">
        <v>19030.0</v>
      </c>
      <c r="G19" s="4" t="str">
        <f t="shared" si="3"/>
        <v>190302</v>
      </c>
      <c r="H19" s="2">
        <v>45839.0</v>
      </c>
      <c r="I19" s="2">
        <v>45841.0</v>
      </c>
      <c r="J19" s="4" t="s">
        <v>15</v>
      </c>
      <c r="K19" s="4" t="s">
        <v>47</v>
      </c>
      <c r="L19" s="3">
        <v>36.25</v>
      </c>
      <c r="M19" s="4" t="s">
        <v>60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59</v>
      </c>
      <c r="B20" s="4">
        <v>2.0411454E7</v>
      </c>
      <c r="C20" s="4" t="s">
        <v>49</v>
      </c>
      <c r="D20" s="4" t="s">
        <v>50</v>
      </c>
      <c r="E20" s="4" t="str">
        <f t="shared" si="1"/>
        <v>Barry Wingard</v>
      </c>
      <c r="F20" s="4">
        <v>87700.0</v>
      </c>
      <c r="G20" s="4" t="str">
        <f t="shared" si="3"/>
        <v>877002</v>
      </c>
      <c r="H20" s="2">
        <v>45839.0</v>
      </c>
      <c r="I20" s="2">
        <v>45841.0</v>
      </c>
      <c r="J20" s="4" t="s">
        <v>15</v>
      </c>
      <c r="K20" s="4" t="s">
        <v>47</v>
      </c>
      <c r="L20" s="3">
        <v>36.25</v>
      </c>
      <c r="M20" s="4" t="s">
        <v>60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2025-07-03T17:42:19Z</dcterms:created>
  <dc:creator>Cabel, Denisse Raeka</dc:creator>
</cp:coreProperties>
</file>