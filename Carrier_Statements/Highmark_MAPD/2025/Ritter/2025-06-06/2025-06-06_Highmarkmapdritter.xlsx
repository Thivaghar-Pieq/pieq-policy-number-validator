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MAPD\2025\Ritter\Highmark MAPD 06-06-25 Ritter\"/>
    </mc:Choice>
  </mc:AlternateContent>
  <xr:revisionPtr revIDLastSave="0" documentId="13_ncr:1_{E8328A05-3CA5-485C-9D07-A824DBC8F56D}" xr6:coauthVersionLast="47" xr6:coauthVersionMax="47" xr10:uidLastSave="{00000000-0000-0000-0000-000000000000}"/>
  <bookViews>
    <workbookView xWindow="28680" yWindow="-2520" windowWidth="29040" windowHeight="16440" xr2:uid="{00000000-000D-0000-FFFF-FFFF00000000}"/>
  </bookViews>
  <sheets>
    <sheet name="Commissions_Main Line Benefits^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5" i="2" l="1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E18" i="2"/>
  <c r="E17" i="2"/>
  <c r="E16" i="2"/>
  <c r="E13" i="2"/>
  <c r="E12" i="2"/>
  <c r="E11" i="2"/>
  <c r="E19" i="2"/>
  <c r="E23" i="2"/>
  <c r="E24" i="2"/>
  <c r="E20" i="2"/>
  <c r="E15" i="2"/>
  <c r="E25" i="2"/>
  <c r="E21" i="2"/>
  <c r="E22" i="2"/>
  <c r="E3" i="2"/>
  <c r="E8" i="2"/>
  <c r="E5" i="2"/>
  <c r="E6" i="2"/>
  <c r="E9" i="2"/>
  <c r="E4" i="2"/>
  <c r="E7" i="2"/>
  <c r="E10" i="2"/>
  <c r="E2" i="2"/>
  <c r="E14" i="2"/>
</calcChain>
</file>

<file path=xl/sharedStrings.xml><?xml version="1.0" encoding="utf-8"?>
<sst xmlns="http://schemas.openxmlformats.org/spreadsheetml/2006/main" count="300" uniqueCount="55">
  <si>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</si>
  <si>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</si>
  <si>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</si>
  <si>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</si>
  <si>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</si>
  <si>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</si>
  <si>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</si>
  <si>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</si>
  <si>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</si>
  <si>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</si>
  <si>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</si>
  <si>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Thomas</t>
  </si>
  <si>
    <t>Jeffrey</t>
  </si>
  <si>
    <t>David</t>
  </si>
  <si>
    <t>Dennis</t>
  </si>
  <si>
    <t>Patricia Long</t>
  </si>
  <si>
    <t>Deborah Inskipt</t>
  </si>
  <si>
    <t>Lynn</t>
  </si>
  <si>
    <t>Gamcik</t>
  </si>
  <si>
    <t>Todd</t>
  </si>
  <si>
    <t>Parise</t>
  </si>
  <si>
    <t>*****65890</t>
  </si>
  <si>
    <t>Highmark</t>
  </si>
  <si>
    <t>Highmark 2025 PA Initial Street</t>
  </si>
  <si>
    <t>King</t>
  </si>
  <si>
    <t>*****05650</t>
  </si>
  <si>
    <t>Highmark 2025 Comm Blue PA Full OR 6/1 True Up</t>
  </si>
  <si>
    <t>Brickley</t>
  </si>
  <si>
    <t>*****41680</t>
  </si>
  <si>
    <t>Highmark 2025 PA Street 7/1 True Up</t>
  </si>
  <si>
    <t>*****43110</t>
  </si>
  <si>
    <t>*****40480</t>
  </si>
  <si>
    <t>Gordon</t>
  </si>
  <si>
    <t>Gathany</t>
  </si>
  <si>
    <t>*****55740</t>
  </si>
  <si>
    <t>Yorgen</t>
  </si>
  <si>
    <t>*****15710</t>
  </si>
  <si>
    <t>Maryelizabeth</t>
  </si>
  <si>
    <t>Pachasa</t>
  </si>
  <si>
    <t>*****45350</t>
  </si>
  <si>
    <t>Pegher</t>
  </si>
  <si>
    <t>*****31880</t>
  </si>
  <si>
    <t>Highmark 2025 PA Replace Street / TrueUp (ProRata: 7)</t>
  </si>
  <si>
    <t>Highmark 2025 Comm Blue PA Full OR</t>
  </si>
  <si>
    <t>Highmark 2025 Comm Blue PA Full OR	6/1 Trueup</t>
  </si>
  <si>
    <t>Highmark 2025 Comm Blue PA Full OR 7/1 Trueup</t>
  </si>
  <si>
    <t>Highmark 2022-2025 PA DE &amp; WV Replace OR (ProRata: 7)</t>
  </si>
  <si>
    <t>17528908N</t>
  </si>
  <si>
    <t>Highmark MAPD 2025.</t>
  </si>
  <si>
    <t>Highmark 2025 Ovr</t>
  </si>
  <si>
    <t>Highmark MAPD 2025..</t>
  </si>
  <si>
    <t>[%/$=353][prorate=7/12]</t>
  </si>
  <si>
    <t>[%/$=705]</t>
  </si>
  <si>
    <t>[%/$=353][prorate=6/12]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</si>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</sst>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571"/>
  <sheetViews>
    <sheetView tabSelected="1" workbookViewId="0">
      <selection sqref="A1:XFD1048576"/>
    </sheetView>
  </sheetViews>
  <sheetFormatPr defaultRowHeight="14.4" x14ac:dyDescent="0.3"/>
  <cols>
    <col min="1" max="1" width="19.33203125" bestFit="1" customWidth="1"/>
    <col min="2" max="2" width="15" bestFit="1" customWidth="1"/>
    <col min="3" max="3" width="10.44140625" bestFit="1" customWidth="1"/>
    <col min="4" max="4" width="13.44140625" bestFit="1" customWidth="1"/>
    <col min="5" max="5" width="18" bestFit="1" customWidth="1"/>
    <col min="6" max="6" width="16.77734375" bestFit="1" customWidth="1"/>
    <col min="7" max="7" width="11.5546875" bestFit="1" customWidth="1"/>
    <col min="8" max="8" width="14.33203125" bestFit="1" customWidth="1"/>
    <col min="9" max="9" width="18.33203125" bestFit="1" customWidth="1"/>
    <col min="10" max="10" width="76" bestFit="1" customWidth="1"/>
    <col min="11" max="11" width="15.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15</v>
      </c>
      <c r="B2">
        <v>18794740</v>
      </c>
      <c r="C2">
        <v>18794740</v>
      </c>
      <c r="D2" t="s">
        <v>12</v>
      </c>
      <c r="E2" t="s">
        <v>20</v>
      </c>
      <c r="F2" t="s">
        <v>21</v>
      </c>
      <c r="G2" s="1">
        <v>45809</v>
      </c>
      <c r="H2" s="1">
        <v>45814</v>
      </c>
      <c r="I2" t="s">
        <v>22</v>
      </c>
      <c r="J2" t="s">
        <v>23</v>
      </c>
      <c r="K2" s="2">
        <v>705</v>
      </c>
    </row>
    <row r="3" spans="1:11" x14ac:dyDescent="0.3">
      <c r="A3" t="s">
        <v>15</v>
      </c>
      <c r="B3">
        <v>18794740</v>
      </c>
      <c r="C3">
        <v>18794740</v>
      </c>
      <c r="D3" t="s">
        <v>13</v>
      </c>
      <c r="E3" t="s">
        <v>24</v>
      </c>
      <c r="F3" t="s">
        <v>25</v>
      </c>
      <c r="G3" s="1">
        <v>45809</v>
      </c>
      <c r="H3" s="1">
        <v>45814</v>
      </c>
      <c r="I3" t="s">
        <v>22</v>
      </c>
      <c r="J3" t="s">
        <v>26</v>
      </c>
      <c r="K3" s="2">
        <v>499.08</v>
      </c>
    </row>
    <row r="4" spans="1:11" x14ac:dyDescent="0.3">
      <c r="A4" t="s">
        <v>16</v>
      </c>
      <c r="B4">
        <v>17528908</v>
      </c>
      <c r="C4">
        <v>17528908</v>
      </c>
      <c r="D4" t="s">
        <v>14</v>
      </c>
      <c r="E4" t="s">
        <v>27</v>
      </c>
      <c r="F4" t="s">
        <v>28</v>
      </c>
      <c r="G4" s="1">
        <v>45839</v>
      </c>
      <c r="H4" s="1">
        <v>45814</v>
      </c>
      <c r="I4" t="s">
        <v>22</v>
      </c>
      <c r="J4" t="s">
        <v>29</v>
      </c>
      <c r="K4" s="2">
        <v>528.5</v>
      </c>
    </row>
    <row r="5" spans="1:11" x14ac:dyDescent="0.3">
      <c r="A5" t="s">
        <v>16</v>
      </c>
      <c r="B5">
        <v>17528908</v>
      </c>
      <c r="C5">
        <v>17528908</v>
      </c>
      <c r="D5" t="s">
        <v>17</v>
      </c>
      <c r="E5" t="s">
        <v>18</v>
      </c>
      <c r="F5" t="s">
        <v>30</v>
      </c>
      <c r="G5" s="1">
        <v>45839</v>
      </c>
      <c r="H5" s="1">
        <v>45814</v>
      </c>
      <c r="I5" t="s">
        <v>22</v>
      </c>
      <c r="J5" t="s">
        <v>29</v>
      </c>
      <c r="K5" s="2">
        <v>528.5</v>
      </c>
    </row>
    <row r="6" spans="1:11" x14ac:dyDescent="0.3">
      <c r="A6" t="s">
        <v>16</v>
      </c>
      <c r="B6">
        <v>17528908</v>
      </c>
      <c r="C6">
        <v>17528908</v>
      </c>
      <c r="D6" t="s">
        <v>11</v>
      </c>
      <c r="E6" t="s">
        <v>18</v>
      </c>
      <c r="F6" t="s">
        <v>31</v>
      </c>
      <c r="G6" s="1">
        <v>45809</v>
      </c>
      <c r="H6" s="1">
        <v>45814</v>
      </c>
      <c r="I6" t="s">
        <v>22</v>
      </c>
      <c r="J6" t="s">
        <v>26</v>
      </c>
      <c r="K6" s="2">
        <v>499.08</v>
      </c>
    </row>
    <row r="7" spans="1:11" x14ac:dyDescent="0.3">
      <c r="A7" t="s">
        <v>16</v>
      </c>
      <c r="B7">
        <v>17528908</v>
      </c>
      <c r="C7">
        <v>17528908</v>
      </c>
      <c r="D7" t="s">
        <v>32</v>
      </c>
      <c r="E7" t="s">
        <v>33</v>
      </c>
      <c r="F7" t="s">
        <v>34</v>
      </c>
      <c r="G7" s="1">
        <v>45809</v>
      </c>
      <c r="H7" s="1">
        <v>45814</v>
      </c>
      <c r="I7" t="s">
        <v>22</v>
      </c>
      <c r="J7" t="s">
        <v>23</v>
      </c>
      <c r="K7" s="2">
        <v>705</v>
      </c>
    </row>
    <row r="8" spans="1:11" x14ac:dyDescent="0.3">
      <c r="A8" t="s">
        <v>16</v>
      </c>
      <c r="B8">
        <v>17528908</v>
      </c>
      <c r="C8">
        <v>17528908</v>
      </c>
      <c r="D8" t="s">
        <v>19</v>
      </c>
      <c r="E8" t="s">
        <v>35</v>
      </c>
      <c r="F8" t="s">
        <v>36</v>
      </c>
      <c r="G8" s="1">
        <v>45839</v>
      </c>
      <c r="H8" s="1">
        <v>45814</v>
      </c>
      <c r="I8" t="s">
        <v>22</v>
      </c>
      <c r="J8" t="s">
        <v>29</v>
      </c>
      <c r="K8" s="2">
        <v>528.5</v>
      </c>
    </row>
    <row r="9" spans="1:11" x14ac:dyDescent="0.3">
      <c r="A9" t="s">
        <v>16</v>
      </c>
      <c r="B9">
        <v>17528908</v>
      </c>
      <c r="C9">
        <v>17528908</v>
      </c>
      <c r="D9" t="s">
        <v>37</v>
      </c>
      <c r="E9" t="s">
        <v>38</v>
      </c>
      <c r="F9" t="s">
        <v>39</v>
      </c>
      <c r="G9" s="1">
        <v>45809</v>
      </c>
      <c r="H9" s="1">
        <v>45814</v>
      </c>
      <c r="I9" t="s">
        <v>22</v>
      </c>
      <c r="J9" t="s">
        <v>26</v>
      </c>
      <c r="K9" s="2">
        <v>499.08</v>
      </c>
    </row>
    <row r="10" spans="1:11" x14ac:dyDescent="0.3">
      <c r="A10" t="s">
        <v>16</v>
      </c>
      <c r="B10">
        <v>17528908</v>
      </c>
      <c r="C10">
        <v>17528908</v>
      </c>
      <c r="D10" t="s">
        <v>14</v>
      </c>
      <c r="E10" t="s">
        <v>40</v>
      </c>
      <c r="F10" t="s">
        <v>41</v>
      </c>
      <c r="G10" s="1">
        <v>45809</v>
      </c>
      <c r="H10" s="1">
        <v>45814</v>
      </c>
      <c r="I10" t="s">
        <v>22</v>
      </c>
      <c r="J10" t="s">
        <v>42</v>
      </c>
      <c r="K10" s="2">
        <v>205.91</v>
      </c>
    </row>
    <row r="11" spans="1:11" x14ac:dyDescent="0.3">
      <c r="A11" t="s">
        <v>15</v>
      </c>
      <c r="B11">
        <v>18794740</v>
      </c>
      <c r="C11">
        <v>18794740</v>
      </c>
      <c r="D11" t="s">
        <v>12</v>
      </c>
      <c r="E11" t="s">
        <v>20</v>
      </c>
      <c r="F11" t="s">
        <v>21</v>
      </c>
      <c r="G11" s="1">
        <v>45809</v>
      </c>
      <c r="H11" s="1">
        <v>45814</v>
      </c>
      <c r="I11" t="s">
        <v>22</v>
      </c>
      <c r="J11" t="s">
        <v>43</v>
      </c>
      <c r="K11" s="2">
        <v>110</v>
      </c>
    </row>
    <row r="12" spans="1:11" x14ac:dyDescent="0.3">
      <c r="A12" t="s">
        <v>15</v>
      </c>
      <c r="B12">
        <v>18794740</v>
      </c>
      <c r="C12">
        <v>18794740</v>
      </c>
      <c r="D12" t="s">
        <v>13</v>
      </c>
      <c r="E12" t="s">
        <v>24</v>
      </c>
      <c r="F12" t="s">
        <v>25</v>
      </c>
      <c r="G12" s="1">
        <v>45809</v>
      </c>
      <c r="H12" s="1">
        <v>45814</v>
      </c>
      <c r="I12" t="s">
        <v>22</v>
      </c>
      <c r="J12" t="s">
        <v>44</v>
      </c>
      <c r="K12" s="2">
        <v>67.709999999999994</v>
      </c>
    </row>
    <row r="13" spans="1:11" x14ac:dyDescent="0.3">
      <c r="A13" t="s">
        <v>16</v>
      </c>
      <c r="B13">
        <v>17528908</v>
      </c>
      <c r="C13">
        <v>17528908</v>
      </c>
      <c r="D13" t="s">
        <v>14</v>
      </c>
      <c r="E13" t="s">
        <v>27</v>
      </c>
      <c r="F13" t="s">
        <v>28</v>
      </c>
      <c r="G13" s="1">
        <v>45839</v>
      </c>
      <c r="H13" s="1">
        <v>45814</v>
      </c>
      <c r="I13" t="s">
        <v>22</v>
      </c>
      <c r="J13" t="s">
        <v>45</v>
      </c>
      <c r="K13" s="2">
        <v>73.75</v>
      </c>
    </row>
    <row r="14" spans="1:11" x14ac:dyDescent="0.3">
      <c r="A14" t="s">
        <v>16</v>
      </c>
      <c r="B14">
        <v>17528908</v>
      </c>
      <c r="C14">
        <v>17528908</v>
      </c>
      <c r="D14" t="s">
        <v>17</v>
      </c>
      <c r="E14" t="s">
        <v>18</v>
      </c>
      <c r="F14" t="s">
        <v>30</v>
      </c>
      <c r="G14" s="1">
        <v>45839</v>
      </c>
      <c r="H14" s="1">
        <v>45814</v>
      </c>
      <c r="I14" t="s">
        <v>22</v>
      </c>
      <c r="J14" t="s">
        <v>45</v>
      </c>
      <c r="K14" s="2">
        <v>73.75</v>
      </c>
    </row>
    <row r="15" spans="1:11" x14ac:dyDescent="0.3">
      <c r="A15" t="s">
        <v>16</v>
      </c>
      <c r="B15">
        <v>17528908</v>
      </c>
      <c r="C15">
        <v>17528908</v>
      </c>
      <c r="D15" t="s">
        <v>11</v>
      </c>
      <c r="E15" t="s">
        <v>18</v>
      </c>
      <c r="F15" t="s">
        <v>31</v>
      </c>
      <c r="G15" s="1">
        <v>45809</v>
      </c>
      <c r="H15" s="1">
        <v>45814</v>
      </c>
      <c r="I15" t="s">
        <v>22</v>
      </c>
      <c r="J15" t="s">
        <v>44</v>
      </c>
      <c r="K15" s="2">
        <v>67.709999999999994</v>
      </c>
    </row>
    <row r="16" spans="1:11" x14ac:dyDescent="0.3">
      <c r="A16" t="s">
        <v>16</v>
      </c>
      <c r="B16">
        <v>17528908</v>
      </c>
      <c r="C16">
        <v>17528908</v>
      </c>
      <c r="D16" t="s">
        <v>32</v>
      </c>
      <c r="E16" t="s">
        <v>33</v>
      </c>
      <c r="F16" t="s">
        <v>34</v>
      </c>
      <c r="G16" s="1">
        <v>45809</v>
      </c>
      <c r="H16" s="1">
        <v>45814</v>
      </c>
      <c r="I16" t="s">
        <v>22</v>
      </c>
      <c r="J16" t="s">
        <v>43</v>
      </c>
      <c r="K16" s="2">
        <v>110</v>
      </c>
    </row>
    <row r="17" spans="1:11" x14ac:dyDescent="0.3">
      <c r="A17" t="s">
        <v>16</v>
      </c>
      <c r="B17">
        <v>17528908</v>
      </c>
      <c r="C17">
        <v>17528908</v>
      </c>
      <c r="D17" t="s">
        <v>19</v>
      </c>
      <c r="E17" t="s">
        <v>35</v>
      </c>
      <c r="F17" t="s">
        <v>36</v>
      </c>
      <c r="G17" s="1">
        <v>45839</v>
      </c>
      <c r="H17" s="1">
        <v>45814</v>
      </c>
      <c r="I17" t="s">
        <v>22</v>
      </c>
      <c r="J17" t="s">
        <v>45</v>
      </c>
      <c r="K17" s="2">
        <v>73.75</v>
      </c>
    </row>
    <row r="18" spans="1:11" x14ac:dyDescent="0.3">
      <c r="A18" t="s">
        <v>16</v>
      </c>
      <c r="B18">
        <v>17528908</v>
      </c>
      <c r="C18">
        <v>17528908</v>
      </c>
      <c r="D18" t="s">
        <v>37</v>
      </c>
      <c r="E18" t="s">
        <v>38</v>
      </c>
      <c r="F18" t="s">
        <v>39</v>
      </c>
      <c r="G18" s="1">
        <v>45809</v>
      </c>
      <c r="H18" s="1">
        <v>45814</v>
      </c>
      <c r="I18" t="s">
        <v>22</v>
      </c>
      <c r="J18" t="s">
        <v>44</v>
      </c>
      <c r="K18" s="2">
        <v>67.709999999999994</v>
      </c>
    </row>
    <row r="19" spans="1:11" x14ac:dyDescent="0.3">
      <c r="A19" t="s">
        <v>16</v>
      </c>
      <c r="B19">
        <v>17528908</v>
      </c>
      <c r="C19">
        <v>17528908</v>
      </c>
      <c r="D19" t="s">
        <v>14</v>
      </c>
      <c r="E19" t="s">
        <v>40</v>
      </c>
      <c r="F19" t="s">
        <v>41</v>
      </c>
      <c r="G19" s="1">
        <v>45809</v>
      </c>
      <c r="H19" s="1">
        <v>45814</v>
      </c>
      <c r="I19" t="s">
        <v>22</v>
      </c>
      <c r="J19" t="s">
        <v>46</v>
      </c>
      <c r="K19" s="2">
        <v>36.450000000000003</v>
      </c>
    </row>
    <row r="20" spans="1:11" x14ac:dyDescent="0.3">
      <c r="G20" s="1"/>
      <c r="H20" s="1"/>
      <c r="K20" s="2"/>
    </row>
    <row r="21" spans="1:11" x14ac:dyDescent="0.3">
      <c r="G21" s="1"/>
      <c r="H21" s="1"/>
      <c r="K21" s="2"/>
    </row>
    <row r="21553" spans="7:11" x14ac:dyDescent="0.3">
      <c r="G21553" s="1"/>
      <c r="H21553" s="1"/>
      <c r="K21553" s="2"/>
    </row>
    <row r="21554" spans="7:11" x14ac:dyDescent="0.3">
      <c r="G21554" s="1"/>
      <c r="H21554" s="1"/>
      <c r="K21554" s="2"/>
    </row>
    <row r="21555" spans="7:11" x14ac:dyDescent="0.3">
      <c r="G21555" s="1"/>
      <c r="H21555" s="1"/>
      <c r="K21555" s="2"/>
    </row>
    <row r="21569" spans="7:11" x14ac:dyDescent="0.3">
      <c r="G21569" s="1"/>
      <c r="H21569" s="1"/>
      <c r="K21569" s="2"/>
    </row>
    <row r="21570" spans="7:11" x14ac:dyDescent="0.3">
      <c r="G21570" s="1"/>
      <c r="H21570" s="1"/>
      <c r="K21570" s="2"/>
    </row>
    <row r="21571" spans="7:11" x14ac:dyDescent="0.3">
      <c r="G21571" s="1"/>
      <c r="H21571" s="1"/>
      <c r="K21571" s="2"/>
    </row>
  </sheetData>
  <sortState xmlns:xlrd2="http://schemas.microsoft.com/office/spreadsheetml/2017/richdata2" ref="A2:K21571">
    <sortCondition ref="I2:I2157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1574"/>
  <sheetViews>
    <sheetView workbookViewId="0">
      <selection activeCell="O2" sqref="O2:O25"/>
    </sheetView>
  </sheetViews>
  <sheetFormatPr defaultRowHeight="14.4" x14ac:dyDescent="0.3"/>
  <cols>
    <col min="1" max="1" width="19.33203125" bestFit="1" customWidth="1"/>
    <col min="2" max="2" width="10.44140625" bestFit="1" customWidth="1"/>
    <col min="3" max="3" width="13.44140625" bestFit="1" customWidth="1"/>
    <col min="4" max="4" width="18" bestFit="1" customWidth="1"/>
    <col min="5" max="5" width="18" customWidth="1"/>
    <col min="6" max="6" width="8.88671875" customWidth="1"/>
    <col min="7" max="7" width="13.33203125" customWidth="1"/>
    <col min="8" max="8" width="11.5546875" bestFit="1" customWidth="1"/>
    <col min="9" max="9" width="14.33203125" bestFit="1" customWidth="1"/>
    <col min="10" max="10" width="18.33203125" bestFit="1" customWidth="1"/>
    <col min="11" max="11" width="49.88671875" customWidth="1"/>
    <col min="12" max="12" width="15.21875" bestFit="1" customWidth="1"/>
    <col min="13" max="13" width="15.21875" customWidth="1"/>
    <col min="14" max="14" width="20" bestFit="1" customWidth="1"/>
  </cols>
  <sheetData>
    <row r="1" spans="1:15" x14ac:dyDescent="0.3">
      <c r="A1" t="s">
        <v>0</v>
      </c>
      <c r="B1" t="s">
        <v>2</v>
      </c>
      <c r="C1" t="s">
        <v>3</v>
      </c>
      <c r="D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5" x14ac:dyDescent="0.3">
      <c r="A2" t="s">
        <v>54</v>
      </c>
      <c r="B2">
        <v>20411454</v>
      </c>
      <c r="C2" t="s">
        <v>14</v>
      </c>
      <c r="D2" t="s">
        <v>40</v>
      </c>
      <c r="E2" t="str">
        <f t="shared" ref="E2:E25" si="0">_xlfn.CONCAT(C2, " ",D2)</f>
        <v>Dennis Pegher</v>
      </c>
      <c r="F2">
        <v>31880</v>
      </c>
      <c r="G2" t="str">
        <f>_xlfn.CONCAT(F2,65)</f>
        <v>3188065</v>
      </c>
      <c r="H2" s="1">
        <v>45809</v>
      </c>
      <c r="I2" s="1">
        <v>45814</v>
      </c>
      <c r="J2" t="s">
        <v>22</v>
      </c>
      <c r="K2" t="s">
        <v>46</v>
      </c>
      <c r="L2" s="2">
        <v>36.450000000000003</v>
      </c>
      <c r="M2" s="2">
        <v>36.450000000000003</v>
      </c>
      <c r="N2" t="s">
        <v>49</v>
      </c>
    </row>
    <row r="3" spans="1:15" x14ac:dyDescent="0.3">
      <c r="A3" t="s">
        <v>54</v>
      </c>
      <c r="B3">
        <v>20411454</v>
      </c>
      <c r="C3" t="s">
        <v>12</v>
      </c>
      <c r="D3" t="s">
        <v>20</v>
      </c>
      <c r="E3" t="str">
        <f t="shared" si="0"/>
        <v>Jeffrey Parise</v>
      </c>
      <c r="F3">
        <v>65890</v>
      </c>
      <c r="G3" t="str">
        <f t="shared" ref="G3:G10" si="1">_xlfn.CONCAT(F3,65)</f>
        <v>6589065</v>
      </c>
      <c r="H3" s="1">
        <v>45809</v>
      </c>
      <c r="I3" s="1">
        <v>45814</v>
      </c>
      <c r="J3" t="s">
        <v>22</v>
      </c>
      <c r="K3" t="s">
        <v>43</v>
      </c>
      <c r="L3" s="2">
        <v>110</v>
      </c>
      <c r="M3" s="2">
        <v>110</v>
      </c>
      <c r="N3" t="s">
        <v>49</v>
      </c>
    </row>
    <row r="4" spans="1:15" x14ac:dyDescent="0.3">
      <c r="A4" t="s">
        <v>54</v>
      </c>
      <c r="B4">
        <v>20411454</v>
      </c>
      <c r="C4" t="s">
        <v>32</v>
      </c>
      <c r="D4" t="s">
        <v>33</v>
      </c>
      <c r="E4" t="str">
        <f t="shared" si="0"/>
        <v>Gordon Gathany</v>
      </c>
      <c r="F4">
        <v>55740</v>
      </c>
      <c r="G4" t="str">
        <f t="shared" si="1"/>
        <v>5574065</v>
      </c>
      <c r="H4" s="1">
        <v>45809</v>
      </c>
      <c r="I4" s="1">
        <v>45814</v>
      </c>
      <c r="J4" t="s">
        <v>22</v>
      </c>
      <c r="K4" t="s">
        <v>43</v>
      </c>
      <c r="L4" s="2">
        <v>110</v>
      </c>
      <c r="M4" s="2">
        <v>110</v>
      </c>
      <c r="N4" t="s">
        <v>49</v>
      </c>
    </row>
    <row r="5" spans="1:15" x14ac:dyDescent="0.3">
      <c r="A5" t="s">
        <v>54</v>
      </c>
      <c r="B5">
        <v>20411454</v>
      </c>
      <c r="C5" t="s">
        <v>14</v>
      </c>
      <c r="D5" t="s">
        <v>27</v>
      </c>
      <c r="E5" t="str">
        <f t="shared" si="0"/>
        <v>Dennis Brickley</v>
      </c>
      <c r="F5">
        <v>41680</v>
      </c>
      <c r="G5" t="str">
        <f t="shared" si="1"/>
        <v>4168065</v>
      </c>
      <c r="H5" s="1">
        <v>45839</v>
      </c>
      <c r="I5" s="1">
        <v>45814</v>
      </c>
      <c r="J5" t="s">
        <v>22</v>
      </c>
      <c r="K5" t="s">
        <v>45</v>
      </c>
      <c r="L5" s="2">
        <v>73.75</v>
      </c>
      <c r="M5" s="2">
        <v>73.75</v>
      </c>
      <c r="N5" t="s">
        <v>49</v>
      </c>
    </row>
    <row r="6" spans="1:15" x14ac:dyDescent="0.3">
      <c r="A6" t="s">
        <v>54</v>
      </c>
      <c r="B6">
        <v>20411454</v>
      </c>
      <c r="C6" t="s">
        <v>17</v>
      </c>
      <c r="D6" t="s">
        <v>18</v>
      </c>
      <c r="E6" t="str">
        <f t="shared" si="0"/>
        <v>Lynn Gamcik</v>
      </c>
      <c r="F6">
        <v>43110</v>
      </c>
      <c r="G6" t="str">
        <f t="shared" si="1"/>
        <v>4311065</v>
      </c>
      <c r="H6" s="1">
        <v>45839</v>
      </c>
      <c r="I6" s="1">
        <v>45814</v>
      </c>
      <c r="J6" t="s">
        <v>22</v>
      </c>
      <c r="K6" t="s">
        <v>45</v>
      </c>
      <c r="L6" s="2">
        <v>73.75</v>
      </c>
      <c r="M6" s="2">
        <v>73.75</v>
      </c>
      <c r="N6" t="s">
        <v>49</v>
      </c>
    </row>
    <row r="7" spans="1:15" x14ac:dyDescent="0.3">
      <c r="A7" t="s">
        <v>54</v>
      </c>
      <c r="B7">
        <v>20411454</v>
      </c>
      <c r="C7" t="s">
        <v>19</v>
      </c>
      <c r="D7" t="s">
        <v>35</v>
      </c>
      <c r="E7" t="str">
        <f t="shared" si="0"/>
        <v>Todd Yorgen</v>
      </c>
      <c r="F7">
        <v>15710</v>
      </c>
      <c r="G7" t="str">
        <f t="shared" si="1"/>
        <v>1571065</v>
      </c>
      <c r="H7" s="1">
        <v>45839</v>
      </c>
      <c r="I7" s="1">
        <v>45814</v>
      </c>
      <c r="J7" t="s">
        <v>22</v>
      </c>
      <c r="K7" t="s">
        <v>45</v>
      </c>
      <c r="L7" s="2">
        <v>73.75</v>
      </c>
      <c r="M7" s="2">
        <v>73.75</v>
      </c>
      <c r="N7" t="s">
        <v>49</v>
      </c>
    </row>
    <row r="8" spans="1:15" x14ac:dyDescent="0.3">
      <c r="A8" t="s">
        <v>54</v>
      </c>
      <c r="B8">
        <v>20411454</v>
      </c>
      <c r="C8" t="s">
        <v>13</v>
      </c>
      <c r="D8" t="s">
        <v>24</v>
      </c>
      <c r="E8" t="str">
        <f t="shared" si="0"/>
        <v>David King</v>
      </c>
      <c r="F8">
        <v>5650</v>
      </c>
      <c r="G8" t="str">
        <f t="shared" si="1"/>
        <v>565065</v>
      </c>
      <c r="H8" s="1">
        <v>45809</v>
      </c>
      <c r="I8" s="1">
        <v>45814</v>
      </c>
      <c r="J8" t="s">
        <v>22</v>
      </c>
      <c r="K8" t="s">
        <v>44</v>
      </c>
      <c r="L8" s="2">
        <v>67.709999999999994</v>
      </c>
      <c r="M8" s="2">
        <v>67.709999999999994</v>
      </c>
      <c r="N8" t="s">
        <v>49</v>
      </c>
    </row>
    <row r="9" spans="1:15" x14ac:dyDescent="0.3">
      <c r="A9" t="s">
        <v>54</v>
      </c>
      <c r="B9">
        <v>20411454</v>
      </c>
      <c r="C9" t="s">
        <v>11</v>
      </c>
      <c r="D9" t="s">
        <v>18</v>
      </c>
      <c r="E9" t="str">
        <f t="shared" si="0"/>
        <v>Thomas Gamcik</v>
      </c>
      <c r="F9">
        <v>40480</v>
      </c>
      <c r="G9" t="str">
        <f t="shared" si="1"/>
        <v>4048065</v>
      </c>
      <c r="H9" s="1">
        <v>45809</v>
      </c>
      <c r="I9" s="1">
        <v>45814</v>
      </c>
      <c r="J9" t="s">
        <v>22</v>
      </c>
      <c r="K9" t="s">
        <v>44</v>
      </c>
      <c r="L9" s="2">
        <v>67.709999999999994</v>
      </c>
      <c r="M9" s="2">
        <v>67.709999999999994</v>
      </c>
      <c r="N9" t="s">
        <v>49</v>
      </c>
    </row>
    <row r="10" spans="1:15" x14ac:dyDescent="0.3">
      <c r="A10" t="s">
        <v>54</v>
      </c>
      <c r="B10">
        <v>20411454</v>
      </c>
      <c r="C10" t="s">
        <v>37</v>
      </c>
      <c r="D10" t="s">
        <v>38</v>
      </c>
      <c r="E10" t="str">
        <f t="shared" si="0"/>
        <v>Maryelizabeth Pachasa</v>
      </c>
      <c r="F10">
        <v>45350</v>
      </c>
      <c r="G10" t="str">
        <f t="shared" si="1"/>
        <v>4535065</v>
      </c>
      <c r="H10" s="1">
        <v>45809</v>
      </c>
      <c r="I10" s="1">
        <v>45814</v>
      </c>
      <c r="J10" t="s">
        <v>22</v>
      </c>
      <c r="K10" t="s">
        <v>44</v>
      </c>
      <c r="L10" s="2">
        <v>67.709999999999994</v>
      </c>
      <c r="M10" s="2">
        <v>67.709999999999994</v>
      </c>
      <c r="N10" t="s">
        <v>49</v>
      </c>
    </row>
    <row r="11" spans="1:15" x14ac:dyDescent="0.3">
      <c r="A11" t="s">
        <v>15</v>
      </c>
      <c r="B11">
        <v>18794740</v>
      </c>
      <c r="C11" t="s">
        <v>13</v>
      </c>
      <c r="D11" t="s">
        <v>24</v>
      </c>
      <c r="E11" t="str">
        <f t="shared" si="0"/>
        <v>David King</v>
      </c>
      <c r="F11">
        <v>5650</v>
      </c>
      <c r="G11" t="str">
        <f>_xlfn.CONCAT(F11,75)</f>
        <v>565075</v>
      </c>
      <c r="H11" s="1">
        <v>45809</v>
      </c>
      <c r="I11" s="1">
        <v>45814</v>
      </c>
      <c r="J11" t="s">
        <v>22</v>
      </c>
      <c r="K11" t="s">
        <v>26</v>
      </c>
      <c r="L11" s="2">
        <v>499.08</v>
      </c>
      <c r="M11" s="2">
        <v>705</v>
      </c>
      <c r="N11" t="s">
        <v>48</v>
      </c>
      <c r="O11" t="s">
        <v>52</v>
      </c>
    </row>
    <row r="12" spans="1:15" x14ac:dyDescent="0.3">
      <c r="A12" t="s">
        <v>16</v>
      </c>
      <c r="B12" t="s">
        <v>47</v>
      </c>
      <c r="C12" t="s">
        <v>11</v>
      </c>
      <c r="D12" t="s">
        <v>18</v>
      </c>
      <c r="E12" t="str">
        <f t="shared" si="0"/>
        <v>Thomas Gamcik</v>
      </c>
      <c r="F12">
        <v>40480</v>
      </c>
      <c r="G12" t="str">
        <f t="shared" ref="G12:G18" si="2">_xlfn.CONCAT(F12,75)</f>
        <v>4048075</v>
      </c>
      <c r="H12" s="1">
        <v>45809</v>
      </c>
      <c r="I12" s="1">
        <v>45814</v>
      </c>
      <c r="J12" t="s">
        <v>22</v>
      </c>
      <c r="K12" t="s">
        <v>26</v>
      </c>
      <c r="L12" s="2">
        <v>499.08</v>
      </c>
      <c r="M12" s="2">
        <v>705</v>
      </c>
      <c r="N12" t="s">
        <v>48</v>
      </c>
      <c r="O12" t="s">
        <v>52</v>
      </c>
    </row>
    <row r="13" spans="1:15" x14ac:dyDescent="0.3">
      <c r="A13" t="s">
        <v>16</v>
      </c>
      <c r="B13" t="s">
        <v>47</v>
      </c>
      <c r="C13" t="s">
        <v>37</v>
      </c>
      <c r="D13" t="s">
        <v>38</v>
      </c>
      <c r="E13" t="str">
        <f t="shared" si="0"/>
        <v>Maryelizabeth Pachasa</v>
      </c>
      <c r="F13">
        <v>45350</v>
      </c>
      <c r="G13" t="str">
        <f t="shared" si="2"/>
        <v>4535075</v>
      </c>
      <c r="H13" s="1">
        <v>45809</v>
      </c>
      <c r="I13" s="1">
        <v>45814</v>
      </c>
      <c r="J13" t="s">
        <v>22</v>
      </c>
      <c r="K13" t="s">
        <v>26</v>
      </c>
      <c r="L13" s="2">
        <v>499.08</v>
      </c>
      <c r="M13" s="2">
        <v>705</v>
      </c>
      <c r="N13" t="s">
        <v>48</v>
      </c>
      <c r="O13" t="s">
        <v>52</v>
      </c>
    </row>
    <row r="14" spans="1:15" x14ac:dyDescent="0.3">
      <c r="A14" t="s">
        <v>15</v>
      </c>
      <c r="B14">
        <v>18794740</v>
      </c>
      <c r="C14" t="s">
        <v>12</v>
      </c>
      <c r="D14" t="s">
        <v>20</v>
      </c>
      <c r="E14" t="str">
        <f t="shared" si="0"/>
        <v>Jeffrey Parise</v>
      </c>
      <c r="F14">
        <v>65890</v>
      </c>
      <c r="G14" t="str">
        <f t="shared" si="2"/>
        <v>6589075</v>
      </c>
      <c r="H14" s="1">
        <v>45809</v>
      </c>
      <c r="I14" s="1">
        <v>45814</v>
      </c>
      <c r="J14" t="s">
        <v>22</v>
      </c>
      <c r="K14" t="s">
        <v>23</v>
      </c>
      <c r="L14" s="2">
        <v>705</v>
      </c>
      <c r="M14" s="2">
        <v>705</v>
      </c>
      <c r="N14" t="s">
        <v>48</v>
      </c>
      <c r="O14" t="s">
        <v>52</v>
      </c>
    </row>
    <row r="15" spans="1:15" x14ac:dyDescent="0.3">
      <c r="A15" t="s">
        <v>16</v>
      </c>
      <c r="B15" t="s">
        <v>47</v>
      </c>
      <c r="C15" t="s">
        <v>32</v>
      </c>
      <c r="D15" t="s">
        <v>33</v>
      </c>
      <c r="E15" t="str">
        <f t="shared" si="0"/>
        <v>Gordon Gathany</v>
      </c>
      <c r="F15">
        <v>55740</v>
      </c>
      <c r="G15" t="str">
        <f t="shared" si="2"/>
        <v>5574075</v>
      </c>
      <c r="H15" s="1">
        <v>45809</v>
      </c>
      <c r="I15" s="1">
        <v>45814</v>
      </c>
      <c r="J15" t="s">
        <v>22</v>
      </c>
      <c r="K15" t="s">
        <v>23</v>
      </c>
      <c r="L15" s="2">
        <v>705</v>
      </c>
      <c r="M15" s="2">
        <v>705</v>
      </c>
      <c r="N15" t="s">
        <v>48</v>
      </c>
      <c r="O15" t="s">
        <v>52</v>
      </c>
    </row>
    <row r="16" spans="1:15" x14ac:dyDescent="0.3">
      <c r="A16" t="s">
        <v>16</v>
      </c>
      <c r="B16" t="s">
        <v>47</v>
      </c>
      <c r="C16" t="s">
        <v>14</v>
      </c>
      <c r="D16" t="s">
        <v>27</v>
      </c>
      <c r="E16" t="str">
        <f t="shared" si="0"/>
        <v>Dennis Brickley</v>
      </c>
      <c r="F16">
        <v>41680</v>
      </c>
      <c r="G16" t="str">
        <f t="shared" si="2"/>
        <v>4168075</v>
      </c>
      <c r="H16" s="1">
        <v>45839</v>
      </c>
      <c r="I16" s="1">
        <v>45814</v>
      </c>
      <c r="J16" t="s">
        <v>22</v>
      </c>
      <c r="K16" t="s">
        <v>29</v>
      </c>
      <c r="L16" s="2">
        <v>528.5</v>
      </c>
      <c r="M16" s="2">
        <v>705</v>
      </c>
      <c r="N16" t="s">
        <v>48</v>
      </c>
      <c r="O16" t="s">
        <v>52</v>
      </c>
    </row>
    <row r="17" spans="1:15" x14ac:dyDescent="0.3">
      <c r="A17" t="s">
        <v>16</v>
      </c>
      <c r="B17" t="s">
        <v>47</v>
      </c>
      <c r="C17" t="s">
        <v>17</v>
      </c>
      <c r="D17" t="s">
        <v>18</v>
      </c>
      <c r="E17" t="str">
        <f t="shared" si="0"/>
        <v>Lynn Gamcik</v>
      </c>
      <c r="F17">
        <v>43110</v>
      </c>
      <c r="G17" t="str">
        <f t="shared" si="2"/>
        <v>4311075</v>
      </c>
      <c r="H17" s="1">
        <v>45839</v>
      </c>
      <c r="I17" s="1">
        <v>45814</v>
      </c>
      <c r="J17" t="s">
        <v>22</v>
      </c>
      <c r="K17" t="s">
        <v>29</v>
      </c>
      <c r="L17" s="2">
        <v>528.5</v>
      </c>
      <c r="M17" s="2">
        <v>705</v>
      </c>
      <c r="N17" t="s">
        <v>48</v>
      </c>
      <c r="O17" t="s">
        <v>52</v>
      </c>
    </row>
    <row r="18" spans="1:15" x14ac:dyDescent="0.3">
      <c r="A18" t="s">
        <v>16</v>
      </c>
      <c r="B18" t="s">
        <v>47</v>
      </c>
      <c r="C18" t="s">
        <v>19</v>
      </c>
      <c r="D18" t="s">
        <v>35</v>
      </c>
      <c r="E18" t="str">
        <f t="shared" si="0"/>
        <v>Todd Yorgen</v>
      </c>
      <c r="F18">
        <v>15710</v>
      </c>
      <c r="G18" t="str">
        <f t="shared" si="2"/>
        <v>1571075</v>
      </c>
      <c r="H18" s="1">
        <v>45839</v>
      </c>
      <c r="I18" s="1">
        <v>45814</v>
      </c>
      <c r="J18" t="s">
        <v>22</v>
      </c>
      <c r="K18" t="s">
        <v>29</v>
      </c>
      <c r="L18" s="2">
        <v>528.5</v>
      </c>
      <c r="M18" s="2">
        <v>705</v>
      </c>
      <c r="N18" t="s">
        <v>48</v>
      </c>
      <c r="O18" t="s">
        <v>52</v>
      </c>
    </row>
    <row r="19" spans="1:15" x14ac:dyDescent="0.3">
      <c r="A19" t="s">
        <v>15</v>
      </c>
      <c r="B19">
        <v>18794740</v>
      </c>
      <c r="C19" t="s">
        <v>13</v>
      </c>
      <c r="D19" t="s">
        <v>24</v>
      </c>
      <c r="E19" t="str">
        <f t="shared" si="0"/>
        <v>David King</v>
      </c>
      <c r="F19">
        <v>5650</v>
      </c>
      <c r="G19" t="str">
        <f>_xlfn.CONCAT(F19,55)</f>
        <v>565055</v>
      </c>
      <c r="H19" s="1">
        <v>45809</v>
      </c>
      <c r="I19" s="1">
        <v>45814</v>
      </c>
      <c r="J19" t="s">
        <v>22</v>
      </c>
      <c r="K19" t="s">
        <v>26</v>
      </c>
      <c r="L19" s="2">
        <v>499.08</v>
      </c>
      <c r="M19" s="2">
        <v>-205.91</v>
      </c>
      <c r="N19" t="s">
        <v>50</v>
      </c>
      <c r="O19" t="s">
        <v>51</v>
      </c>
    </row>
    <row r="20" spans="1:15" x14ac:dyDescent="0.3">
      <c r="A20" t="s">
        <v>16</v>
      </c>
      <c r="B20" t="s">
        <v>47</v>
      </c>
      <c r="C20" t="s">
        <v>11</v>
      </c>
      <c r="D20" t="s">
        <v>18</v>
      </c>
      <c r="E20" t="str">
        <f t="shared" si="0"/>
        <v>Thomas Gamcik</v>
      </c>
      <c r="F20">
        <v>40480</v>
      </c>
      <c r="G20" t="str">
        <f t="shared" ref="G20:G25" si="3">_xlfn.CONCAT(F20,55)</f>
        <v>4048055</v>
      </c>
      <c r="H20" s="1">
        <v>45809</v>
      </c>
      <c r="I20" s="1">
        <v>45814</v>
      </c>
      <c r="J20" t="s">
        <v>22</v>
      </c>
      <c r="K20" t="s">
        <v>26</v>
      </c>
      <c r="L20" s="2">
        <v>499.08</v>
      </c>
      <c r="M20" s="2">
        <v>-205.91</v>
      </c>
      <c r="N20" t="s">
        <v>50</v>
      </c>
      <c r="O20" t="s">
        <v>51</v>
      </c>
    </row>
    <row r="21" spans="1:15" x14ac:dyDescent="0.3">
      <c r="A21" t="s">
        <v>16</v>
      </c>
      <c r="B21" t="s">
        <v>47</v>
      </c>
      <c r="C21" t="s">
        <v>37</v>
      </c>
      <c r="D21" t="s">
        <v>38</v>
      </c>
      <c r="E21" t="str">
        <f t="shared" si="0"/>
        <v>Maryelizabeth Pachasa</v>
      </c>
      <c r="F21">
        <v>45350</v>
      </c>
      <c r="G21" t="str">
        <f t="shared" si="3"/>
        <v>4535055</v>
      </c>
      <c r="H21" s="1">
        <v>45809</v>
      </c>
      <c r="I21" s="1">
        <v>45814</v>
      </c>
      <c r="J21" t="s">
        <v>22</v>
      </c>
      <c r="K21" t="s">
        <v>26</v>
      </c>
      <c r="L21" s="2">
        <v>499.08</v>
      </c>
      <c r="M21" s="2">
        <v>-205.91</v>
      </c>
      <c r="N21" t="s">
        <v>50</v>
      </c>
      <c r="O21" t="s">
        <v>51</v>
      </c>
    </row>
    <row r="22" spans="1:15" x14ac:dyDescent="0.3">
      <c r="A22" t="s">
        <v>16</v>
      </c>
      <c r="B22" t="s">
        <v>47</v>
      </c>
      <c r="C22" t="s">
        <v>14</v>
      </c>
      <c r="D22" t="s">
        <v>40</v>
      </c>
      <c r="E22" t="str">
        <f t="shared" si="0"/>
        <v>Dennis Pegher</v>
      </c>
      <c r="F22">
        <v>31880</v>
      </c>
      <c r="G22" t="str">
        <f t="shared" si="3"/>
        <v>3188055</v>
      </c>
      <c r="H22" s="1">
        <v>45809</v>
      </c>
      <c r="I22" s="1">
        <v>45814</v>
      </c>
      <c r="J22" t="s">
        <v>22</v>
      </c>
      <c r="K22" t="s">
        <v>42</v>
      </c>
      <c r="L22" s="2">
        <v>205.91</v>
      </c>
      <c r="M22" s="2">
        <v>205.91</v>
      </c>
      <c r="N22" t="s">
        <v>50</v>
      </c>
      <c r="O22" t="s">
        <v>51</v>
      </c>
    </row>
    <row r="23" spans="1:15" x14ac:dyDescent="0.3">
      <c r="A23" t="s">
        <v>16</v>
      </c>
      <c r="B23" t="s">
        <v>47</v>
      </c>
      <c r="C23" t="s">
        <v>14</v>
      </c>
      <c r="D23" t="s">
        <v>27</v>
      </c>
      <c r="E23" t="str">
        <f t="shared" si="0"/>
        <v>Dennis Brickley</v>
      </c>
      <c r="F23">
        <v>41680</v>
      </c>
      <c r="G23" t="str">
        <f t="shared" si="3"/>
        <v>4168055</v>
      </c>
      <c r="H23" s="1">
        <v>45839</v>
      </c>
      <c r="I23" s="1">
        <v>45814</v>
      </c>
      <c r="J23" t="s">
        <v>22</v>
      </c>
      <c r="K23" t="s">
        <v>29</v>
      </c>
      <c r="L23" s="2">
        <v>528.5</v>
      </c>
      <c r="M23" s="2">
        <v>-176.5</v>
      </c>
      <c r="N23" t="s">
        <v>50</v>
      </c>
      <c r="O23" t="s">
        <v>53</v>
      </c>
    </row>
    <row r="24" spans="1:15" x14ac:dyDescent="0.3">
      <c r="A24" t="s">
        <v>16</v>
      </c>
      <c r="B24" t="s">
        <v>47</v>
      </c>
      <c r="C24" t="s">
        <v>17</v>
      </c>
      <c r="D24" t="s">
        <v>18</v>
      </c>
      <c r="E24" t="str">
        <f t="shared" si="0"/>
        <v>Lynn Gamcik</v>
      </c>
      <c r="F24">
        <v>43110</v>
      </c>
      <c r="G24" t="str">
        <f t="shared" si="3"/>
        <v>4311055</v>
      </c>
      <c r="H24" s="1">
        <v>45839</v>
      </c>
      <c r="I24" s="1">
        <v>45814</v>
      </c>
      <c r="J24" t="s">
        <v>22</v>
      </c>
      <c r="K24" t="s">
        <v>29</v>
      </c>
      <c r="L24" s="2">
        <v>528.5</v>
      </c>
      <c r="M24" s="2">
        <v>-176.5</v>
      </c>
      <c r="N24" t="s">
        <v>50</v>
      </c>
      <c r="O24" t="s">
        <v>53</v>
      </c>
    </row>
    <row r="25" spans="1:15" x14ac:dyDescent="0.3">
      <c r="A25" t="s">
        <v>16</v>
      </c>
      <c r="B25" t="s">
        <v>47</v>
      </c>
      <c r="C25" t="s">
        <v>19</v>
      </c>
      <c r="D25" t="s">
        <v>35</v>
      </c>
      <c r="E25" t="str">
        <f t="shared" si="0"/>
        <v>Todd Yorgen</v>
      </c>
      <c r="F25">
        <v>15710</v>
      </c>
      <c r="G25" t="str">
        <f t="shared" si="3"/>
        <v>1571055</v>
      </c>
      <c r="H25" s="1">
        <v>45839</v>
      </c>
      <c r="I25" s="1">
        <v>45814</v>
      </c>
      <c r="J25" t="s">
        <v>22</v>
      </c>
      <c r="K25" t="s">
        <v>29</v>
      </c>
      <c r="L25" s="2">
        <v>528.5</v>
      </c>
      <c r="M25" s="2">
        <v>-176.5</v>
      </c>
      <c r="N25" t="s">
        <v>50</v>
      </c>
      <c r="O25" t="s">
        <v>53</v>
      </c>
    </row>
    <row r="21556" spans="8:13" x14ac:dyDescent="0.3">
      <c r="H21556" s="1"/>
      <c r="I21556" s="1"/>
      <c r="L21556" s="2"/>
      <c r="M21556" s="2"/>
    </row>
    <row r="21557" spans="8:13" x14ac:dyDescent="0.3">
      <c r="H21557" s="1"/>
      <c r="I21557" s="1"/>
      <c r="L21557" s="2"/>
      <c r="M21557" s="2"/>
    </row>
    <row r="21558" spans="8:13" x14ac:dyDescent="0.3">
      <c r="H21558" s="1"/>
      <c r="I21558" s="1"/>
      <c r="L21558" s="2"/>
      <c r="M21558" s="2"/>
    </row>
    <row r="21572" spans="8:13" x14ac:dyDescent="0.3">
      <c r="H21572" s="1"/>
      <c r="I21572" s="1"/>
      <c r="L21572" s="2"/>
      <c r="M21572" s="2"/>
    </row>
    <row r="21573" spans="8:13" x14ac:dyDescent="0.3">
      <c r="H21573" s="1"/>
      <c r="I21573" s="1"/>
      <c r="L21573" s="2"/>
      <c r="M21573" s="2"/>
    </row>
    <row r="21574" spans="8:13" x14ac:dyDescent="0.3">
      <c r="H21574" s="1"/>
      <c r="I21574" s="1"/>
      <c r="L21574" s="2"/>
      <c r="M21574" s="2"/>
    </row>
  </sheetData>
  <sortState xmlns:xlrd2="http://schemas.microsoft.com/office/spreadsheetml/2017/richdata2" ref="A2:Q25">
    <sortCondition ref="N2:N2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Commissions_Main Line Benefits^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</cp:lastModifiedBy>
  <dcterms:created xsi:type="dcterms:W3CDTF">2025-06-06T17:52:39Z</dcterms:created>
  <dcterms:modified xsi:type="dcterms:W3CDTF">2025-06-06T18:43:48Z</dcterms:modified>
</cp:coreProperties>
</file>