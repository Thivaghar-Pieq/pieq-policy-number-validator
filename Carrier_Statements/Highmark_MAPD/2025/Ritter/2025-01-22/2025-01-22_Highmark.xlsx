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ighmark MAPD/2025/Highmark 1-22-25/"/>
    </mc:Choice>
  </mc:AlternateContent>
  <xr:revisionPtr revIDLastSave="0" documentId="13_ncr:1_{0111B491-C58D-9149-8665-2F1D6EEF1C6A}" xr6:coauthVersionLast="47" xr6:coauthVersionMax="47" xr10:uidLastSave="{00000000-0000-0000-0000-000000000000}"/>
  <bookViews>
    <workbookView xWindow="0" yWindow="500" windowWidth="19200" windowHeight="19360" activeTab="1" xr2:uid="{283A05DE-20BC-8147-A2B5-B07B44FA254B}"/>
  </bookViews>
  <sheets>
    <sheet name="Renewal Agent Statement - 2025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3" i="2"/>
</calcChain>
</file>

<file path=xl/sharedStrings.xml><?xml version="1.0" encoding="utf-8"?>
<sst xmlns="http://schemas.openxmlformats.org/spreadsheetml/2006/main" count="345" uniqueCount="76">
  <si>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</si>
  <si>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</si>
  <si>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</si>
  <si>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</si>
  <si>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</si>
  <si>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</si>
  <si>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</si>
  <si>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</si>
  <si>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</si>
  <si>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</si>
  <si>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</si>
  <si>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</si>
  <si>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</si>
  <si>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</si>
  <si>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</si>
  <si>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</si>
  <si>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</si>
  <si>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</si>
  <si>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</si>
  <si>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</si>
  <si>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</si>
  <si>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</si>
  <si>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</si>
  <si>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</si>
  <si>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</si>
  <si>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</si>
  <si>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</si>
  <si>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</si>
  <si>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</si>
  <si>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</si>
  <si>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</si>
  <si>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</si>
  <si>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</si>
  <si>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</si>
  <si>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</si>
  <si>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</si>
  <si>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</si>
  <si>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</si>
  <si>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</si>
  <si>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</si>
  <si>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</si>
  <si>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</si>
  <si>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</si>
  <si>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</si>
  <si>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</si>
  <si>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</si>
  <si>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</si>
  <si>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</si>
  <si>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</si>
  <si>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$689.00</t>
  </si>
  <si>
    <t>$0.00</t>
  </si>
  <si>
    <t>FY</t>
  </si>
  <si>
    <t>$29.42</t>
  </si>
  <si>
    <t>RY</t>
  </si>
  <si>
    <t>'1675408730-ADM</t>
  </si>
  <si>
    <t>HMRK MAPD OVR PA/WV CB</t>
  </si>
  <si>
    <t>$78.75</t>
  </si>
  <si>
    <t>$3.65</t>
  </si>
  <si>
    <t>'1965262100</t>
  </si>
  <si>
    <t>KEITH LOCKE</t>
  </si>
  <si>
    <t>'1965262100-ADM</t>
  </si>
  <si>
    <t>HMRK MAPD OVR</t>
  </si>
  <si>
    <t>'2044272390</t>
  </si>
  <si>
    <t>KAREN CONDLE</t>
  </si>
  <si>
    <t>'2044272390-ADM</t>
  </si>
  <si>
    <t>'2085203420</t>
  </si>
  <si>
    <t>JOANNE ROMANO</t>
  </si>
  <si>
    <t>'2085203420-ADM</t>
  </si>
  <si>
    <t>1675408730-ADM</t>
  </si>
  <si>
    <t>1965262100-ADM</t>
  </si>
  <si>
    <t>2044272390-ADM</t>
  </si>
  <si>
    <t>2085203420-ADM</t>
  </si>
  <si>
    <t>Highmark MAPD PA 2024 Initial</t>
  </si>
  <si>
    <t>[%/$=353][prorate=1/12]</t>
  </si>
  <si>
    <t>Highmark 2025..</t>
  </si>
  <si>
    <t>Highmark 2025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</si>
</sst>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75D7-082E-1A45-A473-24D1DE1C50EC}">
  <dimension ref="A1:AI11"/>
  <sheetViews>
    <sheetView topLeftCell="H1" workbookViewId="0">
      <selection activeCell="H1" sqref="A1:XFD1048576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s="1">
        <v>45680</v>
      </c>
      <c r="B2" s="1">
        <v>45679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45597</v>
      </c>
      <c r="U2" t="s">
        <v>47</v>
      </c>
      <c r="V2">
        <v>1</v>
      </c>
      <c r="W2" s="1">
        <v>45678</v>
      </c>
      <c r="X2" t="s">
        <v>48</v>
      </c>
      <c r="Z2" t="s">
        <v>49</v>
      </c>
      <c r="AD2" t="s">
        <v>49</v>
      </c>
      <c r="AE2" t="s">
        <v>50</v>
      </c>
      <c r="AF2" t="s">
        <v>50</v>
      </c>
      <c r="AH2">
        <v>3563503</v>
      </c>
      <c r="AI2" t="s">
        <v>51</v>
      </c>
    </row>
    <row r="3" spans="1:35" x14ac:dyDescent="0.2">
      <c r="A3" s="1">
        <v>45680</v>
      </c>
      <c r="B3" s="1">
        <v>45679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O3" t="s">
        <v>43</v>
      </c>
      <c r="P3" t="s">
        <v>44</v>
      </c>
      <c r="Q3" t="s">
        <v>45</v>
      </c>
      <c r="R3" t="s">
        <v>46</v>
      </c>
      <c r="S3" s="1">
        <v>45597</v>
      </c>
      <c r="T3" s="1">
        <v>45658</v>
      </c>
      <c r="U3" t="s">
        <v>47</v>
      </c>
      <c r="V3">
        <v>1</v>
      </c>
      <c r="W3" s="1">
        <v>45678</v>
      </c>
      <c r="X3" t="s">
        <v>48</v>
      </c>
      <c r="Z3" t="s">
        <v>52</v>
      </c>
      <c r="AD3" t="s">
        <v>52</v>
      </c>
      <c r="AE3" t="s">
        <v>50</v>
      </c>
      <c r="AF3" t="s">
        <v>50</v>
      </c>
      <c r="AH3">
        <v>3563502</v>
      </c>
      <c r="AI3" t="s">
        <v>53</v>
      </c>
    </row>
    <row r="4" spans="1:35" x14ac:dyDescent="0.2">
      <c r="A4" s="1">
        <v>45680</v>
      </c>
      <c r="B4" s="1">
        <v>45679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54</v>
      </c>
      <c r="J4" t="s">
        <v>42</v>
      </c>
      <c r="O4" t="s">
        <v>43</v>
      </c>
      <c r="P4" t="s">
        <v>44</v>
      </c>
      <c r="Q4" t="s">
        <v>45</v>
      </c>
      <c r="R4" t="s">
        <v>55</v>
      </c>
      <c r="S4" s="1">
        <v>45597</v>
      </c>
      <c r="T4" s="1">
        <v>45597</v>
      </c>
      <c r="U4" t="s">
        <v>47</v>
      </c>
      <c r="V4">
        <v>1</v>
      </c>
      <c r="W4" s="1">
        <v>45678</v>
      </c>
      <c r="X4" t="s">
        <v>48</v>
      </c>
      <c r="Z4" t="s">
        <v>56</v>
      </c>
      <c r="AD4" t="s">
        <v>56</v>
      </c>
      <c r="AE4" t="s">
        <v>50</v>
      </c>
      <c r="AF4" t="s">
        <v>50</v>
      </c>
      <c r="AH4">
        <v>3563501</v>
      </c>
      <c r="AI4" t="s">
        <v>53</v>
      </c>
    </row>
    <row r="5" spans="1:35" x14ac:dyDescent="0.2">
      <c r="A5" s="1">
        <v>45680</v>
      </c>
      <c r="B5" s="1">
        <v>45679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42</v>
      </c>
      <c r="O5" t="s">
        <v>43</v>
      </c>
      <c r="P5" t="s">
        <v>44</v>
      </c>
      <c r="Q5" t="s">
        <v>45</v>
      </c>
      <c r="R5" t="s">
        <v>55</v>
      </c>
      <c r="S5" s="1">
        <v>45597</v>
      </c>
      <c r="T5" s="1">
        <v>45658</v>
      </c>
      <c r="U5" t="s">
        <v>47</v>
      </c>
      <c r="V5">
        <v>1</v>
      </c>
      <c r="W5" s="1">
        <v>45678</v>
      </c>
      <c r="X5" t="s">
        <v>48</v>
      </c>
      <c r="Z5" t="s">
        <v>57</v>
      </c>
      <c r="AD5" t="s">
        <v>57</v>
      </c>
      <c r="AE5" t="s">
        <v>50</v>
      </c>
      <c r="AF5" t="s">
        <v>50</v>
      </c>
      <c r="AH5">
        <v>3563500</v>
      </c>
      <c r="AI5" t="s">
        <v>53</v>
      </c>
    </row>
    <row r="6" spans="1:35" x14ac:dyDescent="0.2">
      <c r="A6" s="1">
        <v>45680</v>
      </c>
      <c r="B6" s="1">
        <v>45679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58</v>
      </c>
      <c r="J6" t="s">
        <v>59</v>
      </c>
      <c r="O6" t="s">
        <v>43</v>
      </c>
      <c r="P6" t="s">
        <v>44</v>
      </c>
      <c r="Q6" t="s">
        <v>45</v>
      </c>
      <c r="R6" t="s">
        <v>46</v>
      </c>
      <c r="S6" s="1">
        <v>45292</v>
      </c>
      <c r="T6" s="1">
        <v>45658</v>
      </c>
      <c r="U6" t="s">
        <v>47</v>
      </c>
      <c r="V6">
        <v>1</v>
      </c>
      <c r="W6" s="1">
        <v>45678</v>
      </c>
      <c r="X6" t="s">
        <v>48</v>
      </c>
      <c r="Z6" t="s">
        <v>52</v>
      </c>
      <c r="AD6" t="s">
        <v>52</v>
      </c>
      <c r="AE6" t="s">
        <v>50</v>
      </c>
      <c r="AF6" t="s">
        <v>50</v>
      </c>
      <c r="AH6">
        <v>3566743</v>
      </c>
      <c r="AI6" t="s">
        <v>53</v>
      </c>
    </row>
    <row r="7" spans="1:35" x14ac:dyDescent="0.2">
      <c r="A7" s="1">
        <v>45680</v>
      </c>
      <c r="B7" s="1">
        <v>45679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60</v>
      </c>
      <c r="J7" t="s">
        <v>59</v>
      </c>
      <c r="O7" t="s">
        <v>43</v>
      </c>
      <c r="P7" t="s">
        <v>44</v>
      </c>
      <c r="Q7" t="s">
        <v>45</v>
      </c>
      <c r="R7" t="s">
        <v>61</v>
      </c>
      <c r="S7" s="1">
        <v>45292</v>
      </c>
      <c r="T7" s="1">
        <v>45658</v>
      </c>
      <c r="U7" t="s">
        <v>47</v>
      </c>
      <c r="V7">
        <v>1</v>
      </c>
      <c r="W7" s="1">
        <v>45678</v>
      </c>
      <c r="X7" t="s">
        <v>48</v>
      </c>
      <c r="Z7" t="s">
        <v>57</v>
      </c>
      <c r="AD7" t="s">
        <v>57</v>
      </c>
      <c r="AE7" t="s">
        <v>50</v>
      </c>
      <c r="AF7" t="s">
        <v>50</v>
      </c>
      <c r="AH7">
        <v>3566742</v>
      </c>
      <c r="AI7" t="s">
        <v>53</v>
      </c>
    </row>
    <row r="8" spans="1:35" x14ac:dyDescent="0.2">
      <c r="A8" s="1">
        <v>45680</v>
      </c>
      <c r="B8" s="1">
        <v>45679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62</v>
      </c>
      <c r="J8" t="s">
        <v>63</v>
      </c>
      <c r="O8" t="s">
        <v>43</v>
      </c>
      <c r="P8" t="s">
        <v>44</v>
      </c>
      <c r="Q8" t="s">
        <v>45</v>
      </c>
      <c r="R8" t="s">
        <v>46</v>
      </c>
      <c r="S8" s="1">
        <v>45292</v>
      </c>
      <c r="T8" s="1">
        <v>45658</v>
      </c>
      <c r="U8" t="s">
        <v>47</v>
      </c>
      <c r="V8">
        <v>1</v>
      </c>
      <c r="W8" s="1">
        <v>45678</v>
      </c>
      <c r="X8" t="s">
        <v>48</v>
      </c>
      <c r="Z8" t="s">
        <v>52</v>
      </c>
      <c r="AD8" t="s">
        <v>52</v>
      </c>
      <c r="AE8" t="s">
        <v>50</v>
      </c>
      <c r="AF8" t="s">
        <v>50</v>
      </c>
      <c r="AH8">
        <v>3566971</v>
      </c>
      <c r="AI8" t="s">
        <v>53</v>
      </c>
    </row>
    <row r="9" spans="1:35" x14ac:dyDescent="0.2">
      <c r="A9" s="1">
        <v>45680</v>
      </c>
      <c r="B9" s="1">
        <v>45679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64</v>
      </c>
      <c r="J9" t="s">
        <v>63</v>
      </c>
      <c r="O9" t="s">
        <v>43</v>
      </c>
      <c r="P9" t="s">
        <v>44</v>
      </c>
      <c r="Q9" t="s">
        <v>45</v>
      </c>
      <c r="R9" t="s">
        <v>61</v>
      </c>
      <c r="S9" s="1">
        <v>45292</v>
      </c>
      <c r="T9" s="1">
        <v>45658</v>
      </c>
      <c r="U9" t="s">
        <v>47</v>
      </c>
      <c r="V9">
        <v>1</v>
      </c>
      <c r="W9" s="1">
        <v>45678</v>
      </c>
      <c r="X9" t="s">
        <v>48</v>
      </c>
      <c r="Z9" t="s">
        <v>57</v>
      </c>
      <c r="AD9" t="s">
        <v>57</v>
      </c>
      <c r="AE9" t="s">
        <v>50</v>
      </c>
      <c r="AF9" t="s">
        <v>50</v>
      </c>
      <c r="AH9">
        <v>3566970</v>
      </c>
      <c r="AI9" t="s">
        <v>53</v>
      </c>
    </row>
    <row r="10" spans="1:35" x14ac:dyDescent="0.2">
      <c r="A10" s="1">
        <v>45680</v>
      </c>
      <c r="B10" s="1">
        <v>45679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65</v>
      </c>
      <c r="J10" t="s">
        <v>66</v>
      </c>
      <c r="O10" t="s">
        <v>43</v>
      </c>
      <c r="P10" t="s">
        <v>44</v>
      </c>
      <c r="Q10" t="s">
        <v>45</v>
      </c>
      <c r="R10" t="s">
        <v>46</v>
      </c>
      <c r="S10" s="1">
        <v>45200</v>
      </c>
      <c r="T10" s="1">
        <v>45658</v>
      </c>
      <c r="U10" t="s">
        <v>47</v>
      </c>
      <c r="V10">
        <v>1</v>
      </c>
      <c r="W10" s="1">
        <v>45678</v>
      </c>
      <c r="X10" t="s">
        <v>48</v>
      </c>
      <c r="Z10" t="s">
        <v>52</v>
      </c>
      <c r="AD10" t="s">
        <v>52</v>
      </c>
      <c r="AE10" t="s">
        <v>50</v>
      </c>
      <c r="AF10" t="s">
        <v>50</v>
      </c>
      <c r="AH10">
        <v>3567163</v>
      </c>
      <c r="AI10" t="s">
        <v>53</v>
      </c>
    </row>
    <row r="11" spans="1:35" x14ac:dyDescent="0.2">
      <c r="A11" s="1">
        <v>45680</v>
      </c>
      <c r="B11" s="1">
        <v>45679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67</v>
      </c>
      <c r="J11" t="s">
        <v>66</v>
      </c>
      <c r="O11" t="s">
        <v>43</v>
      </c>
      <c r="P11" t="s">
        <v>44</v>
      </c>
      <c r="Q11" t="s">
        <v>45</v>
      </c>
      <c r="R11" t="s">
        <v>61</v>
      </c>
      <c r="S11" s="1">
        <v>45200</v>
      </c>
      <c r="T11" s="1">
        <v>45658</v>
      </c>
      <c r="U11" t="s">
        <v>47</v>
      </c>
      <c r="V11">
        <v>1</v>
      </c>
      <c r="W11" s="1">
        <v>45678</v>
      </c>
      <c r="X11" t="s">
        <v>48</v>
      </c>
      <c r="Z11" t="s">
        <v>57</v>
      </c>
      <c r="AD11" t="s">
        <v>57</v>
      </c>
      <c r="AE11" t="s">
        <v>50</v>
      </c>
      <c r="AF11" t="s">
        <v>50</v>
      </c>
      <c r="AH11">
        <v>3567162</v>
      </c>
      <c r="AI11" t="s">
        <v>53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761A-F639-9941-8168-9D79DD8578A9}">
  <dimension ref="A1:S11"/>
  <sheetViews>
    <sheetView tabSelected="1" topLeftCell="I1" workbookViewId="0">
      <selection activeCell="O16" sqref="O16"/>
    </sheetView>
  </sheetViews>
  <sheetFormatPr baseColWidth="10" defaultRowHeight="16" x14ac:dyDescent="0.2"/>
  <cols>
    <col min="2" max="2" width="15.6640625" bestFit="1" customWidth="1"/>
    <col min="3" max="3" width="15.6640625" customWidth="1"/>
    <col min="4" max="4" width="16.5" bestFit="1" customWidth="1"/>
    <col min="8" max="8" width="24" bestFit="1" customWidth="1"/>
    <col min="18" max="18" width="26" bestFit="1" customWidth="1"/>
  </cols>
  <sheetData>
    <row r="1" spans="1:19" x14ac:dyDescent="0.2">
      <c r="A1" t="s">
        <v>7</v>
      </c>
      <c r="B1" t="s">
        <v>8</v>
      </c>
      <c r="D1" t="s">
        <v>9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29</v>
      </c>
    </row>
    <row r="2" spans="1:19" x14ac:dyDescent="0.2">
      <c r="A2" t="s">
        <v>40</v>
      </c>
      <c r="B2">
        <v>1675408730</v>
      </c>
      <c r="C2" s="2">
        <v>1675408730</v>
      </c>
      <c r="D2" t="s">
        <v>42</v>
      </c>
      <c r="E2">
        <v>18710070</v>
      </c>
      <c r="F2" t="s">
        <v>44</v>
      </c>
      <c r="G2" t="s">
        <v>45</v>
      </c>
      <c r="H2" t="s">
        <v>46</v>
      </c>
      <c r="I2" s="1">
        <v>45597</v>
      </c>
      <c r="J2" s="1">
        <v>45597</v>
      </c>
      <c r="K2" t="s">
        <v>47</v>
      </c>
      <c r="L2">
        <v>1</v>
      </c>
      <c r="M2" s="1">
        <v>45678</v>
      </c>
      <c r="N2" t="s">
        <v>48</v>
      </c>
      <c r="P2" t="s">
        <v>49</v>
      </c>
      <c r="Q2">
        <v>689</v>
      </c>
      <c r="R2" t="s">
        <v>72</v>
      </c>
    </row>
    <row r="3" spans="1:19" x14ac:dyDescent="0.2">
      <c r="A3" t="s">
        <v>40</v>
      </c>
      <c r="B3">
        <v>1675408730</v>
      </c>
      <c r="C3" t="str">
        <f>CONCATENATE(B3,55)</f>
        <v>167540873055</v>
      </c>
      <c r="D3" t="s">
        <v>42</v>
      </c>
      <c r="E3">
        <v>18710070</v>
      </c>
      <c r="F3" t="s">
        <v>44</v>
      </c>
      <c r="G3" t="s">
        <v>45</v>
      </c>
      <c r="H3" t="s">
        <v>46</v>
      </c>
      <c r="I3" s="1">
        <v>45597</v>
      </c>
      <c r="J3" s="1">
        <v>45658</v>
      </c>
      <c r="K3" t="s">
        <v>47</v>
      </c>
      <c r="L3">
        <v>1</v>
      </c>
      <c r="M3" s="1">
        <v>45678</v>
      </c>
      <c r="N3" t="s">
        <v>48</v>
      </c>
      <c r="P3" t="s">
        <v>52</v>
      </c>
      <c r="Q3">
        <v>29.42</v>
      </c>
      <c r="R3" t="s">
        <v>74</v>
      </c>
      <c r="S3" t="s">
        <v>73</v>
      </c>
    </row>
    <row r="4" spans="1:19" x14ac:dyDescent="0.2">
      <c r="A4" t="s">
        <v>40</v>
      </c>
      <c r="B4">
        <v>1965262100</v>
      </c>
      <c r="C4" t="str">
        <f t="shared" ref="C4:C6" si="0">CONCATENATE(B4,55)</f>
        <v>196526210055</v>
      </c>
      <c r="D4" t="s">
        <v>59</v>
      </c>
      <c r="E4">
        <v>18710070</v>
      </c>
      <c r="F4" t="s">
        <v>44</v>
      </c>
      <c r="G4" t="s">
        <v>45</v>
      </c>
      <c r="H4" t="s">
        <v>46</v>
      </c>
      <c r="I4" s="1">
        <v>45292</v>
      </c>
      <c r="J4" s="1">
        <v>45658</v>
      </c>
      <c r="K4" t="s">
        <v>47</v>
      </c>
      <c r="L4">
        <v>1</v>
      </c>
      <c r="M4" s="1">
        <v>45678</v>
      </c>
      <c r="N4" t="s">
        <v>48</v>
      </c>
      <c r="P4" t="s">
        <v>52</v>
      </c>
      <c r="Q4">
        <v>29.42</v>
      </c>
      <c r="R4" t="s">
        <v>74</v>
      </c>
      <c r="S4" t="s">
        <v>73</v>
      </c>
    </row>
    <row r="5" spans="1:19" x14ac:dyDescent="0.2">
      <c r="A5" t="s">
        <v>40</v>
      </c>
      <c r="B5">
        <v>2044272390</v>
      </c>
      <c r="C5" t="str">
        <f t="shared" si="0"/>
        <v>204427239055</v>
      </c>
      <c r="D5" t="s">
        <v>63</v>
      </c>
      <c r="E5">
        <v>18710070</v>
      </c>
      <c r="F5" t="s">
        <v>44</v>
      </c>
      <c r="G5" t="s">
        <v>45</v>
      </c>
      <c r="H5" t="s">
        <v>46</v>
      </c>
      <c r="I5" s="1">
        <v>45292</v>
      </c>
      <c r="J5" s="1">
        <v>45658</v>
      </c>
      <c r="K5" t="s">
        <v>47</v>
      </c>
      <c r="L5">
        <v>1</v>
      </c>
      <c r="M5" s="1">
        <v>45678</v>
      </c>
      <c r="N5" t="s">
        <v>48</v>
      </c>
      <c r="P5" t="s">
        <v>52</v>
      </c>
      <c r="Q5">
        <v>29.42</v>
      </c>
      <c r="R5" t="s">
        <v>74</v>
      </c>
      <c r="S5" t="s">
        <v>73</v>
      </c>
    </row>
    <row r="6" spans="1:19" x14ac:dyDescent="0.2">
      <c r="A6" t="s">
        <v>40</v>
      </c>
      <c r="B6">
        <v>2085203420</v>
      </c>
      <c r="C6" t="str">
        <f t="shared" si="0"/>
        <v>208520342055</v>
      </c>
      <c r="D6" t="s">
        <v>66</v>
      </c>
      <c r="E6">
        <v>18710070</v>
      </c>
      <c r="F6" t="s">
        <v>44</v>
      </c>
      <c r="G6" t="s">
        <v>45</v>
      </c>
      <c r="H6" t="s">
        <v>46</v>
      </c>
      <c r="I6" s="1">
        <v>45200</v>
      </c>
      <c r="J6" s="1">
        <v>45658</v>
      </c>
      <c r="K6" t="s">
        <v>47</v>
      </c>
      <c r="L6">
        <v>1</v>
      </c>
      <c r="M6" s="1">
        <v>45678</v>
      </c>
      <c r="N6" t="s">
        <v>48</v>
      </c>
      <c r="P6" t="s">
        <v>52</v>
      </c>
      <c r="Q6">
        <v>29.42</v>
      </c>
      <c r="R6" t="s">
        <v>74</v>
      </c>
      <c r="S6" t="s">
        <v>73</v>
      </c>
    </row>
    <row r="7" spans="1:19" x14ac:dyDescent="0.2">
      <c r="A7" t="s">
        <v>40</v>
      </c>
      <c r="B7" t="s">
        <v>69</v>
      </c>
      <c r="C7" t="s">
        <v>69</v>
      </c>
      <c r="D7" t="s">
        <v>59</v>
      </c>
      <c r="E7">
        <v>18710070</v>
      </c>
      <c r="F7" t="s">
        <v>44</v>
      </c>
      <c r="G7" t="s">
        <v>45</v>
      </c>
      <c r="H7" t="s">
        <v>61</v>
      </c>
      <c r="I7" s="1">
        <v>45292</v>
      </c>
      <c r="J7" s="1">
        <v>45658</v>
      </c>
      <c r="K7" t="s">
        <v>47</v>
      </c>
      <c r="L7">
        <v>1</v>
      </c>
      <c r="M7" s="1">
        <v>45678</v>
      </c>
      <c r="N7" t="s">
        <v>48</v>
      </c>
      <c r="P7" t="s">
        <v>57</v>
      </c>
      <c r="Q7">
        <v>3.65</v>
      </c>
      <c r="R7" t="s">
        <v>75</v>
      </c>
    </row>
    <row r="8" spans="1:19" x14ac:dyDescent="0.2">
      <c r="A8" t="s">
        <v>40</v>
      </c>
      <c r="B8" t="s">
        <v>70</v>
      </c>
      <c r="C8" t="s">
        <v>70</v>
      </c>
      <c r="D8" t="s">
        <v>63</v>
      </c>
      <c r="E8">
        <v>18710070</v>
      </c>
      <c r="F8" t="s">
        <v>44</v>
      </c>
      <c r="G8" t="s">
        <v>45</v>
      </c>
      <c r="H8" t="s">
        <v>61</v>
      </c>
      <c r="I8" s="1">
        <v>45292</v>
      </c>
      <c r="J8" s="1">
        <v>45658</v>
      </c>
      <c r="K8" t="s">
        <v>47</v>
      </c>
      <c r="L8">
        <v>1</v>
      </c>
      <c r="M8" s="1">
        <v>45678</v>
      </c>
      <c r="N8" t="s">
        <v>48</v>
      </c>
      <c r="P8" t="s">
        <v>57</v>
      </c>
      <c r="Q8">
        <v>3.65</v>
      </c>
      <c r="R8" t="s">
        <v>75</v>
      </c>
    </row>
    <row r="9" spans="1:19" x14ac:dyDescent="0.2">
      <c r="A9" t="s">
        <v>40</v>
      </c>
      <c r="B9" t="s">
        <v>71</v>
      </c>
      <c r="C9" t="s">
        <v>71</v>
      </c>
      <c r="D9" t="s">
        <v>66</v>
      </c>
      <c r="E9">
        <v>18710070</v>
      </c>
      <c r="F9" t="s">
        <v>44</v>
      </c>
      <c r="G9" t="s">
        <v>45</v>
      </c>
      <c r="H9" t="s">
        <v>61</v>
      </c>
      <c r="I9" s="1">
        <v>45200</v>
      </c>
      <c r="J9" s="1">
        <v>45658</v>
      </c>
      <c r="K9" t="s">
        <v>47</v>
      </c>
      <c r="L9">
        <v>1</v>
      </c>
      <c r="M9" s="1">
        <v>45678</v>
      </c>
      <c r="N9" t="s">
        <v>48</v>
      </c>
      <c r="P9" t="s">
        <v>57</v>
      </c>
      <c r="Q9">
        <v>3.65</v>
      </c>
      <c r="R9" t="s">
        <v>75</v>
      </c>
    </row>
    <row r="10" spans="1:19" x14ac:dyDescent="0.2">
      <c r="A10" t="s">
        <v>40</v>
      </c>
      <c r="B10" t="s">
        <v>68</v>
      </c>
      <c r="C10" t="s">
        <v>68</v>
      </c>
      <c r="D10" t="s">
        <v>42</v>
      </c>
      <c r="E10">
        <v>18710070</v>
      </c>
      <c r="F10" t="s">
        <v>44</v>
      </c>
      <c r="G10" t="s">
        <v>45</v>
      </c>
      <c r="H10" t="s">
        <v>55</v>
      </c>
      <c r="I10" s="1">
        <v>45597</v>
      </c>
      <c r="J10" s="1">
        <v>45597</v>
      </c>
      <c r="K10" t="s">
        <v>47</v>
      </c>
      <c r="L10">
        <v>1</v>
      </c>
      <c r="M10" s="1">
        <v>45678</v>
      </c>
      <c r="N10" t="s">
        <v>48</v>
      </c>
      <c r="P10" t="s">
        <v>56</v>
      </c>
      <c r="Q10">
        <v>78.75</v>
      </c>
      <c r="R10" t="s">
        <v>75</v>
      </c>
    </row>
    <row r="11" spans="1:19" x14ac:dyDescent="0.2">
      <c r="A11" t="s">
        <v>40</v>
      </c>
      <c r="B11" t="s">
        <v>68</v>
      </c>
      <c r="C11" t="s">
        <v>68</v>
      </c>
      <c r="D11" t="s">
        <v>42</v>
      </c>
      <c r="E11">
        <v>18710070</v>
      </c>
      <c r="F11" t="s">
        <v>44</v>
      </c>
      <c r="G11" t="s">
        <v>45</v>
      </c>
      <c r="H11" t="s">
        <v>55</v>
      </c>
      <c r="I11" s="1">
        <v>45597</v>
      </c>
      <c r="J11" s="1">
        <v>45658</v>
      </c>
      <c r="K11" t="s">
        <v>47</v>
      </c>
      <c r="L11">
        <v>1</v>
      </c>
      <c r="M11" s="1">
        <v>45678</v>
      </c>
      <c r="N11" t="s">
        <v>48</v>
      </c>
      <c r="P11" t="s">
        <v>57</v>
      </c>
      <c r="Q11">
        <v>3.65</v>
      </c>
      <c r="R11" t="s">
        <v>75</v>
      </c>
    </row>
  </sheetData>
  <sortState xmlns:xlrd2="http://schemas.microsoft.com/office/spreadsheetml/2017/richdata2" ref="A2:AJ11">
    <sortCondition ref="H2:H1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2025-01-30T14:20:54Z</dcterms:created>
  <dcterms:modified xsi:type="dcterms:W3CDTF">2025-02-01T16:24:44Z</dcterms:modified>
</cp:coreProperties>
</file>