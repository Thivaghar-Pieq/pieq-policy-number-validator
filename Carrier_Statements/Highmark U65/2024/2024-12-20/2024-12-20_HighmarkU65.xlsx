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U65\Highmark U65 12-20-24\"/>
    </mc:Choice>
  </mc:AlternateContent>
  <xr:revisionPtr revIDLastSave="0" documentId="13_ncr:1_{E7259FE0-FC24-4DF0-AC51-604E8F6C689E}" xr6:coauthVersionLast="47" xr6:coauthVersionMax="47" xr10:uidLastSave="{00000000-0000-0000-0000-000000000000}"/>
  <bookViews>
    <workbookView xWindow="-28920" yWindow="-1620" windowWidth="29040" windowHeight="15720" activeTab="1" xr2:uid="{5EEB4794-CE77-4498-8BC9-D0B06DE67B40}"/>
  </bookViews>
  <sheets>
    <sheet name="Commissions_Main Line Benefits,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2" l="1"/>
  <c r="H3" i="2"/>
  <c r="H4" i="2"/>
  <c r="H5" i="2"/>
  <c r="H6" i="2"/>
  <c r="H7" i="2"/>
  <c r="H8" i="2"/>
  <c r="H9" i="2"/>
  <c r="H10" i="2"/>
  <c r="H11" i="2"/>
  <c r="H2" i="2"/>
  <c r="F3" i="2"/>
  <c r="F4" i="2"/>
  <c r="F5" i="2"/>
  <c r="F6" i="2"/>
  <c r="F7" i="2"/>
  <c r="F8" i="2"/>
  <c r="F9" i="2"/>
  <c r="F10" i="2"/>
  <c r="F11" i="2"/>
  <c r="F2" i="2"/>
</calcChain>
</file>

<file path=xl/sharedStrings.xml><?xml version="1.0" encoding="utf-8"?>
<sst xmlns="http://schemas.openxmlformats.org/spreadsheetml/2006/main" count="146" uniqueCount="51">
  <si>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</si>
  <si>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</si>
  <si>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</si>
  <si>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</si>
  <si>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</si>
  <si>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</si>
  <si>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</si>
  <si>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</si>
  <si>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</si>
  <si>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</si>
  <si>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</si>
  <si>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Michelle McCorkle</t>
  </si>
  <si>
    <t>Jolene</t>
  </si>
  <si>
    <t>Wenzel</t>
  </si>
  <si>
    <t>1028062800010-02</t>
  </si>
  <si>
    <t>Highmark U65</t>
  </si>
  <si>
    <t>Highmark U65 2022-2024 IVL Override (ProRata: -1) Premium Period: 8/1/2024</t>
  </si>
  <si>
    <t>Michael</t>
  </si>
  <si>
    <t>1028062800010-01</t>
  </si>
  <si>
    <t>Carol Foley</t>
  </si>
  <si>
    <t>17425766|</t>
  </si>
  <si>
    <t>Adele</t>
  </si>
  <si>
    <t>Carcia</t>
  </si>
  <si>
    <t>1254090670010-02</t>
  </si>
  <si>
    <t>Highmark U65 2022-2024 IVL Override (ProRata: -1) Premium Period: 9/1/2024</t>
  </si>
  <si>
    <t>Joseph</t>
  </si>
  <si>
    <t>1254090670010-01</t>
  </si>
  <si>
    <t>Deborah Inskipt</t>
  </si>
  <si>
    <t>Diane</t>
  </si>
  <si>
    <t>Miller</t>
  </si>
  <si>
    <t>1033694170010-01</t>
  </si>
  <si>
    <t>Highmark U65 2022-2024 IVL Override (ProRata: -2) Premium Period: 7/1/2024</t>
  </si>
  <si>
    <t>Kimberly</t>
  </si>
  <si>
    <t>Spriggs</t>
  </si>
  <si>
    <t>1375969610010-01</t>
  </si>
  <si>
    <t>Frank</t>
  </si>
  <si>
    <t>Morouse</t>
  </si>
  <si>
    <t>1044684990010-01</t>
  </si>
  <si>
    <t>Highmark U65 2022-2024 IVL Override (ProRata: -2) Premium Period: 8/1/2024</t>
  </si>
  <si>
    <t>Timothy Powers</t>
  </si>
  <si>
    <t>Abigail</t>
  </si>
  <si>
    <t>Biggs</t>
  </si>
  <si>
    <t>1389795890010-01</t>
  </si>
  <si>
    <t>Maria</t>
  </si>
  <si>
    <t>Marburger</t>
  </si>
  <si>
    <t>1390016670010-01</t>
  </si>
  <si>
    <t>Highmark U65 2022-2024 IVL Override (ProRata: -3) Premium Period: 7/1/2024</t>
  </si>
  <si>
    <t>Margaret Smith</t>
  </si>
  <si>
    <t>Tanya</t>
  </si>
  <si>
    <t>Wise</t>
  </si>
  <si>
    <t>1148523740010-01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</si>
</sst>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8F802-CA26-4A01-8771-0885960E8954}">
  <dimension ref="A1:K11"/>
  <sheetViews>
    <sheetView workbookViewId="0">
      <selection sqref="A1:XFD1048576"/>
    </sheetView>
  </sheetViews>
  <sheetFormatPr defaultColWidth="8.85546875" defaultRowHeight="15" x14ac:dyDescent="0.25"/>
  <cols>
    <col min="10" max="10" width="60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18710070</v>
      </c>
      <c r="C2">
        <v>18710070</v>
      </c>
      <c r="D2" t="s">
        <v>12</v>
      </c>
      <c r="E2" t="s">
        <v>13</v>
      </c>
      <c r="F2" t="s">
        <v>14</v>
      </c>
      <c r="G2" s="1">
        <v>45078</v>
      </c>
      <c r="H2" s="1">
        <v>45646</v>
      </c>
      <c r="I2" t="s">
        <v>15</v>
      </c>
      <c r="J2" t="s">
        <v>16</v>
      </c>
      <c r="K2" s="2">
        <v>-3</v>
      </c>
    </row>
    <row r="3" spans="1:11" x14ac:dyDescent="0.25">
      <c r="A3" t="s">
        <v>11</v>
      </c>
      <c r="B3">
        <v>18710070</v>
      </c>
      <c r="C3">
        <v>18710070</v>
      </c>
      <c r="D3" t="s">
        <v>17</v>
      </c>
      <c r="E3" t="s">
        <v>13</v>
      </c>
      <c r="F3" t="s">
        <v>18</v>
      </c>
      <c r="G3" s="1">
        <v>45078</v>
      </c>
      <c r="H3" s="1">
        <v>45646</v>
      </c>
      <c r="I3" t="s">
        <v>15</v>
      </c>
      <c r="J3" t="s">
        <v>16</v>
      </c>
      <c r="K3" s="2">
        <v>-3</v>
      </c>
    </row>
    <row r="4" spans="1:11" x14ac:dyDescent="0.25">
      <c r="A4" t="s">
        <v>19</v>
      </c>
      <c r="B4" t="s">
        <v>20</v>
      </c>
      <c r="C4">
        <v>17425766</v>
      </c>
      <c r="D4" t="s">
        <v>21</v>
      </c>
      <c r="E4" t="s">
        <v>22</v>
      </c>
      <c r="F4" t="s">
        <v>23</v>
      </c>
      <c r="G4" s="1">
        <v>45170</v>
      </c>
      <c r="H4" s="1">
        <v>45646</v>
      </c>
      <c r="I4" t="s">
        <v>15</v>
      </c>
      <c r="J4" t="s">
        <v>24</v>
      </c>
      <c r="K4" s="2">
        <v>-3</v>
      </c>
    </row>
    <row r="5" spans="1:11" x14ac:dyDescent="0.25">
      <c r="A5" t="s">
        <v>19</v>
      </c>
      <c r="B5" t="s">
        <v>20</v>
      </c>
      <c r="C5">
        <v>17425766</v>
      </c>
      <c r="D5" t="s">
        <v>25</v>
      </c>
      <c r="E5" t="s">
        <v>22</v>
      </c>
      <c r="F5" t="s">
        <v>26</v>
      </c>
      <c r="G5" s="1">
        <v>45170</v>
      </c>
      <c r="H5" s="1">
        <v>45646</v>
      </c>
      <c r="I5" t="s">
        <v>15</v>
      </c>
      <c r="J5" t="s">
        <v>24</v>
      </c>
      <c r="K5" s="2">
        <v>-3</v>
      </c>
    </row>
    <row r="6" spans="1:11" x14ac:dyDescent="0.25">
      <c r="A6" t="s">
        <v>27</v>
      </c>
      <c r="B6">
        <v>17528908</v>
      </c>
      <c r="C6">
        <v>17528908</v>
      </c>
      <c r="D6" t="s">
        <v>28</v>
      </c>
      <c r="E6" t="s">
        <v>29</v>
      </c>
      <c r="F6" t="s">
        <v>30</v>
      </c>
      <c r="G6" s="1">
        <v>45017</v>
      </c>
      <c r="H6" s="1">
        <v>45646</v>
      </c>
      <c r="I6" t="s">
        <v>15</v>
      </c>
      <c r="J6" t="s">
        <v>31</v>
      </c>
      <c r="K6" s="2">
        <v>-6</v>
      </c>
    </row>
    <row r="7" spans="1:11" x14ac:dyDescent="0.25">
      <c r="A7" t="s">
        <v>27</v>
      </c>
      <c r="B7">
        <v>17528908</v>
      </c>
      <c r="C7">
        <v>17528908</v>
      </c>
      <c r="D7" t="s">
        <v>32</v>
      </c>
      <c r="E7" t="s">
        <v>33</v>
      </c>
      <c r="F7" t="s">
        <v>34</v>
      </c>
      <c r="G7" s="1">
        <v>44958</v>
      </c>
      <c r="H7" s="1">
        <v>45646</v>
      </c>
      <c r="I7" t="s">
        <v>15</v>
      </c>
      <c r="J7" t="s">
        <v>31</v>
      </c>
      <c r="K7" s="2">
        <v>-6</v>
      </c>
    </row>
    <row r="8" spans="1:11" x14ac:dyDescent="0.25">
      <c r="A8" t="s">
        <v>11</v>
      </c>
      <c r="B8">
        <v>18710070</v>
      </c>
      <c r="C8">
        <v>18710070</v>
      </c>
      <c r="D8" t="s">
        <v>35</v>
      </c>
      <c r="E8" t="s">
        <v>36</v>
      </c>
      <c r="F8" t="s">
        <v>37</v>
      </c>
      <c r="G8" s="1">
        <v>44927</v>
      </c>
      <c r="H8" s="1">
        <v>45646</v>
      </c>
      <c r="I8" t="s">
        <v>15</v>
      </c>
      <c r="J8" t="s">
        <v>38</v>
      </c>
      <c r="K8" s="2">
        <v>-6</v>
      </c>
    </row>
    <row r="9" spans="1:11" x14ac:dyDescent="0.25">
      <c r="A9" t="s">
        <v>39</v>
      </c>
      <c r="B9">
        <v>17886092</v>
      </c>
      <c r="C9">
        <v>17886092</v>
      </c>
      <c r="D9" t="s">
        <v>40</v>
      </c>
      <c r="E9" t="s">
        <v>41</v>
      </c>
      <c r="F9" t="s">
        <v>42</v>
      </c>
      <c r="G9" s="1">
        <v>45047</v>
      </c>
      <c r="H9" s="1">
        <v>45646</v>
      </c>
      <c r="I9" t="s">
        <v>15</v>
      </c>
      <c r="J9" t="s">
        <v>38</v>
      </c>
      <c r="K9" s="2">
        <v>-2</v>
      </c>
    </row>
    <row r="10" spans="1:11" x14ac:dyDescent="0.25">
      <c r="A10" t="s">
        <v>39</v>
      </c>
      <c r="B10">
        <v>17886092</v>
      </c>
      <c r="C10">
        <v>17886092</v>
      </c>
      <c r="D10" t="s">
        <v>43</v>
      </c>
      <c r="E10" t="s">
        <v>44</v>
      </c>
      <c r="F10" t="s">
        <v>45</v>
      </c>
      <c r="G10" s="1">
        <v>45047</v>
      </c>
      <c r="H10" s="1">
        <v>45646</v>
      </c>
      <c r="I10" t="s">
        <v>15</v>
      </c>
      <c r="J10" t="s">
        <v>46</v>
      </c>
      <c r="K10" s="2">
        <v>-3</v>
      </c>
    </row>
    <row r="11" spans="1:11" x14ac:dyDescent="0.25">
      <c r="A11" t="s">
        <v>47</v>
      </c>
      <c r="B11">
        <v>20253958</v>
      </c>
      <c r="C11">
        <v>20253958</v>
      </c>
      <c r="D11" t="s">
        <v>48</v>
      </c>
      <c r="E11" t="s">
        <v>49</v>
      </c>
      <c r="F11" t="s">
        <v>50</v>
      </c>
      <c r="G11" s="1">
        <v>44927</v>
      </c>
      <c r="H11" s="1">
        <v>45646</v>
      </c>
      <c r="I11" t="s">
        <v>15</v>
      </c>
      <c r="J11" t="s">
        <v>24</v>
      </c>
      <c r="K11" s="2">
        <v>-1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D55F6-97CB-9847-84E1-A99833A15A50}">
  <dimension ref="A1:M12"/>
  <sheetViews>
    <sheetView tabSelected="1" topLeftCell="F1" workbookViewId="0">
      <selection activeCell="M13" sqref="M13"/>
    </sheetView>
  </sheetViews>
  <sheetFormatPr defaultColWidth="8.85546875" defaultRowHeight="15" x14ac:dyDescent="0.25"/>
  <cols>
    <col min="6" max="6" width="11.42578125" bestFit="1" customWidth="1"/>
    <col min="7" max="7" width="16.85546875" bestFit="1" customWidth="1"/>
    <col min="8" max="8" width="17.85546875" bestFit="1" customWidth="1"/>
    <col min="12" max="12" width="60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5">
      <c r="A2" t="s">
        <v>11</v>
      </c>
      <c r="B2">
        <v>18710070</v>
      </c>
      <c r="C2">
        <v>18710070</v>
      </c>
      <c r="D2" t="s">
        <v>12</v>
      </c>
      <c r="E2" t="s">
        <v>13</v>
      </c>
      <c r="F2" t="str">
        <f>CONCATENATE(D2, " ", E2)</f>
        <v>Jolene Wenzel</v>
      </c>
      <c r="G2" t="s">
        <v>14</v>
      </c>
      <c r="H2" t="str">
        <f>CONCATENATE(G2,3)</f>
        <v>1028062800010-023</v>
      </c>
      <c r="I2" s="1">
        <v>45078</v>
      </c>
      <c r="J2" s="1">
        <v>45646</v>
      </c>
      <c r="K2" t="s">
        <v>15</v>
      </c>
      <c r="L2" t="s">
        <v>16</v>
      </c>
      <c r="M2" s="2">
        <v>-3</v>
      </c>
    </row>
    <row r="3" spans="1:13" x14ac:dyDescent="0.25">
      <c r="A3" t="s">
        <v>11</v>
      </c>
      <c r="B3">
        <v>18710070</v>
      </c>
      <c r="C3">
        <v>18710070</v>
      </c>
      <c r="D3" t="s">
        <v>17</v>
      </c>
      <c r="E3" t="s">
        <v>13</v>
      </c>
      <c r="F3" t="str">
        <f t="shared" ref="F3:F11" si="0">CONCATENATE(D3, " ", E3)</f>
        <v>Michael Wenzel</v>
      </c>
      <c r="G3" t="s">
        <v>18</v>
      </c>
      <c r="H3" t="str">
        <f t="shared" ref="H3:H11" si="1">CONCATENATE(G3,3)</f>
        <v>1028062800010-013</v>
      </c>
      <c r="I3" s="1">
        <v>45078</v>
      </c>
      <c r="J3" s="1">
        <v>45646</v>
      </c>
      <c r="K3" t="s">
        <v>15</v>
      </c>
      <c r="L3" t="s">
        <v>16</v>
      </c>
      <c r="M3" s="2">
        <v>-3</v>
      </c>
    </row>
    <row r="4" spans="1:13" x14ac:dyDescent="0.25">
      <c r="A4" t="s">
        <v>19</v>
      </c>
      <c r="B4" t="s">
        <v>20</v>
      </c>
      <c r="C4">
        <v>17425766</v>
      </c>
      <c r="D4" t="s">
        <v>21</v>
      </c>
      <c r="E4" t="s">
        <v>22</v>
      </c>
      <c r="F4" t="str">
        <f t="shared" si="0"/>
        <v>Adele Carcia</v>
      </c>
      <c r="G4" t="s">
        <v>23</v>
      </c>
      <c r="H4" t="str">
        <f t="shared" si="1"/>
        <v>1254090670010-023</v>
      </c>
      <c r="I4" s="1">
        <v>45170</v>
      </c>
      <c r="J4" s="1">
        <v>45646</v>
      </c>
      <c r="K4" t="s">
        <v>15</v>
      </c>
      <c r="L4" t="s">
        <v>24</v>
      </c>
      <c r="M4" s="2">
        <v>-3</v>
      </c>
    </row>
    <row r="5" spans="1:13" x14ac:dyDescent="0.25">
      <c r="A5" t="s">
        <v>19</v>
      </c>
      <c r="B5" t="s">
        <v>20</v>
      </c>
      <c r="C5">
        <v>17425766</v>
      </c>
      <c r="D5" t="s">
        <v>25</v>
      </c>
      <c r="E5" t="s">
        <v>22</v>
      </c>
      <c r="F5" t="str">
        <f t="shared" si="0"/>
        <v>Joseph Carcia</v>
      </c>
      <c r="G5" t="s">
        <v>26</v>
      </c>
      <c r="H5" t="str">
        <f t="shared" si="1"/>
        <v>1254090670010-013</v>
      </c>
      <c r="I5" s="1">
        <v>45170</v>
      </c>
      <c r="J5" s="1">
        <v>45646</v>
      </c>
      <c r="K5" t="s">
        <v>15</v>
      </c>
      <c r="L5" t="s">
        <v>24</v>
      </c>
      <c r="M5" s="2">
        <v>-3</v>
      </c>
    </row>
    <row r="6" spans="1:13" x14ac:dyDescent="0.25">
      <c r="A6" t="s">
        <v>27</v>
      </c>
      <c r="B6">
        <v>17528908</v>
      </c>
      <c r="C6">
        <v>17528908</v>
      </c>
      <c r="D6" t="s">
        <v>28</v>
      </c>
      <c r="E6" t="s">
        <v>29</v>
      </c>
      <c r="F6" t="str">
        <f t="shared" si="0"/>
        <v>Diane Miller</v>
      </c>
      <c r="G6" t="s">
        <v>30</v>
      </c>
      <c r="H6" t="str">
        <f t="shared" si="1"/>
        <v>1033694170010-013</v>
      </c>
      <c r="I6" s="1">
        <v>45017</v>
      </c>
      <c r="J6" s="1">
        <v>45646</v>
      </c>
      <c r="K6" t="s">
        <v>15</v>
      </c>
      <c r="L6" t="s">
        <v>31</v>
      </c>
      <c r="M6" s="2">
        <v>-6</v>
      </c>
    </row>
    <row r="7" spans="1:13" x14ac:dyDescent="0.25">
      <c r="A7" t="s">
        <v>27</v>
      </c>
      <c r="B7">
        <v>17528908</v>
      </c>
      <c r="C7">
        <v>17528908</v>
      </c>
      <c r="D7" t="s">
        <v>32</v>
      </c>
      <c r="E7" t="s">
        <v>33</v>
      </c>
      <c r="F7" t="str">
        <f t="shared" si="0"/>
        <v>Kimberly Spriggs</v>
      </c>
      <c r="G7" t="s">
        <v>34</v>
      </c>
      <c r="H7" t="str">
        <f t="shared" si="1"/>
        <v>1375969610010-013</v>
      </c>
      <c r="I7" s="1">
        <v>44958</v>
      </c>
      <c r="J7" s="1">
        <v>45646</v>
      </c>
      <c r="K7" t="s">
        <v>15</v>
      </c>
      <c r="L7" t="s">
        <v>31</v>
      </c>
      <c r="M7" s="2">
        <v>-6</v>
      </c>
    </row>
    <row r="8" spans="1:13" x14ac:dyDescent="0.25">
      <c r="A8" t="s">
        <v>11</v>
      </c>
      <c r="B8">
        <v>18710070</v>
      </c>
      <c r="C8">
        <v>18710070</v>
      </c>
      <c r="D8" t="s">
        <v>35</v>
      </c>
      <c r="E8" t="s">
        <v>36</v>
      </c>
      <c r="F8" t="str">
        <f t="shared" si="0"/>
        <v>Frank Morouse</v>
      </c>
      <c r="G8" t="s">
        <v>37</v>
      </c>
      <c r="H8" t="str">
        <f t="shared" si="1"/>
        <v>1044684990010-013</v>
      </c>
      <c r="I8" s="1">
        <v>44927</v>
      </c>
      <c r="J8" s="1">
        <v>45646</v>
      </c>
      <c r="K8" t="s">
        <v>15</v>
      </c>
      <c r="L8" t="s">
        <v>38</v>
      </c>
      <c r="M8" s="2">
        <v>-6</v>
      </c>
    </row>
    <row r="9" spans="1:13" x14ac:dyDescent="0.25">
      <c r="A9" t="s">
        <v>39</v>
      </c>
      <c r="B9">
        <v>17886092</v>
      </c>
      <c r="C9">
        <v>17886092</v>
      </c>
      <c r="D9" t="s">
        <v>40</v>
      </c>
      <c r="E9" t="s">
        <v>41</v>
      </c>
      <c r="F9" t="str">
        <f t="shared" si="0"/>
        <v>Abigail Biggs</v>
      </c>
      <c r="G9" t="s">
        <v>42</v>
      </c>
      <c r="H9" t="str">
        <f t="shared" si="1"/>
        <v>1389795890010-013</v>
      </c>
      <c r="I9" s="1">
        <v>45047</v>
      </c>
      <c r="J9" s="1">
        <v>45646</v>
      </c>
      <c r="K9" t="s">
        <v>15</v>
      </c>
      <c r="L9" t="s">
        <v>38</v>
      </c>
      <c r="M9" s="2">
        <v>-2</v>
      </c>
    </row>
    <row r="10" spans="1:13" x14ac:dyDescent="0.25">
      <c r="A10" t="s">
        <v>39</v>
      </c>
      <c r="B10">
        <v>17886092</v>
      </c>
      <c r="C10">
        <v>17886092</v>
      </c>
      <c r="D10" t="s">
        <v>43</v>
      </c>
      <c r="E10" t="s">
        <v>44</v>
      </c>
      <c r="F10" t="str">
        <f t="shared" si="0"/>
        <v>Maria Marburger</v>
      </c>
      <c r="G10" t="s">
        <v>45</v>
      </c>
      <c r="H10" t="str">
        <f t="shared" si="1"/>
        <v>1390016670010-013</v>
      </c>
      <c r="I10" s="1">
        <v>45047</v>
      </c>
      <c r="J10" s="1">
        <v>45646</v>
      </c>
      <c r="K10" t="s">
        <v>15</v>
      </c>
      <c r="L10" t="s">
        <v>46</v>
      </c>
      <c r="M10" s="2">
        <v>-3</v>
      </c>
    </row>
    <row r="11" spans="1:13" x14ac:dyDescent="0.25">
      <c r="A11" t="s">
        <v>47</v>
      </c>
      <c r="B11">
        <v>20253958</v>
      </c>
      <c r="C11">
        <v>20253958</v>
      </c>
      <c r="D11" t="s">
        <v>48</v>
      </c>
      <c r="E11" t="s">
        <v>49</v>
      </c>
      <c r="F11" t="str">
        <f t="shared" si="0"/>
        <v>Tanya Wise</v>
      </c>
      <c r="G11" t="s">
        <v>50</v>
      </c>
      <c r="H11" t="str">
        <f t="shared" si="1"/>
        <v>1148523740010-013</v>
      </c>
      <c r="I11" s="1">
        <v>44927</v>
      </c>
      <c r="J11" s="1">
        <v>45646</v>
      </c>
      <c r="K11" t="s">
        <v>15</v>
      </c>
      <c r="L11" t="s">
        <v>24</v>
      </c>
      <c r="M11" s="2">
        <v>-1</v>
      </c>
    </row>
    <row r="12" spans="1:13" x14ac:dyDescent="0.25">
      <c r="M12" s="2">
        <f>SUM(M2:M11)</f>
        <v>-36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Commissions_Main Line Benefits,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2024-12-23T16:29:33Z</dcterms:created>
  <dcterms:modified xsi:type="dcterms:W3CDTF">2024-12-30T21:44:08Z</dcterms:modified>
</cp:coreProperties>
</file>