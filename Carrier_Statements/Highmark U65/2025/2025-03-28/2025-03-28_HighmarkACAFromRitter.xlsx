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3-28-25 from Ritter\"/>
    </mc:Choice>
  </mc:AlternateContent>
  <xr:revisionPtr revIDLastSave="0" documentId="13_ncr:1_{7A1DABE3-BA44-4946-AF5F-C8C043F107D1}" xr6:coauthVersionLast="47" xr6:coauthVersionMax="47" xr10:uidLastSave="{00000000-0000-0000-0000-000000000000}"/>
  <bookViews>
    <workbookView xWindow="28680" yWindow="-120" windowWidth="29040" windowHeight="16440" activeTab="1" xr2:uid="{A18CE1F0-E940-46E9-BA2F-CA512AA11F3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  <c r="G8" i="2"/>
  <c r="G9" i="2"/>
  <c r="G6" i="2"/>
  <c r="G3" i="2"/>
  <c r="G4" i="2"/>
  <c r="G5" i="2"/>
  <c r="G2" i="2"/>
  <c r="E3" i="2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<sst xmlns="http://schemas.openxmlformats.org/spreadsheetml/2006/main" count="129" uniqueCount="34">
  <si>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</si>
  <si>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</si>
  <si>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</si>
  <si>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</si>
  <si>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</si>
  <si>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</si>
  <si>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</si>
  <si>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</si>
  <si>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</si>
  <si>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</si>
  <si>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</si>
  <si>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</si>
  <si>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Clay</t>
  </si>
  <si>
    <t>Phillips</t>
  </si>
  <si>
    <t>1139652360010-01</t>
  </si>
  <si>
    <t>Highmark U65</t>
  </si>
  <si>
    <t>Highmark U65 2022-2025 IVL Street New/Renewal (ProRata: 2) Premium Period: 1/1/2025</t>
  </si>
  <si>
    <t>Melanie</t>
  </si>
  <si>
    <t>1139652360010-02</t>
  </si>
  <si>
    <t>Larry</t>
  </si>
  <si>
    <t>Steele</t>
  </si>
  <si>
    <t>1387505550010-01</t>
  </si>
  <si>
    <t>Michelle McCorkle</t>
  </si>
  <si>
    <t>Gregory</t>
  </si>
  <si>
    <t>Hoover</t>
  </si>
  <si>
    <t>1124439490010-01</t>
  </si>
  <si>
    <t>Highmark U65 2022-2025 IVL Street New/Renewal (ProRata: 1) Premium Period: 2/1/2025</t>
  </si>
  <si>
    <t>Highmark U65 2022-2025 IVL Override (ProRata: 2) Premium Period: 1/1/2025</t>
  </si>
  <si>
    <t>Highmark U65 2022-2025 IVL Override (ProRata: 1) Premium Period: 2/1/2025</t>
  </si>
  <si>
    <t>Main Line Benefits</t>
  </si>
  <si>
    <t>18710070N</t>
  </si>
  <si>
    <t>Highmark 2025 Ovr</t>
  </si>
  <si>
    <t>Highmark ACA $20/$15 WV Individual Health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</si>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</sst>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8535-F5E1-4705-8D28-24D6CE10553C}">
  <dimension ref="A1:K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9254978</v>
      </c>
      <c r="C2">
        <v>9254978</v>
      </c>
      <c r="D2" t="s">
        <v>12</v>
      </c>
      <c r="E2" t="s">
        <v>13</v>
      </c>
      <c r="F2" t="s">
        <v>14</v>
      </c>
      <c r="G2" s="1">
        <v>45658</v>
      </c>
      <c r="H2" s="1">
        <v>45744</v>
      </c>
      <c r="I2" t="s">
        <v>15</v>
      </c>
      <c r="J2" t="s">
        <v>16</v>
      </c>
      <c r="K2" s="2">
        <v>40</v>
      </c>
    </row>
    <row r="3" spans="1:11" x14ac:dyDescent="0.25">
      <c r="A3" t="s">
        <v>11</v>
      </c>
      <c r="B3">
        <v>9254978</v>
      </c>
      <c r="C3">
        <v>9254978</v>
      </c>
      <c r="D3" t="s">
        <v>17</v>
      </c>
      <c r="E3" t="s">
        <v>13</v>
      </c>
      <c r="F3" t="s">
        <v>18</v>
      </c>
      <c r="G3" s="1">
        <v>45658</v>
      </c>
      <c r="H3" s="1">
        <v>45744</v>
      </c>
      <c r="I3" t="s">
        <v>15</v>
      </c>
      <c r="J3" t="s">
        <v>16</v>
      </c>
      <c r="K3" s="2">
        <v>40</v>
      </c>
    </row>
    <row r="4" spans="1:11" x14ac:dyDescent="0.25">
      <c r="A4" t="s">
        <v>11</v>
      </c>
      <c r="B4">
        <v>9254978</v>
      </c>
      <c r="C4">
        <v>9254978</v>
      </c>
      <c r="D4" t="s">
        <v>19</v>
      </c>
      <c r="E4" t="s">
        <v>20</v>
      </c>
      <c r="F4" t="s">
        <v>21</v>
      </c>
      <c r="G4" s="1">
        <v>45658</v>
      </c>
      <c r="H4" s="1">
        <v>45744</v>
      </c>
      <c r="I4" t="s">
        <v>15</v>
      </c>
      <c r="J4" t="s">
        <v>16</v>
      </c>
      <c r="K4" s="2">
        <v>40</v>
      </c>
    </row>
    <row r="5" spans="1:11" x14ac:dyDescent="0.25">
      <c r="A5" t="s">
        <v>22</v>
      </c>
      <c r="C5">
        <v>18710070</v>
      </c>
      <c r="D5" t="s">
        <v>23</v>
      </c>
      <c r="E5" t="s">
        <v>24</v>
      </c>
      <c r="F5" t="s">
        <v>25</v>
      </c>
      <c r="G5" s="1">
        <v>45689</v>
      </c>
      <c r="H5" s="1">
        <v>45744</v>
      </c>
      <c r="I5" t="s">
        <v>15</v>
      </c>
      <c r="J5" t="s">
        <v>26</v>
      </c>
      <c r="K5" s="2">
        <v>20</v>
      </c>
    </row>
    <row r="6" spans="1:11" x14ac:dyDescent="0.25">
      <c r="A6" t="s">
        <v>11</v>
      </c>
      <c r="B6">
        <v>9254978</v>
      </c>
      <c r="C6">
        <v>9254978</v>
      </c>
      <c r="D6" t="s">
        <v>12</v>
      </c>
      <c r="E6" t="s">
        <v>13</v>
      </c>
      <c r="F6" t="s">
        <v>14</v>
      </c>
      <c r="G6" s="1">
        <v>45658</v>
      </c>
      <c r="H6" s="1">
        <v>45744</v>
      </c>
      <c r="I6" t="s">
        <v>15</v>
      </c>
      <c r="J6" t="s">
        <v>27</v>
      </c>
      <c r="K6" s="2">
        <v>7</v>
      </c>
    </row>
    <row r="7" spans="1:11" x14ac:dyDescent="0.25">
      <c r="A7" t="s">
        <v>11</v>
      </c>
      <c r="B7">
        <v>9254978</v>
      </c>
      <c r="C7">
        <v>9254978</v>
      </c>
      <c r="D7" t="s">
        <v>17</v>
      </c>
      <c r="E7" t="s">
        <v>13</v>
      </c>
      <c r="F7" t="s">
        <v>18</v>
      </c>
      <c r="G7" s="1">
        <v>45658</v>
      </c>
      <c r="H7" s="1">
        <v>45744</v>
      </c>
      <c r="I7" t="s">
        <v>15</v>
      </c>
      <c r="J7" t="s">
        <v>27</v>
      </c>
      <c r="K7" s="2">
        <v>7</v>
      </c>
    </row>
    <row r="8" spans="1:11" x14ac:dyDescent="0.25">
      <c r="A8" t="s">
        <v>11</v>
      </c>
      <c r="B8">
        <v>9254978</v>
      </c>
      <c r="C8">
        <v>9254978</v>
      </c>
      <c r="D8" t="s">
        <v>19</v>
      </c>
      <c r="E8" t="s">
        <v>20</v>
      </c>
      <c r="F8" t="s">
        <v>21</v>
      </c>
      <c r="G8" s="1">
        <v>45658</v>
      </c>
      <c r="H8" s="1">
        <v>45744</v>
      </c>
      <c r="I8" t="s">
        <v>15</v>
      </c>
      <c r="J8" t="s">
        <v>27</v>
      </c>
      <c r="K8" s="2">
        <v>7</v>
      </c>
    </row>
    <row r="9" spans="1:11" x14ac:dyDescent="0.25">
      <c r="A9" t="s">
        <v>22</v>
      </c>
      <c r="C9">
        <v>18710070</v>
      </c>
      <c r="D9" t="s">
        <v>23</v>
      </c>
      <c r="E9" t="s">
        <v>24</v>
      </c>
      <c r="F9" t="s">
        <v>25</v>
      </c>
      <c r="G9" s="1">
        <v>45689</v>
      </c>
      <c r="H9" s="1">
        <v>45744</v>
      </c>
      <c r="I9" t="s">
        <v>15</v>
      </c>
      <c r="J9" t="s">
        <v>28</v>
      </c>
      <c r="K9" s="2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7DD6-84EB-49AC-ADCF-EEA9E19E5610}">
  <dimension ref="A1:N9"/>
  <sheetViews>
    <sheetView tabSelected="1" topLeftCell="B1" workbookViewId="0">
      <selection activeCell="N2" sqref="N2:N4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1.7109375" bestFit="1" customWidth="1"/>
    <col min="6" max="6" width="16.85546875" bestFit="1" customWidth="1"/>
    <col min="7" max="7" width="19" bestFit="1" customWidth="1"/>
    <col min="8" max="8" width="11.85546875" bestFit="1" customWidth="1"/>
    <col min="9" max="9" width="14.7109375" bestFit="1" customWidth="1"/>
    <col min="10" max="10" width="13.28515625" bestFit="1" customWidth="1"/>
    <col min="11" max="11" width="81.140625" bestFit="1" customWidth="1"/>
    <col min="12" max="12" width="15.7109375" bestFit="1" customWidth="1"/>
    <col min="13" max="13" width="41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9254978</v>
      </c>
      <c r="C2" t="s">
        <v>12</v>
      </c>
      <c r="D2" t="s">
        <v>13</v>
      </c>
      <c r="E2" t="str">
        <f>CONCATENATE(C2, " ",D2)</f>
        <v>Clay Phillips</v>
      </c>
      <c r="F2" t="s">
        <v>14</v>
      </c>
      <c r="G2" t="str">
        <f>CONCATENATE(F2,33)</f>
        <v>1139652360010-0133</v>
      </c>
      <c r="H2" s="1">
        <v>45658</v>
      </c>
      <c r="I2" s="1">
        <v>45744</v>
      </c>
      <c r="J2" t="s">
        <v>15</v>
      </c>
      <c r="K2" t="s">
        <v>16</v>
      </c>
      <c r="L2" s="2">
        <v>40</v>
      </c>
      <c r="M2" t="s">
        <v>32</v>
      </c>
      <c r="N2" t="s">
        <v>33</v>
      </c>
    </row>
    <row r="3" spans="1:14" x14ac:dyDescent="0.25">
      <c r="A3" t="s">
        <v>11</v>
      </c>
      <c r="B3">
        <v>9254978</v>
      </c>
      <c r="C3" t="s">
        <v>17</v>
      </c>
      <c r="D3" t="s">
        <v>13</v>
      </c>
      <c r="E3" t="str">
        <f t="shared" ref="E3:E9" si="0">CONCATENATE(C3, " ",D3)</f>
        <v>Melanie Phillips</v>
      </c>
      <c r="F3" t="s">
        <v>18</v>
      </c>
      <c r="G3" t="str">
        <f t="shared" ref="G3:G5" si="1">CONCATENATE(F3,33)</f>
        <v>1139652360010-0233</v>
      </c>
      <c r="H3" s="1">
        <v>45658</v>
      </c>
      <c r="I3" s="1">
        <v>45744</v>
      </c>
      <c r="J3" t="s">
        <v>15</v>
      </c>
      <c r="K3" t="s">
        <v>16</v>
      </c>
      <c r="L3" s="2">
        <v>40</v>
      </c>
      <c r="M3" t="s">
        <v>32</v>
      </c>
      <c r="N3" t="s">
        <v>33</v>
      </c>
    </row>
    <row r="4" spans="1:14" x14ac:dyDescent="0.25">
      <c r="A4" t="s">
        <v>11</v>
      </c>
      <c r="B4">
        <v>9254978</v>
      </c>
      <c r="C4" t="s">
        <v>19</v>
      </c>
      <c r="D4" t="s">
        <v>20</v>
      </c>
      <c r="E4" t="str">
        <f t="shared" si="0"/>
        <v>Larry Steele</v>
      </c>
      <c r="F4" t="s">
        <v>21</v>
      </c>
      <c r="G4" t="str">
        <f t="shared" si="1"/>
        <v>1387505550010-0133</v>
      </c>
      <c r="H4" s="1">
        <v>45658</v>
      </c>
      <c r="I4" s="1">
        <v>45744</v>
      </c>
      <c r="J4" t="s">
        <v>15</v>
      </c>
      <c r="K4" t="s">
        <v>16</v>
      </c>
      <c r="L4" s="2">
        <v>40</v>
      </c>
      <c r="M4" t="s">
        <v>32</v>
      </c>
      <c r="N4" t="s">
        <v>33</v>
      </c>
    </row>
    <row r="5" spans="1:14" x14ac:dyDescent="0.25">
      <c r="A5" t="s">
        <v>22</v>
      </c>
      <c r="B5" t="s">
        <v>30</v>
      </c>
      <c r="C5" t="s">
        <v>23</v>
      </c>
      <c r="D5" t="s">
        <v>24</v>
      </c>
      <c r="E5" t="str">
        <f t="shared" si="0"/>
        <v>Gregory Hoover</v>
      </c>
      <c r="F5" t="s">
        <v>25</v>
      </c>
      <c r="G5" t="str">
        <f t="shared" si="1"/>
        <v>1124439490010-0133</v>
      </c>
      <c r="H5" s="1">
        <v>45689</v>
      </c>
      <c r="I5" s="1">
        <v>45744</v>
      </c>
      <c r="J5" t="s">
        <v>15</v>
      </c>
      <c r="K5" t="s">
        <v>26</v>
      </c>
      <c r="L5" s="2">
        <v>20</v>
      </c>
      <c r="M5" t="s">
        <v>32</v>
      </c>
    </row>
    <row r="6" spans="1:14" x14ac:dyDescent="0.25">
      <c r="A6" t="s">
        <v>29</v>
      </c>
      <c r="B6">
        <v>20411454</v>
      </c>
      <c r="C6" t="s">
        <v>12</v>
      </c>
      <c r="D6" t="s">
        <v>13</v>
      </c>
      <c r="E6" t="str">
        <f t="shared" si="0"/>
        <v>Clay Phillips</v>
      </c>
      <c r="F6" t="s">
        <v>14</v>
      </c>
      <c r="G6" t="str">
        <f>CONCATENATE(F6,65)</f>
        <v>1139652360010-0165</v>
      </c>
      <c r="H6" s="1">
        <v>45658</v>
      </c>
      <c r="I6" s="1">
        <v>45744</v>
      </c>
      <c r="J6" t="s">
        <v>15</v>
      </c>
      <c r="K6" t="s">
        <v>27</v>
      </c>
      <c r="L6" s="2">
        <v>7</v>
      </c>
      <c r="M6" t="s">
        <v>31</v>
      </c>
    </row>
    <row r="7" spans="1:14" x14ac:dyDescent="0.25">
      <c r="A7" t="s">
        <v>29</v>
      </c>
      <c r="B7">
        <v>20411454</v>
      </c>
      <c r="C7" t="s">
        <v>17</v>
      </c>
      <c r="D7" t="s">
        <v>13</v>
      </c>
      <c r="E7" t="str">
        <f t="shared" si="0"/>
        <v>Melanie Phillips</v>
      </c>
      <c r="F7" t="s">
        <v>18</v>
      </c>
      <c r="G7" t="str">
        <f t="shared" ref="G7:G9" si="2">CONCATENATE(F7,65)</f>
        <v>1139652360010-0265</v>
      </c>
      <c r="H7" s="1">
        <v>45658</v>
      </c>
      <c r="I7" s="1">
        <v>45744</v>
      </c>
      <c r="J7" t="s">
        <v>15</v>
      </c>
      <c r="K7" t="s">
        <v>27</v>
      </c>
      <c r="L7" s="2">
        <v>7</v>
      </c>
      <c r="M7" t="s">
        <v>31</v>
      </c>
    </row>
    <row r="8" spans="1:14" x14ac:dyDescent="0.25">
      <c r="A8" t="s">
        <v>29</v>
      </c>
      <c r="B8">
        <v>20411454</v>
      </c>
      <c r="C8" t="s">
        <v>19</v>
      </c>
      <c r="D8" t="s">
        <v>20</v>
      </c>
      <c r="E8" t="str">
        <f t="shared" si="0"/>
        <v>Larry Steele</v>
      </c>
      <c r="F8" t="s">
        <v>21</v>
      </c>
      <c r="G8" t="str">
        <f t="shared" si="2"/>
        <v>1387505550010-0165</v>
      </c>
      <c r="H8" s="1">
        <v>45658</v>
      </c>
      <c r="I8" s="1">
        <v>45744</v>
      </c>
      <c r="J8" t="s">
        <v>15</v>
      </c>
      <c r="K8" t="s">
        <v>27</v>
      </c>
      <c r="L8" s="2">
        <v>7</v>
      </c>
      <c r="M8" t="s">
        <v>31</v>
      </c>
    </row>
    <row r="9" spans="1:14" x14ac:dyDescent="0.25">
      <c r="A9" t="s">
        <v>29</v>
      </c>
      <c r="B9">
        <v>20411454</v>
      </c>
      <c r="C9" t="s">
        <v>23</v>
      </c>
      <c r="D9" t="s">
        <v>24</v>
      </c>
      <c r="E9" t="str">
        <f t="shared" si="0"/>
        <v>Gregory Hoover</v>
      </c>
      <c r="F9" t="s">
        <v>25</v>
      </c>
      <c r="G9" t="str">
        <f t="shared" si="2"/>
        <v>1124439490010-0165</v>
      </c>
      <c r="H9" s="1">
        <v>45689</v>
      </c>
      <c r="I9" s="1">
        <v>45744</v>
      </c>
      <c r="J9" t="s">
        <v>15</v>
      </c>
      <c r="K9" t="s">
        <v>28</v>
      </c>
      <c r="L9" s="2">
        <v>3.5</v>
      </c>
      <c r="M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2025-03-31T13:30:55Z</dcterms:created>
  <dcterms:modified xsi:type="dcterms:W3CDTF">2025-03-31T18:07:59Z</dcterms:modified>
</cp:coreProperties>
</file>