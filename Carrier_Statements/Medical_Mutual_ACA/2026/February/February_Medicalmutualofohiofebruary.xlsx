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gyOUQCBAsl6jebh7hIdVAnBII3S4d01m74VuH2QF74="/>
    </ext>
  </extLst>
</workbook>
</file>

<file path=xl/sharedStrings.xml><?xml version="1.0" encoding="utf-8"?>
<sst xmlns="http://schemas.openxmlformats.org/spreadsheetml/2006/main" count="951" uniqueCount="326">
  <si>
    <t>Detailed Commission Statement</t>
  </si>
  <si>
    <t>MAIN LINE BENEFITS LLC_01_ALL</t>
  </si>
  <si>
    <t>For Period: February 2026</t>
  </si>
  <si>
    <t xml:space="preserve">Summary </t>
  </si>
  <si>
    <t>BASE COMMISSIONS</t>
  </si>
  <si>
    <t>SUBTOTAL</t>
  </si>
  <si>
    <t>TOTAL AMOUNT PAID</t>
  </si>
  <si>
    <t>Individual - PMPM</t>
  </si>
  <si>
    <t>Health</t>
  </si>
  <si>
    <t xml:space="preserve">
Producer Name</t>
  </si>
  <si>
    <t xml:space="preserve">
Group Name</t>
  </si>
  <si>
    <t>Group 
Number</t>
  </si>
  <si>
    <t xml:space="preserve">Type of 
Business </t>
  </si>
  <si>
    <t xml:space="preserve">
Split %</t>
  </si>
  <si>
    <t>Billed 
Member</t>
  </si>
  <si>
    <t xml:space="preserve">
Premium</t>
  </si>
  <si>
    <t xml:space="preserve">
PMPM Rate</t>
  </si>
  <si>
    <t xml:space="preserve">
Commission</t>
  </si>
  <si>
    <t>JENNIFER HALSAVER</t>
  </si>
  <si>
    <t>ELIZABETH WALKER</t>
  </si>
  <si>
    <t>C49119_H</t>
  </si>
  <si>
    <t>Individual</t>
  </si>
  <si>
    <t>GARY HUMMEL</t>
  </si>
  <si>
    <t>C43824_H</t>
  </si>
  <si>
    <t>KEVIN MYERS</t>
  </si>
  <si>
    <t>A96485_H</t>
  </si>
  <si>
    <t>RYAN CALTAGIRONE</t>
  </si>
  <si>
    <t>DENISE ZUMPELLA</t>
  </si>
  <si>
    <t>C61653_H</t>
  </si>
  <si>
    <t>MONIQUE KHOURY</t>
  </si>
  <si>
    <t>C62711_H</t>
  </si>
  <si>
    <t>ROLAND GARD</t>
  </si>
  <si>
    <t>C65755_H</t>
  </si>
  <si>
    <t>RYAN SHEPARD</t>
  </si>
  <si>
    <t>ALEX DODD</t>
  </si>
  <si>
    <t>C85696_H</t>
  </si>
  <si>
    <t>ALEXIS N SHARP</t>
  </si>
  <si>
    <t>C84680_H</t>
  </si>
  <si>
    <t>AMY GUILL</t>
  </si>
  <si>
    <t>C91041_H</t>
  </si>
  <si>
    <t>ANGELA HAWKINS</t>
  </si>
  <si>
    <t>C91302_H</t>
  </si>
  <si>
    <t>BARBARA PRITCHARD</t>
  </si>
  <si>
    <t>C92147_H</t>
  </si>
  <si>
    <t>BRIANNA KUHLWEIN</t>
  </si>
  <si>
    <t>C85704_H</t>
  </si>
  <si>
    <t>CHRISTINE OROSZ</t>
  </si>
  <si>
    <t>C78892_H</t>
  </si>
  <si>
    <t>DAVID KEARNS</t>
  </si>
  <si>
    <t>C79445_H</t>
  </si>
  <si>
    <t>DIANE SURKO</t>
  </si>
  <si>
    <t>C84198_H</t>
  </si>
  <si>
    <t>ERIC EVERETT</t>
  </si>
  <si>
    <t>C64798_H</t>
  </si>
  <si>
    <t>GRACE KELLEY</t>
  </si>
  <si>
    <t>C78889_H</t>
  </si>
  <si>
    <t>JARROD WILLIAMS</t>
  </si>
  <si>
    <t>C80139_H</t>
  </si>
  <si>
    <t>JENNIFER MYERS</t>
  </si>
  <si>
    <t>C92686_H</t>
  </si>
  <si>
    <t>KEVIN FERGUSON</t>
  </si>
  <si>
    <t>C85790_H</t>
  </si>
  <si>
    <t>KIMBERLY SHERMAN</t>
  </si>
  <si>
    <t>C80042_H</t>
  </si>
  <si>
    <t>LEWIS DEMIS</t>
  </si>
  <si>
    <t>C76631_H</t>
  </si>
  <si>
    <t>MARK HOTTEL</t>
  </si>
  <si>
    <t>A96513_H</t>
  </si>
  <si>
    <t>MARK STORNES</t>
  </si>
  <si>
    <t>C77516_H</t>
  </si>
  <si>
    <t>MATTHEW LEWIS</t>
  </si>
  <si>
    <t>C75030_H</t>
  </si>
  <si>
    <t>MATTHEW MEEHAN</t>
  </si>
  <si>
    <t>C85445_H</t>
  </si>
  <si>
    <t>MICHAEL EGLER</t>
  </si>
  <si>
    <t>C83624_H</t>
  </si>
  <si>
    <t>MICHAEL NICKISON</t>
  </si>
  <si>
    <t>C85192_H</t>
  </si>
  <si>
    <t>MOLLY MORACZ</t>
  </si>
  <si>
    <t>A85226_H</t>
  </si>
  <si>
    <t>NICOLE ZISKA</t>
  </si>
  <si>
    <t>C93134_H</t>
  </si>
  <si>
    <t>STEVEN BRANDT</t>
  </si>
  <si>
    <t>ALLEN MICK</t>
  </si>
  <si>
    <t>C77690_H</t>
  </si>
  <si>
    <t>AMY COSMA</t>
  </si>
  <si>
    <t>C64662_H</t>
  </si>
  <si>
    <t>ANDREA NOCE</t>
  </si>
  <si>
    <t>C65871_H</t>
  </si>
  <si>
    <t>ANDREW GAY</t>
  </si>
  <si>
    <t>C75301_H</t>
  </si>
  <si>
    <t>BETHANY JACKSON</t>
  </si>
  <si>
    <t>C57946_H</t>
  </si>
  <si>
    <t>BRANDY N DODGE</t>
  </si>
  <si>
    <t>C62781_H</t>
  </si>
  <si>
    <t>BRENDA L CORN</t>
  </si>
  <si>
    <t>C56957_H</t>
  </si>
  <si>
    <t>BRIDGETT SULLIVAN</t>
  </si>
  <si>
    <t>C59589_H</t>
  </si>
  <si>
    <t>CARL LAPE</t>
  </si>
  <si>
    <t>C86677_H</t>
  </si>
  <si>
    <t>CHAD L MCCARTY</t>
  </si>
  <si>
    <t>C45927_H</t>
  </si>
  <si>
    <t>CHRISTINE SZYMANSKI</t>
  </si>
  <si>
    <t>C60305_H</t>
  </si>
  <si>
    <t>CHRISTOPHER VANATTA</t>
  </si>
  <si>
    <t>C65511_H</t>
  </si>
  <si>
    <t>COLLEEN A THOMPSON</t>
  </si>
  <si>
    <t>C62962_H</t>
  </si>
  <si>
    <t>CONNIE BACHMAN</t>
  </si>
  <si>
    <t>C66133_H</t>
  </si>
  <si>
    <t>Page 1 of 6</t>
  </si>
  <si>
    <t>Generated:</t>
  </si>
  <si>
    <t>CYNTHIA D TAYLOR</t>
  </si>
  <si>
    <t>C57128_H</t>
  </si>
  <si>
    <t>DAVID SEITZ</t>
  </si>
  <si>
    <t>C94519_H</t>
  </si>
  <si>
    <t>DAVID VARGO</t>
  </si>
  <si>
    <t>C55948_H</t>
  </si>
  <si>
    <t>DEAN REDD</t>
  </si>
  <si>
    <t>C54339_H</t>
  </si>
  <si>
    <t>DEBRA BROCK</t>
  </si>
  <si>
    <t>C71211_H</t>
  </si>
  <si>
    <t>DONALD SEYMOUR</t>
  </si>
  <si>
    <t>C65784_H</t>
  </si>
  <si>
    <t>DOUGLAS MCGALLIARD</t>
  </si>
  <si>
    <t>C54949_H</t>
  </si>
  <si>
    <t>EDMUND TWEEDY V</t>
  </si>
  <si>
    <t>C75363_H</t>
  </si>
  <si>
    <t>HANNAH GOTSCHALL</t>
  </si>
  <si>
    <t>C74038_H</t>
  </si>
  <si>
    <t>HEATHER CLARK</t>
  </si>
  <si>
    <t>C72305_H</t>
  </si>
  <si>
    <t>HOLLIANNE KANOSKI</t>
  </si>
  <si>
    <t>C51143_H</t>
  </si>
  <si>
    <t>JOHN HALL</t>
  </si>
  <si>
    <t>C63531_H</t>
  </si>
  <si>
    <t>JUNE R CAVIOLO</t>
  </si>
  <si>
    <t>C72441_H</t>
  </si>
  <si>
    <t>JUNE SIPL</t>
  </si>
  <si>
    <t>C71153_H</t>
  </si>
  <si>
    <t>JUNG ROO</t>
  </si>
  <si>
    <t>C59717_H</t>
  </si>
  <si>
    <t>KELLY HOLLIS</t>
  </si>
  <si>
    <t>C58924_H</t>
  </si>
  <si>
    <t>KENNETH YEATON</t>
  </si>
  <si>
    <t>C55384_H</t>
  </si>
  <si>
    <t>KEVIN EILERMAN</t>
  </si>
  <si>
    <t>C71058_H</t>
  </si>
  <si>
    <t>KHALIL WALKER</t>
  </si>
  <si>
    <t>C83026_H</t>
  </si>
  <si>
    <t>LAURA MOLTER</t>
  </si>
  <si>
    <t>C73981_H</t>
  </si>
  <si>
    <t>MARVIN HANEY</t>
  </si>
  <si>
    <t>C65774_H</t>
  </si>
  <si>
    <t>MATTHEW GILL</t>
  </si>
  <si>
    <t>C54567_H</t>
  </si>
  <si>
    <t>MICHELE FARMER</t>
  </si>
  <si>
    <t>C65479_H</t>
  </si>
  <si>
    <t>NANCY TYMOSZCZUK</t>
  </si>
  <si>
    <t>C54805_H</t>
  </si>
  <si>
    <t>OLGA KONDRENKO</t>
  </si>
  <si>
    <t>C60939_H</t>
  </si>
  <si>
    <t>PARKER LAPE</t>
  </si>
  <si>
    <t>C74977_H</t>
  </si>
  <si>
    <t>PATRICIA GONZALEZ</t>
  </si>
  <si>
    <t>C82916_H</t>
  </si>
  <si>
    <t>PAUL SCHULTZ</t>
  </si>
  <si>
    <t>C66465_H</t>
  </si>
  <si>
    <t>PRESTON LAPE</t>
  </si>
  <si>
    <t>C74993_H</t>
  </si>
  <si>
    <t>RAELYNN HAUGHN</t>
  </si>
  <si>
    <t>C63256_H</t>
  </si>
  <si>
    <t>RENEE FUNKHOUSER</t>
  </si>
  <si>
    <t>C65928_H</t>
  </si>
  <si>
    <t>RICHARD BINKLEY</t>
  </si>
  <si>
    <t>C68021_H</t>
  </si>
  <si>
    <t>RYAN MEADE</t>
  </si>
  <si>
    <t>C73343_H</t>
  </si>
  <si>
    <t>SARAH ROO</t>
  </si>
  <si>
    <t>C59727_H</t>
  </si>
  <si>
    <t>SEAN MURPHY</t>
  </si>
  <si>
    <t>C62600_H</t>
  </si>
  <si>
    <t>SHEILA TURNER</t>
  </si>
  <si>
    <t>C60276_H</t>
  </si>
  <si>
    <t>STEVEN K BRANDT</t>
  </si>
  <si>
    <t>C64808_H</t>
  </si>
  <si>
    <t>SUSAN M HOFSTETTER</t>
  </si>
  <si>
    <t>C69393_H</t>
  </si>
  <si>
    <t>SVEN CHRISTIANSON</t>
  </si>
  <si>
    <t>C51245_H</t>
  </si>
  <si>
    <t>TAYLOR FANTE</t>
  </si>
  <si>
    <t>C70075_H</t>
  </si>
  <si>
    <t>TERRILL STAPLES</t>
  </si>
  <si>
    <t>C56445_H</t>
  </si>
  <si>
    <t>TRACY E DAVIS</t>
  </si>
  <si>
    <t>C55300_H</t>
  </si>
  <si>
    <t>VINCENT T COLOMBO</t>
  </si>
  <si>
    <t>C75307_H</t>
  </si>
  <si>
    <t>WRIGHT J ELLINGER</t>
  </si>
  <si>
    <t>C64167_H</t>
  </si>
  <si>
    <t>YUJUAN HAO</t>
  </si>
  <si>
    <t>C91457_H</t>
  </si>
  <si>
    <t>ZUZANA CHRISTIAN</t>
  </si>
  <si>
    <t>C62586_H</t>
  </si>
  <si>
    <t>JERALD SKARNULIS</t>
  </si>
  <si>
    <t>ROBERT OFZKY</t>
  </si>
  <si>
    <t>A67801_H</t>
  </si>
  <si>
    <t>Page 2 of 6</t>
  </si>
  <si>
    <t>NATHAN WELLER</t>
  </si>
  <si>
    <t>CLAYTON JOHNSON</t>
  </si>
  <si>
    <t>C69858_H</t>
  </si>
  <si>
    <t>ALAN TAYLOR</t>
  </si>
  <si>
    <t>639236_H</t>
  </si>
  <si>
    <t>ALYSSA JOHNSON</t>
  </si>
  <si>
    <t>260808_H</t>
  </si>
  <si>
    <t>BARBARA SCHMITTGEN</t>
  </si>
  <si>
    <t>282094_H</t>
  </si>
  <si>
    <t>BASIL MUSNUFF</t>
  </si>
  <si>
    <t>160431_H</t>
  </si>
  <si>
    <t>BETH RENICKER</t>
  </si>
  <si>
    <t>156422_H</t>
  </si>
  <si>
    <t>BRYAN GODEC</t>
  </si>
  <si>
    <t>682278_H</t>
  </si>
  <si>
    <t>CALI L WALKER</t>
  </si>
  <si>
    <t>640147_H</t>
  </si>
  <si>
    <t>CHERYL KOSIK-HAMER</t>
  </si>
  <si>
    <t>167758_H</t>
  </si>
  <si>
    <t>COURTNEY MARTUCCI</t>
  </si>
  <si>
    <t>A04409_H</t>
  </si>
  <si>
    <t>DAPHNE MULLINS</t>
  </si>
  <si>
    <t>153298_H</t>
  </si>
  <si>
    <t>DAVID S MATEY</t>
  </si>
  <si>
    <t>348307_H</t>
  </si>
  <si>
    <t>GREGORY KENREIGH</t>
  </si>
  <si>
    <t>728926_H</t>
  </si>
  <si>
    <t>GREGORY LEHRER</t>
  </si>
  <si>
    <t>C73621_H</t>
  </si>
  <si>
    <t>GREGORY STANLEY</t>
  </si>
  <si>
    <t>C87651_H</t>
  </si>
  <si>
    <t>HEATHER PROVOST</t>
  </si>
  <si>
    <t>A65554_H</t>
  </si>
  <si>
    <t>JAMES BURNS</t>
  </si>
  <si>
    <t>A65383_H</t>
  </si>
  <si>
    <t>JOHANNA JAMESON</t>
  </si>
  <si>
    <t>A00840_H</t>
  </si>
  <si>
    <t>JONELLE VATALARO</t>
  </si>
  <si>
    <t>C92872_H</t>
  </si>
  <si>
    <t>JOSEPH LICITRI</t>
  </si>
  <si>
    <t>C14053_H</t>
  </si>
  <si>
    <t>JUSTIN BERTHIAUME</t>
  </si>
  <si>
    <t>C79444_H</t>
  </si>
  <si>
    <t>JUSTIN MACIAK</t>
  </si>
  <si>
    <t>C36046_H</t>
  </si>
  <si>
    <t>KATE CROPP</t>
  </si>
  <si>
    <t>C74921_H</t>
  </si>
  <si>
    <t>KELLY CROPP</t>
  </si>
  <si>
    <t>C74916_H</t>
  </si>
  <si>
    <t>LEAH KLUBNIK</t>
  </si>
  <si>
    <t>190752_H</t>
  </si>
  <si>
    <t>RANDALL EDWARDS</t>
  </si>
  <si>
    <t>A67199_H</t>
  </si>
  <si>
    <t>SAMANTHA FREEMAN</t>
  </si>
  <si>
    <t>A18352_H</t>
  </si>
  <si>
    <t>SEAN TEMPLETON</t>
  </si>
  <si>
    <t>165415_H</t>
  </si>
  <si>
    <t>STEVE DUDAS</t>
  </si>
  <si>
    <t>787702_H</t>
  </si>
  <si>
    <t>SUSAN SWEENEY</t>
  </si>
  <si>
    <t>A63701_H</t>
  </si>
  <si>
    <t>THERESE DOTY</t>
  </si>
  <si>
    <t>520361_H</t>
  </si>
  <si>
    <t>WENDY L VON DUHN</t>
  </si>
  <si>
    <t>C33900_H</t>
  </si>
  <si>
    <t>YUSUF KHAN</t>
  </si>
  <si>
    <t>C84959_H</t>
  </si>
  <si>
    <t>ALLAN SHAW</t>
  </si>
  <si>
    <t>A69767_H</t>
  </si>
  <si>
    <t>BENJAMIN BOWER</t>
  </si>
  <si>
    <t>A76479_H</t>
  </si>
  <si>
    <t>BETH MELLEN</t>
  </si>
  <si>
    <t>A53759_H</t>
  </si>
  <si>
    <t>BRADLEY TRUMBULL</t>
  </si>
  <si>
    <t>A61504_H</t>
  </si>
  <si>
    <t>CHRISTINE L KEMPER</t>
  </si>
  <si>
    <t>A66448_H</t>
  </si>
  <si>
    <t>DANA MOORE</t>
  </si>
  <si>
    <t>A31458_H</t>
  </si>
  <si>
    <t>DANIELLE LUDWIG</t>
  </si>
  <si>
    <t>A58559_H</t>
  </si>
  <si>
    <t>DARREN K MORGAN</t>
  </si>
  <si>
    <t>A62633_H</t>
  </si>
  <si>
    <t>DOROTHY BEACH</t>
  </si>
  <si>
    <t>146841_H</t>
  </si>
  <si>
    <t>JACOB CULLER</t>
  </si>
  <si>
    <t>A63064_H</t>
  </si>
  <si>
    <t>JAMES K MULLINS</t>
  </si>
  <si>
    <t>601662_H</t>
  </si>
  <si>
    <t>JEFFREY A RICHARDSON</t>
  </si>
  <si>
    <t>A63859_H</t>
  </si>
  <si>
    <t>JUNE QUEEN</t>
  </si>
  <si>
    <t>A59871_H</t>
  </si>
  <si>
    <t>KIMBERLY PATTERSON</t>
  </si>
  <si>
    <t>A07514_H</t>
  </si>
  <si>
    <t>LANITA ELDER</t>
  </si>
  <si>
    <t>A54706_H</t>
  </si>
  <si>
    <t>LAURA LOPEZ</t>
  </si>
  <si>
    <t>A62501_H</t>
  </si>
  <si>
    <t>MATTHEW SHEPHERD</t>
  </si>
  <si>
    <t>A56081_H</t>
  </si>
  <si>
    <t>Page 3 of 6</t>
  </si>
  <si>
    <t>NITIN C PATEL</t>
  </si>
  <si>
    <t>A57622_H</t>
  </si>
  <si>
    <t>RACHEL BARTLETT</t>
  </si>
  <si>
    <t>A59365_H</t>
  </si>
  <si>
    <t>SHELLY BORING</t>
  </si>
  <si>
    <t>A60403_H</t>
  </si>
  <si>
    <t>STACEY LANDOLL</t>
  </si>
  <si>
    <t>A06309_H</t>
  </si>
  <si>
    <t>THOMAS POUNDERS</t>
  </si>
  <si>
    <t>A66353_H</t>
  </si>
  <si>
    <t>WENDY R OSBORNE</t>
  </si>
  <si>
    <t>681642_H</t>
  </si>
  <si>
    <t xml:space="preserve">Total Individual - PMPM  </t>
  </si>
  <si>
    <t>Agent Name</t>
  </si>
  <si>
    <t>eACID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</si>
</sst>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%-409]"/>
    <numFmt numFmtId="165" formatCode="[$$-409]#,##0.00_);\([$$-409]#,##0.00\)"/>
  </numFmts>
  <fonts count="14">
    <font>
      <sz val="10.0"/>
      <color rgb="FF000000"/>
      <name val="Arial"/>
      <scheme val="minor"/>
    </font>
    <font>
      <b/>
      <sz val="14.0"/>
      <color rgb="FF038675"/>
      <name val="Palatino Linotype"/>
    </font>
    <font>
      <b/>
      <sz val="12.0"/>
      <color rgb="FF038675"/>
      <name val="Palatino Linotype"/>
    </font>
    <font>
      <b/>
      <sz val="11.0"/>
      <color rgb="FF414042"/>
      <name val="Arial"/>
    </font>
    <font>
      <sz val="10.0"/>
      <color rgb="FF000000"/>
      <name val="Arial"/>
    </font>
    <font>
      <b/>
      <sz val="10.0"/>
      <color rgb="FF414042"/>
      <name val="Arial"/>
    </font>
    <font>
      <b/>
      <sz val="10.0"/>
      <color rgb="FF5A5A5A"/>
      <name val="Helvetica Neue"/>
    </font>
    <font/>
    <font>
      <b/>
      <sz val="10.0"/>
      <color rgb="FFFFFFFF"/>
      <name val="Palatino Linotype"/>
    </font>
    <font>
      <sz val="10.0"/>
      <color rgb="FFFFFFFF"/>
      <name val="Arial"/>
    </font>
    <font>
      <sz val="8.0"/>
      <color rgb="FF000000"/>
      <name val="Arial"/>
    </font>
    <font>
      <b/>
      <sz val="9.0"/>
      <color rgb="FF414042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285"/>
        <bgColor rgb="FF808285"/>
      </patternFill>
    </fill>
    <fill>
      <patternFill patternType="solid">
        <fgColor rgb="FF038675"/>
        <bgColor rgb="FF038675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4" xfId="0" applyAlignment="1" applyFont="1" applyNumberFormat="1">
      <alignment horizontal="right" vertical="top"/>
    </xf>
    <xf borderId="0" fillId="0" fontId="5" numFmtId="0" xfId="0" applyAlignment="1" applyFont="1">
      <alignment horizontal="left" vertical="top"/>
    </xf>
    <xf borderId="0" fillId="0" fontId="5" numFmtId="4" xfId="0" applyAlignment="1" applyFont="1" applyNumberFormat="1">
      <alignment horizontal="right" vertical="top"/>
    </xf>
    <xf borderId="1" fillId="2" fontId="6" numFmtId="0" xfId="0" applyAlignment="1" applyBorder="1" applyFill="1" applyFont="1">
      <alignment horizontal="left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3" fontId="8" numFmtId="0" xfId="0" applyAlignment="1" applyBorder="1" applyFill="1" applyFont="1">
      <alignment horizontal="left" shrinkToFit="0" vertical="top" wrapText="1"/>
    </xf>
    <xf borderId="5" fillId="0" fontId="7" numFmtId="0" xfId="0" applyBorder="1" applyFont="1"/>
    <xf borderId="6" fillId="0" fontId="7" numFmtId="0" xfId="0" applyBorder="1" applyFont="1"/>
    <xf borderId="7" fillId="4" fontId="9" numFmtId="0" xfId="0" applyAlignment="1" applyBorder="1" applyFill="1" applyFont="1">
      <alignment horizontal="center" shrinkToFit="0" vertical="top" wrapText="1"/>
    </xf>
    <xf borderId="8" fillId="0" fontId="7" numFmtId="0" xfId="0" applyBorder="1" applyFont="1"/>
    <xf borderId="9" fillId="0" fontId="7" numFmtId="0" xfId="0" applyBorder="1" applyFont="1"/>
    <xf borderId="10" fillId="4" fontId="9" numFmtId="0" xfId="0" applyAlignment="1" applyBorder="1" applyFont="1">
      <alignment horizontal="center" shrinkToFit="0" vertical="top" wrapText="1"/>
    </xf>
    <xf borderId="11" fillId="0" fontId="7" numFmtId="0" xfId="0" applyBorder="1" applyFont="1"/>
    <xf borderId="12" fillId="4" fontId="9" numFmtId="0" xfId="0" applyAlignment="1" applyBorder="1" applyFont="1">
      <alignment horizontal="right" shrinkToFit="0" vertical="top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0" fillId="0" fontId="10" numFmtId="0" xfId="0" applyAlignment="1" applyFont="1">
      <alignment horizontal="left" vertical="top"/>
    </xf>
    <xf borderId="0" fillId="0" fontId="10" numFmtId="164" xfId="0" applyAlignment="1" applyFont="1" applyNumberFormat="1">
      <alignment horizontal="center" vertical="top"/>
    </xf>
    <xf borderId="0" fillId="0" fontId="10" numFmtId="4" xfId="0" applyAlignment="1" applyFont="1" applyNumberFormat="1">
      <alignment horizontal="center" vertical="top"/>
    </xf>
    <xf borderId="0" fillId="0" fontId="10" numFmtId="165" xfId="0" applyAlignment="1" applyFont="1" applyNumberFormat="1">
      <alignment horizontal="right" vertical="top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right" shrinkToFit="0" vertical="top" wrapText="1"/>
    </xf>
    <xf borderId="0" fillId="0" fontId="10" numFmtId="14" xfId="0" applyAlignment="1" applyFont="1" applyNumberFormat="1">
      <alignment horizontal="center" shrinkToFit="0" vertical="top" wrapText="1"/>
    </xf>
    <xf borderId="0" fillId="0" fontId="11" numFmtId="165" xfId="0" applyAlignment="1" applyFont="1" applyNumberFormat="1">
      <alignment horizontal="right" vertical="top"/>
    </xf>
    <xf borderId="0" fillId="0" fontId="11" numFmtId="0" xfId="0" applyAlignment="1" applyFont="1">
      <alignment horizontal="left" shrinkToFit="0" vertical="top" wrapText="1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127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191</xdr:row>
      <xdr:rowOff>0</xdr:rowOff>
    </xdr:from>
    <xdr:ext cx="4305300" cy="1143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23.75"/>
    <col customWidth="1" min="3" max="3" width="1.38"/>
    <col customWidth="1" min="4" max="4" width="16.13"/>
    <col customWidth="1" min="5" max="5" width="15.0"/>
    <col customWidth="1" min="6" max="6" width="8.88"/>
    <col customWidth="1" min="7" max="7" width="9.13"/>
    <col customWidth="1" min="8" max="8" width="1.25"/>
    <col customWidth="1" min="9" max="9" width="6.88"/>
    <col customWidth="1" min="10" max="10" width="4.63"/>
    <col customWidth="1" min="11" max="11" width="3.25"/>
    <col customWidth="1" min="12" max="12" width="5.88"/>
    <col customWidth="1" min="13" max="13" width="2.13"/>
    <col customWidth="1" min="14" max="14" width="4.75"/>
    <col customWidth="1" min="15" max="15" width="5.25"/>
    <col customWidth="1" min="16" max="16" width="1.0"/>
    <col customWidth="1" min="17" max="17" width="10.88"/>
    <col customWidth="1" min="18" max="18" width="1.0"/>
    <col customWidth="1" min="19" max="19" width="2.38"/>
    <col customWidth="1" min="20" max="20" width="9.0"/>
    <col customWidth="1" min="21" max="21" width="9.25"/>
    <col customWidth="1" min="22" max="22" width="2.0"/>
    <col customWidth="1" min="23" max="26" width="6.88"/>
  </cols>
  <sheetData>
    <row r="1" ht="40.5" customHeight="1"/>
    <row r="2" ht="27.0" customHeight="1">
      <c r="J2" s="1" t="s">
        <v>0</v>
      </c>
    </row>
    <row r="3" ht="33.75" customHeight="1"/>
    <row r="4" ht="24.75" customHeight="1">
      <c r="B4" s="2" t="s">
        <v>1</v>
      </c>
      <c r="J4" s="3" t="s">
        <v>2</v>
      </c>
    </row>
    <row r="5" ht="20.25" customHeight="1">
      <c r="E5" s="4" t="s">
        <v>3</v>
      </c>
    </row>
    <row r="6" ht="15.0" customHeight="1">
      <c r="E6" s="5" t="s">
        <v>4</v>
      </c>
      <c r="I6" s="6">
        <v>4998.56</v>
      </c>
    </row>
    <row r="7" ht="12.75" customHeight="1">
      <c r="E7" s="5" t="s">
        <v>5</v>
      </c>
      <c r="I7" s="6">
        <v>4998.56</v>
      </c>
    </row>
    <row r="8" ht="6.75" customHeight="1"/>
    <row r="9" ht="15.75" customHeight="1">
      <c r="E9" s="7" t="s">
        <v>6</v>
      </c>
      <c r="I9" s="8">
        <v>4998.56</v>
      </c>
    </row>
    <row r="10" ht="14.25" customHeight="1"/>
    <row r="11" ht="13.5" customHeight="1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8.75" customHeight="1">
      <c r="B12" s="12" t="s">
        <v>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ht="2.25" customHeight="1"/>
    <row r="14" ht="13.5" customHeight="1">
      <c r="B14" s="15" t="s">
        <v>9</v>
      </c>
      <c r="C14" s="16"/>
      <c r="D14" s="15" t="s">
        <v>10</v>
      </c>
      <c r="E14" s="17"/>
      <c r="F14" s="16"/>
      <c r="G14" s="18" t="s">
        <v>11</v>
      </c>
      <c r="H14" s="15" t="s">
        <v>12</v>
      </c>
      <c r="I14" s="17"/>
      <c r="J14" s="17"/>
      <c r="K14" s="16"/>
      <c r="L14" s="15" t="s">
        <v>13</v>
      </c>
      <c r="M14" s="16"/>
      <c r="N14" s="15" t="s">
        <v>14</v>
      </c>
      <c r="O14" s="19"/>
      <c r="Q14" s="15" t="s">
        <v>15</v>
      </c>
      <c r="R14" s="19"/>
      <c r="S14" s="15" t="s">
        <v>16</v>
      </c>
      <c r="T14" s="19"/>
      <c r="U14" s="20" t="s">
        <v>17</v>
      </c>
      <c r="V14" s="19"/>
    </row>
    <row r="15" ht="13.5" customHeight="1">
      <c r="B15" s="21"/>
      <c r="C15" s="22"/>
      <c r="D15" s="21"/>
      <c r="E15" s="23"/>
      <c r="F15" s="22"/>
      <c r="G15" s="24"/>
      <c r="H15" s="21"/>
      <c r="I15" s="23"/>
      <c r="J15" s="23"/>
      <c r="K15" s="22"/>
      <c r="L15" s="21"/>
      <c r="M15" s="22"/>
      <c r="N15" s="21"/>
      <c r="O15" s="25"/>
      <c r="Q15" s="21"/>
      <c r="R15" s="25"/>
      <c r="S15" s="21"/>
      <c r="T15" s="25"/>
      <c r="U15" s="26"/>
      <c r="V15" s="25"/>
    </row>
    <row r="16" ht="11.25" customHeight="1">
      <c r="B16" s="27" t="s">
        <v>18</v>
      </c>
      <c r="D16" s="27" t="s">
        <v>19</v>
      </c>
      <c r="G16" s="27" t="s">
        <v>20</v>
      </c>
      <c r="H16" s="27" t="s">
        <v>21</v>
      </c>
      <c r="L16" s="28">
        <v>100.0</v>
      </c>
      <c r="N16" s="29">
        <v>1.0</v>
      </c>
      <c r="Q16" s="30">
        <v>396.98332</v>
      </c>
      <c r="S16" s="29">
        <v>20.0</v>
      </c>
      <c r="U16" s="30">
        <v>20.0</v>
      </c>
    </row>
    <row r="17" ht="11.25" customHeight="1">
      <c r="B17" s="27" t="s">
        <v>18</v>
      </c>
      <c r="D17" s="27" t="s">
        <v>22</v>
      </c>
      <c r="G17" s="27" t="s">
        <v>23</v>
      </c>
      <c r="H17" s="27" t="s">
        <v>21</v>
      </c>
      <c r="L17" s="28">
        <v>100.0</v>
      </c>
      <c r="N17" s="29">
        <v>1.0</v>
      </c>
      <c r="Q17" s="30">
        <v>987.81424</v>
      </c>
      <c r="S17" s="29">
        <v>20.0</v>
      </c>
      <c r="U17" s="30">
        <v>20.0</v>
      </c>
    </row>
    <row r="18" ht="11.25" customHeight="1">
      <c r="B18" s="27" t="s">
        <v>18</v>
      </c>
      <c r="D18" s="27" t="s">
        <v>24</v>
      </c>
      <c r="G18" s="27" t="s">
        <v>25</v>
      </c>
      <c r="H18" s="27" t="s">
        <v>21</v>
      </c>
      <c r="L18" s="28">
        <v>100.0</v>
      </c>
      <c r="N18" s="29">
        <v>2.0</v>
      </c>
      <c r="Q18" s="30">
        <v>2307.4865</v>
      </c>
      <c r="S18" s="29">
        <v>20.0</v>
      </c>
      <c r="U18" s="30">
        <v>40.0</v>
      </c>
    </row>
    <row r="19" ht="11.25" customHeight="1">
      <c r="B19" s="27" t="s">
        <v>26</v>
      </c>
      <c r="D19" s="27" t="s">
        <v>27</v>
      </c>
      <c r="G19" s="27" t="s">
        <v>28</v>
      </c>
      <c r="H19" s="27" t="s">
        <v>21</v>
      </c>
      <c r="L19" s="28">
        <v>100.0</v>
      </c>
      <c r="N19" s="29">
        <v>1.0</v>
      </c>
      <c r="Q19" s="30">
        <v>1008.61884</v>
      </c>
      <c r="S19" s="29">
        <v>20.0</v>
      </c>
      <c r="U19" s="30">
        <v>20.0</v>
      </c>
    </row>
    <row r="20" ht="11.25" customHeight="1">
      <c r="B20" s="27" t="s">
        <v>26</v>
      </c>
      <c r="D20" s="27" t="s">
        <v>29</v>
      </c>
      <c r="G20" s="27" t="s">
        <v>30</v>
      </c>
      <c r="H20" s="27" t="s">
        <v>21</v>
      </c>
      <c r="L20" s="28">
        <v>100.0</v>
      </c>
      <c r="N20" s="29">
        <v>1.0</v>
      </c>
      <c r="Q20" s="30">
        <v>1113.81518</v>
      </c>
      <c r="S20" s="29">
        <v>20.0</v>
      </c>
      <c r="U20" s="30">
        <v>20.0</v>
      </c>
    </row>
    <row r="21" ht="11.25" customHeight="1">
      <c r="B21" s="27" t="s">
        <v>26</v>
      </c>
      <c r="D21" s="27" t="s">
        <v>31</v>
      </c>
      <c r="G21" s="27" t="s">
        <v>32</v>
      </c>
      <c r="H21" s="27" t="s">
        <v>21</v>
      </c>
      <c r="L21" s="28">
        <v>100.0</v>
      </c>
      <c r="N21" s="29">
        <v>1.0</v>
      </c>
      <c r="Q21" s="30">
        <v>862.41476</v>
      </c>
      <c r="S21" s="29">
        <v>20.0</v>
      </c>
      <c r="U21" s="30">
        <v>20.0</v>
      </c>
    </row>
    <row r="22" ht="11.25" customHeight="1">
      <c r="B22" s="27" t="s">
        <v>33</v>
      </c>
      <c r="D22" s="27" t="s">
        <v>34</v>
      </c>
      <c r="G22" s="27" t="s">
        <v>35</v>
      </c>
      <c r="H22" s="27" t="s">
        <v>21</v>
      </c>
      <c r="L22" s="28">
        <v>100.0</v>
      </c>
      <c r="N22" s="29">
        <v>1.0</v>
      </c>
      <c r="Q22" s="30">
        <v>115.94374</v>
      </c>
      <c r="S22" s="29">
        <v>19.0</v>
      </c>
      <c r="U22" s="30">
        <v>19.0</v>
      </c>
    </row>
    <row r="23" ht="11.25" customHeight="1">
      <c r="B23" s="27" t="s">
        <v>33</v>
      </c>
      <c r="D23" s="27" t="s">
        <v>36</v>
      </c>
      <c r="G23" s="27" t="s">
        <v>37</v>
      </c>
      <c r="H23" s="27" t="s">
        <v>21</v>
      </c>
      <c r="L23" s="28">
        <v>100.0</v>
      </c>
      <c r="N23" s="29">
        <v>1.0</v>
      </c>
      <c r="Q23" s="30">
        <v>463.55804</v>
      </c>
      <c r="S23" s="29">
        <v>20.0</v>
      </c>
      <c r="U23" s="30">
        <v>20.0</v>
      </c>
    </row>
    <row r="24" ht="11.25" customHeight="1">
      <c r="B24" s="27" t="s">
        <v>33</v>
      </c>
      <c r="D24" s="27" t="s">
        <v>38</v>
      </c>
      <c r="G24" s="27" t="s">
        <v>39</v>
      </c>
      <c r="H24" s="27" t="s">
        <v>21</v>
      </c>
      <c r="L24" s="28">
        <v>100.0</v>
      </c>
      <c r="N24" s="29">
        <v>1.0</v>
      </c>
      <c r="Q24" s="30">
        <v>1075.93306</v>
      </c>
      <c r="S24" s="29">
        <v>20.0</v>
      </c>
      <c r="U24" s="30">
        <v>20.0</v>
      </c>
    </row>
    <row r="25" ht="11.25" customHeight="1">
      <c r="B25" s="27" t="s">
        <v>33</v>
      </c>
      <c r="D25" s="27" t="s">
        <v>40</v>
      </c>
      <c r="G25" s="27" t="s">
        <v>41</v>
      </c>
      <c r="H25" s="27" t="s">
        <v>21</v>
      </c>
      <c r="L25" s="28">
        <v>100.0</v>
      </c>
      <c r="N25" s="29">
        <v>1.0</v>
      </c>
      <c r="Q25" s="30">
        <v>685.49678</v>
      </c>
      <c r="S25" s="29">
        <v>20.0</v>
      </c>
      <c r="U25" s="30">
        <v>20.0</v>
      </c>
    </row>
    <row r="26" ht="11.25" customHeight="1">
      <c r="B26" s="27" t="s">
        <v>33</v>
      </c>
      <c r="D26" s="27" t="s">
        <v>42</v>
      </c>
      <c r="G26" s="27" t="s">
        <v>43</v>
      </c>
      <c r="H26" s="27" t="s">
        <v>21</v>
      </c>
      <c r="L26" s="28">
        <v>100.0</v>
      </c>
      <c r="N26" s="29">
        <v>1.0</v>
      </c>
      <c r="Q26" s="30">
        <v>972.689</v>
      </c>
      <c r="S26" s="29">
        <v>20.0</v>
      </c>
      <c r="U26" s="30">
        <v>20.0</v>
      </c>
    </row>
    <row r="27" ht="11.25" customHeight="1">
      <c r="B27" s="27" t="s">
        <v>33</v>
      </c>
      <c r="D27" s="27" t="s">
        <v>44</v>
      </c>
      <c r="G27" s="27" t="s">
        <v>45</v>
      </c>
      <c r="H27" s="27" t="s">
        <v>21</v>
      </c>
      <c r="L27" s="28">
        <v>100.0</v>
      </c>
      <c r="N27" s="29">
        <v>1.0</v>
      </c>
      <c r="Q27" s="30">
        <v>164.5634</v>
      </c>
      <c r="S27" s="29">
        <v>19.0</v>
      </c>
      <c r="U27" s="30">
        <v>19.0</v>
      </c>
    </row>
    <row r="28" ht="11.25" customHeight="1">
      <c r="B28" s="27" t="s">
        <v>33</v>
      </c>
      <c r="D28" s="27" t="s">
        <v>46</v>
      </c>
      <c r="G28" s="27" t="s">
        <v>47</v>
      </c>
      <c r="H28" s="27" t="s">
        <v>21</v>
      </c>
      <c r="L28" s="28">
        <v>100.0</v>
      </c>
      <c r="N28" s="29">
        <v>1.0</v>
      </c>
      <c r="Q28" s="30">
        <v>444.03524</v>
      </c>
      <c r="S28" s="29">
        <v>19.0</v>
      </c>
      <c r="U28" s="30">
        <v>19.0</v>
      </c>
    </row>
    <row r="29" ht="11.25" customHeight="1">
      <c r="B29" s="27" t="s">
        <v>33</v>
      </c>
      <c r="D29" s="27" t="s">
        <v>48</v>
      </c>
      <c r="G29" s="27" t="s">
        <v>49</v>
      </c>
      <c r="H29" s="27" t="s">
        <v>21</v>
      </c>
      <c r="L29" s="28">
        <v>100.0</v>
      </c>
      <c r="N29" s="29">
        <v>1.0</v>
      </c>
      <c r="Q29" s="30">
        <v>273.33892</v>
      </c>
      <c r="S29" s="29">
        <v>19.0</v>
      </c>
      <c r="U29" s="30">
        <v>19.0</v>
      </c>
    </row>
    <row r="30" ht="11.25" customHeight="1">
      <c r="B30" s="27" t="s">
        <v>33</v>
      </c>
      <c r="D30" s="27" t="s">
        <v>50</v>
      </c>
      <c r="G30" s="27" t="s">
        <v>51</v>
      </c>
      <c r="H30" s="27" t="s">
        <v>21</v>
      </c>
      <c r="L30" s="28">
        <v>100.0</v>
      </c>
      <c r="N30" s="29">
        <v>1.0</v>
      </c>
      <c r="Q30" s="30">
        <v>525.4887</v>
      </c>
      <c r="S30" s="29">
        <v>20.0</v>
      </c>
      <c r="U30" s="30">
        <v>20.0</v>
      </c>
    </row>
    <row r="31" ht="11.25" customHeight="1">
      <c r="B31" s="27" t="s">
        <v>33</v>
      </c>
      <c r="D31" s="27" t="s">
        <v>52</v>
      </c>
      <c r="G31" s="27" t="s">
        <v>53</v>
      </c>
      <c r="H31" s="27" t="s">
        <v>21</v>
      </c>
      <c r="L31" s="28">
        <v>100.0</v>
      </c>
      <c r="N31" s="29">
        <v>1.0</v>
      </c>
      <c r="Q31" s="30">
        <v>383.48498</v>
      </c>
      <c r="S31" s="29">
        <v>19.0</v>
      </c>
      <c r="U31" s="30">
        <v>19.0</v>
      </c>
    </row>
    <row r="32" ht="11.25" customHeight="1">
      <c r="B32" s="27" t="s">
        <v>33</v>
      </c>
      <c r="D32" s="27" t="s">
        <v>54</v>
      </c>
      <c r="G32" s="27" t="s">
        <v>55</v>
      </c>
      <c r="H32" s="27" t="s">
        <v>21</v>
      </c>
      <c r="L32" s="28">
        <v>100.0</v>
      </c>
      <c r="N32" s="29">
        <v>1.0</v>
      </c>
      <c r="Q32" s="30">
        <v>100.11844</v>
      </c>
      <c r="S32" s="29">
        <v>19.0</v>
      </c>
      <c r="U32" s="30">
        <v>19.0</v>
      </c>
    </row>
    <row r="33" ht="11.25" customHeight="1">
      <c r="B33" s="27" t="s">
        <v>33</v>
      </c>
      <c r="D33" s="27" t="s">
        <v>56</v>
      </c>
      <c r="G33" s="27" t="s">
        <v>57</v>
      </c>
      <c r="H33" s="27" t="s">
        <v>21</v>
      </c>
      <c r="L33" s="28">
        <v>100.0</v>
      </c>
      <c r="N33" s="29">
        <v>4.0</v>
      </c>
      <c r="Q33" s="30">
        <v>1471.0627</v>
      </c>
      <c r="S33" s="29">
        <v>20.0</v>
      </c>
      <c r="U33" s="30">
        <v>80.0</v>
      </c>
    </row>
    <row r="34" ht="11.25" customHeight="1">
      <c r="B34" s="27" t="s">
        <v>33</v>
      </c>
      <c r="D34" s="27" t="s">
        <v>58</v>
      </c>
      <c r="G34" s="27" t="s">
        <v>59</v>
      </c>
      <c r="H34" s="27" t="s">
        <v>21</v>
      </c>
      <c r="L34" s="28">
        <v>100.0</v>
      </c>
      <c r="N34" s="29">
        <v>5.0</v>
      </c>
      <c r="Q34" s="30">
        <v>2192.89358</v>
      </c>
      <c r="S34" s="29">
        <v>20.0</v>
      </c>
      <c r="U34" s="30">
        <v>100.0</v>
      </c>
    </row>
    <row r="35" ht="11.25" customHeight="1">
      <c r="B35" s="27" t="s">
        <v>33</v>
      </c>
      <c r="D35" s="27" t="s">
        <v>60</v>
      </c>
      <c r="G35" s="27" t="s">
        <v>61</v>
      </c>
      <c r="H35" s="27" t="s">
        <v>21</v>
      </c>
      <c r="L35" s="28">
        <v>100.0</v>
      </c>
      <c r="N35" s="29">
        <v>3.0</v>
      </c>
      <c r="Q35" s="30">
        <v>822.67896</v>
      </c>
      <c r="S35" s="29">
        <v>19.0</v>
      </c>
      <c r="U35" s="30">
        <v>57.0</v>
      </c>
    </row>
    <row r="36" ht="11.25" customHeight="1">
      <c r="B36" s="27" t="s">
        <v>33</v>
      </c>
      <c r="D36" s="27" t="s">
        <v>62</v>
      </c>
      <c r="G36" s="27" t="s">
        <v>63</v>
      </c>
      <c r="H36" s="27" t="s">
        <v>21</v>
      </c>
      <c r="L36" s="28">
        <v>100.0</v>
      </c>
      <c r="N36" s="29">
        <v>2.0</v>
      </c>
      <c r="Q36" s="30">
        <v>1972.46342</v>
      </c>
      <c r="S36" s="29">
        <v>20.0</v>
      </c>
      <c r="U36" s="30">
        <v>40.0</v>
      </c>
    </row>
    <row r="37" ht="11.25" customHeight="1">
      <c r="B37" s="27" t="s">
        <v>33</v>
      </c>
      <c r="D37" s="27" t="s">
        <v>64</v>
      </c>
      <c r="G37" s="27" t="s">
        <v>65</v>
      </c>
      <c r="H37" s="27" t="s">
        <v>21</v>
      </c>
      <c r="L37" s="28">
        <v>100.0</v>
      </c>
      <c r="N37" s="29">
        <v>2.0</v>
      </c>
      <c r="Q37" s="30">
        <v>1989.75786</v>
      </c>
      <c r="S37" s="29">
        <v>20.0</v>
      </c>
      <c r="U37" s="30">
        <v>40.0</v>
      </c>
    </row>
    <row r="38" ht="11.25" customHeight="1">
      <c r="B38" s="27" t="s">
        <v>33</v>
      </c>
      <c r="D38" s="27" t="s">
        <v>66</v>
      </c>
      <c r="G38" s="27" t="s">
        <v>67</v>
      </c>
      <c r="H38" s="27" t="s">
        <v>21</v>
      </c>
      <c r="L38" s="28">
        <v>100.0</v>
      </c>
      <c r="N38" s="29">
        <v>6.0</v>
      </c>
      <c r="Q38" s="30">
        <v>1789.87594</v>
      </c>
      <c r="S38" s="29">
        <v>20.0</v>
      </c>
      <c r="U38" s="30">
        <v>120.0</v>
      </c>
    </row>
    <row r="39" ht="11.25" customHeight="1">
      <c r="B39" s="27" t="s">
        <v>33</v>
      </c>
      <c r="D39" s="27" t="s">
        <v>68</v>
      </c>
      <c r="G39" s="27" t="s">
        <v>69</v>
      </c>
      <c r="H39" s="27" t="s">
        <v>21</v>
      </c>
      <c r="L39" s="28">
        <v>100.0</v>
      </c>
      <c r="N39" s="29">
        <v>2.0</v>
      </c>
      <c r="Q39" s="30">
        <v>891.21582</v>
      </c>
      <c r="S39" s="29">
        <v>19.0</v>
      </c>
      <c r="U39" s="30">
        <v>38.0</v>
      </c>
    </row>
    <row r="40" ht="11.25" customHeight="1">
      <c r="B40" s="27" t="s">
        <v>33</v>
      </c>
      <c r="D40" s="27" t="s">
        <v>70</v>
      </c>
      <c r="G40" s="27" t="s">
        <v>71</v>
      </c>
      <c r="H40" s="27" t="s">
        <v>21</v>
      </c>
      <c r="L40" s="28">
        <v>100.0</v>
      </c>
      <c r="N40" s="29">
        <v>2.0</v>
      </c>
      <c r="Q40" s="30">
        <v>2390.0147</v>
      </c>
      <c r="S40" s="29">
        <v>20.0</v>
      </c>
      <c r="U40" s="30">
        <v>40.0</v>
      </c>
    </row>
    <row r="41" ht="11.25" customHeight="1">
      <c r="B41" s="27" t="s">
        <v>33</v>
      </c>
      <c r="D41" s="27" t="s">
        <v>72</v>
      </c>
      <c r="G41" s="27" t="s">
        <v>73</v>
      </c>
      <c r="H41" s="27" t="s">
        <v>21</v>
      </c>
      <c r="L41" s="28">
        <v>100.0</v>
      </c>
      <c r="N41" s="29">
        <v>4.0</v>
      </c>
      <c r="Q41" s="30">
        <v>579.78772</v>
      </c>
      <c r="S41" s="29">
        <v>19.0</v>
      </c>
      <c r="U41" s="30">
        <v>76.0</v>
      </c>
    </row>
    <row r="42" ht="11.25" customHeight="1">
      <c r="B42" s="27" t="s">
        <v>33</v>
      </c>
      <c r="D42" s="27" t="s">
        <v>74</v>
      </c>
      <c r="G42" s="27" t="s">
        <v>75</v>
      </c>
      <c r="H42" s="27" t="s">
        <v>21</v>
      </c>
      <c r="L42" s="28">
        <v>100.0</v>
      </c>
      <c r="N42" s="29">
        <v>1.0</v>
      </c>
      <c r="Q42" s="30">
        <v>506.17296</v>
      </c>
      <c r="S42" s="29">
        <v>19.0</v>
      </c>
      <c r="U42" s="30">
        <v>19.0</v>
      </c>
    </row>
    <row r="43" ht="11.25" customHeight="1">
      <c r="B43" s="27" t="s">
        <v>33</v>
      </c>
      <c r="D43" s="27" t="s">
        <v>76</v>
      </c>
      <c r="G43" s="27" t="s">
        <v>77</v>
      </c>
      <c r="H43" s="27" t="s">
        <v>21</v>
      </c>
      <c r="L43" s="28">
        <v>100.0</v>
      </c>
      <c r="N43" s="29">
        <v>2.0</v>
      </c>
      <c r="Q43" s="30">
        <v>425.68578</v>
      </c>
      <c r="S43" s="29">
        <v>19.0</v>
      </c>
      <c r="U43" s="30">
        <v>38.0</v>
      </c>
    </row>
    <row r="44" ht="11.25" customHeight="1">
      <c r="B44" s="27" t="s">
        <v>33</v>
      </c>
      <c r="D44" s="27" t="s">
        <v>78</v>
      </c>
      <c r="G44" s="27" t="s">
        <v>79</v>
      </c>
      <c r="H44" s="27" t="s">
        <v>21</v>
      </c>
      <c r="L44" s="28">
        <v>100.0</v>
      </c>
      <c r="N44" s="29">
        <v>2.0</v>
      </c>
      <c r="Q44" s="30">
        <v>1143.8586</v>
      </c>
      <c r="S44" s="29">
        <v>20.0</v>
      </c>
      <c r="U44" s="30">
        <v>40.0</v>
      </c>
    </row>
    <row r="45" ht="11.25" customHeight="1">
      <c r="B45" s="27" t="s">
        <v>33</v>
      </c>
      <c r="D45" s="27" t="s">
        <v>80</v>
      </c>
      <c r="G45" s="27" t="s">
        <v>81</v>
      </c>
      <c r="H45" s="27" t="s">
        <v>21</v>
      </c>
      <c r="L45" s="28">
        <v>100.0</v>
      </c>
      <c r="N45" s="29">
        <v>1.0</v>
      </c>
      <c r="Q45" s="30">
        <v>392.45758</v>
      </c>
      <c r="S45" s="29">
        <v>20.0</v>
      </c>
      <c r="U45" s="30">
        <v>20.0</v>
      </c>
    </row>
    <row r="46" ht="11.25" customHeight="1">
      <c r="B46" s="27" t="s">
        <v>82</v>
      </c>
      <c r="D46" s="27" t="s">
        <v>83</v>
      </c>
      <c r="G46" s="27" t="s">
        <v>84</v>
      </c>
      <c r="H46" s="27" t="s">
        <v>21</v>
      </c>
      <c r="L46" s="28">
        <v>100.0</v>
      </c>
      <c r="N46" s="29">
        <v>1.0</v>
      </c>
      <c r="Q46" s="30">
        <v>243.9364</v>
      </c>
      <c r="S46" s="29">
        <v>19.0</v>
      </c>
      <c r="U46" s="30">
        <v>19.0</v>
      </c>
    </row>
    <row r="47" ht="11.25" customHeight="1">
      <c r="B47" s="27" t="s">
        <v>82</v>
      </c>
      <c r="D47" s="27" t="s">
        <v>85</v>
      </c>
      <c r="G47" s="27" t="s">
        <v>86</v>
      </c>
      <c r="H47" s="27" t="s">
        <v>21</v>
      </c>
      <c r="L47" s="28">
        <v>100.0</v>
      </c>
      <c r="N47" s="29">
        <v>3.0</v>
      </c>
      <c r="Q47" s="30">
        <v>386.40354</v>
      </c>
      <c r="S47" s="29">
        <v>19.0</v>
      </c>
      <c r="U47" s="30">
        <v>57.0</v>
      </c>
    </row>
    <row r="48" ht="11.25" customHeight="1">
      <c r="B48" s="27" t="s">
        <v>82</v>
      </c>
      <c r="D48" s="27" t="s">
        <v>87</v>
      </c>
      <c r="G48" s="27" t="s">
        <v>88</v>
      </c>
      <c r="H48" s="27" t="s">
        <v>21</v>
      </c>
      <c r="L48" s="28">
        <v>100.0</v>
      </c>
      <c r="N48" s="29">
        <v>1.0</v>
      </c>
      <c r="Q48" s="30">
        <v>723.0338</v>
      </c>
      <c r="S48" s="29">
        <v>20.0</v>
      </c>
      <c r="U48" s="30">
        <v>20.0</v>
      </c>
    </row>
    <row r="49" ht="11.25" customHeight="1">
      <c r="B49" s="27" t="s">
        <v>82</v>
      </c>
      <c r="D49" s="27" t="s">
        <v>89</v>
      </c>
      <c r="G49" s="27" t="s">
        <v>90</v>
      </c>
      <c r="H49" s="27" t="s">
        <v>21</v>
      </c>
      <c r="L49" s="28">
        <v>100.0</v>
      </c>
      <c r="N49" s="29">
        <v>1.0</v>
      </c>
      <c r="Q49" s="30">
        <v>1009.14142</v>
      </c>
      <c r="S49" s="29">
        <v>20.0</v>
      </c>
      <c r="U49" s="30">
        <v>20.0</v>
      </c>
    </row>
    <row r="50" ht="11.25" customHeight="1">
      <c r="B50" s="27" t="s">
        <v>82</v>
      </c>
      <c r="D50" s="27" t="s">
        <v>91</v>
      </c>
      <c r="G50" s="27" t="s">
        <v>92</v>
      </c>
      <c r="H50" s="27" t="s">
        <v>21</v>
      </c>
      <c r="L50" s="28">
        <v>100.0</v>
      </c>
      <c r="N50" s="29">
        <v>4.0</v>
      </c>
      <c r="Q50" s="30">
        <v>1668.97262</v>
      </c>
      <c r="S50" s="29">
        <v>20.0</v>
      </c>
      <c r="U50" s="30">
        <v>80.0</v>
      </c>
    </row>
    <row r="51" ht="11.25" customHeight="1">
      <c r="B51" s="27" t="s">
        <v>82</v>
      </c>
      <c r="D51" s="27" t="s">
        <v>93</v>
      </c>
      <c r="G51" s="27" t="s">
        <v>94</v>
      </c>
      <c r="H51" s="27" t="s">
        <v>21</v>
      </c>
      <c r="L51" s="28">
        <v>100.0</v>
      </c>
      <c r="N51" s="29">
        <v>2.0</v>
      </c>
      <c r="Q51" s="30">
        <v>792.03408</v>
      </c>
      <c r="S51" s="29">
        <v>20.0</v>
      </c>
      <c r="U51" s="30">
        <v>40.0</v>
      </c>
    </row>
    <row r="52" ht="11.25" customHeight="1">
      <c r="B52" s="27" t="s">
        <v>82</v>
      </c>
      <c r="D52" s="27" t="s">
        <v>95</v>
      </c>
      <c r="G52" s="27" t="s">
        <v>96</v>
      </c>
      <c r="H52" s="27" t="s">
        <v>21</v>
      </c>
      <c r="L52" s="28">
        <v>100.0</v>
      </c>
      <c r="N52" s="29">
        <v>1.0</v>
      </c>
      <c r="Q52" s="30">
        <v>1163.04616</v>
      </c>
      <c r="S52" s="29">
        <v>20.0</v>
      </c>
      <c r="U52" s="30">
        <v>20.0</v>
      </c>
    </row>
    <row r="53" ht="11.25" customHeight="1">
      <c r="B53" s="27" t="s">
        <v>82</v>
      </c>
      <c r="D53" s="27" t="s">
        <v>97</v>
      </c>
      <c r="G53" s="27" t="s">
        <v>98</v>
      </c>
      <c r="H53" s="27" t="s">
        <v>21</v>
      </c>
      <c r="L53" s="28">
        <v>100.0</v>
      </c>
      <c r="N53" s="29">
        <v>1.0</v>
      </c>
      <c r="Q53" s="30">
        <v>1271.85126</v>
      </c>
      <c r="S53" s="29">
        <v>20.0</v>
      </c>
      <c r="U53" s="30">
        <v>20.0</v>
      </c>
    </row>
    <row r="54" ht="11.25" customHeight="1">
      <c r="B54" s="27" t="s">
        <v>82</v>
      </c>
      <c r="D54" s="27" t="s">
        <v>99</v>
      </c>
      <c r="G54" s="27" t="s">
        <v>100</v>
      </c>
      <c r="H54" s="27" t="s">
        <v>21</v>
      </c>
      <c r="L54" s="28">
        <v>100.0</v>
      </c>
      <c r="N54" s="29">
        <v>1.0</v>
      </c>
      <c r="Q54" s="30">
        <v>1132.0759</v>
      </c>
      <c r="S54" s="29">
        <v>20.0</v>
      </c>
      <c r="U54" s="30">
        <v>20.0</v>
      </c>
    </row>
    <row r="55" ht="11.25" customHeight="1">
      <c r="B55" s="27" t="s">
        <v>82</v>
      </c>
      <c r="D55" s="27" t="s">
        <v>101</v>
      </c>
      <c r="G55" s="27" t="s">
        <v>102</v>
      </c>
      <c r="H55" s="27" t="s">
        <v>21</v>
      </c>
      <c r="L55" s="28">
        <v>100.0</v>
      </c>
      <c r="N55" s="29">
        <v>5.0</v>
      </c>
      <c r="Q55" s="30">
        <v>1710.9565</v>
      </c>
      <c r="S55" s="29">
        <v>20.0</v>
      </c>
      <c r="U55" s="30">
        <v>100.0</v>
      </c>
    </row>
    <row r="56" ht="11.25" customHeight="1">
      <c r="B56" s="27" t="s">
        <v>82</v>
      </c>
      <c r="D56" s="27" t="s">
        <v>103</v>
      </c>
      <c r="G56" s="27" t="s">
        <v>104</v>
      </c>
      <c r="H56" s="27" t="s">
        <v>21</v>
      </c>
      <c r="L56" s="28">
        <v>100.0</v>
      </c>
      <c r="N56" s="29">
        <v>1.0</v>
      </c>
      <c r="Q56" s="30">
        <v>504.76298</v>
      </c>
      <c r="S56" s="29">
        <v>20.0</v>
      </c>
      <c r="U56" s="30">
        <v>20.0</v>
      </c>
    </row>
    <row r="57" ht="11.25" customHeight="1">
      <c r="B57" s="27" t="s">
        <v>82</v>
      </c>
      <c r="D57" s="27" t="s">
        <v>105</v>
      </c>
      <c r="G57" s="27" t="s">
        <v>106</v>
      </c>
      <c r="H57" s="27" t="s">
        <v>21</v>
      </c>
      <c r="L57" s="28">
        <v>100.0</v>
      </c>
      <c r="N57" s="29">
        <v>1.0</v>
      </c>
      <c r="Q57" s="30">
        <v>1116.62528</v>
      </c>
      <c r="S57" s="29">
        <v>20.0</v>
      </c>
      <c r="U57" s="30">
        <v>20.0</v>
      </c>
    </row>
    <row r="58" ht="11.25" customHeight="1">
      <c r="B58" s="27" t="s">
        <v>82</v>
      </c>
      <c r="D58" s="27" t="s">
        <v>107</v>
      </c>
      <c r="G58" s="27" t="s">
        <v>108</v>
      </c>
      <c r="H58" s="27" t="s">
        <v>21</v>
      </c>
      <c r="L58" s="28">
        <v>100.0</v>
      </c>
      <c r="N58" s="29">
        <v>1.0</v>
      </c>
      <c r="Q58" s="30">
        <v>341.21516</v>
      </c>
      <c r="S58" s="29">
        <v>19.0</v>
      </c>
      <c r="U58" s="30">
        <v>19.0</v>
      </c>
    </row>
    <row r="59" ht="11.25" customHeight="1">
      <c r="B59" s="27" t="s">
        <v>82</v>
      </c>
      <c r="D59" s="27" t="s">
        <v>109</v>
      </c>
      <c r="G59" s="27" t="s">
        <v>110</v>
      </c>
      <c r="H59" s="27" t="s">
        <v>21</v>
      </c>
      <c r="L59" s="28">
        <v>100.0</v>
      </c>
      <c r="N59" s="29">
        <v>1.0</v>
      </c>
      <c r="Q59" s="30">
        <v>374.83776</v>
      </c>
      <c r="S59" s="29">
        <v>19.0</v>
      </c>
      <c r="U59" s="30">
        <v>19.0</v>
      </c>
    </row>
    <row r="60" ht="3.75" customHeight="1"/>
    <row r="61" ht="12.0" customHeight="1"/>
    <row r="62" ht="13.5" customHeight="1">
      <c r="B62" s="31" t="s">
        <v>111</v>
      </c>
      <c r="T62" s="32" t="s">
        <v>112</v>
      </c>
      <c r="U62" s="33">
        <v>46096.0</v>
      </c>
    </row>
    <row r="63" ht="9.75" customHeight="1"/>
    <row r="64" ht="40.5" customHeight="1"/>
    <row r="65" ht="27.0" customHeight="1">
      <c r="J65" s="1" t="s">
        <v>0</v>
      </c>
    </row>
    <row r="66" ht="33.75" customHeight="1"/>
    <row r="67" ht="24.75" customHeight="1">
      <c r="B67" s="2" t="s">
        <v>1</v>
      </c>
      <c r="J67" s="3" t="s">
        <v>2</v>
      </c>
    </row>
    <row r="68" ht="14.25" customHeight="1"/>
    <row r="69" ht="13.5" customHeight="1">
      <c r="B69" s="9" t="s">
        <v>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8.75" customHeight="1">
      <c r="B70" s="12" t="s">
        <v>8</v>
      </c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4"/>
    </row>
    <row r="71" ht="2.25" customHeight="1"/>
    <row r="72" ht="13.5" customHeight="1">
      <c r="B72" s="15" t="s">
        <v>9</v>
      </c>
      <c r="C72" s="16"/>
      <c r="D72" s="15" t="s">
        <v>10</v>
      </c>
      <c r="E72" s="17"/>
      <c r="F72" s="16"/>
      <c r="G72" s="18" t="s">
        <v>11</v>
      </c>
      <c r="H72" s="15" t="s">
        <v>12</v>
      </c>
      <c r="I72" s="17"/>
      <c r="J72" s="17"/>
      <c r="K72" s="16"/>
      <c r="L72" s="15" t="s">
        <v>13</v>
      </c>
      <c r="M72" s="16"/>
      <c r="N72" s="15" t="s">
        <v>14</v>
      </c>
      <c r="O72" s="19"/>
      <c r="Q72" s="15" t="s">
        <v>15</v>
      </c>
      <c r="R72" s="19"/>
      <c r="S72" s="15" t="s">
        <v>16</v>
      </c>
      <c r="T72" s="19"/>
      <c r="U72" s="20" t="s">
        <v>17</v>
      </c>
      <c r="V72" s="19"/>
    </row>
    <row r="73" ht="13.5" customHeight="1">
      <c r="B73" s="21"/>
      <c r="C73" s="22"/>
      <c r="D73" s="21"/>
      <c r="E73" s="23"/>
      <c r="F73" s="22"/>
      <c r="G73" s="24"/>
      <c r="H73" s="21"/>
      <c r="I73" s="23"/>
      <c r="J73" s="23"/>
      <c r="K73" s="22"/>
      <c r="L73" s="21"/>
      <c r="M73" s="22"/>
      <c r="N73" s="21"/>
      <c r="O73" s="25"/>
      <c r="Q73" s="21"/>
      <c r="R73" s="25"/>
      <c r="S73" s="21"/>
      <c r="T73" s="25"/>
      <c r="U73" s="26"/>
      <c r="V73" s="25"/>
    </row>
    <row r="74" ht="11.25" customHeight="1">
      <c r="B74" s="27" t="s">
        <v>82</v>
      </c>
      <c r="D74" s="27" t="s">
        <v>113</v>
      </c>
      <c r="G74" s="27" t="s">
        <v>114</v>
      </c>
      <c r="H74" s="27" t="s">
        <v>21</v>
      </c>
      <c r="L74" s="28">
        <v>100.0</v>
      </c>
      <c r="N74" s="29">
        <v>2.0</v>
      </c>
      <c r="Q74" s="30">
        <v>2316.56756</v>
      </c>
      <c r="S74" s="29">
        <v>20.0</v>
      </c>
      <c r="U74" s="30">
        <v>40.0</v>
      </c>
    </row>
    <row r="75" ht="11.25" customHeight="1">
      <c r="B75" s="27" t="s">
        <v>82</v>
      </c>
      <c r="D75" s="27" t="s">
        <v>115</v>
      </c>
      <c r="G75" s="27" t="s">
        <v>116</v>
      </c>
      <c r="H75" s="27" t="s">
        <v>21</v>
      </c>
      <c r="L75" s="28">
        <v>100.0</v>
      </c>
      <c r="N75" s="29">
        <v>1.0</v>
      </c>
      <c r="Q75" s="30">
        <v>1189.08642</v>
      </c>
      <c r="S75" s="29">
        <v>20.0</v>
      </c>
      <c r="U75" s="30">
        <v>20.0</v>
      </c>
    </row>
    <row r="76" ht="11.25" customHeight="1">
      <c r="B76" s="27" t="s">
        <v>82</v>
      </c>
      <c r="D76" s="27" t="s">
        <v>117</v>
      </c>
      <c r="G76" s="27" t="s">
        <v>118</v>
      </c>
      <c r="H76" s="27" t="s">
        <v>21</v>
      </c>
      <c r="L76" s="28">
        <v>100.0</v>
      </c>
      <c r="N76" s="29">
        <v>1.0</v>
      </c>
      <c r="Q76" s="30">
        <v>1088.84966</v>
      </c>
      <c r="S76" s="29">
        <v>20.0</v>
      </c>
      <c r="U76" s="30">
        <v>20.0</v>
      </c>
    </row>
    <row r="77" ht="11.25" customHeight="1">
      <c r="B77" s="27" t="s">
        <v>82</v>
      </c>
      <c r="D77" s="27" t="s">
        <v>119</v>
      </c>
      <c r="G77" s="27" t="s">
        <v>120</v>
      </c>
      <c r="H77" s="27" t="s">
        <v>21</v>
      </c>
      <c r="L77" s="28">
        <v>100.0</v>
      </c>
      <c r="N77" s="29">
        <v>1.0</v>
      </c>
      <c r="Q77" s="30">
        <v>944.7852</v>
      </c>
      <c r="S77" s="29">
        <v>20.0</v>
      </c>
      <c r="U77" s="30">
        <v>20.0</v>
      </c>
    </row>
    <row r="78" ht="11.25" customHeight="1">
      <c r="B78" s="27" t="s">
        <v>82</v>
      </c>
      <c r="D78" s="27" t="s">
        <v>121</v>
      </c>
      <c r="G78" s="27" t="s">
        <v>122</v>
      </c>
      <c r="H78" s="27" t="s">
        <v>21</v>
      </c>
      <c r="L78" s="28">
        <v>100.0</v>
      </c>
      <c r="N78" s="29">
        <v>1.0</v>
      </c>
      <c r="Q78" s="30">
        <v>1144.44034</v>
      </c>
      <c r="S78" s="29">
        <v>20.0</v>
      </c>
      <c r="U78" s="30">
        <v>20.0</v>
      </c>
    </row>
    <row r="79" ht="11.25" customHeight="1">
      <c r="B79" s="27" t="s">
        <v>82</v>
      </c>
      <c r="D79" s="27" t="s">
        <v>123</v>
      </c>
      <c r="G79" s="27" t="s">
        <v>124</v>
      </c>
      <c r="H79" s="27" t="s">
        <v>21</v>
      </c>
      <c r="L79" s="28">
        <v>100.0</v>
      </c>
      <c r="N79" s="29">
        <v>2.0</v>
      </c>
      <c r="Q79" s="30">
        <v>1919.80116</v>
      </c>
      <c r="S79" s="29">
        <v>20.0</v>
      </c>
      <c r="U79" s="30">
        <v>40.0</v>
      </c>
    </row>
    <row r="80" ht="11.25" customHeight="1">
      <c r="B80" s="27" t="s">
        <v>82</v>
      </c>
      <c r="D80" s="27" t="s">
        <v>125</v>
      </c>
      <c r="G80" s="27" t="s">
        <v>126</v>
      </c>
      <c r="H80" s="27" t="s">
        <v>21</v>
      </c>
      <c r="L80" s="28">
        <v>100.0</v>
      </c>
      <c r="N80" s="29">
        <v>1.0</v>
      </c>
      <c r="Q80" s="30">
        <v>864.53466</v>
      </c>
      <c r="S80" s="29">
        <v>20.0</v>
      </c>
      <c r="U80" s="30">
        <v>20.0</v>
      </c>
    </row>
    <row r="81" ht="11.25" customHeight="1">
      <c r="B81" s="27" t="s">
        <v>82</v>
      </c>
      <c r="D81" s="27" t="s">
        <v>127</v>
      </c>
      <c r="G81" s="27" t="s">
        <v>128</v>
      </c>
      <c r="H81" s="27" t="s">
        <v>21</v>
      </c>
      <c r="L81" s="28">
        <v>100.0</v>
      </c>
      <c r="N81" s="29">
        <v>1.0</v>
      </c>
      <c r="Q81" s="30">
        <v>449.3202</v>
      </c>
      <c r="S81" s="29">
        <v>20.0</v>
      </c>
      <c r="U81" s="30">
        <v>20.0</v>
      </c>
    </row>
    <row r="82" ht="11.25" customHeight="1">
      <c r="B82" s="27" t="s">
        <v>82</v>
      </c>
      <c r="D82" s="27" t="s">
        <v>129</v>
      </c>
      <c r="G82" s="27" t="s">
        <v>130</v>
      </c>
      <c r="H82" s="27" t="s">
        <v>21</v>
      </c>
      <c r="L82" s="28">
        <v>100.0</v>
      </c>
      <c r="N82" s="29">
        <v>1.0</v>
      </c>
      <c r="Q82" s="30">
        <v>433.82028</v>
      </c>
      <c r="S82" s="29">
        <v>20.0</v>
      </c>
      <c r="U82" s="30">
        <v>20.0</v>
      </c>
    </row>
    <row r="83" ht="11.25" customHeight="1">
      <c r="B83" s="27" t="s">
        <v>82</v>
      </c>
      <c r="D83" s="27" t="s">
        <v>131</v>
      </c>
      <c r="G83" s="27" t="s">
        <v>132</v>
      </c>
      <c r="H83" s="27" t="s">
        <v>21</v>
      </c>
      <c r="L83" s="28">
        <v>100.0</v>
      </c>
      <c r="N83" s="29">
        <v>4.0</v>
      </c>
      <c r="Q83" s="30">
        <v>1704.77428</v>
      </c>
      <c r="S83" s="29">
        <v>20.0</v>
      </c>
      <c r="U83" s="30">
        <v>80.0</v>
      </c>
    </row>
    <row r="84" ht="11.25" customHeight="1">
      <c r="B84" s="27" t="s">
        <v>82</v>
      </c>
      <c r="D84" s="27" t="s">
        <v>133</v>
      </c>
      <c r="G84" s="27" t="s">
        <v>134</v>
      </c>
      <c r="H84" s="27" t="s">
        <v>21</v>
      </c>
      <c r="L84" s="28">
        <v>100.0</v>
      </c>
      <c r="N84" s="29">
        <v>1.0</v>
      </c>
      <c r="Q84" s="30">
        <v>1163.04616</v>
      </c>
      <c r="S84" s="29">
        <v>20.0</v>
      </c>
      <c r="U84" s="30">
        <v>20.0</v>
      </c>
    </row>
    <row r="85" ht="11.25" customHeight="1">
      <c r="B85" s="27" t="s">
        <v>82</v>
      </c>
      <c r="D85" s="27" t="s">
        <v>135</v>
      </c>
      <c r="G85" s="27" t="s">
        <v>136</v>
      </c>
      <c r="H85" s="27" t="s">
        <v>21</v>
      </c>
      <c r="L85" s="28">
        <v>100.0</v>
      </c>
      <c r="N85" s="29">
        <v>1.0</v>
      </c>
      <c r="Q85" s="30">
        <v>396.98332</v>
      </c>
      <c r="S85" s="29">
        <v>20.0</v>
      </c>
      <c r="U85" s="30">
        <v>20.0</v>
      </c>
    </row>
    <row r="86" ht="11.25" customHeight="1">
      <c r="B86" s="27" t="s">
        <v>82</v>
      </c>
      <c r="D86" s="27" t="s">
        <v>137</v>
      </c>
      <c r="G86" s="27" t="s">
        <v>138</v>
      </c>
      <c r="H86" s="27" t="s">
        <v>21</v>
      </c>
      <c r="L86" s="28">
        <v>100.0</v>
      </c>
      <c r="N86" s="29">
        <v>1.0</v>
      </c>
      <c r="Q86" s="30">
        <v>1009.14142</v>
      </c>
      <c r="S86" s="29">
        <v>20.0</v>
      </c>
      <c r="U86" s="30">
        <v>20.0</v>
      </c>
    </row>
    <row r="87" ht="11.25" customHeight="1">
      <c r="B87" s="27" t="s">
        <v>82</v>
      </c>
      <c r="D87" s="27" t="s">
        <v>139</v>
      </c>
      <c r="G87" s="27" t="s">
        <v>140</v>
      </c>
      <c r="H87" s="27" t="s">
        <v>21</v>
      </c>
      <c r="L87" s="28">
        <v>100.0</v>
      </c>
      <c r="N87" s="29">
        <v>2.0</v>
      </c>
      <c r="Q87" s="30">
        <v>2165.98564</v>
      </c>
      <c r="S87" s="29">
        <v>20.0</v>
      </c>
      <c r="U87" s="30">
        <v>40.0</v>
      </c>
    </row>
    <row r="88" ht="11.25" customHeight="1">
      <c r="B88" s="27" t="s">
        <v>82</v>
      </c>
      <c r="D88" s="27" t="s">
        <v>141</v>
      </c>
      <c r="G88" s="27" t="s">
        <v>142</v>
      </c>
      <c r="H88" s="27" t="s">
        <v>21</v>
      </c>
      <c r="L88" s="28">
        <v>100.0</v>
      </c>
      <c r="N88" s="29">
        <v>1.0</v>
      </c>
      <c r="Q88" s="30">
        <v>1052.17046</v>
      </c>
      <c r="S88" s="29">
        <v>20.0</v>
      </c>
      <c r="U88" s="30">
        <v>20.0</v>
      </c>
    </row>
    <row r="89" ht="11.25" customHeight="1">
      <c r="B89" s="27" t="s">
        <v>82</v>
      </c>
      <c r="D89" s="27" t="s">
        <v>143</v>
      </c>
      <c r="G89" s="27" t="s">
        <v>144</v>
      </c>
      <c r="H89" s="27" t="s">
        <v>21</v>
      </c>
      <c r="L89" s="28">
        <v>100.0</v>
      </c>
      <c r="N89" s="29">
        <v>1.0</v>
      </c>
      <c r="Q89" s="30">
        <v>904.46766</v>
      </c>
      <c r="S89" s="29">
        <v>20.0</v>
      </c>
      <c r="U89" s="30">
        <v>20.0</v>
      </c>
    </row>
    <row r="90" ht="11.25" customHeight="1">
      <c r="B90" s="27" t="s">
        <v>82</v>
      </c>
      <c r="D90" s="27" t="s">
        <v>145</v>
      </c>
      <c r="G90" s="27" t="s">
        <v>146</v>
      </c>
      <c r="H90" s="27" t="s">
        <v>21</v>
      </c>
      <c r="L90" s="28">
        <v>100.0</v>
      </c>
      <c r="N90" s="29">
        <v>1.0</v>
      </c>
      <c r="Q90" s="30">
        <v>944.7359</v>
      </c>
      <c r="S90" s="29">
        <v>20.0</v>
      </c>
      <c r="U90" s="30">
        <v>20.0</v>
      </c>
    </row>
    <row r="91" ht="11.25" customHeight="1">
      <c r="B91" s="27" t="s">
        <v>82</v>
      </c>
      <c r="D91" s="27" t="s">
        <v>147</v>
      </c>
      <c r="G91" s="27" t="s">
        <v>148</v>
      </c>
      <c r="H91" s="27" t="s">
        <v>21</v>
      </c>
      <c r="L91" s="28">
        <v>100.0</v>
      </c>
      <c r="N91" s="29">
        <v>1.0</v>
      </c>
      <c r="Q91" s="30">
        <v>1113.81518</v>
      </c>
      <c r="S91" s="29">
        <v>20.0</v>
      </c>
      <c r="U91" s="30">
        <v>20.0</v>
      </c>
    </row>
    <row r="92" ht="11.25" customHeight="1">
      <c r="B92" s="27" t="s">
        <v>82</v>
      </c>
      <c r="D92" s="27" t="s">
        <v>149</v>
      </c>
      <c r="G92" s="27" t="s">
        <v>150</v>
      </c>
      <c r="H92" s="27" t="s">
        <v>21</v>
      </c>
      <c r="L92" s="28">
        <v>100.0</v>
      </c>
      <c r="N92" s="29">
        <v>1.0</v>
      </c>
      <c r="Q92" s="30">
        <v>335.90062</v>
      </c>
      <c r="S92" s="29">
        <v>20.0</v>
      </c>
      <c r="U92" s="30">
        <v>20.0</v>
      </c>
    </row>
    <row r="93" ht="11.25" customHeight="1">
      <c r="B93" s="27" t="s">
        <v>82</v>
      </c>
      <c r="D93" s="27" t="s">
        <v>151</v>
      </c>
      <c r="G93" s="27" t="s">
        <v>152</v>
      </c>
      <c r="H93" s="27" t="s">
        <v>21</v>
      </c>
      <c r="L93" s="28">
        <v>100.0</v>
      </c>
      <c r="N93" s="29">
        <v>5.0</v>
      </c>
      <c r="Q93" s="30">
        <v>1905.08018</v>
      </c>
      <c r="S93" s="29">
        <v>20.0</v>
      </c>
      <c r="U93" s="30">
        <v>100.0</v>
      </c>
    </row>
    <row r="94" ht="11.25" customHeight="1">
      <c r="B94" s="27" t="s">
        <v>82</v>
      </c>
      <c r="D94" s="27" t="s">
        <v>153</v>
      </c>
      <c r="G94" s="27" t="s">
        <v>154</v>
      </c>
      <c r="H94" s="27" t="s">
        <v>21</v>
      </c>
      <c r="L94" s="28">
        <v>100.0</v>
      </c>
      <c r="N94" s="29">
        <v>1.0</v>
      </c>
      <c r="Q94" s="30">
        <v>904.46766</v>
      </c>
      <c r="S94" s="29">
        <v>20.0</v>
      </c>
      <c r="U94" s="30">
        <v>20.0</v>
      </c>
    </row>
    <row r="95" ht="11.25" customHeight="1">
      <c r="B95" s="27" t="s">
        <v>82</v>
      </c>
      <c r="D95" s="27" t="s">
        <v>155</v>
      </c>
      <c r="G95" s="27" t="s">
        <v>156</v>
      </c>
      <c r="H95" s="27" t="s">
        <v>21</v>
      </c>
      <c r="L95" s="28">
        <v>100.0</v>
      </c>
      <c r="N95" s="29">
        <v>2.0</v>
      </c>
      <c r="Q95" s="30">
        <v>2017.19824</v>
      </c>
      <c r="S95" s="29">
        <v>20.0</v>
      </c>
      <c r="U95" s="30">
        <v>40.0</v>
      </c>
    </row>
    <row r="96" ht="11.25" customHeight="1">
      <c r="B96" s="27" t="s">
        <v>82</v>
      </c>
      <c r="D96" s="27" t="s">
        <v>157</v>
      </c>
      <c r="G96" s="27" t="s">
        <v>158</v>
      </c>
      <c r="H96" s="27" t="s">
        <v>21</v>
      </c>
      <c r="L96" s="28">
        <v>100.0</v>
      </c>
      <c r="N96" s="29">
        <v>1.0</v>
      </c>
      <c r="Q96" s="30">
        <v>1052.17046</v>
      </c>
      <c r="S96" s="29">
        <v>20.0</v>
      </c>
      <c r="U96" s="30">
        <v>20.0</v>
      </c>
    </row>
    <row r="97" ht="11.25" customHeight="1">
      <c r="B97" s="27" t="s">
        <v>82</v>
      </c>
      <c r="D97" s="27" t="s">
        <v>159</v>
      </c>
      <c r="G97" s="27" t="s">
        <v>160</v>
      </c>
      <c r="H97" s="27" t="s">
        <v>21</v>
      </c>
      <c r="L97" s="28">
        <v>100.0</v>
      </c>
      <c r="N97" s="29">
        <v>1.0</v>
      </c>
      <c r="Q97" s="30">
        <v>1144.44034</v>
      </c>
      <c r="S97" s="29">
        <v>20.0</v>
      </c>
      <c r="U97" s="30">
        <v>20.0</v>
      </c>
    </row>
    <row r="98" ht="11.25" customHeight="1">
      <c r="B98" s="27" t="s">
        <v>82</v>
      </c>
      <c r="D98" s="27" t="s">
        <v>161</v>
      </c>
      <c r="G98" s="27" t="s">
        <v>162</v>
      </c>
      <c r="H98" s="27" t="s">
        <v>21</v>
      </c>
      <c r="L98" s="28">
        <v>100.0</v>
      </c>
      <c r="N98" s="29">
        <v>6.0</v>
      </c>
      <c r="Q98" s="30">
        <v>2789.76868</v>
      </c>
      <c r="S98" s="29">
        <v>20.0</v>
      </c>
      <c r="U98" s="30">
        <v>120.0</v>
      </c>
    </row>
    <row r="99" ht="11.25" customHeight="1">
      <c r="B99" s="27" t="s">
        <v>82</v>
      </c>
      <c r="D99" s="27" t="s">
        <v>161</v>
      </c>
      <c r="G99" s="27" t="s">
        <v>162</v>
      </c>
      <c r="H99" s="27" t="s">
        <v>21</v>
      </c>
      <c r="L99" s="28">
        <v>100.0</v>
      </c>
      <c r="N99" s="29">
        <v>6.0</v>
      </c>
      <c r="Q99" s="30">
        <v>763.73588</v>
      </c>
      <c r="S99" s="29">
        <v>20.0</v>
      </c>
      <c r="U99" s="30">
        <v>120.0</v>
      </c>
    </row>
    <row r="100" ht="11.25" customHeight="1">
      <c r="B100" s="27" t="s">
        <v>82</v>
      </c>
      <c r="D100" s="27" t="s">
        <v>163</v>
      </c>
      <c r="G100" s="27" t="s">
        <v>164</v>
      </c>
      <c r="H100" s="27" t="s">
        <v>21</v>
      </c>
      <c r="L100" s="28">
        <v>100.0</v>
      </c>
      <c r="N100" s="29">
        <v>1.0</v>
      </c>
      <c r="Q100" s="30">
        <v>108.00644</v>
      </c>
      <c r="S100" s="29">
        <v>19.0</v>
      </c>
      <c r="U100" s="30">
        <v>19.0</v>
      </c>
    </row>
    <row r="101" ht="11.25" customHeight="1">
      <c r="B101" s="27" t="s">
        <v>82</v>
      </c>
      <c r="D101" s="27" t="s">
        <v>165</v>
      </c>
      <c r="G101" s="27" t="s">
        <v>166</v>
      </c>
      <c r="H101" s="27" t="s">
        <v>21</v>
      </c>
      <c r="L101" s="28">
        <v>100.0</v>
      </c>
      <c r="N101" s="29">
        <v>1.0</v>
      </c>
      <c r="Q101" s="30">
        <v>987.81424</v>
      </c>
      <c r="S101" s="29">
        <v>20.0</v>
      </c>
      <c r="U101" s="30">
        <v>20.0</v>
      </c>
    </row>
    <row r="102" ht="11.25" customHeight="1">
      <c r="B102" s="27" t="s">
        <v>82</v>
      </c>
      <c r="D102" s="27" t="s">
        <v>167</v>
      </c>
      <c r="G102" s="27" t="s">
        <v>168</v>
      </c>
      <c r="H102" s="27" t="s">
        <v>21</v>
      </c>
      <c r="L102" s="28">
        <v>100.0</v>
      </c>
      <c r="N102" s="29">
        <v>1.0</v>
      </c>
      <c r="Q102" s="30">
        <v>269.44422</v>
      </c>
      <c r="S102" s="29">
        <v>19.0</v>
      </c>
      <c r="U102" s="30">
        <v>19.0</v>
      </c>
    </row>
    <row r="103" ht="11.25" customHeight="1">
      <c r="B103" s="27" t="s">
        <v>82</v>
      </c>
      <c r="D103" s="27" t="s">
        <v>169</v>
      </c>
      <c r="G103" s="27" t="s">
        <v>170</v>
      </c>
      <c r="H103" s="27" t="s">
        <v>21</v>
      </c>
      <c r="L103" s="28">
        <v>100.0</v>
      </c>
      <c r="N103" s="29">
        <v>1.0</v>
      </c>
      <c r="Q103" s="30">
        <v>101.98198</v>
      </c>
      <c r="S103" s="29">
        <v>19.0</v>
      </c>
      <c r="U103" s="30">
        <v>19.0</v>
      </c>
    </row>
    <row r="104" ht="11.25" customHeight="1">
      <c r="B104" s="27" t="s">
        <v>82</v>
      </c>
      <c r="D104" s="27" t="s">
        <v>171</v>
      </c>
      <c r="G104" s="27" t="s">
        <v>172</v>
      </c>
      <c r="H104" s="27" t="s">
        <v>21</v>
      </c>
      <c r="L104" s="28">
        <v>100.0</v>
      </c>
      <c r="N104" s="29">
        <v>1.0</v>
      </c>
      <c r="Q104" s="30">
        <v>1144.44034</v>
      </c>
      <c r="S104" s="29">
        <v>20.0</v>
      </c>
      <c r="U104" s="30">
        <v>20.0</v>
      </c>
    </row>
    <row r="105" ht="11.25" customHeight="1">
      <c r="B105" s="27" t="s">
        <v>82</v>
      </c>
      <c r="D105" s="27" t="s">
        <v>173</v>
      </c>
      <c r="G105" s="27" t="s">
        <v>174</v>
      </c>
      <c r="H105" s="27" t="s">
        <v>21</v>
      </c>
      <c r="L105" s="28">
        <v>100.0</v>
      </c>
      <c r="N105" s="29">
        <v>1.0</v>
      </c>
      <c r="Q105" s="30">
        <v>987.81424</v>
      </c>
      <c r="S105" s="29">
        <v>20.0</v>
      </c>
      <c r="U105" s="30">
        <v>20.0</v>
      </c>
    </row>
    <row r="106" ht="11.25" customHeight="1">
      <c r="B106" s="27" t="s">
        <v>82</v>
      </c>
      <c r="D106" s="27" t="s">
        <v>175</v>
      </c>
      <c r="G106" s="27" t="s">
        <v>176</v>
      </c>
      <c r="H106" s="27" t="s">
        <v>21</v>
      </c>
      <c r="L106" s="28">
        <v>100.0</v>
      </c>
      <c r="N106" s="29">
        <v>1.0</v>
      </c>
      <c r="Q106" s="30">
        <v>471.19954</v>
      </c>
      <c r="S106" s="29">
        <v>19.0</v>
      </c>
      <c r="U106" s="30">
        <v>19.0</v>
      </c>
    </row>
    <row r="107" ht="11.25" customHeight="1">
      <c r="B107" s="27" t="s">
        <v>82</v>
      </c>
      <c r="D107" s="27" t="s">
        <v>177</v>
      </c>
      <c r="G107" s="27" t="s">
        <v>178</v>
      </c>
      <c r="H107" s="27" t="s">
        <v>21</v>
      </c>
      <c r="L107" s="28">
        <v>100.0</v>
      </c>
      <c r="N107" s="29">
        <v>1.0</v>
      </c>
      <c r="Q107" s="30">
        <v>178.0223</v>
      </c>
      <c r="S107" s="29">
        <v>19.0</v>
      </c>
      <c r="U107" s="30">
        <v>19.0</v>
      </c>
    </row>
    <row r="108" ht="11.25" customHeight="1">
      <c r="B108" s="27" t="s">
        <v>82</v>
      </c>
      <c r="D108" s="27" t="s">
        <v>179</v>
      </c>
      <c r="G108" s="27" t="s">
        <v>180</v>
      </c>
      <c r="H108" s="27" t="s">
        <v>21</v>
      </c>
      <c r="L108" s="28">
        <v>100.0</v>
      </c>
      <c r="N108" s="29">
        <v>1.0</v>
      </c>
      <c r="Q108" s="30">
        <v>387.68534</v>
      </c>
      <c r="S108" s="29">
        <v>20.0</v>
      </c>
      <c r="U108" s="30">
        <v>20.0</v>
      </c>
    </row>
    <row r="109" ht="11.25" customHeight="1">
      <c r="B109" s="27" t="s">
        <v>82</v>
      </c>
      <c r="D109" s="27" t="s">
        <v>181</v>
      </c>
      <c r="G109" s="27" t="s">
        <v>182</v>
      </c>
      <c r="H109" s="27" t="s">
        <v>21</v>
      </c>
      <c r="L109" s="28">
        <v>100.0</v>
      </c>
      <c r="N109" s="29">
        <v>1.0</v>
      </c>
      <c r="Q109" s="30">
        <v>470.64738</v>
      </c>
      <c r="S109" s="29">
        <v>20.0</v>
      </c>
      <c r="U109" s="30">
        <v>20.0</v>
      </c>
    </row>
    <row r="110" ht="11.25" customHeight="1">
      <c r="B110" s="27" t="s">
        <v>82</v>
      </c>
      <c r="D110" s="27" t="s">
        <v>183</v>
      </c>
      <c r="G110" s="27" t="s">
        <v>184</v>
      </c>
      <c r="H110" s="27" t="s">
        <v>21</v>
      </c>
      <c r="L110" s="28">
        <v>100.0</v>
      </c>
      <c r="N110" s="29">
        <v>1.0</v>
      </c>
      <c r="Q110" s="30">
        <v>987.81424</v>
      </c>
      <c r="S110" s="29">
        <v>20.0</v>
      </c>
      <c r="U110" s="30">
        <v>20.0</v>
      </c>
    </row>
    <row r="111" ht="11.25" customHeight="1">
      <c r="B111" s="27" t="s">
        <v>82</v>
      </c>
      <c r="D111" s="27" t="s">
        <v>185</v>
      </c>
      <c r="G111" s="27" t="s">
        <v>186</v>
      </c>
      <c r="H111" s="27" t="s">
        <v>21</v>
      </c>
      <c r="L111" s="28">
        <v>100.0</v>
      </c>
      <c r="N111" s="29">
        <v>1.0</v>
      </c>
      <c r="Q111" s="30">
        <v>144.0053</v>
      </c>
      <c r="S111" s="29">
        <v>19.0</v>
      </c>
      <c r="U111" s="30">
        <v>19.0</v>
      </c>
    </row>
    <row r="112" ht="11.25" customHeight="1">
      <c r="B112" s="27" t="s">
        <v>82</v>
      </c>
      <c r="D112" s="27" t="s">
        <v>187</v>
      </c>
      <c r="G112" s="27" t="s">
        <v>188</v>
      </c>
      <c r="H112" s="27" t="s">
        <v>21</v>
      </c>
      <c r="L112" s="28">
        <v>100.0</v>
      </c>
      <c r="N112" s="29">
        <v>1.0</v>
      </c>
      <c r="Q112" s="30">
        <v>1144.44034</v>
      </c>
      <c r="S112" s="29">
        <v>20.0</v>
      </c>
      <c r="U112" s="30">
        <v>20.0</v>
      </c>
    </row>
    <row r="113" ht="11.25" customHeight="1">
      <c r="B113" s="27" t="s">
        <v>82</v>
      </c>
      <c r="D113" s="27" t="s">
        <v>189</v>
      </c>
      <c r="G113" s="27" t="s">
        <v>190</v>
      </c>
      <c r="H113" s="27" t="s">
        <v>21</v>
      </c>
      <c r="L113" s="28">
        <v>100.0</v>
      </c>
      <c r="N113" s="29">
        <v>5.0</v>
      </c>
      <c r="Q113" s="30">
        <v>2619.95976</v>
      </c>
      <c r="S113" s="29">
        <v>20.0</v>
      </c>
      <c r="U113" s="30">
        <v>100.0</v>
      </c>
    </row>
    <row r="114" ht="11.25" customHeight="1">
      <c r="B114" s="27" t="s">
        <v>82</v>
      </c>
      <c r="D114" s="27" t="s">
        <v>191</v>
      </c>
      <c r="G114" s="27" t="s">
        <v>192</v>
      </c>
      <c r="H114" s="27" t="s">
        <v>21</v>
      </c>
      <c r="L114" s="28">
        <v>100.0</v>
      </c>
      <c r="N114" s="29">
        <v>1.0</v>
      </c>
      <c r="Q114" s="30">
        <v>187.79356</v>
      </c>
      <c r="S114" s="29">
        <v>19.0</v>
      </c>
      <c r="U114" s="30">
        <v>19.0</v>
      </c>
    </row>
    <row r="115" ht="11.25" customHeight="1">
      <c r="B115" s="27" t="s">
        <v>82</v>
      </c>
      <c r="D115" s="27" t="s">
        <v>193</v>
      </c>
      <c r="G115" s="27" t="s">
        <v>194</v>
      </c>
      <c r="H115" s="27" t="s">
        <v>21</v>
      </c>
      <c r="L115" s="28">
        <v>100.0</v>
      </c>
      <c r="N115" s="29">
        <v>3.0</v>
      </c>
      <c r="Q115" s="30">
        <v>1415.81712</v>
      </c>
      <c r="S115" s="29">
        <v>20.0</v>
      </c>
      <c r="U115" s="30">
        <v>60.0</v>
      </c>
    </row>
    <row r="116" ht="11.25" customHeight="1">
      <c r="B116" s="27" t="s">
        <v>82</v>
      </c>
      <c r="D116" s="27" t="s">
        <v>195</v>
      </c>
      <c r="G116" s="27" t="s">
        <v>196</v>
      </c>
      <c r="H116" s="27" t="s">
        <v>21</v>
      </c>
      <c r="L116" s="28">
        <v>100.0</v>
      </c>
      <c r="N116" s="29">
        <v>2.0</v>
      </c>
      <c r="Q116" s="30">
        <v>1125.97256</v>
      </c>
      <c r="S116" s="29">
        <v>20.0</v>
      </c>
      <c r="U116" s="30">
        <v>40.0</v>
      </c>
    </row>
    <row r="117" ht="11.25" customHeight="1">
      <c r="B117" s="27" t="s">
        <v>82</v>
      </c>
      <c r="D117" s="27" t="s">
        <v>197</v>
      </c>
      <c r="G117" s="27" t="s">
        <v>198</v>
      </c>
      <c r="H117" s="27" t="s">
        <v>21</v>
      </c>
      <c r="L117" s="28">
        <v>100.0</v>
      </c>
      <c r="N117" s="29">
        <v>1.0</v>
      </c>
      <c r="Q117" s="30">
        <v>364.81014</v>
      </c>
      <c r="S117" s="29">
        <v>20.0</v>
      </c>
      <c r="U117" s="30">
        <v>20.0</v>
      </c>
    </row>
    <row r="118" ht="11.25" customHeight="1">
      <c r="B118" s="27" t="s">
        <v>82</v>
      </c>
      <c r="D118" s="27" t="s">
        <v>199</v>
      </c>
      <c r="G118" s="27" t="s">
        <v>200</v>
      </c>
      <c r="H118" s="27" t="s">
        <v>21</v>
      </c>
      <c r="L118" s="28">
        <v>100.0</v>
      </c>
      <c r="N118" s="29">
        <v>1.0</v>
      </c>
      <c r="Q118" s="30">
        <v>1221.0131</v>
      </c>
      <c r="S118" s="29">
        <v>20.0</v>
      </c>
      <c r="U118" s="30">
        <v>20.0</v>
      </c>
    </row>
    <row r="119" ht="11.25" customHeight="1">
      <c r="B119" s="27" t="s">
        <v>82</v>
      </c>
      <c r="D119" s="27" t="s">
        <v>201</v>
      </c>
      <c r="G119" s="27" t="s">
        <v>202</v>
      </c>
      <c r="H119" s="27" t="s">
        <v>21</v>
      </c>
      <c r="L119" s="28">
        <v>100.0</v>
      </c>
      <c r="N119" s="29">
        <v>1.0</v>
      </c>
      <c r="Q119" s="30">
        <v>414.67216</v>
      </c>
      <c r="S119" s="29">
        <v>19.0</v>
      </c>
      <c r="U119" s="30">
        <v>19.0</v>
      </c>
    </row>
    <row r="120" ht="11.25" customHeight="1">
      <c r="B120" s="27" t="s">
        <v>82</v>
      </c>
      <c r="D120" s="27" t="s">
        <v>203</v>
      </c>
      <c r="G120" s="27" t="s">
        <v>204</v>
      </c>
      <c r="H120" s="27" t="s">
        <v>21</v>
      </c>
      <c r="L120" s="28">
        <v>100.0</v>
      </c>
      <c r="N120" s="29">
        <v>1.0</v>
      </c>
      <c r="Q120" s="30">
        <v>472.66868</v>
      </c>
      <c r="S120" s="29">
        <v>20.0</v>
      </c>
      <c r="U120" s="30">
        <v>20.0</v>
      </c>
    </row>
    <row r="121" ht="12.0" customHeight="1"/>
    <row r="122" ht="18.0" customHeight="1">
      <c r="Q122" s="34">
        <v>87813.71216</v>
      </c>
      <c r="U122" s="34">
        <v>3028.0</v>
      </c>
    </row>
    <row r="123" ht="11.25" customHeight="1">
      <c r="B123" s="27" t="s">
        <v>205</v>
      </c>
      <c r="D123" s="27" t="s">
        <v>206</v>
      </c>
      <c r="G123" s="27" t="s">
        <v>207</v>
      </c>
      <c r="H123" s="27" t="s">
        <v>21</v>
      </c>
      <c r="L123" s="28">
        <v>100.0</v>
      </c>
      <c r="N123" s="29">
        <v>2.0</v>
      </c>
      <c r="Q123" s="30">
        <v>1696.96516</v>
      </c>
      <c r="S123" s="29">
        <v>20.0</v>
      </c>
      <c r="U123" s="30">
        <v>40.0</v>
      </c>
    </row>
    <row r="124" hidden="1" customHeight="1"/>
    <row r="125" ht="12.0" customHeight="1"/>
    <row r="126" ht="13.5" customHeight="1">
      <c r="B126" s="31" t="s">
        <v>208</v>
      </c>
      <c r="T126" s="32" t="s">
        <v>112</v>
      </c>
      <c r="U126" s="33">
        <v>46096.0</v>
      </c>
    </row>
    <row r="127" ht="9.75" customHeight="1"/>
    <row r="128" ht="40.5" customHeight="1"/>
    <row r="129" ht="27.0" customHeight="1">
      <c r="J129" s="1" t="s">
        <v>0</v>
      </c>
    </row>
    <row r="130" ht="33.75" customHeight="1"/>
    <row r="131" ht="24.75" customHeight="1">
      <c r="B131" s="2" t="s">
        <v>1</v>
      </c>
      <c r="J131" s="3" t="s">
        <v>2</v>
      </c>
    </row>
    <row r="132" ht="14.25" customHeight="1"/>
    <row r="133" ht="13.5" customHeight="1">
      <c r="B133" s="9" t="s">
        <v>7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8.75" customHeight="1">
      <c r="B134" s="12" t="s">
        <v>8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4"/>
    </row>
    <row r="135" ht="2.25" customHeight="1"/>
    <row r="136" ht="13.5" customHeight="1">
      <c r="B136" s="15" t="s">
        <v>9</v>
      </c>
      <c r="C136" s="16"/>
      <c r="D136" s="15" t="s">
        <v>10</v>
      </c>
      <c r="E136" s="17"/>
      <c r="F136" s="16"/>
      <c r="G136" s="18" t="s">
        <v>11</v>
      </c>
      <c r="H136" s="15" t="s">
        <v>12</v>
      </c>
      <c r="I136" s="17"/>
      <c r="J136" s="17"/>
      <c r="K136" s="16"/>
      <c r="L136" s="15" t="s">
        <v>13</v>
      </c>
      <c r="M136" s="16"/>
      <c r="N136" s="15" t="s">
        <v>14</v>
      </c>
      <c r="O136" s="19"/>
      <c r="Q136" s="15" t="s">
        <v>15</v>
      </c>
      <c r="R136" s="19"/>
      <c r="S136" s="15" t="s">
        <v>16</v>
      </c>
      <c r="T136" s="19"/>
      <c r="U136" s="20" t="s">
        <v>17</v>
      </c>
      <c r="V136" s="19"/>
    </row>
    <row r="137" ht="13.5" customHeight="1">
      <c r="B137" s="21"/>
      <c r="C137" s="22"/>
      <c r="D137" s="21"/>
      <c r="E137" s="23"/>
      <c r="F137" s="22"/>
      <c r="G137" s="24"/>
      <c r="H137" s="21"/>
      <c r="I137" s="23"/>
      <c r="J137" s="23"/>
      <c r="K137" s="22"/>
      <c r="L137" s="21"/>
      <c r="M137" s="22"/>
      <c r="N137" s="21"/>
      <c r="O137" s="25"/>
      <c r="Q137" s="21"/>
      <c r="R137" s="25"/>
      <c r="S137" s="21"/>
      <c r="T137" s="25"/>
      <c r="U137" s="26"/>
      <c r="V137" s="25"/>
    </row>
    <row r="138" ht="11.25" customHeight="1">
      <c r="B138" s="27" t="s">
        <v>209</v>
      </c>
      <c r="D138" s="27" t="s">
        <v>210</v>
      </c>
      <c r="G138" s="27" t="s">
        <v>211</v>
      </c>
      <c r="H138" s="27" t="s">
        <v>21</v>
      </c>
      <c r="L138" s="28">
        <v>100.0</v>
      </c>
      <c r="N138" s="29">
        <v>1.0</v>
      </c>
      <c r="Q138" s="30">
        <v>354.49658</v>
      </c>
      <c r="S138" s="29">
        <v>20.0</v>
      </c>
      <c r="U138" s="30">
        <v>20.0</v>
      </c>
    </row>
    <row r="139" ht="11.25" customHeight="1">
      <c r="B139" s="27" t="s">
        <v>33</v>
      </c>
      <c r="D139" s="27" t="s">
        <v>212</v>
      </c>
      <c r="G139" s="27" t="s">
        <v>213</v>
      </c>
      <c r="H139" s="27" t="s">
        <v>21</v>
      </c>
      <c r="L139" s="28">
        <v>100.0</v>
      </c>
      <c r="N139" s="29">
        <v>1.0</v>
      </c>
      <c r="Q139" s="30">
        <v>1659.3394</v>
      </c>
      <c r="S139" s="29">
        <v>20.0</v>
      </c>
      <c r="U139" s="30">
        <v>20.0</v>
      </c>
    </row>
    <row r="140" ht="11.25" customHeight="1">
      <c r="B140" s="27" t="s">
        <v>33</v>
      </c>
      <c r="D140" s="27" t="s">
        <v>214</v>
      </c>
      <c r="G140" s="27" t="s">
        <v>215</v>
      </c>
      <c r="H140" s="27" t="s">
        <v>21</v>
      </c>
      <c r="L140" s="28">
        <v>100.0</v>
      </c>
      <c r="N140" s="29">
        <v>1.0</v>
      </c>
      <c r="Q140" s="30">
        <v>259.04192</v>
      </c>
      <c r="S140" s="29">
        <v>20.0</v>
      </c>
      <c r="U140" s="30">
        <v>20.0</v>
      </c>
    </row>
    <row r="141" ht="11.25" customHeight="1">
      <c r="B141" s="27" t="s">
        <v>33</v>
      </c>
      <c r="D141" s="27" t="s">
        <v>216</v>
      </c>
      <c r="G141" s="27" t="s">
        <v>217</v>
      </c>
      <c r="H141" s="27" t="s">
        <v>21</v>
      </c>
      <c r="L141" s="28">
        <v>100.0</v>
      </c>
      <c r="N141" s="29">
        <v>1.0</v>
      </c>
      <c r="Q141" s="30">
        <v>972.85662</v>
      </c>
      <c r="S141" s="29">
        <v>20.0</v>
      </c>
      <c r="U141" s="30">
        <v>20.0</v>
      </c>
    </row>
    <row r="142" ht="11.25" customHeight="1">
      <c r="B142" s="27" t="s">
        <v>33</v>
      </c>
      <c r="D142" s="27" t="s">
        <v>218</v>
      </c>
      <c r="G142" s="27" t="s">
        <v>219</v>
      </c>
      <c r="H142" s="27" t="s">
        <v>21</v>
      </c>
      <c r="L142" s="28">
        <v>100.0</v>
      </c>
      <c r="N142" s="29">
        <v>1.0</v>
      </c>
      <c r="Q142" s="30">
        <v>986.79866</v>
      </c>
      <c r="S142" s="29">
        <v>20.0</v>
      </c>
      <c r="U142" s="30">
        <v>20.0</v>
      </c>
    </row>
    <row r="143" ht="11.25" customHeight="1">
      <c r="B143" s="27" t="s">
        <v>33</v>
      </c>
      <c r="D143" s="27" t="s">
        <v>220</v>
      </c>
      <c r="G143" s="27" t="s">
        <v>221</v>
      </c>
      <c r="H143" s="27" t="s">
        <v>21</v>
      </c>
      <c r="L143" s="28">
        <v>100.0</v>
      </c>
      <c r="N143" s="29">
        <v>1.0</v>
      </c>
      <c r="Q143" s="30">
        <v>1036.67054</v>
      </c>
      <c r="S143" s="29">
        <v>20.0</v>
      </c>
      <c r="U143" s="30">
        <v>20.0</v>
      </c>
    </row>
    <row r="144" ht="11.25" customHeight="1">
      <c r="B144" s="27" t="s">
        <v>33</v>
      </c>
      <c r="D144" s="27" t="s">
        <v>222</v>
      </c>
      <c r="G144" s="27" t="s">
        <v>223</v>
      </c>
      <c r="H144" s="27" t="s">
        <v>21</v>
      </c>
      <c r="L144" s="28">
        <v>100.0</v>
      </c>
      <c r="N144" s="29">
        <v>1.0</v>
      </c>
      <c r="Q144" s="30">
        <v>384.33294</v>
      </c>
      <c r="S144" s="29">
        <v>20.0</v>
      </c>
      <c r="U144" s="30">
        <v>20.0</v>
      </c>
    </row>
    <row r="145" ht="11.25" customHeight="1">
      <c r="B145" s="27" t="s">
        <v>33</v>
      </c>
      <c r="D145" s="27" t="s">
        <v>224</v>
      </c>
      <c r="G145" s="27" t="s">
        <v>225</v>
      </c>
      <c r="H145" s="27" t="s">
        <v>21</v>
      </c>
      <c r="L145" s="28">
        <v>100.0</v>
      </c>
      <c r="N145" s="29">
        <v>2.0</v>
      </c>
      <c r="Q145" s="30">
        <v>734.03756</v>
      </c>
      <c r="S145" s="29">
        <v>20.0</v>
      </c>
      <c r="U145" s="30">
        <v>40.0</v>
      </c>
    </row>
    <row r="146" ht="11.25" customHeight="1">
      <c r="B146" s="27" t="s">
        <v>33</v>
      </c>
      <c r="D146" s="27" t="s">
        <v>226</v>
      </c>
      <c r="G146" s="27" t="s">
        <v>227</v>
      </c>
      <c r="H146" s="27" t="s">
        <v>21</v>
      </c>
      <c r="L146" s="28">
        <v>100.0</v>
      </c>
      <c r="N146" s="29">
        <v>2.0</v>
      </c>
      <c r="Q146" s="30">
        <v>1279.9759</v>
      </c>
      <c r="S146" s="29">
        <v>20.0</v>
      </c>
      <c r="U146" s="30">
        <v>40.0</v>
      </c>
    </row>
    <row r="147" ht="11.25" customHeight="1">
      <c r="B147" s="27" t="s">
        <v>33</v>
      </c>
      <c r="D147" s="27" t="s">
        <v>228</v>
      </c>
      <c r="G147" s="27" t="s">
        <v>229</v>
      </c>
      <c r="H147" s="27" t="s">
        <v>21</v>
      </c>
      <c r="L147" s="28">
        <v>100.0</v>
      </c>
      <c r="N147" s="29">
        <v>4.0</v>
      </c>
      <c r="Q147" s="30">
        <v>1654.8038</v>
      </c>
      <c r="S147" s="29">
        <v>20.0</v>
      </c>
      <c r="U147" s="30">
        <v>80.0</v>
      </c>
    </row>
    <row r="148" ht="11.25" customHeight="1">
      <c r="B148" s="27" t="s">
        <v>33</v>
      </c>
      <c r="D148" s="27" t="s">
        <v>230</v>
      </c>
      <c r="G148" s="27" t="s">
        <v>231</v>
      </c>
      <c r="H148" s="27" t="s">
        <v>21</v>
      </c>
      <c r="L148" s="28">
        <v>100.0</v>
      </c>
      <c r="N148" s="29">
        <v>1.0</v>
      </c>
      <c r="Q148" s="30">
        <v>1090.52586</v>
      </c>
      <c r="S148" s="29">
        <v>20.0</v>
      </c>
      <c r="U148" s="30">
        <v>20.0</v>
      </c>
    </row>
    <row r="149" ht="11.25" customHeight="1">
      <c r="B149" s="27" t="s">
        <v>33</v>
      </c>
      <c r="D149" s="27" t="s">
        <v>232</v>
      </c>
      <c r="G149" s="27" t="s">
        <v>233</v>
      </c>
      <c r="H149" s="27" t="s">
        <v>21</v>
      </c>
      <c r="L149" s="28">
        <v>100.0</v>
      </c>
      <c r="N149" s="29">
        <v>2.0</v>
      </c>
      <c r="Q149" s="30">
        <v>2848.69204</v>
      </c>
      <c r="S149" s="29">
        <v>20.0</v>
      </c>
      <c r="U149" s="30">
        <v>40.0</v>
      </c>
    </row>
    <row r="150" ht="11.25" customHeight="1">
      <c r="B150" s="27" t="s">
        <v>33</v>
      </c>
      <c r="D150" s="27" t="s">
        <v>234</v>
      </c>
      <c r="G150" s="27" t="s">
        <v>235</v>
      </c>
      <c r="H150" s="27" t="s">
        <v>21</v>
      </c>
      <c r="L150" s="28">
        <v>100.0</v>
      </c>
      <c r="N150" s="29">
        <v>4.0</v>
      </c>
      <c r="Q150" s="30">
        <v>1653.79808</v>
      </c>
      <c r="S150" s="29">
        <v>20.0</v>
      </c>
      <c r="U150" s="30">
        <v>80.0</v>
      </c>
    </row>
    <row r="151" ht="11.25" customHeight="1">
      <c r="B151" s="27" t="s">
        <v>33</v>
      </c>
      <c r="D151" s="27" t="s">
        <v>236</v>
      </c>
      <c r="G151" s="27" t="s">
        <v>237</v>
      </c>
      <c r="H151" s="27" t="s">
        <v>21</v>
      </c>
      <c r="L151" s="28">
        <v>100.0</v>
      </c>
      <c r="N151" s="29">
        <v>1.0</v>
      </c>
      <c r="Q151" s="30">
        <v>273.32906</v>
      </c>
      <c r="S151" s="29">
        <v>19.0</v>
      </c>
      <c r="U151" s="30">
        <v>19.0</v>
      </c>
    </row>
    <row r="152" ht="11.25" customHeight="1">
      <c r="B152" s="27" t="s">
        <v>33</v>
      </c>
      <c r="D152" s="27" t="s">
        <v>238</v>
      </c>
      <c r="G152" s="27" t="s">
        <v>239</v>
      </c>
      <c r="H152" s="27" t="s">
        <v>21</v>
      </c>
      <c r="L152" s="28">
        <v>100.0</v>
      </c>
      <c r="N152" s="29">
        <v>3.0</v>
      </c>
      <c r="Q152" s="30">
        <v>351.86396</v>
      </c>
      <c r="S152" s="29">
        <v>19.0</v>
      </c>
      <c r="U152" s="30">
        <v>57.0</v>
      </c>
    </row>
    <row r="153" ht="11.25" customHeight="1">
      <c r="B153" s="27" t="s">
        <v>33</v>
      </c>
      <c r="D153" s="27" t="s">
        <v>240</v>
      </c>
      <c r="G153" s="27" t="s">
        <v>241</v>
      </c>
      <c r="H153" s="27" t="s">
        <v>21</v>
      </c>
      <c r="L153" s="28">
        <v>100.0</v>
      </c>
      <c r="N153" s="29">
        <v>1.0</v>
      </c>
      <c r="Q153" s="30">
        <v>973.35948</v>
      </c>
      <c r="S153" s="29">
        <v>20.0</v>
      </c>
      <c r="U153" s="30">
        <v>20.0</v>
      </c>
    </row>
    <row r="154" ht="11.25" customHeight="1">
      <c r="B154" s="27" t="s">
        <v>33</v>
      </c>
      <c r="D154" s="27" t="s">
        <v>242</v>
      </c>
      <c r="G154" s="27" t="s">
        <v>243</v>
      </c>
      <c r="H154" s="27" t="s">
        <v>21</v>
      </c>
      <c r="L154" s="28">
        <v>100.0</v>
      </c>
      <c r="N154" s="29">
        <v>1.0</v>
      </c>
      <c r="Q154" s="30">
        <v>1061.34026</v>
      </c>
      <c r="S154" s="29">
        <v>20.0</v>
      </c>
      <c r="U154" s="30">
        <v>20.0</v>
      </c>
    </row>
    <row r="155" ht="11.25" customHeight="1">
      <c r="B155" s="27" t="s">
        <v>33</v>
      </c>
      <c r="D155" s="27" t="s">
        <v>244</v>
      </c>
      <c r="G155" s="27" t="s">
        <v>245</v>
      </c>
      <c r="H155" s="27" t="s">
        <v>21</v>
      </c>
      <c r="L155" s="28">
        <v>100.0</v>
      </c>
      <c r="N155" s="29">
        <v>1.0</v>
      </c>
      <c r="Q155" s="30">
        <v>919.01116</v>
      </c>
      <c r="S155" s="29">
        <v>20.0</v>
      </c>
      <c r="U155" s="30">
        <v>20.0</v>
      </c>
    </row>
    <row r="156" ht="11.25" customHeight="1">
      <c r="B156" s="27" t="s">
        <v>33</v>
      </c>
      <c r="D156" s="27" t="s">
        <v>246</v>
      </c>
      <c r="G156" s="27" t="s">
        <v>247</v>
      </c>
      <c r="H156" s="27" t="s">
        <v>21</v>
      </c>
      <c r="L156" s="28">
        <v>100.0</v>
      </c>
      <c r="N156" s="29">
        <v>4.0</v>
      </c>
      <c r="Q156" s="30">
        <v>554.25032</v>
      </c>
      <c r="S156" s="29">
        <v>19.0</v>
      </c>
      <c r="U156" s="30">
        <v>76.0</v>
      </c>
    </row>
    <row r="157" ht="11.25" customHeight="1">
      <c r="B157" s="27" t="s">
        <v>33</v>
      </c>
      <c r="D157" s="27" t="s">
        <v>248</v>
      </c>
      <c r="G157" s="27" t="s">
        <v>249</v>
      </c>
      <c r="H157" s="27" t="s">
        <v>21</v>
      </c>
      <c r="L157" s="28">
        <v>100.0</v>
      </c>
      <c r="N157" s="29">
        <v>4.0</v>
      </c>
      <c r="Q157" s="30">
        <v>1534.98508</v>
      </c>
      <c r="S157" s="29">
        <v>20.0</v>
      </c>
      <c r="U157" s="30">
        <v>80.0</v>
      </c>
    </row>
    <row r="158" ht="11.25" customHeight="1">
      <c r="B158" s="27" t="s">
        <v>33</v>
      </c>
      <c r="D158" s="27" t="s">
        <v>250</v>
      </c>
      <c r="G158" s="27" t="s">
        <v>251</v>
      </c>
      <c r="H158" s="27" t="s">
        <v>21</v>
      </c>
      <c r="L158" s="28">
        <v>100.0</v>
      </c>
      <c r="N158" s="29">
        <v>4.0</v>
      </c>
      <c r="Q158" s="30">
        <v>506.56736</v>
      </c>
      <c r="S158" s="29">
        <v>19.0</v>
      </c>
      <c r="U158" s="30">
        <v>76.0</v>
      </c>
    </row>
    <row r="159" ht="11.25" customHeight="1">
      <c r="B159" s="27" t="s">
        <v>33</v>
      </c>
      <c r="D159" s="27" t="s">
        <v>252</v>
      </c>
      <c r="G159" s="27" t="s">
        <v>253</v>
      </c>
      <c r="H159" s="27" t="s">
        <v>21</v>
      </c>
      <c r="L159" s="28">
        <v>100.0</v>
      </c>
      <c r="N159" s="29">
        <v>4.0</v>
      </c>
      <c r="Q159" s="30">
        <v>1426.25886</v>
      </c>
      <c r="S159" s="29">
        <v>20.0</v>
      </c>
      <c r="U159" s="30">
        <v>80.0</v>
      </c>
    </row>
    <row r="160" ht="11.25" customHeight="1">
      <c r="B160" s="27" t="s">
        <v>33</v>
      </c>
      <c r="D160" s="27" t="s">
        <v>254</v>
      </c>
      <c r="G160" s="27" t="s">
        <v>255</v>
      </c>
      <c r="H160" s="27" t="s">
        <v>21</v>
      </c>
      <c r="L160" s="28">
        <v>100.0</v>
      </c>
      <c r="N160" s="29">
        <v>1.0</v>
      </c>
      <c r="Q160" s="30">
        <v>164.5634</v>
      </c>
      <c r="S160" s="29">
        <v>19.0</v>
      </c>
      <c r="U160" s="30">
        <v>19.0</v>
      </c>
    </row>
    <row r="161" ht="11.25" customHeight="1">
      <c r="B161" s="27" t="s">
        <v>33</v>
      </c>
      <c r="D161" s="27" t="s">
        <v>256</v>
      </c>
      <c r="G161" s="27" t="s">
        <v>257</v>
      </c>
      <c r="H161" s="27" t="s">
        <v>21</v>
      </c>
      <c r="L161" s="28">
        <v>100.0</v>
      </c>
      <c r="N161" s="29">
        <v>1.0</v>
      </c>
      <c r="Q161" s="30">
        <v>449.80334</v>
      </c>
      <c r="S161" s="29">
        <v>19.0</v>
      </c>
      <c r="U161" s="30">
        <v>19.0</v>
      </c>
    </row>
    <row r="162" ht="11.25" customHeight="1">
      <c r="B162" s="27" t="s">
        <v>33</v>
      </c>
      <c r="D162" s="27" t="s">
        <v>258</v>
      </c>
      <c r="G162" s="27" t="s">
        <v>259</v>
      </c>
      <c r="H162" s="27" t="s">
        <v>21</v>
      </c>
      <c r="L162" s="28">
        <v>100.0</v>
      </c>
      <c r="N162" s="29">
        <v>1.0</v>
      </c>
      <c r="Q162" s="30">
        <v>392.45758</v>
      </c>
      <c r="S162" s="29">
        <v>20.0</v>
      </c>
      <c r="U162" s="30">
        <v>20.0</v>
      </c>
    </row>
    <row r="163" ht="11.25" customHeight="1">
      <c r="B163" s="27" t="s">
        <v>33</v>
      </c>
      <c r="D163" s="27" t="s">
        <v>260</v>
      </c>
      <c r="G163" s="27" t="s">
        <v>261</v>
      </c>
      <c r="H163" s="27" t="s">
        <v>21</v>
      </c>
      <c r="L163" s="28">
        <v>100.0</v>
      </c>
      <c r="N163" s="29">
        <v>0.0</v>
      </c>
      <c r="Q163" s="30">
        <v>-1163.04616</v>
      </c>
      <c r="S163" s="29">
        <v>20.0</v>
      </c>
      <c r="U163" s="30">
        <v>0.0</v>
      </c>
    </row>
    <row r="164" ht="11.25" customHeight="1">
      <c r="B164" s="27" t="s">
        <v>33</v>
      </c>
      <c r="D164" s="27" t="s">
        <v>262</v>
      </c>
      <c r="G164" s="27" t="s">
        <v>263</v>
      </c>
      <c r="H164" s="27" t="s">
        <v>21</v>
      </c>
      <c r="L164" s="28">
        <v>100.0</v>
      </c>
      <c r="N164" s="29">
        <v>1.0</v>
      </c>
      <c r="Q164" s="30">
        <v>397.86086</v>
      </c>
      <c r="S164" s="29">
        <v>20.0</v>
      </c>
      <c r="U164" s="30">
        <v>20.0</v>
      </c>
    </row>
    <row r="165" ht="11.25" customHeight="1">
      <c r="B165" s="27" t="s">
        <v>33</v>
      </c>
      <c r="D165" s="27" t="s">
        <v>264</v>
      </c>
      <c r="G165" s="27" t="s">
        <v>265</v>
      </c>
      <c r="H165" s="27" t="s">
        <v>21</v>
      </c>
      <c r="L165" s="28">
        <v>100.0</v>
      </c>
      <c r="N165" s="29">
        <v>5.0</v>
      </c>
      <c r="Q165" s="30">
        <v>2338.60466</v>
      </c>
      <c r="S165" s="29">
        <v>20.0</v>
      </c>
      <c r="U165" s="30">
        <v>100.0</v>
      </c>
    </row>
    <row r="166" ht="11.25" customHeight="1">
      <c r="B166" s="27" t="s">
        <v>33</v>
      </c>
      <c r="D166" s="27" t="s">
        <v>266</v>
      </c>
      <c r="G166" s="27" t="s">
        <v>267</v>
      </c>
      <c r="H166" s="27" t="s">
        <v>21</v>
      </c>
      <c r="L166" s="28">
        <v>100.0</v>
      </c>
      <c r="N166" s="29">
        <v>2.0</v>
      </c>
      <c r="Q166" s="30">
        <v>2045.59504</v>
      </c>
      <c r="S166" s="29">
        <v>20.0</v>
      </c>
      <c r="U166" s="30">
        <v>40.0</v>
      </c>
    </row>
    <row r="167" ht="11.25" customHeight="1">
      <c r="B167" s="27" t="s">
        <v>33</v>
      </c>
      <c r="D167" s="27" t="s">
        <v>268</v>
      </c>
      <c r="G167" s="27" t="s">
        <v>269</v>
      </c>
      <c r="H167" s="27" t="s">
        <v>21</v>
      </c>
      <c r="L167" s="28">
        <v>100.0</v>
      </c>
      <c r="N167" s="29">
        <v>1.0</v>
      </c>
      <c r="Q167" s="30">
        <v>999.6068</v>
      </c>
      <c r="S167" s="29">
        <v>20.0</v>
      </c>
      <c r="U167" s="30">
        <v>20.0</v>
      </c>
    </row>
    <row r="168" ht="11.25" customHeight="1">
      <c r="B168" s="27" t="s">
        <v>33</v>
      </c>
      <c r="D168" s="27" t="s">
        <v>270</v>
      </c>
      <c r="G168" s="27" t="s">
        <v>271</v>
      </c>
      <c r="H168" s="27" t="s">
        <v>21</v>
      </c>
      <c r="L168" s="28">
        <v>100.0</v>
      </c>
      <c r="N168" s="29">
        <v>1.0</v>
      </c>
      <c r="Q168" s="30">
        <v>1108.24428</v>
      </c>
      <c r="S168" s="29">
        <v>20.0</v>
      </c>
      <c r="U168" s="30">
        <v>20.0</v>
      </c>
    </row>
    <row r="169" ht="11.25" customHeight="1">
      <c r="B169" s="27" t="s">
        <v>33</v>
      </c>
      <c r="D169" s="27" t="s">
        <v>272</v>
      </c>
      <c r="G169" s="27" t="s">
        <v>273</v>
      </c>
      <c r="H169" s="27" t="s">
        <v>21</v>
      </c>
      <c r="L169" s="28">
        <v>100.0</v>
      </c>
      <c r="N169" s="29">
        <v>1.0</v>
      </c>
      <c r="Q169" s="30">
        <v>1015.85608</v>
      </c>
      <c r="S169" s="29">
        <v>20.0</v>
      </c>
      <c r="U169" s="30">
        <v>20.0</v>
      </c>
    </row>
    <row r="170" ht="11.25" customHeight="1">
      <c r="B170" s="27" t="s">
        <v>33</v>
      </c>
      <c r="D170" s="27" t="s">
        <v>274</v>
      </c>
      <c r="G170" s="27" t="s">
        <v>275</v>
      </c>
      <c r="H170" s="27" t="s">
        <v>21</v>
      </c>
      <c r="L170" s="28">
        <v>100.0</v>
      </c>
      <c r="N170" s="29">
        <v>1.0</v>
      </c>
      <c r="Q170" s="30">
        <v>131.67044</v>
      </c>
      <c r="S170" s="29">
        <v>19.0</v>
      </c>
      <c r="U170" s="30">
        <v>19.0</v>
      </c>
    </row>
    <row r="171" ht="11.25" customHeight="1">
      <c r="B171" s="27" t="s">
        <v>82</v>
      </c>
      <c r="D171" s="27" t="s">
        <v>276</v>
      </c>
      <c r="G171" s="27" t="s">
        <v>277</v>
      </c>
      <c r="H171" s="27" t="s">
        <v>21</v>
      </c>
      <c r="L171" s="28">
        <v>100.0</v>
      </c>
      <c r="N171" s="29">
        <v>1.0</v>
      </c>
      <c r="Q171" s="30">
        <v>790.8706</v>
      </c>
      <c r="S171" s="29">
        <v>20.0</v>
      </c>
      <c r="U171" s="30">
        <v>20.0</v>
      </c>
    </row>
    <row r="172" ht="11.25" customHeight="1">
      <c r="B172" s="27" t="s">
        <v>82</v>
      </c>
      <c r="D172" s="27" t="s">
        <v>278</v>
      </c>
      <c r="G172" s="27" t="s">
        <v>279</v>
      </c>
      <c r="H172" s="27" t="s">
        <v>21</v>
      </c>
      <c r="L172" s="28">
        <v>100.0</v>
      </c>
      <c r="N172" s="29">
        <v>3.0</v>
      </c>
      <c r="Q172" s="30">
        <v>1305.7105</v>
      </c>
      <c r="S172" s="29">
        <v>20.0</v>
      </c>
      <c r="U172" s="30">
        <v>60.0</v>
      </c>
    </row>
    <row r="173" ht="11.25" customHeight="1">
      <c r="B173" s="27" t="s">
        <v>82</v>
      </c>
      <c r="D173" s="27" t="s">
        <v>280</v>
      </c>
      <c r="G173" s="27" t="s">
        <v>281</v>
      </c>
      <c r="H173" s="27" t="s">
        <v>21</v>
      </c>
      <c r="L173" s="28">
        <v>100.0</v>
      </c>
      <c r="N173" s="29">
        <v>1.0</v>
      </c>
      <c r="Q173" s="30">
        <v>1089.39196</v>
      </c>
      <c r="S173" s="29">
        <v>20.0</v>
      </c>
      <c r="U173" s="30">
        <v>20.0</v>
      </c>
    </row>
    <row r="174" ht="11.25" customHeight="1">
      <c r="B174" s="27" t="s">
        <v>82</v>
      </c>
      <c r="D174" s="27" t="s">
        <v>282</v>
      </c>
      <c r="G174" s="27" t="s">
        <v>283</v>
      </c>
      <c r="H174" s="27" t="s">
        <v>21</v>
      </c>
      <c r="L174" s="28">
        <v>100.0</v>
      </c>
      <c r="N174" s="29">
        <v>1.0</v>
      </c>
      <c r="Q174" s="30">
        <v>855.33528</v>
      </c>
      <c r="S174" s="29">
        <v>20.0</v>
      </c>
      <c r="U174" s="30">
        <v>20.0</v>
      </c>
    </row>
    <row r="175" ht="11.25" customHeight="1">
      <c r="B175" s="27" t="s">
        <v>82</v>
      </c>
      <c r="D175" s="27" t="s">
        <v>284</v>
      </c>
      <c r="G175" s="27" t="s">
        <v>285</v>
      </c>
      <c r="H175" s="27" t="s">
        <v>21</v>
      </c>
      <c r="L175" s="28">
        <v>100.0</v>
      </c>
      <c r="N175" s="29">
        <v>2.0</v>
      </c>
      <c r="Q175" s="30">
        <v>1624.86884</v>
      </c>
      <c r="S175" s="29">
        <v>20.0</v>
      </c>
      <c r="U175" s="30">
        <v>40.0</v>
      </c>
    </row>
    <row r="176" ht="11.25" customHeight="1">
      <c r="B176" s="27" t="s">
        <v>82</v>
      </c>
      <c r="D176" s="27" t="s">
        <v>286</v>
      </c>
      <c r="G176" s="27" t="s">
        <v>287</v>
      </c>
      <c r="H176" s="27" t="s">
        <v>21</v>
      </c>
      <c r="L176" s="28">
        <v>100.0</v>
      </c>
      <c r="N176" s="29">
        <v>3.0</v>
      </c>
      <c r="Q176" s="30">
        <v>1067.26612</v>
      </c>
      <c r="S176" s="29">
        <v>20.0</v>
      </c>
      <c r="U176" s="30">
        <v>60.0</v>
      </c>
    </row>
    <row r="177" ht="11.25" customHeight="1">
      <c r="B177" s="27" t="s">
        <v>82</v>
      </c>
      <c r="D177" s="27" t="s">
        <v>288</v>
      </c>
      <c r="G177" s="27" t="s">
        <v>289</v>
      </c>
      <c r="H177" s="27" t="s">
        <v>21</v>
      </c>
      <c r="L177" s="28">
        <v>100.0</v>
      </c>
      <c r="N177" s="29">
        <v>2.0</v>
      </c>
      <c r="Q177" s="30">
        <v>730.39922</v>
      </c>
      <c r="S177" s="29">
        <v>20.0</v>
      </c>
      <c r="U177" s="30">
        <v>40.0</v>
      </c>
    </row>
    <row r="178" ht="11.25" customHeight="1">
      <c r="B178" s="27" t="s">
        <v>82</v>
      </c>
      <c r="D178" s="27" t="s">
        <v>290</v>
      </c>
      <c r="G178" s="27" t="s">
        <v>291</v>
      </c>
      <c r="H178" s="27" t="s">
        <v>21</v>
      </c>
      <c r="L178" s="28">
        <v>100.0</v>
      </c>
      <c r="N178" s="29">
        <v>2.0</v>
      </c>
      <c r="Q178" s="30">
        <v>1953.92662</v>
      </c>
      <c r="S178" s="29">
        <v>20.0</v>
      </c>
      <c r="U178" s="30">
        <v>40.0</v>
      </c>
    </row>
    <row r="179" ht="11.25" customHeight="1">
      <c r="B179" s="27" t="s">
        <v>82</v>
      </c>
      <c r="D179" s="27" t="s">
        <v>292</v>
      </c>
      <c r="G179" s="27" t="s">
        <v>293</v>
      </c>
      <c r="H179" s="27" t="s">
        <v>21</v>
      </c>
      <c r="L179" s="28">
        <v>100.0</v>
      </c>
      <c r="N179" s="29">
        <v>1.0</v>
      </c>
      <c r="Q179" s="30">
        <v>943.28648</v>
      </c>
      <c r="S179" s="29">
        <v>20.0</v>
      </c>
      <c r="U179" s="30">
        <v>20.0</v>
      </c>
    </row>
    <row r="180" ht="11.25" customHeight="1">
      <c r="B180" s="27" t="s">
        <v>82</v>
      </c>
      <c r="D180" s="27" t="s">
        <v>294</v>
      </c>
      <c r="G180" s="27" t="s">
        <v>295</v>
      </c>
      <c r="H180" s="27" t="s">
        <v>21</v>
      </c>
      <c r="L180" s="28">
        <v>100.0</v>
      </c>
      <c r="N180" s="29">
        <v>4.0</v>
      </c>
      <c r="Q180" s="30">
        <v>2096.5811</v>
      </c>
      <c r="S180" s="29">
        <v>20.0</v>
      </c>
      <c r="U180" s="30">
        <v>80.0</v>
      </c>
    </row>
    <row r="181" ht="11.25" customHeight="1">
      <c r="B181" s="27" t="s">
        <v>82</v>
      </c>
      <c r="D181" s="27" t="s">
        <v>296</v>
      </c>
      <c r="G181" s="27" t="s">
        <v>297</v>
      </c>
      <c r="H181" s="27" t="s">
        <v>21</v>
      </c>
      <c r="L181" s="28">
        <v>100.0</v>
      </c>
      <c r="N181" s="29">
        <v>3.0</v>
      </c>
      <c r="Q181" s="30">
        <v>2226.71338</v>
      </c>
      <c r="S181" s="29">
        <v>20.0</v>
      </c>
      <c r="U181" s="30">
        <v>60.0</v>
      </c>
    </row>
    <row r="182" ht="11.25" customHeight="1">
      <c r="B182" s="27" t="s">
        <v>82</v>
      </c>
      <c r="D182" s="27" t="s">
        <v>298</v>
      </c>
      <c r="G182" s="27" t="s">
        <v>299</v>
      </c>
      <c r="H182" s="27" t="s">
        <v>21</v>
      </c>
      <c r="L182" s="28">
        <v>100.0</v>
      </c>
      <c r="N182" s="29">
        <v>1.0</v>
      </c>
      <c r="Q182" s="30">
        <v>987.81424</v>
      </c>
      <c r="S182" s="29">
        <v>20.0</v>
      </c>
      <c r="U182" s="30">
        <v>20.0</v>
      </c>
    </row>
    <row r="183" ht="11.25" customHeight="1">
      <c r="B183" s="27" t="s">
        <v>82</v>
      </c>
      <c r="D183" s="27" t="s">
        <v>300</v>
      </c>
      <c r="G183" s="27" t="s">
        <v>301</v>
      </c>
      <c r="H183" s="27" t="s">
        <v>21</v>
      </c>
      <c r="L183" s="28">
        <v>100.0</v>
      </c>
      <c r="N183" s="29">
        <v>1.0</v>
      </c>
      <c r="Q183" s="30">
        <v>1163.04616</v>
      </c>
      <c r="S183" s="29">
        <v>20.0</v>
      </c>
      <c r="U183" s="30">
        <v>20.0</v>
      </c>
    </row>
    <row r="184" ht="11.25" customHeight="1">
      <c r="B184" s="27" t="s">
        <v>82</v>
      </c>
      <c r="D184" s="27" t="s">
        <v>302</v>
      </c>
      <c r="G184" s="27" t="s">
        <v>303</v>
      </c>
      <c r="H184" s="27" t="s">
        <v>21</v>
      </c>
      <c r="L184" s="28">
        <v>100.0</v>
      </c>
      <c r="N184" s="29">
        <v>1.0</v>
      </c>
      <c r="Q184" s="30">
        <v>900.53352</v>
      </c>
      <c r="S184" s="29">
        <v>20.0</v>
      </c>
      <c r="U184" s="30">
        <v>20.0</v>
      </c>
    </row>
    <row r="185" ht="11.25" customHeight="1">
      <c r="B185" s="27" t="s">
        <v>82</v>
      </c>
      <c r="D185" s="27" t="s">
        <v>304</v>
      </c>
      <c r="G185" s="27" t="s">
        <v>305</v>
      </c>
      <c r="H185" s="27" t="s">
        <v>21</v>
      </c>
      <c r="L185" s="28">
        <v>100.0</v>
      </c>
      <c r="N185" s="29">
        <v>1.0</v>
      </c>
      <c r="Q185" s="30">
        <v>764.85992</v>
      </c>
      <c r="S185" s="29">
        <v>20.0</v>
      </c>
      <c r="U185" s="30">
        <v>20.0</v>
      </c>
    </row>
    <row r="186" ht="11.25" customHeight="1">
      <c r="B186" s="27" t="s">
        <v>82</v>
      </c>
      <c r="D186" s="27" t="s">
        <v>306</v>
      </c>
      <c r="G186" s="27" t="s">
        <v>307</v>
      </c>
      <c r="H186" s="27" t="s">
        <v>21</v>
      </c>
      <c r="L186" s="28">
        <v>100.0</v>
      </c>
      <c r="N186" s="29">
        <v>1.0</v>
      </c>
      <c r="Q186" s="30">
        <v>473.75328</v>
      </c>
      <c r="S186" s="29">
        <v>20.0</v>
      </c>
      <c r="U186" s="30">
        <v>20.0</v>
      </c>
    </row>
    <row r="187" ht="11.25" customHeight="1">
      <c r="B187" s="27" t="s">
        <v>82</v>
      </c>
      <c r="D187" s="27" t="s">
        <v>308</v>
      </c>
      <c r="G187" s="27" t="s">
        <v>309</v>
      </c>
      <c r="H187" s="27" t="s">
        <v>21</v>
      </c>
      <c r="L187" s="28">
        <v>100.0</v>
      </c>
      <c r="N187" s="29">
        <v>1.0</v>
      </c>
      <c r="Q187" s="30">
        <v>376.05054</v>
      </c>
      <c r="S187" s="29">
        <v>20.0</v>
      </c>
      <c r="U187" s="30">
        <v>20.0</v>
      </c>
    </row>
    <row r="188" ht="8.25" customHeight="1"/>
    <row r="189" ht="12.0" customHeight="1"/>
    <row r="190" ht="13.5" customHeight="1">
      <c r="B190" s="31" t="s">
        <v>310</v>
      </c>
      <c r="T190" s="32" t="s">
        <v>112</v>
      </c>
      <c r="U190" s="33">
        <v>46096.0</v>
      </c>
    </row>
    <row r="191" ht="9.75" customHeight="1"/>
    <row r="192" ht="40.5" customHeight="1"/>
    <row r="193" ht="27.0" customHeight="1">
      <c r="J193" s="1" t="s">
        <v>0</v>
      </c>
    </row>
    <row r="194" ht="33.75" customHeight="1"/>
    <row r="195" ht="24.75" customHeight="1">
      <c r="B195" s="2" t="s">
        <v>1</v>
      </c>
      <c r="J195" s="3" t="s">
        <v>2</v>
      </c>
    </row>
    <row r="196" ht="14.25" customHeight="1"/>
    <row r="197" ht="13.5" customHeight="1">
      <c r="B197" s="9" t="s">
        <v>7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8.75" customHeight="1">
      <c r="B198" s="12" t="s">
        <v>8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4"/>
    </row>
    <row r="199" ht="2.25" customHeight="1"/>
    <row r="200" ht="13.5" customHeight="1">
      <c r="B200" s="15" t="s">
        <v>9</v>
      </c>
      <c r="C200" s="16"/>
      <c r="D200" s="15" t="s">
        <v>10</v>
      </c>
      <c r="E200" s="17"/>
      <c r="F200" s="16"/>
      <c r="G200" s="18" t="s">
        <v>11</v>
      </c>
      <c r="H200" s="15" t="s">
        <v>12</v>
      </c>
      <c r="I200" s="17"/>
      <c r="J200" s="17"/>
      <c r="K200" s="16"/>
      <c r="L200" s="15" t="s">
        <v>13</v>
      </c>
      <c r="M200" s="16"/>
      <c r="N200" s="15" t="s">
        <v>14</v>
      </c>
      <c r="O200" s="19"/>
      <c r="Q200" s="15" t="s">
        <v>15</v>
      </c>
      <c r="R200" s="19"/>
      <c r="S200" s="15" t="s">
        <v>16</v>
      </c>
      <c r="T200" s="19"/>
      <c r="U200" s="20" t="s">
        <v>17</v>
      </c>
      <c r="V200" s="19"/>
    </row>
    <row r="201" ht="13.5" customHeight="1">
      <c r="B201" s="21"/>
      <c r="C201" s="22"/>
      <c r="D201" s="21"/>
      <c r="E201" s="23"/>
      <c r="F201" s="22"/>
      <c r="G201" s="24"/>
      <c r="H201" s="21"/>
      <c r="I201" s="23"/>
      <c r="J201" s="23"/>
      <c r="K201" s="22"/>
      <c r="L201" s="21"/>
      <c r="M201" s="22"/>
      <c r="N201" s="21"/>
      <c r="O201" s="25"/>
      <c r="Q201" s="21"/>
      <c r="R201" s="25"/>
      <c r="S201" s="21"/>
      <c r="T201" s="25"/>
      <c r="U201" s="26"/>
      <c r="V201" s="25"/>
    </row>
    <row r="202" ht="11.25" customHeight="1">
      <c r="B202" s="27" t="s">
        <v>82</v>
      </c>
      <c r="D202" s="27" t="s">
        <v>311</v>
      </c>
      <c r="G202" s="27" t="s">
        <v>312</v>
      </c>
      <c r="H202" s="27" t="s">
        <v>21</v>
      </c>
      <c r="L202" s="28">
        <v>100.0</v>
      </c>
      <c r="N202" s="29">
        <v>1.0</v>
      </c>
      <c r="Q202" s="30">
        <v>986.79866</v>
      </c>
      <c r="S202" s="29">
        <v>20.0</v>
      </c>
      <c r="U202" s="30">
        <v>20.0</v>
      </c>
    </row>
    <row r="203" ht="11.25" customHeight="1">
      <c r="B203" s="27" t="s">
        <v>82</v>
      </c>
      <c r="D203" s="27" t="s">
        <v>313</v>
      </c>
      <c r="G203" s="27" t="s">
        <v>314</v>
      </c>
      <c r="H203" s="27" t="s">
        <v>21</v>
      </c>
      <c r="L203" s="28">
        <v>100.0</v>
      </c>
      <c r="N203" s="29">
        <v>1.0</v>
      </c>
      <c r="Q203" s="30">
        <v>406.29116</v>
      </c>
      <c r="S203" s="29">
        <v>20.0</v>
      </c>
      <c r="U203" s="30">
        <v>20.0</v>
      </c>
    </row>
    <row r="204" ht="11.25" customHeight="1">
      <c r="B204" s="27" t="s">
        <v>82</v>
      </c>
      <c r="D204" s="27" t="s">
        <v>315</v>
      </c>
      <c r="G204" s="27" t="s">
        <v>316</v>
      </c>
      <c r="H204" s="27" t="s">
        <v>21</v>
      </c>
      <c r="L204" s="28">
        <v>100.0</v>
      </c>
      <c r="N204" s="29">
        <v>1.0</v>
      </c>
      <c r="Q204" s="30">
        <v>1089.39196</v>
      </c>
      <c r="S204" s="29">
        <v>20.0</v>
      </c>
      <c r="U204" s="30">
        <v>20.0</v>
      </c>
    </row>
    <row r="205" ht="11.25" customHeight="1">
      <c r="B205" s="27" t="s">
        <v>82</v>
      </c>
      <c r="D205" s="27" t="s">
        <v>317</v>
      </c>
      <c r="G205" s="27" t="s">
        <v>318</v>
      </c>
      <c r="H205" s="27" t="s">
        <v>21</v>
      </c>
      <c r="L205" s="28">
        <v>100.0</v>
      </c>
      <c r="N205" s="29">
        <v>2.0</v>
      </c>
      <c r="Q205" s="30">
        <v>1779.17784</v>
      </c>
      <c r="S205" s="29">
        <v>20.0</v>
      </c>
      <c r="U205" s="30">
        <v>40.0</v>
      </c>
    </row>
    <row r="206" ht="11.25" customHeight="1">
      <c r="B206" s="27" t="s">
        <v>82</v>
      </c>
      <c r="D206" s="27" t="s">
        <v>319</v>
      </c>
      <c r="G206" s="27" t="s">
        <v>320</v>
      </c>
      <c r="H206" s="27" t="s">
        <v>21</v>
      </c>
      <c r="L206" s="28">
        <v>100.0</v>
      </c>
      <c r="N206" s="29">
        <v>1.0</v>
      </c>
      <c r="Q206" s="30">
        <v>479.95522</v>
      </c>
      <c r="S206" s="29">
        <v>20.0</v>
      </c>
      <c r="U206" s="30">
        <v>20.0</v>
      </c>
    </row>
    <row r="207" ht="11.25" customHeight="1">
      <c r="B207" s="27" t="s">
        <v>82</v>
      </c>
      <c r="D207" s="27" t="s">
        <v>321</v>
      </c>
      <c r="G207" s="27" t="s">
        <v>322</v>
      </c>
      <c r="H207" s="27" t="s">
        <v>21</v>
      </c>
      <c r="L207" s="28">
        <v>100.0</v>
      </c>
      <c r="N207" s="29">
        <v>2.0</v>
      </c>
      <c r="Q207" s="30">
        <v>2141.56242</v>
      </c>
      <c r="S207" s="29">
        <v>20.0</v>
      </c>
      <c r="U207" s="30">
        <v>40.0</v>
      </c>
    </row>
    <row r="208" ht="12.0" customHeight="1"/>
    <row r="209" ht="18.0" customHeight="1">
      <c r="Q209" s="34">
        <v>58328.10194</v>
      </c>
      <c r="U209" s="34">
        <v>1965.0</v>
      </c>
    </row>
    <row r="210" ht="13.5" customHeight="1">
      <c r="A210" s="35" t="s">
        <v>323</v>
      </c>
      <c r="Q210" s="34">
        <v>146141.8141</v>
      </c>
      <c r="U210" s="34">
        <v>4993.0</v>
      </c>
    </row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</sheetData>
  <mergeCells count="1257">
    <mergeCell ref="S106:T106"/>
    <mergeCell ref="U106:V106"/>
    <mergeCell ref="B105:C105"/>
    <mergeCell ref="B106:C106"/>
    <mergeCell ref="D106:F106"/>
    <mergeCell ref="H106:K106"/>
    <mergeCell ref="L106:M106"/>
    <mergeCell ref="N106:O106"/>
    <mergeCell ref="Q106:R106"/>
    <mergeCell ref="D107:F107"/>
    <mergeCell ref="H107:K107"/>
    <mergeCell ref="L107:M107"/>
    <mergeCell ref="N107:O107"/>
    <mergeCell ref="Q107:R107"/>
    <mergeCell ref="S107:T107"/>
    <mergeCell ref="U107:V107"/>
    <mergeCell ref="B107:C107"/>
    <mergeCell ref="B108:C108"/>
    <mergeCell ref="D108:F108"/>
    <mergeCell ref="H108:K108"/>
    <mergeCell ref="L108:M108"/>
    <mergeCell ref="N108:O108"/>
    <mergeCell ref="Q108:R108"/>
    <mergeCell ref="Q109:R109"/>
    <mergeCell ref="S109:T109"/>
    <mergeCell ref="S108:T108"/>
    <mergeCell ref="U108:V108"/>
    <mergeCell ref="D109:F109"/>
    <mergeCell ref="H109:K109"/>
    <mergeCell ref="L109:M109"/>
    <mergeCell ref="N109:O109"/>
    <mergeCell ref="U109:V109"/>
    <mergeCell ref="S110:T110"/>
    <mergeCell ref="U110:V110"/>
    <mergeCell ref="B109:C109"/>
    <mergeCell ref="B110:C110"/>
    <mergeCell ref="D110:F110"/>
    <mergeCell ref="H110:K110"/>
    <mergeCell ref="L110:M110"/>
    <mergeCell ref="N110:O110"/>
    <mergeCell ref="Q110:R110"/>
    <mergeCell ref="D111:F111"/>
    <mergeCell ref="H111:K111"/>
    <mergeCell ref="L111:M111"/>
    <mergeCell ref="N111:O111"/>
    <mergeCell ref="Q111:R111"/>
    <mergeCell ref="S111:T111"/>
    <mergeCell ref="U111:V111"/>
    <mergeCell ref="B111:C111"/>
    <mergeCell ref="B112:C112"/>
    <mergeCell ref="D112:F112"/>
    <mergeCell ref="H112:K112"/>
    <mergeCell ref="L112:M112"/>
    <mergeCell ref="N112:O112"/>
    <mergeCell ref="Q112:R112"/>
    <mergeCell ref="Q113:R113"/>
    <mergeCell ref="S113:T113"/>
    <mergeCell ref="S112:T112"/>
    <mergeCell ref="U112:V112"/>
    <mergeCell ref="D113:F113"/>
    <mergeCell ref="H113:K113"/>
    <mergeCell ref="L113:M113"/>
    <mergeCell ref="N113:O113"/>
    <mergeCell ref="U113:V113"/>
    <mergeCell ref="S114:T114"/>
    <mergeCell ref="U114:V114"/>
    <mergeCell ref="B113:C113"/>
    <mergeCell ref="B114:C114"/>
    <mergeCell ref="D114:F114"/>
    <mergeCell ref="H114:K114"/>
    <mergeCell ref="L114:M114"/>
    <mergeCell ref="N114:O114"/>
    <mergeCell ref="Q114:R114"/>
    <mergeCell ref="L123:M123"/>
    <mergeCell ref="N123:O123"/>
    <mergeCell ref="U126:V126"/>
    <mergeCell ref="J129:U129"/>
    <mergeCell ref="J131:U131"/>
    <mergeCell ref="B133:V133"/>
    <mergeCell ref="B134:V134"/>
    <mergeCell ref="B131:I131"/>
    <mergeCell ref="B136:C137"/>
    <mergeCell ref="D136:F137"/>
    <mergeCell ref="G136:G137"/>
    <mergeCell ref="H136:K137"/>
    <mergeCell ref="L136:M137"/>
    <mergeCell ref="N136:O137"/>
    <mergeCell ref="U136:V137"/>
    <mergeCell ref="D81:F81"/>
    <mergeCell ref="H81:K81"/>
    <mergeCell ref="L81:M81"/>
    <mergeCell ref="N81:O81"/>
    <mergeCell ref="Q81:R81"/>
    <mergeCell ref="S81:T81"/>
    <mergeCell ref="U81:V81"/>
    <mergeCell ref="B81:C81"/>
    <mergeCell ref="B82:C82"/>
    <mergeCell ref="D82:F82"/>
    <mergeCell ref="H82:K82"/>
    <mergeCell ref="L82:M82"/>
    <mergeCell ref="N82:O82"/>
    <mergeCell ref="Q82:R82"/>
    <mergeCell ref="D83:F83"/>
    <mergeCell ref="H83:K83"/>
    <mergeCell ref="L83:M83"/>
    <mergeCell ref="N83:O83"/>
    <mergeCell ref="Q83:R83"/>
    <mergeCell ref="S83:T83"/>
    <mergeCell ref="U83:V83"/>
    <mergeCell ref="S84:T84"/>
    <mergeCell ref="U84:V84"/>
    <mergeCell ref="B83:C83"/>
    <mergeCell ref="B84:C84"/>
    <mergeCell ref="D84:F84"/>
    <mergeCell ref="H84:K84"/>
    <mergeCell ref="L84:M84"/>
    <mergeCell ref="N84:O84"/>
    <mergeCell ref="Q84:R84"/>
    <mergeCell ref="S86:T86"/>
    <mergeCell ref="U86:V86"/>
    <mergeCell ref="S140:T140"/>
    <mergeCell ref="U140:V140"/>
    <mergeCell ref="D115:F115"/>
    <mergeCell ref="H115:K115"/>
    <mergeCell ref="L115:M115"/>
    <mergeCell ref="N115:O115"/>
    <mergeCell ref="Q115:R115"/>
    <mergeCell ref="S115:T115"/>
    <mergeCell ref="U115:V115"/>
    <mergeCell ref="B115:C115"/>
    <mergeCell ref="B116:C116"/>
    <mergeCell ref="D116:F116"/>
    <mergeCell ref="H116:K116"/>
    <mergeCell ref="L116:M116"/>
    <mergeCell ref="N116:O116"/>
    <mergeCell ref="Q116:R116"/>
    <mergeCell ref="Q117:R117"/>
    <mergeCell ref="S117:T117"/>
    <mergeCell ref="S116:T116"/>
    <mergeCell ref="U116:V116"/>
    <mergeCell ref="D117:F117"/>
    <mergeCell ref="H117:K117"/>
    <mergeCell ref="L117:M117"/>
    <mergeCell ref="N117:O117"/>
    <mergeCell ref="U117:V117"/>
    <mergeCell ref="S118:T118"/>
    <mergeCell ref="U118:V118"/>
    <mergeCell ref="B117:C117"/>
    <mergeCell ref="B118:C118"/>
    <mergeCell ref="D118:F118"/>
    <mergeCell ref="H118:K118"/>
    <mergeCell ref="L118:M118"/>
    <mergeCell ref="N118:O118"/>
    <mergeCell ref="Q118:R118"/>
    <mergeCell ref="D119:F119"/>
    <mergeCell ref="H119:K119"/>
    <mergeCell ref="L119:M119"/>
    <mergeCell ref="N119:O119"/>
    <mergeCell ref="Q119:R119"/>
    <mergeCell ref="S119:T119"/>
    <mergeCell ref="U119:V119"/>
    <mergeCell ref="B119:C119"/>
    <mergeCell ref="B120:C120"/>
    <mergeCell ref="D120:F120"/>
    <mergeCell ref="H120:K120"/>
    <mergeCell ref="L120:M120"/>
    <mergeCell ref="N120:O120"/>
    <mergeCell ref="Q120:R120"/>
    <mergeCell ref="Q123:R123"/>
    <mergeCell ref="S123:T123"/>
    <mergeCell ref="S120:T120"/>
    <mergeCell ref="U120:V120"/>
    <mergeCell ref="Q122:R122"/>
    <mergeCell ref="U122:V122"/>
    <mergeCell ref="B123:C123"/>
    <mergeCell ref="D123:F123"/>
    <mergeCell ref="H123:K123"/>
    <mergeCell ref="U123:V123"/>
    <mergeCell ref="Q138:R138"/>
    <mergeCell ref="S138:T138"/>
    <mergeCell ref="U138:V138"/>
    <mergeCell ref="Q136:R137"/>
    <mergeCell ref="S136:T137"/>
    <mergeCell ref="B138:C138"/>
    <mergeCell ref="D138:F138"/>
    <mergeCell ref="H138:K138"/>
    <mergeCell ref="L138:M138"/>
    <mergeCell ref="N138:O138"/>
    <mergeCell ref="D143:F143"/>
    <mergeCell ref="H143:K143"/>
    <mergeCell ref="L143:M143"/>
    <mergeCell ref="N143:O143"/>
    <mergeCell ref="Q143:R143"/>
    <mergeCell ref="S143:T143"/>
    <mergeCell ref="U143:V143"/>
    <mergeCell ref="B143:C143"/>
    <mergeCell ref="B144:C144"/>
    <mergeCell ref="D144:F144"/>
    <mergeCell ref="H144:K144"/>
    <mergeCell ref="L144:M144"/>
    <mergeCell ref="N144:O144"/>
    <mergeCell ref="Q144:R144"/>
    <mergeCell ref="D145:F145"/>
    <mergeCell ref="H145:K145"/>
    <mergeCell ref="L145:M145"/>
    <mergeCell ref="N145:O145"/>
    <mergeCell ref="Q145:R145"/>
    <mergeCell ref="S145:T145"/>
    <mergeCell ref="U145:V145"/>
    <mergeCell ref="B145:C145"/>
    <mergeCell ref="B146:C146"/>
    <mergeCell ref="D146:F146"/>
    <mergeCell ref="H146:K146"/>
    <mergeCell ref="L146:M146"/>
    <mergeCell ref="N146:O146"/>
    <mergeCell ref="Q146:R146"/>
    <mergeCell ref="Q147:R147"/>
    <mergeCell ref="S147:T147"/>
    <mergeCell ref="S146:T146"/>
    <mergeCell ref="U146:V146"/>
    <mergeCell ref="D147:F147"/>
    <mergeCell ref="H147:K147"/>
    <mergeCell ref="L147:M147"/>
    <mergeCell ref="N147:O147"/>
    <mergeCell ref="U147:V147"/>
    <mergeCell ref="S148:T148"/>
    <mergeCell ref="U148:V148"/>
    <mergeCell ref="B147:C147"/>
    <mergeCell ref="B148:C148"/>
    <mergeCell ref="D148:F148"/>
    <mergeCell ref="H148:K148"/>
    <mergeCell ref="L148:M148"/>
    <mergeCell ref="N148:O148"/>
    <mergeCell ref="Q148:R148"/>
    <mergeCell ref="D149:F149"/>
    <mergeCell ref="H149:K149"/>
    <mergeCell ref="L149:M149"/>
    <mergeCell ref="N149:O149"/>
    <mergeCell ref="Q149:R149"/>
    <mergeCell ref="S149:T149"/>
    <mergeCell ref="U149:V149"/>
    <mergeCell ref="B149:C149"/>
    <mergeCell ref="B150:C150"/>
    <mergeCell ref="D150:F150"/>
    <mergeCell ref="H150:K150"/>
    <mergeCell ref="L150:M150"/>
    <mergeCell ref="N150:O150"/>
    <mergeCell ref="Q150:R150"/>
    <mergeCell ref="Q151:R151"/>
    <mergeCell ref="S151:T151"/>
    <mergeCell ref="S150:T150"/>
    <mergeCell ref="U150:V150"/>
    <mergeCell ref="D151:F151"/>
    <mergeCell ref="H151:K151"/>
    <mergeCell ref="L151:M151"/>
    <mergeCell ref="N151:O151"/>
    <mergeCell ref="U151:V151"/>
    <mergeCell ref="S152:T152"/>
    <mergeCell ref="U152:V152"/>
    <mergeCell ref="B151:C151"/>
    <mergeCell ref="B152:C152"/>
    <mergeCell ref="D152:F152"/>
    <mergeCell ref="H152:K152"/>
    <mergeCell ref="L152:M152"/>
    <mergeCell ref="N152:O152"/>
    <mergeCell ref="Q152:R152"/>
    <mergeCell ref="Q155:R155"/>
    <mergeCell ref="S155:T155"/>
    <mergeCell ref="S154:T154"/>
    <mergeCell ref="U154:V154"/>
    <mergeCell ref="D155:F155"/>
    <mergeCell ref="H155:K155"/>
    <mergeCell ref="L155:M155"/>
    <mergeCell ref="N155:O155"/>
    <mergeCell ref="U155:V155"/>
    <mergeCell ref="D153:F153"/>
    <mergeCell ref="H153:K153"/>
    <mergeCell ref="L153:M153"/>
    <mergeCell ref="N153:O153"/>
    <mergeCell ref="Q153:R153"/>
    <mergeCell ref="S153:T153"/>
    <mergeCell ref="U153:V153"/>
    <mergeCell ref="B153:C153"/>
    <mergeCell ref="B154:C154"/>
    <mergeCell ref="D154:F154"/>
    <mergeCell ref="H154:K154"/>
    <mergeCell ref="L154:M154"/>
    <mergeCell ref="N154:O154"/>
    <mergeCell ref="Q154:R154"/>
    <mergeCell ref="S156:T156"/>
    <mergeCell ref="U156:V156"/>
    <mergeCell ref="B155:C155"/>
    <mergeCell ref="B156:C156"/>
    <mergeCell ref="D156:F156"/>
    <mergeCell ref="H156:K156"/>
    <mergeCell ref="L156:M156"/>
    <mergeCell ref="N156:O156"/>
    <mergeCell ref="Q156:R156"/>
    <mergeCell ref="D157:F157"/>
    <mergeCell ref="H157:K157"/>
    <mergeCell ref="L157:M157"/>
    <mergeCell ref="N157:O157"/>
    <mergeCell ref="Q157:R157"/>
    <mergeCell ref="S157:T157"/>
    <mergeCell ref="U157:V157"/>
    <mergeCell ref="B157:C157"/>
    <mergeCell ref="B158:C158"/>
    <mergeCell ref="D158:F158"/>
    <mergeCell ref="H158:K158"/>
    <mergeCell ref="L158:M158"/>
    <mergeCell ref="N158:O158"/>
    <mergeCell ref="Q158:R158"/>
    <mergeCell ref="Q159:R159"/>
    <mergeCell ref="S159:T159"/>
    <mergeCell ref="S158:T158"/>
    <mergeCell ref="U158:V158"/>
    <mergeCell ref="D159:F159"/>
    <mergeCell ref="H159:K159"/>
    <mergeCell ref="L159:M159"/>
    <mergeCell ref="N159:O159"/>
    <mergeCell ref="U159:V159"/>
    <mergeCell ref="S160:T160"/>
    <mergeCell ref="U160:V160"/>
    <mergeCell ref="B159:C159"/>
    <mergeCell ref="B160:C160"/>
    <mergeCell ref="D160:F160"/>
    <mergeCell ref="H160:K160"/>
    <mergeCell ref="L160:M160"/>
    <mergeCell ref="N160:O160"/>
    <mergeCell ref="Q160:R160"/>
    <mergeCell ref="D161:F161"/>
    <mergeCell ref="H161:K161"/>
    <mergeCell ref="L161:M161"/>
    <mergeCell ref="N161:O161"/>
    <mergeCell ref="Q161:R161"/>
    <mergeCell ref="S161:T161"/>
    <mergeCell ref="U161:V161"/>
    <mergeCell ref="B161:C161"/>
    <mergeCell ref="B162:C162"/>
    <mergeCell ref="D162:F162"/>
    <mergeCell ref="H162:K162"/>
    <mergeCell ref="L162:M162"/>
    <mergeCell ref="N162:O162"/>
    <mergeCell ref="Q162:R162"/>
    <mergeCell ref="Q163:R163"/>
    <mergeCell ref="S163:T163"/>
    <mergeCell ref="S162:T162"/>
    <mergeCell ref="U162:V162"/>
    <mergeCell ref="D163:F163"/>
    <mergeCell ref="H163:K163"/>
    <mergeCell ref="L163:M163"/>
    <mergeCell ref="N163:O163"/>
    <mergeCell ref="U163:V163"/>
    <mergeCell ref="S164:T164"/>
    <mergeCell ref="U164:V164"/>
    <mergeCell ref="B163:C163"/>
    <mergeCell ref="B164:C164"/>
    <mergeCell ref="D164:F164"/>
    <mergeCell ref="H164:K164"/>
    <mergeCell ref="L164:M164"/>
    <mergeCell ref="N164:O164"/>
    <mergeCell ref="Q164:R164"/>
    <mergeCell ref="D165:F165"/>
    <mergeCell ref="H165:K165"/>
    <mergeCell ref="L165:M165"/>
    <mergeCell ref="N165:O165"/>
    <mergeCell ref="Q165:R165"/>
    <mergeCell ref="S165:T165"/>
    <mergeCell ref="U165:V165"/>
    <mergeCell ref="B165:C165"/>
    <mergeCell ref="B166:C166"/>
    <mergeCell ref="D166:F166"/>
    <mergeCell ref="H166:K166"/>
    <mergeCell ref="L166:M166"/>
    <mergeCell ref="N166:O166"/>
    <mergeCell ref="Q166:R166"/>
    <mergeCell ref="Q167:R167"/>
    <mergeCell ref="S167:T167"/>
    <mergeCell ref="S166:T166"/>
    <mergeCell ref="U166:V166"/>
    <mergeCell ref="D167:F167"/>
    <mergeCell ref="H167:K167"/>
    <mergeCell ref="L167:M167"/>
    <mergeCell ref="N167:O167"/>
    <mergeCell ref="U167:V167"/>
    <mergeCell ref="S168:T168"/>
    <mergeCell ref="U168:V168"/>
    <mergeCell ref="B167:C167"/>
    <mergeCell ref="B168:C168"/>
    <mergeCell ref="D168:F168"/>
    <mergeCell ref="H168:K168"/>
    <mergeCell ref="L168:M168"/>
    <mergeCell ref="N168:O168"/>
    <mergeCell ref="Q168:R168"/>
    <mergeCell ref="D169:F169"/>
    <mergeCell ref="H169:K169"/>
    <mergeCell ref="L169:M169"/>
    <mergeCell ref="N169:O169"/>
    <mergeCell ref="Q169:R169"/>
    <mergeCell ref="S169:T169"/>
    <mergeCell ref="U169:V169"/>
    <mergeCell ref="B169:C169"/>
    <mergeCell ref="B170:C170"/>
    <mergeCell ref="D170:F170"/>
    <mergeCell ref="H170:K170"/>
    <mergeCell ref="L170:M170"/>
    <mergeCell ref="N170:O170"/>
    <mergeCell ref="Q170:R170"/>
    <mergeCell ref="Q171:R171"/>
    <mergeCell ref="S171:T171"/>
    <mergeCell ref="S170:T170"/>
    <mergeCell ref="U170:V170"/>
    <mergeCell ref="D171:F171"/>
    <mergeCell ref="H171:K171"/>
    <mergeCell ref="L171:M171"/>
    <mergeCell ref="N171:O171"/>
    <mergeCell ref="U171:V171"/>
    <mergeCell ref="S172:T172"/>
    <mergeCell ref="U172:V172"/>
    <mergeCell ref="B171:C171"/>
    <mergeCell ref="B172:C172"/>
    <mergeCell ref="D172:F172"/>
    <mergeCell ref="H172:K172"/>
    <mergeCell ref="L172:M172"/>
    <mergeCell ref="N172:O172"/>
    <mergeCell ref="Q172:R172"/>
    <mergeCell ref="D181:F181"/>
    <mergeCell ref="H181:K181"/>
    <mergeCell ref="L181:M181"/>
    <mergeCell ref="N181:O181"/>
    <mergeCell ref="Q181:R181"/>
    <mergeCell ref="S181:T181"/>
    <mergeCell ref="U181:V181"/>
    <mergeCell ref="B181:C181"/>
    <mergeCell ref="B182:C182"/>
    <mergeCell ref="D182:F182"/>
    <mergeCell ref="H182:K182"/>
    <mergeCell ref="L182:M182"/>
    <mergeCell ref="N182:O182"/>
    <mergeCell ref="Q182:R182"/>
    <mergeCell ref="S184:T184"/>
    <mergeCell ref="U184:V184"/>
    <mergeCell ref="B183:C183"/>
    <mergeCell ref="B184:C184"/>
    <mergeCell ref="D184:F184"/>
    <mergeCell ref="H184:K184"/>
    <mergeCell ref="L184:M184"/>
    <mergeCell ref="N184:O184"/>
    <mergeCell ref="Q184:R184"/>
    <mergeCell ref="D185:F185"/>
    <mergeCell ref="H185:K185"/>
    <mergeCell ref="L185:M185"/>
    <mergeCell ref="N185:O185"/>
    <mergeCell ref="Q185:R185"/>
    <mergeCell ref="S185:T185"/>
    <mergeCell ref="U185:V185"/>
    <mergeCell ref="B185:C185"/>
    <mergeCell ref="B186:C186"/>
    <mergeCell ref="D186:F186"/>
    <mergeCell ref="H186:K186"/>
    <mergeCell ref="L186:M186"/>
    <mergeCell ref="N186:O186"/>
    <mergeCell ref="Q186:R186"/>
    <mergeCell ref="S186:T186"/>
    <mergeCell ref="U186:V186"/>
    <mergeCell ref="B187:C187"/>
    <mergeCell ref="D187:F187"/>
    <mergeCell ref="H187:K187"/>
    <mergeCell ref="L187:M187"/>
    <mergeCell ref="N187:O187"/>
    <mergeCell ref="U187:V187"/>
    <mergeCell ref="Q187:R187"/>
    <mergeCell ref="S187:T187"/>
    <mergeCell ref="U190:V190"/>
    <mergeCell ref="J193:U193"/>
    <mergeCell ref="J195:U195"/>
    <mergeCell ref="B197:V197"/>
    <mergeCell ref="B198:V198"/>
    <mergeCell ref="B195:I195"/>
    <mergeCell ref="B200:C201"/>
    <mergeCell ref="D200:F201"/>
    <mergeCell ref="G200:G201"/>
    <mergeCell ref="H200:K201"/>
    <mergeCell ref="L200:M201"/>
    <mergeCell ref="N200:O201"/>
    <mergeCell ref="B202:C202"/>
    <mergeCell ref="D202:F202"/>
    <mergeCell ref="H202:K202"/>
    <mergeCell ref="L202:M202"/>
    <mergeCell ref="N202:O202"/>
    <mergeCell ref="D203:F203"/>
    <mergeCell ref="N203:O203"/>
    <mergeCell ref="H205:K205"/>
    <mergeCell ref="H206:K206"/>
    <mergeCell ref="L206:M206"/>
    <mergeCell ref="N206:O206"/>
    <mergeCell ref="H203:K203"/>
    <mergeCell ref="L203:M203"/>
    <mergeCell ref="H204:K204"/>
    <mergeCell ref="L204:M204"/>
    <mergeCell ref="N204:O204"/>
    <mergeCell ref="L205:M205"/>
    <mergeCell ref="N205:O205"/>
    <mergeCell ref="B207:C207"/>
    <mergeCell ref="D207:F207"/>
    <mergeCell ref="H207:K207"/>
    <mergeCell ref="L207:M207"/>
    <mergeCell ref="N207:O207"/>
    <mergeCell ref="A210:O210"/>
    <mergeCell ref="B203:C203"/>
    <mergeCell ref="B204:C204"/>
    <mergeCell ref="D204:F204"/>
    <mergeCell ref="B205:C205"/>
    <mergeCell ref="D205:F205"/>
    <mergeCell ref="B206:C206"/>
    <mergeCell ref="D206:F206"/>
    <mergeCell ref="S203:T203"/>
    <mergeCell ref="U203:V203"/>
    <mergeCell ref="Q200:R201"/>
    <mergeCell ref="S200:T201"/>
    <mergeCell ref="U200:V201"/>
    <mergeCell ref="Q202:R202"/>
    <mergeCell ref="S202:T202"/>
    <mergeCell ref="U202:V202"/>
    <mergeCell ref="Q203:R203"/>
    <mergeCell ref="S207:T207"/>
    <mergeCell ref="U207:V207"/>
    <mergeCell ref="Q209:R209"/>
    <mergeCell ref="U209:V209"/>
    <mergeCell ref="Q210:R210"/>
    <mergeCell ref="U210:V210"/>
    <mergeCell ref="Q205:R205"/>
    <mergeCell ref="S205:T205"/>
    <mergeCell ref="U205:V205"/>
    <mergeCell ref="Q206:R206"/>
    <mergeCell ref="S206:T206"/>
    <mergeCell ref="U206:V206"/>
    <mergeCell ref="Q207:R207"/>
    <mergeCell ref="D139:F139"/>
    <mergeCell ref="H139:K139"/>
    <mergeCell ref="L139:M139"/>
    <mergeCell ref="N139:O139"/>
    <mergeCell ref="Q139:R139"/>
    <mergeCell ref="S139:T139"/>
    <mergeCell ref="U139:V139"/>
    <mergeCell ref="B139:C139"/>
    <mergeCell ref="B140:C140"/>
    <mergeCell ref="D140:F140"/>
    <mergeCell ref="H140:K140"/>
    <mergeCell ref="L140:M140"/>
    <mergeCell ref="N140:O140"/>
    <mergeCell ref="Q140:R140"/>
    <mergeCell ref="D141:F141"/>
    <mergeCell ref="H141:K141"/>
    <mergeCell ref="L141:M141"/>
    <mergeCell ref="N141:O141"/>
    <mergeCell ref="Q141:R141"/>
    <mergeCell ref="S141:T141"/>
    <mergeCell ref="U141:V141"/>
    <mergeCell ref="S142:T142"/>
    <mergeCell ref="U142:V142"/>
    <mergeCell ref="B141:C141"/>
    <mergeCell ref="B142:C142"/>
    <mergeCell ref="D142:F142"/>
    <mergeCell ref="H142:K142"/>
    <mergeCell ref="L142:M142"/>
    <mergeCell ref="N142:O142"/>
    <mergeCell ref="Q142:R142"/>
    <mergeCell ref="S144:T144"/>
    <mergeCell ref="U144:V144"/>
    <mergeCell ref="Q204:R204"/>
    <mergeCell ref="S204:T204"/>
    <mergeCell ref="U204:V204"/>
    <mergeCell ref="D173:F173"/>
    <mergeCell ref="H173:K173"/>
    <mergeCell ref="L173:M173"/>
    <mergeCell ref="N173:O173"/>
    <mergeCell ref="Q173:R173"/>
    <mergeCell ref="S173:T173"/>
    <mergeCell ref="U173:V173"/>
    <mergeCell ref="B173:C173"/>
    <mergeCell ref="B174:C174"/>
    <mergeCell ref="D174:F174"/>
    <mergeCell ref="H174:K174"/>
    <mergeCell ref="L174:M174"/>
    <mergeCell ref="N174:O174"/>
    <mergeCell ref="Q174:R174"/>
    <mergeCell ref="Q175:R175"/>
    <mergeCell ref="S175:T175"/>
    <mergeCell ref="S174:T174"/>
    <mergeCell ref="U174:V174"/>
    <mergeCell ref="D175:F175"/>
    <mergeCell ref="H175:K175"/>
    <mergeCell ref="L175:M175"/>
    <mergeCell ref="N175:O175"/>
    <mergeCell ref="U175:V175"/>
    <mergeCell ref="S176:T176"/>
    <mergeCell ref="U176:V176"/>
    <mergeCell ref="B175:C175"/>
    <mergeCell ref="B176:C176"/>
    <mergeCell ref="D176:F176"/>
    <mergeCell ref="H176:K176"/>
    <mergeCell ref="L176:M176"/>
    <mergeCell ref="N176:O176"/>
    <mergeCell ref="Q176:R176"/>
    <mergeCell ref="D177:F177"/>
    <mergeCell ref="H177:K177"/>
    <mergeCell ref="L177:M177"/>
    <mergeCell ref="N177:O177"/>
    <mergeCell ref="Q177:R177"/>
    <mergeCell ref="S177:T177"/>
    <mergeCell ref="U177:V177"/>
    <mergeCell ref="B177:C177"/>
    <mergeCell ref="B178:C178"/>
    <mergeCell ref="D178:F178"/>
    <mergeCell ref="H178:K178"/>
    <mergeCell ref="L178:M178"/>
    <mergeCell ref="N178:O178"/>
    <mergeCell ref="Q178:R178"/>
    <mergeCell ref="Q179:R179"/>
    <mergeCell ref="S179:T179"/>
    <mergeCell ref="S178:T178"/>
    <mergeCell ref="U178:V178"/>
    <mergeCell ref="D179:F179"/>
    <mergeCell ref="H179:K179"/>
    <mergeCell ref="L179:M179"/>
    <mergeCell ref="N179:O179"/>
    <mergeCell ref="U179:V179"/>
    <mergeCell ref="S180:T180"/>
    <mergeCell ref="U180:V180"/>
    <mergeCell ref="B179:C179"/>
    <mergeCell ref="B180:C180"/>
    <mergeCell ref="D180:F180"/>
    <mergeCell ref="H180:K180"/>
    <mergeCell ref="L180:M180"/>
    <mergeCell ref="N180:O180"/>
    <mergeCell ref="Q180:R180"/>
    <mergeCell ref="Q183:R183"/>
    <mergeCell ref="S183:T183"/>
    <mergeCell ref="S182:T182"/>
    <mergeCell ref="U182:V182"/>
    <mergeCell ref="D183:F183"/>
    <mergeCell ref="H183:K183"/>
    <mergeCell ref="L183:M183"/>
    <mergeCell ref="N183:O183"/>
    <mergeCell ref="U183:V183"/>
    <mergeCell ref="L38:M38"/>
    <mergeCell ref="N38:O38"/>
    <mergeCell ref="H39:K39"/>
    <mergeCell ref="L39:M39"/>
    <mergeCell ref="N39:O39"/>
    <mergeCell ref="L40:M40"/>
    <mergeCell ref="N40:O40"/>
    <mergeCell ref="H40:K40"/>
    <mergeCell ref="H41:K41"/>
    <mergeCell ref="L41:M41"/>
    <mergeCell ref="N41:O41"/>
    <mergeCell ref="Q41:R41"/>
    <mergeCell ref="S41:T41"/>
    <mergeCell ref="U41:V41"/>
    <mergeCell ref="Q33:R33"/>
    <mergeCell ref="S33:T33"/>
    <mergeCell ref="Q34:R34"/>
    <mergeCell ref="S34:T34"/>
    <mergeCell ref="U34:V34"/>
    <mergeCell ref="Q35:R35"/>
    <mergeCell ref="S35:T35"/>
    <mergeCell ref="U35:V35"/>
    <mergeCell ref="H32:K32"/>
    <mergeCell ref="L32:M32"/>
    <mergeCell ref="N32:O32"/>
    <mergeCell ref="Q32:R32"/>
    <mergeCell ref="S32:T32"/>
    <mergeCell ref="U32:V32"/>
    <mergeCell ref="H33:K33"/>
    <mergeCell ref="U33:V33"/>
    <mergeCell ref="L33:M33"/>
    <mergeCell ref="N33:O33"/>
    <mergeCell ref="H34:K34"/>
    <mergeCell ref="L34:M34"/>
    <mergeCell ref="N34:O34"/>
    <mergeCell ref="L35:M35"/>
    <mergeCell ref="N35:O35"/>
    <mergeCell ref="H35:K35"/>
    <mergeCell ref="H36:K36"/>
    <mergeCell ref="L36:M36"/>
    <mergeCell ref="N36:O36"/>
    <mergeCell ref="Q36:R36"/>
    <mergeCell ref="S36:T36"/>
    <mergeCell ref="U36:V36"/>
    <mergeCell ref="Q38:R38"/>
    <mergeCell ref="S38:T38"/>
    <mergeCell ref="Q39:R39"/>
    <mergeCell ref="S39:T39"/>
    <mergeCell ref="U39:V39"/>
    <mergeCell ref="Q40:R40"/>
    <mergeCell ref="S40:T40"/>
    <mergeCell ref="U40:V40"/>
    <mergeCell ref="H37:K37"/>
    <mergeCell ref="L37:M37"/>
    <mergeCell ref="N37:O37"/>
    <mergeCell ref="Q37:R37"/>
    <mergeCell ref="S37:T37"/>
    <mergeCell ref="U37:V37"/>
    <mergeCell ref="H38:K38"/>
    <mergeCell ref="U38:V38"/>
    <mergeCell ref="H46:K46"/>
    <mergeCell ref="L46:M46"/>
    <mergeCell ref="N46:O46"/>
    <mergeCell ref="Q46:R46"/>
    <mergeCell ref="S46:T46"/>
    <mergeCell ref="U46:V46"/>
    <mergeCell ref="Q53:R53"/>
    <mergeCell ref="S53:T53"/>
    <mergeCell ref="H52:K52"/>
    <mergeCell ref="L52:M52"/>
    <mergeCell ref="N52:O52"/>
    <mergeCell ref="Q52:R52"/>
    <mergeCell ref="S52:T52"/>
    <mergeCell ref="U52:V52"/>
    <mergeCell ref="H53:K53"/>
    <mergeCell ref="U53:V53"/>
    <mergeCell ref="L43:M43"/>
    <mergeCell ref="N43:O43"/>
    <mergeCell ref="L44:M44"/>
    <mergeCell ref="N44:O44"/>
    <mergeCell ref="Q44:R44"/>
    <mergeCell ref="S44:T44"/>
    <mergeCell ref="U44:V44"/>
    <mergeCell ref="H44:K44"/>
    <mergeCell ref="H45:K45"/>
    <mergeCell ref="L45:M45"/>
    <mergeCell ref="N45:O45"/>
    <mergeCell ref="Q45:R45"/>
    <mergeCell ref="S45:T45"/>
    <mergeCell ref="U45:V45"/>
    <mergeCell ref="Q48:R48"/>
    <mergeCell ref="S48:T48"/>
    <mergeCell ref="Q49:R49"/>
    <mergeCell ref="S49:T49"/>
    <mergeCell ref="U49:V49"/>
    <mergeCell ref="Q50:R50"/>
    <mergeCell ref="S50:T50"/>
    <mergeCell ref="U50:V50"/>
    <mergeCell ref="H47:K47"/>
    <mergeCell ref="L47:M47"/>
    <mergeCell ref="N47:O47"/>
    <mergeCell ref="Q47:R47"/>
    <mergeCell ref="S47:T47"/>
    <mergeCell ref="U47:V47"/>
    <mergeCell ref="H48:K48"/>
    <mergeCell ref="U48:V48"/>
    <mergeCell ref="L48:M48"/>
    <mergeCell ref="N48:O48"/>
    <mergeCell ref="H49:K49"/>
    <mergeCell ref="L49:M49"/>
    <mergeCell ref="N49:O49"/>
    <mergeCell ref="L50:M50"/>
    <mergeCell ref="N50:O50"/>
    <mergeCell ref="H50:K50"/>
    <mergeCell ref="H51:K51"/>
    <mergeCell ref="L51:M51"/>
    <mergeCell ref="N51:O51"/>
    <mergeCell ref="Q51:R51"/>
    <mergeCell ref="S51:T51"/>
    <mergeCell ref="U51:V51"/>
    <mergeCell ref="L53:M53"/>
    <mergeCell ref="N53:O53"/>
    <mergeCell ref="Q17:R17"/>
    <mergeCell ref="Q18:R18"/>
    <mergeCell ref="S18:T18"/>
    <mergeCell ref="U18:V18"/>
    <mergeCell ref="H18:K18"/>
    <mergeCell ref="H19:K19"/>
    <mergeCell ref="L19:M19"/>
    <mergeCell ref="N19:O19"/>
    <mergeCell ref="Q19:R19"/>
    <mergeCell ref="S19:T19"/>
    <mergeCell ref="U19:V19"/>
    <mergeCell ref="B21:C21"/>
    <mergeCell ref="D21:F21"/>
    <mergeCell ref="L21:M21"/>
    <mergeCell ref="N21:O21"/>
    <mergeCell ref="Q21:R21"/>
    <mergeCell ref="S21:T21"/>
    <mergeCell ref="U21:V21"/>
    <mergeCell ref="H21:K21"/>
    <mergeCell ref="H22:K22"/>
    <mergeCell ref="L22:M22"/>
    <mergeCell ref="N22:O22"/>
    <mergeCell ref="Q22:R22"/>
    <mergeCell ref="S22:T22"/>
    <mergeCell ref="U22:V22"/>
    <mergeCell ref="J2:U2"/>
    <mergeCell ref="B4:I4"/>
    <mergeCell ref="J4:U4"/>
    <mergeCell ref="E5:H5"/>
    <mergeCell ref="E6:H6"/>
    <mergeCell ref="I6:L6"/>
    <mergeCell ref="I7:L7"/>
    <mergeCell ref="L14:M15"/>
    <mergeCell ref="N14:O15"/>
    <mergeCell ref="L16:M16"/>
    <mergeCell ref="N16:O16"/>
    <mergeCell ref="L17:M17"/>
    <mergeCell ref="N17:O17"/>
    <mergeCell ref="L18:M18"/>
    <mergeCell ref="N18:O18"/>
    <mergeCell ref="E7:H7"/>
    <mergeCell ref="E9:H9"/>
    <mergeCell ref="I9:L9"/>
    <mergeCell ref="B11:V11"/>
    <mergeCell ref="B12:V12"/>
    <mergeCell ref="B14:C15"/>
    <mergeCell ref="D14:F15"/>
    <mergeCell ref="U14:V15"/>
    <mergeCell ref="Q14:R15"/>
    <mergeCell ref="S14:T15"/>
    <mergeCell ref="Q16:R16"/>
    <mergeCell ref="S16:T16"/>
    <mergeCell ref="U16:V16"/>
    <mergeCell ref="S17:T17"/>
    <mergeCell ref="U17:V17"/>
    <mergeCell ref="G14:G15"/>
    <mergeCell ref="H14:K15"/>
    <mergeCell ref="B16:C16"/>
    <mergeCell ref="D16:F16"/>
    <mergeCell ref="H16:K16"/>
    <mergeCell ref="D17:F17"/>
    <mergeCell ref="H17:K17"/>
    <mergeCell ref="H20:K20"/>
    <mergeCell ref="L20:M20"/>
    <mergeCell ref="N20:O20"/>
    <mergeCell ref="Q20:R20"/>
    <mergeCell ref="S20:T20"/>
    <mergeCell ref="U20:V20"/>
    <mergeCell ref="L24:M24"/>
    <mergeCell ref="N24:O24"/>
    <mergeCell ref="Q24:R24"/>
    <mergeCell ref="S24:T24"/>
    <mergeCell ref="Q25:R25"/>
    <mergeCell ref="S25:T25"/>
    <mergeCell ref="U25:V25"/>
    <mergeCell ref="Q26:R26"/>
    <mergeCell ref="S26:T26"/>
    <mergeCell ref="U26:V26"/>
    <mergeCell ref="H23:K23"/>
    <mergeCell ref="L23:M23"/>
    <mergeCell ref="N23:O23"/>
    <mergeCell ref="Q23:R23"/>
    <mergeCell ref="S23:T23"/>
    <mergeCell ref="U23:V23"/>
    <mergeCell ref="U24:V24"/>
    <mergeCell ref="H24:K24"/>
    <mergeCell ref="H25:K25"/>
    <mergeCell ref="L25:M25"/>
    <mergeCell ref="N25:O25"/>
    <mergeCell ref="H26:K26"/>
    <mergeCell ref="L26:M26"/>
    <mergeCell ref="N26:O26"/>
    <mergeCell ref="Q28:R28"/>
    <mergeCell ref="S28:T28"/>
    <mergeCell ref="Q29:R29"/>
    <mergeCell ref="S29:T29"/>
    <mergeCell ref="U29:V29"/>
    <mergeCell ref="Q30:R30"/>
    <mergeCell ref="S30:T30"/>
    <mergeCell ref="U30:V30"/>
    <mergeCell ref="H27:K27"/>
    <mergeCell ref="L27:M27"/>
    <mergeCell ref="N27:O27"/>
    <mergeCell ref="Q27:R27"/>
    <mergeCell ref="S27:T27"/>
    <mergeCell ref="U27:V27"/>
    <mergeCell ref="H28:K28"/>
    <mergeCell ref="U28:V28"/>
    <mergeCell ref="L28:M28"/>
    <mergeCell ref="N28:O28"/>
    <mergeCell ref="H29:K29"/>
    <mergeCell ref="L29:M29"/>
    <mergeCell ref="N29:O29"/>
    <mergeCell ref="L30:M30"/>
    <mergeCell ref="N30:O30"/>
    <mergeCell ref="H30:K30"/>
    <mergeCell ref="H31:K31"/>
    <mergeCell ref="L31:M31"/>
    <mergeCell ref="N31:O31"/>
    <mergeCell ref="Q31:R31"/>
    <mergeCell ref="S31:T31"/>
    <mergeCell ref="U31:V31"/>
    <mergeCell ref="Q43:R43"/>
    <mergeCell ref="S43:T43"/>
    <mergeCell ref="H42:K42"/>
    <mergeCell ref="L42:M42"/>
    <mergeCell ref="N42:O42"/>
    <mergeCell ref="Q42:R42"/>
    <mergeCell ref="S42:T42"/>
    <mergeCell ref="U42:V42"/>
    <mergeCell ref="H43:K43"/>
    <mergeCell ref="U43:V43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B17:C17"/>
    <mergeCell ref="B18:C18"/>
    <mergeCell ref="D18:F18"/>
    <mergeCell ref="B19:C19"/>
    <mergeCell ref="D19:F19"/>
    <mergeCell ref="B20:C20"/>
    <mergeCell ref="D20:F20"/>
    <mergeCell ref="B22:C22"/>
    <mergeCell ref="D22:F22"/>
    <mergeCell ref="B23:C23"/>
    <mergeCell ref="D23:F23"/>
    <mergeCell ref="B24:C24"/>
    <mergeCell ref="D24:F24"/>
    <mergeCell ref="D25:F25"/>
    <mergeCell ref="B25:C25"/>
    <mergeCell ref="B26:C26"/>
    <mergeCell ref="B27:C27"/>
    <mergeCell ref="B28:C28"/>
    <mergeCell ref="B29:C29"/>
    <mergeCell ref="B30:C30"/>
    <mergeCell ref="B31:C31"/>
    <mergeCell ref="D26:F26"/>
    <mergeCell ref="D27:F27"/>
    <mergeCell ref="D28:F28"/>
    <mergeCell ref="D29:F29"/>
    <mergeCell ref="D30:F30"/>
    <mergeCell ref="D31:F31"/>
    <mergeCell ref="D32:F32"/>
    <mergeCell ref="B32:C32"/>
    <mergeCell ref="B33:C33"/>
    <mergeCell ref="B34:C34"/>
    <mergeCell ref="B35:C35"/>
    <mergeCell ref="B36:C36"/>
    <mergeCell ref="B37:C37"/>
    <mergeCell ref="B38:C38"/>
    <mergeCell ref="D33:F33"/>
    <mergeCell ref="D34:F34"/>
    <mergeCell ref="D35:F35"/>
    <mergeCell ref="D36:F36"/>
    <mergeCell ref="D37:F37"/>
    <mergeCell ref="D38:F38"/>
    <mergeCell ref="D39:F39"/>
    <mergeCell ref="B58:C58"/>
    <mergeCell ref="D58:F58"/>
    <mergeCell ref="B59:C59"/>
    <mergeCell ref="D59:F59"/>
    <mergeCell ref="D54:F54"/>
    <mergeCell ref="B55:C55"/>
    <mergeCell ref="D55:F55"/>
    <mergeCell ref="B56:C56"/>
    <mergeCell ref="D56:F56"/>
    <mergeCell ref="B57:C57"/>
    <mergeCell ref="D57:F57"/>
    <mergeCell ref="L57:M57"/>
    <mergeCell ref="N57:O57"/>
    <mergeCell ref="H58:K58"/>
    <mergeCell ref="L58:M58"/>
    <mergeCell ref="N58:O58"/>
    <mergeCell ref="H59:K59"/>
    <mergeCell ref="L59:M59"/>
    <mergeCell ref="N59:O59"/>
    <mergeCell ref="U59:V59"/>
    <mergeCell ref="U62:V62"/>
    <mergeCell ref="J65:U65"/>
    <mergeCell ref="B67:I67"/>
    <mergeCell ref="J67:U67"/>
    <mergeCell ref="B69:V69"/>
    <mergeCell ref="B70:V70"/>
    <mergeCell ref="B39:C39"/>
    <mergeCell ref="B40:C40"/>
    <mergeCell ref="B41:C41"/>
    <mergeCell ref="B42:C42"/>
    <mergeCell ref="B43:C43"/>
    <mergeCell ref="B44:C44"/>
    <mergeCell ref="B45:C45"/>
    <mergeCell ref="B53:C53"/>
    <mergeCell ref="B54:C54"/>
    <mergeCell ref="L54:M54"/>
    <mergeCell ref="N54:O54"/>
    <mergeCell ref="Q54:R54"/>
    <mergeCell ref="S54:T54"/>
    <mergeCell ref="U54:V54"/>
    <mergeCell ref="H54:K54"/>
    <mergeCell ref="H55:K55"/>
    <mergeCell ref="L55:M55"/>
    <mergeCell ref="N55:O55"/>
    <mergeCell ref="Q55:R55"/>
    <mergeCell ref="S55:T55"/>
    <mergeCell ref="U55:V55"/>
    <mergeCell ref="H56:K56"/>
    <mergeCell ref="L56:M56"/>
    <mergeCell ref="N56:O56"/>
    <mergeCell ref="Q56:R56"/>
    <mergeCell ref="S56:T56"/>
    <mergeCell ref="U56:V56"/>
    <mergeCell ref="H57:K57"/>
    <mergeCell ref="U57:V57"/>
    <mergeCell ref="Q57:R57"/>
    <mergeCell ref="S57:T57"/>
    <mergeCell ref="Q58:R58"/>
    <mergeCell ref="S58:T58"/>
    <mergeCell ref="U58:V58"/>
    <mergeCell ref="Q59:R59"/>
    <mergeCell ref="S59:T59"/>
    <mergeCell ref="B46:C46"/>
    <mergeCell ref="B47:C47"/>
    <mergeCell ref="B48:C48"/>
    <mergeCell ref="B49:C49"/>
    <mergeCell ref="B50:C50"/>
    <mergeCell ref="B51:C51"/>
    <mergeCell ref="B52:C52"/>
    <mergeCell ref="S82:T82"/>
    <mergeCell ref="U82:V82"/>
    <mergeCell ref="D72:F73"/>
    <mergeCell ref="G72:G73"/>
    <mergeCell ref="H72:K73"/>
    <mergeCell ref="L72:M73"/>
    <mergeCell ref="N72:O73"/>
    <mergeCell ref="Q72:R73"/>
    <mergeCell ref="S72:T73"/>
    <mergeCell ref="U72:V73"/>
    <mergeCell ref="B72:C73"/>
    <mergeCell ref="B74:C74"/>
    <mergeCell ref="D74:F74"/>
    <mergeCell ref="H74:K74"/>
    <mergeCell ref="L74:M74"/>
    <mergeCell ref="N74:O74"/>
    <mergeCell ref="Q74:R74"/>
    <mergeCell ref="Q75:R75"/>
    <mergeCell ref="S75:T75"/>
    <mergeCell ref="S74:T74"/>
    <mergeCell ref="U74:V74"/>
    <mergeCell ref="D75:F75"/>
    <mergeCell ref="H75:K75"/>
    <mergeCell ref="L75:M75"/>
    <mergeCell ref="N75:O75"/>
    <mergeCell ref="U75:V75"/>
    <mergeCell ref="S76:T76"/>
    <mergeCell ref="U76:V76"/>
    <mergeCell ref="B75:C75"/>
    <mergeCell ref="B76:C76"/>
    <mergeCell ref="D76:F76"/>
    <mergeCell ref="H76:K76"/>
    <mergeCell ref="L76:M76"/>
    <mergeCell ref="N76:O76"/>
    <mergeCell ref="Q76:R76"/>
    <mergeCell ref="D77:F77"/>
    <mergeCell ref="H77:K77"/>
    <mergeCell ref="L77:M77"/>
    <mergeCell ref="N77:O77"/>
    <mergeCell ref="Q77:R77"/>
    <mergeCell ref="S77:T77"/>
    <mergeCell ref="U77:V77"/>
    <mergeCell ref="B77:C77"/>
    <mergeCell ref="B78:C78"/>
    <mergeCell ref="D78:F78"/>
    <mergeCell ref="H78:K78"/>
    <mergeCell ref="L78:M78"/>
    <mergeCell ref="N78:O78"/>
    <mergeCell ref="Q78:R78"/>
    <mergeCell ref="Q79:R79"/>
    <mergeCell ref="S79:T79"/>
    <mergeCell ref="S78:T78"/>
    <mergeCell ref="U78:V78"/>
    <mergeCell ref="D79:F79"/>
    <mergeCell ref="H79:K79"/>
    <mergeCell ref="L79:M79"/>
    <mergeCell ref="N79:O79"/>
    <mergeCell ref="U79:V79"/>
    <mergeCell ref="S80:T80"/>
    <mergeCell ref="U80:V80"/>
    <mergeCell ref="B79:C79"/>
    <mergeCell ref="B80:C80"/>
    <mergeCell ref="D80:F80"/>
    <mergeCell ref="H80:K80"/>
    <mergeCell ref="L80:M80"/>
    <mergeCell ref="N80:O80"/>
    <mergeCell ref="Q80:R80"/>
    <mergeCell ref="D85:F85"/>
    <mergeCell ref="H85:K85"/>
    <mergeCell ref="L85:M85"/>
    <mergeCell ref="N85:O85"/>
    <mergeCell ref="Q85:R85"/>
    <mergeCell ref="S85:T85"/>
    <mergeCell ref="U85:V85"/>
    <mergeCell ref="B85:C85"/>
    <mergeCell ref="B86:C86"/>
    <mergeCell ref="D86:F86"/>
    <mergeCell ref="H86:K86"/>
    <mergeCell ref="L86:M86"/>
    <mergeCell ref="N86:O86"/>
    <mergeCell ref="Q86:R86"/>
    <mergeCell ref="D87:F87"/>
    <mergeCell ref="H87:K87"/>
    <mergeCell ref="L87:M87"/>
    <mergeCell ref="N87:O87"/>
    <mergeCell ref="Q87:R87"/>
    <mergeCell ref="S87:T87"/>
    <mergeCell ref="U87:V87"/>
    <mergeCell ref="B87:C87"/>
    <mergeCell ref="B88:C88"/>
    <mergeCell ref="D88:F88"/>
    <mergeCell ref="H88:K88"/>
    <mergeCell ref="L88:M88"/>
    <mergeCell ref="N88:O88"/>
    <mergeCell ref="Q88:R88"/>
    <mergeCell ref="Q89:R89"/>
    <mergeCell ref="S89:T89"/>
    <mergeCell ref="S88:T88"/>
    <mergeCell ref="U88:V88"/>
    <mergeCell ref="D89:F89"/>
    <mergeCell ref="H89:K89"/>
    <mergeCell ref="L89:M89"/>
    <mergeCell ref="N89:O89"/>
    <mergeCell ref="U89:V89"/>
    <mergeCell ref="S90:T90"/>
    <mergeCell ref="U90:V90"/>
    <mergeCell ref="B89:C89"/>
    <mergeCell ref="B90:C90"/>
    <mergeCell ref="D90:F90"/>
    <mergeCell ref="H90:K90"/>
    <mergeCell ref="L90:M90"/>
    <mergeCell ref="N90:O90"/>
    <mergeCell ref="Q90:R90"/>
    <mergeCell ref="D91:F91"/>
    <mergeCell ref="H91:K91"/>
    <mergeCell ref="L91:M91"/>
    <mergeCell ref="N91:O91"/>
    <mergeCell ref="Q91:R91"/>
    <mergeCell ref="S91:T91"/>
    <mergeCell ref="U91:V91"/>
    <mergeCell ref="B91:C91"/>
    <mergeCell ref="B92:C92"/>
    <mergeCell ref="D92:F92"/>
    <mergeCell ref="H92:K92"/>
    <mergeCell ref="L92:M92"/>
    <mergeCell ref="N92:O92"/>
    <mergeCell ref="Q92:R92"/>
    <mergeCell ref="Q93:R93"/>
    <mergeCell ref="S93:T93"/>
    <mergeCell ref="S92:T92"/>
    <mergeCell ref="U92:V92"/>
    <mergeCell ref="D93:F93"/>
    <mergeCell ref="H93:K93"/>
    <mergeCell ref="L93:M93"/>
    <mergeCell ref="N93:O93"/>
    <mergeCell ref="U93:V93"/>
    <mergeCell ref="S94:T94"/>
    <mergeCell ref="U94:V94"/>
    <mergeCell ref="B93:C93"/>
    <mergeCell ref="B94:C94"/>
    <mergeCell ref="D94:F94"/>
    <mergeCell ref="H94:K94"/>
    <mergeCell ref="L94:M94"/>
    <mergeCell ref="N94:O94"/>
    <mergeCell ref="Q94:R94"/>
    <mergeCell ref="Q97:R97"/>
    <mergeCell ref="S97:T97"/>
    <mergeCell ref="S96:T96"/>
    <mergeCell ref="U96:V96"/>
    <mergeCell ref="D97:F97"/>
    <mergeCell ref="H97:K97"/>
    <mergeCell ref="L97:M97"/>
    <mergeCell ref="N97:O97"/>
    <mergeCell ref="U97:V97"/>
    <mergeCell ref="D95:F95"/>
    <mergeCell ref="H95:K95"/>
    <mergeCell ref="L95:M95"/>
    <mergeCell ref="N95:O95"/>
    <mergeCell ref="Q95:R95"/>
    <mergeCell ref="S95:T95"/>
    <mergeCell ref="U95:V95"/>
    <mergeCell ref="B95:C95"/>
    <mergeCell ref="B96:C96"/>
    <mergeCell ref="D96:F96"/>
    <mergeCell ref="H96:K96"/>
    <mergeCell ref="L96:M96"/>
    <mergeCell ref="N96:O96"/>
    <mergeCell ref="Q96:R96"/>
    <mergeCell ref="S98:T98"/>
    <mergeCell ref="U98:V98"/>
    <mergeCell ref="B97:C97"/>
    <mergeCell ref="B98:C98"/>
    <mergeCell ref="D98:F98"/>
    <mergeCell ref="H98:K98"/>
    <mergeCell ref="L98:M98"/>
    <mergeCell ref="N98:O98"/>
    <mergeCell ref="Q98:R98"/>
    <mergeCell ref="D99:F99"/>
    <mergeCell ref="H99:K99"/>
    <mergeCell ref="L99:M99"/>
    <mergeCell ref="N99:O99"/>
    <mergeCell ref="Q99:R99"/>
    <mergeCell ref="S99:T99"/>
    <mergeCell ref="U99:V99"/>
    <mergeCell ref="B99:C99"/>
    <mergeCell ref="B100:C100"/>
    <mergeCell ref="D100:F100"/>
    <mergeCell ref="H100:K100"/>
    <mergeCell ref="L100:M100"/>
    <mergeCell ref="N100:O100"/>
    <mergeCell ref="Q100:R100"/>
    <mergeCell ref="Q101:R101"/>
    <mergeCell ref="S101:T101"/>
    <mergeCell ref="S100:T100"/>
    <mergeCell ref="U100:V100"/>
    <mergeCell ref="D101:F101"/>
    <mergeCell ref="H101:K101"/>
    <mergeCell ref="L101:M101"/>
    <mergeCell ref="N101:O101"/>
    <mergeCell ref="U101:V101"/>
    <mergeCell ref="S102:T102"/>
    <mergeCell ref="U102:V102"/>
    <mergeCell ref="B101:C101"/>
    <mergeCell ref="B102:C102"/>
    <mergeCell ref="D102:F102"/>
    <mergeCell ref="H102:K102"/>
    <mergeCell ref="L102:M102"/>
    <mergeCell ref="N102:O102"/>
    <mergeCell ref="Q102:R102"/>
    <mergeCell ref="D103:F103"/>
    <mergeCell ref="H103:K103"/>
    <mergeCell ref="L103:M103"/>
    <mergeCell ref="N103:O103"/>
    <mergeCell ref="Q103:R103"/>
    <mergeCell ref="S103:T103"/>
    <mergeCell ref="U103:V103"/>
    <mergeCell ref="B103:C103"/>
    <mergeCell ref="B104:C104"/>
    <mergeCell ref="D104:F104"/>
    <mergeCell ref="H104:K104"/>
    <mergeCell ref="L104:M104"/>
    <mergeCell ref="N104:O104"/>
    <mergeCell ref="Q104:R104"/>
    <mergeCell ref="Q105:R105"/>
    <mergeCell ref="S105:T105"/>
    <mergeCell ref="S104:T104"/>
    <mergeCell ref="U104:V104"/>
    <mergeCell ref="D105:F105"/>
    <mergeCell ref="H105:K105"/>
    <mergeCell ref="L105:M105"/>
    <mergeCell ref="N105:O105"/>
    <mergeCell ref="U105:V105"/>
  </mergeCells>
  <printOptions/>
  <pageMargins bottom="0.160416666666667" footer="0.0" header="0.0" left="0.160416666666667" right="0.159722222222222" top="0.159722222222222"/>
  <pageSetup scale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6" t="s">
        <v>324</v>
      </c>
      <c r="D1" s="37" t="s">
        <v>324</v>
      </c>
      <c r="E1" s="37" t="s">
        <v>325</v>
      </c>
    </row>
    <row r="2">
      <c r="A2" s="36" t="s">
        <v>18</v>
      </c>
      <c r="B2" s="38">
        <f t="shared" ref="B2:B148" si="1">VLOOKUP(A2,D:E,2,FALSE)</f>
        <v>21564088</v>
      </c>
      <c r="D2" s="37" t="s">
        <v>18</v>
      </c>
      <c r="E2" s="37">
        <v>2.1564088E7</v>
      </c>
    </row>
    <row r="3">
      <c r="A3" s="36" t="s">
        <v>18</v>
      </c>
      <c r="B3" s="38">
        <f t="shared" si="1"/>
        <v>21564088</v>
      </c>
      <c r="D3" s="37" t="s">
        <v>18</v>
      </c>
      <c r="E3" s="37">
        <v>2.1564088E7</v>
      </c>
    </row>
    <row r="4">
      <c r="A4" s="36" t="s">
        <v>18</v>
      </c>
      <c r="B4" s="38">
        <f t="shared" si="1"/>
        <v>21564088</v>
      </c>
      <c r="D4" s="37" t="s">
        <v>18</v>
      </c>
      <c r="E4" s="37">
        <v>2.1564088E7</v>
      </c>
    </row>
    <row r="5">
      <c r="A5" s="36" t="s">
        <v>26</v>
      </c>
      <c r="B5" s="38">
        <f t="shared" si="1"/>
        <v>8977234</v>
      </c>
      <c r="D5" s="37" t="s">
        <v>205</v>
      </c>
      <c r="E5" s="37">
        <v>1.3374569E7</v>
      </c>
    </row>
    <row r="6">
      <c r="A6" s="36" t="s">
        <v>26</v>
      </c>
      <c r="B6" s="38">
        <f t="shared" si="1"/>
        <v>8977234</v>
      </c>
      <c r="D6" s="37" t="s">
        <v>209</v>
      </c>
      <c r="E6" s="37">
        <v>1.9219478E7</v>
      </c>
    </row>
    <row r="7">
      <c r="A7" s="36" t="s">
        <v>26</v>
      </c>
      <c r="B7" s="38">
        <f t="shared" si="1"/>
        <v>8977234</v>
      </c>
      <c r="D7" s="37" t="s">
        <v>26</v>
      </c>
      <c r="E7" s="37">
        <v>8977234.0</v>
      </c>
    </row>
    <row r="8">
      <c r="A8" s="36" t="s">
        <v>33</v>
      </c>
      <c r="B8" s="38">
        <f t="shared" si="1"/>
        <v>16170994</v>
      </c>
      <c r="D8" s="37" t="s">
        <v>26</v>
      </c>
      <c r="E8" s="37">
        <v>8977234.0</v>
      </c>
    </row>
    <row r="9">
      <c r="A9" s="36" t="s">
        <v>33</v>
      </c>
      <c r="B9" s="38">
        <f t="shared" si="1"/>
        <v>16170994</v>
      </c>
      <c r="D9" s="37" t="s">
        <v>26</v>
      </c>
      <c r="E9" s="37">
        <v>8977234.0</v>
      </c>
    </row>
    <row r="10">
      <c r="A10" s="36" t="s">
        <v>33</v>
      </c>
      <c r="B10" s="38">
        <f t="shared" si="1"/>
        <v>16170994</v>
      </c>
      <c r="D10" s="37" t="s">
        <v>33</v>
      </c>
      <c r="E10" s="37">
        <v>1.6170994E7</v>
      </c>
    </row>
    <row r="11">
      <c r="A11" s="36" t="s">
        <v>33</v>
      </c>
      <c r="B11" s="38">
        <f t="shared" si="1"/>
        <v>16170994</v>
      </c>
      <c r="D11" s="37" t="s">
        <v>33</v>
      </c>
      <c r="E11" s="37">
        <v>1.6170994E7</v>
      </c>
    </row>
    <row r="12">
      <c r="A12" s="36" t="s">
        <v>33</v>
      </c>
      <c r="B12" s="38">
        <f t="shared" si="1"/>
        <v>16170994</v>
      </c>
      <c r="D12" s="37" t="s">
        <v>33</v>
      </c>
      <c r="E12" s="37">
        <v>1.6170994E7</v>
      </c>
    </row>
    <row r="13">
      <c r="A13" s="36" t="s">
        <v>33</v>
      </c>
      <c r="B13" s="38">
        <f t="shared" si="1"/>
        <v>16170994</v>
      </c>
      <c r="D13" s="37" t="s">
        <v>33</v>
      </c>
      <c r="E13" s="37">
        <v>1.6170994E7</v>
      </c>
    </row>
    <row r="14">
      <c r="A14" s="36" t="s">
        <v>33</v>
      </c>
      <c r="B14" s="38">
        <f t="shared" si="1"/>
        <v>16170994</v>
      </c>
      <c r="D14" s="37" t="s">
        <v>33</v>
      </c>
      <c r="E14" s="37">
        <v>1.6170994E7</v>
      </c>
    </row>
    <row r="15">
      <c r="A15" s="36" t="s">
        <v>33</v>
      </c>
      <c r="B15" s="38">
        <f t="shared" si="1"/>
        <v>16170994</v>
      </c>
      <c r="D15" s="37" t="s">
        <v>33</v>
      </c>
      <c r="E15" s="37">
        <v>1.6170994E7</v>
      </c>
    </row>
    <row r="16">
      <c r="A16" s="36" t="s">
        <v>33</v>
      </c>
      <c r="B16" s="38">
        <f t="shared" si="1"/>
        <v>16170994</v>
      </c>
      <c r="D16" s="37" t="s">
        <v>33</v>
      </c>
      <c r="E16" s="37">
        <v>1.6170994E7</v>
      </c>
    </row>
    <row r="17">
      <c r="A17" s="36" t="s">
        <v>33</v>
      </c>
      <c r="B17" s="38">
        <f t="shared" si="1"/>
        <v>16170994</v>
      </c>
      <c r="D17" s="37" t="s">
        <v>33</v>
      </c>
      <c r="E17" s="37">
        <v>1.6170994E7</v>
      </c>
    </row>
    <row r="18">
      <c r="A18" s="36" t="s">
        <v>33</v>
      </c>
      <c r="B18" s="38">
        <f t="shared" si="1"/>
        <v>16170994</v>
      </c>
      <c r="D18" s="37" t="s">
        <v>33</v>
      </c>
      <c r="E18" s="37">
        <v>1.6170994E7</v>
      </c>
    </row>
    <row r="19">
      <c r="A19" s="36" t="s">
        <v>33</v>
      </c>
      <c r="B19" s="38">
        <f t="shared" si="1"/>
        <v>16170994</v>
      </c>
      <c r="D19" s="37" t="s">
        <v>33</v>
      </c>
      <c r="E19" s="37">
        <v>1.6170994E7</v>
      </c>
    </row>
    <row r="20">
      <c r="A20" s="36" t="s">
        <v>33</v>
      </c>
      <c r="B20" s="38">
        <f t="shared" si="1"/>
        <v>16170994</v>
      </c>
      <c r="D20" s="37" t="s">
        <v>33</v>
      </c>
      <c r="E20" s="37">
        <v>1.6170994E7</v>
      </c>
    </row>
    <row r="21">
      <c r="A21" s="36" t="s">
        <v>33</v>
      </c>
      <c r="B21" s="38">
        <f t="shared" si="1"/>
        <v>16170994</v>
      </c>
      <c r="D21" s="37" t="s">
        <v>33</v>
      </c>
      <c r="E21" s="37">
        <v>1.6170994E7</v>
      </c>
    </row>
    <row r="22">
      <c r="A22" s="36" t="s">
        <v>33</v>
      </c>
      <c r="B22" s="38">
        <f t="shared" si="1"/>
        <v>16170994</v>
      </c>
      <c r="D22" s="37" t="s">
        <v>33</v>
      </c>
      <c r="E22" s="37">
        <v>1.6170994E7</v>
      </c>
    </row>
    <row r="23">
      <c r="A23" s="36" t="s">
        <v>33</v>
      </c>
      <c r="B23" s="38">
        <f t="shared" si="1"/>
        <v>16170994</v>
      </c>
      <c r="D23" s="37" t="s">
        <v>33</v>
      </c>
      <c r="E23" s="37">
        <v>1.6170994E7</v>
      </c>
    </row>
    <row r="24">
      <c r="A24" s="36" t="s">
        <v>33</v>
      </c>
      <c r="B24" s="38">
        <f t="shared" si="1"/>
        <v>16170994</v>
      </c>
      <c r="D24" s="37" t="s">
        <v>33</v>
      </c>
      <c r="E24" s="37">
        <v>1.6170994E7</v>
      </c>
    </row>
    <row r="25">
      <c r="A25" s="36" t="s">
        <v>33</v>
      </c>
      <c r="B25" s="38">
        <f t="shared" si="1"/>
        <v>16170994</v>
      </c>
      <c r="D25" s="37" t="s">
        <v>33</v>
      </c>
      <c r="E25" s="37">
        <v>1.6170994E7</v>
      </c>
    </row>
    <row r="26">
      <c r="A26" s="36" t="s">
        <v>33</v>
      </c>
      <c r="B26" s="38">
        <f t="shared" si="1"/>
        <v>16170994</v>
      </c>
      <c r="D26" s="37" t="s">
        <v>33</v>
      </c>
      <c r="E26" s="37">
        <v>1.6170994E7</v>
      </c>
    </row>
    <row r="27">
      <c r="A27" s="36" t="s">
        <v>33</v>
      </c>
      <c r="B27" s="38">
        <f t="shared" si="1"/>
        <v>16170994</v>
      </c>
      <c r="D27" s="37" t="s">
        <v>33</v>
      </c>
      <c r="E27" s="37">
        <v>1.6170994E7</v>
      </c>
    </row>
    <row r="28">
      <c r="A28" s="36" t="s">
        <v>33</v>
      </c>
      <c r="B28" s="38">
        <f t="shared" si="1"/>
        <v>16170994</v>
      </c>
      <c r="D28" s="37" t="s">
        <v>33</v>
      </c>
      <c r="E28" s="37">
        <v>1.6170994E7</v>
      </c>
    </row>
    <row r="29">
      <c r="A29" s="36" t="s">
        <v>33</v>
      </c>
      <c r="B29" s="38">
        <f t="shared" si="1"/>
        <v>16170994</v>
      </c>
      <c r="D29" s="37" t="s">
        <v>33</v>
      </c>
      <c r="E29" s="37">
        <v>1.6170994E7</v>
      </c>
    </row>
    <row r="30">
      <c r="A30" s="36" t="s">
        <v>33</v>
      </c>
      <c r="B30" s="38">
        <f t="shared" si="1"/>
        <v>16170994</v>
      </c>
      <c r="D30" s="37" t="s">
        <v>33</v>
      </c>
      <c r="E30" s="37">
        <v>1.6170994E7</v>
      </c>
    </row>
    <row r="31">
      <c r="A31" s="36" t="s">
        <v>33</v>
      </c>
      <c r="B31" s="38">
        <f t="shared" si="1"/>
        <v>16170994</v>
      </c>
      <c r="D31" s="37" t="s">
        <v>33</v>
      </c>
      <c r="E31" s="37">
        <v>1.6170994E7</v>
      </c>
    </row>
    <row r="32">
      <c r="A32" s="36" t="s">
        <v>82</v>
      </c>
      <c r="B32" s="38">
        <f t="shared" si="1"/>
        <v>19491313</v>
      </c>
      <c r="D32" s="37" t="s">
        <v>33</v>
      </c>
      <c r="E32" s="37">
        <v>1.6170994E7</v>
      </c>
    </row>
    <row r="33">
      <c r="A33" s="36" t="s">
        <v>82</v>
      </c>
      <c r="B33" s="38">
        <f t="shared" si="1"/>
        <v>19491313</v>
      </c>
      <c r="D33" s="37" t="s">
        <v>33</v>
      </c>
      <c r="E33" s="37">
        <v>1.6170994E7</v>
      </c>
    </row>
    <row r="34">
      <c r="A34" s="36" t="s">
        <v>82</v>
      </c>
      <c r="B34" s="38">
        <f t="shared" si="1"/>
        <v>19491313</v>
      </c>
      <c r="D34" s="37" t="s">
        <v>33</v>
      </c>
      <c r="E34" s="37">
        <v>1.6170994E7</v>
      </c>
    </row>
    <row r="35">
      <c r="A35" s="36" t="s">
        <v>82</v>
      </c>
      <c r="B35" s="38">
        <f t="shared" si="1"/>
        <v>19491313</v>
      </c>
      <c r="D35" s="37" t="s">
        <v>33</v>
      </c>
      <c r="E35" s="37">
        <v>1.6170994E7</v>
      </c>
    </row>
    <row r="36">
      <c r="A36" s="36" t="s">
        <v>82</v>
      </c>
      <c r="B36" s="38">
        <f t="shared" si="1"/>
        <v>19491313</v>
      </c>
      <c r="D36" s="37" t="s">
        <v>33</v>
      </c>
      <c r="E36" s="37">
        <v>1.6170994E7</v>
      </c>
    </row>
    <row r="37">
      <c r="A37" s="36" t="s">
        <v>82</v>
      </c>
      <c r="B37" s="38">
        <f t="shared" si="1"/>
        <v>19491313</v>
      </c>
      <c r="D37" s="37" t="s">
        <v>33</v>
      </c>
      <c r="E37" s="37">
        <v>1.6170994E7</v>
      </c>
    </row>
    <row r="38">
      <c r="A38" s="36" t="s">
        <v>82</v>
      </c>
      <c r="B38" s="38">
        <f t="shared" si="1"/>
        <v>19491313</v>
      </c>
      <c r="D38" s="37" t="s">
        <v>33</v>
      </c>
      <c r="E38" s="37">
        <v>1.6170994E7</v>
      </c>
    </row>
    <row r="39">
      <c r="A39" s="36" t="s">
        <v>82</v>
      </c>
      <c r="B39" s="38">
        <f t="shared" si="1"/>
        <v>19491313</v>
      </c>
      <c r="D39" s="37" t="s">
        <v>33</v>
      </c>
      <c r="E39" s="37">
        <v>1.6170994E7</v>
      </c>
    </row>
    <row r="40">
      <c r="A40" s="36" t="s">
        <v>82</v>
      </c>
      <c r="B40" s="38">
        <f t="shared" si="1"/>
        <v>19491313</v>
      </c>
      <c r="D40" s="37" t="s">
        <v>33</v>
      </c>
      <c r="E40" s="37">
        <v>1.6170994E7</v>
      </c>
    </row>
    <row r="41">
      <c r="A41" s="36" t="s">
        <v>82</v>
      </c>
      <c r="B41" s="38">
        <f t="shared" si="1"/>
        <v>19491313</v>
      </c>
      <c r="D41" s="37" t="s">
        <v>33</v>
      </c>
      <c r="E41" s="37">
        <v>1.6170994E7</v>
      </c>
    </row>
    <row r="42">
      <c r="A42" s="36" t="s">
        <v>82</v>
      </c>
      <c r="B42" s="38">
        <f t="shared" si="1"/>
        <v>19491313</v>
      </c>
      <c r="D42" s="37" t="s">
        <v>33</v>
      </c>
      <c r="E42" s="37">
        <v>1.6170994E7</v>
      </c>
    </row>
    <row r="43">
      <c r="A43" s="36" t="s">
        <v>82</v>
      </c>
      <c r="B43" s="38">
        <f t="shared" si="1"/>
        <v>19491313</v>
      </c>
      <c r="D43" s="37" t="s">
        <v>33</v>
      </c>
      <c r="E43" s="37">
        <v>1.6170994E7</v>
      </c>
    </row>
    <row r="44">
      <c r="A44" s="36" t="s">
        <v>82</v>
      </c>
      <c r="B44" s="38">
        <f t="shared" si="1"/>
        <v>19491313</v>
      </c>
      <c r="D44" s="37" t="s">
        <v>33</v>
      </c>
      <c r="E44" s="37">
        <v>1.6170994E7</v>
      </c>
    </row>
    <row r="45">
      <c r="A45" s="36" t="s">
        <v>82</v>
      </c>
      <c r="B45" s="38">
        <f t="shared" si="1"/>
        <v>19491313</v>
      </c>
      <c r="D45" s="37" t="s">
        <v>33</v>
      </c>
      <c r="E45" s="37">
        <v>1.6170994E7</v>
      </c>
    </row>
    <row r="46">
      <c r="A46" s="36" t="s">
        <v>82</v>
      </c>
      <c r="B46" s="38">
        <f t="shared" si="1"/>
        <v>19491313</v>
      </c>
      <c r="D46" s="37" t="s">
        <v>33</v>
      </c>
      <c r="E46" s="37">
        <v>1.6170994E7</v>
      </c>
    </row>
    <row r="47">
      <c r="A47" s="36" t="s">
        <v>82</v>
      </c>
      <c r="B47" s="38">
        <f t="shared" si="1"/>
        <v>19491313</v>
      </c>
      <c r="D47" s="37" t="s">
        <v>33</v>
      </c>
      <c r="E47" s="37">
        <v>1.6170994E7</v>
      </c>
    </row>
    <row r="48">
      <c r="A48" s="36" t="s">
        <v>82</v>
      </c>
      <c r="B48" s="38">
        <f t="shared" si="1"/>
        <v>19491313</v>
      </c>
      <c r="D48" s="37" t="s">
        <v>33</v>
      </c>
      <c r="E48" s="37">
        <v>1.6170994E7</v>
      </c>
    </row>
    <row r="49">
      <c r="A49" s="36" t="s">
        <v>82</v>
      </c>
      <c r="B49" s="38">
        <f t="shared" si="1"/>
        <v>19491313</v>
      </c>
      <c r="D49" s="37" t="s">
        <v>33</v>
      </c>
      <c r="E49" s="37">
        <v>1.6170994E7</v>
      </c>
    </row>
    <row r="50">
      <c r="A50" s="36" t="s">
        <v>82</v>
      </c>
      <c r="B50" s="38">
        <f t="shared" si="1"/>
        <v>19491313</v>
      </c>
      <c r="D50" s="37" t="s">
        <v>33</v>
      </c>
      <c r="E50" s="37">
        <v>1.6170994E7</v>
      </c>
    </row>
    <row r="51">
      <c r="A51" s="36" t="s">
        <v>82</v>
      </c>
      <c r="B51" s="38">
        <f t="shared" si="1"/>
        <v>19491313</v>
      </c>
      <c r="D51" s="37" t="s">
        <v>33</v>
      </c>
      <c r="E51" s="37">
        <v>1.6170994E7</v>
      </c>
    </row>
    <row r="52">
      <c r="A52" s="36" t="s">
        <v>82</v>
      </c>
      <c r="B52" s="38">
        <f t="shared" si="1"/>
        <v>19491313</v>
      </c>
      <c r="D52" s="37" t="s">
        <v>33</v>
      </c>
      <c r="E52" s="37">
        <v>1.6170994E7</v>
      </c>
    </row>
    <row r="53">
      <c r="A53" s="36" t="s">
        <v>82</v>
      </c>
      <c r="B53" s="38">
        <f t="shared" si="1"/>
        <v>19491313</v>
      </c>
      <c r="D53" s="37" t="s">
        <v>33</v>
      </c>
      <c r="E53" s="37">
        <v>1.6170994E7</v>
      </c>
    </row>
    <row r="54">
      <c r="A54" s="36" t="s">
        <v>82</v>
      </c>
      <c r="B54" s="38">
        <f t="shared" si="1"/>
        <v>19491313</v>
      </c>
      <c r="D54" s="37" t="s">
        <v>33</v>
      </c>
      <c r="E54" s="37">
        <v>1.6170994E7</v>
      </c>
    </row>
    <row r="55">
      <c r="A55" s="36" t="s">
        <v>82</v>
      </c>
      <c r="B55" s="38">
        <f t="shared" si="1"/>
        <v>19491313</v>
      </c>
      <c r="D55" s="37" t="s">
        <v>33</v>
      </c>
      <c r="E55" s="37">
        <v>1.6170994E7</v>
      </c>
    </row>
    <row r="56">
      <c r="A56" s="36" t="s">
        <v>82</v>
      </c>
      <c r="B56" s="38">
        <f t="shared" si="1"/>
        <v>19491313</v>
      </c>
      <c r="D56" s="37" t="s">
        <v>33</v>
      </c>
      <c r="E56" s="37">
        <v>1.6170994E7</v>
      </c>
    </row>
    <row r="57">
      <c r="A57" s="36" t="s">
        <v>82</v>
      </c>
      <c r="B57" s="38">
        <f t="shared" si="1"/>
        <v>19491313</v>
      </c>
      <c r="D57" s="37" t="s">
        <v>33</v>
      </c>
      <c r="E57" s="37">
        <v>1.6170994E7</v>
      </c>
    </row>
    <row r="58">
      <c r="A58" s="36" t="s">
        <v>82</v>
      </c>
      <c r="B58" s="38">
        <f t="shared" si="1"/>
        <v>19491313</v>
      </c>
      <c r="D58" s="37" t="s">
        <v>33</v>
      </c>
      <c r="E58" s="37">
        <v>1.6170994E7</v>
      </c>
    </row>
    <row r="59">
      <c r="A59" s="36" t="s">
        <v>82</v>
      </c>
      <c r="B59" s="38">
        <f t="shared" si="1"/>
        <v>19491313</v>
      </c>
      <c r="D59" s="37" t="s">
        <v>33</v>
      </c>
      <c r="E59" s="37">
        <v>1.6170994E7</v>
      </c>
    </row>
    <row r="60">
      <c r="A60" s="36" t="s">
        <v>82</v>
      </c>
      <c r="B60" s="38">
        <f t="shared" si="1"/>
        <v>19491313</v>
      </c>
      <c r="D60" s="37" t="s">
        <v>33</v>
      </c>
      <c r="E60" s="37">
        <v>1.6170994E7</v>
      </c>
    </row>
    <row r="61">
      <c r="A61" s="36" t="s">
        <v>82</v>
      </c>
      <c r="B61" s="38">
        <f t="shared" si="1"/>
        <v>19491313</v>
      </c>
      <c r="D61" s="37" t="s">
        <v>82</v>
      </c>
      <c r="E61" s="37">
        <v>1.9491313E7</v>
      </c>
    </row>
    <row r="62">
      <c r="A62" s="36" t="s">
        <v>82</v>
      </c>
      <c r="B62" s="38">
        <f t="shared" si="1"/>
        <v>19491313</v>
      </c>
      <c r="D62" s="37" t="s">
        <v>82</v>
      </c>
      <c r="E62" s="37">
        <v>1.9491313E7</v>
      </c>
    </row>
    <row r="63">
      <c r="A63" s="36" t="s">
        <v>82</v>
      </c>
      <c r="B63" s="38">
        <f t="shared" si="1"/>
        <v>19491313</v>
      </c>
      <c r="D63" s="37" t="s">
        <v>82</v>
      </c>
      <c r="E63" s="37">
        <v>1.9491313E7</v>
      </c>
    </row>
    <row r="64">
      <c r="A64" s="36" t="s">
        <v>82</v>
      </c>
      <c r="B64" s="38">
        <f t="shared" si="1"/>
        <v>19491313</v>
      </c>
      <c r="D64" s="37" t="s">
        <v>82</v>
      </c>
      <c r="E64" s="37">
        <v>1.9491313E7</v>
      </c>
    </row>
    <row r="65">
      <c r="A65" s="36" t="s">
        <v>82</v>
      </c>
      <c r="B65" s="38">
        <f t="shared" si="1"/>
        <v>19491313</v>
      </c>
      <c r="D65" s="37" t="s">
        <v>82</v>
      </c>
      <c r="E65" s="37">
        <v>1.9491313E7</v>
      </c>
    </row>
    <row r="66">
      <c r="A66" s="36" t="s">
        <v>82</v>
      </c>
      <c r="B66" s="38">
        <f t="shared" si="1"/>
        <v>19491313</v>
      </c>
      <c r="D66" s="37" t="s">
        <v>82</v>
      </c>
      <c r="E66" s="37">
        <v>1.9491313E7</v>
      </c>
    </row>
    <row r="67">
      <c r="A67" s="36" t="s">
        <v>82</v>
      </c>
      <c r="B67" s="38">
        <f t="shared" si="1"/>
        <v>19491313</v>
      </c>
      <c r="D67" s="37" t="s">
        <v>82</v>
      </c>
      <c r="E67" s="37">
        <v>1.9491313E7</v>
      </c>
    </row>
    <row r="68">
      <c r="A68" s="36" t="s">
        <v>82</v>
      </c>
      <c r="B68" s="38">
        <f t="shared" si="1"/>
        <v>19491313</v>
      </c>
      <c r="D68" s="37" t="s">
        <v>82</v>
      </c>
      <c r="E68" s="37">
        <v>1.9491313E7</v>
      </c>
    </row>
    <row r="69">
      <c r="A69" s="36" t="s">
        <v>82</v>
      </c>
      <c r="B69" s="38">
        <f t="shared" si="1"/>
        <v>19491313</v>
      </c>
      <c r="D69" s="37" t="s">
        <v>82</v>
      </c>
      <c r="E69" s="37">
        <v>1.9491313E7</v>
      </c>
    </row>
    <row r="70">
      <c r="A70" s="36" t="s">
        <v>82</v>
      </c>
      <c r="B70" s="38">
        <f t="shared" si="1"/>
        <v>19491313</v>
      </c>
      <c r="D70" s="37" t="s">
        <v>82</v>
      </c>
      <c r="E70" s="37">
        <v>1.9491313E7</v>
      </c>
    </row>
    <row r="71">
      <c r="A71" s="36" t="s">
        <v>82</v>
      </c>
      <c r="B71" s="38">
        <f t="shared" si="1"/>
        <v>19491313</v>
      </c>
      <c r="D71" s="37" t="s">
        <v>82</v>
      </c>
      <c r="E71" s="37">
        <v>1.9491313E7</v>
      </c>
    </row>
    <row r="72">
      <c r="A72" s="36" t="s">
        <v>82</v>
      </c>
      <c r="B72" s="38">
        <f t="shared" si="1"/>
        <v>19491313</v>
      </c>
      <c r="D72" s="37" t="s">
        <v>82</v>
      </c>
      <c r="E72" s="37">
        <v>1.9491313E7</v>
      </c>
    </row>
    <row r="73">
      <c r="A73" s="36" t="s">
        <v>82</v>
      </c>
      <c r="B73" s="38">
        <f t="shared" si="1"/>
        <v>19491313</v>
      </c>
      <c r="D73" s="37" t="s">
        <v>82</v>
      </c>
      <c r="E73" s="37">
        <v>1.9491313E7</v>
      </c>
    </row>
    <row r="74">
      <c r="A74" s="36" t="s">
        <v>82</v>
      </c>
      <c r="B74" s="38">
        <f t="shared" si="1"/>
        <v>19491313</v>
      </c>
      <c r="D74" s="37" t="s">
        <v>82</v>
      </c>
      <c r="E74" s="37">
        <v>1.9491313E7</v>
      </c>
    </row>
    <row r="75">
      <c r="A75" s="36" t="s">
        <v>82</v>
      </c>
      <c r="B75" s="38">
        <f t="shared" si="1"/>
        <v>19491313</v>
      </c>
      <c r="D75" s="37" t="s">
        <v>82</v>
      </c>
      <c r="E75" s="37">
        <v>1.9491313E7</v>
      </c>
    </row>
    <row r="76">
      <c r="A76" s="36" t="s">
        <v>82</v>
      </c>
      <c r="B76" s="38">
        <f t="shared" si="1"/>
        <v>19491313</v>
      </c>
      <c r="D76" s="37" t="s">
        <v>82</v>
      </c>
      <c r="E76" s="37">
        <v>1.9491313E7</v>
      </c>
    </row>
    <row r="77">
      <c r="A77" s="36" t="s">
        <v>82</v>
      </c>
      <c r="B77" s="38">
        <f t="shared" si="1"/>
        <v>19491313</v>
      </c>
      <c r="D77" s="37" t="s">
        <v>82</v>
      </c>
      <c r="E77" s="37">
        <v>1.9491313E7</v>
      </c>
    </row>
    <row r="78">
      <c r="A78" s="36" t="s">
        <v>82</v>
      </c>
      <c r="B78" s="38">
        <f t="shared" si="1"/>
        <v>19491313</v>
      </c>
      <c r="D78" s="37" t="s">
        <v>82</v>
      </c>
      <c r="E78" s="37">
        <v>1.9491313E7</v>
      </c>
    </row>
    <row r="79">
      <c r="A79" s="36" t="s">
        <v>82</v>
      </c>
      <c r="B79" s="38">
        <f t="shared" si="1"/>
        <v>19491313</v>
      </c>
      <c r="D79" s="37" t="s">
        <v>82</v>
      </c>
      <c r="E79" s="37">
        <v>1.9491313E7</v>
      </c>
    </row>
    <row r="80">
      <c r="A80" s="36" t="s">
        <v>82</v>
      </c>
      <c r="B80" s="38">
        <f t="shared" si="1"/>
        <v>19491313</v>
      </c>
      <c r="D80" s="37" t="s">
        <v>82</v>
      </c>
      <c r="E80" s="37">
        <v>1.9491313E7</v>
      </c>
    </row>
    <row r="81">
      <c r="A81" s="36" t="s">
        <v>82</v>
      </c>
      <c r="B81" s="38">
        <f t="shared" si="1"/>
        <v>19491313</v>
      </c>
      <c r="D81" s="37" t="s">
        <v>82</v>
      </c>
      <c r="E81" s="37">
        <v>1.9491313E7</v>
      </c>
    </row>
    <row r="82">
      <c r="A82" s="36" t="s">
        <v>82</v>
      </c>
      <c r="B82" s="38">
        <f t="shared" si="1"/>
        <v>19491313</v>
      </c>
      <c r="D82" s="37" t="s">
        <v>82</v>
      </c>
      <c r="E82" s="37">
        <v>1.9491313E7</v>
      </c>
    </row>
    <row r="83">
      <c r="A83" s="36" t="s">
        <v>82</v>
      </c>
      <c r="B83" s="38">
        <f t="shared" si="1"/>
        <v>19491313</v>
      </c>
      <c r="D83" s="37" t="s">
        <v>82</v>
      </c>
      <c r="E83" s="37">
        <v>1.9491313E7</v>
      </c>
    </row>
    <row r="84">
      <c r="A84" s="36" t="s">
        <v>82</v>
      </c>
      <c r="B84" s="38">
        <f t="shared" si="1"/>
        <v>19491313</v>
      </c>
      <c r="D84" s="37" t="s">
        <v>82</v>
      </c>
      <c r="E84" s="37">
        <v>1.9491313E7</v>
      </c>
    </row>
    <row r="85">
      <c r="A85" s="36" t="s">
        <v>82</v>
      </c>
      <c r="B85" s="38">
        <f t="shared" si="1"/>
        <v>19491313</v>
      </c>
      <c r="D85" s="37" t="s">
        <v>82</v>
      </c>
      <c r="E85" s="37">
        <v>1.9491313E7</v>
      </c>
    </row>
    <row r="86">
      <c r="A86" s="36" t="s">
        <v>82</v>
      </c>
      <c r="B86" s="38">
        <f t="shared" si="1"/>
        <v>19491313</v>
      </c>
      <c r="D86" s="37" t="s">
        <v>82</v>
      </c>
      <c r="E86" s="37">
        <v>1.9491313E7</v>
      </c>
    </row>
    <row r="87">
      <c r="A87" s="36" t="s">
        <v>82</v>
      </c>
      <c r="B87" s="38">
        <f t="shared" si="1"/>
        <v>19491313</v>
      </c>
      <c r="D87" s="37" t="s">
        <v>82</v>
      </c>
      <c r="E87" s="37">
        <v>1.9491313E7</v>
      </c>
    </row>
    <row r="88">
      <c r="A88" s="36" t="s">
        <v>82</v>
      </c>
      <c r="B88" s="38">
        <f t="shared" si="1"/>
        <v>19491313</v>
      </c>
      <c r="D88" s="37" t="s">
        <v>82</v>
      </c>
      <c r="E88" s="37">
        <v>1.9491313E7</v>
      </c>
    </row>
    <row r="89">
      <c r="A89" s="36" t="s">
        <v>82</v>
      </c>
      <c r="B89" s="38">
        <f t="shared" si="1"/>
        <v>19491313</v>
      </c>
      <c r="D89" s="37" t="s">
        <v>82</v>
      </c>
      <c r="E89" s="37">
        <v>1.9491313E7</v>
      </c>
    </row>
    <row r="90">
      <c r="A90" s="36" t="s">
        <v>82</v>
      </c>
      <c r="B90" s="38">
        <f t="shared" si="1"/>
        <v>19491313</v>
      </c>
      <c r="D90" s="37" t="s">
        <v>82</v>
      </c>
      <c r="E90" s="37">
        <v>1.9491313E7</v>
      </c>
    </row>
    <row r="91">
      <c r="A91" s="36" t="s">
        <v>82</v>
      </c>
      <c r="B91" s="38">
        <f t="shared" si="1"/>
        <v>19491313</v>
      </c>
      <c r="D91" s="37" t="s">
        <v>82</v>
      </c>
      <c r="E91" s="37">
        <v>1.9491313E7</v>
      </c>
    </row>
    <row r="92">
      <c r="A92" s="36" t="s">
        <v>82</v>
      </c>
      <c r="B92" s="38">
        <f t="shared" si="1"/>
        <v>19491313</v>
      </c>
      <c r="D92" s="37" t="s">
        <v>82</v>
      </c>
      <c r="E92" s="37">
        <v>1.9491313E7</v>
      </c>
    </row>
    <row r="93">
      <c r="A93" s="36" t="s">
        <v>205</v>
      </c>
      <c r="B93" s="38">
        <f t="shared" si="1"/>
        <v>13374569</v>
      </c>
      <c r="D93" s="37" t="s">
        <v>82</v>
      </c>
      <c r="E93" s="37">
        <v>1.9491313E7</v>
      </c>
    </row>
    <row r="94">
      <c r="A94" s="36" t="s">
        <v>209</v>
      </c>
      <c r="B94" s="38">
        <f t="shared" si="1"/>
        <v>19219478</v>
      </c>
      <c r="D94" s="37" t="s">
        <v>82</v>
      </c>
      <c r="E94" s="37">
        <v>1.9491313E7</v>
      </c>
    </row>
    <row r="95">
      <c r="A95" s="36" t="s">
        <v>33</v>
      </c>
      <c r="B95" s="38">
        <f t="shared" si="1"/>
        <v>16170994</v>
      </c>
      <c r="D95" s="37" t="s">
        <v>82</v>
      </c>
      <c r="E95" s="37">
        <v>1.9491313E7</v>
      </c>
    </row>
    <row r="96">
      <c r="A96" s="36" t="s">
        <v>33</v>
      </c>
      <c r="B96" s="38">
        <f t="shared" si="1"/>
        <v>16170994</v>
      </c>
      <c r="D96" s="37" t="s">
        <v>82</v>
      </c>
      <c r="E96" s="37">
        <v>1.9491313E7</v>
      </c>
    </row>
    <row r="97">
      <c r="A97" s="36" t="s">
        <v>33</v>
      </c>
      <c r="B97" s="38">
        <f t="shared" si="1"/>
        <v>16170994</v>
      </c>
      <c r="D97" s="37" t="s">
        <v>82</v>
      </c>
      <c r="E97" s="37">
        <v>1.9491313E7</v>
      </c>
    </row>
    <row r="98">
      <c r="A98" s="36" t="s">
        <v>33</v>
      </c>
      <c r="B98" s="38">
        <f t="shared" si="1"/>
        <v>16170994</v>
      </c>
      <c r="D98" s="37" t="s">
        <v>82</v>
      </c>
      <c r="E98" s="37">
        <v>1.9491313E7</v>
      </c>
    </row>
    <row r="99">
      <c r="A99" s="36" t="s">
        <v>33</v>
      </c>
      <c r="B99" s="38">
        <f t="shared" si="1"/>
        <v>16170994</v>
      </c>
      <c r="D99" s="37" t="s">
        <v>82</v>
      </c>
      <c r="E99" s="37">
        <v>1.9491313E7</v>
      </c>
    </row>
    <row r="100">
      <c r="A100" s="36" t="s">
        <v>33</v>
      </c>
      <c r="B100" s="38">
        <f t="shared" si="1"/>
        <v>16170994</v>
      </c>
      <c r="D100" s="37" t="s">
        <v>82</v>
      </c>
      <c r="E100" s="37">
        <v>1.9491313E7</v>
      </c>
    </row>
    <row r="101">
      <c r="A101" s="36" t="s">
        <v>33</v>
      </c>
      <c r="B101" s="38">
        <f t="shared" si="1"/>
        <v>16170994</v>
      </c>
      <c r="D101" s="37" t="s">
        <v>82</v>
      </c>
      <c r="E101" s="37">
        <v>1.9491313E7</v>
      </c>
    </row>
    <row r="102">
      <c r="A102" s="36" t="s">
        <v>33</v>
      </c>
      <c r="B102" s="38">
        <f t="shared" si="1"/>
        <v>16170994</v>
      </c>
      <c r="D102" s="37" t="s">
        <v>82</v>
      </c>
      <c r="E102" s="37">
        <v>1.9491313E7</v>
      </c>
    </row>
    <row r="103">
      <c r="A103" s="36" t="s">
        <v>33</v>
      </c>
      <c r="B103" s="38">
        <f t="shared" si="1"/>
        <v>16170994</v>
      </c>
      <c r="D103" s="37" t="s">
        <v>82</v>
      </c>
      <c r="E103" s="37">
        <v>1.9491313E7</v>
      </c>
    </row>
    <row r="104">
      <c r="A104" s="36" t="s">
        <v>33</v>
      </c>
      <c r="B104" s="38">
        <f t="shared" si="1"/>
        <v>16170994</v>
      </c>
      <c r="D104" s="37" t="s">
        <v>82</v>
      </c>
      <c r="E104" s="37">
        <v>1.9491313E7</v>
      </c>
    </row>
    <row r="105">
      <c r="A105" s="36" t="s">
        <v>33</v>
      </c>
      <c r="B105" s="38">
        <f t="shared" si="1"/>
        <v>16170994</v>
      </c>
      <c r="D105" s="37" t="s">
        <v>82</v>
      </c>
      <c r="E105" s="37">
        <v>1.9491313E7</v>
      </c>
    </row>
    <row r="106">
      <c r="A106" s="36" t="s">
        <v>33</v>
      </c>
      <c r="B106" s="38">
        <f t="shared" si="1"/>
        <v>16170994</v>
      </c>
      <c r="D106" s="37" t="s">
        <v>82</v>
      </c>
      <c r="E106" s="37">
        <v>1.9491313E7</v>
      </c>
    </row>
    <row r="107">
      <c r="A107" s="36" t="s">
        <v>33</v>
      </c>
      <c r="B107" s="38">
        <f t="shared" si="1"/>
        <v>16170994</v>
      </c>
      <c r="D107" s="37" t="s">
        <v>82</v>
      </c>
      <c r="E107" s="37">
        <v>1.9491313E7</v>
      </c>
    </row>
    <row r="108">
      <c r="A108" s="36" t="s">
        <v>33</v>
      </c>
      <c r="B108" s="38">
        <f t="shared" si="1"/>
        <v>16170994</v>
      </c>
      <c r="D108" s="37" t="s">
        <v>82</v>
      </c>
      <c r="E108" s="37">
        <v>1.9491313E7</v>
      </c>
    </row>
    <row r="109">
      <c r="A109" s="36" t="s">
        <v>33</v>
      </c>
      <c r="B109" s="38">
        <f t="shared" si="1"/>
        <v>16170994</v>
      </c>
      <c r="D109" s="37" t="s">
        <v>82</v>
      </c>
      <c r="E109" s="37">
        <v>1.9491313E7</v>
      </c>
    </row>
    <row r="110">
      <c r="A110" s="36" t="s">
        <v>33</v>
      </c>
      <c r="B110" s="38">
        <f t="shared" si="1"/>
        <v>16170994</v>
      </c>
      <c r="D110" s="37" t="s">
        <v>82</v>
      </c>
      <c r="E110" s="37">
        <v>1.9491313E7</v>
      </c>
    </row>
    <row r="111">
      <c r="A111" s="36" t="s">
        <v>33</v>
      </c>
      <c r="B111" s="38">
        <f t="shared" si="1"/>
        <v>16170994</v>
      </c>
      <c r="D111" s="37" t="s">
        <v>82</v>
      </c>
      <c r="E111" s="37">
        <v>1.9491313E7</v>
      </c>
    </row>
    <row r="112">
      <c r="A112" s="36" t="s">
        <v>33</v>
      </c>
      <c r="B112" s="38">
        <f t="shared" si="1"/>
        <v>16170994</v>
      </c>
      <c r="D112" s="37" t="s">
        <v>82</v>
      </c>
      <c r="E112" s="37">
        <v>1.9491313E7</v>
      </c>
    </row>
    <row r="113">
      <c r="A113" s="36" t="s">
        <v>33</v>
      </c>
      <c r="B113" s="38">
        <f t="shared" si="1"/>
        <v>16170994</v>
      </c>
      <c r="D113" s="37" t="s">
        <v>82</v>
      </c>
      <c r="E113" s="37">
        <v>1.9491313E7</v>
      </c>
    </row>
    <row r="114">
      <c r="A114" s="36" t="s">
        <v>33</v>
      </c>
      <c r="B114" s="38">
        <f t="shared" si="1"/>
        <v>16170994</v>
      </c>
      <c r="D114" s="37" t="s">
        <v>82</v>
      </c>
      <c r="E114" s="37">
        <v>1.9491313E7</v>
      </c>
    </row>
    <row r="115">
      <c r="A115" s="36" t="s">
        <v>33</v>
      </c>
      <c r="B115" s="38">
        <f t="shared" si="1"/>
        <v>16170994</v>
      </c>
      <c r="D115" s="37" t="s">
        <v>82</v>
      </c>
      <c r="E115" s="37">
        <v>1.9491313E7</v>
      </c>
    </row>
    <row r="116">
      <c r="A116" s="36" t="s">
        <v>33</v>
      </c>
      <c r="B116" s="38">
        <f t="shared" si="1"/>
        <v>16170994</v>
      </c>
      <c r="D116" s="37" t="s">
        <v>82</v>
      </c>
      <c r="E116" s="37">
        <v>1.9491313E7</v>
      </c>
    </row>
    <row r="117">
      <c r="A117" s="36" t="s">
        <v>33</v>
      </c>
      <c r="B117" s="38">
        <f t="shared" si="1"/>
        <v>16170994</v>
      </c>
      <c r="D117" s="37" t="s">
        <v>82</v>
      </c>
      <c r="E117" s="37">
        <v>1.9491313E7</v>
      </c>
    </row>
    <row r="118">
      <c r="A118" s="36" t="s">
        <v>33</v>
      </c>
      <c r="B118" s="38">
        <f t="shared" si="1"/>
        <v>16170994</v>
      </c>
      <c r="D118" s="37" t="s">
        <v>82</v>
      </c>
      <c r="E118" s="37">
        <v>1.9491313E7</v>
      </c>
    </row>
    <row r="119">
      <c r="A119" s="36" t="s">
        <v>33</v>
      </c>
      <c r="B119" s="38">
        <f t="shared" si="1"/>
        <v>16170994</v>
      </c>
      <c r="D119" s="37" t="s">
        <v>82</v>
      </c>
      <c r="E119" s="37">
        <v>1.9491313E7</v>
      </c>
    </row>
    <row r="120">
      <c r="A120" s="36" t="s">
        <v>33</v>
      </c>
      <c r="B120" s="38">
        <f t="shared" si="1"/>
        <v>16170994</v>
      </c>
      <c r="D120" s="37" t="s">
        <v>82</v>
      </c>
      <c r="E120" s="37">
        <v>1.9491313E7</v>
      </c>
    </row>
    <row r="121">
      <c r="A121" s="36" t="s">
        <v>33</v>
      </c>
      <c r="B121" s="38">
        <f t="shared" si="1"/>
        <v>16170994</v>
      </c>
      <c r="D121" s="37" t="s">
        <v>82</v>
      </c>
      <c r="E121" s="37">
        <v>1.9491313E7</v>
      </c>
    </row>
    <row r="122">
      <c r="A122" s="36" t="s">
        <v>33</v>
      </c>
      <c r="B122" s="38">
        <f t="shared" si="1"/>
        <v>16170994</v>
      </c>
      <c r="D122" s="37" t="s">
        <v>82</v>
      </c>
      <c r="E122" s="37">
        <v>1.9491313E7</v>
      </c>
    </row>
    <row r="123">
      <c r="A123" s="36" t="s">
        <v>33</v>
      </c>
      <c r="B123" s="38">
        <f t="shared" si="1"/>
        <v>16170994</v>
      </c>
      <c r="D123" s="37" t="s">
        <v>82</v>
      </c>
      <c r="E123" s="37">
        <v>1.9491313E7</v>
      </c>
    </row>
    <row r="124">
      <c r="A124" s="36" t="s">
        <v>33</v>
      </c>
      <c r="B124" s="38">
        <f t="shared" si="1"/>
        <v>16170994</v>
      </c>
      <c r="D124" s="37" t="s">
        <v>82</v>
      </c>
      <c r="E124" s="37">
        <v>1.9491313E7</v>
      </c>
    </row>
    <row r="125">
      <c r="A125" s="36" t="s">
        <v>33</v>
      </c>
      <c r="B125" s="38">
        <f t="shared" si="1"/>
        <v>16170994</v>
      </c>
      <c r="D125" s="37" t="s">
        <v>82</v>
      </c>
      <c r="E125" s="37">
        <v>1.9491313E7</v>
      </c>
    </row>
    <row r="126">
      <c r="A126" s="36" t="s">
        <v>82</v>
      </c>
      <c r="B126" s="38">
        <f t="shared" si="1"/>
        <v>19491313</v>
      </c>
      <c r="D126" s="37" t="s">
        <v>82</v>
      </c>
      <c r="E126" s="37">
        <v>1.9491313E7</v>
      </c>
    </row>
    <row r="127">
      <c r="A127" s="36" t="s">
        <v>82</v>
      </c>
      <c r="B127" s="38">
        <f t="shared" si="1"/>
        <v>19491313</v>
      </c>
      <c r="D127" s="37" t="s">
        <v>82</v>
      </c>
      <c r="E127" s="37">
        <v>1.9491313E7</v>
      </c>
    </row>
    <row r="128">
      <c r="A128" s="36" t="s">
        <v>82</v>
      </c>
      <c r="B128" s="38">
        <f t="shared" si="1"/>
        <v>19491313</v>
      </c>
      <c r="D128" s="37" t="s">
        <v>82</v>
      </c>
      <c r="E128" s="37">
        <v>1.9491313E7</v>
      </c>
    </row>
    <row r="129">
      <c r="A129" s="36" t="s">
        <v>82</v>
      </c>
      <c r="B129" s="38">
        <f t="shared" si="1"/>
        <v>19491313</v>
      </c>
      <c r="D129" s="37" t="s">
        <v>82</v>
      </c>
      <c r="E129" s="37">
        <v>1.9491313E7</v>
      </c>
    </row>
    <row r="130">
      <c r="A130" s="36" t="s">
        <v>82</v>
      </c>
      <c r="B130" s="38">
        <f t="shared" si="1"/>
        <v>19491313</v>
      </c>
      <c r="D130" s="37" t="s">
        <v>82</v>
      </c>
      <c r="E130" s="37">
        <v>1.9491313E7</v>
      </c>
    </row>
    <row r="131">
      <c r="A131" s="36" t="s">
        <v>82</v>
      </c>
      <c r="B131" s="38">
        <f t="shared" si="1"/>
        <v>19491313</v>
      </c>
      <c r="D131" s="37" t="s">
        <v>82</v>
      </c>
      <c r="E131" s="37">
        <v>1.9491313E7</v>
      </c>
    </row>
    <row r="132">
      <c r="A132" s="36" t="s">
        <v>82</v>
      </c>
      <c r="B132" s="38">
        <f t="shared" si="1"/>
        <v>19491313</v>
      </c>
      <c r="D132" s="37" t="s">
        <v>82</v>
      </c>
      <c r="E132" s="37">
        <v>1.9491313E7</v>
      </c>
    </row>
    <row r="133">
      <c r="A133" s="36" t="s">
        <v>82</v>
      </c>
      <c r="B133" s="38">
        <f t="shared" si="1"/>
        <v>19491313</v>
      </c>
      <c r="D133" s="37" t="s">
        <v>82</v>
      </c>
      <c r="E133" s="37">
        <v>1.9491313E7</v>
      </c>
    </row>
    <row r="134">
      <c r="A134" s="36" t="s">
        <v>82</v>
      </c>
      <c r="B134" s="38">
        <f t="shared" si="1"/>
        <v>19491313</v>
      </c>
      <c r="D134" s="37" t="s">
        <v>82</v>
      </c>
      <c r="E134" s="37">
        <v>1.9491313E7</v>
      </c>
    </row>
    <row r="135">
      <c r="A135" s="36" t="s">
        <v>82</v>
      </c>
      <c r="B135" s="38">
        <f t="shared" si="1"/>
        <v>19491313</v>
      </c>
      <c r="D135" s="37" t="s">
        <v>82</v>
      </c>
      <c r="E135" s="37">
        <v>1.9491313E7</v>
      </c>
    </row>
    <row r="136">
      <c r="A136" s="36" t="s">
        <v>82</v>
      </c>
      <c r="B136" s="38">
        <f t="shared" si="1"/>
        <v>19491313</v>
      </c>
      <c r="D136" s="37" t="s">
        <v>82</v>
      </c>
      <c r="E136" s="37">
        <v>1.9491313E7</v>
      </c>
    </row>
    <row r="137">
      <c r="A137" s="36" t="s">
        <v>82</v>
      </c>
      <c r="B137" s="38">
        <f t="shared" si="1"/>
        <v>19491313</v>
      </c>
      <c r="D137" s="37" t="s">
        <v>82</v>
      </c>
      <c r="E137" s="37">
        <v>1.9491313E7</v>
      </c>
    </row>
    <row r="138">
      <c r="A138" s="36" t="s">
        <v>82</v>
      </c>
      <c r="B138" s="38">
        <f t="shared" si="1"/>
        <v>19491313</v>
      </c>
      <c r="D138" s="37" t="s">
        <v>82</v>
      </c>
      <c r="E138" s="37">
        <v>1.9491313E7</v>
      </c>
    </row>
    <row r="139">
      <c r="A139" s="36" t="s">
        <v>82</v>
      </c>
      <c r="B139" s="38">
        <f t="shared" si="1"/>
        <v>19491313</v>
      </c>
      <c r="D139" s="37" t="s">
        <v>82</v>
      </c>
      <c r="E139" s="37">
        <v>1.9491313E7</v>
      </c>
    </row>
    <row r="140">
      <c r="A140" s="36" t="s">
        <v>82</v>
      </c>
      <c r="B140" s="38">
        <f t="shared" si="1"/>
        <v>19491313</v>
      </c>
      <c r="D140" s="37" t="s">
        <v>82</v>
      </c>
      <c r="E140" s="37">
        <v>1.9491313E7</v>
      </c>
    </row>
    <row r="141">
      <c r="A141" s="36" t="s">
        <v>82</v>
      </c>
      <c r="B141" s="38">
        <f t="shared" si="1"/>
        <v>19491313</v>
      </c>
      <c r="D141" s="37" t="s">
        <v>82</v>
      </c>
      <c r="E141" s="37">
        <v>1.9491313E7</v>
      </c>
    </row>
    <row r="142">
      <c r="A142" s="36" t="s">
        <v>82</v>
      </c>
      <c r="B142" s="38">
        <f t="shared" si="1"/>
        <v>19491313</v>
      </c>
      <c r="D142" s="37" t="s">
        <v>82</v>
      </c>
      <c r="E142" s="37">
        <v>1.9491313E7</v>
      </c>
    </row>
    <row r="143">
      <c r="A143" s="36" t="s">
        <v>82</v>
      </c>
      <c r="B143" s="38">
        <f t="shared" si="1"/>
        <v>19491313</v>
      </c>
      <c r="D143" s="37" t="s">
        <v>82</v>
      </c>
      <c r="E143" s="37">
        <v>1.9491313E7</v>
      </c>
    </row>
    <row r="144">
      <c r="A144" s="36" t="s">
        <v>82</v>
      </c>
      <c r="B144" s="38">
        <f t="shared" si="1"/>
        <v>19491313</v>
      </c>
    </row>
    <row r="145">
      <c r="A145" s="36" t="s">
        <v>82</v>
      </c>
      <c r="B145" s="38">
        <f t="shared" si="1"/>
        <v>19491313</v>
      </c>
    </row>
    <row r="146">
      <c r="A146" s="36" t="s">
        <v>82</v>
      </c>
      <c r="B146" s="38">
        <f t="shared" si="1"/>
        <v>19491313</v>
      </c>
    </row>
    <row r="147">
      <c r="A147" s="36" t="s">
        <v>82</v>
      </c>
      <c r="B147" s="38">
        <f t="shared" si="1"/>
        <v>19491313</v>
      </c>
    </row>
    <row r="148">
      <c r="A148" s="36" t="s">
        <v>82</v>
      </c>
      <c r="B148" s="38">
        <f t="shared" si="1"/>
        <v>19491313</v>
      </c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2026-03-16T11:40:24Z</dcterms:created>
  <dc:creator>Crystal Decisions</dc:creator>
</cp:coreProperties>
</file>