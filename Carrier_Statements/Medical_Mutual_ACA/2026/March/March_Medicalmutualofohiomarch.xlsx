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DPlavw42GF3PHTf0t+Dp6EJFJrYWa1b/ykuGEjLzCLM="/>
    </ext>
  </extLst>
</workbook>
</file>

<file path=xl/sharedStrings.xml><?xml version="1.0" encoding="utf-8"?>
<sst xmlns="http://schemas.openxmlformats.org/spreadsheetml/2006/main" count="1645" uniqueCount="557">
  <si>
    <t>Detailed Commission Statement</t>
  </si>
  <si>
    <t>MAIN LINE BENEFITS LLC_01_ALL</t>
  </si>
  <si>
    <t>For Period: March 2026</t>
  </si>
  <si>
    <t xml:space="preserve">Summary </t>
  </si>
  <si>
    <t>BASE COMMISSIONS</t>
  </si>
  <si>
    <t>SUBTOTAL</t>
  </si>
  <si>
    <t>TOTAL AMOUNT PAID</t>
  </si>
  <si>
    <t>Individual - PMPM</t>
  </si>
  <si>
    <t>Health</t>
  </si>
  <si>
    <t xml:space="preserve">
Producer Name</t>
  </si>
  <si>
    <t xml:space="preserve">
Group Name</t>
  </si>
  <si>
    <t>Group 
Number</t>
  </si>
  <si>
    <t xml:space="preserve">Type of 
Business </t>
  </si>
  <si>
    <t xml:space="preserve">
Split %</t>
  </si>
  <si>
    <t>Billed 
Member</t>
  </si>
  <si>
    <t xml:space="preserve">
Premium</t>
  </si>
  <si>
    <t xml:space="preserve">
PMPM Rate</t>
  </si>
  <si>
    <t xml:space="preserve">
Commission</t>
  </si>
  <si>
    <t>JENNIFER HALSAVER</t>
  </si>
  <si>
    <t>ELIZABETH WALKER</t>
  </si>
  <si>
    <t>C49119_H</t>
  </si>
  <si>
    <t>Individual</t>
  </si>
  <si>
    <t>GARY HUMMEL</t>
  </si>
  <si>
    <t>C43824_H</t>
  </si>
  <si>
    <t>KEVIN MYERS</t>
  </si>
  <si>
    <t>A96485_H</t>
  </si>
  <si>
    <t>RYAN CALTAGIRONE</t>
  </si>
  <si>
    <t>DENISE ZUMPELLA</t>
  </si>
  <si>
    <t>C61653_H</t>
  </si>
  <si>
    <t>MONIQUE KHOURY</t>
  </si>
  <si>
    <t>C62711_H</t>
  </si>
  <si>
    <t>ROLAND GARD</t>
  </si>
  <si>
    <t>C65755_H</t>
  </si>
  <si>
    <t>RYAN SHEPARD</t>
  </si>
  <si>
    <t>ALEX DODD</t>
  </si>
  <si>
    <t>C85696_H</t>
  </si>
  <si>
    <t>ALEXIS N SHARP</t>
  </si>
  <si>
    <t>C84680_H</t>
  </si>
  <si>
    <t>AMY GUILL</t>
  </si>
  <si>
    <t>C91041_H</t>
  </si>
  <si>
    <t>ANGELA HAWKINS</t>
  </si>
  <si>
    <t>C91302_H</t>
  </si>
  <si>
    <t>BARBARA PRITCHARD</t>
  </si>
  <si>
    <t>C92147_H</t>
  </si>
  <si>
    <t>BRIANNA KUHLWEIN</t>
  </si>
  <si>
    <t>C85704_H</t>
  </si>
  <si>
    <t>CHRISTINE OROSZ</t>
  </si>
  <si>
    <t>C78892_H</t>
  </si>
  <si>
    <t>DALHART HARLAN JR</t>
  </si>
  <si>
    <t>C99136_H</t>
  </si>
  <si>
    <t>DAVID KEARNS</t>
  </si>
  <si>
    <t>C79445_H</t>
  </si>
  <si>
    <t>DIANE SURKO</t>
  </si>
  <si>
    <t>C84198_H</t>
  </si>
  <si>
    <t>ERIC EVERETT</t>
  </si>
  <si>
    <t>C64798_H</t>
  </si>
  <si>
    <t>GRACE KELLEY</t>
  </si>
  <si>
    <t>C78889_H</t>
  </si>
  <si>
    <t>JARROD WILLIAMS</t>
  </si>
  <si>
    <t>C80139_H</t>
  </si>
  <si>
    <t>JENNIFER MYERS</t>
  </si>
  <si>
    <t>C92686_H</t>
  </si>
  <si>
    <t>KEVIN FERGUSON</t>
  </si>
  <si>
    <t>C85790_H</t>
  </si>
  <si>
    <t>KIMBERLY SHERMAN</t>
  </si>
  <si>
    <t>C80042_H</t>
  </si>
  <si>
    <t>LEWIS DEMIS</t>
  </si>
  <si>
    <t>C76631_H</t>
  </si>
  <si>
    <t>MARK HOTTEL</t>
  </si>
  <si>
    <t>A96513_H</t>
  </si>
  <si>
    <t>MARK STORNES</t>
  </si>
  <si>
    <t>C77516_H</t>
  </si>
  <si>
    <t>MATTHEW LEWIS</t>
  </si>
  <si>
    <t>C75030_H</t>
  </si>
  <si>
    <t>MATTHEW MEEHAN</t>
  </si>
  <si>
    <t>C85445_H</t>
  </si>
  <si>
    <t>MICHAEL EGLER</t>
  </si>
  <si>
    <t>C83624_H</t>
  </si>
  <si>
    <t>MICHAEL NICKISON</t>
  </si>
  <si>
    <t>C85192_H</t>
  </si>
  <si>
    <t>MOLLY MORACZ</t>
  </si>
  <si>
    <t>A85226_H</t>
  </si>
  <si>
    <t>NICOLE ZISKA</t>
  </si>
  <si>
    <t>C93134_H</t>
  </si>
  <si>
    <t>VERONICA FLORES</t>
  </si>
  <si>
    <t>E01581_H</t>
  </si>
  <si>
    <t>STEVEN BRANDT</t>
  </si>
  <si>
    <t>ALLEN MICK</t>
  </si>
  <si>
    <t>C77690_H</t>
  </si>
  <si>
    <t>AMY COSMA</t>
  </si>
  <si>
    <t>C64662_H</t>
  </si>
  <si>
    <t>ANDREA NOCE</t>
  </si>
  <si>
    <t>C65871_H</t>
  </si>
  <si>
    <t>ANDREW GAY</t>
  </si>
  <si>
    <t>C75301_H</t>
  </si>
  <si>
    <t>BETHANY JACKSON</t>
  </si>
  <si>
    <t>C57946_H</t>
  </si>
  <si>
    <t>BRANDY N DODGE</t>
  </si>
  <si>
    <t>C62781_H</t>
  </si>
  <si>
    <t>BRENDA L CORN</t>
  </si>
  <si>
    <t>C56957_H</t>
  </si>
  <si>
    <t>BRIDGETT SULLIVAN</t>
  </si>
  <si>
    <t>C59589_H</t>
  </si>
  <si>
    <t>CARL LAPE</t>
  </si>
  <si>
    <t>C86677_H</t>
  </si>
  <si>
    <t>CHAD L MCCARTY</t>
  </si>
  <si>
    <t>C45927_H</t>
  </si>
  <si>
    <t>CHRISTINE SZYMANSKI</t>
  </si>
  <si>
    <t>C60305_H</t>
  </si>
  <si>
    <t>CHRISTOPHER VANATTA</t>
  </si>
  <si>
    <t>C65511_H</t>
  </si>
  <si>
    <t>Page 1 of 6</t>
  </si>
  <si>
    <t>Generated:</t>
  </si>
  <si>
    <t>COLLEEN A THOMPSON</t>
  </si>
  <si>
    <t>C62962_H</t>
  </si>
  <si>
    <t>CONNIE BACHMAN</t>
  </si>
  <si>
    <t>C66133_H</t>
  </si>
  <si>
    <t>CYNTHIA D TAYLOR</t>
  </si>
  <si>
    <t>C57128_H</t>
  </si>
  <si>
    <t>DAVID SEITZ</t>
  </si>
  <si>
    <t>C94519_H</t>
  </si>
  <si>
    <t>DAVID VARGO</t>
  </si>
  <si>
    <t>C55948_H</t>
  </si>
  <si>
    <t>DEAN REDD</t>
  </si>
  <si>
    <t>C54339_H</t>
  </si>
  <si>
    <t>DEBRA BROCK</t>
  </si>
  <si>
    <t>C71211_H</t>
  </si>
  <si>
    <t>DONALD SEYMOUR</t>
  </si>
  <si>
    <t>C65784_H</t>
  </si>
  <si>
    <t>DOUGLAS MCGALLIARD</t>
  </si>
  <si>
    <t>C54949_H</t>
  </si>
  <si>
    <t>EDMUND TWEEDY V</t>
  </si>
  <si>
    <t>C75363_H</t>
  </si>
  <si>
    <t>HANNAH GOTSCHALL</t>
  </si>
  <si>
    <t>C74038_H</t>
  </si>
  <si>
    <t>HEATHER CLARK</t>
  </si>
  <si>
    <t>C72305_H</t>
  </si>
  <si>
    <t>HOLLIANNE KANOSKI</t>
  </si>
  <si>
    <t>C51143_H</t>
  </si>
  <si>
    <t>JODY REEDER-MUNGER</t>
  </si>
  <si>
    <t>C98320_H</t>
  </si>
  <si>
    <t>JOHN HALL</t>
  </si>
  <si>
    <t>C63531_H</t>
  </si>
  <si>
    <t>JUNE R CAVIOLO</t>
  </si>
  <si>
    <t>C72441_H</t>
  </si>
  <si>
    <t>JUNE SIPL</t>
  </si>
  <si>
    <t>C71153_H</t>
  </si>
  <si>
    <t>JUNG ROO</t>
  </si>
  <si>
    <t>C59717_H</t>
  </si>
  <si>
    <t>KELLY HOLLIS</t>
  </si>
  <si>
    <t>C58924_H</t>
  </si>
  <si>
    <t>KENNETH YEATON</t>
  </si>
  <si>
    <t>C55384_H</t>
  </si>
  <si>
    <t>KEVIN EILERMAN</t>
  </si>
  <si>
    <t>C71058_H</t>
  </si>
  <si>
    <t>KHALIL WALKER</t>
  </si>
  <si>
    <t>C83026_H</t>
  </si>
  <si>
    <t>LAURA MOLTER</t>
  </si>
  <si>
    <t>C73981_H</t>
  </si>
  <si>
    <t>MARVIN HANEY</t>
  </si>
  <si>
    <t>C65774_H</t>
  </si>
  <si>
    <t>MATTHEW GILL</t>
  </si>
  <si>
    <t>C54567_H</t>
  </si>
  <si>
    <t>MICHELE FARMER</t>
  </si>
  <si>
    <t>C65479_H</t>
  </si>
  <si>
    <t>NANCY TYMOSZCZUK</t>
  </si>
  <si>
    <t>C54805_H</t>
  </si>
  <si>
    <t>OLGA KONDRENKO</t>
  </si>
  <si>
    <t>C60939_H</t>
  </si>
  <si>
    <t>PARKER LAPE</t>
  </si>
  <si>
    <t>C74977_H</t>
  </si>
  <si>
    <t>PATRICIA GONZALEZ</t>
  </si>
  <si>
    <t>C82916_H</t>
  </si>
  <si>
    <t>PAUL SCHULTZ</t>
  </si>
  <si>
    <t>C66465_H</t>
  </si>
  <si>
    <t>PRESTON LAPE</t>
  </si>
  <si>
    <t>C74993_H</t>
  </si>
  <si>
    <t>RAELYNN HAUGHN</t>
  </si>
  <si>
    <t>C63256_H</t>
  </si>
  <si>
    <t>RENEE FUNKHOUSER</t>
  </si>
  <si>
    <t>C65928_H</t>
  </si>
  <si>
    <t>RICHARD BINKLEY</t>
  </si>
  <si>
    <t>C68021_H</t>
  </si>
  <si>
    <t>RYAN MEADE</t>
  </si>
  <si>
    <t>C73343_H</t>
  </si>
  <si>
    <t>SARAH ROO</t>
  </si>
  <si>
    <t>C59727_H</t>
  </si>
  <si>
    <t>SEAN MURPHY</t>
  </si>
  <si>
    <t>C62600_H</t>
  </si>
  <si>
    <t>SHEILA TURNER</t>
  </si>
  <si>
    <t>C60276_H</t>
  </si>
  <si>
    <t>STEVEN K BRANDT</t>
  </si>
  <si>
    <t>C64808_H</t>
  </si>
  <si>
    <t>SUSAN M HOFSTETTER</t>
  </si>
  <si>
    <t>C69393_H</t>
  </si>
  <si>
    <t>SVEN CHRISTIANSON</t>
  </si>
  <si>
    <t>C51245_H</t>
  </si>
  <si>
    <t>TAYLOR FANTE</t>
  </si>
  <si>
    <t>C70075_H</t>
  </si>
  <si>
    <t>TERRILL STAPLES</t>
  </si>
  <si>
    <t>C56445_H</t>
  </si>
  <si>
    <t>TRACY E DAVIS</t>
  </si>
  <si>
    <t>C55300_H</t>
  </si>
  <si>
    <t>VINCENT T COLOMBO</t>
  </si>
  <si>
    <t>C75307_H</t>
  </si>
  <si>
    <t>WRIGHT J ELLINGER</t>
  </si>
  <si>
    <t>C64167_H</t>
  </si>
  <si>
    <t>YUJUAN HAO</t>
  </si>
  <si>
    <t>C91457_H</t>
  </si>
  <si>
    <t>ZUZANA CHRISTIAN</t>
  </si>
  <si>
    <t>C62586_H</t>
  </si>
  <si>
    <t>Page 2 of 6</t>
  </si>
  <si>
    <t>JERALD SKARNULIS</t>
  </si>
  <si>
    <t>ROBERT OFZKY</t>
  </si>
  <si>
    <t>A67801_H</t>
  </si>
  <si>
    <t>NATHAN WELLER</t>
  </si>
  <si>
    <t>CLAYTON JOHNSON</t>
  </si>
  <si>
    <t>C69858_H</t>
  </si>
  <si>
    <t>ALAN TAYLOR</t>
  </si>
  <si>
    <t>639236_H</t>
  </si>
  <si>
    <t>ALYSSA JOHNSON</t>
  </si>
  <si>
    <t>260808_H</t>
  </si>
  <si>
    <t>BARBARA SCHMITTGEN</t>
  </si>
  <si>
    <t>282094_H</t>
  </si>
  <si>
    <t>BASIL MUSNUFF</t>
  </si>
  <si>
    <t>160431_H</t>
  </si>
  <si>
    <t>BETH RENICKER</t>
  </si>
  <si>
    <t>156422_H</t>
  </si>
  <si>
    <t>BRYAN GODEC</t>
  </si>
  <si>
    <t>682278_H</t>
  </si>
  <si>
    <t>CALI L WALKER</t>
  </si>
  <si>
    <t>640147_H</t>
  </si>
  <si>
    <t>CHERYL KOSIK-HAMER</t>
  </si>
  <si>
    <t>167758_H</t>
  </si>
  <si>
    <t>COURTNEY MARTUCCI</t>
  </si>
  <si>
    <t>A04409_H</t>
  </si>
  <si>
    <t>DAPHNE MULLINS</t>
  </si>
  <si>
    <t>153298_H</t>
  </si>
  <si>
    <t>DAVID S MATEY</t>
  </si>
  <si>
    <t>348307_H</t>
  </si>
  <si>
    <t>GREGORY KENREIGH</t>
  </si>
  <si>
    <t>728926_H</t>
  </si>
  <si>
    <t>GREGORY LEHRER</t>
  </si>
  <si>
    <t>C73621_H</t>
  </si>
  <si>
    <t>GREGORY STANLEY</t>
  </si>
  <si>
    <t>C87651_H</t>
  </si>
  <si>
    <t>HEATHER PROVOST</t>
  </si>
  <si>
    <t>A65554_H</t>
  </si>
  <si>
    <t>JAMES BURNS</t>
  </si>
  <si>
    <t>A65383_H</t>
  </si>
  <si>
    <t>JOHANNA JAMESON</t>
  </si>
  <si>
    <t>A00840_H</t>
  </si>
  <si>
    <t>JONELLE VATALARO</t>
  </si>
  <si>
    <t>C92872_H</t>
  </si>
  <si>
    <t>JOSEPH LICITRI</t>
  </si>
  <si>
    <t>C14053_H</t>
  </si>
  <si>
    <t>JUSTIN BERTHIAUME</t>
  </si>
  <si>
    <t>C79444_H</t>
  </si>
  <si>
    <t>JUSTIN MACIAK</t>
  </si>
  <si>
    <t>C36046_H</t>
  </si>
  <si>
    <t>KATE CROPP</t>
  </si>
  <si>
    <t>C74921_H</t>
  </si>
  <si>
    <t>KELLY CROPP</t>
  </si>
  <si>
    <t>C74916_H</t>
  </si>
  <si>
    <t>LEAH KLUBNIK</t>
  </si>
  <si>
    <t>190752_H</t>
  </si>
  <si>
    <t>SAMANTHA FREEMAN</t>
  </si>
  <si>
    <t>A18352_H</t>
  </si>
  <si>
    <t>SEAN TEMPLETON</t>
  </si>
  <si>
    <t>165415_H</t>
  </si>
  <si>
    <t>STEVE DUDAS</t>
  </si>
  <si>
    <t>787702_H</t>
  </si>
  <si>
    <t>SUSAN SWEENEY</t>
  </si>
  <si>
    <t>A63701_H</t>
  </si>
  <si>
    <t>THERESE DOTY</t>
  </si>
  <si>
    <t>520361_H</t>
  </si>
  <si>
    <t>WENDY L VON DUHN</t>
  </si>
  <si>
    <t>C33900_H</t>
  </si>
  <si>
    <t>YUSUF KHAN</t>
  </si>
  <si>
    <t>C84959_H</t>
  </si>
  <si>
    <t>ALLAN SHAW</t>
  </si>
  <si>
    <t>A69767_H</t>
  </si>
  <si>
    <t>BENJAMIN BOWER</t>
  </si>
  <si>
    <t>A76479_H</t>
  </si>
  <si>
    <t>BETH MELLEN</t>
  </si>
  <si>
    <t>A53759_H</t>
  </si>
  <si>
    <t>BRADLEY TRUMBULL</t>
  </si>
  <si>
    <t>A61504_H</t>
  </si>
  <si>
    <t>CHRISTINE L KEMPER</t>
  </si>
  <si>
    <t>A66448_H</t>
  </si>
  <si>
    <t>DANA MOORE</t>
  </si>
  <si>
    <t>A31458_H</t>
  </si>
  <si>
    <t>DANIELLE LUDWIG</t>
  </si>
  <si>
    <t>A58559_H</t>
  </si>
  <si>
    <t>DARREN K MORGAN</t>
  </si>
  <si>
    <t>A62633_H</t>
  </si>
  <si>
    <t>DOROTHY BEACH</t>
  </si>
  <si>
    <t>146841_H</t>
  </si>
  <si>
    <t>JACOB CULLER</t>
  </si>
  <si>
    <t>A63064_H</t>
  </si>
  <si>
    <t>JAMES K MULLINS</t>
  </si>
  <si>
    <t>601662_H</t>
  </si>
  <si>
    <t>JEFFREY A RICHARDSON</t>
  </si>
  <si>
    <t>A63859_H</t>
  </si>
  <si>
    <t>JUNE QUEEN</t>
  </si>
  <si>
    <t>A59871_H</t>
  </si>
  <si>
    <t>LANITA ELDER</t>
  </si>
  <si>
    <t>A54706_H</t>
  </si>
  <si>
    <t>LAURA LOPEZ</t>
  </si>
  <si>
    <t>A62501_H</t>
  </si>
  <si>
    <t>Page 3 of 6</t>
  </si>
  <si>
    <t>MATTHEW SHEPHERD</t>
  </si>
  <si>
    <t>A56081_H</t>
  </si>
  <si>
    <t>NITIN C PATEL</t>
  </si>
  <si>
    <t>A57622_H</t>
  </si>
  <si>
    <t>RACHEL BARTLETT</t>
  </si>
  <si>
    <t>A59365_H</t>
  </si>
  <si>
    <t>SHELLY BORING</t>
  </si>
  <si>
    <t>A60403_H</t>
  </si>
  <si>
    <t>STACEY LANDOLL</t>
  </si>
  <si>
    <t>A06309_H</t>
  </si>
  <si>
    <t>THOMAS POUNDERS</t>
  </si>
  <si>
    <t>A66353_H</t>
  </si>
  <si>
    <t>WENDY R OSBORNE</t>
  </si>
  <si>
    <t>681642_H</t>
  </si>
  <si>
    <t xml:space="preserve">Total Individual - PMPM  </t>
  </si>
  <si>
    <t>Karen Smith</t>
  </si>
  <si>
    <t>John Moseman</t>
  </si>
  <si>
    <t>Timothy Zahler</t>
  </si>
  <si>
    <t>Patricia Scism</t>
  </si>
  <si>
    <t>Pam Wilson</t>
  </si>
  <si>
    <t>John Wilson Jr</t>
  </si>
  <si>
    <t>William Butsko</t>
  </si>
  <si>
    <t>Linda Butsko</t>
  </si>
  <si>
    <t>Cindy Leach</t>
  </si>
  <si>
    <t>Karen Rausch</t>
  </si>
  <si>
    <t>Jeff Scott</t>
  </si>
  <si>
    <t>Tammy Vanatta</t>
  </si>
  <si>
    <t>Sharon Smith</t>
  </si>
  <si>
    <t>Robert Smith</t>
  </si>
  <si>
    <t>Tammy Wilhelm</t>
  </si>
  <si>
    <t>Karen Abshire</t>
  </si>
  <si>
    <t>John Abshire</t>
  </si>
  <si>
    <t>Rebecca Hill</t>
  </si>
  <si>
    <t>Tammy Haywood</t>
  </si>
  <si>
    <t>Kurt Larkin</t>
  </si>
  <si>
    <t>Theresa McFarland</t>
  </si>
  <si>
    <t>Mary Reed</t>
  </si>
  <si>
    <t>Karen Hawk</t>
  </si>
  <si>
    <t>Mark Cosma</t>
  </si>
  <si>
    <t>Robyn Tebinka</t>
  </si>
  <si>
    <t>Yulian Keve</t>
  </si>
  <si>
    <t>Timothy Davis</t>
  </si>
  <si>
    <t>Susan Shay</t>
  </si>
  <si>
    <t>Vincent Susi</t>
  </si>
  <si>
    <t>Ilkka Reini</t>
  </si>
  <si>
    <t>Daniel Hawk</t>
  </si>
  <si>
    <t>Carolyn Klein</t>
  </si>
  <si>
    <t>Robert Keve</t>
  </si>
  <si>
    <t>Marvin McCreary</t>
  </si>
  <si>
    <t>Kimberly Koenig-Perez</t>
  </si>
  <si>
    <t>Douglas McGalliard</t>
  </si>
  <si>
    <t>Ryan Meade</t>
  </si>
  <si>
    <t>Jody Reeder-Munger</t>
  </si>
  <si>
    <t>Matthew Gill</t>
  </si>
  <si>
    <t>Taylor Fante</t>
  </si>
  <si>
    <t>Wright J Ellinger</t>
  </si>
  <si>
    <t>Nancy Tymoszczuk</t>
  </si>
  <si>
    <t>Hannah Gotschall</t>
  </si>
  <si>
    <t>Abraham George</t>
  </si>
  <si>
    <t>Olga Kondrenko</t>
  </si>
  <si>
    <t>June Sipl</t>
  </si>
  <si>
    <t>David Seitz</t>
  </si>
  <si>
    <t>Debra Brock</t>
  </si>
  <si>
    <t>Dana Moore</t>
  </si>
  <si>
    <t>Cynthia D Taylor</t>
  </si>
  <si>
    <t>Christine Szymanski</t>
  </si>
  <si>
    <t>Sheila Turner</t>
  </si>
  <si>
    <t>Preston Lape</t>
  </si>
  <si>
    <t>Paul Schultz</t>
  </si>
  <si>
    <t>Heather Clark</t>
  </si>
  <si>
    <t>June R Caviolo</t>
  </si>
  <si>
    <t>Susan M Hofstetter</t>
  </si>
  <si>
    <t>Brenda L Corn</t>
  </si>
  <si>
    <t>Yusef Keshk</t>
  </si>
  <si>
    <t>Kevin Eilerman</t>
  </si>
  <si>
    <t>Carl Lape</t>
  </si>
  <si>
    <t>Yujuan Hao</t>
  </si>
  <si>
    <t>Connie Bachman</t>
  </si>
  <si>
    <t>Scott Ulery</t>
  </si>
  <si>
    <t>Laura Molter</t>
  </si>
  <si>
    <t>Bridgett Sullivan</t>
  </si>
  <si>
    <t>Jung Roo</t>
  </si>
  <si>
    <t>Sarah Roo</t>
  </si>
  <si>
    <t>Bethany Jackson</t>
  </si>
  <si>
    <t>Sven Christianson</t>
  </si>
  <si>
    <t>Brandy N Dodge</t>
  </si>
  <si>
    <t>Kelly Hollis</t>
  </si>
  <si>
    <t>Zuzana Christian</t>
  </si>
  <si>
    <t>Parker Lape</t>
  </si>
  <si>
    <t>Thomas Pounders</t>
  </si>
  <si>
    <t>Vincent T Colombo</t>
  </si>
  <si>
    <t>Sean Murphy</t>
  </si>
  <si>
    <t>Chad L McCarty</t>
  </si>
  <si>
    <t>Laura Lopez</t>
  </si>
  <si>
    <t>Nitin C Patel</t>
  </si>
  <si>
    <t>Christine L Kemper</t>
  </si>
  <si>
    <t>Allen Mick</t>
  </si>
  <si>
    <t>Jeffrey A Richardson</t>
  </si>
  <si>
    <t>Benjamin Bower</t>
  </si>
  <si>
    <t>Rose Shipp</t>
  </si>
  <si>
    <t>Andrew Gay</t>
  </si>
  <si>
    <t>Beth Mellen</t>
  </si>
  <si>
    <t>Richard Binkley</t>
  </si>
  <si>
    <t>Danielle Ludwig</t>
  </si>
  <si>
    <t>Darren K Morgan</t>
  </si>
  <si>
    <t>Jacob Culler</t>
  </si>
  <si>
    <t>Dorothy Beach</t>
  </si>
  <si>
    <t>Lanita Elder</t>
  </si>
  <si>
    <t>Shelly Boring</t>
  </si>
  <si>
    <t>Bradley Trumbull</t>
  </si>
  <si>
    <t>Stacey Landoll</t>
  </si>
  <si>
    <t>Kimberly Patterson</t>
  </si>
  <si>
    <t>Matthew Shepherd</t>
  </si>
  <si>
    <t>Terrill Staples</t>
  </si>
  <si>
    <t>Christopher Vanatta</t>
  </si>
  <si>
    <t>Tracy E Davis</t>
  </si>
  <si>
    <t>Khalil Walker</t>
  </si>
  <si>
    <t>Wendy R Osborne</t>
  </si>
  <si>
    <t>James K Mullins</t>
  </si>
  <si>
    <t>Hollianne Kanoski</t>
  </si>
  <si>
    <t>Rachel Bartlett</t>
  </si>
  <si>
    <t>June Queen</t>
  </si>
  <si>
    <t>Allan Shaw</t>
  </si>
  <si>
    <t>Dean Redd</t>
  </si>
  <si>
    <t>Colleen A Thompson</t>
  </si>
  <si>
    <t>Andrea Noce</t>
  </si>
  <si>
    <t>Edmund Tweedy V</t>
  </si>
  <si>
    <t>Amy Cosma</t>
  </si>
  <si>
    <t>Steven K Brandt</t>
  </si>
  <si>
    <t>David Vargo</t>
  </si>
  <si>
    <t>Donald Seymour</t>
  </si>
  <si>
    <t>John Hall</t>
  </si>
  <si>
    <t>Michele Farmer</t>
  </si>
  <si>
    <t>Kenneth Yeaton</t>
  </si>
  <si>
    <t>John Coons</t>
  </si>
  <si>
    <t>Renee Funkhouser</t>
  </si>
  <si>
    <t>Patricia Gonzalez</t>
  </si>
  <si>
    <t>Marvin Haney</t>
  </si>
  <si>
    <t>Raelynn Haughn</t>
  </si>
  <si>
    <t>Gregory Lehrer</t>
  </si>
  <si>
    <t>Basil Musnuff</t>
  </si>
  <si>
    <t>Cheryl Kosik-Hamer</t>
  </si>
  <si>
    <t>Justin Maciak</t>
  </si>
  <si>
    <t>Steve Dudas</t>
  </si>
  <si>
    <t>Johanna Jameson</t>
  </si>
  <si>
    <t>Beth Renicker</t>
  </si>
  <si>
    <t>Sean Templeton</t>
  </si>
  <si>
    <t>Wendy L Von Duhn</t>
  </si>
  <si>
    <t>Melissa Ritenour</t>
  </si>
  <si>
    <t>Bryan Godec</t>
  </si>
  <si>
    <t>Leah Klubnik</t>
  </si>
  <si>
    <t>Daphne Mullins</t>
  </si>
  <si>
    <t>Susan Sweeney</t>
  </si>
  <si>
    <t>Gregory Kenreigh</t>
  </si>
  <si>
    <t>Alyssa Johnson</t>
  </si>
  <si>
    <t>Alan Taylor</t>
  </si>
  <si>
    <t>Therese Doty</t>
  </si>
  <si>
    <t>Courtney Martucci</t>
  </si>
  <si>
    <t>Angela Hawkins</t>
  </si>
  <si>
    <t>Gregory Stanley</t>
  </si>
  <si>
    <t>Randall Edwards</t>
  </si>
  <si>
    <t>Joseph Licitri</t>
  </si>
  <si>
    <t>Molly Moracz</t>
  </si>
  <si>
    <t>James Burns</t>
  </si>
  <si>
    <t>Mark Hottel</t>
  </si>
  <si>
    <t>Amy Guill</t>
  </si>
  <si>
    <t>Barbara Pritchard</t>
  </si>
  <si>
    <t>Samantha Freeman</t>
  </si>
  <si>
    <t>Lewis Demis</t>
  </si>
  <si>
    <t>Michael Nickison</t>
  </si>
  <si>
    <t>Yusuf Khan</t>
  </si>
  <si>
    <t>Matthew Lewis</t>
  </si>
  <si>
    <t>Diane Surko</t>
  </si>
  <si>
    <t>Kevin Ferguson</t>
  </si>
  <si>
    <t>Heather Provost</t>
  </si>
  <si>
    <t>Kate Cropp</t>
  </si>
  <si>
    <t>Alexis N Sharp</t>
  </si>
  <si>
    <t>Cali L Walker</t>
  </si>
  <si>
    <t>David S Matey</t>
  </si>
  <si>
    <t>Dalhart Harlan Jr</t>
  </si>
  <si>
    <t>Mark Stornes</t>
  </si>
  <si>
    <t>Kelly Cropp</t>
  </si>
  <si>
    <t>Jennifer Myers</t>
  </si>
  <si>
    <t>Brianna Kuhlwein</t>
  </si>
  <si>
    <t>Barbara Schmittgen</t>
  </si>
  <si>
    <t>Nicole Ziska</t>
  </si>
  <si>
    <t>Jarrod Williams</t>
  </si>
  <si>
    <t>Michael Egler</t>
  </si>
  <si>
    <t>Christine Orosz</t>
  </si>
  <si>
    <t>Justin Berthiaume</t>
  </si>
  <si>
    <t>Matthew Meehan</t>
  </si>
  <si>
    <t>Susan Stornes</t>
  </si>
  <si>
    <t>Kimberly Sherman</t>
  </si>
  <si>
    <t>Veronica Flores</t>
  </si>
  <si>
    <t>Alex Dodd</t>
  </si>
  <si>
    <t>Jonelle Vatalaro</t>
  </si>
  <si>
    <t>Grace Kelley</t>
  </si>
  <si>
    <t>David Kearns</t>
  </si>
  <si>
    <t>Eric Everett</t>
  </si>
  <si>
    <t>Nathalie Charnuk</t>
  </si>
  <si>
    <t>Edgardo Santiago</t>
  </si>
  <si>
    <t>Joann Wagner</t>
  </si>
  <si>
    <t>Tammy Fresh</t>
  </si>
  <si>
    <t>Jeane Noblett</t>
  </si>
  <si>
    <t>Janet Roth</t>
  </si>
  <si>
    <t>Suzanne Maloney</t>
  </si>
  <si>
    <t>Trudy Cox</t>
  </si>
  <si>
    <t>Mary Cusick</t>
  </si>
  <si>
    <t>Karen Clarke</t>
  </si>
  <si>
    <t>Wendy Vonduhn</t>
  </si>
  <si>
    <t>Gary Whisenhunt</t>
  </si>
  <si>
    <t>Nancy Rueschman</t>
  </si>
  <si>
    <t>Kay Alessio</t>
  </si>
  <si>
    <t>Catherine Lottig</t>
  </si>
  <si>
    <t>E Evin</t>
  </si>
  <si>
    <t>Dawn Troyer</t>
  </si>
  <si>
    <t>Marilee Dulin</t>
  </si>
  <si>
    <t>Valentine Troyer</t>
  </si>
  <si>
    <t>Lucy Santiago</t>
  </si>
  <si>
    <t>Robert Dehart</t>
  </si>
  <si>
    <t>Mary Diehl</t>
  </si>
  <si>
    <t>James Sibbio</t>
  </si>
  <si>
    <t>Robert Bissler</t>
  </si>
  <si>
    <t>Susan Lang</t>
  </si>
  <si>
    <t>Marilyn Dehart</t>
  </si>
  <si>
    <t>Roberta McDonnell</t>
  </si>
  <si>
    <t>Thomas Clarke</t>
  </si>
  <si>
    <t>Joseph Dulin Jr</t>
  </si>
  <si>
    <t>Pamela Andrews</t>
  </si>
  <si>
    <t>Denise Zumpella</t>
  </si>
  <si>
    <t>Monique Khoury</t>
  </si>
  <si>
    <t>Roland Gard</t>
  </si>
  <si>
    <t>Jeffrey Gaul</t>
  </si>
  <si>
    <t>Edward Trimmer</t>
  </si>
  <si>
    <t>Lawrence Jupina</t>
  </si>
  <si>
    <t>Ronna Johnson</t>
  </si>
  <si>
    <t>Clayton Johnson</t>
  </si>
  <si>
    <t>Robert Ofzky</t>
  </si>
  <si>
    <t>George Mellen</t>
  </si>
  <si>
    <t>Vicki K Cooke</t>
  </si>
  <si>
    <t>Amber Novosielski</t>
  </si>
  <si>
    <t>Kevin Myers</t>
  </si>
  <si>
    <t>Gabrielle Esposito</t>
  </si>
  <si>
    <t>Elizabeth Walker</t>
  </si>
  <si>
    <t>Gary Hummel</t>
  </si>
  <si>
    <t>Loretta Speck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</si>
</sst>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[$%-409]"/>
    <numFmt numFmtId="165" formatCode="[$$-409]#,##0.00_);\([$$-409]#,##0.00\)"/>
    <numFmt numFmtId="166" formatCode="m/d/yyyy"/>
  </numFmts>
  <fonts count="13">
    <font>
      <sz val="10.0"/>
      <color rgb="FF000000"/>
      <name val="Arial"/>
      <scheme val="minor"/>
    </font>
    <font>
      <b/>
      <sz val="14.0"/>
      <color rgb="FF038675"/>
      <name val="Palatino Linotype"/>
    </font>
    <font>
      <b/>
      <sz val="12.0"/>
      <color rgb="FF038675"/>
      <name val="Palatino Linotype"/>
    </font>
    <font>
      <b/>
      <sz val="11.0"/>
      <color rgb="FF414042"/>
      <name val="Arial"/>
    </font>
    <font>
      <sz val="10.0"/>
      <color rgb="FF000000"/>
      <name val="Arial"/>
    </font>
    <font>
      <b/>
      <sz val="10.0"/>
      <color rgb="FF414042"/>
      <name val="Arial"/>
    </font>
    <font>
      <b/>
      <sz val="10.0"/>
      <color rgb="FF5A5A5A"/>
      <name val="Helvetica Neue"/>
    </font>
    <font/>
    <font>
      <b/>
      <sz val="10.0"/>
      <color rgb="FFFFFFFF"/>
      <name val="Palatino Linotype"/>
    </font>
    <font>
      <sz val="10.0"/>
      <color rgb="FFFFFFFF"/>
      <name val="Arial"/>
    </font>
    <font>
      <sz val="8.0"/>
      <color rgb="FF000000"/>
      <name val="Arial"/>
    </font>
    <font>
      <b/>
      <sz val="9.0"/>
      <color rgb="FF414042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righ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4" numFmtId="4" xfId="0" applyAlignment="1" applyFont="1" applyNumberFormat="1">
      <alignment horizontal="right" vertical="top"/>
    </xf>
    <xf borderId="0" fillId="0" fontId="5" numFmtId="0" xfId="0" applyAlignment="1" applyFont="1">
      <alignment horizontal="left" vertical="top"/>
    </xf>
    <xf borderId="0" fillId="0" fontId="5" numFmtId="4" xfId="0" applyAlignment="1" applyFont="1" applyNumberFormat="1">
      <alignment horizontal="right" vertical="top"/>
    </xf>
    <xf borderId="1" fillId="2" fontId="6" numFmtId="0" xfId="0" applyAlignment="1" applyBorder="1" applyFill="1" applyFont="1">
      <alignment horizontal="left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3" fontId="8" numFmtId="0" xfId="0" applyAlignment="1" applyBorder="1" applyFill="1" applyFont="1">
      <alignment horizontal="left" shrinkToFit="0" vertical="top" wrapText="1"/>
    </xf>
    <xf borderId="5" fillId="0" fontId="7" numFmtId="0" xfId="0" applyBorder="1" applyFont="1"/>
    <xf borderId="6" fillId="0" fontId="7" numFmtId="0" xfId="0" applyBorder="1" applyFont="1"/>
    <xf borderId="7" fillId="4" fontId="9" numFmtId="0" xfId="0" applyAlignment="1" applyBorder="1" applyFill="1" applyFont="1">
      <alignment horizontal="center" shrinkToFit="0" vertical="top" wrapText="1"/>
    </xf>
    <xf borderId="8" fillId="0" fontId="7" numFmtId="0" xfId="0" applyBorder="1" applyFont="1"/>
    <xf borderId="9" fillId="0" fontId="7" numFmtId="0" xfId="0" applyBorder="1" applyFont="1"/>
    <xf borderId="10" fillId="4" fontId="9" numFmtId="0" xfId="0" applyAlignment="1" applyBorder="1" applyFont="1">
      <alignment horizontal="center" shrinkToFit="0" vertical="top" wrapText="1"/>
    </xf>
    <xf borderId="11" fillId="0" fontId="7" numFmtId="0" xfId="0" applyBorder="1" applyFont="1"/>
    <xf borderId="12" fillId="4" fontId="9" numFmtId="0" xfId="0" applyAlignment="1" applyBorder="1" applyFont="1">
      <alignment horizontal="right" shrinkToFit="0" vertical="top" wrapText="1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0" fillId="0" fontId="10" numFmtId="0" xfId="0" applyAlignment="1" applyFont="1">
      <alignment horizontal="left" vertical="top"/>
    </xf>
    <xf borderId="0" fillId="0" fontId="10" numFmtId="164" xfId="0" applyAlignment="1" applyFont="1" applyNumberFormat="1">
      <alignment horizontal="center" vertical="top"/>
    </xf>
    <xf borderId="0" fillId="0" fontId="10" numFmtId="4" xfId="0" applyAlignment="1" applyFont="1" applyNumberFormat="1">
      <alignment horizontal="center" vertical="top"/>
    </xf>
    <xf borderId="0" fillId="0" fontId="10" numFmtId="165" xfId="0" applyAlignment="1" applyFont="1" applyNumberFormat="1">
      <alignment horizontal="right" vertical="top"/>
    </xf>
    <xf borderId="0" fillId="0" fontId="10" numFmtId="0" xfId="0" applyAlignment="1" applyFont="1">
      <alignment horizontal="left" shrinkToFit="0" vertical="top" wrapText="1"/>
    </xf>
    <xf borderId="0" fillId="0" fontId="10" numFmtId="0" xfId="0" applyAlignment="1" applyFont="1">
      <alignment horizontal="right" shrinkToFit="0" vertical="top" wrapText="1"/>
    </xf>
    <xf borderId="0" fillId="0" fontId="10" numFmtId="14" xfId="0" applyAlignment="1" applyFont="1" applyNumberFormat="1">
      <alignment horizontal="center" shrinkToFit="0" vertical="top" wrapText="1"/>
    </xf>
    <xf borderId="0" fillId="0" fontId="11" numFmtId="165" xfId="0" applyAlignment="1" applyFont="1" applyNumberFormat="1">
      <alignment horizontal="right" vertical="top"/>
    </xf>
    <xf borderId="0" fillId="0" fontId="11" numFmtId="0" xfId="0" applyAlignment="1" applyFont="1">
      <alignment horizontal="left" shrinkToFit="0" vertical="top" wrapText="1"/>
    </xf>
    <xf borderId="11" fillId="4" fontId="9" numFmtId="4" xfId="0" applyAlignment="1" applyBorder="1" applyFont="1" applyNumberFormat="1">
      <alignment horizontal="right" shrinkToFit="0" vertical="top" wrapText="1"/>
    </xf>
    <xf borderId="13" fillId="4" fontId="9" numFmtId="0" xfId="0" applyAlignment="1" applyBorder="1" applyFont="1">
      <alignment horizontal="center" shrinkToFit="0" vertical="top" wrapText="1"/>
    </xf>
    <xf borderId="0" fillId="0" fontId="10" numFmtId="4" xfId="0" applyAlignment="1" applyFont="1" applyNumberFormat="1">
      <alignment horizontal="right" vertical="top"/>
    </xf>
    <xf borderId="0" fillId="0" fontId="11" numFmtId="4" xfId="0" applyAlignment="1" applyFont="1" applyNumberFormat="1">
      <alignment horizontal="right" vertical="top"/>
    </xf>
    <xf borderId="0" fillId="0" fontId="12" numFmtId="4" xfId="0" applyFont="1" applyNumberFormat="1"/>
    <xf borderId="0" fillId="0" fontId="12" numFmtId="0" xfId="0" applyAlignment="1" applyFont="1">
      <alignment readingOrder="0"/>
    </xf>
    <xf borderId="0" fillId="0" fontId="12" numFmtId="166" xfId="0" applyAlignment="1" applyFont="1" applyNumberFormat="1">
      <alignment readingOrder="0"/>
    </xf>
    <xf borderId="0" fillId="0" fontId="1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190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0"/>
    <col customWidth="1" min="2" max="2" width="23.75"/>
    <col customWidth="1" min="3" max="3" width="1.38"/>
    <col customWidth="1" min="4" max="4" width="16.13"/>
    <col customWidth="1" min="5" max="5" width="15.0"/>
    <col customWidth="1" min="6" max="6" width="8.88"/>
    <col customWidth="1" min="7" max="7" width="9.13"/>
    <col customWidth="1" min="8" max="8" width="1.25"/>
    <col customWidth="1" min="9" max="9" width="6.88"/>
    <col customWidth="1" min="10" max="10" width="4.63"/>
    <col customWidth="1" min="11" max="11" width="3.25"/>
    <col customWidth="1" min="12" max="12" width="5.88"/>
    <col customWidth="1" min="13" max="13" width="2.13"/>
    <col customWidth="1" min="14" max="14" width="4.75"/>
    <col customWidth="1" min="15" max="15" width="5.25"/>
    <col customWidth="1" min="16" max="16" width="1.0"/>
    <col customWidth="1" min="17" max="17" width="10.88"/>
    <col customWidth="1" min="18" max="18" width="1.0"/>
    <col customWidth="1" min="19" max="19" width="2.38"/>
    <col customWidth="1" min="20" max="20" width="9.0"/>
    <col customWidth="1" min="21" max="21" width="9.25"/>
    <col customWidth="1" min="22" max="22" width="2.0"/>
    <col customWidth="1" min="23" max="26" width="6.88"/>
  </cols>
  <sheetData>
    <row r="1" ht="40.5" customHeight="1"/>
    <row r="2" ht="27.0" customHeight="1">
      <c r="J2" s="1" t="s">
        <v>0</v>
      </c>
    </row>
    <row r="3" ht="33.75" customHeight="1"/>
    <row r="4" ht="24.75" customHeight="1">
      <c r="B4" s="2" t="s">
        <v>1</v>
      </c>
      <c r="J4" s="3" t="s">
        <v>2</v>
      </c>
    </row>
    <row r="5" ht="20.25" customHeight="1">
      <c r="E5" s="4" t="s">
        <v>3</v>
      </c>
    </row>
    <row r="6" ht="15.0" customHeight="1">
      <c r="E6" s="5" t="s">
        <v>4</v>
      </c>
      <c r="I6" s="6">
        <v>4906.16</v>
      </c>
    </row>
    <row r="7" ht="12.75" customHeight="1">
      <c r="E7" s="5" t="s">
        <v>5</v>
      </c>
      <c r="I7" s="6">
        <v>4906.16</v>
      </c>
    </row>
    <row r="8" ht="6.75" customHeight="1"/>
    <row r="9" ht="15.75" customHeight="1">
      <c r="E9" s="7" t="s">
        <v>6</v>
      </c>
      <c r="I9" s="8">
        <v>4906.16</v>
      </c>
    </row>
    <row r="10" ht="14.25" customHeight="1"/>
    <row r="11" ht="13.5" customHeight="1"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ht="18.75" customHeight="1">
      <c r="B12" s="12" t="s">
        <v>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ht="2.25" customHeight="1"/>
    <row r="14" ht="13.5" customHeight="1">
      <c r="B14" s="15" t="s">
        <v>9</v>
      </c>
      <c r="C14" s="16"/>
      <c r="D14" s="15" t="s">
        <v>10</v>
      </c>
      <c r="E14" s="17"/>
      <c r="F14" s="16"/>
      <c r="G14" s="18" t="s">
        <v>11</v>
      </c>
      <c r="H14" s="15" t="s">
        <v>12</v>
      </c>
      <c r="I14" s="17"/>
      <c r="J14" s="17"/>
      <c r="K14" s="16"/>
      <c r="L14" s="15" t="s">
        <v>13</v>
      </c>
      <c r="M14" s="16"/>
      <c r="N14" s="15" t="s">
        <v>14</v>
      </c>
      <c r="O14" s="19"/>
      <c r="Q14" s="15" t="s">
        <v>15</v>
      </c>
      <c r="R14" s="19"/>
      <c r="S14" s="15" t="s">
        <v>16</v>
      </c>
      <c r="T14" s="19"/>
      <c r="U14" s="20" t="s">
        <v>17</v>
      </c>
      <c r="V14" s="19"/>
    </row>
    <row r="15" ht="13.5" customHeight="1">
      <c r="B15" s="21"/>
      <c r="C15" s="22"/>
      <c r="D15" s="21"/>
      <c r="E15" s="23"/>
      <c r="F15" s="22"/>
      <c r="G15" s="24"/>
      <c r="H15" s="21"/>
      <c r="I15" s="23"/>
      <c r="J15" s="23"/>
      <c r="K15" s="22"/>
      <c r="L15" s="21"/>
      <c r="M15" s="22"/>
      <c r="N15" s="21"/>
      <c r="O15" s="25"/>
      <c r="Q15" s="21"/>
      <c r="R15" s="25"/>
      <c r="S15" s="21"/>
      <c r="T15" s="25"/>
      <c r="U15" s="26"/>
      <c r="V15" s="25"/>
    </row>
    <row r="16" ht="11.25" customHeight="1">
      <c r="B16" s="27" t="s">
        <v>18</v>
      </c>
      <c r="D16" s="27" t="s">
        <v>19</v>
      </c>
      <c r="G16" s="27" t="s">
        <v>20</v>
      </c>
      <c r="H16" s="27" t="s">
        <v>21</v>
      </c>
      <c r="L16" s="28">
        <v>100.0</v>
      </c>
      <c r="N16" s="29">
        <v>1.0</v>
      </c>
      <c r="Q16" s="30">
        <v>396.98332</v>
      </c>
      <c r="S16" s="29">
        <v>20.0</v>
      </c>
      <c r="U16" s="30">
        <v>20.0</v>
      </c>
    </row>
    <row r="17" ht="11.25" customHeight="1">
      <c r="B17" s="27" t="s">
        <v>18</v>
      </c>
      <c r="D17" s="27" t="s">
        <v>22</v>
      </c>
      <c r="G17" s="27" t="s">
        <v>23</v>
      </c>
      <c r="H17" s="27" t="s">
        <v>21</v>
      </c>
      <c r="L17" s="28">
        <v>100.0</v>
      </c>
      <c r="N17" s="29">
        <v>1.0</v>
      </c>
      <c r="Q17" s="30">
        <v>987.81424</v>
      </c>
      <c r="S17" s="29">
        <v>20.0</v>
      </c>
      <c r="U17" s="30">
        <v>20.0</v>
      </c>
    </row>
    <row r="18" ht="11.25" customHeight="1">
      <c r="B18" s="27" t="s">
        <v>18</v>
      </c>
      <c r="D18" s="27" t="s">
        <v>24</v>
      </c>
      <c r="G18" s="27" t="s">
        <v>25</v>
      </c>
      <c r="H18" s="27" t="s">
        <v>21</v>
      </c>
      <c r="L18" s="28">
        <v>100.0</v>
      </c>
      <c r="N18" s="29">
        <v>2.0</v>
      </c>
      <c r="Q18" s="30">
        <v>2307.4865</v>
      </c>
      <c r="S18" s="29">
        <v>20.0</v>
      </c>
      <c r="U18" s="30">
        <v>40.0</v>
      </c>
    </row>
    <row r="19" ht="11.25" customHeight="1">
      <c r="B19" s="27" t="s">
        <v>26</v>
      </c>
      <c r="D19" s="27" t="s">
        <v>27</v>
      </c>
      <c r="G19" s="27" t="s">
        <v>28</v>
      </c>
      <c r="H19" s="27" t="s">
        <v>21</v>
      </c>
      <c r="L19" s="28">
        <v>100.0</v>
      </c>
      <c r="N19" s="29">
        <v>1.0</v>
      </c>
      <c r="Q19" s="30">
        <v>1008.61884</v>
      </c>
      <c r="S19" s="29">
        <v>20.0</v>
      </c>
      <c r="U19" s="30">
        <v>20.0</v>
      </c>
    </row>
    <row r="20" ht="11.25" customHeight="1">
      <c r="B20" s="27" t="s">
        <v>26</v>
      </c>
      <c r="D20" s="27" t="s">
        <v>29</v>
      </c>
      <c r="G20" s="27" t="s">
        <v>30</v>
      </c>
      <c r="H20" s="27" t="s">
        <v>21</v>
      </c>
      <c r="L20" s="28">
        <v>100.0</v>
      </c>
      <c r="N20" s="29">
        <v>1.0</v>
      </c>
      <c r="Q20" s="30">
        <v>1113.81518</v>
      </c>
      <c r="S20" s="29">
        <v>20.0</v>
      </c>
      <c r="U20" s="30">
        <v>20.0</v>
      </c>
    </row>
    <row r="21" ht="11.25" customHeight="1">
      <c r="B21" s="27" t="s">
        <v>26</v>
      </c>
      <c r="D21" s="27" t="s">
        <v>31</v>
      </c>
      <c r="G21" s="27" t="s">
        <v>32</v>
      </c>
      <c r="H21" s="27" t="s">
        <v>21</v>
      </c>
      <c r="L21" s="28">
        <v>100.0</v>
      </c>
      <c r="N21" s="29">
        <v>1.0</v>
      </c>
      <c r="Q21" s="30">
        <v>862.41476</v>
      </c>
      <c r="S21" s="29">
        <v>20.0</v>
      </c>
      <c r="U21" s="30">
        <v>20.0</v>
      </c>
    </row>
    <row r="22" ht="11.25" customHeight="1">
      <c r="B22" s="27" t="s">
        <v>33</v>
      </c>
      <c r="D22" s="27" t="s">
        <v>34</v>
      </c>
      <c r="G22" s="27" t="s">
        <v>35</v>
      </c>
      <c r="H22" s="27" t="s">
        <v>21</v>
      </c>
      <c r="L22" s="28">
        <v>100.0</v>
      </c>
      <c r="N22" s="29">
        <v>1.0</v>
      </c>
      <c r="Q22" s="30">
        <v>115.94374</v>
      </c>
      <c r="S22" s="29">
        <v>19.0</v>
      </c>
      <c r="U22" s="30">
        <v>19.0</v>
      </c>
    </row>
    <row r="23" ht="11.25" customHeight="1">
      <c r="B23" s="27" t="s">
        <v>33</v>
      </c>
      <c r="D23" s="27" t="s">
        <v>36</v>
      </c>
      <c r="G23" s="27" t="s">
        <v>37</v>
      </c>
      <c r="H23" s="27" t="s">
        <v>21</v>
      </c>
      <c r="L23" s="28">
        <v>100.0</v>
      </c>
      <c r="N23" s="29">
        <v>1.0</v>
      </c>
      <c r="Q23" s="30">
        <v>463.55804</v>
      </c>
      <c r="S23" s="29">
        <v>20.0</v>
      </c>
      <c r="U23" s="30">
        <v>20.0</v>
      </c>
    </row>
    <row r="24" ht="11.25" customHeight="1">
      <c r="B24" s="27" t="s">
        <v>33</v>
      </c>
      <c r="D24" s="27" t="s">
        <v>38</v>
      </c>
      <c r="G24" s="27" t="s">
        <v>39</v>
      </c>
      <c r="H24" s="27" t="s">
        <v>21</v>
      </c>
      <c r="L24" s="28">
        <v>100.0</v>
      </c>
      <c r="N24" s="29">
        <v>1.0</v>
      </c>
      <c r="Q24" s="30">
        <v>1075.93306</v>
      </c>
      <c r="S24" s="29">
        <v>20.0</v>
      </c>
      <c r="U24" s="30">
        <v>20.0</v>
      </c>
    </row>
    <row r="25" ht="11.25" customHeight="1">
      <c r="B25" s="27" t="s">
        <v>33</v>
      </c>
      <c r="D25" s="27" t="s">
        <v>40</v>
      </c>
      <c r="G25" s="27" t="s">
        <v>41</v>
      </c>
      <c r="H25" s="27" t="s">
        <v>21</v>
      </c>
      <c r="L25" s="28">
        <v>100.0</v>
      </c>
      <c r="N25" s="29">
        <v>1.0</v>
      </c>
      <c r="Q25" s="30">
        <v>685.49678</v>
      </c>
      <c r="S25" s="29">
        <v>20.0</v>
      </c>
      <c r="U25" s="30">
        <v>20.0</v>
      </c>
    </row>
    <row r="26" ht="11.25" customHeight="1">
      <c r="B26" s="27" t="s">
        <v>33</v>
      </c>
      <c r="D26" s="27" t="s">
        <v>42</v>
      </c>
      <c r="G26" s="27" t="s">
        <v>43</v>
      </c>
      <c r="H26" s="27" t="s">
        <v>21</v>
      </c>
      <c r="L26" s="28">
        <v>100.0</v>
      </c>
      <c r="N26" s="29">
        <v>1.0</v>
      </c>
      <c r="Q26" s="30">
        <v>972.689</v>
      </c>
      <c r="S26" s="29">
        <v>20.0</v>
      </c>
      <c r="U26" s="30">
        <v>20.0</v>
      </c>
    </row>
    <row r="27" ht="11.25" customHeight="1">
      <c r="B27" s="27" t="s">
        <v>33</v>
      </c>
      <c r="D27" s="27" t="s">
        <v>44</v>
      </c>
      <c r="G27" s="27" t="s">
        <v>45</v>
      </c>
      <c r="H27" s="27" t="s">
        <v>21</v>
      </c>
      <c r="L27" s="28">
        <v>100.0</v>
      </c>
      <c r="N27" s="29">
        <v>1.0</v>
      </c>
      <c r="Q27" s="30">
        <v>164.5634</v>
      </c>
      <c r="S27" s="29">
        <v>19.0</v>
      </c>
      <c r="U27" s="30">
        <v>19.0</v>
      </c>
    </row>
    <row r="28" ht="11.25" customHeight="1">
      <c r="B28" s="27" t="s">
        <v>33</v>
      </c>
      <c r="D28" s="27" t="s">
        <v>46</v>
      </c>
      <c r="G28" s="27" t="s">
        <v>47</v>
      </c>
      <c r="H28" s="27" t="s">
        <v>21</v>
      </c>
      <c r="L28" s="28">
        <v>100.0</v>
      </c>
      <c r="N28" s="29">
        <v>1.0</v>
      </c>
      <c r="Q28" s="30">
        <v>444.03524</v>
      </c>
      <c r="S28" s="29">
        <v>19.0</v>
      </c>
      <c r="U28" s="30">
        <v>19.0</v>
      </c>
    </row>
    <row r="29" ht="11.25" customHeight="1">
      <c r="B29" s="27" t="s">
        <v>33</v>
      </c>
      <c r="D29" s="27" t="s">
        <v>48</v>
      </c>
      <c r="G29" s="27" t="s">
        <v>49</v>
      </c>
      <c r="H29" s="27" t="s">
        <v>21</v>
      </c>
      <c r="L29" s="28">
        <v>100.0</v>
      </c>
      <c r="N29" s="29">
        <v>1.0</v>
      </c>
      <c r="Q29" s="30">
        <v>1053.52128</v>
      </c>
      <c r="S29" s="29">
        <v>20.0</v>
      </c>
      <c r="U29" s="30">
        <v>20.0</v>
      </c>
    </row>
    <row r="30" ht="11.25" customHeight="1">
      <c r="B30" s="27" t="s">
        <v>33</v>
      </c>
      <c r="D30" s="27" t="s">
        <v>50</v>
      </c>
      <c r="G30" s="27" t="s">
        <v>51</v>
      </c>
      <c r="H30" s="27" t="s">
        <v>21</v>
      </c>
      <c r="L30" s="28">
        <v>100.0</v>
      </c>
      <c r="N30" s="29">
        <v>1.0</v>
      </c>
      <c r="Q30" s="30">
        <v>273.33892</v>
      </c>
      <c r="S30" s="29">
        <v>19.0</v>
      </c>
      <c r="U30" s="30">
        <v>19.0</v>
      </c>
    </row>
    <row r="31" ht="11.25" customHeight="1">
      <c r="B31" s="27" t="s">
        <v>33</v>
      </c>
      <c r="D31" s="27" t="s">
        <v>52</v>
      </c>
      <c r="G31" s="27" t="s">
        <v>53</v>
      </c>
      <c r="H31" s="27" t="s">
        <v>21</v>
      </c>
      <c r="L31" s="28">
        <v>100.0</v>
      </c>
      <c r="N31" s="29">
        <v>1.0</v>
      </c>
      <c r="Q31" s="30">
        <v>525.4887</v>
      </c>
      <c r="S31" s="29">
        <v>20.0</v>
      </c>
      <c r="U31" s="30">
        <v>20.0</v>
      </c>
    </row>
    <row r="32" ht="11.25" customHeight="1">
      <c r="B32" s="27" t="s">
        <v>33</v>
      </c>
      <c r="D32" s="27" t="s">
        <v>54</v>
      </c>
      <c r="G32" s="27" t="s">
        <v>55</v>
      </c>
      <c r="H32" s="27" t="s">
        <v>21</v>
      </c>
      <c r="L32" s="28">
        <v>100.0</v>
      </c>
      <c r="N32" s="29">
        <v>1.0</v>
      </c>
      <c r="Q32" s="30">
        <v>383.48498</v>
      </c>
      <c r="S32" s="29">
        <v>19.0</v>
      </c>
      <c r="U32" s="30">
        <v>19.0</v>
      </c>
    </row>
    <row r="33" ht="11.25" customHeight="1">
      <c r="B33" s="27" t="s">
        <v>33</v>
      </c>
      <c r="D33" s="27" t="s">
        <v>56</v>
      </c>
      <c r="G33" s="27" t="s">
        <v>57</v>
      </c>
      <c r="H33" s="27" t="s">
        <v>21</v>
      </c>
      <c r="L33" s="28">
        <v>100.0</v>
      </c>
      <c r="N33" s="29">
        <v>1.0</v>
      </c>
      <c r="Q33" s="30">
        <v>100.11844</v>
      </c>
      <c r="S33" s="29">
        <v>19.0</v>
      </c>
      <c r="U33" s="30">
        <v>19.0</v>
      </c>
    </row>
    <row r="34" ht="11.25" customHeight="1">
      <c r="B34" s="27" t="s">
        <v>33</v>
      </c>
      <c r="D34" s="27" t="s">
        <v>58</v>
      </c>
      <c r="G34" s="27" t="s">
        <v>59</v>
      </c>
      <c r="H34" s="27" t="s">
        <v>21</v>
      </c>
      <c r="L34" s="28">
        <v>100.0</v>
      </c>
      <c r="N34" s="29">
        <v>4.0</v>
      </c>
      <c r="Q34" s="30">
        <v>1471.0627</v>
      </c>
      <c r="S34" s="29">
        <v>20.0</v>
      </c>
      <c r="U34" s="30">
        <v>80.0</v>
      </c>
    </row>
    <row r="35" ht="11.25" customHeight="1">
      <c r="B35" s="27" t="s">
        <v>33</v>
      </c>
      <c r="D35" s="27" t="s">
        <v>60</v>
      </c>
      <c r="G35" s="27" t="s">
        <v>61</v>
      </c>
      <c r="H35" s="27" t="s">
        <v>21</v>
      </c>
      <c r="L35" s="28">
        <v>100.0</v>
      </c>
      <c r="N35" s="29">
        <v>5.0</v>
      </c>
      <c r="Q35" s="30">
        <v>2192.89358</v>
      </c>
      <c r="S35" s="29">
        <v>20.0</v>
      </c>
      <c r="U35" s="30">
        <v>100.0</v>
      </c>
    </row>
    <row r="36" ht="11.25" customHeight="1">
      <c r="B36" s="27" t="s">
        <v>33</v>
      </c>
      <c r="D36" s="27" t="s">
        <v>62</v>
      </c>
      <c r="G36" s="27" t="s">
        <v>63</v>
      </c>
      <c r="H36" s="27" t="s">
        <v>21</v>
      </c>
      <c r="L36" s="28">
        <v>100.0</v>
      </c>
      <c r="N36" s="29">
        <v>3.0</v>
      </c>
      <c r="Q36" s="30">
        <v>822.67896</v>
      </c>
      <c r="S36" s="29">
        <v>19.0</v>
      </c>
      <c r="U36" s="30">
        <v>57.0</v>
      </c>
    </row>
    <row r="37" ht="11.25" customHeight="1">
      <c r="B37" s="27" t="s">
        <v>33</v>
      </c>
      <c r="D37" s="27" t="s">
        <v>64</v>
      </c>
      <c r="G37" s="27" t="s">
        <v>65</v>
      </c>
      <c r="H37" s="27" t="s">
        <v>21</v>
      </c>
      <c r="L37" s="28">
        <v>100.0</v>
      </c>
      <c r="N37" s="29">
        <v>2.0</v>
      </c>
      <c r="Q37" s="30">
        <v>1972.46342</v>
      </c>
      <c r="S37" s="29">
        <v>20.0</v>
      </c>
      <c r="U37" s="30">
        <v>40.0</v>
      </c>
    </row>
    <row r="38" ht="11.25" customHeight="1">
      <c r="B38" s="27" t="s">
        <v>33</v>
      </c>
      <c r="D38" s="27" t="s">
        <v>66</v>
      </c>
      <c r="G38" s="27" t="s">
        <v>67</v>
      </c>
      <c r="H38" s="27" t="s">
        <v>21</v>
      </c>
      <c r="L38" s="28">
        <v>100.0</v>
      </c>
      <c r="N38" s="29">
        <v>2.0</v>
      </c>
      <c r="Q38" s="30">
        <v>1989.75786</v>
      </c>
      <c r="S38" s="29">
        <v>20.0</v>
      </c>
      <c r="U38" s="30">
        <v>40.0</v>
      </c>
    </row>
    <row r="39" ht="11.25" customHeight="1">
      <c r="B39" s="27" t="s">
        <v>33</v>
      </c>
      <c r="D39" s="27" t="s">
        <v>68</v>
      </c>
      <c r="G39" s="27" t="s">
        <v>69</v>
      </c>
      <c r="H39" s="27" t="s">
        <v>21</v>
      </c>
      <c r="L39" s="28">
        <v>100.0</v>
      </c>
      <c r="N39" s="29">
        <v>6.0</v>
      </c>
      <c r="Q39" s="30">
        <v>1789.87594</v>
      </c>
      <c r="S39" s="29">
        <v>20.0</v>
      </c>
      <c r="U39" s="30">
        <v>120.0</v>
      </c>
    </row>
    <row r="40" ht="11.25" customHeight="1">
      <c r="B40" s="27" t="s">
        <v>33</v>
      </c>
      <c r="D40" s="27" t="s">
        <v>70</v>
      </c>
      <c r="G40" s="27" t="s">
        <v>71</v>
      </c>
      <c r="H40" s="27" t="s">
        <v>21</v>
      </c>
      <c r="L40" s="28">
        <v>100.0</v>
      </c>
      <c r="N40" s="29">
        <v>2.0</v>
      </c>
      <c r="Q40" s="30">
        <v>891.21582</v>
      </c>
      <c r="S40" s="29">
        <v>19.0</v>
      </c>
      <c r="U40" s="30">
        <v>38.0</v>
      </c>
    </row>
    <row r="41" ht="11.25" customHeight="1">
      <c r="B41" s="27" t="s">
        <v>33</v>
      </c>
      <c r="D41" s="27" t="s">
        <v>72</v>
      </c>
      <c r="G41" s="27" t="s">
        <v>73</v>
      </c>
      <c r="H41" s="27" t="s">
        <v>21</v>
      </c>
      <c r="L41" s="28">
        <v>100.0</v>
      </c>
      <c r="N41" s="29">
        <v>2.0</v>
      </c>
      <c r="Q41" s="30">
        <v>2390.0147</v>
      </c>
      <c r="S41" s="29">
        <v>20.0</v>
      </c>
      <c r="U41" s="30">
        <v>40.0</v>
      </c>
    </row>
    <row r="42" ht="11.25" customHeight="1">
      <c r="B42" s="27" t="s">
        <v>33</v>
      </c>
      <c r="D42" s="27" t="s">
        <v>74</v>
      </c>
      <c r="G42" s="27" t="s">
        <v>75</v>
      </c>
      <c r="H42" s="27" t="s">
        <v>21</v>
      </c>
      <c r="L42" s="28">
        <v>100.0</v>
      </c>
      <c r="N42" s="29">
        <v>4.0</v>
      </c>
      <c r="Q42" s="30">
        <v>579.78772</v>
      </c>
      <c r="S42" s="29">
        <v>19.0</v>
      </c>
      <c r="U42" s="30">
        <v>76.0</v>
      </c>
    </row>
    <row r="43" ht="11.25" customHeight="1">
      <c r="B43" s="27" t="s">
        <v>33</v>
      </c>
      <c r="D43" s="27" t="s">
        <v>76</v>
      </c>
      <c r="G43" s="27" t="s">
        <v>77</v>
      </c>
      <c r="H43" s="27" t="s">
        <v>21</v>
      </c>
      <c r="L43" s="28">
        <v>100.0</v>
      </c>
      <c r="N43" s="29">
        <v>1.0</v>
      </c>
      <c r="Q43" s="30">
        <v>506.17296</v>
      </c>
      <c r="S43" s="29">
        <v>19.0</v>
      </c>
      <c r="U43" s="30">
        <v>19.0</v>
      </c>
    </row>
    <row r="44" ht="11.25" customHeight="1">
      <c r="B44" s="27" t="s">
        <v>33</v>
      </c>
      <c r="D44" s="27" t="s">
        <v>78</v>
      </c>
      <c r="G44" s="27" t="s">
        <v>79</v>
      </c>
      <c r="H44" s="27" t="s">
        <v>21</v>
      </c>
      <c r="L44" s="28">
        <v>100.0</v>
      </c>
      <c r="N44" s="29">
        <v>2.0</v>
      </c>
      <c r="Q44" s="30">
        <v>425.68578</v>
      </c>
      <c r="S44" s="29">
        <v>19.0</v>
      </c>
      <c r="U44" s="30">
        <v>38.0</v>
      </c>
    </row>
    <row r="45" ht="11.25" customHeight="1">
      <c r="B45" s="27" t="s">
        <v>33</v>
      </c>
      <c r="D45" s="27" t="s">
        <v>80</v>
      </c>
      <c r="G45" s="27" t="s">
        <v>81</v>
      </c>
      <c r="H45" s="27" t="s">
        <v>21</v>
      </c>
      <c r="L45" s="28">
        <v>100.0</v>
      </c>
      <c r="N45" s="29">
        <v>2.0</v>
      </c>
      <c r="Q45" s="30">
        <v>1143.8586</v>
      </c>
      <c r="S45" s="29">
        <v>20.0</v>
      </c>
      <c r="U45" s="30">
        <v>40.0</v>
      </c>
    </row>
    <row r="46" ht="11.25" customHeight="1">
      <c r="B46" s="27" t="s">
        <v>33</v>
      </c>
      <c r="D46" s="27" t="s">
        <v>82</v>
      </c>
      <c r="G46" s="27" t="s">
        <v>83</v>
      </c>
      <c r="H46" s="27" t="s">
        <v>21</v>
      </c>
      <c r="L46" s="28">
        <v>100.0</v>
      </c>
      <c r="N46" s="29">
        <v>1.0</v>
      </c>
      <c r="Q46" s="30">
        <v>392.45758</v>
      </c>
      <c r="S46" s="29">
        <v>20.0</v>
      </c>
      <c r="U46" s="30">
        <v>20.0</v>
      </c>
    </row>
    <row r="47" ht="11.25" customHeight="1">
      <c r="B47" s="27" t="s">
        <v>33</v>
      </c>
      <c r="D47" s="27" t="s">
        <v>84</v>
      </c>
      <c r="G47" s="27" t="s">
        <v>85</v>
      </c>
      <c r="H47" s="27" t="s">
        <v>21</v>
      </c>
      <c r="L47" s="28">
        <v>100.0</v>
      </c>
      <c r="N47" s="29">
        <v>0.4</v>
      </c>
      <c r="Q47" s="30">
        <v>95.40536</v>
      </c>
      <c r="S47" s="29">
        <v>19.0</v>
      </c>
      <c r="U47" s="30">
        <v>7.6</v>
      </c>
    </row>
    <row r="48" ht="11.25" customHeight="1">
      <c r="B48" s="27" t="s">
        <v>86</v>
      </c>
      <c r="D48" s="27" t="s">
        <v>87</v>
      </c>
      <c r="G48" s="27" t="s">
        <v>88</v>
      </c>
      <c r="H48" s="27" t="s">
        <v>21</v>
      </c>
      <c r="L48" s="28">
        <v>100.0</v>
      </c>
      <c r="N48" s="29">
        <v>1.0</v>
      </c>
      <c r="Q48" s="30">
        <v>243.9364</v>
      </c>
      <c r="S48" s="29">
        <v>19.0</v>
      </c>
      <c r="U48" s="30">
        <v>19.0</v>
      </c>
    </row>
    <row r="49" ht="11.25" customHeight="1">
      <c r="B49" s="27" t="s">
        <v>86</v>
      </c>
      <c r="D49" s="27" t="s">
        <v>89</v>
      </c>
      <c r="G49" s="27" t="s">
        <v>90</v>
      </c>
      <c r="H49" s="27" t="s">
        <v>21</v>
      </c>
      <c r="L49" s="28">
        <v>100.0</v>
      </c>
      <c r="N49" s="29">
        <v>3.0</v>
      </c>
      <c r="Q49" s="30">
        <v>386.40354</v>
      </c>
      <c r="S49" s="29">
        <v>19.0</v>
      </c>
      <c r="U49" s="30">
        <v>57.0</v>
      </c>
    </row>
    <row r="50" ht="11.25" customHeight="1">
      <c r="B50" s="27" t="s">
        <v>86</v>
      </c>
      <c r="D50" s="27" t="s">
        <v>91</v>
      </c>
      <c r="G50" s="27" t="s">
        <v>92</v>
      </c>
      <c r="H50" s="27" t="s">
        <v>21</v>
      </c>
      <c r="L50" s="28">
        <v>100.0</v>
      </c>
      <c r="N50" s="29">
        <v>1.0</v>
      </c>
      <c r="Q50" s="30">
        <v>723.0338</v>
      </c>
      <c r="S50" s="29">
        <v>20.0</v>
      </c>
      <c r="U50" s="30">
        <v>20.0</v>
      </c>
    </row>
    <row r="51" ht="11.25" customHeight="1">
      <c r="B51" s="27" t="s">
        <v>86</v>
      </c>
      <c r="D51" s="27" t="s">
        <v>93</v>
      </c>
      <c r="G51" s="27" t="s">
        <v>94</v>
      </c>
      <c r="H51" s="27" t="s">
        <v>21</v>
      </c>
      <c r="L51" s="28">
        <v>100.0</v>
      </c>
      <c r="N51" s="29">
        <v>1.0</v>
      </c>
      <c r="Q51" s="30">
        <v>1009.14142</v>
      </c>
      <c r="S51" s="29">
        <v>20.0</v>
      </c>
      <c r="U51" s="30">
        <v>20.0</v>
      </c>
    </row>
    <row r="52" ht="11.25" customHeight="1">
      <c r="B52" s="27" t="s">
        <v>86</v>
      </c>
      <c r="D52" s="27" t="s">
        <v>95</v>
      </c>
      <c r="G52" s="27" t="s">
        <v>96</v>
      </c>
      <c r="H52" s="27" t="s">
        <v>21</v>
      </c>
      <c r="L52" s="28">
        <v>100.0</v>
      </c>
      <c r="N52" s="29">
        <v>4.0</v>
      </c>
      <c r="Q52" s="30">
        <v>1668.97262</v>
      </c>
      <c r="S52" s="29">
        <v>20.0</v>
      </c>
      <c r="U52" s="30">
        <v>80.0</v>
      </c>
    </row>
    <row r="53" ht="11.25" customHeight="1">
      <c r="B53" s="27" t="s">
        <v>86</v>
      </c>
      <c r="D53" s="27" t="s">
        <v>97</v>
      </c>
      <c r="G53" s="27" t="s">
        <v>98</v>
      </c>
      <c r="H53" s="27" t="s">
        <v>21</v>
      </c>
      <c r="L53" s="28">
        <v>100.0</v>
      </c>
      <c r="N53" s="29">
        <v>2.0</v>
      </c>
      <c r="Q53" s="30">
        <v>792.03408</v>
      </c>
      <c r="S53" s="29">
        <v>20.0</v>
      </c>
      <c r="U53" s="30">
        <v>40.0</v>
      </c>
    </row>
    <row r="54" ht="11.25" customHeight="1">
      <c r="B54" s="27" t="s">
        <v>86</v>
      </c>
      <c r="D54" s="27" t="s">
        <v>99</v>
      </c>
      <c r="G54" s="27" t="s">
        <v>100</v>
      </c>
      <c r="H54" s="27" t="s">
        <v>21</v>
      </c>
      <c r="L54" s="28">
        <v>100.0</v>
      </c>
      <c r="N54" s="29">
        <v>1.0</v>
      </c>
      <c r="Q54" s="30">
        <v>1163.04616</v>
      </c>
      <c r="S54" s="29">
        <v>20.0</v>
      </c>
      <c r="U54" s="30">
        <v>20.0</v>
      </c>
    </row>
    <row r="55" ht="11.25" customHeight="1">
      <c r="B55" s="27" t="s">
        <v>86</v>
      </c>
      <c r="D55" s="27" t="s">
        <v>101</v>
      </c>
      <c r="G55" s="27" t="s">
        <v>102</v>
      </c>
      <c r="H55" s="27" t="s">
        <v>21</v>
      </c>
      <c r="L55" s="28">
        <v>100.0</v>
      </c>
      <c r="N55" s="29">
        <v>1.0</v>
      </c>
      <c r="Q55" s="30">
        <v>1271.85126</v>
      </c>
      <c r="S55" s="29">
        <v>20.0</v>
      </c>
      <c r="U55" s="30">
        <v>20.0</v>
      </c>
    </row>
    <row r="56" ht="11.25" customHeight="1">
      <c r="B56" s="27" t="s">
        <v>86</v>
      </c>
      <c r="D56" s="27" t="s">
        <v>103</v>
      </c>
      <c r="G56" s="27" t="s">
        <v>104</v>
      </c>
      <c r="H56" s="27" t="s">
        <v>21</v>
      </c>
      <c r="L56" s="28">
        <v>100.0</v>
      </c>
      <c r="N56" s="29">
        <v>1.0</v>
      </c>
      <c r="Q56" s="30">
        <v>1132.0759</v>
      </c>
      <c r="S56" s="29">
        <v>20.0</v>
      </c>
      <c r="U56" s="30">
        <v>20.0</v>
      </c>
    </row>
    <row r="57" ht="11.25" customHeight="1">
      <c r="B57" s="27" t="s">
        <v>86</v>
      </c>
      <c r="D57" s="27" t="s">
        <v>105</v>
      </c>
      <c r="G57" s="27" t="s">
        <v>106</v>
      </c>
      <c r="H57" s="27" t="s">
        <v>21</v>
      </c>
      <c r="L57" s="28">
        <v>100.0</v>
      </c>
      <c r="N57" s="29">
        <v>5.0</v>
      </c>
      <c r="Q57" s="30">
        <v>1710.9565</v>
      </c>
      <c r="S57" s="29">
        <v>20.0</v>
      </c>
      <c r="U57" s="30">
        <v>100.0</v>
      </c>
    </row>
    <row r="58" ht="11.25" customHeight="1">
      <c r="B58" s="27" t="s">
        <v>86</v>
      </c>
      <c r="D58" s="27" t="s">
        <v>107</v>
      </c>
      <c r="G58" s="27" t="s">
        <v>108</v>
      </c>
      <c r="H58" s="27" t="s">
        <v>21</v>
      </c>
      <c r="L58" s="28">
        <v>100.0</v>
      </c>
      <c r="N58" s="29">
        <v>1.0</v>
      </c>
      <c r="Q58" s="30">
        <v>504.76298</v>
      </c>
      <c r="S58" s="29">
        <v>20.0</v>
      </c>
      <c r="U58" s="30">
        <v>20.0</v>
      </c>
    </row>
    <row r="59" ht="11.25" customHeight="1">
      <c r="B59" s="27" t="s">
        <v>86</v>
      </c>
      <c r="D59" s="27" t="s">
        <v>109</v>
      </c>
      <c r="G59" s="27" t="s">
        <v>110</v>
      </c>
      <c r="H59" s="27" t="s">
        <v>21</v>
      </c>
      <c r="L59" s="28">
        <v>100.0</v>
      </c>
      <c r="N59" s="29">
        <v>1.0</v>
      </c>
      <c r="Q59" s="30">
        <v>1116.62528</v>
      </c>
      <c r="S59" s="29">
        <v>20.0</v>
      </c>
      <c r="U59" s="30">
        <v>20.0</v>
      </c>
    </row>
    <row r="60" ht="3.75" customHeight="1"/>
    <row r="61" ht="12.0" customHeight="1"/>
    <row r="62" ht="13.5" customHeight="1">
      <c r="B62" s="31" t="s">
        <v>111</v>
      </c>
      <c r="T62" s="32" t="s">
        <v>112</v>
      </c>
      <c r="U62" s="33">
        <v>46128.0</v>
      </c>
    </row>
    <row r="63" ht="9.75" customHeight="1"/>
    <row r="64" ht="40.5" customHeight="1"/>
    <row r="65" ht="27.0" customHeight="1">
      <c r="J65" s="1" t="s">
        <v>0</v>
      </c>
    </row>
    <row r="66" ht="33.75" customHeight="1"/>
    <row r="67" ht="24.75" customHeight="1">
      <c r="B67" s="2" t="s">
        <v>1</v>
      </c>
      <c r="J67" s="3" t="s">
        <v>2</v>
      </c>
    </row>
    <row r="68" ht="14.25" customHeight="1"/>
    <row r="69" ht="13.5" customHeight="1">
      <c r="B69" s="9" t="s">
        <v>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ht="18.75" customHeight="1">
      <c r="B70" s="12" t="s">
        <v>8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4"/>
    </row>
    <row r="71" ht="2.25" customHeight="1"/>
    <row r="72" ht="13.5" customHeight="1">
      <c r="B72" s="15" t="s">
        <v>9</v>
      </c>
      <c r="C72" s="16"/>
      <c r="D72" s="15" t="s">
        <v>10</v>
      </c>
      <c r="E72" s="17"/>
      <c r="F72" s="16"/>
      <c r="G72" s="18" t="s">
        <v>11</v>
      </c>
      <c r="H72" s="15" t="s">
        <v>12</v>
      </c>
      <c r="I72" s="17"/>
      <c r="J72" s="17"/>
      <c r="K72" s="16"/>
      <c r="L72" s="15" t="s">
        <v>13</v>
      </c>
      <c r="M72" s="16"/>
      <c r="N72" s="15" t="s">
        <v>14</v>
      </c>
      <c r="O72" s="19"/>
      <c r="Q72" s="15" t="s">
        <v>15</v>
      </c>
      <c r="R72" s="19"/>
      <c r="S72" s="15" t="s">
        <v>16</v>
      </c>
      <c r="T72" s="19"/>
      <c r="U72" s="20" t="s">
        <v>17</v>
      </c>
      <c r="V72" s="19"/>
    </row>
    <row r="73" ht="13.5" customHeight="1">
      <c r="B73" s="21"/>
      <c r="C73" s="22"/>
      <c r="D73" s="21"/>
      <c r="E73" s="23"/>
      <c r="F73" s="22"/>
      <c r="G73" s="24"/>
      <c r="H73" s="21"/>
      <c r="I73" s="23"/>
      <c r="J73" s="23"/>
      <c r="K73" s="22"/>
      <c r="L73" s="21"/>
      <c r="M73" s="22"/>
      <c r="N73" s="21"/>
      <c r="O73" s="25"/>
      <c r="Q73" s="21"/>
      <c r="R73" s="25"/>
      <c r="S73" s="21"/>
      <c r="T73" s="25"/>
      <c r="U73" s="26"/>
      <c r="V73" s="25"/>
    </row>
    <row r="74" ht="11.25" customHeight="1">
      <c r="B74" s="27" t="s">
        <v>86</v>
      </c>
      <c r="D74" s="27" t="s">
        <v>113</v>
      </c>
      <c r="G74" s="27" t="s">
        <v>114</v>
      </c>
      <c r="H74" s="27" t="s">
        <v>21</v>
      </c>
      <c r="L74" s="28">
        <v>100.0</v>
      </c>
      <c r="N74" s="29">
        <v>1.0</v>
      </c>
      <c r="Q74" s="30">
        <v>341.21516</v>
      </c>
      <c r="S74" s="29">
        <v>19.0</v>
      </c>
      <c r="U74" s="30">
        <v>19.0</v>
      </c>
    </row>
    <row r="75" ht="11.25" customHeight="1">
      <c r="B75" s="27" t="s">
        <v>86</v>
      </c>
      <c r="D75" s="27" t="s">
        <v>115</v>
      </c>
      <c r="G75" s="27" t="s">
        <v>116</v>
      </c>
      <c r="H75" s="27" t="s">
        <v>21</v>
      </c>
      <c r="L75" s="28">
        <v>100.0</v>
      </c>
      <c r="N75" s="29">
        <v>1.0</v>
      </c>
      <c r="Q75" s="30">
        <v>374.83776</v>
      </c>
      <c r="S75" s="29">
        <v>19.0</v>
      </c>
      <c r="U75" s="30">
        <v>19.0</v>
      </c>
    </row>
    <row r="76" ht="11.25" customHeight="1">
      <c r="B76" s="27" t="s">
        <v>86</v>
      </c>
      <c r="D76" s="27" t="s">
        <v>117</v>
      </c>
      <c r="G76" s="27" t="s">
        <v>118</v>
      </c>
      <c r="H76" s="27" t="s">
        <v>21</v>
      </c>
      <c r="L76" s="28">
        <v>100.0</v>
      </c>
      <c r="N76" s="29">
        <v>2.0</v>
      </c>
      <c r="Q76" s="30">
        <v>2316.56756</v>
      </c>
      <c r="S76" s="29">
        <v>20.0</v>
      </c>
      <c r="U76" s="30">
        <v>40.0</v>
      </c>
    </row>
    <row r="77" ht="11.25" customHeight="1">
      <c r="B77" s="27" t="s">
        <v>86</v>
      </c>
      <c r="D77" s="27" t="s">
        <v>119</v>
      </c>
      <c r="G77" s="27" t="s">
        <v>120</v>
      </c>
      <c r="H77" s="27" t="s">
        <v>21</v>
      </c>
      <c r="L77" s="28">
        <v>100.0</v>
      </c>
      <c r="N77" s="29">
        <v>1.0</v>
      </c>
      <c r="Q77" s="30">
        <v>1189.08642</v>
      </c>
      <c r="S77" s="29">
        <v>20.0</v>
      </c>
      <c r="U77" s="30">
        <v>20.0</v>
      </c>
    </row>
    <row r="78" ht="11.25" customHeight="1">
      <c r="B78" s="27" t="s">
        <v>86</v>
      </c>
      <c r="D78" s="27" t="s">
        <v>121</v>
      </c>
      <c r="G78" s="27" t="s">
        <v>122</v>
      </c>
      <c r="H78" s="27" t="s">
        <v>21</v>
      </c>
      <c r="L78" s="28">
        <v>100.0</v>
      </c>
      <c r="N78" s="29">
        <v>1.0</v>
      </c>
      <c r="Q78" s="30">
        <v>1088.84966</v>
      </c>
      <c r="S78" s="29">
        <v>20.0</v>
      </c>
      <c r="U78" s="30">
        <v>20.0</v>
      </c>
    </row>
    <row r="79" ht="11.25" customHeight="1">
      <c r="B79" s="27" t="s">
        <v>86</v>
      </c>
      <c r="D79" s="27" t="s">
        <v>123</v>
      </c>
      <c r="G79" s="27" t="s">
        <v>124</v>
      </c>
      <c r="H79" s="27" t="s">
        <v>21</v>
      </c>
      <c r="L79" s="28">
        <v>100.0</v>
      </c>
      <c r="N79" s="29">
        <v>1.0</v>
      </c>
      <c r="Q79" s="30">
        <v>944.7852</v>
      </c>
      <c r="S79" s="29">
        <v>20.0</v>
      </c>
      <c r="U79" s="30">
        <v>20.0</v>
      </c>
    </row>
    <row r="80" ht="11.25" customHeight="1">
      <c r="B80" s="27" t="s">
        <v>86</v>
      </c>
      <c r="D80" s="27" t="s">
        <v>125</v>
      </c>
      <c r="G80" s="27" t="s">
        <v>126</v>
      </c>
      <c r="H80" s="27" t="s">
        <v>21</v>
      </c>
      <c r="L80" s="28">
        <v>100.0</v>
      </c>
      <c r="N80" s="29">
        <v>1.0</v>
      </c>
      <c r="Q80" s="30">
        <v>1144.44034</v>
      </c>
      <c r="S80" s="29">
        <v>20.0</v>
      </c>
      <c r="U80" s="30">
        <v>20.0</v>
      </c>
    </row>
    <row r="81" ht="11.25" customHeight="1">
      <c r="B81" s="27" t="s">
        <v>86</v>
      </c>
      <c r="D81" s="27" t="s">
        <v>127</v>
      </c>
      <c r="G81" s="27" t="s">
        <v>128</v>
      </c>
      <c r="H81" s="27" t="s">
        <v>21</v>
      </c>
      <c r="L81" s="28">
        <v>100.0</v>
      </c>
      <c r="N81" s="29">
        <v>2.0</v>
      </c>
      <c r="Q81" s="30">
        <v>1919.80116</v>
      </c>
      <c r="S81" s="29">
        <v>20.0</v>
      </c>
      <c r="U81" s="30">
        <v>40.0</v>
      </c>
    </row>
    <row r="82" ht="11.25" customHeight="1">
      <c r="B82" s="27" t="s">
        <v>86</v>
      </c>
      <c r="D82" s="27" t="s">
        <v>129</v>
      </c>
      <c r="G82" s="27" t="s">
        <v>130</v>
      </c>
      <c r="H82" s="27" t="s">
        <v>21</v>
      </c>
      <c r="L82" s="28">
        <v>100.0</v>
      </c>
      <c r="N82" s="29">
        <v>1.0</v>
      </c>
      <c r="Q82" s="30">
        <v>864.53466</v>
      </c>
      <c r="S82" s="29">
        <v>20.0</v>
      </c>
      <c r="U82" s="30">
        <v>20.0</v>
      </c>
    </row>
    <row r="83" ht="11.25" customHeight="1">
      <c r="B83" s="27" t="s">
        <v>86</v>
      </c>
      <c r="D83" s="27" t="s">
        <v>131</v>
      </c>
      <c r="G83" s="27" t="s">
        <v>132</v>
      </c>
      <c r="H83" s="27" t="s">
        <v>21</v>
      </c>
      <c r="L83" s="28">
        <v>100.0</v>
      </c>
      <c r="N83" s="29">
        <v>1.0</v>
      </c>
      <c r="Q83" s="30">
        <v>449.3202</v>
      </c>
      <c r="S83" s="29">
        <v>20.0</v>
      </c>
      <c r="U83" s="30">
        <v>20.0</v>
      </c>
    </row>
    <row r="84" ht="11.25" customHeight="1">
      <c r="B84" s="27" t="s">
        <v>86</v>
      </c>
      <c r="D84" s="27" t="s">
        <v>133</v>
      </c>
      <c r="G84" s="27" t="s">
        <v>134</v>
      </c>
      <c r="H84" s="27" t="s">
        <v>21</v>
      </c>
      <c r="L84" s="28">
        <v>100.0</v>
      </c>
      <c r="N84" s="29">
        <v>1.0</v>
      </c>
      <c r="Q84" s="30">
        <v>433.82028</v>
      </c>
      <c r="S84" s="29">
        <v>20.0</v>
      </c>
      <c r="U84" s="30">
        <v>20.0</v>
      </c>
    </row>
    <row r="85" ht="11.25" customHeight="1">
      <c r="B85" s="27" t="s">
        <v>86</v>
      </c>
      <c r="D85" s="27" t="s">
        <v>135</v>
      </c>
      <c r="G85" s="27" t="s">
        <v>136</v>
      </c>
      <c r="H85" s="27" t="s">
        <v>21</v>
      </c>
      <c r="L85" s="28">
        <v>100.0</v>
      </c>
      <c r="N85" s="29">
        <v>4.0</v>
      </c>
      <c r="Q85" s="30">
        <v>1704.77428</v>
      </c>
      <c r="S85" s="29">
        <v>20.0</v>
      </c>
      <c r="U85" s="30">
        <v>80.0</v>
      </c>
    </row>
    <row r="86" ht="11.25" customHeight="1">
      <c r="B86" s="27" t="s">
        <v>86</v>
      </c>
      <c r="D86" s="27" t="s">
        <v>137</v>
      </c>
      <c r="G86" s="27" t="s">
        <v>138</v>
      </c>
      <c r="H86" s="27" t="s">
        <v>21</v>
      </c>
      <c r="L86" s="28">
        <v>100.0</v>
      </c>
      <c r="N86" s="29">
        <v>1.0</v>
      </c>
      <c r="Q86" s="30">
        <v>1163.04616</v>
      </c>
      <c r="S86" s="29">
        <v>20.0</v>
      </c>
      <c r="U86" s="30">
        <v>20.0</v>
      </c>
    </row>
    <row r="87" ht="11.25" customHeight="1">
      <c r="B87" s="27" t="s">
        <v>86</v>
      </c>
      <c r="D87" s="27" t="s">
        <v>139</v>
      </c>
      <c r="G87" s="27" t="s">
        <v>140</v>
      </c>
      <c r="H87" s="27" t="s">
        <v>21</v>
      </c>
      <c r="L87" s="28">
        <v>100.0</v>
      </c>
      <c r="N87" s="29">
        <v>1.0</v>
      </c>
      <c r="Q87" s="30">
        <v>1054.5763</v>
      </c>
      <c r="S87" s="29">
        <v>20.0</v>
      </c>
      <c r="U87" s="30">
        <v>20.0</v>
      </c>
    </row>
    <row r="88" ht="11.25" customHeight="1">
      <c r="B88" s="27" t="s">
        <v>86</v>
      </c>
      <c r="D88" s="27" t="s">
        <v>141</v>
      </c>
      <c r="G88" s="27" t="s">
        <v>142</v>
      </c>
      <c r="H88" s="27" t="s">
        <v>21</v>
      </c>
      <c r="L88" s="28">
        <v>100.0</v>
      </c>
      <c r="N88" s="29">
        <v>1.0</v>
      </c>
      <c r="Q88" s="30">
        <v>396.98332</v>
      </c>
      <c r="S88" s="29">
        <v>20.0</v>
      </c>
      <c r="U88" s="30">
        <v>20.0</v>
      </c>
    </row>
    <row r="89" ht="11.25" customHeight="1">
      <c r="B89" s="27" t="s">
        <v>86</v>
      </c>
      <c r="D89" s="27" t="s">
        <v>143</v>
      </c>
      <c r="G89" s="27" t="s">
        <v>144</v>
      </c>
      <c r="H89" s="27" t="s">
        <v>21</v>
      </c>
      <c r="L89" s="28">
        <v>100.0</v>
      </c>
      <c r="N89" s="29">
        <v>1.0</v>
      </c>
      <c r="Q89" s="30">
        <v>1009.14142</v>
      </c>
      <c r="S89" s="29">
        <v>20.0</v>
      </c>
      <c r="U89" s="30">
        <v>20.0</v>
      </c>
    </row>
    <row r="90" ht="11.25" customHeight="1">
      <c r="B90" s="27" t="s">
        <v>86</v>
      </c>
      <c r="D90" s="27" t="s">
        <v>145</v>
      </c>
      <c r="G90" s="27" t="s">
        <v>146</v>
      </c>
      <c r="H90" s="27" t="s">
        <v>21</v>
      </c>
      <c r="L90" s="28">
        <v>100.0</v>
      </c>
      <c r="N90" s="29">
        <v>2.0</v>
      </c>
      <c r="Q90" s="30">
        <v>2165.98564</v>
      </c>
      <c r="S90" s="29">
        <v>20.0</v>
      </c>
      <c r="U90" s="30">
        <v>40.0</v>
      </c>
    </row>
    <row r="91" ht="11.25" customHeight="1">
      <c r="B91" s="27" t="s">
        <v>86</v>
      </c>
      <c r="D91" s="27" t="s">
        <v>147</v>
      </c>
      <c r="G91" s="27" t="s">
        <v>148</v>
      </c>
      <c r="H91" s="27" t="s">
        <v>21</v>
      </c>
      <c r="L91" s="28">
        <v>100.0</v>
      </c>
      <c r="N91" s="29">
        <v>1.0</v>
      </c>
      <c r="Q91" s="30">
        <v>1052.17046</v>
      </c>
      <c r="S91" s="29">
        <v>20.0</v>
      </c>
      <c r="U91" s="30">
        <v>20.0</v>
      </c>
    </row>
    <row r="92" ht="11.25" customHeight="1">
      <c r="B92" s="27" t="s">
        <v>86</v>
      </c>
      <c r="D92" s="27" t="s">
        <v>149</v>
      </c>
      <c r="G92" s="27" t="s">
        <v>150</v>
      </c>
      <c r="H92" s="27" t="s">
        <v>21</v>
      </c>
      <c r="L92" s="28">
        <v>100.0</v>
      </c>
      <c r="N92" s="29">
        <v>1.0</v>
      </c>
      <c r="Q92" s="30">
        <v>904.46766</v>
      </c>
      <c r="S92" s="29">
        <v>20.0</v>
      </c>
      <c r="U92" s="30">
        <v>20.0</v>
      </c>
    </row>
    <row r="93" ht="11.25" customHeight="1">
      <c r="B93" s="27" t="s">
        <v>86</v>
      </c>
      <c r="D93" s="27" t="s">
        <v>151</v>
      </c>
      <c r="G93" s="27" t="s">
        <v>152</v>
      </c>
      <c r="H93" s="27" t="s">
        <v>21</v>
      </c>
      <c r="L93" s="28">
        <v>100.0</v>
      </c>
      <c r="N93" s="29">
        <v>1.0</v>
      </c>
      <c r="Q93" s="30">
        <v>944.7359</v>
      </c>
      <c r="S93" s="29">
        <v>20.0</v>
      </c>
      <c r="U93" s="30">
        <v>20.0</v>
      </c>
    </row>
    <row r="94" ht="11.25" customHeight="1">
      <c r="B94" s="27" t="s">
        <v>86</v>
      </c>
      <c r="D94" s="27" t="s">
        <v>153</v>
      </c>
      <c r="G94" s="27" t="s">
        <v>154</v>
      </c>
      <c r="H94" s="27" t="s">
        <v>21</v>
      </c>
      <c r="L94" s="28">
        <v>100.0</v>
      </c>
      <c r="N94" s="29">
        <v>1.0</v>
      </c>
      <c r="Q94" s="30">
        <v>1113.81518</v>
      </c>
      <c r="S94" s="29">
        <v>20.0</v>
      </c>
      <c r="U94" s="30">
        <v>20.0</v>
      </c>
    </row>
    <row r="95" ht="11.25" customHeight="1">
      <c r="B95" s="27" t="s">
        <v>86</v>
      </c>
      <c r="D95" s="27" t="s">
        <v>155</v>
      </c>
      <c r="G95" s="27" t="s">
        <v>156</v>
      </c>
      <c r="H95" s="27" t="s">
        <v>21</v>
      </c>
      <c r="L95" s="28">
        <v>100.0</v>
      </c>
      <c r="N95" s="29">
        <v>1.0</v>
      </c>
      <c r="Q95" s="30">
        <v>335.90062</v>
      </c>
      <c r="S95" s="29">
        <v>20.0</v>
      </c>
      <c r="U95" s="30">
        <v>20.0</v>
      </c>
    </row>
    <row r="96" ht="11.25" customHeight="1">
      <c r="B96" s="27" t="s">
        <v>86</v>
      </c>
      <c r="D96" s="27" t="s">
        <v>157</v>
      </c>
      <c r="G96" s="27" t="s">
        <v>158</v>
      </c>
      <c r="H96" s="27" t="s">
        <v>21</v>
      </c>
      <c r="L96" s="28">
        <v>100.0</v>
      </c>
      <c r="N96" s="29">
        <v>5.0</v>
      </c>
      <c r="Q96" s="30">
        <v>1905.08018</v>
      </c>
      <c r="S96" s="29">
        <v>20.0</v>
      </c>
      <c r="U96" s="30">
        <v>100.0</v>
      </c>
    </row>
    <row r="97" ht="11.25" customHeight="1">
      <c r="B97" s="27" t="s">
        <v>86</v>
      </c>
      <c r="D97" s="27" t="s">
        <v>159</v>
      </c>
      <c r="G97" s="27" t="s">
        <v>160</v>
      </c>
      <c r="H97" s="27" t="s">
        <v>21</v>
      </c>
      <c r="L97" s="28">
        <v>100.0</v>
      </c>
      <c r="N97" s="29">
        <v>1.0</v>
      </c>
      <c r="Q97" s="30">
        <v>904.46766</v>
      </c>
      <c r="S97" s="29">
        <v>20.0</v>
      </c>
      <c r="U97" s="30">
        <v>20.0</v>
      </c>
    </row>
    <row r="98" ht="11.25" customHeight="1">
      <c r="B98" s="27" t="s">
        <v>86</v>
      </c>
      <c r="D98" s="27" t="s">
        <v>161</v>
      </c>
      <c r="G98" s="27" t="s">
        <v>162</v>
      </c>
      <c r="H98" s="27" t="s">
        <v>21</v>
      </c>
      <c r="L98" s="28">
        <v>100.0</v>
      </c>
      <c r="N98" s="29">
        <v>2.0</v>
      </c>
      <c r="Q98" s="30">
        <v>2017.19824</v>
      </c>
      <c r="S98" s="29">
        <v>20.0</v>
      </c>
      <c r="U98" s="30">
        <v>40.0</v>
      </c>
    </row>
    <row r="99" ht="11.25" customHeight="1">
      <c r="B99" s="27" t="s">
        <v>86</v>
      </c>
      <c r="D99" s="27" t="s">
        <v>163</v>
      </c>
      <c r="G99" s="27" t="s">
        <v>164</v>
      </c>
      <c r="H99" s="27" t="s">
        <v>21</v>
      </c>
      <c r="L99" s="28">
        <v>100.0</v>
      </c>
      <c r="N99" s="29">
        <v>1.0</v>
      </c>
      <c r="Q99" s="30">
        <v>1052.17046</v>
      </c>
      <c r="S99" s="29">
        <v>20.0</v>
      </c>
      <c r="U99" s="30">
        <v>20.0</v>
      </c>
    </row>
    <row r="100" ht="11.25" customHeight="1">
      <c r="B100" s="27" t="s">
        <v>86</v>
      </c>
      <c r="D100" s="27" t="s">
        <v>165</v>
      </c>
      <c r="G100" s="27" t="s">
        <v>166</v>
      </c>
      <c r="H100" s="27" t="s">
        <v>21</v>
      </c>
      <c r="L100" s="28">
        <v>100.0</v>
      </c>
      <c r="N100" s="29">
        <v>1.0</v>
      </c>
      <c r="Q100" s="30">
        <v>1144.44034</v>
      </c>
      <c r="S100" s="29">
        <v>20.0</v>
      </c>
      <c r="U100" s="30">
        <v>20.0</v>
      </c>
    </row>
    <row r="101" ht="11.25" customHeight="1">
      <c r="B101" s="27" t="s">
        <v>86</v>
      </c>
      <c r="D101" s="27" t="s">
        <v>167</v>
      </c>
      <c r="G101" s="27" t="s">
        <v>168</v>
      </c>
      <c r="H101" s="27" t="s">
        <v>21</v>
      </c>
      <c r="L101" s="28">
        <v>100.0</v>
      </c>
      <c r="N101" s="29">
        <v>6.0</v>
      </c>
      <c r="Q101" s="30">
        <v>2789.76868</v>
      </c>
      <c r="S101" s="29">
        <v>20.0</v>
      </c>
      <c r="U101" s="30">
        <v>120.0</v>
      </c>
    </row>
    <row r="102" ht="11.25" customHeight="1">
      <c r="B102" s="27" t="s">
        <v>86</v>
      </c>
      <c r="D102" s="27" t="s">
        <v>169</v>
      </c>
      <c r="G102" s="27" t="s">
        <v>170</v>
      </c>
      <c r="H102" s="27" t="s">
        <v>21</v>
      </c>
      <c r="L102" s="28">
        <v>100.0</v>
      </c>
      <c r="N102" s="29">
        <v>1.0</v>
      </c>
      <c r="Q102" s="30">
        <v>108.00644</v>
      </c>
      <c r="S102" s="29">
        <v>19.0</v>
      </c>
      <c r="U102" s="30">
        <v>19.0</v>
      </c>
    </row>
    <row r="103" ht="11.25" customHeight="1">
      <c r="B103" s="27" t="s">
        <v>86</v>
      </c>
      <c r="D103" s="27" t="s">
        <v>171</v>
      </c>
      <c r="G103" s="27" t="s">
        <v>172</v>
      </c>
      <c r="H103" s="27" t="s">
        <v>21</v>
      </c>
      <c r="L103" s="28">
        <v>100.0</v>
      </c>
      <c r="N103" s="29">
        <v>1.0</v>
      </c>
      <c r="Q103" s="30">
        <v>987.81424</v>
      </c>
      <c r="S103" s="29">
        <v>20.0</v>
      </c>
      <c r="U103" s="30">
        <v>20.0</v>
      </c>
    </row>
    <row r="104" ht="11.25" customHeight="1">
      <c r="B104" s="27" t="s">
        <v>86</v>
      </c>
      <c r="D104" s="27" t="s">
        <v>173</v>
      </c>
      <c r="G104" s="27" t="s">
        <v>174</v>
      </c>
      <c r="H104" s="27" t="s">
        <v>21</v>
      </c>
      <c r="L104" s="28">
        <v>100.0</v>
      </c>
      <c r="N104" s="29">
        <v>1.0</v>
      </c>
      <c r="Q104" s="30">
        <v>269.44422</v>
      </c>
      <c r="S104" s="29">
        <v>19.0</v>
      </c>
      <c r="U104" s="30">
        <v>19.0</v>
      </c>
    </row>
    <row r="105" ht="11.25" customHeight="1">
      <c r="B105" s="27" t="s">
        <v>86</v>
      </c>
      <c r="D105" s="27" t="s">
        <v>175</v>
      </c>
      <c r="G105" s="27" t="s">
        <v>176</v>
      </c>
      <c r="H105" s="27" t="s">
        <v>21</v>
      </c>
      <c r="L105" s="28">
        <v>100.0</v>
      </c>
      <c r="N105" s="29">
        <v>1.0</v>
      </c>
      <c r="Q105" s="30">
        <v>101.98198</v>
      </c>
      <c r="S105" s="29">
        <v>19.0</v>
      </c>
      <c r="U105" s="30">
        <v>19.0</v>
      </c>
    </row>
    <row r="106" ht="11.25" customHeight="1">
      <c r="B106" s="27" t="s">
        <v>86</v>
      </c>
      <c r="D106" s="27" t="s">
        <v>177</v>
      </c>
      <c r="G106" s="27" t="s">
        <v>178</v>
      </c>
      <c r="H106" s="27" t="s">
        <v>21</v>
      </c>
      <c r="L106" s="28">
        <v>100.0</v>
      </c>
      <c r="N106" s="29">
        <v>1.0</v>
      </c>
      <c r="Q106" s="30">
        <v>1144.44034</v>
      </c>
      <c r="S106" s="29">
        <v>20.0</v>
      </c>
      <c r="U106" s="30">
        <v>20.0</v>
      </c>
    </row>
    <row r="107" ht="11.25" customHeight="1">
      <c r="B107" s="27" t="s">
        <v>86</v>
      </c>
      <c r="D107" s="27" t="s">
        <v>179</v>
      </c>
      <c r="G107" s="27" t="s">
        <v>180</v>
      </c>
      <c r="H107" s="27" t="s">
        <v>21</v>
      </c>
      <c r="L107" s="28">
        <v>100.0</v>
      </c>
      <c r="N107" s="29">
        <v>1.0</v>
      </c>
      <c r="Q107" s="30">
        <v>987.81424</v>
      </c>
      <c r="S107" s="29">
        <v>20.0</v>
      </c>
      <c r="U107" s="30">
        <v>20.0</v>
      </c>
    </row>
    <row r="108" ht="11.25" customHeight="1">
      <c r="B108" s="27" t="s">
        <v>86</v>
      </c>
      <c r="D108" s="27" t="s">
        <v>181</v>
      </c>
      <c r="G108" s="27" t="s">
        <v>182</v>
      </c>
      <c r="H108" s="27" t="s">
        <v>21</v>
      </c>
      <c r="L108" s="28">
        <v>100.0</v>
      </c>
      <c r="N108" s="29">
        <v>1.0</v>
      </c>
      <c r="Q108" s="30">
        <v>471.19954</v>
      </c>
      <c r="S108" s="29">
        <v>19.0</v>
      </c>
      <c r="U108" s="30">
        <v>19.0</v>
      </c>
    </row>
    <row r="109" ht="11.25" customHeight="1">
      <c r="B109" s="27" t="s">
        <v>86</v>
      </c>
      <c r="D109" s="27" t="s">
        <v>183</v>
      </c>
      <c r="G109" s="27" t="s">
        <v>184</v>
      </c>
      <c r="H109" s="27" t="s">
        <v>21</v>
      </c>
      <c r="L109" s="28">
        <v>100.0</v>
      </c>
      <c r="N109" s="29">
        <v>1.0</v>
      </c>
      <c r="Q109" s="30">
        <v>178.0223</v>
      </c>
      <c r="S109" s="29">
        <v>19.0</v>
      </c>
      <c r="U109" s="30">
        <v>19.0</v>
      </c>
    </row>
    <row r="110" ht="11.25" customHeight="1">
      <c r="B110" s="27" t="s">
        <v>86</v>
      </c>
      <c r="D110" s="27" t="s">
        <v>185</v>
      </c>
      <c r="G110" s="27" t="s">
        <v>186</v>
      </c>
      <c r="H110" s="27" t="s">
        <v>21</v>
      </c>
      <c r="L110" s="28">
        <v>100.0</v>
      </c>
      <c r="N110" s="29">
        <v>1.0</v>
      </c>
      <c r="Q110" s="30">
        <v>387.68534</v>
      </c>
      <c r="S110" s="29">
        <v>20.0</v>
      </c>
      <c r="U110" s="30">
        <v>20.0</v>
      </c>
    </row>
    <row r="111" ht="11.25" customHeight="1">
      <c r="B111" s="27" t="s">
        <v>86</v>
      </c>
      <c r="D111" s="27" t="s">
        <v>187</v>
      </c>
      <c r="G111" s="27" t="s">
        <v>188</v>
      </c>
      <c r="H111" s="27" t="s">
        <v>21</v>
      </c>
      <c r="L111" s="28">
        <v>100.0</v>
      </c>
      <c r="N111" s="29">
        <v>1.0</v>
      </c>
      <c r="Q111" s="30">
        <v>470.64738</v>
      </c>
      <c r="S111" s="29">
        <v>20.0</v>
      </c>
      <c r="U111" s="30">
        <v>20.0</v>
      </c>
    </row>
    <row r="112" ht="11.25" customHeight="1">
      <c r="B112" s="27" t="s">
        <v>86</v>
      </c>
      <c r="D112" s="27" t="s">
        <v>189</v>
      </c>
      <c r="G112" s="27" t="s">
        <v>190</v>
      </c>
      <c r="H112" s="27" t="s">
        <v>21</v>
      </c>
      <c r="L112" s="28">
        <v>100.0</v>
      </c>
      <c r="N112" s="29">
        <v>1.0</v>
      </c>
      <c r="Q112" s="30">
        <v>987.81424</v>
      </c>
      <c r="S112" s="29">
        <v>20.0</v>
      </c>
      <c r="U112" s="30">
        <v>20.0</v>
      </c>
    </row>
    <row r="113" ht="11.25" customHeight="1">
      <c r="B113" s="27" t="s">
        <v>86</v>
      </c>
      <c r="D113" s="27" t="s">
        <v>191</v>
      </c>
      <c r="G113" s="27" t="s">
        <v>192</v>
      </c>
      <c r="H113" s="27" t="s">
        <v>21</v>
      </c>
      <c r="L113" s="28">
        <v>100.0</v>
      </c>
      <c r="N113" s="29">
        <v>1.0</v>
      </c>
      <c r="Q113" s="30">
        <v>144.0053</v>
      </c>
      <c r="S113" s="29">
        <v>19.0</v>
      </c>
      <c r="U113" s="30">
        <v>19.0</v>
      </c>
    </row>
    <row r="114" ht="11.25" customHeight="1">
      <c r="B114" s="27" t="s">
        <v>86</v>
      </c>
      <c r="D114" s="27" t="s">
        <v>193</v>
      </c>
      <c r="G114" s="27" t="s">
        <v>194</v>
      </c>
      <c r="H114" s="27" t="s">
        <v>21</v>
      </c>
      <c r="L114" s="28">
        <v>100.0</v>
      </c>
      <c r="N114" s="29">
        <v>1.0</v>
      </c>
      <c r="Q114" s="30">
        <v>1144.44034</v>
      </c>
      <c r="S114" s="29">
        <v>20.0</v>
      </c>
      <c r="U114" s="30">
        <v>20.0</v>
      </c>
    </row>
    <row r="115" ht="11.25" customHeight="1">
      <c r="B115" s="27" t="s">
        <v>86</v>
      </c>
      <c r="D115" s="27" t="s">
        <v>195</v>
      </c>
      <c r="G115" s="27" t="s">
        <v>196</v>
      </c>
      <c r="H115" s="27" t="s">
        <v>21</v>
      </c>
      <c r="L115" s="28">
        <v>100.0</v>
      </c>
      <c r="N115" s="29">
        <v>5.0</v>
      </c>
      <c r="Q115" s="30">
        <v>2619.95976</v>
      </c>
      <c r="S115" s="29">
        <v>20.0</v>
      </c>
      <c r="U115" s="30">
        <v>100.0</v>
      </c>
    </row>
    <row r="116" ht="11.25" customHeight="1">
      <c r="B116" s="27" t="s">
        <v>86</v>
      </c>
      <c r="D116" s="27" t="s">
        <v>197</v>
      </c>
      <c r="G116" s="27" t="s">
        <v>198</v>
      </c>
      <c r="H116" s="27" t="s">
        <v>21</v>
      </c>
      <c r="L116" s="28">
        <v>100.0</v>
      </c>
      <c r="N116" s="29">
        <v>1.0</v>
      </c>
      <c r="Q116" s="30">
        <v>187.79356</v>
      </c>
      <c r="S116" s="29">
        <v>19.0</v>
      </c>
      <c r="U116" s="30">
        <v>19.0</v>
      </c>
    </row>
    <row r="117" ht="11.25" customHeight="1">
      <c r="B117" s="27" t="s">
        <v>86</v>
      </c>
      <c r="D117" s="27" t="s">
        <v>199</v>
      </c>
      <c r="G117" s="27" t="s">
        <v>200</v>
      </c>
      <c r="H117" s="27" t="s">
        <v>21</v>
      </c>
      <c r="L117" s="28">
        <v>100.0</v>
      </c>
      <c r="N117" s="29">
        <v>3.0</v>
      </c>
      <c r="Q117" s="30">
        <v>1415.81712</v>
      </c>
      <c r="S117" s="29">
        <v>20.0</v>
      </c>
      <c r="U117" s="30">
        <v>60.0</v>
      </c>
    </row>
    <row r="118" ht="11.25" customHeight="1">
      <c r="B118" s="27" t="s">
        <v>86</v>
      </c>
      <c r="D118" s="27" t="s">
        <v>201</v>
      </c>
      <c r="G118" s="27" t="s">
        <v>202</v>
      </c>
      <c r="H118" s="27" t="s">
        <v>21</v>
      </c>
      <c r="L118" s="28">
        <v>100.0</v>
      </c>
      <c r="N118" s="29">
        <v>2.0</v>
      </c>
      <c r="Q118" s="30">
        <v>1125.97256</v>
      </c>
      <c r="S118" s="29">
        <v>20.0</v>
      </c>
      <c r="U118" s="30">
        <v>40.0</v>
      </c>
    </row>
    <row r="119" ht="11.25" customHeight="1">
      <c r="B119" s="27" t="s">
        <v>86</v>
      </c>
      <c r="D119" s="27" t="s">
        <v>203</v>
      </c>
      <c r="G119" s="27" t="s">
        <v>204</v>
      </c>
      <c r="H119" s="27" t="s">
        <v>21</v>
      </c>
      <c r="L119" s="28">
        <v>100.0</v>
      </c>
      <c r="N119" s="29">
        <v>1.0</v>
      </c>
      <c r="Q119" s="30">
        <v>364.81014</v>
      </c>
      <c r="S119" s="29">
        <v>20.0</v>
      </c>
      <c r="U119" s="30">
        <v>20.0</v>
      </c>
    </row>
    <row r="120" ht="11.25" customHeight="1">
      <c r="B120" s="27" t="s">
        <v>86</v>
      </c>
      <c r="D120" s="27" t="s">
        <v>205</v>
      </c>
      <c r="G120" s="27" t="s">
        <v>206</v>
      </c>
      <c r="H120" s="27" t="s">
        <v>21</v>
      </c>
      <c r="L120" s="28">
        <v>100.0</v>
      </c>
      <c r="N120" s="29">
        <v>1.0</v>
      </c>
      <c r="Q120" s="30">
        <v>1221.0131</v>
      </c>
      <c r="S120" s="29">
        <v>20.0</v>
      </c>
      <c r="U120" s="30">
        <v>20.0</v>
      </c>
    </row>
    <row r="121" ht="11.25" customHeight="1">
      <c r="B121" s="27" t="s">
        <v>86</v>
      </c>
      <c r="D121" s="27" t="s">
        <v>207</v>
      </c>
      <c r="G121" s="27" t="s">
        <v>208</v>
      </c>
      <c r="H121" s="27" t="s">
        <v>21</v>
      </c>
      <c r="L121" s="28">
        <v>100.0</v>
      </c>
      <c r="N121" s="29">
        <v>1.0</v>
      </c>
      <c r="Q121" s="30">
        <v>414.67216</v>
      </c>
      <c r="S121" s="29">
        <v>19.0</v>
      </c>
      <c r="U121" s="30">
        <v>19.0</v>
      </c>
    </row>
    <row r="122" ht="11.25" customHeight="1">
      <c r="B122" s="27" t="s">
        <v>86</v>
      </c>
      <c r="D122" s="27" t="s">
        <v>209</v>
      </c>
      <c r="G122" s="27" t="s">
        <v>210</v>
      </c>
      <c r="H122" s="27" t="s">
        <v>21</v>
      </c>
      <c r="L122" s="28">
        <v>100.0</v>
      </c>
      <c r="N122" s="29">
        <v>1.0</v>
      </c>
      <c r="Q122" s="30">
        <v>472.66868</v>
      </c>
      <c r="S122" s="29">
        <v>20.0</v>
      </c>
      <c r="U122" s="30">
        <v>20.0</v>
      </c>
    </row>
    <row r="123" ht="18.0" customHeight="1"/>
    <row r="124" ht="12.0" customHeight="1"/>
    <row r="125" ht="13.5" customHeight="1">
      <c r="B125" s="31" t="s">
        <v>211</v>
      </c>
      <c r="T125" s="32" t="s">
        <v>112</v>
      </c>
      <c r="U125" s="33">
        <v>46128.0</v>
      </c>
    </row>
    <row r="126" ht="9.75" customHeight="1"/>
    <row r="127" ht="40.5" customHeight="1"/>
    <row r="128" ht="27.0" customHeight="1">
      <c r="J128" s="1" t="s">
        <v>0</v>
      </c>
    </row>
    <row r="129" ht="33.75" customHeight="1"/>
    <row r="130" ht="24.75" customHeight="1">
      <c r="B130" s="2" t="s">
        <v>1</v>
      </c>
      <c r="J130" s="3" t="s">
        <v>2</v>
      </c>
    </row>
    <row r="131" ht="14.25" customHeight="1"/>
    <row r="132" ht="13.5" customHeight="1">
      <c r="B132" s="9" t="s">
        <v>7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ht="18.75" customHeight="1">
      <c r="B133" s="12" t="s">
        <v>8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4"/>
    </row>
    <row r="134" ht="2.25" customHeight="1"/>
    <row r="135" ht="13.5" customHeight="1">
      <c r="B135" s="15" t="s">
        <v>9</v>
      </c>
      <c r="C135" s="16"/>
      <c r="D135" s="15" t="s">
        <v>10</v>
      </c>
      <c r="E135" s="17"/>
      <c r="F135" s="16"/>
      <c r="G135" s="18" t="s">
        <v>11</v>
      </c>
      <c r="H135" s="15" t="s">
        <v>12</v>
      </c>
      <c r="I135" s="17"/>
      <c r="J135" s="17"/>
      <c r="K135" s="16"/>
      <c r="L135" s="15" t="s">
        <v>13</v>
      </c>
      <c r="M135" s="16"/>
      <c r="N135" s="15" t="s">
        <v>14</v>
      </c>
      <c r="O135" s="19"/>
      <c r="Q135" s="15" t="s">
        <v>15</v>
      </c>
      <c r="R135" s="19"/>
      <c r="S135" s="15" t="s">
        <v>16</v>
      </c>
      <c r="T135" s="19"/>
      <c r="U135" s="20" t="s">
        <v>17</v>
      </c>
      <c r="V135" s="19"/>
    </row>
    <row r="136" ht="13.5" customHeight="1">
      <c r="B136" s="21"/>
      <c r="C136" s="22"/>
      <c r="D136" s="21"/>
      <c r="E136" s="23"/>
      <c r="F136" s="22"/>
      <c r="G136" s="24"/>
      <c r="H136" s="21"/>
      <c r="I136" s="23"/>
      <c r="J136" s="23"/>
      <c r="K136" s="22"/>
      <c r="L136" s="21"/>
      <c r="M136" s="22"/>
      <c r="N136" s="21"/>
      <c r="O136" s="25"/>
      <c r="Q136" s="21"/>
      <c r="R136" s="25"/>
      <c r="S136" s="21"/>
      <c r="T136" s="25"/>
      <c r="U136" s="26"/>
      <c r="V136" s="25"/>
    </row>
    <row r="137" ht="12.0" customHeight="1"/>
    <row r="138" ht="18.0" customHeight="1">
      <c r="Q138" s="34">
        <v>89253.47922</v>
      </c>
      <c r="U138" s="34">
        <v>2955.6</v>
      </c>
    </row>
    <row r="139" ht="11.25" customHeight="1">
      <c r="B139" s="27" t="s">
        <v>212</v>
      </c>
      <c r="D139" s="27" t="s">
        <v>213</v>
      </c>
      <c r="G139" s="27" t="s">
        <v>214</v>
      </c>
      <c r="H139" s="27" t="s">
        <v>21</v>
      </c>
      <c r="L139" s="28">
        <v>100.0</v>
      </c>
      <c r="N139" s="29">
        <v>2.0</v>
      </c>
      <c r="Q139" s="30">
        <v>1696.96516</v>
      </c>
      <c r="S139" s="29">
        <v>20.0</v>
      </c>
      <c r="U139" s="30">
        <v>40.0</v>
      </c>
    </row>
    <row r="140" ht="11.25" customHeight="1">
      <c r="B140" s="27" t="s">
        <v>215</v>
      </c>
      <c r="D140" s="27" t="s">
        <v>216</v>
      </c>
      <c r="G140" s="27" t="s">
        <v>217</v>
      </c>
      <c r="H140" s="27" t="s">
        <v>21</v>
      </c>
      <c r="L140" s="28">
        <v>100.0</v>
      </c>
      <c r="N140" s="29">
        <v>1.0</v>
      </c>
      <c r="Q140" s="30">
        <v>354.49658</v>
      </c>
      <c r="S140" s="29">
        <v>20.0</v>
      </c>
      <c r="U140" s="30">
        <v>20.0</v>
      </c>
    </row>
    <row r="141" ht="11.25" customHeight="1">
      <c r="B141" s="27" t="s">
        <v>33</v>
      </c>
      <c r="D141" s="27" t="s">
        <v>218</v>
      </c>
      <c r="G141" s="27" t="s">
        <v>219</v>
      </c>
      <c r="H141" s="27" t="s">
        <v>21</v>
      </c>
      <c r="L141" s="28">
        <v>100.0</v>
      </c>
      <c r="N141" s="29">
        <v>1.0</v>
      </c>
      <c r="Q141" s="30">
        <v>1659.3394</v>
      </c>
      <c r="S141" s="29">
        <v>20.0</v>
      </c>
      <c r="U141" s="30">
        <v>20.0</v>
      </c>
    </row>
    <row r="142" ht="11.25" customHeight="1">
      <c r="B142" s="27" t="s">
        <v>33</v>
      </c>
      <c r="D142" s="27" t="s">
        <v>220</v>
      </c>
      <c r="G142" s="27" t="s">
        <v>221</v>
      </c>
      <c r="H142" s="27" t="s">
        <v>21</v>
      </c>
      <c r="L142" s="28">
        <v>100.0</v>
      </c>
      <c r="N142" s="29">
        <v>1.0</v>
      </c>
      <c r="Q142" s="30">
        <v>259.04192</v>
      </c>
      <c r="S142" s="29">
        <v>20.0</v>
      </c>
      <c r="U142" s="30">
        <v>20.0</v>
      </c>
    </row>
    <row r="143" ht="11.25" customHeight="1">
      <c r="B143" s="27" t="s">
        <v>33</v>
      </c>
      <c r="D143" s="27" t="s">
        <v>222</v>
      </c>
      <c r="G143" s="27" t="s">
        <v>223</v>
      </c>
      <c r="H143" s="27" t="s">
        <v>21</v>
      </c>
      <c r="L143" s="28">
        <v>100.0</v>
      </c>
      <c r="N143" s="29">
        <v>1.0</v>
      </c>
      <c r="Q143" s="30">
        <v>972.85662</v>
      </c>
      <c r="S143" s="29">
        <v>20.0</v>
      </c>
      <c r="U143" s="30">
        <v>20.0</v>
      </c>
    </row>
    <row r="144" ht="11.25" customHeight="1">
      <c r="B144" s="27" t="s">
        <v>33</v>
      </c>
      <c r="D144" s="27" t="s">
        <v>224</v>
      </c>
      <c r="G144" s="27" t="s">
        <v>225</v>
      </c>
      <c r="H144" s="27" t="s">
        <v>21</v>
      </c>
      <c r="L144" s="28">
        <v>100.0</v>
      </c>
      <c r="N144" s="29">
        <v>1.0</v>
      </c>
      <c r="Q144" s="30">
        <v>986.79866</v>
      </c>
      <c r="S144" s="29">
        <v>20.0</v>
      </c>
      <c r="U144" s="30">
        <v>20.0</v>
      </c>
    </row>
    <row r="145" ht="11.25" customHeight="1">
      <c r="B145" s="27" t="s">
        <v>33</v>
      </c>
      <c r="D145" s="27" t="s">
        <v>226</v>
      </c>
      <c r="G145" s="27" t="s">
        <v>227</v>
      </c>
      <c r="H145" s="27" t="s">
        <v>21</v>
      </c>
      <c r="L145" s="28">
        <v>100.0</v>
      </c>
      <c r="N145" s="29">
        <v>1.0</v>
      </c>
      <c r="Q145" s="30">
        <v>1036.67054</v>
      </c>
      <c r="S145" s="29">
        <v>20.0</v>
      </c>
      <c r="U145" s="30">
        <v>20.0</v>
      </c>
    </row>
    <row r="146" ht="11.25" customHeight="1">
      <c r="B146" s="27" t="s">
        <v>33</v>
      </c>
      <c r="D146" s="27" t="s">
        <v>228</v>
      </c>
      <c r="G146" s="27" t="s">
        <v>229</v>
      </c>
      <c r="H146" s="27" t="s">
        <v>21</v>
      </c>
      <c r="L146" s="28">
        <v>100.0</v>
      </c>
      <c r="N146" s="29">
        <v>1.0</v>
      </c>
      <c r="Q146" s="30">
        <v>384.33294</v>
      </c>
      <c r="S146" s="29">
        <v>20.0</v>
      </c>
      <c r="U146" s="30">
        <v>20.0</v>
      </c>
    </row>
    <row r="147" ht="11.25" customHeight="1">
      <c r="B147" s="27" t="s">
        <v>33</v>
      </c>
      <c r="D147" s="27" t="s">
        <v>230</v>
      </c>
      <c r="G147" s="27" t="s">
        <v>231</v>
      </c>
      <c r="H147" s="27" t="s">
        <v>21</v>
      </c>
      <c r="L147" s="28">
        <v>100.0</v>
      </c>
      <c r="N147" s="29">
        <v>2.0</v>
      </c>
      <c r="Q147" s="30">
        <v>734.03756</v>
      </c>
      <c r="S147" s="29">
        <v>20.0</v>
      </c>
      <c r="U147" s="30">
        <v>40.0</v>
      </c>
    </row>
    <row r="148" ht="11.25" customHeight="1">
      <c r="B148" s="27" t="s">
        <v>33</v>
      </c>
      <c r="D148" s="27" t="s">
        <v>232</v>
      </c>
      <c r="G148" s="27" t="s">
        <v>233</v>
      </c>
      <c r="H148" s="27" t="s">
        <v>21</v>
      </c>
      <c r="L148" s="28">
        <v>100.0</v>
      </c>
      <c r="N148" s="29">
        <v>2.0</v>
      </c>
      <c r="Q148" s="30">
        <v>1279.9759</v>
      </c>
      <c r="S148" s="29">
        <v>20.0</v>
      </c>
      <c r="U148" s="30">
        <v>40.0</v>
      </c>
    </row>
    <row r="149" ht="11.25" customHeight="1">
      <c r="B149" s="27" t="s">
        <v>33</v>
      </c>
      <c r="D149" s="27" t="s">
        <v>234</v>
      </c>
      <c r="G149" s="27" t="s">
        <v>235</v>
      </c>
      <c r="H149" s="27" t="s">
        <v>21</v>
      </c>
      <c r="L149" s="28">
        <v>100.0</v>
      </c>
      <c r="N149" s="29">
        <v>4.0</v>
      </c>
      <c r="Q149" s="30">
        <v>1654.8038</v>
      </c>
      <c r="S149" s="29">
        <v>20.0</v>
      </c>
      <c r="U149" s="30">
        <v>80.0</v>
      </c>
    </row>
    <row r="150" ht="11.25" customHeight="1">
      <c r="B150" s="27" t="s">
        <v>33</v>
      </c>
      <c r="D150" s="27" t="s">
        <v>236</v>
      </c>
      <c r="G150" s="27" t="s">
        <v>237</v>
      </c>
      <c r="H150" s="27" t="s">
        <v>21</v>
      </c>
      <c r="L150" s="28">
        <v>100.0</v>
      </c>
      <c r="N150" s="29">
        <v>1.0</v>
      </c>
      <c r="Q150" s="30">
        <v>1090.52586</v>
      </c>
      <c r="S150" s="29">
        <v>20.0</v>
      </c>
      <c r="U150" s="30">
        <v>20.0</v>
      </c>
    </row>
    <row r="151" ht="11.25" customHeight="1">
      <c r="B151" s="27" t="s">
        <v>33</v>
      </c>
      <c r="D151" s="27" t="s">
        <v>238</v>
      </c>
      <c r="G151" s="27" t="s">
        <v>239</v>
      </c>
      <c r="H151" s="27" t="s">
        <v>21</v>
      </c>
      <c r="L151" s="28">
        <v>100.0</v>
      </c>
      <c r="N151" s="29">
        <v>2.0</v>
      </c>
      <c r="Q151" s="30">
        <v>2848.69204</v>
      </c>
      <c r="S151" s="29">
        <v>20.0</v>
      </c>
      <c r="U151" s="30">
        <v>40.0</v>
      </c>
    </row>
    <row r="152" ht="11.25" customHeight="1">
      <c r="B152" s="27" t="s">
        <v>33</v>
      </c>
      <c r="D152" s="27" t="s">
        <v>240</v>
      </c>
      <c r="G152" s="27" t="s">
        <v>241</v>
      </c>
      <c r="H152" s="27" t="s">
        <v>21</v>
      </c>
      <c r="L152" s="28">
        <v>100.0</v>
      </c>
      <c r="N152" s="29">
        <v>4.0</v>
      </c>
      <c r="Q152" s="30">
        <v>1653.79808</v>
      </c>
      <c r="S152" s="29">
        <v>20.0</v>
      </c>
      <c r="U152" s="30">
        <v>80.0</v>
      </c>
    </row>
    <row r="153" ht="11.25" customHeight="1">
      <c r="B153" s="27" t="s">
        <v>33</v>
      </c>
      <c r="D153" s="27" t="s">
        <v>242</v>
      </c>
      <c r="G153" s="27" t="s">
        <v>243</v>
      </c>
      <c r="H153" s="27" t="s">
        <v>21</v>
      </c>
      <c r="L153" s="28">
        <v>100.0</v>
      </c>
      <c r="N153" s="29">
        <v>1.0</v>
      </c>
      <c r="Q153" s="30">
        <v>273.32906</v>
      </c>
      <c r="S153" s="29">
        <v>19.0</v>
      </c>
      <c r="U153" s="30">
        <v>19.0</v>
      </c>
    </row>
    <row r="154" ht="11.25" customHeight="1">
      <c r="B154" s="27" t="s">
        <v>33</v>
      </c>
      <c r="D154" s="27" t="s">
        <v>244</v>
      </c>
      <c r="G154" s="27" t="s">
        <v>245</v>
      </c>
      <c r="H154" s="27" t="s">
        <v>21</v>
      </c>
      <c r="L154" s="28">
        <v>100.0</v>
      </c>
      <c r="N154" s="29">
        <v>3.0</v>
      </c>
      <c r="Q154" s="30">
        <v>351.86396</v>
      </c>
      <c r="S154" s="29">
        <v>19.0</v>
      </c>
      <c r="U154" s="30">
        <v>57.0</v>
      </c>
    </row>
    <row r="155" ht="11.25" customHeight="1">
      <c r="B155" s="27" t="s">
        <v>33</v>
      </c>
      <c r="D155" s="27" t="s">
        <v>246</v>
      </c>
      <c r="G155" s="27" t="s">
        <v>247</v>
      </c>
      <c r="H155" s="27" t="s">
        <v>21</v>
      </c>
      <c r="L155" s="28">
        <v>100.0</v>
      </c>
      <c r="N155" s="29">
        <v>1.0</v>
      </c>
      <c r="Q155" s="30">
        <v>973.35948</v>
      </c>
      <c r="S155" s="29">
        <v>20.0</v>
      </c>
      <c r="U155" s="30">
        <v>20.0</v>
      </c>
    </row>
    <row r="156" ht="11.25" customHeight="1">
      <c r="B156" s="27" t="s">
        <v>33</v>
      </c>
      <c r="D156" s="27" t="s">
        <v>248</v>
      </c>
      <c r="G156" s="27" t="s">
        <v>249</v>
      </c>
      <c r="H156" s="27" t="s">
        <v>21</v>
      </c>
      <c r="L156" s="28">
        <v>100.0</v>
      </c>
      <c r="N156" s="29">
        <v>1.0</v>
      </c>
      <c r="Q156" s="30">
        <v>1061.34026</v>
      </c>
      <c r="S156" s="29">
        <v>20.0</v>
      </c>
      <c r="U156" s="30">
        <v>20.0</v>
      </c>
    </row>
    <row r="157" ht="11.25" customHeight="1">
      <c r="B157" s="27" t="s">
        <v>33</v>
      </c>
      <c r="D157" s="27" t="s">
        <v>250</v>
      </c>
      <c r="G157" s="27" t="s">
        <v>251</v>
      </c>
      <c r="H157" s="27" t="s">
        <v>21</v>
      </c>
      <c r="L157" s="28">
        <v>100.0</v>
      </c>
      <c r="N157" s="29">
        <v>1.0</v>
      </c>
      <c r="Q157" s="30">
        <v>919.01116</v>
      </c>
      <c r="S157" s="29">
        <v>20.0</v>
      </c>
      <c r="U157" s="30">
        <v>20.0</v>
      </c>
    </row>
    <row r="158" ht="11.25" customHeight="1">
      <c r="B158" s="27" t="s">
        <v>33</v>
      </c>
      <c r="D158" s="27" t="s">
        <v>252</v>
      </c>
      <c r="G158" s="27" t="s">
        <v>253</v>
      </c>
      <c r="H158" s="27" t="s">
        <v>21</v>
      </c>
      <c r="L158" s="28">
        <v>100.0</v>
      </c>
      <c r="N158" s="29">
        <v>4.0</v>
      </c>
      <c r="Q158" s="30">
        <v>554.25032</v>
      </c>
      <c r="S158" s="29">
        <v>19.0</v>
      </c>
      <c r="U158" s="30">
        <v>76.0</v>
      </c>
    </row>
    <row r="159" ht="11.25" customHeight="1">
      <c r="B159" s="27" t="s">
        <v>33</v>
      </c>
      <c r="D159" s="27" t="s">
        <v>254</v>
      </c>
      <c r="G159" s="27" t="s">
        <v>255</v>
      </c>
      <c r="H159" s="27" t="s">
        <v>21</v>
      </c>
      <c r="L159" s="28">
        <v>100.0</v>
      </c>
      <c r="N159" s="29">
        <v>4.0</v>
      </c>
      <c r="Q159" s="30">
        <v>1534.98508</v>
      </c>
      <c r="S159" s="29">
        <v>20.0</v>
      </c>
      <c r="U159" s="30">
        <v>80.0</v>
      </c>
    </row>
    <row r="160" ht="11.25" customHeight="1">
      <c r="B160" s="27" t="s">
        <v>33</v>
      </c>
      <c r="D160" s="27" t="s">
        <v>256</v>
      </c>
      <c r="G160" s="27" t="s">
        <v>257</v>
      </c>
      <c r="H160" s="27" t="s">
        <v>21</v>
      </c>
      <c r="L160" s="28">
        <v>100.0</v>
      </c>
      <c r="N160" s="29">
        <v>4.0</v>
      </c>
      <c r="Q160" s="30">
        <v>506.56736</v>
      </c>
      <c r="S160" s="29">
        <v>19.0</v>
      </c>
      <c r="U160" s="30">
        <v>76.0</v>
      </c>
    </row>
    <row r="161" ht="11.25" customHeight="1">
      <c r="B161" s="27" t="s">
        <v>33</v>
      </c>
      <c r="D161" s="27" t="s">
        <v>258</v>
      </c>
      <c r="G161" s="27" t="s">
        <v>259</v>
      </c>
      <c r="H161" s="27" t="s">
        <v>21</v>
      </c>
      <c r="L161" s="28">
        <v>100.0</v>
      </c>
      <c r="N161" s="29">
        <v>4.0</v>
      </c>
      <c r="Q161" s="30">
        <v>1426.25886</v>
      </c>
      <c r="S161" s="29">
        <v>20.0</v>
      </c>
      <c r="U161" s="30">
        <v>80.0</v>
      </c>
    </row>
    <row r="162" ht="11.25" customHeight="1">
      <c r="B162" s="27" t="s">
        <v>33</v>
      </c>
      <c r="D162" s="27" t="s">
        <v>260</v>
      </c>
      <c r="G162" s="27" t="s">
        <v>261</v>
      </c>
      <c r="H162" s="27" t="s">
        <v>21</v>
      </c>
      <c r="L162" s="28">
        <v>100.0</v>
      </c>
      <c r="N162" s="29">
        <v>1.0</v>
      </c>
      <c r="Q162" s="30">
        <v>164.5634</v>
      </c>
      <c r="S162" s="29">
        <v>19.0</v>
      </c>
      <c r="U162" s="30">
        <v>19.0</v>
      </c>
    </row>
    <row r="163" ht="11.25" customHeight="1">
      <c r="B163" s="27" t="s">
        <v>33</v>
      </c>
      <c r="D163" s="27" t="s">
        <v>262</v>
      </c>
      <c r="G163" s="27" t="s">
        <v>263</v>
      </c>
      <c r="H163" s="27" t="s">
        <v>21</v>
      </c>
      <c r="L163" s="28">
        <v>100.0</v>
      </c>
      <c r="N163" s="29">
        <v>1.0</v>
      </c>
      <c r="Q163" s="30">
        <v>449.80334</v>
      </c>
      <c r="S163" s="29">
        <v>19.0</v>
      </c>
      <c r="U163" s="30">
        <v>19.0</v>
      </c>
    </row>
    <row r="164" ht="11.25" customHeight="1">
      <c r="B164" s="27" t="s">
        <v>33</v>
      </c>
      <c r="D164" s="27" t="s">
        <v>264</v>
      </c>
      <c r="G164" s="27" t="s">
        <v>265</v>
      </c>
      <c r="H164" s="27" t="s">
        <v>21</v>
      </c>
      <c r="L164" s="28">
        <v>100.0</v>
      </c>
      <c r="N164" s="29">
        <v>1.0</v>
      </c>
      <c r="Q164" s="30">
        <v>392.45758</v>
      </c>
      <c r="S164" s="29">
        <v>20.0</v>
      </c>
      <c r="U164" s="30">
        <v>20.0</v>
      </c>
    </row>
    <row r="165" ht="11.25" customHeight="1">
      <c r="B165" s="27" t="s">
        <v>33</v>
      </c>
      <c r="D165" s="27" t="s">
        <v>266</v>
      </c>
      <c r="G165" s="27" t="s">
        <v>267</v>
      </c>
      <c r="H165" s="27" t="s">
        <v>21</v>
      </c>
      <c r="L165" s="28">
        <v>100.0</v>
      </c>
      <c r="N165" s="29">
        <v>1.0</v>
      </c>
      <c r="Q165" s="30">
        <v>397.86086</v>
      </c>
      <c r="S165" s="29">
        <v>20.0</v>
      </c>
      <c r="U165" s="30">
        <v>20.0</v>
      </c>
    </row>
    <row r="166" ht="11.25" customHeight="1">
      <c r="B166" s="27" t="s">
        <v>33</v>
      </c>
      <c r="D166" s="27" t="s">
        <v>268</v>
      </c>
      <c r="G166" s="27" t="s">
        <v>269</v>
      </c>
      <c r="H166" s="27" t="s">
        <v>21</v>
      </c>
      <c r="L166" s="28">
        <v>100.0</v>
      </c>
      <c r="N166" s="29">
        <v>5.0</v>
      </c>
      <c r="Q166" s="30">
        <v>2338.60466</v>
      </c>
      <c r="S166" s="29">
        <v>20.0</v>
      </c>
      <c r="U166" s="30">
        <v>100.0</v>
      </c>
    </row>
    <row r="167" ht="11.25" customHeight="1">
      <c r="B167" s="27" t="s">
        <v>33</v>
      </c>
      <c r="D167" s="27" t="s">
        <v>270</v>
      </c>
      <c r="G167" s="27" t="s">
        <v>271</v>
      </c>
      <c r="H167" s="27" t="s">
        <v>21</v>
      </c>
      <c r="L167" s="28">
        <v>100.0</v>
      </c>
      <c r="N167" s="29">
        <v>2.0</v>
      </c>
      <c r="Q167" s="30">
        <v>2045.59504</v>
      </c>
      <c r="S167" s="29">
        <v>20.0</v>
      </c>
      <c r="U167" s="30">
        <v>40.0</v>
      </c>
    </row>
    <row r="168" ht="11.25" customHeight="1">
      <c r="B168" s="27" t="s">
        <v>33</v>
      </c>
      <c r="D168" s="27" t="s">
        <v>272</v>
      </c>
      <c r="G168" s="27" t="s">
        <v>273</v>
      </c>
      <c r="H168" s="27" t="s">
        <v>21</v>
      </c>
      <c r="L168" s="28">
        <v>100.0</v>
      </c>
      <c r="N168" s="29">
        <v>1.0</v>
      </c>
      <c r="Q168" s="30">
        <v>999.6068</v>
      </c>
      <c r="S168" s="29">
        <v>20.0</v>
      </c>
      <c r="U168" s="30">
        <v>20.0</v>
      </c>
    </row>
    <row r="169" ht="11.25" customHeight="1">
      <c r="B169" s="27" t="s">
        <v>33</v>
      </c>
      <c r="D169" s="27" t="s">
        <v>274</v>
      </c>
      <c r="G169" s="27" t="s">
        <v>275</v>
      </c>
      <c r="H169" s="27" t="s">
        <v>21</v>
      </c>
      <c r="L169" s="28">
        <v>100.0</v>
      </c>
      <c r="N169" s="29">
        <v>1.0</v>
      </c>
      <c r="Q169" s="30">
        <v>1108.24428</v>
      </c>
      <c r="S169" s="29">
        <v>20.0</v>
      </c>
      <c r="U169" s="30">
        <v>20.0</v>
      </c>
    </row>
    <row r="170" ht="11.25" customHeight="1">
      <c r="B170" s="27" t="s">
        <v>33</v>
      </c>
      <c r="D170" s="27" t="s">
        <v>276</v>
      </c>
      <c r="G170" s="27" t="s">
        <v>277</v>
      </c>
      <c r="H170" s="27" t="s">
        <v>21</v>
      </c>
      <c r="L170" s="28">
        <v>100.0</v>
      </c>
      <c r="N170" s="29">
        <v>1.0</v>
      </c>
      <c r="Q170" s="30">
        <v>1015.85608</v>
      </c>
      <c r="S170" s="29">
        <v>20.0</v>
      </c>
      <c r="U170" s="30">
        <v>20.0</v>
      </c>
    </row>
    <row r="171" ht="11.25" customHeight="1">
      <c r="B171" s="27" t="s">
        <v>33</v>
      </c>
      <c r="D171" s="27" t="s">
        <v>278</v>
      </c>
      <c r="G171" s="27" t="s">
        <v>279</v>
      </c>
      <c r="H171" s="27" t="s">
        <v>21</v>
      </c>
      <c r="L171" s="28">
        <v>100.0</v>
      </c>
      <c r="N171" s="29">
        <v>1.0</v>
      </c>
      <c r="Q171" s="30">
        <v>131.67044</v>
      </c>
      <c r="S171" s="29">
        <v>19.0</v>
      </c>
      <c r="U171" s="30">
        <v>19.0</v>
      </c>
    </row>
    <row r="172" ht="11.25" customHeight="1">
      <c r="B172" s="27" t="s">
        <v>86</v>
      </c>
      <c r="D172" s="27" t="s">
        <v>280</v>
      </c>
      <c r="G172" s="27" t="s">
        <v>281</v>
      </c>
      <c r="H172" s="27" t="s">
        <v>21</v>
      </c>
      <c r="L172" s="28">
        <v>100.0</v>
      </c>
      <c r="N172" s="29">
        <v>1.0</v>
      </c>
      <c r="Q172" s="30">
        <v>790.8706</v>
      </c>
      <c r="S172" s="29">
        <v>20.0</v>
      </c>
      <c r="U172" s="30">
        <v>20.0</v>
      </c>
    </row>
    <row r="173" ht="11.25" customHeight="1">
      <c r="B173" s="27" t="s">
        <v>86</v>
      </c>
      <c r="D173" s="27" t="s">
        <v>282</v>
      </c>
      <c r="G173" s="27" t="s">
        <v>283</v>
      </c>
      <c r="H173" s="27" t="s">
        <v>21</v>
      </c>
      <c r="L173" s="28">
        <v>100.0</v>
      </c>
      <c r="N173" s="29">
        <v>3.0</v>
      </c>
      <c r="Q173" s="30">
        <v>1305.7105</v>
      </c>
      <c r="S173" s="29">
        <v>20.0</v>
      </c>
      <c r="U173" s="30">
        <v>60.0</v>
      </c>
    </row>
    <row r="174" ht="11.25" customHeight="1">
      <c r="B174" s="27" t="s">
        <v>86</v>
      </c>
      <c r="D174" s="27" t="s">
        <v>284</v>
      </c>
      <c r="G174" s="27" t="s">
        <v>285</v>
      </c>
      <c r="H174" s="27" t="s">
        <v>21</v>
      </c>
      <c r="L174" s="28">
        <v>100.0</v>
      </c>
      <c r="N174" s="29">
        <v>1.0</v>
      </c>
      <c r="Q174" s="30">
        <v>1089.39196</v>
      </c>
      <c r="S174" s="29">
        <v>20.0</v>
      </c>
      <c r="U174" s="30">
        <v>20.0</v>
      </c>
    </row>
    <row r="175" ht="11.25" customHeight="1">
      <c r="B175" s="27" t="s">
        <v>86</v>
      </c>
      <c r="D175" s="27" t="s">
        <v>286</v>
      </c>
      <c r="G175" s="27" t="s">
        <v>287</v>
      </c>
      <c r="H175" s="27" t="s">
        <v>21</v>
      </c>
      <c r="L175" s="28">
        <v>100.0</v>
      </c>
      <c r="N175" s="29">
        <v>1.0</v>
      </c>
      <c r="Q175" s="30">
        <v>855.33528</v>
      </c>
      <c r="S175" s="29">
        <v>20.0</v>
      </c>
      <c r="U175" s="30">
        <v>20.0</v>
      </c>
    </row>
    <row r="176" ht="11.25" customHeight="1">
      <c r="B176" s="27" t="s">
        <v>86</v>
      </c>
      <c r="D176" s="27" t="s">
        <v>288</v>
      </c>
      <c r="G176" s="27" t="s">
        <v>289</v>
      </c>
      <c r="H176" s="27" t="s">
        <v>21</v>
      </c>
      <c r="L176" s="28">
        <v>100.0</v>
      </c>
      <c r="N176" s="29">
        <v>2.0</v>
      </c>
      <c r="Q176" s="30">
        <v>1624.86884</v>
      </c>
      <c r="S176" s="29">
        <v>20.0</v>
      </c>
      <c r="U176" s="30">
        <v>40.0</v>
      </c>
    </row>
    <row r="177" ht="11.25" customHeight="1">
      <c r="B177" s="27" t="s">
        <v>86</v>
      </c>
      <c r="D177" s="27" t="s">
        <v>290</v>
      </c>
      <c r="G177" s="27" t="s">
        <v>291</v>
      </c>
      <c r="H177" s="27" t="s">
        <v>21</v>
      </c>
      <c r="L177" s="28">
        <v>100.0</v>
      </c>
      <c r="N177" s="29">
        <v>3.0</v>
      </c>
      <c r="Q177" s="30">
        <v>1067.26612</v>
      </c>
      <c r="S177" s="29">
        <v>20.0</v>
      </c>
      <c r="U177" s="30">
        <v>60.0</v>
      </c>
    </row>
    <row r="178" ht="11.25" customHeight="1">
      <c r="B178" s="27" t="s">
        <v>86</v>
      </c>
      <c r="D178" s="27" t="s">
        <v>292</v>
      </c>
      <c r="G178" s="27" t="s">
        <v>293</v>
      </c>
      <c r="H178" s="27" t="s">
        <v>21</v>
      </c>
      <c r="L178" s="28">
        <v>100.0</v>
      </c>
      <c r="N178" s="29">
        <v>2.0</v>
      </c>
      <c r="Q178" s="30">
        <v>730.39922</v>
      </c>
      <c r="S178" s="29">
        <v>20.0</v>
      </c>
      <c r="U178" s="30">
        <v>40.0</v>
      </c>
    </row>
    <row r="179" ht="11.25" customHeight="1">
      <c r="B179" s="27" t="s">
        <v>86</v>
      </c>
      <c r="D179" s="27" t="s">
        <v>294</v>
      </c>
      <c r="G179" s="27" t="s">
        <v>295</v>
      </c>
      <c r="H179" s="27" t="s">
        <v>21</v>
      </c>
      <c r="L179" s="28">
        <v>100.0</v>
      </c>
      <c r="N179" s="29">
        <v>2.0</v>
      </c>
      <c r="Q179" s="30">
        <v>1953.92662</v>
      </c>
      <c r="S179" s="29">
        <v>20.0</v>
      </c>
      <c r="U179" s="30">
        <v>40.0</v>
      </c>
    </row>
    <row r="180" ht="11.25" customHeight="1">
      <c r="B180" s="27" t="s">
        <v>86</v>
      </c>
      <c r="D180" s="27" t="s">
        <v>296</v>
      </c>
      <c r="G180" s="27" t="s">
        <v>297</v>
      </c>
      <c r="H180" s="27" t="s">
        <v>21</v>
      </c>
      <c r="L180" s="28">
        <v>100.0</v>
      </c>
      <c r="N180" s="29">
        <v>1.0</v>
      </c>
      <c r="Q180" s="30">
        <v>943.28648</v>
      </c>
      <c r="S180" s="29">
        <v>20.0</v>
      </c>
      <c r="U180" s="30">
        <v>20.0</v>
      </c>
    </row>
    <row r="181" ht="11.25" customHeight="1">
      <c r="B181" s="27" t="s">
        <v>86</v>
      </c>
      <c r="D181" s="27" t="s">
        <v>298</v>
      </c>
      <c r="G181" s="27" t="s">
        <v>299</v>
      </c>
      <c r="H181" s="27" t="s">
        <v>21</v>
      </c>
      <c r="L181" s="28">
        <v>100.0</v>
      </c>
      <c r="N181" s="29">
        <v>4.0</v>
      </c>
      <c r="Q181" s="30">
        <v>2096.5811</v>
      </c>
      <c r="S181" s="29">
        <v>20.0</v>
      </c>
      <c r="U181" s="30">
        <v>80.0</v>
      </c>
    </row>
    <row r="182" ht="11.25" customHeight="1">
      <c r="B182" s="27" t="s">
        <v>86</v>
      </c>
      <c r="D182" s="27" t="s">
        <v>300</v>
      </c>
      <c r="G182" s="27" t="s">
        <v>301</v>
      </c>
      <c r="H182" s="27" t="s">
        <v>21</v>
      </c>
      <c r="L182" s="28">
        <v>100.0</v>
      </c>
      <c r="N182" s="29">
        <v>3.0</v>
      </c>
      <c r="Q182" s="30">
        <v>2226.71338</v>
      </c>
      <c r="S182" s="29">
        <v>20.0</v>
      </c>
      <c r="U182" s="30">
        <v>60.0</v>
      </c>
    </row>
    <row r="183" ht="11.25" customHeight="1">
      <c r="B183" s="27" t="s">
        <v>86</v>
      </c>
      <c r="D183" s="27" t="s">
        <v>302</v>
      </c>
      <c r="G183" s="27" t="s">
        <v>303</v>
      </c>
      <c r="H183" s="27" t="s">
        <v>21</v>
      </c>
      <c r="L183" s="28">
        <v>100.0</v>
      </c>
      <c r="N183" s="29">
        <v>1.0</v>
      </c>
      <c r="Q183" s="30">
        <v>987.81424</v>
      </c>
      <c r="S183" s="29">
        <v>20.0</v>
      </c>
      <c r="U183" s="30">
        <v>20.0</v>
      </c>
    </row>
    <row r="184" ht="11.25" customHeight="1">
      <c r="B184" s="27" t="s">
        <v>86</v>
      </c>
      <c r="D184" s="27" t="s">
        <v>304</v>
      </c>
      <c r="G184" s="27" t="s">
        <v>305</v>
      </c>
      <c r="H184" s="27" t="s">
        <v>21</v>
      </c>
      <c r="L184" s="28">
        <v>100.0</v>
      </c>
      <c r="N184" s="29">
        <v>1.0</v>
      </c>
      <c r="Q184" s="30">
        <v>1163.04616</v>
      </c>
      <c r="S184" s="29">
        <v>20.0</v>
      </c>
      <c r="U184" s="30">
        <v>20.0</v>
      </c>
    </row>
    <row r="185" ht="11.25" customHeight="1">
      <c r="B185" s="27" t="s">
        <v>86</v>
      </c>
      <c r="D185" s="27" t="s">
        <v>306</v>
      </c>
      <c r="G185" s="27" t="s">
        <v>307</v>
      </c>
      <c r="H185" s="27" t="s">
        <v>21</v>
      </c>
      <c r="L185" s="28">
        <v>100.0</v>
      </c>
      <c r="N185" s="29">
        <v>1.0</v>
      </c>
      <c r="Q185" s="30">
        <v>764.85992</v>
      </c>
      <c r="S185" s="29">
        <v>20.0</v>
      </c>
      <c r="U185" s="30">
        <v>20.0</v>
      </c>
    </row>
    <row r="186" ht="11.25" customHeight="1">
      <c r="B186" s="27" t="s">
        <v>86</v>
      </c>
      <c r="D186" s="27" t="s">
        <v>308</v>
      </c>
      <c r="G186" s="27" t="s">
        <v>309</v>
      </c>
      <c r="H186" s="27" t="s">
        <v>21</v>
      </c>
      <c r="L186" s="28">
        <v>100.0</v>
      </c>
      <c r="N186" s="29">
        <v>1.0</v>
      </c>
      <c r="Q186" s="30">
        <v>473.75328</v>
      </c>
      <c r="S186" s="29">
        <v>20.0</v>
      </c>
      <c r="U186" s="30">
        <v>20.0</v>
      </c>
    </row>
    <row r="187" hidden="1" customHeight="1"/>
    <row r="188" ht="12.0" customHeight="1"/>
    <row r="189" ht="13.5" customHeight="1">
      <c r="B189" s="31" t="s">
        <v>310</v>
      </c>
      <c r="T189" s="32" t="s">
        <v>112</v>
      </c>
      <c r="U189" s="33">
        <v>46128.0</v>
      </c>
    </row>
    <row r="190" ht="9.75" customHeight="1"/>
    <row r="191" ht="40.5" customHeight="1"/>
    <row r="192" ht="27.0" customHeight="1">
      <c r="J192" s="1" t="s">
        <v>0</v>
      </c>
    </row>
    <row r="193" ht="33.75" customHeight="1"/>
    <row r="194" ht="24.75" customHeight="1">
      <c r="B194" s="2" t="s">
        <v>1</v>
      </c>
      <c r="J194" s="3" t="s">
        <v>2</v>
      </c>
    </row>
    <row r="195" ht="14.25" customHeight="1"/>
    <row r="196" ht="13.5" customHeight="1">
      <c r="B196" s="9" t="s">
        <v>7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ht="18.75" customHeight="1">
      <c r="B197" s="12" t="s">
        <v>8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4"/>
    </row>
    <row r="198" ht="2.25" customHeight="1"/>
    <row r="199" ht="13.5" customHeight="1">
      <c r="B199" s="15" t="s">
        <v>9</v>
      </c>
      <c r="C199" s="16"/>
      <c r="D199" s="15" t="s">
        <v>10</v>
      </c>
      <c r="E199" s="17"/>
      <c r="F199" s="16"/>
      <c r="G199" s="18" t="s">
        <v>11</v>
      </c>
      <c r="H199" s="15" t="s">
        <v>12</v>
      </c>
      <c r="I199" s="17"/>
      <c r="J199" s="17"/>
      <c r="K199" s="16"/>
      <c r="L199" s="15" t="s">
        <v>13</v>
      </c>
      <c r="M199" s="16"/>
      <c r="N199" s="15" t="s">
        <v>14</v>
      </c>
      <c r="O199" s="19"/>
      <c r="Q199" s="15" t="s">
        <v>15</v>
      </c>
      <c r="R199" s="19"/>
      <c r="S199" s="15" t="s">
        <v>16</v>
      </c>
      <c r="T199" s="19"/>
      <c r="U199" s="20" t="s">
        <v>17</v>
      </c>
      <c r="V199" s="19"/>
    </row>
    <row r="200" ht="13.5" customHeight="1">
      <c r="B200" s="21"/>
      <c r="C200" s="22"/>
      <c r="D200" s="21"/>
      <c r="E200" s="23"/>
      <c r="F200" s="22"/>
      <c r="G200" s="24"/>
      <c r="H200" s="21"/>
      <c r="I200" s="23"/>
      <c r="J200" s="23"/>
      <c r="K200" s="22"/>
      <c r="L200" s="21"/>
      <c r="M200" s="22"/>
      <c r="N200" s="21"/>
      <c r="O200" s="25"/>
      <c r="Q200" s="21"/>
      <c r="R200" s="25"/>
      <c r="S200" s="21"/>
      <c r="T200" s="25"/>
      <c r="U200" s="26"/>
      <c r="V200" s="25"/>
    </row>
    <row r="201" ht="11.25" customHeight="1">
      <c r="B201" s="27" t="s">
        <v>86</v>
      </c>
      <c r="D201" s="27" t="s">
        <v>311</v>
      </c>
      <c r="G201" s="27" t="s">
        <v>312</v>
      </c>
      <c r="H201" s="27" t="s">
        <v>21</v>
      </c>
      <c r="L201" s="28">
        <v>100.0</v>
      </c>
      <c r="N201" s="29">
        <v>1.0</v>
      </c>
      <c r="Q201" s="30">
        <v>376.05054</v>
      </c>
      <c r="S201" s="29">
        <v>20.0</v>
      </c>
      <c r="U201" s="30">
        <v>20.0</v>
      </c>
    </row>
    <row r="202" ht="11.25" customHeight="1">
      <c r="B202" s="27" t="s">
        <v>86</v>
      </c>
      <c r="D202" s="27" t="s">
        <v>313</v>
      </c>
      <c r="G202" s="27" t="s">
        <v>314</v>
      </c>
      <c r="H202" s="27" t="s">
        <v>21</v>
      </c>
      <c r="L202" s="28">
        <v>100.0</v>
      </c>
      <c r="N202" s="29">
        <v>1.0</v>
      </c>
      <c r="Q202" s="30">
        <v>986.79866</v>
      </c>
      <c r="S202" s="29">
        <v>20.0</v>
      </c>
      <c r="U202" s="30">
        <v>20.0</v>
      </c>
    </row>
    <row r="203" ht="11.25" customHeight="1">
      <c r="B203" s="27" t="s">
        <v>86</v>
      </c>
      <c r="D203" s="27" t="s">
        <v>315</v>
      </c>
      <c r="G203" s="27" t="s">
        <v>316</v>
      </c>
      <c r="H203" s="27" t="s">
        <v>21</v>
      </c>
      <c r="L203" s="28">
        <v>100.0</v>
      </c>
      <c r="N203" s="29">
        <v>1.0</v>
      </c>
      <c r="Q203" s="30">
        <v>406.29116</v>
      </c>
      <c r="S203" s="29">
        <v>20.0</v>
      </c>
      <c r="U203" s="30">
        <v>20.0</v>
      </c>
    </row>
    <row r="204" ht="11.25" customHeight="1">
      <c r="B204" s="27" t="s">
        <v>86</v>
      </c>
      <c r="D204" s="27" t="s">
        <v>317</v>
      </c>
      <c r="G204" s="27" t="s">
        <v>318</v>
      </c>
      <c r="H204" s="27" t="s">
        <v>21</v>
      </c>
      <c r="L204" s="28">
        <v>100.0</v>
      </c>
      <c r="N204" s="29">
        <v>1.0</v>
      </c>
      <c r="Q204" s="30">
        <v>1089.39196</v>
      </c>
      <c r="S204" s="29">
        <v>20.0</v>
      </c>
      <c r="U204" s="30">
        <v>20.0</v>
      </c>
    </row>
    <row r="205" ht="11.25" customHeight="1">
      <c r="B205" s="27" t="s">
        <v>86</v>
      </c>
      <c r="D205" s="27" t="s">
        <v>319</v>
      </c>
      <c r="G205" s="27" t="s">
        <v>320</v>
      </c>
      <c r="H205" s="27" t="s">
        <v>21</v>
      </c>
      <c r="L205" s="28">
        <v>100.0</v>
      </c>
      <c r="N205" s="29">
        <v>2.0</v>
      </c>
      <c r="Q205" s="30">
        <v>1779.17784</v>
      </c>
      <c r="S205" s="29">
        <v>20.0</v>
      </c>
      <c r="U205" s="30">
        <v>40.0</v>
      </c>
    </row>
    <row r="206" ht="11.25" customHeight="1">
      <c r="B206" s="27" t="s">
        <v>86</v>
      </c>
      <c r="D206" s="27" t="s">
        <v>321</v>
      </c>
      <c r="G206" s="27" t="s">
        <v>322</v>
      </c>
      <c r="H206" s="27" t="s">
        <v>21</v>
      </c>
      <c r="L206" s="28">
        <v>100.0</v>
      </c>
      <c r="N206" s="29">
        <v>1.0</v>
      </c>
      <c r="Q206" s="30">
        <v>479.95522</v>
      </c>
      <c r="S206" s="29">
        <v>20.0</v>
      </c>
      <c r="U206" s="30">
        <v>20.0</v>
      </c>
    </row>
    <row r="207" ht="11.25" customHeight="1">
      <c r="B207" s="27" t="s">
        <v>86</v>
      </c>
      <c r="D207" s="27" t="s">
        <v>323</v>
      </c>
      <c r="G207" s="27" t="s">
        <v>324</v>
      </c>
      <c r="H207" s="27" t="s">
        <v>21</v>
      </c>
      <c r="L207" s="28">
        <v>100.0</v>
      </c>
      <c r="N207" s="29">
        <v>2.0</v>
      </c>
      <c r="Q207" s="30">
        <v>2141.56242</v>
      </c>
      <c r="S207" s="29">
        <v>20.0</v>
      </c>
      <c r="U207" s="30">
        <v>40.0</v>
      </c>
    </row>
    <row r="208" ht="12.0" customHeight="1"/>
    <row r="209" ht="18.0" customHeight="1">
      <c r="Q209" s="34">
        <v>58590.61458</v>
      </c>
      <c r="U209" s="34">
        <v>1945.0</v>
      </c>
    </row>
    <row r="210" ht="13.5" customHeight="1">
      <c r="A210" s="35" t="s">
        <v>325</v>
      </c>
      <c r="Q210" s="34">
        <v>147844.0938</v>
      </c>
      <c r="U210" s="34">
        <v>4900.6</v>
      </c>
    </row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</sheetData>
  <mergeCells count="1257">
    <mergeCell ref="S106:T106"/>
    <mergeCell ref="U106:V106"/>
    <mergeCell ref="B105:C105"/>
    <mergeCell ref="B106:C106"/>
    <mergeCell ref="D106:F106"/>
    <mergeCell ref="H106:K106"/>
    <mergeCell ref="L106:M106"/>
    <mergeCell ref="N106:O106"/>
    <mergeCell ref="Q106:R106"/>
    <mergeCell ref="D107:F107"/>
    <mergeCell ref="H107:K107"/>
    <mergeCell ref="L107:M107"/>
    <mergeCell ref="N107:O107"/>
    <mergeCell ref="Q107:R107"/>
    <mergeCell ref="S107:T107"/>
    <mergeCell ref="U107:V107"/>
    <mergeCell ref="B107:C107"/>
    <mergeCell ref="B108:C108"/>
    <mergeCell ref="D108:F108"/>
    <mergeCell ref="H108:K108"/>
    <mergeCell ref="L108:M108"/>
    <mergeCell ref="N108:O108"/>
    <mergeCell ref="Q108:R108"/>
    <mergeCell ref="Q109:R109"/>
    <mergeCell ref="S109:T109"/>
    <mergeCell ref="S108:T108"/>
    <mergeCell ref="U108:V108"/>
    <mergeCell ref="D109:F109"/>
    <mergeCell ref="H109:K109"/>
    <mergeCell ref="L109:M109"/>
    <mergeCell ref="N109:O109"/>
    <mergeCell ref="U109:V109"/>
    <mergeCell ref="S110:T110"/>
    <mergeCell ref="U110:V110"/>
    <mergeCell ref="B109:C109"/>
    <mergeCell ref="B110:C110"/>
    <mergeCell ref="D110:F110"/>
    <mergeCell ref="H110:K110"/>
    <mergeCell ref="L110:M110"/>
    <mergeCell ref="N110:O110"/>
    <mergeCell ref="Q110:R110"/>
    <mergeCell ref="D111:F111"/>
    <mergeCell ref="H111:K111"/>
    <mergeCell ref="L111:M111"/>
    <mergeCell ref="N111:O111"/>
    <mergeCell ref="Q111:R111"/>
    <mergeCell ref="S111:T111"/>
    <mergeCell ref="U111:V111"/>
    <mergeCell ref="B111:C111"/>
    <mergeCell ref="B112:C112"/>
    <mergeCell ref="D112:F112"/>
    <mergeCell ref="H112:K112"/>
    <mergeCell ref="L112:M112"/>
    <mergeCell ref="N112:O112"/>
    <mergeCell ref="Q112:R112"/>
    <mergeCell ref="Q113:R113"/>
    <mergeCell ref="S113:T113"/>
    <mergeCell ref="S112:T112"/>
    <mergeCell ref="U112:V112"/>
    <mergeCell ref="D113:F113"/>
    <mergeCell ref="H113:K113"/>
    <mergeCell ref="L113:M113"/>
    <mergeCell ref="N113:O113"/>
    <mergeCell ref="U113:V113"/>
    <mergeCell ref="S114:T114"/>
    <mergeCell ref="U114:V114"/>
    <mergeCell ref="B113:C113"/>
    <mergeCell ref="B114:C114"/>
    <mergeCell ref="D114:F114"/>
    <mergeCell ref="H114:K114"/>
    <mergeCell ref="L114:M114"/>
    <mergeCell ref="N114:O114"/>
    <mergeCell ref="Q114:R114"/>
    <mergeCell ref="B121:C121"/>
    <mergeCell ref="B122:C122"/>
    <mergeCell ref="D122:F122"/>
    <mergeCell ref="H122:K122"/>
    <mergeCell ref="L122:M122"/>
    <mergeCell ref="N122:O122"/>
    <mergeCell ref="Q122:R122"/>
    <mergeCell ref="S122:T122"/>
    <mergeCell ref="U122:V122"/>
    <mergeCell ref="U125:V125"/>
    <mergeCell ref="J128:U128"/>
    <mergeCell ref="J130:U130"/>
    <mergeCell ref="B132:V132"/>
    <mergeCell ref="B133:V133"/>
    <mergeCell ref="D81:F81"/>
    <mergeCell ref="H81:K81"/>
    <mergeCell ref="L81:M81"/>
    <mergeCell ref="N81:O81"/>
    <mergeCell ref="Q81:R81"/>
    <mergeCell ref="S81:T81"/>
    <mergeCell ref="U81:V81"/>
    <mergeCell ref="B81:C81"/>
    <mergeCell ref="B82:C82"/>
    <mergeCell ref="D82:F82"/>
    <mergeCell ref="H82:K82"/>
    <mergeCell ref="L82:M82"/>
    <mergeCell ref="N82:O82"/>
    <mergeCell ref="Q82:R82"/>
    <mergeCell ref="D83:F83"/>
    <mergeCell ref="H83:K83"/>
    <mergeCell ref="L83:M83"/>
    <mergeCell ref="N83:O83"/>
    <mergeCell ref="Q83:R83"/>
    <mergeCell ref="S83:T83"/>
    <mergeCell ref="U83:V83"/>
    <mergeCell ref="S84:T84"/>
    <mergeCell ref="U84:V84"/>
    <mergeCell ref="B83:C83"/>
    <mergeCell ref="B84:C84"/>
    <mergeCell ref="D84:F84"/>
    <mergeCell ref="H84:K84"/>
    <mergeCell ref="L84:M84"/>
    <mergeCell ref="N84:O84"/>
    <mergeCell ref="Q84:R84"/>
    <mergeCell ref="S86:T86"/>
    <mergeCell ref="U86:V86"/>
    <mergeCell ref="Q142:R142"/>
    <mergeCell ref="S142:T142"/>
    <mergeCell ref="U142:V142"/>
    <mergeCell ref="H147:K147"/>
    <mergeCell ref="H148:K148"/>
    <mergeCell ref="B146:C146"/>
    <mergeCell ref="B147:C147"/>
    <mergeCell ref="D147:F147"/>
    <mergeCell ref="L147:M147"/>
    <mergeCell ref="N147:O147"/>
    <mergeCell ref="B148:C148"/>
    <mergeCell ref="D148:F148"/>
    <mergeCell ref="B130:I130"/>
    <mergeCell ref="B135:C136"/>
    <mergeCell ref="D135:F136"/>
    <mergeCell ref="G135:G136"/>
    <mergeCell ref="H135:K136"/>
    <mergeCell ref="L135:M136"/>
    <mergeCell ref="N135:O136"/>
    <mergeCell ref="B139:C139"/>
    <mergeCell ref="D139:F139"/>
    <mergeCell ref="H139:K139"/>
    <mergeCell ref="L139:M139"/>
    <mergeCell ref="N139:O139"/>
    <mergeCell ref="D140:F140"/>
    <mergeCell ref="N140:O140"/>
    <mergeCell ref="H142:K142"/>
    <mergeCell ref="H143:K143"/>
    <mergeCell ref="L143:M143"/>
    <mergeCell ref="N143:O143"/>
    <mergeCell ref="H140:K140"/>
    <mergeCell ref="L140:M140"/>
    <mergeCell ref="H141:K141"/>
    <mergeCell ref="L141:M141"/>
    <mergeCell ref="N141:O141"/>
    <mergeCell ref="L142:M142"/>
    <mergeCell ref="N142:O142"/>
    <mergeCell ref="B144:C144"/>
    <mergeCell ref="D144:F144"/>
    <mergeCell ref="H144:K144"/>
    <mergeCell ref="L144:M144"/>
    <mergeCell ref="N144:O144"/>
    <mergeCell ref="B140:C140"/>
    <mergeCell ref="B141:C141"/>
    <mergeCell ref="D141:F141"/>
    <mergeCell ref="B142:C142"/>
    <mergeCell ref="D142:F142"/>
    <mergeCell ref="B143:C143"/>
    <mergeCell ref="D143:F143"/>
    <mergeCell ref="L148:M148"/>
    <mergeCell ref="N148:O148"/>
    <mergeCell ref="B149:C149"/>
    <mergeCell ref="D149:F149"/>
    <mergeCell ref="H149:K149"/>
    <mergeCell ref="L149:M149"/>
    <mergeCell ref="N149:O149"/>
    <mergeCell ref="H159:K159"/>
    <mergeCell ref="H160:K160"/>
    <mergeCell ref="L160:M160"/>
    <mergeCell ref="N160:O160"/>
    <mergeCell ref="H157:K157"/>
    <mergeCell ref="L157:M157"/>
    <mergeCell ref="H158:K158"/>
    <mergeCell ref="L158:M158"/>
    <mergeCell ref="N158:O158"/>
    <mergeCell ref="L159:M159"/>
    <mergeCell ref="N159:O159"/>
    <mergeCell ref="B157:C157"/>
    <mergeCell ref="B158:C158"/>
    <mergeCell ref="D158:F158"/>
    <mergeCell ref="B159:C159"/>
    <mergeCell ref="D159:F159"/>
    <mergeCell ref="B160:C160"/>
    <mergeCell ref="D160:F160"/>
    <mergeCell ref="B162:C162"/>
    <mergeCell ref="D162:F162"/>
    <mergeCell ref="B163:C163"/>
    <mergeCell ref="D163:F163"/>
    <mergeCell ref="B164:C164"/>
    <mergeCell ref="D164:F164"/>
    <mergeCell ref="D165:F165"/>
    <mergeCell ref="B165:C165"/>
    <mergeCell ref="B166:C166"/>
    <mergeCell ref="B167:C167"/>
    <mergeCell ref="B168:C168"/>
    <mergeCell ref="B169:C169"/>
    <mergeCell ref="B170:C170"/>
    <mergeCell ref="B171:C171"/>
    <mergeCell ref="D166:F166"/>
    <mergeCell ref="D167:F167"/>
    <mergeCell ref="D168:F168"/>
    <mergeCell ref="D169:F169"/>
    <mergeCell ref="D170:F170"/>
    <mergeCell ref="D171:F171"/>
    <mergeCell ref="D172:F172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72:C172"/>
    <mergeCell ref="B173:C173"/>
    <mergeCell ref="B174:C174"/>
    <mergeCell ref="B175:C175"/>
    <mergeCell ref="B176:C176"/>
    <mergeCell ref="B177:C177"/>
    <mergeCell ref="B178:C178"/>
    <mergeCell ref="D180:F180"/>
    <mergeCell ref="D181:F181"/>
    <mergeCell ref="D182:F182"/>
    <mergeCell ref="D183:F183"/>
    <mergeCell ref="D184:F184"/>
    <mergeCell ref="D185:F185"/>
    <mergeCell ref="D186:F186"/>
    <mergeCell ref="D173:F173"/>
    <mergeCell ref="D174:F174"/>
    <mergeCell ref="D175:F175"/>
    <mergeCell ref="D176:F176"/>
    <mergeCell ref="D177:F177"/>
    <mergeCell ref="D178:F178"/>
    <mergeCell ref="D179:F179"/>
    <mergeCell ref="B150:C150"/>
    <mergeCell ref="D150:F150"/>
    <mergeCell ref="H150:K150"/>
    <mergeCell ref="L150:M150"/>
    <mergeCell ref="N150:O150"/>
    <mergeCell ref="D151:F151"/>
    <mergeCell ref="N151:O151"/>
    <mergeCell ref="H153:K153"/>
    <mergeCell ref="H154:K154"/>
    <mergeCell ref="L154:M154"/>
    <mergeCell ref="N154:O154"/>
    <mergeCell ref="H151:K151"/>
    <mergeCell ref="L151:M151"/>
    <mergeCell ref="H152:K152"/>
    <mergeCell ref="L152:M152"/>
    <mergeCell ref="N152:O152"/>
    <mergeCell ref="L153:M153"/>
    <mergeCell ref="N153:O153"/>
    <mergeCell ref="B155:C155"/>
    <mergeCell ref="D155:F155"/>
    <mergeCell ref="H155:K155"/>
    <mergeCell ref="L155:M155"/>
    <mergeCell ref="N155:O155"/>
    <mergeCell ref="B151:C151"/>
    <mergeCell ref="B152:C152"/>
    <mergeCell ref="D152:F152"/>
    <mergeCell ref="B153:C153"/>
    <mergeCell ref="D153:F153"/>
    <mergeCell ref="B154:C154"/>
    <mergeCell ref="D154:F154"/>
    <mergeCell ref="B156:C156"/>
    <mergeCell ref="D156:F156"/>
    <mergeCell ref="H156:K156"/>
    <mergeCell ref="L156:M156"/>
    <mergeCell ref="N156:O156"/>
    <mergeCell ref="D157:F157"/>
    <mergeCell ref="N157:O157"/>
    <mergeCell ref="B161:C161"/>
    <mergeCell ref="D161:F161"/>
    <mergeCell ref="H161:K161"/>
    <mergeCell ref="L161:M161"/>
    <mergeCell ref="N161:O161"/>
    <mergeCell ref="L162:M162"/>
    <mergeCell ref="N162:O162"/>
    <mergeCell ref="H162:K162"/>
    <mergeCell ref="H163:K163"/>
    <mergeCell ref="L163:M163"/>
    <mergeCell ref="N163:O163"/>
    <mergeCell ref="H164:K164"/>
    <mergeCell ref="L164:M164"/>
    <mergeCell ref="N164:O164"/>
    <mergeCell ref="L167:M167"/>
    <mergeCell ref="N167:O167"/>
    <mergeCell ref="H165:K165"/>
    <mergeCell ref="L165:M165"/>
    <mergeCell ref="N165:O165"/>
    <mergeCell ref="H166:K166"/>
    <mergeCell ref="L166:M166"/>
    <mergeCell ref="N166:O166"/>
    <mergeCell ref="H167:K167"/>
    <mergeCell ref="L170:M170"/>
    <mergeCell ref="N170:O170"/>
    <mergeCell ref="H168:K168"/>
    <mergeCell ref="L168:M168"/>
    <mergeCell ref="N168:O168"/>
    <mergeCell ref="H169:K169"/>
    <mergeCell ref="L169:M169"/>
    <mergeCell ref="N169:O169"/>
    <mergeCell ref="H170:K170"/>
    <mergeCell ref="L173:M173"/>
    <mergeCell ref="N173:O173"/>
    <mergeCell ref="H171:K171"/>
    <mergeCell ref="L171:M171"/>
    <mergeCell ref="N171:O171"/>
    <mergeCell ref="H172:K172"/>
    <mergeCell ref="L172:M172"/>
    <mergeCell ref="N172:O172"/>
    <mergeCell ref="H173:K173"/>
    <mergeCell ref="L185:M185"/>
    <mergeCell ref="N185:O185"/>
    <mergeCell ref="B194:I194"/>
    <mergeCell ref="H183:K183"/>
    <mergeCell ref="L183:M183"/>
    <mergeCell ref="N183:O183"/>
    <mergeCell ref="H184:K184"/>
    <mergeCell ref="L184:M184"/>
    <mergeCell ref="N184:O184"/>
    <mergeCell ref="H185:K185"/>
    <mergeCell ref="L176:M176"/>
    <mergeCell ref="N176:O176"/>
    <mergeCell ref="H174:K174"/>
    <mergeCell ref="L174:M174"/>
    <mergeCell ref="N174:O174"/>
    <mergeCell ref="H175:K175"/>
    <mergeCell ref="L175:M175"/>
    <mergeCell ref="N175:O175"/>
    <mergeCell ref="H176:K176"/>
    <mergeCell ref="L179:M179"/>
    <mergeCell ref="N179:O179"/>
    <mergeCell ref="H177:K177"/>
    <mergeCell ref="L177:M177"/>
    <mergeCell ref="N177:O177"/>
    <mergeCell ref="H178:K178"/>
    <mergeCell ref="L178:M178"/>
    <mergeCell ref="N178:O178"/>
    <mergeCell ref="H179:K179"/>
    <mergeCell ref="L182:M182"/>
    <mergeCell ref="N182:O182"/>
    <mergeCell ref="H180:K180"/>
    <mergeCell ref="L180:M180"/>
    <mergeCell ref="N180:O180"/>
    <mergeCell ref="H181:K181"/>
    <mergeCell ref="L181:M181"/>
    <mergeCell ref="N181:O181"/>
    <mergeCell ref="H182:K182"/>
    <mergeCell ref="H186:K186"/>
    <mergeCell ref="L186:M186"/>
    <mergeCell ref="N186:O186"/>
    <mergeCell ref="D115:F115"/>
    <mergeCell ref="H115:K115"/>
    <mergeCell ref="L115:M115"/>
    <mergeCell ref="N115:O115"/>
    <mergeCell ref="Q115:R115"/>
    <mergeCell ref="S115:T115"/>
    <mergeCell ref="U115:V115"/>
    <mergeCell ref="B115:C115"/>
    <mergeCell ref="B116:C116"/>
    <mergeCell ref="D116:F116"/>
    <mergeCell ref="H116:K116"/>
    <mergeCell ref="L116:M116"/>
    <mergeCell ref="N116:O116"/>
    <mergeCell ref="Q116:R116"/>
    <mergeCell ref="Q117:R117"/>
    <mergeCell ref="S117:T117"/>
    <mergeCell ref="S116:T116"/>
    <mergeCell ref="U116:V116"/>
    <mergeCell ref="D117:F117"/>
    <mergeCell ref="H117:K117"/>
    <mergeCell ref="L117:M117"/>
    <mergeCell ref="N117:O117"/>
    <mergeCell ref="U117:V117"/>
    <mergeCell ref="S118:T118"/>
    <mergeCell ref="U118:V118"/>
    <mergeCell ref="B117:C117"/>
    <mergeCell ref="B118:C118"/>
    <mergeCell ref="D118:F118"/>
    <mergeCell ref="H118:K118"/>
    <mergeCell ref="L118:M118"/>
    <mergeCell ref="N118:O118"/>
    <mergeCell ref="Q118:R118"/>
    <mergeCell ref="D119:F119"/>
    <mergeCell ref="H119:K119"/>
    <mergeCell ref="L119:M119"/>
    <mergeCell ref="N119:O119"/>
    <mergeCell ref="Q119:R119"/>
    <mergeCell ref="S119:T119"/>
    <mergeCell ref="U119:V119"/>
    <mergeCell ref="B119:C119"/>
    <mergeCell ref="B120:C120"/>
    <mergeCell ref="D120:F120"/>
    <mergeCell ref="H120:K120"/>
    <mergeCell ref="L120:M120"/>
    <mergeCell ref="N120:O120"/>
    <mergeCell ref="Q120:R120"/>
    <mergeCell ref="Q121:R121"/>
    <mergeCell ref="S121:T121"/>
    <mergeCell ref="S120:T120"/>
    <mergeCell ref="U120:V120"/>
    <mergeCell ref="D121:F121"/>
    <mergeCell ref="H121:K121"/>
    <mergeCell ref="L121:M121"/>
    <mergeCell ref="N121:O121"/>
    <mergeCell ref="U121:V121"/>
    <mergeCell ref="H146:K146"/>
    <mergeCell ref="L146:M146"/>
    <mergeCell ref="B145:C145"/>
    <mergeCell ref="D145:F145"/>
    <mergeCell ref="H145:K145"/>
    <mergeCell ref="L145:M145"/>
    <mergeCell ref="N145:O145"/>
    <mergeCell ref="D146:F146"/>
    <mergeCell ref="N146:O146"/>
    <mergeCell ref="S151:T151"/>
    <mergeCell ref="U151:V151"/>
    <mergeCell ref="Q149:R149"/>
    <mergeCell ref="S149:T149"/>
    <mergeCell ref="U149:V149"/>
    <mergeCell ref="Q150:R150"/>
    <mergeCell ref="S150:T150"/>
    <mergeCell ref="U150:V150"/>
    <mergeCell ref="Q151:R151"/>
    <mergeCell ref="S175:T175"/>
    <mergeCell ref="U175:V175"/>
    <mergeCell ref="Q173:R173"/>
    <mergeCell ref="S173:T173"/>
    <mergeCell ref="U173:V173"/>
    <mergeCell ref="Q174:R174"/>
    <mergeCell ref="S174:T174"/>
    <mergeCell ref="U174:V174"/>
    <mergeCell ref="Q175:R175"/>
    <mergeCell ref="S178:T178"/>
    <mergeCell ref="U178:V178"/>
    <mergeCell ref="Q176:R176"/>
    <mergeCell ref="S176:T176"/>
    <mergeCell ref="U176:V176"/>
    <mergeCell ref="Q177:R177"/>
    <mergeCell ref="S177:T177"/>
    <mergeCell ref="U177:V177"/>
    <mergeCell ref="Q178:R178"/>
    <mergeCell ref="S181:T181"/>
    <mergeCell ref="U181:V181"/>
    <mergeCell ref="Q179:R179"/>
    <mergeCell ref="S179:T179"/>
    <mergeCell ref="U179:V179"/>
    <mergeCell ref="Q180:R180"/>
    <mergeCell ref="S180:T180"/>
    <mergeCell ref="U180:V180"/>
    <mergeCell ref="Q181:R181"/>
    <mergeCell ref="S184:T184"/>
    <mergeCell ref="U184:V184"/>
    <mergeCell ref="Q182:R182"/>
    <mergeCell ref="S182:T182"/>
    <mergeCell ref="U182:V182"/>
    <mergeCell ref="Q183:R183"/>
    <mergeCell ref="S183:T183"/>
    <mergeCell ref="U183:V183"/>
    <mergeCell ref="Q184:R184"/>
    <mergeCell ref="Q135:R136"/>
    <mergeCell ref="S135:T136"/>
    <mergeCell ref="U135:V136"/>
    <mergeCell ref="Q138:R138"/>
    <mergeCell ref="U138:V138"/>
    <mergeCell ref="S139:T139"/>
    <mergeCell ref="U139:V139"/>
    <mergeCell ref="Q139:R139"/>
    <mergeCell ref="Q140:R140"/>
    <mergeCell ref="S140:T140"/>
    <mergeCell ref="U140:V140"/>
    <mergeCell ref="Q141:R141"/>
    <mergeCell ref="S141:T141"/>
    <mergeCell ref="U141:V141"/>
    <mergeCell ref="S145:T145"/>
    <mergeCell ref="U145:V145"/>
    <mergeCell ref="Q143:R143"/>
    <mergeCell ref="S143:T143"/>
    <mergeCell ref="U143:V143"/>
    <mergeCell ref="Q144:R144"/>
    <mergeCell ref="S144:T144"/>
    <mergeCell ref="U144:V144"/>
    <mergeCell ref="Q145:R145"/>
    <mergeCell ref="S148:T148"/>
    <mergeCell ref="U148:V148"/>
    <mergeCell ref="Q146:R146"/>
    <mergeCell ref="S146:T146"/>
    <mergeCell ref="U146:V146"/>
    <mergeCell ref="Q147:R147"/>
    <mergeCell ref="S147:T147"/>
    <mergeCell ref="U147:V147"/>
    <mergeCell ref="Q148:R148"/>
    <mergeCell ref="Q185:R185"/>
    <mergeCell ref="S185:T185"/>
    <mergeCell ref="U185:V185"/>
    <mergeCell ref="Q186:R186"/>
    <mergeCell ref="S186:T186"/>
    <mergeCell ref="U186:V186"/>
    <mergeCell ref="U189:V189"/>
    <mergeCell ref="H199:K200"/>
    <mergeCell ref="L199:M200"/>
    <mergeCell ref="H201:K201"/>
    <mergeCell ref="L201:M201"/>
    <mergeCell ref="H202:K202"/>
    <mergeCell ref="L202:M202"/>
    <mergeCell ref="L203:M203"/>
    <mergeCell ref="N199:O200"/>
    <mergeCell ref="Q199:R200"/>
    <mergeCell ref="N201:O201"/>
    <mergeCell ref="Q201:R201"/>
    <mergeCell ref="N202:O202"/>
    <mergeCell ref="Q202:R202"/>
    <mergeCell ref="N203:O203"/>
    <mergeCell ref="S206:T206"/>
    <mergeCell ref="U206:V206"/>
    <mergeCell ref="Q209:R209"/>
    <mergeCell ref="U209:V209"/>
    <mergeCell ref="Q203:R203"/>
    <mergeCell ref="Q204:R204"/>
    <mergeCell ref="S204:T204"/>
    <mergeCell ref="U204:V204"/>
    <mergeCell ref="S205:T205"/>
    <mergeCell ref="U205:V205"/>
    <mergeCell ref="N206:O206"/>
    <mergeCell ref="Q170:R170"/>
    <mergeCell ref="S170:T170"/>
    <mergeCell ref="U170:V170"/>
    <mergeCell ref="Q171:R171"/>
    <mergeCell ref="S171:T171"/>
    <mergeCell ref="U171:V171"/>
    <mergeCell ref="Q172:R172"/>
    <mergeCell ref="S199:T200"/>
    <mergeCell ref="U199:V200"/>
    <mergeCell ref="S201:T201"/>
    <mergeCell ref="U201:V201"/>
    <mergeCell ref="S202:T202"/>
    <mergeCell ref="U202:V202"/>
    <mergeCell ref="S203:T203"/>
    <mergeCell ref="U203:V203"/>
    <mergeCell ref="S172:T172"/>
    <mergeCell ref="U172:V172"/>
    <mergeCell ref="J192:U192"/>
    <mergeCell ref="J194:U194"/>
    <mergeCell ref="B196:V196"/>
    <mergeCell ref="B197:V197"/>
    <mergeCell ref="B199:C200"/>
    <mergeCell ref="B203:C203"/>
    <mergeCell ref="B204:C204"/>
    <mergeCell ref="B205:C205"/>
    <mergeCell ref="B206:C206"/>
    <mergeCell ref="B207:C207"/>
    <mergeCell ref="D204:F204"/>
    <mergeCell ref="D205:F205"/>
    <mergeCell ref="D206:F206"/>
    <mergeCell ref="D207:F207"/>
    <mergeCell ref="H207:K207"/>
    <mergeCell ref="L207:M207"/>
    <mergeCell ref="N207:O207"/>
    <mergeCell ref="A210:O210"/>
    <mergeCell ref="D199:F200"/>
    <mergeCell ref="G199:G200"/>
    <mergeCell ref="B201:C201"/>
    <mergeCell ref="D201:F201"/>
    <mergeCell ref="B202:C202"/>
    <mergeCell ref="D202:F202"/>
    <mergeCell ref="D203:F203"/>
    <mergeCell ref="Q205:R205"/>
    <mergeCell ref="Q206:R206"/>
    <mergeCell ref="Q207:R207"/>
    <mergeCell ref="S207:T207"/>
    <mergeCell ref="U207:V207"/>
    <mergeCell ref="Q210:R210"/>
    <mergeCell ref="U210:V210"/>
    <mergeCell ref="S154:T154"/>
    <mergeCell ref="U154:V154"/>
    <mergeCell ref="Q152:R152"/>
    <mergeCell ref="S152:T152"/>
    <mergeCell ref="U152:V152"/>
    <mergeCell ref="Q153:R153"/>
    <mergeCell ref="S153:T153"/>
    <mergeCell ref="U153:V153"/>
    <mergeCell ref="Q154:R154"/>
    <mergeCell ref="S157:T157"/>
    <mergeCell ref="U157:V157"/>
    <mergeCell ref="Q155:R155"/>
    <mergeCell ref="S155:T155"/>
    <mergeCell ref="U155:V155"/>
    <mergeCell ref="Q156:R156"/>
    <mergeCell ref="S156:T156"/>
    <mergeCell ref="U156:V156"/>
    <mergeCell ref="Q157:R157"/>
    <mergeCell ref="S160:T160"/>
    <mergeCell ref="U160:V160"/>
    <mergeCell ref="Q158:R158"/>
    <mergeCell ref="S158:T158"/>
    <mergeCell ref="U158:V158"/>
    <mergeCell ref="Q159:R159"/>
    <mergeCell ref="S159:T159"/>
    <mergeCell ref="U159:V159"/>
    <mergeCell ref="Q160:R160"/>
    <mergeCell ref="S163:T163"/>
    <mergeCell ref="U163:V163"/>
    <mergeCell ref="Q161:R161"/>
    <mergeCell ref="S161:T161"/>
    <mergeCell ref="U161:V161"/>
    <mergeCell ref="Q162:R162"/>
    <mergeCell ref="S162:T162"/>
    <mergeCell ref="U162:V162"/>
    <mergeCell ref="Q163:R163"/>
    <mergeCell ref="S166:T166"/>
    <mergeCell ref="U166:V166"/>
    <mergeCell ref="Q164:R164"/>
    <mergeCell ref="S164:T164"/>
    <mergeCell ref="U164:V164"/>
    <mergeCell ref="Q165:R165"/>
    <mergeCell ref="S165:T165"/>
    <mergeCell ref="U165:V165"/>
    <mergeCell ref="Q166:R166"/>
    <mergeCell ref="S169:T169"/>
    <mergeCell ref="U169:V169"/>
    <mergeCell ref="Q167:R167"/>
    <mergeCell ref="S167:T167"/>
    <mergeCell ref="U167:V167"/>
    <mergeCell ref="Q168:R168"/>
    <mergeCell ref="S168:T168"/>
    <mergeCell ref="U168:V168"/>
    <mergeCell ref="Q169:R169"/>
    <mergeCell ref="H206:K206"/>
    <mergeCell ref="L206:M206"/>
    <mergeCell ref="H203:K203"/>
    <mergeCell ref="H204:K204"/>
    <mergeCell ref="L204:M204"/>
    <mergeCell ref="N204:O204"/>
    <mergeCell ref="H205:K205"/>
    <mergeCell ref="L205:M205"/>
    <mergeCell ref="N205:O205"/>
    <mergeCell ref="L38:M38"/>
    <mergeCell ref="N38:O38"/>
    <mergeCell ref="H39:K39"/>
    <mergeCell ref="L39:M39"/>
    <mergeCell ref="N39:O39"/>
    <mergeCell ref="L40:M40"/>
    <mergeCell ref="N40:O40"/>
    <mergeCell ref="H40:K40"/>
    <mergeCell ref="H41:K41"/>
    <mergeCell ref="L41:M41"/>
    <mergeCell ref="N41:O41"/>
    <mergeCell ref="Q41:R41"/>
    <mergeCell ref="S41:T41"/>
    <mergeCell ref="U41:V41"/>
    <mergeCell ref="Q33:R33"/>
    <mergeCell ref="S33:T33"/>
    <mergeCell ref="Q34:R34"/>
    <mergeCell ref="S34:T34"/>
    <mergeCell ref="U34:V34"/>
    <mergeCell ref="Q35:R35"/>
    <mergeCell ref="S35:T35"/>
    <mergeCell ref="U35:V35"/>
    <mergeCell ref="H32:K32"/>
    <mergeCell ref="L32:M32"/>
    <mergeCell ref="N32:O32"/>
    <mergeCell ref="Q32:R32"/>
    <mergeCell ref="S32:T32"/>
    <mergeCell ref="U32:V32"/>
    <mergeCell ref="H33:K33"/>
    <mergeCell ref="U33:V33"/>
    <mergeCell ref="L33:M33"/>
    <mergeCell ref="N33:O33"/>
    <mergeCell ref="H34:K34"/>
    <mergeCell ref="L34:M34"/>
    <mergeCell ref="N34:O34"/>
    <mergeCell ref="L35:M35"/>
    <mergeCell ref="N35:O35"/>
    <mergeCell ref="H35:K35"/>
    <mergeCell ref="H36:K36"/>
    <mergeCell ref="L36:M36"/>
    <mergeCell ref="N36:O36"/>
    <mergeCell ref="Q36:R36"/>
    <mergeCell ref="S36:T36"/>
    <mergeCell ref="U36:V36"/>
    <mergeCell ref="Q38:R38"/>
    <mergeCell ref="S38:T38"/>
    <mergeCell ref="Q39:R39"/>
    <mergeCell ref="S39:T39"/>
    <mergeCell ref="U39:V39"/>
    <mergeCell ref="Q40:R40"/>
    <mergeCell ref="S40:T40"/>
    <mergeCell ref="U40:V40"/>
    <mergeCell ref="H37:K37"/>
    <mergeCell ref="L37:M37"/>
    <mergeCell ref="N37:O37"/>
    <mergeCell ref="Q37:R37"/>
    <mergeCell ref="S37:T37"/>
    <mergeCell ref="U37:V37"/>
    <mergeCell ref="H38:K38"/>
    <mergeCell ref="U38:V38"/>
    <mergeCell ref="H46:K46"/>
    <mergeCell ref="L46:M46"/>
    <mergeCell ref="N46:O46"/>
    <mergeCell ref="Q46:R46"/>
    <mergeCell ref="S46:T46"/>
    <mergeCell ref="U46:V46"/>
    <mergeCell ref="Q53:R53"/>
    <mergeCell ref="S53:T53"/>
    <mergeCell ref="H52:K52"/>
    <mergeCell ref="L52:M52"/>
    <mergeCell ref="N52:O52"/>
    <mergeCell ref="Q52:R52"/>
    <mergeCell ref="S52:T52"/>
    <mergeCell ref="U52:V52"/>
    <mergeCell ref="H53:K53"/>
    <mergeCell ref="U53:V53"/>
    <mergeCell ref="L43:M43"/>
    <mergeCell ref="N43:O43"/>
    <mergeCell ref="L44:M44"/>
    <mergeCell ref="N44:O44"/>
    <mergeCell ref="Q44:R44"/>
    <mergeCell ref="S44:T44"/>
    <mergeCell ref="U44:V44"/>
    <mergeCell ref="H44:K44"/>
    <mergeCell ref="H45:K45"/>
    <mergeCell ref="L45:M45"/>
    <mergeCell ref="N45:O45"/>
    <mergeCell ref="Q45:R45"/>
    <mergeCell ref="S45:T45"/>
    <mergeCell ref="U45:V45"/>
    <mergeCell ref="Q48:R48"/>
    <mergeCell ref="S48:T48"/>
    <mergeCell ref="Q49:R49"/>
    <mergeCell ref="S49:T49"/>
    <mergeCell ref="U49:V49"/>
    <mergeCell ref="Q50:R50"/>
    <mergeCell ref="S50:T50"/>
    <mergeCell ref="U50:V50"/>
    <mergeCell ref="H47:K47"/>
    <mergeCell ref="L47:M47"/>
    <mergeCell ref="N47:O47"/>
    <mergeCell ref="Q47:R47"/>
    <mergeCell ref="S47:T47"/>
    <mergeCell ref="U47:V47"/>
    <mergeCell ref="H48:K48"/>
    <mergeCell ref="U48:V48"/>
    <mergeCell ref="L48:M48"/>
    <mergeCell ref="N48:O48"/>
    <mergeCell ref="H49:K49"/>
    <mergeCell ref="L49:M49"/>
    <mergeCell ref="N49:O49"/>
    <mergeCell ref="L50:M50"/>
    <mergeCell ref="N50:O50"/>
    <mergeCell ref="H50:K50"/>
    <mergeCell ref="H51:K51"/>
    <mergeCell ref="L51:M51"/>
    <mergeCell ref="N51:O51"/>
    <mergeCell ref="Q51:R51"/>
    <mergeCell ref="S51:T51"/>
    <mergeCell ref="U51:V51"/>
    <mergeCell ref="L53:M53"/>
    <mergeCell ref="N53:O53"/>
    <mergeCell ref="Q17:R17"/>
    <mergeCell ref="Q18:R18"/>
    <mergeCell ref="S18:T18"/>
    <mergeCell ref="U18:V18"/>
    <mergeCell ref="H18:K18"/>
    <mergeCell ref="H19:K19"/>
    <mergeCell ref="L19:M19"/>
    <mergeCell ref="N19:O19"/>
    <mergeCell ref="Q19:R19"/>
    <mergeCell ref="S19:T19"/>
    <mergeCell ref="U19:V19"/>
    <mergeCell ref="B21:C21"/>
    <mergeCell ref="D21:F21"/>
    <mergeCell ref="L21:M21"/>
    <mergeCell ref="N21:O21"/>
    <mergeCell ref="Q21:R21"/>
    <mergeCell ref="S21:T21"/>
    <mergeCell ref="U21:V21"/>
    <mergeCell ref="H21:K21"/>
    <mergeCell ref="H22:K22"/>
    <mergeCell ref="L22:M22"/>
    <mergeCell ref="N22:O22"/>
    <mergeCell ref="Q22:R22"/>
    <mergeCell ref="S22:T22"/>
    <mergeCell ref="U22:V22"/>
    <mergeCell ref="J2:U2"/>
    <mergeCell ref="B4:I4"/>
    <mergeCell ref="J4:U4"/>
    <mergeCell ref="E5:H5"/>
    <mergeCell ref="E6:H6"/>
    <mergeCell ref="I6:L6"/>
    <mergeCell ref="I7:L7"/>
    <mergeCell ref="L14:M15"/>
    <mergeCell ref="N14:O15"/>
    <mergeCell ref="L16:M16"/>
    <mergeCell ref="N16:O16"/>
    <mergeCell ref="L17:M17"/>
    <mergeCell ref="N17:O17"/>
    <mergeCell ref="L18:M18"/>
    <mergeCell ref="N18:O18"/>
    <mergeCell ref="E7:H7"/>
    <mergeCell ref="E9:H9"/>
    <mergeCell ref="I9:L9"/>
    <mergeCell ref="B11:V11"/>
    <mergeCell ref="B12:V12"/>
    <mergeCell ref="B14:C15"/>
    <mergeCell ref="D14:F15"/>
    <mergeCell ref="U14:V15"/>
    <mergeCell ref="Q14:R15"/>
    <mergeCell ref="S14:T15"/>
    <mergeCell ref="Q16:R16"/>
    <mergeCell ref="S16:T16"/>
    <mergeCell ref="U16:V16"/>
    <mergeCell ref="S17:T17"/>
    <mergeCell ref="U17:V17"/>
    <mergeCell ref="G14:G15"/>
    <mergeCell ref="H14:K15"/>
    <mergeCell ref="B16:C16"/>
    <mergeCell ref="D16:F16"/>
    <mergeCell ref="H16:K16"/>
    <mergeCell ref="D17:F17"/>
    <mergeCell ref="H17:K17"/>
    <mergeCell ref="H20:K20"/>
    <mergeCell ref="L20:M20"/>
    <mergeCell ref="N20:O20"/>
    <mergeCell ref="Q20:R20"/>
    <mergeCell ref="S20:T20"/>
    <mergeCell ref="U20:V20"/>
    <mergeCell ref="L24:M24"/>
    <mergeCell ref="N24:O24"/>
    <mergeCell ref="Q24:R24"/>
    <mergeCell ref="S24:T24"/>
    <mergeCell ref="Q25:R25"/>
    <mergeCell ref="S25:T25"/>
    <mergeCell ref="U25:V25"/>
    <mergeCell ref="Q26:R26"/>
    <mergeCell ref="S26:T26"/>
    <mergeCell ref="U26:V26"/>
    <mergeCell ref="H23:K23"/>
    <mergeCell ref="L23:M23"/>
    <mergeCell ref="N23:O23"/>
    <mergeCell ref="Q23:R23"/>
    <mergeCell ref="S23:T23"/>
    <mergeCell ref="U23:V23"/>
    <mergeCell ref="U24:V24"/>
    <mergeCell ref="H24:K24"/>
    <mergeCell ref="H25:K25"/>
    <mergeCell ref="L25:M25"/>
    <mergeCell ref="N25:O25"/>
    <mergeCell ref="H26:K26"/>
    <mergeCell ref="L26:M26"/>
    <mergeCell ref="N26:O26"/>
    <mergeCell ref="Q28:R28"/>
    <mergeCell ref="S28:T28"/>
    <mergeCell ref="Q29:R29"/>
    <mergeCell ref="S29:T29"/>
    <mergeCell ref="U29:V29"/>
    <mergeCell ref="Q30:R30"/>
    <mergeCell ref="S30:T30"/>
    <mergeCell ref="U30:V30"/>
    <mergeCell ref="H27:K27"/>
    <mergeCell ref="L27:M27"/>
    <mergeCell ref="N27:O27"/>
    <mergeCell ref="Q27:R27"/>
    <mergeCell ref="S27:T27"/>
    <mergeCell ref="U27:V27"/>
    <mergeCell ref="H28:K28"/>
    <mergeCell ref="U28:V28"/>
    <mergeCell ref="L28:M28"/>
    <mergeCell ref="N28:O28"/>
    <mergeCell ref="H29:K29"/>
    <mergeCell ref="L29:M29"/>
    <mergeCell ref="N29:O29"/>
    <mergeCell ref="L30:M30"/>
    <mergeCell ref="N30:O30"/>
    <mergeCell ref="H30:K30"/>
    <mergeCell ref="H31:K31"/>
    <mergeCell ref="L31:M31"/>
    <mergeCell ref="N31:O31"/>
    <mergeCell ref="Q31:R31"/>
    <mergeCell ref="S31:T31"/>
    <mergeCell ref="U31:V31"/>
    <mergeCell ref="Q43:R43"/>
    <mergeCell ref="S43:T43"/>
    <mergeCell ref="H42:K42"/>
    <mergeCell ref="L42:M42"/>
    <mergeCell ref="N42:O42"/>
    <mergeCell ref="Q42:R42"/>
    <mergeCell ref="S42:T42"/>
    <mergeCell ref="U42:V42"/>
    <mergeCell ref="H43:K43"/>
    <mergeCell ref="U43:V43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B17:C17"/>
    <mergeCell ref="B18:C18"/>
    <mergeCell ref="D18:F18"/>
    <mergeCell ref="B19:C19"/>
    <mergeCell ref="D19:F19"/>
    <mergeCell ref="B20:C20"/>
    <mergeCell ref="D20:F20"/>
    <mergeCell ref="B22:C22"/>
    <mergeCell ref="D22:F22"/>
    <mergeCell ref="B23:C23"/>
    <mergeCell ref="D23:F23"/>
    <mergeCell ref="B24:C24"/>
    <mergeCell ref="D24:F24"/>
    <mergeCell ref="D25:F25"/>
    <mergeCell ref="B25:C25"/>
    <mergeCell ref="B26:C26"/>
    <mergeCell ref="B27:C27"/>
    <mergeCell ref="B28:C28"/>
    <mergeCell ref="B29:C29"/>
    <mergeCell ref="B30:C30"/>
    <mergeCell ref="B31:C31"/>
    <mergeCell ref="D26:F26"/>
    <mergeCell ref="D27:F27"/>
    <mergeCell ref="D28:F28"/>
    <mergeCell ref="D29:F29"/>
    <mergeCell ref="D30:F30"/>
    <mergeCell ref="D31:F31"/>
    <mergeCell ref="D32:F32"/>
    <mergeCell ref="B32:C32"/>
    <mergeCell ref="B33:C33"/>
    <mergeCell ref="B34:C34"/>
    <mergeCell ref="B35:C35"/>
    <mergeCell ref="B36:C36"/>
    <mergeCell ref="B37:C37"/>
    <mergeCell ref="B38:C38"/>
    <mergeCell ref="D33:F33"/>
    <mergeCell ref="D34:F34"/>
    <mergeCell ref="D35:F35"/>
    <mergeCell ref="D36:F36"/>
    <mergeCell ref="D37:F37"/>
    <mergeCell ref="D38:F38"/>
    <mergeCell ref="D39:F39"/>
    <mergeCell ref="B58:C58"/>
    <mergeCell ref="D58:F58"/>
    <mergeCell ref="B59:C59"/>
    <mergeCell ref="D59:F59"/>
    <mergeCell ref="D54:F54"/>
    <mergeCell ref="B55:C55"/>
    <mergeCell ref="D55:F55"/>
    <mergeCell ref="B56:C56"/>
    <mergeCell ref="D56:F56"/>
    <mergeCell ref="B57:C57"/>
    <mergeCell ref="D57:F57"/>
    <mergeCell ref="L57:M57"/>
    <mergeCell ref="N57:O57"/>
    <mergeCell ref="H58:K58"/>
    <mergeCell ref="L58:M58"/>
    <mergeCell ref="N58:O58"/>
    <mergeCell ref="H59:K59"/>
    <mergeCell ref="L59:M59"/>
    <mergeCell ref="N59:O59"/>
    <mergeCell ref="U59:V59"/>
    <mergeCell ref="U62:V62"/>
    <mergeCell ref="J65:U65"/>
    <mergeCell ref="B67:I67"/>
    <mergeCell ref="J67:U67"/>
    <mergeCell ref="B69:V69"/>
    <mergeCell ref="B70:V70"/>
    <mergeCell ref="B39:C39"/>
    <mergeCell ref="B40:C40"/>
    <mergeCell ref="B41:C41"/>
    <mergeCell ref="B42:C42"/>
    <mergeCell ref="B43:C43"/>
    <mergeCell ref="B44:C44"/>
    <mergeCell ref="B45:C45"/>
    <mergeCell ref="B53:C53"/>
    <mergeCell ref="B54:C54"/>
    <mergeCell ref="L54:M54"/>
    <mergeCell ref="N54:O54"/>
    <mergeCell ref="Q54:R54"/>
    <mergeCell ref="S54:T54"/>
    <mergeCell ref="U54:V54"/>
    <mergeCell ref="H54:K54"/>
    <mergeCell ref="H55:K55"/>
    <mergeCell ref="L55:M55"/>
    <mergeCell ref="N55:O55"/>
    <mergeCell ref="Q55:R55"/>
    <mergeCell ref="S55:T55"/>
    <mergeCell ref="U55:V55"/>
    <mergeCell ref="H56:K56"/>
    <mergeCell ref="L56:M56"/>
    <mergeCell ref="N56:O56"/>
    <mergeCell ref="Q56:R56"/>
    <mergeCell ref="S56:T56"/>
    <mergeCell ref="U56:V56"/>
    <mergeCell ref="H57:K57"/>
    <mergeCell ref="U57:V57"/>
    <mergeCell ref="Q57:R57"/>
    <mergeCell ref="S57:T57"/>
    <mergeCell ref="Q58:R58"/>
    <mergeCell ref="S58:T58"/>
    <mergeCell ref="U58:V58"/>
    <mergeCell ref="Q59:R59"/>
    <mergeCell ref="S59:T59"/>
    <mergeCell ref="B46:C46"/>
    <mergeCell ref="B47:C47"/>
    <mergeCell ref="B48:C48"/>
    <mergeCell ref="B49:C49"/>
    <mergeCell ref="B50:C50"/>
    <mergeCell ref="B51:C51"/>
    <mergeCell ref="B52:C52"/>
    <mergeCell ref="S82:T82"/>
    <mergeCell ref="U82:V82"/>
    <mergeCell ref="D72:F73"/>
    <mergeCell ref="G72:G73"/>
    <mergeCell ref="H72:K73"/>
    <mergeCell ref="L72:M73"/>
    <mergeCell ref="N72:O73"/>
    <mergeCell ref="Q72:R73"/>
    <mergeCell ref="S72:T73"/>
    <mergeCell ref="U72:V73"/>
    <mergeCell ref="B72:C73"/>
    <mergeCell ref="B74:C74"/>
    <mergeCell ref="D74:F74"/>
    <mergeCell ref="H74:K74"/>
    <mergeCell ref="L74:M74"/>
    <mergeCell ref="N74:O74"/>
    <mergeCell ref="Q74:R74"/>
    <mergeCell ref="Q75:R75"/>
    <mergeCell ref="S75:T75"/>
    <mergeCell ref="S74:T74"/>
    <mergeCell ref="U74:V74"/>
    <mergeCell ref="D75:F75"/>
    <mergeCell ref="H75:K75"/>
    <mergeCell ref="L75:M75"/>
    <mergeCell ref="N75:O75"/>
    <mergeCell ref="U75:V75"/>
    <mergeCell ref="S76:T76"/>
    <mergeCell ref="U76:V76"/>
    <mergeCell ref="B75:C75"/>
    <mergeCell ref="B76:C76"/>
    <mergeCell ref="D76:F76"/>
    <mergeCell ref="H76:K76"/>
    <mergeCell ref="L76:M76"/>
    <mergeCell ref="N76:O76"/>
    <mergeCell ref="Q76:R76"/>
    <mergeCell ref="D77:F77"/>
    <mergeCell ref="H77:K77"/>
    <mergeCell ref="L77:M77"/>
    <mergeCell ref="N77:O77"/>
    <mergeCell ref="Q77:R77"/>
    <mergeCell ref="S77:T77"/>
    <mergeCell ref="U77:V77"/>
    <mergeCell ref="B77:C77"/>
    <mergeCell ref="B78:C78"/>
    <mergeCell ref="D78:F78"/>
    <mergeCell ref="H78:K78"/>
    <mergeCell ref="L78:M78"/>
    <mergeCell ref="N78:O78"/>
    <mergeCell ref="Q78:R78"/>
    <mergeCell ref="Q79:R79"/>
    <mergeCell ref="S79:T79"/>
    <mergeCell ref="S78:T78"/>
    <mergeCell ref="U78:V78"/>
    <mergeCell ref="D79:F79"/>
    <mergeCell ref="H79:K79"/>
    <mergeCell ref="L79:M79"/>
    <mergeCell ref="N79:O79"/>
    <mergeCell ref="U79:V79"/>
    <mergeCell ref="S80:T80"/>
    <mergeCell ref="U80:V80"/>
    <mergeCell ref="B79:C79"/>
    <mergeCell ref="B80:C80"/>
    <mergeCell ref="D80:F80"/>
    <mergeCell ref="H80:K80"/>
    <mergeCell ref="L80:M80"/>
    <mergeCell ref="N80:O80"/>
    <mergeCell ref="Q80:R80"/>
    <mergeCell ref="D85:F85"/>
    <mergeCell ref="H85:K85"/>
    <mergeCell ref="L85:M85"/>
    <mergeCell ref="N85:O85"/>
    <mergeCell ref="Q85:R85"/>
    <mergeCell ref="S85:T85"/>
    <mergeCell ref="U85:V85"/>
    <mergeCell ref="B85:C85"/>
    <mergeCell ref="B86:C86"/>
    <mergeCell ref="D86:F86"/>
    <mergeCell ref="H86:K86"/>
    <mergeCell ref="L86:M86"/>
    <mergeCell ref="N86:O86"/>
    <mergeCell ref="Q86:R86"/>
    <mergeCell ref="D87:F87"/>
    <mergeCell ref="H87:K87"/>
    <mergeCell ref="L87:M87"/>
    <mergeCell ref="N87:O87"/>
    <mergeCell ref="Q87:R87"/>
    <mergeCell ref="S87:T87"/>
    <mergeCell ref="U87:V87"/>
    <mergeCell ref="B87:C87"/>
    <mergeCell ref="B88:C88"/>
    <mergeCell ref="D88:F88"/>
    <mergeCell ref="H88:K88"/>
    <mergeCell ref="L88:M88"/>
    <mergeCell ref="N88:O88"/>
    <mergeCell ref="Q88:R88"/>
    <mergeCell ref="Q89:R89"/>
    <mergeCell ref="S89:T89"/>
    <mergeCell ref="S88:T88"/>
    <mergeCell ref="U88:V88"/>
    <mergeCell ref="D89:F89"/>
    <mergeCell ref="H89:K89"/>
    <mergeCell ref="L89:M89"/>
    <mergeCell ref="N89:O89"/>
    <mergeCell ref="U89:V89"/>
    <mergeCell ref="S90:T90"/>
    <mergeCell ref="U90:V90"/>
    <mergeCell ref="B89:C89"/>
    <mergeCell ref="B90:C90"/>
    <mergeCell ref="D90:F90"/>
    <mergeCell ref="H90:K90"/>
    <mergeCell ref="L90:M90"/>
    <mergeCell ref="N90:O90"/>
    <mergeCell ref="Q90:R90"/>
    <mergeCell ref="D91:F91"/>
    <mergeCell ref="H91:K91"/>
    <mergeCell ref="L91:M91"/>
    <mergeCell ref="N91:O91"/>
    <mergeCell ref="Q91:R91"/>
    <mergeCell ref="S91:T91"/>
    <mergeCell ref="U91:V91"/>
    <mergeCell ref="B91:C91"/>
    <mergeCell ref="B92:C92"/>
    <mergeCell ref="D92:F92"/>
    <mergeCell ref="H92:K92"/>
    <mergeCell ref="L92:M92"/>
    <mergeCell ref="N92:O92"/>
    <mergeCell ref="Q92:R92"/>
    <mergeCell ref="Q93:R93"/>
    <mergeCell ref="S93:T93"/>
    <mergeCell ref="S92:T92"/>
    <mergeCell ref="U92:V92"/>
    <mergeCell ref="D93:F93"/>
    <mergeCell ref="H93:K93"/>
    <mergeCell ref="L93:M93"/>
    <mergeCell ref="N93:O93"/>
    <mergeCell ref="U93:V93"/>
    <mergeCell ref="S94:T94"/>
    <mergeCell ref="U94:V94"/>
    <mergeCell ref="B93:C93"/>
    <mergeCell ref="B94:C94"/>
    <mergeCell ref="D94:F94"/>
    <mergeCell ref="H94:K94"/>
    <mergeCell ref="L94:M94"/>
    <mergeCell ref="N94:O94"/>
    <mergeCell ref="Q94:R94"/>
    <mergeCell ref="Q97:R97"/>
    <mergeCell ref="S97:T97"/>
    <mergeCell ref="S96:T96"/>
    <mergeCell ref="U96:V96"/>
    <mergeCell ref="D97:F97"/>
    <mergeCell ref="H97:K97"/>
    <mergeCell ref="L97:M97"/>
    <mergeCell ref="N97:O97"/>
    <mergeCell ref="U97:V97"/>
    <mergeCell ref="D95:F95"/>
    <mergeCell ref="H95:K95"/>
    <mergeCell ref="L95:M95"/>
    <mergeCell ref="N95:O95"/>
    <mergeCell ref="Q95:R95"/>
    <mergeCell ref="S95:T95"/>
    <mergeCell ref="U95:V95"/>
    <mergeCell ref="B95:C95"/>
    <mergeCell ref="B96:C96"/>
    <mergeCell ref="D96:F96"/>
    <mergeCell ref="H96:K96"/>
    <mergeCell ref="L96:M96"/>
    <mergeCell ref="N96:O96"/>
    <mergeCell ref="Q96:R96"/>
    <mergeCell ref="S98:T98"/>
    <mergeCell ref="U98:V98"/>
    <mergeCell ref="B97:C97"/>
    <mergeCell ref="B98:C98"/>
    <mergeCell ref="D98:F98"/>
    <mergeCell ref="H98:K98"/>
    <mergeCell ref="L98:M98"/>
    <mergeCell ref="N98:O98"/>
    <mergeCell ref="Q98:R98"/>
    <mergeCell ref="D99:F99"/>
    <mergeCell ref="H99:K99"/>
    <mergeCell ref="L99:M99"/>
    <mergeCell ref="N99:O99"/>
    <mergeCell ref="Q99:R99"/>
    <mergeCell ref="S99:T99"/>
    <mergeCell ref="U99:V99"/>
    <mergeCell ref="B99:C99"/>
    <mergeCell ref="B100:C100"/>
    <mergeCell ref="D100:F100"/>
    <mergeCell ref="H100:K100"/>
    <mergeCell ref="L100:M100"/>
    <mergeCell ref="N100:O100"/>
    <mergeCell ref="Q100:R100"/>
    <mergeCell ref="Q101:R101"/>
    <mergeCell ref="S101:T101"/>
    <mergeCell ref="S100:T100"/>
    <mergeCell ref="U100:V100"/>
    <mergeCell ref="D101:F101"/>
    <mergeCell ref="H101:K101"/>
    <mergeCell ref="L101:M101"/>
    <mergeCell ref="N101:O101"/>
    <mergeCell ref="U101:V101"/>
    <mergeCell ref="S102:T102"/>
    <mergeCell ref="U102:V102"/>
    <mergeCell ref="B101:C101"/>
    <mergeCell ref="B102:C102"/>
    <mergeCell ref="D102:F102"/>
    <mergeCell ref="H102:K102"/>
    <mergeCell ref="L102:M102"/>
    <mergeCell ref="N102:O102"/>
    <mergeCell ref="Q102:R102"/>
    <mergeCell ref="D103:F103"/>
    <mergeCell ref="H103:K103"/>
    <mergeCell ref="L103:M103"/>
    <mergeCell ref="N103:O103"/>
    <mergeCell ref="Q103:R103"/>
    <mergeCell ref="S103:T103"/>
    <mergeCell ref="U103:V103"/>
    <mergeCell ref="B103:C103"/>
    <mergeCell ref="B104:C104"/>
    <mergeCell ref="D104:F104"/>
    <mergeCell ref="H104:K104"/>
    <mergeCell ref="L104:M104"/>
    <mergeCell ref="N104:O104"/>
    <mergeCell ref="Q104:R104"/>
    <mergeCell ref="Q105:R105"/>
    <mergeCell ref="S105:T105"/>
    <mergeCell ref="S104:T104"/>
    <mergeCell ref="U104:V104"/>
    <mergeCell ref="D105:F105"/>
    <mergeCell ref="H105:K105"/>
    <mergeCell ref="L105:M105"/>
    <mergeCell ref="N105:O105"/>
    <mergeCell ref="U105:V105"/>
  </mergeCells>
  <printOptions/>
  <pageMargins bottom="0.160416666666667" footer="0.0" header="0.0" left="0.160416666666667" right="0.159722222222222" top="0.159722222222222"/>
  <pageSetup scale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0"/>
    <col customWidth="1" min="2" max="2" width="23.75"/>
    <col customWidth="1" min="3" max="3" width="11.5"/>
    <col customWidth="1" min="4" max="4" width="16.13"/>
    <col customWidth="1" min="5" max="5" width="15.0"/>
    <col customWidth="1" min="6" max="6" width="8.88"/>
    <col customWidth="1" min="7" max="7" width="9.13"/>
    <col customWidth="1" min="8" max="8" width="1.25"/>
    <col customWidth="1" min="9" max="9" width="6.88"/>
    <col customWidth="1" min="10" max="10" width="4.63"/>
    <col customWidth="1" min="11" max="11" width="3.25"/>
    <col customWidth="1" min="12" max="12" width="5.88"/>
    <col customWidth="1" min="13" max="13" width="2.13"/>
    <col customWidth="1" min="14" max="14" width="4.75"/>
    <col customWidth="1" min="15" max="16" width="5.25"/>
    <col customWidth="1" min="17" max="17" width="9.88"/>
    <col customWidth="1" min="18" max="18" width="4.38"/>
    <col customWidth="1" min="19" max="19" width="10.13"/>
    <col customWidth="1" min="20" max="23" width="6.88"/>
  </cols>
  <sheetData>
    <row r="1" ht="13.5" customHeight="1">
      <c r="B1" s="15" t="s">
        <v>9</v>
      </c>
      <c r="C1" s="16"/>
      <c r="D1" s="15" t="s">
        <v>10</v>
      </c>
      <c r="E1" s="17"/>
      <c r="F1" s="16"/>
      <c r="G1" s="18" t="s">
        <v>11</v>
      </c>
      <c r="H1" s="15" t="s">
        <v>12</v>
      </c>
      <c r="I1" s="17"/>
      <c r="J1" s="17"/>
      <c r="K1" s="16"/>
      <c r="L1" s="15" t="s">
        <v>13</v>
      </c>
      <c r="M1" s="16"/>
      <c r="N1" s="15" t="s">
        <v>14</v>
      </c>
      <c r="O1" s="19"/>
      <c r="P1" s="15"/>
      <c r="Q1" s="15" t="s">
        <v>15</v>
      </c>
      <c r="R1" s="15" t="s">
        <v>16</v>
      </c>
      <c r="S1" s="36" t="s">
        <v>17</v>
      </c>
    </row>
    <row r="2" ht="13.5" customHeight="1">
      <c r="B2" s="21"/>
      <c r="C2" s="22"/>
      <c r="D2" s="21"/>
      <c r="E2" s="23"/>
      <c r="F2" s="22"/>
      <c r="G2" s="24"/>
      <c r="H2" s="21"/>
      <c r="I2" s="23"/>
      <c r="J2" s="23"/>
      <c r="K2" s="22"/>
      <c r="L2" s="21"/>
      <c r="M2" s="22"/>
      <c r="N2" s="21"/>
      <c r="O2" s="25"/>
      <c r="P2" s="37"/>
      <c r="Q2" s="37"/>
      <c r="R2" s="37"/>
      <c r="S2" s="25"/>
    </row>
    <row r="3" ht="11.25" customHeight="1">
      <c r="B3" s="27" t="s">
        <v>18</v>
      </c>
      <c r="D3" s="27" t="s">
        <v>19</v>
      </c>
      <c r="G3" s="27" t="s">
        <v>20</v>
      </c>
      <c r="H3" s="27" t="s">
        <v>21</v>
      </c>
      <c r="L3" s="28">
        <v>100.0</v>
      </c>
      <c r="N3" s="29">
        <v>1.0</v>
      </c>
      <c r="P3" s="29" t="str">
        <f>IF(J5&gt;1,"[PMPM="&amp;J5&amp;"]","")</f>
        <v/>
      </c>
      <c r="Q3" s="30">
        <v>396.98332</v>
      </c>
      <c r="R3" s="29">
        <v>20.0</v>
      </c>
      <c r="S3" s="38">
        <v>20.0</v>
      </c>
    </row>
    <row r="4" ht="11.25" customHeight="1">
      <c r="B4" s="27" t="s">
        <v>18</v>
      </c>
      <c r="D4" s="27" t="s">
        <v>22</v>
      </c>
      <c r="G4" s="27" t="s">
        <v>23</v>
      </c>
      <c r="H4" s="27" t="s">
        <v>21</v>
      </c>
      <c r="L4" s="28">
        <v>100.0</v>
      </c>
      <c r="N4" s="29">
        <v>1.0</v>
      </c>
      <c r="P4" s="29"/>
      <c r="Q4" s="30">
        <v>987.81424</v>
      </c>
      <c r="R4" s="29">
        <v>20.0</v>
      </c>
      <c r="S4" s="38">
        <v>20.0</v>
      </c>
    </row>
    <row r="5" ht="11.25" customHeight="1">
      <c r="B5" s="27" t="s">
        <v>18</v>
      </c>
      <c r="D5" s="27" t="s">
        <v>24</v>
      </c>
      <c r="G5" s="27" t="s">
        <v>25</v>
      </c>
      <c r="H5" s="27" t="s">
        <v>21</v>
      </c>
      <c r="L5" s="28">
        <v>100.0</v>
      </c>
      <c r="N5" s="29">
        <v>2.0</v>
      </c>
      <c r="P5" s="29"/>
      <c r="Q5" s="30">
        <v>2307.4865</v>
      </c>
      <c r="R5" s="29">
        <v>20.0</v>
      </c>
      <c r="S5" s="38">
        <v>40.0</v>
      </c>
    </row>
    <row r="6" ht="11.25" customHeight="1">
      <c r="B6" s="27" t="s">
        <v>26</v>
      </c>
      <c r="D6" s="27" t="s">
        <v>27</v>
      </c>
      <c r="G6" s="27" t="s">
        <v>28</v>
      </c>
      <c r="H6" s="27" t="s">
        <v>21</v>
      </c>
      <c r="L6" s="28">
        <v>100.0</v>
      </c>
      <c r="N6" s="29">
        <v>1.0</v>
      </c>
      <c r="P6" s="29"/>
      <c r="Q6" s="30">
        <v>1008.61884</v>
      </c>
      <c r="R6" s="29">
        <v>20.0</v>
      </c>
      <c r="S6" s="38">
        <v>20.0</v>
      </c>
    </row>
    <row r="7" ht="11.25" customHeight="1">
      <c r="B7" s="27" t="s">
        <v>26</v>
      </c>
      <c r="D7" s="27" t="s">
        <v>29</v>
      </c>
      <c r="G7" s="27" t="s">
        <v>30</v>
      </c>
      <c r="H7" s="27" t="s">
        <v>21</v>
      </c>
      <c r="L7" s="28">
        <v>100.0</v>
      </c>
      <c r="N7" s="29">
        <v>1.0</v>
      </c>
      <c r="P7" s="29"/>
      <c r="Q7" s="30">
        <v>1113.81518</v>
      </c>
      <c r="R7" s="29">
        <v>20.0</v>
      </c>
      <c r="S7" s="38">
        <v>20.0</v>
      </c>
    </row>
    <row r="8" ht="11.25" customHeight="1">
      <c r="B8" s="27" t="s">
        <v>26</v>
      </c>
      <c r="D8" s="27" t="s">
        <v>31</v>
      </c>
      <c r="G8" s="27" t="s">
        <v>32</v>
      </c>
      <c r="H8" s="27" t="s">
        <v>21</v>
      </c>
      <c r="L8" s="28">
        <v>100.0</v>
      </c>
      <c r="N8" s="29">
        <v>1.0</v>
      </c>
      <c r="P8" s="29"/>
      <c r="Q8" s="30">
        <v>862.41476</v>
      </c>
      <c r="R8" s="29">
        <v>20.0</v>
      </c>
      <c r="S8" s="38">
        <v>20.0</v>
      </c>
    </row>
    <row r="9" ht="11.25" customHeight="1">
      <c r="B9" s="27" t="s">
        <v>33</v>
      </c>
      <c r="D9" s="27" t="s">
        <v>34</v>
      </c>
      <c r="G9" s="27" t="s">
        <v>35</v>
      </c>
      <c r="H9" s="27" t="s">
        <v>21</v>
      </c>
      <c r="L9" s="28">
        <v>100.0</v>
      </c>
      <c r="N9" s="29">
        <v>1.0</v>
      </c>
      <c r="P9" s="29"/>
      <c r="Q9" s="30">
        <v>115.94374</v>
      </c>
      <c r="R9" s="29">
        <v>19.0</v>
      </c>
      <c r="S9" s="38">
        <v>19.0</v>
      </c>
    </row>
    <row r="10" ht="11.25" customHeight="1">
      <c r="B10" s="27" t="s">
        <v>33</v>
      </c>
      <c r="D10" s="27" t="s">
        <v>36</v>
      </c>
      <c r="G10" s="27" t="s">
        <v>37</v>
      </c>
      <c r="H10" s="27" t="s">
        <v>21</v>
      </c>
      <c r="L10" s="28">
        <v>100.0</v>
      </c>
      <c r="N10" s="29">
        <v>1.0</v>
      </c>
      <c r="P10" s="29"/>
      <c r="Q10" s="30">
        <v>463.55804</v>
      </c>
      <c r="R10" s="29">
        <v>20.0</v>
      </c>
      <c r="S10" s="38">
        <v>20.0</v>
      </c>
    </row>
    <row r="11" ht="11.25" customHeight="1">
      <c r="B11" s="27" t="s">
        <v>33</v>
      </c>
      <c r="D11" s="27" t="s">
        <v>38</v>
      </c>
      <c r="G11" s="27" t="s">
        <v>39</v>
      </c>
      <c r="H11" s="27" t="s">
        <v>21</v>
      </c>
      <c r="L11" s="28">
        <v>100.0</v>
      </c>
      <c r="N11" s="29">
        <v>1.0</v>
      </c>
      <c r="P11" s="29"/>
      <c r="Q11" s="30">
        <v>1075.93306</v>
      </c>
      <c r="R11" s="29">
        <v>20.0</v>
      </c>
      <c r="S11" s="38">
        <v>20.0</v>
      </c>
    </row>
    <row r="12" ht="11.25" customHeight="1">
      <c r="B12" s="27" t="s">
        <v>33</v>
      </c>
      <c r="D12" s="27" t="s">
        <v>40</v>
      </c>
      <c r="G12" s="27" t="s">
        <v>41</v>
      </c>
      <c r="H12" s="27" t="s">
        <v>21</v>
      </c>
      <c r="L12" s="28">
        <v>100.0</v>
      </c>
      <c r="N12" s="29">
        <v>1.0</v>
      </c>
      <c r="P12" s="29"/>
      <c r="Q12" s="30">
        <v>685.49678</v>
      </c>
      <c r="R12" s="29">
        <v>20.0</v>
      </c>
      <c r="S12" s="38">
        <v>20.0</v>
      </c>
    </row>
    <row r="13" ht="11.25" customHeight="1">
      <c r="B13" s="27" t="s">
        <v>33</v>
      </c>
      <c r="D13" s="27" t="s">
        <v>42</v>
      </c>
      <c r="G13" s="27" t="s">
        <v>43</v>
      </c>
      <c r="H13" s="27" t="s">
        <v>21</v>
      </c>
      <c r="L13" s="28">
        <v>100.0</v>
      </c>
      <c r="N13" s="29">
        <v>1.0</v>
      </c>
      <c r="P13" s="29"/>
      <c r="Q13" s="30">
        <v>972.689</v>
      </c>
      <c r="R13" s="29">
        <v>20.0</v>
      </c>
      <c r="S13" s="38">
        <v>20.0</v>
      </c>
    </row>
    <row r="14" ht="11.25" customHeight="1">
      <c r="B14" s="27" t="s">
        <v>33</v>
      </c>
      <c r="D14" s="27" t="s">
        <v>44</v>
      </c>
      <c r="G14" s="27" t="s">
        <v>45</v>
      </c>
      <c r="H14" s="27" t="s">
        <v>21</v>
      </c>
      <c r="L14" s="28">
        <v>100.0</v>
      </c>
      <c r="N14" s="29">
        <v>1.0</v>
      </c>
      <c r="P14" s="29"/>
      <c r="Q14" s="30">
        <v>164.5634</v>
      </c>
      <c r="R14" s="29">
        <v>19.0</v>
      </c>
      <c r="S14" s="38">
        <v>19.0</v>
      </c>
    </row>
    <row r="15" ht="11.25" customHeight="1">
      <c r="B15" s="27" t="s">
        <v>33</v>
      </c>
      <c r="D15" s="27" t="s">
        <v>46</v>
      </c>
      <c r="G15" s="27" t="s">
        <v>47</v>
      </c>
      <c r="H15" s="27" t="s">
        <v>21</v>
      </c>
      <c r="L15" s="28">
        <v>100.0</v>
      </c>
      <c r="N15" s="29">
        <v>1.0</v>
      </c>
      <c r="P15" s="29"/>
      <c r="Q15" s="30">
        <v>444.03524</v>
      </c>
      <c r="R15" s="29">
        <v>19.0</v>
      </c>
      <c r="S15" s="38">
        <v>19.0</v>
      </c>
    </row>
    <row r="16" ht="11.25" customHeight="1">
      <c r="B16" s="27" t="s">
        <v>33</v>
      </c>
      <c r="D16" s="27" t="s">
        <v>48</v>
      </c>
      <c r="G16" s="27" t="s">
        <v>49</v>
      </c>
      <c r="H16" s="27" t="s">
        <v>21</v>
      </c>
      <c r="L16" s="28">
        <v>100.0</v>
      </c>
      <c r="N16" s="29">
        <v>1.0</v>
      </c>
      <c r="P16" s="29"/>
      <c r="Q16" s="30">
        <v>1053.52128</v>
      </c>
      <c r="R16" s="29">
        <v>20.0</v>
      </c>
      <c r="S16" s="38">
        <v>20.0</v>
      </c>
    </row>
    <row r="17" ht="11.25" customHeight="1">
      <c r="B17" s="27" t="s">
        <v>33</v>
      </c>
      <c r="D17" s="27" t="s">
        <v>50</v>
      </c>
      <c r="G17" s="27" t="s">
        <v>51</v>
      </c>
      <c r="H17" s="27" t="s">
        <v>21</v>
      </c>
      <c r="L17" s="28">
        <v>100.0</v>
      </c>
      <c r="N17" s="29">
        <v>1.0</v>
      </c>
      <c r="P17" s="29"/>
      <c r="Q17" s="30">
        <v>273.33892</v>
      </c>
      <c r="R17" s="29">
        <v>19.0</v>
      </c>
      <c r="S17" s="38">
        <v>19.0</v>
      </c>
    </row>
    <row r="18" ht="11.25" customHeight="1">
      <c r="B18" s="27" t="s">
        <v>33</v>
      </c>
      <c r="D18" s="27" t="s">
        <v>52</v>
      </c>
      <c r="G18" s="27" t="s">
        <v>53</v>
      </c>
      <c r="H18" s="27" t="s">
        <v>21</v>
      </c>
      <c r="L18" s="28">
        <v>100.0</v>
      </c>
      <c r="N18" s="29">
        <v>1.0</v>
      </c>
      <c r="P18" s="29"/>
      <c r="Q18" s="30">
        <v>525.4887</v>
      </c>
      <c r="R18" s="29">
        <v>20.0</v>
      </c>
      <c r="S18" s="38">
        <v>20.0</v>
      </c>
    </row>
    <row r="19" ht="11.25" customHeight="1">
      <c r="B19" s="27" t="s">
        <v>33</v>
      </c>
      <c r="D19" s="27" t="s">
        <v>54</v>
      </c>
      <c r="G19" s="27" t="s">
        <v>55</v>
      </c>
      <c r="H19" s="27" t="s">
        <v>21</v>
      </c>
      <c r="L19" s="28">
        <v>100.0</v>
      </c>
      <c r="N19" s="29">
        <v>1.0</v>
      </c>
      <c r="P19" s="29"/>
      <c r="Q19" s="30">
        <v>383.48498</v>
      </c>
      <c r="R19" s="29">
        <v>19.0</v>
      </c>
      <c r="S19" s="38">
        <v>19.0</v>
      </c>
    </row>
    <row r="20" ht="11.25" customHeight="1">
      <c r="B20" s="27" t="s">
        <v>33</v>
      </c>
      <c r="D20" s="27" t="s">
        <v>56</v>
      </c>
      <c r="G20" s="27" t="s">
        <v>57</v>
      </c>
      <c r="H20" s="27" t="s">
        <v>21</v>
      </c>
      <c r="L20" s="28">
        <v>100.0</v>
      </c>
      <c r="N20" s="29">
        <v>1.0</v>
      </c>
      <c r="P20" s="29"/>
      <c r="Q20" s="30">
        <v>100.11844</v>
      </c>
      <c r="R20" s="29">
        <v>19.0</v>
      </c>
      <c r="S20" s="38">
        <v>19.0</v>
      </c>
    </row>
    <row r="21" ht="11.25" customHeight="1">
      <c r="B21" s="27" t="s">
        <v>33</v>
      </c>
      <c r="D21" s="27" t="s">
        <v>58</v>
      </c>
      <c r="G21" s="27" t="s">
        <v>59</v>
      </c>
      <c r="H21" s="27" t="s">
        <v>21</v>
      </c>
      <c r="L21" s="28">
        <v>100.0</v>
      </c>
      <c r="N21" s="29">
        <v>4.0</v>
      </c>
      <c r="P21" s="29"/>
      <c r="Q21" s="30">
        <v>1471.0627</v>
      </c>
      <c r="R21" s="29">
        <v>20.0</v>
      </c>
      <c r="S21" s="38">
        <v>80.0</v>
      </c>
    </row>
    <row r="22" ht="11.25" customHeight="1">
      <c r="B22" s="27" t="s">
        <v>33</v>
      </c>
      <c r="D22" s="27" t="s">
        <v>60</v>
      </c>
      <c r="G22" s="27" t="s">
        <v>61</v>
      </c>
      <c r="H22" s="27" t="s">
        <v>21</v>
      </c>
      <c r="L22" s="28">
        <v>100.0</v>
      </c>
      <c r="N22" s="29">
        <v>5.0</v>
      </c>
      <c r="P22" s="29"/>
      <c r="Q22" s="30">
        <v>2192.89358</v>
      </c>
      <c r="R22" s="29">
        <v>20.0</v>
      </c>
      <c r="S22" s="38">
        <v>100.0</v>
      </c>
    </row>
    <row r="23" ht="11.25" customHeight="1">
      <c r="B23" s="27" t="s">
        <v>33</v>
      </c>
      <c r="D23" s="27" t="s">
        <v>62</v>
      </c>
      <c r="G23" s="27" t="s">
        <v>63</v>
      </c>
      <c r="H23" s="27" t="s">
        <v>21</v>
      </c>
      <c r="L23" s="28">
        <v>100.0</v>
      </c>
      <c r="N23" s="29">
        <v>3.0</v>
      </c>
      <c r="P23" s="29"/>
      <c r="Q23" s="30">
        <v>822.67896</v>
      </c>
      <c r="R23" s="29">
        <v>19.0</v>
      </c>
      <c r="S23" s="38">
        <v>57.0</v>
      </c>
    </row>
    <row r="24" ht="11.25" customHeight="1">
      <c r="B24" s="27" t="s">
        <v>33</v>
      </c>
      <c r="D24" s="27" t="s">
        <v>64</v>
      </c>
      <c r="G24" s="27" t="s">
        <v>65</v>
      </c>
      <c r="H24" s="27" t="s">
        <v>21</v>
      </c>
      <c r="L24" s="28">
        <v>100.0</v>
      </c>
      <c r="N24" s="29">
        <v>2.0</v>
      </c>
      <c r="P24" s="29"/>
      <c r="Q24" s="30">
        <v>1972.46342</v>
      </c>
      <c r="R24" s="29">
        <v>20.0</v>
      </c>
      <c r="S24" s="38">
        <v>40.0</v>
      </c>
    </row>
    <row r="25" ht="11.25" customHeight="1">
      <c r="B25" s="27" t="s">
        <v>33</v>
      </c>
      <c r="D25" s="27" t="s">
        <v>66</v>
      </c>
      <c r="G25" s="27" t="s">
        <v>67</v>
      </c>
      <c r="H25" s="27" t="s">
        <v>21</v>
      </c>
      <c r="L25" s="28">
        <v>100.0</v>
      </c>
      <c r="N25" s="29">
        <v>2.0</v>
      </c>
      <c r="P25" s="29"/>
      <c r="Q25" s="30">
        <v>1989.75786</v>
      </c>
      <c r="R25" s="29">
        <v>20.0</v>
      </c>
      <c r="S25" s="38">
        <v>40.0</v>
      </c>
    </row>
    <row r="26" ht="11.25" customHeight="1">
      <c r="B26" s="27" t="s">
        <v>33</v>
      </c>
      <c r="D26" s="27" t="s">
        <v>68</v>
      </c>
      <c r="G26" s="27" t="s">
        <v>69</v>
      </c>
      <c r="H26" s="27" t="s">
        <v>21</v>
      </c>
      <c r="L26" s="28">
        <v>100.0</v>
      </c>
      <c r="N26" s="29">
        <v>6.0</v>
      </c>
      <c r="P26" s="29"/>
      <c r="Q26" s="30">
        <v>1789.87594</v>
      </c>
      <c r="R26" s="29">
        <v>20.0</v>
      </c>
      <c r="S26" s="38">
        <v>120.0</v>
      </c>
    </row>
    <row r="27" ht="11.25" customHeight="1">
      <c r="B27" s="27" t="s">
        <v>33</v>
      </c>
      <c r="D27" s="27" t="s">
        <v>70</v>
      </c>
      <c r="G27" s="27" t="s">
        <v>71</v>
      </c>
      <c r="H27" s="27" t="s">
        <v>21</v>
      </c>
      <c r="L27" s="28">
        <v>100.0</v>
      </c>
      <c r="N27" s="29">
        <v>2.0</v>
      </c>
      <c r="P27" s="29"/>
      <c r="Q27" s="30">
        <v>891.21582</v>
      </c>
      <c r="R27" s="29">
        <v>19.0</v>
      </c>
      <c r="S27" s="38">
        <v>38.0</v>
      </c>
    </row>
    <row r="28" ht="11.25" customHeight="1">
      <c r="B28" s="27" t="s">
        <v>33</v>
      </c>
      <c r="D28" s="27" t="s">
        <v>72</v>
      </c>
      <c r="G28" s="27" t="s">
        <v>73</v>
      </c>
      <c r="H28" s="27" t="s">
        <v>21</v>
      </c>
      <c r="L28" s="28">
        <v>100.0</v>
      </c>
      <c r="N28" s="29">
        <v>2.0</v>
      </c>
      <c r="P28" s="29"/>
      <c r="Q28" s="30">
        <v>2390.0147</v>
      </c>
      <c r="R28" s="29">
        <v>20.0</v>
      </c>
      <c r="S28" s="38">
        <v>40.0</v>
      </c>
    </row>
    <row r="29" ht="11.25" customHeight="1">
      <c r="B29" s="27" t="s">
        <v>33</v>
      </c>
      <c r="D29" s="27" t="s">
        <v>74</v>
      </c>
      <c r="G29" s="27" t="s">
        <v>75</v>
      </c>
      <c r="H29" s="27" t="s">
        <v>21</v>
      </c>
      <c r="L29" s="28">
        <v>100.0</v>
      </c>
      <c r="N29" s="29">
        <v>4.0</v>
      </c>
      <c r="P29" s="29"/>
      <c r="Q29" s="30">
        <v>579.78772</v>
      </c>
      <c r="R29" s="29">
        <v>19.0</v>
      </c>
      <c r="S29" s="38">
        <v>76.0</v>
      </c>
    </row>
    <row r="30" ht="11.25" customHeight="1">
      <c r="B30" s="27" t="s">
        <v>33</v>
      </c>
      <c r="D30" s="27" t="s">
        <v>76</v>
      </c>
      <c r="G30" s="27" t="s">
        <v>77</v>
      </c>
      <c r="H30" s="27" t="s">
        <v>21</v>
      </c>
      <c r="L30" s="28">
        <v>100.0</v>
      </c>
      <c r="N30" s="29">
        <v>1.0</v>
      </c>
      <c r="P30" s="29"/>
      <c r="Q30" s="30">
        <v>506.17296</v>
      </c>
      <c r="R30" s="29">
        <v>19.0</v>
      </c>
      <c r="S30" s="38">
        <v>19.0</v>
      </c>
    </row>
    <row r="31" ht="11.25" customHeight="1">
      <c r="B31" s="27" t="s">
        <v>33</v>
      </c>
      <c r="D31" s="27" t="s">
        <v>78</v>
      </c>
      <c r="G31" s="27" t="s">
        <v>79</v>
      </c>
      <c r="H31" s="27" t="s">
        <v>21</v>
      </c>
      <c r="L31" s="28">
        <v>100.0</v>
      </c>
      <c r="N31" s="29">
        <v>2.0</v>
      </c>
      <c r="P31" s="29"/>
      <c r="Q31" s="30">
        <v>425.68578</v>
      </c>
      <c r="R31" s="29">
        <v>19.0</v>
      </c>
      <c r="S31" s="38">
        <v>38.0</v>
      </c>
    </row>
    <row r="32" ht="11.25" customHeight="1">
      <c r="B32" s="27" t="s">
        <v>33</v>
      </c>
      <c r="D32" s="27" t="s">
        <v>80</v>
      </c>
      <c r="G32" s="27" t="s">
        <v>81</v>
      </c>
      <c r="H32" s="27" t="s">
        <v>21</v>
      </c>
      <c r="L32" s="28">
        <v>100.0</v>
      </c>
      <c r="N32" s="29">
        <v>2.0</v>
      </c>
      <c r="P32" s="29"/>
      <c r="Q32" s="30">
        <v>1143.8586</v>
      </c>
      <c r="R32" s="29">
        <v>20.0</v>
      </c>
      <c r="S32" s="38">
        <v>40.0</v>
      </c>
    </row>
    <row r="33" ht="11.25" customHeight="1">
      <c r="B33" s="27" t="s">
        <v>33</v>
      </c>
      <c r="D33" s="27" t="s">
        <v>82</v>
      </c>
      <c r="G33" s="27" t="s">
        <v>83</v>
      </c>
      <c r="H33" s="27" t="s">
        <v>21</v>
      </c>
      <c r="L33" s="28">
        <v>100.0</v>
      </c>
      <c r="N33" s="29">
        <v>1.0</v>
      </c>
      <c r="P33" s="29"/>
      <c r="Q33" s="30">
        <v>392.45758</v>
      </c>
      <c r="R33" s="29">
        <v>20.0</v>
      </c>
      <c r="S33" s="38">
        <v>20.0</v>
      </c>
    </row>
    <row r="34" ht="11.25" customHeight="1">
      <c r="B34" s="27" t="s">
        <v>33</v>
      </c>
      <c r="D34" s="27" t="s">
        <v>84</v>
      </c>
      <c r="G34" s="27" t="s">
        <v>85</v>
      </c>
      <c r="H34" s="27" t="s">
        <v>21</v>
      </c>
      <c r="L34" s="28">
        <v>100.0</v>
      </c>
      <c r="N34" s="29">
        <v>0.4</v>
      </c>
      <c r="P34" s="29"/>
      <c r="Q34" s="30">
        <v>95.40536</v>
      </c>
      <c r="R34" s="29">
        <v>19.0</v>
      </c>
      <c r="S34" s="38">
        <v>7.6</v>
      </c>
    </row>
    <row r="35" ht="11.25" customHeight="1">
      <c r="B35" s="27" t="s">
        <v>86</v>
      </c>
      <c r="D35" s="27" t="s">
        <v>87</v>
      </c>
      <c r="G35" s="27" t="s">
        <v>88</v>
      </c>
      <c r="H35" s="27" t="s">
        <v>21</v>
      </c>
      <c r="L35" s="28">
        <v>100.0</v>
      </c>
      <c r="N35" s="29">
        <v>1.0</v>
      </c>
      <c r="P35" s="29"/>
      <c r="Q35" s="30">
        <v>243.9364</v>
      </c>
      <c r="R35" s="29">
        <v>19.0</v>
      </c>
      <c r="S35" s="38">
        <v>19.0</v>
      </c>
    </row>
    <row r="36" ht="11.25" customHeight="1">
      <c r="B36" s="27" t="s">
        <v>86</v>
      </c>
      <c r="D36" s="27" t="s">
        <v>89</v>
      </c>
      <c r="G36" s="27" t="s">
        <v>90</v>
      </c>
      <c r="H36" s="27" t="s">
        <v>21</v>
      </c>
      <c r="L36" s="28">
        <v>100.0</v>
      </c>
      <c r="N36" s="29">
        <v>3.0</v>
      </c>
      <c r="P36" s="29"/>
      <c r="Q36" s="30">
        <v>386.40354</v>
      </c>
      <c r="R36" s="29">
        <v>19.0</v>
      </c>
      <c r="S36" s="38">
        <v>57.0</v>
      </c>
    </row>
    <row r="37" ht="11.25" customHeight="1">
      <c r="B37" s="27" t="s">
        <v>86</v>
      </c>
      <c r="D37" s="27" t="s">
        <v>91</v>
      </c>
      <c r="G37" s="27" t="s">
        <v>92</v>
      </c>
      <c r="H37" s="27" t="s">
        <v>21</v>
      </c>
      <c r="L37" s="28">
        <v>100.0</v>
      </c>
      <c r="N37" s="29">
        <v>1.0</v>
      </c>
      <c r="P37" s="29"/>
      <c r="Q37" s="30">
        <v>723.0338</v>
      </c>
      <c r="R37" s="29">
        <v>20.0</v>
      </c>
      <c r="S37" s="38">
        <v>20.0</v>
      </c>
    </row>
    <row r="38" ht="11.25" customHeight="1">
      <c r="B38" s="27" t="s">
        <v>86</v>
      </c>
      <c r="D38" s="27" t="s">
        <v>93</v>
      </c>
      <c r="G38" s="27" t="s">
        <v>94</v>
      </c>
      <c r="H38" s="27" t="s">
        <v>21</v>
      </c>
      <c r="L38" s="28">
        <v>100.0</v>
      </c>
      <c r="N38" s="29">
        <v>1.0</v>
      </c>
      <c r="P38" s="29"/>
      <c r="Q38" s="30">
        <v>1009.14142</v>
      </c>
      <c r="R38" s="29">
        <v>20.0</v>
      </c>
      <c r="S38" s="38">
        <v>20.0</v>
      </c>
    </row>
    <row r="39" ht="11.25" customHeight="1">
      <c r="B39" s="27" t="s">
        <v>86</v>
      </c>
      <c r="D39" s="27" t="s">
        <v>95</v>
      </c>
      <c r="G39" s="27" t="s">
        <v>96</v>
      </c>
      <c r="H39" s="27" t="s">
        <v>21</v>
      </c>
      <c r="L39" s="28">
        <v>100.0</v>
      </c>
      <c r="N39" s="29">
        <v>4.0</v>
      </c>
      <c r="P39" s="29"/>
      <c r="Q39" s="30">
        <v>1668.97262</v>
      </c>
      <c r="R39" s="29">
        <v>20.0</v>
      </c>
      <c r="S39" s="38">
        <v>80.0</v>
      </c>
    </row>
    <row r="40" ht="11.25" customHeight="1">
      <c r="B40" s="27" t="s">
        <v>86</v>
      </c>
      <c r="D40" s="27" t="s">
        <v>97</v>
      </c>
      <c r="G40" s="27" t="s">
        <v>98</v>
      </c>
      <c r="H40" s="27" t="s">
        <v>21</v>
      </c>
      <c r="L40" s="28">
        <v>100.0</v>
      </c>
      <c r="N40" s="29">
        <v>2.0</v>
      </c>
      <c r="P40" s="29"/>
      <c r="Q40" s="30">
        <v>792.03408</v>
      </c>
      <c r="R40" s="29">
        <v>20.0</v>
      </c>
      <c r="S40" s="38">
        <v>40.0</v>
      </c>
    </row>
    <row r="41" ht="11.25" customHeight="1">
      <c r="B41" s="27" t="s">
        <v>86</v>
      </c>
      <c r="D41" s="27" t="s">
        <v>99</v>
      </c>
      <c r="G41" s="27" t="s">
        <v>100</v>
      </c>
      <c r="H41" s="27" t="s">
        <v>21</v>
      </c>
      <c r="L41" s="28">
        <v>100.0</v>
      </c>
      <c r="N41" s="29">
        <v>1.0</v>
      </c>
      <c r="P41" s="29"/>
      <c r="Q41" s="30">
        <v>1163.04616</v>
      </c>
      <c r="R41" s="29">
        <v>20.0</v>
      </c>
      <c r="S41" s="38">
        <v>20.0</v>
      </c>
    </row>
    <row r="42" ht="11.25" customHeight="1">
      <c r="B42" s="27" t="s">
        <v>86</v>
      </c>
      <c r="D42" s="27" t="s">
        <v>101</v>
      </c>
      <c r="G42" s="27" t="s">
        <v>102</v>
      </c>
      <c r="H42" s="27" t="s">
        <v>21</v>
      </c>
      <c r="L42" s="28">
        <v>100.0</v>
      </c>
      <c r="N42" s="29">
        <v>1.0</v>
      </c>
      <c r="P42" s="29"/>
      <c r="Q42" s="30">
        <v>1271.85126</v>
      </c>
      <c r="R42" s="29">
        <v>20.0</v>
      </c>
      <c r="S42" s="38">
        <v>20.0</v>
      </c>
    </row>
    <row r="43" ht="11.25" customHeight="1">
      <c r="B43" s="27" t="s">
        <v>86</v>
      </c>
      <c r="D43" s="27" t="s">
        <v>103</v>
      </c>
      <c r="G43" s="27" t="s">
        <v>104</v>
      </c>
      <c r="H43" s="27" t="s">
        <v>21</v>
      </c>
      <c r="L43" s="28">
        <v>100.0</v>
      </c>
      <c r="N43" s="29">
        <v>1.0</v>
      </c>
      <c r="P43" s="29"/>
      <c r="Q43" s="30">
        <v>1132.0759</v>
      </c>
      <c r="R43" s="29">
        <v>20.0</v>
      </c>
      <c r="S43" s="38">
        <v>20.0</v>
      </c>
    </row>
    <row r="44" ht="11.25" customHeight="1">
      <c r="B44" s="27" t="s">
        <v>86</v>
      </c>
      <c r="D44" s="27" t="s">
        <v>105</v>
      </c>
      <c r="G44" s="27" t="s">
        <v>106</v>
      </c>
      <c r="H44" s="27" t="s">
        <v>21</v>
      </c>
      <c r="L44" s="28">
        <v>100.0</v>
      </c>
      <c r="N44" s="29">
        <v>5.0</v>
      </c>
      <c r="P44" s="29"/>
      <c r="Q44" s="30">
        <v>1710.9565</v>
      </c>
      <c r="R44" s="29">
        <v>20.0</v>
      </c>
      <c r="S44" s="38">
        <v>100.0</v>
      </c>
    </row>
    <row r="45" ht="11.25" customHeight="1">
      <c r="B45" s="27" t="s">
        <v>86</v>
      </c>
      <c r="D45" s="27" t="s">
        <v>107</v>
      </c>
      <c r="G45" s="27" t="s">
        <v>108</v>
      </c>
      <c r="H45" s="27" t="s">
        <v>21</v>
      </c>
      <c r="L45" s="28">
        <v>100.0</v>
      </c>
      <c r="N45" s="29">
        <v>1.0</v>
      </c>
      <c r="P45" s="29"/>
      <c r="Q45" s="30">
        <v>504.76298</v>
      </c>
      <c r="R45" s="29">
        <v>20.0</v>
      </c>
      <c r="S45" s="38">
        <v>20.0</v>
      </c>
    </row>
    <row r="46" ht="11.25" customHeight="1">
      <c r="B46" s="27" t="s">
        <v>86</v>
      </c>
      <c r="D46" s="27" t="s">
        <v>109</v>
      </c>
      <c r="G46" s="27" t="s">
        <v>110</v>
      </c>
      <c r="H46" s="27" t="s">
        <v>21</v>
      </c>
      <c r="L46" s="28">
        <v>100.0</v>
      </c>
      <c r="N46" s="29">
        <v>1.0</v>
      </c>
      <c r="P46" s="29"/>
      <c r="Q46" s="30">
        <v>1116.62528</v>
      </c>
      <c r="R46" s="29">
        <v>20.0</v>
      </c>
      <c r="S46" s="38">
        <v>20.0</v>
      </c>
    </row>
    <row r="47" ht="11.25" customHeight="1">
      <c r="B47" s="27" t="s">
        <v>86</v>
      </c>
      <c r="D47" s="27" t="s">
        <v>113</v>
      </c>
      <c r="G47" s="27" t="s">
        <v>114</v>
      </c>
      <c r="H47" s="27" t="s">
        <v>21</v>
      </c>
      <c r="L47" s="28">
        <v>100.0</v>
      </c>
      <c r="N47" s="29">
        <v>1.0</v>
      </c>
      <c r="P47" s="29"/>
      <c r="Q47" s="30">
        <v>341.21516</v>
      </c>
      <c r="R47" s="29">
        <v>19.0</v>
      </c>
      <c r="S47" s="38">
        <v>19.0</v>
      </c>
    </row>
    <row r="48" ht="11.25" customHeight="1">
      <c r="B48" s="27" t="s">
        <v>86</v>
      </c>
      <c r="D48" s="27" t="s">
        <v>115</v>
      </c>
      <c r="G48" s="27" t="s">
        <v>116</v>
      </c>
      <c r="H48" s="27" t="s">
        <v>21</v>
      </c>
      <c r="L48" s="28">
        <v>100.0</v>
      </c>
      <c r="N48" s="29">
        <v>1.0</v>
      </c>
      <c r="P48" s="29"/>
      <c r="Q48" s="30">
        <v>374.83776</v>
      </c>
      <c r="R48" s="29">
        <v>19.0</v>
      </c>
      <c r="S48" s="38">
        <v>19.0</v>
      </c>
    </row>
    <row r="49" ht="11.25" customHeight="1">
      <c r="B49" s="27" t="s">
        <v>86</v>
      </c>
      <c r="D49" s="27" t="s">
        <v>117</v>
      </c>
      <c r="G49" s="27" t="s">
        <v>118</v>
      </c>
      <c r="H49" s="27" t="s">
        <v>21</v>
      </c>
      <c r="L49" s="28">
        <v>100.0</v>
      </c>
      <c r="N49" s="29">
        <v>2.0</v>
      </c>
      <c r="P49" s="29"/>
      <c r="Q49" s="30">
        <v>2316.56756</v>
      </c>
      <c r="R49" s="29">
        <v>20.0</v>
      </c>
      <c r="S49" s="38">
        <v>40.0</v>
      </c>
    </row>
    <row r="50" ht="11.25" customHeight="1">
      <c r="B50" s="27" t="s">
        <v>86</v>
      </c>
      <c r="D50" s="27" t="s">
        <v>119</v>
      </c>
      <c r="G50" s="27" t="s">
        <v>120</v>
      </c>
      <c r="H50" s="27" t="s">
        <v>21</v>
      </c>
      <c r="L50" s="28">
        <v>100.0</v>
      </c>
      <c r="N50" s="29">
        <v>1.0</v>
      </c>
      <c r="P50" s="29"/>
      <c r="Q50" s="30">
        <v>1189.08642</v>
      </c>
      <c r="R50" s="29">
        <v>20.0</v>
      </c>
      <c r="S50" s="38">
        <v>20.0</v>
      </c>
    </row>
    <row r="51" ht="11.25" customHeight="1">
      <c r="B51" s="27" t="s">
        <v>86</v>
      </c>
      <c r="D51" s="27" t="s">
        <v>121</v>
      </c>
      <c r="G51" s="27" t="s">
        <v>122</v>
      </c>
      <c r="H51" s="27" t="s">
        <v>21</v>
      </c>
      <c r="L51" s="28">
        <v>100.0</v>
      </c>
      <c r="N51" s="29">
        <v>1.0</v>
      </c>
      <c r="P51" s="29"/>
      <c r="Q51" s="30">
        <v>1088.84966</v>
      </c>
      <c r="R51" s="29">
        <v>20.0</v>
      </c>
      <c r="S51" s="38">
        <v>20.0</v>
      </c>
    </row>
    <row r="52" ht="11.25" customHeight="1">
      <c r="B52" s="27" t="s">
        <v>86</v>
      </c>
      <c r="D52" s="27" t="s">
        <v>123</v>
      </c>
      <c r="G52" s="27" t="s">
        <v>124</v>
      </c>
      <c r="H52" s="27" t="s">
        <v>21</v>
      </c>
      <c r="L52" s="28">
        <v>100.0</v>
      </c>
      <c r="N52" s="29">
        <v>1.0</v>
      </c>
      <c r="P52" s="29"/>
      <c r="Q52" s="30">
        <v>944.7852</v>
      </c>
      <c r="R52" s="29">
        <v>20.0</v>
      </c>
      <c r="S52" s="38">
        <v>20.0</v>
      </c>
    </row>
    <row r="53" ht="11.25" customHeight="1">
      <c r="B53" s="27" t="s">
        <v>86</v>
      </c>
      <c r="D53" s="27" t="s">
        <v>125</v>
      </c>
      <c r="G53" s="27" t="s">
        <v>126</v>
      </c>
      <c r="H53" s="27" t="s">
        <v>21</v>
      </c>
      <c r="L53" s="28">
        <v>100.0</v>
      </c>
      <c r="N53" s="29">
        <v>1.0</v>
      </c>
      <c r="P53" s="29"/>
      <c r="Q53" s="30">
        <v>1144.44034</v>
      </c>
      <c r="R53" s="29">
        <v>20.0</v>
      </c>
      <c r="S53" s="38">
        <v>20.0</v>
      </c>
    </row>
    <row r="54" ht="11.25" customHeight="1">
      <c r="B54" s="27" t="s">
        <v>86</v>
      </c>
      <c r="D54" s="27" t="s">
        <v>127</v>
      </c>
      <c r="G54" s="27" t="s">
        <v>128</v>
      </c>
      <c r="H54" s="27" t="s">
        <v>21</v>
      </c>
      <c r="L54" s="28">
        <v>100.0</v>
      </c>
      <c r="N54" s="29">
        <v>2.0</v>
      </c>
      <c r="P54" s="29"/>
      <c r="Q54" s="30">
        <v>1919.80116</v>
      </c>
      <c r="R54" s="29">
        <v>20.0</v>
      </c>
      <c r="S54" s="38">
        <v>40.0</v>
      </c>
    </row>
    <row r="55" ht="11.25" customHeight="1">
      <c r="B55" s="27" t="s">
        <v>86</v>
      </c>
      <c r="D55" s="27" t="s">
        <v>129</v>
      </c>
      <c r="G55" s="27" t="s">
        <v>130</v>
      </c>
      <c r="H55" s="27" t="s">
        <v>21</v>
      </c>
      <c r="L55" s="28">
        <v>100.0</v>
      </c>
      <c r="N55" s="29">
        <v>1.0</v>
      </c>
      <c r="P55" s="29"/>
      <c r="Q55" s="30">
        <v>864.53466</v>
      </c>
      <c r="R55" s="29">
        <v>20.0</v>
      </c>
      <c r="S55" s="38">
        <v>20.0</v>
      </c>
    </row>
    <row r="56" ht="11.25" customHeight="1">
      <c r="B56" s="27" t="s">
        <v>86</v>
      </c>
      <c r="D56" s="27" t="s">
        <v>131</v>
      </c>
      <c r="G56" s="27" t="s">
        <v>132</v>
      </c>
      <c r="H56" s="27" t="s">
        <v>21</v>
      </c>
      <c r="L56" s="28">
        <v>100.0</v>
      </c>
      <c r="N56" s="29">
        <v>1.0</v>
      </c>
      <c r="P56" s="29"/>
      <c r="Q56" s="30">
        <v>449.3202</v>
      </c>
      <c r="R56" s="29">
        <v>20.0</v>
      </c>
      <c r="S56" s="38">
        <v>20.0</v>
      </c>
    </row>
    <row r="57" ht="11.25" customHeight="1">
      <c r="B57" s="27" t="s">
        <v>86</v>
      </c>
      <c r="D57" s="27" t="s">
        <v>133</v>
      </c>
      <c r="G57" s="27" t="s">
        <v>134</v>
      </c>
      <c r="H57" s="27" t="s">
        <v>21</v>
      </c>
      <c r="L57" s="28">
        <v>100.0</v>
      </c>
      <c r="N57" s="29">
        <v>1.0</v>
      </c>
      <c r="P57" s="29"/>
      <c r="Q57" s="30">
        <v>433.82028</v>
      </c>
      <c r="R57" s="29">
        <v>20.0</v>
      </c>
      <c r="S57" s="38">
        <v>20.0</v>
      </c>
    </row>
    <row r="58" ht="11.25" customHeight="1">
      <c r="B58" s="27" t="s">
        <v>86</v>
      </c>
      <c r="D58" s="27" t="s">
        <v>135</v>
      </c>
      <c r="G58" s="27" t="s">
        <v>136</v>
      </c>
      <c r="H58" s="27" t="s">
        <v>21</v>
      </c>
      <c r="L58" s="28">
        <v>100.0</v>
      </c>
      <c r="N58" s="29">
        <v>4.0</v>
      </c>
      <c r="P58" s="29"/>
      <c r="Q58" s="30">
        <v>1704.77428</v>
      </c>
      <c r="R58" s="29">
        <v>20.0</v>
      </c>
      <c r="S58" s="38">
        <v>80.0</v>
      </c>
    </row>
    <row r="59" ht="11.25" customHeight="1">
      <c r="B59" s="27" t="s">
        <v>86</v>
      </c>
      <c r="D59" s="27" t="s">
        <v>137</v>
      </c>
      <c r="G59" s="27" t="s">
        <v>138</v>
      </c>
      <c r="H59" s="27" t="s">
        <v>21</v>
      </c>
      <c r="L59" s="28">
        <v>100.0</v>
      </c>
      <c r="N59" s="29">
        <v>1.0</v>
      </c>
      <c r="P59" s="29"/>
      <c r="Q59" s="30">
        <v>1163.04616</v>
      </c>
      <c r="R59" s="29">
        <v>20.0</v>
      </c>
      <c r="S59" s="38">
        <v>20.0</v>
      </c>
    </row>
    <row r="60" ht="11.25" customHeight="1">
      <c r="B60" s="27" t="s">
        <v>86</v>
      </c>
      <c r="D60" s="27" t="s">
        <v>139</v>
      </c>
      <c r="G60" s="27" t="s">
        <v>140</v>
      </c>
      <c r="H60" s="27" t="s">
        <v>21</v>
      </c>
      <c r="L60" s="28">
        <v>100.0</v>
      </c>
      <c r="N60" s="29">
        <v>1.0</v>
      </c>
      <c r="P60" s="29"/>
      <c r="Q60" s="30">
        <v>1054.5763</v>
      </c>
      <c r="R60" s="29">
        <v>20.0</v>
      </c>
      <c r="S60" s="38">
        <v>20.0</v>
      </c>
    </row>
    <row r="61" ht="11.25" customHeight="1">
      <c r="B61" s="27" t="s">
        <v>86</v>
      </c>
      <c r="D61" s="27" t="s">
        <v>141</v>
      </c>
      <c r="G61" s="27" t="s">
        <v>142</v>
      </c>
      <c r="H61" s="27" t="s">
        <v>21</v>
      </c>
      <c r="L61" s="28">
        <v>100.0</v>
      </c>
      <c r="N61" s="29">
        <v>1.0</v>
      </c>
      <c r="P61" s="29"/>
      <c r="Q61" s="30">
        <v>396.98332</v>
      </c>
      <c r="R61" s="29">
        <v>20.0</v>
      </c>
      <c r="S61" s="38">
        <v>20.0</v>
      </c>
    </row>
    <row r="62" ht="11.25" customHeight="1">
      <c r="B62" s="27" t="s">
        <v>86</v>
      </c>
      <c r="D62" s="27" t="s">
        <v>143</v>
      </c>
      <c r="G62" s="27" t="s">
        <v>144</v>
      </c>
      <c r="H62" s="27" t="s">
        <v>21</v>
      </c>
      <c r="L62" s="28">
        <v>100.0</v>
      </c>
      <c r="N62" s="29">
        <v>1.0</v>
      </c>
      <c r="P62" s="29"/>
      <c r="Q62" s="30">
        <v>1009.14142</v>
      </c>
      <c r="R62" s="29">
        <v>20.0</v>
      </c>
      <c r="S62" s="38">
        <v>20.0</v>
      </c>
    </row>
    <row r="63" ht="11.25" customHeight="1">
      <c r="B63" s="27" t="s">
        <v>86</v>
      </c>
      <c r="D63" s="27" t="s">
        <v>145</v>
      </c>
      <c r="G63" s="27" t="s">
        <v>146</v>
      </c>
      <c r="H63" s="27" t="s">
        <v>21</v>
      </c>
      <c r="L63" s="28">
        <v>100.0</v>
      </c>
      <c r="N63" s="29">
        <v>2.0</v>
      </c>
      <c r="P63" s="29"/>
      <c r="Q63" s="30">
        <v>2165.98564</v>
      </c>
      <c r="R63" s="29">
        <v>20.0</v>
      </c>
      <c r="S63" s="38">
        <v>40.0</v>
      </c>
    </row>
    <row r="64" ht="11.25" customHeight="1">
      <c r="B64" s="27" t="s">
        <v>86</v>
      </c>
      <c r="D64" s="27" t="s">
        <v>147</v>
      </c>
      <c r="G64" s="27" t="s">
        <v>148</v>
      </c>
      <c r="H64" s="27" t="s">
        <v>21</v>
      </c>
      <c r="L64" s="28">
        <v>100.0</v>
      </c>
      <c r="N64" s="29">
        <v>1.0</v>
      </c>
      <c r="P64" s="29"/>
      <c r="Q64" s="30">
        <v>1052.17046</v>
      </c>
      <c r="R64" s="29">
        <v>20.0</v>
      </c>
      <c r="S64" s="38">
        <v>20.0</v>
      </c>
    </row>
    <row r="65" ht="11.25" customHeight="1">
      <c r="B65" s="27" t="s">
        <v>86</v>
      </c>
      <c r="D65" s="27" t="s">
        <v>149</v>
      </c>
      <c r="G65" s="27" t="s">
        <v>150</v>
      </c>
      <c r="H65" s="27" t="s">
        <v>21</v>
      </c>
      <c r="L65" s="28">
        <v>100.0</v>
      </c>
      <c r="N65" s="29">
        <v>1.0</v>
      </c>
      <c r="P65" s="29"/>
      <c r="Q65" s="30">
        <v>904.46766</v>
      </c>
      <c r="R65" s="29">
        <v>20.0</v>
      </c>
      <c r="S65" s="38">
        <v>20.0</v>
      </c>
    </row>
    <row r="66" ht="11.25" customHeight="1">
      <c r="B66" s="27" t="s">
        <v>86</v>
      </c>
      <c r="D66" s="27" t="s">
        <v>151</v>
      </c>
      <c r="G66" s="27" t="s">
        <v>152</v>
      </c>
      <c r="H66" s="27" t="s">
        <v>21</v>
      </c>
      <c r="L66" s="28">
        <v>100.0</v>
      </c>
      <c r="N66" s="29">
        <v>1.0</v>
      </c>
      <c r="P66" s="29"/>
      <c r="Q66" s="30">
        <v>944.7359</v>
      </c>
      <c r="R66" s="29">
        <v>20.0</v>
      </c>
      <c r="S66" s="38">
        <v>20.0</v>
      </c>
    </row>
    <row r="67" ht="11.25" customHeight="1">
      <c r="B67" s="27" t="s">
        <v>86</v>
      </c>
      <c r="D67" s="27" t="s">
        <v>153</v>
      </c>
      <c r="G67" s="27" t="s">
        <v>154</v>
      </c>
      <c r="H67" s="27" t="s">
        <v>21</v>
      </c>
      <c r="L67" s="28">
        <v>100.0</v>
      </c>
      <c r="N67" s="29">
        <v>1.0</v>
      </c>
      <c r="P67" s="29"/>
      <c r="Q67" s="30">
        <v>1113.81518</v>
      </c>
      <c r="R67" s="29">
        <v>20.0</v>
      </c>
      <c r="S67" s="38">
        <v>20.0</v>
      </c>
    </row>
    <row r="68" ht="11.25" customHeight="1">
      <c r="B68" s="27" t="s">
        <v>86</v>
      </c>
      <c r="D68" s="27" t="s">
        <v>155</v>
      </c>
      <c r="G68" s="27" t="s">
        <v>156</v>
      </c>
      <c r="H68" s="27" t="s">
        <v>21</v>
      </c>
      <c r="L68" s="28">
        <v>100.0</v>
      </c>
      <c r="N68" s="29">
        <v>1.0</v>
      </c>
      <c r="P68" s="29"/>
      <c r="Q68" s="30">
        <v>335.90062</v>
      </c>
      <c r="R68" s="29">
        <v>20.0</v>
      </c>
      <c r="S68" s="38">
        <v>20.0</v>
      </c>
    </row>
    <row r="69" ht="11.25" customHeight="1">
      <c r="B69" s="27" t="s">
        <v>86</v>
      </c>
      <c r="D69" s="27" t="s">
        <v>157</v>
      </c>
      <c r="G69" s="27" t="s">
        <v>158</v>
      </c>
      <c r="H69" s="27" t="s">
        <v>21</v>
      </c>
      <c r="L69" s="28">
        <v>100.0</v>
      </c>
      <c r="N69" s="29">
        <v>5.0</v>
      </c>
      <c r="P69" s="29"/>
      <c r="Q69" s="30">
        <v>1905.08018</v>
      </c>
      <c r="R69" s="29">
        <v>20.0</v>
      </c>
      <c r="S69" s="38">
        <v>100.0</v>
      </c>
    </row>
    <row r="70" ht="11.25" customHeight="1">
      <c r="B70" s="27" t="s">
        <v>86</v>
      </c>
      <c r="D70" s="27" t="s">
        <v>159</v>
      </c>
      <c r="G70" s="27" t="s">
        <v>160</v>
      </c>
      <c r="H70" s="27" t="s">
        <v>21</v>
      </c>
      <c r="L70" s="28">
        <v>100.0</v>
      </c>
      <c r="N70" s="29">
        <v>1.0</v>
      </c>
      <c r="P70" s="29"/>
      <c r="Q70" s="30">
        <v>904.46766</v>
      </c>
      <c r="R70" s="29">
        <v>20.0</v>
      </c>
      <c r="S70" s="38">
        <v>20.0</v>
      </c>
    </row>
    <row r="71" ht="11.25" customHeight="1">
      <c r="B71" s="27" t="s">
        <v>86</v>
      </c>
      <c r="D71" s="27" t="s">
        <v>161</v>
      </c>
      <c r="G71" s="27" t="s">
        <v>162</v>
      </c>
      <c r="H71" s="27" t="s">
        <v>21</v>
      </c>
      <c r="L71" s="28">
        <v>100.0</v>
      </c>
      <c r="N71" s="29">
        <v>2.0</v>
      </c>
      <c r="P71" s="29"/>
      <c r="Q71" s="30">
        <v>2017.19824</v>
      </c>
      <c r="R71" s="29">
        <v>20.0</v>
      </c>
      <c r="S71" s="38">
        <v>40.0</v>
      </c>
    </row>
    <row r="72" ht="11.25" customHeight="1">
      <c r="B72" s="27" t="s">
        <v>86</v>
      </c>
      <c r="D72" s="27" t="s">
        <v>163</v>
      </c>
      <c r="G72" s="27" t="s">
        <v>164</v>
      </c>
      <c r="H72" s="27" t="s">
        <v>21</v>
      </c>
      <c r="L72" s="28">
        <v>100.0</v>
      </c>
      <c r="N72" s="29">
        <v>1.0</v>
      </c>
      <c r="P72" s="29"/>
      <c r="Q72" s="30">
        <v>1052.17046</v>
      </c>
      <c r="R72" s="29">
        <v>20.0</v>
      </c>
      <c r="S72" s="38">
        <v>20.0</v>
      </c>
    </row>
    <row r="73" ht="11.25" customHeight="1">
      <c r="B73" s="27" t="s">
        <v>86</v>
      </c>
      <c r="D73" s="27" t="s">
        <v>165</v>
      </c>
      <c r="G73" s="27" t="s">
        <v>166</v>
      </c>
      <c r="H73" s="27" t="s">
        <v>21</v>
      </c>
      <c r="L73" s="28">
        <v>100.0</v>
      </c>
      <c r="N73" s="29">
        <v>1.0</v>
      </c>
      <c r="P73" s="29"/>
      <c r="Q73" s="30">
        <v>1144.44034</v>
      </c>
      <c r="R73" s="29">
        <v>20.0</v>
      </c>
      <c r="S73" s="38">
        <v>20.0</v>
      </c>
    </row>
    <row r="74" ht="11.25" customHeight="1">
      <c r="B74" s="27" t="s">
        <v>86</v>
      </c>
      <c r="D74" s="27" t="s">
        <v>167</v>
      </c>
      <c r="G74" s="27" t="s">
        <v>168</v>
      </c>
      <c r="H74" s="27" t="s">
        <v>21</v>
      </c>
      <c r="L74" s="28">
        <v>100.0</v>
      </c>
      <c r="N74" s="29">
        <v>6.0</v>
      </c>
      <c r="P74" s="29"/>
      <c r="Q74" s="30">
        <v>2789.76868</v>
      </c>
      <c r="R74" s="29">
        <v>20.0</v>
      </c>
      <c r="S74" s="38">
        <v>120.0</v>
      </c>
    </row>
    <row r="75" ht="11.25" customHeight="1">
      <c r="B75" s="27" t="s">
        <v>86</v>
      </c>
      <c r="D75" s="27" t="s">
        <v>169</v>
      </c>
      <c r="G75" s="27" t="s">
        <v>170</v>
      </c>
      <c r="H75" s="27" t="s">
        <v>21</v>
      </c>
      <c r="L75" s="28">
        <v>100.0</v>
      </c>
      <c r="N75" s="29">
        <v>1.0</v>
      </c>
      <c r="P75" s="29"/>
      <c r="Q75" s="30">
        <v>108.00644</v>
      </c>
      <c r="R75" s="29">
        <v>19.0</v>
      </c>
      <c r="S75" s="38">
        <v>19.0</v>
      </c>
    </row>
    <row r="76" ht="11.25" customHeight="1">
      <c r="B76" s="27" t="s">
        <v>86</v>
      </c>
      <c r="D76" s="27" t="s">
        <v>171</v>
      </c>
      <c r="G76" s="27" t="s">
        <v>172</v>
      </c>
      <c r="H76" s="27" t="s">
        <v>21</v>
      </c>
      <c r="L76" s="28">
        <v>100.0</v>
      </c>
      <c r="N76" s="29">
        <v>1.0</v>
      </c>
      <c r="P76" s="29"/>
      <c r="Q76" s="30">
        <v>987.81424</v>
      </c>
      <c r="R76" s="29">
        <v>20.0</v>
      </c>
      <c r="S76" s="38">
        <v>20.0</v>
      </c>
    </row>
    <row r="77" ht="11.25" customHeight="1">
      <c r="B77" s="27" t="s">
        <v>86</v>
      </c>
      <c r="D77" s="27" t="s">
        <v>173</v>
      </c>
      <c r="G77" s="27" t="s">
        <v>174</v>
      </c>
      <c r="H77" s="27" t="s">
        <v>21</v>
      </c>
      <c r="L77" s="28">
        <v>100.0</v>
      </c>
      <c r="N77" s="29">
        <v>1.0</v>
      </c>
      <c r="P77" s="29"/>
      <c r="Q77" s="30">
        <v>269.44422</v>
      </c>
      <c r="R77" s="29">
        <v>19.0</v>
      </c>
      <c r="S77" s="38">
        <v>19.0</v>
      </c>
    </row>
    <row r="78" ht="11.25" customHeight="1">
      <c r="B78" s="27" t="s">
        <v>86</v>
      </c>
      <c r="D78" s="27" t="s">
        <v>175</v>
      </c>
      <c r="G78" s="27" t="s">
        <v>176</v>
      </c>
      <c r="H78" s="27" t="s">
        <v>21</v>
      </c>
      <c r="L78" s="28">
        <v>100.0</v>
      </c>
      <c r="N78" s="29">
        <v>1.0</v>
      </c>
      <c r="P78" s="29"/>
      <c r="Q78" s="30">
        <v>101.98198</v>
      </c>
      <c r="R78" s="29">
        <v>19.0</v>
      </c>
      <c r="S78" s="38">
        <v>19.0</v>
      </c>
    </row>
    <row r="79" ht="11.25" customHeight="1">
      <c r="B79" s="27" t="s">
        <v>86</v>
      </c>
      <c r="D79" s="27" t="s">
        <v>177</v>
      </c>
      <c r="G79" s="27" t="s">
        <v>178</v>
      </c>
      <c r="H79" s="27" t="s">
        <v>21</v>
      </c>
      <c r="L79" s="28">
        <v>100.0</v>
      </c>
      <c r="N79" s="29">
        <v>1.0</v>
      </c>
      <c r="P79" s="29"/>
      <c r="Q79" s="30">
        <v>1144.44034</v>
      </c>
      <c r="R79" s="29">
        <v>20.0</v>
      </c>
      <c r="S79" s="38">
        <v>20.0</v>
      </c>
    </row>
    <row r="80" ht="11.25" customHeight="1">
      <c r="B80" s="27" t="s">
        <v>86</v>
      </c>
      <c r="D80" s="27" t="s">
        <v>179</v>
      </c>
      <c r="G80" s="27" t="s">
        <v>180</v>
      </c>
      <c r="H80" s="27" t="s">
        <v>21</v>
      </c>
      <c r="L80" s="28">
        <v>100.0</v>
      </c>
      <c r="N80" s="29">
        <v>1.0</v>
      </c>
      <c r="P80" s="29"/>
      <c r="Q80" s="30">
        <v>987.81424</v>
      </c>
      <c r="R80" s="29">
        <v>20.0</v>
      </c>
      <c r="S80" s="38">
        <v>20.0</v>
      </c>
    </row>
    <row r="81" ht="11.25" customHeight="1">
      <c r="B81" s="27" t="s">
        <v>86</v>
      </c>
      <c r="D81" s="27" t="s">
        <v>181</v>
      </c>
      <c r="G81" s="27" t="s">
        <v>182</v>
      </c>
      <c r="H81" s="27" t="s">
        <v>21</v>
      </c>
      <c r="L81" s="28">
        <v>100.0</v>
      </c>
      <c r="N81" s="29">
        <v>1.0</v>
      </c>
      <c r="P81" s="29"/>
      <c r="Q81" s="30">
        <v>471.19954</v>
      </c>
      <c r="R81" s="29">
        <v>19.0</v>
      </c>
      <c r="S81" s="38">
        <v>19.0</v>
      </c>
    </row>
    <row r="82" ht="11.25" customHeight="1">
      <c r="B82" s="27" t="s">
        <v>86</v>
      </c>
      <c r="D82" s="27" t="s">
        <v>183</v>
      </c>
      <c r="G82" s="27" t="s">
        <v>184</v>
      </c>
      <c r="H82" s="27" t="s">
        <v>21</v>
      </c>
      <c r="L82" s="28">
        <v>100.0</v>
      </c>
      <c r="N82" s="29">
        <v>1.0</v>
      </c>
      <c r="P82" s="29"/>
      <c r="Q82" s="30">
        <v>178.0223</v>
      </c>
      <c r="R82" s="29">
        <v>19.0</v>
      </c>
      <c r="S82" s="38">
        <v>19.0</v>
      </c>
    </row>
    <row r="83" ht="11.25" customHeight="1">
      <c r="B83" s="27" t="s">
        <v>86</v>
      </c>
      <c r="D83" s="27" t="s">
        <v>185</v>
      </c>
      <c r="G83" s="27" t="s">
        <v>186</v>
      </c>
      <c r="H83" s="27" t="s">
        <v>21</v>
      </c>
      <c r="L83" s="28">
        <v>100.0</v>
      </c>
      <c r="N83" s="29">
        <v>1.0</v>
      </c>
      <c r="P83" s="29"/>
      <c r="Q83" s="30">
        <v>387.68534</v>
      </c>
      <c r="R83" s="29">
        <v>20.0</v>
      </c>
      <c r="S83" s="38">
        <v>20.0</v>
      </c>
    </row>
    <row r="84" ht="11.25" customHeight="1">
      <c r="B84" s="27" t="s">
        <v>86</v>
      </c>
      <c r="D84" s="27" t="s">
        <v>187</v>
      </c>
      <c r="G84" s="27" t="s">
        <v>188</v>
      </c>
      <c r="H84" s="27" t="s">
        <v>21</v>
      </c>
      <c r="L84" s="28">
        <v>100.0</v>
      </c>
      <c r="N84" s="29">
        <v>1.0</v>
      </c>
      <c r="P84" s="29"/>
      <c r="Q84" s="30">
        <v>470.64738</v>
      </c>
      <c r="R84" s="29">
        <v>20.0</v>
      </c>
      <c r="S84" s="38">
        <v>20.0</v>
      </c>
    </row>
    <row r="85" ht="11.25" customHeight="1">
      <c r="B85" s="27" t="s">
        <v>86</v>
      </c>
      <c r="D85" s="27" t="s">
        <v>189</v>
      </c>
      <c r="G85" s="27" t="s">
        <v>190</v>
      </c>
      <c r="H85" s="27" t="s">
        <v>21</v>
      </c>
      <c r="L85" s="28">
        <v>100.0</v>
      </c>
      <c r="N85" s="29">
        <v>1.0</v>
      </c>
      <c r="P85" s="29"/>
      <c r="Q85" s="30">
        <v>987.81424</v>
      </c>
      <c r="R85" s="29">
        <v>20.0</v>
      </c>
      <c r="S85" s="38">
        <v>20.0</v>
      </c>
    </row>
    <row r="86" ht="11.25" customHeight="1">
      <c r="B86" s="27" t="s">
        <v>86</v>
      </c>
      <c r="D86" s="27" t="s">
        <v>191</v>
      </c>
      <c r="G86" s="27" t="s">
        <v>192</v>
      </c>
      <c r="H86" s="27" t="s">
        <v>21</v>
      </c>
      <c r="L86" s="28">
        <v>100.0</v>
      </c>
      <c r="N86" s="29">
        <v>1.0</v>
      </c>
      <c r="P86" s="29"/>
      <c r="Q86" s="30">
        <v>144.0053</v>
      </c>
      <c r="R86" s="29">
        <v>19.0</v>
      </c>
      <c r="S86" s="38">
        <v>19.0</v>
      </c>
    </row>
    <row r="87" ht="11.25" customHeight="1">
      <c r="B87" s="27" t="s">
        <v>86</v>
      </c>
      <c r="D87" s="27" t="s">
        <v>193</v>
      </c>
      <c r="G87" s="27" t="s">
        <v>194</v>
      </c>
      <c r="H87" s="27" t="s">
        <v>21</v>
      </c>
      <c r="L87" s="28">
        <v>100.0</v>
      </c>
      <c r="N87" s="29">
        <v>1.0</v>
      </c>
      <c r="P87" s="29"/>
      <c r="Q87" s="30">
        <v>1144.44034</v>
      </c>
      <c r="R87" s="29">
        <v>20.0</v>
      </c>
      <c r="S87" s="38">
        <v>20.0</v>
      </c>
    </row>
    <row r="88" ht="11.25" customHeight="1">
      <c r="B88" s="27" t="s">
        <v>86</v>
      </c>
      <c r="D88" s="27" t="s">
        <v>195</v>
      </c>
      <c r="G88" s="27" t="s">
        <v>196</v>
      </c>
      <c r="H88" s="27" t="s">
        <v>21</v>
      </c>
      <c r="L88" s="28">
        <v>100.0</v>
      </c>
      <c r="N88" s="29">
        <v>5.0</v>
      </c>
      <c r="P88" s="29"/>
      <c r="Q88" s="30">
        <v>2619.95976</v>
      </c>
      <c r="R88" s="29">
        <v>20.0</v>
      </c>
      <c r="S88" s="38">
        <v>100.0</v>
      </c>
    </row>
    <row r="89" ht="11.25" customHeight="1">
      <c r="B89" s="27" t="s">
        <v>86</v>
      </c>
      <c r="D89" s="27" t="s">
        <v>197</v>
      </c>
      <c r="G89" s="27" t="s">
        <v>198</v>
      </c>
      <c r="H89" s="27" t="s">
        <v>21</v>
      </c>
      <c r="L89" s="28">
        <v>100.0</v>
      </c>
      <c r="N89" s="29">
        <v>1.0</v>
      </c>
      <c r="P89" s="29"/>
      <c r="Q89" s="30">
        <v>187.79356</v>
      </c>
      <c r="R89" s="29">
        <v>19.0</v>
      </c>
      <c r="S89" s="38">
        <v>19.0</v>
      </c>
    </row>
    <row r="90" ht="11.25" customHeight="1">
      <c r="B90" s="27" t="s">
        <v>86</v>
      </c>
      <c r="D90" s="27" t="s">
        <v>199</v>
      </c>
      <c r="G90" s="27" t="s">
        <v>200</v>
      </c>
      <c r="H90" s="27" t="s">
        <v>21</v>
      </c>
      <c r="L90" s="28">
        <v>100.0</v>
      </c>
      <c r="N90" s="29">
        <v>3.0</v>
      </c>
      <c r="P90" s="29"/>
      <c r="Q90" s="30">
        <v>1415.81712</v>
      </c>
      <c r="R90" s="29">
        <v>20.0</v>
      </c>
      <c r="S90" s="38">
        <v>60.0</v>
      </c>
    </row>
    <row r="91" ht="11.25" customHeight="1">
      <c r="B91" s="27" t="s">
        <v>86</v>
      </c>
      <c r="D91" s="27" t="s">
        <v>201</v>
      </c>
      <c r="G91" s="27" t="s">
        <v>202</v>
      </c>
      <c r="H91" s="27" t="s">
        <v>21</v>
      </c>
      <c r="L91" s="28">
        <v>100.0</v>
      </c>
      <c r="N91" s="29">
        <v>2.0</v>
      </c>
      <c r="P91" s="29"/>
      <c r="Q91" s="30">
        <v>1125.97256</v>
      </c>
      <c r="R91" s="29">
        <v>20.0</v>
      </c>
      <c r="S91" s="38">
        <v>40.0</v>
      </c>
    </row>
    <row r="92" ht="11.25" customHeight="1">
      <c r="B92" s="27" t="s">
        <v>86</v>
      </c>
      <c r="D92" s="27" t="s">
        <v>203</v>
      </c>
      <c r="G92" s="27" t="s">
        <v>204</v>
      </c>
      <c r="H92" s="27" t="s">
        <v>21</v>
      </c>
      <c r="L92" s="28">
        <v>100.0</v>
      </c>
      <c r="N92" s="29">
        <v>1.0</v>
      </c>
      <c r="P92" s="29"/>
      <c r="Q92" s="30">
        <v>364.81014</v>
      </c>
      <c r="R92" s="29">
        <v>20.0</v>
      </c>
      <c r="S92" s="38">
        <v>20.0</v>
      </c>
    </row>
    <row r="93" ht="11.25" customHeight="1">
      <c r="B93" s="27" t="s">
        <v>86</v>
      </c>
      <c r="D93" s="27" t="s">
        <v>205</v>
      </c>
      <c r="G93" s="27" t="s">
        <v>206</v>
      </c>
      <c r="H93" s="27" t="s">
        <v>21</v>
      </c>
      <c r="L93" s="28">
        <v>100.0</v>
      </c>
      <c r="N93" s="29">
        <v>1.0</v>
      </c>
      <c r="P93" s="29"/>
      <c r="Q93" s="30">
        <v>1221.0131</v>
      </c>
      <c r="R93" s="29">
        <v>20.0</v>
      </c>
      <c r="S93" s="38">
        <v>20.0</v>
      </c>
    </row>
    <row r="94" ht="11.25" customHeight="1">
      <c r="B94" s="27" t="s">
        <v>86</v>
      </c>
      <c r="D94" s="27" t="s">
        <v>207</v>
      </c>
      <c r="G94" s="27" t="s">
        <v>208</v>
      </c>
      <c r="H94" s="27" t="s">
        <v>21</v>
      </c>
      <c r="L94" s="28">
        <v>100.0</v>
      </c>
      <c r="N94" s="29">
        <v>1.0</v>
      </c>
      <c r="P94" s="29"/>
      <c r="Q94" s="30">
        <v>414.67216</v>
      </c>
      <c r="R94" s="29">
        <v>19.0</v>
      </c>
      <c r="S94" s="38">
        <v>19.0</v>
      </c>
    </row>
    <row r="95" ht="11.25" customHeight="1">
      <c r="B95" s="27" t="s">
        <v>86</v>
      </c>
      <c r="D95" s="27" t="s">
        <v>209</v>
      </c>
      <c r="G95" s="27" t="s">
        <v>210</v>
      </c>
      <c r="H95" s="27" t="s">
        <v>21</v>
      </c>
      <c r="L95" s="28">
        <v>100.0</v>
      </c>
      <c r="N95" s="29">
        <v>1.0</v>
      </c>
      <c r="P95" s="29"/>
      <c r="Q95" s="30">
        <v>472.66868</v>
      </c>
      <c r="R95" s="29">
        <v>20.0</v>
      </c>
      <c r="S95" s="38">
        <v>20.0</v>
      </c>
    </row>
    <row r="96" ht="11.25" customHeight="1">
      <c r="B96" s="27" t="s">
        <v>212</v>
      </c>
      <c r="D96" s="27" t="s">
        <v>213</v>
      </c>
      <c r="G96" s="27" t="s">
        <v>214</v>
      </c>
      <c r="H96" s="27" t="s">
        <v>21</v>
      </c>
      <c r="L96" s="28">
        <v>100.0</v>
      </c>
      <c r="N96" s="29">
        <v>2.0</v>
      </c>
      <c r="P96" s="29"/>
      <c r="Q96" s="30">
        <v>1696.96516</v>
      </c>
      <c r="R96" s="29">
        <v>20.0</v>
      </c>
      <c r="S96" s="38">
        <v>40.0</v>
      </c>
    </row>
    <row r="97" ht="11.25" customHeight="1">
      <c r="B97" s="27" t="s">
        <v>215</v>
      </c>
      <c r="D97" s="27" t="s">
        <v>216</v>
      </c>
      <c r="G97" s="27" t="s">
        <v>217</v>
      </c>
      <c r="H97" s="27" t="s">
        <v>21</v>
      </c>
      <c r="L97" s="28">
        <v>100.0</v>
      </c>
      <c r="N97" s="29">
        <v>1.0</v>
      </c>
      <c r="P97" s="29"/>
      <c r="Q97" s="30">
        <v>354.49658</v>
      </c>
      <c r="R97" s="29">
        <v>20.0</v>
      </c>
      <c r="S97" s="38">
        <v>20.0</v>
      </c>
    </row>
    <row r="98" ht="11.25" customHeight="1">
      <c r="B98" s="27" t="s">
        <v>33</v>
      </c>
      <c r="D98" s="27" t="s">
        <v>218</v>
      </c>
      <c r="G98" s="27" t="s">
        <v>219</v>
      </c>
      <c r="H98" s="27" t="s">
        <v>21</v>
      </c>
      <c r="L98" s="28">
        <v>100.0</v>
      </c>
      <c r="N98" s="29">
        <v>1.0</v>
      </c>
      <c r="P98" s="29"/>
      <c r="Q98" s="30">
        <v>1659.3394</v>
      </c>
      <c r="R98" s="29">
        <v>20.0</v>
      </c>
      <c r="S98" s="38">
        <v>20.0</v>
      </c>
    </row>
    <row r="99" ht="11.25" customHeight="1">
      <c r="B99" s="27" t="s">
        <v>33</v>
      </c>
      <c r="D99" s="27" t="s">
        <v>220</v>
      </c>
      <c r="G99" s="27" t="s">
        <v>221</v>
      </c>
      <c r="H99" s="27" t="s">
        <v>21</v>
      </c>
      <c r="L99" s="28">
        <v>100.0</v>
      </c>
      <c r="N99" s="29">
        <v>1.0</v>
      </c>
      <c r="P99" s="29"/>
      <c r="Q99" s="30">
        <v>259.04192</v>
      </c>
      <c r="R99" s="29">
        <v>20.0</v>
      </c>
      <c r="S99" s="38">
        <v>20.0</v>
      </c>
    </row>
    <row r="100" ht="11.25" customHeight="1">
      <c r="B100" s="27" t="s">
        <v>33</v>
      </c>
      <c r="D100" s="27" t="s">
        <v>222</v>
      </c>
      <c r="G100" s="27" t="s">
        <v>223</v>
      </c>
      <c r="H100" s="27" t="s">
        <v>21</v>
      </c>
      <c r="L100" s="28">
        <v>100.0</v>
      </c>
      <c r="N100" s="29">
        <v>1.0</v>
      </c>
      <c r="P100" s="29"/>
      <c r="Q100" s="30">
        <v>972.85662</v>
      </c>
      <c r="R100" s="29">
        <v>20.0</v>
      </c>
      <c r="S100" s="38">
        <v>20.0</v>
      </c>
    </row>
    <row r="101" ht="11.25" customHeight="1">
      <c r="B101" s="27" t="s">
        <v>33</v>
      </c>
      <c r="D101" s="27" t="s">
        <v>224</v>
      </c>
      <c r="G101" s="27" t="s">
        <v>225</v>
      </c>
      <c r="H101" s="27" t="s">
        <v>21</v>
      </c>
      <c r="L101" s="28">
        <v>100.0</v>
      </c>
      <c r="N101" s="29">
        <v>1.0</v>
      </c>
      <c r="P101" s="29"/>
      <c r="Q101" s="30">
        <v>986.79866</v>
      </c>
      <c r="R101" s="29">
        <v>20.0</v>
      </c>
      <c r="S101" s="38">
        <v>20.0</v>
      </c>
    </row>
    <row r="102" ht="11.25" customHeight="1">
      <c r="B102" s="27" t="s">
        <v>33</v>
      </c>
      <c r="D102" s="27" t="s">
        <v>226</v>
      </c>
      <c r="G102" s="27" t="s">
        <v>227</v>
      </c>
      <c r="H102" s="27" t="s">
        <v>21</v>
      </c>
      <c r="L102" s="28">
        <v>100.0</v>
      </c>
      <c r="N102" s="29">
        <v>1.0</v>
      </c>
      <c r="P102" s="29"/>
      <c r="Q102" s="30">
        <v>1036.67054</v>
      </c>
      <c r="R102" s="29">
        <v>20.0</v>
      </c>
      <c r="S102" s="38">
        <v>20.0</v>
      </c>
    </row>
    <row r="103" ht="11.25" customHeight="1">
      <c r="B103" s="27" t="s">
        <v>33</v>
      </c>
      <c r="D103" s="27" t="s">
        <v>228</v>
      </c>
      <c r="G103" s="27" t="s">
        <v>229</v>
      </c>
      <c r="H103" s="27" t="s">
        <v>21</v>
      </c>
      <c r="L103" s="28">
        <v>100.0</v>
      </c>
      <c r="N103" s="29">
        <v>1.0</v>
      </c>
      <c r="P103" s="29"/>
      <c r="Q103" s="30">
        <v>384.33294</v>
      </c>
      <c r="R103" s="29">
        <v>20.0</v>
      </c>
      <c r="S103" s="38">
        <v>20.0</v>
      </c>
    </row>
    <row r="104" ht="11.25" customHeight="1">
      <c r="B104" s="27" t="s">
        <v>33</v>
      </c>
      <c r="D104" s="27" t="s">
        <v>230</v>
      </c>
      <c r="G104" s="27" t="s">
        <v>231</v>
      </c>
      <c r="H104" s="27" t="s">
        <v>21</v>
      </c>
      <c r="L104" s="28">
        <v>100.0</v>
      </c>
      <c r="N104" s="29">
        <v>2.0</v>
      </c>
      <c r="P104" s="29"/>
      <c r="Q104" s="30">
        <v>734.03756</v>
      </c>
      <c r="R104" s="29">
        <v>20.0</v>
      </c>
      <c r="S104" s="38">
        <v>40.0</v>
      </c>
    </row>
    <row r="105" ht="11.25" customHeight="1">
      <c r="B105" s="27" t="s">
        <v>33</v>
      </c>
      <c r="D105" s="27" t="s">
        <v>232</v>
      </c>
      <c r="G105" s="27" t="s">
        <v>233</v>
      </c>
      <c r="H105" s="27" t="s">
        <v>21</v>
      </c>
      <c r="L105" s="28">
        <v>100.0</v>
      </c>
      <c r="N105" s="29">
        <v>2.0</v>
      </c>
      <c r="P105" s="29"/>
      <c r="Q105" s="30">
        <v>1279.9759</v>
      </c>
      <c r="R105" s="29">
        <v>20.0</v>
      </c>
      <c r="S105" s="38">
        <v>40.0</v>
      </c>
    </row>
    <row r="106" ht="11.25" customHeight="1">
      <c r="B106" s="27" t="s">
        <v>33</v>
      </c>
      <c r="D106" s="27" t="s">
        <v>234</v>
      </c>
      <c r="G106" s="27" t="s">
        <v>235</v>
      </c>
      <c r="H106" s="27" t="s">
        <v>21</v>
      </c>
      <c r="L106" s="28">
        <v>100.0</v>
      </c>
      <c r="N106" s="29">
        <v>4.0</v>
      </c>
      <c r="P106" s="29"/>
      <c r="Q106" s="30">
        <v>1654.8038</v>
      </c>
      <c r="R106" s="29">
        <v>20.0</v>
      </c>
      <c r="S106" s="38">
        <v>80.0</v>
      </c>
    </row>
    <row r="107" ht="11.25" customHeight="1">
      <c r="B107" s="27" t="s">
        <v>33</v>
      </c>
      <c r="D107" s="27" t="s">
        <v>236</v>
      </c>
      <c r="G107" s="27" t="s">
        <v>237</v>
      </c>
      <c r="H107" s="27" t="s">
        <v>21</v>
      </c>
      <c r="L107" s="28">
        <v>100.0</v>
      </c>
      <c r="N107" s="29">
        <v>1.0</v>
      </c>
      <c r="P107" s="29"/>
      <c r="Q107" s="30">
        <v>1090.52586</v>
      </c>
      <c r="R107" s="29">
        <v>20.0</v>
      </c>
      <c r="S107" s="38">
        <v>20.0</v>
      </c>
    </row>
    <row r="108" ht="11.25" customHeight="1">
      <c r="B108" s="27" t="s">
        <v>33</v>
      </c>
      <c r="D108" s="27" t="s">
        <v>238</v>
      </c>
      <c r="G108" s="27" t="s">
        <v>239</v>
      </c>
      <c r="H108" s="27" t="s">
        <v>21</v>
      </c>
      <c r="L108" s="28">
        <v>100.0</v>
      </c>
      <c r="N108" s="29">
        <v>2.0</v>
      </c>
      <c r="P108" s="29"/>
      <c r="Q108" s="30">
        <v>2848.69204</v>
      </c>
      <c r="R108" s="29">
        <v>20.0</v>
      </c>
      <c r="S108" s="38">
        <v>40.0</v>
      </c>
    </row>
    <row r="109" ht="11.25" customHeight="1">
      <c r="B109" s="27" t="s">
        <v>33</v>
      </c>
      <c r="D109" s="27" t="s">
        <v>240</v>
      </c>
      <c r="G109" s="27" t="s">
        <v>241</v>
      </c>
      <c r="H109" s="27" t="s">
        <v>21</v>
      </c>
      <c r="L109" s="28">
        <v>100.0</v>
      </c>
      <c r="N109" s="29">
        <v>4.0</v>
      </c>
      <c r="P109" s="29"/>
      <c r="Q109" s="30">
        <v>1653.79808</v>
      </c>
      <c r="R109" s="29">
        <v>20.0</v>
      </c>
      <c r="S109" s="38">
        <v>80.0</v>
      </c>
    </row>
    <row r="110" ht="11.25" customHeight="1">
      <c r="B110" s="27" t="s">
        <v>33</v>
      </c>
      <c r="D110" s="27" t="s">
        <v>242</v>
      </c>
      <c r="G110" s="27" t="s">
        <v>243</v>
      </c>
      <c r="H110" s="27" t="s">
        <v>21</v>
      </c>
      <c r="L110" s="28">
        <v>100.0</v>
      </c>
      <c r="N110" s="29">
        <v>1.0</v>
      </c>
      <c r="P110" s="29"/>
      <c r="Q110" s="30">
        <v>273.32906</v>
      </c>
      <c r="R110" s="29">
        <v>19.0</v>
      </c>
      <c r="S110" s="38">
        <v>19.0</v>
      </c>
    </row>
    <row r="111" ht="11.25" customHeight="1">
      <c r="B111" s="27" t="s">
        <v>33</v>
      </c>
      <c r="D111" s="27" t="s">
        <v>244</v>
      </c>
      <c r="G111" s="27" t="s">
        <v>245</v>
      </c>
      <c r="H111" s="27" t="s">
        <v>21</v>
      </c>
      <c r="L111" s="28">
        <v>100.0</v>
      </c>
      <c r="N111" s="29">
        <v>3.0</v>
      </c>
      <c r="P111" s="29"/>
      <c r="Q111" s="30">
        <v>351.86396</v>
      </c>
      <c r="R111" s="29">
        <v>19.0</v>
      </c>
      <c r="S111" s="38">
        <v>57.0</v>
      </c>
    </row>
    <row r="112" ht="11.25" customHeight="1">
      <c r="B112" s="27" t="s">
        <v>33</v>
      </c>
      <c r="D112" s="27" t="s">
        <v>246</v>
      </c>
      <c r="G112" s="27" t="s">
        <v>247</v>
      </c>
      <c r="H112" s="27" t="s">
        <v>21</v>
      </c>
      <c r="L112" s="28">
        <v>100.0</v>
      </c>
      <c r="N112" s="29">
        <v>1.0</v>
      </c>
      <c r="P112" s="29"/>
      <c r="Q112" s="30">
        <v>973.35948</v>
      </c>
      <c r="R112" s="29">
        <v>20.0</v>
      </c>
      <c r="S112" s="38">
        <v>20.0</v>
      </c>
    </row>
    <row r="113" ht="11.25" customHeight="1">
      <c r="B113" s="27" t="s">
        <v>33</v>
      </c>
      <c r="D113" s="27" t="s">
        <v>248</v>
      </c>
      <c r="G113" s="27" t="s">
        <v>249</v>
      </c>
      <c r="H113" s="27" t="s">
        <v>21</v>
      </c>
      <c r="L113" s="28">
        <v>100.0</v>
      </c>
      <c r="N113" s="29">
        <v>1.0</v>
      </c>
      <c r="P113" s="29"/>
      <c r="Q113" s="30">
        <v>1061.34026</v>
      </c>
      <c r="R113" s="29">
        <v>20.0</v>
      </c>
      <c r="S113" s="38">
        <v>20.0</v>
      </c>
    </row>
    <row r="114" ht="11.25" customHeight="1">
      <c r="B114" s="27" t="s">
        <v>33</v>
      </c>
      <c r="D114" s="27" t="s">
        <v>250</v>
      </c>
      <c r="G114" s="27" t="s">
        <v>251</v>
      </c>
      <c r="H114" s="27" t="s">
        <v>21</v>
      </c>
      <c r="L114" s="28">
        <v>100.0</v>
      </c>
      <c r="N114" s="29">
        <v>1.0</v>
      </c>
      <c r="P114" s="29"/>
      <c r="Q114" s="30">
        <v>919.01116</v>
      </c>
      <c r="R114" s="29">
        <v>20.0</v>
      </c>
      <c r="S114" s="38">
        <v>20.0</v>
      </c>
    </row>
    <row r="115" ht="11.25" customHeight="1">
      <c r="B115" s="27" t="s">
        <v>33</v>
      </c>
      <c r="D115" s="27" t="s">
        <v>252</v>
      </c>
      <c r="G115" s="27" t="s">
        <v>253</v>
      </c>
      <c r="H115" s="27" t="s">
        <v>21</v>
      </c>
      <c r="L115" s="28">
        <v>100.0</v>
      </c>
      <c r="N115" s="29">
        <v>4.0</v>
      </c>
      <c r="P115" s="29"/>
      <c r="Q115" s="30">
        <v>554.25032</v>
      </c>
      <c r="R115" s="29">
        <v>19.0</v>
      </c>
      <c r="S115" s="38">
        <v>76.0</v>
      </c>
    </row>
    <row r="116" ht="11.25" customHeight="1">
      <c r="B116" s="27" t="s">
        <v>33</v>
      </c>
      <c r="D116" s="27" t="s">
        <v>254</v>
      </c>
      <c r="G116" s="27" t="s">
        <v>255</v>
      </c>
      <c r="H116" s="27" t="s">
        <v>21</v>
      </c>
      <c r="L116" s="28">
        <v>100.0</v>
      </c>
      <c r="N116" s="29">
        <v>4.0</v>
      </c>
      <c r="P116" s="29"/>
      <c r="Q116" s="30">
        <v>1534.98508</v>
      </c>
      <c r="R116" s="29">
        <v>20.0</v>
      </c>
      <c r="S116" s="38">
        <v>80.0</v>
      </c>
    </row>
    <row r="117" ht="11.25" customHeight="1">
      <c r="B117" s="27" t="s">
        <v>33</v>
      </c>
      <c r="D117" s="27" t="s">
        <v>256</v>
      </c>
      <c r="G117" s="27" t="s">
        <v>257</v>
      </c>
      <c r="H117" s="27" t="s">
        <v>21</v>
      </c>
      <c r="L117" s="28">
        <v>100.0</v>
      </c>
      <c r="N117" s="29">
        <v>4.0</v>
      </c>
      <c r="P117" s="29"/>
      <c r="Q117" s="30">
        <v>506.56736</v>
      </c>
      <c r="R117" s="29">
        <v>19.0</v>
      </c>
      <c r="S117" s="38">
        <v>76.0</v>
      </c>
    </row>
    <row r="118" ht="11.25" customHeight="1">
      <c r="B118" s="27" t="s">
        <v>33</v>
      </c>
      <c r="D118" s="27" t="s">
        <v>258</v>
      </c>
      <c r="G118" s="27" t="s">
        <v>259</v>
      </c>
      <c r="H118" s="27" t="s">
        <v>21</v>
      </c>
      <c r="L118" s="28">
        <v>100.0</v>
      </c>
      <c r="N118" s="29">
        <v>4.0</v>
      </c>
      <c r="P118" s="29"/>
      <c r="Q118" s="30">
        <v>1426.25886</v>
      </c>
      <c r="R118" s="29">
        <v>20.0</v>
      </c>
      <c r="S118" s="38">
        <v>80.0</v>
      </c>
    </row>
    <row r="119" ht="11.25" customHeight="1">
      <c r="B119" s="27" t="s">
        <v>33</v>
      </c>
      <c r="D119" s="27" t="s">
        <v>260</v>
      </c>
      <c r="G119" s="27" t="s">
        <v>261</v>
      </c>
      <c r="H119" s="27" t="s">
        <v>21</v>
      </c>
      <c r="L119" s="28">
        <v>100.0</v>
      </c>
      <c r="N119" s="29">
        <v>1.0</v>
      </c>
      <c r="P119" s="29"/>
      <c r="Q119" s="30">
        <v>164.5634</v>
      </c>
      <c r="R119" s="29">
        <v>19.0</v>
      </c>
      <c r="S119" s="38">
        <v>19.0</v>
      </c>
    </row>
    <row r="120" ht="11.25" customHeight="1">
      <c r="B120" s="27" t="s">
        <v>33</v>
      </c>
      <c r="D120" s="27" t="s">
        <v>262</v>
      </c>
      <c r="G120" s="27" t="s">
        <v>263</v>
      </c>
      <c r="H120" s="27" t="s">
        <v>21</v>
      </c>
      <c r="L120" s="28">
        <v>100.0</v>
      </c>
      <c r="N120" s="29">
        <v>1.0</v>
      </c>
      <c r="P120" s="29"/>
      <c r="Q120" s="30">
        <v>449.80334</v>
      </c>
      <c r="R120" s="29">
        <v>19.0</v>
      </c>
      <c r="S120" s="38">
        <v>19.0</v>
      </c>
    </row>
    <row r="121" ht="11.25" customHeight="1">
      <c r="B121" s="27" t="s">
        <v>33</v>
      </c>
      <c r="D121" s="27" t="s">
        <v>264</v>
      </c>
      <c r="G121" s="27" t="s">
        <v>265</v>
      </c>
      <c r="H121" s="27" t="s">
        <v>21</v>
      </c>
      <c r="L121" s="28">
        <v>100.0</v>
      </c>
      <c r="N121" s="29">
        <v>1.0</v>
      </c>
      <c r="P121" s="29"/>
      <c r="Q121" s="30">
        <v>392.45758</v>
      </c>
      <c r="R121" s="29">
        <v>20.0</v>
      </c>
      <c r="S121" s="38">
        <v>20.0</v>
      </c>
    </row>
    <row r="122" ht="11.25" customHeight="1">
      <c r="B122" s="27" t="s">
        <v>33</v>
      </c>
      <c r="D122" s="27" t="s">
        <v>266</v>
      </c>
      <c r="G122" s="27" t="s">
        <v>267</v>
      </c>
      <c r="H122" s="27" t="s">
        <v>21</v>
      </c>
      <c r="L122" s="28">
        <v>100.0</v>
      </c>
      <c r="N122" s="29">
        <v>1.0</v>
      </c>
      <c r="P122" s="29"/>
      <c r="Q122" s="30">
        <v>397.86086</v>
      </c>
      <c r="R122" s="29">
        <v>20.0</v>
      </c>
      <c r="S122" s="38">
        <v>20.0</v>
      </c>
    </row>
    <row r="123" ht="11.25" customHeight="1">
      <c r="B123" s="27" t="s">
        <v>33</v>
      </c>
      <c r="D123" s="27" t="s">
        <v>268</v>
      </c>
      <c r="G123" s="27" t="s">
        <v>269</v>
      </c>
      <c r="H123" s="27" t="s">
        <v>21</v>
      </c>
      <c r="L123" s="28">
        <v>100.0</v>
      </c>
      <c r="N123" s="29">
        <v>5.0</v>
      </c>
      <c r="P123" s="29"/>
      <c r="Q123" s="30">
        <v>2338.60466</v>
      </c>
      <c r="R123" s="29">
        <v>20.0</v>
      </c>
      <c r="S123" s="38">
        <v>100.0</v>
      </c>
    </row>
    <row r="124" ht="11.25" customHeight="1">
      <c r="B124" s="27" t="s">
        <v>33</v>
      </c>
      <c r="D124" s="27" t="s">
        <v>270</v>
      </c>
      <c r="G124" s="27" t="s">
        <v>271</v>
      </c>
      <c r="H124" s="27" t="s">
        <v>21</v>
      </c>
      <c r="L124" s="28">
        <v>100.0</v>
      </c>
      <c r="N124" s="29">
        <v>2.0</v>
      </c>
      <c r="P124" s="29"/>
      <c r="Q124" s="30">
        <v>2045.59504</v>
      </c>
      <c r="R124" s="29">
        <v>20.0</v>
      </c>
      <c r="S124" s="38">
        <v>40.0</v>
      </c>
    </row>
    <row r="125" ht="11.25" customHeight="1">
      <c r="B125" s="27" t="s">
        <v>33</v>
      </c>
      <c r="D125" s="27" t="s">
        <v>272</v>
      </c>
      <c r="G125" s="27" t="s">
        <v>273</v>
      </c>
      <c r="H125" s="27" t="s">
        <v>21</v>
      </c>
      <c r="L125" s="28">
        <v>100.0</v>
      </c>
      <c r="N125" s="29">
        <v>1.0</v>
      </c>
      <c r="P125" s="29"/>
      <c r="Q125" s="30">
        <v>999.6068</v>
      </c>
      <c r="R125" s="29">
        <v>20.0</v>
      </c>
      <c r="S125" s="38">
        <v>20.0</v>
      </c>
    </row>
    <row r="126" ht="11.25" customHeight="1">
      <c r="B126" s="27" t="s">
        <v>33</v>
      </c>
      <c r="D126" s="27" t="s">
        <v>274</v>
      </c>
      <c r="G126" s="27" t="s">
        <v>275</v>
      </c>
      <c r="H126" s="27" t="s">
        <v>21</v>
      </c>
      <c r="L126" s="28">
        <v>100.0</v>
      </c>
      <c r="N126" s="29">
        <v>1.0</v>
      </c>
      <c r="P126" s="29"/>
      <c r="Q126" s="30">
        <v>1108.24428</v>
      </c>
      <c r="R126" s="29">
        <v>20.0</v>
      </c>
      <c r="S126" s="38">
        <v>20.0</v>
      </c>
    </row>
    <row r="127" ht="11.25" customHeight="1">
      <c r="B127" s="27" t="s">
        <v>33</v>
      </c>
      <c r="D127" s="27" t="s">
        <v>276</v>
      </c>
      <c r="G127" s="27" t="s">
        <v>277</v>
      </c>
      <c r="H127" s="27" t="s">
        <v>21</v>
      </c>
      <c r="L127" s="28">
        <v>100.0</v>
      </c>
      <c r="N127" s="29">
        <v>1.0</v>
      </c>
      <c r="P127" s="29"/>
      <c r="Q127" s="30">
        <v>1015.85608</v>
      </c>
      <c r="R127" s="29">
        <v>20.0</v>
      </c>
      <c r="S127" s="38">
        <v>20.0</v>
      </c>
    </row>
    <row r="128" ht="11.25" customHeight="1">
      <c r="B128" s="27" t="s">
        <v>33</v>
      </c>
      <c r="D128" s="27" t="s">
        <v>278</v>
      </c>
      <c r="G128" s="27" t="s">
        <v>279</v>
      </c>
      <c r="H128" s="27" t="s">
        <v>21</v>
      </c>
      <c r="L128" s="28">
        <v>100.0</v>
      </c>
      <c r="N128" s="29">
        <v>1.0</v>
      </c>
      <c r="P128" s="29"/>
      <c r="Q128" s="30">
        <v>131.67044</v>
      </c>
      <c r="R128" s="29">
        <v>19.0</v>
      </c>
      <c r="S128" s="38">
        <v>19.0</v>
      </c>
    </row>
    <row r="129" ht="11.25" customHeight="1">
      <c r="B129" s="27" t="s">
        <v>86</v>
      </c>
      <c r="D129" s="27" t="s">
        <v>280</v>
      </c>
      <c r="G129" s="27" t="s">
        <v>281</v>
      </c>
      <c r="H129" s="27" t="s">
        <v>21</v>
      </c>
      <c r="L129" s="28">
        <v>100.0</v>
      </c>
      <c r="N129" s="29">
        <v>1.0</v>
      </c>
      <c r="P129" s="29"/>
      <c r="Q129" s="30">
        <v>790.8706</v>
      </c>
      <c r="R129" s="29">
        <v>20.0</v>
      </c>
      <c r="S129" s="38">
        <v>20.0</v>
      </c>
    </row>
    <row r="130" ht="11.25" customHeight="1">
      <c r="B130" s="27" t="s">
        <v>86</v>
      </c>
      <c r="D130" s="27" t="s">
        <v>282</v>
      </c>
      <c r="G130" s="27" t="s">
        <v>283</v>
      </c>
      <c r="H130" s="27" t="s">
        <v>21</v>
      </c>
      <c r="L130" s="28">
        <v>100.0</v>
      </c>
      <c r="N130" s="29">
        <v>3.0</v>
      </c>
      <c r="P130" s="29"/>
      <c r="Q130" s="30">
        <v>1305.7105</v>
      </c>
      <c r="R130" s="29">
        <v>20.0</v>
      </c>
      <c r="S130" s="38">
        <v>60.0</v>
      </c>
    </row>
    <row r="131" ht="11.25" customHeight="1">
      <c r="B131" s="27" t="s">
        <v>86</v>
      </c>
      <c r="D131" s="27" t="s">
        <v>284</v>
      </c>
      <c r="G131" s="27" t="s">
        <v>285</v>
      </c>
      <c r="H131" s="27" t="s">
        <v>21</v>
      </c>
      <c r="L131" s="28">
        <v>100.0</v>
      </c>
      <c r="N131" s="29">
        <v>1.0</v>
      </c>
      <c r="P131" s="29"/>
      <c r="Q131" s="30">
        <v>1089.39196</v>
      </c>
      <c r="R131" s="29">
        <v>20.0</v>
      </c>
      <c r="S131" s="38">
        <v>20.0</v>
      </c>
    </row>
    <row r="132" ht="11.25" customHeight="1">
      <c r="B132" s="27" t="s">
        <v>86</v>
      </c>
      <c r="D132" s="27" t="s">
        <v>286</v>
      </c>
      <c r="G132" s="27" t="s">
        <v>287</v>
      </c>
      <c r="H132" s="27" t="s">
        <v>21</v>
      </c>
      <c r="L132" s="28">
        <v>100.0</v>
      </c>
      <c r="N132" s="29">
        <v>1.0</v>
      </c>
      <c r="P132" s="29"/>
      <c r="Q132" s="30">
        <v>855.33528</v>
      </c>
      <c r="R132" s="29">
        <v>20.0</v>
      </c>
      <c r="S132" s="38">
        <v>20.0</v>
      </c>
    </row>
    <row r="133" ht="11.25" customHeight="1">
      <c r="B133" s="27" t="s">
        <v>86</v>
      </c>
      <c r="D133" s="27" t="s">
        <v>288</v>
      </c>
      <c r="G133" s="27" t="s">
        <v>289</v>
      </c>
      <c r="H133" s="27" t="s">
        <v>21</v>
      </c>
      <c r="L133" s="28">
        <v>100.0</v>
      </c>
      <c r="N133" s="29">
        <v>2.0</v>
      </c>
      <c r="P133" s="29"/>
      <c r="Q133" s="30">
        <v>1624.86884</v>
      </c>
      <c r="R133" s="29">
        <v>20.0</v>
      </c>
      <c r="S133" s="38">
        <v>40.0</v>
      </c>
    </row>
    <row r="134" ht="11.25" customHeight="1">
      <c r="B134" s="27" t="s">
        <v>86</v>
      </c>
      <c r="D134" s="27" t="s">
        <v>290</v>
      </c>
      <c r="G134" s="27" t="s">
        <v>291</v>
      </c>
      <c r="H134" s="27" t="s">
        <v>21</v>
      </c>
      <c r="L134" s="28">
        <v>100.0</v>
      </c>
      <c r="N134" s="29">
        <v>3.0</v>
      </c>
      <c r="P134" s="29"/>
      <c r="Q134" s="30">
        <v>1067.26612</v>
      </c>
      <c r="R134" s="29">
        <v>20.0</v>
      </c>
      <c r="S134" s="38">
        <v>60.0</v>
      </c>
    </row>
    <row r="135" ht="11.25" customHeight="1">
      <c r="B135" s="27" t="s">
        <v>86</v>
      </c>
      <c r="D135" s="27" t="s">
        <v>292</v>
      </c>
      <c r="G135" s="27" t="s">
        <v>293</v>
      </c>
      <c r="H135" s="27" t="s">
        <v>21</v>
      </c>
      <c r="L135" s="28">
        <v>100.0</v>
      </c>
      <c r="N135" s="29">
        <v>2.0</v>
      </c>
      <c r="P135" s="29"/>
      <c r="Q135" s="30">
        <v>730.39922</v>
      </c>
      <c r="R135" s="29">
        <v>20.0</v>
      </c>
      <c r="S135" s="38">
        <v>40.0</v>
      </c>
    </row>
    <row r="136" ht="11.25" customHeight="1">
      <c r="B136" s="27" t="s">
        <v>86</v>
      </c>
      <c r="D136" s="27" t="s">
        <v>294</v>
      </c>
      <c r="G136" s="27" t="s">
        <v>295</v>
      </c>
      <c r="H136" s="27" t="s">
        <v>21</v>
      </c>
      <c r="L136" s="28">
        <v>100.0</v>
      </c>
      <c r="N136" s="29">
        <v>2.0</v>
      </c>
      <c r="P136" s="29"/>
      <c r="Q136" s="30">
        <v>1953.92662</v>
      </c>
      <c r="R136" s="29">
        <v>20.0</v>
      </c>
      <c r="S136" s="38">
        <v>40.0</v>
      </c>
    </row>
    <row r="137" ht="11.25" customHeight="1">
      <c r="B137" s="27" t="s">
        <v>86</v>
      </c>
      <c r="D137" s="27" t="s">
        <v>296</v>
      </c>
      <c r="G137" s="27" t="s">
        <v>297</v>
      </c>
      <c r="H137" s="27" t="s">
        <v>21</v>
      </c>
      <c r="L137" s="28">
        <v>100.0</v>
      </c>
      <c r="N137" s="29">
        <v>1.0</v>
      </c>
      <c r="P137" s="29"/>
      <c r="Q137" s="30">
        <v>943.28648</v>
      </c>
      <c r="R137" s="29">
        <v>20.0</v>
      </c>
      <c r="S137" s="38">
        <v>20.0</v>
      </c>
    </row>
    <row r="138" ht="11.25" customHeight="1">
      <c r="B138" s="27" t="s">
        <v>86</v>
      </c>
      <c r="D138" s="27" t="s">
        <v>298</v>
      </c>
      <c r="G138" s="27" t="s">
        <v>299</v>
      </c>
      <c r="H138" s="27" t="s">
        <v>21</v>
      </c>
      <c r="L138" s="28">
        <v>100.0</v>
      </c>
      <c r="N138" s="29">
        <v>4.0</v>
      </c>
      <c r="P138" s="29"/>
      <c r="Q138" s="30">
        <v>2096.5811</v>
      </c>
      <c r="R138" s="29">
        <v>20.0</v>
      </c>
      <c r="S138" s="38">
        <v>80.0</v>
      </c>
    </row>
    <row r="139" ht="11.25" customHeight="1">
      <c r="B139" s="27" t="s">
        <v>86</v>
      </c>
      <c r="D139" s="27" t="s">
        <v>300</v>
      </c>
      <c r="G139" s="27" t="s">
        <v>301</v>
      </c>
      <c r="H139" s="27" t="s">
        <v>21</v>
      </c>
      <c r="L139" s="28">
        <v>100.0</v>
      </c>
      <c r="N139" s="29">
        <v>3.0</v>
      </c>
      <c r="P139" s="29"/>
      <c r="Q139" s="30">
        <v>2226.71338</v>
      </c>
      <c r="R139" s="29">
        <v>20.0</v>
      </c>
      <c r="S139" s="38">
        <v>60.0</v>
      </c>
    </row>
    <row r="140" ht="11.25" customHeight="1">
      <c r="B140" s="27" t="s">
        <v>86</v>
      </c>
      <c r="D140" s="27" t="s">
        <v>302</v>
      </c>
      <c r="G140" s="27" t="s">
        <v>303</v>
      </c>
      <c r="H140" s="27" t="s">
        <v>21</v>
      </c>
      <c r="L140" s="28">
        <v>100.0</v>
      </c>
      <c r="N140" s="29">
        <v>1.0</v>
      </c>
      <c r="P140" s="29"/>
      <c r="Q140" s="30">
        <v>987.81424</v>
      </c>
      <c r="R140" s="29">
        <v>20.0</v>
      </c>
      <c r="S140" s="38">
        <v>20.0</v>
      </c>
    </row>
    <row r="141" ht="11.25" customHeight="1">
      <c r="B141" s="27" t="s">
        <v>86</v>
      </c>
      <c r="D141" s="27" t="s">
        <v>304</v>
      </c>
      <c r="G141" s="27" t="s">
        <v>305</v>
      </c>
      <c r="H141" s="27" t="s">
        <v>21</v>
      </c>
      <c r="L141" s="28">
        <v>100.0</v>
      </c>
      <c r="N141" s="29">
        <v>1.0</v>
      </c>
      <c r="P141" s="29"/>
      <c r="Q141" s="30">
        <v>1163.04616</v>
      </c>
      <c r="R141" s="29">
        <v>20.0</v>
      </c>
      <c r="S141" s="38">
        <v>20.0</v>
      </c>
    </row>
    <row r="142" ht="11.25" customHeight="1">
      <c r="B142" s="27" t="s">
        <v>86</v>
      </c>
      <c r="D142" s="27" t="s">
        <v>306</v>
      </c>
      <c r="G142" s="27" t="s">
        <v>307</v>
      </c>
      <c r="H142" s="27" t="s">
        <v>21</v>
      </c>
      <c r="L142" s="28">
        <v>100.0</v>
      </c>
      <c r="N142" s="29">
        <v>1.0</v>
      </c>
      <c r="P142" s="29"/>
      <c r="Q142" s="30">
        <v>764.85992</v>
      </c>
      <c r="R142" s="29">
        <v>20.0</v>
      </c>
      <c r="S142" s="38">
        <v>20.0</v>
      </c>
    </row>
    <row r="143" ht="11.25" customHeight="1">
      <c r="B143" s="27" t="s">
        <v>86</v>
      </c>
      <c r="D143" s="27" t="s">
        <v>308</v>
      </c>
      <c r="G143" s="27" t="s">
        <v>309</v>
      </c>
      <c r="H143" s="27" t="s">
        <v>21</v>
      </c>
      <c r="L143" s="28">
        <v>100.0</v>
      </c>
      <c r="N143" s="29">
        <v>1.0</v>
      </c>
      <c r="P143" s="29"/>
      <c r="Q143" s="30">
        <v>473.75328</v>
      </c>
      <c r="R143" s="29">
        <v>20.0</v>
      </c>
      <c r="S143" s="38">
        <v>20.0</v>
      </c>
    </row>
    <row r="144" ht="11.25" customHeight="1">
      <c r="B144" s="27" t="s">
        <v>86</v>
      </c>
      <c r="D144" s="27" t="s">
        <v>311</v>
      </c>
      <c r="G144" s="27" t="s">
        <v>312</v>
      </c>
      <c r="H144" s="27" t="s">
        <v>21</v>
      </c>
      <c r="L144" s="28">
        <v>100.0</v>
      </c>
      <c r="N144" s="29">
        <v>1.0</v>
      </c>
      <c r="P144" s="29"/>
      <c r="Q144" s="30">
        <v>376.05054</v>
      </c>
      <c r="R144" s="29">
        <v>20.0</v>
      </c>
      <c r="S144" s="38">
        <v>20.0</v>
      </c>
    </row>
    <row r="145" ht="11.25" customHeight="1">
      <c r="B145" s="27" t="s">
        <v>86</v>
      </c>
      <c r="D145" s="27" t="s">
        <v>313</v>
      </c>
      <c r="G145" s="27" t="s">
        <v>314</v>
      </c>
      <c r="H145" s="27" t="s">
        <v>21</v>
      </c>
      <c r="L145" s="28">
        <v>100.0</v>
      </c>
      <c r="N145" s="29">
        <v>1.0</v>
      </c>
      <c r="P145" s="29"/>
      <c r="Q145" s="30">
        <v>986.79866</v>
      </c>
      <c r="R145" s="29">
        <v>20.0</v>
      </c>
      <c r="S145" s="38">
        <v>20.0</v>
      </c>
    </row>
    <row r="146" ht="11.25" customHeight="1">
      <c r="B146" s="27" t="s">
        <v>86</v>
      </c>
      <c r="D146" s="27" t="s">
        <v>315</v>
      </c>
      <c r="G146" s="27" t="s">
        <v>316</v>
      </c>
      <c r="H146" s="27" t="s">
        <v>21</v>
      </c>
      <c r="L146" s="28">
        <v>100.0</v>
      </c>
      <c r="N146" s="29">
        <v>1.0</v>
      </c>
      <c r="P146" s="29"/>
      <c r="Q146" s="30">
        <v>406.29116</v>
      </c>
      <c r="R146" s="29">
        <v>20.0</v>
      </c>
      <c r="S146" s="38">
        <v>20.0</v>
      </c>
    </row>
    <row r="147" ht="11.25" customHeight="1">
      <c r="B147" s="27" t="s">
        <v>86</v>
      </c>
      <c r="D147" s="27" t="s">
        <v>317</v>
      </c>
      <c r="G147" s="27" t="s">
        <v>318</v>
      </c>
      <c r="H147" s="27" t="s">
        <v>21</v>
      </c>
      <c r="L147" s="28">
        <v>100.0</v>
      </c>
      <c r="N147" s="29">
        <v>1.0</v>
      </c>
      <c r="P147" s="29"/>
      <c r="Q147" s="30">
        <v>1089.39196</v>
      </c>
      <c r="R147" s="29">
        <v>20.0</v>
      </c>
      <c r="S147" s="38">
        <v>20.0</v>
      </c>
    </row>
    <row r="148" ht="11.25" customHeight="1">
      <c r="B148" s="27" t="s">
        <v>86</v>
      </c>
      <c r="D148" s="27" t="s">
        <v>319</v>
      </c>
      <c r="G148" s="27" t="s">
        <v>320</v>
      </c>
      <c r="H148" s="27" t="s">
        <v>21</v>
      </c>
      <c r="L148" s="28">
        <v>100.0</v>
      </c>
      <c r="N148" s="29">
        <v>2.0</v>
      </c>
      <c r="P148" s="29"/>
      <c r="Q148" s="30">
        <v>1779.17784</v>
      </c>
      <c r="R148" s="29">
        <v>20.0</v>
      </c>
      <c r="S148" s="38">
        <v>40.0</v>
      </c>
    </row>
    <row r="149" ht="11.25" customHeight="1">
      <c r="B149" s="27" t="s">
        <v>86</v>
      </c>
      <c r="D149" s="27" t="s">
        <v>321</v>
      </c>
      <c r="G149" s="27" t="s">
        <v>322</v>
      </c>
      <c r="H149" s="27" t="s">
        <v>21</v>
      </c>
      <c r="L149" s="28">
        <v>100.0</v>
      </c>
      <c r="N149" s="29">
        <v>1.0</v>
      </c>
      <c r="P149" s="29"/>
      <c r="Q149" s="30">
        <v>479.95522</v>
      </c>
      <c r="R149" s="29">
        <v>20.0</v>
      </c>
      <c r="S149" s="38">
        <v>20.0</v>
      </c>
    </row>
    <row r="150" ht="11.25" customHeight="1">
      <c r="B150" s="27" t="s">
        <v>86</v>
      </c>
      <c r="D150" s="27" t="s">
        <v>323</v>
      </c>
      <c r="G150" s="27" t="s">
        <v>324</v>
      </c>
      <c r="H150" s="27" t="s">
        <v>21</v>
      </c>
      <c r="L150" s="28">
        <v>100.0</v>
      </c>
      <c r="N150" s="29">
        <v>2.0</v>
      </c>
      <c r="P150" s="29"/>
      <c r="Q150" s="30">
        <v>2141.56242</v>
      </c>
      <c r="R150" s="29">
        <v>20.0</v>
      </c>
      <c r="S150" s="38">
        <v>40.0</v>
      </c>
    </row>
    <row r="151" ht="13.5" customHeight="1">
      <c r="A151" s="35" t="s">
        <v>325</v>
      </c>
      <c r="P151" s="35"/>
      <c r="Q151" s="34">
        <v>147844.0938</v>
      </c>
      <c r="S151" s="39">
        <v>4900.6</v>
      </c>
    </row>
    <row r="152" ht="12.75" customHeight="1">
      <c r="S152" s="40"/>
    </row>
    <row r="153" ht="12.75" customHeight="1">
      <c r="S153" s="40"/>
    </row>
    <row r="154" ht="12.75" customHeight="1">
      <c r="S154" s="40"/>
    </row>
    <row r="155" ht="12.75" customHeight="1">
      <c r="S155" s="40"/>
    </row>
    <row r="156" ht="12.75" customHeight="1">
      <c r="S156" s="40"/>
    </row>
    <row r="157" ht="12.75" customHeight="1">
      <c r="S157" s="40"/>
    </row>
    <row r="158" ht="12.75" customHeight="1">
      <c r="S158" s="40"/>
    </row>
    <row r="159" ht="12.75" customHeight="1">
      <c r="S159" s="40"/>
    </row>
    <row r="160" ht="12.75" customHeight="1">
      <c r="S160" s="40"/>
    </row>
    <row r="161" ht="12.75" customHeight="1">
      <c r="S161" s="40"/>
    </row>
    <row r="162" ht="12.75" customHeight="1">
      <c r="S162" s="40"/>
    </row>
    <row r="163" ht="12.75" customHeight="1">
      <c r="S163" s="40"/>
    </row>
    <row r="164" ht="12.75" customHeight="1">
      <c r="S164" s="40"/>
    </row>
    <row r="165" ht="12.75" customHeight="1">
      <c r="S165" s="40"/>
    </row>
    <row r="166" ht="12.75" customHeight="1">
      <c r="S166" s="40"/>
    </row>
    <row r="167" ht="12.75" customHeight="1">
      <c r="S167" s="40"/>
    </row>
    <row r="168" ht="12.75" customHeight="1">
      <c r="S168" s="40"/>
    </row>
    <row r="169" ht="12.75" customHeight="1">
      <c r="S169" s="40"/>
    </row>
    <row r="170" ht="12.75" customHeight="1">
      <c r="S170" s="40"/>
    </row>
    <row r="171" ht="12.75" customHeight="1">
      <c r="S171" s="40"/>
    </row>
    <row r="172" ht="12.75" customHeight="1">
      <c r="S172" s="40"/>
    </row>
    <row r="173" ht="12.75" customHeight="1">
      <c r="S173" s="40"/>
    </row>
    <row r="174" ht="12.75" customHeight="1">
      <c r="S174" s="40"/>
    </row>
    <row r="175" ht="12.75" customHeight="1">
      <c r="S175" s="40"/>
    </row>
    <row r="176" ht="12.75" customHeight="1">
      <c r="S176" s="40"/>
    </row>
    <row r="177" ht="12.75" customHeight="1">
      <c r="S177" s="40"/>
    </row>
    <row r="178" ht="12.75" customHeight="1">
      <c r="S178" s="40"/>
    </row>
    <row r="179" ht="12.75" customHeight="1">
      <c r="S179" s="40"/>
    </row>
    <row r="180" ht="12.75" customHeight="1">
      <c r="S180" s="40"/>
    </row>
    <row r="181" ht="12.75" customHeight="1">
      <c r="S181" s="40"/>
    </row>
    <row r="182" ht="12.75" customHeight="1">
      <c r="S182" s="40"/>
    </row>
    <row r="183" ht="12.75" customHeight="1">
      <c r="S183" s="40"/>
    </row>
    <row r="184" ht="12.75" customHeight="1">
      <c r="S184" s="40"/>
    </row>
    <row r="185" ht="12.75" customHeight="1">
      <c r="S185" s="40"/>
    </row>
    <row r="186" ht="12.75" customHeight="1">
      <c r="S186" s="40"/>
    </row>
    <row r="187" ht="12.75" customHeight="1">
      <c r="S187" s="40"/>
    </row>
    <row r="188" ht="12.75" customHeight="1">
      <c r="S188" s="40"/>
    </row>
    <row r="189" ht="12.75" customHeight="1">
      <c r="S189" s="40"/>
    </row>
    <row r="190" ht="12.75" customHeight="1">
      <c r="S190" s="40"/>
    </row>
    <row r="191" ht="12.75" customHeight="1">
      <c r="S191" s="40"/>
    </row>
    <row r="192" ht="12.75" customHeight="1">
      <c r="S192" s="40"/>
    </row>
    <row r="193" ht="12.75" customHeight="1">
      <c r="S193" s="40"/>
    </row>
    <row r="194" ht="12.75" customHeight="1">
      <c r="S194" s="40"/>
    </row>
    <row r="195" ht="12.75" customHeight="1">
      <c r="S195" s="40"/>
    </row>
    <row r="196" ht="12.75" customHeight="1">
      <c r="S196" s="40"/>
    </row>
    <row r="197" ht="12.75" customHeight="1">
      <c r="S197" s="40"/>
    </row>
    <row r="198" ht="12.75" customHeight="1">
      <c r="S198" s="40"/>
    </row>
    <row r="199" ht="12.75" customHeight="1">
      <c r="S199" s="40"/>
    </row>
    <row r="200" ht="12.75" customHeight="1">
      <c r="S200" s="40"/>
    </row>
    <row r="201" ht="12.75" customHeight="1">
      <c r="S201" s="40"/>
    </row>
    <row r="202" ht="12.75" customHeight="1">
      <c r="S202" s="40"/>
    </row>
    <row r="203" ht="12.75" customHeight="1">
      <c r="S203" s="40"/>
    </row>
    <row r="204" ht="12.75" customHeight="1">
      <c r="S204" s="40"/>
    </row>
    <row r="205" ht="12.75" customHeight="1">
      <c r="S205" s="40"/>
    </row>
    <row r="206" ht="12.75" customHeight="1">
      <c r="S206" s="40"/>
    </row>
    <row r="207" ht="12.75" customHeight="1">
      <c r="S207" s="40"/>
    </row>
    <row r="208" ht="12.75" customHeight="1">
      <c r="S208" s="40"/>
    </row>
    <row r="209" ht="12.75" customHeight="1">
      <c r="S209" s="40"/>
    </row>
    <row r="210" ht="12.75" customHeight="1">
      <c r="S210" s="40"/>
    </row>
    <row r="211" ht="12.75" customHeight="1">
      <c r="S211" s="40"/>
    </row>
    <row r="212" ht="12.75" customHeight="1">
      <c r="S212" s="40"/>
    </row>
    <row r="213" ht="12.75" customHeight="1">
      <c r="S213" s="40"/>
    </row>
    <row r="214" ht="12.75" customHeight="1">
      <c r="S214" s="40"/>
    </row>
    <row r="215" ht="12.75" customHeight="1">
      <c r="S215" s="40"/>
    </row>
    <row r="216" ht="12.75" customHeight="1">
      <c r="S216" s="40"/>
    </row>
    <row r="217" ht="12.75" customHeight="1">
      <c r="S217" s="40"/>
    </row>
    <row r="218" ht="12.75" customHeight="1">
      <c r="S218" s="40"/>
    </row>
    <row r="219" ht="12.75" customHeight="1">
      <c r="S219" s="40"/>
    </row>
    <row r="220" ht="12.75" customHeight="1">
      <c r="S220" s="40"/>
    </row>
    <row r="221" ht="12.75" customHeight="1">
      <c r="S221" s="40"/>
    </row>
    <row r="222" ht="12.75" customHeight="1">
      <c r="S222" s="40"/>
    </row>
    <row r="223" ht="12.75" customHeight="1">
      <c r="S223" s="40"/>
    </row>
    <row r="224" ht="12.75" customHeight="1">
      <c r="S224" s="40"/>
    </row>
    <row r="225" ht="12.75" customHeight="1">
      <c r="S225" s="40"/>
    </row>
    <row r="226" ht="12.75" customHeight="1">
      <c r="S226" s="40"/>
    </row>
    <row r="227" ht="12.75" customHeight="1">
      <c r="S227" s="40"/>
    </row>
    <row r="228" ht="12.75" customHeight="1">
      <c r="S228" s="40"/>
    </row>
    <row r="229" ht="12.75" customHeight="1">
      <c r="S229" s="40"/>
    </row>
    <row r="230" ht="12.75" customHeight="1">
      <c r="S230" s="40"/>
    </row>
    <row r="231" ht="12.75" customHeight="1">
      <c r="S231" s="40"/>
    </row>
    <row r="232" ht="12.75" customHeight="1">
      <c r="S232" s="40"/>
    </row>
    <row r="233" ht="12.75" customHeight="1">
      <c r="S233" s="40"/>
    </row>
    <row r="234" ht="12.75" customHeight="1">
      <c r="S234" s="40"/>
    </row>
    <row r="235" ht="12.75" customHeight="1">
      <c r="S235" s="40"/>
    </row>
    <row r="236" ht="12.75" customHeight="1">
      <c r="S236" s="40"/>
    </row>
    <row r="237" ht="12.75" customHeight="1">
      <c r="S237" s="40"/>
    </row>
    <row r="238" ht="12.75" customHeight="1">
      <c r="S238" s="40"/>
    </row>
    <row r="239" ht="12.75" customHeight="1">
      <c r="S239" s="40"/>
    </row>
    <row r="240" ht="12.75" customHeight="1">
      <c r="S240" s="40"/>
    </row>
    <row r="241" ht="12.75" customHeight="1">
      <c r="S241" s="40"/>
    </row>
    <row r="242" ht="12.75" customHeight="1">
      <c r="S242" s="40"/>
    </row>
    <row r="243" ht="12.75" customHeight="1">
      <c r="S243" s="40"/>
    </row>
    <row r="244" ht="12.75" customHeight="1">
      <c r="S244" s="40"/>
    </row>
    <row r="245" ht="12.75" customHeight="1">
      <c r="S245" s="40"/>
    </row>
    <row r="246" ht="12.75" customHeight="1">
      <c r="S246" s="40"/>
    </row>
    <row r="247" ht="12.75" customHeight="1">
      <c r="S247" s="40"/>
    </row>
    <row r="248" ht="12.75" customHeight="1">
      <c r="S248" s="40"/>
    </row>
    <row r="249" ht="12.75" customHeight="1">
      <c r="S249" s="40"/>
    </row>
    <row r="250" ht="12.75" customHeight="1">
      <c r="S250" s="40"/>
    </row>
    <row r="251" ht="12.75" customHeight="1">
      <c r="S251" s="40"/>
    </row>
    <row r="252" ht="12.75" customHeight="1">
      <c r="S252" s="40"/>
    </row>
    <row r="253" ht="12.75" customHeight="1">
      <c r="S253" s="40"/>
    </row>
    <row r="254" ht="12.75" customHeight="1">
      <c r="S254" s="40"/>
    </row>
    <row r="255" ht="12.75" customHeight="1">
      <c r="S255" s="40"/>
    </row>
    <row r="256" ht="12.75" customHeight="1">
      <c r="S256" s="40"/>
    </row>
    <row r="257" ht="12.75" customHeight="1">
      <c r="S257" s="40"/>
    </row>
    <row r="258" ht="12.75" customHeight="1">
      <c r="S258" s="40"/>
    </row>
    <row r="259" ht="12.75" customHeight="1">
      <c r="S259" s="40"/>
    </row>
    <row r="260" ht="12.75" customHeight="1">
      <c r="S260" s="40"/>
    </row>
    <row r="261" ht="12.75" customHeight="1">
      <c r="S261" s="40"/>
    </row>
    <row r="262" ht="12.75" customHeight="1">
      <c r="S262" s="40"/>
    </row>
    <row r="263" ht="12.75" customHeight="1">
      <c r="S263" s="40"/>
    </row>
    <row r="264" ht="12.75" customHeight="1">
      <c r="S264" s="40"/>
    </row>
    <row r="265" ht="12.75" customHeight="1">
      <c r="S265" s="40"/>
    </row>
    <row r="266" ht="12.75" customHeight="1">
      <c r="S266" s="40"/>
    </row>
    <row r="267" ht="12.75" customHeight="1">
      <c r="S267" s="40"/>
    </row>
    <row r="268" ht="12.75" customHeight="1">
      <c r="S268" s="40"/>
    </row>
    <row r="269" ht="12.75" customHeight="1">
      <c r="S269" s="40"/>
    </row>
    <row r="270" ht="12.75" customHeight="1">
      <c r="S270" s="40"/>
    </row>
    <row r="271" ht="12.75" customHeight="1">
      <c r="S271" s="40"/>
    </row>
    <row r="272" ht="12.75" customHeight="1">
      <c r="S272" s="40"/>
    </row>
    <row r="273" ht="12.75" customHeight="1">
      <c r="S273" s="40"/>
    </row>
    <row r="274" ht="12.75" customHeight="1">
      <c r="S274" s="40"/>
    </row>
    <row r="275" ht="12.75" customHeight="1">
      <c r="S275" s="40"/>
    </row>
    <row r="276" ht="12.75" customHeight="1">
      <c r="S276" s="40"/>
    </row>
    <row r="277" ht="12.75" customHeight="1">
      <c r="S277" s="40"/>
    </row>
    <row r="278" ht="12.75" customHeight="1">
      <c r="S278" s="40"/>
    </row>
    <row r="279" ht="12.75" customHeight="1">
      <c r="S279" s="40"/>
    </row>
    <row r="280" ht="12.75" customHeight="1">
      <c r="S280" s="40"/>
    </row>
    <row r="281" ht="12.75" customHeight="1">
      <c r="S281" s="40"/>
    </row>
    <row r="282" ht="12.75" customHeight="1">
      <c r="S282" s="40"/>
    </row>
    <row r="283" ht="12.75" customHeight="1">
      <c r="S283" s="40"/>
    </row>
    <row r="284" ht="12.75" customHeight="1">
      <c r="S284" s="40"/>
    </row>
    <row r="285" ht="12.75" customHeight="1">
      <c r="S285" s="40"/>
    </row>
    <row r="286" ht="12.75" customHeight="1">
      <c r="S286" s="40"/>
    </row>
    <row r="287" ht="12.75" customHeight="1">
      <c r="S287" s="40"/>
    </row>
    <row r="288" ht="12.75" customHeight="1">
      <c r="S288" s="40"/>
    </row>
    <row r="289" ht="12.75" customHeight="1">
      <c r="S289" s="40"/>
    </row>
    <row r="290" ht="12.75" customHeight="1">
      <c r="S290" s="40"/>
    </row>
    <row r="291" ht="12.75" customHeight="1">
      <c r="S291" s="40"/>
    </row>
    <row r="292" ht="12.75" customHeight="1">
      <c r="S292" s="40"/>
    </row>
    <row r="293" ht="12.75" customHeight="1">
      <c r="S293" s="40"/>
    </row>
    <row r="294" ht="12.75" customHeight="1">
      <c r="S294" s="40"/>
    </row>
    <row r="295" ht="12.75" customHeight="1">
      <c r="S295" s="40"/>
    </row>
    <row r="296" ht="12.75" customHeight="1">
      <c r="S296" s="40"/>
    </row>
    <row r="297" ht="12.75" customHeight="1">
      <c r="S297" s="40"/>
    </row>
    <row r="298" ht="12.75" customHeight="1">
      <c r="S298" s="40"/>
    </row>
    <row r="299" ht="12.75" customHeight="1">
      <c r="S299" s="40"/>
    </row>
    <row r="300" ht="12.75" customHeight="1">
      <c r="S300" s="40"/>
    </row>
    <row r="301" ht="12.75" customHeight="1">
      <c r="S301" s="40"/>
    </row>
    <row r="302" ht="12.75" customHeight="1">
      <c r="S302" s="40"/>
    </row>
    <row r="303" ht="12.75" customHeight="1">
      <c r="S303" s="40"/>
    </row>
    <row r="304" ht="12.75" customHeight="1">
      <c r="S304" s="40"/>
    </row>
    <row r="305" ht="12.75" customHeight="1">
      <c r="S305" s="40"/>
    </row>
    <row r="306" ht="12.75" customHeight="1">
      <c r="S306" s="40"/>
    </row>
    <row r="307" ht="12.75" customHeight="1">
      <c r="S307" s="40"/>
    </row>
    <row r="308" ht="12.75" customHeight="1">
      <c r="S308" s="40"/>
    </row>
    <row r="309" ht="12.75" customHeight="1">
      <c r="S309" s="40"/>
    </row>
    <row r="310" ht="12.75" customHeight="1">
      <c r="S310" s="40"/>
    </row>
    <row r="311" ht="12.75" customHeight="1">
      <c r="S311" s="40"/>
    </row>
    <row r="312" ht="12.75" customHeight="1">
      <c r="S312" s="40"/>
    </row>
    <row r="313" ht="12.75" customHeight="1">
      <c r="S313" s="40"/>
    </row>
    <row r="314" ht="12.75" customHeight="1">
      <c r="S314" s="40"/>
    </row>
    <row r="315" ht="12.75" customHeight="1">
      <c r="S315" s="40"/>
    </row>
    <row r="316" ht="12.75" customHeight="1">
      <c r="S316" s="40"/>
    </row>
    <row r="317" ht="12.75" customHeight="1">
      <c r="S317" s="40"/>
    </row>
    <row r="318" ht="12.75" customHeight="1">
      <c r="S318" s="40"/>
    </row>
    <row r="319" ht="12.75" customHeight="1">
      <c r="S319" s="40"/>
    </row>
    <row r="320" ht="12.75" customHeight="1">
      <c r="S320" s="40"/>
    </row>
    <row r="321" ht="12.75" customHeight="1">
      <c r="S321" s="40"/>
    </row>
    <row r="322" ht="12.75" customHeight="1">
      <c r="S322" s="40"/>
    </row>
    <row r="323" ht="12.75" customHeight="1">
      <c r="S323" s="40"/>
    </row>
    <row r="324" ht="12.75" customHeight="1">
      <c r="S324" s="40"/>
    </row>
    <row r="325" ht="12.75" customHeight="1">
      <c r="S325" s="40"/>
    </row>
    <row r="326" ht="12.75" customHeight="1">
      <c r="S326" s="40"/>
    </row>
    <row r="327" ht="12.75" customHeight="1">
      <c r="S327" s="40"/>
    </row>
    <row r="328" ht="12.75" customHeight="1">
      <c r="S328" s="40"/>
    </row>
    <row r="329" ht="12.75" customHeight="1">
      <c r="S329" s="40"/>
    </row>
    <row r="330" ht="12.75" customHeight="1">
      <c r="S330" s="40"/>
    </row>
    <row r="331" ht="12.75" customHeight="1">
      <c r="S331" s="40"/>
    </row>
    <row r="332" ht="12.75" customHeight="1">
      <c r="S332" s="40"/>
    </row>
    <row r="333" ht="12.75" customHeight="1">
      <c r="S333" s="40"/>
    </row>
    <row r="334" ht="12.75" customHeight="1">
      <c r="S334" s="40"/>
    </row>
    <row r="335" ht="12.75" customHeight="1">
      <c r="S335" s="40"/>
    </row>
    <row r="336" ht="12.75" customHeight="1">
      <c r="S336" s="40"/>
    </row>
    <row r="337" ht="12.75" customHeight="1">
      <c r="S337" s="40"/>
    </row>
    <row r="338" ht="12.75" customHeight="1">
      <c r="S338" s="40"/>
    </row>
    <row r="339" ht="12.75" customHeight="1">
      <c r="S339" s="40"/>
    </row>
    <row r="340" ht="12.75" customHeight="1">
      <c r="S340" s="40"/>
    </row>
    <row r="341" ht="12.75" customHeight="1">
      <c r="S341" s="40"/>
    </row>
    <row r="342" ht="12.75" customHeight="1">
      <c r="S342" s="40"/>
    </row>
    <row r="343" ht="12.75" customHeight="1">
      <c r="S343" s="40"/>
    </row>
    <row r="344" ht="12.75" customHeight="1">
      <c r="S344" s="40"/>
    </row>
    <row r="345" ht="12.75" customHeight="1">
      <c r="S345" s="40"/>
    </row>
    <row r="346" ht="12.75" customHeight="1">
      <c r="S346" s="40"/>
    </row>
    <row r="347" ht="12.75" customHeight="1">
      <c r="S347" s="40"/>
    </row>
    <row r="348" ht="12.75" customHeight="1">
      <c r="S348" s="40"/>
    </row>
    <row r="349" ht="12.75" customHeight="1">
      <c r="S349" s="40"/>
    </row>
    <row r="350" ht="12.75" customHeight="1">
      <c r="S350" s="40"/>
    </row>
    <row r="351" ht="12.75" customHeight="1">
      <c r="S351" s="40"/>
    </row>
    <row r="352" ht="12.75" customHeight="1">
      <c r="S352" s="40"/>
    </row>
    <row r="353" ht="12.75" customHeight="1">
      <c r="S353" s="40"/>
    </row>
    <row r="354" ht="12.75" customHeight="1">
      <c r="S354" s="40"/>
    </row>
    <row r="355" ht="12.75" customHeight="1">
      <c r="S355" s="40"/>
    </row>
    <row r="356" ht="12.75" customHeight="1">
      <c r="S356" s="40"/>
    </row>
    <row r="357" ht="12.75" customHeight="1">
      <c r="S357" s="40"/>
    </row>
    <row r="358" ht="12.75" customHeight="1">
      <c r="S358" s="40"/>
    </row>
    <row r="359" ht="12.75" customHeight="1">
      <c r="S359" s="40"/>
    </row>
    <row r="360" ht="12.75" customHeight="1">
      <c r="S360" s="40"/>
    </row>
    <row r="361" ht="12.75" customHeight="1">
      <c r="S361" s="40"/>
    </row>
    <row r="362" ht="12.75" customHeight="1">
      <c r="S362" s="40"/>
    </row>
    <row r="363" ht="12.75" customHeight="1">
      <c r="S363" s="40"/>
    </row>
    <row r="364" ht="12.75" customHeight="1">
      <c r="S364" s="40"/>
    </row>
    <row r="365" ht="12.75" customHeight="1">
      <c r="S365" s="40"/>
    </row>
    <row r="366" ht="12.75" customHeight="1">
      <c r="S366" s="40"/>
    </row>
    <row r="367" ht="12.75" customHeight="1">
      <c r="S367" s="40"/>
    </row>
    <row r="368" ht="12.75" customHeight="1">
      <c r="S368" s="40"/>
    </row>
    <row r="369" ht="12.75" customHeight="1">
      <c r="S369" s="40"/>
    </row>
    <row r="370" ht="12.75" customHeight="1">
      <c r="S370" s="40"/>
    </row>
    <row r="371" ht="12.75" customHeight="1">
      <c r="S371" s="40"/>
    </row>
    <row r="372" ht="12.75" customHeight="1">
      <c r="S372" s="40"/>
    </row>
    <row r="373" ht="12.75" customHeight="1">
      <c r="S373" s="40"/>
    </row>
    <row r="374" ht="12.75" customHeight="1">
      <c r="S374" s="40"/>
    </row>
    <row r="375" ht="12.75" customHeight="1">
      <c r="S375" s="40"/>
    </row>
    <row r="376" ht="12.75" customHeight="1">
      <c r="S376" s="40"/>
    </row>
    <row r="377" ht="12.75" customHeight="1">
      <c r="S377" s="40"/>
    </row>
    <row r="378" ht="12.75" customHeight="1">
      <c r="S378" s="40"/>
    </row>
    <row r="379" ht="12.75" customHeight="1">
      <c r="S379" s="40"/>
    </row>
    <row r="380" ht="12.75" customHeight="1">
      <c r="S380" s="40"/>
    </row>
    <row r="381" ht="12.75" customHeight="1">
      <c r="S381" s="40"/>
    </row>
    <row r="382" ht="12.75" customHeight="1">
      <c r="S382" s="40"/>
    </row>
    <row r="383" ht="12.75" customHeight="1">
      <c r="S383" s="40"/>
    </row>
    <row r="384" ht="12.75" customHeight="1">
      <c r="S384" s="40"/>
    </row>
    <row r="385" ht="12.75" customHeight="1">
      <c r="S385" s="40"/>
    </row>
    <row r="386" ht="12.75" customHeight="1">
      <c r="S386" s="40"/>
    </row>
    <row r="387" ht="12.75" customHeight="1">
      <c r="S387" s="40"/>
    </row>
    <row r="388" ht="12.75" customHeight="1">
      <c r="S388" s="40"/>
    </row>
    <row r="389" ht="12.75" customHeight="1">
      <c r="S389" s="40"/>
    </row>
    <row r="390" ht="12.75" customHeight="1">
      <c r="S390" s="40"/>
    </row>
    <row r="391" ht="12.75" customHeight="1">
      <c r="S391" s="40"/>
    </row>
    <row r="392" ht="12.75" customHeight="1">
      <c r="S392" s="40"/>
    </row>
    <row r="393" ht="12.75" customHeight="1">
      <c r="S393" s="40"/>
    </row>
    <row r="394" ht="12.75" customHeight="1">
      <c r="S394" s="40"/>
    </row>
    <row r="395" ht="12.75" customHeight="1">
      <c r="S395" s="40"/>
    </row>
    <row r="396" ht="12.75" customHeight="1">
      <c r="S396" s="40"/>
    </row>
    <row r="397" ht="12.75" customHeight="1">
      <c r="S397" s="40"/>
    </row>
    <row r="398" ht="12.75" customHeight="1">
      <c r="S398" s="40"/>
    </row>
    <row r="399" ht="12.75" customHeight="1">
      <c r="S399" s="40"/>
    </row>
    <row r="400" ht="12.75" customHeight="1">
      <c r="S400" s="40"/>
    </row>
    <row r="401" ht="12.75" customHeight="1">
      <c r="S401" s="40"/>
    </row>
    <row r="402" ht="12.75" customHeight="1">
      <c r="S402" s="40"/>
    </row>
    <row r="403" ht="12.75" customHeight="1">
      <c r="S403" s="40"/>
    </row>
    <row r="404" ht="12.75" customHeight="1">
      <c r="S404" s="40"/>
    </row>
    <row r="405" ht="12.75" customHeight="1">
      <c r="S405" s="40"/>
    </row>
    <row r="406" ht="12.75" customHeight="1">
      <c r="S406" s="40"/>
    </row>
    <row r="407" ht="12.75" customHeight="1">
      <c r="S407" s="40"/>
    </row>
    <row r="408" ht="12.75" customHeight="1">
      <c r="S408" s="40"/>
    </row>
    <row r="409" ht="12.75" customHeight="1">
      <c r="S409" s="40"/>
    </row>
    <row r="410" ht="12.75" customHeight="1">
      <c r="S410" s="40"/>
    </row>
    <row r="411" ht="12.75" customHeight="1">
      <c r="S411" s="40"/>
    </row>
    <row r="412" ht="12.75" customHeight="1">
      <c r="S412" s="40"/>
    </row>
    <row r="413" ht="12.75" customHeight="1">
      <c r="S413" s="40"/>
    </row>
    <row r="414" ht="12.75" customHeight="1">
      <c r="S414" s="40"/>
    </row>
    <row r="415" ht="12.75" customHeight="1">
      <c r="S415" s="40"/>
    </row>
    <row r="416" ht="12.75" customHeight="1">
      <c r="S416" s="40"/>
    </row>
    <row r="417" ht="12.75" customHeight="1">
      <c r="S417" s="40"/>
    </row>
    <row r="418" ht="12.75" customHeight="1">
      <c r="S418" s="40"/>
    </row>
    <row r="419" ht="12.75" customHeight="1">
      <c r="S419" s="40"/>
    </row>
    <row r="420" ht="12.75" customHeight="1">
      <c r="S420" s="40"/>
    </row>
    <row r="421" ht="12.75" customHeight="1">
      <c r="S421" s="40"/>
    </row>
    <row r="422" ht="12.75" customHeight="1">
      <c r="S422" s="40"/>
    </row>
    <row r="423" ht="12.75" customHeight="1">
      <c r="S423" s="40"/>
    </row>
    <row r="424" ht="12.75" customHeight="1">
      <c r="S424" s="40"/>
    </row>
    <row r="425" ht="12.75" customHeight="1">
      <c r="S425" s="40"/>
    </row>
    <row r="426" ht="12.75" customHeight="1">
      <c r="S426" s="40"/>
    </row>
    <row r="427" ht="12.75" customHeight="1">
      <c r="S427" s="40"/>
    </row>
    <row r="428" ht="12.75" customHeight="1">
      <c r="S428" s="40"/>
    </row>
    <row r="429" ht="12.75" customHeight="1">
      <c r="S429" s="40"/>
    </row>
    <row r="430" ht="12.75" customHeight="1">
      <c r="S430" s="40"/>
    </row>
    <row r="431" ht="12.75" customHeight="1">
      <c r="S431" s="40"/>
    </row>
    <row r="432" ht="12.75" customHeight="1">
      <c r="S432" s="40"/>
    </row>
    <row r="433" ht="12.75" customHeight="1">
      <c r="S433" s="40"/>
    </row>
    <row r="434" ht="12.75" customHeight="1">
      <c r="S434" s="40"/>
    </row>
    <row r="435" ht="12.75" customHeight="1">
      <c r="S435" s="40"/>
    </row>
    <row r="436" ht="12.75" customHeight="1">
      <c r="S436" s="40"/>
    </row>
    <row r="437" ht="12.75" customHeight="1">
      <c r="S437" s="40"/>
    </row>
    <row r="438" ht="12.75" customHeight="1">
      <c r="S438" s="40"/>
    </row>
    <row r="439" ht="12.75" customHeight="1">
      <c r="S439" s="40"/>
    </row>
    <row r="440" ht="12.75" customHeight="1">
      <c r="S440" s="40"/>
    </row>
    <row r="441" ht="12.75" customHeight="1">
      <c r="S441" s="40"/>
    </row>
    <row r="442" ht="12.75" customHeight="1">
      <c r="S442" s="40"/>
    </row>
    <row r="443" ht="12.75" customHeight="1">
      <c r="S443" s="40"/>
    </row>
    <row r="444" ht="12.75" customHeight="1">
      <c r="S444" s="40"/>
    </row>
    <row r="445" ht="12.75" customHeight="1">
      <c r="S445" s="40"/>
    </row>
    <row r="446" ht="12.75" customHeight="1">
      <c r="S446" s="40"/>
    </row>
    <row r="447" ht="12.75" customHeight="1">
      <c r="S447" s="40"/>
    </row>
    <row r="448" ht="12.75" customHeight="1">
      <c r="S448" s="40"/>
    </row>
    <row r="449" ht="12.75" customHeight="1">
      <c r="S449" s="40"/>
    </row>
    <row r="450" ht="12.75" customHeight="1">
      <c r="S450" s="40"/>
    </row>
    <row r="451" ht="12.75" customHeight="1">
      <c r="S451" s="40"/>
    </row>
    <row r="452" ht="12.75" customHeight="1">
      <c r="S452" s="40"/>
    </row>
    <row r="453" ht="12.75" customHeight="1">
      <c r="S453" s="40"/>
    </row>
    <row r="454" ht="12.75" customHeight="1">
      <c r="S454" s="40"/>
    </row>
    <row r="455" ht="12.75" customHeight="1">
      <c r="S455" s="40"/>
    </row>
    <row r="456" ht="12.75" customHeight="1">
      <c r="S456" s="40"/>
    </row>
    <row r="457" ht="12.75" customHeight="1">
      <c r="S457" s="40"/>
    </row>
    <row r="458" ht="12.75" customHeight="1">
      <c r="S458" s="40"/>
    </row>
    <row r="459" ht="12.75" customHeight="1">
      <c r="S459" s="40"/>
    </row>
    <row r="460" ht="12.75" customHeight="1">
      <c r="S460" s="40"/>
    </row>
    <row r="461" ht="12.75" customHeight="1">
      <c r="S461" s="40"/>
    </row>
    <row r="462" ht="12.75" customHeight="1">
      <c r="S462" s="40"/>
    </row>
    <row r="463" ht="12.75" customHeight="1">
      <c r="S463" s="40"/>
    </row>
    <row r="464" ht="12.75" customHeight="1">
      <c r="S464" s="40"/>
    </row>
    <row r="465" ht="12.75" customHeight="1">
      <c r="S465" s="40"/>
    </row>
    <row r="466" ht="12.75" customHeight="1">
      <c r="S466" s="40"/>
    </row>
    <row r="467" ht="12.75" customHeight="1">
      <c r="S467" s="40"/>
    </row>
    <row r="468" ht="12.75" customHeight="1">
      <c r="S468" s="40"/>
    </row>
    <row r="469" ht="12.75" customHeight="1">
      <c r="S469" s="40"/>
    </row>
    <row r="470" ht="12.75" customHeight="1">
      <c r="S470" s="40"/>
    </row>
    <row r="471" ht="12.75" customHeight="1">
      <c r="S471" s="40"/>
    </row>
    <row r="472" ht="12.75" customHeight="1">
      <c r="S472" s="40"/>
    </row>
    <row r="473" ht="12.75" customHeight="1">
      <c r="S473" s="40"/>
    </row>
    <row r="474" ht="12.75" customHeight="1">
      <c r="S474" s="40"/>
    </row>
    <row r="475" ht="12.75" customHeight="1">
      <c r="S475" s="40"/>
    </row>
    <row r="476" ht="12.75" customHeight="1">
      <c r="S476" s="40"/>
    </row>
    <row r="477" ht="12.75" customHeight="1">
      <c r="S477" s="40"/>
    </row>
    <row r="478" ht="12.75" customHeight="1">
      <c r="S478" s="40"/>
    </row>
    <row r="479" ht="12.75" customHeight="1">
      <c r="S479" s="40"/>
    </row>
    <row r="480" ht="12.75" customHeight="1">
      <c r="S480" s="40"/>
    </row>
    <row r="481" ht="12.75" customHeight="1">
      <c r="S481" s="40"/>
    </row>
    <row r="482" ht="12.75" customHeight="1">
      <c r="S482" s="40"/>
    </row>
    <row r="483" ht="12.75" customHeight="1">
      <c r="S483" s="40"/>
    </row>
    <row r="484" ht="12.75" customHeight="1">
      <c r="S484" s="40"/>
    </row>
    <row r="485" ht="12.75" customHeight="1">
      <c r="S485" s="40"/>
    </row>
    <row r="486" ht="12.75" customHeight="1">
      <c r="S486" s="40"/>
    </row>
    <row r="487" ht="12.75" customHeight="1">
      <c r="S487" s="40"/>
    </row>
    <row r="488" ht="12.75" customHeight="1">
      <c r="S488" s="40"/>
    </row>
    <row r="489" ht="12.75" customHeight="1">
      <c r="S489" s="40"/>
    </row>
    <row r="490" ht="12.75" customHeight="1">
      <c r="S490" s="40"/>
    </row>
    <row r="491" ht="12.75" customHeight="1">
      <c r="S491" s="40"/>
    </row>
    <row r="492" ht="12.75" customHeight="1">
      <c r="S492" s="40"/>
    </row>
    <row r="493" ht="12.75" customHeight="1">
      <c r="S493" s="40"/>
    </row>
    <row r="494" ht="12.75" customHeight="1">
      <c r="S494" s="40"/>
    </row>
    <row r="495" ht="12.75" customHeight="1">
      <c r="S495" s="40"/>
    </row>
    <row r="496" ht="12.75" customHeight="1">
      <c r="S496" s="40"/>
    </row>
    <row r="497" ht="12.75" customHeight="1">
      <c r="S497" s="40"/>
    </row>
    <row r="498" ht="12.75" customHeight="1">
      <c r="S498" s="40"/>
    </row>
    <row r="499" ht="12.75" customHeight="1">
      <c r="S499" s="40"/>
    </row>
    <row r="500" ht="12.75" customHeight="1">
      <c r="S500" s="40"/>
    </row>
    <row r="501" ht="12.75" customHeight="1">
      <c r="S501" s="40"/>
    </row>
    <row r="502" ht="12.75" customHeight="1">
      <c r="S502" s="40"/>
    </row>
    <row r="503" ht="12.75" customHeight="1">
      <c r="S503" s="40"/>
    </row>
    <row r="504" ht="12.75" customHeight="1">
      <c r="S504" s="40"/>
    </row>
    <row r="505" ht="12.75" customHeight="1">
      <c r="S505" s="40"/>
    </row>
    <row r="506" ht="12.75" customHeight="1">
      <c r="S506" s="40"/>
    </row>
    <row r="507" ht="12.75" customHeight="1">
      <c r="S507" s="40"/>
    </row>
    <row r="508" ht="12.75" customHeight="1">
      <c r="S508" s="40"/>
    </row>
    <row r="509" ht="12.75" customHeight="1">
      <c r="S509" s="40"/>
    </row>
    <row r="510" ht="12.75" customHeight="1">
      <c r="S510" s="40"/>
    </row>
    <row r="511" ht="12.75" customHeight="1">
      <c r="S511" s="40"/>
    </row>
    <row r="512" ht="12.75" customHeight="1">
      <c r="S512" s="40"/>
    </row>
    <row r="513" ht="12.75" customHeight="1">
      <c r="S513" s="40"/>
    </row>
    <row r="514" ht="12.75" customHeight="1">
      <c r="S514" s="40"/>
    </row>
    <row r="515" ht="12.75" customHeight="1">
      <c r="S515" s="40"/>
    </row>
    <row r="516" ht="12.75" customHeight="1">
      <c r="S516" s="40"/>
    </row>
    <row r="517" ht="12.75" customHeight="1">
      <c r="S517" s="40"/>
    </row>
    <row r="518" ht="12.75" customHeight="1">
      <c r="S518" s="40"/>
    </row>
    <row r="519" ht="12.75" customHeight="1">
      <c r="S519" s="40"/>
    </row>
    <row r="520" ht="12.75" customHeight="1">
      <c r="S520" s="40"/>
    </row>
    <row r="521" ht="12.75" customHeight="1">
      <c r="S521" s="40"/>
    </row>
    <row r="522" ht="12.75" customHeight="1">
      <c r="S522" s="40"/>
    </row>
    <row r="523" ht="12.75" customHeight="1">
      <c r="S523" s="40"/>
    </row>
    <row r="524" ht="12.75" customHeight="1">
      <c r="S524" s="40"/>
    </row>
    <row r="525" ht="12.75" customHeight="1">
      <c r="S525" s="40"/>
    </row>
    <row r="526" ht="12.75" customHeight="1">
      <c r="S526" s="40"/>
    </row>
    <row r="527" ht="12.75" customHeight="1">
      <c r="S527" s="40"/>
    </row>
    <row r="528" ht="12.75" customHeight="1">
      <c r="S528" s="40"/>
    </row>
    <row r="529" ht="12.75" customHeight="1">
      <c r="S529" s="40"/>
    </row>
    <row r="530" ht="12.75" customHeight="1">
      <c r="S530" s="40"/>
    </row>
    <row r="531" ht="12.75" customHeight="1">
      <c r="S531" s="40"/>
    </row>
    <row r="532" ht="12.75" customHeight="1">
      <c r="S532" s="40"/>
    </row>
    <row r="533" ht="12.75" customHeight="1">
      <c r="S533" s="40"/>
    </row>
    <row r="534" ht="12.75" customHeight="1">
      <c r="S534" s="40"/>
    </row>
    <row r="535" ht="12.75" customHeight="1">
      <c r="S535" s="40"/>
    </row>
    <row r="536" ht="12.75" customHeight="1">
      <c r="S536" s="40"/>
    </row>
    <row r="537" ht="12.75" customHeight="1">
      <c r="S537" s="40"/>
    </row>
    <row r="538" ht="12.75" customHeight="1">
      <c r="S538" s="40"/>
    </row>
    <row r="539" ht="12.75" customHeight="1">
      <c r="S539" s="40"/>
    </row>
    <row r="540" ht="12.75" customHeight="1">
      <c r="S540" s="40"/>
    </row>
    <row r="541" ht="12.75" customHeight="1">
      <c r="S541" s="40"/>
    </row>
    <row r="542" ht="12.75" customHeight="1">
      <c r="S542" s="40"/>
    </row>
    <row r="543" ht="12.75" customHeight="1">
      <c r="S543" s="40"/>
    </row>
    <row r="544" ht="12.75" customHeight="1">
      <c r="S544" s="40"/>
    </row>
    <row r="545" ht="12.75" customHeight="1">
      <c r="S545" s="40"/>
    </row>
    <row r="546" ht="12.75" customHeight="1">
      <c r="S546" s="40"/>
    </row>
    <row r="547" ht="12.75" customHeight="1">
      <c r="S547" s="40"/>
    </row>
    <row r="548" ht="12.75" customHeight="1">
      <c r="S548" s="40"/>
    </row>
    <row r="549" ht="12.75" customHeight="1">
      <c r="S549" s="40"/>
    </row>
    <row r="550" ht="12.75" customHeight="1">
      <c r="S550" s="40"/>
    </row>
    <row r="551" ht="12.75" customHeight="1">
      <c r="S551" s="40"/>
    </row>
    <row r="552" ht="12.75" customHeight="1">
      <c r="S552" s="40"/>
    </row>
    <row r="553" ht="12.75" customHeight="1">
      <c r="S553" s="40"/>
    </row>
    <row r="554" ht="12.75" customHeight="1">
      <c r="S554" s="40"/>
    </row>
    <row r="555" ht="12.75" customHeight="1">
      <c r="S555" s="40"/>
    </row>
    <row r="556" ht="12.75" customHeight="1">
      <c r="S556" s="40"/>
    </row>
    <row r="557" ht="12.75" customHeight="1">
      <c r="S557" s="40"/>
    </row>
    <row r="558" ht="12.75" customHeight="1">
      <c r="S558" s="40"/>
    </row>
    <row r="559" ht="12.75" customHeight="1">
      <c r="S559" s="40"/>
    </row>
    <row r="560" ht="12.75" customHeight="1">
      <c r="S560" s="40"/>
    </row>
    <row r="561" ht="12.75" customHeight="1">
      <c r="S561" s="40"/>
    </row>
    <row r="562" ht="12.75" customHeight="1">
      <c r="S562" s="40"/>
    </row>
    <row r="563" ht="12.75" customHeight="1">
      <c r="S563" s="40"/>
    </row>
    <row r="564" ht="12.75" customHeight="1">
      <c r="S564" s="40"/>
    </row>
    <row r="565" ht="12.75" customHeight="1">
      <c r="S565" s="40"/>
    </row>
    <row r="566" ht="12.75" customHeight="1">
      <c r="S566" s="40"/>
    </row>
    <row r="567" ht="12.75" customHeight="1">
      <c r="S567" s="40"/>
    </row>
    <row r="568" ht="12.75" customHeight="1">
      <c r="S568" s="40"/>
    </row>
    <row r="569" ht="12.75" customHeight="1">
      <c r="S569" s="40"/>
    </row>
    <row r="570" ht="12.75" customHeight="1">
      <c r="S570" s="40"/>
    </row>
    <row r="571" ht="12.75" customHeight="1">
      <c r="S571" s="40"/>
    </row>
    <row r="572" ht="12.75" customHeight="1">
      <c r="S572" s="40"/>
    </row>
    <row r="573" ht="12.75" customHeight="1">
      <c r="S573" s="40"/>
    </row>
    <row r="574" ht="12.75" customHeight="1">
      <c r="S574" s="40"/>
    </row>
    <row r="575" ht="12.75" customHeight="1">
      <c r="S575" s="40"/>
    </row>
    <row r="576" ht="12.75" customHeight="1">
      <c r="S576" s="40"/>
    </row>
    <row r="577" ht="12.75" customHeight="1">
      <c r="S577" s="40"/>
    </row>
    <row r="578" ht="12.75" customHeight="1">
      <c r="S578" s="40"/>
    </row>
    <row r="579" ht="12.75" customHeight="1">
      <c r="S579" s="40"/>
    </row>
    <row r="580" ht="12.75" customHeight="1">
      <c r="S580" s="40"/>
    </row>
    <row r="581" ht="12.75" customHeight="1">
      <c r="S581" s="40"/>
    </row>
    <row r="582" ht="12.75" customHeight="1">
      <c r="S582" s="40"/>
    </row>
    <row r="583" ht="12.75" customHeight="1">
      <c r="S583" s="40"/>
    </row>
    <row r="584" ht="12.75" customHeight="1">
      <c r="S584" s="40"/>
    </row>
    <row r="585" ht="12.75" customHeight="1">
      <c r="S585" s="40"/>
    </row>
    <row r="586" ht="12.75" customHeight="1">
      <c r="S586" s="40"/>
    </row>
    <row r="587" ht="12.75" customHeight="1">
      <c r="S587" s="40"/>
    </row>
    <row r="588" ht="12.75" customHeight="1">
      <c r="S588" s="40"/>
    </row>
    <row r="589" ht="12.75" customHeight="1">
      <c r="S589" s="40"/>
    </row>
    <row r="590" ht="12.75" customHeight="1">
      <c r="S590" s="40"/>
    </row>
    <row r="591" ht="12.75" customHeight="1">
      <c r="S591" s="40"/>
    </row>
    <row r="592" ht="12.75" customHeight="1">
      <c r="S592" s="40"/>
    </row>
    <row r="593" ht="12.75" customHeight="1">
      <c r="S593" s="40"/>
    </row>
    <row r="594" ht="12.75" customHeight="1">
      <c r="S594" s="40"/>
    </row>
    <row r="595" ht="12.75" customHeight="1">
      <c r="S595" s="40"/>
    </row>
    <row r="596" ht="12.75" customHeight="1">
      <c r="S596" s="40"/>
    </row>
    <row r="597" ht="12.75" customHeight="1">
      <c r="S597" s="40"/>
    </row>
    <row r="598" ht="12.75" customHeight="1">
      <c r="S598" s="40"/>
    </row>
    <row r="599" ht="12.75" customHeight="1">
      <c r="S599" s="40"/>
    </row>
    <row r="600" ht="12.75" customHeight="1">
      <c r="S600" s="40"/>
    </row>
    <row r="601" ht="12.75" customHeight="1">
      <c r="S601" s="40"/>
    </row>
    <row r="602" ht="12.75" customHeight="1">
      <c r="S602" s="40"/>
    </row>
    <row r="603" ht="12.75" customHeight="1">
      <c r="S603" s="40"/>
    </row>
    <row r="604" ht="12.75" customHeight="1">
      <c r="S604" s="40"/>
    </row>
    <row r="605" ht="12.75" customHeight="1">
      <c r="S605" s="40"/>
    </row>
    <row r="606" ht="12.75" customHeight="1">
      <c r="S606" s="40"/>
    </row>
    <row r="607" ht="12.75" customHeight="1">
      <c r="S607" s="40"/>
    </row>
    <row r="608" ht="12.75" customHeight="1">
      <c r="S608" s="40"/>
    </row>
    <row r="609" ht="12.75" customHeight="1">
      <c r="S609" s="40"/>
    </row>
    <row r="610" ht="12.75" customHeight="1">
      <c r="S610" s="40"/>
    </row>
    <row r="611" ht="12.75" customHeight="1">
      <c r="S611" s="40"/>
    </row>
    <row r="612" ht="12.75" customHeight="1">
      <c r="S612" s="40"/>
    </row>
    <row r="613" ht="12.75" customHeight="1">
      <c r="S613" s="40"/>
    </row>
    <row r="614" ht="12.75" customHeight="1">
      <c r="S614" s="40"/>
    </row>
    <row r="615" ht="12.75" customHeight="1">
      <c r="S615" s="40"/>
    </row>
    <row r="616" ht="12.75" customHeight="1">
      <c r="S616" s="40"/>
    </row>
    <row r="617" ht="12.75" customHeight="1">
      <c r="S617" s="40"/>
    </row>
    <row r="618" ht="12.75" customHeight="1">
      <c r="S618" s="40"/>
    </row>
    <row r="619" ht="12.75" customHeight="1">
      <c r="S619" s="40"/>
    </row>
    <row r="620" ht="12.75" customHeight="1">
      <c r="S620" s="40"/>
    </row>
    <row r="621" ht="12.75" customHeight="1">
      <c r="S621" s="40"/>
    </row>
    <row r="622" ht="12.75" customHeight="1">
      <c r="S622" s="40"/>
    </row>
    <row r="623" ht="12.75" customHeight="1">
      <c r="S623" s="40"/>
    </row>
    <row r="624" ht="12.75" customHeight="1">
      <c r="S624" s="40"/>
    </row>
    <row r="625" ht="12.75" customHeight="1">
      <c r="S625" s="40"/>
    </row>
    <row r="626" ht="12.75" customHeight="1">
      <c r="S626" s="40"/>
    </row>
    <row r="627" ht="12.75" customHeight="1">
      <c r="S627" s="40"/>
    </row>
    <row r="628" ht="12.75" customHeight="1">
      <c r="S628" s="40"/>
    </row>
    <row r="629" ht="12.75" customHeight="1">
      <c r="S629" s="40"/>
    </row>
    <row r="630" ht="12.75" customHeight="1">
      <c r="S630" s="40"/>
    </row>
    <row r="631" ht="12.75" customHeight="1">
      <c r="S631" s="40"/>
    </row>
    <row r="632" ht="12.75" customHeight="1">
      <c r="S632" s="40"/>
    </row>
    <row r="633" ht="12.75" customHeight="1">
      <c r="S633" s="40"/>
    </row>
    <row r="634" ht="12.75" customHeight="1">
      <c r="S634" s="40"/>
    </row>
    <row r="635" ht="12.75" customHeight="1">
      <c r="S635" s="40"/>
    </row>
    <row r="636" ht="12.75" customHeight="1">
      <c r="S636" s="40"/>
    </row>
    <row r="637" ht="12.75" customHeight="1">
      <c r="S637" s="40"/>
    </row>
    <row r="638" ht="12.75" customHeight="1">
      <c r="S638" s="40"/>
    </row>
    <row r="639" ht="12.75" customHeight="1">
      <c r="S639" s="40"/>
    </row>
    <row r="640" ht="12.75" customHeight="1">
      <c r="S640" s="40"/>
    </row>
    <row r="641" ht="12.75" customHeight="1">
      <c r="S641" s="40"/>
    </row>
    <row r="642" ht="12.75" customHeight="1">
      <c r="S642" s="40"/>
    </row>
    <row r="643" ht="12.75" customHeight="1">
      <c r="S643" s="40"/>
    </row>
    <row r="644" ht="12.75" customHeight="1">
      <c r="S644" s="40"/>
    </row>
    <row r="645" ht="12.75" customHeight="1">
      <c r="S645" s="40"/>
    </row>
    <row r="646" ht="12.75" customHeight="1">
      <c r="S646" s="40"/>
    </row>
    <row r="647" ht="12.75" customHeight="1">
      <c r="S647" s="40"/>
    </row>
    <row r="648" ht="12.75" customHeight="1">
      <c r="S648" s="40"/>
    </row>
    <row r="649" ht="12.75" customHeight="1">
      <c r="S649" s="40"/>
    </row>
    <row r="650" ht="12.75" customHeight="1">
      <c r="S650" s="40"/>
    </row>
    <row r="651" ht="12.75" customHeight="1">
      <c r="S651" s="40"/>
    </row>
    <row r="652" ht="12.75" customHeight="1">
      <c r="S652" s="40"/>
    </row>
    <row r="653" ht="12.75" customHeight="1">
      <c r="S653" s="40"/>
    </row>
    <row r="654" ht="12.75" customHeight="1">
      <c r="S654" s="40"/>
    </row>
    <row r="655" ht="12.75" customHeight="1">
      <c r="S655" s="40"/>
    </row>
    <row r="656" ht="12.75" customHeight="1">
      <c r="S656" s="40"/>
    </row>
    <row r="657" ht="12.75" customHeight="1">
      <c r="S657" s="40"/>
    </row>
    <row r="658" ht="12.75" customHeight="1">
      <c r="S658" s="40"/>
    </row>
    <row r="659" ht="12.75" customHeight="1">
      <c r="S659" s="40"/>
    </row>
    <row r="660" ht="12.75" customHeight="1">
      <c r="S660" s="40"/>
    </row>
    <row r="661" ht="12.75" customHeight="1">
      <c r="S661" s="40"/>
    </row>
    <row r="662" ht="12.75" customHeight="1">
      <c r="S662" s="40"/>
    </row>
    <row r="663" ht="12.75" customHeight="1">
      <c r="S663" s="40"/>
    </row>
    <row r="664" ht="12.75" customHeight="1">
      <c r="S664" s="40"/>
    </row>
    <row r="665" ht="12.75" customHeight="1">
      <c r="S665" s="40"/>
    </row>
    <row r="666" ht="12.75" customHeight="1">
      <c r="S666" s="40"/>
    </row>
    <row r="667" ht="12.75" customHeight="1">
      <c r="S667" s="40"/>
    </row>
    <row r="668" ht="12.75" customHeight="1">
      <c r="S668" s="40"/>
    </row>
    <row r="669" ht="12.75" customHeight="1">
      <c r="S669" s="40"/>
    </row>
    <row r="670" ht="12.75" customHeight="1">
      <c r="S670" s="40"/>
    </row>
    <row r="671" ht="12.75" customHeight="1">
      <c r="S671" s="40"/>
    </row>
    <row r="672" ht="12.75" customHeight="1">
      <c r="S672" s="40"/>
    </row>
    <row r="673" ht="12.75" customHeight="1">
      <c r="S673" s="40"/>
    </row>
    <row r="674" ht="12.75" customHeight="1">
      <c r="S674" s="40"/>
    </row>
    <row r="675" ht="12.75" customHeight="1">
      <c r="S675" s="40"/>
    </row>
    <row r="676" ht="12.75" customHeight="1">
      <c r="S676" s="40"/>
    </row>
    <row r="677" ht="12.75" customHeight="1">
      <c r="S677" s="40"/>
    </row>
    <row r="678" ht="12.75" customHeight="1">
      <c r="S678" s="40"/>
    </row>
    <row r="679" ht="12.75" customHeight="1">
      <c r="S679" s="40"/>
    </row>
    <row r="680" ht="12.75" customHeight="1">
      <c r="S680" s="40"/>
    </row>
    <row r="681" ht="12.75" customHeight="1">
      <c r="S681" s="40"/>
    </row>
    <row r="682" ht="12.75" customHeight="1">
      <c r="S682" s="40"/>
    </row>
    <row r="683" ht="12.75" customHeight="1">
      <c r="S683" s="40"/>
    </row>
    <row r="684" ht="12.75" customHeight="1">
      <c r="S684" s="40"/>
    </row>
    <row r="685" ht="12.75" customHeight="1">
      <c r="S685" s="40"/>
    </row>
    <row r="686" ht="12.75" customHeight="1">
      <c r="S686" s="40"/>
    </row>
    <row r="687" ht="12.75" customHeight="1">
      <c r="S687" s="40"/>
    </row>
    <row r="688" ht="12.75" customHeight="1">
      <c r="S688" s="40"/>
    </row>
    <row r="689" ht="12.75" customHeight="1">
      <c r="S689" s="40"/>
    </row>
    <row r="690" ht="12.75" customHeight="1">
      <c r="S690" s="40"/>
    </row>
    <row r="691" ht="12.75" customHeight="1">
      <c r="S691" s="40"/>
    </row>
    <row r="692" ht="12.75" customHeight="1">
      <c r="S692" s="40"/>
    </row>
    <row r="693" ht="12.75" customHeight="1">
      <c r="S693" s="40"/>
    </row>
    <row r="694" ht="12.75" customHeight="1">
      <c r="S694" s="40"/>
    </row>
    <row r="695" ht="12.75" customHeight="1">
      <c r="S695" s="40"/>
    </row>
    <row r="696" ht="12.75" customHeight="1">
      <c r="S696" s="40"/>
    </row>
    <row r="697" ht="12.75" customHeight="1">
      <c r="S697" s="40"/>
    </row>
    <row r="698" ht="12.75" customHeight="1">
      <c r="S698" s="40"/>
    </row>
    <row r="699" ht="12.75" customHeight="1">
      <c r="S699" s="40"/>
    </row>
    <row r="700" ht="12.75" customHeight="1">
      <c r="S700" s="40"/>
    </row>
    <row r="701" ht="12.75" customHeight="1">
      <c r="S701" s="40"/>
    </row>
    <row r="702" ht="12.75" customHeight="1">
      <c r="S702" s="40"/>
    </row>
    <row r="703" ht="12.75" customHeight="1">
      <c r="S703" s="40"/>
    </row>
    <row r="704" ht="12.75" customHeight="1">
      <c r="S704" s="40"/>
    </row>
    <row r="705" ht="12.75" customHeight="1">
      <c r="S705" s="40"/>
    </row>
    <row r="706" ht="12.75" customHeight="1">
      <c r="S706" s="40"/>
    </row>
    <row r="707" ht="12.75" customHeight="1">
      <c r="S707" s="40"/>
    </row>
    <row r="708" ht="12.75" customHeight="1">
      <c r="S708" s="40"/>
    </row>
    <row r="709" ht="12.75" customHeight="1">
      <c r="S709" s="40"/>
    </row>
    <row r="710" ht="12.75" customHeight="1">
      <c r="S710" s="40"/>
    </row>
    <row r="711" ht="12.75" customHeight="1">
      <c r="S711" s="40"/>
    </row>
    <row r="712" ht="12.75" customHeight="1">
      <c r="S712" s="40"/>
    </row>
    <row r="713" ht="12.75" customHeight="1">
      <c r="S713" s="40"/>
    </row>
    <row r="714" ht="12.75" customHeight="1">
      <c r="S714" s="40"/>
    </row>
    <row r="715" ht="12.75" customHeight="1">
      <c r="S715" s="40"/>
    </row>
    <row r="716" ht="12.75" customHeight="1">
      <c r="S716" s="40"/>
    </row>
    <row r="717" ht="12.75" customHeight="1">
      <c r="S717" s="40"/>
    </row>
    <row r="718" ht="12.75" customHeight="1">
      <c r="S718" s="40"/>
    </row>
    <row r="719" ht="12.75" customHeight="1">
      <c r="S719" s="40"/>
    </row>
    <row r="720" ht="12.75" customHeight="1">
      <c r="S720" s="40"/>
    </row>
    <row r="721" ht="12.75" customHeight="1">
      <c r="S721" s="40"/>
    </row>
    <row r="722" ht="12.75" customHeight="1">
      <c r="S722" s="40"/>
    </row>
    <row r="723" ht="12.75" customHeight="1">
      <c r="S723" s="40"/>
    </row>
    <row r="724" ht="12.75" customHeight="1">
      <c r="S724" s="40"/>
    </row>
    <row r="725" ht="12.75" customHeight="1">
      <c r="S725" s="40"/>
    </row>
    <row r="726" ht="12.75" customHeight="1">
      <c r="S726" s="40"/>
    </row>
    <row r="727" ht="12.75" customHeight="1">
      <c r="S727" s="40"/>
    </row>
    <row r="728" ht="12.75" customHeight="1">
      <c r="S728" s="40"/>
    </row>
    <row r="729" ht="12.75" customHeight="1">
      <c r="S729" s="40"/>
    </row>
    <row r="730" ht="12.75" customHeight="1">
      <c r="S730" s="40"/>
    </row>
    <row r="731" ht="12.75" customHeight="1">
      <c r="S731" s="40"/>
    </row>
    <row r="732" ht="12.75" customHeight="1">
      <c r="S732" s="40"/>
    </row>
    <row r="733" ht="12.75" customHeight="1">
      <c r="S733" s="40"/>
    </row>
    <row r="734" ht="12.75" customHeight="1">
      <c r="S734" s="40"/>
    </row>
    <row r="735" ht="12.75" customHeight="1">
      <c r="S735" s="40"/>
    </row>
    <row r="736" ht="12.75" customHeight="1">
      <c r="S736" s="40"/>
    </row>
    <row r="737" ht="12.75" customHeight="1">
      <c r="S737" s="40"/>
    </row>
    <row r="738" ht="12.75" customHeight="1">
      <c r="S738" s="40"/>
    </row>
    <row r="739" ht="12.75" customHeight="1">
      <c r="S739" s="40"/>
    </row>
    <row r="740" ht="12.75" customHeight="1">
      <c r="S740" s="40"/>
    </row>
    <row r="741" ht="12.75" customHeight="1">
      <c r="S741" s="40"/>
    </row>
    <row r="742" ht="12.75" customHeight="1">
      <c r="S742" s="40"/>
    </row>
    <row r="743" ht="12.75" customHeight="1">
      <c r="S743" s="40"/>
    </row>
    <row r="744" ht="12.75" customHeight="1">
      <c r="S744" s="40"/>
    </row>
    <row r="745" ht="12.75" customHeight="1">
      <c r="S745" s="40"/>
    </row>
    <row r="746" ht="12.75" customHeight="1">
      <c r="S746" s="40"/>
    </row>
    <row r="747" ht="12.75" customHeight="1">
      <c r="S747" s="40"/>
    </row>
    <row r="748" ht="12.75" customHeight="1">
      <c r="S748" s="40"/>
    </row>
    <row r="749" ht="12.75" customHeight="1">
      <c r="S749" s="40"/>
    </row>
    <row r="750" ht="12.75" customHeight="1">
      <c r="S750" s="40"/>
    </row>
    <row r="751" ht="12.75" customHeight="1">
      <c r="S751" s="40"/>
    </row>
    <row r="752" ht="12.75" customHeight="1">
      <c r="S752" s="40"/>
    </row>
    <row r="753" ht="12.75" customHeight="1">
      <c r="S753" s="40"/>
    </row>
    <row r="754" ht="12.75" customHeight="1">
      <c r="S754" s="40"/>
    </row>
    <row r="755" ht="12.75" customHeight="1">
      <c r="S755" s="40"/>
    </row>
    <row r="756" ht="12.75" customHeight="1">
      <c r="S756" s="40"/>
    </row>
    <row r="757" ht="12.75" customHeight="1">
      <c r="S757" s="40"/>
    </row>
    <row r="758" ht="12.75" customHeight="1">
      <c r="S758" s="40"/>
    </row>
    <row r="759" ht="12.75" customHeight="1">
      <c r="S759" s="40"/>
    </row>
    <row r="760" ht="12.75" customHeight="1">
      <c r="S760" s="40"/>
    </row>
    <row r="761" ht="12.75" customHeight="1">
      <c r="S761" s="40"/>
    </row>
    <row r="762" ht="12.75" customHeight="1">
      <c r="S762" s="40"/>
    </row>
    <row r="763" ht="12.75" customHeight="1">
      <c r="S763" s="40"/>
    </row>
    <row r="764" ht="12.75" customHeight="1">
      <c r="S764" s="40"/>
    </row>
    <row r="765" ht="12.75" customHeight="1">
      <c r="S765" s="40"/>
    </row>
    <row r="766" ht="12.75" customHeight="1">
      <c r="S766" s="40"/>
    </row>
    <row r="767" ht="12.75" customHeight="1">
      <c r="S767" s="40"/>
    </row>
    <row r="768" ht="12.75" customHeight="1">
      <c r="S768" s="40"/>
    </row>
    <row r="769" ht="12.75" customHeight="1">
      <c r="S769" s="40"/>
    </row>
    <row r="770" ht="12.75" customHeight="1">
      <c r="S770" s="40"/>
    </row>
    <row r="771" ht="12.75" customHeight="1">
      <c r="S771" s="40"/>
    </row>
    <row r="772" ht="12.75" customHeight="1">
      <c r="S772" s="40"/>
    </row>
    <row r="773" ht="12.75" customHeight="1">
      <c r="S773" s="40"/>
    </row>
    <row r="774" ht="12.75" customHeight="1">
      <c r="S774" s="40"/>
    </row>
    <row r="775" ht="12.75" customHeight="1">
      <c r="S775" s="40"/>
    </row>
    <row r="776" ht="12.75" customHeight="1">
      <c r="S776" s="40"/>
    </row>
    <row r="777" ht="12.75" customHeight="1">
      <c r="S777" s="40"/>
    </row>
    <row r="778" ht="12.75" customHeight="1">
      <c r="S778" s="40"/>
    </row>
    <row r="779" ht="12.75" customHeight="1">
      <c r="S779" s="40"/>
    </row>
    <row r="780" ht="12.75" customHeight="1">
      <c r="S780" s="40"/>
    </row>
    <row r="781" ht="12.75" customHeight="1">
      <c r="S781" s="40"/>
    </row>
    <row r="782" ht="12.75" customHeight="1">
      <c r="S782" s="40"/>
    </row>
    <row r="783" ht="12.75" customHeight="1">
      <c r="S783" s="40"/>
    </row>
    <row r="784" ht="12.75" customHeight="1">
      <c r="S784" s="40"/>
    </row>
    <row r="785" ht="12.75" customHeight="1">
      <c r="S785" s="40"/>
    </row>
    <row r="786" ht="12.75" customHeight="1">
      <c r="S786" s="40"/>
    </row>
    <row r="787" ht="12.75" customHeight="1">
      <c r="S787" s="40"/>
    </row>
    <row r="788" ht="12.75" customHeight="1">
      <c r="S788" s="40"/>
    </row>
    <row r="789" ht="12.75" customHeight="1">
      <c r="S789" s="40"/>
    </row>
    <row r="790" ht="12.75" customHeight="1">
      <c r="S790" s="40"/>
    </row>
    <row r="791" ht="12.75" customHeight="1">
      <c r="S791" s="40"/>
    </row>
    <row r="792" ht="12.75" customHeight="1">
      <c r="S792" s="40"/>
    </row>
    <row r="793" ht="12.75" customHeight="1">
      <c r="S793" s="40"/>
    </row>
    <row r="794" ht="12.75" customHeight="1">
      <c r="S794" s="40"/>
    </row>
    <row r="795" ht="12.75" customHeight="1">
      <c r="S795" s="40"/>
    </row>
    <row r="796" ht="12.75" customHeight="1">
      <c r="S796" s="40"/>
    </row>
    <row r="797" ht="12.75" customHeight="1">
      <c r="S797" s="40"/>
    </row>
    <row r="798" ht="12.75" customHeight="1">
      <c r="S798" s="40"/>
    </row>
    <row r="799" ht="12.75" customHeight="1">
      <c r="S799" s="40"/>
    </row>
    <row r="800" ht="12.75" customHeight="1">
      <c r="S800" s="40"/>
    </row>
    <row r="801" ht="12.75" customHeight="1">
      <c r="S801" s="40"/>
    </row>
    <row r="802" ht="12.75" customHeight="1">
      <c r="S802" s="40"/>
    </row>
    <row r="803" ht="12.75" customHeight="1">
      <c r="S803" s="40"/>
    </row>
    <row r="804" ht="12.75" customHeight="1">
      <c r="S804" s="40"/>
    </row>
    <row r="805" ht="12.75" customHeight="1">
      <c r="S805" s="40"/>
    </row>
    <row r="806">
      <c r="S806" s="40"/>
    </row>
    <row r="807">
      <c r="S807" s="40"/>
    </row>
    <row r="808">
      <c r="S808" s="40"/>
    </row>
    <row r="809">
      <c r="S809" s="40"/>
    </row>
    <row r="810">
      <c r="S810" s="40"/>
    </row>
    <row r="811">
      <c r="S811" s="40"/>
    </row>
    <row r="812">
      <c r="S812" s="40"/>
    </row>
    <row r="813">
      <c r="S813" s="40"/>
    </row>
    <row r="814">
      <c r="S814" s="40"/>
    </row>
    <row r="815">
      <c r="S815" s="40"/>
    </row>
    <row r="816">
      <c r="S816" s="40"/>
    </row>
    <row r="817">
      <c r="S817" s="40"/>
    </row>
    <row r="818">
      <c r="S818" s="40"/>
    </row>
    <row r="819">
      <c r="S819" s="40"/>
    </row>
    <row r="820">
      <c r="S820" s="40"/>
    </row>
    <row r="821">
      <c r="S821" s="40"/>
    </row>
    <row r="822">
      <c r="S822" s="40"/>
    </row>
    <row r="823">
      <c r="S823" s="40"/>
    </row>
    <row r="824">
      <c r="S824" s="40"/>
    </row>
    <row r="825">
      <c r="S825" s="40"/>
    </row>
    <row r="826">
      <c r="S826" s="40"/>
    </row>
    <row r="827">
      <c r="S827" s="40"/>
    </row>
    <row r="828">
      <c r="S828" s="40"/>
    </row>
    <row r="829">
      <c r="S829" s="40"/>
    </row>
    <row r="830">
      <c r="S830" s="40"/>
    </row>
    <row r="831">
      <c r="S831" s="40"/>
    </row>
    <row r="832">
      <c r="S832" s="40"/>
    </row>
    <row r="833">
      <c r="S833" s="40"/>
    </row>
    <row r="834">
      <c r="S834" s="40"/>
    </row>
    <row r="835">
      <c r="S835" s="40"/>
    </row>
    <row r="836">
      <c r="S836" s="40"/>
    </row>
    <row r="837">
      <c r="S837" s="40"/>
    </row>
    <row r="838">
      <c r="S838" s="40"/>
    </row>
    <row r="839">
      <c r="S839" s="40"/>
    </row>
    <row r="840">
      <c r="S840" s="40"/>
    </row>
    <row r="841">
      <c r="S841" s="40"/>
    </row>
    <row r="842">
      <c r="S842" s="40"/>
    </row>
    <row r="843">
      <c r="S843" s="40"/>
    </row>
    <row r="844">
      <c r="S844" s="40"/>
    </row>
    <row r="845">
      <c r="S845" s="40"/>
    </row>
    <row r="846">
      <c r="S846" s="40"/>
    </row>
    <row r="847">
      <c r="S847" s="40"/>
    </row>
    <row r="848">
      <c r="S848" s="40"/>
    </row>
    <row r="849">
      <c r="S849" s="40"/>
    </row>
    <row r="850">
      <c r="S850" s="40"/>
    </row>
    <row r="851">
      <c r="S851" s="40"/>
    </row>
    <row r="852">
      <c r="S852" s="40"/>
    </row>
    <row r="853">
      <c r="S853" s="40"/>
    </row>
    <row r="854">
      <c r="S854" s="40"/>
    </row>
    <row r="855">
      <c r="S855" s="40"/>
    </row>
    <row r="856">
      <c r="S856" s="40"/>
    </row>
    <row r="857">
      <c r="S857" s="40"/>
    </row>
    <row r="858">
      <c r="S858" s="40"/>
    </row>
    <row r="859">
      <c r="S859" s="40"/>
    </row>
    <row r="860">
      <c r="S860" s="40"/>
    </row>
    <row r="861">
      <c r="S861" s="40"/>
    </row>
    <row r="862">
      <c r="S862" s="40"/>
    </row>
    <row r="863">
      <c r="S863" s="40"/>
    </row>
    <row r="864">
      <c r="S864" s="40"/>
    </row>
    <row r="865">
      <c r="S865" s="40"/>
    </row>
    <row r="866">
      <c r="S866" s="40"/>
    </row>
    <row r="867">
      <c r="S867" s="40"/>
    </row>
    <row r="868">
      <c r="S868" s="40"/>
    </row>
    <row r="869">
      <c r="S869" s="40"/>
    </row>
    <row r="870">
      <c r="S870" s="40"/>
    </row>
    <row r="871">
      <c r="S871" s="40"/>
    </row>
    <row r="872">
      <c r="S872" s="40"/>
    </row>
    <row r="873">
      <c r="S873" s="40"/>
    </row>
    <row r="874">
      <c r="S874" s="40"/>
    </row>
    <row r="875">
      <c r="S875" s="40"/>
    </row>
    <row r="876">
      <c r="S876" s="40"/>
    </row>
    <row r="877">
      <c r="S877" s="40"/>
    </row>
    <row r="878">
      <c r="S878" s="40"/>
    </row>
    <row r="879">
      <c r="S879" s="40"/>
    </row>
    <row r="880">
      <c r="S880" s="40"/>
    </row>
    <row r="881">
      <c r="S881" s="40"/>
    </row>
    <row r="882">
      <c r="S882" s="40"/>
    </row>
    <row r="883">
      <c r="S883" s="40"/>
    </row>
    <row r="884">
      <c r="S884" s="40"/>
    </row>
    <row r="885">
      <c r="S885" s="40"/>
    </row>
    <row r="886">
      <c r="S886" s="40"/>
    </row>
    <row r="887">
      <c r="S887" s="40"/>
    </row>
    <row r="888">
      <c r="S888" s="40"/>
    </row>
    <row r="889">
      <c r="S889" s="40"/>
    </row>
    <row r="890">
      <c r="S890" s="40"/>
    </row>
    <row r="891">
      <c r="S891" s="40"/>
    </row>
    <row r="892">
      <c r="S892" s="40"/>
    </row>
    <row r="893">
      <c r="S893" s="40"/>
    </row>
    <row r="894">
      <c r="S894" s="40"/>
    </row>
    <row r="895">
      <c r="S895" s="40"/>
    </row>
    <row r="896">
      <c r="S896" s="40"/>
    </row>
    <row r="897">
      <c r="S897" s="40"/>
    </row>
    <row r="898">
      <c r="S898" s="40"/>
    </row>
    <row r="899">
      <c r="S899" s="40"/>
    </row>
    <row r="900">
      <c r="S900" s="40"/>
    </row>
    <row r="901">
      <c r="S901" s="40"/>
    </row>
    <row r="902">
      <c r="S902" s="40"/>
    </row>
    <row r="903">
      <c r="S903" s="40"/>
    </row>
    <row r="904">
      <c r="S904" s="40"/>
    </row>
    <row r="905">
      <c r="S905" s="40"/>
    </row>
    <row r="906">
      <c r="S906" s="40"/>
    </row>
    <row r="907">
      <c r="S907" s="40"/>
    </row>
    <row r="908">
      <c r="S908" s="40"/>
    </row>
    <row r="909">
      <c r="S909" s="40"/>
    </row>
    <row r="910">
      <c r="S910" s="40"/>
    </row>
    <row r="911">
      <c r="S911" s="40"/>
    </row>
    <row r="912">
      <c r="S912" s="40"/>
    </row>
    <row r="913">
      <c r="S913" s="40"/>
    </row>
    <row r="914">
      <c r="S914" s="40"/>
    </row>
    <row r="915">
      <c r="S915" s="40"/>
    </row>
    <row r="916">
      <c r="S916" s="40"/>
    </row>
    <row r="917">
      <c r="S917" s="40"/>
    </row>
    <row r="918">
      <c r="S918" s="40"/>
    </row>
    <row r="919">
      <c r="S919" s="40"/>
    </row>
    <row r="920">
      <c r="S920" s="40"/>
    </row>
    <row r="921">
      <c r="S921" s="40"/>
    </row>
    <row r="922">
      <c r="S922" s="40"/>
    </row>
    <row r="923">
      <c r="S923" s="40"/>
    </row>
    <row r="924">
      <c r="S924" s="40"/>
    </row>
    <row r="925">
      <c r="S925" s="40"/>
    </row>
    <row r="926">
      <c r="S926" s="40"/>
    </row>
    <row r="927">
      <c r="S927" s="40"/>
    </row>
    <row r="928">
      <c r="S928" s="40"/>
    </row>
    <row r="929">
      <c r="S929" s="40"/>
    </row>
    <row r="930">
      <c r="S930" s="40"/>
    </row>
    <row r="931">
      <c r="S931" s="40"/>
    </row>
    <row r="932">
      <c r="S932" s="40"/>
    </row>
    <row r="933">
      <c r="S933" s="40"/>
    </row>
    <row r="934">
      <c r="S934" s="40"/>
    </row>
    <row r="935">
      <c r="S935" s="40"/>
    </row>
    <row r="936">
      <c r="S936" s="40"/>
    </row>
    <row r="937">
      <c r="S937" s="40"/>
    </row>
    <row r="938">
      <c r="S938" s="40"/>
    </row>
    <row r="939">
      <c r="S939" s="40"/>
    </row>
    <row r="940">
      <c r="S940" s="40"/>
    </row>
    <row r="941">
      <c r="S941" s="40"/>
    </row>
  </sheetData>
  <mergeCells count="748">
    <mergeCell ref="N36:O36"/>
    <mergeCell ref="L37:M37"/>
    <mergeCell ref="N37:O37"/>
    <mergeCell ref="H37:K37"/>
    <mergeCell ref="H38:K38"/>
    <mergeCell ref="D37:F37"/>
    <mergeCell ref="D38:F38"/>
    <mergeCell ref="D22:F22"/>
    <mergeCell ref="D23:F23"/>
    <mergeCell ref="D24:F24"/>
    <mergeCell ref="D25:F25"/>
    <mergeCell ref="D26:F26"/>
    <mergeCell ref="H30:K30"/>
    <mergeCell ref="D30:F30"/>
    <mergeCell ref="D31:F31"/>
    <mergeCell ref="D32:F32"/>
    <mergeCell ref="D33:F33"/>
    <mergeCell ref="D34:F34"/>
    <mergeCell ref="L38:M38"/>
    <mergeCell ref="N38:O38"/>
    <mergeCell ref="L40:M40"/>
    <mergeCell ref="N40:O40"/>
    <mergeCell ref="H29:K29"/>
    <mergeCell ref="L29:M29"/>
    <mergeCell ref="D27:F27"/>
    <mergeCell ref="D28:F28"/>
    <mergeCell ref="D29:F29"/>
    <mergeCell ref="L26:M26"/>
    <mergeCell ref="N26:O26"/>
    <mergeCell ref="B25:C25"/>
    <mergeCell ref="B33:C33"/>
    <mergeCell ref="B34:C34"/>
    <mergeCell ref="B35:C35"/>
    <mergeCell ref="B36:C36"/>
    <mergeCell ref="B37:C37"/>
    <mergeCell ref="B38:C38"/>
    <mergeCell ref="B39:C39"/>
    <mergeCell ref="B20:C20"/>
    <mergeCell ref="B21:C21"/>
    <mergeCell ref="B22:C22"/>
    <mergeCell ref="B23:C23"/>
    <mergeCell ref="B24:C24"/>
    <mergeCell ref="D20:F20"/>
    <mergeCell ref="D21:F21"/>
    <mergeCell ref="N29:O29"/>
    <mergeCell ref="B41:C41"/>
    <mergeCell ref="L41:M41"/>
    <mergeCell ref="B31:C31"/>
    <mergeCell ref="B32:C32"/>
    <mergeCell ref="B40:C40"/>
    <mergeCell ref="D40:F40"/>
    <mergeCell ref="D41:F41"/>
    <mergeCell ref="N41:O41"/>
    <mergeCell ref="H41:K41"/>
    <mergeCell ref="L43:M43"/>
    <mergeCell ref="N43:O43"/>
    <mergeCell ref="H44:K44"/>
    <mergeCell ref="H42:K42"/>
    <mergeCell ref="L42:M42"/>
    <mergeCell ref="N42:O42"/>
    <mergeCell ref="H43:K43"/>
    <mergeCell ref="D35:F35"/>
    <mergeCell ref="D36:F36"/>
    <mergeCell ref="D39:F39"/>
    <mergeCell ref="B45:C45"/>
    <mergeCell ref="D45:F45"/>
    <mergeCell ref="B46:C46"/>
    <mergeCell ref="D46:F46"/>
    <mergeCell ref="B48:C48"/>
    <mergeCell ref="B49:C49"/>
    <mergeCell ref="B47:C47"/>
    <mergeCell ref="D47:F47"/>
    <mergeCell ref="H47:K47"/>
    <mergeCell ref="L47:M47"/>
    <mergeCell ref="N47:O47"/>
    <mergeCell ref="D50:F50"/>
    <mergeCell ref="H50:K50"/>
    <mergeCell ref="B50:C50"/>
    <mergeCell ref="B51:C51"/>
    <mergeCell ref="D51:F51"/>
    <mergeCell ref="H51:K51"/>
    <mergeCell ref="D56:F56"/>
    <mergeCell ref="H56:K56"/>
    <mergeCell ref="B56:C56"/>
    <mergeCell ref="B57:C57"/>
    <mergeCell ref="D57:F57"/>
    <mergeCell ref="H57:K57"/>
    <mergeCell ref="D49:F49"/>
    <mergeCell ref="D54:F54"/>
    <mergeCell ref="B62:C62"/>
    <mergeCell ref="B63:C63"/>
    <mergeCell ref="D63:F63"/>
    <mergeCell ref="D64:F64"/>
    <mergeCell ref="B64:C64"/>
    <mergeCell ref="B65:C65"/>
    <mergeCell ref="D71:F71"/>
    <mergeCell ref="D72:F72"/>
    <mergeCell ref="D73:F73"/>
    <mergeCell ref="D74:F74"/>
    <mergeCell ref="D75:F75"/>
    <mergeCell ref="D76:F76"/>
    <mergeCell ref="D77:F77"/>
    <mergeCell ref="D78:F78"/>
    <mergeCell ref="D65:F65"/>
    <mergeCell ref="D66:F66"/>
    <mergeCell ref="B66:C66"/>
    <mergeCell ref="D70:F70"/>
    <mergeCell ref="D68:F68"/>
    <mergeCell ref="B68:C68"/>
    <mergeCell ref="D69:F69"/>
    <mergeCell ref="B76:C76"/>
    <mergeCell ref="B77:C77"/>
    <mergeCell ref="B69:C69"/>
    <mergeCell ref="B70:C70"/>
    <mergeCell ref="B71:C71"/>
    <mergeCell ref="B72:C72"/>
    <mergeCell ref="B73:C73"/>
    <mergeCell ref="B74:C74"/>
    <mergeCell ref="B75:C75"/>
    <mergeCell ref="B54:C54"/>
    <mergeCell ref="B55:C55"/>
    <mergeCell ref="D55:F55"/>
    <mergeCell ref="H55:K55"/>
    <mergeCell ref="L55:M55"/>
    <mergeCell ref="L56:M56"/>
    <mergeCell ref="N56:O56"/>
    <mergeCell ref="L57:M57"/>
    <mergeCell ref="N57:O57"/>
    <mergeCell ref="L51:M51"/>
    <mergeCell ref="N51:O51"/>
    <mergeCell ref="H63:K63"/>
    <mergeCell ref="L63:M63"/>
    <mergeCell ref="B67:C67"/>
    <mergeCell ref="D67:F67"/>
    <mergeCell ref="N67:O67"/>
    <mergeCell ref="N55:O55"/>
    <mergeCell ref="H70:K70"/>
    <mergeCell ref="L70:M70"/>
    <mergeCell ref="N70:O70"/>
    <mergeCell ref="H68:K68"/>
    <mergeCell ref="L68:M68"/>
    <mergeCell ref="H69:K69"/>
    <mergeCell ref="L69:M69"/>
    <mergeCell ref="H71:K71"/>
    <mergeCell ref="L71:M71"/>
    <mergeCell ref="N68:O68"/>
    <mergeCell ref="N69:O69"/>
    <mergeCell ref="N71:O71"/>
    <mergeCell ref="H64:K64"/>
    <mergeCell ref="L64:M64"/>
    <mergeCell ref="H65:K65"/>
    <mergeCell ref="L65:M65"/>
    <mergeCell ref="H66:K66"/>
    <mergeCell ref="L66:M66"/>
    <mergeCell ref="N66:O66"/>
    <mergeCell ref="H67:K67"/>
    <mergeCell ref="L67:M67"/>
    <mergeCell ref="H74:K74"/>
    <mergeCell ref="L74:M74"/>
    <mergeCell ref="N74:O74"/>
    <mergeCell ref="N63:O63"/>
    <mergeCell ref="N64:O64"/>
    <mergeCell ref="N65:O65"/>
    <mergeCell ref="H75:K75"/>
    <mergeCell ref="L75:M75"/>
    <mergeCell ref="N75:O75"/>
    <mergeCell ref="H77:K77"/>
    <mergeCell ref="L77:M77"/>
    <mergeCell ref="H78:K78"/>
    <mergeCell ref="L78:M78"/>
    <mergeCell ref="N78:O78"/>
    <mergeCell ref="L83:M83"/>
    <mergeCell ref="L84:M84"/>
    <mergeCell ref="H54:K54"/>
    <mergeCell ref="L54:M54"/>
    <mergeCell ref="N54:O54"/>
    <mergeCell ref="N77:O77"/>
    <mergeCell ref="L80:M80"/>
    <mergeCell ref="N80:O80"/>
    <mergeCell ref="L81:M81"/>
    <mergeCell ref="N81:O81"/>
    <mergeCell ref="L82:M82"/>
    <mergeCell ref="N82:O82"/>
    <mergeCell ref="N83:O83"/>
    <mergeCell ref="N84:O84"/>
    <mergeCell ref="H72:K72"/>
    <mergeCell ref="L72:M72"/>
    <mergeCell ref="H73:K73"/>
    <mergeCell ref="L73:M73"/>
    <mergeCell ref="H76:K76"/>
    <mergeCell ref="L76:M76"/>
    <mergeCell ref="N72:O72"/>
    <mergeCell ref="N73:O73"/>
    <mergeCell ref="N76:O76"/>
    <mergeCell ref="H36:K36"/>
    <mergeCell ref="L36:M36"/>
    <mergeCell ref="H28:K28"/>
    <mergeCell ref="H34:K34"/>
    <mergeCell ref="L34:M34"/>
    <mergeCell ref="N34:O34"/>
    <mergeCell ref="H35:K35"/>
    <mergeCell ref="L35:M35"/>
    <mergeCell ref="N35:O35"/>
    <mergeCell ref="B1:C2"/>
    <mergeCell ref="D1:F2"/>
    <mergeCell ref="D13:F13"/>
    <mergeCell ref="D14:F14"/>
    <mergeCell ref="D15:F15"/>
    <mergeCell ref="D16:F16"/>
    <mergeCell ref="D17:F17"/>
    <mergeCell ref="D18:F18"/>
    <mergeCell ref="D19:F19"/>
    <mergeCell ref="B19:C19"/>
    <mergeCell ref="G1:G2"/>
    <mergeCell ref="D7:F7"/>
    <mergeCell ref="N39:O39"/>
    <mergeCell ref="H40:K40"/>
    <mergeCell ref="B42:C42"/>
    <mergeCell ref="D42:F42"/>
    <mergeCell ref="B43:C43"/>
    <mergeCell ref="D43:F43"/>
    <mergeCell ref="B44:C44"/>
    <mergeCell ref="N44:O44"/>
    <mergeCell ref="L44:M44"/>
    <mergeCell ref="H45:K45"/>
    <mergeCell ref="L45:M45"/>
    <mergeCell ref="N45:O45"/>
    <mergeCell ref="H46:K46"/>
    <mergeCell ref="L46:M46"/>
    <mergeCell ref="N46:O46"/>
    <mergeCell ref="L24:M24"/>
    <mergeCell ref="N24:O24"/>
    <mergeCell ref="B26:C26"/>
    <mergeCell ref="B27:C27"/>
    <mergeCell ref="B28:C28"/>
    <mergeCell ref="B29:C29"/>
    <mergeCell ref="L33:M33"/>
    <mergeCell ref="N33:O33"/>
    <mergeCell ref="H39:K39"/>
    <mergeCell ref="L39:M39"/>
    <mergeCell ref="L30:M30"/>
    <mergeCell ref="N30:O30"/>
    <mergeCell ref="B30:C30"/>
    <mergeCell ref="L31:M31"/>
    <mergeCell ref="N31:O31"/>
    <mergeCell ref="L32:M32"/>
    <mergeCell ref="N32:O32"/>
    <mergeCell ref="D44:F44"/>
    <mergeCell ref="H49:K49"/>
    <mergeCell ref="L49:M49"/>
    <mergeCell ref="N49:O49"/>
    <mergeCell ref="L50:M50"/>
    <mergeCell ref="N50:O50"/>
    <mergeCell ref="S1:S2"/>
    <mergeCell ref="H61:K61"/>
    <mergeCell ref="H62:K62"/>
    <mergeCell ref="D60:F60"/>
    <mergeCell ref="H60:K60"/>
    <mergeCell ref="L60:M60"/>
    <mergeCell ref="B60:C60"/>
    <mergeCell ref="B61:C61"/>
    <mergeCell ref="D61:F61"/>
    <mergeCell ref="D62:F62"/>
    <mergeCell ref="D48:F48"/>
    <mergeCell ref="H48:K48"/>
    <mergeCell ref="L48:M48"/>
    <mergeCell ref="N48:O48"/>
    <mergeCell ref="D52:F52"/>
    <mergeCell ref="H52:K52"/>
    <mergeCell ref="L52:M52"/>
    <mergeCell ref="B52:C52"/>
    <mergeCell ref="B53:C53"/>
    <mergeCell ref="H53:K53"/>
    <mergeCell ref="L53:M53"/>
    <mergeCell ref="H59:K59"/>
    <mergeCell ref="L59:M59"/>
    <mergeCell ref="D53:F53"/>
    <mergeCell ref="D58:F58"/>
    <mergeCell ref="H58:K58"/>
    <mergeCell ref="L58:M58"/>
    <mergeCell ref="B58:C58"/>
    <mergeCell ref="B59:C59"/>
    <mergeCell ref="D59:F59"/>
    <mergeCell ref="L62:M62"/>
    <mergeCell ref="N62:O62"/>
    <mergeCell ref="L61:M61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36:C136"/>
    <mergeCell ref="B135:C135"/>
    <mergeCell ref="D88:F88"/>
    <mergeCell ref="B88:C88"/>
    <mergeCell ref="B89:C89"/>
    <mergeCell ref="D89:F89"/>
    <mergeCell ref="H89:K89"/>
    <mergeCell ref="L89:M89"/>
    <mergeCell ref="D90:F90"/>
    <mergeCell ref="H90:K90"/>
    <mergeCell ref="B94:C94"/>
    <mergeCell ref="B90:C90"/>
    <mergeCell ref="B91:C91"/>
    <mergeCell ref="D91:F91"/>
    <mergeCell ref="H91:K91"/>
    <mergeCell ref="H86:K86"/>
    <mergeCell ref="B95:C95"/>
    <mergeCell ref="D95:F95"/>
    <mergeCell ref="H95:K95"/>
    <mergeCell ref="L95:M95"/>
    <mergeCell ref="L88:M88"/>
    <mergeCell ref="L90:M90"/>
    <mergeCell ref="L91:M91"/>
    <mergeCell ref="H99:K99"/>
    <mergeCell ref="L99:M99"/>
    <mergeCell ref="N99:O99"/>
    <mergeCell ref="L105:M105"/>
    <mergeCell ref="N105:O105"/>
    <mergeCell ref="H105:K105"/>
    <mergeCell ref="D104:F104"/>
    <mergeCell ref="N104:O104"/>
    <mergeCell ref="D105:F105"/>
    <mergeCell ref="N100:O100"/>
    <mergeCell ref="N90:O90"/>
    <mergeCell ref="N91:O91"/>
    <mergeCell ref="N52:O52"/>
    <mergeCell ref="N53:O53"/>
    <mergeCell ref="N60:O60"/>
    <mergeCell ref="N61:O61"/>
    <mergeCell ref="N58:O58"/>
    <mergeCell ref="N59:O59"/>
    <mergeCell ref="H118:K118"/>
    <mergeCell ref="L118:M118"/>
    <mergeCell ref="N118:O118"/>
    <mergeCell ref="L119:M119"/>
    <mergeCell ref="N119:O119"/>
    <mergeCell ref="L116:M116"/>
    <mergeCell ref="N116:O116"/>
    <mergeCell ref="B116:C116"/>
    <mergeCell ref="D116:F116"/>
    <mergeCell ref="B117:C117"/>
    <mergeCell ref="D117:F117"/>
    <mergeCell ref="D119:F119"/>
    <mergeCell ref="H119:K119"/>
    <mergeCell ref="H114:K114"/>
    <mergeCell ref="H115:K115"/>
    <mergeCell ref="B114:C114"/>
    <mergeCell ref="B115:C115"/>
    <mergeCell ref="D115:F115"/>
    <mergeCell ref="H113:K113"/>
    <mergeCell ref="D114:F114"/>
    <mergeCell ref="D132:F132"/>
    <mergeCell ref="D133:F133"/>
    <mergeCell ref="D134:F134"/>
    <mergeCell ref="D135:F135"/>
    <mergeCell ref="D107:F107"/>
    <mergeCell ref="D108:F108"/>
    <mergeCell ref="D112:F112"/>
    <mergeCell ref="D109:F109"/>
    <mergeCell ref="D110:F110"/>
    <mergeCell ref="D111:F111"/>
    <mergeCell ref="D113:F113"/>
    <mergeCell ref="B107:C107"/>
    <mergeCell ref="B112:C112"/>
    <mergeCell ref="B108:C108"/>
    <mergeCell ref="B109:C109"/>
    <mergeCell ref="B110:C110"/>
    <mergeCell ref="B111:C111"/>
    <mergeCell ref="B113:C113"/>
    <mergeCell ref="H125:K125"/>
    <mergeCell ref="H126:K126"/>
    <mergeCell ref="H127:K127"/>
    <mergeCell ref="H128:K128"/>
    <mergeCell ref="H129:K129"/>
    <mergeCell ref="H130:K130"/>
    <mergeCell ref="H131:K131"/>
    <mergeCell ref="H132:K132"/>
    <mergeCell ref="N125:O125"/>
    <mergeCell ref="N126:O126"/>
    <mergeCell ref="N130:O130"/>
    <mergeCell ref="N128:O128"/>
    <mergeCell ref="N129:O129"/>
    <mergeCell ref="N133:O133"/>
    <mergeCell ref="N131:O131"/>
    <mergeCell ref="L115:M115"/>
    <mergeCell ref="N115:O115"/>
    <mergeCell ref="N112:O112"/>
    <mergeCell ref="L113:M113"/>
    <mergeCell ref="N113:O113"/>
    <mergeCell ref="N114:O114"/>
    <mergeCell ref="N127:O127"/>
    <mergeCell ref="B78:C78"/>
    <mergeCell ref="B79:C79"/>
    <mergeCell ref="D79:F79"/>
    <mergeCell ref="L79:M79"/>
    <mergeCell ref="N79:O79"/>
    <mergeCell ref="D80:F80"/>
    <mergeCell ref="B80:C80"/>
    <mergeCell ref="B81:C81"/>
    <mergeCell ref="D81:F81"/>
    <mergeCell ref="D82:F82"/>
    <mergeCell ref="B82:C82"/>
    <mergeCell ref="B83:C83"/>
    <mergeCell ref="B87:C87"/>
    <mergeCell ref="D87:F87"/>
    <mergeCell ref="D83:F83"/>
    <mergeCell ref="D84:F84"/>
    <mergeCell ref="B84:C84"/>
    <mergeCell ref="B85:C85"/>
    <mergeCell ref="D85:F85"/>
    <mergeCell ref="D86:F86"/>
    <mergeCell ref="B86:C86"/>
    <mergeCell ref="H87:K87"/>
    <mergeCell ref="H88:K88"/>
    <mergeCell ref="N88:O88"/>
    <mergeCell ref="N89:O89"/>
    <mergeCell ref="D92:F92"/>
    <mergeCell ref="H92:K92"/>
    <mergeCell ref="L92:M92"/>
    <mergeCell ref="N92:O92"/>
    <mergeCell ref="B92:C92"/>
    <mergeCell ref="B93:C93"/>
    <mergeCell ref="D93:F93"/>
    <mergeCell ref="H93:K93"/>
    <mergeCell ref="L93:M93"/>
    <mergeCell ref="N93:O93"/>
    <mergeCell ref="D94:F94"/>
    <mergeCell ref="H94:K94"/>
    <mergeCell ref="H79:K79"/>
    <mergeCell ref="H80:K80"/>
    <mergeCell ref="H81:K81"/>
    <mergeCell ref="H82:K82"/>
    <mergeCell ref="H83:K83"/>
    <mergeCell ref="H84:K84"/>
    <mergeCell ref="H85:K85"/>
    <mergeCell ref="B96:C96"/>
    <mergeCell ref="B97:C97"/>
    <mergeCell ref="B98:C98"/>
    <mergeCell ref="B99:C99"/>
    <mergeCell ref="B100:C100"/>
    <mergeCell ref="D96:F96"/>
    <mergeCell ref="H96:K96"/>
    <mergeCell ref="D98:F98"/>
    <mergeCell ref="D99:F99"/>
    <mergeCell ref="D100:F100"/>
    <mergeCell ref="L94:M94"/>
    <mergeCell ref="N94:O94"/>
    <mergeCell ref="N95:O95"/>
    <mergeCell ref="N101:O101"/>
    <mergeCell ref="H104:K104"/>
    <mergeCell ref="L104:M104"/>
    <mergeCell ref="D101:F101"/>
    <mergeCell ref="H101:K101"/>
    <mergeCell ref="L101:M101"/>
    <mergeCell ref="B137:C137"/>
    <mergeCell ref="B138:C138"/>
    <mergeCell ref="B139:C139"/>
    <mergeCell ref="B140:C140"/>
    <mergeCell ref="B141:C141"/>
    <mergeCell ref="B142:C142"/>
    <mergeCell ref="B143:C143"/>
    <mergeCell ref="H138:K138"/>
    <mergeCell ref="L138:M138"/>
    <mergeCell ref="L139:M139"/>
    <mergeCell ref="H139:K139"/>
    <mergeCell ref="L141:M141"/>
    <mergeCell ref="N141:O141"/>
    <mergeCell ref="N139:O139"/>
    <mergeCell ref="H137:K137"/>
    <mergeCell ref="L137:M137"/>
    <mergeCell ref="N137:O137"/>
    <mergeCell ref="N138:O138"/>
    <mergeCell ref="H142:K142"/>
    <mergeCell ref="H143:K143"/>
    <mergeCell ref="L143:M143"/>
    <mergeCell ref="N143:O143"/>
    <mergeCell ref="D142:F142"/>
    <mergeCell ref="L142:M142"/>
    <mergeCell ref="N142:O142"/>
    <mergeCell ref="H140:K140"/>
    <mergeCell ref="L140:M140"/>
    <mergeCell ref="N140:O140"/>
    <mergeCell ref="H141:K141"/>
    <mergeCell ref="D137:F137"/>
    <mergeCell ref="D138:F138"/>
    <mergeCell ref="D139:F139"/>
    <mergeCell ref="D140:F140"/>
    <mergeCell ref="D141:F141"/>
    <mergeCell ref="D143:F143"/>
    <mergeCell ref="D136:F136"/>
    <mergeCell ref="B144:C144"/>
    <mergeCell ref="D144:F144"/>
    <mergeCell ref="B145:C145"/>
    <mergeCell ref="D145:F145"/>
    <mergeCell ref="L146:M146"/>
    <mergeCell ref="H146:K146"/>
    <mergeCell ref="H144:K144"/>
    <mergeCell ref="L144:M144"/>
    <mergeCell ref="H145:K145"/>
    <mergeCell ref="L145:M145"/>
    <mergeCell ref="D146:F146"/>
    <mergeCell ref="H150:K150"/>
    <mergeCell ref="H149:K149"/>
    <mergeCell ref="H148:K148"/>
    <mergeCell ref="L148:M148"/>
    <mergeCell ref="D148:F148"/>
    <mergeCell ref="D149:F149"/>
    <mergeCell ref="D150:F150"/>
    <mergeCell ref="L150:M150"/>
    <mergeCell ref="N150:O150"/>
    <mergeCell ref="A151:O151"/>
    <mergeCell ref="L149:M149"/>
    <mergeCell ref="N148:O148"/>
    <mergeCell ref="B146:C146"/>
    <mergeCell ref="B147:C147"/>
    <mergeCell ref="B148:C148"/>
    <mergeCell ref="B149:C149"/>
    <mergeCell ref="B150:C150"/>
    <mergeCell ref="D147:F147"/>
    <mergeCell ref="H147:K147"/>
    <mergeCell ref="L147:M147"/>
    <mergeCell ref="N147:O147"/>
    <mergeCell ref="N149:O149"/>
    <mergeCell ref="N144:O144"/>
    <mergeCell ref="N145:O145"/>
    <mergeCell ref="N146:O146"/>
    <mergeCell ref="N109:O109"/>
    <mergeCell ref="L110:M110"/>
    <mergeCell ref="N110:O110"/>
    <mergeCell ref="L102:M102"/>
    <mergeCell ref="N102:O102"/>
    <mergeCell ref="H100:K100"/>
    <mergeCell ref="L100:M100"/>
    <mergeCell ref="H116:K116"/>
    <mergeCell ref="H117:K117"/>
    <mergeCell ref="L117:M117"/>
    <mergeCell ref="N117:O117"/>
    <mergeCell ref="L114:M114"/>
    <mergeCell ref="N103:O103"/>
    <mergeCell ref="H107:K107"/>
    <mergeCell ref="L107:M107"/>
    <mergeCell ref="N107:O107"/>
    <mergeCell ref="N108:O108"/>
    <mergeCell ref="H110:K110"/>
    <mergeCell ref="H111:K111"/>
    <mergeCell ref="L111:M111"/>
    <mergeCell ref="N111:O111"/>
    <mergeCell ref="H108:K108"/>
    <mergeCell ref="L108:M108"/>
    <mergeCell ref="H109:K109"/>
    <mergeCell ref="L109:M109"/>
    <mergeCell ref="H112:K112"/>
    <mergeCell ref="L112:M112"/>
    <mergeCell ref="H121:K121"/>
    <mergeCell ref="H122:K122"/>
    <mergeCell ref="L122:M122"/>
    <mergeCell ref="N122:O122"/>
    <mergeCell ref="H123:K123"/>
    <mergeCell ref="L123:M123"/>
    <mergeCell ref="L124:M124"/>
    <mergeCell ref="H124:K124"/>
    <mergeCell ref="H120:K120"/>
    <mergeCell ref="L120:M120"/>
    <mergeCell ref="N120:O120"/>
    <mergeCell ref="L121:M121"/>
    <mergeCell ref="N121:O121"/>
    <mergeCell ref="N124:O124"/>
    <mergeCell ref="N123:O123"/>
    <mergeCell ref="B118:C118"/>
    <mergeCell ref="D118:F118"/>
    <mergeCell ref="B119:C119"/>
    <mergeCell ref="B120:C120"/>
    <mergeCell ref="D120:F120"/>
    <mergeCell ref="B121:C121"/>
    <mergeCell ref="D121:F121"/>
    <mergeCell ref="D122:F122"/>
    <mergeCell ref="B122:C122"/>
    <mergeCell ref="L131:M131"/>
    <mergeCell ref="L132:M132"/>
    <mergeCell ref="L127:M127"/>
    <mergeCell ref="L125:M125"/>
    <mergeCell ref="L126:M126"/>
    <mergeCell ref="L130:M130"/>
    <mergeCell ref="L128:M128"/>
    <mergeCell ref="L129:M129"/>
    <mergeCell ref="L133:M133"/>
    <mergeCell ref="D102:F102"/>
    <mergeCell ref="H102:K102"/>
    <mergeCell ref="B104:C104"/>
    <mergeCell ref="B105:C105"/>
    <mergeCell ref="D97:F97"/>
    <mergeCell ref="D103:F103"/>
    <mergeCell ref="L96:M96"/>
    <mergeCell ref="N96:O96"/>
    <mergeCell ref="H97:K97"/>
    <mergeCell ref="L97:M97"/>
    <mergeCell ref="H98:K98"/>
    <mergeCell ref="L98:M98"/>
    <mergeCell ref="N98:O98"/>
    <mergeCell ref="B103:C103"/>
    <mergeCell ref="B101:C101"/>
    <mergeCell ref="B106:C106"/>
    <mergeCell ref="B102:C102"/>
    <mergeCell ref="D106:F106"/>
    <mergeCell ref="H106:K106"/>
    <mergeCell ref="L106:M106"/>
    <mergeCell ref="N106:O106"/>
    <mergeCell ref="H103:K103"/>
    <mergeCell ref="L103:M103"/>
    <mergeCell ref="N97:O97"/>
    <mergeCell ref="H26:K26"/>
    <mergeCell ref="H33:K33"/>
    <mergeCell ref="H31:K31"/>
    <mergeCell ref="H32:K32"/>
    <mergeCell ref="L86:M86"/>
    <mergeCell ref="N86:O86"/>
    <mergeCell ref="L87:M87"/>
    <mergeCell ref="N87:O87"/>
    <mergeCell ref="L25:M25"/>
    <mergeCell ref="N25:O25"/>
    <mergeCell ref="H25:K25"/>
    <mergeCell ref="L85:M85"/>
    <mergeCell ref="N85:O85"/>
    <mergeCell ref="L27:M27"/>
    <mergeCell ref="N27:O27"/>
    <mergeCell ref="L28:M28"/>
    <mergeCell ref="N28:O28"/>
    <mergeCell ref="H27:K27"/>
    <mergeCell ref="H19:K19"/>
    <mergeCell ref="H20:K20"/>
    <mergeCell ref="H21:K21"/>
    <mergeCell ref="H22:K22"/>
    <mergeCell ref="H23:K23"/>
    <mergeCell ref="H24:K24"/>
    <mergeCell ref="L19:M19"/>
    <mergeCell ref="N19:O19"/>
    <mergeCell ref="H5:K5"/>
    <mergeCell ref="H6:K6"/>
    <mergeCell ref="L6:M6"/>
    <mergeCell ref="N6:O6"/>
    <mergeCell ref="H4:K4"/>
    <mergeCell ref="N5:O5"/>
    <mergeCell ref="L4:M4"/>
    <mergeCell ref="L5:M5"/>
    <mergeCell ref="H1:K2"/>
    <mergeCell ref="H3:K3"/>
    <mergeCell ref="L7:M7"/>
    <mergeCell ref="N7:O7"/>
    <mergeCell ref="L9:M9"/>
    <mergeCell ref="N9:O9"/>
    <mergeCell ref="L1:M2"/>
    <mergeCell ref="N1:O2"/>
    <mergeCell ref="L3:M3"/>
    <mergeCell ref="N3:O3"/>
    <mergeCell ref="N4:O4"/>
    <mergeCell ref="L16:M16"/>
    <mergeCell ref="L17:M17"/>
    <mergeCell ref="L13:M13"/>
    <mergeCell ref="N13:O13"/>
    <mergeCell ref="L14:M14"/>
    <mergeCell ref="N14:O14"/>
    <mergeCell ref="L15:M15"/>
    <mergeCell ref="N15:O15"/>
    <mergeCell ref="N16:O16"/>
    <mergeCell ref="N17:O17"/>
    <mergeCell ref="H10:K10"/>
    <mergeCell ref="L10:M10"/>
    <mergeCell ref="N10:O10"/>
    <mergeCell ref="L8:M8"/>
    <mergeCell ref="N8:O8"/>
    <mergeCell ref="H8:K8"/>
    <mergeCell ref="H9:K9"/>
    <mergeCell ref="H7:K7"/>
    <mergeCell ref="L12:M12"/>
    <mergeCell ref="N12:O12"/>
    <mergeCell ref="L11:M11"/>
    <mergeCell ref="N11:O11"/>
    <mergeCell ref="H18:K18"/>
    <mergeCell ref="L18:M18"/>
    <mergeCell ref="N18:O18"/>
    <mergeCell ref="H11:K11"/>
    <mergeCell ref="H12:K12"/>
    <mergeCell ref="H13:K13"/>
    <mergeCell ref="H14:K14"/>
    <mergeCell ref="H15:K15"/>
    <mergeCell ref="H16:K16"/>
    <mergeCell ref="H17:K17"/>
    <mergeCell ref="B17:C17"/>
    <mergeCell ref="B18:C18"/>
    <mergeCell ref="B10:C10"/>
    <mergeCell ref="B11:C11"/>
    <mergeCell ref="B12:C12"/>
    <mergeCell ref="B13:C13"/>
    <mergeCell ref="B14:C14"/>
    <mergeCell ref="B15:C15"/>
    <mergeCell ref="B16:C16"/>
    <mergeCell ref="L20:M20"/>
    <mergeCell ref="N20:O20"/>
    <mergeCell ref="L21:M21"/>
    <mergeCell ref="N21:O21"/>
    <mergeCell ref="L22:M22"/>
    <mergeCell ref="N22:O22"/>
    <mergeCell ref="L23:M23"/>
    <mergeCell ref="D3:F3"/>
    <mergeCell ref="D4:F4"/>
    <mergeCell ref="D5:F5"/>
    <mergeCell ref="D6:F6"/>
    <mergeCell ref="D8:F8"/>
    <mergeCell ref="D9:F9"/>
    <mergeCell ref="D10:F10"/>
    <mergeCell ref="D11:F11"/>
    <mergeCell ref="D12:F12"/>
    <mergeCell ref="B8:C8"/>
    <mergeCell ref="B3:C3"/>
    <mergeCell ref="B4:C4"/>
    <mergeCell ref="B5:C5"/>
    <mergeCell ref="B6:C6"/>
    <mergeCell ref="B7:C7"/>
    <mergeCell ref="B9:C9"/>
    <mergeCell ref="N23:O23"/>
    <mergeCell ref="D123:F123"/>
    <mergeCell ref="D124:F124"/>
    <mergeCell ref="D125:F125"/>
    <mergeCell ref="D126:F126"/>
    <mergeCell ref="D127:F127"/>
    <mergeCell ref="D128:F128"/>
    <mergeCell ref="D129:F129"/>
    <mergeCell ref="H135:K135"/>
    <mergeCell ref="L135:M135"/>
    <mergeCell ref="L136:M136"/>
    <mergeCell ref="H136:K136"/>
    <mergeCell ref="D130:F130"/>
    <mergeCell ref="D131:F131"/>
    <mergeCell ref="N132:O132"/>
    <mergeCell ref="H133:K133"/>
    <mergeCell ref="N136:O136"/>
    <mergeCell ref="H134:K134"/>
    <mergeCell ref="N135:O135"/>
    <mergeCell ref="L134:M134"/>
    <mergeCell ref="N134:O1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" t="s">
        <v>326</v>
      </c>
      <c r="B1" s="42">
        <v>46023.0</v>
      </c>
      <c r="D1" s="41" t="s">
        <v>19</v>
      </c>
      <c r="E1" s="43">
        <f t="shared" ref="E1:E148" si="1">VLOOKUP(D1,A:B,2,false)</f>
        <v>45931</v>
      </c>
    </row>
    <row r="2">
      <c r="A2" s="41" t="s">
        <v>327</v>
      </c>
      <c r="B2" s="42">
        <v>46023.0</v>
      </c>
      <c r="D2" s="41" t="s">
        <v>22</v>
      </c>
      <c r="E2" s="43">
        <f t="shared" si="1"/>
        <v>45870</v>
      </c>
    </row>
    <row r="3">
      <c r="A3" s="41" t="s">
        <v>328</v>
      </c>
      <c r="B3" s="42">
        <v>45505.0</v>
      </c>
      <c r="D3" s="41" t="s">
        <v>24</v>
      </c>
      <c r="E3" s="43">
        <f t="shared" si="1"/>
        <v>45870</v>
      </c>
    </row>
    <row r="4">
      <c r="A4" s="41" t="s">
        <v>329</v>
      </c>
      <c r="B4" s="42">
        <v>45839.0</v>
      </c>
      <c r="D4" s="41" t="s">
        <v>27</v>
      </c>
      <c r="E4" s="43">
        <f t="shared" si="1"/>
        <v>46023</v>
      </c>
    </row>
    <row r="5">
      <c r="A5" s="41" t="s">
        <v>330</v>
      </c>
      <c r="B5" s="42">
        <v>45597.0</v>
      </c>
      <c r="D5" s="41" t="s">
        <v>29</v>
      </c>
      <c r="E5" s="43">
        <f t="shared" si="1"/>
        <v>46023</v>
      </c>
    </row>
    <row r="6">
      <c r="A6" s="41" t="s">
        <v>331</v>
      </c>
      <c r="B6" s="42">
        <v>45658.0</v>
      </c>
      <c r="D6" s="41" t="s">
        <v>31</v>
      </c>
      <c r="E6" s="43">
        <f t="shared" si="1"/>
        <v>46023</v>
      </c>
    </row>
    <row r="7">
      <c r="A7" s="41" t="s">
        <v>332</v>
      </c>
      <c r="B7" s="42">
        <v>45658.0</v>
      </c>
      <c r="D7" s="41" t="s">
        <v>34</v>
      </c>
      <c r="E7" s="43">
        <f t="shared" si="1"/>
        <v>46023</v>
      </c>
    </row>
    <row r="8">
      <c r="A8" s="41" t="s">
        <v>333</v>
      </c>
      <c r="B8" s="42">
        <v>45658.0</v>
      </c>
      <c r="D8" s="41" t="s">
        <v>36</v>
      </c>
      <c r="E8" s="43">
        <f t="shared" si="1"/>
        <v>46023</v>
      </c>
    </row>
    <row r="9">
      <c r="A9" s="41" t="s">
        <v>334</v>
      </c>
      <c r="B9" s="42">
        <v>45658.0</v>
      </c>
      <c r="D9" s="41" t="s">
        <v>38</v>
      </c>
      <c r="E9" s="43">
        <f t="shared" si="1"/>
        <v>46054</v>
      </c>
    </row>
    <row r="10">
      <c r="A10" s="41" t="s">
        <v>335</v>
      </c>
      <c r="B10" s="42">
        <v>45658.0</v>
      </c>
      <c r="D10" s="41" t="s">
        <v>40</v>
      </c>
      <c r="E10" s="43">
        <f t="shared" si="1"/>
        <v>46054</v>
      </c>
    </row>
    <row r="11">
      <c r="A11" s="41" t="s">
        <v>336</v>
      </c>
      <c r="B11" s="42">
        <v>45627.0</v>
      </c>
      <c r="D11" s="41" t="s">
        <v>42</v>
      </c>
      <c r="E11" s="43">
        <f t="shared" si="1"/>
        <v>46054</v>
      </c>
    </row>
    <row r="12">
      <c r="A12" s="41" t="s">
        <v>337</v>
      </c>
      <c r="B12" s="42">
        <v>45627.0</v>
      </c>
      <c r="D12" s="41" t="s">
        <v>44</v>
      </c>
      <c r="E12" s="43">
        <f t="shared" si="1"/>
        <v>46020</v>
      </c>
    </row>
    <row r="13">
      <c r="A13" s="41" t="s">
        <v>338</v>
      </c>
      <c r="B13" s="42">
        <v>45658.0</v>
      </c>
      <c r="D13" s="41" t="s">
        <v>46</v>
      </c>
      <c r="E13" s="43">
        <f t="shared" si="1"/>
        <v>46023</v>
      </c>
    </row>
    <row r="14">
      <c r="A14" s="41" t="s">
        <v>339</v>
      </c>
      <c r="B14" s="42">
        <v>45658.0</v>
      </c>
      <c r="D14" s="41" t="s">
        <v>48</v>
      </c>
      <c r="E14" s="43">
        <f t="shared" si="1"/>
        <v>46082</v>
      </c>
    </row>
    <row r="15">
      <c r="A15" s="41" t="s">
        <v>340</v>
      </c>
      <c r="B15" s="42">
        <v>45658.0</v>
      </c>
      <c r="D15" s="41" t="s">
        <v>50</v>
      </c>
      <c r="E15" s="43">
        <f t="shared" si="1"/>
        <v>46007</v>
      </c>
    </row>
    <row r="16">
      <c r="A16" s="41" t="s">
        <v>341</v>
      </c>
      <c r="B16" s="42">
        <v>45658.0</v>
      </c>
      <c r="D16" s="41" t="s">
        <v>52</v>
      </c>
      <c r="E16" s="43">
        <f t="shared" si="1"/>
        <v>46023</v>
      </c>
    </row>
    <row r="17">
      <c r="A17" s="41" t="s">
        <v>342</v>
      </c>
      <c r="B17" s="42">
        <v>45658.0</v>
      </c>
      <c r="D17" s="41" t="s">
        <v>54</v>
      </c>
      <c r="E17" s="43">
        <f t="shared" si="1"/>
        <v>45992</v>
      </c>
    </row>
    <row r="18">
      <c r="A18" s="41" t="s">
        <v>343</v>
      </c>
      <c r="B18" s="42">
        <v>45658.0</v>
      </c>
      <c r="D18" s="41" t="s">
        <v>56</v>
      </c>
      <c r="E18" s="43">
        <f t="shared" si="1"/>
        <v>46007</v>
      </c>
    </row>
    <row r="19">
      <c r="A19" s="41" t="s">
        <v>344</v>
      </c>
      <c r="B19" s="42">
        <v>45658.0</v>
      </c>
      <c r="D19" s="41" t="s">
        <v>58</v>
      </c>
      <c r="E19" s="43">
        <f t="shared" si="1"/>
        <v>46023</v>
      </c>
    </row>
    <row r="20">
      <c r="A20" s="41" t="s">
        <v>345</v>
      </c>
      <c r="B20" s="42">
        <v>45627.0</v>
      </c>
      <c r="D20" s="41" t="s">
        <v>60</v>
      </c>
      <c r="E20" s="43">
        <f t="shared" si="1"/>
        <v>46054</v>
      </c>
    </row>
    <row r="21">
      <c r="A21" s="41" t="s">
        <v>346</v>
      </c>
      <c r="B21" s="42">
        <v>45658.0</v>
      </c>
      <c r="D21" s="41" t="s">
        <v>62</v>
      </c>
      <c r="E21" s="43">
        <f t="shared" si="1"/>
        <v>46023</v>
      </c>
    </row>
    <row r="22">
      <c r="A22" s="41" t="s">
        <v>347</v>
      </c>
      <c r="B22" s="42">
        <v>46113.0</v>
      </c>
      <c r="D22" s="41" t="s">
        <v>64</v>
      </c>
      <c r="E22" s="43">
        <f t="shared" si="1"/>
        <v>46023</v>
      </c>
    </row>
    <row r="23">
      <c r="A23" s="41" t="s">
        <v>348</v>
      </c>
      <c r="B23" s="42">
        <v>46023.0</v>
      </c>
      <c r="D23" s="41" t="s">
        <v>66</v>
      </c>
      <c r="E23" s="43">
        <f t="shared" si="1"/>
        <v>46023</v>
      </c>
    </row>
    <row r="24">
      <c r="A24" s="41" t="s">
        <v>349</v>
      </c>
      <c r="B24" s="42">
        <v>46023.0</v>
      </c>
      <c r="D24" s="41" t="s">
        <v>68</v>
      </c>
      <c r="E24" s="43">
        <f t="shared" si="1"/>
        <v>45839</v>
      </c>
    </row>
    <row r="25">
      <c r="A25" s="41" t="s">
        <v>350</v>
      </c>
      <c r="B25" s="42">
        <v>46023.0</v>
      </c>
      <c r="D25" s="41" t="s">
        <v>70</v>
      </c>
      <c r="E25" s="43">
        <f t="shared" si="1"/>
        <v>46023</v>
      </c>
    </row>
    <row r="26">
      <c r="A26" s="41" t="s">
        <v>351</v>
      </c>
      <c r="B26" s="42">
        <v>46023.0</v>
      </c>
      <c r="D26" s="41" t="s">
        <v>72</v>
      </c>
      <c r="E26" s="43">
        <f t="shared" si="1"/>
        <v>46023</v>
      </c>
    </row>
    <row r="27">
      <c r="A27" s="41" t="s">
        <v>352</v>
      </c>
      <c r="B27" s="42">
        <v>46023.0</v>
      </c>
      <c r="D27" s="41" t="s">
        <v>74</v>
      </c>
      <c r="E27" s="43">
        <f t="shared" si="1"/>
        <v>46023</v>
      </c>
    </row>
    <row r="28">
      <c r="A28" s="41" t="s">
        <v>353</v>
      </c>
      <c r="B28" s="42">
        <v>46023.0</v>
      </c>
      <c r="D28" s="41" t="s">
        <v>76</v>
      </c>
      <c r="E28" s="43">
        <f t="shared" si="1"/>
        <v>46023</v>
      </c>
    </row>
    <row r="29">
      <c r="A29" s="41" t="s">
        <v>354</v>
      </c>
      <c r="B29" s="42">
        <v>46023.0</v>
      </c>
      <c r="D29" s="41" t="s">
        <v>78</v>
      </c>
      <c r="E29" s="43">
        <f t="shared" si="1"/>
        <v>46023</v>
      </c>
    </row>
    <row r="30">
      <c r="A30" s="41" t="s">
        <v>355</v>
      </c>
      <c r="B30" s="42">
        <v>46023.0</v>
      </c>
      <c r="D30" s="41" t="s">
        <v>80</v>
      </c>
      <c r="E30" s="43">
        <f t="shared" si="1"/>
        <v>45778</v>
      </c>
    </row>
    <row r="31">
      <c r="A31" s="41" t="s">
        <v>356</v>
      </c>
      <c r="B31" s="42">
        <v>46023.0</v>
      </c>
      <c r="D31" s="41" t="s">
        <v>82</v>
      </c>
      <c r="E31" s="43">
        <f t="shared" si="1"/>
        <v>46054</v>
      </c>
    </row>
    <row r="32">
      <c r="A32" s="41" t="s">
        <v>357</v>
      </c>
      <c r="B32" s="42">
        <v>46023.0</v>
      </c>
      <c r="D32" s="41" t="s">
        <v>84</v>
      </c>
      <c r="E32" s="43">
        <f t="shared" si="1"/>
        <v>46100</v>
      </c>
    </row>
    <row r="33">
      <c r="A33" s="41" t="s">
        <v>358</v>
      </c>
      <c r="B33" s="42">
        <v>46023.0</v>
      </c>
      <c r="D33" s="41" t="s">
        <v>87</v>
      </c>
      <c r="E33" s="43">
        <f t="shared" si="1"/>
        <v>46023</v>
      </c>
    </row>
    <row r="34">
      <c r="A34" s="41" t="s">
        <v>359</v>
      </c>
      <c r="B34" s="42">
        <v>46023.0</v>
      </c>
      <c r="D34" s="41" t="s">
        <v>89</v>
      </c>
      <c r="E34" s="43">
        <f t="shared" si="1"/>
        <v>46023</v>
      </c>
    </row>
    <row r="35">
      <c r="A35" s="41" t="s">
        <v>360</v>
      </c>
      <c r="B35" s="42">
        <v>46143.0</v>
      </c>
      <c r="D35" s="41" t="s">
        <v>91</v>
      </c>
      <c r="E35" s="43">
        <f t="shared" si="1"/>
        <v>46023</v>
      </c>
    </row>
    <row r="36">
      <c r="A36" s="41" t="s">
        <v>361</v>
      </c>
      <c r="B36" s="42">
        <v>46023.0</v>
      </c>
      <c r="D36" s="41" t="s">
        <v>93</v>
      </c>
      <c r="E36" s="43">
        <f t="shared" si="1"/>
        <v>46023</v>
      </c>
    </row>
    <row r="37">
      <c r="A37" s="41" t="s">
        <v>362</v>
      </c>
      <c r="B37" s="42">
        <v>46023.0</v>
      </c>
      <c r="D37" s="41" t="s">
        <v>95</v>
      </c>
      <c r="E37" s="43">
        <f t="shared" si="1"/>
        <v>46023</v>
      </c>
    </row>
    <row r="38">
      <c r="A38" s="41" t="s">
        <v>363</v>
      </c>
      <c r="B38" s="42">
        <v>46082.0</v>
      </c>
      <c r="D38" s="41" t="s">
        <v>97</v>
      </c>
      <c r="E38" s="43">
        <f t="shared" si="1"/>
        <v>46023</v>
      </c>
    </row>
    <row r="39">
      <c r="A39" s="41" t="s">
        <v>364</v>
      </c>
      <c r="B39" s="42">
        <v>46023.0</v>
      </c>
      <c r="D39" s="41" t="s">
        <v>99</v>
      </c>
      <c r="E39" s="43">
        <f t="shared" si="1"/>
        <v>46023</v>
      </c>
    </row>
    <row r="40">
      <c r="A40" s="41" t="s">
        <v>365</v>
      </c>
      <c r="B40" s="42">
        <v>46023.0</v>
      </c>
      <c r="D40" s="41" t="s">
        <v>101</v>
      </c>
      <c r="E40" s="43">
        <f t="shared" si="1"/>
        <v>46023</v>
      </c>
    </row>
    <row r="41">
      <c r="A41" s="41" t="s">
        <v>366</v>
      </c>
      <c r="B41" s="42">
        <v>46023.0</v>
      </c>
      <c r="D41" s="41" t="s">
        <v>103</v>
      </c>
      <c r="E41" s="43">
        <f t="shared" si="1"/>
        <v>46023</v>
      </c>
    </row>
    <row r="42">
      <c r="A42" s="41" t="s">
        <v>367</v>
      </c>
      <c r="B42" s="42">
        <v>46023.0</v>
      </c>
      <c r="D42" s="41" t="s">
        <v>105</v>
      </c>
      <c r="E42" s="43">
        <f t="shared" si="1"/>
        <v>45901</v>
      </c>
    </row>
    <row r="43">
      <c r="A43" s="41" t="s">
        <v>368</v>
      </c>
      <c r="B43" s="42">
        <v>46023.0</v>
      </c>
      <c r="D43" s="41" t="s">
        <v>107</v>
      </c>
      <c r="E43" s="43">
        <f t="shared" si="1"/>
        <v>46023</v>
      </c>
    </row>
    <row r="44">
      <c r="A44" s="41" t="s">
        <v>369</v>
      </c>
      <c r="B44" s="42">
        <v>46023.0</v>
      </c>
      <c r="D44" s="41" t="s">
        <v>109</v>
      </c>
      <c r="E44" s="43">
        <f t="shared" si="1"/>
        <v>46023</v>
      </c>
    </row>
    <row r="45">
      <c r="A45" s="41" t="s">
        <v>370</v>
      </c>
      <c r="B45" s="42">
        <v>46023.0</v>
      </c>
      <c r="D45" s="41" t="s">
        <v>113</v>
      </c>
      <c r="E45" s="43">
        <f t="shared" si="1"/>
        <v>46023</v>
      </c>
    </row>
    <row r="46">
      <c r="A46" s="41" t="s">
        <v>371</v>
      </c>
      <c r="B46" s="42">
        <v>46023.0</v>
      </c>
      <c r="D46" s="41" t="s">
        <v>115</v>
      </c>
      <c r="E46" s="43">
        <f t="shared" si="1"/>
        <v>46023</v>
      </c>
    </row>
    <row r="47">
      <c r="A47" s="41" t="s">
        <v>372</v>
      </c>
      <c r="B47" s="42">
        <v>46054.0</v>
      </c>
      <c r="D47" s="41" t="s">
        <v>117</v>
      </c>
      <c r="E47" s="43">
        <f t="shared" si="1"/>
        <v>45992</v>
      </c>
    </row>
    <row r="48">
      <c r="A48" s="41" t="s">
        <v>373</v>
      </c>
      <c r="B48" s="42">
        <v>46023.0</v>
      </c>
      <c r="D48" s="41" t="s">
        <v>119</v>
      </c>
      <c r="E48" s="43">
        <f t="shared" si="1"/>
        <v>46054</v>
      </c>
    </row>
    <row r="49">
      <c r="A49" s="41" t="s">
        <v>374</v>
      </c>
      <c r="B49" s="42">
        <v>45383.0</v>
      </c>
      <c r="D49" s="41" t="s">
        <v>121</v>
      </c>
      <c r="E49" s="43">
        <f t="shared" si="1"/>
        <v>46023</v>
      </c>
    </row>
    <row r="50">
      <c r="A50" s="41" t="s">
        <v>375</v>
      </c>
      <c r="B50" s="42">
        <v>45992.0</v>
      </c>
      <c r="D50" s="41" t="s">
        <v>123</v>
      </c>
      <c r="E50" s="43">
        <f t="shared" si="1"/>
        <v>46023</v>
      </c>
    </row>
    <row r="51">
      <c r="A51" s="41" t="s">
        <v>376</v>
      </c>
      <c r="B51" s="42">
        <v>46023.0</v>
      </c>
      <c r="D51" s="41" t="s">
        <v>125</v>
      </c>
      <c r="E51" s="43">
        <f t="shared" si="1"/>
        <v>46023</v>
      </c>
    </row>
    <row r="52">
      <c r="A52" s="41" t="s">
        <v>377</v>
      </c>
      <c r="B52" s="42">
        <v>46023.0</v>
      </c>
      <c r="D52" s="41" t="s">
        <v>127</v>
      </c>
      <c r="E52" s="43">
        <f t="shared" si="1"/>
        <v>46023</v>
      </c>
    </row>
    <row r="53">
      <c r="A53" s="41" t="s">
        <v>378</v>
      </c>
      <c r="B53" s="42">
        <v>46023.0</v>
      </c>
      <c r="D53" s="41" t="s">
        <v>129</v>
      </c>
      <c r="E53" s="43">
        <f t="shared" si="1"/>
        <v>46023</v>
      </c>
    </row>
    <row r="54">
      <c r="A54" s="41" t="s">
        <v>379</v>
      </c>
      <c r="B54" s="42">
        <v>46023.0</v>
      </c>
      <c r="D54" s="41" t="s">
        <v>131</v>
      </c>
      <c r="E54" s="43">
        <f t="shared" si="1"/>
        <v>46023</v>
      </c>
    </row>
    <row r="55">
      <c r="A55" s="41" t="s">
        <v>380</v>
      </c>
      <c r="B55" s="42">
        <v>46023.0</v>
      </c>
      <c r="D55" s="41" t="s">
        <v>133</v>
      </c>
      <c r="E55" s="43">
        <f t="shared" si="1"/>
        <v>46023</v>
      </c>
    </row>
    <row r="56">
      <c r="A56" s="41" t="s">
        <v>381</v>
      </c>
      <c r="B56" s="42">
        <v>46023.0</v>
      </c>
      <c r="D56" s="41" t="s">
        <v>135</v>
      </c>
      <c r="E56" s="43">
        <f t="shared" si="1"/>
        <v>46023</v>
      </c>
    </row>
    <row r="57">
      <c r="A57" s="41" t="s">
        <v>382</v>
      </c>
      <c r="B57" s="42">
        <v>46023.0</v>
      </c>
      <c r="D57" s="41" t="s">
        <v>137</v>
      </c>
      <c r="E57" s="43">
        <f t="shared" si="1"/>
        <v>45962</v>
      </c>
    </row>
    <row r="58">
      <c r="A58" s="41" t="s">
        <v>383</v>
      </c>
      <c r="B58" s="42">
        <v>46023.0</v>
      </c>
      <c r="D58" s="41" t="s">
        <v>139</v>
      </c>
      <c r="E58" s="43">
        <f t="shared" si="1"/>
        <v>46082</v>
      </c>
    </row>
    <row r="59">
      <c r="A59" s="41" t="s">
        <v>384</v>
      </c>
      <c r="B59" s="42">
        <v>46113.0</v>
      </c>
      <c r="D59" s="41" t="s">
        <v>141</v>
      </c>
      <c r="E59" s="43">
        <f t="shared" si="1"/>
        <v>45992</v>
      </c>
    </row>
    <row r="60">
      <c r="A60" s="41" t="s">
        <v>385</v>
      </c>
      <c r="B60" s="42">
        <v>46023.0</v>
      </c>
      <c r="D60" s="41" t="s">
        <v>143</v>
      </c>
      <c r="E60" s="43">
        <f t="shared" si="1"/>
        <v>46023</v>
      </c>
    </row>
    <row r="61">
      <c r="A61" s="41" t="s">
        <v>386</v>
      </c>
      <c r="B61" s="42">
        <v>46023.0</v>
      </c>
      <c r="D61" s="41" t="s">
        <v>145</v>
      </c>
      <c r="E61" s="43">
        <f t="shared" si="1"/>
        <v>46023</v>
      </c>
    </row>
    <row r="62">
      <c r="A62" s="41" t="s">
        <v>387</v>
      </c>
      <c r="B62" s="42">
        <v>46037.0</v>
      </c>
      <c r="D62" s="41" t="s">
        <v>147</v>
      </c>
      <c r="E62" s="43">
        <f t="shared" si="1"/>
        <v>46023</v>
      </c>
    </row>
    <row r="63">
      <c r="A63" s="41" t="s">
        <v>388</v>
      </c>
      <c r="B63" s="42">
        <v>46023.0</v>
      </c>
      <c r="D63" s="41" t="s">
        <v>149</v>
      </c>
      <c r="E63" s="43">
        <f t="shared" si="1"/>
        <v>46023</v>
      </c>
    </row>
    <row r="64">
      <c r="A64" s="41" t="s">
        <v>389</v>
      </c>
      <c r="B64" s="42">
        <v>45992.0</v>
      </c>
      <c r="D64" s="41" t="s">
        <v>151</v>
      </c>
      <c r="E64" s="43">
        <f t="shared" si="1"/>
        <v>46023</v>
      </c>
    </row>
    <row r="65">
      <c r="A65" s="41" t="s">
        <v>390</v>
      </c>
      <c r="B65" s="42">
        <v>46023.0</v>
      </c>
      <c r="D65" s="41" t="s">
        <v>153</v>
      </c>
      <c r="E65" s="43">
        <f t="shared" si="1"/>
        <v>46023</v>
      </c>
    </row>
    <row r="66">
      <c r="A66" s="41" t="s">
        <v>391</v>
      </c>
      <c r="B66" s="42">
        <v>46023.0</v>
      </c>
      <c r="D66" s="41" t="s">
        <v>155</v>
      </c>
      <c r="E66" s="43">
        <f t="shared" si="1"/>
        <v>46023</v>
      </c>
    </row>
    <row r="67">
      <c r="A67" s="41" t="s">
        <v>392</v>
      </c>
      <c r="B67" s="42">
        <v>46023.0</v>
      </c>
      <c r="D67" s="41" t="s">
        <v>157</v>
      </c>
      <c r="E67" s="43">
        <f t="shared" si="1"/>
        <v>46023</v>
      </c>
    </row>
    <row r="68">
      <c r="A68" s="41" t="s">
        <v>393</v>
      </c>
      <c r="B68" s="42">
        <v>46023.0</v>
      </c>
      <c r="D68" s="41" t="s">
        <v>159</v>
      </c>
      <c r="E68" s="43">
        <f t="shared" si="1"/>
        <v>46023</v>
      </c>
    </row>
    <row r="69">
      <c r="A69" s="41" t="s">
        <v>394</v>
      </c>
      <c r="B69" s="42">
        <v>46023.0</v>
      </c>
      <c r="D69" s="41" t="s">
        <v>161</v>
      </c>
      <c r="E69" s="43">
        <f t="shared" si="1"/>
        <v>46023</v>
      </c>
    </row>
    <row r="70">
      <c r="A70" s="41" t="s">
        <v>395</v>
      </c>
      <c r="B70" s="42">
        <v>45962.0</v>
      </c>
      <c r="D70" s="41" t="s">
        <v>163</v>
      </c>
      <c r="E70" s="43">
        <f t="shared" si="1"/>
        <v>46023</v>
      </c>
    </row>
    <row r="71">
      <c r="A71" s="41" t="s">
        <v>396</v>
      </c>
      <c r="B71" s="42">
        <v>46023.0</v>
      </c>
      <c r="D71" s="41" t="s">
        <v>165</v>
      </c>
      <c r="E71" s="43">
        <f t="shared" si="1"/>
        <v>46023</v>
      </c>
    </row>
    <row r="72">
      <c r="A72" s="41" t="s">
        <v>397</v>
      </c>
      <c r="B72" s="42">
        <v>46023.0</v>
      </c>
      <c r="D72" s="41" t="s">
        <v>167</v>
      </c>
      <c r="E72" s="43">
        <f t="shared" si="1"/>
        <v>46023</v>
      </c>
    </row>
    <row r="73">
      <c r="A73" s="41" t="s">
        <v>398</v>
      </c>
      <c r="B73" s="42">
        <v>46023.0</v>
      </c>
      <c r="D73" s="41" t="s">
        <v>169</v>
      </c>
      <c r="E73" s="43">
        <f t="shared" si="1"/>
        <v>46023</v>
      </c>
    </row>
    <row r="74">
      <c r="A74" s="41" t="s">
        <v>399</v>
      </c>
      <c r="B74" s="42">
        <v>46023.0</v>
      </c>
      <c r="D74" s="41" t="s">
        <v>171</v>
      </c>
      <c r="E74" s="43">
        <f t="shared" si="1"/>
        <v>46023</v>
      </c>
    </row>
    <row r="75">
      <c r="A75" s="41" t="s">
        <v>400</v>
      </c>
      <c r="B75" s="42">
        <v>45658.0</v>
      </c>
      <c r="D75" s="41" t="s">
        <v>173</v>
      </c>
      <c r="E75" s="43">
        <f t="shared" si="1"/>
        <v>46023</v>
      </c>
    </row>
    <row r="76">
      <c r="A76" s="41" t="s">
        <v>401</v>
      </c>
      <c r="B76" s="42">
        <v>46023.0</v>
      </c>
      <c r="D76" s="41" t="s">
        <v>175</v>
      </c>
      <c r="E76" s="43">
        <f t="shared" si="1"/>
        <v>46023</v>
      </c>
    </row>
    <row r="77">
      <c r="A77" s="41" t="s">
        <v>402</v>
      </c>
      <c r="B77" s="42">
        <v>46023.0</v>
      </c>
      <c r="D77" s="41" t="s">
        <v>177</v>
      </c>
      <c r="E77" s="43">
        <f t="shared" si="1"/>
        <v>46023</v>
      </c>
    </row>
    <row r="78">
      <c r="A78" s="41" t="s">
        <v>403</v>
      </c>
      <c r="B78" s="42">
        <v>45901.0</v>
      </c>
      <c r="D78" s="41" t="s">
        <v>179</v>
      </c>
      <c r="E78" s="43">
        <f t="shared" si="1"/>
        <v>46023</v>
      </c>
    </row>
    <row r="79">
      <c r="A79" s="41" t="s">
        <v>404</v>
      </c>
      <c r="B79" s="42">
        <v>45658.0</v>
      </c>
      <c r="D79" s="41" t="s">
        <v>181</v>
      </c>
      <c r="E79" s="43">
        <f t="shared" si="1"/>
        <v>46023</v>
      </c>
    </row>
    <row r="80">
      <c r="A80" s="41" t="s">
        <v>405</v>
      </c>
      <c r="B80" s="42">
        <v>45658.0</v>
      </c>
      <c r="D80" s="41" t="s">
        <v>183</v>
      </c>
      <c r="E80" s="43">
        <f t="shared" si="1"/>
        <v>46023</v>
      </c>
    </row>
    <row r="81">
      <c r="A81" s="41" t="s">
        <v>406</v>
      </c>
      <c r="B81" s="42">
        <v>45658.0</v>
      </c>
      <c r="D81" s="41" t="s">
        <v>185</v>
      </c>
      <c r="E81" s="43">
        <f t="shared" si="1"/>
        <v>46023</v>
      </c>
    </row>
    <row r="82">
      <c r="A82" s="41" t="s">
        <v>407</v>
      </c>
      <c r="B82" s="42">
        <v>46023.0</v>
      </c>
      <c r="D82" s="41" t="s">
        <v>187</v>
      </c>
      <c r="E82" s="43">
        <f t="shared" si="1"/>
        <v>46023</v>
      </c>
    </row>
    <row r="83">
      <c r="A83" s="41" t="s">
        <v>408</v>
      </c>
      <c r="B83" s="42">
        <v>45658.0</v>
      </c>
      <c r="D83" s="41" t="s">
        <v>189</v>
      </c>
      <c r="E83" s="43">
        <f t="shared" si="1"/>
        <v>46023</v>
      </c>
    </row>
    <row r="84">
      <c r="A84" s="41" t="s">
        <v>409</v>
      </c>
      <c r="B84" s="42">
        <v>45689.0</v>
      </c>
      <c r="D84" s="41" t="s">
        <v>191</v>
      </c>
      <c r="E84" s="43">
        <f t="shared" si="1"/>
        <v>46023</v>
      </c>
    </row>
    <row r="85">
      <c r="A85" s="41" t="s">
        <v>410</v>
      </c>
      <c r="B85" s="42">
        <v>46143.0</v>
      </c>
      <c r="D85" s="41" t="s">
        <v>193</v>
      </c>
      <c r="E85" s="43">
        <f t="shared" si="1"/>
        <v>46023</v>
      </c>
    </row>
    <row r="86">
      <c r="A86" s="41" t="s">
        <v>411</v>
      </c>
      <c r="B86" s="42">
        <v>46023.0</v>
      </c>
      <c r="D86" s="41" t="s">
        <v>195</v>
      </c>
      <c r="E86" s="43">
        <f t="shared" si="1"/>
        <v>45962</v>
      </c>
    </row>
    <row r="87">
      <c r="A87" s="41" t="s">
        <v>412</v>
      </c>
      <c r="B87" s="42">
        <v>45597.0</v>
      </c>
      <c r="D87" s="41" t="s">
        <v>197</v>
      </c>
      <c r="E87" s="43">
        <f t="shared" si="1"/>
        <v>46023</v>
      </c>
    </row>
    <row r="88">
      <c r="A88" s="41" t="s">
        <v>413</v>
      </c>
      <c r="B88" s="42">
        <v>46023.0</v>
      </c>
      <c r="D88" s="41" t="s">
        <v>199</v>
      </c>
      <c r="E88" s="43">
        <f t="shared" si="1"/>
        <v>46023</v>
      </c>
    </row>
    <row r="89">
      <c r="A89" s="41" t="s">
        <v>414</v>
      </c>
      <c r="B89" s="42">
        <v>45658.0</v>
      </c>
      <c r="D89" s="41" t="s">
        <v>201</v>
      </c>
      <c r="E89" s="43">
        <f t="shared" si="1"/>
        <v>46023</v>
      </c>
    </row>
    <row r="90">
      <c r="A90" s="41" t="s">
        <v>415</v>
      </c>
      <c r="B90" s="42">
        <v>45658.0</v>
      </c>
      <c r="D90" s="41" t="s">
        <v>203</v>
      </c>
      <c r="E90" s="43">
        <f t="shared" si="1"/>
        <v>46023</v>
      </c>
    </row>
    <row r="91">
      <c r="A91" s="41" t="s">
        <v>416</v>
      </c>
      <c r="B91" s="42">
        <v>45658.0</v>
      </c>
      <c r="D91" s="41" t="s">
        <v>205</v>
      </c>
      <c r="E91" s="43">
        <f t="shared" si="1"/>
        <v>46023</v>
      </c>
    </row>
    <row r="92">
      <c r="A92" s="41" t="s">
        <v>417</v>
      </c>
      <c r="B92" s="42">
        <v>44562.0</v>
      </c>
      <c r="D92" s="41" t="s">
        <v>207</v>
      </c>
      <c r="E92" s="43">
        <f t="shared" si="1"/>
        <v>46037</v>
      </c>
    </row>
    <row r="93">
      <c r="A93" s="41" t="s">
        <v>418</v>
      </c>
      <c r="B93" s="42">
        <v>45658.0</v>
      </c>
      <c r="D93" s="41" t="s">
        <v>209</v>
      </c>
      <c r="E93" s="43">
        <f t="shared" si="1"/>
        <v>46023</v>
      </c>
    </row>
    <row r="94">
      <c r="A94" s="41" t="s">
        <v>419</v>
      </c>
      <c r="B94" s="42">
        <v>45658.0</v>
      </c>
      <c r="D94" s="41" t="s">
        <v>213</v>
      </c>
      <c r="E94" s="43">
        <f t="shared" si="1"/>
        <v>45658</v>
      </c>
    </row>
    <row r="95">
      <c r="A95" s="41" t="s">
        <v>420</v>
      </c>
      <c r="B95" s="42">
        <v>45658.0</v>
      </c>
      <c r="D95" s="41" t="s">
        <v>216</v>
      </c>
      <c r="E95" s="43">
        <f t="shared" si="1"/>
        <v>46023</v>
      </c>
    </row>
    <row r="96">
      <c r="A96" s="41" t="s">
        <v>421</v>
      </c>
      <c r="B96" s="42">
        <v>45292.0</v>
      </c>
      <c r="D96" s="41" t="s">
        <v>218</v>
      </c>
      <c r="E96" s="43">
        <f t="shared" si="1"/>
        <v>42339</v>
      </c>
    </row>
    <row r="97">
      <c r="A97" s="41" t="s">
        <v>422</v>
      </c>
      <c r="B97" s="42">
        <v>45292.0</v>
      </c>
      <c r="D97" s="41" t="s">
        <v>220</v>
      </c>
      <c r="E97" s="43">
        <f t="shared" si="1"/>
        <v>43831</v>
      </c>
    </row>
    <row r="98">
      <c r="A98" s="41" t="s">
        <v>423</v>
      </c>
      <c r="B98" s="42">
        <v>45627.0</v>
      </c>
      <c r="D98" s="41" t="s">
        <v>222</v>
      </c>
      <c r="E98" s="43">
        <f t="shared" si="1"/>
        <v>42005</v>
      </c>
    </row>
    <row r="99">
      <c r="A99" s="41" t="s">
        <v>424</v>
      </c>
      <c r="B99" s="42">
        <v>46023.0</v>
      </c>
      <c r="D99" s="41" t="s">
        <v>224</v>
      </c>
      <c r="E99" s="43">
        <f t="shared" si="1"/>
        <v>44562</v>
      </c>
    </row>
    <row r="100">
      <c r="A100" s="41" t="s">
        <v>425</v>
      </c>
      <c r="B100" s="42">
        <v>46023.0</v>
      </c>
      <c r="D100" s="41" t="s">
        <v>226</v>
      </c>
      <c r="E100" s="43">
        <f t="shared" si="1"/>
        <v>44562</v>
      </c>
    </row>
    <row r="101">
      <c r="A101" s="41" t="s">
        <v>426</v>
      </c>
      <c r="B101" s="42">
        <v>46023.0</v>
      </c>
      <c r="D101" s="41" t="s">
        <v>228</v>
      </c>
      <c r="E101" s="43">
        <f t="shared" si="1"/>
        <v>42005</v>
      </c>
    </row>
    <row r="102">
      <c r="A102" s="41" t="s">
        <v>427</v>
      </c>
      <c r="B102" s="42">
        <v>46023.0</v>
      </c>
      <c r="D102" s="41" t="s">
        <v>230</v>
      </c>
      <c r="E102" s="43">
        <f t="shared" si="1"/>
        <v>42522</v>
      </c>
    </row>
    <row r="103">
      <c r="A103" s="41" t="s">
        <v>428</v>
      </c>
      <c r="B103" s="42">
        <v>43221.0</v>
      </c>
      <c r="D103" s="41" t="s">
        <v>232</v>
      </c>
      <c r="E103" s="43">
        <f t="shared" si="1"/>
        <v>44562</v>
      </c>
    </row>
    <row r="104">
      <c r="A104" s="41" t="s">
        <v>429</v>
      </c>
      <c r="B104" s="42">
        <v>43101.0</v>
      </c>
      <c r="D104" s="41" t="s">
        <v>234</v>
      </c>
      <c r="E104" s="43">
        <f t="shared" si="1"/>
        <v>45292</v>
      </c>
    </row>
    <row r="105">
      <c r="A105" s="41" t="s">
        <v>430</v>
      </c>
      <c r="B105" s="42">
        <v>45962.0</v>
      </c>
      <c r="D105" s="41" t="s">
        <v>236</v>
      </c>
      <c r="E105" s="43">
        <f t="shared" si="1"/>
        <v>44044</v>
      </c>
    </row>
    <row r="106">
      <c r="A106" s="41" t="s">
        <v>431</v>
      </c>
      <c r="B106" s="42">
        <v>45627.0</v>
      </c>
      <c r="D106" s="41" t="s">
        <v>238</v>
      </c>
      <c r="E106" s="43">
        <f t="shared" si="1"/>
        <v>43101</v>
      </c>
    </row>
    <row r="107">
      <c r="A107" s="41" t="s">
        <v>432</v>
      </c>
      <c r="B107" s="42">
        <v>45658.0</v>
      </c>
      <c r="D107" s="41" t="s">
        <v>240</v>
      </c>
      <c r="E107" s="43">
        <f t="shared" si="1"/>
        <v>43101</v>
      </c>
    </row>
    <row r="108">
      <c r="A108" s="41" t="s">
        <v>433</v>
      </c>
      <c r="B108" s="42">
        <v>45658.0</v>
      </c>
      <c r="D108" s="41" t="s">
        <v>242</v>
      </c>
      <c r="E108" s="43">
        <f t="shared" si="1"/>
        <v>46012</v>
      </c>
    </row>
    <row r="109">
      <c r="A109" s="41" t="s">
        <v>434</v>
      </c>
      <c r="B109" s="42">
        <v>46023.0</v>
      </c>
      <c r="D109" s="41" t="s">
        <v>244</v>
      </c>
      <c r="E109" s="43">
        <f t="shared" si="1"/>
        <v>46019</v>
      </c>
    </row>
    <row r="110">
      <c r="A110" s="41" t="s">
        <v>435</v>
      </c>
      <c r="B110" s="42">
        <v>46023.0</v>
      </c>
      <c r="D110" s="41" t="s">
        <v>246</v>
      </c>
      <c r="E110" s="43">
        <f t="shared" si="1"/>
        <v>45658</v>
      </c>
    </row>
    <row r="111">
      <c r="A111" s="41" t="s">
        <v>436</v>
      </c>
      <c r="B111" s="42">
        <v>46023.0</v>
      </c>
      <c r="D111" s="41" t="s">
        <v>248</v>
      </c>
      <c r="E111" s="43">
        <f t="shared" si="1"/>
        <v>45658</v>
      </c>
    </row>
    <row r="112">
      <c r="A112" s="41" t="s">
        <v>437</v>
      </c>
      <c r="B112" s="42">
        <v>46023.0</v>
      </c>
      <c r="D112" s="41" t="s">
        <v>250</v>
      </c>
      <c r="E112" s="43">
        <f t="shared" si="1"/>
        <v>45231</v>
      </c>
    </row>
    <row r="113">
      <c r="A113" s="41" t="s">
        <v>438</v>
      </c>
      <c r="B113" s="42">
        <v>46023.0</v>
      </c>
      <c r="D113" s="41" t="s">
        <v>252</v>
      </c>
      <c r="E113" s="43">
        <f t="shared" si="1"/>
        <v>46037</v>
      </c>
    </row>
    <row r="114">
      <c r="A114" s="41" t="s">
        <v>439</v>
      </c>
      <c r="B114" s="42">
        <v>46023.0</v>
      </c>
      <c r="D114" s="41" t="s">
        <v>254</v>
      </c>
      <c r="E114" s="43">
        <f t="shared" si="1"/>
        <v>44927</v>
      </c>
    </row>
    <row r="115">
      <c r="A115" s="41" t="s">
        <v>440</v>
      </c>
      <c r="B115" s="42">
        <v>46023.0</v>
      </c>
      <c r="D115" s="41" t="s">
        <v>256</v>
      </c>
      <c r="E115" s="43">
        <f t="shared" si="1"/>
        <v>46019</v>
      </c>
    </row>
    <row r="116">
      <c r="A116" s="41" t="s">
        <v>441</v>
      </c>
      <c r="B116" s="42">
        <v>46023.0</v>
      </c>
      <c r="D116" s="41" t="s">
        <v>258</v>
      </c>
      <c r="E116" s="43">
        <f t="shared" si="1"/>
        <v>45108</v>
      </c>
    </row>
    <row r="117">
      <c r="A117" s="41" t="s">
        <v>442</v>
      </c>
      <c r="B117" s="42">
        <v>45992.0</v>
      </c>
      <c r="D117" s="41" t="s">
        <v>260</v>
      </c>
      <c r="E117" s="43">
        <f t="shared" si="1"/>
        <v>46021</v>
      </c>
    </row>
    <row r="118">
      <c r="A118" s="41" t="s">
        <v>443</v>
      </c>
      <c r="B118" s="42">
        <v>46023.0</v>
      </c>
      <c r="D118" s="41" t="s">
        <v>262</v>
      </c>
      <c r="E118" s="43">
        <f t="shared" si="1"/>
        <v>46021</v>
      </c>
    </row>
    <row r="119">
      <c r="A119" s="41" t="s">
        <v>444</v>
      </c>
      <c r="B119" s="42">
        <v>46023.0</v>
      </c>
      <c r="D119" s="41" t="s">
        <v>264</v>
      </c>
      <c r="E119" s="43">
        <f t="shared" si="1"/>
        <v>43922</v>
      </c>
    </row>
    <row r="120">
      <c r="A120" s="41" t="s">
        <v>445</v>
      </c>
      <c r="B120" s="42">
        <v>46143.0</v>
      </c>
      <c r="D120" s="41" t="s">
        <v>266</v>
      </c>
      <c r="E120" s="43">
        <f t="shared" si="1"/>
        <v>45292</v>
      </c>
    </row>
    <row r="121">
      <c r="A121" s="41" t="s">
        <v>442</v>
      </c>
      <c r="B121" s="42">
        <v>46023.0</v>
      </c>
      <c r="D121" s="41" t="s">
        <v>268</v>
      </c>
      <c r="E121" s="43">
        <f t="shared" si="1"/>
        <v>44927</v>
      </c>
    </row>
    <row r="122">
      <c r="A122" s="41" t="s">
        <v>446</v>
      </c>
      <c r="B122" s="42">
        <v>46023.0</v>
      </c>
      <c r="D122" s="41" t="s">
        <v>270</v>
      </c>
      <c r="E122" s="43">
        <f t="shared" si="1"/>
        <v>41852</v>
      </c>
    </row>
    <row r="123">
      <c r="A123" s="41" t="s">
        <v>447</v>
      </c>
      <c r="B123" s="42">
        <v>46023.0</v>
      </c>
      <c r="D123" s="41" t="s">
        <v>272</v>
      </c>
      <c r="E123" s="43">
        <f t="shared" si="1"/>
        <v>45658</v>
      </c>
    </row>
    <row r="124">
      <c r="A124" s="41" t="s">
        <v>448</v>
      </c>
      <c r="B124" s="42">
        <v>46023.0</v>
      </c>
      <c r="D124" s="41" t="s">
        <v>274</v>
      </c>
      <c r="E124" s="43">
        <f t="shared" si="1"/>
        <v>43101</v>
      </c>
    </row>
    <row r="125">
      <c r="A125" s="41" t="s">
        <v>387</v>
      </c>
      <c r="B125" s="42">
        <v>46023.0</v>
      </c>
      <c r="D125" s="41" t="s">
        <v>276</v>
      </c>
      <c r="E125" s="43">
        <f t="shared" si="1"/>
        <v>45078</v>
      </c>
    </row>
    <row r="126">
      <c r="A126" s="41" t="s">
        <v>439</v>
      </c>
      <c r="B126" s="42">
        <v>46023.0</v>
      </c>
      <c r="D126" s="41" t="s">
        <v>278</v>
      </c>
      <c r="E126" s="43">
        <f t="shared" si="1"/>
        <v>46021</v>
      </c>
    </row>
    <row r="127">
      <c r="A127" s="41" t="s">
        <v>449</v>
      </c>
      <c r="B127" s="42">
        <v>46023.0</v>
      </c>
      <c r="D127" s="41" t="s">
        <v>280</v>
      </c>
      <c r="E127" s="43">
        <f t="shared" si="1"/>
        <v>45658</v>
      </c>
    </row>
    <row r="128">
      <c r="A128" s="41" t="s">
        <v>450</v>
      </c>
      <c r="B128" s="42">
        <v>46012.0</v>
      </c>
      <c r="D128" s="41" t="s">
        <v>282</v>
      </c>
      <c r="E128" s="43">
        <f t="shared" si="1"/>
        <v>45689</v>
      </c>
    </row>
    <row r="129">
      <c r="A129" s="41" t="s">
        <v>451</v>
      </c>
      <c r="B129" s="42">
        <v>44562.0</v>
      </c>
      <c r="D129" s="41" t="s">
        <v>284</v>
      </c>
      <c r="E129" s="43">
        <f t="shared" si="1"/>
        <v>45597</v>
      </c>
    </row>
    <row r="130">
      <c r="A130" s="41" t="s">
        <v>452</v>
      </c>
      <c r="B130" s="42">
        <v>44562.0</v>
      </c>
      <c r="D130" s="41" t="s">
        <v>286</v>
      </c>
      <c r="E130" s="43">
        <f t="shared" si="1"/>
        <v>45658</v>
      </c>
    </row>
    <row r="131">
      <c r="A131" s="41" t="s">
        <v>453</v>
      </c>
      <c r="B131" s="42">
        <v>45108.0</v>
      </c>
      <c r="D131" s="41" t="s">
        <v>288</v>
      </c>
      <c r="E131" s="43">
        <f t="shared" si="1"/>
        <v>45658</v>
      </c>
    </row>
    <row r="132">
      <c r="A132" s="41" t="s">
        <v>454</v>
      </c>
      <c r="B132" s="42">
        <v>41852.0</v>
      </c>
      <c r="D132" s="41" t="s">
        <v>290</v>
      </c>
      <c r="E132" s="43">
        <f t="shared" si="1"/>
        <v>45383</v>
      </c>
    </row>
    <row r="133">
      <c r="A133" s="41" t="s">
        <v>455</v>
      </c>
      <c r="B133" s="42">
        <v>45231.0</v>
      </c>
      <c r="D133" s="41" t="s">
        <v>292</v>
      </c>
      <c r="E133" s="43">
        <f t="shared" si="1"/>
        <v>45658</v>
      </c>
    </row>
    <row r="134">
      <c r="A134" s="41" t="s">
        <v>456</v>
      </c>
      <c r="B134" s="42">
        <v>44562.0</v>
      </c>
      <c r="D134" s="41" t="s">
        <v>294</v>
      </c>
      <c r="E134" s="43">
        <f t="shared" si="1"/>
        <v>45658</v>
      </c>
    </row>
    <row r="135">
      <c r="A135" s="41" t="s">
        <v>457</v>
      </c>
      <c r="B135" s="42">
        <v>44927.0</v>
      </c>
      <c r="D135" s="41" t="s">
        <v>296</v>
      </c>
      <c r="E135" s="43">
        <f t="shared" si="1"/>
        <v>44562</v>
      </c>
    </row>
    <row r="136">
      <c r="A136" s="41" t="s">
        <v>458</v>
      </c>
      <c r="B136" s="42">
        <v>45078.0</v>
      </c>
      <c r="D136" s="41" t="s">
        <v>298</v>
      </c>
      <c r="E136" s="43">
        <f t="shared" si="1"/>
        <v>45658</v>
      </c>
    </row>
    <row r="137">
      <c r="A137" s="41" t="s">
        <v>459</v>
      </c>
      <c r="B137" s="42">
        <v>45231.0</v>
      </c>
      <c r="D137" s="41" t="s">
        <v>300</v>
      </c>
      <c r="E137" s="43">
        <f t="shared" si="1"/>
        <v>43101</v>
      </c>
    </row>
    <row r="138">
      <c r="A138" s="41" t="s">
        <v>460</v>
      </c>
      <c r="B138" s="42">
        <v>42005.0</v>
      </c>
      <c r="D138" s="41" t="s">
        <v>302</v>
      </c>
      <c r="E138" s="43">
        <f t="shared" si="1"/>
        <v>45658</v>
      </c>
    </row>
    <row r="139">
      <c r="A139" s="41" t="s">
        <v>461</v>
      </c>
      <c r="B139" s="42">
        <v>43922.0</v>
      </c>
      <c r="D139" s="41" t="s">
        <v>304</v>
      </c>
      <c r="E139" s="43">
        <f t="shared" si="1"/>
        <v>45658</v>
      </c>
    </row>
    <row r="140">
      <c r="A140" s="41" t="s">
        <v>462</v>
      </c>
      <c r="B140" s="42">
        <v>44044.0</v>
      </c>
      <c r="D140" s="41" t="s">
        <v>306</v>
      </c>
      <c r="E140" s="43">
        <f t="shared" si="1"/>
        <v>45658</v>
      </c>
    </row>
    <row r="141">
      <c r="A141" s="41" t="s">
        <v>463</v>
      </c>
      <c r="B141" s="42">
        <v>45658.0</v>
      </c>
      <c r="D141" s="41" t="s">
        <v>308</v>
      </c>
      <c r="E141" s="43">
        <f t="shared" si="1"/>
        <v>45658</v>
      </c>
    </row>
    <row r="142">
      <c r="A142" s="41" t="s">
        <v>464</v>
      </c>
      <c r="B142" s="42">
        <v>43101.0</v>
      </c>
      <c r="D142" s="41" t="s">
        <v>311</v>
      </c>
      <c r="E142" s="43">
        <f t="shared" si="1"/>
        <v>45627</v>
      </c>
    </row>
    <row r="143">
      <c r="A143" s="41" t="s">
        <v>465</v>
      </c>
      <c r="B143" s="42">
        <v>43831.0</v>
      </c>
      <c r="D143" s="41" t="s">
        <v>313</v>
      </c>
      <c r="E143" s="43">
        <f t="shared" si="1"/>
        <v>45658</v>
      </c>
    </row>
    <row r="144">
      <c r="A144" s="41" t="s">
        <v>466</v>
      </c>
      <c r="B144" s="42">
        <v>42339.0</v>
      </c>
      <c r="D144" s="41" t="s">
        <v>315</v>
      </c>
      <c r="E144" s="43">
        <f t="shared" si="1"/>
        <v>45627</v>
      </c>
    </row>
    <row r="145">
      <c r="A145" s="41" t="s">
        <v>467</v>
      </c>
      <c r="B145" s="42">
        <v>43101.0</v>
      </c>
      <c r="D145" s="41" t="s">
        <v>317</v>
      </c>
      <c r="E145" s="43">
        <f t="shared" si="1"/>
        <v>45658</v>
      </c>
    </row>
    <row r="146">
      <c r="A146" s="41" t="s">
        <v>468</v>
      </c>
      <c r="B146" s="42">
        <v>45292.0</v>
      </c>
      <c r="D146" s="41" t="s">
        <v>319</v>
      </c>
      <c r="E146" s="43">
        <f t="shared" si="1"/>
        <v>45292</v>
      </c>
    </row>
    <row r="147">
      <c r="A147" s="41" t="s">
        <v>469</v>
      </c>
      <c r="B147" s="42">
        <v>46054.0</v>
      </c>
      <c r="D147" s="41" t="s">
        <v>321</v>
      </c>
      <c r="E147" s="43">
        <f t="shared" si="1"/>
        <v>45658</v>
      </c>
    </row>
    <row r="148">
      <c r="A148" s="41" t="s">
        <v>470</v>
      </c>
      <c r="B148" s="42">
        <v>46019.0</v>
      </c>
      <c r="D148" s="41" t="s">
        <v>323</v>
      </c>
      <c r="E148" s="43">
        <f t="shared" si="1"/>
        <v>43221</v>
      </c>
    </row>
    <row r="149">
      <c r="A149" s="41" t="s">
        <v>471</v>
      </c>
      <c r="B149" s="42">
        <v>45658.0</v>
      </c>
    </row>
    <row r="150">
      <c r="A150" s="41" t="s">
        <v>472</v>
      </c>
      <c r="B150" s="42">
        <v>44927.0</v>
      </c>
    </row>
    <row r="151">
      <c r="A151" s="41" t="s">
        <v>473</v>
      </c>
      <c r="B151" s="42">
        <v>45778.0</v>
      </c>
    </row>
    <row r="152">
      <c r="A152" s="41" t="s">
        <v>474</v>
      </c>
      <c r="B152" s="42">
        <v>45658.0</v>
      </c>
    </row>
    <row r="153">
      <c r="A153" s="41" t="s">
        <v>475</v>
      </c>
      <c r="B153" s="42">
        <v>45839.0</v>
      </c>
    </row>
    <row r="154">
      <c r="A154" s="41" t="s">
        <v>476</v>
      </c>
      <c r="B154" s="42">
        <v>46054.0</v>
      </c>
    </row>
    <row r="155">
      <c r="A155" s="41" t="s">
        <v>477</v>
      </c>
      <c r="B155" s="42">
        <v>46054.0</v>
      </c>
    </row>
    <row r="156">
      <c r="A156" s="41" t="s">
        <v>478</v>
      </c>
      <c r="B156" s="42">
        <v>45292.0</v>
      </c>
    </row>
    <row r="157">
      <c r="A157" s="41" t="s">
        <v>479</v>
      </c>
      <c r="B157" s="42">
        <v>46023.0</v>
      </c>
    </row>
    <row r="158">
      <c r="A158" s="41" t="s">
        <v>480</v>
      </c>
      <c r="B158" s="42">
        <v>46023.0</v>
      </c>
    </row>
    <row r="159">
      <c r="A159" s="41" t="s">
        <v>481</v>
      </c>
      <c r="B159" s="42">
        <v>46021.0</v>
      </c>
    </row>
    <row r="160">
      <c r="A160" s="41" t="s">
        <v>482</v>
      </c>
      <c r="B160" s="42">
        <v>46023.0</v>
      </c>
    </row>
    <row r="161">
      <c r="A161" s="41" t="s">
        <v>483</v>
      </c>
      <c r="B161" s="42">
        <v>46023.0</v>
      </c>
    </row>
    <row r="162">
      <c r="A162" s="41" t="s">
        <v>484</v>
      </c>
      <c r="B162" s="42">
        <v>46023.0</v>
      </c>
    </row>
    <row r="163">
      <c r="A163" s="41" t="s">
        <v>485</v>
      </c>
      <c r="B163" s="42">
        <v>45658.0</v>
      </c>
    </row>
    <row r="164">
      <c r="A164" s="41" t="s">
        <v>486</v>
      </c>
      <c r="B164" s="42">
        <v>46021.0</v>
      </c>
    </row>
    <row r="165">
      <c r="A165" s="41" t="s">
        <v>487</v>
      </c>
      <c r="B165" s="42">
        <v>46023.0</v>
      </c>
    </row>
    <row r="166">
      <c r="A166" s="41" t="s">
        <v>488</v>
      </c>
      <c r="B166" s="42">
        <v>42522.0</v>
      </c>
    </row>
    <row r="167">
      <c r="A167" s="41" t="s">
        <v>489</v>
      </c>
      <c r="B167" s="42">
        <v>43101.0</v>
      </c>
    </row>
    <row r="168">
      <c r="A168" s="41" t="s">
        <v>490</v>
      </c>
      <c r="B168" s="42">
        <v>46082.0</v>
      </c>
    </row>
    <row r="169">
      <c r="A169" s="41" t="s">
        <v>491</v>
      </c>
      <c r="B169" s="42">
        <v>46023.0</v>
      </c>
    </row>
    <row r="170">
      <c r="A170" s="41" t="s">
        <v>492</v>
      </c>
      <c r="B170" s="42">
        <v>46021.0</v>
      </c>
    </row>
    <row r="171">
      <c r="A171" s="41" t="s">
        <v>493</v>
      </c>
      <c r="B171" s="42">
        <v>46054.0</v>
      </c>
    </row>
    <row r="172">
      <c r="A172" s="41" t="s">
        <v>494</v>
      </c>
      <c r="B172" s="42">
        <v>46020.0</v>
      </c>
    </row>
    <row r="173">
      <c r="A173" s="41" t="s">
        <v>484</v>
      </c>
      <c r="B173" s="42">
        <v>45658.0</v>
      </c>
    </row>
    <row r="174">
      <c r="A174" s="41" t="s">
        <v>495</v>
      </c>
      <c r="B174" s="42">
        <v>42005.0</v>
      </c>
    </row>
    <row r="175">
      <c r="A175" s="41" t="s">
        <v>496</v>
      </c>
      <c r="B175" s="42">
        <v>46054.0</v>
      </c>
    </row>
    <row r="176">
      <c r="A176" s="41" t="s">
        <v>497</v>
      </c>
      <c r="B176" s="42">
        <v>46023.0</v>
      </c>
    </row>
    <row r="177">
      <c r="A177" s="41" t="s">
        <v>498</v>
      </c>
      <c r="B177" s="42">
        <v>46023.0</v>
      </c>
    </row>
    <row r="178">
      <c r="A178" s="41" t="s">
        <v>499</v>
      </c>
      <c r="B178" s="42">
        <v>46023.0</v>
      </c>
    </row>
    <row r="179">
      <c r="A179" s="41" t="s">
        <v>500</v>
      </c>
      <c r="B179" s="42">
        <v>46019.0</v>
      </c>
    </row>
    <row r="180">
      <c r="A180" s="41" t="s">
        <v>501</v>
      </c>
      <c r="B180" s="42">
        <v>46023.0</v>
      </c>
    </row>
    <row r="181">
      <c r="A181" s="41" t="s">
        <v>502</v>
      </c>
      <c r="B181" s="42">
        <v>46143.0</v>
      </c>
    </row>
    <row r="182">
      <c r="A182" s="41" t="s">
        <v>503</v>
      </c>
      <c r="B182" s="42">
        <v>46023.0</v>
      </c>
    </row>
    <row r="183">
      <c r="A183" s="41" t="s">
        <v>504</v>
      </c>
      <c r="B183" s="42">
        <v>46100.0</v>
      </c>
    </row>
    <row r="184">
      <c r="A184" s="41" t="s">
        <v>505</v>
      </c>
      <c r="B184" s="42">
        <v>46023.0</v>
      </c>
    </row>
    <row r="185">
      <c r="A185" s="41" t="s">
        <v>506</v>
      </c>
      <c r="B185" s="42">
        <v>46037.0</v>
      </c>
    </row>
    <row r="186">
      <c r="A186" s="41" t="s">
        <v>507</v>
      </c>
      <c r="B186" s="42">
        <v>46007.0</v>
      </c>
    </row>
    <row r="187">
      <c r="A187" s="41" t="s">
        <v>508</v>
      </c>
      <c r="B187" s="42">
        <v>46007.0</v>
      </c>
    </row>
    <row r="188">
      <c r="A188" s="41" t="s">
        <v>509</v>
      </c>
      <c r="B188" s="42">
        <v>45992.0</v>
      </c>
    </row>
    <row r="189">
      <c r="A189" s="41" t="s">
        <v>510</v>
      </c>
      <c r="B189" s="42">
        <v>46023.0</v>
      </c>
    </row>
    <row r="190">
      <c r="A190" s="41" t="s">
        <v>511</v>
      </c>
      <c r="B190" s="42">
        <v>46023.0</v>
      </c>
    </row>
    <row r="191">
      <c r="A191" s="41" t="s">
        <v>512</v>
      </c>
      <c r="B191" s="42">
        <v>45992.0</v>
      </c>
    </row>
    <row r="192">
      <c r="A192" s="41" t="s">
        <v>513</v>
      </c>
      <c r="B192" s="42">
        <v>46113.0</v>
      </c>
    </row>
    <row r="193">
      <c r="A193" s="41" t="s">
        <v>512</v>
      </c>
      <c r="B193" s="42">
        <v>46023.0</v>
      </c>
    </row>
    <row r="194">
      <c r="A194" s="41" t="s">
        <v>514</v>
      </c>
      <c r="B194" s="42">
        <v>46023.0</v>
      </c>
    </row>
    <row r="195">
      <c r="A195" s="41" t="s">
        <v>515</v>
      </c>
      <c r="B195" s="42">
        <v>46023.0</v>
      </c>
    </row>
    <row r="196">
      <c r="A196" s="41" t="s">
        <v>516</v>
      </c>
      <c r="B196" s="42">
        <v>46023.0</v>
      </c>
    </row>
    <row r="197">
      <c r="A197" s="41" t="s">
        <v>517</v>
      </c>
      <c r="B197" s="42">
        <v>46023.0</v>
      </c>
    </row>
    <row r="198">
      <c r="A198" s="41" t="s">
        <v>518</v>
      </c>
      <c r="B198" s="42">
        <v>45658.0</v>
      </c>
    </row>
    <row r="199">
      <c r="A199" s="41" t="s">
        <v>519</v>
      </c>
      <c r="B199" s="42">
        <v>46082.0</v>
      </c>
    </row>
    <row r="200">
      <c r="A200" s="41" t="s">
        <v>520</v>
      </c>
      <c r="B200" s="42">
        <v>46143.0</v>
      </c>
    </row>
    <row r="201">
      <c r="A201" s="41" t="s">
        <v>521</v>
      </c>
      <c r="B201" s="42">
        <v>46054.0</v>
      </c>
    </row>
    <row r="202">
      <c r="A202" s="41" t="s">
        <v>522</v>
      </c>
      <c r="B202" s="42">
        <v>45658.0</v>
      </c>
    </row>
    <row r="203">
      <c r="A203" s="41" t="s">
        <v>523</v>
      </c>
      <c r="B203" s="42">
        <v>46023.0</v>
      </c>
    </row>
    <row r="204">
      <c r="A204" s="41" t="s">
        <v>524</v>
      </c>
      <c r="B204" s="42">
        <v>46054.0</v>
      </c>
    </row>
    <row r="205">
      <c r="A205" s="41" t="s">
        <v>525</v>
      </c>
      <c r="B205" s="42">
        <v>46023.0</v>
      </c>
    </row>
    <row r="206">
      <c r="A206" s="41" t="s">
        <v>526</v>
      </c>
      <c r="B206" s="42">
        <v>46023.0</v>
      </c>
    </row>
    <row r="207">
      <c r="A207" s="41" t="s">
        <v>527</v>
      </c>
      <c r="B207" s="42">
        <v>46023.0</v>
      </c>
    </row>
    <row r="208">
      <c r="A208" s="41" t="s">
        <v>528</v>
      </c>
      <c r="B208" s="42">
        <v>46023.0</v>
      </c>
    </row>
    <row r="209">
      <c r="A209" s="41" t="s">
        <v>529</v>
      </c>
      <c r="B209" s="42">
        <v>46023.0</v>
      </c>
    </row>
    <row r="210">
      <c r="A210" s="41" t="s">
        <v>530</v>
      </c>
      <c r="B210" s="42">
        <v>46023.0</v>
      </c>
    </row>
    <row r="211">
      <c r="A211" s="41" t="s">
        <v>531</v>
      </c>
      <c r="B211" s="42">
        <v>46023.0</v>
      </c>
    </row>
    <row r="212">
      <c r="A212" s="41" t="s">
        <v>532</v>
      </c>
      <c r="B212" s="42">
        <v>46023.0</v>
      </c>
    </row>
    <row r="213">
      <c r="A213" s="41" t="s">
        <v>533</v>
      </c>
      <c r="B213" s="42">
        <v>46023.0</v>
      </c>
    </row>
    <row r="214">
      <c r="A214" s="41" t="s">
        <v>534</v>
      </c>
      <c r="B214" s="42">
        <v>46023.0</v>
      </c>
    </row>
    <row r="215">
      <c r="A215" s="41" t="s">
        <v>535</v>
      </c>
      <c r="B215" s="42">
        <v>46023.0</v>
      </c>
    </row>
    <row r="216">
      <c r="A216" s="41" t="s">
        <v>536</v>
      </c>
      <c r="B216" s="42">
        <v>46023.0</v>
      </c>
    </row>
    <row r="217">
      <c r="A217" s="41" t="s">
        <v>537</v>
      </c>
      <c r="B217" s="42">
        <v>45962.0</v>
      </c>
    </row>
    <row r="218">
      <c r="A218" s="41" t="s">
        <v>538</v>
      </c>
      <c r="B218" s="42">
        <v>46023.0</v>
      </c>
    </row>
    <row r="219">
      <c r="A219" s="41" t="s">
        <v>539</v>
      </c>
      <c r="B219" s="42">
        <v>46082.0</v>
      </c>
    </row>
    <row r="220">
      <c r="A220" s="41" t="s">
        <v>540</v>
      </c>
      <c r="B220" s="42">
        <v>46023.0</v>
      </c>
    </row>
    <row r="221">
      <c r="A221" s="41" t="s">
        <v>541</v>
      </c>
      <c r="B221" s="42">
        <v>46023.0</v>
      </c>
    </row>
    <row r="222">
      <c r="A222" s="41" t="s">
        <v>542</v>
      </c>
      <c r="B222" s="42">
        <v>46023.0</v>
      </c>
    </row>
    <row r="223">
      <c r="A223" s="41" t="s">
        <v>543</v>
      </c>
      <c r="B223" s="42">
        <v>46023.0</v>
      </c>
    </row>
    <row r="224">
      <c r="A224" s="41" t="s">
        <v>544</v>
      </c>
      <c r="B224" s="42">
        <v>45992.0</v>
      </c>
    </row>
    <row r="225">
      <c r="A225" s="41" t="s">
        <v>545</v>
      </c>
      <c r="B225" s="42">
        <v>46023.0</v>
      </c>
    </row>
    <row r="226">
      <c r="A226" s="41" t="s">
        <v>546</v>
      </c>
      <c r="B226" s="42">
        <v>45658.0</v>
      </c>
    </row>
    <row r="227">
      <c r="A227" s="41" t="s">
        <v>547</v>
      </c>
      <c r="B227" s="42">
        <v>46023.0</v>
      </c>
    </row>
    <row r="228">
      <c r="A228" s="41" t="s">
        <v>548</v>
      </c>
      <c r="B228" s="42">
        <v>45658.0</v>
      </c>
    </row>
    <row r="229">
      <c r="A229" s="41" t="s">
        <v>549</v>
      </c>
      <c r="B229" s="42">
        <v>45992.0</v>
      </c>
    </row>
    <row r="230">
      <c r="A230" s="41" t="s">
        <v>550</v>
      </c>
      <c r="B230" s="42">
        <v>45870.0</v>
      </c>
    </row>
    <row r="231">
      <c r="A231" s="41" t="s">
        <v>551</v>
      </c>
      <c r="B231" s="42">
        <v>45870.0</v>
      </c>
    </row>
    <row r="232">
      <c r="A232" s="41" t="s">
        <v>552</v>
      </c>
      <c r="B232" s="42">
        <v>45870.0</v>
      </c>
    </row>
    <row r="233">
      <c r="A233" s="41" t="s">
        <v>553</v>
      </c>
      <c r="B233" s="42">
        <v>45839.0</v>
      </c>
    </row>
    <row r="234">
      <c r="A234" s="41" t="s">
        <v>554</v>
      </c>
      <c r="B234" s="42">
        <v>45931.0</v>
      </c>
    </row>
    <row r="235">
      <c r="A235" s="41" t="s">
        <v>555</v>
      </c>
      <c r="B235" s="42">
        <v>45870.0</v>
      </c>
    </row>
    <row r="236">
      <c r="A236" s="41" t="s">
        <v>556</v>
      </c>
      <c r="B236" s="42">
        <v>46023.0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2026-04-16T13:04:59Z</dcterms:created>
  <dc:creator>Crystal Decisions</dc:creator>
</cp:coreProperties>
</file>