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-3-26\"/>
    </mc:Choice>
  </mc:AlternateContent>
  <xr:revisionPtr revIDLastSave="0" documentId="13_ncr:1_{0AC67C1A-C6F5-4535-9A95-B4311F4ECB05}" xr6:coauthVersionLast="47" xr6:coauthVersionMax="47" xr10:uidLastSave="{00000000-0000-0000-0000-000000000000}"/>
  <bookViews>
    <workbookView xWindow="-57720" yWindow="-45" windowWidth="29040" windowHeight="15720" activeTab="4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5" l="1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5" i="5"/>
  <c r="L18" i="5"/>
  <c r="L13" i="5"/>
  <c r="L3" i="5"/>
  <c r="L19" i="5"/>
  <c r="L23" i="5"/>
  <c r="L8" i="5"/>
  <c r="L2" i="5"/>
  <c r="L4" i="5"/>
  <c r="L11" i="5"/>
  <c r="L12" i="5"/>
  <c r="L20" i="5"/>
  <c r="L7" i="5"/>
  <c r="L22" i="5"/>
  <c r="L21" i="5"/>
  <c r="L15" i="5"/>
  <c r="L24" i="5"/>
  <c r="L9" i="5"/>
  <c r="L10" i="5"/>
  <c r="L17" i="5"/>
  <c r="L6" i="5"/>
  <c r="L16" i="5"/>
  <c r="L5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14" i="5"/>
  <c r="X1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5" i="5"/>
  <c r="G12" i="5"/>
  <c r="G20" i="5"/>
  <c r="G13" i="5"/>
  <c r="G3" i="5"/>
  <c r="G14" i="5"/>
  <c r="G19" i="5"/>
  <c r="G23" i="5"/>
  <c r="G18" i="5"/>
  <c r="G8" i="5"/>
  <c r="G2" i="5"/>
  <c r="G10" i="5"/>
  <c r="G17" i="5"/>
  <c r="G9" i="5"/>
  <c r="G6" i="5"/>
  <c r="G16" i="5"/>
  <c r="G5" i="5"/>
  <c r="G7" i="5"/>
  <c r="G22" i="5"/>
  <c r="G21" i="5"/>
  <c r="G24" i="5"/>
  <c r="G4" i="5"/>
  <c r="G11" i="5"/>
  <c r="G15" i="5"/>
</calcChain>
</file>

<file path=xl/sharedStrings.xml><?xml version="1.0" encoding="utf-8"?>
<sst xmlns="http://schemas.openxmlformats.org/spreadsheetml/2006/main" count="1890" uniqueCount="219">
  <si>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</si>
  <si>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</si>
  <si>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</si>
  <si>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</si>
  <si>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</si>
  <si>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</si>
  <si>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</si>
  <si>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</si>
  <si>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</si>
  <si>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</si>
  <si>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</si>
  <si>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</si>
  <si>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</si>
  <si>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</si>
  <si>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</si>
  <si>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</si>
  <si>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</si>
  <si>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</si>
  <si>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</si>
  <si>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</si>
  <si>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</si>
  <si>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</si>
  <si>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</si>
  <si>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 xml:space="preserve">Kozacheck Anne Marie </t>
  </si>
  <si>
    <t>Brandt Steven K</t>
  </si>
  <si>
    <t xml:space="preserve">Sherman Matthew </t>
  </si>
  <si>
    <t>Kucan Thomas null</t>
  </si>
  <si>
    <t>Petrungaro Andrea null</t>
  </si>
  <si>
    <t>Green Danna null</t>
  </si>
  <si>
    <t>Schumann Barry null</t>
  </si>
  <si>
    <t xml:space="preserve">Dunavant Michael </t>
  </si>
  <si>
    <t>18710070</t>
  </si>
  <si>
    <t>17528908</t>
  </si>
  <si>
    <t>19278370</t>
  </si>
  <si>
    <t>19491313</t>
  </si>
  <si>
    <t>8812322</t>
  </si>
  <si>
    <t>16202925</t>
  </si>
  <si>
    <t>16912722</t>
  </si>
  <si>
    <t>16849453</t>
  </si>
  <si>
    <t>19586992</t>
  </si>
  <si>
    <t>18828278</t>
  </si>
  <si>
    <t>H711086900</t>
  </si>
  <si>
    <t>H711045193</t>
  </si>
  <si>
    <t>H711051038</t>
  </si>
  <si>
    <t>H750073175</t>
  </si>
  <si>
    <t>H750079901</t>
  </si>
  <si>
    <t>H750081328</t>
  </si>
  <si>
    <t>H750075381</t>
  </si>
  <si>
    <t>H750079904</t>
  </si>
  <si>
    <t>H750068245</t>
  </si>
  <si>
    <t>H750072498</t>
  </si>
  <si>
    <t>H750087378</t>
  </si>
  <si>
    <t>H711064367</t>
  </si>
  <si>
    <t>H711067280</t>
  </si>
  <si>
    <t>H750073946</t>
  </si>
  <si>
    <t>H750086700</t>
  </si>
  <si>
    <t>H711037504</t>
  </si>
  <si>
    <t>H750073872</t>
  </si>
  <si>
    <t>H711067996</t>
  </si>
  <si>
    <t>H711086159</t>
  </si>
  <si>
    <t>H711045437</t>
  </si>
  <si>
    <t>H711025485</t>
  </si>
  <si>
    <t>H711056072</t>
  </si>
  <si>
    <t>H750076900</t>
  </si>
  <si>
    <t>H711021314</t>
  </si>
  <si>
    <t>H711020958</t>
  </si>
  <si>
    <t>H750075562</t>
  </si>
  <si>
    <t>H750075563</t>
  </si>
  <si>
    <t>Michael</t>
  </si>
  <si>
    <t>Kenneth</t>
  </si>
  <si>
    <t>Sandra</t>
  </si>
  <si>
    <t>Lori</t>
  </si>
  <si>
    <t>Cheryl</t>
  </si>
  <si>
    <t>Mary Ann</t>
  </si>
  <si>
    <t>Ray</t>
  </si>
  <si>
    <t>Steven</t>
  </si>
  <si>
    <t>Ralph</t>
  </si>
  <si>
    <t>Jacquelyn</t>
  </si>
  <si>
    <t>Charles</t>
  </si>
  <si>
    <t>Kalin</t>
  </si>
  <si>
    <t>Patricia</t>
  </si>
  <si>
    <t>Harlin</t>
  </si>
  <si>
    <t>Jennifer</t>
  </si>
  <si>
    <t>Edward</t>
  </si>
  <si>
    <t>Laura</t>
  </si>
  <si>
    <t>Misty</t>
  </si>
  <si>
    <t>Donald</t>
  </si>
  <si>
    <t>Iysiah</t>
  </si>
  <si>
    <t>Shirley</t>
  </si>
  <si>
    <t>Shaista</t>
  </si>
  <si>
    <t>Zaharoula</t>
  </si>
  <si>
    <t>Connie</t>
  </si>
  <si>
    <t>Karen</t>
  </si>
  <si>
    <t>Claire</t>
  </si>
  <si>
    <t>Jayne</t>
  </si>
  <si>
    <t>Davis</t>
  </si>
  <si>
    <t>Maniecki</t>
  </si>
  <si>
    <t>Pelzsharpe</t>
  </si>
  <si>
    <t>Friend</t>
  </si>
  <si>
    <t>Sandridge</t>
  </si>
  <si>
    <t>Benik</t>
  </si>
  <si>
    <t>Askin</t>
  </si>
  <si>
    <t>Gropper</t>
  </si>
  <si>
    <t>Alvis</t>
  </si>
  <si>
    <t>Barrett</t>
  </si>
  <si>
    <t>Kocher</t>
  </si>
  <si>
    <t>Buckley</t>
  </si>
  <si>
    <t>Hill</t>
  </si>
  <si>
    <t>Tobias</t>
  </si>
  <si>
    <t>Kunkel</t>
  </si>
  <si>
    <t>Newberry</t>
  </si>
  <si>
    <t>Henkel</t>
  </si>
  <si>
    <t>Maull</t>
  </si>
  <si>
    <t>Perry</t>
  </si>
  <si>
    <t>Ali</t>
  </si>
  <si>
    <t>Diamantakos</t>
  </si>
  <si>
    <t>Gangnon</t>
  </si>
  <si>
    <t>Duke</t>
  </si>
  <si>
    <t>Nighman</t>
  </si>
  <si>
    <t>Bressner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</si>
  <si>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</si>
  <si>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</si>
  <si>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</si>
  <si>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</si>
  <si>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</si>
  <si>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</si>
  <si>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</si>
  <si>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</si>
  <si>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</si>
  <si>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MD</t>
  </si>
  <si>
    <t>IN</t>
  </si>
  <si>
    <t>2026-01-02</t>
  </si>
  <si>
    <t>2025-12-31</t>
  </si>
  <si>
    <t>2026-02-01</t>
  </si>
  <si>
    <t>2026-01-28</t>
  </si>
  <si>
    <t>2026-02-15</t>
  </si>
  <si>
    <t>2026-02-05</t>
  </si>
  <si>
    <t>56</t>
  </si>
  <si>
    <t>55</t>
  </si>
  <si>
    <t>65</t>
  </si>
  <si>
    <t>86</t>
  </si>
  <si>
    <t>66</t>
  </si>
  <si>
    <t>51</t>
  </si>
  <si>
    <t>63</t>
  </si>
  <si>
    <t>71</t>
  </si>
  <si>
    <t>70</t>
  </si>
  <si>
    <t>60</t>
  </si>
  <si>
    <t>25</t>
  </si>
  <si>
    <t>58</t>
  </si>
  <si>
    <t>79</t>
  </si>
  <si>
    <t>64</t>
  </si>
  <si>
    <t>81</t>
  </si>
  <si>
    <t>69</t>
  </si>
  <si>
    <t>MONTHLY</t>
  </si>
  <si>
    <t>RCVP</t>
  </si>
  <si>
    <t>RCVP-R</t>
  </si>
  <si>
    <t>1</t>
  </si>
  <si>
    <t>4</t>
  </si>
  <si>
    <t>3</t>
  </si>
  <si>
    <t>2</t>
  </si>
  <si>
    <t>6</t>
  </si>
  <si>
    <t>5</t>
  </si>
  <si>
    <t>56.50</t>
  </si>
  <si>
    <t>110.20</t>
  </si>
  <si>
    <t>104.82</t>
  </si>
  <si>
    <t>117.08</t>
  </si>
  <si>
    <t>115.86</t>
  </si>
  <si>
    <t>129.40</t>
  </si>
  <si>
    <t>279.06</t>
  </si>
  <si>
    <t>143.78</t>
  </si>
  <si>
    <t>65.45</t>
  </si>
  <si>
    <t>170.91</t>
  </si>
  <si>
    <t>120.21</t>
  </si>
  <si>
    <t>127.65</t>
  </si>
  <si>
    <t>149.69</t>
  </si>
  <si>
    <t>39.45</t>
  </si>
  <si>
    <t>47.70</t>
  </si>
  <si>
    <t>173.60</t>
  </si>
  <si>
    <t>116.70</t>
  </si>
  <si>
    <t>137.01</t>
  </si>
  <si>
    <t>0.00</t>
  </si>
  <si>
    <t>243.62</t>
  </si>
  <si>
    <t>100.00000</t>
  </si>
  <si>
    <t>0.00%</t>
  </si>
  <si>
    <t>25.00%</t>
  </si>
  <si>
    <t>21.00%</t>
  </si>
  <si>
    <t>1.00%</t>
  </si>
  <si>
    <t>2.00%</t>
  </si>
  <si>
    <t>20.80%</t>
  </si>
  <si>
    <t>N</t>
  </si>
  <si>
    <t>Y</t>
  </si>
  <si>
    <t>9.50%</t>
  </si>
  <si>
    <t>2.80%</t>
  </si>
  <si>
    <t>0.80%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</si>
  <si>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</si>
  <si>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</si>
  <si>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</si>
  <si>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</si>
  <si>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</si>
  <si>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</si>
  <si>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</si>
  <si>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</si>
  <si>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</si>
  <si>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</si>
  <si>
    <t xml:space="preserve">McCorkle Michelle </t>
  </si>
  <si>
    <t xml:space="preserve">Inskipt Deborah </t>
  </si>
  <si>
    <t xml:space="preserve">Kucan Thomas </t>
  </si>
  <si>
    <t xml:space="preserve">Petrungaro Andrea </t>
  </si>
  <si>
    <t xml:space="preserve">Green Danna </t>
  </si>
  <si>
    <t>Main Line Benefits</t>
  </si>
  <si>
    <t>All Other Guarantee Issue, Underage, &amp; Issue Age 80+ 1%</t>
  </si>
  <si>
    <t>All Other Guarantee Issue, Underage, &amp; Issue Age 80+</t>
  </si>
  <si>
    <t>Open Enrollment underwritten IL</t>
  </si>
  <si>
    <t>Open Enrollment - States Where Available</t>
  </si>
  <si>
    <t>Standard Dental</t>
  </si>
  <si>
    <t>Physician Mutual OVR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</si>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</sst>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2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>
      <selection activeCell="M8" sqref="M8"/>
    </sheetView>
  </sheetViews>
  <sheetFormatPr defaultRowHeight="15" x14ac:dyDescent="0.25"/>
  <cols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10" max="10" width="1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s="8">
        <v>18710070</v>
      </c>
      <c r="C2" t="s">
        <v>41</v>
      </c>
      <c r="D2" t="s">
        <v>68</v>
      </c>
      <c r="E2" t="s">
        <v>95</v>
      </c>
      <c r="F2" t="s">
        <v>120</v>
      </c>
      <c r="G2" t="s">
        <v>124</v>
      </c>
      <c r="H2" t="s">
        <v>126</v>
      </c>
      <c r="I2" t="s">
        <v>131</v>
      </c>
      <c r="J2" t="s">
        <v>133</v>
      </c>
      <c r="K2" t="s">
        <v>137</v>
      </c>
      <c r="L2" t="s">
        <v>153</v>
      </c>
      <c r="M2" t="s">
        <v>154</v>
      </c>
      <c r="N2" t="s">
        <v>156</v>
      </c>
      <c r="O2" t="s">
        <v>162</v>
      </c>
      <c r="P2" t="s">
        <v>180</v>
      </c>
      <c r="Q2" t="s">
        <v>162</v>
      </c>
      <c r="R2" t="s">
        <v>182</v>
      </c>
      <c r="S2" t="s">
        <v>183</v>
      </c>
      <c r="T2">
        <v>0</v>
      </c>
      <c r="U2" t="s">
        <v>189</v>
      </c>
    </row>
    <row r="3" spans="1:21" x14ac:dyDescent="0.25">
      <c r="A3" t="s">
        <v>22</v>
      </c>
      <c r="B3" s="8">
        <v>17528908</v>
      </c>
      <c r="C3" t="s">
        <v>42</v>
      </c>
      <c r="D3" t="s">
        <v>69</v>
      </c>
      <c r="E3" t="s">
        <v>96</v>
      </c>
      <c r="F3" t="s">
        <v>120</v>
      </c>
      <c r="G3" t="s">
        <v>124</v>
      </c>
      <c r="H3" t="s">
        <v>126</v>
      </c>
      <c r="I3" t="s">
        <v>132</v>
      </c>
      <c r="J3" t="s">
        <v>134</v>
      </c>
      <c r="K3" t="s">
        <v>138</v>
      </c>
      <c r="L3" t="s">
        <v>153</v>
      </c>
      <c r="M3" t="s">
        <v>154</v>
      </c>
      <c r="N3" t="s">
        <v>157</v>
      </c>
      <c r="O3" t="s">
        <v>163</v>
      </c>
      <c r="P3" t="s">
        <v>180</v>
      </c>
      <c r="Q3" t="s">
        <v>163</v>
      </c>
      <c r="R3" t="s">
        <v>182</v>
      </c>
      <c r="S3" t="s">
        <v>184</v>
      </c>
      <c r="T3">
        <v>27.55</v>
      </c>
      <c r="U3" t="s">
        <v>190</v>
      </c>
    </row>
    <row r="4" spans="1:21" x14ac:dyDescent="0.25">
      <c r="A4" t="s">
        <v>23</v>
      </c>
      <c r="B4" s="8">
        <v>19278370</v>
      </c>
      <c r="C4" t="s">
        <v>43</v>
      </c>
      <c r="D4" t="s">
        <v>70</v>
      </c>
      <c r="E4" t="s">
        <v>97</v>
      </c>
      <c r="F4" t="s">
        <v>120</v>
      </c>
      <c r="G4" t="s">
        <v>124</v>
      </c>
      <c r="H4" t="s">
        <v>126</v>
      </c>
      <c r="I4" t="s">
        <v>132</v>
      </c>
      <c r="J4" t="s">
        <v>133</v>
      </c>
      <c r="K4" t="s">
        <v>139</v>
      </c>
      <c r="L4" t="s">
        <v>153</v>
      </c>
      <c r="M4" t="s">
        <v>154</v>
      </c>
      <c r="N4" t="s">
        <v>158</v>
      </c>
      <c r="O4" t="s">
        <v>163</v>
      </c>
      <c r="P4" t="s">
        <v>180</v>
      </c>
      <c r="Q4" t="s">
        <v>163</v>
      </c>
      <c r="R4" t="s">
        <v>182</v>
      </c>
      <c r="S4" t="s">
        <v>184</v>
      </c>
      <c r="T4">
        <v>27.55</v>
      </c>
      <c r="U4" t="s">
        <v>190</v>
      </c>
    </row>
    <row r="5" spans="1:21" x14ac:dyDescent="0.25">
      <c r="A5" t="s">
        <v>24</v>
      </c>
      <c r="B5" s="8">
        <v>19491313</v>
      </c>
      <c r="C5" t="s">
        <v>44</v>
      </c>
      <c r="D5" t="s">
        <v>71</v>
      </c>
      <c r="E5" t="s">
        <v>98</v>
      </c>
      <c r="F5" t="s">
        <v>121</v>
      </c>
      <c r="G5" t="s">
        <v>125</v>
      </c>
      <c r="H5" t="s">
        <v>127</v>
      </c>
      <c r="I5" t="s">
        <v>132</v>
      </c>
      <c r="J5" t="s">
        <v>133</v>
      </c>
      <c r="K5" t="s">
        <v>139</v>
      </c>
      <c r="L5" t="s">
        <v>153</v>
      </c>
      <c r="M5" t="s">
        <v>154</v>
      </c>
      <c r="N5" t="s">
        <v>158</v>
      </c>
      <c r="O5" t="s">
        <v>164</v>
      </c>
      <c r="P5" t="s">
        <v>180</v>
      </c>
      <c r="Q5" t="s">
        <v>164</v>
      </c>
      <c r="R5" t="s">
        <v>182</v>
      </c>
      <c r="S5" t="s">
        <v>185</v>
      </c>
      <c r="T5">
        <v>22.01</v>
      </c>
      <c r="U5" t="s">
        <v>190</v>
      </c>
    </row>
    <row r="6" spans="1:21" x14ac:dyDescent="0.25">
      <c r="A6" t="s">
        <v>24</v>
      </c>
      <c r="B6" s="8">
        <v>19491313</v>
      </c>
      <c r="C6" t="s">
        <v>45</v>
      </c>
      <c r="D6" t="s">
        <v>72</v>
      </c>
      <c r="E6" t="s">
        <v>99</v>
      </c>
      <c r="F6" t="s">
        <v>121</v>
      </c>
      <c r="G6" t="s">
        <v>125</v>
      </c>
      <c r="H6" t="s">
        <v>127</v>
      </c>
      <c r="I6" t="s">
        <v>132</v>
      </c>
      <c r="J6" t="s">
        <v>133</v>
      </c>
      <c r="K6" t="s">
        <v>139</v>
      </c>
      <c r="L6" t="s">
        <v>153</v>
      </c>
      <c r="M6" t="s">
        <v>154</v>
      </c>
      <c r="N6" t="s">
        <v>158</v>
      </c>
      <c r="O6" t="s">
        <v>165</v>
      </c>
      <c r="P6" t="s">
        <v>180</v>
      </c>
      <c r="Q6" t="s">
        <v>165</v>
      </c>
      <c r="R6" t="s">
        <v>182</v>
      </c>
      <c r="S6" t="s">
        <v>185</v>
      </c>
      <c r="T6">
        <v>24.59</v>
      </c>
      <c r="U6" t="s">
        <v>190</v>
      </c>
    </row>
    <row r="7" spans="1:21" x14ac:dyDescent="0.25">
      <c r="A7" t="s">
        <v>24</v>
      </c>
      <c r="B7" s="8">
        <v>19491313</v>
      </c>
      <c r="C7" t="s">
        <v>46</v>
      </c>
      <c r="D7" t="s">
        <v>73</v>
      </c>
      <c r="E7" t="s">
        <v>100</v>
      </c>
      <c r="F7" t="s">
        <v>121</v>
      </c>
      <c r="G7" t="s">
        <v>125</v>
      </c>
      <c r="H7" t="s">
        <v>127</v>
      </c>
      <c r="I7" t="s">
        <v>132</v>
      </c>
      <c r="J7" t="s">
        <v>133</v>
      </c>
      <c r="K7" t="s">
        <v>139</v>
      </c>
      <c r="L7" t="s">
        <v>153</v>
      </c>
      <c r="M7" t="s">
        <v>155</v>
      </c>
      <c r="N7" t="s">
        <v>159</v>
      </c>
      <c r="O7" t="s">
        <v>165</v>
      </c>
      <c r="P7" t="s">
        <v>180</v>
      </c>
      <c r="Q7" t="s">
        <v>165</v>
      </c>
      <c r="R7" t="s">
        <v>182</v>
      </c>
      <c r="S7" t="s">
        <v>186</v>
      </c>
      <c r="T7">
        <v>1.17</v>
      </c>
      <c r="U7" t="s">
        <v>190</v>
      </c>
    </row>
    <row r="8" spans="1:21" x14ac:dyDescent="0.25">
      <c r="A8" t="s">
        <v>24</v>
      </c>
      <c r="B8" s="8">
        <v>19491313</v>
      </c>
      <c r="C8" t="s">
        <v>47</v>
      </c>
      <c r="D8" t="s">
        <v>74</v>
      </c>
      <c r="E8" t="s">
        <v>101</v>
      </c>
      <c r="F8" t="s">
        <v>121</v>
      </c>
      <c r="G8" t="s">
        <v>125</v>
      </c>
      <c r="H8" t="s">
        <v>127</v>
      </c>
      <c r="I8" t="s">
        <v>132</v>
      </c>
      <c r="J8" t="s">
        <v>133</v>
      </c>
      <c r="K8" t="s">
        <v>139</v>
      </c>
      <c r="L8" t="s">
        <v>153</v>
      </c>
      <c r="M8" t="s">
        <v>155</v>
      </c>
      <c r="N8" t="s">
        <v>157</v>
      </c>
      <c r="O8" t="s">
        <v>166</v>
      </c>
      <c r="P8" t="s">
        <v>180</v>
      </c>
      <c r="Q8" t="s">
        <v>166</v>
      </c>
      <c r="R8" t="s">
        <v>182</v>
      </c>
      <c r="S8" t="s">
        <v>185</v>
      </c>
      <c r="T8">
        <v>24.33</v>
      </c>
      <c r="U8" t="s">
        <v>190</v>
      </c>
    </row>
    <row r="9" spans="1:21" x14ac:dyDescent="0.25">
      <c r="A9" t="s">
        <v>24</v>
      </c>
      <c r="B9" s="8">
        <v>19491313</v>
      </c>
      <c r="C9" t="s">
        <v>48</v>
      </c>
      <c r="D9" t="s">
        <v>75</v>
      </c>
      <c r="E9" t="s">
        <v>99</v>
      </c>
      <c r="F9" t="s">
        <v>121</v>
      </c>
      <c r="G9" t="s">
        <v>125</v>
      </c>
      <c r="H9" t="s">
        <v>127</v>
      </c>
      <c r="I9" t="s">
        <v>132</v>
      </c>
      <c r="J9" t="s">
        <v>133</v>
      </c>
      <c r="K9" t="s">
        <v>139</v>
      </c>
      <c r="L9" t="s">
        <v>153</v>
      </c>
      <c r="M9" t="s">
        <v>154</v>
      </c>
      <c r="N9" t="s">
        <v>159</v>
      </c>
      <c r="O9" t="s">
        <v>167</v>
      </c>
      <c r="P9" t="s">
        <v>180</v>
      </c>
      <c r="Q9" t="s">
        <v>167</v>
      </c>
      <c r="R9" t="s">
        <v>182</v>
      </c>
      <c r="S9" t="s">
        <v>185</v>
      </c>
      <c r="T9">
        <v>27.17</v>
      </c>
      <c r="U9" t="s">
        <v>190</v>
      </c>
    </row>
    <row r="10" spans="1:21" x14ac:dyDescent="0.25">
      <c r="A10" t="s">
        <v>24</v>
      </c>
      <c r="B10" s="8">
        <v>19491313</v>
      </c>
      <c r="C10" t="s">
        <v>49</v>
      </c>
      <c r="D10" t="s">
        <v>76</v>
      </c>
      <c r="E10" t="s">
        <v>102</v>
      </c>
      <c r="F10" t="s">
        <v>122</v>
      </c>
      <c r="G10" t="s">
        <v>125</v>
      </c>
      <c r="H10" t="s">
        <v>127</v>
      </c>
      <c r="I10" t="s">
        <v>132</v>
      </c>
      <c r="J10" t="s">
        <v>133</v>
      </c>
      <c r="K10" t="s">
        <v>140</v>
      </c>
      <c r="L10" t="s">
        <v>153</v>
      </c>
      <c r="M10" t="s">
        <v>155</v>
      </c>
      <c r="N10" t="s">
        <v>160</v>
      </c>
      <c r="O10" t="s">
        <v>168</v>
      </c>
      <c r="P10" t="s">
        <v>180</v>
      </c>
      <c r="Q10" t="s">
        <v>181</v>
      </c>
      <c r="R10" t="s">
        <v>182</v>
      </c>
      <c r="S10" t="s">
        <v>187</v>
      </c>
      <c r="T10">
        <v>4.87</v>
      </c>
      <c r="U10" t="s">
        <v>189</v>
      </c>
    </row>
    <row r="11" spans="1:21" x14ac:dyDescent="0.25">
      <c r="A11" t="s">
        <v>24</v>
      </c>
      <c r="B11" s="8">
        <v>19491313</v>
      </c>
      <c r="C11" t="s">
        <v>50</v>
      </c>
      <c r="D11" t="s">
        <v>77</v>
      </c>
      <c r="E11" t="s">
        <v>103</v>
      </c>
      <c r="F11" t="s">
        <v>121</v>
      </c>
      <c r="G11" t="s">
        <v>125</v>
      </c>
      <c r="H11" t="s">
        <v>127</v>
      </c>
      <c r="I11" t="s">
        <v>131</v>
      </c>
      <c r="J11" t="s">
        <v>133</v>
      </c>
      <c r="K11" t="s">
        <v>139</v>
      </c>
      <c r="L11" t="s">
        <v>153</v>
      </c>
      <c r="M11" t="s">
        <v>154</v>
      </c>
      <c r="N11" t="s">
        <v>157</v>
      </c>
      <c r="O11" t="s">
        <v>164</v>
      </c>
      <c r="P11" t="s">
        <v>180</v>
      </c>
      <c r="Q11" t="s">
        <v>164</v>
      </c>
      <c r="R11" t="s">
        <v>182</v>
      </c>
      <c r="S11" t="s">
        <v>185</v>
      </c>
      <c r="T11">
        <v>22.01</v>
      </c>
      <c r="U11" t="s">
        <v>190</v>
      </c>
    </row>
    <row r="12" spans="1:21" x14ac:dyDescent="0.25">
      <c r="A12" t="s">
        <v>24</v>
      </c>
      <c r="B12" s="8">
        <v>19491313</v>
      </c>
      <c r="C12" t="s">
        <v>51</v>
      </c>
      <c r="D12" t="s">
        <v>78</v>
      </c>
      <c r="E12" t="s">
        <v>104</v>
      </c>
      <c r="F12" t="s">
        <v>121</v>
      </c>
      <c r="G12" t="s">
        <v>125</v>
      </c>
      <c r="H12" t="s">
        <v>127</v>
      </c>
      <c r="I12" t="s">
        <v>131</v>
      </c>
      <c r="J12" t="s">
        <v>133</v>
      </c>
      <c r="K12" t="s">
        <v>141</v>
      </c>
      <c r="L12" t="s">
        <v>153</v>
      </c>
      <c r="M12" t="s">
        <v>155</v>
      </c>
      <c r="N12" t="s">
        <v>159</v>
      </c>
      <c r="O12" t="s">
        <v>169</v>
      </c>
      <c r="P12" t="s">
        <v>180</v>
      </c>
      <c r="Q12" t="s">
        <v>169</v>
      </c>
      <c r="R12" t="s">
        <v>182</v>
      </c>
      <c r="S12" t="s">
        <v>185</v>
      </c>
      <c r="T12">
        <v>30.19</v>
      </c>
      <c r="U12" t="s">
        <v>190</v>
      </c>
    </row>
    <row r="13" spans="1:21" x14ac:dyDescent="0.25">
      <c r="A13" t="s">
        <v>25</v>
      </c>
      <c r="B13" s="8">
        <v>8812322</v>
      </c>
      <c r="C13" t="s">
        <v>52</v>
      </c>
      <c r="D13" t="s">
        <v>79</v>
      </c>
      <c r="E13" t="s">
        <v>105</v>
      </c>
      <c r="F13" t="s">
        <v>123</v>
      </c>
      <c r="G13" t="s">
        <v>124</v>
      </c>
      <c r="H13" t="s">
        <v>128</v>
      </c>
      <c r="I13" t="s">
        <v>132</v>
      </c>
      <c r="J13" t="s">
        <v>133</v>
      </c>
      <c r="K13" t="s">
        <v>142</v>
      </c>
      <c r="L13" t="s">
        <v>153</v>
      </c>
      <c r="M13" t="s">
        <v>154</v>
      </c>
      <c r="N13" t="s">
        <v>159</v>
      </c>
      <c r="O13" t="s">
        <v>162</v>
      </c>
      <c r="P13" t="s">
        <v>180</v>
      </c>
      <c r="Q13" t="s">
        <v>162</v>
      </c>
      <c r="R13" t="s">
        <v>182</v>
      </c>
      <c r="S13" t="s">
        <v>184</v>
      </c>
      <c r="T13">
        <v>14.13</v>
      </c>
      <c r="U13" t="s">
        <v>190</v>
      </c>
    </row>
    <row r="14" spans="1:21" x14ac:dyDescent="0.25">
      <c r="A14" t="s">
        <v>25</v>
      </c>
      <c r="B14" s="8">
        <v>8812322</v>
      </c>
      <c r="C14" t="s">
        <v>53</v>
      </c>
      <c r="D14" t="s">
        <v>80</v>
      </c>
      <c r="E14" t="s">
        <v>106</v>
      </c>
      <c r="F14" t="s">
        <v>123</v>
      </c>
      <c r="G14" t="s">
        <v>124</v>
      </c>
      <c r="H14" t="s">
        <v>128</v>
      </c>
      <c r="I14" t="s">
        <v>132</v>
      </c>
      <c r="J14" t="s">
        <v>135</v>
      </c>
      <c r="K14" t="s">
        <v>143</v>
      </c>
      <c r="L14" t="s">
        <v>153</v>
      </c>
      <c r="M14" t="s">
        <v>154</v>
      </c>
      <c r="N14" t="s">
        <v>158</v>
      </c>
      <c r="O14" t="s">
        <v>170</v>
      </c>
      <c r="P14" t="s">
        <v>180</v>
      </c>
      <c r="Q14" t="s">
        <v>170</v>
      </c>
      <c r="R14" t="s">
        <v>182</v>
      </c>
      <c r="S14" t="s">
        <v>184</v>
      </c>
      <c r="T14">
        <v>16.36</v>
      </c>
      <c r="U14" t="s">
        <v>190</v>
      </c>
    </row>
    <row r="15" spans="1:21" s="3" customFormat="1" x14ac:dyDescent="0.25">
      <c r="A15" s="3" t="s">
        <v>25</v>
      </c>
      <c r="B15" s="9">
        <v>8812322</v>
      </c>
      <c r="C15" s="3" t="s">
        <v>54</v>
      </c>
      <c r="D15" s="3" t="s">
        <v>81</v>
      </c>
      <c r="E15" s="3" t="s">
        <v>107</v>
      </c>
      <c r="F15" s="3" t="s">
        <v>121</v>
      </c>
      <c r="G15" s="3" t="s">
        <v>125</v>
      </c>
      <c r="H15" s="3" t="s">
        <v>128</v>
      </c>
      <c r="I15" s="3" t="s">
        <v>132</v>
      </c>
      <c r="J15" s="3" t="s">
        <v>133</v>
      </c>
      <c r="K15" s="3" t="s">
        <v>144</v>
      </c>
      <c r="L15" s="3" t="s">
        <v>153</v>
      </c>
      <c r="M15" s="3" t="s">
        <v>155</v>
      </c>
      <c r="N15" s="3" t="s">
        <v>161</v>
      </c>
      <c r="O15" s="3" t="s">
        <v>171</v>
      </c>
      <c r="P15" s="3" t="s">
        <v>180</v>
      </c>
      <c r="Q15" s="3" t="s">
        <v>171</v>
      </c>
      <c r="R15" s="3" t="s">
        <v>182</v>
      </c>
      <c r="S15" s="3" t="s">
        <v>188</v>
      </c>
      <c r="T15" s="3">
        <v>35.549999999999997</v>
      </c>
      <c r="U15" s="3" t="s">
        <v>190</v>
      </c>
    </row>
    <row r="16" spans="1:21" x14ac:dyDescent="0.25">
      <c r="A16" t="s">
        <v>25</v>
      </c>
      <c r="B16" s="8">
        <v>8812322</v>
      </c>
      <c r="C16" t="s">
        <v>55</v>
      </c>
      <c r="D16" t="s">
        <v>82</v>
      </c>
      <c r="E16" t="s">
        <v>108</v>
      </c>
      <c r="F16" t="s">
        <v>121</v>
      </c>
      <c r="G16" t="s">
        <v>125</v>
      </c>
      <c r="H16" t="s">
        <v>128</v>
      </c>
      <c r="I16" t="s">
        <v>132</v>
      </c>
      <c r="J16" t="s">
        <v>133</v>
      </c>
      <c r="K16" t="s">
        <v>139</v>
      </c>
      <c r="L16" t="s">
        <v>153</v>
      </c>
      <c r="M16" t="s">
        <v>154</v>
      </c>
      <c r="N16" t="s">
        <v>159</v>
      </c>
      <c r="O16" t="s">
        <v>172</v>
      </c>
      <c r="P16" t="s">
        <v>180</v>
      </c>
      <c r="Q16" t="s">
        <v>172</v>
      </c>
      <c r="R16" t="s">
        <v>182</v>
      </c>
      <c r="S16" t="s">
        <v>188</v>
      </c>
      <c r="T16">
        <v>25</v>
      </c>
      <c r="U16" t="s">
        <v>190</v>
      </c>
    </row>
    <row r="17" spans="1:21" x14ac:dyDescent="0.25">
      <c r="A17" t="s">
        <v>25</v>
      </c>
      <c r="B17" s="8">
        <v>8812322</v>
      </c>
      <c r="C17" t="s">
        <v>56</v>
      </c>
      <c r="D17" t="s">
        <v>83</v>
      </c>
      <c r="E17" t="s">
        <v>109</v>
      </c>
      <c r="F17" t="s">
        <v>123</v>
      </c>
      <c r="G17" t="s">
        <v>124</v>
      </c>
      <c r="H17" t="s">
        <v>128</v>
      </c>
      <c r="I17" t="s">
        <v>132</v>
      </c>
      <c r="J17" t="s">
        <v>136</v>
      </c>
      <c r="K17" t="s">
        <v>141</v>
      </c>
      <c r="L17" t="s">
        <v>153</v>
      </c>
      <c r="M17" t="s">
        <v>154</v>
      </c>
      <c r="N17" t="s">
        <v>161</v>
      </c>
      <c r="O17" t="s">
        <v>173</v>
      </c>
      <c r="P17" t="s">
        <v>180</v>
      </c>
      <c r="Q17" t="s">
        <v>173</v>
      </c>
      <c r="R17" t="s">
        <v>182</v>
      </c>
      <c r="S17" t="s">
        <v>184</v>
      </c>
      <c r="T17">
        <v>31.91</v>
      </c>
      <c r="U17" t="s">
        <v>190</v>
      </c>
    </row>
    <row r="18" spans="1:21" s="3" customFormat="1" x14ac:dyDescent="0.25">
      <c r="A18" s="3" t="s">
        <v>25</v>
      </c>
      <c r="B18" s="9">
        <v>8812322</v>
      </c>
      <c r="C18" s="3" t="s">
        <v>57</v>
      </c>
      <c r="D18" s="3" t="s">
        <v>84</v>
      </c>
      <c r="E18" s="3" t="s">
        <v>107</v>
      </c>
      <c r="F18" s="3" t="s">
        <v>121</v>
      </c>
      <c r="G18" s="3" t="s">
        <v>125</v>
      </c>
      <c r="H18" s="3" t="s">
        <v>128</v>
      </c>
      <c r="I18" s="3" t="s">
        <v>132</v>
      </c>
      <c r="J18" s="3" t="s">
        <v>133</v>
      </c>
      <c r="K18" s="3" t="s">
        <v>145</v>
      </c>
      <c r="L18" s="3" t="s">
        <v>153</v>
      </c>
      <c r="M18" s="3" t="s">
        <v>155</v>
      </c>
      <c r="N18" s="3" t="s">
        <v>161</v>
      </c>
      <c r="O18" s="3" t="s">
        <v>174</v>
      </c>
      <c r="P18" s="3" t="s">
        <v>180</v>
      </c>
      <c r="Q18" s="3" t="s">
        <v>174</v>
      </c>
      <c r="R18" s="3" t="s">
        <v>182</v>
      </c>
      <c r="S18" s="3" t="s">
        <v>188</v>
      </c>
      <c r="T18" s="3">
        <v>31.14</v>
      </c>
      <c r="U18" s="3" t="s">
        <v>190</v>
      </c>
    </row>
    <row r="19" spans="1:21" x14ac:dyDescent="0.25">
      <c r="A19" t="s">
        <v>25</v>
      </c>
      <c r="B19" s="8">
        <v>8812322</v>
      </c>
      <c r="C19" t="s">
        <v>58</v>
      </c>
      <c r="D19" t="s">
        <v>85</v>
      </c>
      <c r="E19" t="s">
        <v>110</v>
      </c>
      <c r="F19" t="s">
        <v>123</v>
      </c>
      <c r="G19" t="s">
        <v>124</v>
      </c>
      <c r="H19" t="s">
        <v>128</v>
      </c>
      <c r="I19" t="s">
        <v>132</v>
      </c>
      <c r="J19" t="s">
        <v>133</v>
      </c>
      <c r="K19" t="s">
        <v>142</v>
      </c>
      <c r="L19" t="s">
        <v>153</v>
      </c>
      <c r="M19" t="s">
        <v>154</v>
      </c>
      <c r="N19" t="s">
        <v>159</v>
      </c>
      <c r="O19" t="s">
        <v>162</v>
      </c>
      <c r="P19" t="s">
        <v>180</v>
      </c>
      <c r="Q19" t="s">
        <v>162</v>
      </c>
      <c r="R19" t="s">
        <v>182</v>
      </c>
      <c r="S19" t="s">
        <v>184</v>
      </c>
      <c r="T19">
        <v>14.13</v>
      </c>
      <c r="U19" t="s">
        <v>190</v>
      </c>
    </row>
    <row r="20" spans="1:21" x14ac:dyDescent="0.25">
      <c r="A20" t="s">
        <v>25</v>
      </c>
      <c r="B20" s="8">
        <v>8812322</v>
      </c>
      <c r="C20" t="s">
        <v>59</v>
      </c>
      <c r="D20" t="s">
        <v>86</v>
      </c>
      <c r="E20" t="s">
        <v>111</v>
      </c>
      <c r="F20" t="s">
        <v>123</v>
      </c>
      <c r="G20" t="s">
        <v>124</v>
      </c>
      <c r="H20" t="s">
        <v>128</v>
      </c>
      <c r="I20" t="s">
        <v>132</v>
      </c>
      <c r="J20" t="s">
        <v>133</v>
      </c>
      <c r="K20" t="s">
        <v>146</v>
      </c>
      <c r="L20" t="s">
        <v>153</v>
      </c>
      <c r="M20" t="s">
        <v>154</v>
      </c>
      <c r="N20" t="s">
        <v>156</v>
      </c>
      <c r="O20" t="s">
        <v>173</v>
      </c>
      <c r="P20" t="s">
        <v>180</v>
      </c>
      <c r="Q20" t="s">
        <v>173</v>
      </c>
      <c r="R20" t="s">
        <v>182</v>
      </c>
      <c r="S20" t="s">
        <v>184</v>
      </c>
      <c r="T20">
        <v>31.91</v>
      </c>
      <c r="U20" t="s">
        <v>190</v>
      </c>
    </row>
    <row r="21" spans="1:21" x14ac:dyDescent="0.25">
      <c r="A21" t="s">
        <v>26</v>
      </c>
      <c r="B21" s="8">
        <v>16202925</v>
      </c>
      <c r="C21" t="s">
        <v>60</v>
      </c>
      <c r="D21" t="s">
        <v>87</v>
      </c>
      <c r="E21" t="s">
        <v>112</v>
      </c>
      <c r="F21" t="s">
        <v>123</v>
      </c>
      <c r="G21" t="s">
        <v>124</v>
      </c>
      <c r="H21" t="s">
        <v>129</v>
      </c>
      <c r="I21" t="s">
        <v>132</v>
      </c>
      <c r="J21" t="s">
        <v>133</v>
      </c>
      <c r="K21" t="s">
        <v>147</v>
      </c>
      <c r="L21" t="s">
        <v>153</v>
      </c>
      <c r="M21" t="s">
        <v>154</v>
      </c>
      <c r="N21" t="s">
        <v>157</v>
      </c>
      <c r="O21" t="s">
        <v>175</v>
      </c>
      <c r="P21" t="s">
        <v>180</v>
      </c>
      <c r="Q21" t="s">
        <v>175</v>
      </c>
      <c r="R21" t="s">
        <v>182</v>
      </c>
      <c r="S21" t="s">
        <v>184</v>
      </c>
      <c r="T21">
        <v>9.86</v>
      </c>
      <c r="U21" t="s">
        <v>190</v>
      </c>
    </row>
    <row r="22" spans="1:21" x14ac:dyDescent="0.25">
      <c r="A22" t="s">
        <v>26</v>
      </c>
      <c r="B22" s="8">
        <v>16202925</v>
      </c>
      <c r="C22" t="s">
        <v>61</v>
      </c>
      <c r="D22" t="s">
        <v>88</v>
      </c>
      <c r="E22" t="s">
        <v>113</v>
      </c>
      <c r="F22" t="s">
        <v>123</v>
      </c>
      <c r="G22" t="s">
        <v>124</v>
      </c>
      <c r="H22" t="s">
        <v>129</v>
      </c>
      <c r="I22" t="s">
        <v>132</v>
      </c>
      <c r="J22" t="s">
        <v>133</v>
      </c>
      <c r="K22" t="s">
        <v>148</v>
      </c>
      <c r="L22" t="s">
        <v>153</v>
      </c>
      <c r="M22" t="s">
        <v>154</v>
      </c>
      <c r="N22" t="s">
        <v>160</v>
      </c>
      <c r="O22" t="s">
        <v>176</v>
      </c>
      <c r="P22" t="s">
        <v>180</v>
      </c>
      <c r="Q22" t="s">
        <v>176</v>
      </c>
      <c r="R22" t="s">
        <v>182</v>
      </c>
      <c r="S22" t="s">
        <v>184</v>
      </c>
      <c r="T22">
        <v>11.93</v>
      </c>
      <c r="U22" t="s">
        <v>189</v>
      </c>
    </row>
    <row r="23" spans="1:21" x14ac:dyDescent="0.25">
      <c r="A23" t="s">
        <v>26</v>
      </c>
      <c r="B23" s="8">
        <v>16202925</v>
      </c>
      <c r="C23" t="s">
        <v>62</v>
      </c>
      <c r="D23" t="s">
        <v>89</v>
      </c>
      <c r="E23" t="s">
        <v>114</v>
      </c>
      <c r="F23" t="s">
        <v>123</v>
      </c>
      <c r="G23" t="s">
        <v>124</v>
      </c>
      <c r="H23" t="s">
        <v>129</v>
      </c>
      <c r="I23" t="s">
        <v>131</v>
      </c>
      <c r="J23" t="s">
        <v>133</v>
      </c>
      <c r="K23" t="s">
        <v>146</v>
      </c>
      <c r="L23" t="s">
        <v>153</v>
      </c>
      <c r="M23" t="s">
        <v>154</v>
      </c>
      <c r="N23" t="s">
        <v>158</v>
      </c>
      <c r="O23" t="s">
        <v>162</v>
      </c>
      <c r="P23" t="s">
        <v>180</v>
      </c>
      <c r="Q23" t="s">
        <v>162</v>
      </c>
      <c r="R23" t="s">
        <v>182</v>
      </c>
      <c r="S23" t="s">
        <v>184</v>
      </c>
      <c r="T23">
        <v>14.13</v>
      </c>
      <c r="U23" t="s">
        <v>190</v>
      </c>
    </row>
    <row r="24" spans="1:21" x14ac:dyDescent="0.25">
      <c r="A24" t="s">
        <v>27</v>
      </c>
      <c r="B24" s="8">
        <v>16912722</v>
      </c>
      <c r="C24" t="s">
        <v>63</v>
      </c>
      <c r="D24" t="s">
        <v>90</v>
      </c>
      <c r="E24" t="s">
        <v>115</v>
      </c>
      <c r="F24" t="s">
        <v>121</v>
      </c>
      <c r="G24" t="s">
        <v>125</v>
      </c>
      <c r="H24" t="s">
        <v>128</v>
      </c>
      <c r="I24" t="s">
        <v>132</v>
      </c>
      <c r="J24" t="s">
        <v>133</v>
      </c>
      <c r="K24" t="s">
        <v>149</v>
      </c>
      <c r="L24" t="s">
        <v>153</v>
      </c>
      <c r="M24" t="s">
        <v>155</v>
      </c>
      <c r="N24" t="s">
        <v>157</v>
      </c>
      <c r="O24" t="s">
        <v>177</v>
      </c>
      <c r="P24" t="s">
        <v>180</v>
      </c>
      <c r="Q24" t="s">
        <v>177</v>
      </c>
      <c r="R24" t="s">
        <v>182</v>
      </c>
      <c r="S24" t="s">
        <v>188</v>
      </c>
      <c r="T24">
        <v>36.11</v>
      </c>
      <c r="U24" t="s">
        <v>190</v>
      </c>
    </row>
    <row r="25" spans="1:21" x14ac:dyDescent="0.25">
      <c r="A25" t="s">
        <v>28</v>
      </c>
      <c r="B25" s="8">
        <v>16849453</v>
      </c>
      <c r="C25" t="s">
        <v>64</v>
      </c>
      <c r="D25" t="s">
        <v>91</v>
      </c>
      <c r="E25" t="s">
        <v>116</v>
      </c>
      <c r="F25" t="s">
        <v>123</v>
      </c>
      <c r="G25" t="s">
        <v>124</v>
      </c>
      <c r="H25" t="s">
        <v>130</v>
      </c>
      <c r="I25" t="s">
        <v>132</v>
      </c>
      <c r="J25" t="s">
        <v>133</v>
      </c>
      <c r="K25" t="s">
        <v>150</v>
      </c>
      <c r="L25" t="s">
        <v>153</v>
      </c>
      <c r="M25" t="s">
        <v>154</v>
      </c>
      <c r="N25" t="s">
        <v>160</v>
      </c>
      <c r="O25" t="s">
        <v>173</v>
      </c>
      <c r="P25" t="s">
        <v>180</v>
      </c>
      <c r="Q25" t="s">
        <v>173</v>
      </c>
      <c r="R25" t="s">
        <v>182</v>
      </c>
      <c r="S25" t="s">
        <v>184</v>
      </c>
      <c r="T25">
        <v>31.91</v>
      </c>
      <c r="U25" t="s">
        <v>189</v>
      </c>
    </row>
    <row r="26" spans="1:21" x14ac:dyDescent="0.25">
      <c r="A26" t="s">
        <v>28</v>
      </c>
      <c r="B26" s="8">
        <v>16849453</v>
      </c>
      <c r="C26" t="s">
        <v>65</v>
      </c>
      <c r="D26" t="s">
        <v>92</v>
      </c>
      <c r="E26" t="s">
        <v>117</v>
      </c>
      <c r="F26" t="s">
        <v>123</v>
      </c>
      <c r="G26" t="s">
        <v>124</v>
      </c>
      <c r="H26" t="s">
        <v>130</v>
      </c>
      <c r="I26" t="s">
        <v>132</v>
      </c>
      <c r="J26" t="s">
        <v>133</v>
      </c>
      <c r="K26" t="s">
        <v>151</v>
      </c>
      <c r="L26" t="s">
        <v>153</v>
      </c>
      <c r="M26" t="s">
        <v>154</v>
      </c>
      <c r="N26" t="s">
        <v>160</v>
      </c>
      <c r="O26" t="s">
        <v>162</v>
      </c>
      <c r="P26" t="s">
        <v>180</v>
      </c>
      <c r="Q26" t="s">
        <v>162</v>
      </c>
      <c r="R26" t="s">
        <v>182</v>
      </c>
      <c r="S26" t="s">
        <v>184</v>
      </c>
      <c r="T26">
        <v>14.13</v>
      </c>
      <c r="U26" t="s">
        <v>189</v>
      </c>
    </row>
    <row r="27" spans="1:21" s="3" customFormat="1" x14ac:dyDescent="0.25">
      <c r="A27" s="3" t="s">
        <v>29</v>
      </c>
      <c r="B27" s="9">
        <v>19586992</v>
      </c>
      <c r="C27" s="3" t="s">
        <v>66</v>
      </c>
      <c r="D27" s="3" t="s">
        <v>93</v>
      </c>
      <c r="E27" s="3" t="s">
        <v>118</v>
      </c>
      <c r="F27" s="3" t="s">
        <v>121</v>
      </c>
      <c r="G27" s="3" t="s">
        <v>125</v>
      </c>
      <c r="H27" s="3" t="s">
        <v>128</v>
      </c>
      <c r="I27" s="3" t="s">
        <v>131</v>
      </c>
      <c r="J27" s="3" t="s">
        <v>133</v>
      </c>
      <c r="K27" s="3" t="s">
        <v>139</v>
      </c>
      <c r="L27" s="3" t="s">
        <v>153</v>
      </c>
      <c r="M27" s="3" t="s">
        <v>154</v>
      </c>
      <c r="N27" s="3" t="s">
        <v>157</v>
      </c>
      <c r="O27" s="3" t="s">
        <v>178</v>
      </c>
      <c r="P27" s="3" t="s">
        <v>180</v>
      </c>
      <c r="Q27" s="3" t="s">
        <v>178</v>
      </c>
      <c r="R27" s="3" t="s">
        <v>182</v>
      </c>
      <c r="S27" s="3" t="s">
        <v>188</v>
      </c>
      <c r="T27" s="3">
        <v>24.27</v>
      </c>
      <c r="U27" s="3" t="s">
        <v>190</v>
      </c>
    </row>
    <row r="28" spans="1:21" s="3" customFormat="1" x14ac:dyDescent="0.25">
      <c r="A28" s="3" t="s">
        <v>30</v>
      </c>
      <c r="B28" s="9">
        <v>18828278</v>
      </c>
      <c r="C28" s="3" t="s">
        <v>67</v>
      </c>
      <c r="D28" s="3" t="s">
        <v>94</v>
      </c>
      <c r="E28" s="3" t="s">
        <v>119</v>
      </c>
      <c r="F28" s="3" t="s">
        <v>121</v>
      </c>
      <c r="G28" s="3" t="s">
        <v>125</v>
      </c>
      <c r="H28" s="3" t="s">
        <v>128</v>
      </c>
      <c r="I28" s="3" t="s">
        <v>132</v>
      </c>
      <c r="J28" s="3" t="s">
        <v>133</v>
      </c>
      <c r="K28" s="3" t="s">
        <v>152</v>
      </c>
      <c r="L28" s="3" t="s">
        <v>153</v>
      </c>
      <c r="M28" s="3" t="s">
        <v>155</v>
      </c>
      <c r="N28" s="3" t="s">
        <v>157</v>
      </c>
      <c r="O28" s="3" t="s">
        <v>179</v>
      </c>
      <c r="P28" s="3" t="s">
        <v>180</v>
      </c>
      <c r="Q28" s="3" t="s">
        <v>179</v>
      </c>
      <c r="R28" s="3" t="s">
        <v>182</v>
      </c>
      <c r="S28" s="3" t="s">
        <v>188</v>
      </c>
      <c r="T28" s="3">
        <v>28.5</v>
      </c>
      <c r="U28" s="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94B0-EA6D-43DC-9A4C-3D0C35D36984}">
  <dimension ref="A1:Z51"/>
  <sheetViews>
    <sheetView topLeftCell="A21" workbookViewId="0">
      <selection activeCell="V29" sqref="V29"/>
    </sheetView>
  </sheetViews>
  <sheetFormatPr defaultRowHeight="15" x14ac:dyDescent="0.25"/>
  <cols>
    <col min="1" max="1" width="24.5703125" bestFit="1" customWidth="1"/>
    <col min="2" max="2" width="11.5703125" customWidth="1"/>
    <col min="3" max="3" width="13.7109375" bestFit="1" customWidth="1"/>
    <col min="4" max="4" width="21.7109375" customWidth="1"/>
    <col min="7" max="7" width="28.42578125" customWidth="1"/>
    <col min="10" max="10" width="15.140625" bestFit="1" customWidth="1"/>
    <col min="11" max="11" width="11.140625" bestFit="1" customWidth="1"/>
    <col min="12" max="14" width="11.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6" x14ac:dyDescent="0.25">
      <c r="A2" t="s">
        <v>24</v>
      </c>
      <c r="B2">
        <v>19491313</v>
      </c>
      <c r="C2" t="s">
        <v>51</v>
      </c>
      <c r="D2" t="s">
        <v>51</v>
      </c>
      <c r="E2" t="s">
        <v>78</v>
      </c>
      <c r="F2" t="s">
        <v>104</v>
      </c>
      <c r="G2" t="str">
        <f t="shared" ref="G2:G24" si="0">CONCATENATE(E2," ",F2)</f>
        <v>Charles Barrett</v>
      </c>
      <c r="H2" t="s">
        <v>125</v>
      </c>
      <c r="I2" t="s">
        <v>127</v>
      </c>
      <c r="J2" s="5">
        <v>45992</v>
      </c>
      <c r="K2" s="5">
        <v>46054</v>
      </c>
      <c r="L2">
        <f t="shared" ref="L2:L24" si="1">DATEDIF(J2,K2,"M")</f>
        <v>2</v>
      </c>
      <c r="M2" s="5" t="s">
        <v>216</v>
      </c>
      <c r="N2" s="5" t="s">
        <v>217</v>
      </c>
      <c r="O2">
        <v>66</v>
      </c>
      <c r="P2" t="s">
        <v>153</v>
      </c>
      <c r="Q2" t="s">
        <v>155</v>
      </c>
      <c r="R2">
        <v>2</v>
      </c>
      <c r="S2">
        <v>143.78</v>
      </c>
      <c r="T2">
        <v>0</v>
      </c>
      <c r="U2">
        <v>143.78</v>
      </c>
      <c r="V2">
        <v>100</v>
      </c>
      <c r="W2" s="2">
        <v>0.21</v>
      </c>
      <c r="X2">
        <v>30.19</v>
      </c>
      <c r="Y2" t="s">
        <v>213</v>
      </c>
    </row>
    <row r="3" spans="1:26" x14ac:dyDescent="0.25">
      <c r="A3" t="s">
        <v>24</v>
      </c>
      <c r="B3">
        <v>19491313</v>
      </c>
      <c r="C3" t="s">
        <v>45</v>
      </c>
      <c r="D3" t="s">
        <v>45</v>
      </c>
      <c r="E3" t="s">
        <v>72</v>
      </c>
      <c r="F3" t="s">
        <v>99</v>
      </c>
      <c r="G3" t="str">
        <f t="shared" si="0"/>
        <v>Cheryl Sandridge</v>
      </c>
      <c r="H3" t="s">
        <v>125</v>
      </c>
      <c r="I3" t="s">
        <v>127</v>
      </c>
      <c r="J3" s="5">
        <v>45962</v>
      </c>
      <c r="K3" s="5">
        <v>46054</v>
      </c>
      <c r="L3">
        <f t="shared" si="1"/>
        <v>3</v>
      </c>
      <c r="M3" s="5" t="s">
        <v>216</v>
      </c>
      <c r="N3" s="5" t="s">
        <v>217</v>
      </c>
      <c r="O3">
        <v>65</v>
      </c>
      <c r="P3" t="s">
        <v>153</v>
      </c>
      <c r="Q3" t="s">
        <v>154</v>
      </c>
      <c r="R3">
        <v>3</v>
      </c>
      <c r="S3">
        <v>117.08</v>
      </c>
      <c r="T3">
        <v>0</v>
      </c>
      <c r="U3">
        <v>117.08</v>
      </c>
      <c r="V3">
        <v>100</v>
      </c>
      <c r="W3" s="2">
        <v>0.21</v>
      </c>
      <c r="X3">
        <v>24.59</v>
      </c>
      <c r="Y3" t="s">
        <v>213</v>
      </c>
    </row>
    <row r="4" spans="1:26" x14ac:dyDescent="0.25">
      <c r="A4" s="3" t="s">
        <v>208</v>
      </c>
      <c r="B4" s="3">
        <v>16849453</v>
      </c>
      <c r="C4" s="3" t="s">
        <v>64</v>
      </c>
      <c r="D4" s="3" t="s">
        <v>64</v>
      </c>
      <c r="E4" s="3" t="s">
        <v>91</v>
      </c>
      <c r="F4" s="3" t="s">
        <v>116</v>
      </c>
      <c r="G4" s="3" t="str">
        <f t="shared" si="0"/>
        <v>Connie Gangnon</v>
      </c>
      <c r="H4" s="3" t="s">
        <v>124</v>
      </c>
      <c r="I4" s="3" t="s">
        <v>130</v>
      </c>
      <c r="J4" s="6">
        <v>45870</v>
      </c>
      <c r="K4" s="6">
        <v>46054</v>
      </c>
      <c r="L4" s="3">
        <f t="shared" si="1"/>
        <v>6</v>
      </c>
      <c r="M4" s="6" t="s">
        <v>216</v>
      </c>
      <c r="N4" s="6" t="s">
        <v>218</v>
      </c>
      <c r="O4" s="3">
        <v>64</v>
      </c>
      <c r="P4" s="3" t="s">
        <v>153</v>
      </c>
      <c r="Q4" s="3" t="s">
        <v>154</v>
      </c>
      <c r="R4" s="3">
        <v>6</v>
      </c>
      <c r="S4" s="3">
        <v>127.65</v>
      </c>
      <c r="T4" s="3">
        <v>0</v>
      </c>
      <c r="U4" s="3">
        <v>127.65</v>
      </c>
      <c r="V4" s="3">
        <v>100</v>
      </c>
      <c r="W4" s="4">
        <v>0.25</v>
      </c>
      <c r="X4" s="3">
        <v>31.91</v>
      </c>
      <c r="Y4" s="3" t="s">
        <v>214</v>
      </c>
      <c r="Z4" s="3"/>
    </row>
    <row r="5" spans="1:26" x14ac:dyDescent="0.25">
      <c r="A5" s="3" t="s">
        <v>25</v>
      </c>
      <c r="B5" s="3">
        <v>8812322</v>
      </c>
      <c r="C5" s="3" t="s">
        <v>59</v>
      </c>
      <c r="D5" s="3" t="s">
        <v>59</v>
      </c>
      <c r="E5" s="3" t="s">
        <v>86</v>
      </c>
      <c r="F5" s="3" t="s">
        <v>111</v>
      </c>
      <c r="G5" s="3" t="str">
        <f t="shared" si="0"/>
        <v>Donald Henkel</v>
      </c>
      <c r="H5" s="3" t="s">
        <v>124</v>
      </c>
      <c r="I5" s="3" t="s">
        <v>128</v>
      </c>
      <c r="J5" s="6">
        <v>46023</v>
      </c>
      <c r="K5" s="6">
        <v>46054</v>
      </c>
      <c r="L5" s="3">
        <f t="shared" si="1"/>
        <v>1</v>
      </c>
      <c r="M5" s="6" t="s">
        <v>216</v>
      </c>
      <c r="N5" s="6" t="s">
        <v>218</v>
      </c>
      <c r="O5" s="3">
        <v>60</v>
      </c>
      <c r="P5" s="3" t="s">
        <v>153</v>
      </c>
      <c r="Q5" s="3" t="s">
        <v>154</v>
      </c>
      <c r="R5" s="3">
        <v>1</v>
      </c>
      <c r="S5" s="3">
        <v>127.65</v>
      </c>
      <c r="T5" s="3">
        <v>0</v>
      </c>
      <c r="U5" s="3">
        <v>127.65</v>
      </c>
      <c r="V5" s="3">
        <v>100</v>
      </c>
      <c r="W5" s="4">
        <v>0.25</v>
      </c>
      <c r="X5" s="3">
        <v>31.91</v>
      </c>
      <c r="Y5" s="3" t="s">
        <v>214</v>
      </c>
      <c r="Z5" s="3"/>
    </row>
    <row r="6" spans="1:26" x14ac:dyDescent="0.25">
      <c r="A6" s="3" t="s">
        <v>25</v>
      </c>
      <c r="B6" s="3">
        <v>8812322</v>
      </c>
      <c r="C6" s="3" t="s">
        <v>56</v>
      </c>
      <c r="D6" s="3" t="s">
        <v>56</v>
      </c>
      <c r="E6" s="3" t="s">
        <v>83</v>
      </c>
      <c r="F6" s="3" t="s">
        <v>109</v>
      </c>
      <c r="G6" s="3" t="str">
        <f t="shared" si="0"/>
        <v>Edward Kunkel</v>
      </c>
      <c r="H6" s="3" t="s">
        <v>124</v>
      </c>
      <c r="I6" s="3" t="s">
        <v>128</v>
      </c>
      <c r="J6" s="6">
        <v>45905</v>
      </c>
      <c r="K6" s="6">
        <v>46058</v>
      </c>
      <c r="L6" s="3">
        <f t="shared" si="1"/>
        <v>5</v>
      </c>
      <c r="M6" s="6" t="s">
        <v>216</v>
      </c>
      <c r="N6" s="6" t="s">
        <v>218</v>
      </c>
      <c r="O6" s="3">
        <v>66</v>
      </c>
      <c r="P6" s="3" t="s">
        <v>153</v>
      </c>
      <c r="Q6" s="3" t="s">
        <v>154</v>
      </c>
      <c r="R6" s="3">
        <v>5</v>
      </c>
      <c r="S6" s="3">
        <v>127.65</v>
      </c>
      <c r="T6" s="3">
        <v>0</v>
      </c>
      <c r="U6" s="3">
        <v>127.65</v>
      </c>
      <c r="V6" s="3">
        <v>100</v>
      </c>
      <c r="W6" s="4">
        <v>0.25</v>
      </c>
      <c r="X6" s="3">
        <v>31.91</v>
      </c>
      <c r="Y6" s="3" t="s">
        <v>214</v>
      </c>
      <c r="Z6" s="3"/>
    </row>
    <row r="7" spans="1:26" x14ac:dyDescent="0.25">
      <c r="A7" s="3" t="s">
        <v>206</v>
      </c>
      <c r="B7" s="3">
        <v>16202925</v>
      </c>
      <c r="C7" s="3" t="s">
        <v>60</v>
      </c>
      <c r="D7" s="3" t="s">
        <v>60</v>
      </c>
      <c r="E7" s="3" t="s">
        <v>87</v>
      </c>
      <c r="F7" s="3" t="s">
        <v>112</v>
      </c>
      <c r="G7" s="3" t="str">
        <f t="shared" si="0"/>
        <v>Iysiah Maull</v>
      </c>
      <c r="H7" s="3" t="s">
        <v>124</v>
      </c>
      <c r="I7" s="3" t="s">
        <v>129</v>
      </c>
      <c r="J7" s="6">
        <v>45931</v>
      </c>
      <c r="K7" s="6">
        <v>46054</v>
      </c>
      <c r="L7" s="3">
        <f t="shared" si="1"/>
        <v>4</v>
      </c>
      <c r="M7" s="6" t="s">
        <v>216</v>
      </c>
      <c r="N7" s="6" t="s">
        <v>218</v>
      </c>
      <c r="O7" s="3">
        <v>25</v>
      </c>
      <c r="P7" s="3" t="s">
        <v>153</v>
      </c>
      <c r="Q7" s="3" t="s">
        <v>154</v>
      </c>
      <c r="R7" s="3">
        <v>4</v>
      </c>
      <c r="S7" s="3">
        <v>39.450000000000003</v>
      </c>
      <c r="T7" s="3">
        <v>0</v>
      </c>
      <c r="U7" s="3">
        <v>39.450000000000003</v>
      </c>
      <c r="V7" s="3">
        <v>100</v>
      </c>
      <c r="W7" s="4">
        <v>0.25</v>
      </c>
      <c r="X7" s="3">
        <v>9.86</v>
      </c>
      <c r="Y7" s="3" t="s">
        <v>214</v>
      </c>
      <c r="Z7" s="3"/>
    </row>
    <row r="8" spans="1:26" s="3" customFormat="1" x14ac:dyDescent="0.25">
      <c r="A8" t="s">
        <v>24</v>
      </c>
      <c r="B8">
        <v>19491313</v>
      </c>
      <c r="C8" t="s">
        <v>50</v>
      </c>
      <c r="D8" t="s">
        <v>50</v>
      </c>
      <c r="E8" t="s">
        <v>77</v>
      </c>
      <c r="F8" t="s">
        <v>103</v>
      </c>
      <c r="G8" t="str">
        <f t="shared" si="0"/>
        <v>Jacquelyn Alvis</v>
      </c>
      <c r="H8" t="s">
        <v>125</v>
      </c>
      <c r="I8" t="s">
        <v>127</v>
      </c>
      <c r="J8" s="5">
        <v>45931</v>
      </c>
      <c r="K8" s="5">
        <v>46054</v>
      </c>
      <c r="L8">
        <f t="shared" si="1"/>
        <v>4</v>
      </c>
      <c r="M8" s="5" t="s">
        <v>216</v>
      </c>
      <c r="N8" s="5" t="s">
        <v>217</v>
      </c>
      <c r="O8">
        <v>65</v>
      </c>
      <c r="P8" t="s">
        <v>153</v>
      </c>
      <c r="Q8" t="s">
        <v>154</v>
      </c>
      <c r="R8">
        <v>4</v>
      </c>
      <c r="S8">
        <v>104.82</v>
      </c>
      <c r="T8">
        <v>0</v>
      </c>
      <c r="U8">
        <v>104.82</v>
      </c>
      <c r="V8">
        <v>100</v>
      </c>
      <c r="W8" s="2">
        <v>0.21</v>
      </c>
      <c r="X8">
        <v>22.01</v>
      </c>
      <c r="Y8" t="s">
        <v>213</v>
      </c>
      <c r="Z8"/>
    </row>
    <row r="9" spans="1:26" s="3" customFormat="1" x14ac:dyDescent="0.25">
      <c r="A9" s="3" t="s">
        <v>25</v>
      </c>
      <c r="B9" s="3">
        <v>8812322</v>
      </c>
      <c r="C9" s="3" t="s">
        <v>55</v>
      </c>
      <c r="D9" s="3" t="s">
        <v>55</v>
      </c>
      <c r="E9" s="3" t="s">
        <v>82</v>
      </c>
      <c r="F9" s="3" t="s">
        <v>108</v>
      </c>
      <c r="G9" s="3" t="str">
        <f t="shared" si="0"/>
        <v>Jennifer Tobias</v>
      </c>
      <c r="H9" s="3" t="s">
        <v>125</v>
      </c>
      <c r="I9" s="3" t="s">
        <v>128</v>
      </c>
      <c r="J9" s="6">
        <v>45992</v>
      </c>
      <c r="K9" s="6">
        <v>46054</v>
      </c>
      <c r="L9" s="3">
        <f t="shared" si="1"/>
        <v>2</v>
      </c>
      <c r="M9" s="6" t="s">
        <v>216</v>
      </c>
      <c r="N9" s="6" t="s">
        <v>218</v>
      </c>
      <c r="O9" s="3">
        <v>65</v>
      </c>
      <c r="P9" s="3" t="s">
        <v>153</v>
      </c>
      <c r="Q9" s="3" t="s">
        <v>154</v>
      </c>
      <c r="R9" s="3">
        <v>2</v>
      </c>
      <c r="S9" s="3">
        <v>120.21</v>
      </c>
      <c r="T9" s="3">
        <v>0</v>
      </c>
      <c r="U9" s="3">
        <v>120.21</v>
      </c>
      <c r="V9" s="3">
        <v>100</v>
      </c>
      <c r="W9" s="4">
        <v>0.20799999999999999</v>
      </c>
      <c r="X9" s="3">
        <v>25</v>
      </c>
      <c r="Y9" s="3" t="s">
        <v>212</v>
      </c>
    </row>
    <row r="10" spans="1:26" x14ac:dyDescent="0.25">
      <c r="A10" s="3" t="s">
        <v>25</v>
      </c>
      <c r="B10" s="3">
        <v>8812322</v>
      </c>
      <c r="C10" s="3" t="s">
        <v>52</v>
      </c>
      <c r="D10" s="3" t="s">
        <v>52</v>
      </c>
      <c r="E10" s="3" t="s">
        <v>79</v>
      </c>
      <c r="F10" s="3" t="s">
        <v>105</v>
      </c>
      <c r="G10" s="3" t="str">
        <f t="shared" si="0"/>
        <v>Kalin Kocher</v>
      </c>
      <c r="H10" s="3" t="s">
        <v>124</v>
      </c>
      <c r="I10" s="3" t="s">
        <v>128</v>
      </c>
      <c r="J10" s="6">
        <v>45992</v>
      </c>
      <c r="K10" s="6">
        <v>46054</v>
      </c>
      <c r="L10" s="3">
        <f t="shared" si="1"/>
        <v>2</v>
      </c>
      <c r="M10" s="6" t="s">
        <v>216</v>
      </c>
      <c r="N10" s="6" t="s">
        <v>218</v>
      </c>
      <c r="O10" s="3">
        <v>51</v>
      </c>
      <c r="P10" s="3" t="s">
        <v>153</v>
      </c>
      <c r="Q10" s="3" t="s">
        <v>154</v>
      </c>
      <c r="R10" s="3">
        <v>2</v>
      </c>
      <c r="S10" s="3">
        <v>56.5</v>
      </c>
      <c r="T10" s="3">
        <v>0</v>
      </c>
      <c r="U10" s="3">
        <v>56.5</v>
      </c>
      <c r="V10" s="3">
        <v>100</v>
      </c>
      <c r="W10" s="4">
        <v>0.25</v>
      </c>
      <c r="X10" s="3">
        <v>14.13</v>
      </c>
      <c r="Y10" s="3" t="s">
        <v>214</v>
      </c>
      <c r="Z10" s="3"/>
    </row>
    <row r="11" spans="1:26" x14ac:dyDescent="0.25">
      <c r="A11" s="3" t="s">
        <v>208</v>
      </c>
      <c r="B11" s="3">
        <v>16849453</v>
      </c>
      <c r="C11" s="3" t="s">
        <v>65</v>
      </c>
      <c r="D11" s="3" t="s">
        <v>65</v>
      </c>
      <c r="E11" s="3" t="s">
        <v>92</v>
      </c>
      <c r="F11" s="3" t="s">
        <v>117</v>
      </c>
      <c r="G11" s="3" t="str">
        <f t="shared" si="0"/>
        <v>Karen Duke</v>
      </c>
      <c r="H11" s="3" t="s">
        <v>124</v>
      </c>
      <c r="I11" s="3" t="s">
        <v>130</v>
      </c>
      <c r="J11" s="6">
        <v>45870</v>
      </c>
      <c r="K11" s="6">
        <v>46054</v>
      </c>
      <c r="L11" s="3">
        <f t="shared" si="1"/>
        <v>6</v>
      </c>
      <c r="M11" s="6" t="s">
        <v>216</v>
      </c>
      <c r="N11" s="6" t="s">
        <v>218</v>
      </c>
      <c r="O11" s="3">
        <v>81</v>
      </c>
      <c r="P11" s="3" t="s">
        <v>153</v>
      </c>
      <c r="Q11" s="3" t="s">
        <v>154</v>
      </c>
      <c r="R11" s="3">
        <v>6</v>
      </c>
      <c r="S11" s="3">
        <v>56.5</v>
      </c>
      <c r="T11" s="3">
        <v>0</v>
      </c>
      <c r="U11" s="3">
        <v>56.5</v>
      </c>
      <c r="V11" s="3">
        <v>100</v>
      </c>
      <c r="W11" s="4">
        <v>0.25</v>
      </c>
      <c r="X11" s="3">
        <v>14.13</v>
      </c>
      <c r="Y11" s="3" t="s">
        <v>214</v>
      </c>
      <c r="Z11" s="3"/>
    </row>
    <row r="12" spans="1:26" s="3" customFormat="1" x14ac:dyDescent="0.25">
      <c r="A12" t="s">
        <v>205</v>
      </c>
      <c r="B12">
        <v>17528908</v>
      </c>
      <c r="C12" t="s">
        <v>42</v>
      </c>
      <c r="D12" t="s">
        <v>42</v>
      </c>
      <c r="E12" t="s">
        <v>69</v>
      </c>
      <c r="F12" t="s">
        <v>96</v>
      </c>
      <c r="G12" t="str">
        <f t="shared" si="0"/>
        <v>Kenneth Maniecki</v>
      </c>
      <c r="H12" t="s">
        <v>124</v>
      </c>
      <c r="I12" t="s">
        <v>126</v>
      </c>
      <c r="J12" s="5">
        <v>45928</v>
      </c>
      <c r="K12" s="5">
        <v>46050</v>
      </c>
      <c r="L12">
        <f t="shared" si="1"/>
        <v>4</v>
      </c>
      <c r="M12" s="5" t="s">
        <v>216</v>
      </c>
      <c r="N12" s="5" t="s">
        <v>217</v>
      </c>
      <c r="O12">
        <v>55</v>
      </c>
      <c r="P12" t="s">
        <v>153</v>
      </c>
      <c r="Q12" t="s">
        <v>154</v>
      </c>
      <c r="R12">
        <v>4</v>
      </c>
      <c r="S12">
        <v>110.2</v>
      </c>
      <c r="T12">
        <v>0</v>
      </c>
      <c r="U12">
        <v>110.2</v>
      </c>
      <c r="V12">
        <v>100</v>
      </c>
      <c r="W12" s="2">
        <v>0.25</v>
      </c>
      <c r="X12">
        <v>27.55</v>
      </c>
      <c r="Y12" t="s">
        <v>214</v>
      </c>
      <c r="Z12"/>
    </row>
    <row r="13" spans="1:26" s="3" customFormat="1" x14ac:dyDescent="0.25">
      <c r="A13" t="s">
        <v>24</v>
      </c>
      <c r="B13">
        <v>19491313</v>
      </c>
      <c r="C13" t="s">
        <v>44</v>
      </c>
      <c r="D13" t="s">
        <v>44</v>
      </c>
      <c r="E13" t="s">
        <v>71</v>
      </c>
      <c r="F13" t="s">
        <v>98</v>
      </c>
      <c r="G13" t="str">
        <f t="shared" si="0"/>
        <v>Lori Friend</v>
      </c>
      <c r="H13" t="s">
        <v>125</v>
      </c>
      <c r="I13" t="s">
        <v>127</v>
      </c>
      <c r="J13" s="5">
        <v>45962</v>
      </c>
      <c r="K13" s="5">
        <v>46054</v>
      </c>
      <c r="L13">
        <f t="shared" si="1"/>
        <v>3</v>
      </c>
      <c r="M13" s="5" t="s">
        <v>216</v>
      </c>
      <c r="N13" s="5" t="s">
        <v>217</v>
      </c>
      <c r="O13">
        <v>65</v>
      </c>
      <c r="P13" t="s">
        <v>153</v>
      </c>
      <c r="Q13" t="s">
        <v>154</v>
      </c>
      <c r="R13">
        <v>3</v>
      </c>
      <c r="S13">
        <v>104.82</v>
      </c>
      <c r="T13">
        <v>0</v>
      </c>
      <c r="U13">
        <v>104.82</v>
      </c>
      <c r="V13">
        <v>100</v>
      </c>
      <c r="W13" s="2">
        <v>0.21</v>
      </c>
      <c r="X13">
        <v>22.01</v>
      </c>
      <c r="Y13" t="s">
        <v>213</v>
      </c>
      <c r="Z13"/>
    </row>
    <row r="14" spans="1:26" x14ac:dyDescent="0.25">
      <c r="A14" t="s">
        <v>24</v>
      </c>
      <c r="B14">
        <v>19491313</v>
      </c>
      <c r="C14" t="s">
        <v>46</v>
      </c>
      <c r="D14" t="s">
        <v>46</v>
      </c>
      <c r="E14" t="s">
        <v>73</v>
      </c>
      <c r="F14" t="s">
        <v>100</v>
      </c>
      <c r="G14" t="str">
        <f t="shared" si="0"/>
        <v>Mary Ann Benik</v>
      </c>
      <c r="H14" t="s">
        <v>125</v>
      </c>
      <c r="I14" t="s">
        <v>127</v>
      </c>
      <c r="J14" s="5">
        <v>45992</v>
      </c>
      <c r="K14" s="5">
        <v>46054</v>
      </c>
      <c r="L14">
        <f t="shared" si="1"/>
        <v>2</v>
      </c>
      <c r="M14" s="5" t="s">
        <v>216</v>
      </c>
      <c r="N14" s="5" t="s">
        <v>217</v>
      </c>
      <c r="O14">
        <v>65</v>
      </c>
      <c r="P14" t="s">
        <v>153</v>
      </c>
      <c r="Q14" t="s">
        <v>155</v>
      </c>
      <c r="R14">
        <v>2</v>
      </c>
      <c r="S14">
        <v>117.08</v>
      </c>
      <c r="T14">
        <v>0</v>
      </c>
      <c r="U14">
        <v>117.08</v>
      </c>
      <c r="V14">
        <v>100</v>
      </c>
      <c r="W14" s="2">
        <v>0.01</v>
      </c>
      <c r="X14">
        <v>1.17</v>
      </c>
      <c r="Y14" t="s">
        <v>210</v>
      </c>
    </row>
    <row r="15" spans="1:26" s="3" customFormat="1" x14ac:dyDescent="0.25">
      <c r="A15" t="s">
        <v>204</v>
      </c>
      <c r="B15">
        <v>18710070</v>
      </c>
      <c r="C15" t="s">
        <v>41</v>
      </c>
      <c r="D15" t="s">
        <v>41</v>
      </c>
      <c r="E15" t="s">
        <v>68</v>
      </c>
      <c r="F15" t="s">
        <v>95</v>
      </c>
      <c r="G15" t="str">
        <f t="shared" si="0"/>
        <v>Michael Davis</v>
      </c>
      <c r="H15" t="s">
        <v>124</v>
      </c>
      <c r="I15" t="s">
        <v>126</v>
      </c>
      <c r="J15" s="5">
        <v>46023</v>
      </c>
      <c r="K15" s="5">
        <v>46054</v>
      </c>
      <c r="L15">
        <f t="shared" si="1"/>
        <v>1</v>
      </c>
      <c r="M15" s="5" t="s">
        <v>216</v>
      </c>
      <c r="N15" s="5" t="s">
        <v>217</v>
      </c>
      <c r="O15">
        <v>56</v>
      </c>
      <c r="P15" t="s">
        <v>153</v>
      </c>
      <c r="Q15" t="s">
        <v>154</v>
      </c>
      <c r="R15">
        <v>1</v>
      </c>
      <c r="S15">
        <v>56.5</v>
      </c>
      <c r="T15">
        <v>0</v>
      </c>
      <c r="U15">
        <v>56.5</v>
      </c>
      <c r="V15">
        <v>100</v>
      </c>
      <c r="W15" s="2">
        <v>0.25</v>
      </c>
      <c r="X15" s="7">
        <f>U15*W15</f>
        <v>14.125</v>
      </c>
      <c r="Y15" t="s">
        <v>214</v>
      </c>
      <c r="Z15"/>
    </row>
    <row r="16" spans="1:26" s="3" customFormat="1" x14ac:dyDescent="0.25">
      <c r="A16" s="3" t="s">
        <v>25</v>
      </c>
      <c r="B16" s="3">
        <v>8812322</v>
      </c>
      <c r="C16" s="3" t="s">
        <v>58</v>
      </c>
      <c r="D16" s="3" t="s">
        <v>58</v>
      </c>
      <c r="E16" s="3" t="s">
        <v>85</v>
      </c>
      <c r="F16" s="3" t="s">
        <v>110</v>
      </c>
      <c r="G16" s="3" t="str">
        <f t="shared" si="0"/>
        <v>Misty Newberry</v>
      </c>
      <c r="H16" s="3" t="s">
        <v>124</v>
      </c>
      <c r="I16" s="3" t="s">
        <v>128</v>
      </c>
      <c r="J16" s="6">
        <v>45992</v>
      </c>
      <c r="K16" s="6">
        <v>46054</v>
      </c>
      <c r="L16" s="3">
        <f t="shared" si="1"/>
        <v>2</v>
      </c>
      <c r="M16" s="6" t="s">
        <v>216</v>
      </c>
      <c r="N16" s="6" t="s">
        <v>218</v>
      </c>
      <c r="O16" s="3">
        <v>51</v>
      </c>
      <c r="P16" s="3" t="s">
        <v>153</v>
      </c>
      <c r="Q16" s="3" t="s">
        <v>154</v>
      </c>
      <c r="R16" s="3">
        <v>2</v>
      </c>
      <c r="S16" s="3">
        <v>56.5</v>
      </c>
      <c r="T16" s="3">
        <v>0</v>
      </c>
      <c r="U16" s="3">
        <v>56.5</v>
      </c>
      <c r="V16" s="3">
        <v>100</v>
      </c>
      <c r="W16" s="4">
        <v>0.25</v>
      </c>
      <c r="X16" s="3">
        <v>14.13</v>
      </c>
      <c r="Y16" s="3" t="s">
        <v>214</v>
      </c>
    </row>
    <row r="17" spans="1:26" s="3" customFormat="1" x14ac:dyDescent="0.25">
      <c r="A17" s="3" t="s">
        <v>25</v>
      </c>
      <c r="B17" s="3">
        <v>8812322</v>
      </c>
      <c r="C17" s="3" t="s">
        <v>53</v>
      </c>
      <c r="D17" s="3" t="s">
        <v>53</v>
      </c>
      <c r="E17" s="3" t="s">
        <v>80</v>
      </c>
      <c r="F17" s="3" t="s">
        <v>106</v>
      </c>
      <c r="G17" s="3" t="str">
        <f t="shared" si="0"/>
        <v>Patricia Buckley</v>
      </c>
      <c r="H17" s="3" t="s">
        <v>124</v>
      </c>
      <c r="I17" s="3" t="s">
        <v>128</v>
      </c>
      <c r="J17" s="6">
        <v>45976</v>
      </c>
      <c r="K17" s="6">
        <v>46068</v>
      </c>
      <c r="L17" s="3">
        <f t="shared" si="1"/>
        <v>3</v>
      </c>
      <c r="M17" s="6" t="s">
        <v>216</v>
      </c>
      <c r="N17" s="6" t="s">
        <v>218</v>
      </c>
      <c r="O17" s="3">
        <v>63</v>
      </c>
      <c r="P17" s="3" t="s">
        <v>153</v>
      </c>
      <c r="Q17" s="3" t="s">
        <v>154</v>
      </c>
      <c r="R17" s="3">
        <v>3</v>
      </c>
      <c r="S17" s="3">
        <v>65.45</v>
      </c>
      <c r="T17" s="3">
        <v>0</v>
      </c>
      <c r="U17" s="3">
        <v>65.45</v>
      </c>
      <c r="V17" s="3">
        <v>100</v>
      </c>
      <c r="W17" s="4">
        <v>0.25</v>
      </c>
      <c r="X17" s="3">
        <v>16.36</v>
      </c>
      <c r="Y17" s="3" t="s">
        <v>214</v>
      </c>
    </row>
    <row r="18" spans="1:26" s="3" customFormat="1" x14ac:dyDescent="0.25">
      <c r="A18" t="s">
        <v>24</v>
      </c>
      <c r="B18">
        <v>19491313</v>
      </c>
      <c r="C18" t="s">
        <v>49</v>
      </c>
      <c r="D18" t="s">
        <v>49</v>
      </c>
      <c r="E18" t="s">
        <v>76</v>
      </c>
      <c r="F18" t="s">
        <v>102</v>
      </c>
      <c r="G18" t="str">
        <f t="shared" si="0"/>
        <v>Ralph Gropper</v>
      </c>
      <c r="H18" t="s">
        <v>125</v>
      </c>
      <c r="I18" t="s">
        <v>127</v>
      </c>
      <c r="J18" s="5">
        <v>45870</v>
      </c>
      <c r="K18" s="5">
        <v>46054</v>
      </c>
      <c r="L18">
        <f t="shared" si="1"/>
        <v>6</v>
      </c>
      <c r="M18" s="5" t="s">
        <v>216</v>
      </c>
      <c r="N18" s="5" t="s">
        <v>217</v>
      </c>
      <c r="O18">
        <v>86</v>
      </c>
      <c r="P18" t="s">
        <v>153</v>
      </c>
      <c r="Q18" t="s">
        <v>155</v>
      </c>
      <c r="R18">
        <v>6</v>
      </c>
      <c r="S18">
        <v>279.06</v>
      </c>
      <c r="T18">
        <v>0</v>
      </c>
      <c r="U18">
        <v>243.62</v>
      </c>
      <c r="V18">
        <v>100</v>
      </c>
      <c r="W18" s="2">
        <v>0.02</v>
      </c>
      <c r="X18">
        <v>4.87</v>
      </c>
      <c r="Y18" t="s">
        <v>211</v>
      </c>
      <c r="Z18"/>
    </row>
    <row r="19" spans="1:26" s="3" customFormat="1" x14ac:dyDescent="0.25">
      <c r="A19" t="s">
        <v>24</v>
      </c>
      <c r="B19">
        <v>19491313</v>
      </c>
      <c r="C19" t="s">
        <v>47</v>
      </c>
      <c r="D19" t="s">
        <v>47</v>
      </c>
      <c r="E19" t="s">
        <v>74</v>
      </c>
      <c r="F19" t="s">
        <v>101</v>
      </c>
      <c r="G19" t="str">
        <f t="shared" si="0"/>
        <v>Ray Askin</v>
      </c>
      <c r="H19" t="s">
        <v>125</v>
      </c>
      <c r="I19" t="s">
        <v>127</v>
      </c>
      <c r="J19" s="5">
        <v>45931</v>
      </c>
      <c r="K19" s="5">
        <v>46054</v>
      </c>
      <c r="L19">
        <f t="shared" si="1"/>
        <v>4</v>
      </c>
      <c r="M19" s="5" t="s">
        <v>216</v>
      </c>
      <c r="N19" s="5" t="s">
        <v>217</v>
      </c>
      <c r="O19">
        <v>65</v>
      </c>
      <c r="P19" t="s">
        <v>153</v>
      </c>
      <c r="Q19" t="s">
        <v>155</v>
      </c>
      <c r="R19">
        <v>4</v>
      </c>
      <c r="S19">
        <v>115.86</v>
      </c>
      <c r="T19">
        <v>0</v>
      </c>
      <c r="U19">
        <v>115.86</v>
      </c>
      <c r="V19">
        <v>100</v>
      </c>
      <c r="W19" s="2">
        <v>0.21</v>
      </c>
      <c r="X19">
        <v>24.33</v>
      </c>
      <c r="Y19" t="s">
        <v>213</v>
      </c>
      <c r="Z19"/>
    </row>
    <row r="20" spans="1:26" s="3" customFormat="1" x14ac:dyDescent="0.25">
      <c r="A20" t="s">
        <v>23</v>
      </c>
      <c r="B20">
        <v>19278370</v>
      </c>
      <c r="C20" t="s">
        <v>43</v>
      </c>
      <c r="D20" t="s">
        <v>43</v>
      </c>
      <c r="E20" t="s">
        <v>70</v>
      </c>
      <c r="F20" t="s">
        <v>97</v>
      </c>
      <c r="G20" t="str">
        <f t="shared" si="0"/>
        <v>Sandra Pelzsharpe</v>
      </c>
      <c r="H20" t="s">
        <v>124</v>
      </c>
      <c r="I20" t="s">
        <v>126</v>
      </c>
      <c r="J20" s="5">
        <v>45962</v>
      </c>
      <c r="K20" s="5">
        <v>46054</v>
      </c>
      <c r="L20">
        <f t="shared" si="1"/>
        <v>3</v>
      </c>
      <c r="M20" s="5" t="s">
        <v>216</v>
      </c>
      <c r="N20" s="5" t="s">
        <v>217</v>
      </c>
      <c r="O20">
        <v>65</v>
      </c>
      <c r="P20" t="s">
        <v>153</v>
      </c>
      <c r="Q20" t="s">
        <v>154</v>
      </c>
      <c r="R20">
        <v>3</v>
      </c>
      <c r="S20">
        <v>110.2</v>
      </c>
      <c r="T20">
        <v>0</v>
      </c>
      <c r="U20">
        <v>110.2</v>
      </c>
      <c r="V20">
        <v>100</v>
      </c>
      <c r="W20" s="2">
        <v>0.25</v>
      </c>
      <c r="X20">
        <v>27.55</v>
      </c>
      <c r="Y20" t="s">
        <v>214</v>
      </c>
      <c r="Z20"/>
    </row>
    <row r="21" spans="1:26" s="3" customFormat="1" x14ac:dyDescent="0.25">
      <c r="A21" s="3" t="s">
        <v>206</v>
      </c>
      <c r="B21" s="3">
        <v>16202925</v>
      </c>
      <c r="C21" s="3" t="s">
        <v>62</v>
      </c>
      <c r="D21" s="3" t="s">
        <v>62</v>
      </c>
      <c r="E21" s="3" t="s">
        <v>89</v>
      </c>
      <c r="F21" s="3" t="s">
        <v>114</v>
      </c>
      <c r="G21" s="3" t="str">
        <f t="shared" si="0"/>
        <v>Shaista Ali</v>
      </c>
      <c r="H21" s="3" t="s">
        <v>124</v>
      </c>
      <c r="I21" s="3" t="s">
        <v>129</v>
      </c>
      <c r="J21" s="6">
        <v>45962</v>
      </c>
      <c r="K21" s="6">
        <v>46054</v>
      </c>
      <c r="L21" s="3">
        <f t="shared" si="1"/>
        <v>3</v>
      </c>
      <c r="M21" s="6" t="s">
        <v>216</v>
      </c>
      <c r="N21" s="6" t="s">
        <v>218</v>
      </c>
      <c r="O21" s="3">
        <v>60</v>
      </c>
      <c r="P21" s="3" t="s">
        <v>153</v>
      </c>
      <c r="Q21" s="3" t="s">
        <v>154</v>
      </c>
      <c r="R21" s="3">
        <v>3</v>
      </c>
      <c r="S21" s="3">
        <v>56.5</v>
      </c>
      <c r="T21" s="3">
        <v>0</v>
      </c>
      <c r="U21" s="3">
        <v>56.5</v>
      </c>
      <c r="V21" s="3">
        <v>100</v>
      </c>
      <c r="W21" s="4">
        <v>0.25</v>
      </c>
      <c r="X21" s="3">
        <v>14.13</v>
      </c>
      <c r="Y21" s="3" t="s">
        <v>214</v>
      </c>
    </row>
    <row r="22" spans="1:26" s="3" customFormat="1" x14ac:dyDescent="0.25">
      <c r="A22" s="3" t="s">
        <v>206</v>
      </c>
      <c r="B22" s="3">
        <v>16202925</v>
      </c>
      <c r="C22" s="3" t="s">
        <v>61</v>
      </c>
      <c r="D22" s="3" t="s">
        <v>61</v>
      </c>
      <c r="E22" s="3" t="s">
        <v>88</v>
      </c>
      <c r="F22" s="3" t="s">
        <v>113</v>
      </c>
      <c r="G22" s="3" t="str">
        <f t="shared" si="0"/>
        <v>Shirley Perry</v>
      </c>
      <c r="H22" s="3" t="s">
        <v>124</v>
      </c>
      <c r="I22" s="3" t="s">
        <v>129</v>
      </c>
      <c r="J22" s="6">
        <v>45870</v>
      </c>
      <c r="K22" s="6">
        <v>46054</v>
      </c>
      <c r="L22" s="3">
        <f t="shared" si="1"/>
        <v>6</v>
      </c>
      <c r="M22" s="6" t="s">
        <v>216</v>
      </c>
      <c r="N22" s="6" t="s">
        <v>218</v>
      </c>
      <c r="O22" s="3">
        <v>58</v>
      </c>
      <c r="P22" s="3" t="s">
        <v>153</v>
      </c>
      <c r="Q22" s="3" t="s">
        <v>154</v>
      </c>
      <c r="R22" s="3">
        <v>6</v>
      </c>
      <c r="S22" s="3">
        <v>47.7</v>
      </c>
      <c r="T22" s="3">
        <v>0</v>
      </c>
      <c r="U22" s="3">
        <v>47.7</v>
      </c>
      <c r="V22" s="3">
        <v>100</v>
      </c>
      <c r="W22" s="4">
        <v>0.25</v>
      </c>
      <c r="X22" s="3">
        <v>11.93</v>
      </c>
      <c r="Y22" s="3" t="s">
        <v>214</v>
      </c>
    </row>
    <row r="23" spans="1:26" s="3" customFormat="1" x14ac:dyDescent="0.25">
      <c r="A23" t="s">
        <v>24</v>
      </c>
      <c r="B23">
        <v>19491313</v>
      </c>
      <c r="C23" t="s">
        <v>48</v>
      </c>
      <c r="D23" t="s">
        <v>48</v>
      </c>
      <c r="E23" t="s">
        <v>75</v>
      </c>
      <c r="F23" t="s">
        <v>99</v>
      </c>
      <c r="G23" t="str">
        <f t="shared" si="0"/>
        <v>Steven Sandridge</v>
      </c>
      <c r="H23" t="s">
        <v>125</v>
      </c>
      <c r="I23" t="s">
        <v>127</v>
      </c>
      <c r="J23" s="5">
        <v>45992</v>
      </c>
      <c r="K23" s="5">
        <v>46054</v>
      </c>
      <c r="L23">
        <f t="shared" si="1"/>
        <v>2</v>
      </c>
      <c r="M23" s="5" t="s">
        <v>216</v>
      </c>
      <c r="N23" s="5" t="s">
        <v>217</v>
      </c>
      <c r="O23">
        <v>65</v>
      </c>
      <c r="P23" t="s">
        <v>153</v>
      </c>
      <c r="Q23" t="s">
        <v>154</v>
      </c>
      <c r="R23">
        <v>2</v>
      </c>
      <c r="S23">
        <v>129.4</v>
      </c>
      <c r="T23">
        <v>0</v>
      </c>
      <c r="U23">
        <v>129.4</v>
      </c>
      <c r="V23">
        <v>100</v>
      </c>
      <c r="W23" s="2">
        <v>0.21</v>
      </c>
      <c r="X23">
        <v>27.17</v>
      </c>
      <c r="Y23" t="s">
        <v>213</v>
      </c>
      <c r="Z23"/>
    </row>
    <row r="24" spans="1:26" s="3" customFormat="1" x14ac:dyDescent="0.25">
      <c r="A24" s="3" t="s">
        <v>207</v>
      </c>
      <c r="B24" s="3">
        <v>16912722</v>
      </c>
      <c r="C24" s="3" t="s">
        <v>63</v>
      </c>
      <c r="D24" s="3" t="s">
        <v>63</v>
      </c>
      <c r="E24" s="3" t="s">
        <v>90</v>
      </c>
      <c r="F24" s="3" t="s">
        <v>115</v>
      </c>
      <c r="G24" s="3" t="str">
        <f t="shared" si="0"/>
        <v>Zaharoula Diamantakos</v>
      </c>
      <c r="H24" s="3" t="s">
        <v>125</v>
      </c>
      <c r="I24" s="3" t="s">
        <v>128</v>
      </c>
      <c r="J24" s="6">
        <v>45931</v>
      </c>
      <c r="K24" s="6">
        <v>46054</v>
      </c>
      <c r="L24" s="3">
        <f t="shared" si="1"/>
        <v>4</v>
      </c>
      <c r="M24" s="6" t="s">
        <v>216</v>
      </c>
      <c r="N24" s="6" t="s">
        <v>218</v>
      </c>
      <c r="O24" s="3">
        <v>79</v>
      </c>
      <c r="P24" s="3" t="s">
        <v>153</v>
      </c>
      <c r="Q24" s="3" t="s">
        <v>155</v>
      </c>
      <c r="R24" s="3">
        <v>4</v>
      </c>
      <c r="S24" s="3">
        <v>173.6</v>
      </c>
      <c r="T24" s="3">
        <v>0</v>
      </c>
      <c r="U24" s="3">
        <v>173.6</v>
      </c>
      <c r="V24" s="3">
        <v>100</v>
      </c>
      <c r="W24" s="4">
        <v>0.20799999999999999</v>
      </c>
      <c r="X24" s="3">
        <v>36.11</v>
      </c>
      <c r="Y24" s="3" t="s">
        <v>212</v>
      </c>
    </row>
    <row r="25" spans="1:26" x14ac:dyDescent="0.25">
      <c r="A25" t="s">
        <v>209</v>
      </c>
      <c r="B25">
        <v>20411454</v>
      </c>
      <c r="C25" t="s">
        <v>41</v>
      </c>
      <c r="D25" t="str">
        <f>CONCATENATE(C25,"OVR")</f>
        <v>H711086900OVR</v>
      </c>
      <c r="E25" t="s">
        <v>68</v>
      </c>
      <c r="F25" t="s">
        <v>95</v>
      </c>
      <c r="G25" t="str">
        <f t="shared" ref="G25:G51" si="2">CONCATENATE(E25," ",F25)</f>
        <v>Michael Davis</v>
      </c>
      <c r="H25" t="s">
        <v>124</v>
      </c>
      <c r="I25" t="s">
        <v>126</v>
      </c>
      <c r="J25" s="5">
        <v>46023</v>
      </c>
      <c r="K25" s="5">
        <v>46054</v>
      </c>
      <c r="L25">
        <f t="shared" ref="L25:L51" si="3">DATEDIF(J25,K25,"M")</f>
        <v>1</v>
      </c>
      <c r="M25" s="5" t="s">
        <v>216</v>
      </c>
      <c r="N25" s="5" t="s">
        <v>217</v>
      </c>
      <c r="O25">
        <v>56</v>
      </c>
      <c r="P25" t="s">
        <v>153</v>
      </c>
      <c r="Q25" t="s">
        <v>154</v>
      </c>
      <c r="R25">
        <v>1</v>
      </c>
      <c r="S25">
        <v>5.37</v>
      </c>
      <c r="T25">
        <v>0</v>
      </c>
      <c r="U25">
        <v>5.37</v>
      </c>
      <c r="V25">
        <v>100</v>
      </c>
      <c r="W25" s="2">
        <v>9.5000000000000001E-2</v>
      </c>
      <c r="X25">
        <v>5.37</v>
      </c>
      <c r="Y25" t="s">
        <v>215</v>
      </c>
    </row>
    <row r="26" spans="1:26" x14ac:dyDescent="0.25">
      <c r="A26" t="s">
        <v>209</v>
      </c>
      <c r="B26">
        <v>20411454</v>
      </c>
      <c r="C26" t="s">
        <v>42</v>
      </c>
      <c r="D26" t="str">
        <f t="shared" ref="D26:D51" si="4">CONCATENATE(C26,"OVR")</f>
        <v>H711045193OVR</v>
      </c>
      <c r="E26" t="s">
        <v>69</v>
      </c>
      <c r="F26" t="s">
        <v>96</v>
      </c>
      <c r="G26" t="str">
        <f t="shared" si="2"/>
        <v>Kenneth Maniecki</v>
      </c>
      <c r="H26" t="s">
        <v>124</v>
      </c>
      <c r="I26" t="s">
        <v>126</v>
      </c>
      <c r="J26" s="5">
        <v>45928</v>
      </c>
      <c r="K26" s="5">
        <v>46050</v>
      </c>
      <c r="L26">
        <f t="shared" si="3"/>
        <v>4</v>
      </c>
      <c r="M26" s="5" t="s">
        <v>216</v>
      </c>
      <c r="N26" s="5" t="s">
        <v>217</v>
      </c>
      <c r="O26">
        <v>55</v>
      </c>
      <c r="P26" t="s">
        <v>153</v>
      </c>
      <c r="Q26" t="s">
        <v>154</v>
      </c>
      <c r="R26">
        <v>4</v>
      </c>
      <c r="S26">
        <v>10.47</v>
      </c>
      <c r="T26">
        <v>0</v>
      </c>
      <c r="U26">
        <v>10.47</v>
      </c>
      <c r="V26">
        <v>100</v>
      </c>
      <c r="W26" s="2">
        <v>9.5000000000000001E-2</v>
      </c>
      <c r="X26">
        <v>10.47</v>
      </c>
      <c r="Y26" t="s">
        <v>215</v>
      </c>
    </row>
    <row r="27" spans="1:26" x14ac:dyDescent="0.25">
      <c r="A27" t="s">
        <v>209</v>
      </c>
      <c r="B27">
        <v>20411454</v>
      </c>
      <c r="C27" t="s">
        <v>43</v>
      </c>
      <c r="D27" t="str">
        <f t="shared" si="4"/>
        <v>H711051038OVR</v>
      </c>
      <c r="E27" t="s">
        <v>70</v>
      </c>
      <c r="F27" t="s">
        <v>97</v>
      </c>
      <c r="G27" t="str">
        <f t="shared" si="2"/>
        <v>Sandra Pelzsharpe</v>
      </c>
      <c r="H27" t="s">
        <v>124</v>
      </c>
      <c r="I27" t="s">
        <v>126</v>
      </c>
      <c r="J27" s="5">
        <v>45962</v>
      </c>
      <c r="K27" s="5">
        <v>46054</v>
      </c>
      <c r="L27">
        <f t="shared" si="3"/>
        <v>3</v>
      </c>
      <c r="M27" s="5" t="s">
        <v>216</v>
      </c>
      <c r="N27" s="5" t="s">
        <v>217</v>
      </c>
      <c r="O27">
        <v>65</v>
      </c>
      <c r="P27" t="s">
        <v>153</v>
      </c>
      <c r="Q27" t="s">
        <v>154</v>
      </c>
      <c r="R27">
        <v>3</v>
      </c>
      <c r="S27">
        <v>10.47</v>
      </c>
      <c r="T27">
        <v>0</v>
      </c>
      <c r="U27">
        <v>10.47</v>
      </c>
      <c r="V27">
        <v>100</v>
      </c>
      <c r="W27" s="2">
        <v>9.5000000000000001E-2</v>
      </c>
      <c r="X27">
        <v>10.47</v>
      </c>
      <c r="Y27" t="s">
        <v>215</v>
      </c>
    </row>
    <row r="28" spans="1:26" x14ac:dyDescent="0.25">
      <c r="A28" t="s">
        <v>209</v>
      </c>
      <c r="B28">
        <v>20411454</v>
      </c>
      <c r="C28" t="s">
        <v>44</v>
      </c>
      <c r="D28" t="str">
        <f t="shared" si="4"/>
        <v>H750073175OVR</v>
      </c>
      <c r="E28" t="s">
        <v>71</v>
      </c>
      <c r="F28" t="s">
        <v>98</v>
      </c>
      <c r="G28" t="str">
        <f t="shared" si="2"/>
        <v>Lori Friend</v>
      </c>
      <c r="H28" t="s">
        <v>125</v>
      </c>
      <c r="I28" t="s">
        <v>127</v>
      </c>
      <c r="J28" s="5">
        <v>45962</v>
      </c>
      <c r="K28" s="5">
        <v>46054</v>
      </c>
      <c r="L28">
        <f t="shared" si="3"/>
        <v>3</v>
      </c>
      <c r="M28" s="5" t="s">
        <v>216</v>
      </c>
      <c r="N28" s="5" t="s">
        <v>217</v>
      </c>
      <c r="O28">
        <v>65</v>
      </c>
      <c r="P28" t="s">
        <v>153</v>
      </c>
      <c r="Q28" t="s">
        <v>154</v>
      </c>
      <c r="R28">
        <v>3</v>
      </c>
      <c r="S28">
        <v>2.93</v>
      </c>
      <c r="T28">
        <v>0</v>
      </c>
      <c r="U28">
        <v>2.93</v>
      </c>
      <c r="V28">
        <v>100</v>
      </c>
      <c r="W28" s="2">
        <v>2.8000000000000001E-2</v>
      </c>
      <c r="X28">
        <v>2.93</v>
      </c>
      <c r="Y28" t="s">
        <v>215</v>
      </c>
    </row>
    <row r="29" spans="1:26" x14ac:dyDescent="0.25">
      <c r="A29" t="s">
        <v>209</v>
      </c>
      <c r="B29">
        <v>20411454</v>
      </c>
      <c r="C29" t="s">
        <v>45</v>
      </c>
      <c r="D29" t="str">
        <f t="shared" si="4"/>
        <v>H750079901OVR</v>
      </c>
      <c r="E29" t="s">
        <v>72</v>
      </c>
      <c r="F29" t="s">
        <v>99</v>
      </c>
      <c r="G29" t="str">
        <f t="shared" si="2"/>
        <v>Cheryl Sandridge</v>
      </c>
      <c r="H29" t="s">
        <v>125</v>
      </c>
      <c r="I29" t="s">
        <v>127</v>
      </c>
      <c r="J29" s="5">
        <v>45962</v>
      </c>
      <c r="K29" s="5">
        <v>46054</v>
      </c>
      <c r="L29">
        <f t="shared" si="3"/>
        <v>3</v>
      </c>
      <c r="M29" s="5" t="s">
        <v>216</v>
      </c>
      <c r="N29" s="5" t="s">
        <v>217</v>
      </c>
      <c r="O29">
        <v>65</v>
      </c>
      <c r="P29" t="s">
        <v>153</v>
      </c>
      <c r="Q29" t="s">
        <v>154</v>
      </c>
      <c r="R29">
        <v>3</v>
      </c>
      <c r="S29">
        <v>3.28</v>
      </c>
      <c r="T29">
        <v>0</v>
      </c>
      <c r="U29">
        <v>3.28</v>
      </c>
      <c r="V29">
        <v>100</v>
      </c>
      <c r="W29" s="2">
        <v>2.8000000000000001E-2</v>
      </c>
      <c r="X29">
        <v>3.28</v>
      </c>
      <c r="Y29" t="s">
        <v>215</v>
      </c>
    </row>
    <row r="30" spans="1:26" x14ac:dyDescent="0.25">
      <c r="A30" t="s">
        <v>209</v>
      </c>
      <c r="B30">
        <v>20411454</v>
      </c>
      <c r="C30" t="s">
        <v>46</v>
      </c>
      <c r="D30" t="str">
        <f t="shared" si="4"/>
        <v>H750081328OVR</v>
      </c>
      <c r="E30" t="s">
        <v>73</v>
      </c>
      <c r="F30" t="s">
        <v>100</v>
      </c>
      <c r="G30" t="str">
        <f t="shared" si="2"/>
        <v>Mary Ann Benik</v>
      </c>
      <c r="H30" t="s">
        <v>125</v>
      </c>
      <c r="I30" t="s">
        <v>127</v>
      </c>
      <c r="J30" s="5">
        <v>45992</v>
      </c>
      <c r="K30" s="5">
        <v>46054</v>
      </c>
      <c r="L30">
        <f t="shared" si="3"/>
        <v>2</v>
      </c>
      <c r="M30" s="5" t="s">
        <v>216</v>
      </c>
      <c r="N30" s="5" t="s">
        <v>217</v>
      </c>
      <c r="O30">
        <v>65</v>
      </c>
      <c r="P30" t="s">
        <v>153</v>
      </c>
      <c r="Q30" t="s">
        <v>155</v>
      </c>
      <c r="R30">
        <v>2</v>
      </c>
      <c r="S30">
        <v>0.94</v>
      </c>
      <c r="T30">
        <v>0</v>
      </c>
      <c r="U30">
        <v>0.94</v>
      </c>
      <c r="V30">
        <v>100</v>
      </c>
      <c r="W30" s="2">
        <v>8.0000000000000002E-3</v>
      </c>
      <c r="X30">
        <v>0.94</v>
      </c>
      <c r="Y30" t="s">
        <v>215</v>
      </c>
    </row>
    <row r="31" spans="1:26" x14ac:dyDescent="0.25">
      <c r="A31" t="s">
        <v>209</v>
      </c>
      <c r="B31">
        <v>20411454</v>
      </c>
      <c r="C31" t="s">
        <v>47</v>
      </c>
      <c r="D31" t="str">
        <f t="shared" si="4"/>
        <v>H750075381OVR</v>
      </c>
      <c r="E31" t="s">
        <v>74</v>
      </c>
      <c r="F31" t="s">
        <v>101</v>
      </c>
      <c r="G31" t="str">
        <f t="shared" si="2"/>
        <v>Ray Askin</v>
      </c>
      <c r="H31" t="s">
        <v>125</v>
      </c>
      <c r="I31" t="s">
        <v>127</v>
      </c>
      <c r="J31" s="5">
        <v>45931</v>
      </c>
      <c r="K31" s="5">
        <v>46054</v>
      </c>
      <c r="L31">
        <f t="shared" si="3"/>
        <v>4</v>
      </c>
      <c r="M31" s="5" t="s">
        <v>216</v>
      </c>
      <c r="N31" s="5" t="s">
        <v>217</v>
      </c>
      <c r="O31">
        <v>65</v>
      </c>
      <c r="P31" t="s">
        <v>153</v>
      </c>
      <c r="Q31" t="s">
        <v>155</v>
      </c>
      <c r="R31">
        <v>4</v>
      </c>
      <c r="S31">
        <v>4.5199999999999996</v>
      </c>
      <c r="T31">
        <v>0</v>
      </c>
      <c r="U31">
        <v>4.5199999999999996</v>
      </c>
      <c r="V31">
        <v>100</v>
      </c>
      <c r="W31" s="2">
        <v>3.9E-2</v>
      </c>
      <c r="X31">
        <v>4.5199999999999996</v>
      </c>
      <c r="Y31" t="s">
        <v>215</v>
      </c>
    </row>
    <row r="32" spans="1:26" x14ac:dyDescent="0.25">
      <c r="A32" t="s">
        <v>209</v>
      </c>
      <c r="B32">
        <v>20411454</v>
      </c>
      <c r="C32" t="s">
        <v>48</v>
      </c>
      <c r="D32" t="str">
        <f t="shared" si="4"/>
        <v>H750079904OVR</v>
      </c>
      <c r="E32" t="s">
        <v>75</v>
      </c>
      <c r="F32" t="s">
        <v>99</v>
      </c>
      <c r="G32" t="str">
        <f t="shared" si="2"/>
        <v>Steven Sandridge</v>
      </c>
      <c r="H32" t="s">
        <v>125</v>
      </c>
      <c r="I32" t="s">
        <v>127</v>
      </c>
      <c r="J32" s="5">
        <v>45992</v>
      </c>
      <c r="K32" s="5">
        <v>46054</v>
      </c>
      <c r="L32">
        <f t="shared" si="3"/>
        <v>2</v>
      </c>
      <c r="M32" s="5" t="s">
        <v>216</v>
      </c>
      <c r="N32" s="5" t="s">
        <v>217</v>
      </c>
      <c r="O32">
        <v>65</v>
      </c>
      <c r="P32" t="s">
        <v>153</v>
      </c>
      <c r="Q32" t="s">
        <v>154</v>
      </c>
      <c r="R32">
        <v>2</v>
      </c>
      <c r="S32">
        <v>3.62</v>
      </c>
      <c r="T32">
        <v>0</v>
      </c>
      <c r="U32">
        <v>3.62</v>
      </c>
      <c r="V32">
        <v>100</v>
      </c>
      <c r="W32" s="2">
        <v>2.8000000000000001E-2</v>
      </c>
      <c r="X32">
        <v>3.62</v>
      </c>
      <c r="Y32" t="s">
        <v>215</v>
      </c>
    </row>
    <row r="33" spans="1:25" x14ac:dyDescent="0.25">
      <c r="A33" t="s">
        <v>209</v>
      </c>
      <c r="B33">
        <v>20411454</v>
      </c>
      <c r="C33" t="s">
        <v>49</v>
      </c>
      <c r="D33" t="str">
        <f t="shared" si="4"/>
        <v>H750068245OVR</v>
      </c>
      <c r="E33" t="s">
        <v>76</v>
      </c>
      <c r="F33" t="s">
        <v>102</v>
      </c>
      <c r="G33" t="str">
        <f t="shared" si="2"/>
        <v>Ralph Gropper</v>
      </c>
      <c r="H33" t="s">
        <v>125</v>
      </c>
      <c r="I33" t="s">
        <v>127</v>
      </c>
      <c r="J33" s="5">
        <v>45870</v>
      </c>
      <c r="K33" s="5">
        <v>46054</v>
      </c>
      <c r="L33">
        <f t="shared" si="3"/>
        <v>6</v>
      </c>
      <c r="M33" s="5" t="s">
        <v>216</v>
      </c>
      <c r="N33" s="5" t="s">
        <v>217</v>
      </c>
      <c r="O33">
        <v>86</v>
      </c>
      <c r="P33" t="s">
        <v>153</v>
      </c>
      <c r="Q33" t="s">
        <v>155</v>
      </c>
      <c r="R33">
        <v>6</v>
      </c>
      <c r="S33">
        <v>1.95</v>
      </c>
      <c r="T33">
        <v>0</v>
      </c>
      <c r="U33">
        <v>1.95</v>
      </c>
      <c r="V33">
        <v>100</v>
      </c>
      <c r="W33" s="2">
        <v>8.0000000000000002E-3</v>
      </c>
      <c r="X33">
        <v>1.95</v>
      </c>
      <c r="Y33" t="s">
        <v>215</v>
      </c>
    </row>
    <row r="34" spans="1:25" x14ac:dyDescent="0.25">
      <c r="A34" t="s">
        <v>209</v>
      </c>
      <c r="B34">
        <v>20411454</v>
      </c>
      <c r="C34" t="s">
        <v>50</v>
      </c>
      <c r="D34" t="str">
        <f t="shared" si="4"/>
        <v>H750072498OVR</v>
      </c>
      <c r="E34" t="s">
        <v>77</v>
      </c>
      <c r="F34" t="s">
        <v>103</v>
      </c>
      <c r="G34" t="str">
        <f t="shared" si="2"/>
        <v>Jacquelyn Alvis</v>
      </c>
      <c r="H34" t="s">
        <v>125</v>
      </c>
      <c r="I34" t="s">
        <v>127</v>
      </c>
      <c r="J34" s="5">
        <v>45931</v>
      </c>
      <c r="K34" s="5">
        <v>46054</v>
      </c>
      <c r="L34">
        <f t="shared" si="3"/>
        <v>4</v>
      </c>
      <c r="M34" s="5" t="s">
        <v>216</v>
      </c>
      <c r="N34" s="5" t="s">
        <v>217</v>
      </c>
      <c r="O34">
        <v>65</v>
      </c>
      <c r="P34" t="s">
        <v>153</v>
      </c>
      <c r="Q34" t="s">
        <v>154</v>
      </c>
      <c r="R34">
        <v>4</v>
      </c>
      <c r="S34">
        <v>2.93</v>
      </c>
      <c r="T34">
        <v>0</v>
      </c>
      <c r="U34">
        <v>2.93</v>
      </c>
      <c r="V34">
        <v>100</v>
      </c>
      <c r="W34" s="2">
        <v>2.8000000000000001E-2</v>
      </c>
      <c r="X34">
        <v>2.93</v>
      </c>
      <c r="Y34" t="s">
        <v>215</v>
      </c>
    </row>
    <row r="35" spans="1:25" x14ac:dyDescent="0.25">
      <c r="A35" t="s">
        <v>209</v>
      </c>
      <c r="B35">
        <v>20411454</v>
      </c>
      <c r="C35" t="s">
        <v>51</v>
      </c>
      <c r="D35" t="str">
        <f t="shared" si="4"/>
        <v>H750087378OVR</v>
      </c>
      <c r="E35" t="s">
        <v>78</v>
      </c>
      <c r="F35" t="s">
        <v>104</v>
      </c>
      <c r="G35" t="str">
        <f t="shared" si="2"/>
        <v>Charles Barrett</v>
      </c>
      <c r="H35" t="s">
        <v>125</v>
      </c>
      <c r="I35" t="s">
        <v>127</v>
      </c>
      <c r="J35" s="5">
        <v>45992</v>
      </c>
      <c r="K35" s="5">
        <v>46054</v>
      </c>
      <c r="L35">
        <f t="shared" si="3"/>
        <v>2</v>
      </c>
      <c r="M35" s="5" t="s">
        <v>216</v>
      </c>
      <c r="N35" s="5" t="s">
        <v>217</v>
      </c>
      <c r="O35">
        <v>66</v>
      </c>
      <c r="P35" t="s">
        <v>153</v>
      </c>
      <c r="Q35" t="s">
        <v>155</v>
      </c>
      <c r="R35">
        <v>2</v>
      </c>
      <c r="S35">
        <v>5.61</v>
      </c>
      <c r="T35">
        <v>0</v>
      </c>
      <c r="U35">
        <v>5.61</v>
      </c>
      <c r="V35">
        <v>100</v>
      </c>
      <c r="W35" s="2">
        <v>3.9E-2</v>
      </c>
      <c r="X35">
        <v>5.61</v>
      </c>
      <c r="Y35" t="s">
        <v>215</v>
      </c>
    </row>
    <row r="36" spans="1:25" x14ac:dyDescent="0.25">
      <c r="A36" t="s">
        <v>209</v>
      </c>
      <c r="B36">
        <v>20411454</v>
      </c>
      <c r="C36" t="s">
        <v>52</v>
      </c>
      <c r="D36" t="str">
        <f t="shared" si="4"/>
        <v>H711064367OVR</v>
      </c>
      <c r="E36" t="s">
        <v>79</v>
      </c>
      <c r="F36" t="s">
        <v>105</v>
      </c>
      <c r="G36" t="str">
        <f t="shared" si="2"/>
        <v>Kalin Kocher</v>
      </c>
      <c r="H36" t="s">
        <v>124</v>
      </c>
      <c r="I36" t="s">
        <v>128</v>
      </c>
      <c r="J36" s="5">
        <v>45992</v>
      </c>
      <c r="K36" s="5">
        <v>46054</v>
      </c>
      <c r="L36">
        <f t="shared" si="3"/>
        <v>2</v>
      </c>
      <c r="M36" s="5" t="s">
        <v>216</v>
      </c>
      <c r="N36" s="5" t="s">
        <v>217</v>
      </c>
      <c r="O36">
        <v>51</v>
      </c>
      <c r="P36" t="s">
        <v>153</v>
      </c>
      <c r="Q36" t="s">
        <v>154</v>
      </c>
      <c r="R36">
        <v>2</v>
      </c>
      <c r="S36">
        <v>5.37</v>
      </c>
      <c r="T36">
        <v>0</v>
      </c>
      <c r="U36">
        <v>5.37</v>
      </c>
      <c r="V36">
        <v>100</v>
      </c>
      <c r="W36" s="2">
        <v>9.5000000000000001E-2</v>
      </c>
      <c r="X36">
        <v>5.37</v>
      </c>
      <c r="Y36" t="s">
        <v>215</v>
      </c>
    </row>
    <row r="37" spans="1:25" x14ac:dyDescent="0.25">
      <c r="A37" t="s">
        <v>209</v>
      </c>
      <c r="B37">
        <v>20411454</v>
      </c>
      <c r="C37" t="s">
        <v>53</v>
      </c>
      <c r="D37" t="str">
        <f t="shared" si="4"/>
        <v>H711067280OVR</v>
      </c>
      <c r="E37" t="s">
        <v>80</v>
      </c>
      <c r="F37" t="s">
        <v>106</v>
      </c>
      <c r="G37" t="str">
        <f t="shared" si="2"/>
        <v>Patricia Buckley</v>
      </c>
      <c r="H37" t="s">
        <v>124</v>
      </c>
      <c r="I37" t="s">
        <v>128</v>
      </c>
      <c r="J37" s="5">
        <v>45976</v>
      </c>
      <c r="K37" s="5">
        <v>46068</v>
      </c>
      <c r="L37">
        <f t="shared" si="3"/>
        <v>3</v>
      </c>
      <c r="M37" s="5" t="s">
        <v>216</v>
      </c>
      <c r="N37" s="5" t="s">
        <v>217</v>
      </c>
      <c r="O37">
        <v>63</v>
      </c>
      <c r="P37" t="s">
        <v>153</v>
      </c>
      <c r="Q37" t="s">
        <v>154</v>
      </c>
      <c r="R37">
        <v>3</v>
      </c>
      <c r="S37">
        <v>6.22</v>
      </c>
      <c r="T37">
        <v>0</v>
      </c>
      <c r="U37">
        <v>6.22</v>
      </c>
      <c r="V37">
        <v>100</v>
      </c>
      <c r="W37" s="2">
        <v>9.5000000000000001E-2</v>
      </c>
      <c r="X37">
        <v>6.22</v>
      </c>
      <c r="Y37" t="s">
        <v>215</v>
      </c>
    </row>
    <row r="38" spans="1:25" x14ac:dyDescent="0.25">
      <c r="A38" t="s">
        <v>209</v>
      </c>
      <c r="B38">
        <v>20411454</v>
      </c>
      <c r="C38" t="s">
        <v>54</v>
      </c>
      <c r="D38" t="str">
        <f t="shared" si="4"/>
        <v>H750073946OVR</v>
      </c>
      <c r="E38" t="s">
        <v>81</v>
      </c>
      <c r="F38" t="s">
        <v>107</v>
      </c>
      <c r="G38" t="str">
        <f t="shared" si="2"/>
        <v>Harlin Hill</v>
      </c>
      <c r="H38" t="s">
        <v>125</v>
      </c>
      <c r="I38" t="s">
        <v>128</v>
      </c>
      <c r="J38" s="5">
        <v>45901</v>
      </c>
      <c r="K38" s="5">
        <v>46054</v>
      </c>
      <c r="L38">
        <f t="shared" si="3"/>
        <v>5</v>
      </c>
      <c r="M38" s="5" t="s">
        <v>216</v>
      </c>
      <c r="N38" s="5" t="s">
        <v>217</v>
      </c>
      <c r="O38">
        <v>71</v>
      </c>
      <c r="P38" t="s">
        <v>153</v>
      </c>
      <c r="Q38" t="s">
        <v>155</v>
      </c>
      <c r="R38">
        <v>5</v>
      </c>
      <c r="S38">
        <v>6.67</v>
      </c>
      <c r="T38">
        <v>0</v>
      </c>
      <c r="U38">
        <v>6.67</v>
      </c>
      <c r="V38">
        <v>100</v>
      </c>
      <c r="W38" s="2">
        <v>3.9E-2</v>
      </c>
      <c r="X38">
        <v>6.67</v>
      </c>
      <c r="Y38" t="s">
        <v>215</v>
      </c>
    </row>
    <row r="39" spans="1:25" x14ac:dyDescent="0.25">
      <c r="A39" t="s">
        <v>209</v>
      </c>
      <c r="B39">
        <v>20411454</v>
      </c>
      <c r="C39" t="s">
        <v>55</v>
      </c>
      <c r="D39" t="str">
        <f t="shared" si="4"/>
        <v>H750086700OVR</v>
      </c>
      <c r="E39" t="s">
        <v>82</v>
      </c>
      <c r="F39" t="s">
        <v>108</v>
      </c>
      <c r="G39" t="str">
        <f t="shared" si="2"/>
        <v>Jennifer Tobias</v>
      </c>
      <c r="H39" t="s">
        <v>125</v>
      </c>
      <c r="I39" t="s">
        <v>128</v>
      </c>
      <c r="J39" s="5">
        <v>45992</v>
      </c>
      <c r="K39" s="5">
        <v>46054</v>
      </c>
      <c r="L39">
        <f t="shared" si="3"/>
        <v>2</v>
      </c>
      <c r="M39" s="5" t="s">
        <v>216</v>
      </c>
      <c r="N39" s="5" t="s">
        <v>217</v>
      </c>
      <c r="O39">
        <v>65</v>
      </c>
      <c r="P39" t="s">
        <v>153</v>
      </c>
      <c r="Q39" t="s">
        <v>154</v>
      </c>
      <c r="R39">
        <v>2</v>
      </c>
      <c r="S39">
        <v>3.37</v>
      </c>
      <c r="T39">
        <v>0</v>
      </c>
      <c r="U39">
        <v>3.37</v>
      </c>
      <c r="V39">
        <v>100</v>
      </c>
      <c r="W39" s="2">
        <v>2.8000000000000001E-2</v>
      </c>
      <c r="X39">
        <v>3.37</v>
      </c>
      <c r="Y39" t="s">
        <v>215</v>
      </c>
    </row>
    <row r="40" spans="1:25" x14ac:dyDescent="0.25">
      <c r="A40" t="s">
        <v>209</v>
      </c>
      <c r="B40">
        <v>20411454</v>
      </c>
      <c r="C40" t="s">
        <v>56</v>
      </c>
      <c r="D40" t="str">
        <f t="shared" si="4"/>
        <v>H711037504OVR</v>
      </c>
      <c r="E40" t="s">
        <v>83</v>
      </c>
      <c r="F40" t="s">
        <v>109</v>
      </c>
      <c r="G40" t="str">
        <f t="shared" si="2"/>
        <v>Edward Kunkel</v>
      </c>
      <c r="H40" t="s">
        <v>124</v>
      </c>
      <c r="I40" t="s">
        <v>128</v>
      </c>
      <c r="J40" s="5">
        <v>45905</v>
      </c>
      <c r="K40" s="5">
        <v>46058</v>
      </c>
      <c r="L40">
        <f t="shared" si="3"/>
        <v>5</v>
      </c>
      <c r="M40" s="5" t="s">
        <v>216</v>
      </c>
      <c r="N40" s="5" t="s">
        <v>217</v>
      </c>
      <c r="O40">
        <v>66</v>
      </c>
      <c r="P40" t="s">
        <v>153</v>
      </c>
      <c r="Q40" t="s">
        <v>154</v>
      </c>
      <c r="R40">
        <v>5</v>
      </c>
      <c r="S40">
        <v>12.13</v>
      </c>
      <c r="T40">
        <v>0</v>
      </c>
      <c r="U40">
        <v>12.13</v>
      </c>
      <c r="V40">
        <v>100</v>
      </c>
      <c r="W40" s="2">
        <v>9.5000000000000001E-2</v>
      </c>
      <c r="X40">
        <v>12.13</v>
      </c>
      <c r="Y40" t="s">
        <v>215</v>
      </c>
    </row>
    <row r="41" spans="1:25" x14ac:dyDescent="0.25">
      <c r="A41" t="s">
        <v>209</v>
      </c>
      <c r="B41">
        <v>20411454</v>
      </c>
      <c r="C41" t="s">
        <v>57</v>
      </c>
      <c r="D41" t="str">
        <f t="shared" si="4"/>
        <v>H750073872OVR</v>
      </c>
      <c r="E41" t="s">
        <v>84</v>
      </c>
      <c r="F41" t="s">
        <v>107</v>
      </c>
      <c r="G41" t="str">
        <f t="shared" si="2"/>
        <v>Laura Hill</v>
      </c>
      <c r="H41" t="s">
        <v>125</v>
      </c>
      <c r="I41" t="s">
        <v>128</v>
      </c>
      <c r="J41" s="5">
        <v>45901</v>
      </c>
      <c r="K41" s="5">
        <v>46054</v>
      </c>
      <c r="L41">
        <f t="shared" si="3"/>
        <v>5</v>
      </c>
      <c r="M41" s="5" t="s">
        <v>216</v>
      </c>
      <c r="N41" s="5" t="s">
        <v>217</v>
      </c>
      <c r="O41">
        <v>70</v>
      </c>
      <c r="P41" t="s">
        <v>153</v>
      </c>
      <c r="Q41" t="s">
        <v>155</v>
      </c>
      <c r="R41">
        <v>5</v>
      </c>
      <c r="S41">
        <v>5.84</v>
      </c>
      <c r="T41">
        <v>0</v>
      </c>
      <c r="U41">
        <v>5.84</v>
      </c>
      <c r="V41">
        <v>100</v>
      </c>
      <c r="W41" s="2">
        <v>3.9E-2</v>
      </c>
      <c r="X41">
        <v>5.84</v>
      </c>
      <c r="Y41" t="s">
        <v>215</v>
      </c>
    </row>
    <row r="42" spans="1:25" x14ac:dyDescent="0.25">
      <c r="A42" t="s">
        <v>209</v>
      </c>
      <c r="B42">
        <v>20411454</v>
      </c>
      <c r="C42" t="s">
        <v>58</v>
      </c>
      <c r="D42" t="str">
        <f t="shared" si="4"/>
        <v>H711067996OVR</v>
      </c>
      <c r="E42" t="s">
        <v>85</v>
      </c>
      <c r="F42" t="s">
        <v>110</v>
      </c>
      <c r="G42" t="str">
        <f t="shared" si="2"/>
        <v>Misty Newberry</v>
      </c>
      <c r="H42" t="s">
        <v>124</v>
      </c>
      <c r="I42" t="s">
        <v>128</v>
      </c>
      <c r="J42" s="5">
        <v>45992</v>
      </c>
      <c r="K42" s="5">
        <v>46054</v>
      </c>
      <c r="L42">
        <f t="shared" si="3"/>
        <v>2</v>
      </c>
      <c r="M42" s="5" t="s">
        <v>216</v>
      </c>
      <c r="N42" s="5" t="s">
        <v>217</v>
      </c>
      <c r="O42">
        <v>51</v>
      </c>
      <c r="P42" t="s">
        <v>153</v>
      </c>
      <c r="Q42" t="s">
        <v>154</v>
      </c>
      <c r="R42">
        <v>2</v>
      </c>
      <c r="S42">
        <v>5.37</v>
      </c>
      <c r="T42">
        <v>0</v>
      </c>
      <c r="U42">
        <v>5.37</v>
      </c>
      <c r="V42">
        <v>100</v>
      </c>
      <c r="W42" s="2">
        <v>9.5000000000000001E-2</v>
      </c>
      <c r="X42">
        <v>5.37</v>
      </c>
      <c r="Y42" t="s">
        <v>215</v>
      </c>
    </row>
    <row r="43" spans="1:25" x14ac:dyDescent="0.25">
      <c r="A43" t="s">
        <v>209</v>
      </c>
      <c r="B43">
        <v>20411454</v>
      </c>
      <c r="C43" t="s">
        <v>59</v>
      </c>
      <c r="D43" t="str">
        <f t="shared" si="4"/>
        <v>H711086159OVR</v>
      </c>
      <c r="E43" t="s">
        <v>86</v>
      </c>
      <c r="F43" t="s">
        <v>111</v>
      </c>
      <c r="G43" t="str">
        <f t="shared" si="2"/>
        <v>Donald Henkel</v>
      </c>
      <c r="H43" t="s">
        <v>124</v>
      </c>
      <c r="I43" t="s">
        <v>128</v>
      </c>
      <c r="J43" s="5">
        <v>46023</v>
      </c>
      <c r="K43" s="5">
        <v>46054</v>
      </c>
      <c r="L43">
        <f t="shared" si="3"/>
        <v>1</v>
      </c>
      <c r="M43" s="5" t="s">
        <v>216</v>
      </c>
      <c r="N43" s="5" t="s">
        <v>217</v>
      </c>
      <c r="O43">
        <v>60</v>
      </c>
      <c r="P43" t="s">
        <v>153</v>
      </c>
      <c r="Q43" t="s">
        <v>154</v>
      </c>
      <c r="R43">
        <v>1</v>
      </c>
      <c r="S43">
        <v>12.13</v>
      </c>
      <c r="T43">
        <v>0</v>
      </c>
      <c r="U43">
        <v>12.13</v>
      </c>
      <c r="V43">
        <v>100</v>
      </c>
      <c r="W43" s="2">
        <v>9.5000000000000001E-2</v>
      </c>
      <c r="X43">
        <v>12.13</v>
      </c>
      <c r="Y43" t="s">
        <v>215</v>
      </c>
    </row>
    <row r="44" spans="1:25" x14ac:dyDescent="0.25">
      <c r="A44" t="s">
        <v>209</v>
      </c>
      <c r="B44">
        <v>20411454</v>
      </c>
      <c r="C44" t="s">
        <v>60</v>
      </c>
      <c r="D44" t="str">
        <f t="shared" si="4"/>
        <v>H711045437OVR</v>
      </c>
      <c r="E44" t="s">
        <v>87</v>
      </c>
      <c r="F44" t="s">
        <v>112</v>
      </c>
      <c r="G44" t="str">
        <f t="shared" si="2"/>
        <v>Iysiah Maull</v>
      </c>
      <c r="H44" t="s">
        <v>124</v>
      </c>
      <c r="I44" t="s">
        <v>129</v>
      </c>
      <c r="J44" s="5">
        <v>45931</v>
      </c>
      <c r="K44" s="5">
        <v>46054</v>
      </c>
      <c r="L44">
        <f t="shared" si="3"/>
        <v>4</v>
      </c>
      <c r="M44" s="5" t="s">
        <v>216</v>
      </c>
      <c r="N44" s="5" t="s">
        <v>217</v>
      </c>
      <c r="O44">
        <v>25</v>
      </c>
      <c r="P44" t="s">
        <v>153</v>
      </c>
      <c r="Q44" t="s">
        <v>154</v>
      </c>
      <c r="R44">
        <v>4</v>
      </c>
      <c r="S44">
        <v>3.75</v>
      </c>
      <c r="T44">
        <v>0</v>
      </c>
      <c r="U44">
        <v>3.75</v>
      </c>
      <c r="V44">
        <v>100</v>
      </c>
      <c r="W44" s="2">
        <v>9.5000000000000001E-2</v>
      </c>
      <c r="X44">
        <v>3.75</v>
      </c>
      <c r="Y44" t="s">
        <v>215</v>
      </c>
    </row>
    <row r="45" spans="1:25" x14ac:dyDescent="0.25">
      <c r="A45" t="s">
        <v>209</v>
      </c>
      <c r="B45">
        <v>20411454</v>
      </c>
      <c r="C45" t="s">
        <v>61</v>
      </c>
      <c r="D45" t="str">
        <f t="shared" si="4"/>
        <v>H711025485OVR</v>
      </c>
      <c r="E45" t="s">
        <v>88</v>
      </c>
      <c r="F45" t="s">
        <v>113</v>
      </c>
      <c r="G45" t="str">
        <f t="shared" si="2"/>
        <v>Shirley Perry</v>
      </c>
      <c r="H45" t="s">
        <v>124</v>
      </c>
      <c r="I45" t="s">
        <v>129</v>
      </c>
      <c r="J45" s="5">
        <v>45870</v>
      </c>
      <c r="K45" s="5">
        <v>46054</v>
      </c>
      <c r="L45">
        <f t="shared" si="3"/>
        <v>6</v>
      </c>
      <c r="M45" s="5" t="s">
        <v>216</v>
      </c>
      <c r="N45" s="5" t="s">
        <v>217</v>
      </c>
      <c r="O45">
        <v>58</v>
      </c>
      <c r="P45" t="s">
        <v>153</v>
      </c>
      <c r="Q45" t="s">
        <v>154</v>
      </c>
      <c r="R45">
        <v>6</v>
      </c>
      <c r="S45">
        <v>4.53</v>
      </c>
      <c r="T45">
        <v>0</v>
      </c>
      <c r="U45">
        <v>4.53</v>
      </c>
      <c r="V45">
        <v>100</v>
      </c>
      <c r="W45" s="2">
        <v>9.5000000000000001E-2</v>
      </c>
      <c r="X45">
        <v>4.53</v>
      </c>
      <c r="Y45" t="s">
        <v>215</v>
      </c>
    </row>
    <row r="46" spans="1:25" x14ac:dyDescent="0.25">
      <c r="A46" t="s">
        <v>209</v>
      </c>
      <c r="B46">
        <v>20411454</v>
      </c>
      <c r="C46" t="s">
        <v>62</v>
      </c>
      <c r="D46" t="str">
        <f t="shared" si="4"/>
        <v>H711056072OVR</v>
      </c>
      <c r="E46" t="s">
        <v>89</v>
      </c>
      <c r="F46" t="s">
        <v>114</v>
      </c>
      <c r="G46" t="str">
        <f t="shared" si="2"/>
        <v>Shaista Ali</v>
      </c>
      <c r="H46" t="s">
        <v>124</v>
      </c>
      <c r="I46" t="s">
        <v>129</v>
      </c>
      <c r="J46" s="5">
        <v>45962</v>
      </c>
      <c r="K46" s="5">
        <v>46054</v>
      </c>
      <c r="L46">
        <f t="shared" si="3"/>
        <v>3</v>
      </c>
      <c r="M46" s="5" t="s">
        <v>216</v>
      </c>
      <c r="N46" s="5" t="s">
        <v>217</v>
      </c>
      <c r="O46">
        <v>60</v>
      </c>
      <c r="P46" t="s">
        <v>153</v>
      </c>
      <c r="Q46" t="s">
        <v>154</v>
      </c>
      <c r="R46">
        <v>3</v>
      </c>
      <c r="S46">
        <v>5.37</v>
      </c>
      <c r="T46">
        <v>0</v>
      </c>
      <c r="U46">
        <v>5.37</v>
      </c>
      <c r="V46">
        <v>100</v>
      </c>
      <c r="W46" s="2">
        <v>9.5000000000000001E-2</v>
      </c>
      <c r="X46">
        <v>5.37</v>
      </c>
      <c r="Y46" t="s">
        <v>215</v>
      </c>
    </row>
    <row r="47" spans="1:25" x14ac:dyDescent="0.25">
      <c r="A47" t="s">
        <v>209</v>
      </c>
      <c r="B47">
        <v>20411454</v>
      </c>
      <c r="C47" t="s">
        <v>63</v>
      </c>
      <c r="D47" t="str">
        <f t="shared" si="4"/>
        <v>H750076900OVR</v>
      </c>
      <c r="E47" t="s">
        <v>90</v>
      </c>
      <c r="F47" t="s">
        <v>115</v>
      </c>
      <c r="G47" t="str">
        <f t="shared" si="2"/>
        <v>Zaharoula Diamantakos</v>
      </c>
      <c r="H47" t="s">
        <v>125</v>
      </c>
      <c r="I47" t="s">
        <v>128</v>
      </c>
      <c r="J47" s="5">
        <v>45931</v>
      </c>
      <c r="K47" s="5">
        <v>46054</v>
      </c>
      <c r="L47">
        <f t="shared" si="3"/>
        <v>4</v>
      </c>
      <c r="M47" s="5" t="s">
        <v>216</v>
      </c>
      <c r="N47" s="5" t="s">
        <v>217</v>
      </c>
      <c r="O47">
        <v>79</v>
      </c>
      <c r="P47" t="s">
        <v>153</v>
      </c>
      <c r="Q47" t="s">
        <v>155</v>
      </c>
      <c r="R47">
        <v>4</v>
      </c>
      <c r="S47">
        <v>6.77</v>
      </c>
      <c r="T47">
        <v>0</v>
      </c>
      <c r="U47">
        <v>6.77</v>
      </c>
      <c r="V47">
        <v>100</v>
      </c>
      <c r="W47" s="2">
        <v>3.9E-2</v>
      </c>
      <c r="X47">
        <v>6.77</v>
      </c>
      <c r="Y47" t="s">
        <v>215</v>
      </c>
    </row>
    <row r="48" spans="1:25" x14ac:dyDescent="0.25">
      <c r="A48" t="s">
        <v>209</v>
      </c>
      <c r="B48">
        <v>20411454</v>
      </c>
      <c r="C48" t="s">
        <v>64</v>
      </c>
      <c r="D48" t="str">
        <f t="shared" si="4"/>
        <v>H711021314OVR</v>
      </c>
      <c r="E48" t="s">
        <v>91</v>
      </c>
      <c r="F48" t="s">
        <v>116</v>
      </c>
      <c r="G48" t="str">
        <f t="shared" si="2"/>
        <v>Connie Gangnon</v>
      </c>
      <c r="H48" t="s">
        <v>124</v>
      </c>
      <c r="I48" t="s">
        <v>130</v>
      </c>
      <c r="J48" s="5">
        <v>45870</v>
      </c>
      <c r="K48" s="5">
        <v>46054</v>
      </c>
      <c r="L48">
        <f t="shared" si="3"/>
        <v>6</v>
      </c>
      <c r="M48" s="5" t="s">
        <v>216</v>
      </c>
      <c r="N48" s="5" t="s">
        <v>217</v>
      </c>
      <c r="O48">
        <v>64</v>
      </c>
      <c r="P48" t="s">
        <v>153</v>
      </c>
      <c r="Q48" t="s">
        <v>154</v>
      </c>
      <c r="R48">
        <v>6</v>
      </c>
      <c r="S48">
        <v>12.13</v>
      </c>
      <c r="T48">
        <v>0</v>
      </c>
      <c r="U48">
        <v>12.13</v>
      </c>
      <c r="V48">
        <v>100</v>
      </c>
      <c r="W48" s="2">
        <v>9.5000000000000001E-2</v>
      </c>
      <c r="X48">
        <v>12.13</v>
      </c>
      <c r="Y48" t="s">
        <v>215</v>
      </c>
    </row>
    <row r="49" spans="1:25" x14ac:dyDescent="0.25">
      <c r="A49" t="s">
        <v>209</v>
      </c>
      <c r="B49">
        <v>20411454</v>
      </c>
      <c r="C49" t="s">
        <v>65</v>
      </c>
      <c r="D49" t="str">
        <f t="shared" si="4"/>
        <v>H711020958OVR</v>
      </c>
      <c r="E49" t="s">
        <v>92</v>
      </c>
      <c r="F49" t="s">
        <v>117</v>
      </c>
      <c r="G49" t="str">
        <f t="shared" si="2"/>
        <v>Karen Duke</v>
      </c>
      <c r="H49" t="s">
        <v>124</v>
      </c>
      <c r="I49" t="s">
        <v>130</v>
      </c>
      <c r="J49" s="5">
        <v>45870</v>
      </c>
      <c r="K49" s="5">
        <v>46054</v>
      </c>
      <c r="L49">
        <f t="shared" si="3"/>
        <v>6</v>
      </c>
      <c r="M49" s="5" t="s">
        <v>216</v>
      </c>
      <c r="N49" s="5" t="s">
        <v>217</v>
      </c>
      <c r="O49">
        <v>81</v>
      </c>
      <c r="P49" t="s">
        <v>153</v>
      </c>
      <c r="Q49" t="s">
        <v>154</v>
      </c>
      <c r="R49">
        <v>6</v>
      </c>
      <c r="S49">
        <v>5.37</v>
      </c>
      <c r="T49">
        <v>0</v>
      </c>
      <c r="U49">
        <v>5.37</v>
      </c>
      <c r="V49">
        <v>100</v>
      </c>
      <c r="W49" s="2">
        <v>9.5000000000000001E-2</v>
      </c>
      <c r="X49">
        <v>5.37</v>
      </c>
      <c r="Y49" t="s">
        <v>215</v>
      </c>
    </row>
    <row r="50" spans="1:25" x14ac:dyDescent="0.25">
      <c r="A50" t="s">
        <v>209</v>
      </c>
      <c r="B50">
        <v>20411454</v>
      </c>
      <c r="C50" t="s">
        <v>66</v>
      </c>
      <c r="D50" t="str">
        <f t="shared" si="4"/>
        <v>H750075562OVR</v>
      </c>
      <c r="E50" t="s">
        <v>93</v>
      </c>
      <c r="F50" t="s">
        <v>118</v>
      </c>
      <c r="G50" t="str">
        <f t="shared" si="2"/>
        <v>Claire Nighman</v>
      </c>
      <c r="H50" t="s">
        <v>125</v>
      </c>
      <c r="I50" t="s">
        <v>128</v>
      </c>
      <c r="J50" s="5">
        <v>45931</v>
      </c>
      <c r="K50" s="5">
        <v>46054</v>
      </c>
      <c r="L50">
        <f t="shared" si="3"/>
        <v>4</v>
      </c>
      <c r="M50" s="5" t="s">
        <v>216</v>
      </c>
      <c r="N50" s="5" t="s">
        <v>217</v>
      </c>
      <c r="O50">
        <v>65</v>
      </c>
      <c r="P50" t="s">
        <v>153</v>
      </c>
      <c r="Q50" t="s">
        <v>154</v>
      </c>
      <c r="R50">
        <v>4</v>
      </c>
      <c r="S50">
        <v>3.27</v>
      </c>
      <c r="T50">
        <v>0</v>
      </c>
      <c r="U50">
        <v>3.27</v>
      </c>
      <c r="V50">
        <v>100</v>
      </c>
      <c r="W50" s="2">
        <v>2.8000000000000001E-2</v>
      </c>
      <c r="X50">
        <v>3.27</v>
      </c>
      <c r="Y50" t="s">
        <v>215</v>
      </c>
    </row>
    <row r="51" spans="1:25" x14ac:dyDescent="0.25">
      <c r="A51" t="s">
        <v>209</v>
      </c>
      <c r="B51">
        <v>20411454</v>
      </c>
      <c r="C51" t="s">
        <v>67</v>
      </c>
      <c r="D51" t="str">
        <f t="shared" si="4"/>
        <v>H750075563OVR</v>
      </c>
      <c r="E51" t="s">
        <v>94</v>
      </c>
      <c r="F51" t="s">
        <v>119</v>
      </c>
      <c r="G51" t="str">
        <f t="shared" si="2"/>
        <v>Jayne Bressner</v>
      </c>
      <c r="H51" t="s">
        <v>125</v>
      </c>
      <c r="I51" t="s">
        <v>128</v>
      </c>
      <c r="J51" s="5">
        <v>45931</v>
      </c>
      <c r="K51" s="5">
        <v>46054</v>
      </c>
      <c r="L51">
        <f t="shared" si="3"/>
        <v>4</v>
      </c>
      <c r="M51" s="5" t="s">
        <v>216</v>
      </c>
      <c r="N51" s="5" t="s">
        <v>217</v>
      </c>
      <c r="O51">
        <v>69</v>
      </c>
      <c r="P51" t="s">
        <v>153</v>
      </c>
      <c r="Q51" t="s">
        <v>155</v>
      </c>
      <c r="R51">
        <v>4</v>
      </c>
      <c r="S51">
        <v>5.34</v>
      </c>
      <c r="T51">
        <v>0</v>
      </c>
      <c r="U51">
        <v>5.34</v>
      </c>
      <c r="V51">
        <v>100</v>
      </c>
      <c r="W51" s="2">
        <v>3.9E-2</v>
      </c>
      <c r="X51">
        <v>5.34</v>
      </c>
      <c r="Y51" t="s">
        <v>215</v>
      </c>
    </row>
  </sheetData>
  <sortState xmlns:xlrd2="http://schemas.microsoft.com/office/spreadsheetml/2017/richdata2" ref="A2:Z24">
    <sortCondition ref="G2:G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activeCell="A2" sqref="A2:XFD2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31</v>
      </c>
      <c r="C2" t="s">
        <v>41</v>
      </c>
      <c r="D2" t="s">
        <v>68</v>
      </c>
      <c r="E2" t="s">
        <v>95</v>
      </c>
      <c r="F2" t="s">
        <v>120</v>
      </c>
      <c r="G2" t="s">
        <v>124</v>
      </c>
      <c r="H2" t="s">
        <v>126</v>
      </c>
      <c r="I2" t="s">
        <v>131</v>
      </c>
      <c r="J2" t="s">
        <v>133</v>
      </c>
      <c r="K2" t="s">
        <v>137</v>
      </c>
      <c r="L2" t="s">
        <v>153</v>
      </c>
      <c r="M2" t="s">
        <v>154</v>
      </c>
      <c r="N2" t="s">
        <v>156</v>
      </c>
      <c r="O2" t="s">
        <v>162</v>
      </c>
      <c r="P2" t="s">
        <v>180</v>
      </c>
      <c r="Q2" t="s">
        <v>162</v>
      </c>
      <c r="R2" t="s">
        <v>182</v>
      </c>
      <c r="S2" t="s">
        <v>191</v>
      </c>
      <c r="T2">
        <v>5.37</v>
      </c>
    </row>
    <row r="3" spans="1:20" x14ac:dyDescent="0.25">
      <c r="A3" t="s">
        <v>22</v>
      </c>
      <c r="B3" t="s">
        <v>32</v>
      </c>
      <c r="C3" t="s">
        <v>42</v>
      </c>
      <c r="D3" t="s">
        <v>69</v>
      </c>
      <c r="E3" t="s">
        <v>96</v>
      </c>
      <c r="F3" t="s">
        <v>120</v>
      </c>
      <c r="G3" t="s">
        <v>124</v>
      </c>
      <c r="H3" t="s">
        <v>126</v>
      </c>
      <c r="I3" t="s">
        <v>132</v>
      </c>
      <c r="J3" t="s">
        <v>134</v>
      </c>
      <c r="K3" t="s">
        <v>138</v>
      </c>
      <c r="L3" t="s">
        <v>153</v>
      </c>
      <c r="M3" t="s">
        <v>154</v>
      </c>
      <c r="N3" t="s">
        <v>157</v>
      </c>
      <c r="O3" t="s">
        <v>163</v>
      </c>
      <c r="P3" t="s">
        <v>180</v>
      </c>
      <c r="Q3" t="s">
        <v>163</v>
      </c>
      <c r="R3" t="s">
        <v>182</v>
      </c>
      <c r="S3" t="s">
        <v>191</v>
      </c>
      <c r="T3">
        <v>10.47</v>
      </c>
    </row>
    <row r="4" spans="1:20" x14ac:dyDescent="0.25">
      <c r="A4" t="s">
        <v>23</v>
      </c>
      <c r="B4" t="s">
        <v>33</v>
      </c>
      <c r="C4" t="s">
        <v>43</v>
      </c>
      <c r="D4" t="s">
        <v>70</v>
      </c>
      <c r="E4" t="s">
        <v>97</v>
      </c>
      <c r="F4" t="s">
        <v>120</v>
      </c>
      <c r="G4" t="s">
        <v>124</v>
      </c>
      <c r="H4" t="s">
        <v>126</v>
      </c>
      <c r="I4" t="s">
        <v>132</v>
      </c>
      <c r="J4" t="s">
        <v>133</v>
      </c>
      <c r="K4" t="s">
        <v>139</v>
      </c>
      <c r="L4" t="s">
        <v>153</v>
      </c>
      <c r="M4" t="s">
        <v>154</v>
      </c>
      <c r="N4" t="s">
        <v>158</v>
      </c>
      <c r="O4" t="s">
        <v>163</v>
      </c>
      <c r="P4" t="s">
        <v>180</v>
      </c>
      <c r="Q4" t="s">
        <v>163</v>
      </c>
      <c r="R4" t="s">
        <v>182</v>
      </c>
      <c r="S4" t="s">
        <v>191</v>
      </c>
      <c r="T4">
        <v>10.47</v>
      </c>
    </row>
    <row r="5" spans="1:20" x14ac:dyDescent="0.25">
      <c r="A5" t="s">
        <v>24</v>
      </c>
      <c r="B5" t="s">
        <v>34</v>
      </c>
      <c r="C5" t="s">
        <v>44</v>
      </c>
      <c r="D5" t="s">
        <v>71</v>
      </c>
      <c r="E5" t="s">
        <v>98</v>
      </c>
      <c r="F5" t="s">
        <v>121</v>
      </c>
      <c r="G5" t="s">
        <v>125</v>
      </c>
      <c r="H5" t="s">
        <v>127</v>
      </c>
      <c r="I5" t="s">
        <v>132</v>
      </c>
      <c r="J5" t="s">
        <v>133</v>
      </c>
      <c r="K5" t="s">
        <v>139</v>
      </c>
      <c r="L5" t="s">
        <v>153</v>
      </c>
      <c r="M5" t="s">
        <v>154</v>
      </c>
      <c r="N5" t="s">
        <v>158</v>
      </c>
      <c r="O5" t="s">
        <v>164</v>
      </c>
      <c r="P5" t="s">
        <v>180</v>
      </c>
      <c r="Q5" t="s">
        <v>164</v>
      </c>
      <c r="R5" t="s">
        <v>182</v>
      </c>
      <c r="S5" t="s">
        <v>192</v>
      </c>
      <c r="T5">
        <v>2.93</v>
      </c>
    </row>
    <row r="6" spans="1:20" x14ac:dyDescent="0.25">
      <c r="A6" t="s">
        <v>24</v>
      </c>
      <c r="B6" t="s">
        <v>34</v>
      </c>
      <c r="C6" t="s">
        <v>45</v>
      </c>
      <c r="D6" t="s">
        <v>72</v>
      </c>
      <c r="E6" t="s">
        <v>99</v>
      </c>
      <c r="F6" t="s">
        <v>121</v>
      </c>
      <c r="G6" t="s">
        <v>125</v>
      </c>
      <c r="H6" t="s">
        <v>127</v>
      </c>
      <c r="I6" t="s">
        <v>132</v>
      </c>
      <c r="J6" t="s">
        <v>133</v>
      </c>
      <c r="K6" t="s">
        <v>139</v>
      </c>
      <c r="L6" t="s">
        <v>153</v>
      </c>
      <c r="M6" t="s">
        <v>154</v>
      </c>
      <c r="N6" t="s">
        <v>158</v>
      </c>
      <c r="O6" t="s">
        <v>165</v>
      </c>
      <c r="P6" t="s">
        <v>180</v>
      </c>
      <c r="Q6" t="s">
        <v>165</v>
      </c>
      <c r="R6" t="s">
        <v>182</v>
      </c>
      <c r="S6" t="s">
        <v>192</v>
      </c>
      <c r="T6">
        <v>3.28</v>
      </c>
    </row>
    <row r="7" spans="1:20" x14ac:dyDescent="0.25">
      <c r="A7" t="s">
        <v>24</v>
      </c>
      <c r="B7" t="s">
        <v>34</v>
      </c>
      <c r="C7" t="s">
        <v>46</v>
      </c>
      <c r="D7" t="s">
        <v>73</v>
      </c>
      <c r="E7" t="s">
        <v>100</v>
      </c>
      <c r="F7" t="s">
        <v>121</v>
      </c>
      <c r="G7" t="s">
        <v>125</v>
      </c>
      <c r="H7" t="s">
        <v>127</v>
      </c>
      <c r="I7" t="s">
        <v>132</v>
      </c>
      <c r="J7" t="s">
        <v>133</v>
      </c>
      <c r="K7" t="s">
        <v>139</v>
      </c>
      <c r="L7" t="s">
        <v>153</v>
      </c>
      <c r="M7" t="s">
        <v>155</v>
      </c>
      <c r="N7" t="s">
        <v>159</v>
      </c>
      <c r="O7" t="s">
        <v>165</v>
      </c>
      <c r="P7" t="s">
        <v>180</v>
      </c>
      <c r="Q7" t="s">
        <v>165</v>
      </c>
      <c r="R7" t="s">
        <v>182</v>
      </c>
      <c r="S7" t="s">
        <v>193</v>
      </c>
      <c r="T7">
        <v>0.94</v>
      </c>
    </row>
    <row r="8" spans="1:20" x14ac:dyDescent="0.25">
      <c r="A8" t="s">
        <v>24</v>
      </c>
      <c r="B8" t="s">
        <v>34</v>
      </c>
      <c r="C8" t="s">
        <v>47</v>
      </c>
      <c r="D8" t="s">
        <v>74</v>
      </c>
      <c r="E8" t="s">
        <v>101</v>
      </c>
      <c r="F8" t="s">
        <v>121</v>
      </c>
      <c r="G8" t="s">
        <v>125</v>
      </c>
      <c r="H8" t="s">
        <v>127</v>
      </c>
      <c r="I8" t="s">
        <v>132</v>
      </c>
      <c r="J8" t="s">
        <v>133</v>
      </c>
      <c r="K8" t="s">
        <v>139</v>
      </c>
      <c r="L8" t="s">
        <v>153</v>
      </c>
      <c r="M8" t="s">
        <v>155</v>
      </c>
      <c r="N8" t="s">
        <v>157</v>
      </c>
      <c r="O8" t="s">
        <v>166</v>
      </c>
      <c r="P8" t="s">
        <v>180</v>
      </c>
      <c r="Q8" t="s">
        <v>166</v>
      </c>
      <c r="R8" t="s">
        <v>182</v>
      </c>
      <c r="S8" t="s">
        <v>194</v>
      </c>
      <c r="T8">
        <v>4.5199999999999996</v>
      </c>
    </row>
    <row r="9" spans="1:20" x14ac:dyDescent="0.25">
      <c r="A9" t="s">
        <v>24</v>
      </c>
      <c r="B9" t="s">
        <v>34</v>
      </c>
      <c r="C9" t="s">
        <v>48</v>
      </c>
      <c r="D9" t="s">
        <v>75</v>
      </c>
      <c r="E9" t="s">
        <v>99</v>
      </c>
      <c r="F9" t="s">
        <v>121</v>
      </c>
      <c r="G9" t="s">
        <v>125</v>
      </c>
      <c r="H9" t="s">
        <v>127</v>
      </c>
      <c r="I9" t="s">
        <v>132</v>
      </c>
      <c r="J9" t="s">
        <v>133</v>
      </c>
      <c r="K9" t="s">
        <v>139</v>
      </c>
      <c r="L9" t="s">
        <v>153</v>
      </c>
      <c r="M9" t="s">
        <v>154</v>
      </c>
      <c r="N9" t="s">
        <v>159</v>
      </c>
      <c r="O9" t="s">
        <v>167</v>
      </c>
      <c r="P9" t="s">
        <v>180</v>
      </c>
      <c r="Q9" t="s">
        <v>167</v>
      </c>
      <c r="R9" t="s">
        <v>182</v>
      </c>
      <c r="S9" t="s">
        <v>192</v>
      </c>
      <c r="T9">
        <v>3.62</v>
      </c>
    </row>
    <row r="10" spans="1:20" x14ac:dyDescent="0.25">
      <c r="A10" t="s">
        <v>24</v>
      </c>
      <c r="B10" t="s">
        <v>34</v>
      </c>
      <c r="C10" t="s">
        <v>49</v>
      </c>
      <c r="D10" t="s">
        <v>76</v>
      </c>
      <c r="E10" t="s">
        <v>102</v>
      </c>
      <c r="F10" t="s">
        <v>122</v>
      </c>
      <c r="G10" t="s">
        <v>125</v>
      </c>
      <c r="H10" t="s">
        <v>127</v>
      </c>
      <c r="I10" t="s">
        <v>132</v>
      </c>
      <c r="J10" t="s">
        <v>133</v>
      </c>
      <c r="K10" t="s">
        <v>140</v>
      </c>
      <c r="L10" t="s">
        <v>153</v>
      </c>
      <c r="M10" t="s">
        <v>155</v>
      </c>
      <c r="N10" t="s">
        <v>160</v>
      </c>
      <c r="O10" t="s">
        <v>168</v>
      </c>
      <c r="P10" t="s">
        <v>180</v>
      </c>
      <c r="Q10" t="s">
        <v>181</v>
      </c>
      <c r="R10" t="s">
        <v>182</v>
      </c>
      <c r="S10" t="s">
        <v>193</v>
      </c>
      <c r="T10">
        <v>1.95</v>
      </c>
    </row>
    <row r="11" spans="1:20" x14ac:dyDescent="0.25">
      <c r="A11" t="s">
        <v>24</v>
      </c>
      <c r="B11" t="s">
        <v>34</v>
      </c>
      <c r="C11" t="s">
        <v>50</v>
      </c>
      <c r="D11" t="s">
        <v>77</v>
      </c>
      <c r="E11" t="s">
        <v>103</v>
      </c>
      <c r="F11" t="s">
        <v>121</v>
      </c>
      <c r="G11" t="s">
        <v>125</v>
      </c>
      <c r="H11" t="s">
        <v>127</v>
      </c>
      <c r="I11" t="s">
        <v>131</v>
      </c>
      <c r="J11" t="s">
        <v>133</v>
      </c>
      <c r="K11" t="s">
        <v>139</v>
      </c>
      <c r="L11" t="s">
        <v>153</v>
      </c>
      <c r="M11" t="s">
        <v>154</v>
      </c>
      <c r="N11" t="s">
        <v>157</v>
      </c>
      <c r="O11" t="s">
        <v>164</v>
      </c>
      <c r="P11" t="s">
        <v>180</v>
      </c>
      <c r="Q11" t="s">
        <v>164</v>
      </c>
      <c r="R11" t="s">
        <v>182</v>
      </c>
      <c r="S11" t="s">
        <v>192</v>
      </c>
      <c r="T11">
        <v>2.93</v>
      </c>
    </row>
    <row r="12" spans="1:20" x14ac:dyDescent="0.25">
      <c r="A12" t="s">
        <v>24</v>
      </c>
      <c r="B12" t="s">
        <v>34</v>
      </c>
      <c r="C12" t="s">
        <v>51</v>
      </c>
      <c r="D12" t="s">
        <v>78</v>
      </c>
      <c r="E12" t="s">
        <v>104</v>
      </c>
      <c r="F12" t="s">
        <v>121</v>
      </c>
      <c r="G12" t="s">
        <v>125</v>
      </c>
      <c r="H12" t="s">
        <v>127</v>
      </c>
      <c r="I12" t="s">
        <v>131</v>
      </c>
      <c r="J12" t="s">
        <v>133</v>
      </c>
      <c r="K12" t="s">
        <v>141</v>
      </c>
      <c r="L12" t="s">
        <v>153</v>
      </c>
      <c r="M12" t="s">
        <v>155</v>
      </c>
      <c r="N12" t="s">
        <v>159</v>
      </c>
      <c r="O12" t="s">
        <v>169</v>
      </c>
      <c r="P12" t="s">
        <v>180</v>
      </c>
      <c r="Q12" t="s">
        <v>169</v>
      </c>
      <c r="R12" t="s">
        <v>182</v>
      </c>
      <c r="S12" t="s">
        <v>194</v>
      </c>
      <c r="T12">
        <v>5.61</v>
      </c>
    </row>
    <row r="13" spans="1:20" x14ac:dyDescent="0.25">
      <c r="A13" t="s">
        <v>25</v>
      </c>
      <c r="B13" t="s">
        <v>35</v>
      </c>
      <c r="C13" t="s">
        <v>52</v>
      </c>
      <c r="D13" t="s">
        <v>79</v>
      </c>
      <c r="E13" t="s">
        <v>105</v>
      </c>
      <c r="F13" t="s">
        <v>123</v>
      </c>
      <c r="G13" t="s">
        <v>124</v>
      </c>
      <c r="H13" t="s">
        <v>128</v>
      </c>
      <c r="I13" t="s">
        <v>132</v>
      </c>
      <c r="J13" t="s">
        <v>133</v>
      </c>
      <c r="K13" t="s">
        <v>142</v>
      </c>
      <c r="L13" t="s">
        <v>153</v>
      </c>
      <c r="M13" t="s">
        <v>154</v>
      </c>
      <c r="N13" t="s">
        <v>159</v>
      </c>
      <c r="O13" t="s">
        <v>162</v>
      </c>
      <c r="P13" t="s">
        <v>180</v>
      </c>
      <c r="Q13" t="s">
        <v>162</v>
      </c>
      <c r="R13" t="s">
        <v>182</v>
      </c>
      <c r="S13" t="s">
        <v>191</v>
      </c>
      <c r="T13">
        <v>5.37</v>
      </c>
    </row>
    <row r="14" spans="1:20" x14ac:dyDescent="0.25">
      <c r="A14" t="s">
        <v>25</v>
      </c>
      <c r="B14" t="s">
        <v>35</v>
      </c>
      <c r="C14" t="s">
        <v>53</v>
      </c>
      <c r="D14" t="s">
        <v>80</v>
      </c>
      <c r="E14" t="s">
        <v>106</v>
      </c>
      <c r="F14" t="s">
        <v>123</v>
      </c>
      <c r="G14" t="s">
        <v>124</v>
      </c>
      <c r="H14" t="s">
        <v>128</v>
      </c>
      <c r="I14" t="s">
        <v>132</v>
      </c>
      <c r="J14" t="s">
        <v>135</v>
      </c>
      <c r="K14" t="s">
        <v>143</v>
      </c>
      <c r="L14" t="s">
        <v>153</v>
      </c>
      <c r="M14" t="s">
        <v>154</v>
      </c>
      <c r="N14" t="s">
        <v>158</v>
      </c>
      <c r="O14" t="s">
        <v>170</v>
      </c>
      <c r="P14" t="s">
        <v>180</v>
      </c>
      <c r="Q14" t="s">
        <v>170</v>
      </c>
      <c r="R14" t="s">
        <v>182</v>
      </c>
      <c r="S14" t="s">
        <v>191</v>
      </c>
      <c r="T14">
        <v>6.22</v>
      </c>
    </row>
    <row r="15" spans="1:20" x14ac:dyDescent="0.25">
      <c r="A15" t="s">
        <v>25</v>
      </c>
      <c r="B15" t="s">
        <v>35</v>
      </c>
      <c r="C15" t="s">
        <v>54</v>
      </c>
      <c r="D15" t="s">
        <v>81</v>
      </c>
      <c r="E15" t="s">
        <v>107</v>
      </c>
      <c r="F15" t="s">
        <v>121</v>
      </c>
      <c r="G15" t="s">
        <v>125</v>
      </c>
      <c r="H15" t="s">
        <v>128</v>
      </c>
      <c r="I15" t="s">
        <v>132</v>
      </c>
      <c r="J15" t="s">
        <v>133</v>
      </c>
      <c r="K15" t="s">
        <v>144</v>
      </c>
      <c r="L15" t="s">
        <v>153</v>
      </c>
      <c r="M15" t="s">
        <v>155</v>
      </c>
      <c r="N15" t="s">
        <v>161</v>
      </c>
      <c r="O15" t="s">
        <v>171</v>
      </c>
      <c r="P15" t="s">
        <v>180</v>
      </c>
      <c r="Q15" t="s">
        <v>171</v>
      </c>
      <c r="R15" t="s">
        <v>182</v>
      </c>
      <c r="S15" t="s">
        <v>194</v>
      </c>
      <c r="T15">
        <v>6.67</v>
      </c>
    </row>
    <row r="16" spans="1:20" x14ac:dyDescent="0.25">
      <c r="A16" t="s">
        <v>25</v>
      </c>
      <c r="B16" t="s">
        <v>35</v>
      </c>
      <c r="C16" t="s">
        <v>55</v>
      </c>
      <c r="D16" t="s">
        <v>82</v>
      </c>
      <c r="E16" t="s">
        <v>108</v>
      </c>
      <c r="F16" t="s">
        <v>121</v>
      </c>
      <c r="G16" t="s">
        <v>125</v>
      </c>
      <c r="H16" t="s">
        <v>128</v>
      </c>
      <c r="I16" t="s">
        <v>132</v>
      </c>
      <c r="J16" t="s">
        <v>133</v>
      </c>
      <c r="K16" t="s">
        <v>139</v>
      </c>
      <c r="L16" t="s">
        <v>153</v>
      </c>
      <c r="M16" t="s">
        <v>154</v>
      </c>
      <c r="N16" t="s">
        <v>159</v>
      </c>
      <c r="O16" t="s">
        <v>172</v>
      </c>
      <c r="P16" t="s">
        <v>180</v>
      </c>
      <c r="Q16" t="s">
        <v>172</v>
      </c>
      <c r="R16" t="s">
        <v>182</v>
      </c>
      <c r="S16" t="s">
        <v>192</v>
      </c>
      <c r="T16">
        <v>3.37</v>
      </c>
    </row>
    <row r="17" spans="1:20" x14ac:dyDescent="0.25">
      <c r="A17" t="s">
        <v>25</v>
      </c>
      <c r="B17" t="s">
        <v>35</v>
      </c>
      <c r="C17" t="s">
        <v>56</v>
      </c>
      <c r="D17" t="s">
        <v>83</v>
      </c>
      <c r="E17" t="s">
        <v>109</v>
      </c>
      <c r="F17" t="s">
        <v>123</v>
      </c>
      <c r="G17" t="s">
        <v>124</v>
      </c>
      <c r="H17" t="s">
        <v>128</v>
      </c>
      <c r="I17" t="s">
        <v>132</v>
      </c>
      <c r="J17" t="s">
        <v>136</v>
      </c>
      <c r="K17" t="s">
        <v>141</v>
      </c>
      <c r="L17" t="s">
        <v>153</v>
      </c>
      <c r="M17" t="s">
        <v>154</v>
      </c>
      <c r="N17" t="s">
        <v>161</v>
      </c>
      <c r="O17" t="s">
        <v>173</v>
      </c>
      <c r="P17" t="s">
        <v>180</v>
      </c>
      <c r="Q17" t="s">
        <v>173</v>
      </c>
      <c r="R17" t="s">
        <v>182</v>
      </c>
      <c r="S17" t="s">
        <v>191</v>
      </c>
      <c r="T17">
        <v>12.13</v>
      </c>
    </row>
    <row r="18" spans="1:20" x14ac:dyDescent="0.25">
      <c r="A18" t="s">
        <v>25</v>
      </c>
      <c r="B18" t="s">
        <v>35</v>
      </c>
      <c r="C18" t="s">
        <v>57</v>
      </c>
      <c r="D18" t="s">
        <v>84</v>
      </c>
      <c r="E18" t="s">
        <v>107</v>
      </c>
      <c r="F18" t="s">
        <v>121</v>
      </c>
      <c r="G18" t="s">
        <v>125</v>
      </c>
      <c r="H18" t="s">
        <v>128</v>
      </c>
      <c r="I18" t="s">
        <v>132</v>
      </c>
      <c r="J18" t="s">
        <v>133</v>
      </c>
      <c r="K18" t="s">
        <v>145</v>
      </c>
      <c r="L18" t="s">
        <v>153</v>
      </c>
      <c r="M18" t="s">
        <v>155</v>
      </c>
      <c r="N18" t="s">
        <v>161</v>
      </c>
      <c r="O18" t="s">
        <v>174</v>
      </c>
      <c r="P18" t="s">
        <v>180</v>
      </c>
      <c r="Q18" t="s">
        <v>174</v>
      </c>
      <c r="R18" t="s">
        <v>182</v>
      </c>
      <c r="S18" t="s">
        <v>194</v>
      </c>
      <c r="T18">
        <v>5.84</v>
      </c>
    </row>
    <row r="19" spans="1:20" x14ac:dyDescent="0.25">
      <c r="A19" t="s">
        <v>25</v>
      </c>
      <c r="B19" t="s">
        <v>35</v>
      </c>
      <c r="C19" t="s">
        <v>58</v>
      </c>
      <c r="D19" t="s">
        <v>85</v>
      </c>
      <c r="E19" t="s">
        <v>110</v>
      </c>
      <c r="F19" t="s">
        <v>123</v>
      </c>
      <c r="G19" t="s">
        <v>124</v>
      </c>
      <c r="H19" t="s">
        <v>128</v>
      </c>
      <c r="I19" t="s">
        <v>132</v>
      </c>
      <c r="J19" t="s">
        <v>133</v>
      </c>
      <c r="K19" t="s">
        <v>142</v>
      </c>
      <c r="L19" t="s">
        <v>153</v>
      </c>
      <c r="M19" t="s">
        <v>154</v>
      </c>
      <c r="N19" t="s">
        <v>159</v>
      </c>
      <c r="O19" t="s">
        <v>162</v>
      </c>
      <c r="P19" t="s">
        <v>180</v>
      </c>
      <c r="Q19" t="s">
        <v>162</v>
      </c>
      <c r="R19" t="s">
        <v>182</v>
      </c>
      <c r="S19" t="s">
        <v>191</v>
      </c>
      <c r="T19">
        <v>5.37</v>
      </c>
    </row>
    <row r="20" spans="1:20" x14ac:dyDescent="0.25">
      <c r="A20" t="s">
        <v>25</v>
      </c>
      <c r="B20" t="s">
        <v>35</v>
      </c>
      <c r="C20" t="s">
        <v>59</v>
      </c>
      <c r="D20" t="s">
        <v>86</v>
      </c>
      <c r="E20" t="s">
        <v>111</v>
      </c>
      <c r="F20" t="s">
        <v>123</v>
      </c>
      <c r="G20" t="s">
        <v>124</v>
      </c>
      <c r="H20" t="s">
        <v>128</v>
      </c>
      <c r="I20" t="s">
        <v>132</v>
      </c>
      <c r="J20" t="s">
        <v>133</v>
      </c>
      <c r="K20" t="s">
        <v>146</v>
      </c>
      <c r="L20" t="s">
        <v>153</v>
      </c>
      <c r="M20" t="s">
        <v>154</v>
      </c>
      <c r="N20" t="s">
        <v>156</v>
      </c>
      <c r="O20" t="s">
        <v>173</v>
      </c>
      <c r="P20" t="s">
        <v>180</v>
      </c>
      <c r="Q20" t="s">
        <v>173</v>
      </c>
      <c r="R20" t="s">
        <v>182</v>
      </c>
      <c r="S20" t="s">
        <v>191</v>
      </c>
      <c r="T20">
        <v>12.13</v>
      </c>
    </row>
    <row r="21" spans="1:20" x14ac:dyDescent="0.25">
      <c r="A21" t="s">
        <v>26</v>
      </c>
      <c r="B21" t="s">
        <v>36</v>
      </c>
      <c r="C21" t="s">
        <v>60</v>
      </c>
      <c r="D21" t="s">
        <v>87</v>
      </c>
      <c r="E21" t="s">
        <v>112</v>
      </c>
      <c r="F21" t="s">
        <v>123</v>
      </c>
      <c r="G21" t="s">
        <v>124</v>
      </c>
      <c r="H21" t="s">
        <v>129</v>
      </c>
      <c r="I21" t="s">
        <v>132</v>
      </c>
      <c r="J21" t="s">
        <v>133</v>
      </c>
      <c r="K21" t="s">
        <v>147</v>
      </c>
      <c r="L21" t="s">
        <v>153</v>
      </c>
      <c r="M21" t="s">
        <v>154</v>
      </c>
      <c r="N21" t="s">
        <v>157</v>
      </c>
      <c r="O21" t="s">
        <v>175</v>
      </c>
      <c r="P21" t="s">
        <v>180</v>
      </c>
      <c r="Q21" t="s">
        <v>175</v>
      </c>
      <c r="R21" t="s">
        <v>182</v>
      </c>
      <c r="S21" t="s">
        <v>191</v>
      </c>
      <c r="T21">
        <v>3.75</v>
      </c>
    </row>
    <row r="22" spans="1:20" x14ac:dyDescent="0.25">
      <c r="A22" t="s">
        <v>26</v>
      </c>
      <c r="B22" t="s">
        <v>36</v>
      </c>
      <c r="C22" t="s">
        <v>61</v>
      </c>
      <c r="D22" t="s">
        <v>88</v>
      </c>
      <c r="E22" t="s">
        <v>113</v>
      </c>
      <c r="F22" t="s">
        <v>123</v>
      </c>
      <c r="G22" t="s">
        <v>124</v>
      </c>
      <c r="H22" t="s">
        <v>129</v>
      </c>
      <c r="I22" t="s">
        <v>132</v>
      </c>
      <c r="J22" t="s">
        <v>133</v>
      </c>
      <c r="K22" t="s">
        <v>148</v>
      </c>
      <c r="L22" t="s">
        <v>153</v>
      </c>
      <c r="M22" t="s">
        <v>154</v>
      </c>
      <c r="N22" t="s">
        <v>160</v>
      </c>
      <c r="O22" t="s">
        <v>176</v>
      </c>
      <c r="P22" t="s">
        <v>180</v>
      </c>
      <c r="Q22" t="s">
        <v>176</v>
      </c>
      <c r="R22" t="s">
        <v>182</v>
      </c>
      <c r="S22" t="s">
        <v>191</v>
      </c>
      <c r="T22">
        <v>4.53</v>
      </c>
    </row>
    <row r="23" spans="1:20" x14ac:dyDescent="0.25">
      <c r="A23" t="s">
        <v>26</v>
      </c>
      <c r="B23" t="s">
        <v>36</v>
      </c>
      <c r="C23" t="s">
        <v>62</v>
      </c>
      <c r="D23" t="s">
        <v>89</v>
      </c>
      <c r="E23" t="s">
        <v>114</v>
      </c>
      <c r="F23" t="s">
        <v>123</v>
      </c>
      <c r="G23" t="s">
        <v>124</v>
      </c>
      <c r="H23" t="s">
        <v>129</v>
      </c>
      <c r="I23" t="s">
        <v>131</v>
      </c>
      <c r="J23" t="s">
        <v>133</v>
      </c>
      <c r="K23" t="s">
        <v>146</v>
      </c>
      <c r="L23" t="s">
        <v>153</v>
      </c>
      <c r="M23" t="s">
        <v>154</v>
      </c>
      <c r="N23" t="s">
        <v>158</v>
      </c>
      <c r="O23" t="s">
        <v>162</v>
      </c>
      <c r="P23" t="s">
        <v>180</v>
      </c>
      <c r="Q23" t="s">
        <v>162</v>
      </c>
      <c r="R23" t="s">
        <v>182</v>
      </c>
      <c r="S23" t="s">
        <v>191</v>
      </c>
      <c r="T23">
        <v>5.37</v>
      </c>
    </row>
    <row r="24" spans="1:20" x14ac:dyDescent="0.25">
      <c r="A24" t="s">
        <v>27</v>
      </c>
      <c r="B24" t="s">
        <v>37</v>
      </c>
      <c r="C24" t="s">
        <v>63</v>
      </c>
      <c r="D24" t="s">
        <v>90</v>
      </c>
      <c r="E24" t="s">
        <v>115</v>
      </c>
      <c r="F24" t="s">
        <v>121</v>
      </c>
      <c r="G24" t="s">
        <v>125</v>
      </c>
      <c r="H24" t="s">
        <v>128</v>
      </c>
      <c r="I24" t="s">
        <v>132</v>
      </c>
      <c r="J24" t="s">
        <v>133</v>
      </c>
      <c r="K24" t="s">
        <v>149</v>
      </c>
      <c r="L24" t="s">
        <v>153</v>
      </c>
      <c r="M24" t="s">
        <v>155</v>
      </c>
      <c r="N24" t="s">
        <v>157</v>
      </c>
      <c r="O24" t="s">
        <v>177</v>
      </c>
      <c r="P24" t="s">
        <v>180</v>
      </c>
      <c r="Q24" t="s">
        <v>177</v>
      </c>
      <c r="R24" t="s">
        <v>182</v>
      </c>
      <c r="S24" t="s">
        <v>194</v>
      </c>
      <c r="T24">
        <v>6.77</v>
      </c>
    </row>
    <row r="25" spans="1:20" x14ac:dyDescent="0.25">
      <c r="A25" t="s">
        <v>28</v>
      </c>
      <c r="B25" t="s">
        <v>38</v>
      </c>
      <c r="C25" t="s">
        <v>64</v>
      </c>
      <c r="D25" t="s">
        <v>91</v>
      </c>
      <c r="E25" t="s">
        <v>116</v>
      </c>
      <c r="F25" t="s">
        <v>123</v>
      </c>
      <c r="G25" t="s">
        <v>124</v>
      </c>
      <c r="H25" t="s">
        <v>130</v>
      </c>
      <c r="I25" t="s">
        <v>132</v>
      </c>
      <c r="J25" t="s">
        <v>133</v>
      </c>
      <c r="K25" t="s">
        <v>150</v>
      </c>
      <c r="L25" t="s">
        <v>153</v>
      </c>
      <c r="M25" t="s">
        <v>154</v>
      </c>
      <c r="N25" t="s">
        <v>160</v>
      </c>
      <c r="O25" t="s">
        <v>173</v>
      </c>
      <c r="P25" t="s">
        <v>180</v>
      </c>
      <c r="Q25" t="s">
        <v>173</v>
      </c>
      <c r="R25" t="s">
        <v>182</v>
      </c>
      <c r="S25" t="s">
        <v>191</v>
      </c>
      <c r="T25">
        <v>12.13</v>
      </c>
    </row>
    <row r="26" spans="1:20" x14ac:dyDescent="0.25">
      <c r="A26" t="s">
        <v>28</v>
      </c>
      <c r="B26" t="s">
        <v>38</v>
      </c>
      <c r="C26" t="s">
        <v>65</v>
      </c>
      <c r="D26" t="s">
        <v>92</v>
      </c>
      <c r="E26" t="s">
        <v>117</v>
      </c>
      <c r="F26" t="s">
        <v>123</v>
      </c>
      <c r="G26" t="s">
        <v>124</v>
      </c>
      <c r="H26" t="s">
        <v>130</v>
      </c>
      <c r="I26" t="s">
        <v>132</v>
      </c>
      <c r="J26" t="s">
        <v>133</v>
      </c>
      <c r="K26" t="s">
        <v>151</v>
      </c>
      <c r="L26" t="s">
        <v>153</v>
      </c>
      <c r="M26" t="s">
        <v>154</v>
      </c>
      <c r="N26" t="s">
        <v>160</v>
      </c>
      <c r="O26" t="s">
        <v>162</v>
      </c>
      <c r="P26" t="s">
        <v>180</v>
      </c>
      <c r="Q26" t="s">
        <v>162</v>
      </c>
      <c r="R26" t="s">
        <v>182</v>
      </c>
      <c r="S26" t="s">
        <v>191</v>
      </c>
      <c r="T26">
        <v>5.37</v>
      </c>
    </row>
    <row r="27" spans="1:20" x14ac:dyDescent="0.25">
      <c r="A27" t="s">
        <v>29</v>
      </c>
      <c r="B27" t="s">
        <v>39</v>
      </c>
      <c r="C27" t="s">
        <v>66</v>
      </c>
      <c r="D27" t="s">
        <v>93</v>
      </c>
      <c r="E27" t="s">
        <v>118</v>
      </c>
      <c r="F27" t="s">
        <v>121</v>
      </c>
      <c r="G27" t="s">
        <v>125</v>
      </c>
      <c r="H27" t="s">
        <v>128</v>
      </c>
      <c r="I27" t="s">
        <v>131</v>
      </c>
      <c r="J27" t="s">
        <v>133</v>
      </c>
      <c r="K27" t="s">
        <v>139</v>
      </c>
      <c r="L27" t="s">
        <v>153</v>
      </c>
      <c r="M27" t="s">
        <v>154</v>
      </c>
      <c r="N27" t="s">
        <v>157</v>
      </c>
      <c r="O27" t="s">
        <v>178</v>
      </c>
      <c r="P27" t="s">
        <v>180</v>
      </c>
      <c r="Q27" t="s">
        <v>178</v>
      </c>
      <c r="R27" t="s">
        <v>182</v>
      </c>
      <c r="S27" t="s">
        <v>192</v>
      </c>
      <c r="T27">
        <v>3.27</v>
      </c>
    </row>
    <row r="28" spans="1:20" x14ac:dyDescent="0.25">
      <c r="A28" t="s">
        <v>30</v>
      </c>
      <c r="B28" t="s">
        <v>40</v>
      </c>
      <c r="C28" t="s">
        <v>67</v>
      </c>
      <c r="D28" t="s">
        <v>94</v>
      </c>
      <c r="E28" t="s">
        <v>119</v>
      </c>
      <c r="F28" t="s">
        <v>121</v>
      </c>
      <c r="G28" t="s">
        <v>125</v>
      </c>
      <c r="H28" t="s">
        <v>128</v>
      </c>
      <c r="I28" t="s">
        <v>132</v>
      </c>
      <c r="J28" t="s">
        <v>133</v>
      </c>
      <c r="K28" t="s">
        <v>152</v>
      </c>
      <c r="L28" t="s">
        <v>153</v>
      </c>
      <c r="M28" t="s">
        <v>155</v>
      </c>
      <c r="N28" t="s">
        <v>157</v>
      </c>
      <c r="O28" t="s">
        <v>179</v>
      </c>
      <c r="P28" t="s">
        <v>180</v>
      </c>
      <c r="Q28" t="s">
        <v>179</v>
      </c>
      <c r="R28" t="s">
        <v>182</v>
      </c>
      <c r="S28" t="s">
        <v>194</v>
      </c>
      <c r="T28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195</v>
      </c>
    </row>
    <row r="2" spans="1:9" x14ac:dyDescent="0.25">
      <c r="A2" t="s">
        <v>43</v>
      </c>
      <c r="B2" t="s">
        <v>70</v>
      </c>
      <c r="C2" t="s">
        <v>97</v>
      </c>
      <c r="D2" t="s">
        <v>120</v>
      </c>
      <c r="E2" t="s">
        <v>124</v>
      </c>
      <c r="F2" t="s">
        <v>126</v>
      </c>
      <c r="G2" t="s">
        <v>132</v>
      </c>
      <c r="H2" t="s">
        <v>196</v>
      </c>
      <c r="I2">
        <v>-27.55</v>
      </c>
    </row>
    <row r="3" spans="1:9" x14ac:dyDescent="0.25">
      <c r="A3" t="s">
        <v>42</v>
      </c>
      <c r="B3" t="s">
        <v>69</v>
      </c>
      <c r="C3" t="s">
        <v>96</v>
      </c>
      <c r="D3" t="s">
        <v>120</v>
      </c>
      <c r="E3" t="s">
        <v>124</v>
      </c>
      <c r="F3" t="s">
        <v>126</v>
      </c>
      <c r="G3" t="s">
        <v>132</v>
      </c>
      <c r="H3" t="s">
        <v>196</v>
      </c>
      <c r="I3">
        <v>-27.55</v>
      </c>
    </row>
    <row r="4" spans="1:9" x14ac:dyDescent="0.25">
      <c r="A4" t="s">
        <v>52</v>
      </c>
      <c r="B4" t="s">
        <v>79</v>
      </c>
      <c r="C4" t="s">
        <v>105</v>
      </c>
      <c r="D4" t="s">
        <v>123</v>
      </c>
      <c r="E4" t="s">
        <v>124</v>
      </c>
      <c r="F4" t="s">
        <v>128</v>
      </c>
      <c r="G4" t="s">
        <v>132</v>
      </c>
      <c r="H4" t="s">
        <v>196</v>
      </c>
      <c r="I4">
        <v>-14.13</v>
      </c>
    </row>
    <row r="5" spans="1:9" x14ac:dyDescent="0.25">
      <c r="A5" t="s">
        <v>53</v>
      </c>
      <c r="B5" t="s">
        <v>80</v>
      </c>
      <c r="C5" t="s">
        <v>106</v>
      </c>
      <c r="D5" t="s">
        <v>123</v>
      </c>
      <c r="E5" t="s">
        <v>124</v>
      </c>
      <c r="F5" t="s">
        <v>128</v>
      </c>
      <c r="G5" t="s">
        <v>132</v>
      </c>
      <c r="H5" t="s">
        <v>196</v>
      </c>
      <c r="I5">
        <v>-16.36</v>
      </c>
    </row>
    <row r="6" spans="1:9" x14ac:dyDescent="0.25">
      <c r="A6" t="s">
        <v>44</v>
      </c>
      <c r="B6" t="s">
        <v>71</v>
      </c>
      <c r="C6" t="s">
        <v>98</v>
      </c>
      <c r="D6" t="s">
        <v>121</v>
      </c>
      <c r="E6" t="s">
        <v>125</v>
      </c>
      <c r="F6" t="s">
        <v>127</v>
      </c>
      <c r="G6" t="s">
        <v>132</v>
      </c>
      <c r="H6" t="s">
        <v>196</v>
      </c>
      <c r="I6">
        <v>-22.01</v>
      </c>
    </row>
    <row r="7" spans="1:9" x14ac:dyDescent="0.25">
      <c r="A7" t="s">
        <v>45</v>
      </c>
      <c r="B7" t="s">
        <v>72</v>
      </c>
      <c r="C7" t="s">
        <v>99</v>
      </c>
      <c r="D7" t="s">
        <v>121</v>
      </c>
      <c r="E7" t="s">
        <v>125</v>
      </c>
      <c r="F7" t="s">
        <v>127</v>
      </c>
      <c r="G7" t="s">
        <v>132</v>
      </c>
      <c r="H7" t="s">
        <v>196</v>
      </c>
      <c r="I7">
        <v>-24.59</v>
      </c>
    </row>
    <row r="8" spans="1:9" x14ac:dyDescent="0.25">
      <c r="A8" t="s">
        <v>60</v>
      </c>
      <c r="B8" t="s">
        <v>87</v>
      </c>
      <c r="C8" t="s">
        <v>112</v>
      </c>
      <c r="D8" t="s">
        <v>123</v>
      </c>
      <c r="E8" t="s">
        <v>124</v>
      </c>
      <c r="F8" t="s">
        <v>129</v>
      </c>
      <c r="G8" t="s">
        <v>132</v>
      </c>
      <c r="H8" t="s">
        <v>196</v>
      </c>
      <c r="I8">
        <v>-9.86</v>
      </c>
    </row>
    <row r="9" spans="1:9" x14ac:dyDescent="0.25">
      <c r="A9" t="s">
        <v>46</v>
      </c>
      <c r="B9" t="s">
        <v>73</v>
      </c>
      <c r="C9" t="s">
        <v>100</v>
      </c>
      <c r="D9" t="s">
        <v>121</v>
      </c>
      <c r="E9" t="s">
        <v>125</v>
      </c>
      <c r="F9" t="s">
        <v>127</v>
      </c>
      <c r="G9" t="s">
        <v>132</v>
      </c>
      <c r="H9" t="s">
        <v>196</v>
      </c>
      <c r="I9">
        <v>-1.17</v>
      </c>
    </row>
    <row r="10" spans="1:9" x14ac:dyDescent="0.25">
      <c r="A10" t="s">
        <v>54</v>
      </c>
      <c r="B10" t="s">
        <v>81</v>
      </c>
      <c r="C10" t="s">
        <v>107</v>
      </c>
      <c r="D10" t="s">
        <v>121</v>
      </c>
      <c r="E10" t="s">
        <v>125</v>
      </c>
      <c r="F10" t="s">
        <v>128</v>
      </c>
      <c r="G10" t="s">
        <v>132</v>
      </c>
      <c r="H10" t="s">
        <v>196</v>
      </c>
      <c r="I10">
        <v>-35.549999999999997</v>
      </c>
    </row>
    <row r="11" spans="1:9" x14ac:dyDescent="0.25">
      <c r="A11" t="s">
        <v>55</v>
      </c>
      <c r="B11" t="s">
        <v>82</v>
      </c>
      <c r="C11" t="s">
        <v>108</v>
      </c>
      <c r="D11" t="s">
        <v>121</v>
      </c>
      <c r="E11" t="s">
        <v>125</v>
      </c>
      <c r="F11" t="s">
        <v>128</v>
      </c>
      <c r="G11" t="s">
        <v>132</v>
      </c>
      <c r="H11" t="s">
        <v>196</v>
      </c>
      <c r="I11">
        <v>-25</v>
      </c>
    </row>
    <row r="12" spans="1:9" x14ac:dyDescent="0.25">
      <c r="A12" t="s">
        <v>56</v>
      </c>
      <c r="B12" t="s">
        <v>83</v>
      </c>
      <c r="C12" t="s">
        <v>109</v>
      </c>
      <c r="D12" t="s">
        <v>123</v>
      </c>
      <c r="E12" t="s">
        <v>124</v>
      </c>
      <c r="F12" t="s">
        <v>128</v>
      </c>
      <c r="G12" t="s">
        <v>132</v>
      </c>
      <c r="H12" t="s">
        <v>196</v>
      </c>
      <c r="I12">
        <v>-31.91</v>
      </c>
    </row>
    <row r="13" spans="1:9" x14ac:dyDescent="0.25">
      <c r="A13" t="s">
        <v>47</v>
      </c>
      <c r="B13" t="s">
        <v>74</v>
      </c>
      <c r="C13" t="s">
        <v>101</v>
      </c>
      <c r="D13" t="s">
        <v>121</v>
      </c>
      <c r="E13" t="s">
        <v>125</v>
      </c>
      <c r="F13" t="s">
        <v>127</v>
      </c>
      <c r="G13" t="s">
        <v>132</v>
      </c>
      <c r="H13" t="s">
        <v>196</v>
      </c>
      <c r="I13">
        <v>-24.33</v>
      </c>
    </row>
    <row r="14" spans="1:9" x14ac:dyDescent="0.25">
      <c r="A14" t="s">
        <v>67</v>
      </c>
      <c r="B14" t="s">
        <v>94</v>
      </c>
      <c r="C14" t="s">
        <v>119</v>
      </c>
      <c r="D14" t="s">
        <v>121</v>
      </c>
      <c r="E14" t="s">
        <v>125</v>
      </c>
      <c r="F14" t="s">
        <v>128</v>
      </c>
      <c r="G14" t="s">
        <v>132</v>
      </c>
      <c r="H14" t="s">
        <v>196</v>
      </c>
      <c r="I14">
        <v>-28.5</v>
      </c>
    </row>
    <row r="15" spans="1:9" x14ac:dyDescent="0.25">
      <c r="A15" t="s">
        <v>57</v>
      </c>
      <c r="B15" t="s">
        <v>84</v>
      </c>
      <c r="C15" t="s">
        <v>107</v>
      </c>
      <c r="D15" t="s">
        <v>121</v>
      </c>
      <c r="E15" t="s">
        <v>125</v>
      </c>
      <c r="F15" t="s">
        <v>128</v>
      </c>
      <c r="G15" t="s">
        <v>132</v>
      </c>
      <c r="H15" t="s">
        <v>196</v>
      </c>
      <c r="I15">
        <v>-31.14</v>
      </c>
    </row>
    <row r="16" spans="1:9" x14ac:dyDescent="0.25">
      <c r="A16" t="s">
        <v>63</v>
      </c>
      <c r="B16" t="s">
        <v>90</v>
      </c>
      <c r="C16" t="s">
        <v>115</v>
      </c>
      <c r="D16" t="s">
        <v>121</v>
      </c>
      <c r="E16" t="s">
        <v>125</v>
      </c>
      <c r="F16" t="s">
        <v>128</v>
      </c>
      <c r="G16" t="s">
        <v>132</v>
      </c>
      <c r="H16" t="s">
        <v>196</v>
      </c>
      <c r="I16">
        <v>-36.11</v>
      </c>
    </row>
    <row r="17" spans="1:9" x14ac:dyDescent="0.25">
      <c r="A17" t="s">
        <v>58</v>
      </c>
      <c r="B17" t="s">
        <v>85</v>
      </c>
      <c r="C17" t="s">
        <v>110</v>
      </c>
      <c r="D17" t="s">
        <v>123</v>
      </c>
      <c r="E17" t="s">
        <v>124</v>
      </c>
      <c r="F17" t="s">
        <v>128</v>
      </c>
      <c r="G17" t="s">
        <v>132</v>
      </c>
      <c r="H17" t="s">
        <v>196</v>
      </c>
      <c r="I17">
        <v>-14.13</v>
      </c>
    </row>
    <row r="18" spans="1:9" x14ac:dyDescent="0.25">
      <c r="A18" t="s">
        <v>48</v>
      </c>
      <c r="B18" t="s">
        <v>75</v>
      </c>
      <c r="C18" t="s">
        <v>99</v>
      </c>
      <c r="D18" t="s">
        <v>121</v>
      </c>
      <c r="E18" t="s">
        <v>125</v>
      </c>
      <c r="F18" t="s">
        <v>127</v>
      </c>
      <c r="G18" t="s">
        <v>132</v>
      </c>
      <c r="H18" t="s">
        <v>196</v>
      </c>
      <c r="I18">
        <v>-27.17</v>
      </c>
    </row>
    <row r="19" spans="1:9" x14ac:dyDescent="0.25">
      <c r="A19" t="s">
        <v>59</v>
      </c>
      <c r="B19" t="s">
        <v>86</v>
      </c>
      <c r="C19" t="s">
        <v>111</v>
      </c>
      <c r="D19" t="s">
        <v>123</v>
      </c>
      <c r="E19" t="s">
        <v>124</v>
      </c>
      <c r="F19" t="s">
        <v>128</v>
      </c>
      <c r="G19" t="s">
        <v>132</v>
      </c>
      <c r="H19" t="s">
        <v>196</v>
      </c>
      <c r="I19">
        <v>-31.91</v>
      </c>
    </row>
    <row r="20" spans="1:9" x14ac:dyDescent="0.25">
      <c r="A20" t="s">
        <v>62</v>
      </c>
      <c r="B20" t="s">
        <v>89</v>
      </c>
      <c r="C20" t="s">
        <v>114</v>
      </c>
      <c r="D20" t="s">
        <v>123</v>
      </c>
      <c r="E20" t="s">
        <v>124</v>
      </c>
      <c r="F20" t="s">
        <v>129</v>
      </c>
      <c r="G20" t="s">
        <v>131</v>
      </c>
      <c r="H20" t="s">
        <v>196</v>
      </c>
      <c r="I20">
        <v>-14.13</v>
      </c>
    </row>
    <row r="21" spans="1:9" x14ac:dyDescent="0.25">
      <c r="A21" t="s">
        <v>50</v>
      </c>
      <c r="B21" t="s">
        <v>77</v>
      </c>
      <c r="C21" t="s">
        <v>103</v>
      </c>
      <c r="D21" t="s">
        <v>121</v>
      </c>
      <c r="E21" t="s">
        <v>125</v>
      </c>
      <c r="F21" t="s">
        <v>127</v>
      </c>
      <c r="G21" t="s">
        <v>131</v>
      </c>
      <c r="H21" t="s">
        <v>196</v>
      </c>
      <c r="I21">
        <v>-22.01</v>
      </c>
    </row>
    <row r="22" spans="1:9" x14ac:dyDescent="0.25">
      <c r="A22" t="s">
        <v>51</v>
      </c>
      <c r="B22" t="s">
        <v>78</v>
      </c>
      <c r="C22" t="s">
        <v>104</v>
      </c>
      <c r="D22" t="s">
        <v>121</v>
      </c>
      <c r="E22" t="s">
        <v>125</v>
      </c>
      <c r="F22" t="s">
        <v>127</v>
      </c>
      <c r="G22" t="s">
        <v>131</v>
      </c>
      <c r="H22" t="s">
        <v>196</v>
      </c>
      <c r="I22">
        <v>-30.19</v>
      </c>
    </row>
    <row r="23" spans="1:9" x14ac:dyDescent="0.25">
      <c r="A23" t="s">
        <v>66</v>
      </c>
      <c r="B23" t="s">
        <v>93</v>
      </c>
      <c r="C23" t="s">
        <v>118</v>
      </c>
      <c r="D23" t="s">
        <v>121</v>
      </c>
      <c r="E23" t="s">
        <v>125</v>
      </c>
      <c r="F23" t="s">
        <v>128</v>
      </c>
      <c r="G23" t="s">
        <v>131</v>
      </c>
      <c r="H23" t="s">
        <v>196</v>
      </c>
      <c r="I23">
        <v>-24.27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tabSelected="1" workbookViewId="0">
      <selection activeCell="I26" sqref="I2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197</v>
      </c>
      <c r="L1" s="1" t="s">
        <v>17</v>
      </c>
      <c r="M1" s="1" t="s">
        <v>18</v>
      </c>
      <c r="N1" s="1" t="s">
        <v>198</v>
      </c>
      <c r="O1" s="1" t="s">
        <v>199</v>
      </c>
      <c r="P1" s="1" t="s">
        <v>200</v>
      </c>
    </row>
    <row r="2" spans="1:16" x14ac:dyDescent="0.25">
      <c r="A2" t="s">
        <v>21</v>
      </c>
      <c r="B2" t="s">
        <v>31</v>
      </c>
      <c r="C2" t="s">
        <v>41</v>
      </c>
      <c r="D2" t="s">
        <v>68</v>
      </c>
      <c r="E2" t="s">
        <v>95</v>
      </c>
      <c r="F2" t="s">
        <v>120</v>
      </c>
      <c r="G2" t="s">
        <v>124</v>
      </c>
      <c r="H2" t="s">
        <v>126</v>
      </c>
      <c r="I2" t="s">
        <v>131</v>
      </c>
      <c r="J2" t="s">
        <v>201</v>
      </c>
      <c r="K2" t="s">
        <v>162</v>
      </c>
      <c r="L2" t="s">
        <v>182</v>
      </c>
      <c r="M2" t="s">
        <v>184</v>
      </c>
      <c r="N2" t="s">
        <v>202</v>
      </c>
      <c r="O2">
        <v>127.17</v>
      </c>
      <c r="P2" t="s">
        <v>203</v>
      </c>
    </row>
    <row r="3" spans="1:16" x14ac:dyDescent="0.25">
      <c r="A3" t="s">
        <v>25</v>
      </c>
      <c r="B3" t="s">
        <v>35</v>
      </c>
      <c r="C3" t="s">
        <v>59</v>
      </c>
      <c r="D3" t="s">
        <v>86</v>
      </c>
      <c r="E3" t="s">
        <v>111</v>
      </c>
      <c r="F3" t="s">
        <v>123</v>
      </c>
      <c r="G3" t="s">
        <v>124</v>
      </c>
      <c r="H3" t="s">
        <v>128</v>
      </c>
      <c r="I3" t="s">
        <v>132</v>
      </c>
      <c r="J3" t="s">
        <v>201</v>
      </c>
      <c r="K3" t="s">
        <v>173</v>
      </c>
      <c r="L3" t="s">
        <v>182</v>
      </c>
      <c r="M3" t="s">
        <v>184</v>
      </c>
      <c r="N3" t="s">
        <v>202</v>
      </c>
      <c r="O3">
        <v>287.19</v>
      </c>
      <c r="P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2026-01-04T21:04:22Z</dcterms:created>
  <dcterms:modified xsi:type="dcterms:W3CDTF">2026-01-08T14:31:59Z</dcterms:modified>
</cp:coreProperties>
</file>