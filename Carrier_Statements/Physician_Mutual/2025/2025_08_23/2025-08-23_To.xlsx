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8-23-25 to 8-30-25\"/>
    </mc:Choice>
  </mc:AlternateContent>
  <xr:revisionPtr revIDLastSave="0" documentId="13_ncr:1_{8DF4C73F-3B6F-42FE-A63C-95A3FED462E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First Year Commission" sheetId="1" r:id="rId1"/>
    <sheet name="on hold" sheetId="5" r:id="rId2"/>
    <sheet name="First Year Overwrites" sheetId="2" r:id="rId3"/>
    <sheet name="Advance Paybacks" sheetId="3" r:id="rId4"/>
    <sheet name="Advances - Paid Advances" sheetId="4" r:id="rId5"/>
  </sheets>
  <definedNames>
    <definedName name="_xlnm._FilterDatabase" localSheetId="0" hidden="1">'First Year Commission'!$A$1:$W$15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2" i="5"/>
  <c r="F15" i="1"/>
  <c r="F2" i="1"/>
  <c r="F3" i="1"/>
  <c r="F4" i="1"/>
  <c r="F13" i="1"/>
  <c r="F6" i="1"/>
  <c r="F7" i="1"/>
  <c r="F12" i="1"/>
  <c r="F11" i="1"/>
  <c r="F10" i="1"/>
  <c r="F8" i="1"/>
  <c r="F9" i="1"/>
  <c r="F5" i="1"/>
  <c r="F14" i="1"/>
</calcChain>
</file>

<file path=xl/sharedStrings.xml><?xml version="1.0" encoding="utf-8"?>
<sst xmlns="http://schemas.openxmlformats.org/spreadsheetml/2006/main" count="406" uniqueCount="95">
  <si>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</si>
  <si>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</si>
  <si>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</si>
  <si>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</si>
  <si>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</si>
  <si>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</si>
  <si>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</si>
  <si>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</si>
  <si>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</si>
  <si>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</si>
  <si>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</si>
  <si>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</si>
  <si>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</si>
  <si>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</si>
  <si>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</si>
  <si>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</si>
  <si>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</si>
  <si>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</si>
  <si>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</si>
  <si>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</si>
  <si>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</si>
  <si>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</si>
  <si>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</si>
  <si>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Kucan Thomas null</t>
  </si>
  <si>
    <t>Green Danna null</t>
  </si>
  <si>
    <t>H750068245</t>
  </si>
  <si>
    <t>H750074387</t>
  </si>
  <si>
    <t>H750073872</t>
  </si>
  <si>
    <t>H750073946</t>
  </si>
  <si>
    <t>H711025485</t>
  </si>
  <si>
    <t>H711021314</t>
  </si>
  <si>
    <t>H711020958</t>
  </si>
  <si>
    <t>Ralph</t>
  </si>
  <si>
    <t>Thomas</t>
  </si>
  <si>
    <t>Laura</t>
  </si>
  <si>
    <t>Harlin</t>
  </si>
  <si>
    <t>Shirley</t>
  </si>
  <si>
    <t>Connie</t>
  </si>
  <si>
    <t>Karen</t>
  </si>
  <si>
    <t>Gropper</t>
  </si>
  <si>
    <t>Benik</t>
  </si>
  <si>
    <t>Hill</t>
  </si>
  <si>
    <t>Perry</t>
  </si>
  <si>
    <t>Gangnon</t>
  </si>
  <si>
    <t>Duke</t>
  </si>
  <si>
    <t>S06500001</t>
  </si>
  <si>
    <t>S06600001</t>
  </si>
  <si>
    <t>P15400002</t>
  </si>
  <si>
    <t>Medicare Supplement</t>
  </si>
  <si>
    <t>Dental</t>
  </si>
  <si>
    <t>OH</t>
  </si>
  <si>
    <t>IL</t>
  </si>
  <si>
    <t>MD</t>
  </si>
  <si>
    <t>IN</t>
  </si>
  <si>
    <t>2025-08-29</t>
  </si>
  <si>
    <t>2025-08-26</t>
  </si>
  <si>
    <t>2025-08-27</t>
  </si>
  <si>
    <t>MONTHLY</t>
  </si>
  <si>
    <t>RCVP-R</t>
  </si>
  <si>
    <t>N</t>
  </si>
  <si>
    <t>Y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</si>
  <si>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</si>
  <si>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</si>
  <si>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</si>
  <si>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</si>
  <si>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</si>
  <si>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</si>
  <si>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</si>
  <si>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</si>
  <si>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2025-08-19</t>
  </si>
  <si>
    <t>Friend</t>
  </si>
  <si>
    <t>Lori</t>
  </si>
  <si>
    <t>H750073175</t>
  </si>
  <si>
    <t>Physician Mutual OVR</t>
  </si>
  <si>
    <t>name</t>
  </si>
  <si>
    <t>Standard Dental</t>
  </si>
  <si>
    <t>Open Enrollment - States Where Available</t>
  </si>
  <si>
    <t>All Other Guarantee Issue, Underage, &amp; Issue Age 80+</t>
  </si>
  <si>
    <t xml:space="preserve">Kucan Thomas </t>
  </si>
  <si>
    <t xml:space="preserve">Green Danna </t>
  </si>
  <si>
    <t>effective date</t>
  </si>
  <si>
    <t>8/1/2025</t>
  </si>
  <si>
    <t>11/1/2025</t>
  </si>
  <si>
    <t>9/1/2025</t>
  </si>
  <si>
    <t>19491313AV9</t>
  </si>
  <si>
    <t>H7500731751</t>
  </si>
  <si>
    <t>H7500682451</t>
  </si>
  <si>
    <t>H7500743871</t>
  </si>
  <si>
    <t>H7110213141</t>
  </si>
  <si>
    <t>H7110209581</t>
  </si>
  <si>
    <t>H7110254851</t>
  </si>
  <si>
    <t>H7500739461</t>
  </si>
  <si>
    <t>H7500738721</t>
  </si>
  <si>
    <t>16202925AV9</t>
  </si>
  <si>
    <t>16849453AV9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</si>
</sst>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selection activeCell="C11" sqref="C11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85546875" bestFit="1" customWidth="1"/>
    <col min="9" max="9" width="5.42578125" bestFit="1" customWidth="1"/>
    <col min="10" max="10" width="13.5703125" bestFit="1" customWidth="1"/>
    <col min="11" max="11" width="15.140625" bestFit="1" customWidth="1"/>
    <col min="12" max="13" width="11.140625" bestFit="1" customWidth="1"/>
    <col min="14" max="14" width="9.7109375" bestFit="1" customWidth="1"/>
    <col min="15" max="15" width="15.28515625" bestFit="1" customWidth="1"/>
    <col min="16" max="16" width="13.28515625" bestFit="1" customWidth="1"/>
    <col min="17" max="17" width="17.42578125" bestFit="1" customWidth="1"/>
    <col min="18" max="18" width="32.5703125" bestFit="1" customWidth="1"/>
    <col min="19" max="19" width="17.5703125" bestFit="1" customWidth="1"/>
    <col min="20" max="20" width="15" bestFit="1" customWidth="1"/>
    <col min="21" max="21" width="15.7109375" bestFit="1" customWidth="1"/>
    <col min="22" max="22" width="19" bestFit="1" customWidth="1"/>
    <col min="23" max="23" width="19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5</v>
      </c>
      <c r="H1" s="1" t="s">
        <v>6</v>
      </c>
      <c r="I1" s="1" t="s">
        <v>7</v>
      </c>
      <c r="J1" s="1" t="s">
        <v>80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5">
      <c r="A2" t="s">
        <v>78</v>
      </c>
      <c r="B2" t="s">
        <v>93</v>
      </c>
      <c r="C2" t="s">
        <v>29</v>
      </c>
      <c r="D2" t="s">
        <v>36</v>
      </c>
      <c r="E2" t="s">
        <v>42</v>
      </c>
      <c r="F2" t="str">
        <f t="shared" ref="F2:F15" si="0">CONCATENATE(D2, " ",E2)</f>
        <v>Shirley Perry</v>
      </c>
      <c r="G2" t="s">
        <v>47</v>
      </c>
      <c r="H2" t="s">
        <v>49</v>
      </c>
      <c r="I2" t="s">
        <v>52</v>
      </c>
      <c r="J2" t="s">
        <v>81</v>
      </c>
      <c r="K2" s="3">
        <v>45898</v>
      </c>
      <c r="L2" s="3">
        <v>45931</v>
      </c>
      <c r="M2">
        <v>58</v>
      </c>
      <c r="N2" t="s">
        <v>57</v>
      </c>
      <c r="O2" t="s">
        <v>75</v>
      </c>
      <c r="P2">
        <v>2</v>
      </c>
      <c r="Q2">
        <v>47.7</v>
      </c>
      <c r="R2">
        <v>0</v>
      </c>
      <c r="S2">
        <v>47.7</v>
      </c>
      <c r="T2">
        <v>100</v>
      </c>
      <c r="U2" s="2">
        <v>0.25</v>
      </c>
      <c r="V2">
        <v>11.93</v>
      </c>
      <c r="W2" t="s">
        <v>59</v>
      </c>
    </row>
    <row r="3" spans="1:23" x14ac:dyDescent="0.25">
      <c r="A3" t="s">
        <v>79</v>
      </c>
      <c r="B3" t="s">
        <v>94</v>
      </c>
      <c r="C3" t="s">
        <v>30</v>
      </c>
      <c r="D3" t="s">
        <v>37</v>
      </c>
      <c r="E3" t="s">
        <v>43</v>
      </c>
      <c r="F3" t="str">
        <f t="shared" si="0"/>
        <v>Connie Gangnon</v>
      </c>
      <c r="G3" t="s">
        <v>47</v>
      </c>
      <c r="H3" t="s">
        <v>49</v>
      </c>
      <c r="I3" t="s">
        <v>53</v>
      </c>
      <c r="J3" t="s">
        <v>81</v>
      </c>
      <c r="K3" s="3">
        <v>45898</v>
      </c>
      <c r="L3" s="3">
        <v>45931</v>
      </c>
      <c r="M3">
        <v>64</v>
      </c>
      <c r="N3" t="s">
        <v>57</v>
      </c>
      <c r="O3" t="s">
        <v>75</v>
      </c>
      <c r="P3">
        <v>2</v>
      </c>
      <c r="Q3">
        <v>127.65</v>
      </c>
      <c r="R3">
        <v>0</v>
      </c>
      <c r="S3">
        <v>127.65</v>
      </c>
      <c r="T3">
        <v>100</v>
      </c>
      <c r="U3" s="2">
        <v>0.25</v>
      </c>
      <c r="V3">
        <v>31.91</v>
      </c>
      <c r="W3" t="s">
        <v>59</v>
      </c>
    </row>
    <row r="4" spans="1:23" x14ac:dyDescent="0.25">
      <c r="A4" t="s">
        <v>79</v>
      </c>
      <c r="B4" t="s">
        <v>94</v>
      </c>
      <c r="C4" t="s">
        <v>31</v>
      </c>
      <c r="D4" t="s">
        <v>38</v>
      </c>
      <c r="E4" t="s">
        <v>44</v>
      </c>
      <c r="F4" t="str">
        <f t="shared" si="0"/>
        <v>Karen Duke</v>
      </c>
      <c r="G4" t="s">
        <v>47</v>
      </c>
      <c r="H4" t="s">
        <v>49</v>
      </c>
      <c r="I4" t="s">
        <v>53</v>
      </c>
      <c r="J4" t="s">
        <v>81</v>
      </c>
      <c r="K4" s="3">
        <v>45898</v>
      </c>
      <c r="L4" s="3">
        <v>45931</v>
      </c>
      <c r="M4">
        <v>81</v>
      </c>
      <c r="N4" t="s">
        <v>57</v>
      </c>
      <c r="O4" t="s">
        <v>75</v>
      </c>
      <c r="P4">
        <v>2</v>
      </c>
      <c r="Q4">
        <v>56.5</v>
      </c>
      <c r="R4">
        <v>0</v>
      </c>
      <c r="S4">
        <v>56.5</v>
      </c>
      <c r="T4">
        <v>100</v>
      </c>
      <c r="U4" s="2">
        <v>0.25</v>
      </c>
      <c r="V4">
        <v>14.13</v>
      </c>
      <c r="W4" t="s">
        <v>59</v>
      </c>
    </row>
    <row r="5" spans="1:23" x14ac:dyDescent="0.25">
      <c r="A5" s="4" t="s">
        <v>21</v>
      </c>
      <c r="B5" s="4">
        <v>20411454</v>
      </c>
      <c r="C5" s="4" t="s">
        <v>85</v>
      </c>
      <c r="D5" s="4" t="s">
        <v>71</v>
      </c>
      <c r="E5" s="4" t="s">
        <v>70</v>
      </c>
      <c r="F5" s="4" t="str">
        <f t="shared" si="0"/>
        <v>Lori Friend</v>
      </c>
      <c r="G5" s="4" t="s">
        <v>46</v>
      </c>
      <c r="H5" s="4" t="s">
        <v>48</v>
      </c>
      <c r="I5" s="4" t="s">
        <v>50</v>
      </c>
      <c r="J5" s="4" t="s">
        <v>82</v>
      </c>
      <c r="K5" s="5">
        <v>45888</v>
      </c>
      <c r="L5" s="5">
        <v>45992</v>
      </c>
      <c r="M5" s="4">
        <v>65</v>
      </c>
      <c r="N5" s="4" t="s">
        <v>57</v>
      </c>
      <c r="O5" s="4" t="s">
        <v>73</v>
      </c>
      <c r="P5" s="4">
        <v>1</v>
      </c>
      <c r="Q5" s="4">
        <v>104.82</v>
      </c>
      <c r="R5" s="4">
        <v>0</v>
      </c>
      <c r="S5" s="4">
        <v>104.82</v>
      </c>
      <c r="T5" s="4">
        <v>100</v>
      </c>
      <c r="U5" s="6">
        <v>2.8000000000000001E-2</v>
      </c>
      <c r="V5" s="4">
        <v>2.93</v>
      </c>
      <c r="W5" s="4"/>
    </row>
    <row r="6" spans="1:23" x14ac:dyDescent="0.25">
      <c r="A6" s="4" t="s">
        <v>21</v>
      </c>
      <c r="B6" s="4">
        <v>20411454</v>
      </c>
      <c r="C6" s="4" t="s">
        <v>86</v>
      </c>
      <c r="D6" s="4" t="s">
        <v>32</v>
      </c>
      <c r="E6" s="4" t="s">
        <v>39</v>
      </c>
      <c r="F6" s="4" t="str">
        <f t="shared" si="0"/>
        <v>Ralph Gropper</v>
      </c>
      <c r="G6" s="4" t="s">
        <v>45</v>
      </c>
      <c r="H6" s="4" t="s">
        <v>48</v>
      </c>
      <c r="I6" s="4" t="s">
        <v>50</v>
      </c>
      <c r="J6" s="4" t="s">
        <v>81</v>
      </c>
      <c r="K6" s="5">
        <v>45898</v>
      </c>
      <c r="L6" s="5">
        <v>45931</v>
      </c>
      <c r="M6" s="4">
        <v>86</v>
      </c>
      <c r="N6" s="4" t="s">
        <v>57</v>
      </c>
      <c r="O6" s="4" t="s">
        <v>73</v>
      </c>
      <c r="P6" s="4">
        <v>2</v>
      </c>
      <c r="Q6" s="4">
        <v>279.06</v>
      </c>
      <c r="R6" s="4">
        <v>0</v>
      </c>
      <c r="S6" s="4">
        <v>243.62</v>
      </c>
      <c r="T6" s="4">
        <v>100</v>
      </c>
      <c r="U6" s="6">
        <v>8.0000000000000002E-3</v>
      </c>
      <c r="V6" s="4">
        <v>1.95</v>
      </c>
      <c r="W6" s="4"/>
    </row>
    <row r="7" spans="1:23" x14ac:dyDescent="0.25">
      <c r="A7" s="4" t="s">
        <v>21</v>
      </c>
      <c r="B7" s="4">
        <v>20411454</v>
      </c>
      <c r="C7" s="4" t="s">
        <v>87</v>
      </c>
      <c r="D7" s="4" t="s">
        <v>33</v>
      </c>
      <c r="E7" s="4" t="s">
        <v>40</v>
      </c>
      <c r="F7" s="4" t="str">
        <f t="shared" si="0"/>
        <v>Thomas Benik</v>
      </c>
      <c r="G7" s="4" t="s">
        <v>46</v>
      </c>
      <c r="H7" s="4" t="s">
        <v>48</v>
      </c>
      <c r="I7" s="4" t="s">
        <v>50</v>
      </c>
      <c r="J7" s="4" t="s">
        <v>81</v>
      </c>
      <c r="K7" s="5">
        <v>45898</v>
      </c>
      <c r="L7" s="5">
        <v>45931</v>
      </c>
      <c r="M7" s="4">
        <v>65</v>
      </c>
      <c r="N7" s="4" t="s">
        <v>57</v>
      </c>
      <c r="O7" s="4" t="s">
        <v>73</v>
      </c>
      <c r="P7" s="4">
        <v>1</v>
      </c>
      <c r="Q7" s="4">
        <v>115.86</v>
      </c>
      <c r="R7" s="4">
        <v>0</v>
      </c>
      <c r="S7" s="4">
        <v>115.86</v>
      </c>
      <c r="T7" s="4">
        <v>100</v>
      </c>
      <c r="U7" s="6">
        <v>2.8000000000000001E-2</v>
      </c>
      <c r="V7" s="4">
        <v>3.24</v>
      </c>
      <c r="W7" s="4"/>
    </row>
    <row r="8" spans="1:23" s="4" customFormat="1" x14ac:dyDescent="0.25">
      <c r="A8" s="4" t="s">
        <v>79</v>
      </c>
      <c r="B8" s="4">
        <v>20411454</v>
      </c>
      <c r="C8" s="4" t="s">
        <v>88</v>
      </c>
      <c r="D8" s="4" t="s">
        <v>37</v>
      </c>
      <c r="E8" s="4" t="s">
        <v>43</v>
      </c>
      <c r="F8" s="4" t="str">
        <f t="shared" si="0"/>
        <v>Connie Gangnon</v>
      </c>
      <c r="G8" s="4" t="s">
        <v>47</v>
      </c>
      <c r="H8" s="4" t="s">
        <v>49</v>
      </c>
      <c r="I8" s="4" t="s">
        <v>53</v>
      </c>
      <c r="J8" s="4" t="s">
        <v>81</v>
      </c>
      <c r="K8" s="5">
        <v>45898</v>
      </c>
      <c r="L8" s="5">
        <v>45931</v>
      </c>
      <c r="M8" s="4">
        <v>64</v>
      </c>
      <c r="N8" s="4" t="s">
        <v>57</v>
      </c>
      <c r="O8" s="4" t="s">
        <v>73</v>
      </c>
      <c r="P8" s="4">
        <v>2</v>
      </c>
      <c r="Q8" s="4">
        <v>127.65</v>
      </c>
      <c r="R8" s="4">
        <v>0</v>
      </c>
      <c r="S8" s="4">
        <v>127.65</v>
      </c>
      <c r="T8" s="4">
        <v>100</v>
      </c>
      <c r="U8" s="6">
        <v>9.5000000000000001E-2</v>
      </c>
      <c r="V8" s="4">
        <v>12.13</v>
      </c>
    </row>
    <row r="9" spans="1:23" s="4" customFormat="1" x14ac:dyDescent="0.25">
      <c r="A9" s="4" t="s">
        <v>79</v>
      </c>
      <c r="B9" s="4">
        <v>20411454</v>
      </c>
      <c r="C9" s="4" t="s">
        <v>89</v>
      </c>
      <c r="D9" s="4" t="s">
        <v>38</v>
      </c>
      <c r="E9" s="4" t="s">
        <v>44</v>
      </c>
      <c r="F9" s="4" t="str">
        <f t="shared" si="0"/>
        <v>Karen Duke</v>
      </c>
      <c r="G9" s="4" t="s">
        <v>47</v>
      </c>
      <c r="H9" s="4" t="s">
        <v>49</v>
      </c>
      <c r="I9" s="4" t="s">
        <v>53</v>
      </c>
      <c r="J9" s="4" t="s">
        <v>81</v>
      </c>
      <c r="K9" s="5">
        <v>45898</v>
      </c>
      <c r="L9" s="5">
        <v>45931</v>
      </c>
      <c r="M9" s="4">
        <v>81</v>
      </c>
      <c r="N9" s="4" t="s">
        <v>57</v>
      </c>
      <c r="O9" s="4" t="s">
        <v>73</v>
      </c>
      <c r="P9" s="4">
        <v>2</v>
      </c>
      <c r="Q9" s="4">
        <v>56.5</v>
      </c>
      <c r="R9" s="4">
        <v>0</v>
      </c>
      <c r="S9" s="4">
        <v>56.5</v>
      </c>
      <c r="T9" s="4">
        <v>100</v>
      </c>
      <c r="U9" s="6">
        <v>9.5000000000000001E-2</v>
      </c>
      <c r="V9" s="4">
        <v>5.37</v>
      </c>
    </row>
    <row r="10" spans="1:23" s="4" customFormat="1" x14ac:dyDescent="0.25">
      <c r="A10" s="4" t="s">
        <v>78</v>
      </c>
      <c r="B10" s="4">
        <v>20411454</v>
      </c>
      <c r="C10" s="4" t="s">
        <v>90</v>
      </c>
      <c r="D10" s="4" t="s">
        <v>36</v>
      </c>
      <c r="E10" s="4" t="s">
        <v>42</v>
      </c>
      <c r="F10" s="4" t="str">
        <f t="shared" si="0"/>
        <v>Shirley Perry</v>
      </c>
      <c r="G10" s="4" t="s">
        <v>47</v>
      </c>
      <c r="H10" s="4" t="s">
        <v>49</v>
      </c>
      <c r="I10" s="4" t="s">
        <v>52</v>
      </c>
      <c r="J10" s="4" t="s">
        <v>81</v>
      </c>
      <c r="K10" s="5">
        <v>45898</v>
      </c>
      <c r="L10" s="5">
        <v>45931</v>
      </c>
      <c r="M10" s="4">
        <v>58</v>
      </c>
      <c r="N10" s="4" t="s">
        <v>57</v>
      </c>
      <c r="O10" s="4" t="s">
        <v>73</v>
      </c>
      <c r="P10" s="4">
        <v>2</v>
      </c>
      <c r="Q10" s="4">
        <v>47.7</v>
      </c>
      <c r="R10" s="4">
        <v>0</v>
      </c>
      <c r="S10" s="4">
        <v>47.7</v>
      </c>
      <c r="T10" s="4">
        <v>100</v>
      </c>
      <c r="U10" s="6">
        <v>9.5000000000000001E-2</v>
      </c>
      <c r="V10" s="4">
        <v>4.53</v>
      </c>
    </row>
    <row r="11" spans="1:23" s="10" customFormat="1" x14ac:dyDescent="0.25">
      <c r="A11" s="10" t="s">
        <v>22</v>
      </c>
      <c r="B11" s="10">
        <v>20411454</v>
      </c>
      <c r="C11" s="10" t="s">
        <v>91</v>
      </c>
      <c r="D11" s="10" t="s">
        <v>35</v>
      </c>
      <c r="E11" s="10" t="s">
        <v>41</v>
      </c>
      <c r="F11" s="10" t="str">
        <f t="shared" si="0"/>
        <v>Harlin Hill</v>
      </c>
      <c r="G11" s="10" t="s">
        <v>46</v>
      </c>
      <c r="H11" s="10" t="s">
        <v>48</v>
      </c>
      <c r="I11" s="10" t="s">
        <v>51</v>
      </c>
      <c r="J11" s="10" t="s">
        <v>83</v>
      </c>
      <c r="K11" s="11">
        <v>45896</v>
      </c>
      <c r="L11" s="11">
        <v>45931</v>
      </c>
      <c r="M11" s="10">
        <v>71</v>
      </c>
      <c r="N11" s="10" t="s">
        <v>57</v>
      </c>
      <c r="O11" s="10" t="s">
        <v>73</v>
      </c>
      <c r="P11" s="10">
        <v>1</v>
      </c>
      <c r="Q11" s="10">
        <v>170.91</v>
      </c>
      <c r="R11" s="10">
        <v>0</v>
      </c>
      <c r="S11" s="10">
        <v>170.91</v>
      </c>
      <c r="T11" s="10">
        <v>100</v>
      </c>
      <c r="U11" s="12">
        <v>3.9E-2</v>
      </c>
      <c r="V11" s="10">
        <v>6.67</v>
      </c>
    </row>
    <row r="12" spans="1:23" s="10" customFormat="1" x14ac:dyDescent="0.25">
      <c r="A12" s="10" t="s">
        <v>22</v>
      </c>
      <c r="B12" s="10">
        <v>20411454</v>
      </c>
      <c r="C12" s="10" t="s">
        <v>92</v>
      </c>
      <c r="D12" s="10" t="s">
        <v>34</v>
      </c>
      <c r="E12" s="10" t="s">
        <v>41</v>
      </c>
      <c r="F12" s="10" t="str">
        <f t="shared" si="0"/>
        <v>Laura Hill</v>
      </c>
      <c r="G12" s="10" t="s">
        <v>46</v>
      </c>
      <c r="H12" s="10" t="s">
        <v>48</v>
      </c>
      <c r="I12" s="10" t="s">
        <v>51</v>
      </c>
      <c r="J12" s="10" t="s">
        <v>83</v>
      </c>
      <c r="K12" s="11">
        <v>45895</v>
      </c>
      <c r="L12" s="11">
        <v>45931</v>
      </c>
      <c r="M12" s="10">
        <v>70</v>
      </c>
      <c r="N12" s="10" t="s">
        <v>57</v>
      </c>
      <c r="O12" s="10" t="s">
        <v>73</v>
      </c>
      <c r="P12" s="10">
        <v>1</v>
      </c>
      <c r="Q12" s="10">
        <v>149.69</v>
      </c>
      <c r="R12" s="10">
        <v>0</v>
      </c>
      <c r="S12" s="10">
        <v>149.69</v>
      </c>
      <c r="T12" s="10">
        <v>100</v>
      </c>
      <c r="U12" s="12">
        <v>3.9E-2</v>
      </c>
      <c r="V12" s="10">
        <v>5.84</v>
      </c>
    </row>
    <row r="13" spans="1:23" s="4" customFormat="1" x14ac:dyDescent="0.25">
      <c r="A13" t="s">
        <v>21</v>
      </c>
      <c r="B13" t="s">
        <v>84</v>
      </c>
      <c r="C13" t="s">
        <v>72</v>
      </c>
      <c r="D13" t="s">
        <v>71</v>
      </c>
      <c r="E13" t="s">
        <v>70</v>
      </c>
      <c r="F13" t="str">
        <f t="shared" si="0"/>
        <v>Lori Friend</v>
      </c>
      <c r="G13" t="s">
        <v>46</v>
      </c>
      <c r="H13" t="s">
        <v>48</v>
      </c>
      <c r="I13" t="s">
        <v>50</v>
      </c>
      <c r="J13" t="s">
        <v>82</v>
      </c>
      <c r="K13" s="3">
        <v>45888</v>
      </c>
      <c r="L13" s="3">
        <v>45992</v>
      </c>
      <c r="M13">
        <v>65</v>
      </c>
      <c r="N13" t="s">
        <v>57</v>
      </c>
      <c r="O13" t="s">
        <v>76</v>
      </c>
      <c r="P13">
        <v>1</v>
      </c>
      <c r="Q13">
        <v>104.82</v>
      </c>
      <c r="R13">
        <v>0</v>
      </c>
      <c r="S13">
        <v>104.82</v>
      </c>
      <c r="T13">
        <v>100</v>
      </c>
      <c r="U13" s="2">
        <v>0.21</v>
      </c>
      <c r="V13">
        <v>22.01</v>
      </c>
      <c r="W13" t="s">
        <v>60</v>
      </c>
    </row>
    <row r="14" spans="1:23" s="4" customFormat="1" x14ac:dyDescent="0.25">
      <c r="A14" t="s">
        <v>21</v>
      </c>
      <c r="B14" t="s">
        <v>84</v>
      </c>
      <c r="C14" t="s">
        <v>25</v>
      </c>
      <c r="D14" t="s">
        <v>32</v>
      </c>
      <c r="E14" t="s">
        <v>39</v>
      </c>
      <c r="F14" t="str">
        <f t="shared" si="0"/>
        <v>Ralph Gropper</v>
      </c>
      <c r="G14" t="s">
        <v>45</v>
      </c>
      <c r="H14" t="s">
        <v>48</v>
      </c>
      <c r="I14" t="s">
        <v>50</v>
      </c>
      <c r="J14" t="s">
        <v>81</v>
      </c>
      <c r="K14" s="3">
        <v>45898</v>
      </c>
      <c r="L14" s="3">
        <v>45931</v>
      </c>
      <c r="M14">
        <v>86</v>
      </c>
      <c r="N14" t="s">
        <v>57</v>
      </c>
      <c r="O14" t="s">
        <v>77</v>
      </c>
      <c r="P14">
        <v>2</v>
      </c>
      <c r="Q14">
        <v>279.06</v>
      </c>
      <c r="R14">
        <v>0</v>
      </c>
      <c r="S14">
        <v>243.62</v>
      </c>
      <c r="T14">
        <v>100</v>
      </c>
      <c r="U14" s="2">
        <v>0.02</v>
      </c>
      <c r="V14">
        <v>4.87</v>
      </c>
      <c r="W14" t="s">
        <v>59</v>
      </c>
    </row>
    <row r="15" spans="1:23" s="4" customFormat="1" x14ac:dyDescent="0.25">
      <c r="A15" t="s">
        <v>21</v>
      </c>
      <c r="B15" t="s">
        <v>84</v>
      </c>
      <c r="C15" t="s">
        <v>26</v>
      </c>
      <c r="D15" t="s">
        <v>33</v>
      </c>
      <c r="E15" t="s">
        <v>40</v>
      </c>
      <c r="F15" t="str">
        <f t="shared" si="0"/>
        <v>Thomas Benik</v>
      </c>
      <c r="G15" t="s">
        <v>46</v>
      </c>
      <c r="H15" t="s">
        <v>48</v>
      </c>
      <c r="I15" t="s">
        <v>50</v>
      </c>
      <c r="J15" t="s">
        <v>81</v>
      </c>
      <c r="K15" s="3">
        <v>45898</v>
      </c>
      <c r="L15" s="3">
        <v>45931</v>
      </c>
      <c r="M15">
        <v>65</v>
      </c>
      <c r="N15" t="s">
        <v>57</v>
      </c>
      <c r="O15" t="s">
        <v>76</v>
      </c>
      <c r="P15">
        <v>1</v>
      </c>
      <c r="Q15">
        <v>115.86</v>
      </c>
      <c r="R15">
        <v>0</v>
      </c>
      <c r="S15">
        <v>115.86</v>
      </c>
      <c r="T15">
        <v>100</v>
      </c>
      <c r="U15" s="2">
        <v>0.21</v>
      </c>
      <c r="V15">
        <v>24.33</v>
      </c>
      <c r="W1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46B-F4BE-4DC1-91DA-6B255F61F445}">
  <dimension ref="A1:V3"/>
  <sheetViews>
    <sheetView tabSelected="1"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9.7109375" bestFit="1" customWidth="1"/>
    <col min="7" max="7" width="10.28515625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5.28515625" bestFit="1" customWidth="1"/>
    <col min="15" max="15" width="13.28515625" bestFit="1" customWidth="1"/>
    <col min="16" max="16" width="17.42578125" bestFit="1" customWidth="1"/>
    <col min="17" max="17" width="32.5703125" bestFit="1" customWidth="1"/>
    <col min="18" max="18" width="17.5703125" bestFit="1" customWidth="1"/>
    <col min="19" max="19" width="15" bestFit="1" customWidth="1"/>
    <col min="20" max="20" width="15.7109375" bestFit="1" customWidth="1"/>
    <col min="21" max="21" width="19" bestFit="1" customWidth="1"/>
    <col min="22" max="22" width="1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7" customFormat="1" x14ac:dyDescent="0.25">
      <c r="A2" s="7" t="s">
        <v>22</v>
      </c>
      <c r="B2" s="7">
        <v>8812322</v>
      </c>
      <c r="C2" s="7" t="s">
        <v>27</v>
      </c>
      <c r="D2" s="7" t="s">
        <v>34</v>
      </c>
      <c r="E2" s="7" t="s">
        <v>41</v>
      </c>
      <c r="F2" s="7" t="str">
        <f>CONCATENATE(D2, " ",E2)</f>
        <v>Laura Hill</v>
      </c>
      <c r="G2" s="7" t="s">
        <v>46</v>
      </c>
      <c r="H2" s="7" t="s">
        <v>48</v>
      </c>
      <c r="I2" s="7" t="s">
        <v>51</v>
      </c>
      <c r="J2" s="8">
        <v>45895</v>
      </c>
      <c r="K2" s="8">
        <v>45931</v>
      </c>
      <c r="L2" s="7">
        <v>70</v>
      </c>
      <c r="M2" s="7" t="s">
        <v>57</v>
      </c>
      <c r="N2" s="7" t="s">
        <v>58</v>
      </c>
      <c r="O2" s="7">
        <v>1</v>
      </c>
      <c r="P2" s="7">
        <v>149.69</v>
      </c>
      <c r="Q2" s="7">
        <v>0</v>
      </c>
      <c r="R2" s="7">
        <v>149.69</v>
      </c>
      <c r="S2" s="7">
        <v>100</v>
      </c>
      <c r="T2" s="9">
        <v>0.20799999999999999</v>
      </c>
      <c r="U2" s="7">
        <v>31.14</v>
      </c>
      <c r="V2" s="7" t="s">
        <v>60</v>
      </c>
    </row>
    <row r="3" spans="1:22" s="7" customFormat="1" x14ac:dyDescent="0.25">
      <c r="A3" s="7" t="s">
        <v>22</v>
      </c>
      <c r="B3" s="7">
        <v>8812322</v>
      </c>
      <c r="C3" s="7" t="s">
        <v>28</v>
      </c>
      <c r="D3" s="7" t="s">
        <v>35</v>
      </c>
      <c r="E3" s="7" t="s">
        <v>41</v>
      </c>
      <c r="F3" s="7" t="str">
        <f>CONCATENATE(D3, " ",E3)</f>
        <v>Harlin Hill</v>
      </c>
      <c r="G3" s="7" t="s">
        <v>46</v>
      </c>
      <c r="H3" s="7" t="s">
        <v>48</v>
      </c>
      <c r="I3" s="7" t="s">
        <v>51</v>
      </c>
      <c r="J3" s="8">
        <v>45896</v>
      </c>
      <c r="K3" s="8">
        <v>45931</v>
      </c>
      <c r="L3" s="7">
        <v>71</v>
      </c>
      <c r="M3" s="7" t="s">
        <v>57</v>
      </c>
      <c r="N3" s="7" t="s">
        <v>58</v>
      </c>
      <c r="O3" s="7">
        <v>1</v>
      </c>
      <c r="P3" s="7">
        <v>170.91</v>
      </c>
      <c r="Q3" s="7">
        <v>0</v>
      </c>
      <c r="R3" s="7">
        <v>170.91</v>
      </c>
      <c r="S3" s="7">
        <v>100</v>
      </c>
      <c r="T3" s="9">
        <v>0.20799999999999999</v>
      </c>
      <c r="U3" s="7">
        <v>35.549999999999997</v>
      </c>
      <c r="V3" s="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opLeftCell="D1" workbookViewId="0">
      <selection activeCell="D2" sqref="A2:XFD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>
        <v>19491313</v>
      </c>
      <c r="C2" t="s">
        <v>25</v>
      </c>
      <c r="D2" t="s">
        <v>32</v>
      </c>
      <c r="E2" t="s">
        <v>39</v>
      </c>
      <c r="F2" t="s">
        <v>45</v>
      </c>
      <c r="G2" t="s">
        <v>48</v>
      </c>
      <c r="H2" t="s">
        <v>50</v>
      </c>
      <c r="I2" s="3">
        <v>45898</v>
      </c>
      <c r="J2" s="3">
        <v>45931</v>
      </c>
      <c r="K2">
        <v>86</v>
      </c>
      <c r="L2" t="s">
        <v>57</v>
      </c>
      <c r="M2" t="s">
        <v>73</v>
      </c>
      <c r="N2">
        <v>2</v>
      </c>
      <c r="O2">
        <v>279.06</v>
      </c>
      <c r="P2">
        <v>0</v>
      </c>
      <c r="Q2">
        <v>243.62</v>
      </c>
      <c r="R2">
        <v>100</v>
      </c>
      <c r="S2" s="2">
        <v>8.0000000000000002E-3</v>
      </c>
      <c r="T2">
        <v>1.95</v>
      </c>
    </row>
    <row r="3" spans="1:20" x14ac:dyDescent="0.25">
      <c r="A3" t="s">
        <v>21</v>
      </c>
      <c r="B3">
        <v>19491313</v>
      </c>
      <c r="C3" t="s">
        <v>26</v>
      </c>
      <c r="D3" t="s">
        <v>33</v>
      </c>
      <c r="E3" t="s">
        <v>40</v>
      </c>
      <c r="F3" t="s">
        <v>46</v>
      </c>
      <c r="G3" t="s">
        <v>48</v>
      </c>
      <c r="H3" t="s">
        <v>50</v>
      </c>
      <c r="I3" s="3">
        <v>45898</v>
      </c>
      <c r="J3" s="3">
        <v>45931</v>
      </c>
      <c r="K3">
        <v>65</v>
      </c>
      <c r="L3" t="s">
        <v>57</v>
      </c>
      <c r="M3" t="s">
        <v>73</v>
      </c>
      <c r="N3">
        <v>1</v>
      </c>
      <c r="O3">
        <v>115.86</v>
      </c>
      <c r="P3">
        <v>0</v>
      </c>
      <c r="Q3">
        <v>115.86</v>
      </c>
      <c r="R3">
        <v>100</v>
      </c>
      <c r="S3" s="2">
        <v>2.8000000000000001E-2</v>
      </c>
      <c r="T3">
        <v>3.24</v>
      </c>
    </row>
    <row r="4" spans="1:20" x14ac:dyDescent="0.25">
      <c r="A4" t="s">
        <v>22</v>
      </c>
      <c r="B4">
        <v>8812322</v>
      </c>
      <c r="C4" t="s">
        <v>27</v>
      </c>
      <c r="D4" t="s">
        <v>34</v>
      </c>
      <c r="E4" t="s">
        <v>41</v>
      </c>
      <c r="F4" t="s">
        <v>46</v>
      </c>
      <c r="G4" t="s">
        <v>48</v>
      </c>
      <c r="H4" t="s">
        <v>51</v>
      </c>
      <c r="I4" s="3">
        <v>45895</v>
      </c>
      <c r="J4" s="3">
        <v>45931</v>
      </c>
      <c r="K4">
        <v>70</v>
      </c>
      <c r="L4" t="s">
        <v>57</v>
      </c>
      <c r="M4" t="s">
        <v>73</v>
      </c>
      <c r="N4">
        <v>1</v>
      </c>
      <c r="O4">
        <v>149.69</v>
      </c>
      <c r="P4">
        <v>0</v>
      </c>
      <c r="Q4">
        <v>149.69</v>
      </c>
      <c r="R4">
        <v>100</v>
      </c>
      <c r="S4" s="2">
        <v>3.9E-2</v>
      </c>
      <c r="T4">
        <v>5.84</v>
      </c>
    </row>
    <row r="5" spans="1:20" x14ac:dyDescent="0.25">
      <c r="A5" t="s">
        <v>22</v>
      </c>
      <c r="B5">
        <v>8812322</v>
      </c>
      <c r="C5" t="s">
        <v>28</v>
      </c>
      <c r="D5" t="s">
        <v>35</v>
      </c>
      <c r="E5" t="s">
        <v>41</v>
      </c>
      <c r="F5" t="s">
        <v>46</v>
      </c>
      <c r="G5" t="s">
        <v>48</v>
      </c>
      <c r="H5" t="s">
        <v>51</v>
      </c>
      <c r="I5" s="3">
        <v>45896</v>
      </c>
      <c r="J5" s="3">
        <v>45931</v>
      </c>
      <c r="K5">
        <v>71</v>
      </c>
      <c r="L5" t="s">
        <v>57</v>
      </c>
      <c r="M5" t="s">
        <v>73</v>
      </c>
      <c r="N5">
        <v>1</v>
      </c>
      <c r="O5">
        <v>170.91</v>
      </c>
      <c r="P5">
        <v>0</v>
      </c>
      <c r="Q5">
        <v>170.91</v>
      </c>
      <c r="R5">
        <v>100</v>
      </c>
      <c r="S5" s="2">
        <v>3.9E-2</v>
      </c>
      <c r="T5">
        <v>6.67</v>
      </c>
    </row>
    <row r="6" spans="1:20" x14ac:dyDescent="0.25">
      <c r="A6" t="s">
        <v>23</v>
      </c>
      <c r="B6">
        <v>16202925</v>
      </c>
      <c r="C6" t="s">
        <v>29</v>
      </c>
      <c r="D6" t="s">
        <v>36</v>
      </c>
      <c r="E6" t="s">
        <v>42</v>
      </c>
      <c r="F6" t="s">
        <v>47</v>
      </c>
      <c r="G6" t="s">
        <v>49</v>
      </c>
      <c r="H6" t="s">
        <v>52</v>
      </c>
      <c r="I6" s="3">
        <v>45898</v>
      </c>
      <c r="J6" s="3">
        <v>45931</v>
      </c>
      <c r="K6">
        <v>58</v>
      </c>
      <c r="L6" t="s">
        <v>57</v>
      </c>
      <c r="M6" t="s">
        <v>73</v>
      </c>
      <c r="N6">
        <v>2</v>
      </c>
      <c r="O6">
        <v>47.7</v>
      </c>
      <c r="P6">
        <v>0</v>
      </c>
      <c r="Q6">
        <v>47.7</v>
      </c>
      <c r="R6">
        <v>100</v>
      </c>
      <c r="S6" s="2">
        <v>9.5000000000000001E-2</v>
      </c>
      <c r="T6">
        <v>4.53</v>
      </c>
    </row>
    <row r="7" spans="1:20" x14ac:dyDescent="0.25">
      <c r="A7" t="s">
        <v>24</v>
      </c>
      <c r="B7">
        <v>16849453</v>
      </c>
      <c r="C7" t="s">
        <v>30</v>
      </c>
      <c r="D7" t="s">
        <v>37</v>
      </c>
      <c r="E7" t="s">
        <v>43</v>
      </c>
      <c r="F7" t="s">
        <v>47</v>
      </c>
      <c r="G7" t="s">
        <v>49</v>
      </c>
      <c r="H7" t="s">
        <v>53</v>
      </c>
      <c r="I7" s="3">
        <v>45898</v>
      </c>
      <c r="J7" s="3">
        <v>45931</v>
      </c>
      <c r="K7">
        <v>64</v>
      </c>
      <c r="L7" t="s">
        <v>57</v>
      </c>
      <c r="M7" t="s">
        <v>73</v>
      </c>
      <c r="N7">
        <v>2</v>
      </c>
      <c r="O7">
        <v>127.65</v>
      </c>
      <c r="P7">
        <v>0</v>
      </c>
      <c r="Q7">
        <v>127.65</v>
      </c>
      <c r="R7">
        <v>100</v>
      </c>
      <c r="S7" s="2">
        <v>9.5000000000000001E-2</v>
      </c>
      <c r="T7">
        <v>12.13</v>
      </c>
    </row>
    <row r="8" spans="1:20" x14ac:dyDescent="0.25">
      <c r="A8" t="s">
        <v>24</v>
      </c>
      <c r="B8">
        <v>16849453</v>
      </c>
      <c r="C8" t="s">
        <v>31</v>
      </c>
      <c r="D8" t="s">
        <v>38</v>
      </c>
      <c r="E8" t="s">
        <v>44</v>
      </c>
      <c r="F8" t="s">
        <v>47</v>
      </c>
      <c r="G8" t="s">
        <v>49</v>
      </c>
      <c r="H8" t="s">
        <v>53</v>
      </c>
      <c r="I8" s="3">
        <v>45898</v>
      </c>
      <c r="J8" s="3">
        <v>45931</v>
      </c>
      <c r="K8">
        <v>81</v>
      </c>
      <c r="L8" t="s">
        <v>57</v>
      </c>
      <c r="M8" t="s">
        <v>73</v>
      </c>
      <c r="N8">
        <v>2</v>
      </c>
      <c r="O8">
        <v>56.5</v>
      </c>
      <c r="P8">
        <v>0</v>
      </c>
      <c r="Q8">
        <v>56.5</v>
      </c>
      <c r="R8">
        <v>100</v>
      </c>
      <c r="S8" s="2">
        <v>9.5000000000000001E-2</v>
      </c>
      <c r="T8">
        <v>5.37</v>
      </c>
    </row>
    <row r="9" spans="1:20" x14ac:dyDescent="0.25">
      <c r="A9" t="s">
        <v>21</v>
      </c>
      <c r="B9">
        <v>19491313</v>
      </c>
      <c r="C9" t="s">
        <v>72</v>
      </c>
      <c r="D9" t="s">
        <v>71</v>
      </c>
      <c r="E9" t="s">
        <v>70</v>
      </c>
      <c r="F9" t="s">
        <v>46</v>
      </c>
      <c r="G9" t="s">
        <v>48</v>
      </c>
      <c r="H9" t="s">
        <v>50</v>
      </c>
      <c r="I9" s="3">
        <v>45888</v>
      </c>
      <c r="J9" s="3">
        <v>45992</v>
      </c>
      <c r="K9">
        <v>65</v>
      </c>
      <c r="L9" t="s">
        <v>57</v>
      </c>
      <c r="M9" t="s">
        <v>73</v>
      </c>
      <c r="N9">
        <v>1</v>
      </c>
      <c r="O9">
        <v>104.82</v>
      </c>
      <c r="P9">
        <v>0</v>
      </c>
      <c r="Q9">
        <v>104.82</v>
      </c>
      <c r="R9">
        <v>100</v>
      </c>
      <c r="S9" s="2">
        <v>2.8000000000000001E-2</v>
      </c>
      <c r="T9">
        <v>2.93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I16" sqref="I16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61</v>
      </c>
    </row>
    <row r="2" spans="1:9" x14ac:dyDescent="0.25">
      <c r="A2" t="s">
        <v>27</v>
      </c>
      <c r="B2" t="s">
        <v>34</v>
      </c>
      <c r="C2" t="s">
        <v>41</v>
      </c>
      <c r="D2" t="s">
        <v>46</v>
      </c>
      <c r="E2" t="s">
        <v>48</v>
      </c>
      <c r="F2" t="s">
        <v>51</v>
      </c>
      <c r="G2" t="s">
        <v>55</v>
      </c>
      <c r="H2" t="s">
        <v>62</v>
      </c>
      <c r="I2">
        <v>-31.14</v>
      </c>
    </row>
    <row r="3" spans="1:9" x14ac:dyDescent="0.25">
      <c r="A3" t="s">
        <v>28</v>
      </c>
      <c r="B3" t="s">
        <v>35</v>
      </c>
      <c r="C3" t="s">
        <v>41</v>
      </c>
      <c r="D3" t="s">
        <v>46</v>
      </c>
      <c r="E3" t="s">
        <v>48</v>
      </c>
      <c r="F3" t="s">
        <v>51</v>
      </c>
      <c r="G3" t="s">
        <v>56</v>
      </c>
      <c r="H3" t="s">
        <v>62</v>
      </c>
      <c r="I3">
        <v>-35.549999999999997</v>
      </c>
    </row>
    <row r="4" spans="1:9" x14ac:dyDescent="0.25">
      <c r="A4" t="s">
        <v>26</v>
      </c>
      <c r="B4" t="s">
        <v>33</v>
      </c>
      <c r="C4" t="s">
        <v>40</v>
      </c>
      <c r="D4" t="s">
        <v>46</v>
      </c>
      <c r="E4" t="s">
        <v>48</v>
      </c>
      <c r="F4" t="s">
        <v>50</v>
      </c>
      <c r="G4" t="s">
        <v>54</v>
      </c>
      <c r="H4" t="s">
        <v>62</v>
      </c>
      <c r="I4">
        <v>-24.33</v>
      </c>
    </row>
    <row r="5" spans="1:9" x14ac:dyDescent="0.25">
      <c r="A5" t="s">
        <v>72</v>
      </c>
      <c r="B5" t="s">
        <v>71</v>
      </c>
      <c r="C5" t="s">
        <v>70</v>
      </c>
      <c r="D5" t="s">
        <v>46</v>
      </c>
      <c r="E5" t="s">
        <v>48</v>
      </c>
      <c r="F5" t="s">
        <v>50</v>
      </c>
      <c r="G5" t="s">
        <v>69</v>
      </c>
      <c r="H5" t="s">
        <v>62</v>
      </c>
      <c r="I5">
        <v>-22.01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L16" sqref="L1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63</v>
      </c>
      <c r="L1" s="1" t="s">
        <v>17</v>
      </c>
      <c r="M1" s="1" t="s">
        <v>18</v>
      </c>
      <c r="N1" s="1" t="s">
        <v>64</v>
      </c>
      <c r="O1" s="1" t="s">
        <v>65</v>
      </c>
      <c r="P1" s="1" t="s">
        <v>66</v>
      </c>
    </row>
    <row r="2" spans="1:16" x14ac:dyDescent="0.25">
      <c r="A2" t="s">
        <v>21</v>
      </c>
      <c r="B2">
        <v>19491313</v>
      </c>
      <c r="C2" t="s">
        <v>26</v>
      </c>
      <c r="D2" t="s">
        <v>33</v>
      </c>
      <c r="E2" t="s">
        <v>40</v>
      </c>
      <c r="F2" t="s">
        <v>46</v>
      </c>
      <c r="G2" t="s">
        <v>48</v>
      </c>
      <c r="H2" t="s">
        <v>50</v>
      </c>
      <c r="I2" t="s">
        <v>54</v>
      </c>
      <c r="J2" t="s">
        <v>67</v>
      </c>
      <c r="K2">
        <v>115.86</v>
      </c>
      <c r="L2">
        <v>100</v>
      </c>
      <c r="M2" s="2">
        <v>0.21</v>
      </c>
      <c r="N2">
        <v>12</v>
      </c>
      <c r="O2">
        <v>291.95999999999998</v>
      </c>
      <c r="P2" t="s">
        <v>68</v>
      </c>
    </row>
    <row r="3" spans="1:16" x14ac:dyDescent="0.25">
      <c r="A3" t="s">
        <v>22</v>
      </c>
      <c r="B3">
        <v>8812322</v>
      </c>
      <c r="C3" t="s">
        <v>27</v>
      </c>
      <c r="D3" t="s">
        <v>34</v>
      </c>
      <c r="E3" t="s">
        <v>41</v>
      </c>
      <c r="F3" t="s">
        <v>46</v>
      </c>
      <c r="G3" t="s">
        <v>48</v>
      </c>
      <c r="H3" t="s">
        <v>51</v>
      </c>
      <c r="I3" t="s">
        <v>55</v>
      </c>
      <c r="J3" t="s">
        <v>67</v>
      </c>
      <c r="K3">
        <v>149.69</v>
      </c>
      <c r="L3">
        <v>100</v>
      </c>
      <c r="M3" s="2">
        <v>0.20799999999999999</v>
      </c>
      <c r="N3">
        <v>12</v>
      </c>
      <c r="O3">
        <v>373.68</v>
      </c>
      <c r="P3" t="s">
        <v>68</v>
      </c>
    </row>
    <row r="4" spans="1:16" x14ac:dyDescent="0.25">
      <c r="A4" t="s">
        <v>22</v>
      </c>
      <c r="B4">
        <v>8812322</v>
      </c>
      <c r="C4" t="s">
        <v>28</v>
      </c>
      <c r="D4" t="s">
        <v>35</v>
      </c>
      <c r="E4" t="s">
        <v>41</v>
      </c>
      <c r="F4" t="s">
        <v>46</v>
      </c>
      <c r="G4" t="s">
        <v>48</v>
      </c>
      <c r="H4" t="s">
        <v>51</v>
      </c>
      <c r="I4" t="s">
        <v>56</v>
      </c>
      <c r="J4" t="s">
        <v>67</v>
      </c>
      <c r="K4">
        <v>170.91</v>
      </c>
      <c r="L4">
        <v>100</v>
      </c>
      <c r="M4" s="2">
        <v>0.20799999999999999</v>
      </c>
      <c r="N4">
        <v>12</v>
      </c>
      <c r="O4">
        <v>426.6</v>
      </c>
      <c r="P4" t="s">
        <v>68</v>
      </c>
    </row>
    <row r="5" spans="1:16" x14ac:dyDescent="0.25">
      <c r="A5" t="s">
        <v>21</v>
      </c>
      <c r="B5">
        <v>19491313</v>
      </c>
      <c r="C5" t="s">
        <v>72</v>
      </c>
      <c r="D5" t="s">
        <v>71</v>
      </c>
      <c r="E5" t="s">
        <v>70</v>
      </c>
      <c r="F5" t="s">
        <v>46</v>
      </c>
      <c r="G5" t="s">
        <v>48</v>
      </c>
      <c r="H5" t="s">
        <v>50</v>
      </c>
      <c r="I5" t="s">
        <v>69</v>
      </c>
      <c r="J5" t="s">
        <v>67</v>
      </c>
      <c r="K5">
        <v>104.82</v>
      </c>
      <c r="L5">
        <v>100</v>
      </c>
      <c r="M5" s="2">
        <v>0.21</v>
      </c>
      <c r="N5">
        <v>12</v>
      </c>
      <c r="O5">
        <v>264.12</v>
      </c>
      <c r="P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on hold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2025-08-31T21:04:33Z</dcterms:created>
  <dcterms:modified xsi:type="dcterms:W3CDTF">2025-09-11T13:48:31Z</dcterms:modified>
</cp:coreProperties>
</file>