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1-1-25\"/>
    </mc:Choice>
  </mc:AlternateContent>
  <xr:revisionPtr revIDLastSave="0" documentId="13_ncr:1_{EA474AC1-EE94-4A3D-9209-C65EC3C82A39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First Year Commission" sheetId="1" r:id="rId1"/>
    <sheet name="Sheet1" sheetId="5" r:id="rId2"/>
    <sheet name="Sheet2" sheetId="6" r:id="rId3"/>
    <sheet name="First Year Overwrites" sheetId="2" r:id="rId4"/>
    <sheet name="Advance Paybacks" sheetId="3" r:id="rId5"/>
    <sheet name="Advances - Paid Advanc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5" l="1"/>
  <c r="M16" i="5"/>
  <c r="M5" i="5"/>
  <c r="M15" i="5"/>
  <c r="M17" i="5"/>
  <c r="M6" i="5"/>
  <c r="M18" i="5"/>
  <c r="M7" i="5"/>
  <c r="M4" i="5"/>
  <c r="M10" i="5"/>
  <c r="M8" i="5"/>
  <c r="M14" i="5"/>
  <c r="M13" i="5"/>
  <c r="M12" i="5"/>
  <c r="M3" i="5"/>
  <c r="M2" i="5"/>
  <c r="M11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19" i="5"/>
  <c r="G2" i="5"/>
  <c r="G3" i="5"/>
  <c r="G5" i="5"/>
  <c r="G6" i="5"/>
  <c r="G11" i="5"/>
  <c r="G12" i="5"/>
  <c r="G16" i="5"/>
  <c r="G13" i="5"/>
  <c r="G14" i="5"/>
  <c r="G8" i="5"/>
  <c r="G9" i="5"/>
  <c r="G17" i="5"/>
  <c r="G10" i="5"/>
  <c r="G4" i="5"/>
  <c r="G15" i="5"/>
  <c r="G7" i="5"/>
  <c r="G18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19" i="5"/>
  <c r="R15" i="5"/>
</calcChain>
</file>

<file path=xl/sharedStrings.xml><?xml version="1.0" encoding="utf-8"?>
<sst xmlns="http://schemas.openxmlformats.org/spreadsheetml/2006/main" count="1363" uniqueCount="192">
  <si>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</si>
  <si>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</si>
  <si>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</si>
  <si>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</si>
  <si>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</si>
  <si>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</si>
  <si>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</si>
  <si>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</si>
  <si>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</si>
  <si>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</si>
  <si>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</si>
  <si>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</si>
  <si>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</si>
  <si>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</si>
  <si>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</si>
  <si>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</si>
  <si>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</si>
  <si>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</si>
  <si>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</si>
  <si>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</si>
  <si>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</si>
  <si>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</si>
  <si>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>McCorkle Michelle null</t>
  </si>
  <si>
    <t>Brandt Steven K</t>
  </si>
  <si>
    <t xml:space="preserve">Sherman Matthew </t>
  </si>
  <si>
    <t>Kucan Thomas null</t>
  </si>
  <si>
    <t>Petrungaro Andrea null</t>
  </si>
  <si>
    <t>Green Danna null</t>
  </si>
  <si>
    <t xml:space="preserve">Dunavant Michael </t>
  </si>
  <si>
    <t>17528908</t>
  </si>
  <si>
    <t>18710070</t>
  </si>
  <si>
    <t>19491313</t>
  </si>
  <si>
    <t>8812322</t>
  </si>
  <si>
    <t>16202925</t>
  </si>
  <si>
    <t>16912722</t>
  </si>
  <si>
    <t>16849453</t>
  </si>
  <si>
    <t>18828278</t>
  </si>
  <si>
    <t>H711045193</t>
  </si>
  <si>
    <t>H711061009</t>
  </si>
  <si>
    <t>H750082805</t>
  </si>
  <si>
    <t>H750083231</t>
  </si>
  <si>
    <t>H750068245</t>
  </si>
  <si>
    <t>H750075381</t>
  </si>
  <si>
    <t>H750083517</t>
  </si>
  <si>
    <t>H750083520</t>
  </si>
  <si>
    <t>H711037504</t>
  </si>
  <si>
    <t>H750073946</t>
  </si>
  <si>
    <t>H750073872</t>
  </si>
  <si>
    <t>H711025485</t>
  </si>
  <si>
    <t>H711045437</t>
  </si>
  <si>
    <t>H750076900</t>
  </si>
  <si>
    <t>H711021314</t>
  </si>
  <si>
    <t>H711020958</t>
  </si>
  <si>
    <t>H750075563</t>
  </si>
  <si>
    <t>Kenneth</t>
  </si>
  <si>
    <t>John</t>
  </si>
  <si>
    <t>Minnie</t>
  </si>
  <si>
    <t>Michelle</t>
  </si>
  <si>
    <t>Ralph</t>
  </si>
  <si>
    <t>Ray</t>
  </si>
  <si>
    <t>Alan</t>
  </si>
  <si>
    <t>Paula</t>
  </si>
  <si>
    <t>Edward</t>
  </si>
  <si>
    <t>Harlin</t>
  </si>
  <si>
    <t>Laura</t>
  </si>
  <si>
    <t>Shirley</t>
  </si>
  <si>
    <t>Iysiah</t>
  </si>
  <si>
    <t>Zaharoula</t>
  </si>
  <si>
    <t>Connie</t>
  </si>
  <si>
    <t>Karen</t>
  </si>
  <si>
    <t>Jayne</t>
  </si>
  <si>
    <t>Maniecki</t>
  </si>
  <si>
    <t>Hanley</t>
  </si>
  <si>
    <t>Vargo</t>
  </si>
  <si>
    <t>Zahler</t>
  </si>
  <si>
    <t>Gropper</t>
  </si>
  <si>
    <t>Askin</t>
  </si>
  <si>
    <t>Kercher</t>
  </si>
  <si>
    <t>Kunkel</t>
  </si>
  <si>
    <t>Hill</t>
  </si>
  <si>
    <t>Perry</t>
  </si>
  <si>
    <t>Maull</t>
  </si>
  <si>
    <t>Diamantakos</t>
  </si>
  <si>
    <t>Gangnon</t>
  </si>
  <si>
    <t>Duke</t>
  </si>
  <si>
    <t>Bressner</t>
  </si>
  <si>
    <t>C25400002</t>
  </si>
  <si>
    <t>S06600001</t>
  </si>
  <si>
    <t>S06500001</t>
  </si>
  <si>
    <t>P15400002</t>
  </si>
  <si>
    <t>Dental</t>
  </si>
  <si>
    <t>Medicare Supplement</t>
  </si>
  <si>
    <t>PA</t>
  </si>
  <si>
    <t>OH</t>
  </si>
  <si>
    <t>IL</t>
  </si>
  <si>
    <t>MD</t>
  </si>
  <si>
    <t>IN</t>
  </si>
  <si>
    <t>2025-10-31</t>
  </si>
  <si>
    <t>2025-10-28</t>
  </si>
  <si>
    <t>2025-11-28</t>
  </si>
  <si>
    <t>2025-12-01</t>
  </si>
  <si>
    <t>2026-02-01</t>
  </si>
  <si>
    <t>2025-12-05</t>
  </si>
  <si>
    <t>55</t>
  </si>
  <si>
    <t>64</t>
  </si>
  <si>
    <t>66</t>
  </si>
  <si>
    <t>65</t>
  </si>
  <si>
    <t>86</t>
  </si>
  <si>
    <t>71</t>
  </si>
  <si>
    <t>70</t>
  </si>
  <si>
    <t>58</t>
  </si>
  <si>
    <t>25</t>
  </si>
  <si>
    <t>79</t>
  </si>
  <si>
    <t>81</t>
  </si>
  <si>
    <t>69</t>
  </si>
  <si>
    <t>MONTHLY</t>
  </si>
  <si>
    <t>RCVP</t>
  </si>
  <si>
    <t>RCVP-R</t>
  </si>
  <si>
    <t>2</t>
  </si>
  <si>
    <t>1</t>
  </si>
  <si>
    <t>4</t>
  </si>
  <si>
    <t>3</t>
  </si>
  <si>
    <t>110.20</t>
  </si>
  <si>
    <t>68.45</t>
  </si>
  <si>
    <t>130.09</t>
  </si>
  <si>
    <t>279.06</t>
  </si>
  <si>
    <t>115.86</t>
  </si>
  <si>
    <t>136.22</t>
  </si>
  <si>
    <t>123.24</t>
  </si>
  <si>
    <t>127.65</t>
  </si>
  <si>
    <t>170.91</t>
  </si>
  <si>
    <t>149.69</t>
  </si>
  <si>
    <t>47.70</t>
  </si>
  <si>
    <t>39.45</t>
  </si>
  <si>
    <t>173.60</t>
  </si>
  <si>
    <t>56.50</t>
  </si>
  <si>
    <t>137.01</t>
  </si>
  <si>
    <t>0.00</t>
  </si>
  <si>
    <t>243.62</t>
  </si>
  <si>
    <t>100.00000</t>
  </si>
  <si>
    <t>25.00%</t>
  </si>
  <si>
    <t>0.00%</t>
  </si>
  <si>
    <t>21.00%</t>
  </si>
  <si>
    <t>2.00%</t>
  </si>
  <si>
    <t>20.80%</t>
  </si>
  <si>
    <t>Y</t>
  </si>
  <si>
    <t>N</t>
  </si>
  <si>
    <t>9.50%</t>
  </si>
  <si>
    <t>3.90%</t>
  </si>
  <si>
    <t>2.80%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</si>
  <si>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</si>
  <si>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</si>
  <si>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</si>
  <si>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</si>
  <si>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</si>
  <si>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</si>
  <si>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</si>
  <si>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</si>
  <si>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</si>
  <si>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</si>
  <si>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</si>
  <si>
    <t>Inskipt Deborah</t>
  </si>
  <si>
    <t>McCorkle Michelle</t>
  </si>
  <si>
    <t>Brandt Steven</t>
  </si>
  <si>
    <t>Kucan Thomas</t>
  </si>
  <si>
    <t>Petrungaro Andrea</t>
  </si>
  <si>
    <t>Green Danna</t>
  </si>
  <si>
    <t>Open Enrollment underwritten IL</t>
  </si>
  <si>
    <t>Open Enrollment - States Where Available</t>
  </si>
  <si>
    <t>Standard Dental</t>
  </si>
  <si>
    <t>Physician Mutual OVR</t>
  </si>
  <si>
    <t>All Other Guarantee Issue, Underage, &amp; Issue Age 80+</t>
  </si>
  <si>
    <t>Main Line Benefits</t>
  </si>
  <si>
    <t>8/1/2025</t>
  </si>
  <si>
    <t>10/1/2025</t>
  </si>
  <si>
    <t>9/1/2025</t>
  </si>
  <si>
    <t>1/1/2026</t>
  </si>
  <si>
    <t>11/1/2025</t>
  </si>
  <si>
    <t>9/28/2025</t>
  </si>
  <si>
    <t>9/5/2025</t>
  </si>
  <si>
    <t>12/1/2025</t>
  </si>
  <si>
    <t>2/1/2026</t>
  </si>
  <si>
    <t>11/28/2025</t>
  </si>
  <si>
    <t>12/5/2025</t>
  </si>
  <si>
    <t>RN</t>
  </si>
  <si>
    <t>AV1</t>
  </si>
  <si>
    <t>AE</t>
  </si>
  <si>
    <t>H750073798</t>
  </si>
  <si>
    <t>H750075298</t>
  </si>
  <si>
    <t>H750075562</t>
  </si>
  <si>
    <t>H750077920</t>
  </si>
  <si>
    <t>H750075022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</si>
</sst>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opLeftCell="E1" workbookViewId="0">
      <selection activeCell="A3" sqref="A3:XFD3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29</v>
      </c>
      <c r="C2" t="s">
        <v>37</v>
      </c>
      <c r="D2" t="s">
        <v>54</v>
      </c>
      <c r="E2" t="s">
        <v>71</v>
      </c>
      <c r="F2" t="s">
        <v>86</v>
      </c>
      <c r="G2" t="s">
        <v>90</v>
      </c>
      <c r="H2" t="s">
        <v>92</v>
      </c>
      <c r="I2" t="s">
        <v>97</v>
      </c>
      <c r="J2" t="s">
        <v>99</v>
      </c>
      <c r="K2" t="s">
        <v>103</v>
      </c>
      <c r="L2" t="s">
        <v>115</v>
      </c>
      <c r="M2" t="s">
        <v>116</v>
      </c>
      <c r="N2" t="s">
        <v>118</v>
      </c>
      <c r="O2" t="s">
        <v>122</v>
      </c>
      <c r="P2" t="s">
        <v>137</v>
      </c>
      <c r="Q2" t="s">
        <v>122</v>
      </c>
      <c r="R2" t="s">
        <v>139</v>
      </c>
      <c r="S2" t="s">
        <v>140</v>
      </c>
      <c r="T2">
        <v>27.55</v>
      </c>
      <c r="U2" t="s">
        <v>145</v>
      </c>
    </row>
    <row r="3" spans="1:21" x14ac:dyDescent="0.25">
      <c r="A3" t="s">
        <v>22</v>
      </c>
      <c r="B3" t="s">
        <v>30</v>
      </c>
      <c r="C3" t="s">
        <v>38</v>
      </c>
      <c r="D3" t="s">
        <v>55</v>
      </c>
      <c r="E3" t="s">
        <v>72</v>
      </c>
      <c r="F3" t="s">
        <v>86</v>
      </c>
      <c r="G3" t="s">
        <v>90</v>
      </c>
      <c r="H3" t="s">
        <v>92</v>
      </c>
      <c r="I3" t="s">
        <v>97</v>
      </c>
      <c r="J3" t="s">
        <v>100</v>
      </c>
      <c r="K3" t="s">
        <v>104</v>
      </c>
      <c r="L3" t="s">
        <v>115</v>
      </c>
      <c r="M3" t="s">
        <v>116</v>
      </c>
      <c r="N3" t="s">
        <v>119</v>
      </c>
      <c r="O3" t="s">
        <v>123</v>
      </c>
      <c r="P3" t="s">
        <v>137</v>
      </c>
      <c r="Q3" t="s">
        <v>123</v>
      </c>
      <c r="R3" t="s">
        <v>139</v>
      </c>
      <c r="S3" t="s">
        <v>141</v>
      </c>
      <c r="T3">
        <v>0</v>
      </c>
      <c r="U3" t="s">
        <v>146</v>
      </c>
    </row>
    <row r="4" spans="1:21" x14ac:dyDescent="0.25">
      <c r="A4" t="s">
        <v>23</v>
      </c>
      <c r="B4" t="s">
        <v>31</v>
      </c>
      <c r="C4" t="s">
        <v>39</v>
      </c>
      <c r="D4" t="s">
        <v>56</v>
      </c>
      <c r="E4" t="s">
        <v>73</v>
      </c>
      <c r="F4" t="s">
        <v>87</v>
      </c>
      <c r="G4" t="s">
        <v>91</v>
      </c>
      <c r="H4" t="s">
        <v>93</v>
      </c>
      <c r="I4" t="s">
        <v>98</v>
      </c>
      <c r="J4" t="s">
        <v>101</v>
      </c>
      <c r="K4" t="s">
        <v>105</v>
      </c>
      <c r="L4" t="s">
        <v>115</v>
      </c>
      <c r="M4" t="s">
        <v>117</v>
      </c>
      <c r="N4" t="s">
        <v>119</v>
      </c>
      <c r="O4" t="s">
        <v>124</v>
      </c>
      <c r="P4" t="s">
        <v>137</v>
      </c>
      <c r="Q4" t="s">
        <v>124</v>
      </c>
      <c r="R4" t="s">
        <v>139</v>
      </c>
      <c r="S4" t="s">
        <v>142</v>
      </c>
      <c r="T4">
        <v>27.32</v>
      </c>
      <c r="U4" t="s">
        <v>145</v>
      </c>
    </row>
    <row r="5" spans="1:21" x14ac:dyDescent="0.25">
      <c r="A5" t="s">
        <v>23</v>
      </c>
      <c r="B5" t="s">
        <v>31</v>
      </c>
      <c r="C5" t="s">
        <v>40</v>
      </c>
      <c r="D5" t="s">
        <v>57</v>
      </c>
      <c r="E5" t="s">
        <v>74</v>
      </c>
      <c r="F5" t="s">
        <v>87</v>
      </c>
      <c r="G5" t="s">
        <v>91</v>
      </c>
      <c r="H5" t="s">
        <v>93</v>
      </c>
      <c r="I5" t="s">
        <v>97</v>
      </c>
      <c r="J5" t="s">
        <v>101</v>
      </c>
      <c r="K5" t="s">
        <v>106</v>
      </c>
      <c r="L5" t="s">
        <v>115</v>
      </c>
      <c r="M5" t="s">
        <v>116</v>
      </c>
      <c r="N5" t="s">
        <v>119</v>
      </c>
      <c r="O5" t="s">
        <v>124</v>
      </c>
      <c r="P5" t="s">
        <v>137</v>
      </c>
      <c r="Q5" t="s">
        <v>124</v>
      </c>
      <c r="R5" t="s">
        <v>139</v>
      </c>
      <c r="S5" t="s">
        <v>142</v>
      </c>
      <c r="T5">
        <v>27.32</v>
      </c>
      <c r="U5" t="s">
        <v>145</v>
      </c>
    </row>
    <row r="6" spans="1:21" x14ac:dyDescent="0.25">
      <c r="A6" t="s">
        <v>23</v>
      </c>
      <c r="B6" t="s">
        <v>31</v>
      </c>
      <c r="C6" t="s">
        <v>41</v>
      </c>
      <c r="D6" t="s">
        <v>58</v>
      </c>
      <c r="E6" t="s">
        <v>75</v>
      </c>
      <c r="F6" t="s">
        <v>88</v>
      </c>
      <c r="G6" t="s">
        <v>91</v>
      </c>
      <c r="H6" t="s">
        <v>93</v>
      </c>
      <c r="I6" t="s">
        <v>97</v>
      </c>
      <c r="J6" t="s">
        <v>100</v>
      </c>
      <c r="K6" t="s">
        <v>107</v>
      </c>
      <c r="L6" t="s">
        <v>115</v>
      </c>
      <c r="M6" t="s">
        <v>117</v>
      </c>
      <c r="N6" t="s">
        <v>120</v>
      </c>
      <c r="O6" t="s">
        <v>125</v>
      </c>
      <c r="P6" t="s">
        <v>137</v>
      </c>
      <c r="Q6" t="s">
        <v>138</v>
      </c>
      <c r="R6" t="s">
        <v>139</v>
      </c>
      <c r="S6" t="s">
        <v>143</v>
      </c>
      <c r="T6">
        <v>4.87</v>
      </c>
      <c r="U6" t="s">
        <v>146</v>
      </c>
    </row>
    <row r="7" spans="1:21" x14ac:dyDescent="0.25">
      <c r="A7" t="s">
        <v>23</v>
      </c>
      <c r="B7" t="s">
        <v>31</v>
      </c>
      <c r="C7" t="s">
        <v>42</v>
      </c>
      <c r="D7" t="s">
        <v>59</v>
      </c>
      <c r="E7" t="s">
        <v>76</v>
      </c>
      <c r="F7" t="s">
        <v>87</v>
      </c>
      <c r="G7" t="s">
        <v>91</v>
      </c>
      <c r="H7" t="s">
        <v>93</v>
      </c>
      <c r="I7" t="s">
        <v>97</v>
      </c>
      <c r="J7" t="s">
        <v>100</v>
      </c>
      <c r="K7" t="s">
        <v>106</v>
      </c>
      <c r="L7" t="s">
        <v>115</v>
      </c>
      <c r="M7" t="s">
        <v>117</v>
      </c>
      <c r="N7" t="s">
        <v>118</v>
      </c>
      <c r="O7" t="s">
        <v>126</v>
      </c>
      <c r="P7" t="s">
        <v>137</v>
      </c>
      <c r="Q7" t="s">
        <v>126</v>
      </c>
      <c r="R7" t="s">
        <v>139</v>
      </c>
      <c r="S7" t="s">
        <v>142</v>
      </c>
      <c r="T7">
        <v>24.33</v>
      </c>
      <c r="U7" t="s">
        <v>145</v>
      </c>
    </row>
    <row r="8" spans="1:21" x14ac:dyDescent="0.25">
      <c r="A8" t="s">
        <v>23</v>
      </c>
      <c r="B8" t="s">
        <v>31</v>
      </c>
      <c r="C8" t="s">
        <v>43</v>
      </c>
      <c r="D8" t="s">
        <v>60</v>
      </c>
      <c r="E8" t="s">
        <v>77</v>
      </c>
      <c r="F8" t="s">
        <v>87</v>
      </c>
      <c r="G8" t="s">
        <v>91</v>
      </c>
      <c r="H8" t="s">
        <v>93</v>
      </c>
      <c r="I8" t="s">
        <v>97</v>
      </c>
      <c r="J8" t="s">
        <v>100</v>
      </c>
      <c r="K8" t="s">
        <v>106</v>
      </c>
      <c r="L8" t="s">
        <v>115</v>
      </c>
      <c r="M8" t="s">
        <v>116</v>
      </c>
      <c r="N8" t="s">
        <v>119</v>
      </c>
      <c r="O8" t="s">
        <v>127</v>
      </c>
      <c r="P8" t="s">
        <v>137</v>
      </c>
      <c r="Q8" t="s">
        <v>127</v>
      </c>
      <c r="R8" t="s">
        <v>139</v>
      </c>
      <c r="S8" t="s">
        <v>142</v>
      </c>
      <c r="T8">
        <v>28.61</v>
      </c>
      <c r="U8" t="s">
        <v>145</v>
      </c>
    </row>
    <row r="9" spans="1:21" x14ac:dyDescent="0.25">
      <c r="A9" t="s">
        <v>23</v>
      </c>
      <c r="B9" t="s">
        <v>31</v>
      </c>
      <c r="C9" t="s">
        <v>44</v>
      </c>
      <c r="D9" t="s">
        <v>61</v>
      </c>
      <c r="E9" t="s">
        <v>77</v>
      </c>
      <c r="F9" t="s">
        <v>87</v>
      </c>
      <c r="G9" t="s">
        <v>91</v>
      </c>
      <c r="H9" t="s">
        <v>93</v>
      </c>
      <c r="I9" t="s">
        <v>97</v>
      </c>
      <c r="J9" t="s">
        <v>100</v>
      </c>
      <c r="K9" t="s">
        <v>106</v>
      </c>
      <c r="L9" t="s">
        <v>115</v>
      </c>
      <c r="M9" t="s">
        <v>116</v>
      </c>
      <c r="N9" t="s">
        <v>119</v>
      </c>
      <c r="O9" t="s">
        <v>128</v>
      </c>
      <c r="P9" t="s">
        <v>137</v>
      </c>
      <c r="Q9" t="s">
        <v>128</v>
      </c>
      <c r="R9" t="s">
        <v>139</v>
      </c>
      <c r="S9" t="s">
        <v>142</v>
      </c>
      <c r="T9">
        <v>25.88</v>
      </c>
      <c r="U9" t="s">
        <v>145</v>
      </c>
    </row>
    <row r="10" spans="1:21" x14ac:dyDescent="0.25">
      <c r="A10" t="s">
        <v>24</v>
      </c>
      <c r="B10" t="s">
        <v>32</v>
      </c>
      <c r="C10" t="s">
        <v>45</v>
      </c>
      <c r="D10" t="s">
        <v>62</v>
      </c>
      <c r="E10" t="s">
        <v>78</v>
      </c>
      <c r="F10" t="s">
        <v>89</v>
      </c>
      <c r="G10" t="s">
        <v>90</v>
      </c>
      <c r="H10" t="s">
        <v>94</v>
      </c>
      <c r="I10" t="s">
        <v>97</v>
      </c>
      <c r="J10" t="s">
        <v>102</v>
      </c>
      <c r="K10" t="s">
        <v>105</v>
      </c>
      <c r="L10" t="s">
        <v>115</v>
      </c>
      <c r="M10" t="s">
        <v>116</v>
      </c>
      <c r="N10" t="s">
        <v>121</v>
      </c>
      <c r="O10" t="s">
        <v>129</v>
      </c>
      <c r="P10" t="s">
        <v>137</v>
      </c>
      <c r="Q10" t="s">
        <v>129</v>
      </c>
      <c r="R10" t="s">
        <v>139</v>
      </c>
      <c r="S10" t="s">
        <v>140</v>
      </c>
      <c r="T10">
        <v>31.91</v>
      </c>
      <c r="U10" t="s">
        <v>145</v>
      </c>
    </row>
    <row r="11" spans="1:21" x14ac:dyDescent="0.25">
      <c r="A11" t="s">
        <v>24</v>
      </c>
      <c r="B11" t="s">
        <v>32</v>
      </c>
      <c r="C11" t="s">
        <v>46</v>
      </c>
      <c r="D11" t="s">
        <v>63</v>
      </c>
      <c r="E11" t="s">
        <v>79</v>
      </c>
      <c r="F11" t="s">
        <v>87</v>
      </c>
      <c r="G11" t="s">
        <v>91</v>
      </c>
      <c r="H11" t="s">
        <v>94</v>
      </c>
      <c r="I11" t="s">
        <v>97</v>
      </c>
      <c r="J11" t="s">
        <v>100</v>
      </c>
      <c r="K11" t="s">
        <v>108</v>
      </c>
      <c r="L11" t="s">
        <v>115</v>
      </c>
      <c r="M11" t="s">
        <v>117</v>
      </c>
      <c r="N11" t="s">
        <v>121</v>
      </c>
      <c r="O11" t="s">
        <v>130</v>
      </c>
      <c r="P11" t="s">
        <v>137</v>
      </c>
      <c r="Q11" t="s">
        <v>130</v>
      </c>
      <c r="R11" t="s">
        <v>139</v>
      </c>
      <c r="S11" t="s">
        <v>144</v>
      </c>
      <c r="T11">
        <v>35.549999999999997</v>
      </c>
      <c r="U11" t="s">
        <v>145</v>
      </c>
    </row>
    <row r="12" spans="1:21" x14ac:dyDescent="0.25">
      <c r="A12" t="s">
        <v>24</v>
      </c>
      <c r="B12" t="s">
        <v>32</v>
      </c>
      <c r="C12" t="s">
        <v>47</v>
      </c>
      <c r="D12" t="s">
        <v>64</v>
      </c>
      <c r="E12" t="s">
        <v>79</v>
      </c>
      <c r="F12" t="s">
        <v>87</v>
      </c>
      <c r="G12" t="s">
        <v>91</v>
      </c>
      <c r="H12" t="s">
        <v>94</v>
      </c>
      <c r="I12" t="s">
        <v>97</v>
      </c>
      <c r="J12" t="s">
        <v>100</v>
      </c>
      <c r="K12" t="s">
        <v>109</v>
      </c>
      <c r="L12" t="s">
        <v>115</v>
      </c>
      <c r="M12" t="s">
        <v>117</v>
      </c>
      <c r="N12" t="s">
        <v>121</v>
      </c>
      <c r="O12" t="s">
        <v>131</v>
      </c>
      <c r="P12" t="s">
        <v>137</v>
      </c>
      <c r="Q12" t="s">
        <v>131</v>
      </c>
      <c r="R12" t="s">
        <v>139</v>
      </c>
      <c r="S12" t="s">
        <v>144</v>
      </c>
      <c r="T12">
        <v>31.14</v>
      </c>
      <c r="U12" t="s">
        <v>145</v>
      </c>
    </row>
    <row r="13" spans="1:21" x14ac:dyDescent="0.25">
      <c r="A13" t="s">
        <v>25</v>
      </c>
      <c r="B13" t="s">
        <v>33</v>
      </c>
      <c r="C13" t="s">
        <v>48</v>
      </c>
      <c r="D13" t="s">
        <v>65</v>
      </c>
      <c r="E13" t="s">
        <v>80</v>
      </c>
      <c r="F13" t="s">
        <v>89</v>
      </c>
      <c r="G13" t="s">
        <v>90</v>
      </c>
      <c r="H13" t="s">
        <v>95</v>
      </c>
      <c r="I13" t="s">
        <v>97</v>
      </c>
      <c r="J13" t="s">
        <v>100</v>
      </c>
      <c r="K13" t="s">
        <v>110</v>
      </c>
      <c r="L13" t="s">
        <v>115</v>
      </c>
      <c r="M13" t="s">
        <v>116</v>
      </c>
      <c r="N13" t="s">
        <v>120</v>
      </c>
      <c r="O13" t="s">
        <v>132</v>
      </c>
      <c r="P13" t="s">
        <v>137</v>
      </c>
      <c r="Q13" t="s">
        <v>132</v>
      </c>
      <c r="R13" t="s">
        <v>139</v>
      </c>
      <c r="S13" t="s">
        <v>140</v>
      </c>
      <c r="T13">
        <v>11.93</v>
      </c>
      <c r="U13" t="s">
        <v>146</v>
      </c>
    </row>
    <row r="14" spans="1:21" x14ac:dyDescent="0.25">
      <c r="A14" t="s">
        <v>25</v>
      </c>
      <c r="B14" t="s">
        <v>33</v>
      </c>
      <c r="C14" t="s">
        <v>49</v>
      </c>
      <c r="D14" t="s">
        <v>66</v>
      </c>
      <c r="E14" t="s">
        <v>81</v>
      </c>
      <c r="F14" t="s">
        <v>89</v>
      </c>
      <c r="G14" t="s">
        <v>90</v>
      </c>
      <c r="H14" t="s">
        <v>95</v>
      </c>
      <c r="I14" t="s">
        <v>97</v>
      </c>
      <c r="J14" t="s">
        <v>100</v>
      </c>
      <c r="K14" t="s">
        <v>111</v>
      </c>
      <c r="L14" t="s">
        <v>115</v>
      </c>
      <c r="M14" t="s">
        <v>116</v>
      </c>
      <c r="N14" t="s">
        <v>118</v>
      </c>
      <c r="O14" t="s">
        <v>133</v>
      </c>
      <c r="P14" t="s">
        <v>137</v>
      </c>
      <c r="Q14" t="s">
        <v>133</v>
      </c>
      <c r="R14" t="s">
        <v>139</v>
      </c>
      <c r="S14" t="s">
        <v>140</v>
      </c>
      <c r="T14">
        <v>9.86</v>
      </c>
      <c r="U14" t="s">
        <v>145</v>
      </c>
    </row>
    <row r="15" spans="1:21" x14ac:dyDescent="0.25">
      <c r="A15" t="s">
        <v>26</v>
      </c>
      <c r="B15" t="s">
        <v>34</v>
      </c>
      <c r="C15" t="s">
        <v>50</v>
      </c>
      <c r="D15" t="s">
        <v>67</v>
      </c>
      <c r="E15" t="s">
        <v>82</v>
      </c>
      <c r="F15" t="s">
        <v>87</v>
      </c>
      <c r="G15" t="s">
        <v>91</v>
      </c>
      <c r="H15" t="s">
        <v>94</v>
      </c>
      <c r="I15" t="s">
        <v>97</v>
      </c>
      <c r="J15" t="s">
        <v>100</v>
      </c>
      <c r="K15" t="s">
        <v>112</v>
      </c>
      <c r="L15" t="s">
        <v>115</v>
      </c>
      <c r="M15" t="s">
        <v>117</v>
      </c>
      <c r="N15" t="s">
        <v>118</v>
      </c>
      <c r="O15" t="s">
        <v>134</v>
      </c>
      <c r="P15" t="s">
        <v>137</v>
      </c>
      <c r="Q15" t="s">
        <v>134</v>
      </c>
      <c r="R15" t="s">
        <v>139</v>
      </c>
      <c r="S15" t="s">
        <v>144</v>
      </c>
      <c r="T15">
        <v>36.11</v>
      </c>
      <c r="U15" t="s">
        <v>145</v>
      </c>
    </row>
    <row r="16" spans="1:21" x14ac:dyDescent="0.25">
      <c r="A16" t="s">
        <v>27</v>
      </c>
      <c r="B16" t="s">
        <v>35</v>
      </c>
      <c r="C16" t="s">
        <v>51</v>
      </c>
      <c r="D16" t="s">
        <v>68</v>
      </c>
      <c r="E16" t="s">
        <v>83</v>
      </c>
      <c r="F16" t="s">
        <v>89</v>
      </c>
      <c r="G16" t="s">
        <v>90</v>
      </c>
      <c r="H16" t="s">
        <v>96</v>
      </c>
      <c r="I16" t="s">
        <v>97</v>
      </c>
      <c r="J16" t="s">
        <v>100</v>
      </c>
      <c r="K16" t="s">
        <v>104</v>
      </c>
      <c r="L16" t="s">
        <v>115</v>
      </c>
      <c r="M16" t="s">
        <v>116</v>
      </c>
      <c r="N16" t="s">
        <v>120</v>
      </c>
      <c r="O16" t="s">
        <v>129</v>
      </c>
      <c r="P16" t="s">
        <v>137</v>
      </c>
      <c r="Q16" t="s">
        <v>129</v>
      </c>
      <c r="R16" t="s">
        <v>139</v>
      </c>
      <c r="S16" t="s">
        <v>140</v>
      </c>
      <c r="T16">
        <v>31.91</v>
      </c>
      <c r="U16" t="s">
        <v>146</v>
      </c>
    </row>
    <row r="17" spans="1:21" x14ac:dyDescent="0.25">
      <c r="A17" t="s">
        <v>27</v>
      </c>
      <c r="B17" t="s">
        <v>35</v>
      </c>
      <c r="C17" t="s">
        <v>52</v>
      </c>
      <c r="D17" t="s">
        <v>69</v>
      </c>
      <c r="E17" t="s">
        <v>84</v>
      </c>
      <c r="F17" t="s">
        <v>89</v>
      </c>
      <c r="G17" t="s">
        <v>90</v>
      </c>
      <c r="H17" t="s">
        <v>96</v>
      </c>
      <c r="I17" t="s">
        <v>97</v>
      </c>
      <c r="J17" t="s">
        <v>100</v>
      </c>
      <c r="K17" t="s">
        <v>113</v>
      </c>
      <c r="L17" t="s">
        <v>115</v>
      </c>
      <c r="M17" t="s">
        <v>116</v>
      </c>
      <c r="N17" t="s">
        <v>120</v>
      </c>
      <c r="O17" t="s">
        <v>135</v>
      </c>
      <c r="P17" t="s">
        <v>137</v>
      </c>
      <c r="Q17" t="s">
        <v>135</v>
      </c>
      <c r="R17" t="s">
        <v>139</v>
      </c>
      <c r="S17" t="s">
        <v>140</v>
      </c>
      <c r="T17">
        <v>14.13</v>
      </c>
      <c r="U17" t="s">
        <v>146</v>
      </c>
    </row>
    <row r="18" spans="1:21" x14ac:dyDescent="0.25">
      <c r="A18" t="s">
        <v>28</v>
      </c>
      <c r="B18" t="s">
        <v>36</v>
      </c>
      <c r="C18" t="s">
        <v>53</v>
      </c>
      <c r="D18" t="s">
        <v>70</v>
      </c>
      <c r="E18" t="s">
        <v>85</v>
      </c>
      <c r="F18" t="s">
        <v>87</v>
      </c>
      <c r="G18" t="s">
        <v>91</v>
      </c>
      <c r="H18" t="s">
        <v>94</v>
      </c>
      <c r="I18" t="s">
        <v>97</v>
      </c>
      <c r="J18" t="s">
        <v>100</v>
      </c>
      <c r="K18" t="s">
        <v>114</v>
      </c>
      <c r="L18" t="s">
        <v>115</v>
      </c>
      <c r="M18" t="s">
        <v>117</v>
      </c>
      <c r="N18" t="s">
        <v>118</v>
      </c>
      <c r="O18" t="s">
        <v>136</v>
      </c>
      <c r="P18" t="s">
        <v>137</v>
      </c>
      <c r="Q18" t="s">
        <v>136</v>
      </c>
      <c r="R18" t="s">
        <v>139</v>
      </c>
      <c r="S18" t="s">
        <v>144</v>
      </c>
      <c r="T18">
        <v>28.5</v>
      </c>
      <c r="U18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E1C0-CB6F-4CB3-9C2B-BA9E38EF850D}">
  <dimension ref="A1:Y35"/>
  <sheetViews>
    <sheetView workbookViewId="0">
      <selection activeCell="F22" sqref="F22"/>
    </sheetView>
  </sheetViews>
  <sheetFormatPr defaultRowHeight="15" x14ac:dyDescent="0.25"/>
  <cols>
    <col min="1" max="1" width="24.5703125" bestFit="1" customWidth="1"/>
    <col min="2" max="2" width="11.7109375" customWidth="1"/>
    <col min="3" max="3" width="13.7109375" bestFit="1" customWidth="1"/>
    <col min="4" max="4" width="15.28515625" bestFit="1" customWidth="1"/>
    <col min="5" max="5" width="13.28515625" customWidth="1"/>
    <col min="6" max="6" width="14.140625" customWidth="1"/>
    <col min="7" max="7" width="20.5703125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2" width="9.7109375" bestFit="1" customWidth="1"/>
    <col min="13" max="15" width="7.28515625" customWidth="1"/>
    <col min="16" max="16" width="10.5703125" customWidth="1"/>
    <col min="17" max="17" width="9.28515625" customWidth="1"/>
    <col min="18" max="18" width="9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13</v>
      </c>
      <c r="N1" s="1"/>
      <c r="O1" s="1"/>
      <c r="P1" s="1" t="s">
        <v>16</v>
      </c>
      <c r="Q1" s="1" t="s">
        <v>18</v>
      </c>
      <c r="R1" s="1" t="s">
        <v>19</v>
      </c>
    </row>
    <row r="2" spans="1:25" s="5" customFormat="1" x14ac:dyDescent="0.25">
      <c r="A2" s="5" t="s">
        <v>28</v>
      </c>
      <c r="B2" s="5">
        <v>18828278</v>
      </c>
      <c r="C2" s="5" t="s">
        <v>53</v>
      </c>
      <c r="D2" s="5" t="s">
        <v>53</v>
      </c>
      <c r="E2" s="5" t="s">
        <v>70</v>
      </c>
      <c r="F2" s="5" t="s">
        <v>85</v>
      </c>
      <c r="G2" s="5" t="str">
        <f t="shared" ref="G2:G18" si="0">CONCATENATE(E2, " ",F2)</f>
        <v>Jayne Bressner</v>
      </c>
      <c r="H2" s="5" t="s">
        <v>91</v>
      </c>
      <c r="I2" s="5" t="s">
        <v>94</v>
      </c>
      <c r="J2" s="5" t="s">
        <v>174</v>
      </c>
      <c r="K2" s="5" t="s">
        <v>180</v>
      </c>
      <c r="L2" s="5" t="s">
        <v>115</v>
      </c>
      <c r="M2" s="5">
        <f t="shared" ref="M2:M18" si="1">DATEDIF(J2,K2,"M")</f>
        <v>2</v>
      </c>
      <c r="N2" s="5" t="s">
        <v>184</v>
      </c>
      <c r="O2" s="5" t="s">
        <v>185</v>
      </c>
      <c r="P2" s="5">
        <v>137.01</v>
      </c>
      <c r="Q2" s="6">
        <v>0.20799999999999999</v>
      </c>
      <c r="R2" s="5">
        <v>28.5</v>
      </c>
      <c r="S2" s="5" t="s">
        <v>167</v>
      </c>
    </row>
    <row r="3" spans="1:25" s="5" customFormat="1" x14ac:dyDescent="0.25">
      <c r="A3" s="5" t="s">
        <v>165</v>
      </c>
      <c r="B3" s="5">
        <v>16912722</v>
      </c>
      <c r="C3" s="5" t="s">
        <v>50</v>
      </c>
      <c r="D3" s="5" t="s">
        <v>50</v>
      </c>
      <c r="E3" s="5" t="s">
        <v>67</v>
      </c>
      <c r="F3" s="5" t="s">
        <v>82</v>
      </c>
      <c r="G3" s="5" t="str">
        <f t="shared" si="0"/>
        <v>Zaharoula Diamantakos</v>
      </c>
      <c r="H3" s="5" t="s">
        <v>91</v>
      </c>
      <c r="I3" s="5" t="s">
        <v>94</v>
      </c>
      <c r="J3" s="5" t="s">
        <v>174</v>
      </c>
      <c r="K3" s="5" t="s">
        <v>180</v>
      </c>
      <c r="L3" s="5" t="s">
        <v>115</v>
      </c>
      <c r="M3" s="5">
        <f t="shared" si="1"/>
        <v>2</v>
      </c>
      <c r="N3" s="5" t="s">
        <v>184</v>
      </c>
      <c r="O3" s="5" t="s">
        <v>185</v>
      </c>
      <c r="P3" s="5">
        <v>173.6</v>
      </c>
      <c r="Q3" s="6">
        <v>0.20799999999999999</v>
      </c>
      <c r="R3" s="5">
        <v>36.11</v>
      </c>
      <c r="S3" s="5" t="s">
        <v>167</v>
      </c>
    </row>
    <row r="4" spans="1:25" s="5" customFormat="1" x14ac:dyDescent="0.25">
      <c r="A4" s="5" t="s">
        <v>164</v>
      </c>
      <c r="B4" s="5">
        <v>16202925</v>
      </c>
      <c r="C4" s="5" t="s">
        <v>49</v>
      </c>
      <c r="D4" s="5" t="s">
        <v>49</v>
      </c>
      <c r="E4" s="5" t="s">
        <v>66</v>
      </c>
      <c r="F4" s="5" t="s">
        <v>81</v>
      </c>
      <c r="G4" s="5" t="str">
        <f t="shared" si="0"/>
        <v>Iysiah Maull</v>
      </c>
      <c r="H4" s="5" t="s">
        <v>90</v>
      </c>
      <c r="I4" s="5" t="s">
        <v>95</v>
      </c>
      <c r="J4" s="5" t="s">
        <v>174</v>
      </c>
      <c r="K4" s="5" t="s">
        <v>180</v>
      </c>
      <c r="L4" s="5" t="s">
        <v>115</v>
      </c>
      <c r="M4" s="5">
        <f t="shared" si="1"/>
        <v>2</v>
      </c>
      <c r="N4" s="5" t="s">
        <v>184</v>
      </c>
      <c r="O4" s="5" t="s">
        <v>185</v>
      </c>
      <c r="P4" s="5">
        <v>39.450000000000003</v>
      </c>
      <c r="Q4" s="6">
        <v>0.25</v>
      </c>
      <c r="R4" s="5">
        <v>9.86</v>
      </c>
      <c r="S4" s="5" t="s">
        <v>169</v>
      </c>
    </row>
    <row r="5" spans="1:25" s="5" customFormat="1" x14ac:dyDescent="0.25">
      <c r="A5" s="5" t="s">
        <v>24</v>
      </c>
      <c r="B5" s="5">
        <v>8812322</v>
      </c>
      <c r="C5" s="5" t="s">
        <v>46</v>
      </c>
      <c r="D5" s="5" t="s">
        <v>46</v>
      </c>
      <c r="E5" s="5" t="s">
        <v>63</v>
      </c>
      <c r="F5" s="5" t="s">
        <v>79</v>
      </c>
      <c r="G5" s="5" t="str">
        <f t="shared" si="0"/>
        <v>Harlin Hill</v>
      </c>
      <c r="H5" s="5" t="s">
        <v>91</v>
      </c>
      <c r="I5" s="5" t="s">
        <v>94</v>
      </c>
      <c r="J5" s="5" t="s">
        <v>175</v>
      </c>
      <c r="K5" s="5" t="s">
        <v>180</v>
      </c>
      <c r="L5" s="5" t="s">
        <v>115</v>
      </c>
      <c r="M5" s="5">
        <f t="shared" si="1"/>
        <v>3</v>
      </c>
      <c r="N5" s="5" t="s">
        <v>184</v>
      </c>
      <c r="O5" s="5" t="s">
        <v>185</v>
      </c>
      <c r="P5" s="5">
        <v>170.91</v>
      </c>
      <c r="Q5" s="6">
        <v>0.20799999999999999</v>
      </c>
      <c r="R5" s="5">
        <v>35.549999999999997</v>
      </c>
      <c r="S5" s="5" t="s">
        <v>167</v>
      </c>
    </row>
    <row r="6" spans="1:25" s="5" customFormat="1" x14ac:dyDescent="0.25">
      <c r="A6" s="5" t="s">
        <v>24</v>
      </c>
      <c r="B6" s="5">
        <v>8812322</v>
      </c>
      <c r="C6" s="5" t="s">
        <v>47</v>
      </c>
      <c r="D6" s="5" t="s">
        <v>47</v>
      </c>
      <c r="E6" s="5" t="s">
        <v>64</v>
      </c>
      <c r="F6" s="5" t="s">
        <v>79</v>
      </c>
      <c r="G6" s="5" t="str">
        <f t="shared" si="0"/>
        <v>Laura Hill</v>
      </c>
      <c r="H6" s="5" t="s">
        <v>91</v>
      </c>
      <c r="I6" s="5" t="s">
        <v>94</v>
      </c>
      <c r="J6" s="5" t="s">
        <v>175</v>
      </c>
      <c r="K6" s="5" t="s">
        <v>180</v>
      </c>
      <c r="L6" s="5" t="s">
        <v>115</v>
      </c>
      <c r="M6" s="5">
        <f t="shared" si="1"/>
        <v>3</v>
      </c>
      <c r="N6" s="5" t="s">
        <v>184</v>
      </c>
      <c r="O6" s="5" t="s">
        <v>185</v>
      </c>
      <c r="P6" s="5">
        <v>149.69</v>
      </c>
      <c r="Q6" s="6">
        <v>0.20799999999999999</v>
      </c>
      <c r="R6" s="5">
        <v>31.14</v>
      </c>
      <c r="S6" s="5" t="s">
        <v>167</v>
      </c>
    </row>
    <row r="7" spans="1:25" s="5" customFormat="1" x14ac:dyDescent="0.25">
      <c r="A7" s="5" t="s">
        <v>24</v>
      </c>
      <c r="B7" s="5">
        <v>8812322</v>
      </c>
      <c r="C7" s="5" t="s">
        <v>45</v>
      </c>
      <c r="D7" s="5" t="s">
        <v>45</v>
      </c>
      <c r="E7" s="5" t="s">
        <v>62</v>
      </c>
      <c r="F7" s="5" t="s">
        <v>78</v>
      </c>
      <c r="G7" s="5" t="str">
        <f t="shared" si="0"/>
        <v>Edward Kunkel</v>
      </c>
      <c r="H7" s="5" t="s">
        <v>90</v>
      </c>
      <c r="I7" s="5" t="s">
        <v>94</v>
      </c>
      <c r="J7" s="5" t="s">
        <v>179</v>
      </c>
      <c r="K7" s="5" t="s">
        <v>183</v>
      </c>
      <c r="L7" s="5" t="s">
        <v>115</v>
      </c>
      <c r="M7" s="5">
        <f t="shared" si="1"/>
        <v>3</v>
      </c>
      <c r="N7" s="5" t="s">
        <v>184</v>
      </c>
      <c r="O7" s="5" t="s">
        <v>185</v>
      </c>
      <c r="P7" s="5">
        <v>127.65</v>
      </c>
      <c r="Q7" s="6">
        <v>0.25</v>
      </c>
      <c r="R7" s="5">
        <v>31.91</v>
      </c>
      <c r="S7" s="5" t="s">
        <v>169</v>
      </c>
    </row>
    <row r="8" spans="1:25" s="5" customFormat="1" x14ac:dyDescent="0.25">
      <c r="A8" s="5" t="s">
        <v>166</v>
      </c>
      <c r="B8" s="5">
        <v>16849453</v>
      </c>
      <c r="C8" s="5" t="s">
        <v>51</v>
      </c>
      <c r="D8" s="5" t="s">
        <v>51</v>
      </c>
      <c r="E8" s="5" t="s">
        <v>68</v>
      </c>
      <c r="F8" s="5" t="s">
        <v>83</v>
      </c>
      <c r="G8" s="5" t="str">
        <f t="shared" si="0"/>
        <v>Connie Gangnon</v>
      </c>
      <c r="H8" s="5" t="s">
        <v>90</v>
      </c>
      <c r="I8" s="5" t="s">
        <v>96</v>
      </c>
      <c r="J8" s="5" t="s">
        <v>173</v>
      </c>
      <c r="K8" s="5" t="s">
        <v>180</v>
      </c>
      <c r="L8" s="5" t="s">
        <v>115</v>
      </c>
      <c r="M8" s="5">
        <f t="shared" si="1"/>
        <v>4</v>
      </c>
      <c r="N8" s="5" t="s">
        <v>184</v>
      </c>
      <c r="O8" s="5" t="s">
        <v>185</v>
      </c>
      <c r="P8" s="5">
        <v>127.65</v>
      </c>
      <c r="Q8" s="6">
        <v>0.25</v>
      </c>
      <c r="R8" s="5">
        <v>31.91</v>
      </c>
      <c r="S8" s="5" t="s">
        <v>169</v>
      </c>
    </row>
    <row r="9" spans="1:25" s="5" customFormat="1" x14ac:dyDescent="0.25">
      <c r="A9" s="5" t="s">
        <v>166</v>
      </c>
      <c r="B9" s="5">
        <v>16849453</v>
      </c>
      <c r="C9" s="5" t="s">
        <v>52</v>
      </c>
      <c r="D9" s="5" t="s">
        <v>52</v>
      </c>
      <c r="E9" s="5" t="s">
        <v>69</v>
      </c>
      <c r="F9" s="5" t="s">
        <v>84</v>
      </c>
      <c r="G9" s="5" t="str">
        <f t="shared" si="0"/>
        <v>Karen Duke</v>
      </c>
      <c r="H9" s="5" t="s">
        <v>90</v>
      </c>
      <c r="I9" s="5" t="s">
        <v>96</v>
      </c>
      <c r="J9" s="5" t="s">
        <v>173</v>
      </c>
      <c r="K9" s="5" t="s">
        <v>180</v>
      </c>
      <c r="L9" s="5" t="s">
        <v>115</v>
      </c>
      <c r="M9" s="5">
        <f t="shared" si="1"/>
        <v>4</v>
      </c>
      <c r="N9" s="5" t="s">
        <v>184</v>
      </c>
      <c r="O9" s="5" t="s">
        <v>185</v>
      </c>
      <c r="P9" s="5">
        <v>56.5</v>
      </c>
      <c r="Q9" s="6">
        <v>0.25</v>
      </c>
      <c r="R9" s="5">
        <v>14.13</v>
      </c>
      <c r="S9" s="5" t="s">
        <v>169</v>
      </c>
    </row>
    <row r="10" spans="1:25" s="5" customFormat="1" x14ac:dyDescent="0.25">
      <c r="A10" s="5" t="s">
        <v>164</v>
      </c>
      <c r="B10" s="5">
        <v>16202925</v>
      </c>
      <c r="C10" s="5" t="s">
        <v>48</v>
      </c>
      <c r="D10" s="5" t="s">
        <v>48</v>
      </c>
      <c r="E10" s="5" t="s">
        <v>65</v>
      </c>
      <c r="F10" s="5" t="s">
        <v>80</v>
      </c>
      <c r="G10" s="5" t="str">
        <f t="shared" si="0"/>
        <v>Shirley Perry</v>
      </c>
      <c r="H10" s="5" t="s">
        <v>90</v>
      </c>
      <c r="I10" s="5" t="s">
        <v>95</v>
      </c>
      <c r="J10" s="5" t="s">
        <v>173</v>
      </c>
      <c r="K10" s="5" t="s">
        <v>180</v>
      </c>
      <c r="L10" s="5" t="s">
        <v>115</v>
      </c>
      <c r="M10" s="5">
        <f t="shared" si="1"/>
        <v>4</v>
      </c>
      <c r="N10" s="5" t="s">
        <v>184</v>
      </c>
      <c r="O10" s="5" t="s">
        <v>185</v>
      </c>
      <c r="P10" s="5">
        <v>47.7</v>
      </c>
      <c r="Q10" s="6">
        <v>0.25</v>
      </c>
      <c r="R10" s="5">
        <v>11.93</v>
      </c>
      <c r="S10" s="5" t="s">
        <v>169</v>
      </c>
    </row>
    <row r="11" spans="1:25" x14ac:dyDescent="0.25">
      <c r="A11" t="s">
        <v>163</v>
      </c>
      <c r="B11">
        <v>19491313</v>
      </c>
      <c r="C11" t="s">
        <v>39</v>
      </c>
      <c r="D11" t="s">
        <v>39</v>
      </c>
      <c r="E11" t="s">
        <v>56</v>
      </c>
      <c r="F11" t="s">
        <v>73</v>
      </c>
      <c r="G11" t="str">
        <f t="shared" si="0"/>
        <v>Minnie Vargo</v>
      </c>
      <c r="H11" t="s">
        <v>91</v>
      </c>
      <c r="I11" t="s">
        <v>93</v>
      </c>
      <c r="J11" t="s">
        <v>176</v>
      </c>
      <c r="K11" t="s">
        <v>181</v>
      </c>
      <c r="L11" t="s">
        <v>115</v>
      </c>
      <c r="M11">
        <f t="shared" si="1"/>
        <v>1</v>
      </c>
      <c r="N11" t="s">
        <v>184</v>
      </c>
      <c r="O11" s="5" t="s">
        <v>185</v>
      </c>
      <c r="P11">
        <v>130.09</v>
      </c>
      <c r="Q11" s="2">
        <v>0.21</v>
      </c>
      <c r="R11">
        <v>27.32</v>
      </c>
      <c r="S11" t="s">
        <v>168</v>
      </c>
    </row>
    <row r="12" spans="1:25" s="5" customFormat="1" x14ac:dyDescent="0.25">
      <c r="A12" t="s">
        <v>163</v>
      </c>
      <c r="B12">
        <v>19491313</v>
      </c>
      <c r="C12" t="s">
        <v>40</v>
      </c>
      <c r="D12" t="s">
        <v>40</v>
      </c>
      <c r="E12" t="s">
        <v>57</v>
      </c>
      <c r="F12" t="s">
        <v>74</v>
      </c>
      <c r="G12" t="str">
        <f t="shared" si="0"/>
        <v>Michelle Zahler</v>
      </c>
      <c r="H12" t="s">
        <v>91</v>
      </c>
      <c r="I12" t="s">
        <v>93</v>
      </c>
      <c r="J12" t="s">
        <v>176</v>
      </c>
      <c r="K12" t="s">
        <v>181</v>
      </c>
      <c r="L12" t="s">
        <v>115</v>
      </c>
      <c r="M12">
        <f t="shared" si="1"/>
        <v>1</v>
      </c>
      <c r="N12" t="s">
        <v>184</v>
      </c>
      <c r="O12" s="5" t="s">
        <v>185</v>
      </c>
      <c r="P12">
        <v>130.09</v>
      </c>
      <c r="Q12" s="2">
        <v>0.21</v>
      </c>
      <c r="R12">
        <v>27.32</v>
      </c>
      <c r="S12" t="s">
        <v>168</v>
      </c>
      <c r="T12"/>
      <c r="U12"/>
      <c r="V12"/>
      <c r="W12"/>
      <c r="X12"/>
      <c r="Y12"/>
    </row>
    <row r="13" spans="1:25" s="5" customFormat="1" x14ac:dyDescent="0.25">
      <c r="A13" t="s">
        <v>163</v>
      </c>
      <c r="B13">
        <v>19491313</v>
      </c>
      <c r="C13" t="s">
        <v>43</v>
      </c>
      <c r="D13" t="s">
        <v>43</v>
      </c>
      <c r="E13" t="s">
        <v>60</v>
      </c>
      <c r="F13" t="s">
        <v>77</v>
      </c>
      <c r="G13" t="str">
        <f t="shared" si="0"/>
        <v>Alan Kercher</v>
      </c>
      <c r="H13" t="s">
        <v>91</v>
      </c>
      <c r="I13" t="s">
        <v>93</v>
      </c>
      <c r="J13" t="s">
        <v>177</v>
      </c>
      <c r="K13" t="s">
        <v>180</v>
      </c>
      <c r="L13" t="s">
        <v>115</v>
      </c>
      <c r="M13">
        <f t="shared" si="1"/>
        <v>1</v>
      </c>
      <c r="N13" t="s">
        <v>184</v>
      </c>
      <c r="O13" s="5" t="s">
        <v>185</v>
      </c>
      <c r="P13">
        <v>136.22</v>
      </c>
      <c r="Q13" s="2">
        <v>0.21</v>
      </c>
      <c r="R13">
        <v>28.61</v>
      </c>
      <c r="S13" t="s">
        <v>168</v>
      </c>
      <c r="T13"/>
      <c r="U13"/>
      <c r="V13"/>
      <c r="W13"/>
      <c r="X13"/>
      <c r="Y13"/>
    </row>
    <row r="14" spans="1:25" x14ac:dyDescent="0.25">
      <c r="A14" t="s">
        <v>163</v>
      </c>
      <c r="B14">
        <v>19491313</v>
      </c>
      <c r="C14" t="s">
        <v>44</v>
      </c>
      <c r="D14" t="s">
        <v>44</v>
      </c>
      <c r="E14" t="s">
        <v>61</v>
      </c>
      <c r="F14" t="s">
        <v>77</v>
      </c>
      <c r="G14" t="str">
        <f t="shared" si="0"/>
        <v>Paula Kercher</v>
      </c>
      <c r="H14" t="s">
        <v>91</v>
      </c>
      <c r="I14" t="s">
        <v>93</v>
      </c>
      <c r="J14" s="3">
        <v>45962</v>
      </c>
      <c r="K14" t="s">
        <v>180</v>
      </c>
      <c r="L14" t="s">
        <v>115</v>
      </c>
      <c r="M14">
        <f t="shared" si="1"/>
        <v>1</v>
      </c>
      <c r="N14" t="s">
        <v>184</v>
      </c>
      <c r="O14" s="5" t="s">
        <v>185</v>
      </c>
      <c r="P14">
        <v>123.24</v>
      </c>
      <c r="Q14" s="2">
        <v>0.21</v>
      </c>
      <c r="R14">
        <v>25.88</v>
      </c>
      <c r="S14" t="s">
        <v>168</v>
      </c>
    </row>
    <row r="15" spans="1:25" s="5" customFormat="1" x14ac:dyDescent="0.25">
      <c r="A15" t="s">
        <v>162</v>
      </c>
      <c r="B15">
        <v>18710070</v>
      </c>
      <c r="C15" t="s">
        <v>38</v>
      </c>
      <c r="D15" t="s">
        <v>38</v>
      </c>
      <c r="E15" t="s">
        <v>55</v>
      </c>
      <c r="F15" t="s">
        <v>72</v>
      </c>
      <c r="G15" t="str">
        <f t="shared" si="0"/>
        <v>John Hanley</v>
      </c>
      <c r="H15" t="s">
        <v>90</v>
      </c>
      <c r="I15" t="s">
        <v>92</v>
      </c>
      <c r="J15" t="s">
        <v>177</v>
      </c>
      <c r="K15" t="s">
        <v>180</v>
      </c>
      <c r="L15" t="s">
        <v>115</v>
      </c>
      <c r="M15">
        <f t="shared" si="1"/>
        <v>1</v>
      </c>
      <c r="N15" t="s">
        <v>184</v>
      </c>
      <c r="O15" t="s">
        <v>186</v>
      </c>
      <c r="P15">
        <v>68.45</v>
      </c>
      <c r="Q15" s="2">
        <v>0.25</v>
      </c>
      <c r="R15" s="4">
        <f>P15*Q15</f>
        <v>17.112500000000001</v>
      </c>
      <c r="S15" t="s">
        <v>169</v>
      </c>
      <c r="T15"/>
      <c r="U15"/>
      <c r="V15"/>
      <c r="W15"/>
      <c r="X15"/>
      <c r="Y15"/>
    </row>
    <row r="16" spans="1:25" s="5" customFormat="1" x14ac:dyDescent="0.25">
      <c r="A16" t="s">
        <v>163</v>
      </c>
      <c r="B16">
        <v>19491313</v>
      </c>
      <c r="C16" t="s">
        <v>42</v>
      </c>
      <c r="D16" t="s">
        <v>42</v>
      </c>
      <c r="E16" t="s">
        <v>59</v>
      </c>
      <c r="F16" t="s">
        <v>76</v>
      </c>
      <c r="G16" t="str">
        <f t="shared" si="0"/>
        <v>Ray Askin</v>
      </c>
      <c r="H16" t="s">
        <v>91</v>
      </c>
      <c r="I16" t="s">
        <v>93</v>
      </c>
      <c r="J16" t="s">
        <v>174</v>
      </c>
      <c r="K16" t="s">
        <v>180</v>
      </c>
      <c r="L16" t="s">
        <v>115</v>
      </c>
      <c r="M16">
        <f t="shared" si="1"/>
        <v>2</v>
      </c>
      <c r="N16" t="s">
        <v>184</v>
      </c>
      <c r="O16" s="5" t="s">
        <v>185</v>
      </c>
      <c r="P16">
        <v>115.86</v>
      </c>
      <c r="Q16" s="2">
        <v>0.21</v>
      </c>
      <c r="R16">
        <v>24.33</v>
      </c>
      <c r="S16" t="s">
        <v>168</v>
      </c>
      <c r="T16"/>
      <c r="U16"/>
      <c r="V16"/>
      <c r="W16"/>
      <c r="X16"/>
      <c r="Y16"/>
    </row>
    <row r="17" spans="1:25" s="5" customFormat="1" x14ac:dyDescent="0.25">
      <c r="A17" t="s">
        <v>161</v>
      </c>
      <c r="B17">
        <v>17528908</v>
      </c>
      <c r="C17" t="s">
        <v>37</v>
      </c>
      <c r="D17" t="s">
        <v>37</v>
      </c>
      <c r="E17" t="s">
        <v>54</v>
      </c>
      <c r="F17" t="s">
        <v>71</v>
      </c>
      <c r="G17" t="str">
        <f t="shared" si="0"/>
        <v>Kenneth Maniecki</v>
      </c>
      <c r="H17" t="s">
        <v>90</v>
      </c>
      <c r="I17" t="s">
        <v>92</v>
      </c>
      <c r="J17" t="s">
        <v>178</v>
      </c>
      <c r="K17" t="s">
        <v>182</v>
      </c>
      <c r="L17" t="s">
        <v>115</v>
      </c>
      <c r="M17">
        <f t="shared" si="1"/>
        <v>2</v>
      </c>
      <c r="N17" t="s">
        <v>184</v>
      </c>
      <c r="O17" t="s">
        <v>186</v>
      </c>
      <c r="P17">
        <v>110.2</v>
      </c>
      <c r="Q17" s="2">
        <v>0.25</v>
      </c>
      <c r="R17">
        <v>27.55</v>
      </c>
      <c r="S17" t="s">
        <v>169</v>
      </c>
      <c r="T17"/>
      <c r="U17"/>
      <c r="V17"/>
      <c r="W17"/>
      <c r="X17"/>
      <c r="Y17"/>
    </row>
    <row r="18" spans="1:25" s="5" customFormat="1" x14ac:dyDescent="0.25">
      <c r="A18" t="s">
        <v>163</v>
      </c>
      <c r="B18">
        <v>19491313</v>
      </c>
      <c r="C18" t="s">
        <v>41</v>
      </c>
      <c r="D18" t="s">
        <v>41</v>
      </c>
      <c r="E18" t="s">
        <v>58</v>
      </c>
      <c r="F18" t="s">
        <v>75</v>
      </c>
      <c r="G18" t="str">
        <f t="shared" si="0"/>
        <v>Ralph Gropper</v>
      </c>
      <c r="H18" t="s">
        <v>91</v>
      </c>
      <c r="I18" t="s">
        <v>93</v>
      </c>
      <c r="J18" t="s">
        <v>173</v>
      </c>
      <c r="K18" t="s">
        <v>180</v>
      </c>
      <c r="L18" t="s">
        <v>115</v>
      </c>
      <c r="M18">
        <f t="shared" si="1"/>
        <v>4</v>
      </c>
      <c r="N18" t="s">
        <v>184</v>
      </c>
      <c r="O18" s="5" t="s">
        <v>185</v>
      </c>
      <c r="P18">
        <v>243.62</v>
      </c>
      <c r="Q18" s="2">
        <v>0.02</v>
      </c>
      <c r="R18">
        <v>4.87</v>
      </c>
      <c r="S18" t="s">
        <v>171</v>
      </c>
      <c r="T18"/>
      <c r="U18"/>
      <c r="V18"/>
      <c r="W18"/>
      <c r="X18"/>
      <c r="Y18"/>
    </row>
    <row r="19" spans="1:25" x14ac:dyDescent="0.25">
      <c r="A19" t="s">
        <v>172</v>
      </c>
      <c r="B19">
        <v>20411454</v>
      </c>
      <c r="C19" t="s">
        <v>37</v>
      </c>
      <c r="D19" t="str">
        <f>CONCATENATE(C19,"OVR")</f>
        <v>H711045193OVR</v>
      </c>
      <c r="E19" t="s">
        <v>54</v>
      </c>
      <c r="F19" t="s">
        <v>71</v>
      </c>
      <c r="G19" t="str">
        <f t="shared" ref="G19:G35" si="2">CONCATENATE(E19, " ",F19)</f>
        <v>Kenneth Maniecki</v>
      </c>
      <c r="H19" t="s">
        <v>90</v>
      </c>
      <c r="I19" t="s">
        <v>92</v>
      </c>
      <c r="J19" t="s">
        <v>178</v>
      </c>
      <c r="K19" t="s">
        <v>182</v>
      </c>
      <c r="L19" t="s">
        <v>115</v>
      </c>
      <c r="M19">
        <v>2</v>
      </c>
      <c r="N19" t="s">
        <v>184</v>
      </c>
      <c r="O19" t="s">
        <v>186</v>
      </c>
      <c r="P19">
        <v>10.47</v>
      </c>
      <c r="Q19" s="2">
        <v>9.5000000000000001E-2</v>
      </c>
      <c r="R19">
        <v>10.47</v>
      </c>
      <c r="S19" t="s">
        <v>170</v>
      </c>
    </row>
    <row r="20" spans="1:25" x14ac:dyDescent="0.25">
      <c r="A20" t="s">
        <v>172</v>
      </c>
      <c r="B20">
        <v>20411454</v>
      </c>
      <c r="C20" t="s">
        <v>38</v>
      </c>
      <c r="D20" t="str">
        <f t="shared" ref="D20:D35" si="3">CONCATENATE(C20,"OVR")</f>
        <v>H711061009OVR</v>
      </c>
      <c r="E20" t="s">
        <v>55</v>
      </c>
      <c r="F20" t="s">
        <v>72</v>
      </c>
      <c r="G20" t="str">
        <f t="shared" si="2"/>
        <v>John Hanley</v>
      </c>
      <c r="H20" t="s">
        <v>90</v>
      </c>
      <c r="I20" t="s">
        <v>92</v>
      </c>
      <c r="J20" t="s">
        <v>177</v>
      </c>
      <c r="K20" t="s">
        <v>180</v>
      </c>
      <c r="L20" t="s">
        <v>115</v>
      </c>
      <c r="M20">
        <v>1</v>
      </c>
      <c r="N20" t="s">
        <v>184</v>
      </c>
      <c r="O20" t="s">
        <v>186</v>
      </c>
      <c r="P20">
        <v>6.5</v>
      </c>
      <c r="Q20" s="2">
        <v>9.5000000000000001E-2</v>
      </c>
      <c r="R20">
        <v>6.5</v>
      </c>
      <c r="S20" t="s">
        <v>170</v>
      </c>
    </row>
    <row r="21" spans="1:25" x14ac:dyDescent="0.25">
      <c r="A21" t="s">
        <v>172</v>
      </c>
      <c r="B21">
        <v>20411454</v>
      </c>
      <c r="C21" t="s">
        <v>39</v>
      </c>
      <c r="D21" t="str">
        <f t="shared" si="3"/>
        <v>H750082805OVR</v>
      </c>
      <c r="E21" t="s">
        <v>56</v>
      </c>
      <c r="F21" t="s">
        <v>73</v>
      </c>
      <c r="G21" t="str">
        <f t="shared" si="2"/>
        <v>Minnie Vargo</v>
      </c>
      <c r="H21" t="s">
        <v>91</v>
      </c>
      <c r="I21" t="s">
        <v>93</v>
      </c>
      <c r="J21" t="s">
        <v>176</v>
      </c>
      <c r="K21" t="s">
        <v>181</v>
      </c>
      <c r="L21" t="s">
        <v>115</v>
      </c>
      <c r="M21">
        <v>1</v>
      </c>
      <c r="N21" t="s">
        <v>184</v>
      </c>
      <c r="O21" t="s">
        <v>186</v>
      </c>
      <c r="P21">
        <v>5.07</v>
      </c>
      <c r="Q21" s="2">
        <v>3.9E-2</v>
      </c>
      <c r="R21">
        <v>5.07</v>
      </c>
      <c r="S21" t="s">
        <v>170</v>
      </c>
    </row>
    <row r="22" spans="1:25" x14ac:dyDescent="0.25">
      <c r="A22" t="s">
        <v>172</v>
      </c>
      <c r="B22">
        <v>20411454</v>
      </c>
      <c r="C22" t="s">
        <v>40</v>
      </c>
      <c r="D22" t="str">
        <f t="shared" si="3"/>
        <v>H750083231OVR</v>
      </c>
      <c r="E22" t="s">
        <v>57</v>
      </c>
      <c r="F22" t="s">
        <v>74</v>
      </c>
      <c r="G22" t="str">
        <f t="shared" si="2"/>
        <v>Michelle Zahler</v>
      </c>
      <c r="H22" t="s">
        <v>91</v>
      </c>
      <c r="I22" t="s">
        <v>93</v>
      </c>
      <c r="J22" t="s">
        <v>176</v>
      </c>
      <c r="K22" t="s">
        <v>181</v>
      </c>
      <c r="L22" t="s">
        <v>115</v>
      </c>
      <c r="M22">
        <v>1</v>
      </c>
      <c r="N22" t="s">
        <v>184</v>
      </c>
      <c r="O22" t="s">
        <v>186</v>
      </c>
      <c r="P22">
        <v>3.64</v>
      </c>
      <c r="Q22" s="2">
        <v>2.8000000000000001E-2</v>
      </c>
      <c r="R22">
        <v>3.64</v>
      </c>
      <c r="S22" t="s">
        <v>170</v>
      </c>
    </row>
    <row r="23" spans="1:25" x14ac:dyDescent="0.25">
      <c r="A23" t="s">
        <v>172</v>
      </c>
      <c r="B23">
        <v>20411454</v>
      </c>
      <c r="C23" t="s">
        <v>41</v>
      </c>
      <c r="D23" t="str">
        <f t="shared" si="3"/>
        <v>H750068245OVR</v>
      </c>
      <c r="E23" t="s">
        <v>58</v>
      </c>
      <c r="F23" t="s">
        <v>75</v>
      </c>
      <c r="G23" t="str">
        <f t="shared" si="2"/>
        <v>Ralph Gropper</v>
      </c>
      <c r="H23" t="s">
        <v>91</v>
      </c>
      <c r="I23" t="s">
        <v>93</v>
      </c>
      <c r="J23" t="s">
        <v>173</v>
      </c>
      <c r="K23" t="s">
        <v>180</v>
      </c>
      <c r="L23" t="s">
        <v>115</v>
      </c>
      <c r="M23">
        <v>4</v>
      </c>
      <c r="N23" t="s">
        <v>184</v>
      </c>
      <c r="O23" t="s">
        <v>186</v>
      </c>
      <c r="P23">
        <v>1.95</v>
      </c>
      <c r="Q23" s="2">
        <v>8.0000000000000002E-3</v>
      </c>
      <c r="R23">
        <v>1.95</v>
      </c>
      <c r="S23" t="s">
        <v>170</v>
      </c>
    </row>
    <row r="24" spans="1:25" x14ac:dyDescent="0.25">
      <c r="A24" t="s">
        <v>172</v>
      </c>
      <c r="B24">
        <v>20411454</v>
      </c>
      <c r="C24" t="s">
        <v>42</v>
      </c>
      <c r="D24" t="str">
        <f t="shared" si="3"/>
        <v>H750075381OVR</v>
      </c>
      <c r="E24" t="s">
        <v>59</v>
      </c>
      <c r="F24" t="s">
        <v>76</v>
      </c>
      <c r="G24" t="str">
        <f t="shared" si="2"/>
        <v>Ray Askin</v>
      </c>
      <c r="H24" t="s">
        <v>91</v>
      </c>
      <c r="I24" t="s">
        <v>93</v>
      </c>
      <c r="J24" t="s">
        <v>174</v>
      </c>
      <c r="K24" t="s">
        <v>180</v>
      </c>
      <c r="L24" t="s">
        <v>115</v>
      </c>
      <c r="M24">
        <v>2</v>
      </c>
      <c r="N24" t="s">
        <v>184</v>
      </c>
      <c r="O24" t="s">
        <v>186</v>
      </c>
      <c r="P24">
        <v>4.5199999999999996</v>
      </c>
      <c r="Q24" s="2">
        <v>3.9E-2</v>
      </c>
      <c r="R24">
        <v>4.5199999999999996</v>
      </c>
      <c r="S24" t="s">
        <v>170</v>
      </c>
    </row>
    <row r="25" spans="1:25" x14ac:dyDescent="0.25">
      <c r="A25" t="s">
        <v>172</v>
      </c>
      <c r="B25">
        <v>20411454</v>
      </c>
      <c r="C25" t="s">
        <v>43</v>
      </c>
      <c r="D25" t="str">
        <f t="shared" si="3"/>
        <v>H750083517OVR</v>
      </c>
      <c r="E25" t="s">
        <v>60</v>
      </c>
      <c r="F25" t="s">
        <v>77</v>
      </c>
      <c r="G25" t="str">
        <f t="shared" si="2"/>
        <v>Alan Kercher</v>
      </c>
      <c r="H25" t="s">
        <v>91</v>
      </c>
      <c r="I25" t="s">
        <v>93</v>
      </c>
      <c r="J25" t="s">
        <v>177</v>
      </c>
      <c r="K25" t="s">
        <v>180</v>
      </c>
      <c r="L25" t="s">
        <v>115</v>
      </c>
      <c r="M25">
        <v>1</v>
      </c>
      <c r="N25" t="s">
        <v>184</v>
      </c>
      <c r="O25" t="s">
        <v>186</v>
      </c>
      <c r="P25">
        <v>3.81</v>
      </c>
      <c r="Q25" s="2">
        <v>2.8000000000000001E-2</v>
      </c>
      <c r="R25">
        <v>3.81</v>
      </c>
      <c r="S25" t="s">
        <v>170</v>
      </c>
    </row>
    <row r="26" spans="1:25" x14ac:dyDescent="0.25">
      <c r="A26" t="s">
        <v>172</v>
      </c>
      <c r="B26">
        <v>20411454</v>
      </c>
      <c r="C26" t="s">
        <v>44</v>
      </c>
      <c r="D26" t="str">
        <f t="shared" si="3"/>
        <v>H750083520OVR</v>
      </c>
      <c r="E26" t="s">
        <v>61</v>
      </c>
      <c r="F26" t="s">
        <v>77</v>
      </c>
      <c r="G26" t="str">
        <f t="shared" si="2"/>
        <v>Paula Kercher</v>
      </c>
      <c r="H26" t="s">
        <v>91</v>
      </c>
      <c r="I26" t="s">
        <v>93</v>
      </c>
      <c r="J26" t="s">
        <v>177</v>
      </c>
      <c r="K26" t="s">
        <v>180</v>
      </c>
      <c r="L26" t="s">
        <v>115</v>
      </c>
      <c r="M26">
        <v>1</v>
      </c>
      <c r="N26" t="s">
        <v>184</v>
      </c>
      <c r="O26" t="s">
        <v>186</v>
      </c>
      <c r="P26">
        <v>3.45</v>
      </c>
      <c r="Q26" s="2">
        <v>2.8000000000000001E-2</v>
      </c>
      <c r="R26">
        <v>3.45</v>
      </c>
      <c r="S26" t="s">
        <v>170</v>
      </c>
    </row>
    <row r="27" spans="1:25" x14ac:dyDescent="0.25">
      <c r="A27" t="s">
        <v>172</v>
      </c>
      <c r="B27">
        <v>20411454</v>
      </c>
      <c r="C27" t="s">
        <v>45</v>
      </c>
      <c r="D27" t="str">
        <f t="shared" si="3"/>
        <v>H711037504OVR</v>
      </c>
      <c r="E27" t="s">
        <v>62</v>
      </c>
      <c r="F27" t="s">
        <v>78</v>
      </c>
      <c r="G27" t="str">
        <f t="shared" si="2"/>
        <v>Edward Kunkel</v>
      </c>
      <c r="H27" t="s">
        <v>90</v>
      </c>
      <c r="I27" t="s">
        <v>94</v>
      </c>
      <c r="J27" t="s">
        <v>179</v>
      </c>
      <c r="K27" t="s">
        <v>183</v>
      </c>
      <c r="L27" t="s">
        <v>115</v>
      </c>
      <c r="M27">
        <v>3</v>
      </c>
      <c r="N27" t="s">
        <v>184</v>
      </c>
      <c r="O27" t="s">
        <v>186</v>
      </c>
      <c r="P27">
        <v>12.13</v>
      </c>
      <c r="Q27" s="2">
        <v>9.5000000000000001E-2</v>
      </c>
      <c r="R27">
        <v>12.13</v>
      </c>
      <c r="S27" t="s">
        <v>170</v>
      </c>
    </row>
    <row r="28" spans="1:25" x14ac:dyDescent="0.25">
      <c r="A28" t="s">
        <v>172</v>
      </c>
      <c r="B28">
        <v>20411454</v>
      </c>
      <c r="C28" t="s">
        <v>46</v>
      </c>
      <c r="D28" t="str">
        <f t="shared" si="3"/>
        <v>H750073946OVR</v>
      </c>
      <c r="E28" t="s">
        <v>63</v>
      </c>
      <c r="F28" t="s">
        <v>79</v>
      </c>
      <c r="G28" t="str">
        <f t="shared" si="2"/>
        <v>Harlin Hill</v>
      </c>
      <c r="H28" t="s">
        <v>91</v>
      </c>
      <c r="I28" t="s">
        <v>94</v>
      </c>
      <c r="J28" t="s">
        <v>175</v>
      </c>
      <c r="K28" t="s">
        <v>180</v>
      </c>
      <c r="L28" t="s">
        <v>115</v>
      </c>
      <c r="M28">
        <v>3</v>
      </c>
      <c r="N28" t="s">
        <v>184</v>
      </c>
      <c r="O28" t="s">
        <v>186</v>
      </c>
      <c r="P28">
        <v>6.67</v>
      </c>
      <c r="Q28" s="2">
        <v>3.9E-2</v>
      </c>
      <c r="R28">
        <v>6.67</v>
      </c>
      <c r="S28" t="s">
        <v>170</v>
      </c>
    </row>
    <row r="29" spans="1:25" x14ac:dyDescent="0.25">
      <c r="A29" t="s">
        <v>172</v>
      </c>
      <c r="B29">
        <v>20411454</v>
      </c>
      <c r="C29" t="s">
        <v>47</v>
      </c>
      <c r="D29" t="str">
        <f t="shared" si="3"/>
        <v>H750073872OVR</v>
      </c>
      <c r="E29" t="s">
        <v>64</v>
      </c>
      <c r="F29" t="s">
        <v>79</v>
      </c>
      <c r="G29" t="str">
        <f t="shared" si="2"/>
        <v>Laura Hill</v>
      </c>
      <c r="H29" t="s">
        <v>91</v>
      </c>
      <c r="I29" t="s">
        <v>94</v>
      </c>
      <c r="J29" t="s">
        <v>175</v>
      </c>
      <c r="K29" t="s">
        <v>180</v>
      </c>
      <c r="L29" t="s">
        <v>115</v>
      </c>
      <c r="M29">
        <v>3</v>
      </c>
      <c r="N29" t="s">
        <v>184</v>
      </c>
      <c r="O29" t="s">
        <v>186</v>
      </c>
      <c r="P29">
        <v>5.84</v>
      </c>
      <c r="Q29" s="2">
        <v>3.9E-2</v>
      </c>
      <c r="R29">
        <v>5.84</v>
      </c>
      <c r="S29" t="s">
        <v>170</v>
      </c>
    </row>
    <row r="30" spans="1:25" x14ac:dyDescent="0.25">
      <c r="A30" t="s">
        <v>172</v>
      </c>
      <c r="B30">
        <v>20411454</v>
      </c>
      <c r="C30" t="s">
        <v>48</v>
      </c>
      <c r="D30" t="str">
        <f t="shared" si="3"/>
        <v>H711025485OVR</v>
      </c>
      <c r="E30" t="s">
        <v>65</v>
      </c>
      <c r="F30" t="s">
        <v>80</v>
      </c>
      <c r="G30" t="str">
        <f t="shared" si="2"/>
        <v>Shirley Perry</v>
      </c>
      <c r="H30" t="s">
        <v>90</v>
      </c>
      <c r="I30" t="s">
        <v>95</v>
      </c>
      <c r="J30" t="s">
        <v>173</v>
      </c>
      <c r="K30" t="s">
        <v>180</v>
      </c>
      <c r="L30" t="s">
        <v>115</v>
      </c>
      <c r="M30">
        <v>4</v>
      </c>
      <c r="N30" t="s">
        <v>184</v>
      </c>
      <c r="O30" t="s">
        <v>186</v>
      </c>
      <c r="P30">
        <v>4.53</v>
      </c>
      <c r="Q30" s="2">
        <v>9.5000000000000001E-2</v>
      </c>
      <c r="R30">
        <v>4.53</v>
      </c>
      <c r="S30" t="s">
        <v>170</v>
      </c>
    </row>
    <row r="31" spans="1:25" x14ac:dyDescent="0.25">
      <c r="A31" t="s">
        <v>172</v>
      </c>
      <c r="B31">
        <v>20411454</v>
      </c>
      <c r="C31" t="s">
        <v>49</v>
      </c>
      <c r="D31" t="str">
        <f t="shared" si="3"/>
        <v>H711045437OVR</v>
      </c>
      <c r="E31" t="s">
        <v>66</v>
      </c>
      <c r="F31" t="s">
        <v>81</v>
      </c>
      <c r="G31" t="str">
        <f t="shared" si="2"/>
        <v>Iysiah Maull</v>
      </c>
      <c r="H31" t="s">
        <v>90</v>
      </c>
      <c r="I31" t="s">
        <v>95</v>
      </c>
      <c r="J31" t="s">
        <v>174</v>
      </c>
      <c r="K31" t="s">
        <v>180</v>
      </c>
      <c r="L31" t="s">
        <v>115</v>
      </c>
      <c r="M31">
        <v>2</v>
      </c>
      <c r="N31" t="s">
        <v>184</v>
      </c>
      <c r="O31" t="s">
        <v>186</v>
      </c>
      <c r="P31">
        <v>3.75</v>
      </c>
      <c r="Q31" s="2">
        <v>9.5000000000000001E-2</v>
      </c>
      <c r="R31">
        <v>3.75</v>
      </c>
      <c r="S31" t="s">
        <v>170</v>
      </c>
    </row>
    <row r="32" spans="1:25" x14ac:dyDescent="0.25">
      <c r="A32" t="s">
        <v>172</v>
      </c>
      <c r="B32">
        <v>20411454</v>
      </c>
      <c r="C32" t="s">
        <v>50</v>
      </c>
      <c r="D32" t="str">
        <f t="shared" si="3"/>
        <v>H750076900OVR</v>
      </c>
      <c r="E32" t="s">
        <v>67</v>
      </c>
      <c r="F32" t="s">
        <v>82</v>
      </c>
      <c r="G32" t="str">
        <f t="shared" si="2"/>
        <v>Zaharoula Diamantakos</v>
      </c>
      <c r="H32" t="s">
        <v>91</v>
      </c>
      <c r="I32" t="s">
        <v>94</v>
      </c>
      <c r="J32" t="s">
        <v>174</v>
      </c>
      <c r="K32" t="s">
        <v>180</v>
      </c>
      <c r="L32" t="s">
        <v>115</v>
      </c>
      <c r="M32">
        <v>2</v>
      </c>
      <c r="N32" t="s">
        <v>184</v>
      </c>
      <c r="O32" t="s">
        <v>186</v>
      </c>
      <c r="P32">
        <v>6.77</v>
      </c>
      <c r="Q32" s="2">
        <v>3.9E-2</v>
      </c>
      <c r="R32">
        <v>6.77</v>
      </c>
      <c r="S32" t="s">
        <v>170</v>
      </c>
    </row>
    <row r="33" spans="1:19" x14ac:dyDescent="0.25">
      <c r="A33" t="s">
        <v>172</v>
      </c>
      <c r="B33">
        <v>20411454</v>
      </c>
      <c r="C33" t="s">
        <v>51</v>
      </c>
      <c r="D33" t="str">
        <f t="shared" si="3"/>
        <v>H711021314OVR</v>
      </c>
      <c r="E33" t="s">
        <v>68</v>
      </c>
      <c r="F33" t="s">
        <v>83</v>
      </c>
      <c r="G33" t="str">
        <f t="shared" si="2"/>
        <v>Connie Gangnon</v>
      </c>
      <c r="H33" t="s">
        <v>90</v>
      </c>
      <c r="I33" t="s">
        <v>96</v>
      </c>
      <c r="J33" t="s">
        <v>173</v>
      </c>
      <c r="K33" t="s">
        <v>180</v>
      </c>
      <c r="L33" t="s">
        <v>115</v>
      </c>
      <c r="M33">
        <v>4</v>
      </c>
      <c r="N33" t="s">
        <v>184</v>
      </c>
      <c r="O33" t="s">
        <v>186</v>
      </c>
      <c r="P33">
        <v>12.13</v>
      </c>
      <c r="Q33" s="2">
        <v>9.5000000000000001E-2</v>
      </c>
      <c r="R33">
        <v>12.13</v>
      </c>
      <c r="S33" t="s">
        <v>170</v>
      </c>
    </row>
    <row r="34" spans="1:19" x14ac:dyDescent="0.25">
      <c r="A34" t="s">
        <v>172</v>
      </c>
      <c r="B34">
        <v>20411454</v>
      </c>
      <c r="C34" t="s">
        <v>52</v>
      </c>
      <c r="D34" t="str">
        <f t="shared" si="3"/>
        <v>H711020958OVR</v>
      </c>
      <c r="E34" t="s">
        <v>69</v>
      </c>
      <c r="F34" t="s">
        <v>84</v>
      </c>
      <c r="G34" t="str">
        <f t="shared" si="2"/>
        <v>Karen Duke</v>
      </c>
      <c r="H34" t="s">
        <v>90</v>
      </c>
      <c r="I34" t="s">
        <v>96</v>
      </c>
      <c r="J34" t="s">
        <v>173</v>
      </c>
      <c r="K34" t="s">
        <v>180</v>
      </c>
      <c r="L34" t="s">
        <v>115</v>
      </c>
      <c r="M34">
        <v>4</v>
      </c>
      <c r="N34" t="s">
        <v>184</v>
      </c>
      <c r="O34" t="s">
        <v>186</v>
      </c>
      <c r="P34">
        <v>5.37</v>
      </c>
      <c r="Q34" s="2">
        <v>9.5000000000000001E-2</v>
      </c>
      <c r="R34">
        <v>5.37</v>
      </c>
      <c r="S34" t="s">
        <v>170</v>
      </c>
    </row>
    <row r="35" spans="1:19" x14ac:dyDescent="0.25">
      <c r="A35" t="s">
        <v>172</v>
      </c>
      <c r="B35">
        <v>20411454</v>
      </c>
      <c r="C35" t="s">
        <v>53</v>
      </c>
      <c r="D35" t="str">
        <f t="shared" si="3"/>
        <v>H750075563OVR</v>
      </c>
      <c r="E35" t="s">
        <v>70</v>
      </c>
      <c r="F35" t="s">
        <v>85</v>
      </c>
      <c r="G35" t="str">
        <f t="shared" si="2"/>
        <v>Jayne Bressner</v>
      </c>
      <c r="H35" t="s">
        <v>91</v>
      </c>
      <c r="I35" t="s">
        <v>94</v>
      </c>
      <c r="J35" t="s">
        <v>174</v>
      </c>
      <c r="K35" t="s">
        <v>180</v>
      </c>
      <c r="L35" t="s">
        <v>115</v>
      </c>
      <c r="M35">
        <v>2</v>
      </c>
      <c r="N35" t="s">
        <v>184</v>
      </c>
      <c r="O35" t="s">
        <v>186</v>
      </c>
      <c r="P35">
        <v>5.34</v>
      </c>
      <c r="Q35" s="2">
        <v>3.9E-2</v>
      </c>
      <c r="R35">
        <v>5.34</v>
      </c>
      <c r="S35" t="s">
        <v>170</v>
      </c>
    </row>
  </sheetData>
  <sortState xmlns:xlrd2="http://schemas.microsoft.com/office/spreadsheetml/2017/richdata2" ref="A2:Y18">
    <sortCondition sortBy="cellColor" ref="A2:A18" dxfId="0"/>
    <sortCondition ref="M2:M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FE0E-F2A1-411A-AFDA-D506D769BB95}">
  <dimension ref="A1:B17"/>
  <sheetViews>
    <sheetView workbookViewId="0">
      <selection activeCell="B17" sqref="B17"/>
    </sheetView>
  </sheetViews>
  <sheetFormatPr defaultRowHeight="15" customHeight="1" x14ac:dyDescent="0.25"/>
  <cols>
    <col min="1" max="1" width="25.42578125" customWidth="1"/>
    <col min="2" max="2" width="11.28515625" bestFit="1" customWidth="1"/>
  </cols>
  <sheetData>
    <row r="1" spans="1:2" ht="15" customHeight="1" x14ac:dyDescent="0.25">
      <c r="A1" t="s">
        <v>187</v>
      </c>
      <c r="B1" t="s">
        <v>37</v>
      </c>
    </row>
    <row r="2" spans="1:2" ht="15" customHeight="1" x14ac:dyDescent="0.25">
      <c r="A2" t="s">
        <v>47</v>
      </c>
      <c r="B2" t="s">
        <v>38</v>
      </c>
    </row>
    <row r="3" spans="1:2" ht="15" customHeight="1" x14ac:dyDescent="0.25">
      <c r="A3" t="s">
        <v>46</v>
      </c>
      <c r="B3" t="s">
        <v>39</v>
      </c>
    </row>
    <row r="4" spans="1:2" ht="15" customHeight="1" x14ac:dyDescent="0.25">
      <c r="A4" t="s">
        <v>188</v>
      </c>
      <c r="B4" t="s">
        <v>40</v>
      </c>
    </row>
    <row r="5" spans="1:2" ht="15" customHeight="1" x14ac:dyDescent="0.25">
      <c r="A5" t="s">
        <v>189</v>
      </c>
      <c r="B5" t="s">
        <v>41</v>
      </c>
    </row>
    <row r="6" spans="1:2" ht="15" customHeight="1" x14ac:dyDescent="0.25">
      <c r="A6" t="s">
        <v>53</v>
      </c>
      <c r="B6" t="s">
        <v>42</v>
      </c>
    </row>
    <row r="7" spans="1:2" ht="15" customHeight="1" x14ac:dyDescent="0.25">
      <c r="A7" t="s">
        <v>190</v>
      </c>
      <c r="B7" t="s">
        <v>43</v>
      </c>
    </row>
    <row r="8" spans="1:2" ht="15" customHeight="1" x14ac:dyDescent="0.25">
      <c r="A8" t="s">
        <v>191</v>
      </c>
      <c r="B8" t="s">
        <v>44</v>
      </c>
    </row>
    <row r="9" spans="1:2" ht="15" customHeight="1" x14ac:dyDescent="0.25">
      <c r="B9" t="s">
        <v>45</v>
      </c>
    </row>
    <row r="10" spans="1:2" ht="15" customHeight="1" x14ac:dyDescent="0.25">
      <c r="B10" s="5" t="s">
        <v>46</v>
      </c>
    </row>
    <row r="11" spans="1:2" ht="15" customHeight="1" x14ac:dyDescent="0.25">
      <c r="B11" s="5" t="s">
        <v>47</v>
      </c>
    </row>
    <row r="12" spans="1:2" ht="15" customHeight="1" x14ac:dyDescent="0.25">
      <c r="B12" t="s">
        <v>48</v>
      </c>
    </row>
    <row r="13" spans="1:2" ht="15" customHeight="1" x14ac:dyDescent="0.25">
      <c r="B13" t="s">
        <v>49</v>
      </c>
    </row>
    <row r="14" spans="1:2" ht="15" customHeight="1" x14ac:dyDescent="0.25">
      <c r="B14" t="s">
        <v>50</v>
      </c>
    </row>
    <row r="15" spans="1:2" ht="15" customHeight="1" x14ac:dyDescent="0.25">
      <c r="B15" t="s">
        <v>51</v>
      </c>
    </row>
    <row r="16" spans="1:2" ht="15" customHeight="1" x14ac:dyDescent="0.25">
      <c r="B16" t="s">
        <v>52</v>
      </c>
    </row>
    <row r="17" spans="2:2" ht="15" customHeight="1" x14ac:dyDescent="0.25">
      <c r="B17" s="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workbookViewId="0">
      <selection activeCell="T1" sqref="T1:T104857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29</v>
      </c>
      <c r="C2" t="s">
        <v>37</v>
      </c>
      <c r="D2" t="s">
        <v>54</v>
      </c>
      <c r="E2" t="s">
        <v>71</v>
      </c>
      <c r="F2" t="s">
        <v>86</v>
      </c>
      <c r="G2" t="s">
        <v>90</v>
      </c>
      <c r="H2" t="s">
        <v>92</v>
      </c>
      <c r="I2" t="s">
        <v>97</v>
      </c>
      <c r="J2" t="s">
        <v>99</v>
      </c>
      <c r="K2" t="s">
        <v>103</v>
      </c>
      <c r="L2" t="s">
        <v>115</v>
      </c>
      <c r="M2" t="s">
        <v>116</v>
      </c>
      <c r="N2" t="s">
        <v>118</v>
      </c>
      <c r="O2" t="s">
        <v>122</v>
      </c>
      <c r="P2" t="s">
        <v>137</v>
      </c>
      <c r="Q2" t="s">
        <v>122</v>
      </c>
      <c r="R2" t="s">
        <v>139</v>
      </c>
      <c r="S2" t="s">
        <v>147</v>
      </c>
      <c r="T2">
        <v>10.47</v>
      </c>
    </row>
    <row r="3" spans="1:20" x14ac:dyDescent="0.25">
      <c r="A3" t="s">
        <v>22</v>
      </c>
      <c r="B3" t="s">
        <v>30</v>
      </c>
      <c r="C3" t="s">
        <v>38</v>
      </c>
      <c r="D3" t="s">
        <v>55</v>
      </c>
      <c r="E3" t="s">
        <v>72</v>
      </c>
      <c r="F3" t="s">
        <v>86</v>
      </c>
      <c r="G3" t="s">
        <v>90</v>
      </c>
      <c r="H3" t="s">
        <v>92</v>
      </c>
      <c r="I3" t="s">
        <v>97</v>
      </c>
      <c r="J3" t="s">
        <v>100</v>
      </c>
      <c r="K3" t="s">
        <v>104</v>
      </c>
      <c r="L3" t="s">
        <v>115</v>
      </c>
      <c r="M3" t="s">
        <v>116</v>
      </c>
      <c r="N3" t="s">
        <v>119</v>
      </c>
      <c r="O3" t="s">
        <v>123</v>
      </c>
      <c r="P3" t="s">
        <v>137</v>
      </c>
      <c r="Q3" t="s">
        <v>123</v>
      </c>
      <c r="R3" t="s">
        <v>139</v>
      </c>
      <c r="S3" t="s">
        <v>147</v>
      </c>
      <c r="T3">
        <v>6.5</v>
      </c>
    </row>
    <row r="4" spans="1:20" x14ac:dyDescent="0.25">
      <c r="A4" t="s">
        <v>23</v>
      </c>
      <c r="B4" t="s">
        <v>31</v>
      </c>
      <c r="C4" t="s">
        <v>39</v>
      </c>
      <c r="D4" t="s">
        <v>56</v>
      </c>
      <c r="E4" t="s">
        <v>73</v>
      </c>
      <c r="F4" t="s">
        <v>87</v>
      </c>
      <c r="G4" t="s">
        <v>91</v>
      </c>
      <c r="H4" t="s">
        <v>93</v>
      </c>
      <c r="I4" t="s">
        <v>98</v>
      </c>
      <c r="J4" t="s">
        <v>101</v>
      </c>
      <c r="K4" t="s">
        <v>105</v>
      </c>
      <c r="L4" t="s">
        <v>115</v>
      </c>
      <c r="M4" t="s">
        <v>117</v>
      </c>
      <c r="N4" t="s">
        <v>119</v>
      </c>
      <c r="O4" t="s">
        <v>124</v>
      </c>
      <c r="P4" t="s">
        <v>137</v>
      </c>
      <c r="Q4" t="s">
        <v>124</v>
      </c>
      <c r="R4" t="s">
        <v>139</v>
      </c>
      <c r="S4" t="s">
        <v>148</v>
      </c>
      <c r="T4">
        <v>5.07</v>
      </c>
    </row>
    <row r="5" spans="1:20" x14ac:dyDescent="0.25">
      <c r="A5" t="s">
        <v>23</v>
      </c>
      <c r="B5" t="s">
        <v>31</v>
      </c>
      <c r="C5" t="s">
        <v>40</v>
      </c>
      <c r="D5" t="s">
        <v>57</v>
      </c>
      <c r="E5" t="s">
        <v>74</v>
      </c>
      <c r="F5" t="s">
        <v>87</v>
      </c>
      <c r="G5" t="s">
        <v>91</v>
      </c>
      <c r="H5" t="s">
        <v>93</v>
      </c>
      <c r="I5" t="s">
        <v>97</v>
      </c>
      <c r="J5" t="s">
        <v>101</v>
      </c>
      <c r="K5" t="s">
        <v>106</v>
      </c>
      <c r="L5" t="s">
        <v>115</v>
      </c>
      <c r="M5" t="s">
        <v>116</v>
      </c>
      <c r="N5" t="s">
        <v>119</v>
      </c>
      <c r="O5" t="s">
        <v>124</v>
      </c>
      <c r="P5" t="s">
        <v>137</v>
      </c>
      <c r="Q5" t="s">
        <v>124</v>
      </c>
      <c r="R5" t="s">
        <v>139</v>
      </c>
      <c r="S5" t="s">
        <v>149</v>
      </c>
      <c r="T5">
        <v>3.64</v>
      </c>
    </row>
    <row r="6" spans="1:20" x14ac:dyDescent="0.25">
      <c r="A6" t="s">
        <v>23</v>
      </c>
      <c r="B6" t="s">
        <v>31</v>
      </c>
      <c r="C6" t="s">
        <v>41</v>
      </c>
      <c r="D6" t="s">
        <v>58</v>
      </c>
      <c r="E6" t="s">
        <v>75</v>
      </c>
      <c r="F6" t="s">
        <v>88</v>
      </c>
      <c r="G6" t="s">
        <v>91</v>
      </c>
      <c r="H6" t="s">
        <v>93</v>
      </c>
      <c r="I6" t="s">
        <v>97</v>
      </c>
      <c r="J6" t="s">
        <v>100</v>
      </c>
      <c r="K6" t="s">
        <v>107</v>
      </c>
      <c r="L6" t="s">
        <v>115</v>
      </c>
      <c r="M6" t="s">
        <v>117</v>
      </c>
      <c r="N6" t="s">
        <v>120</v>
      </c>
      <c r="O6" t="s">
        <v>125</v>
      </c>
      <c r="P6" t="s">
        <v>137</v>
      </c>
      <c r="Q6" t="s">
        <v>138</v>
      </c>
      <c r="R6" t="s">
        <v>139</v>
      </c>
      <c r="S6" t="s">
        <v>150</v>
      </c>
      <c r="T6">
        <v>1.95</v>
      </c>
    </row>
    <row r="7" spans="1:20" x14ac:dyDescent="0.25">
      <c r="A7" t="s">
        <v>23</v>
      </c>
      <c r="B7" t="s">
        <v>31</v>
      </c>
      <c r="C7" t="s">
        <v>42</v>
      </c>
      <c r="D7" t="s">
        <v>59</v>
      </c>
      <c r="E7" t="s">
        <v>76</v>
      </c>
      <c r="F7" t="s">
        <v>87</v>
      </c>
      <c r="G7" t="s">
        <v>91</v>
      </c>
      <c r="H7" t="s">
        <v>93</v>
      </c>
      <c r="I7" t="s">
        <v>97</v>
      </c>
      <c r="J7" t="s">
        <v>100</v>
      </c>
      <c r="K7" t="s">
        <v>106</v>
      </c>
      <c r="L7" t="s">
        <v>115</v>
      </c>
      <c r="M7" t="s">
        <v>117</v>
      </c>
      <c r="N7" t="s">
        <v>118</v>
      </c>
      <c r="O7" t="s">
        <v>126</v>
      </c>
      <c r="P7" t="s">
        <v>137</v>
      </c>
      <c r="Q7" t="s">
        <v>126</v>
      </c>
      <c r="R7" t="s">
        <v>139</v>
      </c>
      <c r="S7" t="s">
        <v>148</v>
      </c>
      <c r="T7">
        <v>4.5199999999999996</v>
      </c>
    </row>
    <row r="8" spans="1:20" x14ac:dyDescent="0.25">
      <c r="A8" t="s">
        <v>23</v>
      </c>
      <c r="B8" t="s">
        <v>31</v>
      </c>
      <c r="C8" t="s">
        <v>43</v>
      </c>
      <c r="D8" t="s">
        <v>60</v>
      </c>
      <c r="E8" t="s">
        <v>77</v>
      </c>
      <c r="F8" t="s">
        <v>87</v>
      </c>
      <c r="G8" t="s">
        <v>91</v>
      </c>
      <c r="H8" t="s">
        <v>93</v>
      </c>
      <c r="I8" t="s">
        <v>97</v>
      </c>
      <c r="J8" t="s">
        <v>100</v>
      </c>
      <c r="K8" t="s">
        <v>106</v>
      </c>
      <c r="L8" t="s">
        <v>115</v>
      </c>
      <c r="M8" t="s">
        <v>116</v>
      </c>
      <c r="N8" t="s">
        <v>119</v>
      </c>
      <c r="O8" t="s">
        <v>127</v>
      </c>
      <c r="P8" t="s">
        <v>137</v>
      </c>
      <c r="Q8" t="s">
        <v>127</v>
      </c>
      <c r="R8" t="s">
        <v>139</v>
      </c>
      <c r="S8" t="s">
        <v>149</v>
      </c>
      <c r="T8">
        <v>3.81</v>
      </c>
    </row>
    <row r="9" spans="1:20" x14ac:dyDescent="0.25">
      <c r="A9" t="s">
        <v>23</v>
      </c>
      <c r="B9" t="s">
        <v>31</v>
      </c>
      <c r="C9" t="s">
        <v>44</v>
      </c>
      <c r="D9" t="s">
        <v>61</v>
      </c>
      <c r="E9" t="s">
        <v>77</v>
      </c>
      <c r="F9" t="s">
        <v>87</v>
      </c>
      <c r="G9" t="s">
        <v>91</v>
      </c>
      <c r="H9" t="s">
        <v>93</v>
      </c>
      <c r="I9" t="s">
        <v>97</v>
      </c>
      <c r="J9" t="s">
        <v>100</v>
      </c>
      <c r="K9" t="s">
        <v>106</v>
      </c>
      <c r="L9" t="s">
        <v>115</v>
      </c>
      <c r="M9" t="s">
        <v>116</v>
      </c>
      <c r="N9" t="s">
        <v>119</v>
      </c>
      <c r="O9" t="s">
        <v>128</v>
      </c>
      <c r="P9" t="s">
        <v>137</v>
      </c>
      <c r="Q9" t="s">
        <v>128</v>
      </c>
      <c r="R9" t="s">
        <v>139</v>
      </c>
      <c r="S9" t="s">
        <v>149</v>
      </c>
      <c r="T9">
        <v>3.45</v>
      </c>
    </row>
    <row r="10" spans="1:20" x14ac:dyDescent="0.25">
      <c r="A10" t="s">
        <v>24</v>
      </c>
      <c r="B10" t="s">
        <v>32</v>
      </c>
      <c r="C10" t="s">
        <v>45</v>
      </c>
      <c r="D10" t="s">
        <v>62</v>
      </c>
      <c r="E10" t="s">
        <v>78</v>
      </c>
      <c r="F10" t="s">
        <v>89</v>
      </c>
      <c r="G10" t="s">
        <v>90</v>
      </c>
      <c r="H10" t="s">
        <v>94</v>
      </c>
      <c r="I10" t="s">
        <v>97</v>
      </c>
      <c r="J10" t="s">
        <v>102</v>
      </c>
      <c r="K10" t="s">
        <v>105</v>
      </c>
      <c r="L10" t="s">
        <v>115</v>
      </c>
      <c r="M10" t="s">
        <v>116</v>
      </c>
      <c r="N10" t="s">
        <v>121</v>
      </c>
      <c r="O10" t="s">
        <v>129</v>
      </c>
      <c r="P10" t="s">
        <v>137</v>
      </c>
      <c r="Q10" t="s">
        <v>129</v>
      </c>
      <c r="R10" t="s">
        <v>139</v>
      </c>
      <c r="S10" t="s">
        <v>147</v>
      </c>
      <c r="T10">
        <v>12.13</v>
      </c>
    </row>
    <row r="11" spans="1:20" x14ac:dyDescent="0.25">
      <c r="A11" t="s">
        <v>24</v>
      </c>
      <c r="B11" t="s">
        <v>32</v>
      </c>
      <c r="C11" t="s">
        <v>46</v>
      </c>
      <c r="D11" t="s">
        <v>63</v>
      </c>
      <c r="E11" t="s">
        <v>79</v>
      </c>
      <c r="F11" t="s">
        <v>87</v>
      </c>
      <c r="G11" t="s">
        <v>91</v>
      </c>
      <c r="H11" t="s">
        <v>94</v>
      </c>
      <c r="I11" t="s">
        <v>97</v>
      </c>
      <c r="J11" t="s">
        <v>100</v>
      </c>
      <c r="K11" t="s">
        <v>108</v>
      </c>
      <c r="L11" t="s">
        <v>115</v>
      </c>
      <c r="M11" t="s">
        <v>117</v>
      </c>
      <c r="N11" t="s">
        <v>121</v>
      </c>
      <c r="O11" t="s">
        <v>130</v>
      </c>
      <c r="P11" t="s">
        <v>137</v>
      </c>
      <c r="Q11" t="s">
        <v>130</v>
      </c>
      <c r="R11" t="s">
        <v>139</v>
      </c>
      <c r="S11" t="s">
        <v>148</v>
      </c>
      <c r="T11">
        <v>6.67</v>
      </c>
    </row>
    <row r="12" spans="1:20" x14ac:dyDescent="0.25">
      <c r="A12" t="s">
        <v>24</v>
      </c>
      <c r="B12" t="s">
        <v>32</v>
      </c>
      <c r="C12" t="s">
        <v>47</v>
      </c>
      <c r="D12" t="s">
        <v>64</v>
      </c>
      <c r="E12" t="s">
        <v>79</v>
      </c>
      <c r="F12" t="s">
        <v>87</v>
      </c>
      <c r="G12" t="s">
        <v>91</v>
      </c>
      <c r="H12" t="s">
        <v>94</v>
      </c>
      <c r="I12" t="s">
        <v>97</v>
      </c>
      <c r="J12" t="s">
        <v>100</v>
      </c>
      <c r="K12" t="s">
        <v>109</v>
      </c>
      <c r="L12" t="s">
        <v>115</v>
      </c>
      <c r="M12" t="s">
        <v>117</v>
      </c>
      <c r="N12" t="s">
        <v>121</v>
      </c>
      <c r="O12" t="s">
        <v>131</v>
      </c>
      <c r="P12" t="s">
        <v>137</v>
      </c>
      <c r="Q12" t="s">
        <v>131</v>
      </c>
      <c r="R12" t="s">
        <v>139</v>
      </c>
      <c r="S12" t="s">
        <v>148</v>
      </c>
      <c r="T12">
        <v>5.84</v>
      </c>
    </row>
    <row r="13" spans="1:20" x14ac:dyDescent="0.25">
      <c r="A13" t="s">
        <v>25</v>
      </c>
      <c r="B13" t="s">
        <v>33</v>
      </c>
      <c r="C13" t="s">
        <v>48</v>
      </c>
      <c r="D13" t="s">
        <v>65</v>
      </c>
      <c r="E13" t="s">
        <v>80</v>
      </c>
      <c r="F13" t="s">
        <v>89</v>
      </c>
      <c r="G13" t="s">
        <v>90</v>
      </c>
      <c r="H13" t="s">
        <v>95</v>
      </c>
      <c r="I13" t="s">
        <v>97</v>
      </c>
      <c r="J13" t="s">
        <v>100</v>
      </c>
      <c r="K13" t="s">
        <v>110</v>
      </c>
      <c r="L13" t="s">
        <v>115</v>
      </c>
      <c r="M13" t="s">
        <v>116</v>
      </c>
      <c r="N13" t="s">
        <v>120</v>
      </c>
      <c r="O13" t="s">
        <v>132</v>
      </c>
      <c r="P13" t="s">
        <v>137</v>
      </c>
      <c r="Q13" t="s">
        <v>132</v>
      </c>
      <c r="R13" t="s">
        <v>139</v>
      </c>
      <c r="S13" t="s">
        <v>147</v>
      </c>
      <c r="T13">
        <v>4.53</v>
      </c>
    </row>
    <row r="14" spans="1:20" x14ac:dyDescent="0.25">
      <c r="A14" t="s">
        <v>25</v>
      </c>
      <c r="B14" t="s">
        <v>33</v>
      </c>
      <c r="C14" t="s">
        <v>49</v>
      </c>
      <c r="D14" t="s">
        <v>66</v>
      </c>
      <c r="E14" t="s">
        <v>81</v>
      </c>
      <c r="F14" t="s">
        <v>89</v>
      </c>
      <c r="G14" t="s">
        <v>90</v>
      </c>
      <c r="H14" t="s">
        <v>95</v>
      </c>
      <c r="I14" t="s">
        <v>97</v>
      </c>
      <c r="J14" t="s">
        <v>100</v>
      </c>
      <c r="K14" t="s">
        <v>111</v>
      </c>
      <c r="L14" t="s">
        <v>115</v>
      </c>
      <c r="M14" t="s">
        <v>116</v>
      </c>
      <c r="N14" t="s">
        <v>118</v>
      </c>
      <c r="O14" t="s">
        <v>133</v>
      </c>
      <c r="P14" t="s">
        <v>137</v>
      </c>
      <c r="Q14" t="s">
        <v>133</v>
      </c>
      <c r="R14" t="s">
        <v>139</v>
      </c>
      <c r="S14" t="s">
        <v>147</v>
      </c>
      <c r="T14">
        <v>3.75</v>
      </c>
    </row>
    <row r="15" spans="1:20" x14ac:dyDescent="0.25">
      <c r="A15" t="s">
        <v>26</v>
      </c>
      <c r="B15" t="s">
        <v>34</v>
      </c>
      <c r="C15" t="s">
        <v>50</v>
      </c>
      <c r="D15" t="s">
        <v>67</v>
      </c>
      <c r="E15" t="s">
        <v>82</v>
      </c>
      <c r="F15" t="s">
        <v>87</v>
      </c>
      <c r="G15" t="s">
        <v>91</v>
      </c>
      <c r="H15" t="s">
        <v>94</v>
      </c>
      <c r="I15" t="s">
        <v>97</v>
      </c>
      <c r="J15" t="s">
        <v>100</v>
      </c>
      <c r="K15" t="s">
        <v>112</v>
      </c>
      <c r="L15" t="s">
        <v>115</v>
      </c>
      <c r="M15" t="s">
        <v>117</v>
      </c>
      <c r="N15" t="s">
        <v>118</v>
      </c>
      <c r="O15" t="s">
        <v>134</v>
      </c>
      <c r="P15" t="s">
        <v>137</v>
      </c>
      <c r="Q15" t="s">
        <v>134</v>
      </c>
      <c r="R15" t="s">
        <v>139</v>
      </c>
      <c r="S15" t="s">
        <v>148</v>
      </c>
      <c r="T15">
        <v>6.77</v>
      </c>
    </row>
    <row r="16" spans="1:20" x14ac:dyDescent="0.25">
      <c r="A16" t="s">
        <v>27</v>
      </c>
      <c r="B16" t="s">
        <v>35</v>
      </c>
      <c r="C16" t="s">
        <v>51</v>
      </c>
      <c r="D16" t="s">
        <v>68</v>
      </c>
      <c r="E16" t="s">
        <v>83</v>
      </c>
      <c r="F16" t="s">
        <v>89</v>
      </c>
      <c r="G16" t="s">
        <v>90</v>
      </c>
      <c r="H16" t="s">
        <v>96</v>
      </c>
      <c r="I16" t="s">
        <v>97</v>
      </c>
      <c r="J16" t="s">
        <v>100</v>
      </c>
      <c r="K16" t="s">
        <v>104</v>
      </c>
      <c r="L16" t="s">
        <v>115</v>
      </c>
      <c r="M16" t="s">
        <v>116</v>
      </c>
      <c r="N16" t="s">
        <v>120</v>
      </c>
      <c r="O16" t="s">
        <v>129</v>
      </c>
      <c r="P16" t="s">
        <v>137</v>
      </c>
      <c r="Q16" t="s">
        <v>129</v>
      </c>
      <c r="R16" t="s">
        <v>139</v>
      </c>
      <c r="S16" t="s">
        <v>147</v>
      </c>
      <c r="T16">
        <v>12.13</v>
      </c>
    </row>
    <row r="17" spans="1:20" x14ac:dyDescent="0.25">
      <c r="A17" t="s">
        <v>27</v>
      </c>
      <c r="B17" t="s">
        <v>35</v>
      </c>
      <c r="C17" t="s">
        <v>52</v>
      </c>
      <c r="D17" t="s">
        <v>69</v>
      </c>
      <c r="E17" t="s">
        <v>84</v>
      </c>
      <c r="F17" t="s">
        <v>89</v>
      </c>
      <c r="G17" t="s">
        <v>90</v>
      </c>
      <c r="H17" t="s">
        <v>96</v>
      </c>
      <c r="I17" t="s">
        <v>97</v>
      </c>
      <c r="J17" t="s">
        <v>100</v>
      </c>
      <c r="K17" t="s">
        <v>113</v>
      </c>
      <c r="L17" t="s">
        <v>115</v>
      </c>
      <c r="M17" t="s">
        <v>116</v>
      </c>
      <c r="N17" t="s">
        <v>120</v>
      </c>
      <c r="O17" t="s">
        <v>135</v>
      </c>
      <c r="P17" t="s">
        <v>137</v>
      </c>
      <c r="Q17" t="s">
        <v>135</v>
      </c>
      <c r="R17" t="s">
        <v>139</v>
      </c>
      <c r="S17" t="s">
        <v>147</v>
      </c>
      <c r="T17">
        <v>5.37</v>
      </c>
    </row>
    <row r="18" spans="1:20" x14ac:dyDescent="0.25">
      <c r="A18" t="s">
        <v>28</v>
      </c>
      <c r="B18" t="s">
        <v>36</v>
      </c>
      <c r="C18" t="s">
        <v>53</v>
      </c>
      <c r="D18" t="s">
        <v>70</v>
      </c>
      <c r="E18" t="s">
        <v>85</v>
      </c>
      <c r="F18" t="s">
        <v>87</v>
      </c>
      <c r="G18" t="s">
        <v>91</v>
      </c>
      <c r="H18" t="s">
        <v>94</v>
      </c>
      <c r="I18" t="s">
        <v>97</v>
      </c>
      <c r="J18" t="s">
        <v>100</v>
      </c>
      <c r="K18" t="s">
        <v>114</v>
      </c>
      <c r="L18" t="s">
        <v>115</v>
      </c>
      <c r="M18" t="s">
        <v>117</v>
      </c>
      <c r="N18" t="s">
        <v>118</v>
      </c>
      <c r="O18" t="s">
        <v>136</v>
      </c>
      <c r="P18" t="s">
        <v>137</v>
      </c>
      <c r="Q18" t="s">
        <v>136</v>
      </c>
      <c r="R18" t="s">
        <v>139</v>
      </c>
      <c r="S18" t="s">
        <v>148</v>
      </c>
      <c r="T18">
        <v>5.34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workbookViewId="0">
      <selection activeCell="C31" sqref="C31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151</v>
      </c>
    </row>
    <row r="2" spans="1:9" x14ac:dyDescent="0.25">
      <c r="A2" t="s">
        <v>39</v>
      </c>
      <c r="B2" t="s">
        <v>56</v>
      </c>
      <c r="C2" t="s">
        <v>73</v>
      </c>
      <c r="D2" t="s">
        <v>87</v>
      </c>
      <c r="E2" t="s">
        <v>91</v>
      </c>
      <c r="F2" t="s">
        <v>93</v>
      </c>
      <c r="G2" t="s">
        <v>98</v>
      </c>
      <c r="H2" t="s">
        <v>152</v>
      </c>
      <c r="I2">
        <v>-27.32</v>
      </c>
    </row>
    <row r="3" spans="1:9" x14ac:dyDescent="0.25">
      <c r="A3" t="s">
        <v>37</v>
      </c>
      <c r="B3" t="s">
        <v>54</v>
      </c>
      <c r="C3" t="s">
        <v>71</v>
      </c>
      <c r="D3" t="s">
        <v>86</v>
      </c>
      <c r="E3" t="s">
        <v>90</v>
      </c>
      <c r="F3" t="s">
        <v>92</v>
      </c>
      <c r="G3" t="s">
        <v>97</v>
      </c>
      <c r="H3" t="s">
        <v>152</v>
      </c>
      <c r="I3">
        <v>-27.55</v>
      </c>
    </row>
    <row r="4" spans="1:9" x14ac:dyDescent="0.25">
      <c r="A4" t="s">
        <v>40</v>
      </c>
      <c r="B4" t="s">
        <v>57</v>
      </c>
      <c r="C4" t="s">
        <v>74</v>
      </c>
      <c r="D4" t="s">
        <v>87</v>
      </c>
      <c r="E4" t="s">
        <v>91</v>
      </c>
      <c r="F4" t="s">
        <v>93</v>
      </c>
      <c r="G4" t="s">
        <v>97</v>
      </c>
      <c r="H4" t="s">
        <v>152</v>
      </c>
      <c r="I4">
        <v>-27.32</v>
      </c>
    </row>
    <row r="5" spans="1:9" x14ac:dyDescent="0.25">
      <c r="A5" t="s">
        <v>45</v>
      </c>
      <c r="B5" t="s">
        <v>62</v>
      </c>
      <c r="C5" t="s">
        <v>78</v>
      </c>
      <c r="D5" t="s">
        <v>89</v>
      </c>
      <c r="E5" t="s">
        <v>90</v>
      </c>
      <c r="F5" t="s">
        <v>94</v>
      </c>
      <c r="G5" t="s">
        <v>97</v>
      </c>
      <c r="H5" t="s">
        <v>152</v>
      </c>
      <c r="I5">
        <v>-31.91</v>
      </c>
    </row>
    <row r="6" spans="1:9" x14ac:dyDescent="0.25">
      <c r="A6" t="s">
        <v>42</v>
      </c>
      <c r="B6" t="s">
        <v>59</v>
      </c>
      <c r="C6" t="s">
        <v>76</v>
      </c>
      <c r="D6" t="s">
        <v>87</v>
      </c>
      <c r="E6" t="s">
        <v>91</v>
      </c>
      <c r="F6" t="s">
        <v>93</v>
      </c>
      <c r="G6" t="s">
        <v>97</v>
      </c>
      <c r="H6" t="s">
        <v>152</v>
      </c>
      <c r="I6">
        <v>-24.33</v>
      </c>
    </row>
    <row r="7" spans="1:9" x14ac:dyDescent="0.25">
      <c r="A7" t="s">
        <v>43</v>
      </c>
      <c r="B7" t="s">
        <v>60</v>
      </c>
      <c r="C7" t="s">
        <v>77</v>
      </c>
      <c r="D7" t="s">
        <v>87</v>
      </c>
      <c r="E7" t="s">
        <v>91</v>
      </c>
      <c r="F7" t="s">
        <v>93</v>
      </c>
      <c r="G7" t="s">
        <v>97</v>
      </c>
      <c r="H7" t="s">
        <v>152</v>
      </c>
      <c r="I7">
        <v>-28.61</v>
      </c>
    </row>
    <row r="8" spans="1:9" x14ac:dyDescent="0.25">
      <c r="A8" t="s">
        <v>53</v>
      </c>
      <c r="B8" t="s">
        <v>70</v>
      </c>
      <c r="C8" t="s">
        <v>85</v>
      </c>
      <c r="D8" t="s">
        <v>87</v>
      </c>
      <c r="E8" t="s">
        <v>91</v>
      </c>
      <c r="F8" t="s">
        <v>94</v>
      </c>
      <c r="G8" t="s">
        <v>97</v>
      </c>
      <c r="H8" t="s">
        <v>152</v>
      </c>
      <c r="I8">
        <v>-28.5</v>
      </c>
    </row>
    <row r="9" spans="1:9" x14ac:dyDescent="0.25">
      <c r="A9" t="s">
        <v>50</v>
      </c>
      <c r="B9" t="s">
        <v>67</v>
      </c>
      <c r="C9" t="s">
        <v>82</v>
      </c>
      <c r="D9" t="s">
        <v>87</v>
      </c>
      <c r="E9" t="s">
        <v>91</v>
      </c>
      <c r="F9" t="s">
        <v>94</v>
      </c>
      <c r="G9" t="s">
        <v>97</v>
      </c>
      <c r="H9" t="s">
        <v>152</v>
      </c>
      <c r="I9">
        <v>-36.11</v>
      </c>
    </row>
    <row r="10" spans="1:9" x14ac:dyDescent="0.25">
      <c r="A10" t="s">
        <v>49</v>
      </c>
      <c r="B10" t="s">
        <v>66</v>
      </c>
      <c r="C10" t="s">
        <v>81</v>
      </c>
      <c r="D10" t="s">
        <v>89</v>
      </c>
      <c r="E10" t="s">
        <v>90</v>
      </c>
      <c r="F10" t="s">
        <v>95</v>
      </c>
      <c r="G10" t="s">
        <v>97</v>
      </c>
      <c r="H10" t="s">
        <v>152</v>
      </c>
      <c r="I10">
        <v>-9.86</v>
      </c>
    </row>
    <row r="11" spans="1:9" x14ac:dyDescent="0.25">
      <c r="A11" t="s">
        <v>46</v>
      </c>
      <c r="B11" t="s">
        <v>63</v>
      </c>
      <c r="C11" t="s">
        <v>79</v>
      </c>
      <c r="D11" t="s">
        <v>87</v>
      </c>
      <c r="E11" t="s">
        <v>91</v>
      </c>
      <c r="F11" t="s">
        <v>94</v>
      </c>
      <c r="G11" t="s">
        <v>97</v>
      </c>
      <c r="H11" t="s">
        <v>152</v>
      </c>
      <c r="I11">
        <v>-35.549999999999997</v>
      </c>
    </row>
    <row r="12" spans="1:9" x14ac:dyDescent="0.25">
      <c r="A12" t="s">
        <v>44</v>
      </c>
      <c r="B12" t="s">
        <v>61</v>
      </c>
      <c r="C12" t="s">
        <v>77</v>
      </c>
      <c r="D12" t="s">
        <v>87</v>
      </c>
      <c r="E12" t="s">
        <v>91</v>
      </c>
      <c r="F12" t="s">
        <v>93</v>
      </c>
      <c r="G12" t="s">
        <v>97</v>
      </c>
      <c r="H12" t="s">
        <v>152</v>
      </c>
      <c r="I12">
        <v>-25.88</v>
      </c>
    </row>
    <row r="13" spans="1:9" x14ac:dyDescent="0.25">
      <c r="A13" t="s">
        <v>47</v>
      </c>
      <c r="B13" t="s">
        <v>64</v>
      </c>
      <c r="C13" t="s">
        <v>79</v>
      </c>
      <c r="D13" t="s">
        <v>87</v>
      </c>
      <c r="E13" t="s">
        <v>91</v>
      </c>
      <c r="F13" t="s">
        <v>94</v>
      </c>
      <c r="G13" t="s">
        <v>97</v>
      </c>
      <c r="H13" t="s">
        <v>152</v>
      </c>
      <c r="I13">
        <v>-31.14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M2" sqref="M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153</v>
      </c>
      <c r="L1" s="1" t="s">
        <v>17</v>
      </c>
      <c r="M1" s="1" t="s">
        <v>18</v>
      </c>
      <c r="N1" s="1" t="s">
        <v>154</v>
      </c>
      <c r="O1" s="1" t="s">
        <v>155</v>
      </c>
      <c r="P1" s="1" t="s">
        <v>156</v>
      </c>
    </row>
    <row r="2" spans="1:16" x14ac:dyDescent="0.25">
      <c r="A2" t="s">
        <v>22</v>
      </c>
      <c r="B2" t="s">
        <v>30</v>
      </c>
      <c r="C2" t="s">
        <v>38</v>
      </c>
      <c r="D2" t="s">
        <v>55</v>
      </c>
      <c r="E2" t="s">
        <v>72</v>
      </c>
      <c r="F2" t="s">
        <v>86</v>
      </c>
      <c r="G2" t="s">
        <v>90</v>
      </c>
      <c r="H2" t="s">
        <v>92</v>
      </c>
      <c r="I2" t="s">
        <v>97</v>
      </c>
      <c r="J2" t="s">
        <v>157</v>
      </c>
      <c r="K2" t="s">
        <v>123</v>
      </c>
      <c r="L2" t="s">
        <v>139</v>
      </c>
      <c r="M2" t="s">
        <v>140</v>
      </c>
      <c r="N2" t="s">
        <v>158</v>
      </c>
      <c r="O2">
        <v>153.99</v>
      </c>
      <c r="P2" t="s">
        <v>160</v>
      </c>
    </row>
    <row r="3" spans="1:16" x14ac:dyDescent="0.25">
      <c r="A3" t="s">
        <v>23</v>
      </c>
      <c r="B3" t="s">
        <v>31</v>
      </c>
      <c r="C3" t="s">
        <v>39</v>
      </c>
      <c r="D3" t="s">
        <v>56</v>
      </c>
      <c r="E3" t="s">
        <v>73</v>
      </c>
      <c r="F3" t="s">
        <v>87</v>
      </c>
      <c r="G3" t="s">
        <v>91</v>
      </c>
      <c r="H3" t="s">
        <v>93</v>
      </c>
      <c r="I3" t="s">
        <v>98</v>
      </c>
      <c r="J3" t="s">
        <v>157</v>
      </c>
      <c r="K3" t="s">
        <v>124</v>
      </c>
      <c r="L3" t="s">
        <v>139</v>
      </c>
      <c r="M3" t="s">
        <v>142</v>
      </c>
      <c r="N3" t="s">
        <v>159</v>
      </c>
      <c r="O3">
        <v>327.84</v>
      </c>
      <c r="P3" t="s">
        <v>160</v>
      </c>
    </row>
    <row r="4" spans="1:16" x14ac:dyDescent="0.25">
      <c r="A4" t="s">
        <v>23</v>
      </c>
      <c r="B4" t="s">
        <v>31</v>
      </c>
      <c r="C4" t="s">
        <v>44</v>
      </c>
      <c r="D4" t="s">
        <v>61</v>
      </c>
      <c r="E4" t="s">
        <v>77</v>
      </c>
      <c r="F4" t="s">
        <v>87</v>
      </c>
      <c r="G4" t="s">
        <v>91</v>
      </c>
      <c r="H4" t="s">
        <v>93</v>
      </c>
      <c r="I4" t="s">
        <v>97</v>
      </c>
      <c r="J4" t="s">
        <v>157</v>
      </c>
      <c r="K4" t="s">
        <v>128</v>
      </c>
      <c r="L4" t="s">
        <v>139</v>
      </c>
      <c r="M4" t="s">
        <v>142</v>
      </c>
      <c r="N4" t="s">
        <v>159</v>
      </c>
      <c r="O4">
        <v>310.56</v>
      </c>
      <c r="P4" t="s">
        <v>160</v>
      </c>
    </row>
    <row r="5" spans="1:16" x14ac:dyDescent="0.25">
      <c r="A5" t="s">
        <v>23</v>
      </c>
      <c r="B5" t="s">
        <v>31</v>
      </c>
      <c r="C5" t="s">
        <v>40</v>
      </c>
      <c r="D5" t="s">
        <v>57</v>
      </c>
      <c r="E5" t="s">
        <v>74</v>
      </c>
      <c r="F5" t="s">
        <v>87</v>
      </c>
      <c r="G5" t="s">
        <v>91</v>
      </c>
      <c r="H5" t="s">
        <v>93</v>
      </c>
      <c r="I5" t="s">
        <v>97</v>
      </c>
      <c r="J5" t="s">
        <v>157</v>
      </c>
      <c r="K5" t="s">
        <v>124</v>
      </c>
      <c r="L5" t="s">
        <v>139</v>
      </c>
      <c r="M5" t="s">
        <v>142</v>
      </c>
      <c r="N5" t="s">
        <v>159</v>
      </c>
      <c r="O5">
        <v>327.84</v>
      </c>
      <c r="P5" t="s">
        <v>160</v>
      </c>
    </row>
    <row r="6" spans="1:16" x14ac:dyDescent="0.25">
      <c r="A6" t="s">
        <v>23</v>
      </c>
      <c r="B6" t="s">
        <v>31</v>
      </c>
      <c r="C6" t="s">
        <v>43</v>
      </c>
      <c r="D6" t="s">
        <v>60</v>
      </c>
      <c r="E6" t="s">
        <v>77</v>
      </c>
      <c r="F6" t="s">
        <v>87</v>
      </c>
      <c r="G6" t="s">
        <v>91</v>
      </c>
      <c r="H6" t="s">
        <v>93</v>
      </c>
      <c r="I6" t="s">
        <v>97</v>
      </c>
      <c r="J6" t="s">
        <v>157</v>
      </c>
      <c r="K6" t="s">
        <v>127</v>
      </c>
      <c r="L6" t="s">
        <v>139</v>
      </c>
      <c r="M6" t="s">
        <v>142</v>
      </c>
      <c r="N6" t="s">
        <v>159</v>
      </c>
      <c r="O6">
        <v>343.32</v>
      </c>
      <c r="P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Year Commission</vt:lpstr>
      <vt:lpstr>Sheet1</vt:lpstr>
      <vt:lpstr>Sheet2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Janki Patel</cp:lastModifiedBy>
  <dcterms:created xsi:type="dcterms:W3CDTF">2025-11-02T17:03:35Z</dcterms:created>
  <dcterms:modified xsi:type="dcterms:W3CDTF">2025-12-01T16:12:15Z</dcterms:modified>
</cp:coreProperties>
</file>