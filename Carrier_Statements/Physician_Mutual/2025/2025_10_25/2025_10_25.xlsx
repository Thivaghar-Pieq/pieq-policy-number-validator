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10-25-25\"/>
    </mc:Choice>
  </mc:AlternateContent>
  <xr:revisionPtr revIDLastSave="0" documentId="13_ncr:1_{5196AB35-4E30-4CCA-8C84-A93ACCFC1DF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81029"/>
</workbook>
</file>

<file path=xl/calcChain.xml><?xml version="1.0" encoding="utf-8"?>
<calcChain xmlns="http://schemas.openxmlformats.org/spreadsheetml/2006/main">
  <c r="F2" i="5" l="1"/>
  <c r="F3" i="5"/>
  <c r="F4" i="5"/>
</calcChain>
</file>

<file path=xl/sharedStrings.xml><?xml version="1.0" encoding="utf-8"?>
<sst xmlns="http://schemas.openxmlformats.org/spreadsheetml/2006/main" count="215" uniqueCount="75">
  <si>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</si>
  <si>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</si>
  <si>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</si>
  <si>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</si>
  <si>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</si>
  <si>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</si>
  <si>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</si>
  <si>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</si>
  <si>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</si>
  <si>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</si>
  <si>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</si>
  <si>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</si>
  <si>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</si>
  <si>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</si>
  <si>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</si>
  <si>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</si>
  <si>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</si>
  <si>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</si>
  <si>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</si>
  <si>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</si>
  <si>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</si>
  <si>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</si>
  <si>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>Kucan Thomas null</t>
  </si>
  <si>
    <t>19491313</t>
  </si>
  <si>
    <t>16202925</t>
  </si>
  <si>
    <t>H750081328</t>
  </si>
  <si>
    <t>H711056072</t>
  </si>
  <si>
    <t>Mary Ann</t>
  </si>
  <si>
    <t>Shaista</t>
  </si>
  <si>
    <t>Benik</t>
  </si>
  <si>
    <t>Ali</t>
  </si>
  <si>
    <t>S06600001</t>
  </si>
  <si>
    <t>P15400002</t>
  </si>
  <si>
    <t>Medicare Supplement</t>
  </si>
  <si>
    <t>Dental</t>
  </si>
  <si>
    <t>OH</t>
  </si>
  <si>
    <t>MD</t>
  </si>
  <si>
    <t>2025-10-24</t>
  </si>
  <si>
    <t>2025-10-21</t>
  </si>
  <si>
    <t>2026-01-01</t>
  </si>
  <si>
    <t>2025-12-01</t>
  </si>
  <si>
    <t>65</t>
  </si>
  <si>
    <t>60</t>
  </si>
  <si>
    <t>MONTHLY</t>
  </si>
  <si>
    <t>RCVP-R</t>
  </si>
  <si>
    <t>RCVP</t>
  </si>
  <si>
    <t>1</t>
  </si>
  <si>
    <t>117.08</t>
  </si>
  <si>
    <t>56.50</t>
  </si>
  <si>
    <t>0.00</t>
  </si>
  <si>
    <t>100.00000</t>
  </si>
  <si>
    <t>1.00%</t>
  </si>
  <si>
    <t>25.00%</t>
  </si>
  <si>
    <t>Y</t>
  </si>
  <si>
    <t>0.80%</t>
  </si>
  <si>
    <t>9.50%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</si>
  <si>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</si>
  <si>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</si>
  <si>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</si>
  <si>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</si>
  <si>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</si>
  <si>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</si>
  <si>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</si>
  <si>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59.50</t>
  </si>
  <si>
    <t>12</t>
  </si>
  <si>
    <t>9</t>
  </si>
  <si>
    <t>Issue Advance Request</t>
  </si>
  <si>
    <t>Standard Dental</t>
  </si>
  <si>
    <t>Main Line Benefits</t>
  </si>
  <si>
    <t>Physician Mutual OVR</t>
  </si>
  <si>
    <t>750081328OVR</t>
  </si>
  <si>
    <t>711056072OVR</t>
  </si>
  <si>
    <t>Thomas Kucan</t>
  </si>
  <si>
    <t>16202925AV9</t>
  </si>
  <si>
    <t>On hold - waiting for the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</si>
</sst>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14" fontId="0" fillId="0" borderId="0" xfId="0" applyNumberFormat="1"/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B9" sqref="B9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6" max="6" width="10.28515625" bestFit="1" customWidth="1"/>
    <col min="9" max="9" width="15.140625" bestFit="1" customWidth="1"/>
    <col min="10" max="10" width="11.140625" bestFit="1" customWidth="1"/>
    <col min="22" max="22" width="31.7109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4" customFormat="1" x14ac:dyDescent="0.25">
      <c r="A2" s="4" t="s">
        <v>21</v>
      </c>
      <c r="B2" s="4">
        <v>19491313</v>
      </c>
      <c r="C2" s="4" t="s">
        <v>25</v>
      </c>
      <c r="D2" s="4" t="s">
        <v>27</v>
      </c>
      <c r="E2" s="4" t="s">
        <v>29</v>
      </c>
      <c r="F2" s="4" t="s">
        <v>31</v>
      </c>
      <c r="G2" s="4" t="s">
        <v>33</v>
      </c>
      <c r="H2" s="4" t="s">
        <v>35</v>
      </c>
      <c r="I2" s="4" t="s">
        <v>37</v>
      </c>
      <c r="J2" s="4" t="s">
        <v>39</v>
      </c>
      <c r="K2" s="4">
        <v>65</v>
      </c>
      <c r="L2" s="4" t="s">
        <v>43</v>
      </c>
      <c r="M2" s="4" t="s">
        <v>44</v>
      </c>
      <c r="N2" s="4">
        <v>1</v>
      </c>
      <c r="O2" s="4">
        <v>117.08</v>
      </c>
      <c r="P2" s="4">
        <v>0</v>
      </c>
      <c r="Q2" s="4">
        <v>117.08</v>
      </c>
      <c r="R2" s="4">
        <v>100</v>
      </c>
      <c r="S2" s="5">
        <v>0.01</v>
      </c>
      <c r="T2" s="4">
        <v>1.17</v>
      </c>
      <c r="U2" s="4" t="s">
        <v>53</v>
      </c>
      <c r="V2" s="4" t="s">
        <v>74</v>
      </c>
    </row>
    <row r="3" spans="1:22" x14ac:dyDescent="0.25">
      <c r="A3" t="s">
        <v>22</v>
      </c>
      <c r="B3">
        <v>16202925</v>
      </c>
      <c r="C3" t="s">
        <v>26</v>
      </c>
      <c r="D3" t="s">
        <v>28</v>
      </c>
      <c r="E3" t="s">
        <v>30</v>
      </c>
      <c r="F3" t="s">
        <v>32</v>
      </c>
      <c r="G3" t="s">
        <v>34</v>
      </c>
      <c r="H3" t="s">
        <v>36</v>
      </c>
      <c r="I3" t="s">
        <v>38</v>
      </c>
      <c r="J3" t="s">
        <v>40</v>
      </c>
      <c r="K3">
        <v>60</v>
      </c>
      <c r="L3" t="s">
        <v>43</v>
      </c>
      <c r="M3" t="s">
        <v>45</v>
      </c>
      <c r="N3">
        <v>1</v>
      </c>
      <c r="O3">
        <v>56.5</v>
      </c>
      <c r="P3">
        <v>0</v>
      </c>
      <c r="Q3">
        <v>56.5</v>
      </c>
      <c r="R3">
        <v>100</v>
      </c>
      <c r="S3" s="2">
        <v>0.25</v>
      </c>
      <c r="T3">
        <v>14.13</v>
      </c>
      <c r="U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B4C68-C0FB-483C-84FA-2E2781327EF8}">
  <dimension ref="A1:R4"/>
  <sheetViews>
    <sheetView workbookViewId="0">
      <selection activeCell="C2" sqref="C2"/>
    </sheetView>
  </sheetViews>
  <sheetFormatPr defaultRowHeight="15" x14ac:dyDescent="0.25"/>
  <cols>
    <col min="1" max="1" width="20.7109375" customWidth="1"/>
    <col min="2" max="2" width="12.5703125" customWidth="1"/>
    <col min="3" max="3" width="13.7109375" bestFit="1" customWidth="1"/>
    <col min="4" max="4" width="12" customWidth="1"/>
    <col min="5" max="6" width="12.85546875" customWidth="1"/>
    <col min="7" max="7" width="20.85546875" bestFit="1" customWidth="1"/>
    <col min="9" max="9" width="15.140625" bestFit="1" customWidth="1"/>
    <col min="10" max="10" width="11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6</v>
      </c>
      <c r="H1" s="1" t="s">
        <v>7</v>
      </c>
      <c r="I1" s="1" t="s">
        <v>8</v>
      </c>
      <c r="J1" s="1" t="s">
        <v>9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</row>
    <row r="2" spans="1:18" x14ac:dyDescent="0.25">
      <c r="A2" t="s">
        <v>72</v>
      </c>
      <c r="B2" t="s">
        <v>73</v>
      </c>
      <c r="C2">
        <v>711056072</v>
      </c>
      <c r="D2" t="s">
        <v>28</v>
      </c>
      <c r="E2" t="s">
        <v>30</v>
      </c>
      <c r="F2" t="str">
        <f t="shared" ref="F2:F4" si="0">CONCATENATE(D2, " ",E2)</f>
        <v>Shaista Ali</v>
      </c>
      <c r="G2" t="s">
        <v>34</v>
      </c>
      <c r="H2" t="s">
        <v>36</v>
      </c>
      <c r="I2" s="3">
        <v>45962</v>
      </c>
      <c r="J2" s="3">
        <v>45992</v>
      </c>
      <c r="K2">
        <v>56.5</v>
      </c>
      <c r="L2">
        <v>0</v>
      </c>
      <c r="M2">
        <v>56.5</v>
      </c>
      <c r="N2">
        <v>100</v>
      </c>
      <c r="O2" s="2">
        <v>0.25</v>
      </c>
      <c r="P2">
        <v>14.13</v>
      </c>
      <c r="Q2" t="s">
        <v>53</v>
      </c>
      <c r="R2" t="s">
        <v>67</v>
      </c>
    </row>
    <row r="3" spans="1:18" x14ac:dyDescent="0.25">
      <c r="A3" t="s">
        <v>68</v>
      </c>
      <c r="B3">
        <v>20411454</v>
      </c>
      <c r="C3" t="s">
        <v>70</v>
      </c>
      <c r="D3" t="s">
        <v>27</v>
      </c>
      <c r="E3" t="s">
        <v>29</v>
      </c>
      <c r="F3" t="str">
        <f t="shared" si="0"/>
        <v>Mary Ann Benik</v>
      </c>
      <c r="G3" t="s">
        <v>33</v>
      </c>
      <c r="H3" t="s">
        <v>35</v>
      </c>
      <c r="I3" s="3">
        <v>45992</v>
      </c>
      <c r="J3" s="3">
        <v>46023</v>
      </c>
      <c r="K3">
        <v>0.94</v>
      </c>
      <c r="L3">
        <v>0</v>
      </c>
      <c r="M3">
        <v>0.94</v>
      </c>
      <c r="N3">
        <v>100</v>
      </c>
      <c r="O3" s="2">
        <v>0.01</v>
      </c>
      <c r="P3">
        <v>0.94</v>
      </c>
      <c r="Q3" t="s">
        <v>53</v>
      </c>
      <c r="R3" t="s">
        <v>69</v>
      </c>
    </row>
    <row r="4" spans="1:18" x14ac:dyDescent="0.25">
      <c r="A4" t="s">
        <v>68</v>
      </c>
      <c r="B4">
        <v>20411454</v>
      </c>
      <c r="C4" t="s">
        <v>71</v>
      </c>
      <c r="D4" t="s">
        <v>28</v>
      </c>
      <c r="E4" t="s">
        <v>30</v>
      </c>
      <c r="F4" t="str">
        <f t="shared" si="0"/>
        <v>Shaista Ali</v>
      </c>
      <c r="G4" t="s">
        <v>34</v>
      </c>
      <c r="H4" t="s">
        <v>36</v>
      </c>
      <c r="I4" s="3">
        <v>45962</v>
      </c>
      <c r="J4" s="3">
        <v>45992</v>
      </c>
      <c r="K4">
        <v>5.37</v>
      </c>
      <c r="L4">
        <v>0</v>
      </c>
      <c r="M4">
        <v>5.37</v>
      </c>
      <c r="N4">
        <v>100</v>
      </c>
      <c r="O4" s="2">
        <v>0.25</v>
      </c>
      <c r="P4">
        <v>5.37</v>
      </c>
      <c r="Q4" t="s">
        <v>53</v>
      </c>
      <c r="R4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workbookViewId="0">
      <selection activeCell="C2" sqref="C2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23</v>
      </c>
      <c r="C2" t="s">
        <v>25</v>
      </c>
      <c r="D2" t="s">
        <v>27</v>
      </c>
      <c r="E2" t="s">
        <v>29</v>
      </c>
      <c r="F2" t="s">
        <v>31</v>
      </c>
      <c r="G2" t="s">
        <v>33</v>
      </c>
      <c r="H2" t="s">
        <v>35</v>
      </c>
      <c r="I2" t="s">
        <v>37</v>
      </c>
      <c r="J2" t="s">
        <v>39</v>
      </c>
      <c r="K2" t="s">
        <v>41</v>
      </c>
      <c r="L2" t="s">
        <v>43</v>
      </c>
      <c r="M2" t="s">
        <v>44</v>
      </c>
      <c r="N2" t="s">
        <v>46</v>
      </c>
      <c r="O2" t="s">
        <v>47</v>
      </c>
      <c r="P2" t="s">
        <v>49</v>
      </c>
      <c r="Q2" t="s">
        <v>47</v>
      </c>
      <c r="R2" t="s">
        <v>50</v>
      </c>
      <c r="S2" t="s">
        <v>54</v>
      </c>
      <c r="T2">
        <v>0.94</v>
      </c>
    </row>
    <row r="3" spans="1:20" x14ac:dyDescent="0.25">
      <c r="A3" t="s">
        <v>22</v>
      </c>
      <c r="B3" t="s">
        <v>24</v>
      </c>
      <c r="C3" t="s">
        <v>26</v>
      </c>
      <c r="D3" t="s">
        <v>28</v>
      </c>
      <c r="E3" t="s">
        <v>30</v>
      </c>
      <c r="F3" t="s">
        <v>32</v>
      </c>
      <c r="G3" t="s">
        <v>34</v>
      </c>
      <c r="H3" t="s">
        <v>36</v>
      </c>
      <c r="I3" t="s">
        <v>38</v>
      </c>
      <c r="J3" t="s">
        <v>40</v>
      </c>
      <c r="K3" t="s">
        <v>42</v>
      </c>
      <c r="L3" t="s">
        <v>43</v>
      </c>
      <c r="M3" t="s">
        <v>45</v>
      </c>
      <c r="N3" t="s">
        <v>46</v>
      </c>
      <c r="O3" t="s">
        <v>48</v>
      </c>
      <c r="P3" t="s">
        <v>49</v>
      </c>
      <c r="Q3" t="s">
        <v>48</v>
      </c>
      <c r="R3" t="s">
        <v>50</v>
      </c>
      <c r="S3" t="s">
        <v>55</v>
      </c>
      <c r="T3">
        <v>5.37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56</v>
      </c>
    </row>
    <row r="2" spans="1:9" x14ac:dyDescent="0.25">
      <c r="A2" t="s">
        <v>26</v>
      </c>
      <c r="B2" t="s">
        <v>28</v>
      </c>
      <c r="C2" t="s">
        <v>30</v>
      </c>
      <c r="D2" t="s">
        <v>32</v>
      </c>
      <c r="E2" t="s">
        <v>34</v>
      </c>
      <c r="F2" t="s">
        <v>36</v>
      </c>
      <c r="G2" t="s">
        <v>38</v>
      </c>
      <c r="H2" t="s">
        <v>57</v>
      </c>
      <c r="I2">
        <v>-14.13</v>
      </c>
    </row>
    <row r="3" spans="1:9" x14ac:dyDescent="0.25">
      <c r="A3" t="s">
        <v>25</v>
      </c>
      <c r="B3" t="s">
        <v>27</v>
      </c>
      <c r="C3" t="s">
        <v>29</v>
      </c>
      <c r="D3" t="s">
        <v>31</v>
      </c>
      <c r="E3" t="s">
        <v>33</v>
      </c>
      <c r="F3" t="s">
        <v>35</v>
      </c>
      <c r="G3" t="s">
        <v>37</v>
      </c>
      <c r="H3" t="s">
        <v>57</v>
      </c>
      <c r="I3">
        <v>-1.17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workbookViewId="0">
      <selection activeCell="M1" sqref="M1"/>
    </sheetView>
  </sheetViews>
  <sheetFormatPr defaultRowHeight="15" x14ac:dyDescent="0.25"/>
  <cols>
    <col min="6" max="6" width="10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58</v>
      </c>
      <c r="L1" s="1" t="s">
        <v>17</v>
      </c>
      <c r="M1" s="1" t="s">
        <v>18</v>
      </c>
      <c r="N1" s="1" t="s">
        <v>59</v>
      </c>
      <c r="O1" s="1" t="s">
        <v>60</v>
      </c>
      <c r="P1" s="1" t="s">
        <v>61</v>
      </c>
    </row>
    <row r="2" spans="1:16" x14ac:dyDescent="0.25">
      <c r="A2" t="s">
        <v>21</v>
      </c>
      <c r="B2" t="s">
        <v>23</v>
      </c>
      <c r="C2" t="s">
        <v>25</v>
      </c>
      <c r="D2" t="s">
        <v>27</v>
      </c>
      <c r="E2" t="s">
        <v>29</v>
      </c>
      <c r="F2" t="s">
        <v>31</v>
      </c>
      <c r="G2" t="s">
        <v>33</v>
      </c>
      <c r="H2" t="s">
        <v>35</v>
      </c>
      <c r="I2" t="s">
        <v>37</v>
      </c>
      <c r="J2" t="s">
        <v>62</v>
      </c>
      <c r="K2" t="s">
        <v>47</v>
      </c>
      <c r="L2" t="s">
        <v>50</v>
      </c>
      <c r="M2" t="s">
        <v>51</v>
      </c>
      <c r="N2" t="s">
        <v>64</v>
      </c>
      <c r="O2">
        <v>14.04</v>
      </c>
      <c r="P2" t="s">
        <v>66</v>
      </c>
    </row>
    <row r="3" spans="1:16" x14ac:dyDescent="0.25">
      <c r="A3" t="s">
        <v>22</v>
      </c>
      <c r="B3" t="s">
        <v>24</v>
      </c>
      <c r="C3" t="s">
        <v>26</v>
      </c>
      <c r="D3" t="s">
        <v>28</v>
      </c>
      <c r="E3" t="s">
        <v>30</v>
      </c>
      <c r="F3" t="s">
        <v>32</v>
      </c>
      <c r="G3" t="s">
        <v>34</v>
      </c>
      <c r="H3" t="s">
        <v>36</v>
      </c>
      <c r="I3" t="s">
        <v>38</v>
      </c>
      <c r="J3" t="s">
        <v>62</v>
      </c>
      <c r="K3" t="s">
        <v>63</v>
      </c>
      <c r="L3" t="s">
        <v>50</v>
      </c>
      <c r="M3" t="s">
        <v>52</v>
      </c>
      <c r="N3" t="s">
        <v>65</v>
      </c>
      <c r="O3">
        <v>133.91999999999999</v>
      </c>
      <c r="P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2025-10-26T21:00:22Z</dcterms:created>
  <dcterms:modified xsi:type="dcterms:W3CDTF">2025-11-10T21:32:27Z</dcterms:modified>
</cp:coreProperties>
</file>