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9-6-25\"/>
    </mc:Choice>
  </mc:AlternateContent>
  <xr:revisionPtr revIDLastSave="0" documentId="13_ncr:1_{9AD44026-B32B-43D8-BDCB-D51786C6124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externalReferences>
    <externalReference r:id="rId6"/>
  </externalReferences>
  <definedNames>
    <definedName name="_xlnm._FilterDatabase" localSheetId="0" hidden="1">'First Year Commission'!$A$1:$V$19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 a="1"/>
  <c r="B1" i="5" s="1"/>
  <c r="F15" i="1"/>
  <c r="F18" i="1"/>
  <c r="F16" i="1"/>
  <c r="F1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<sst xmlns="http://schemas.openxmlformats.org/spreadsheetml/2006/main" count="799" uniqueCount="90">
  <si>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</si>
  <si>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</si>
  <si>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</si>
  <si>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</si>
  <si>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</si>
  <si>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</si>
  <si>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</si>
  <si>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</si>
  <si>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</si>
  <si>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</si>
  <si>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</si>
  <si>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</si>
  <si>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</si>
  <si>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</si>
  <si>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</si>
  <si>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</si>
  <si>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</si>
  <si>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</si>
  <si>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</si>
  <si>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</si>
  <si>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</si>
  <si>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</si>
  <si>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</si>
  <si>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Schumann Barry null</t>
  </si>
  <si>
    <t>Shapiro Robert null</t>
  </si>
  <si>
    <t>H711037165</t>
  </si>
  <si>
    <t>H750075022</t>
  </si>
  <si>
    <t>H711024512</t>
  </si>
  <si>
    <t>H750070618</t>
  </si>
  <si>
    <t>H711037504</t>
  </si>
  <si>
    <t>H750075298</t>
  </si>
  <si>
    <t>H750073798</t>
  </si>
  <si>
    <t>Kerry</t>
  </si>
  <si>
    <t>Daniel</t>
  </si>
  <si>
    <t>Edward</t>
  </si>
  <si>
    <t>Jacqueline</t>
  </si>
  <si>
    <t>Thomas</t>
  </si>
  <si>
    <t>Morrison</t>
  </si>
  <si>
    <t>Turner</t>
  </si>
  <si>
    <t>Kunkel</t>
  </si>
  <si>
    <t>Green</t>
  </si>
  <si>
    <t>Glusic</t>
  </si>
  <si>
    <t>P15400002</t>
  </si>
  <si>
    <t>S06600001</t>
  </si>
  <si>
    <t>Dental</t>
  </si>
  <si>
    <t>Medicare Supplement</t>
  </si>
  <si>
    <t>OH</t>
  </si>
  <si>
    <t>IL</t>
  </si>
  <si>
    <t>2025-09-02</t>
  </si>
  <si>
    <t>2025-09-03</t>
  </si>
  <si>
    <t>2025-09-05</t>
  </si>
  <si>
    <t>2025-09-04</t>
  </si>
  <si>
    <t>2026-02-01</t>
  </si>
  <si>
    <t>2025-11-01</t>
  </si>
  <si>
    <t>2025-10-01</t>
  </si>
  <si>
    <t>2025-10-05</t>
  </si>
  <si>
    <t>2025-12-01</t>
  </si>
  <si>
    <t>2026-09-01</t>
  </si>
  <si>
    <t>MONTHLY</t>
  </si>
  <si>
    <t>ANNUAL</t>
  </si>
  <si>
    <t>RCVP</t>
  </si>
  <si>
    <t>RCVP-R</t>
  </si>
  <si>
    <t>Y</t>
  </si>
  <si>
    <t>N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</si>
  <si>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</si>
  <si>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</si>
  <si>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</si>
  <si>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</si>
  <si>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</si>
  <si>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</si>
  <si>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</si>
  <si>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</si>
  <si>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H711037165OVR</t>
  </si>
  <si>
    <t>H750075022OVR</t>
  </si>
  <si>
    <t>H711024512OVR</t>
  </si>
  <si>
    <t>H750070618OVR</t>
  </si>
  <si>
    <t>H711037504OVR</t>
  </si>
  <si>
    <t>H750075298OVR</t>
  </si>
  <si>
    <t>H750073798OVR</t>
  </si>
  <si>
    <t>Main Line Benefits</t>
  </si>
  <si>
    <t>name</t>
  </si>
  <si>
    <t>Standard Dental</t>
  </si>
  <si>
    <t>Open Enrollment - States Where Available</t>
  </si>
  <si>
    <t>Open Enrollment underwritten IL</t>
  </si>
  <si>
    <t>Physician Mutual OVR</t>
  </si>
  <si>
    <t>19586992AV9</t>
  </si>
  <si>
    <t>7565575AV9</t>
  </si>
  <si>
    <t>8812322AV9</t>
  </si>
  <si>
    <t>EFFECTIVE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</si>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</sst>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physician%20mutual\Book%20of%20Business%20workbook.xlsx" TargetMode="External"/><Relationship Id="rId1" Type="http://schemas.openxmlformats.org/officeDocument/2006/relationships/externalLinkPath" Target="/Shared%20drives/Main%20Line%20Benefits%20Office/Commissions/Commission%20Processing/Carrier%20Statements/physician%20mutual/Book%20of%20Business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 of Business workbook"/>
      <sheetName val="Sheet1"/>
    </sheetNames>
    <sheetDataSet>
      <sheetData sheetId="0"/>
      <sheetData sheetId="1">
        <row r="1">
          <cell r="A1">
            <v>711020958</v>
          </cell>
          <cell r="B1">
            <v>45870</v>
          </cell>
        </row>
        <row r="2">
          <cell r="A2">
            <v>711021314</v>
          </cell>
          <cell r="B2">
            <v>45870</v>
          </cell>
        </row>
        <row r="3">
          <cell r="A3">
            <v>711024011</v>
          </cell>
          <cell r="B3">
            <v>45870</v>
          </cell>
        </row>
        <row r="4">
          <cell r="A4">
            <v>711024512</v>
          </cell>
          <cell r="B4">
            <v>45870</v>
          </cell>
        </row>
        <row r="5">
          <cell r="A5">
            <v>711025485</v>
          </cell>
          <cell r="B5">
            <v>45870</v>
          </cell>
        </row>
        <row r="6">
          <cell r="A6">
            <v>711037165</v>
          </cell>
          <cell r="B6">
            <v>46023</v>
          </cell>
        </row>
        <row r="7">
          <cell r="A7">
            <v>711037504</v>
          </cell>
          <cell r="B7">
            <v>45905</v>
          </cell>
        </row>
        <row r="8">
          <cell r="A8">
            <v>750068245</v>
          </cell>
          <cell r="B8">
            <v>45870</v>
          </cell>
        </row>
        <row r="9">
          <cell r="A9">
            <v>750070465</v>
          </cell>
          <cell r="B9">
            <v>45870</v>
          </cell>
        </row>
        <row r="10">
          <cell r="A10">
            <v>750070618</v>
          </cell>
          <cell r="B10">
            <v>45870</v>
          </cell>
        </row>
        <row r="11">
          <cell r="A11">
            <v>750072498</v>
          </cell>
          <cell r="B11">
            <v>45931</v>
          </cell>
        </row>
        <row r="12">
          <cell r="A12">
            <v>750073175</v>
          </cell>
          <cell r="B12">
            <v>45962</v>
          </cell>
        </row>
        <row r="13">
          <cell r="A13">
            <v>750073798</v>
          </cell>
          <cell r="B13">
            <v>45901</v>
          </cell>
        </row>
        <row r="14">
          <cell r="A14">
            <v>750073872</v>
          </cell>
          <cell r="B14">
            <v>45901</v>
          </cell>
        </row>
        <row r="15">
          <cell r="A15">
            <v>750073946</v>
          </cell>
          <cell r="B15">
            <v>45901</v>
          </cell>
        </row>
        <row r="16">
          <cell r="A16">
            <v>750074387</v>
          </cell>
          <cell r="B16">
            <v>45901</v>
          </cell>
        </row>
        <row r="17">
          <cell r="A17">
            <v>750075022</v>
          </cell>
          <cell r="B17">
            <v>45931</v>
          </cell>
        </row>
        <row r="18">
          <cell r="A18">
            <v>750075298</v>
          </cell>
          <cell r="B18">
            <v>45962</v>
          </cell>
        </row>
        <row r="19">
          <cell r="A19">
            <v>750075381</v>
          </cell>
          <cell r="B19">
            <v>45931</v>
          </cell>
        </row>
        <row r="20">
          <cell r="A20">
            <v>750075562</v>
          </cell>
          <cell r="B20">
            <v>45931</v>
          </cell>
        </row>
        <row r="21">
          <cell r="A21">
            <v>750075563</v>
          </cell>
          <cell r="B21">
            <v>45931</v>
          </cell>
        </row>
        <row r="22">
          <cell r="A22">
            <v>750075870</v>
          </cell>
          <cell r="B22">
            <v>45992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topLeftCell="D1" workbookViewId="0">
      <selection activeCell="O13" sqref="O13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5.28515625" bestFit="1" customWidth="1"/>
    <col min="15" max="15" width="13.28515625" bestFit="1" customWidth="1"/>
    <col min="16" max="16" width="17.42578125" bestFit="1" customWidth="1"/>
    <col min="17" max="17" width="32.5703125" bestFit="1" customWidth="1"/>
    <col min="18" max="18" width="17.5703125" bestFit="1" customWidth="1"/>
    <col min="19" max="19" width="15" bestFit="1" customWidth="1"/>
    <col min="20" max="20" width="15.7109375" bestFit="1" customWidth="1"/>
    <col min="21" max="21" width="19" bestFit="1" customWidth="1"/>
    <col min="22" max="22" width="1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</v>
      </c>
      <c r="G1" s="1" t="s">
        <v>5</v>
      </c>
      <c r="H1" s="1" t="s">
        <v>6</v>
      </c>
      <c r="I1" s="1" t="s">
        <v>7</v>
      </c>
      <c r="J1" s="1" t="s">
        <v>88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23</v>
      </c>
      <c r="B2" t="s">
        <v>85</v>
      </c>
      <c r="C2" t="s">
        <v>30</v>
      </c>
      <c r="D2" t="s">
        <v>35</v>
      </c>
      <c r="E2" t="s">
        <v>40</v>
      </c>
      <c r="F2" t="str">
        <f t="shared" ref="F2:F19" si="0">CONCATENATE(D2, " ",E2)</f>
        <v>Jacqueline Green</v>
      </c>
      <c r="G2" t="s">
        <v>43</v>
      </c>
      <c r="H2" t="s">
        <v>83</v>
      </c>
      <c r="I2" t="s">
        <v>47</v>
      </c>
      <c r="J2" s="3">
        <v>45962</v>
      </c>
      <c r="K2" s="3">
        <v>45992</v>
      </c>
      <c r="L2">
        <v>65</v>
      </c>
      <c r="M2" t="s">
        <v>58</v>
      </c>
      <c r="N2" t="s">
        <v>60</v>
      </c>
      <c r="O2">
        <v>1</v>
      </c>
      <c r="P2">
        <v>116.7</v>
      </c>
      <c r="Q2">
        <v>0</v>
      </c>
      <c r="R2">
        <v>116.7</v>
      </c>
      <c r="S2">
        <v>100</v>
      </c>
      <c r="T2" s="2">
        <v>0.20799999999999999</v>
      </c>
      <c r="U2">
        <v>24.27</v>
      </c>
      <c r="V2" t="s">
        <v>62</v>
      </c>
    </row>
    <row r="3" spans="1:22" x14ac:dyDescent="0.25">
      <c r="A3" t="s">
        <v>24</v>
      </c>
      <c r="B3" t="s">
        <v>86</v>
      </c>
      <c r="C3" t="s">
        <v>31</v>
      </c>
      <c r="D3" t="s">
        <v>36</v>
      </c>
      <c r="E3" t="s">
        <v>41</v>
      </c>
      <c r="F3" t="str">
        <f t="shared" si="0"/>
        <v>Thomas Glusic</v>
      </c>
      <c r="G3" t="s">
        <v>43</v>
      </c>
      <c r="H3" t="s">
        <v>83</v>
      </c>
      <c r="I3" t="s">
        <v>47</v>
      </c>
      <c r="J3" s="3">
        <v>45901</v>
      </c>
      <c r="K3" s="3">
        <v>46266</v>
      </c>
      <c r="L3">
        <v>65</v>
      </c>
      <c r="M3" t="s">
        <v>89</v>
      </c>
      <c r="N3" t="s">
        <v>60</v>
      </c>
      <c r="O3">
        <v>11</v>
      </c>
      <c r="P3">
        <v>191.89</v>
      </c>
      <c r="Q3">
        <v>0</v>
      </c>
      <c r="R3">
        <v>191.89</v>
      </c>
      <c r="S3">
        <v>100</v>
      </c>
      <c r="T3" s="2">
        <v>0.20799999999999999</v>
      </c>
      <c r="U3">
        <v>39.909999999999997</v>
      </c>
      <c r="V3" t="s">
        <v>62</v>
      </c>
    </row>
    <row r="4" spans="1:22" x14ac:dyDescent="0.25">
      <c r="A4" t="s">
        <v>24</v>
      </c>
      <c r="B4" t="s">
        <v>86</v>
      </c>
      <c r="C4" t="s">
        <v>31</v>
      </c>
      <c r="D4" t="s">
        <v>36</v>
      </c>
      <c r="E4" t="s">
        <v>41</v>
      </c>
      <c r="F4" t="str">
        <f t="shared" si="0"/>
        <v>Thomas Glusic</v>
      </c>
      <c r="G4" t="s">
        <v>43</v>
      </c>
      <c r="H4" t="s">
        <v>83</v>
      </c>
      <c r="I4" t="s">
        <v>47</v>
      </c>
      <c r="J4" s="3">
        <v>45901</v>
      </c>
      <c r="K4" s="3">
        <v>46266</v>
      </c>
      <c r="L4">
        <v>65</v>
      </c>
      <c r="M4" t="s">
        <v>89</v>
      </c>
      <c r="N4" t="s">
        <v>60</v>
      </c>
      <c r="O4">
        <v>4</v>
      </c>
      <c r="P4">
        <v>191.89</v>
      </c>
      <c r="Q4">
        <v>0</v>
      </c>
      <c r="R4">
        <v>191.89</v>
      </c>
      <c r="S4">
        <v>100</v>
      </c>
      <c r="T4" s="2">
        <v>0.20799999999999999</v>
      </c>
      <c r="U4">
        <v>39.909999999999997</v>
      </c>
      <c r="V4" t="s">
        <v>62</v>
      </c>
    </row>
    <row r="5" spans="1:22" x14ac:dyDescent="0.25">
      <c r="A5" t="s">
        <v>24</v>
      </c>
      <c r="B5" t="s">
        <v>86</v>
      </c>
      <c r="C5" t="s">
        <v>31</v>
      </c>
      <c r="D5" t="s">
        <v>36</v>
      </c>
      <c r="E5" t="s">
        <v>41</v>
      </c>
      <c r="F5" t="str">
        <f t="shared" si="0"/>
        <v>Thomas Glusic</v>
      </c>
      <c r="G5" t="s">
        <v>43</v>
      </c>
      <c r="H5" t="s">
        <v>83</v>
      </c>
      <c r="I5" t="s">
        <v>47</v>
      </c>
      <c r="J5" s="3">
        <v>45901</v>
      </c>
      <c r="K5" s="3">
        <v>46266</v>
      </c>
      <c r="L5">
        <v>65</v>
      </c>
      <c r="M5" t="s">
        <v>89</v>
      </c>
      <c r="N5" t="s">
        <v>60</v>
      </c>
      <c r="O5">
        <v>2</v>
      </c>
      <c r="P5">
        <v>191.89</v>
      </c>
      <c r="Q5">
        <v>0</v>
      </c>
      <c r="R5">
        <v>191.89</v>
      </c>
      <c r="S5">
        <v>100</v>
      </c>
      <c r="T5" s="2">
        <v>0.20799999999999999</v>
      </c>
      <c r="U5">
        <v>39.909999999999997</v>
      </c>
      <c r="V5" t="s">
        <v>62</v>
      </c>
    </row>
    <row r="6" spans="1:22" x14ac:dyDescent="0.25">
      <c r="A6" t="s">
        <v>24</v>
      </c>
      <c r="B6" t="s">
        <v>86</v>
      </c>
      <c r="C6" t="s">
        <v>31</v>
      </c>
      <c r="D6" t="s">
        <v>36</v>
      </c>
      <c r="E6" t="s">
        <v>41</v>
      </c>
      <c r="F6" t="str">
        <f t="shared" si="0"/>
        <v>Thomas Glusic</v>
      </c>
      <c r="G6" t="s">
        <v>43</v>
      </c>
      <c r="H6" t="s">
        <v>83</v>
      </c>
      <c r="I6" t="s">
        <v>47</v>
      </c>
      <c r="J6" s="3">
        <v>45901</v>
      </c>
      <c r="K6" s="3">
        <v>46266</v>
      </c>
      <c r="L6">
        <v>65</v>
      </c>
      <c r="M6" t="s">
        <v>89</v>
      </c>
      <c r="N6" t="s">
        <v>60</v>
      </c>
      <c r="O6">
        <v>9</v>
      </c>
      <c r="P6">
        <v>191.89</v>
      </c>
      <c r="Q6">
        <v>0</v>
      </c>
      <c r="R6">
        <v>191.89</v>
      </c>
      <c r="S6">
        <v>100</v>
      </c>
      <c r="T6" s="2">
        <v>0.20799999999999999</v>
      </c>
      <c r="U6">
        <v>39.909999999999997</v>
      </c>
      <c r="V6" t="s">
        <v>62</v>
      </c>
    </row>
    <row r="7" spans="1:22" x14ac:dyDescent="0.25">
      <c r="A7" t="s">
        <v>24</v>
      </c>
      <c r="B7" t="s">
        <v>86</v>
      </c>
      <c r="C7" t="s">
        <v>31</v>
      </c>
      <c r="D7" t="s">
        <v>36</v>
      </c>
      <c r="E7" t="s">
        <v>41</v>
      </c>
      <c r="F7" t="str">
        <f t="shared" si="0"/>
        <v>Thomas Glusic</v>
      </c>
      <c r="G7" t="s">
        <v>43</v>
      </c>
      <c r="H7" t="s">
        <v>83</v>
      </c>
      <c r="I7" t="s">
        <v>47</v>
      </c>
      <c r="J7" s="3">
        <v>45901</v>
      </c>
      <c r="K7" s="3">
        <v>46266</v>
      </c>
      <c r="L7">
        <v>65</v>
      </c>
      <c r="M7" t="s">
        <v>89</v>
      </c>
      <c r="N7" t="s">
        <v>60</v>
      </c>
      <c r="O7">
        <v>1</v>
      </c>
      <c r="P7">
        <v>191.89</v>
      </c>
      <c r="Q7">
        <v>0</v>
      </c>
      <c r="R7">
        <v>191.89</v>
      </c>
      <c r="S7">
        <v>100</v>
      </c>
      <c r="T7" s="2">
        <v>0.20799999999999999</v>
      </c>
      <c r="U7">
        <v>39.909999999999997</v>
      </c>
      <c r="V7" t="s">
        <v>62</v>
      </c>
    </row>
    <row r="8" spans="1:22" x14ac:dyDescent="0.25">
      <c r="A8" t="s">
        <v>24</v>
      </c>
      <c r="B8" t="s">
        <v>86</v>
      </c>
      <c r="C8" t="s">
        <v>31</v>
      </c>
      <c r="D8" t="s">
        <v>36</v>
      </c>
      <c r="E8" t="s">
        <v>41</v>
      </c>
      <c r="F8" t="str">
        <f t="shared" si="0"/>
        <v>Thomas Glusic</v>
      </c>
      <c r="G8" t="s">
        <v>43</v>
      </c>
      <c r="H8" t="s">
        <v>83</v>
      </c>
      <c r="I8" t="s">
        <v>47</v>
      </c>
      <c r="J8" s="3">
        <v>45901</v>
      </c>
      <c r="K8" s="3">
        <v>46266</v>
      </c>
      <c r="L8">
        <v>65</v>
      </c>
      <c r="M8" t="s">
        <v>89</v>
      </c>
      <c r="N8" t="s">
        <v>60</v>
      </c>
      <c r="O8">
        <v>8</v>
      </c>
      <c r="P8">
        <v>191.89</v>
      </c>
      <c r="Q8">
        <v>0</v>
      </c>
      <c r="R8">
        <v>191.89</v>
      </c>
      <c r="S8">
        <v>100</v>
      </c>
      <c r="T8" s="2">
        <v>0.20799999999999999</v>
      </c>
      <c r="U8">
        <v>39.909999999999997</v>
      </c>
      <c r="V8" t="s">
        <v>62</v>
      </c>
    </row>
    <row r="9" spans="1:22" x14ac:dyDescent="0.25">
      <c r="A9" t="s">
        <v>24</v>
      </c>
      <c r="B9" t="s">
        <v>86</v>
      </c>
      <c r="C9" t="s">
        <v>31</v>
      </c>
      <c r="D9" t="s">
        <v>36</v>
      </c>
      <c r="E9" t="s">
        <v>41</v>
      </c>
      <c r="F9" t="str">
        <f t="shared" si="0"/>
        <v>Thomas Glusic</v>
      </c>
      <c r="G9" t="s">
        <v>43</v>
      </c>
      <c r="H9" t="s">
        <v>83</v>
      </c>
      <c r="I9" t="s">
        <v>47</v>
      </c>
      <c r="J9" s="3">
        <v>45901</v>
      </c>
      <c r="K9" s="3">
        <v>46266</v>
      </c>
      <c r="L9">
        <v>65</v>
      </c>
      <c r="M9" t="s">
        <v>89</v>
      </c>
      <c r="N9" t="s">
        <v>60</v>
      </c>
      <c r="O9">
        <v>3</v>
      </c>
      <c r="P9">
        <v>191.89</v>
      </c>
      <c r="Q9">
        <v>0</v>
      </c>
      <c r="R9">
        <v>191.89</v>
      </c>
      <c r="S9">
        <v>100</v>
      </c>
      <c r="T9" s="2">
        <v>0.20799999999999999</v>
      </c>
      <c r="U9">
        <v>39.909999999999997</v>
      </c>
      <c r="V9" t="s">
        <v>62</v>
      </c>
    </row>
    <row r="10" spans="1:22" x14ac:dyDescent="0.25">
      <c r="A10" t="s">
        <v>24</v>
      </c>
      <c r="B10" t="s">
        <v>86</v>
      </c>
      <c r="C10" t="s">
        <v>31</v>
      </c>
      <c r="D10" t="s">
        <v>36</v>
      </c>
      <c r="E10" t="s">
        <v>41</v>
      </c>
      <c r="F10" t="str">
        <f t="shared" si="0"/>
        <v>Thomas Glusic</v>
      </c>
      <c r="G10" t="s">
        <v>43</v>
      </c>
      <c r="H10" t="s">
        <v>83</v>
      </c>
      <c r="I10" t="s">
        <v>47</v>
      </c>
      <c r="J10" s="3">
        <v>45901</v>
      </c>
      <c r="K10" s="3">
        <v>46266</v>
      </c>
      <c r="L10">
        <v>65</v>
      </c>
      <c r="M10" t="s">
        <v>89</v>
      </c>
      <c r="N10" t="s">
        <v>60</v>
      </c>
      <c r="O10">
        <v>7</v>
      </c>
      <c r="P10">
        <v>191.89</v>
      </c>
      <c r="Q10">
        <v>0</v>
      </c>
      <c r="R10">
        <v>191.89</v>
      </c>
      <c r="S10">
        <v>100</v>
      </c>
      <c r="T10" s="2">
        <v>0.20799999999999999</v>
      </c>
      <c r="U10">
        <v>39.909999999999997</v>
      </c>
      <c r="V10" t="s">
        <v>62</v>
      </c>
    </row>
    <row r="11" spans="1:22" x14ac:dyDescent="0.25">
      <c r="A11" t="s">
        <v>24</v>
      </c>
      <c r="B11" t="s">
        <v>86</v>
      </c>
      <c r="C11" t="s">
        <v>31</v>
      </c>
      <c r="D11" t="s">
        <v>36</v>
      </c>
      <c r="E11" t="s">
        <v>41</v>
      </c>
      <c r="F11" t="str">
        <f t="shared" si="0"/>
        <v>Thomas Glusic</v>
      </c>
      <c r="G11" t="s">
        <v>43</v>
      </c>
      <c r="H11" t="s">
        <v>83</v>
      </c>
      <c r="I11" t="s">
        <v>47</v>
      </c>
      <c r="J11" s="3">
        <v>45901</v>
      </c>
      <c r="K11" s="3">
        <v>46266</v>
      </c>
      <c r="L11">
        <v>65</v>
      </c>
      <c r="M11" t="s">
        <v>89</v>
      </c>
      <c r="N11" t="s">
        <v>60</v>
      </c>
      <c r="O11">
        <v>12</v>
      </c>
      <c r="P11">
        <v>191.89</v>
      </c>
      <c r="Q11">
        <v>0</v>
      </c>
      <c r="R11">
        <v>191.89</v>
      </c>
      <c r="S11">
        <v>100</v>
      </c>
      <c r="T11" s="2">
        <v>0.20799999999999999</v>
      </c>
      <c r="U11">
        <v>39.909999999999997</v>
      </c>
      <c r="V11" t="s">
        <v>62</v>
      </c>
    </row>
    <row r="12" spans="1:22" x14ac:dyDescent="0.25">
      <c r="A12" t="s">
        <v>24</v>
      </c>
      <c r="B12" t="s">
        <v>86</v>
      </c>
      <c r="C12" t="s">
        <v>31</v>
      </c>
      <c r="D12" t="s">
        <v>36</v>
      </c>
      <c r="E12" t="s">
        <v>41</v>
      </c>
      <c r="F12" t="str">
        <f t="shared" si="0"/>
        <v>Thomas Glusic</v>
      </c>
      <c r="G12" t="s">
        <v>43</v>
      </c>
      <c r="H12" t="s">
        <v>83</v>
      </c>
      <c r="I12" t="s">
        <v>47</v>
      </c>
      <c r="J12" s="3">
        <v>45901</v>
      </c>
      <c r="K12" s="3">
        <v>46266</v>
      </c>
      <c r="L12">
        <v>65</v>
      </c>
      <c r="M12" t="s">
        <v>89</v>
      </c>
      <c r="N12" t="s">
        <v>60</v>
      </c>
      <c r="O12">
        <v>6</v>
      </c>
      <c r="P12">
        <v>191.89</v>
      </c>
      <c r="Q12">
        <v>0</v>
      </c>
      <c r="R12">
        <v>191.89</v>
      </c>
      <c r="S12">
        <v>100</v>
      </c>
      <c r="T12" s="2">
        <v>0.20799999999999999</v>
      </c>
      <c r="U12">
        <v>39.909999999999997</v>
      </c>
      <c r="V12" t="s">
        <v>62</v>
      </c>
    </row>
    <row r="13" spans="1:22" x14ac:dyDescent="0.25">
      <c r="A13" t="s">
        <v>24</v>
      </c>
      <c r="B13" t="s">
        <v>86</v>
      </c>
      <c r="C13" t="s">
        <v>31</v>
      </c>
      <c r="D13" t="s">
        <v>36</v>
      </c>
      <c r="E13" t="s">
        <v>41</v>
      </c>
      <c r="F13" t="str">
        <f t="shared" si="0"/>
        <v>Thomas Glusic</v>
      </c>
      <c r="G13" t="s">
        <v>43</v>
      </c>
      <c r="H13" t="s">
        <v>83</v>
      </c>
      <c r="I13" t="s">
        <v>47</v>
      </c>
      <c r="J13" s="3">
        <v>45901</v>
      </c>
      <c r="K13" s="3">
        <v>46266</v>
      </c>
      <c r="L13">
        <v>65</v>
      </c>
      <c r="M13" t="s">
        <v>89</v>
      </c>
      <c r="N13" t="s">
        <v>60</v>
      </c>
      <c r="O13">
        <v>5</v>
      </c>
      <c r="P13">
        <v>191.89</v>
      </c>
      <c r="Q13">
        <v>0</v>
      </c>
      <c r="R13">
        <v>191.89</v>
      </c>
      <c r="S13">
        <v>100</v>
      </c>
      <c r="T13" s="2">
        <v>0.20799999999999999</v>
      </c>
      <c r="U13">
        <v>39.909999999999997</v>
      </c>
      <c r="V13" t="s">
        <v>62</v>
      </c>
    </row>
    <row r="14" spans="1:22" x14ac:dyDescent="0.25">
      <c r="A14" t="s">
        <v>24</v>
      </c>
      <c r="B14" t="s">
        <v>86</v>
      </c>
      <c r="C14" t="s">
        <v>31</v>
      </c>
      <c r="D14" t="s">
        <v>36</v>
      </c>
      <c r="E14" t="s">
        <v>41</v>
      </c>
      <c r="F14" t="str">
        <f t="shared" si="0"/>
        <v>Thomas Glusic</v>
      </c>
      <c r="G14" t="s">
        <v>43</v>
      </c>
      <c r="H14" t="s">
        <v>83</v>
      </c>
      <c r="I14" t="s">
        <v>47</v>
      </c>
      <c r="J14" s="3">
        <v>45901</v>
      </c>
      <c r="K14" s="3">
        <v>46266</v>
      </c>
      <c r="L14">
        <v>65</v>
      </c>
      <c r="M14" t="s">
        <v>89</v>
      </c>
      <c r="N14" t="s">
        <v>60</v>
      </c>
      <c r="O14">
        <v>10</v>
      </c>
      <c r="P14">
        <v>191.89</v>
      </c>
      <c r="Q14">
        <v>0</v>
      </c>
      <c r="R14">
        <v>191.89</v>
      </c>
      <c r="S14">
        <v>100</v>
      </c>
      <c r="T14" s="2">
        <v>0.20799999999999999</v>
      </c>
      <c r="U14">
        <v>39.909999999999997</v>
      </c>
      <c r="V14" t="s">
        <v>62</v>
      </c>
    </row>
    <row r="15" spans="1:22" x14ac:dyDescent="0.25">
      <c r="A15" t="s">
        <v>21</v>
      </c>
      <c r="B15">
        <v>19491313</v>
      </c>
      <c r="C15" t="s">
        <v>26</v>
      </c>
      <c r="D15" t="s">
        <v>32</v>
      </c>
      <c r="E15" t="s">
        <v>37</v>
      </c>
      <c r="F15" t="str">
        <f t="shared" si="0"/>
        <v>Kerry Morrison</v>
      </c>
      <c r="G15" t="s">
        <v>43</v>
      </c>
      <c r="H15" t="s">
        <v>82</v>
      </c>
      <c r="I15" t="s">
        <v>46</v>
      </c>
      <c r="J15" s="3">
        <v>45931</v>
      </c>
      <c r="K15" s="3">
        <v>45962</v>
      </c>
      <c r="L15">
        <v>69</v>
      </c>
      <c r="M15" t="s">
        <v>58</v>
      </c>
      <c r="N15" t="s">
        <v>60</v>
      </c>
      <c r="O15">
        <v>1</v>
      </c>
      <c r="P15">
        <v>120.26</v>
      </c>
      <c r="Q15">
        <v>0</v>
      </c>
      <c r="R15">
        <v>120.26</v>
      </c>
      <c r="S15">
        <v>100</v>
      </c>
      <c r="T15" s="2">
        <v>0.21</v>
      </c>
      <c r="U15">
        <v>25.25</v>
      </c>
      <c r="V15" t="s">
        <v>62</v>
      </c>
    </row>
    <row r="16" spans="1:22" x14ac:dyDescent="0.25">
      <c r="A16" t="s">
        <v>21</v>
      </c>
      <c r="B16">
        <v>19491313</v>
      </c>
      <c r="C16" t="s">
        <v>28</v>
      </c>
      <c r="D16" t="s">
        <v>33</v>
      </c>
      <c r="E16" t="s">
        <v>38</v>
      </c>
      <c r="F16" t="str">
        <f t="shared" si="0"/>
        <v>Daniel Turner</v>
      </c>
      <c r="G16" t="s">
        <v>43</v>
      </c>
      <c r="H16" t="s">
        <v>82</v>
      </c>
      <c r="I16" t="s">
        <v>46</v>
      </c>
      <c r="J16" s="3">
        <v>45870</v>
      </c>
      <c r="K16" s="3">
        <v>45931</v>
      </c>
      <c r="L16">
        <v>65</v>
      </c>
      <c r="M16" t="s">
        <v>58</v>
      </c>
      <c r="N16" t="s">
        <v>61</v>
      </c>
      <c r="O16">
        <v>2</v>
      </c>
      <c r="P16">
        <v>115.86</v>
      </c>
      <c r="Q16">
        <v>0</v>
      </c>
      <c r="R16">
        <v>115.86</v>
      </c>
      <c r="S16">
        <v>100</v>
      </c>
      <c r="T16" s="2">
        <v>0.21</v>
      </c>
      <c r="U16">
        <v>24.33</v>
      </c>
      <c r="V16" t="s">
        <v>63</v>
      </c>
    </row>
    <row r="17" spans="1:22" x14ac:dyDescent="0.25">
      <c r="A17" t="s">
        <v>21</v>
      </c>
      <c r="B17">
        <v>19491313</v>
      </c>
      <c r="C17" t="s">
        <v>25</v>
      </c>
      <c r="D17" t="s">
        <v>32</v>
      </c>
      <c r="E17" t="s">
        <v>37</v>
      </c>
      <c r="F17" t="str">
        <f t="shared" si="0"/>
        <v>Kerry Morrison</v>
      </c>
      <c r="G17" t="s">
        <v>42</v>
      </c>
      <c r="H17" t="s">
        <v>81</v>
      </c>
      <c r="I17" t="s">
        <v>46</v>
      </c>
      <c r="J17" s="3">
        <v>46023</v>
      </c>
      <c r="K17" s="3">
        <v>46054</v>
      </c>
      <c r="L17">
        <v>69</v>
      </c>
      <c r="M17" t="s">
        <v>58</v>
      </c>
      <c r="N17" t="s">
        <v>60</v>
      </c>
      <c r="O17">
        <v>1</v>
      </c>
      <c r="P17">
        <v>53.67</v>
      </c>
      <c r="Q17">
        <v>0</v>
      </c>
      <c r="R17">
        <v>53.67</v>
      </c>
      <c r="S17">
        <v>100</v>
      </c>
      <c r="T17" s="2">
        <v>0.25</v>
      </c>
      <c r="U17">
        <v>13.42</v>
      </c>
      <c r="V17" t="s">
        <v>62</v>
      </c>
    </row>
    <row r="18" spans="1:22" x14ac:dyDescent="0.25">
      <c r="A18" t="s">
        <v>21</v>
      </c>
      <c r="B18">
        <v>19491313</v>
      </c>
      <c r="C18" t="s">
        <v>27</v>
      </c>
      <c r="D18" t="s">
        <v>33</v>
      </c>
      <c r="E18" t="s">
        <v>38</v>
      </c>
      <c r="F18" t="str">
        <f t="shared" si="0"/>
        <v>Daniel Turner</v>
      </c>
      <c r="G18" t="s">
        <v>42</v>
      </c>
      <c r="H18" t="s">
        <v>81</v>
      </c>
      <c r="I18" t="s">
        <v>46</v>
      </c>
      <c r="J18" s="3">
        <v>45870</v>
      </c>
      <c r="K18" s="3">
        <v>45931</v>
      </c>
      <c r="L18">
        <v>65</v>
      </c>
      <c r="M18" t="s">
        <v>58</v>
      </c>
      <c r="N18" t="s">
        <v>60</v>
      </c>
      <c r="O18">
        <v>2</v>
      </c>
      <c r="P18">
        <v>62.17</v>
      </c>
      <c r="Q18">
        <v>0</v>
      </c>
      <c r="R18">
        <v>62.17</v>
      </c>
      <c r="S18">
        <v>100</v>
      </c>
      <c r="T18" s="2">
        <v>0.25</v>
      </c>
      <c r="U18">
        <v>15.54</v>
      </c>
      <c r="V18" t="s">
        <v>63</v>
      </c>
    </row>
    <row r="19" spans="1:22" x14ac:dyDescent="0.25">
      <c r="A19" t="s">
        <v>22</v>
      </c>
      <c r="B19" t="s">
        <v>87</v>
      </c>
      <c r="C19" t="s">
        <v>29</v>
      </c>
      <c r="D19" t="s">
        <v>34</v>
      </c>
      <c r="E19" t="s">
        <v>39</v>
      </c>
      <c r="F19" t="str">
        <f t="shared" si="0"/>
        <v>Edward Kunkel</v>
      </c>
      <c r="G19" t="s">
        <v>42</v>
      </c>
      <c r="H19" t="s">
        <v>81</v>
      </c>
      <c r="I19" t="s">
        <v>47</v>
      </c>
      <c r="J19" s="3">
        <v>45905</v>
      </c>
      <c r="K19" s="3">
        <v>45935</v>
      </c>
      <c r="L19">
        <v>66</v>
      </c>
      <c r="M19" t="s">
        <v>58</v>
      </c>
      <c r="N19" t="s">
        <v>60</v>
      </c>
      <c r="O19">
        <v>1</v>
      </c>
      <c r="P19">
        <v>127.65</v>
      </c>
      <c r="Q19">
        <v>0</v>
      </c>
      <c r="R19">
        <v>127.65</v>
      </c>
      <c r="S19">
        <v>100</v>
      </c>
      <c r="T19" s="2">
        <v>0.25</v>
      </c>
      <c r="U19">
        <v>31.91</v>
      </c>
      <c r="V19" t="s">
        <v>62</v>
      </c>
    </row>
    <row r="20" spans="1:22" s="4" customFormat="1" x14ac:dyDescent="0.25">
      <c r="A20" s="4" t="s">
        <v>79</v>
      </c>
      <c r="B20" s="4">
        <v>20411454</v>
      </c>
      <c r="C20" s="4" t="s">
        <v>72</v>
      </c>
      <c r="D20" s="4" t="s">
        <v>32</v>
      </c>
      <c r="E20" s="4" t="s">
        <v>37</v>
      </c>
      <c r="F20" s="4" t="str">
        <f t="shared" ref="F20:F37" si="1">CONCATENATE(D20, " ",E20)</f>
        <v>Kerry Morrison</v>
      </c>
      <c r="G20" s="4" t="s">
        <v>42</v>
      </c>
      <c r="H20" s="4" t="s">
        <v>84</v>
      </c>
      <c r="I20" s="4" t="s">
        <v>46</v>
      </c>
      <c r="J20" s="5">
        <v>45902</v>
      </c>
      <c r="K20" s="5">
        <v>46054</v>
      </c>
      <c r="L20" s="4">
        <v>69</v>
      </c>
      <c r="M20" s="4" t="s">
        <v>58</v>
      </c>
      <c r="N20" s="4" t="s">
        <v>60</v>
      </c>
      <c r="O20" s="4">
        <v>1</v>
      </c>
      <c r="P20" s="4">
        <v>5.0999999999999996</v>
      </c>
      <c r="Q20" s="4">
        <v>0</v>
      </c>
      <c r="R20" s="4">
        <v>5.0999999999999996</v>
      </c>
      <c r="S20" s="4">
        <v>100</v>
      </c>
      <c r="T20" s="6">
        <v>9.5000000000000001E-2</v>
      </c>
      <c r="U20" s="4">
        <v>5.0999999999999996</v>
      </c>
    </row>
    <row r="21" spans="1:22" x14ac:dyDescent="0.25">
      <c r="A21" t="s">
        <v>79</v>
      </c>
      <c r="B21">
        <v>20411454</v>
      </c>
      <c r="C21" t="s">
        <v>73</v>
      </c>
      <c r="D21" t="s">
        <v>32</v>
      </c>
      <c r="E21" t="s">
        <v>37</v>
      </c>
      <c r="F21" t="str">
        <f t="shared" si="1"/>
        <v>Kerry Morrison</v>
      </c>
      <c r="G21" t="s">
        <v>43</v>
      </c>
      <c r="H21" t="s">
        <v>84</v>
      </c>
      <c r="I21" t="s">
        <v>46</v>
      </c>
      <c r="J21" s="3">
        <v>45903</v>
      </c>
      <c r="K21" s="3">
        <v>45962</v>
      </c>
      <c r="L21">
        <v>69</v>
      </c>
      <c r="M21" t="s">
        <v>58</v>
      </c>
      <c r="N21" t="s">
        <v>60</v>
      </c>
      <c r="O21">
        <v>1</v>
      </c>
      <c r="P21">
        <v>3.37</v>
      </c>
      <c r="Q21">
        <v>0</v>
      </c>
      <c r="R21">
        <v>3.37</v>
      </c>
      <c r="S21">
        <v>100</v>
      </c>
      <c r="T21" s="2">
        <v>2.8000000000000001E-2</v>
      </c>
      <c r="U21">
        <v>3.37</v>
      </c>
    </row>
    <row r="22" spans="1:22" x14ac:dyDescent="0.25">
      <c r="A22" t="s">
        <v>79</v>
      </c>
      <c r="B22">
        <v>20411454</v>
      </c>
      <c r="C22" t="s">
        <v>74</v>
      </c>
      <c r="D22" t="s">
        <v>33</v>
      </c>
      <c r="E22" t="s">
        <v>38</v>
      </c>
      <c r="F22" t="str">
        <f t="shared" si="1"/>
        <v>Daniel Turner</v>
      </c>
      <c r="G22" t="s">
        <v>42</v>
      </c>
      <c r="H22" t="s">
        <v>84</v>
      </c>
      <c r="I22" t="s">
        <v>46</v>
      </c>
      <c r="J22" s="3">
        <v>45905</v>
      </c>
      <c r="K22" s="3">
        <v>45931</v>
      </c>
      <c r="L22">
        <v>65</v>
      </c>
      <c r="M22" t="s">
        <v>58</v>
      </c>
      <c r="N22" t="s">
        <v>60</v>
      </c>
      <c r="O22">
        <v>2</v>
      </c>
      <c r="P22">
        <v>5.91</v>
      </c>
      <c r="Q22">
        <v>0</v>
      </c>
      <c r="R22">
        <v>5.91</v>
      </c>
      <c r="S22">
        <v>100</v>
      </c>
      <c r="T22" s="2">
        <v>9.5000000000000001E-2</v>
      </c>
      <c r="U22">
        <v>5.91</v>
      </c>
    </row>
    <row r="23" spans="1:22" x14ac:dyDescent="0.25">
      <c r="A23" t="s">
        <v>79</v>
      </c>
      <c r="B23">
        <v>20411454</v>
      </c>
      <c r="C23" t="s">
        <v>75</v>
      </c>
      <c r="D23" t="s">
        <v>33</v>
      </c>
      <c r="E23" t="s">
        <v>38</v>
      </c>
      <c r="F23" t="str">
        <f t="shared" si="1"/>
        <v>Daniel Turner</v>
      </c>
      <c r="G23" t="s">
        <v>43</v>
      </c>
      <c r="H23" t="s">
        <v>84</v>
      </c>
      <c r="I23" t="s">
        <v>46</v>
      </c>
      <c r="J23" s="3">
        <v>45905</v>
      </c>
      <c r="K23" s="3">
        <v>45931</v>
      </c>
      <c r="L23">
        <v>65</v>
      </c>
      <c r="M23" t="s">
        <v>58</v>
      </c>
      <c r="N23" t="s">
        <v>61</v>
      </c>
      <c r="O23">
        <v>2</v>
      </c>
      <c r="P23">
        <v>3.24</v>
      </c>
      <c r="Q23">
        <v>0</v>
      </c>
      <c r="R23">
        <v>3.24</v>
      </c>
      <c r="S23">
        <v>100</v>
      </c>
      <c r="T23" s="2">
        <v>2.8000000000000001E-2</v>
      </c>
      <c r="U23">
        <v>3.24</v>
      </c>
    </row>
    <row r="24" spans="1:22" x14ac:dyDescent="0.25">
      <c r="A24" t="s">
        <v>79</v>
      </c>
      <c r="B24">
        <v>20411454</v>
      </c>
      <c r="C24" t="s">
        <v>76</v>
      </c>
      <c r="D24" t="s">
        <v>34</v>
      </c>
      <c r="E24" t="s">
        <v>39</v>
      </c>
      <c r="F24" t="str">
        <f t="shared" si="1"/>
        <v>Edward Kunkel</v>
      </c>
      <c r="G24" t="s">
        <v>42</v>
      </c>
      <c r="H24" t="s">
        <v>84</v>
      </c>
      <c r="I24" t="s">
        <v>47</v>
      </c>
      <c r="J24" s="3">
        <v>45904</v>
      </c>
      <c r="K24" s="3">
        <v>45935</v>
      </c>
      <c r="L24">
        <v>66</v>
      </c>
      <c r="M24" t="s">
        <v>58</v>
      </c>
      <c r="N24" t="s">
        <v>60</v>
      </c>
      <c r="O24">
        <v>1</v>
      </c>
      <c r="P24">
        <v>12.13</v>
      </c>
      <c r="Q24">
        <v>0</v>
      </c>
      <c r="R24">
        <v>12.13</v>
      </c>
      <c r="S24">
        <v>100</v>
      </c>
      <c r="T24" s="2">
        <v>9.5000000000000001E-2</v>
      </c>
      <c r="U24">
        <v>12.13</v>
      </c>
    </row>
    <row r="25" spans="1:22" x14ac:dyDescent="0.25">
      <c r="A25" t="s">
        <v>79</v>
      </c>
      <c r="B25">
        <v>20411454</v>
      </c>
      <c r="C25" t="s">
        <v>77</v>
      </c>
      <c r="D25" t="s">
        <v>35</v>
      </c>
      <c r="E25" t="s">
        <v>40</v>
      </c>
      <c r="F25" t="str">
        <f t="shared" si="1"/>
        <v>Jacqueline Green</v>
      </c>
      <c r="G25" t="s">
        <v>43</v>
      </c>
      <c r="H25" t="s">
        <v>84</v>
      </c>
      <c r="I25" t="s">
        <v>47</v>
      </c>
      <c r="J25" s="3">
        <v>45905</v>
      </c>
      <c r="K25" s="3">
        <v>45992</v>
      </c>
      <c r="L25">
        <v>65</v>
      </c>
      <c r="M25" t="s">
        <v>58</v>
      </c>
      <c r="N25" t="s">
        <v>60</v>
      </c>
      <c r="O25">
        <v>1</v>
      </c>
      <c r="P25">
        <v>3.27</v>
      </c>
      <c r="Q25">
        <v>0</v>
      </c>
      <c r="R25">
        <v>3.27</v>
      </c>
      <c r="S25">
        <v>100</v>
      </c>
      <c r="T25" s="2">
        <v>2.8000000000000001E-2</v>
      </c>
      <c r="U25">
        <v>3.27</v>
      </c>
    </row>
    <row r="26" spans="1:22" x14ac:dyDescent="0.25">
      <c r="A26" t="s">
        <v>79</v>
      </c>
      <c r="B26">
        <v>20411454</v>
      </c>
      <c r="C26" t="s">
        <v>78</v>
      </c>
      <c r="D26" t="s">
        <v>36</v>
      </c>
      <c r="E26" t="s">
        <v>41</v>
      </c>
      <c r="F26" t="str">
        <f t="shared" si="1"/>
        <v>Thomas Glusic</v>
      </c>
      <c r="G26" t="s">
        <v>43</v>
      </c>
      <c r="H26" t="s">
        <v>84</v>
      </c>
      <c r="I26" t="s">
        <v>47</v>
      </c>
      <c r="J26" s="3">
        <v>45904</v>
      </c>
      <c r="K26" s="3">
        <v>46266</v>
      </c>
      <c r="L26">
        <v>65</v>
      </c>
      <c r="M26" t="s">
        <v>89</v>
      </c>
      <c r="N26" t="s">
        <v>60</v>
      </c>
      <c r="O26">
        <v>4</v>
      </c>
      <c r="P26">
        <v>5.37</v>
      </c>
      <c r="Q26">
        <v>0</v>
      </c>
      <c r="R26">
        <v>5.37</v>
      </c>
      <c r="S26">
        <v>100</v>
      </c>
      <c r="T26" s="2">
        <v>2.8000000000000001E-2</v>
      </c>
      <c r="U26">
        <v>5.37</v>
      </c>
    </row>
    <row r="27" spans="1:22" x14ac:dyDescent="0.25">
      <c r="A27" t="s">
        <v>79</v>
      </c>
      <c r="B27">
        <v>20411454</v>
      </c>
      <c r="C27" t="s">
        <v>78</v>
      </c>
      <c r="D27" t="s">
        <v>36</v>
      </c>
      <c r="E27" t="s">
        <v>41</v>
      </c>
      <c r="F27" t="str">
        <f t="shared" si="1"/>
        <v>Thomas Glusic</v>
      </c>
      <c r="G27" t="s">
        <v>43</v>
      </c>
      <c r="H27" t="s">
        <v>84</v>
      </c>
      <c r="I27" t="s">
        <v>47</v>
      </c>
      <c r="J27" s="3">
        <v>45904</v>
      </c>
      <c r="K27" s="3">
        <v>46266</v>
      </c>
      <c r="L27">
        <v>65</v>
      </c>
      <c r="M27" t="s">
        <v>89</v>
      </c>
      <c r="N27" t="s">
        <v>60</v>
      </c>
      <c r="O27">
        <v>8</v>
      </c>
      <c r="P27">
        <v>5.37</v>
      </c>
      <c r="Q27">
        <v>0</v>
      </c>
      <c r="R27">
        <v>5.37</v>
      </c>
      <c r="S27">
        <v>100</v>
      </c>
      <c r="T27" s="2">
        <v>2.8000000000000001E-2</v>
      </c>
      <c r="U27">
        <v>5.37</v>
      </c>
    </row>
    <row r="28" spans="1:22" x14ac:dyDescent="0.25">
      <c r="A28" t="s">
        <v>79</v>
      </c>
      <c r="B28">
        <v>20411454</v>
      </c>
      <c r="C28" t="s">
        <v>78</v>
      </c>
      <c r="D28" t="s">
        <v>36</v>
      </c>
      <c r="E28" t="s">
        <v>41</v>
      </c>
      <c r="F28" t="str">
        <f t="shared" si="1"/>
        <v>Thomas Glusic</v>
      </c>
      <c r="G28" t="s">
        <v>43</v>
      </c>
      <c r="H28" t="s">
        <v>84</v>
      </c>
      <c r="I28" t="s">
        <v>47</v>
      </c>
      <c r="J28" s="3">
        <v>45904</v>
      </c>
      <c r="K28" s="3">
        <v>46266</v>
      </c>
      <c r="L28">
        <v>65</v>
      </c>
      <c r="M28" t="s">
        <v>89</v>
      </c>
      <c r="N28" t="s">
        <v>60</v>
      </c>
      <c r="O28">
        <v>11</v>
      </c>
      <c r="P28">
        <v>5.37</v>
      </c>
      <c r="Q28">
        <v>0</v>
      </c>
      <c r="R28">
        <v>5.37</v>
      </c>
      <c r="S28">
        <v>100</v>
      </c>
      <c r="T28" s="2">
        <v>2.8000000000000001E-2</v>
      </c>
      <c r="U28">
        <v>5.37</v>
      </c>
    </row>
    <row r="29" spans="1:22" x14ac:dyDescent="0.25">
      <c r="A29" t="s">
        <v>79</v>
      </c>
      <c r="B29">
        <v>20411454</v>
      </c>
      <c r="C29" t="s">
        <v>78</v>
      </c>
      <c r="D29" t="s">
        <v>36</v>
      </c>
      <c r="E29" t="s">
        <v>41</v>
      </c>
      <c r="F29" t="str">
        <f t="shared" si="1"/>
        <v>Thomas Glusic</v>
      </c>
      <c r="G29" t="s">
        <v>43</v>
      </c>
      <c r="H29" t="s">
        <v>84</v>
      </c>
      <c r="I29" t="s">
        <v>47</v>
      </c>
      <c r="J29" s="3">
        <v>45904</v>
      </c>
      <c r="K29" s="3">
        <v>46266</v>
      </c>
      <c r="L29">
        <v>65</v>
      </c>
      <c r="M29" t="s">
        <v>89</v>
      </c>
      <c r="N29" t="s">
        <v>60</v>
      </c>
      <c r="O29">
        <v>5</v>
      </c>
      <c r="P29">
        <v>5.37</v>
      </c>
      <c r="Q29">
        <v>0</v>
      </c>
      <c r="R29">
        <v>5.37</v>
      </c>
      <c r="S29">
        <v>100</v>
      </c>
      <c r="T29" s="2">
        <v>2.8000000000000001E-2</v>
      </c>
      <c r="U29">
        <v>5.37</v>
      </c>
    </row>
    <row r="30" spans="1:22" x14ac:dyDescent="0.25">
      <c r="A30" t="s">
        <v>79</v>
      </c>
      <c r="B30">
        <v>20411454</v>
      </c>
      <c r="C30" t="s">
        <v>78</v>
      </c>
      <c r="D30" t="s">
        <v>36</v>
      </c>
      <c r="E30" t="s">
        <v>41</v>
      </c>
      <c r="F30" t="str">
        <f t="shared" si="1"/>
        <v>Thomas Glusic</v>
      </c>
      <c r="G30" t="s">
        <v>43</v>
      </c>
      <c r="H30" t="s">
        <v>84</v>
      </c>
      <c r="I30" t="s">
        <v>47</v>
      </c>
      <c r="J30" s="3">
        <v>45904</v>
      </c>
      <c r="K30" s="3">
        <v>46266</v>
      </c>
      <c r="L30">
        <v>65</v>
      </c>
      <c r="M30" t="s">
        <v>89</v>
      </c>
      <c r="N30" t="s">
        <v>60</v>
      </c>
      <c r="O30">
        <v>9</v>
      </c>
      <c r="P30">
        <v>5.37</v>
      </c>
      <c r="Q30">
        <v>0</v>
      </c>
      <c r="R30">
        <v>5.37</v>
      </c>
      <c r="S30">
        <v>100</v>
      </c>
      <c r="T30" s="2">
        <v>2.8000000000000001E-2</v>
      </c>
      <c r="U30">
        <v>5.37</v>
      </c>
    </row>
    <row r="31" spans="1:22" x14ac:dyDescent="0.25">
      <c r="A31" t="s">
        <v>79</v>
      </c>
      <c r="B31">
        <v>20411454</v>
      </c>
      <c r="C31" t="s">
        <v>78</v>
      </c>
      <c r="D31" t="s">
        <v>36</v>
      </c>
      <c r="E31" t="s">
        <v>41</v>
      </c>
      <c r="F31" t="str">
        <f t="shared" si="1"/>
        <v>Thomas Glusic</v>
      </c>
      <c r="G31" t="s">
        <v>43</v>
      </c>
      <c r="H31" t="s">
        <v>84</v>
      </c>
      <c r="I31" t="s">
        <v>47</v>
      </c>
      <c r="J31" s="3">
        <v>45904</v>
      </c>
      <c r="K31" s="3">
        <v>46266</v>
      </c>
      <c r="L31">
        <v>65</v>
      </c>
      <c r="M31" t="s">
        <v>89</v>
      </c>
      <c r="N31" t="s">
        <v>60</v>
      </c>
      <c r="O31">
        <v>12</v>
      </c>
      <c r="P31">
        <v>5.37</v>
      </c>
      <c r="Q31">
        <v>0</v>
      </c>
      <c r="R31">
        <v>5.37</v>
      </c>
      <c r="S31">
        <v>100</v>
      </c>
      <c r="T31" s="2">
        <v>2.8000000000000001E-2</v>
      </c>
      <c r="U31">
        <v>5.37</v>
      </c>
    </row>
    <row r="32" spans="1:22" x14ac:dyDescent="0.25">
      <c r="A32" t="s">
        <v>79</v>
      </c>
      <c r="B32">
        <v>20411454</v>
      </c>
      <c r="C32" t="s">
        <v>78</v>
      </c>
      <c r="D32" t="s">
        <v>36</v>
      </c>
      <c r="E32" t="s">
        <v>41</v>
      </c>
      <c r="F32" t="str">
        <f t="shared" si="1"/>
        <v>Thomas Glusic</v>
      </c>
      <c r="G32" t="s">
        <v>43</v>
      </c>
      <c r="H32" t="s">
        <v>84</v>
      </c>
      <c r="I32" t="s">
        <v>47</v>
      </c>
      <c r="J32" s="3">
        <v>45904</v>
      </c>
      <c r="K32" s="3">
        <v>46266</v>
      </c>
      <c r="L32">
        <v>65</v>
      </c>
      <c r="M32" t="s">
        <v>89</v>
      </c>
      <c r="N32" t="s">
        <v>60</v>
      </c>
      <c r="O32">
        <v>2</v>
      </c>
      <c r="P32">
        <v>5.37</v>
      </c>
      <c r="Q32">
        <v>0</v>
      </c>
      <c r="R32">
        <v>5.37</v>
      </c>
      <c r="S32">
        <v>100</v>
      </c>
      <c r="T32" s="2">
        <v>2.8000000000000001E-2</v>
      </c>
      <c r="U32">
        <v>5.37</v>
      </c>
    </row>
    <row r="33" spans="1:21" x14ac:dyDescent="0.25">
      <c r="A33" t="s">
        <v>79</v>
      </c>
      <c r="B33">
        <v>20411454</v>
      </c>
      <c r="C33" t="s">
        <v>78</v>
      </c>
      <c r="D33" t="s">
        <v>36</v>
      </c>
      <c r="E33" t="s">
        <v>41</v>
      </c>
      <c r="F33" t="str">
        <f t="shared" si="1"/>
        <v>Thomas Glusic</v>
      </c>
      <c r="G33" t="s">
        <v>43</v>
      </c>
      <c r="H33" t="s">
        <v>84</v>
      </c>
      <c r="I33" t="s">
        <v>47</v>
      </c>
      <c r="J33" s="3">
        <v>45904</v>
      </c>
      <c r="K33" s="3">
        <v>46266</v>
      </c>
      <c r="L33">
        <v>65</v>
      </c>
      <c r="M33" t="s">
        <v>89</v>
      </c>
      <c r="N33" t="s">
        <v>60</v>
      </c>
      <c r="O33">
        <v>10</v>
      </c>
      <c r="P33">
        <v>5.37</v>
      </c>
      <c r="Q33">
        <v>0</v>
      </c>
      <c r="R33">
        <v>5.37</v>
      </c>
      <c r="S33">
        <v>100</v>
      </c>
      <c r="T33" s="2">
        <v>2.8000000000000001E-2</v>
      </c>
      <c r="U33">
        <v>5.37</v>
      </c>
    </row>
    <row r="34" spans="1:21" x14ac:dyDescent="0.25">
      <c r="A34" t="s">
        <v>79</v>
      </c>
      <c r="B34">
        <v>20411454</v>
      </c>
      <c r="C34" t="s">
        <v>78</v>
      </c>
      <c r="D34" t="s">
        <v>36</v>
      </c>
      <c r="E34" t="s">
        <v>41</v>
      </c>
      <c r="F34" t="str">
        <f t="shared" si="1"/>
        <v>Thomas Glusic</v>
      </c>
      <c r="G34" t="s">
        <v>43</v>
      </c>
      <c r="H34" t="s">
        <v>84</v>
      </c>
      <c r="I34" t="s">
        <v>47</v>
      </c>
      <c r="J34" s="3">
        <v>45904</v>
      </c>
      <c r="K34" s="3">
        <v>46266</v>
      </c>
      <c r="L34">
        <v>65</v>
      </c>
      <c r="M34" t="s">
        <v>89</v>
      </c>
      <c r="N34" t="s">
        <v>60</v>
      </c>
      <c r="O34">
        <v>1</v>
      </c>
      <c r="P34">
        <v>5.37</v>
      </c>
      <c r="Q34">
        <v>0</v>
      </c>
      <c r="R34">
        <v>5.37</v>
      </c>
      <c r="S34">
        <v>100</v>
      </c>
      <c r="T34" s="2">
        <v>2.8000000000000001E-2</v>
      </c>
      <c r="U34">
        <v>5.37</v>
      </c>
    </row>
    <row r="35" spans="1:21" x14ac:dyDescent="0.25">
      <c r="A35" t="s">
        <v>79</v>
      </c>
      <c r="B35">
        <v>20411454</v>
      </c>
      <c r="C35" t="s">
        <v>78</v>
      </c>
      <c r="D35" t="s">
        <v>36</v>
      </c>
      <c r="E35" t="s">
        <v>41</v>
      </c>
      <c r="F35" t="str">
        <f t="shared" si="1"/>
        <v>Thomas Glusic</v>
      </c>
      <c r="G35" t="s">
        <v>43</v>
      </c>
      <c r="H35" t="s">
        <v>84</v>
      </c>
      <c r="I35" t="s">
        <v>47</v>
      </c>
      <c r="J35" s="3">
        <v>45904</v>
      </c>
      <c r="K35" s="3">
        <v>46266</v>
      </c>
      <c r="L35">
        <v>65</v>
      </c>
      <c r="M35" t="s">
        <v>89</v>
      </c>
      <c r="N35" t="s">
        <v>60</v>
      </c>
      <c r="O35">
        <v>6</v>
      </c>
      <c r="P35">
        <v>5.37</v>
      </c>
      <c r="Q35">
        <v>0</v>
      </c>
      <c r="R35">
        <v>5.37</v>
      </c>
      <c r="S35">
        <v>100</v>
      </c>
      <c r="T35" s="2">
        <v>2.8000000000000001E-2</v>
      </c>
      <c r="U35">
        <v>5.37</v>
      </c>
    </row>
    <row r="36" spans="1:21" x14ac:dyDescent="0.25">
      <c r="A36" t="s">
        <v>79</v>
      </c>
      <c r="B36">
        <v>20411454</v>
      </c>
      <c r="C36" t="s">
        <v>78</v>
      </c>
      <c r="D36" t="s">
        <v>36</v>
      </c>
      <c r="E36" t="s">
        <v>41</v>
      </c>
      <c r="F36" t="str">
        <f t="shared" si="1"/>
        <v>Thomas Glusic</v>
      </c>
      <c r="G36" t="s">
        <v>43</v>
      </c>
      <c r="H36" t="s">
        <v>84</v>
      </c>
      <c r="I36" t="s">
        <v>47</v>
      </c>
      <c r="J36" s="3">
        <v>45904</v>
      </c>
      <c r="K36" s="3">
        <v>46266</v>
      </c>
      <c r="L36">
        <v>65</v>
      </c>
      <c r="M36" t="s">
        <v>89</v>
      </c>
      <c r="N36" t="s">
        <v>60</v>
      </c>
      <c r="O36">
        <v>3</v>
      </c>
      <c r="P36">
        <v>5.37</v>
      </c>
      <c r="Q36">
        <v>0</v>
      </c>
      <c r="R36">
        <v>5.37</v>
      </c>
      <c r="S36">
        <v>100</v>
      </c>
      <c r="T36" s="2">
        <v>2.8000000000000001E-2</v>
      </c>
      <c r="U36">
        <v>5.37</v>
      </c>
    </row>
    <row r="37" spans="1:21" x14ac:dyDescent="0.25">
      <c r="A37" t="s">
        <v>79</v>
      </c>
      <c r="B37">
        <v>20411454</v>
      </c>
      <c r="C37" t="s">
        <v>78</v>
      </c>
      <c r="D37" t="s">
        <v>36</v>
      </c>
      <c r="E37" t="s">
        <v>41</v>
      </c>
      <c r="F37" t="str">
        <f t="shared" si="1"/>
        <v>Thomas Glusic</v>
      </c>
      <c r="G37" t="s">
        <v>43</v>
      </c>
      <c r="H37" t="s">
        <v>84</v>
      </c>
      <c r="I37" t="s">
        <v>47</v>
      </c>
      <c r="J37" s="3">
        <v>45904</v>
      </c>
      <c r="K37" s="3">
        <v>46266</v>
      </c>
      <c r="L37">
        <v>65</v>
      </c>
      <c r="M37" t="s">
        <v>89</v>
      </c>
      <c r="N37" t="s">
        <v>60</v>
      </c>
      <c r="O37">
        <v>7</v>
      </c>
      <c r="P37">
        <v>5.37</v>
      </c>
      <c r="Q37">
        <v>0</v>
      </c>
      <c r="R37">
        <v>5.37</v>
      </c>
      <c r="S37">
        <v>100</v>
      </c>
      <c r="T37" s="2">
        <v>2.8000000000000001E-2</v>
      </c>
      <c r="U37">
        <v>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1925-C7E0-4144-95C5-CA97DA260E30}">
  <dimension ref="A1:B18"/>
  <sheetViews>
    <sheetView workbookViewId="0">
      <selection activeCell="B1" sqref="B1:B18"/>
    </sheetView>
  </sheetViews>
  <sheetFormatPr defaultRowHeight="15" x14ac:dyDescent="0.25"/>
  <cols>
    <col min="1" max="1" width="10" bestFit="1" customWidth="1"/>
    <col min="2" max="2" width="9.7109375" style="3" bestFit="1" customWidth="1"/>
  </cols>
  <sheetData>
    <row r="1" spans="1:2" x14ac:dyDescent="0.25">
      <c r="A1">
        <v>750075298</v>
      </c>
      <c r="B1" s="3" cm="1">
        <f t="array" ref="B1:B18">VLOOKUP(A1:A18,[1]Sheet1!$A$1:$B$22,2,FALSE)</f>
        <v>45962</v>
      </c>
    </row>
    <row r="2" spans="1:2" x14ac:dyDescent="0.25">
      <c r="A2">
        <v>750073798</v>
      </c>
      <c r="B2" s="3">
        <v>45901</v>
      </c>
    </row>
    <row r="3" spans="1:2" x14ac:dyDescent="0.25">
      <c r="A3">
        <v>750073798</v>
      </c>
      <c r="B3" s="3">
        <v>45901</v>
      </c>
    </row>
    <row r="4" spans="1:2" x14ac:dyDescent="0.25">
      <c r="A4">
        <v>750073798</v>
      </c>
      <c r="B4" s="3">
        <v>45901</v>
      </c>
    </row>
    <row r="5" spans="1:2" x14ac:dyDescent="0.25">
      <c r="A5">
        <v>750073798</v>
      </c>
      <c r="B5" s="3">
        <v>45901</v>
      </c>
    </row>
    <row r="6" spans="1:2" x14ac:dyDescent="0.25">
      <c r="A6">
        <v>750073798</v>
      </c>
      <c r="B6" s="3">
        <v>45901</v>
      </c>
    </row>
    <row r="7" spans="1:2" x14ac:dyDescent="0.25">
      <c r="A7">
        <v>750073798</v>
      </c>
      <c r="B7" s="3">
        <v>45901</v>
      </c>
    </row>
    <row r="8" spans="1:2" x14ac:dyDescent="0.25">
      <c r="A8">
        <v>750073798</v>
      </c>
      <c r="B8" s="3">
        <v>45901</v>
      </c>
    </row>
    <row r="9" spans="1:2" x14ac:dyDescent="0.25">
      <c r="A9">
        <v>750073798</v>
      </c>
      <c r="B9" s="3">
        <v>45901</v>
      </c>
    </row>
    <row r="10" spans="1:2" x14ac:dyDescent="0.25">
      <c r="A10">
        <v>750073798</v>
      </c>
      <c r="B10" s="3">
        <v>45901</v>
      </c>
    </row>
    <row r="11" spans="1:2" x14ac:dyDescent="0.25">
      <c r="A11">
        <v>750073798</v>
      </c>
      <c r="B11" s="3">
        <v>45901</v>
      </c>
    </row>
    <row r="12" spans="1:2" x14ac:dyDescent="0.25">
      <c r="A12">
        <v>750073798</v>
      </c>
      <c r="B12" s="3">
        <v>45901</v>
      </c>
    </row>
    <row r="13" spans="1:2" x14ac:dyDescent="0.25">
      <c r="A13">
        <v>750073798</v>
      </c>
      <c r="B13" s="3">
        <v>45901</v>
      </c>
    </row>
    <row r="14" spans="1:2" x14ac:dyDescent="0.25">
      <c r="A14">
        <v>750075022</v>
      </c>
      <c r="B14" s="3">
        <v>45931</v>
      </c>
    </row>
    <row r="15" spans="1:2" x14ac:dyDescent="0.25">
      <c r="A15">
        <v>750070618</v>
      </c>
      <c r="B15" s="3">
        <v>45870</v>
      </c>
    </row>
    <row r="16" spans="1:2" x14ac:dyDescent="0.25">
      <c r="A16">
        <v>711037165</v>
      </c>
      <c r="B16" s="3">
        <v>46023</v>
      </c>
    </row>
    <row r="17" spans="1:2" x14ac:dyDescent="0.25">
      <c r="A17">
        <v>711024512</v>
      </c>
      <c r="B17" s="3">
        <v>45870</v>
      </c>
    </row>
    <row r="18" spans="1:2" x14ac:dyDescent="0.25">
      <c r="A18">
        <v>711037504</v>
      </c>
      <c r="B18" s="3">
        <v>45905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workbookViewId="0">
      <selection activeCell="A8" sqref="A8:XFD1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79</v>
      </c>
      <c r="B2">
        <v>20411454</v>
      </c>
      <c r="C2" t="s">
        <v>72</v>
      </c>
      <c r="D2" t="s">
        <v>32</v>
      </c>
      <c r="E2" t="s">
        <v>37</v>
      </c>
      <c r="F2" t="s">
        <v>42</v>
      </c>
      <c r="G2" t="s">
        <v>44</v>
      </c>
      <c r="H2" t="s">
        <v>46</v>
      </c>
      <c r="I2" t="s">
        <v>48</v>
      </c>
      <c r="J2" t="s">
        <v>52</v>
      </c>
      <c r="K2">
        <v>69</v>
      </c>
      <c r="L2" t="s">
        <v>58</v>
      </c>
      <c r="M2" t="s">
        <v>60</v>
      </c>
      <c r="N2">
        <v>1</v>
      </c>
      <c r="O2">
        <v>53.67</v>
      </c>
      <c r="P2">
        <v>0</v>
      </c>
      <c r="Q2">
        <v>53.67</v>
      </c>
      <c r="R2">
        <v>100</v>
      </c>
      <c r="S2" s="2">
        <v>9.5000000000000001E-2</v>
      </c>
      <c r="T2">
        <v>5.0999999999999996</v>
      </c>
    </row>
    <row r="3" spans="1:20" x14ac:dyDescent="0.25">
      <c r="A3" t="s">
        <v>79</v>
      </c>
      <c r="B3">
        <v>20411454</v>
      </c>
      <c r="C3" t="s">
        <v>73</v>
      </c>
      <c r="D3" t="s">
        <v>32</v>
      </c>
      <c r="E3" t="s">
        <v>37</v>
      </c>
      <c r="F3" t="s">
        <v>43</v>
      </c>
      <c r="G3" t="s">
        <v>45</v>
      </c>
      <c r="H3" t="s">
        <v>46</v>
      </c>
      <c r="I3" t="s">
        <v>49</v>
      </c>
      <c r="J3" t="s">
        <v>53</v>
      </c>
      <c r="K3">
        <v>69</v>
      </c>
      <c r="L3" t="s">
        <v>58</v>
      </c>
      <c r="M3" t="s">
        <v>60</v>
      </c>
      <c r="N3">
        <v>1</v>
      </c>
      <c r="O3">
        <v>120.26</v>
      </c>
      <c r="P3">
        <v>0</v>
      </c>
      <c r="Q3">
        <v>120.26</v>
      </c>
      <c r="R3">
        <v>100</v>
      </c>
      <c r="S3" s="2">
        <v>2.8000000000000001E-2</v>
      </c>
      <c r="T3">
        <v>3.37</v>
      </c>
    </row>
    <row r="4" spans="1:20" x14ac:dyDescent="0.25">
      <c r="A4" t="s">
        <v>79</v>
      </c>
      <c r="B4">
        <v>20411454</v>
      </c>
      <c r="C4" t="s">
        <v>74</v>
      </c>
      <c r="D4" t="s">
        <v>33</v>
      </c>
      <c r="E4" t="s">
        <v>38</v>
      </c>
      <c r="F4" t="s">
        <v>42</v>
      </c>
      <c r="G4" t="s">
        <v>44</v>
      </c>
      <c r="H4" t="s">
        <v>46</v>
      </c>
      <c r="I4" t="s">
        <v>50</v>
      </c>
      <c r="J4" t="s">
        <v>54</v>
      </c>
      <c r="K4">
        <v>65</v>
      </c>
      <c r="L4" t="s">
        <v>58</v>
      </c>
      <c r="M4" t="s">
        <v>60</v>
      </c>
      <c r="N4">
        <v>2</v>
      </c>
      <c r="O4">
        <v>62.17</v>
      </c>
      <c r="P4">
        <v>0</v>
      </c>
      <c r="Q4">
        <v>62.17</v>
      </c>
      <c r="R4">
        <v>100</v>
      </c>
      <c r="S4" s="2">
        <v>9.5000000000000001E-2</v>
      </c>
      <c r="T4">
        <v>5.91</v>
      </c>
    </row>
    <row r="5" spans="1:20" x14ac:dyDescent="0.25">
      <c r="A5" t="s">
        <v>79</v>
      </c>
      <c r="B5">
        <v>20411454</v>
      </c>
      <c r="C5" t="s">
        <v>75</v>
      </c>
      <c r="D5" t="s">
        <v>33</v>
      </c>
      <c r="E5" t="s">
        <v>38</v>
      </c>
      <c r="F5" t="s">
        <v>43</v>
      </c>
      <c r="G5" t="s">
        <v>45</v>
      </c>
      <c r="H5" t="s">
        <v>46</v>
      </c>
      <c r="I5" t="s">
        <v>50</v>
      </c>
      <c r="J5" t="s">
        <v>54</v>
      </c>
      <c r="K5">
        <v>65</v>
      </c>
      <c r="L5" t="s">
        <v>58</v>
      </c>
      <c r="M5" t="s">
        <v>61</v>
      </c>
      <c r="N5">
        <v>2</v>
      </c>
      <c r="O5">
        <v>115.86</v>
      </c>
      <c r="P5">
        <v>0</v>
      </c>
      <c r="Q5">
        <v>115.86</v>
      </c>
      <c r="R5">
        <v>100</v>
      </c>
      <c r="S5" s="2">
        <v>2.8000000000000001E-2</v>
      </c>
      <c r="T5">
        <v>3.24</v>
      </c>
    </row>
    <row r="6" spans="1:20" x14ac:dyDescent="0.25">
      <c r="A6" t="s">
        <v>79</v>
      </c>
      <c r="B6">
        <v>20411454</v>
      </c>
      <c r="C6" t="s">
        <v>76</v>
      </c>
      <c r="D6" t="s">
        <v>34</v>
      </c>
      <c r="E6" t="s">
        <v>39</v>
      </c>
      <c r="F6" t="s">
        <v>42</v>
      </c>
      <c r="G6" t="s">
        <v>44</v>
      </c>
      <c r="H6" t="s">
        <v>47</v>
      </c>
      <c r="I6" t="s">
        <v>51</v>
      </c>
      <c r="J6" t="s">
        <v>55</v>
      </c>
      <c r="K6">
        <v>66</v>
      </c>
      <c r="L6" t="s">
        <v>58</v>
      </c>
      <c r="M6" t="s">
        <v>60</v>
      </c>
      <c r="N6">
        <v>1</v>
      </c>
      <c r="O6">
        <v>127.65</v>
      </c>
      <c r="P6">
        <v>0</v>
      </c>
      <c r="Q6">
        <v>127.65</v>
      </c>
      <c r="R6">
        <v>100</v>
      </c>
      <c r="S6" s="2">
        <v>9.5000000000000001E-2</v>
      </c>
      <c r="T6">
        <v>12.13</v>
      </c>
    </row>
    <row r="7" spans="1:20" x14ac:dyDescent="0.25">
      <c r="A7" t="s">
        <v>79</v>
      </c>
      <c r="B7">
        <v>20411454</v>
      </c>
      <c r="C7" t="s">
        <v>77</v>
      </c>
      <c r="D7" t="s">
        <v>35</v>
      </c>
      <c r="E7" t="s">
        <v>40</v>
      </c>
      <c r="F7" t="s">
        <v>43</v>
      </c>
      <c r="G7" t="s">
        <v>45</v>
      </c>
      <c r="H7" t="s">
        <v>47</v>
      </c>
      <c r="I7" t="s">
        <v>50</v>
      </c>
      <c r="J7" t="s">
        <v>56</v>
      </c>
      <c r="K7">
        <v>65</v>
      </c>
      <c r="L7" t="s">
        <v>58</v>
      </c>
      <c r="M7" t="s">
        <v>60</v>
      </c>
      <c r="N7">
        <v>1</v>
      </c>
      <c r="O7">
        <v>116.7</v>
      </c>
      <c r="P7">
        <v>0</v>
      </c>
      <c r="Q7">
        <v>116.7</v>
      </c>
      <c r="R7">
        <v>100</v>
      </c>
      <c r="S7" s="2">
        <v>2.8000000000000001E-2</v>
      </c>
      <c r="T7">
        <v>3.27</v>
      </c>
    </row>
    <row r="8" spans="1:20" x14ac:dyDescent="0.25">
      <c r="A8" t="s">
        <v>79</v>
      </c>
      <c r="B8">
        <v>20411454</v>
      </c>
      <c r="C8" t="s">
        <v>78</v>
      </c>
      <c r="D8" t="s">
        <v>36</v>
      </c>
      <c r="E8" t="s">
        <v>41</v>
      </c>
      <c r="F8" t="s">
        <v>43</v>
      </c>
      <c r="G8" t="s">
        <v>45</v>
      </c>
      <c r="H8" t="s">
        <v>47</v>
      </c>
      <c r="I8" t="s">
        <v>51</v>
      </c>
      <c r="J8" t="s">
        <v>57</v>
      </c>
      <c r="K8">
        <v>65</v>
      </c>
      <c r="L8" t="s">
        <v>59</v>
      </c>
      <c r="M8" t="s">
        <v>60</v>
      </c>
      <c r="N8">
        <v>4</v>
      </c>
      <c r="O8">
        <v>191.89</v>
      </c>
      <c r="P8">
        <v>0</v>
      </c>
      <c r="Q8">
        <v>191.89</v>
      </c>
      <c r="R8">
        <v>100</v>
      </c>
      <c r="S8" s="2">
        <v>2.8000000000000001E-2</v>
      </c>
      <c r="T8">
        <v>5.37</v>
      </c>
    </row>
    <row r="9" spans="1:20" x14ac:dyDescent="0.25">
      <c r="A9" t="s">
        <v>79</v>
      </c>
      <c r="B9">
        <v>20411454</v>
      </c>
      <c r="C9" t="s">
        <v>78</v>
      </c>
      <c r="D9" t="s">
        <v>36</v>
      </c>
      <c r="E9" t="s">
        <v>41</v>
      </c>
      <c r="F9" t="s">
        <v>43</v>
      </c>
      <c r="G9" t="s">
        <v>45</v>
      </c>
      <c r="H9" t="s">
        <v>47</v>
      </c>
      <c r="I9" t="s">
        <v>51</v>
      </c>
      <c r="J9" t="s">
        <v>57</v>
      </c>
      <c r="K9">
        <v>65</v>
      </c>
      <c r="L9" t="s">
        <v>59</v>
      </c>
      <c r="M9" t="s">
        <v>60</v>
      </c>
      <c r="N9">
        <v>8</v>
      </c>
      <c r="O9">
        <v>191.89</v>
      </c>
      <c r="P9">
        <v>0</v>
      </c>
      <c r="Q9">
        <v>191.89</v>
      </c>
      <c r="R9">
        <v>100</v>
      </c>
      <c r="S9" s="2">
        <v>2.8000000000000001E-2</v>
      </c>
      <c r="T9">
        <v>5.37</v>
      </c>
    </row>
    <row r="10" spans="1:20" x14ac:dyDescent="0.25">
      <c r="A10" t="s">
        <v>79</v>
      </c>
      <c r="B10">
        <v>20411454</v>
      </c>
      <c r="C10" t="s">
        <v>78</v>
      </c>
      <c r="D10" t="s">
        <v>36</v>
      </c>
      <c r="E10" t="s">
        <v>41</v>
      </c>
      <c r="F10" t="s">
        <v>43</v>
      </c>
      <c r="G10" t="s">
        <v>45</v>
      </c>
      <c r="H10" t="s">
        <v>47</v>
      </c>
      <c r="I10" t="s">
        <v>51</v>
      </c>
      <c r="J10" t="s">
        <v>57</v>
      </c>
      <c r="K10">
        <v>65</v>
      </c>
      <c r="L10" t="s">
        <v>59</v>
      </c>
      <c r="M10" t="s">
        <v>60</v>
      </c>
      <c r="N10">
        <v>11</v>
      </c>
      <c r="O10">
        <v>191.89</v>
      </c>
      <c r="P10">
        <v>0</v>
      </c>
      <c r="Q10">
        <v>191.89</v>
      </c>
      <c r="R10">
        <v>100</v>
      </c>
      <c r="S10" s="2">
        <v>2.8000000000000001E-2</v>
      </c>
      <c r="T10">
        <v>5.37</v>
      </c>
    </row>
    <row r="11" spans="1:20" x14ac:dyDescent="0.25">
      <c r="A11" t="s">
        <v>79</v>
      </c>
      <c r="B11">
        <v>20411454</v>
      </c>
      <c r="C11" t="s">
        <v>78</v>
      </c>
      <c r="D11" t="s">
        <v>36</v>
      </c>
      <c r="E11" t="s">
        <v>41</v>
      </c>
      <c r="F11" t="s">
        <v>43</v>
      </c>
      <c r="G11" t="s">
        <v>45</v>
      </c>
      <c r="H11" t="s">
        <v>47</v>
      </c>
      <c r="I11" t="s">
        <v>51</v>
      </c>
      <c r="J11" t="s">
        <v>57</v>
      </c>
      <c r="K11">
        <v>65</v>
      </c>
      <c r="L11" t="s">
        <v>59</v>
      </c>
      <c r="M11" t="s">
        <v>60</v>
      </c>
      <c r="N11">
        <v>5</v>
      </c>
      <c r="O11">
        <v>191.89</v>
      </c>
      <c r="P11">
        <v>0</v>
      </c>
      <c r="Q11">
        <v>191.89</v>
      </c>
      <c r="R11">
        <v>100</v>
      </c>
      <c r="S11" s="2">
        <v>2.8000000000000001E-2</v>
      </c>
      <c r="T11">
        <v>5.37</v>
      </c>
    </row>
    <row r="12" spans="1:20" x14ac:dyDescent="0.25">
      <c r="A12" t="s">
        <v>79</v>
      </c>
      <c r="B12">
        <v>20411454</v>
      </c>
      <c r="C12" t="s">
        <v>78</v>
      </c>
      <c r="D12" t="s">
        <v>36</v>
      </c>
      <c r="E12" t="s">
        <v>41</v>
      </c>
      <c r="F12" t="s">
        <v>43</v>
      </c>
      <c r="G12" t="s">
        <v>45</v>
      </c>
      <c r="H12" t="s">
        <v>47</v>
      </c>
      <c r="I12" t="s">
        <v>51</v>
      </c>
      <c r="J12" t="s">
        <v>57</v>
      </c>
      <c r="K12">
        <v>65</v>
      </c>
      <c r="L12" t="s">
        <v>59</v>
      </c>
      <c r="M12" t="s">
        <v>60</v>
      </c>
      <c r="N12">
        <v>9</v>
      </c>
      <c r="O12">
        <v>191.89</v>
      </c>
      <c r="P12">
        <v>0</v>
      </c>
      <c r="Q12">
        <v>191.89</v>
      </c>
      <c r="R12">
        <v>100</v>
      </c>
      <c r="S12" s="2">
        <v>2.8000000000000001E-2</v>
      </c>
      <c r="T12">
        <v>5.37</v>
      </c>
    </row>
    <row r="13" spans="1:20" x14ac:dyDescent="0.25">
      <c r="A13" t="s">
        <v>79</v>
      </c>
      <c r="B13">
        <v>20411454</v>
      </c>
      <c r="C13" t="s">
        <v>78</v>
      </c>
      <c r="D13" t="s">
        <v>36</v>
      </c>
      <c r="E13" t="s">
        <v>41</v>
      </c>
      <c r="F13" t="s">
        <v>43</v>
      </c>
      <c r="G13" t="s">
        <v>45</v>
      </c>
      <c r="H13" t="s">
        <v>47</v>
      </c>
      <c r="I13" t="s">
        <v>51</v>
      </c>
      <c r="J13" t="s">
        <v>57</v>
      </c>
      <c r="K13">
        <v>65</v>
      </c>
      <c r="L13" t="s">
        <v>59</v>
      </c>
      <c r="M13" t="s">
        <v>60</v>
      </c>
      <c r="N13">
        <v>12</v>
      </c>
      <c r="O13">
        <v>191.89</v>
      </c>
      <c r="P13">
        <v>0</v>
      </c>
      <c r="Q13">
        <v>191.89</v>
      </c>
      <c r="R13">
        <v>100</v>
      </c>
      <c r="S13" s="2">
        <v>2.8000000000000001E-2</v>
      </c>
      <c r="T13">
        <v>5.37</v>
      </c>
    </row>
    <row r="14" spans="1:20" x14ac:dyDescent="0.25">
      <c r="A14" t="s">
        <v>79</v>
      </c>
      <c r="B14">
        <v>20411454</v>
      </c>
      <c r="C14" t="s">
        <v>78</v>
      </c>
      <c r="D14" t="s">
        <v>36</v>
      </c>
      <c r="E14" t="s">
        <v>41</v>
      </c>
      <c r="F14" t="s">
        <v>43</v>
      </c>
      <c r="G14" t="s">
        <v>45</v>
      </c>
      <c r="H14" t="s">
        <v>47</v>
      </c>
      <c r="I14" t="s">
        <v>51</v>
      </c>
      <c r="J14" t="s">
        <v>57</v>
      </c>
      <c r="K14">
        <v>65</v>
      </c>
      <c r="L14" t="s">
        <v>59</v>
      </c>
      <c r="M14" t="s">
        <v>60</v>
      </c>
      <c r="N14">
        <v>2</v>
      </c>
      <c r="O14">
        <v>191.89</v>
      </c>
      <c r="P14">
        <v>0</v>
      </c>
      <c r="Q14">
        <v>191.89</v>
      </c>
      <c r="R14">
        <v>100</v>
      </c>
      <c r="S14" s="2">
        <v>2.8000000000000001E-2</v>
      </c>
      <c r="T14">
        <v>5.37</v>
      </c>
    </row>
    <row r="15" spans="1:20" x14ac:dyDescent="0.25">
      <c r="A15" t="s">
        <v>79</v>
      </c>
      <c r="B15">
        <v>20411454</v>
      </c>
      <c r="C15" t="s">
        <v>78</v>
      </c>
      <c r="D15" t="s">
        <v>36</v>
      </c>
      <c r="E15" t="s">
        <v>41</v>
      </c>
      <c r="F15" t="s">
        <v>43</v>
      </c>
      <c r="G15" t="s">
        <v>45</v>
      </c>
      <c r="H15" t="s">
        <v>47</v>
      </c>
      <c r="I15" t="s">
        <v>51</v>
      </c>
      <c r="J15" t="s">
        <v>57</v>
      </c>
      <c r="K15">
        <v>65</v>
      </c>
      <c r="L15" t="s">
        <v>59</v>
      </c>
      <c r="M15" t="s">
        <v>60</v>
      </c>
      <c r="N15">
        <v>10</v>
      </c>
      <c r="O15">
        <v>191.89</v>
      </c>
      <c r="P15">
        <v>0</v>
      </c>
      <c r="Q15">
        <v>191.89</v>
      </c>
      <c r="R15">
        <v>100</v>
      </c>
      <c r="S15" s="2">
        <v>2.8000000000000001E-2</v>
      </c>
      <c r="T15">
        <v>5.37</v>
      </c>
    </row>
    <row r="16" spans="1:20" x14ac:dyDescent="0.25">
      <c r="A16" t="s">
        <v>79</v>
      </c>
      <c r="B16">
        <v>20411454</v>
      </c>
      <c r="C16" t="s">
        <v>78</v>
      </c>
      <c r="D16" t="s">
        <v>36</v>
      </c>
      <c r="E16" t="s">
        <v>41</v>
      </c>
      <c r="F16" t="s">
        <v>43</v>
      </c>
      <c r="G16" t="s">
        <v>45</v>
      </c>
      <c r="H16" t="s">
        <v>47</v>
      </c>
      <c r="I16" t="s">
        <v>51</v>
      </c>
      <c r="J16" t="s">
        <v>57</v>
      </c>
      <c r="K16">
        <v>65</v>
      </c>
      <c r="L16" t="s">
        <v>59</v>
      </c>
      <c r="M16" t="s">
        <v>60</v>
      </c>
      <c r="N16">
        <v>1</v>
      </c>
      <c r="O16">
        <v>191.89</v>
      </c>
      <c r="P16">
        <v>0</v>
      </c>
      <c r="Q16">
        <v>191.89</v>
      </c>
      <c r="R16">
        <v>100</v>
      </c>
      <c r="S16" s="2">
        <v>2.8000000000000001E-2</v>
      </c>
      <c r="T16">
        <v>5.37</v>
      </c>
    </row>
    <row r="17" spans="1:20" x14ac:dyDescent="0.25">
      <c r="A17" t="s">
        <v>79</v>
      </c>
      <c r="B17">
        <v>20411454</v>
      </c>
      <c r="C17" t="s">
        <v>78</v>
      </c>
      <c r="D17" t="s">
        <v>36</v>
      </c>
      <c r="E17" t="s">
        <v>41</v>
      </c>
      <c r="F17" t="s">
        <v>43</v>
      </c>
      <c r="G17" t="s">
        <v>45</v>
      </c>
      <c r="H17" t="s">
        <v>47</v>
      </c>
      <c r="I17" t="s">
        <v>51</v>
      </c>
      <c r="J17" t="s">
        <v>57</v>
      </c>
      <c r="K17">
        <v>65</v>
      </c>
      <c r="L17" t="s">
        <v>59</v>
      </c>
      <c r="M17" t="s">
        <v>60</v>
      </c>
      <c r="N17">
        <v>6</v>
      </c>
      <c r="O17">
        <v>191.89</v>
      </c>
      <c r="P17">
        <v>0</v>
      </c>
      <c r="Q17">
        <v>191.89</v>
      </c>
      <c r="R17">
        <v>100</v>
      </c>
      <c r="S17" s="2">
        <v>2.8000000000000001E-2</v>
      </c>
      <c r="T17">
        <v>5.37</v>
      </c>
    </row>
    <row r="18" spans="1:20" x14ac:dyDescent="0.25">
      <c r="A18" t="s">
        <v>79</v>
      </c>
      <c r="B18">
        <v>20411454</v>
      </c>
      <c r="C18" t="s">
        <v>78</v>
      </c>
      <c r="D18" t="s">
        <v>36</v>
      </c>
      <c r="E18" t="s">
        <v>41</v>
      </c>
      <c r="F18" t="s">
        <v>43</v>
      </c>
      <c r="G18" t="s">
        <v>45</v>
      </c>
      <c r="H18" t="s">
        <v>47</v>
      </c>
      <c r="I18" t="s">
        <v>51</v>
      </c>
      <c r="J18" t="s">
        <v>57</v>
      </c>
      <c r="K18">
        <v>65</v>
      </c>
      <c r="L18" t="s">
        <v>59</v>
      </c>
      <c r="M18" t="s">
        <v>60</v>
      </c>
      <c r="N18">
        <v>3</v>
      </c>
      <c r="O18">
        <v>191.89</v>
      </c>
      <c r="P18">
        <v>0</v>
      </c>
      <c r="Q18">
        <v>191.89</v>
      </c>
      <c r="R18">
        <v>100</v>
      </c>
      <c r="S18" s="2">
        <v>2.8000000000000001E-2</v>
      </c>
      <c r="T18">
        <v>5.37</v>
      </c>
    </row>
    <row r="19" spans="1:20" x14ac:dyDescent="0.25">
      <c r="A19" t="s">
        <v>79</v>
      </c>
      <c r="B19">
        <v>20411454</v>
      </c>
      <c r="C19" t="s">
        <v>78</v>
      </c>
      <c r="D19" t="s">
        <v>36</v>
      </c>
      <c r="E19" t="s">
        <v>41</v>
      </c>
      <c r="F19" t="s">
        <v>43</v>
      </c>
      <c r="G19" t="s">
        <v>45</v>
      </c>
      <c r="H19" t="s">
        <v>47</v>
      </c>
      <c r="I19" t="s">
        <v>51</v>
      </c>
      <c r="J19" t="s">
        <v>57</v>
      </c>
      <c r="K19">
        <v>65</v>
      </c>
      <c r="L19" t="s">
        <v>59</v>
      </c>
      <c r="M19" t="s">
        <v>60</v>
      </c>
      <c r="N19">
        <v>7</v>
      </c>
      <c r="O19">
        <v>191.89</v>
      </c>
      <c r="P19">
        <v>0</v>
      </c>
      <c r="Q19">
        <v>191.89</v>
      </c>
      <c r="R19">
        <v>100</v>
      </c>
      <c r="S19" s="2">
        <v>2.8000000000000001E-2</v>
      </c>
      <c r="T19">
        <v>5.37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64</v>
      </c>
    </row>
    <row r="2" spans="1:9" x14ac:dyDescent="0.25">
      <c r="A2" t="s">
        <v>25</v>
      </c>
      <c r="B2" t="s">
        <v>32</v>
      </c>
      <c r="C2" t="s">
        <v>37</v>
      </c>
      <c r="D2" t="s">
        <v>42</v>
      </c>
      <c r="E2" t="s">
        <v>44</v>
      </c>
      <c r="F2" t="s">
        <v>46</v>
      </c>
      <c r="G2" t="s">
        <v>48</v>
      </c>
      <c r="H2" t="s">
        <v>65</v>
      </c>
      <c r="I2">
        <v>-13.42</v>
      </c>
    </row>
    <row r="3" spans="1:9" x14ac:dyDescent="0.25">
      <c r="A3" t="s">
        <v>26</v>
      </c>
      <c r="B3" t="s">
        <v>32</v>
      </c>
      <c r="C3" t="s">
        <v>37</v>
      </c>
      <c r="D3" t="s">
        <v>43</v>
      </c>
      <c r="E3" t="s">
        <v>45</v>
      </c>
      <c r="F3" t="s">
        <v>46</v>
      </c>
      <c r="G3" t="s">
        <v>49</v>
      </c>
      <c r="H3" t="s">
        <v>65</v>
      </c>
      <c r="I3">
        <v>-25.25</v>
      </c>
    </row>
    <row r="4" spans="1:9" x14ac:dyDescent="0.25">
      <c r="A4" t="s">
        <v>31</v>
      </c>
      <c r="B4" t="s">
        <v>36</v>
      </c>
      <c r="C4" t="s">
        <v>41</v>
      </c>
      <c r="D4" t="s">
        <v>43</v>
      </c>
      <c r="E4" t="s">
        <v>45</v>
      </c>
      <c r="F4" t="s">
        <v>47</v>
      </c>
      <c r="G4" t="s">
        <v>51</v>
      </c>
      <c r="H4" t="s">
        <v>65</v>
      </c>
      <c r="I4">
        <v>-39.909999999999997</v>
      </c>
    </row>
    <row r="5" spans="1:9" x14ac:dyDescent="0.25">
      <c r="A5" t="s">
        <v>31</v>
      </c>
      <c r="B5" t="s">
        <v>36</v>
      </c>
      <c r="C5" t="s">
        <v>41</v>
      </c>
      <c r="D5" t="s">
        <v>43</v>
      </c>
      <c r="E5" t="s">
        <v>45</v>
      </c>
      <c r="F5" t="s">
        <v>47</v>
      </c>
      <c r="G5" t="s">
        <v>51</v>
      </c>
      <c r="H5" t="s">
        <v>65</v>
      </c>
      <c r="I5">
        <v>-39.909999999999997</v>
      </c>
    </row>
    <row r="6" spans="1:9" x14ac:dyDescent="0.25">
      <c r="A6" t="s">
        <v>31</v>
      </c>
      <c r="B6" t="s">
        <v>36</v>
      </c>
      <c r="C6" t="s">
        <v>41</v>
      </c>
      <c r="D6" t="s">
        <v>43</v>
      </c>
      <c r="E6" t="s">
        <v>45</v>
      </c>
      <c r="F6" t="s">
        <v>47</v>
      </c>
      <c r="G6" t="s">
        <v>51</v>
      </c>
      <c r="H6" t="s">
        <v>65</v>
      </c>
      <c r="I6">
        <v>-39.909999999999997</v>
      </c>
    </row>
    <row r="7" spans="1:9" x14ac:dyDescent="0.25">
      <c r="A7" t="s">
        <v>31</v>
      </c>
      <c r="B7" t="s">
        <v>36</v>
      </c>
      <c r="C7" t="s">
        <v>41</v>
      </c>
      <c r="D7" t="s">
        <v>43</v>
      </c>
      <c r="E7" t="s">
        <v>45</v>
      </c>
      <c r="F7" t="s">
        <v>47</v>
      </c>
      <c r="G7" t="s">
        <v>51</v>
      </c>
      <c r="H7" t="s">
        <v>65</v>
      </c>
      <c r="I7">
        <v>-39.909999999999997</v>
      </c>
    </row>
    <row r="8" spans="1:9" x14ac:dyDescent="0.25">
      <c r="A8" t="s">
        <v>31</v>
      </c>
      <c r="B8" t="s">
        <v>36</v>
      </c>
      <c r="C8" t="s">
        <v>41</v>
      </c>
      <c r="D8" t="s">
        <v>43</v>
      </c>
      <c r="E8" t="s">
        <v>45</v>
      </c>
      <c r="F8" t="s">
        <v>47</v>
      </c>
      <c r="G8" t="s">
        <v>51</v>
      </c>
      <c r="H8" t="s">
        <v>65</v>
      </c>
      <c r="I8">
        <v>-39.909999999999997</v>
      </c>
    </row>
    <row r="9" spans="1:9" x14ac:dyDescent="0.25">
      <c r="A9" t="s">
        <v>31</v>
      </c>
      <c r="B9" t="s">
        <v>36</v>
      </c>
      <c r="C9" t="s">
        <v>41</v>
      </c>
      <c r="D9" t="s">
        <v>43</v>
      </c>
      <c r="E9" t="s">
        <v>45</v>
      </c>
      <c r="F9" t="s">
        <v>47</v>
      </c>
      <c r="G9" t="s">
        <v>51</v>
      </c>
      <c r="H9" t="s">
        <v>65</v>
      </c>
      <c r="I9">
        <v>-39.909999999999997</v>
      </c>
    </row>
    <row r="10" spans="1:9" x14ac:dyDescent="0.25">
      <c r="A10" t="s">
        <v>31</v>
      </c>
      <c r="B10" t="s">
        <v>36</v>
      </c>
      <c r="C10" t="s">
        <v>41</v>
      </c>
      <c r="D10" t="s">
        <v>43</v>
      </c>
      <c r="E10" t="s">
        <v>45</v>
      </c>
      <c r="F10" t="s">
        <v>47</v>
      </c>
      <c r="G10" t="s">
        <v>51</v>
      </c>
      <c r="H10" t="s">
        <v>65</v>
      </c>
      <c r="I10">
        <v>-39.909999999999997</v>
      </c>
    </row>
    <row r="11" spans="1:9" x14ac:dyDescent="0.25">
      <c r="A11" t="s">
        <v>31</v>
      </c>
      <c r="B11" t="s">
        <v>36</v>
      </c>
      <c r="C11" t="s">
        <v>41</v>
      </c>
      <c r="D11" t="s">
        <v>43</v>
      </c>
      <c r="E11" t="s">
        <v>45</v>
      </c>
      <c r="F11" t="s">
        <v>47</v>
      </c>
      <c r="G11" t="s">
        <v>51</v>
      </c>
      <c r="H11" t="s">
        <v>65</v>
      </c>
      <c r="I11">
        <v>-39.909999999999997</v>
      </c>
    </row>
    <row r="12" spans="1:9" x14ac:dyDescent="0.25">
      <c r="A12" t="s">
        <v>31</v>
      </c>
      <c r="B12" t="s">
        <v>36</v>
      </c>
      <c r="C12" t="s">
        <v>41</v>
      </c>
      <c r="D12" t="s">
        <v>43</v>
      </c>
      <c r="E12" t="s">
        <v>45</v>
      </c>
      <c r="F12" t="s">
        <v>47</v>
      </c>
      <c r="G12" t="s">
        <v>51</v>
      </c>
      <c r="H12" t="s">
        <v>65</v>
      </c>
      <c r="I12">
        <v>-39.909999999999997</v>
      </c>
    </row>
    <row r="13" spans="1:9" x14ac:dyDescent="0.25">
      <c r="A13" t="s">
        <v>31</v>
      </c>
      <c r="B13" t="s">
        <v>36</v>
      </c>
      <c r="C13" t="s">
        <v>41</v>
      </c>
      <c r="D13" t="s">
        <v>43</v>
      </c>
      <c r="E13" t="s">
        <v>45</v>
      </c>
      <c r="F13" t="s">
        <v>47</v>
      </c>
      <c r="G13" t="s">
        <v>51</v>
      </c>
      <c r="H13" t="s">
        <v>65</v>
      </c>
      <c r="I13">
        <v>-39.909999999999997</v>
      </c>
    </row>
    <row r="14" spans="1:9" x14ac:dyDescent="0.25">
      <c r="A14" t="s">
        <v>31</v>
      </c>
      <c r="B14" t="s">
        <v>36</v>
      </c>
      <c r="C14" t="s">
        <v>41</v>
      </c>
      <c r="D14" t="s">
        <v>43</v>
      </c>
      <c r="E14" t="s">
        <v>45</v>
      </c>
      <c r="F14" t="s">
        <v>47</v>
      </c>
      <c r="G14" t="s">
        <v>51</v>
      </c>
      <c r="H14" t="s">
        <v>65</v>
      </c>
      <c r="I14">
        <v>-39.909999999999997</v>
      </c>
    </row>
    <row r="15" spans="1:9" x14ac:dyDescent="0.25">
      <c r="A15" t="s">
        <v>31</v>
      </c>
      <c r="B15" t="s">
        <v>36</v>
      </c>
      <c r="C15" t="s">
        <v>41</v>
      </c>
      <c r="D15" t="s">
        <v>43</v>
      </c>
      <c r="E15" t="s">
        <v>45</v>
      </c>
      <c r="F15" t="s">
        <v>47</v>
      </c>
      <c r="G15" t="s">
        <v>51</v>
      </c>
      <c r="H15" t="s">
        <v>65</v>
      </c>
      <c r="I15">
        <v>-39.909999999999997</v>
      </c>
    </row>
    <row r="16" spans="1:9" x14ac:dyDescent="0.25">
      <c r="A16" t="s">
        <v>29</v>
      </c>
      <c r="B16" t="s">
        <v>34</v>
      </c>
      <c r="C16" t="s">
        <v>39</v>
      </c>
      <c r="D16" t="s">
        <v>42</v>
      </c>
      <c r="E16" t="s">
        <v>44</v>
      </c>
      <c r="F16" t="s">
        <v>47</v>
      </c>
      <c r="G16" t="s">
        <v>51</v>
      </c>
      <c r="H16" t="s">
        <v>65</v>
      </c>
      <c r="I16">
        <v>-31.91</v>
      </c>
    </row>
    <row r="17" spans="1:9" x14ac:dyDescent="0.25">
      <c r="A17" t="s">
        <v>30</v>
      </c>
      <c r="B17" t="s">
        <v>35</v>
      </c>
      <c r="C17" t="s">
        <v>40</v>
      </c>
      <c r="D17" t="s">
        <v>43</v>
      </c>
      <c r="E17" t="s">
        <v>45</v>
      </c>
      <c r="F17" t="s">
        <v>47</v>
      </c>
      <c r="G17" t="s">
        <v>50</v>
      </c>
      <c r="H17" t="s">
        <v>65</v>
      </c>
      <c r="I17">
        <v>-24.27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H18" sqref="H1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66</v>
      </c>
      <c r="L1" s="1" t="s">
        <v>17</v>
      </c>
      <c r="M1" s="1" t="s">
        <v>18</v>
      </c>
      <c r="N1" s="1" t="s">
        <v>67</v>
      </c>
      <c r="O1" s="1" t="s">
        <v>68</v>
      </c>
      <c r="P1" s="1" t="s">
        <v>69</v>
      </c>
    </row>
    <row r="2" spans="1:16" x14ac:dyDescent="0.25">
      <c r="A2" t="s">
        <v>21</v>
      </c>
      <c r="B2" s="7">
        <v>19491313</v>
      </c>
      <c r="C2" t="s">
        <v>25</v>
      </c>
      <c r="D2" t="s">
        <v>32</v>
      </c>
      <c r="E2" t="s">
        <v>37</v>
      </c>
      <c r="F2" t="s">
        <v>42</v>
      </c>
      <c r="G2" t="s">
        <v>44</v>
      </c>
      <c r="H2" t="s">
        <v>46</v>
      </c>
      <c r="I2" t="s">
        <v>48</v>
      </c>
      <c r="J2" t="s">
        <v>70</v>
      </c>
      <c r="K2" s="7">
        <v>53.67</v>
      </c>
      <c r="L2" s="7">
        <v>100</v>
      </c>
      <c r="M2" s="2">
        <v>0.25</v>
      </c>
      <c r="N2" s="7">
        <v>9</v>
      </c>
      <c r="O2">
        <v>120.78</v>
      </c>
      <c r="P2" t="s">
        <v>71</v>
      </c>
    </row>
    <row r="3" spans="1:16" x14ac:dyDescent="0.25">
      <c r="A3" t="s">
        <v>21</v>
      </c>
      <c r="B3" s="7">
        <v>19491313</v>
      </c>
      <c r="C3" t="s">
        <v>26</v>
      </c>
      <c r="D3" t="s">
        <v>32</v>
      </c>
      <c r="E3" t="s">
        <v>37</v>
      </c>
      <c r="F3" t="s">
        <v>43</v>
      </c>
      <c r="G3" t="s">
        <v>45</v>
      </c>
      <c r="H3" t="s">
        <v>46</v>
      </c>
      <c r="I3" t="s">
        <v>49</v>
      </c>
      <c r="J3" t="s">
        <v>70</v>
      </c>
      <c r="K3" s="7">
        <v>120.26</v>
      </c>
      <c r="L3" s="7">
        <v>100</v>
      </c>
      <c r="M3" s="2">
        <v>0.21</v>
      </c>
      <c r="N3" s="7">
        <v>12</v>
      </c>
      <c r="O3">
        <v>303</v>
      </c>
      <c r="P3" t="s">
        <v>71</v>
      </c>
    </row>
    <row r="4" spans="1:16" x14ac:dyDescent="0.25">
      <c r="A4" t="s">
        <v>22</v>
      </c>
      <c r="B4" s="7">
        <v>8812322</v>
      </c>
      <c r="C4" t="s">
        <v>29</v>
      </c>
      <c r="D4" t="s">
        <v>34</v>
      </c>
      <c r="E4" t="s">
        <v>39</v>
      </c>
      <c r="F4" t="s">
        <v>42</v>
      </c>
      <c r="G4" t="s">
        <v>44</v>
      </c>
      <c r="H4" t="s">
        <v>47</v>
      </c>
      <c r="I4" t="s">
        <v>51</v>
      </c>
      <c r="J4" t="s">
        <v>70</v>
      </c>
      <c r="K4" s="7">
        <v>127.65</v>
      </c>
      <c r="L4" s="7">
        <v>100</v>
      </c>
      <c r="M4" s="2">
        <v>0.25</v>
      </c>
      <c r="N4" s="7">
        <v>9</v>
      </c>
      <c r="O4">
        <v>287.19</v>
      </c>
      <c r="P4" t="s">
        <v>71</v>
      </c>
    </row>
    <row r="5" spans="1:16" x14ac:dyDescent="0.25">
      <c r="A5" t="s">
        <v>23</v>
      </c>
      <c r="B5" s="7">
        <v>19586992</v>
      </c>
      <c r="C5" t="s">
        <v>30</v>
      </c>
      <c r="D5" t="s">
        <v>35</v>
      </c>
      <c r="E5" t="s">
        <v>40</v>
      </c>
      <c r="F5" t="s">
        <v>43</v>
      </c>
      <c r="G5" t="s">
        <v>45</v>
      </c>
      <c r="H5" t="s">
        <v>47</v>
      </c>
      <c r="I5" t="s">
        <v>50</v>
      </c>
      <c r="J5" t="s">
        <v>70</v>
      </c>
      <c r="K5" s="7">
        <v>116.7</v>
      </c>
      <c r="L5" s="7">
        <v>100</v>
      </c>
      <c r="M5" s="2">
        <v>0.20799999999999999</v>
      </c>
      <c r="N5" s="7">
        <v>12</v>
      </c>
      <c r="O5">
        <v>291.24</v>
      </c>
      <c r="P5" t="s">
        <v>71</v>
      </c>
    </row>
    <row r="6" spans="1:16" x14ac:dyDescent="0.25">
      <c r="A6" t="s">
        <v>24</v>
      </c>
      <c r="B6" s="7">
        <v>7565575</v>
      </c>
      <c r="C6" t="s">
        <v>31</v>
      </c>
      <c r="D6" t="s">
        <v>36</v>
      </c>
      <c r="E6" t="s">
        <v>41</v>
      </c>
      <c r="F6" t="s">
        <v>43</v>
      </c>
      <c r="G6" t="s">
        <v>45</v>
      </c>
      <c r="H6" t="s">
        <v>47</v>
      </c>
      <c r="I6" t="s">
        <v>51</v>
      </c>
      <c r="J6" t="s">
        <v>70</v>
      </c>
      <c r="K6" s="7">
        <v>191.89</v>
      </c>
      <c r="L6" s="7">
        <v>100</v>
      </c>
      <c r="M6" s="2">
        <v>0.20799999999999999</v>
      </c>
      <c r="N6" s="7">
        <v>12</v>
      </c>
      <c r="O6">
        <v>478.92</v>
      </c>
      <c r="P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2025-09-07T21:02:42Z</dcterms:created>
  <dcterms:modified xsi:type="dcterms:W3CDTF">2025-10-01T00:09:23Z</dcterms:modified>
</cp:coreProperties>
</file>