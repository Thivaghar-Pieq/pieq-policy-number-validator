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8-16-25\"/>
    </mc:Choice>
  </mc:AlternateContent>
  <xr:revisionPtr revIDLastSave="0" documentId="13_ncr:1_{E7118F8C-3594-4394-A3B8-C514D343B220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First Year Commission" sheetId="1" r:id="rId1"/>
    <sheet name="First Year Overwrites" sheetId="2" r:id="rId2"/>
    <sheet name="Advance Paybacks" sheetId="3" r:id="rId3"/>
    <sheet name="Advances - Paid Advan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2" i="1"/>
</calcChain>
</file>

<file path=xl/sharedStrings.xml><?xml version="1.0" encoding="utf-8"?>
<sst xmlns="http://schemas.openxmlformats.org/spreadsheetml/2006/main" count="80" uniqueCount="44">
  <si>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</si>
  <si>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</si>
  <si>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</si>
  <si>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</si>
  <si>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</si>
  <si>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</si>
  <si>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</si>
  <si>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</si>
  <si>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paidToDate</t>
  </si>
  <si>
    <t>insuredAge</t>
  </si>
  <si>
    <t>mode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</si>
  <si>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</si>
  <si>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</si>
  <si>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</si>
  <si>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</si>
  <si>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</si>
  <si>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</si>
  <si>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</si>
  <si>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</si>
  <si>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Brandt Steven K</t>
  </si>
  <si>
    <t>H750072498</t>
  </si>
  <si>
    <t>H750070465</t>
  </si>
  <si>
    <t>H711024011</t>
  </si>
  <si>
    <t>Jacquelyn</t>
  </si>
  <si>
    <t>Michael</t>
  </si>
  <si>
    <t>Alvis</t>
  </si>
  <si>
    <t>Mcclellan</t>
  </si>
  <si>
    <t>S06600001</t>
  </si>
  <si>
    <t>P15400002</t>
  </si>
  <si>
    <t>OH</t>
  </si>
  <si>
    <t>MONTHLY</t>
  </si>
  <si>
    <t>Y</t>
  </si>
  <si>
    <t>N</t>
  </si>
  <si>
    <t>H7500724981</t>
  </si>
  <si>
    <t>H7500704651</t>
  </si>
  <si>
    <t>H7110240111</t>
  </si>
  <si>
    <t>10/1/2025</t>
  </si>
  <si>
    <t>Effective date</t>
  </si>
  <si>
    <t>8/1/2025</t>
  </si>
  <si>
    <t>19491313AV9</t>
  </si>
  <si>
    <t>Main Line Benefits</t>
  </si>
  <si>
    <t>Standard Dental</t>
  </si>
  <si>
    <t>Physician Mutual OVR</t>
  </si>
  <si>
    <t>Open Enrollment - States Where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</si>
</sst>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0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workbookViewId="0">
      <selection activeCell="C6" sqref="C6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22.140625" customWidth="1"/>
    <col min="7" max="7" width="10.28515625" bestFit="1" customWidth="1"/>
    <col min="8" max="8" width="20.7109375" customWidth="1"/>
    <col min="9" max="9" width="15.28515625" bestFit="1" customWidth="1"/>
    <col min="10" max="10" width="15.140625" bestFit="1" customWidth="1"/>
    <col min="11" max="12" width="11.140625" bestFit="1" customWidth="1"/>
    <col min="13" max="13" width="9.7109375" bestFit="1" customWidth="1"/>
    <col min="14" max="14" width="13.28515625" bestFit="1" customWidth="1"/>
    <col min="15" max="15" width="17.42578125" bestFit="1" customWidth="1"/>
    <col min="16" max="16" width="32.5703125" bestFit="1" customWidth="1"/>
    <col min="17" max="17" width="17.5703125" bestFit="1" customWidth="1"/>
    <col min="18" max="18" width="15" bestFit="1" customWidth="1"/>
    <col min="19" max="19" width="15.7109375" bestFit="1" customWidth="1"/>
    <col min="20" max="20" width="19" bestFit="1" customWidth="1"/>
    <col min="21" max="21" width="1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37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x14ac:dyDescent="0.25">
      <c r="A2" t="s">
        <v>39</v>
      </c>
      <c r="B2" t="s">
        <v>19</v>
      </c>
      <c r="C2" t="s">
        <v>20</v>
      </c>
      <c r="D2" t="s">
        <v>23</v>
      </c>
      <c r="E2" t="s">
        <v>25</v>
      </c>
      <c r="F2" t="str">
        <f>CONCATENATE(D2, " ",E2)</f>
        <v>Jacquelyn Alvis</v>
      </c>
      <c r="G2" t="s">
        <v>27</v>
      </c>
      <c r="H2" t="s">
        <v>43</v>
      </c>
      <c r="I2" t="s">
        <v>29</v>
      </c>
      <c r="J2" s="5" t="s">
        <v>36</v>
      </c>
      <c r="K2" s="4">
        <v>45962</v>
      </c>
      <c r="L2" s="2">
        <v>65</v>
      </c>
      <c r="M2" t="s">
        <v>30</v>
      </c>
      <c r="N2" s="2">
        <v>1</v>
      </c>
      <c r="O2" s="2">
        <v>104.82</v>
      </c>
      <c r="P2" s="2">
        <v>0</v>
      </c>
      <c r="Q2" s="2">
        <v>104.82</v>
      </c>
      <c r="R2" s="2">
        <v>100</v>
      </c>
      <c r="S2" s="3">
        <v>0.21</v>
      </c>
      <c r="T2">
        <v>22.01</v>
      </c>
      <c r="U2" t="s">
        <v>31</v>
      </c>
    </row>
    <row r="3" spans="1:21" x14ac:dyDescent="0.25">
      <c r="A3" t="s">
        <v>39</v>
      </c>
      <c r="B3" t="s">
        <v>19</v>
      </c>
      <c r="C3" t="s">
        <v>21</v>
      </c>
      <c r="D3" t="s">
        <v>24</v>
      </c>
      <c r="E3" t="s">
        <v>26</v>
      </c>
      <c r="F3" t="str">
        <f t="shared" ref="F3:F7" si="0">CONCATENATE(D3, " ",E3)</f>
        <v>Michael Mcclellan</v>
      </c>
      <c r="G3" t="s">
        <v>27</v>
      </c>
      <c r="H3" t="s">
        <v>43</v>
      </c>
      <c r="I3" t="s">
        <v>29</v>
      </c>
      <c r="J3" s="5" t="s">
        <v>38</v>
      </c>
      <c r="K3" s="4">
        <v>45931</v>
      </c>
      <c r="L3" s="2">
        <v>65</v>
      </c>
      <c r="M3" t="s">
        <v>30</v>
      </c>
      <c r="N3" s="2">
        <v>2</v>
      </c>
      <c r="O3" s="2">
        <v>121.96</v>
      </c>
      <c r="P3" s="2">
        <v>0</v>
      </c>
      <c r="Q3" s="2">
        <v>121.96</v>
      </c>
      <c r="R3" s="2">
        <v>100</v>
      </c>
      <c r="S3" s="3">
        <v>0.21</v>
      </c>
      <c r="T3">
        <v>25.61</v>
      </c>
      <c r="U3" t="s">
        <v>32</v>
      </c>
    </row>
    <row r="4" spans="1:21" x14ac:dyDescent="0.25">
      <c r="A4" t="s">
        <v>39</v>
      </c>
      <c r="B4" t="s">
        <v>19</v>
      </c>
      <c r="C4" t="s">
        <v>22</v>
      </c>
      <c r="D4" t="s">
        <v>24</v>
      </c>
      <c r="E4" t="s">
        <v>26</v>
      </c>
      <c r="F4" t="str">
        <f t="shared" si="0"/>
        <v>Michael Mcclellan</v>
      </c>
      <c r="G4" t="s">
        <v>28</v>
      </c>
      <c r="H4" t="s">
        <v>41</v>
      </c>
      <c r="I4" t="s">
        <v>29</v>
      </c>
      <c r="J4" s="5" t="s">
        <v>38</v>
      </c>
      <c r="K4" s="4">
        <v>45931</v>
      </c>
      <c r="L4" s="2">
        <v>64</v>
      </c>
      <c r="M4" t="s">
        <v>30</v>
      </c>
      <c r="N4" s="2">
        <v>2</v>
      </c>
      <c r="O4" s="2">
        <v>62.17</v>
      </c>
      <c r="P4" s="2">
        <v>0</v>
      </c>
      <c r="Q4" s="2">
        <v>62.17</v>
      </c>
      <c r="R4" s="2">
        <v>100</v>
      </c>
      <c r="S4" s="3">
        <v>0.25</v>
      </c>
      <c r="T4">
        <v>15.54</v>
      </c>
      <c r="U4" t="s">
        <v>32</v>
      </c>
    </row>
    <row r="5" spans="1:21" x14ac:dyDescent="0.25">
      <c r="A5">
        <v>20411454</v>
      </c>
      <c r="B5" t="s">
        <v>40</v>
      </c>
      <c r="C5" t="s">
        <v>33</v>
      </c>
      <c r="D5" t="s">
        <v>23</v>
      </c>
      <c r="E5" t="s">
        <v>25</v>
      </c>
      <c r="F5" t="str">
        <f t="shared" si="0"/>
        <v>Jacquelyn Alvis</v>
      </c>
      <c r="G5" t="s">
        <v>27</v>
      </c>
      <c r="H5" t="s">
        <v>42</v>
      </c>
      <c r="I5" t="s">
        <v>29</v>
      </c>
      <c r="J5" s="5" t="s">
        <v>36</v>
      </c>
      <c r="K5" s="4">
        <v>45962</v>
      </c>
      <c r="L5" s="2">
        <v>65</v>
      </c>
      <c r="M5" t="s">
        <v>30</v>
      </c>
      <c r="N5" s="2">
        <v>1</v>
      </c>
      <c r="O5" s="2">
        <v>104.82</v>
      </c>
      <c r="P5" s="2">
        <v>0</v>
      </c>
      <c r="Q5" s="2">
        <v>104.82</v>
      </c>
      <c r="R5" s="2">
        <v>100</v>
      </c>
      <c r="S5" s="3">
        <v>2.8000000000000001E-2</v>
      </c>
      <c r="T5">
        <v>2.93</v>
      </c>
    </row>
    <row r="6" spans="1:21" x14ac:dyDescent="0.25">
      <c r="A6">
        <v>20411454</v>
      </c>
      <c r="B6" t="s">
        <v>40</v>
      </c>
      <c r="C6" t="s">
        <v>34</v>
      </c>
      <c r="D6" t="s">
        <v>24</v>
      </c>
      <c r="E6" t="s">
        <v>26</v>
      </c>
      <c r="F6" t="str">
        <f t="shared" si="0"/>
        <v>Michael Mcclellan</v>
      </c>
      <c r="G6" t="s">
        <v>27</v>
      </c>
      <c r="H6" t="s">
        <v>42</v>
      </c>
      <c r="I6" t="s">
        <v>29</v>
      </c>
      <c r="J6" s="5" t="s">
        <v>38</v>
      </c>
      <c r="K6" s="4">
        <v>45931</v>
      </c>
      <c r="L6" s="2">
        <v>65</v>
      </c>
      <c r="M6" t="s">
        <v>30</v>
      </c>
      <c r="N6" s="2">
        <v>2</v>
      </c>
      <c r="O6" s="2">
        <v>121.96</v>
      </c>
      <c r="P6" s="2">
        <v>0</v>
      </c>
      <c r="Q6" s="2">
        <v>121.96</v>
      </c>
      <c r="R6" s="2">
        <v>100</v>
      </c>
      <c r="S6" s="3">
        <v>2.8000000000000001E-2</v>
      </c>
      <c r="T6">
        <v>3.41</v>
      </c>
    </row>
    <row r="7" spans="1:21" x14ac:dyDescent="0.25">
      <c r="A7">
        <v>20411454</v>
      </c>
      <c r="B7" t="s">
        <v>40</v>
      </c>
      <c r="C7" t="s">
        <v>35</v>
      </c>
      <c r="D7" t="s">
        <v>24</v>
      </c>
      <c r="E7" t="s">
        <v>26</v>
      </c>
      <c r="F7" t="str">
        <f t="shared" si="0"/>
        <v>Michael Mcclellan</v>
      </c>
      <c r="G7" t="s">
        <v>28</v>
      </c>
      <c r="H7" t="s">
        <v>42</v>
      </c>
      <c r="I7" t="s">
        <v>29</v>
      </c>
      <c r="J7" s="5" t="s">
        <v>38</v>
      </c>
      <c r="K7" s="4">
        <v>45931</v>
      </c>
      <c r="L7" s="2">
        <v>64</v>
      </c>
      <c r="M7" t="s">
        <v>30</v>
      </c>
      <c r="N7" s="2">
        <v>2</v>
      </c>
      <c r="O7" s="2">
        <v>62.17</v>
      </c>
      <c r="P7" s="2">
        <v>0</v>
      </c>
      <c r="Q7" s="2">
        <v>62.17</v>
      </c>
      <c r="R7" s="2">
        <v>100</v>
      </c>
      <c r="S7" s="3">
        <v>9.5000000000000001E-2</v>
      </c>
      <c r="T7">
        <v>5.91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D1" workbookViewId="0">
      <selection activeCell="D1" sqref="A1:XFD4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1" width="11.140625" bestFit="1" customWidth="1"/>
    <col min="12" max="12" width="9.7109375" bestFit="1" customWidth="1"/>
    <col min="13" max="13" width="15.28515625" bestFit="1" customWidth="1"/>
    <col min="14" max="14" width="13.28515625" bestFit="1" customWidth="1"/>
    <col min="15" max="15" width="17.42578125" bestFit="1" customWidth="1"/>
    <col min="16" max="16" width="32.5703125" bestFit="1" customWidth="1"/>
    <col min="17" max="17" width="17.5703125" bestFit="1" customWidth="1"/>
    <col min="18" max="18" width="15" bestFit="1" customWidth="1"/>
    <col min="19" max="19" width="15.7109375" bestFit="1" customWidth="1"/>
    <col min="20" max="20" width="19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XFD2"/>
    </sheetView>
  </sheetViews>
  <sheetFormatPr defaultRowHeight="15" x14ac:dyDescent="0.25"/>
  <cols>
    <col min="1" max="1" width="13.7109375" bestFit="1" customWidth="1"/>
    <col min="2" max="2" width="22.5703125" bestFit="1" customWidth="1"/>
    <col min="3" max="3" width="22.140625" bestFit="1" customWidth="1"/>
    <col min="4" max="4" width="10.28515625" bestFit="1" customWidth="1"/>
    <col min="5" max="5" width="20.85546875" bestFit="1" customWidth="1"/>
    <col min="6" max="6" width="5.42578125" bestFit="1" customWidth="1"/>
    <col min="7" max="7" width="15.140625" bestFit="1" customWidth="1"/>
    <col min="8" max="8" width="15.28515625" bestFit="1" customWidth="1"/>
    <col min="9" max="9" width="23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sqref="A1:XFD2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0" width="15.28515625" bestFit="1" customWidth="1"/>
    <col min="11" max="11" width="12.7109375" bestFit="1" customWidth="1"/>
    <col min="12" max="12" width="15" bestFit="1" customWidth="1"/>
    <col min="13" max="13" width="15.7109375" bestFit="1" customWidth="1"/>
    <col min="14" max="14" width="16.5703125" bestFit="1" customWidth="1"/>
    <col min="15" max="15" width="19.85546875" bestFit="1" customWidth="1"/>
    <col min="16" max="16" width="21.71093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First Year Commission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2025-08-17T21:03:04Z</dcterms:created>
  <dcterms:modified xsi:type="dcterms:W3CDTF">2025-08-27T00:31:39Z</dcterms:modified>
</cp:coreProperties>
</file>