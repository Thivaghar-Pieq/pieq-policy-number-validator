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11-15-25\"/>
    </mc:Choice>
  </mc:AlternateContent>
  <xr:revisionPtr revIDLastSave="0" documentId="13_ncr:1_{924B92B0-E897-4868-87A7-0D23533B1193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First Year Commission" sheetId="1" r:id="rId1"/>
    <sheet name="First Year Overwrites" sheetId="2" r:id="rId2"/>
    <sheet name="Advance Paybacks" sheetId="3" r:id="rId3"/>
    <sheet name="Advances - Paid Advances" sheetId="4" r:id="rId4"/>
    <sheet name="Bonu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8" i="1"/>
  <c r="F7" i="1"/>
  <c r="F10" i="1"/>
  <c r="F2" i="1"/>
  <c r="W3" i="1"/>
  <c r="W4" i="1"/>
  <c r="W5" i="1"/>
  <c r="W6" i="1"/>
  <c r="W8" i="1"/>
  <c r="W7" i="1"/>
  <c r="W10" i="1"/>
  <c r="W2" i="1"/>
  <c r="F3" i="4"/>
  <c r="F2" i="4"/>
</calcChain>
</file>

<file path=xl/sharedStrings.xml><?xml version="1.0" encoding="utf-8"?>
<sst xmlns="http://schemas.openxmlformats.org/spreadsheetml/2006/main" count="292" uniqueCount="69">
  <si>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</si>
  <si>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</si>
  <si>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</si>
  <si>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</si>
  <si>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</si>
  <si>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</si>
  <si>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</si>
  <si>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</si>
  <si>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</si>
  <si>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</si>
  <si>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</si>
  <si>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</si>
  <si>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</si>
  <si>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</si>
  <si>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</si>
  <si>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</si>
  <si>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</si>
  <si>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</si>
  <si>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</si>
  <si>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</si>
  <si>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</si>
  <si>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Brandt Steven K</t>
  </si>
  <si>
    <t xml:space="preserve">Sherman Matthew </t>
  </si>
  <si>
    <t>Shapiro Robert null</t>
  </si>
  <si>
    <t>H750075022</t>
  </si>
  <si>
    <t>H711024011</t>
  </si>
  <si>
    <t>H750070465</t>
  </si>
  <si>
    <t>H750083517</t>
  </si>
  <si>
    <t>H750083520</t>
  </si>
  <si>
    <t>H711067626</t>
  </si>
  <si>
    <t>H711067280</t>
  </si>
  <si>
    <t>H750077920</t>
  </si>
  <si>
    <t>Kerry</t>
  </si>
  <si>
    <t>Michael</t>
  </si>
  <si>
    <t>Alan</t>
  </si>
  <si>
    <t>Paula</t>
  </si>
  <si>
    <t>Kelly</t>
  </si>
  <si>
    <t>Patricia</t>
  </si>
  <si>
    <t>James</t>
  </si>
  <si>
    <t>Morrison</t>
  </si>
  <si>
    <t>Mcclellan</t>
  </si>
  <si>
    <t>Kercher</t>
  </si>
  <si>
    <t>Mcmorrow</t>
  </si>
  <si>
    <t>Buckley</t>
  </si>
  <si>
    <t>Andre</t>
  </si>
  <si>
    <t>S06600001</t>
  </si>
  <si>
    <t>P15400002</t>
  </si>
  <si>
    <t>Medicare Supplement</t>
  </si>
  <si>
    <t>Dental</t>
  </si>
  <si>
    <t>OH</t>
  </si>
  <si>
    <t>IL</t>
  </si>
  <si>
    <t>2025-11-14</t>
  </si>
  <si>
    <t>2025-11-13</t>
  </si>
  <si>
    <t>MONTHLY</t>
  </si>
  <si>
    <t>RCVP</t>
  </si>
  <si>
    <t>Y</t>
  </si>
  <si>
    <t>N</t>
  </si>
  <si>
    <t>advancePaybackAmount</t>
  </si>
  <si>
    <t>APB-S</t>
  </si>
  <si>
    <t>advanceBasis</t>
  </si>
  <si>
    <t>monthsAdvanced</t>
  </si>
  <si>
    <t>paidAdvanceAmount</t>
  </si>
  <si>
    <t>description</t>
  </si>
  <si>
    <t>ISS-A</t>
  </si>
  <si>
    <t>Issue Advance Request</t>
  </si>
  <si>
    <t>amount</t>
  </si>
  <si>
    <t>MED SUPP BNS OCT 2025</t>
  </si>
  <si>
    <t>ISS-B</t>
  </si>
  <si>
    <t>mlb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</si>
</sst>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0" fontId="0" fillId="2" borderId="0" xfId="0" applyFill="1"/>
    <xf numFmtId="10" fontId="0" fillId="2" borderId="0" xfId="0" applyNumberFormat="1" applyFill="1"/>
    <xf numFmtId="0" fontId="1" fillId="0" borderId="2" xfId="0" applyFont="1" applyFill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"/>
  <sheetViews>
    <sheetView topLeftCell="B1" workbookViewId="0">
      <selection activeCell="C7" sqref="C7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22.140625" customWidth="1"/>
    <col min="7" max="7" width="10.28515625" bestFit="1" customWidth="1"/>
    <col min="8" max="8" width="20.85546875" bestFit="1" customWidth="1"/>
    <col min="9" max="9" width="5.42578125" bestFit="1" customWidth="1"/>
    <col min="10" max="10" width="15.140625" bestFit="1" customWidth="1"/>
    <col min="11" max="11" width="11.140625" style="7" bestFit="1" customWidth="1"/>
    <col min="12" max="12" width="11.140625" bestFit="1" customWidth="1"/>
    <col min="13" max="13" width="9.7109375" bestFit="1" customWidth="1"/>
    <col min="14" max="14" width="17.42578125" bestFit="1" customWidth="1"/>
    <col min="15" max="15" width="19" bestFit="1" customWidth="1"/>
    <col min="16" max="16" width="15.28515625" bestFit="1" customWidth="1"/>
    <col min="17" max="17" width="13.28515625" bestFit="1" customWidth="1"/>
    <col min="18" max="18" width="32.5703125" bestFit="1" customWidth="1"/>
    <col min="19" max="19" width="17.5703125" bestFit="1" customWidth="1"/>
    <col min="20" max="20" width="15" bestFit="1" customWidth="1"/>
    <col min="21" max="21" width="15.7109375" bestFit="1" customWidth="1"/>
    <col min="22" max="22" width="19.285156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6" t="s">
        <v>9</v>
      </c>
      <c r="L1" s="1" t="s">
        <v>10</v>
      </c>
      <c r="M1" s="1" t="s">
        <v>11</v>
      </c>
      <c r="N1" s="1" t="s">
        <v>14</v>
      </c>
      <c r="O1" s="1" t="s">
        <v>19</v>
      </c>
      <c r="P1" s="1" t="s">
        <v>12</v>
      </c>
      <c r="Q1" s="1" t="s">
        <v>13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20</v>
      </c>
      <c r="W1" s="5" t="s">
        <v>68</v>
      </c>
    </row>
    <row r="2" spans="1:23" x14ac:dyDescent="0.25">
      <c r="A2" t="s">
        <v>21</v>
      </c>
      <c r="B2">
        <v>19491313</v>
      </c>
      <c r="C2" t="s">
        <v>24</v>
      </c>
      <c r="D2" t="s">
        <v>32</v>
      </c>
      <c r="E2" t="s">
        <v>39</v>
      </c>
      <c r="F2" t="str">
        <f>CONCATENATE(D2, " ",E2)</f>
        <v>Kerry Morrison</v>
      </c>
      <c r="G2" t="s">
        <v>45</v>
      </c>
      <c r="H2" t="s">
        <v>47</v>
      </c>
      <c r="I2" t="s">
        <v>49</v>
      </c>
      <c r="J2" s="7">
        <v>45975</v>
      </c>
      <c r="K2" s="7">
        <v>46023</v>
      </c>
      <c r="L2">
        <v>69</v>
      </c>
      <c r="M2" t="s">
        <v>53</v>
      </c>
      <c r="N2">
        <v>120.26</v>
      </c>
      <c r="O2">
        <v>25.25</v>
      </c>
      <c r="P2" t="s">
        <v>54</v>
      </c>
      <c r="Q2">
        <v>3</v>
      </c>
      <c r="R2">
        <v>0</v>
      </c>
      <c r="S2">
        <v>120.26</v>
      </c>
      <c r="T2">
        <v>100</v>
      </c>
      <c r="U2" s="2">
        <v>0.21</v>
      </c>
      <c r="V2" t="s">
        <v>55</v>
      </c>
      <c r="W2">
        <f>SUM(S2/9)</f>
        <v>13.362222222222222</v>
      </c>
    </row>
    <row r="3" spans="1:23" x14ac:dyDescent="0.25">
      <c r="A3" t="s">
        <v>21</v>
      </c>
      <c r="B3">
        <v>19491313</v>
      </c>
      <c r="C3" t="s">
        <v>25</v>
      </c>
      <c r="D3" t="s">
        <v>33</v>
      </c>
      <c r="E3" t="s">
        <v>40</v>
      </c>
      <c r="F3" t="str">
        <f t="shared" ref="F3:F7" si="0">CONCATENATE(D3, " ",E3)</f>
        <v>Michael Mcclellan</v>
      </c>
      <c r="G3" t="s">
        <v>46</v>
      </c>
      <c r="H3" t="s">
        <v>48</v>
      </c>
      <c r="I3" t="s">
        <v>49</v>
      </c>
      <c r="J3" s="7">
        <v>45975</v>
      </c>
      <c r="K3" s="7">
        <v>46023</v>
      </c>
      <c r="L3">
        <v>64</v>
      </c>
      <c r="M3" t="s">
        <v>53</v>
      </c>
      <c r="N3">
        <v>62.17</v>
      </c>
      <c r="O3">
        <v>15.54</v>
      </c>
      <c r="P3" t="s">
        <v>54</v>
      </c>
      <c r="Q3">
        <v>5</v>
      </c>
      <c r="R3">
        <v>0</v>
      </c>
      <c r="S3">
        <v>62.17</v>
      </c>
      <c r="T3">
        <v>100</v>
      </c>
      <c r="U3" s="2">
        <v>0.25</v>
      </c>
      <c r="V3" t="s">
        <v>56</v>
      </c>
      <c r="W3">
        <f t="shared" ref="W3:W7" si="1">SUM(S3/9)</f>
        <v>6.9077777777777776</v>
      </c>
    </row>
    <row r="4" spans="1:23" x14ac:dyDescent="0.25">
      <c r="A4" t="s">
        <v>21</v>
      </c>
      <c r="B4">
        <v>19491313</v>
      </c>
      <c r="C4" t="s">
        <v>26</v>
      </c>
      <c r="D4" t="s">
        <v>33</v>
      </c>
      <c r="E4" t="s">
        <v>40</v>
      </c>
      <c r="F4" t="str">
        <f t="shared" si="0"/>
        <v>Michael Mcclellan</v>
      </c>
      <c r="G4" t="s">
        <v>45</v>
      </c>
      <c r="H4" t="s">
        <v>47</v>
      </c>
      <c r="I4" t="s">
        <v>49</v>
      </c>
      <c r="J4" s="7">
        <v>45975</v>
      </c>
      <c r="K4" s="7">
        <v>46023</v>
      </c>
      <c r="L4">
        <v>65</v>
      </c>
      <c r="M4" t="s">
        <v>53</v>
      </c>
      <c r="N4">
        <v>121.96</v>
      </c>
      <c r="O4">
        <v>25.61</v>
      </c>
      <c r="P4" t="s">
        <v>54</v>
      </c>
      <c r="Q4">
        <v>5</v>
      </c>
      <c r="R4">
        <v>0</v>
      </c>
      <c r="S4">
        <v>121.96</v>
      </c>
      <c r="T4">
        <v>100</v>
      </c>
      <c r="U4" s="2">
        <v>0.21</v>
      </c>
      <c r="V4" t="s">
        <v>56</v>
      </c>
      <c r="W4">
        <f t="shared" si="1"/>
        <v>13.55111111111111</v>
      </c>
    </row>
    <row r="5" spans="1:23" x14ac:dyDescent="0.25">
      <c r="A5" t="s">
        <v>21</v>
      </c>
      <c r="B5">
        <v>19491313</v>
      </c>
      <c r="C5" t="s">
        <v>27</v>
      </c>
      <c r="D5" t="s">
        <v>34</v>
      </c>
      <c r="E5" t="s">
        <v>41</v>
      </c>
      <c r="F5" t="str">
        <f t="shared" si="0"/>
        <v>Alan Kercher</v>
      </c>
      <c r="G5" t="s">
        <v>45</v>
      </c>
      <c r="H5" t="s">
        <v>47</v>
      </c>
      <c r="I5" t="s">
        <v>49</v>
      </c>
      <c r="J5" s="7">
        <v>45975</v>
      </c>
      <c r="K5" s="7">
        <v>46023</v>
      </c>
      <c r="L5">
        <v>65</v>
      </c>
      <c r="M5" t="s">
        <v>53</v>
      </c>
      <c r="N5">
        <v>136.22</v>
      </c>
      <c r="O5">
        <v>28.61</v>
      </c>
      <c r="P5" t="s">
        <v>54</v>
      </c>
      <c r="Q5">
        <v>2</v>
      </c>
      <c r="R5">
        <v>0</v>
      </c>
      <c r="S5">
        <v>136.22</v>
      </c>
      <c r="T5">
        <v>100</v>
      </c>
      <c r="U5" s="2">
        <v>0.21</v>
      </c>
      <c r="V5" t="s">
        <v>55</v>
      </c>
      <c r="W5">
        <f t="shared" si="1"/>
        <v>15.135555555555555</v>
      </c>
    </row>
    <row r="6" spans="1:23" x14ac:dyDescent="0.25">
      <c r="A6" t="s">
        <v>21</v>
      </c>
      <c r="B6">
        <v>19491313</v>
      </c>
      <c r="C6" t="s">
        <v>28</v>
      </c>
      <c r="D6" t="s">
        <v>35</v>
      </c>
      <c r="E6" t="s">
        <v>41</v>
      </c>
      <c r="F6" t="str">
        <f t="shared" si="0"/>
        <v>Paula Kercher</v>
      </c>
      <c r="G6" t="s">
        <v>45</v>
      </c>
      <c r="H6" t="s">
        <v>47</v>
      </c>
      <c r="I6" t="s">
        <v>49</v>
      </c>
      <c r="J6" s="7">
        <v>45975</v>
      </c>
      <c r="K6" s="7">
        <v>46023</v>
      </c>
      <c r="L6">
        <v>65</v>
      </c>
      <c r="M6" t="s">
        <v>53</v>
      </c>
      <c r="N6">
        <v>123.24</v>
      </c>
      <c r="O6">
        <v>25.88</v>
      </c>
      <c r="P6" t="s">
        <v>54</v>
      </c>
      <c r="Q6">
        <v>2</v>
      </c>
      <c r="R6">
        <v>0</v>
      </c>
      <c r="S6">
        <v>123.24</v>
      </c>
      <c r="T6">
        <v>100</v>
      </c>
      <c r="U6" s="2">
        <v>0.21</v>
      </c>
      <c r="V6" t="s">
        <v>55</v>
      </c>
      <c r="W6">
        <f t="shared" si="1"/>
        <v>13.693333333333333</v>
      </c>
    </row>
    <row r="7" spans="1:23" x14ac:dyDescent="0.25">
      <c r="A7" t="s">
        <v>22</v>
      </c>
      <c r="B7">
        <v>8812322</v>
      </c>
      <c r="C7" t="s">
        <v>30</v>
      </c>
      <c r="D7" t="s">
        <v>37</v>
      </c>
      <c r="E7" t="s">
        <v>43</v>
      </c>
      <c r="F7" t="str">
        <f t="shared" si="0"/>
        <v>Patricia Buckley</v>
      </c>
      <c r="G7" t="s">
        <v>46</v>
      </c>
      <c r="H7" t="s">
        <v>48</v>
      </c>
      <c r="I7" t="s">
        <v>50</v>
      </c>
      <c r="J7" s="7">
        <v>45974</v>
      </c>
      <c r="K7" s="7">
        <v>46006</v>
      </c>
      <c r="L7">
        <v>63</v>
      </c>
      <c r="M7" t="s">
        <v>53</v>
      </c>
      <c r="N7">
        <v>65.45</v>
      </c>
      <c r="O7">
        <v>16.36</v>
      </c>
      <c r="P7" t="s">
        <v>54</v>
      </c>
      <c r="Q7">
        <v>1</v>
      </c>
      <c r="R7">
        <v>0</v>
      </c>
      <c r="S7">
        <v>65.45</v>
      </c>
      <c r="T7">
        <v>100</v>
      </c>
      <c r="U7" s="2">
        <v>0.25</v>
      </c>
      <c r="V7" t="s">
        <v>55</v>
      </c>
      <c r="W7">
        <f t="shared" si="1"/>
        <v>7.2722222222222221</v>
      </c>
    </row>
    <row r="8" spans="1:23" x14ac:dyDescent="0.25">
      <c r="A8" t="s">
        <v>22</v>
      </c>
      <c r="B8">
        <v>8812322</v>
      </c>
      <c r="C8" t="s">
        <v>29</v>
      </c>
      <c r="D8" t="s">
        <v>36</v>
      </c>
      <c r="E8" t="s">
        <v>42</v>
      </c>
      <c r="F8" t="str">
        <f>CONCATENATE(D8, " ",E8)</f>
        <v>Kelly Mcmorrow</v>
      </c>
      <c r="G8" t="s">
        <v>46</v>
      </c>
      <c r="H8" t="s">
        <v>48</v>
      </c>
      <c r="I8" t="s">
        <v>50</v>
      </c>
      <c r="J8" s="7">
        <v>45974</v>
      </c>
      <c r="K8" s="7">
        <v>46006</v>
      </c>
      <c r="L8">
        <v>59</v>
      </c>
      <c r="M8" t="s">
        <v>53</v>
      </c>
      <c r="N8">
        <v>56.5</v>
      </c>
      <c r="O8">
        <v>14.13</v>
      </c>
      <c r="P8" t="s">
        <v>54</v>
      </c>
      <c r="Q8">
        <v>1</v>
      </c>
      <c r="R8">
        <v>0</v>
      </c>
      <c r="S8">
        <v>56.5</v>
      </c>
      <c r="T8">
        <v>100</v>
      </c>
      <c r="U8" s="2">
        <v>0.25</v>
      </c>
      <c r="V8" t="s">
        <v>55</v>
      </c>
      <c r="W8">
        <f>SUM(S8/9)</f>
        <v>6.2777777777777777</v>
      </c>
    </row>
    <row r="10" spans="1:23" s="3" customFormat="1" x14ac:dyDescent="0.25">
      <c r="A10" s="3" t="s">
        <v>23</v>
      </c>
      <c r="B10" s="3">
        <v>7565575</v>
      </c>
      <c r="C10" s="3" t="s">
        <v>31</v>
      </c>
      <c r="D10" s="3" t="s">
        <v>38</v>
      </c>
      <c r="E10" s="3" t="s">
        <v>44</v>
      </c>
      <c r="F10" s="3" t="str">
        <f>CONCATENATE(D10, " ",E10)</f>
        <v>James Andre</v>
      </c>
      <c r="G10" s="3" t="s">
        <v>45</v>
      </c>
      <c r="H10" s="3" t="s">
        <v>47</v>
      </c>
      <c r="I10" s="3" t="s">
        <v>50</v>
      </c>
      <c r="J10" s="8">
        <v>45975</v>
      </c>
      <c r="K10" s="8">
        <v>46023</v>
      </c>
      <c r="L10" s="3">
        <v>65</v>
      </c>
      <c r="M10" s="3" t="s">
        <v>53</v>
      </c>
      <c r="N10" s="3">
        <v>162.1</v>
      </c>
      <c r="O10" s="3">
        <v>33.72</v>
      </c>
      <c r="P10" s="3" t="s">
        <v>54</v>
      </c>
      <c r="Q10" s="3">
        <v>2</v>
      </c>
      <c r="R10" s="3">
        <v>0</v>
      </c>
      <c r="S10" s="3">
        <v>162.1</v>
      </c>
      <c r="T10" s="3">
        <v>100</v>
      </c>
      <c r="U10" s="4">
        <v>0.20799999999999999</v>
      </c>
      <c r="V10" s="3" t="s">
        <v>55</v>
      </c>
      <c r="W10" s="3">
        <f>SUM(S10/9)</f>
        <v>18.011111111111109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"/>
  <sheetViews>
    <sheetView tabSelected="1" topLeftCell="D1" workbookViewId="0">
      <selection activeCell="T8" sqref="T8:T9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20.85546875" bestFit="1" customWidth="1"/>
    <col min="8" max="8" width="5.42578125" bestFit="1" customWidth="1"/>
    <col min="9" max="9" width="15.140625" bestFit="1" customWidth="1"/>
    <col min="10" max="11" width="11.140625" bestFit="1" customWidth="1"/>
    <col min="12" max="12" width="9.7109375" bestFit="1" customWidth="1"/>
    <col min="13" max="13" width="15.28515625" bestFit="1" customWidth="1"/>
    <col min="14" max="14" width="13.28515625" bestFit="1" customWidth="1"/>
    <col min="15" max="15" width="17.42578125" bestFit="1" customWidth="1"/>
    <col min="16" max="16" width="32.5703125" bestFit="1" customWidth="1"/>
    <col min="17" max="17" width="17.5703125" bestFit="1" customWidth="1"/>
    <col min="18" max="18" width="15" bestFit="1" customWidth="1"/>
    <col min="19" max="19" width="15.7109375" bestFit="1" customWidth="1"/>
    <col min="20" max="20" width="19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>
        <v>19491313</v>
      </c>
      <c r="C2" t="s">
        <v>24</v>
      </c>
      <c r="D2" t="s">
        <v>32</v>
      </c>
      <c r="E2" t="s">
        <v>39</v>
      </c>
      <c r="F2" t="s">
        <v>45</v>
      </c>
      <c r="G2" t="s">
        <v>47</v>
      </c>
      <c r="H2" t="s">
        <v>49</v>
      </c>
      <c r="I2" s="7">
        <v>45975</v>
      </c>
      <c r="J2" s="7">
        <v>46023</v>
      </c>
      <c r="K2">
        <v>69</v>
      </c>
      <c r="L2" t="s">
        <v>53</v>
      </c>
      <c r="M2" t="s">
        <v>54</v>
      </c>
      <c r="N2">
        <v>3</v>
      </c>
      <c r="O2">
        <v>120.26</v>
      </c>
      <c r="P2">
        <v>0</v>
      </c>
      <c r="Q2">
        <v>120.26</v>
      </c>
      <c r="R2">
        <v>100</v>
      </c>
      <c r="S2" s="2">
        <v>2.8000000000000001E-2</v>
      </c>
      <c r="T2">
        <v>3.37</v>
      </c>
    </row>
    <row r="3" spans="1:20" x14ac:dyDescent="0.25">
      <c r="A3" t="s">
        <v>21</v>
      </c>
      <c r="B3">
        <v>19491313</v>
      </c>
      <c r="C3" t="s">
        <v>25</v>
      </c>
      <c r="D3" t="s">
        <v>33</v>
      </c>
      <c r="E3" t="s">
        <v>40</v>
      </c>
      <c r="F3" t="s">
        <v>46</v>
      </c>
      <c r="G3" t="s">
        <v>48</v>
      </c>
      <c r="H3" t="s">
        <v>49</v>
      </c>
      <c r="I3" s="7">
        <v>45975</v>
      </c>
      <c r="J3" s="7">
        <v>46023</v>
      </c>
      <c r="K3">
        <v>64</v>
      </c>
      <c r="L3" t="s">
        <v>53</v>
      </c>
      <c r="M3" t="s">
        <v>54</v>
      </c>
      <c r="N3">
        <v>5</v>
      </c>
      <c r="O3">
        <v>62.17</v>
      </c>
      <c r="P3">
        <v>0</v>
      </c>
      <c r="Q3">
        <v>62.17</v>
      </c>
      <c r="R3">
        <v>100</v>
      </c>
      <c r="S3" s="2">
        <v>9.5000000000000001E-2</v>
      </c>
      <c r="T3">
        <v>5.91</v>
      </c>
    </row>
    <row r="4" spans="1:20" x14ac:dyDescent="0.25">
      <c r="A4" t="s">
        <v>21</v>
      </c>
      <c r="B4">
        <v>19491313</v>
      </c>
      <c r="C4" t="s">
        <v>26</v>
      </c>
      <c r="D4" t="s">
        <v>33</v>
      </c>
      <c r="E4" t="s">
        <v>40</v>
      </c>
      <c r="F4" t="s">
        <v>45</v>
      </c>
      <c r="G4" t="s">
        <v>47</v>
      </c>
      <c r="H4" t="s">
        <v>49</v>
      </c>
      <c r="I4" s="7">
        <v>45975</v>
      </c>
      <c r="J4" s="7">
        <v>46023</v>
      </c>
      <c r="K4">
        <v>65</v>
      </c>
      <c r="L4" t="s">
        <v>53</v>
      </c>
      <c r="M4" t="s">
        <v>54</v>
      </c>
      <c r="N4">
        <v>5</v>
      </c>
      <c r="O4">
        <v>121.96</v>
      </c>
      <c r="P4">
        <v>0</v>
      </c>
      <c r="Q4">
        <v>121.96</v>
      </c>
      <c r="R4">
        <v>100</v>
      </c>
      <c r="S4" s="2">
        <v>2.8000000000000001E-2</v>
      </c>
      <c r="T4">
        <v>3.41</v>
      </c>
    </row>
    <row r="5" spans="1:20" x14ac:dyDescent="0.25">
      <c r="A5" t="s">
        <v>21</v>
      </c>
      <c r="B5">
        <v>19491313</v>
      </c>
      <c r="C5" t="s">
        <v>27</v>
      </c>
      <c r="D5" t="s">
        <v>34</v>
      </c>
      <c r="E5" t="s">
        <v>41</v>
      </c>
      <c r="F5" t="s">
        <v>45</v>
      </c>
      <c r="G5" t="s">
        <v>47</v>
      </c>
      <c r="H5" t="s">
        <v>49</v>
      </c>
      <c r="I5" s="7">
        <v>45975</v>
      </c>
      <c r="J5" s="7">
        <v>46023</v>
      </c>
      <c r="K5">
        <v>65</v>
      </c>
      <c r="L5" t="s">
        <v>53</v>
      </c>
      <c r="M5" t="s">
        <v>54</v>
      </c>
      <c r="N5">
        <v>2</v>
      </c>
      <c r="O5">
        <v>136.22</v>
      </c>
      <c r="P5">
        <v>0</v>
      </c>
      <c r="Q5">
        <v>136.22</v>
      </c>
      <c r="R5">
        <v>100</v>
      </c>
      <c r="S5" s="2">
        <v>2.8000000000000001E-2</v>
      </c>
      <c r="T5">
        <v>3.81</v>
      </c>
    </row>
    <row r="6" spans="1:20" x14ac:dyDescent="0.25">
      <c r="A6" t="s">
        <v>21</v>
      </c>
      <c r="B6">
        <v>19491313</v>
      </c>
      <c r="C6" t="s">
        <v>28</v>
      </c>
      <c r="D6" t="s">
        <v>35</v>
      </c>
      <c r="E6" t="s">
        <v>41</v>
      </c>
      <c r="F6" t="s">
        <v>45</v>
      </c>
      <c r="G6" t="s">
        <v>47</v>
      </c>
      <c r="H6" t="s">
        <v>49</v>
      </c>
      <c r="I6" s="7">
        <v>45975</v>
      </c>
      <c r="J6" s="7">
        <v>46023</v>
      </c>
      <c r="K6">
        <v>65</v>
      </c>
      <c r="L6" t="s">
        <v>53</v>
      </c>
      <c r="M6" t="s">
        <v>54</v>
      </c>
      <c r="N6">
        <v>2</v>
      </c>
      <c r="O6">
        <v>123.24</v>
      </c>
      <c r="P6">
        <v>0</v>
      </c>
      <c r="Q6">
        <v>123.24</v>
      </c>
      <c r="R6">
        <v>100</v>
      </c>
      <c r="S6" s="2">
        <v>2.8000000000000001E-2</v>
      </c>
      <c r="T6">
        <v>3.45</v>
      </c>
    </row>
    <row r="7" spans="1:20" x14ac:dyDescent="0.25">
      <c r="A7" t="s">
        <v>22</v>
      </c>
      <c r="B7">
        <v>8812322</v>
      </c>
      <c r="C7" t="s">
        <v>29</v>
      </c>
      <c r="D7" t="s">
        <v>36</v>
      </c>
      <c r="E7" t="s">
        <v>42</v>
      </c>
      <c r="F7" t="s">
        <v>46</v>
      </c>
      <c r="G7" t="s">
        <v>48</v>
      </c>
      <c r="H7" t="s">
        <v>50</v>
      </c>
      <c r="I7" s="7">
        <v>45974</v>
      </c>
      <c r="J7" s="7">
        <v>46006</v>
      </c>
      <c r="K7">
        <v>59</v>
      </c>
      <c r="L7" t="s">
        <v>53</v>
      </c>
      <c r="M7" t="s">
        <v>54</v>
      </c>
      <c r="N7">
        <v>1</v>
      </c>
      <c r="O7">
        <v>56.5</v>
      </c>
      <c r="P7">
        <v>0</v>
      </c>
      <c r="Q7">
        <v>56.5</v>
      </c>
      <c r="R7">
        <v>100</v>
      </c>
      <c r="S7" s="2">
        <v>9.5000000000000001E-2</v>
      </c>
      <c r="T7">
        <v>5.37</v>
      </c>
    </row>
    <row r="8" spans="1:20" x14ac:dyDescent="0.25">
      <c r="A8" t="s">
        <v>22</v>
      </c>
      <c r="B8">
        <v>8812322</v>
      </c>
      <c r="C8" t="s">
        <v>30</v>
      </c>
      <c r="D8" t="s">
        <v>37</v>
      </c>
      <c r="E8" t="s">
        <v>43</v>
      </c>
      <c r="F8" t="s">
        <v>46</v>
      </c>
      <c r="G8" t="s">
        <v>48</v>
      </c>
      <c r="H8" t="s">
        <v>50</v>
      </c>
      <c r="I8" s="7">
        <v>45974</v>
      </c>
      <c r="J8" s="7">
        <v>46006</v>
      </c>
      <c r="K8">
        <v>63</v>
      </c>
      <c r="L8" t="s">
        <v>53</v>
      </c>
      <c r="M8" t="s">
        <v>54</v>
      </c>
      <c r="N8">
        <v>1</v>
      </c>
      <c r="O8">
        <v>65.45</v>
      </c>
      <c r="P8">
        <v>0</v>
      </c>
      <c r="Q8">
        <v>65.45</v>
      </c>
      <c r="R8">
        <v>100</v>
      </c>
      <c r="S8" s="2">
        <v>9.5000000000000001E-2</v>
      </c>
      <c r="T8">
        <v>6.22</v>
      </c>
    </row>
    <row r="9" spans="1:20" x14ac:dyDescent="0.25">
      <c r="A9" t="s">
        <v>23</v>
      </c>
      <c r="B9">
        <v>7565575</v>
      </c>
      <c r="C9" t="s">
        <v>31</v>
      </c>
      <c r="D9" t="s">
        <v>38</v>
      </c>
      <c r="E9" t="s">
        <v>44</v>
      </c>
      <c r="F9" t="s">
        <v>45</v>
      </c>
      <c r="G9" t="s">
        <v>47</v>
      </c>
      <c r="H9" t="s">
        <v>50</v>
      </c>
      <c r="I9" s="7">
        <v>45975</v>
      </c>
      <c r="J9" s="7">
        <v>46023</v>
      </c>
      <c r="K9">
        <v>65</v>
      </c>
      <c r="L9" t="s">
        <v>53</v>
      </c>
      <c r="M9" t="s">
        <v>54</v>
      </c>
      <c r="N9">
        <v>2</v>
      </c>
      <c r="O9">
        <v>162.1</v>
      </c>
      <c r="P9">
        <v>0</v>
      </c>
      <c r="Q9">
        <v>162.1</v>
      </c>
      <c r="R9">
        <v>100</v>
      </c>
      <c r="S9" s="2">
        <v>2.8000000000000001E-2</v>
      </c>
      <c r="T9">
        <v>4.54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selection activeCell="C13" sqref="C13"/>
    </sheetView>
  </sheetViews>
  <sheetFormatPr defaultRowHeight="15" x14ac:dyDescent="0.25"/>
  <cols>
    <col min="1" max="1" width="13.7109375" bestFit="1" customWidth="1"/>
    <col min="2" max="2" width="22.5703125" bestFit="1" customWidth="1"/>
    <col min="3" max="3" width="22.140625" bestFit="1" customWidth="1"/>
    <col min="4" max="4" width="10.28515625" bestFit="1" customWidth="1"/>
    <col min="5" max="5" width="20.85546875" bestFit="1" customWidth="1"/>
    <col min="6" max="6" width="5.42578125" bestFit="1" customWidth="1"/>
    <col min="7" max="7" width="15.140625" bestFit="1" customWidth="1"/>
    <col min="8" max="8" width="15.28515625" bestFit="1" customWidth="1"/>
    <col min="9" max="9" width="23" bestFit="1" customWidth="1"/>
  </cols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57</v>
      </c>
    </row>
    <row r="2" spans="1:9" x14ac:dyDescent="0.25">
      <c r="A2" t="s">
        <v>29</v>
      </c>
      <c r="B2" t="s">
        <v>36</v>
      </c>
      <c r="C2" t="s">
        <v>42</v>
      </c>
      <c r="D2" t="s">
        <v>46</v>
      </c>
      <c r="E2" t="s">
        <v>48</v>
      </c>
      <c r="F2" t="s">
        <v>50</v>
      </c>
      <c r="G2" t="s">
        <v>52</v>
      </c>
      <c r="H2" t="s">
        <v>58</v>
      </c>
      <c r="I2">
        <v>-14.13</v>
      </c>
    </row>
    <row r="3" spans="1:9" x14ac:dyDescent="0.25">
      <c r="A3" t="s">
        <v>30</v>
      </c>
      <c r="B3" t="s">
        <v>37</v>
      </c>
      <c r="C3" t="s">
        <v>43</v>
      </c>
      <c r="D3" t="s">
        <v>46</v>
      </c>
      <c r="E3" t="s">
        <v>48</v>
      </c>
      <c r="F3" t="s">
        <v>50</v>
      </c>
      <c r="G3" t="s">
        <v>52</v>
      </c>
      <c r="H3" t="s">
        <v>58</v>
      </c>
      <c r="I3">
        <v>-16.36</v>
      </c>
    </row>
    <row r="4" spans="1:9" x14ac:dyDescent="0.25">
      <c r="A4" t="s">
        <v>24</v>
      </c>
      <c r="B4" t="s">
        <v>32</v>
      </c>
      <c r="C4" t="s">
        <v>39</v>
      </c>
      <c r="D4" t="s">
        <v>45</v>
      </c>
      <c r="E4" t="s">
        <v>47</v>
      </c>
      <c r="F4" t="s">
        <v>49</v>
      </c>
      <c r="G4" t="s">
        <v>51</v>
      </c>
      <c r="H4" t="s">
        <v>58</v>
      </c>
      <c r="I4">
        <v>-25.25</v>
      </c>
    </row>
    <row r="5" spans="1:9" x14ac:dyDescent="0.25">
      <c r="A5" t="s">
        <v>27</v>
      </c>
      <c r="B5" t="s">
        <v>34</v>
      </c>
      <c r="C5" t="s">
        <v>41</v>
      </c>
      <c r="D5" t="s">
        <v>45</v>
      </c>
      <c r="E5" t="s">
        <v>47</v>
      </c>
      <c r="F5" t="s">
        <v>49</v>
      </c>
      <c r="G5" t="s">
        <v>51</v>
      </c>
      <c r="H5" t="s">
        <v>58</v>
      </c>
      <c r="I5">
        <v>-28.61</v>
      </c>
    </row>
    <row r="6" spans="1:9" x14ac:dyDescent="0.25">
      <c r="A6" t="s">
        <v>28</v>
      </c>
      <c r="B6" t="s">
        <v>35</v>
      </c>
      <c r="C6" t="s">
        <v>41</v>
      </c>
      <c r="D6" t="s">
        <v>45</v>
      </c>
      <c r="E6" t="s">
        <v>47</v>
      </c>
      <c r="F6" t="s">
        <v>49</v>
      </c>
      <c r="G6" t="s">
        <v>51</v>
      </c>
      <c r="H6" t="s">
        <v>58</v>
      </c>
      <c r="I6">
        <v>-25.88</v>
      </c>
    </row>
    <row r="9" spans="1:9" s="3" customFormat="1" x14ac:dyDescent="0.25">
      <c r="A9" s="3" t="s">
        <v>31</v>
      </c>
      <c r="B9" s="3" t="s">
        <v>38</v>
      </c>
      <c r="C9" s="3" t="s">
        <v>44</v>
      </c>
      <c r="D9" s="3" t="s">
        <v>45</v>
      </c>
      <c r="E9" s="3" t="s">
        <v>47</v>
      </c>
      <c r="F9" s="3" t="s">
        <v>50</v>
      </c>
      <c r="G9" s="3" t="s">
        <v>51</v>
      </c>
      <c r="H9" s="3" t="s">
        <v>58</v>
      </c>
      <c r="I9" s="3">
        <v>-33.72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"/>
  <sheetViews>
    <sheetView topLeftCell="B1" workbookViewId="0">
      <selection activeCell="J23" sqref="J23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22.140625" customWidth="1"/>
    <col min="7" max="7" width="10.28515625" bestFit="1" customWidth="1"/>
    <col min="8" max="8" width="11.85546875" bestFit="1" customWidth="1"/>
    <col min="9" max="9" width="5.42578125" bestFit="1" customWidth="1"/>
    <col min="10" max="10" width="15.140625" bestFit="1" customWidth="1"/>
    <col min="11" max="11" width="15.28515625" bestFit="1" customWidth="1"/>
    <col min="12" max="12" width="12.7109375" bestFit="1" customWidth="1"/>
    <col min="13" max="13" width="15" bestFit="1" customWidth="1"/>
    <col min="14" max="14" width="15.7109375" bestFit="1" customWidth="1"/>
    <col min="15" max="15" width="16.5703125" bestFit="1" customWidth="1"/>
    <col min="16" max="16" width="19.85546875" bestFit="1" customWidth="1"/>
    <col min="17" max="17" width="21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12</v>
      </c>
      <c r="L1" s="1" t="s">
        <v>59</v>
      </c>
      <c r="M1" s="1" t="s">
        <v>17</v>
      </c>
      <c r="N1" s="1" t="s">
        <v>18</v>
      </c>
      <c r="O1" s="1" t="s">
        <v>60</v>
      </c>
      <c r="P1" s="1" t="s">
        <v>61</v>
      </c>
      <c r="Q1" s="1" t="s">
        <v>62</v>
      </c>
    </row>
    <row r="2" spans="1:17" x14ac:dyDescent="0.25">
      <c r="A2" t="s">
        <v>22</v>
      </c>
      <c r="B2">
        <v>8812322</v>
      </c>
      <c r="C2" t="s">
        <v>30</v>
      </c>
      <c r="D2" t="s">
        <v>37</v>
      </c>
      <c r="E2" t="s">
        <v>43</v>
      </c>
      <c r="F2" t="str">
        <f>CONCATENATE(D2, " ",E2)</f>
        <v>Patricia Buckley</v>
      </c>
      <c r="G2" t="s">
        <v>46</v>
      </c>
      <c r="H2" t="s">
        <v>48</v>
      </c>
      <c r="I2" t="s">
        <v>50</v>
      </c>
      <c r="J2" t="s">
        <v>52</v>
      </c>
      <c r="K2" t="s">
        <v>63</v>
      </c>
      <c r="L2">
        <v>65.45</v>
      </c>
      <c r="M2">
        <v>100</v>
      </c>
      <c r="N2" s="2">
        <v>0.25</v>
      </c>
      <c r="O2">
        <v>9</v>
      </c>
      <c r="P2">
        <v>147.24</v>
      </c>
      <c r="Q2" t="s">
        <v>64</v>
      </c>
    </row>
    <row r="3" spans="1:17" x14ac:dyDescent="0.25">
      <c r="A3" t="s">
        <v>22</v>
      </c>
      <c r="B3">
        <v>8812322</v>
      </c>
      <c r="C3" t="s">
        <v>29</v>
      </c>
      <c r="D3" t="s">
        <v>36</v>
      </c>
      <c r="E3" t="s">
        <v>42</v>
      </c>
      <c r="F3" t="str">
        <f>CONCATENATE(D3, " ",E3)</f>
        <v>Kelly Mcmorrow</v>
      </c>
      <c r="G3" t="s">
        <v>46</v>
      </c>
      <c r="H3" t="s">
        <v>48</v>
      </c>
      <c r="I3" t="s">
        <v>50</v>
      </c>
      <c r="J3" t="s">
        <v>52</v>
      </c>
      <c r="K3" t="s">
        <v>63</v>
      </c>
      <c r="L3">
        <v>56.5</v>
      </c>
      <c r="M3">
        <v>100</v>
      </c>
      <c r="N3" s="2">
        <v>0.25</v>
      </c>
      <c r="O3">
        <v>9</v>
      </c>
      <c r="P3">
        <v>127.17</v>
      </c>
      <c r="Q3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>
      <selection activeCell="M11" sqref="M11"/>
    </sheetView>
  </sheetViews>
  <sheetFormatPr defaultRowHeight="15" x14ac:dyDescent="0.25"/>
  <cols>
    <col min="1" max="1" width="23.140625" bestFit="1" customWidth="1"/>
    <col min="2" max="2" width="15.28515625" bestFit="1" customWidth="1"/>
    <col min="3" max="3" width="7.85546875" bestFit="1" customWidth="1"/>
  </cols>
  <sheetData>
    <row r="1" spans="1:3" x14ac:dyDescent="0.25">
      <c r="A1" s="1" t="s">
        <v>62</v>
      </c>
      <c r="B1" s="1" t="s">
        <v>12</v>
      </c>
      <c r="C1" s="1" t="s">
        <v>65</v>
      </c>
    </row>
    <row r="2" spans="1:3" x14ac:dyDescent="0.25">
      <c r="A2" s="1" t="s">
        <v>66</v>
      </c>
      <c r="B2" t="s">
        <v>67</v>
      </c>
      <c r="C2">
        <v>1050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 Year Commission</vt:lpstr>
      <vt:lpstr>First Year Overwrites</vt:lpstr>
      <vt:lpstr>Advance Paybacks</vt:lpstr>
      <vt:lpstr>Advances - Paid Advances</vt:lpstr>
      <vt:lpstr>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Janki Patel</cp:lastModifiedBy>
  <dcterms:created xsi:type="dcterms:W3CDTF">2025-11-17T03:03:16Z</dcterms:created>
  <dcterms:modified xsi:type="dcterms:W3CDTF">2025-11-20T15:08:49Z</dcterms:modified>
</cp:coreProperties>
</file>