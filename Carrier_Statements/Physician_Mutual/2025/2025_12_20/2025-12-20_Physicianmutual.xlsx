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12-20-25\"/>
    </mc:Choice>
  </mc:AlternateContent>
  <xr:revisionPtr revIDLastSave="0" documentId="13_ncr:1_{1CE29D23-5D2A-4628-A871-AC2F7A873921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81029"/>
</workbook>
</file>

<file path=xl/calcChain.xml><?xml version="1.0" encoding="utf-8"?>
<calcChain xmlns="http://schemas.openxmlformats.org/spreadsheetml/2006/main">
  <c r="D13" i="5" l="1"/>
  <c r="D14" i="5"/>
  <c r="D15" i="5"/>
  <c r="D16" i="5"/>
  <c r="D17" i="5"/>
  <c r="D18" i="5"/>
  <c r="D19" i="5"/>
  <c r="D20" i="5"/>
  <c r="D21" i="5"/>
  <c r="D22" i="5"/>
  <c r="D1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" i="5"/>
</calcChain>
</file>

<file path=xl/sharedStrings.xml><?xml version="1.0" encoding="utf-8"?>
<sst xmlns="http://schemas.openxmlformats.org/spreadsheetml/2006/main" count="817" uniqueCount="125">
  <si>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</si>
  <si>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</si>
  <si>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</si>
  <si>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</si>
  <si>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</si>
  <si>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</si>
  <si>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</si>
  <si>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</si>
  <si>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</si>
  <si>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</si>
  <si>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</si>
  <si>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</si>
  <si>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</si>
  <si>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</si>
  <si>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</si>
  <si>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</si>
  <si>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</si>
  <si>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</si>
  <si>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</si>
  <si>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</si>
  <si>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</si>
  <si>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</si>
  <si>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</si>
  <si>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Green Danna null</t>
  </si>
  <si>
    <t>Shapiro Robert null</t>
  </si>
  <si>
    <t>19491313</t>
  </si>
  <si>
    <t>8812322</t>
  </si>
  <si>
    <t>16849453</t>
  </si>
  <si>
    <t>7565575</t>
  </si>
  <si>
    <t>H750092058</t>
  </si>
  <si>
    <t>H750083517</t>
  </si>
  <si>
    <t>H750075022</t>
  </si>
  <si>
    <t>H711024011</t>
  </si>
  <si>
    <t>H750070465</t>
  </si>
  <si>
    <t>H750083520</t>
  </si>
  <si>
    <t>H711080848</t>
  </si>
  <si>
    <t>H711067626</t>
  </si>
  <si>
    <t>H711083511</t>
  </si>
  <si>
    <t>H750091114</t>
  </si>
  <si>
    <t>H750077920</t>
  </si>
  <si>
    <t>Robert</t>
  </si>
  <si>
    <t>Alan</t>
  </si>
  <si>
    <t>Kerry</t>
  </si>
  <si>
    <t>Michael</t>
  </si>
  <si>
    <t>Paula</t>
  </si>
  <si>
    <t>Hannah</t>
  </si>
  <si>
    <t>Kelly</t>
  </si>
  <si>
    <t>Brandon</t>
  </si>
  <si>
    <t>Gerrod</t>
  </si>
  <si>
    <t>James</t>
  </si>
  <si>
    <t>Leighty</t>
  </si>
  <si>
    <t>Kercher</t>
  </si>
  <si>
    <t>Morrison</t>
  </si>
  <si>
    <t>Mcclellan</t>
  </si>
  <si>
    <t>Minton</t>
  </si>
  <si>
    <t>Mcmorrow</t>
  </si>
  <si>
    <t>Greene</t>
  </si>
  <si>
    <t>Lambrecht</t>
  </si>
  <si>
    <t>Andre</t>
  </si>
  <si>
    <t>S06600001</t>
  </si>
  <si>
    <t>P15400002</t>
  </si>
  <si>
    <t>Medicare Supplement</t>
  </si>
  <si>
    <t>Dental</t>
  </si>
  <si>
    <t>OH</t>
  </si>
  <si>
    <t>IL</t>
  </si>
  <si>
    <t>IN</t>
  </si>
  <si>
    <t>2025-12-15</t>
  </si>
  <si>
    <t>2025-12-19</t>
  </si>
  <si>
    <t>2026-02-01</t>
  </si>
  <si>
    <t>2026-01-15</t>
  </si>
  <si>
    <t>65</t>
  </si>
  <si>
    <t>69</t>
  </si>
  <si>
    <t>64</t>
  </si>
  <si>
    <t>26</t>
  </si>
  <si>
    <t>59</t>
  </si>
  <si>
    <t>27</t>
  </si>
  <si>
    <t>50</t>
  </si>
  <si>
    <t>MONTHLY</t>
  </si>
  <si>
    <t>RCVP</t>
  </si>
  <si>
    <t>1</t>
  </si>
  <si>
    <t>3</t>
  </si>
  <si>
    <t>4</t>
  </si>
  <si>
    <t>6</t>
  </si>
  <si>
    <t>2</t>
  </si>
  <si>
    <t>143.78</t>
  </si>
  <si>
    <t>136.22</t>
  </si>
  <si>
    <t>120.26</t>
  </si>
  <si>
    <t>62.17</t>
  </si>
  <si>
    <t>121.96</t>
  </si>
  <si>
    <t>123.24</t>
  </si>
  <si>
    <t>65.45</t>
  </si>
  <si>
    <t>56.50</t>
  </si>
  <si>
    <t>333.95</t>
  </si>
  <si>
    <t>162.10</t>
  </si>
  <si>
    <t>0.00</t>
  </si>
  <si>
    <t>166.99</t>
  </si>
  <si>
    <t>100.00000</t>
  </si>
  <si>
    <t>21.00%</t>
  </si>
  <si>
    <t>25.00%</t>
  </si>
  <si>
    <t>23.20%</t>
  </si>
  <si>
    <t>20.80%</t>
  </si>
  <si>
    <t>Y</t>
  </si>
  <si>
    <t>N</t>
  </si>
  <si>
    <t>2.80%</t>
  </si>
  <si>
    <t>9.50%</t>
  </si>
  <si>
    <t>0.80%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</si>
  <si>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</si>
  <si>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</si>
  <si>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</si>
  <si>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</si>
  <si>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</si>
  <si>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</si>
  <si>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</si>
  <si>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12</t>
  </si>
  <si>
    <t>9</t>
  </si>
  <si>
    <t>Issue Advance Request</t>
  </si>
  <si>
    <t>Green Danna</t>
  </si>
  <si>
    <t>Main Line Benefits</t>
  </si>
  <si>
    <t>Physician Mutual OVR</t>
  </si>
  <si>
    <t>Open Enrollment - States Where Available</t>
  </si>
  <si>
    <t>Physician Mutual Medsupp IN</t>
  </si>
  <si>
    <t>Standard Dental</t>
  </si>
  <si>
    <t>RN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</si>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</sst>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2" borderId="0" xfId="0" applyNumberFormat="1" applyFill="1"/>
    <xf numFmtId="10" fontId="0" fillId="2" borderId="0" xfId="0" applyNumberFormat="1" applyFill="1"/>
    <xf numFmtId="14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10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>
      <selection activeCell="A14" sqref="A14:XFD24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25</v>
      </c>
      <c r="C2" t="s">
        <v>29</v>
      </c>
      <c r="D2" t="s">
        <v>40</v>
      </c>
      <c r="E2" t="s">
        <v>50</v>
      </c>
      <c r="F2" t="s">
        <v>59</v>
      </c>
      <c r="G2" t="s">
        <v>61</v>
      </c>
      <c r="H2" t="s">
        <v>63</v>
      </c>
      <c r="I2" s="2">
        <v>46023</v>
      </c>
      <c r="J2" s="2">
        <v>46054</v>
      </c>
      <c r="K2" t="s">
        <v>70</v>
      </c>
      <c r="L2" t="s">
        <v>77</v>
      </c>
      <c r="M2" t="s">
        <v>78</v>
      </c>
      <c r="N2" t="s">
        <v>79</v>
      </c>
      <c r="O2" t="s">
        <v>84</v>
      </c>
      <c r="P2" t="s">
        <v>94</v>
      </c>
      <c r="Q2" t="s">
        <v>84</v>
      </c>
      <c r="R2" t="s">
        <v>96</v>
      </c>
      <c r="S2" t="s">
        <v>97</v>
      </c>
      <c r="T2">
        <v>30.19</v>
      </c>
      <c r="U2" t="s">
        <v>101</v>
      </c>
    </row>
    <row r="3" spans="1:21" x14ac:dyDescent="0.25">
      <c r="A3" t="s">
        <v>21</v>
      </c>
      <c r="B3" t="s">
        <v>25</v>
      </c>
      <c r="C3" t="s">
        <v>30</v>
      </c>
      <c r="D3" t="s">
        <v>41</v>
      </c>
      <c r="E3" t="s">
        <v>51</v>
      </c>
      <c r="F3" t="s">
        <v>59</v>
      </c>
      <c r="G3" t="s">
        <v>61</v>
      </c>
      <c r="H3" t="s">
        <v>63</v>
      </c>
      <c r="I3" s="2">
        <v>45962</v>
      </c>
      <c r="J3" s="2">
        <v>46054</v>
      </c>
      <c r="K3" t="s">
        <v>70</v>
      </c>
      <c r="L3" t="s">
        <v>77</v>
      </c>
      <c r="M3" t="s">
        <v>78</v>
      </c>
      <c r="N3" t="s">
        <v>80</v>
      </c>
      <c r="O3" t="s">
        <v>85</v>
      </c>
      <c r="P3" t="s">
        <v>94</v>
      </c>
      <c r="Q3" t="s">
        <v>85</v>
      </c>
      <c r="R3" t="s">
        <v>96</v>
      </c>
      <c r="S3" t="s">
        <v>97</v>
      </c>
      <c r="T3">
        <v>28.61</v>
      </c>
      <c r="U3" t="s">
        <v>101</v>
      </c>
    </row>
    <row r="4" spans="1:21" x14ac:dyDescent="0.25">
      <c r="A4" t="s">
        <v>21</v>
      </c>
      <c r="B4" t="s">
        <v>25</v>
      </c>
      <c r="C4" t="s">
        <v>31</v>
      </c>
      <c r="D4" t="s">
        <v>42</v>
      </c>
      <c r="E4" t="s">
        <v>52</v>
      </c>
      <c r="F4" t="s">
        <v>59</v>
      </c>
      <c r="G4" t="s">
        <v>61</v>
      </c>
      <c r="H4" t="s">
        <v>63</v>
      </c>
      <c r="I4" s="2">
        <v>45931</v>
      </c>
      <c r="J4" s="2">
        <v>46054</v>
      </c>
      <c r="K4" t="s">
        <v>71</v>
      </c>
      <c r="L4" t="s">
        <v>77</v>
      </c>
      <c r="M4" t="s">
        <v>78</v>
      </c>
      <c r="N4" t="s">
        <v>81</v>
      </c>
      <c r="O4" t="s">
        <v>86</v>
      </c>
      <c r="P4" t="s">
        <v>94</v>
      </c>
      <c r="Q4" t="s">
        <v>86</v>
      </c>
      <c r="R4" t="s">
        <v>96</v>
      </c>
      <c r="S4" t="s">
        <v>97</v>
      </c>
      <c r="T4">
        <v>25.25</v>
      </c>
      <c r="U4" t="s">
        <v>101</v>
      </c>
    </row>
    <row r="5" spans="1:21" x14ac:dyDescent="0.25">
      <c r="A5" t="s">
        <v>21</v>
      </c>
      <c r="B5" t="s">
        <v>25</v>
      </c>
      <c r="C5" t="s">
        <v>32</v>
      </c>
      <c r="D5" t="s">
        <v>43</v>
      </c>
      <c r="E5" t="s">
        <v>53</v>
      </c>
      <c r="F5" t="s">
        <v>60</v>
      </c>
      <c r="G5" t="s">
        <v>62</v>
      </c>
      <c r="H5" t="s">
        <v>63</v>
      </c>
      <c r="I5" s="2">
        <v>45870</v>
      </c>
      <c r="J5" s="2">
        <v>46054</v>
      </c>
      <c r="K5" t="s">
        <v>72</v>
      </c>
      <c r="L5" t="s">
        <v>77</v>
      </c>
      <c r="M5" t="s">
        <v>78</v>
      </c>
      <c r="N5" t="s">
        <v>82</v>
      </c>
      <c r="O5" t="s">
        <v>87</v>
      </c>
      <c r="P5" t="s">
        <v>94</v>
      </c>
      <c r="Q5" t="s">
        <v>87</v>
      </c>
      <c r="R5" t="s">
        <v>96</v>
      </c>
      <c r="S5" t="s">
        <v>98</v>
      </c>
      <c r="T5">
        <v>15.54</v>
      </c>
      <c r="U5" t="s">
        <v>102</v>
      </c>
    </row>
    <row r="6" spans="1:21" x14ac:dyDescent="0.25">
      <c r="A6" t="s">
        <v>21</v>
      </c>
      <c r="B6" t="s">
        <v>25</v>
      </c>
      <c r="C6" t="s">
        <v>33</v>
      </c>
      <c r="D6" t="s">
        <v>43</v>
      </c>
      <c r="E6" t="s">
        <v>53</v>
      </c>
      <c r="F6" t="s">
        <v>59</v>
      </c>
      <c r="G6" t="s">
        <v>61</v>
      </c>
      <c r="H6" t="s">
        <v>63</v>
      </c>
      <c r="I6" s="2">
        <v>45870</v>
      </c>
      <c r="J6" s="2">
        <v>46054</v>
      </c>
      <c r="K6" t="s">
        <v>70</v>
      </c>
      <c r="L6" t="s">
        <v>77</v>
      </c>
      <c r="M6" t="s">
        <v>78</v>
      </c>
      <c r="N6" t="s">
        <v>82</v>
      </c>
      <c r="O6" t="s">
        <v>88</v>
      </c>
      <c r="P6" t="s">
        <v>94</v>
      </c>
      <c r="Q6" t="s">
        <v>88</v>
      </c>
      <c r="R6" t="s">
        <v>96</v>
      </c>
      <c r="S6" t="s">
        <v>97</v>
      </c>
      <c r="T6">
        <v>25.61</v>
      </c>
      <c r="U6" t="s">
        <v>102</v>
      </c>
    </row>
    <row r="7" spans="1:21" x14ac:dyDescent="0.25">
      <c r="A7" t="s">
        <v>21</v>
      </c>
      <c r="B7" t="s">
        <v>25</v>
      </c>
      <c r="C7" t="s">
        <v>34</v>
      </c>
      <c r="D7" t="s">
        <v>44</v>
      </c>
      <c r="E7" t="s">
        <v>51</v>
      </c>
      <c r="F7" t="s">
        <v>59</v>
      </c>
      <c r="G7" t="s">
        <v>61</v>
      </c>
      <c r="H7" t="s">
        <v>63</v>
      </c>
      <c r="I7" s="2">
        <v>45962</v>
      </c>
      <c r="J7" s="2">
        <v>46054</v>
      </c>
      <c r="K7" t="s">
        <v>70</v>
      </c>
      <c r="L7" t="s">
        <v>77</v>
      </c>
      <c r="M7" t="s">
        <v>78</v>
      </c>
      <c r="N7" t="s">
        <v>80</v>
      </c>
      <c r="O7" t="s">
        <v>89</v>
      </c>
      <c r="P7" t="s">
        <v>94</v>
      </c>
      <c r="Q7" t="s">
        <v>89</v>
      </c>
      <c r="R7" t="s">
        <v>96</v>
      </c>
      <c r="S7" t="s">
        <v>97</v>
      </c>
      <c r="T7">
        <v>25.88</v>
      </c>
      <c r="U7" t="s">
        <v>101</v>
      </c>
    </row>
    <row r="8" spans="1:21" x14ac:dyDescent="0.25">
      <c r="A8" t="s">
        <v>22</v>
      </c>
      <c r="B8" t="s">
        <v>26</v>
      </c>
      <c r="C8" t="s">
        <v>35</v>
      </c>
      <c r="D8" t="s">
        <v>45</v>
      </c>
      <c r="E8" t="s">
        <v>54</v>
      </c>
      <c r="F8" t="s">
        <v>60</v>
      </c>
      <c r="G8" t="s">
        <v>62</v>
      </c>
      <c r="H8" t="s">
        <v>64</v>
      </c>
      <c r="I8" s="2">
        <v>46023</v>
      </c>
      <c r="J8" s="2">
        <v>46054</v>
      </c>
      <c r="K8" t="s">
        <v>73</v>
      </c>
      <c r="L8" t="s">
        <v>77</v>
      </c>
      <c r="M8" t="s">
        <v>78</v>
      </c>
      <c r="N8" t="s">
        <v>79</v>
      </c>
      <c r="O8" t="s">
        <v>90</v>
      </c>
      <c r="P8" t="s">
        <v>94</v>
      </c>
      <c r="Q8" t="s">
        <v>90</v>
      </c>
      <c r="R8" t="s">
        <v>96</v>
      </c>
      <c r="S8" t="s">
        <v>98</v>
      </c>
      <c r="T8">
        <v>16.36</v>
      </c>
      <c r="U8" t="s">
        <v>101</v>
      </c>
    </row>
    <row r="9" spans="1:21" x14ac:dyDescent="0.25">
      <c r="A9" t="s">
        <v>22</v>
      </c>
      <c r="B9" t="s">
        <v>26</v>
      </c>
      <c r="C9" t="s">
        <v>36</v>
      </c>
      <c r="D9" t="s">
        <v>46</v>
      </c>
      <c r="E9" t="s">
        <v>55</v>
      </c>
      <c r="F9" t="s">
        <v>60</v>
      </c>
      <c r="G9" t="s">
        <v>62</v>
      </c>
      <c r="H9" t="s">
        <v>64</v>
      </c>
      <c r="I9" s="2">
        <v>45976</v>
      </c>
      <c r="J9" s="2">
        <v>46037</v>
      </c>
      <c r="K9" t="s">
        <v>74</v>
      </c>
      <c r="L9" t="s">
        <v>77</v>
      </c>
      <c r="M9" t="s">
        <v>78</v>
      </c>
      <c r="N9" t="s">
        <v>83</v>
      </c>
      <c r="O9" t="s">
        <v>91</v>
      </c>
      <c r="P9" t="s">
        <v>94</v>
      </c>
      <c r="Q9" t="s">
        <v>91</v>
      </c>
      <c r="R9" t="s">
        <v>96</v>
      </c>
      <c r="S9" t="s">
        <v>98</v>
      </c>
      <c r="T9">
        <v>14.13</v>
      </c>
      <c r="U9" t="s">
        <v>101</v>
      </c>
    </row>
    <row r="10" spans="1:21" x14ac:dyDescent="0.25">
      <c r="A10" t="s">
        <v>22</v>
      </c>
      <c r="B10" t="s">
        <v>26</v>
      </c>
      <c r="C10" t="s">
        <v>37</v>
      </c>
      <c r="D10" t="s">
        <v>47</v>
      </c>
      <c r="E10" t="s">
        <v>56</v>
      </c>
      <c r="F10" t="s">
        <v>60</v>
      </c>
      <c r="G10" t="s">
        <v>62</v>
      </c>
      <c r="H10" t="s">
        <v>64</v>
      </c>
      <c r="I10" s="2">
        <v>46023</v>
      </c>
      <c r="J10" s="2">
        <v>46054</v>
      </c>
      <c r="K10" t="s">
        <v>75</v>
      </c>
      <c r="L10" t="s">
        <v>77</v>
      </c>
      <c r="M10" t="s">
        <v>78</v>
      </c>
      <c r="N10" t="s">
        <v>79</v>
      </c>
      <c r="O10" t="s">
        <v>90</v>
      </c>
      <c r="P10" t="s">
        <v>94</v>
      </c>
      <c r="Q10" t="s">
        <v>90</v>
      </c>
      <c r="R10" t="s">
        <v>96</v>
      </c>
      <c r="S10" t="s">
        <v>98</v>
      </c>
      <c r="T10">
        <v>16.36</v>
      </c>
      <c r="U10" t="s">
        <v>101</v>
      </c>
    </row>
    <row r="11" spans="1:21" x14ac:dyDescent="0.25">
      <c r="A11" t="s">
        <v>23</v>
      </c>
      <c r="B11" t="s">
        <v>27</v>
      </c>
      <c r="C11" t="s">
        <v>38</v>
      </c>
      <c r="D11" t="s">
        <v>48</v>
      </c>
      <c r="E11" t="s">
        <v>57</v>
      </c>
      <c r="F11" t="s">
        <v>59</v>
      </c>
      <c r="G11" t="s">
        <v>61</v>
      </c>
      <c r="H11" t="s">
        <v>65</v>
      </c>
      <c r="I11" s="2">
        <v>46023</v>
      </c>
      <c r="J11" s="2">
        <v>46054</v>
      </c>
      <c r="K11" t="s">
        <v>76</v>
      </c>
      <c r="L11" t="s">
        <v>77</v>
      </c>
      <c r="M11" t="s">
        <v>78</v>
      </c>
      <c r="N11" t="s">
        <v>79</v>
      </c>
      <c r="O11" t="s">
        <v>92</v>
      </c>
      <c r="P11" t="s">
        <v>94</v>
      </c>
      <c r="Q11" t="s">
        <v>95</v>
      </c>
      <c r="R11" t="s">
        <v>96</v>
      </c>
      <c r="S11" t="s">
        <v>99</v>
      </c>
      <c r="T11">
        <v>38.74</v>
      </c>
      <c r="U11" t="s">
        <v>101</v>
      </c>
    </row>
    <row r="12" spans="1:21" x14ac:dyDescent="0.25">
      <c r="A12" t="s">
        <v>24</v>
      </c>
      <c r="B12" t="s">
        <v>28</v>
      </c>
      <c r="C12" t="s">
        <v>39</v>
      </c>
      <c r="D12" t="s">
        <v>49</v>
      </c>
      <c r="E12" t="s">
        <v>58</v>
      </c>
      <c r="F12" t="s">
        <v>59</v>
      </c>
      <c r="G12" t="s">
        <v>61</v>
      </c>
      <c r="H12" t="s">
        <v>64</v>
      </c>
      <c r="I12" s="2">
        <v>45962</v>
      </c>
      <c r="J12" s="2">
        <v>46054</v>
      </c>
      <c r="K12" t="s">
        <v>70</v>
      </c>
      <c r="L12" t="s">
        <v>77</v>
      </c>
      <c r="M12" t="s">
        <v>78</v>
      </c>
      <c r="N12" t="s">
        <v>80</v>
      </c>
      <c r="O12" t="s">
        <v>93</v>
      </c>
      <c r="P12" t="s">
        <v>94</v>
      </c>
      <c r="Q12" t="s">
        <v>93</v>
      </c>
      <c r="R12" t="s">
        <v>96</v>
      </c>
      <c r="S12" t="s">
        <v>100</v>
      </c>
      <c r="T12">
        <v>33.72</v>
      </c>
      <c r="U12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E1C9-CC15-41A1-B63B-970F6860E6FC}">
  <dimension ref="A1:R22"/>
  <sheetViews>
    <sheetView tabSelected="1" workbookViewId="0">
      <selection activeCell="L26" sqref="L26"/>
    </sheetView>
  </sheetViews>
  <sheetFormatPr defaultRowHeight="15" x14ac:dyDescent="0.25"/>
  <cols>
    <col min="1" max="1" width="19.28515625" customWidth="1"/>
    <col min="2" max="2" width="12.5703125" customWidth="1"/>
    <col min="3" max="3" width="13.7109375" bestFit="1" customWidth="1"/>
    <col min="4" max="4" width="13.7109375" customWidth="1"/>
    <col min="5" max="5" width="9.42578125" customWidth="1"/>
    <col min="6" max="6" width="11.85546875" customWidth="1"/>
    <col min="7" max="7" width="14" bestFit="1" customWidth="1"/>
    <col min="8" max="8" width="20.85546875" bestFit="1" customWidth="1"/>
    <col min="9" max="9" width="5.42578125" bestFit="1" customWidth="1"/>
    <col min="10" max="10" width="15.140625" bestFit="1" customWidth="1"/>
    <col min="11" max="11" width="11.140625" bestFit="1" customWidth="1"/>
    <col min="12" max="14" width="7.85546875" customWidth="1"/>
    <col min="15" max="15" width="10.28515625" customWidth="1"/>
    <col min="16" max="16" width="15.7109375" bestFit="1" customWidth="1"/>
    <col min="17" max="17" width="19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13</v>
      </c>
      <c r="M1" s="1"/>
      <c r="N1" s="1"/>
      <c r="O1" s="1" t="s">
        <v>16</v>
      </c>
      <c r="P1" s="1" t="s">
        <v>18</v>
      </c>
      <c r="Q1" s="1" t="s">
        <v>19</v>
      </c>
    </row>
    <row r="2" spans="1:18" x14ac:dyDescent="0.25">
      <c r="A2" t="s">
        <v>21</v>
      </c>
      <c r="B2" s="3">
        <v>19491313</v>
      </c>
      <c r="C2" t="s">
        <v>29</v>
      </c>
      <c r="D2" t="s">
        <v>29</v>
      </c>
      <c r="E2" t="s">
        <v>40</v>
      </c>
      <c r="F2" t="s">
        <v>50</v>
      </c>
      <c r="G2" t="str">
        <f>CONCATENATE(E2," ",F2)</f>
        <v>Robert Leighty</v>
      </c>
      <c r="H2" t="s">
        <v>61</v>
      </c>
      <c r="I2" t="s">
        <v>63</v>
      </c>
      <c r="J2" s="2">
        <v>46023</v>
      </c>
      <c r="K2" s="2">
        <v>46054</v>
      </c>
      <c r="L2" s="3">
        <f>DATEDIF(J2,K2,"M")</f>
        <v>1</v>
      </c>
      <c r="M2" s="3" t="s">
        <v>122</v>
      </c>
      <c r="N2" s="3" t="s">
        <v>123</v>
      </c>
      <c r="O2" s="3">
        <v>143.78</v>
      </c>
      <c r="P2" s="4">
        <v>0.21</v>
      </c>
      <c r="Q2">
        <v>30.19</v>
      </c>
      <c r="R2" t="s">
        <v>119</v>
      </c>
    </row>
    <row r="3" spans="1:18" x14ac:dyDescent="0.25">
      <c r="A3" t="s">
        <v>21</v>
      </c>
      <c r="B3" s="3">
        <v>19491313</v>
      </c>
      <c r="C3" t="s">
        <v>30</v>
      </c>
      <c r="D3" t="s">
        <v>30</v>
      </c>
      <c r="E3" t="s">
        <v>41</v>
      </c>
      <c r="F3" t="s">
        <v>51</v>
      </c>
      <c r="G3" t="str">
        <f t="shared" ref="G3:G22" si="0">CONCATENATE(E3," ",F3)</f>
        <v>Alan Kercher</v>
      </c>
      <c r="H3" t="s">
        <v>61</v>
      </c>
      <c r="I3" t="s">
        <v>63</v>
      </c>
      <c r="J3" s="2">
        <v>45962</v>
      </c>
      <c r="K3" s="2">
        <v>46054</v>
      </c>
      <c r="L3" s="3">
        <f t="shared" ref="L3:L22" si="1">DATEDIF(J3,K3,"M")</f>
        <v>3</v>
      </c>
      <c r="M3" s="3" t="s">
        <v>122</v>
      </c>
      <c r="N3" s="3" t="s">
        <v>123</v>
      </c>
      <c r="O3" s="3">
        <v>136.22</v>
      </c>
      <c r="P3" s="4">
        <v>0.21</v>
      </c>
      <c r="Q3">
        <v>28.61</v>
      </c>
      <c r="R3" t="s">
        <v>119</v>
      </c>
    </row>
    <row r="4" spans="1:18" x14ac:dyDescent="0.25">
      <c r="A4" t="s">
        <v>21</v>
      </c>
      <c r="B4" s="3">
        <v>19491313</v>
      </c>
      <c r="C4" t="s">
        <v>31</v>
      </c>
      <c r="D4" t="s">
        <v>31</v>
      </c>
      <c r="E4" t="s">
        <v>42</v>
      </c>
      <c r="F4" t="s">
        <v>52</v>
      </c>
      <c r="G4" t="str">
        <f t="shared" si="0"/>
        <v>Kerry Morrison</v>
      </c>
      <c r="H4" t="s">
        <v>61</v>
      </c>
      <c r="I4" t="s">
        <v>63</v>
      </c>
      <c r="J4" s="2">
        <v>45931</v>
      </c>
      <c r="K4" s="2">
        <v>46054</v>
      </c>
      <c r="L4" s="3">
        <f t="shared" si="1"/>
        <v>4</v>
      </c>
      <c r="M4" s="3" t="s">
        <v>122</v>
      </c>
      <c r="N4" s="3" t="s">
        <v>123</v>
      </c>
      <c r="O4" s="3">
        <v>120.26</v>
      </c>
      <c r="P4" s="4">
        <v>0.21</v>
      </c>
      <c r="Q4">
        <v>25.25</v>
      </c>
      <c r="R4" t="s">
        <v>119</v>
      </c>
    </row>
    <row r="5" spans="1:18" x14ac:dyDescent="0.25">
      <c r="A5" t="s">
        <v>21</v>
      </c>
      <c r="B5" s="3">
        <v>19491313</v>
      </c>
      <c r="C5" t="s">
        <v>33</v>
      </c>
      <c r="D5" t="s">
        <v>33</v>
      </c>
      <c r="E5" t="s">
        <v>43</v>
      </c>
      <c r="F5" t="s">
        <v>53</v>
      </c>
      <c r="G5" t="str">
        <f t="shared" si="0"/>
        <v>Michael Mcclellan</v>
      </c>
      <c r="H5" t="s">
        <v>61</v>
      </c>
      <c r="I5" t="s">
        <v>63</v>
      </c>
      <c r="J5" s="2">
        <v>45870</v>
      </c>
      <c r="K5" s="2">
        <v>46054</v>
      </c>
      <c r="L5" s="3">
        <f t="shared" si="1"/>
        <v>6</v>
      </c>
      <c r="M5" s="3" t="s">
        <v>122</v>
      </c>
      <c r="N5" s="3" t="s">
        <v>123</v>
      </c>
      <c r="O5" s="3">
        <v>121.96</v>
      </c>
      <c r="P5" s="4">
        <v>0.21</v>
      </c>
      <c r="Q5">
        <v>25.61</v>
      </c>
      <c r="R5" t="s">
        <v>119</v>
      </c>
    </row>
    <row r="6" spans="1:18" x14ac:dyDescent="0.25">
      <c r="A6" t="s">
        <v>21</v>
      </c>
      <c r="B6" s="3">
        <v>19491313</v>
      </c>
      <c r="C6" t="s">
        <v>34</v>
      </c>
      <c r="D6" t="s">
        <v>34</v>
      </c>
      <c r="E6" t="s">
        <v>44</v>
      </c>
      <c r="F6" t="s">
        <v>51</v>
      </c>
      <c r="G6" t="str">
        <f t="shared" si="0"/>
        <v>Paula Kercher</v>
      </c>
      <c r="H6" t="s">
        <v>61</v>
      </c>
      <c r="I6" t="s">
        <v>63</v>
      </c>
      <c r="J6" s="2">
        <v>45962</v>
      </c>
      <c r="K6" s="2">
        <v>46054</v>
      </c>
      <c r="L6" s="3">
        <f t="shared" si="1"/>
        <v>3</v>
      </c>
      <c r="M6" s="3" t="s">
        <v>122</v>
      </c>
      <c r="N6" s="3" t="s">
        <v>123</v>
      </c>
      <c r="O6" s="3">
        <v>123.24</v>
      </c>
      <c r="P6" s="4">
        <v>0.21</v>
      </c>
      <c r="Q6">
        <v>25.88</v>
      </c>
      <c r="R6" t="s">
        <v>119</v>
      </c>
    </row>
    <row r="7" spans="1:18" x14ac:dyDescent="0.25">
      <c r="A7" t="s">
        <v>21</v>
      </c>
      <c r="B7" s="3">
        <v>19491313</v>
      </c>
      <c r="C7" t="s">
        <v>32</v>
      </c>
      <c r="D7" t="s">
        <v>32</v>
      </c>
      <c r="E7" t="s">
        <v>43</v>
      </c>
      <c r="F7" t="s">
        <v>53</v>
      </c>
      <c r="G7" t="str">
        <f t="shared" si="0"/>
        <v>Michael Mcclellan</v>
      </c>
      <c r="H7" t="s">
        <v>62</v>
      </c>
      <c r="I7" t="s">
        <v>63</v>
      </c>
      <c r="J7" s="2">
        <v>45870</v>
      </c>
      <c r="K7" s="2">
        <v>46054</v>
      </c>
      <c r="L7" s="3">
        <f t="shared" si="1"/>
        <v>6</v>
      </c>
      <c r="M7" s="3" t="s">
        <v>122</v>
      </c>
      <c r="N7" s="3" t="s">
        <v>123</v>
      </c>
      <c r="O7" s="3">
        <v>62.17</v>
      </c>
      <c r="P7" s="4">
        <v>0.25</v>
      </c>
      <c r="Q7">
        <v>15.54</v>
      </c>
      <c r="R7" t="s">
        <v>121</v>
      </c>
    </row>
    <row r="8" spans="1:18" s="5" customFormat="1" x14ac:dyDescent="0.25">
      <c r="A8" s="5" t="s">
        <v>116</v>
      </c>
      <c r="B8" s="6">
        <v>16849453</v>
      </c>
      <c r="C8" s="5" t="s">
        <v>38</v>
      </c>
      <c r="D8" s="5" t="s">
        <v>38</v>
      </c>
      <c r="E8" s="5" t="s">
        <v>48</v>
      </c>
      <c r="F8" s="5" t="s">
        <v>57</v>
      </c>
      <c r="G8" s="5" t="str">
        <f t="shared" si="0"/>
        <v>Gerrod Lambrecht</v>
      </c>
      <c r="H8" s="5" t="s">
        <v>61</v>
      </c>
      <c r="I8" s="5" t="s">
        <v>65</v>
      </c>
      <c r="J8" s="8">
        <v>46023</v>
      </c>
      <c r="K8" s="8">
        <v>46054</v>
      </c>
      <c r="L8" s="6">
        <f t="shared" si="1"/>
        <v>1</v>
      </c>
      <c r="M8" s="6" t="s">
        <v>122</v>
      </c>
      <c r="N8" s="6" t="s">
        <v>124</v>
      </c>
      <c r="O8" s="6">
        <v>166.99</v>
      </c>
      <c r="P8" s="7">
        <v>0.23200000000000001</v>
      </c>
      <c r="Q8" s="5">
        <v>38.74</v>
      </c>
      <c r="R8" s="5" t="s">
        <v>120</v>
      </c>
    </row>
    <row r="9" spans="1:18" s="5" customFormat="1" x14ac:dyDescent="0.25">
      <c r="A9" s="5" t="s">
        <v>22</v>
      </c>
      <c r="B9" s="6">
        <v>8812322</v>
      </c>
      <c r="C9" s="5" t="s">
        <v>35</v>
      </c>
      <c r="D9" s="5" t="s">
        <v>35</v>
      </c>
      <c r="E9" s="5" t="s">
        <v>45</v>
      </c>
      <c r="F9" s="5" t="s">
        <v>54</v>
      </c>
      <c r="G9" s="5" t="str">
        <f t="shared" si="0"/>
        <v>Hannah Minton</v>
      </c>
      <c r="H9" s="5" t="s">
        <v>62</v>
      </c>
      <c r="I9" s="5" t="s">
        <v>64</v>
      </c>
      <c r="J9" s="8">
        <v>46023</v>
      </c>
      <c r="K9" s="8">
        <v>46054</v>
      </c>
      <c r="L9" s="6">
        <f t="shared" si="1"/>
        <v>1</v>
      </c>
      <c r="M9" s="6" t="s">
        <v>122</v>
      </c>
      <c r="N9" s="6" t="s">
        <v>124</v>
      </c>
      <c r="O9" s="6">
        <v>65.45</v>
      </c>
      <c r="P9" s="7">
        <v>0.25</v>
      </c>
      <c r="Q9" s="5">
        <v>16.36</v>
      </c>
      <c r="R9" s="5" t="s">
        <v>121</v>
      </c>
    </row>
    <row r="10" spans="1:18" s="5" customFormat="1" x14ac:dyDescent="0.25">
      <c r="A10" s="5" t="s">
        <v>22</v>
      </c>
      <c r="B10" s="6">
        <v>8812322</v>
      </c>
      <c r="C10" s="5" t="s">
        <v>36</v>
      </c>
      <c r="D10" s="5" t="s">
        <v>36</v>
      </c>
      <c r="E10" s="5" t="s">
        <v>46</v>
      </c>
      <c r="F10" s="5" t="s">
        <v>55</v>
      </c>
      <c r="G10" s="5" t="str">
        <f t="shared" si="0"/>
        <v>Kelly Mcmorrow</v>
      </c>
      <c r="H10" s="5" t="s">
        <v>62</v>
      </c>
      <c r="I10" s="5" t="s">
        <v>64</v>
      </c>
      <c r="J10" s="8">
        <v>45976</v>
      </c>
      <c r="K10" s="8">
        <v>46037</v>
      </c>
      <c r="L10" s="6">
        <f t="shared" si="1"/>
        <v>2</v>
      </c>
      <c r="M10" s="6" t="s">
        <v>122</v>
      </c>
      <c r="N10" s="6" t="s">
        <v>124</v>
      </c>
      <c r="O10" s="6">
        <v>56.5</v>
      </c>
      <c r="P10" s="7">
        <v>0.25</v>
      </c>
      <c r="Q10" s="5">
        <v>14.13</v>
      </c>
      <c r="R10" s="5" t="s">
        <v>121</v>
      </c>
    </row>
    <row r="11" spans="1:18" s="5" customFormat="1" x14ac:dyDescent="0.25">
      <c r="A11" s="5" t="s">
        <v>22</v>
      </c>
      <c r="B11" s="6">
        <v>8812322</v>
      </c>
      <c r="C11" s="5" t="s">
        <v>37</v>
      </c>
      <c r="D11" s="5" t="s">
        <v>37</v>
      </c>
      <c r="E11" s="5" t="s">
        <v>47</v>
      </c>
      <c r="F11" s="5" t="s">
        <v>56</v>
      </c>
      <c r="G11" s="5" t="str">
        <f t="shared" si="0"/>
        <v>Brandon Greene</v>
      </c>
      <c r="H11" s="5" t="s">
        <v>62</v>
      </c>
      <c r="I11" s="5" t="s">
        <v>64</v>
      </c>
      <c r="J11" s="8">
        <v>46023</v>
      </c>
      <c r="K11" s="8">
        <v>46054</v>
      </c>
      <c r="L11" s="6">
        <f t="shared" si="1"/>
        <v>1</v>
      </c>
      <c r="M11" s="6" t="s">
        <v>122</v>
      </c>
      <c r="N11" s="6" t="s">
        <v>124</v>
      </c>
      <c r="O11" s="6">
        <v>65.45</v>
      </c>
      <c r="P11" s="7">
        <v>0.25</v>
      </c>
      <c r="Q11" s="5">
        <v>16.36</v>
      </c>
      <c r="R11" s="5" t="s">
        <v>121</v>
      </c>
    </row>
    <row r="12" spans="1:18" s="9" customFormat="1" x14ac:dyDescent="0.25">
      <c r="A12" s="9" t="s">
        <v>117</v>
      </c>
      <c r="B12" s="9">
        <v>20411454</v>
      </c>
      <c r="C12" s="9" t="s">
        <v>29</v>
      </c>
      <c r="D12" s="9" t="str">
        <f>CONCATENATE(C12,"OVR")</f>
        <v>H750092058OVR</v>
      </c>
      <c r="E12" s="9" t="s">
        <v>40</v>
      </c>
      <c r="F12" s="9" t="s">
        <v>50</v>
      </c>
      <c r="G12" t="str">
        <f t="shared" si="0"/>
        <v>Robert Leighty</v>
      </c>
      <c r="H12" s="9" t="s">
        <v>61</v>
      </c>
      <c r="I12" s="9" t="s">
        <v>63</v>
      </c>
      <c r="J12" s="10">
        <v>46023</v>
      </c>
      <c r="K12" s="10">
        <v>46054</v>
      </c>
      <c r="L12" s="3">
        <f t="shared" si="1"/>
        <v>1</v>
      </c>
      <c r="M12" s="3" t="s">
        <v>122</v>
      </c>
      <c r="N12" s="3" t="s">
        <v>123</v>
      </c>
      <c r="O12" s="9">
        <v>4.03</v>
      </c>
      <c r="P12" s="11">
        <v>2.8000000000000001E-2</v>
      </c>
      <c r="Q12" s="9">
        <v>4.03</v>
      </c>
      <c r="R12" s="9" t="s">
        <v>118</v>
      </c>
    </row>
    <row r="13" spans="1:18" s="9" customFormat="1" x14ac:dyDescent="0.25">
      <c r="A13" s="9" t="s">
        <v>117</v>
      </c>
      <c r="B13" s="9">
        <v>20411454</v>
      </c>
      <c r="C13" s="9" t="s">
        <v>30</v>
      </c>
      <c r="D13" s="9" t="str">
        <f t="shared" ref="D13:D22" si="2">CONCATENATE(C13,"OVR")</f>
        <v>H750083517OVR</v>
      </c>
      <c r="E13" s="9" t="s">
        <v>41</v>
      </c>
      <c r="F13" s="9" t="s">
        <v>51</v>
      </c>
      <c r="G13" t="str">
        <f t="shared" si="0"/>
        <v>Alan Kercher</v>
      </c>
      <c r="H13" s="9" t="s">
        <v>61</v>
      </c>
      <c r="I13" s="9" t="s">
        <v>63</v>
      </c>
      <c r="J13" s="10">
        <v>45962</v>
      </c>
      <c r="K13" s="10">
        <v>46054</v>
      </c>
      <c r="L13" s="3">
        <f t="shared" si="1"/>
        <v>3</v>
      </c>
      <c r="M13" s="3" t="s">
        <v>122</v>
      </c>
      <c r="N13" s="3" t="s">
        <v>123</v>
      </c>
      <c r="O13" s="9">
        <v>3.81</v>
      </c>
      <c r="P13" s="11">
        <v>2.8000000000000001E-2</v>
      </c>
      <c r="Q13" s="9">
        <v>3.81</v>
      </c>
      <c r="R13" s="9" t="s">
        <v>118</v>
      </c>
    </row>
    <row r="14" spans="1:18" s="9" customFormat="1" x14ac:dyDescent="0.25">
      <c r="A14" s="9" t="s">
        <v>117</v>
      </c>
      <c r="B14" s="9">
        <v>20411454</v>
      </c>
      <c r="C14" s="9" t="s">
        <v>31</v>
      </c>
      <c r="D14" s="9" t="str">
        <f t="shared" si="2"/>
        <v>H750075022OVR</v>
      </c>
      <c r="E14" s="9" t="s">
        <v>42</v>
      </c>
      <c r="F14" s="9" t="s">
        <v>52</v>
      </c>
      <c r="G14" t="str">
        <f t="shared" si="0"/>
        <v>Kerry Morrison</v>
      </c>
      <c r="H14" s="9" t="s">
        <v>61</v>
      </c>
      <c r="I14" s="9" t="s">
        <v>63</v>
      </c>
      <c r="J14" s="10">
        <v>45931</v>
      </c>
      <c r="K14" s="10">
        <v>46054</v>
      </c>
      <c r="L14" s="3">
        <f t="shared" si="1"/>
        <v>4</v>
      </c>
      <c r="M14" s="3" t="s">
        <v>122</v>
      </c>
      <c r="N14" s="3" t="s">
        <v>123</v>
      </c>
      <c r="O14" s="9">
        <v>3.37</v>
      </c>
      <c r="P14" s="11">
        <v>2.8000000000000001E-2</v>
      </c>
      <c r="Q14" s="9">
        <v>3.37</v>
      </c>
      <c r="R14" s="9" t="s">
        <v>118</v>
      </c>
    </row>
    <row r="15" spans="1:18" s="9" customFormat="1" x14ac:dyDescent="0.25">
      <c r="A15" s="9" t="s">
        <v>117</v>
      </c>
      <c r="B15" s="9">
        <v>20411454</v>
      </c>
      <c r="C15" s="9" t="s">
        <v>32</v>
      </c>
      <c r="D15" s="9" t="str">
        <f t="shared" si="2"/>
        <v>H711024011OVR</v>
      </c>
      <c r="E15" s="9" t="s">
        <v>43</v>
      </c>
      <c r="F15" s="9" t="s">
        <v>53</v>
      </c>
      <c r="G15" t="str">
        <f t="shared" si="0"/>
        <v>Michael Mcclellan</v>
      </c>
      <c r="H15" s="9" t="s">
        <v>62</v>
      </c>
      <c r="I15" s="9" t="s">
        <v>63</v>
      </c>
      <c r="J15" s="10">
        <v>45870</v>
      </c>
      <c r="K15" s="10">
        <v>46054</v>
      </c>
      <c r="L15" s="3">
        <f t="shared" si="1"/>
        <v>6</v>
      </c>
      <c r="M15" s="3" t="s">
        <v>122</v>
      </c>
      <c r="N15" s="3" t="s">
        <v>123</v>
      </c>
      <c r="O15" s="9">
        <v>5.91</v>
      </c>
      <c r="P15" s="11">
        <v>9.5000000000000001E-2</v>
      </c>
      <c r="Q15" s="9">
        <v>5.91</v>
      </c>
      <c r="R15" s="9" t="s">
        <v>118</v>
      </c>
    </row>
    <row r="16" spans="1:18" s="9" customFormat="1" x14ac:dyDescent="0.25">
      <c r="A16" s="9" t="s">
        <v>117</v>
      </c>
      <c r="B16" s="9">
        <v>20411454</v>
      </c>
      <c r="C16" s="9" t="s">
        <v>33</v>
      </c>
      <c r="D16" s="9" t="str">
        <f t="shared" si="2"/>
        <v>H750070465OVR</v>
      </c>
      <c r="E16" s="9" t="s">
        <v>43</v>
      </c>
      <c r="F16" s="9" t="s">
        <v>53</v>
      </c>
      <c r="G16" t="str">
        <f t="shared" si="0"/>
        <v>Michael Mcclellan</v>
      </c>
      <c r="H16" s="9" t="s">
        <v>61</v>
      </c>
      <c r="I16" s="9" t="s">
        <v>63</v>
      </c>
      <c r="J16" s="10">
        <v>45870</v>
      </c>
      <c r="K16" s="10">
        <v>46054</v>
      </c>
      <c r="L16" s="3">
        <f t="shared" si="1"/>
        <v>6</v>
      </c>
      <c r="M16" s="3" t="s">
        <v>122</v>
      </c>
      <c r="N16" s="3" t="s">
        <v>123</v>
      </c>
      <c r="O16" s="9">
        <v>3.41</v>
      </c>
      <c r="P16" s="11">
        <v>2.8000000000000001E-2</v>
      </c>
      <c r="Q16" s="9">
        <v>3.41</v>
      </c>
      <c r="R16" s="9" t="s">
        <v>118</v>
      </c>
    </row>
    <row r="17" spans="1:18" s="9" customFormat="1" x14ac:dyDescent="0.25">
      <c r="A17" s="9" t="s">
        <v>117</v>
      </c>
      <c r="B17" s="9">
        <v>20411454</v>
      </c>
      <c r="C17" s="9" t="s">
        <v>34</v>
      </c>
      <c r="D17" s="9" t="str">
        <f t="shared" si="2"/>
        <v>H750083520OVR</v>
      </c>
      <c r="E17" s="9" t="s">
        <v>44</v>
      </c>
      <c r="F17" s="9" t="s">
        <v>51</v>
      </c>
      <c r="G17" t="str">
        <f t="shared" si="0"/>
        <v>Paula Kercher</v>
      </c>
      <c r="H17" s="9" t="s">
        <v>61</v>
      </c>
      <c r="I17" s="9" t="s">
        <v>63</v>
      </c>
      <c r="J17" s="10">
        <v>45962</v>
      </c>
      <c r="K17" s="10">
        <v>46054</v>
      </c>
      <c r="L17" s="3">
        <f t="shared" si="1"/>
        <v>3</v>
      </c>
      <c r="M17" s="3" t="s">
        <v>122</v>
      </c>
      <c r="N17" s="3" t="s">
        <v>123</v>
      </c>
      <c r="O17" s="9">
        <v>3.45</v>
      </c>
      <c r="P17" s="11">
        <v>2.8000000000000001E-2</v>
      </c>
      <c r="Q17" s="9">
        <v>3.45</v>
      </c>
      <c r="R17" s="9" t="s">
        <v>118</v>
      </c>
    </row>
    <row r="18" spans="1:18" s="9" customFormat="1" x14ac:dyDescent="0.25">
      <c r="A18" s="9" t="s">
        <v>117</v>
      </c>
      <c r="B18" s="9">
        <v>20411454</v>
      </c>
      <c r="C18" s="9" t="s">
        <v>35</v>
      </c>
      <c r="D18" s="9" t="str">
        <f t="shared" si="2"/>
        <v>H711080848OVR</v>
      </c>
      <c r="E18" s="9" t="s">
        <v>45</v>
      </c>
      <c r="F18" s="9" t="s">
        <v>54</v>
      </c>
      <c r="G18" t="str">
        <f t="shared" si="0"/>
        <v>Hannah Minton</v>
      </c>
      <c r="H18" s="9" t="s">
        <v>62</v>
      </c>
      <c r="I18" s="9" t="s">
        <v>64</v>
      </c>
      <c r="J18" s="10">
        <v>46023</v>
      </c>
      <c r="K18" s="10">
        <v>46054</v>
      </c>
      <c r="L18" s="3">
        <f t="shared" si="1"/>
        <v>1</v>
      </c>
      <c r="M18" s="3" t="s">
        <v>122</v>
      </c>
      <c r="N18" s="3" t="s">
        <v>123</v>
      </c>
      <c r="O18" s="9">
        <v>6.22</v>
      </c>
      <c r="P18" s="11">
        <v>9.5000000000000001E-2</v>
      </c>
      <c r="Q18" s="9">
        <v>6.22</v>
      </c>
      <c r="R18" s="9" t="s">
        <v>118</v>
      </c>
    </row>
    <row r="19" spans="1:18" s="9" customFormat="1" x14ac:dyDescent="0.25">
      <c r="A19" s="9" t="s">
        <v>117</v>
      </c>
      <c r="B19" s="9">
        <v>20411454</v>
      </c>
      <c r="C19" s="9" t="s">
        <v>36</v>
      </c>
      <c r="D19" s="9" t="str">
        <f t="shared" si="2"/>
        <v>H711067626OVR</v>
      </c>
      <c r="E19" s="9" t="s">
        <v>46</v>
      </c>
      <c r="F19" s="9" t="s">
        <v>55</v>
      </c>
      <c r="G19" t="str">
        <f t="shared" si="0"/>
        <v>Kelly Mcmorrow</v>
      </c>
      <c r="H19" s="9" t="s">
        <v>62</v>
      </c>
      <c r="I19" s="9" t="s">
        <v>64</v>
      </c>
      <c r="J19" s="10">
        <v>45976</v>
      </c>
      <c r="K19" s="10">
        <v>46037</v>
      </c>
      <c r="L19" s="3">
        <f t="shared" si="1"/>
        <v>2</v>
      </c>
      <c r="M19" s="3" t="s">
        <v>122</v>
      </c>
      <c r="N19" s="3" t="s">
        <v>123</v>
      </c>
      <c r="O19" s="9">
        <v>5.37</v>
      </c>
      <c r="P19" s="11">
        <v>9.5000000000000001E-2</v>
      </c>
      <c r="Q19" s="9">
        <v>5.37</v>
      </c>
      <c r="R19" s="9" t="s">
        <v>118</v>
      </c>
    </row>
    <row r="20" spans="1:18" s="9" customFormat="1" x14ac:dyDescent="0.25">
      <c r="A20" s="9" t="s">
        <v>117</v>
      </c>
      <c r="B20" s="9">
        <v>20411454</v>
      </c>
      <c r="C20" s="9" t="s">
        <v>37</v>
      </c>
      <c r="D20" s="9" t="str">
        <f t="shared" si="2"/>
        <v>H711083511OVR</v>
      </c>
      <c r="E20" s="9" t="s">
        <v>47</v>
      </c>
      <c r="F20" s="9" t="s">
        <v>56</v>
      </c>
      <c r="G20" t="str">
        <f t="shared" si="0"/>
        <v>Brandon Greene</v>
      </c>
      <c r="H20" s="9" t="s">
        <v>62</v>
      </c>
      <c r="I20" s="9" t="s">
        <v>64</v>
      </c>
      <c r="J20" s="10">
        <v>46023</v>
      </c>
      <c r="K20" s="10">
        <v>46054</v>
      </c>
      <c r="L20" s="3">
        <f t="shared" si="1"/>
        <v>1</v>
      </c>
      <c r="M20" s="3" t="s">
        <v>122</v>
      </c>
      <c r="N20" s="3" t="s">
        <v>123</v>
      </c>
      <c r="O20" s="9">
        <v>6.22</v>
      </c>
      <c r="P20" s="11">
        <v>9.5000000000000001E-2</v>
      </c>
      <c r="Q20" s="9">
        <v>6.22</v>
      </c>
      <c r="R20" s="9" t="s">
        <v>118</v>
      </c>
    </row>
    <row r="21" spans="1:18" s="9" customFormat="1" x14ac:dyDescent="0.25">
      <c r="A21" s="9" t="s">
        <v>117</v>
      </c>
      <c r="B21" s="9">
        <v>20411454</v>
      </c>
      <c r="C21" s="9" t="s">
        <v>38</v>
      </c>
      <c r="D21" s="9" t="str">
        <f t="shared" si="2"/>
        <v>H750091114OVR</v>
      </c>
      <c r="E21" s="9" t="s">
        <v>48</v>
      </c>
      <c r="F21" s="9" t="s">
        <v>57</v>
      </c>
      <c r="G21" t="str">
        <f t="shared" si="0"/>
        <v>Gerrod Lambrecht</v>
      </c>
      <c r="H21" s="9" t="s">
        <v>61</v>
      </c>
      <c r="I21" s="9" t="s">
        <v>65</v>
      </c>
      <c r="J21" s="10">
        <v>46023</v>
      </c>
      <c r="K21" s="10">
        <v>46054</v>
      </c>
      <c r="L21" s="3">
        <f t="shared" si="1"/>
        <v>1</v>
      </c>
      <c r="M21" s="3" t="s">
        <v>122</v>
      </c>
      <c r="N21" s="3" t="s">
        <v>123</v>
      </c>
      <c r="O21" s="9">
        <v>1.34</v>
      </c>
      <c r="P21" s="11">
        <v>8.0000000000000002E-3</v>
      </c>
      <c r="Q21" s="9">
        <v>1.34</v>
      </c>
      <c r="R21" s="9" t="s">
        <v>118</v>
      </c>
    </row>
    <row r="22" spans="1:18" s="9" customFormat="1" x14ac:dyDescent="0.25">
      <c r="A22" s="9" t="s">
        <v>117</v>
      </c>
      <c r="B22" s="9">
        <v>20411454</v>
      </c>
      <c r="C22" s="9" t="s">
        <v>39</v>
      </c>
      <c r="D22" s="9" t="str">
        <f t="shared" si="2"/>
        <v>H750077920OVR</v>
      </c>
      <c r="E22" s="9" t="s">
        <v>49</v>
      </c>
      <c r="F22" s="9" t="s">
        <v>58</v>
      </c>
      <c r="G22" t="str">
        <f t="shared" si="0"/>
        <v>James Andre</v>
      </c>
      <c r="H22" s="9" t="s">
        <v>61</v>
      </c>
      <c r="I22" s="9" t="s">
        <v>64</v>
      </c>
      <c r="J22" s="10">
        <v>45962</v>
      </c>
      <c r="K22" s="10">
        <v>46054</v>
      </c>
      <c r="L22" s="3">
        <f t="shared" si="1"/>
        <v>3</v>
      </c>
      <c r="M22" s="3" t="s">
        <v>122</v>
      </c>
      <c r="N22" s="3" t="s">
        <v>123</v>
      </c>
      <c r="O22" s="9">
        <v>4.54</v>
      </c>
      <c r="P22" s="11">
        <v>2.8000000000000001E-2</v>
      </c>
      <c r="Q22" s="9">
        <v>4.54</v>
      </c>
      <c r="R22" s="9" t="s">
        <v>118</v>
      </c>
    </row>
  </sheetData>
  <sortState xmlns:xlrd2="http://schemas.microsoft.com/office/spreadsheetml/2017/richdata2" ref="A2:Y11">
    <sortCondition ref="A2:A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workbookViewId="0">
      <selection activeCell="A2" sqref="A2:XFD12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25</v>
      </c>
      <c r="C2" t="s">
        <v>29</v>
      </c>
      <c r="D2" t="s">
        <v>40</v>
      </c>
      <c r="E2" t="s">
        <v>50</v>
      </c>
      <c r="F2" t="s">
        <v>59</v>
      </c>
      <c r="G2" t="s">
        <v>61</v>
      </c>
      <c r="H2" t="s">
        <v>63</v>
      </c>
      <c r="I2" t="s">
        <v>66</v>
      </c>
      <c r="J2" t="s">
        <v>68</v>
      </c>
      <c r="K2" t="s">
        <v>70</v>
      </c>
      <c r="L2" t="s">
        <v>77</v>
      </c>
      <c r="M2" t="s">
        <v>78</v>
      </c>
      <c r="N2" t="s">
        <v>79</v>
      </c>
      <c r="O2" t="s">
        <v>84</v>
      </c>
      <c r="P2" t="s">
        <v>94</v>
      </c>
      <c r="Q2" t="s">
        <v>84</v>
      </c>
      <c r="R2" t="s">
        <v>96</v>
      </c>
      <c r="S2" t="s">
        <v>103</v>
      </c>
      <c r="T2">
        <v>4.03</v>
      </c>
    </row>
    <row r="3" spans="1:20" x14ac:dyDescent="0.25">
      <c r="A3" t="s">
        <v>21</v>
      </c>
      <c r="B3" t="s">
        <v>25</v>
      </c>
      <c r="C3" t="s">
        <v>30</v>
      </c>
      <c r="D3" t="s">
        <v>41</v>
      </c>
      <c r="E3" t="s">
        <v>51</v>
      </c>
      <c r="F3" t="s">
        <v>59</v>
      </c>
      <c r="G3" t="s">
        <v>61</v>
      </c>
      <c r="H3" t="s">
        <v>63</v>
      </c>
      <c r="I3" t="s">
        <v>66</v>
      </c>
      <c r="J3" t="s">
        <v>68</v>
      </c>
      <c r="K3" t="s">
        <v>70</v>
      </c>
      <c r="L3" t="s">
        <v>77</v>
      </c>
      <c r="M3" t="s">
        <v>78</v>
      </c>
      <c r="N3" t="s">
        <v>80</v>
      </c>
      <c r="O3" t="s">
        <v>85</v>
      </c>
      <c r="P3" t="s">
        <v>94</v>
      </c>
      <c r="Q3" t="s">
        <v>85</v>
      </c>
      <c r="R3" t="s">
        <v>96</v>
      </c>
      <c r="S3" t="s">
        <v>103</v>
      </c>
      <c r="T3">
        <v>3.81</v>
      </c>
    </row>
    <row r="4" spans="1:20" x14ac:dyDescent="0.25">
      <c r="A4" t="s">
        <v>21</v>
      </c>
      <c r="B4" t="s">
        <v>25</v>
      </c>
      <c r="C4" t="s">
        <v>31</v>
      </c>
      <c r="D4" t="s">
        <v>42</v>
      </c>
      <c r="E4" t="s">
        <v>52</v>
      </c>
      <c r="F4" t="s">
        <v>59</v>
      </c>
      <c r="G4" t="s">
        <v>61</v>
      </c>
      <c r="H4" t="s">
        <v>63</v>
      </c>
      <c r="I4" t="s">
        <v>66</v>
      </c>
      <c r="J4" t="s">
        <v>68</v>
      </c>
      <c r="K4" t="s">
        <v>71</v>
      </c>
      <c r="L4" t="s">
        <v>77</v>
      </c>
      <c r="M4" t="s">
        <v>78</v>
      </c>
      <c r="N4" t="s">
        <v>81</v>
      </c>
      <c r="O4" t="s">
        <v>86</v>
      </c>
      <c r="P4" t="s">
        <v>94</v>
      </c>
      <c r="Q4" t="s">
        <v>86</v>
      </c>
      <c r="R4" t="s">
        <v>96</v>
      </c>
      <c r="S4" t="s">
        <v>103</v>
      </c>
      <c r="T4">
        <v>3.37</v>
      </c>
    </row>
    <row r="5" spans="1:20" x14ac:dyDescent="0.25">
      <c r="A5" t="s">
        <v>21</v>
      </c>
      <c r="B5" t="s">
        <v>25</v>
      </c>
      <c r="C5" t="s">
        <v>32</v>
      </c>
      <c r="D5" t="s">
        <v>43</v>
      </c>
      <c r="E5" t="s">
        <v>53</v>
      </c>
      <c r="F5" t="s">
        <v>60</v>
      </c>
      <c r="G5" t="s">
        <v>62</v>
      </c>
      <c r="H5" t="s">
        <v>63</v>
      </c>
      <c r="I5" t="s">
        <v>66</v>
      </c>
      <c r="J5" t="s">
        <v>68</v>
      </c>
      <c r="K5" t="s">
        <v>72</v>
      </c>
      <c r="L5" t="s">
        <v>77</v>
      </c>
      <c r="M5" t="s">
        <v>78</v>
      </c>
      <c r="N5" t="s">
        <v>82</v>
      </c>
      <c r="O5" t="s">
        <v>87</v>
      </c>
      <c r="P5" t="s">
        <v>94</v>
      </c>
      <c r="Q5" t="s">
        <v>87</v>
      </c>
      <c r="R5" t="s">
        <v>96</v>
      </c>
      <c r="S5" t="s">
        <v>104</v>
      </c>
      <c r="T5">
        <v>5.91</v>
      </c>
    </row>
    <row r="6" spans="1:20" x14ac:dyDescent="0.25">
      <c r="A6" t="s">
        <v>21</v>
      </c>
      <c r="B6" t="s">
        <v>25</v>
      </c>
      <c r="C6" t="s">
        <v>33</v>
      </c>
      <c r="D6" t="s">
        <v>43</v>
      </c>
      <c r="E6" t="s">
        <v>53</v>
      </c>
      <c r="F6" t="s">
        <v>59</v>
      </c>
      <c r="G6" t="s">
        <v>61</v>
      </c>
      <c r="H6" t="s">
        <v>63</v>
      </c>
      <c r="I6" t="s">
        <v>66</v>
      </c>
      <c r="J6" t="s">
        <v>68</v>
      </c>
      <c r="K6" t="s">
        <v>70</v>
      </c>
      <c r="L6" t="s">
        <v>77</v>
      </c>
      <c r="M6" t="s">
        <v>78</v>
      </c>
      <c r="N6" t="s">
        <v>82</v>
      </c>
      <c r="O6" t="s">
        <v>88</v>
      </c>
      <c r="P6" t="s">
        <v>94</v>
      </c>
      <c r="Q6" t="s">
        <v>88</v>
      </c>
      <c r="R6" t="s">
        <v>96</v>
      </c>
      <c r="S6" t="s">
        <v>103</v>
      </c>
      <c r="T6">
        <v>3.41</v>
      </c>
    </row>
    <row r="7" spans="1:20" x14ac:dyDescent="0.25">
      <c r="A7" t="s">
        <v>21</v>
      </c>
      <c r="B7" t="s">
        <v>25</v>
      </c>
      <c r="C7" t="s">
        <v>34</v>
      </c>
      <c r="D7" t="s">
        <v>44</v>
      </c>
      <c r="E7" t="s">
        <v>51</v>
      </c>
      <c r="F7" t="s">
        <v>59</v>
      </c>
      <c r="G7" t="s">
        <v>61</v>
      </c>
      <c r="H7" t="s">
        <v>63</v>
      </c>
      <c r="I7" t="s">
        <v>66</v>
      </c>
      <c r="J7" t="s">
        <v>68</v>
      </c>
      <c r="K7" t="s">
        <v>70</v>
      </c>
      <c r="L7" t="s">
        <v>77</v>
      </c>
      <c r="M7" t="s">
        <v>78</v>
      </c>
      <c r="N7" t="s">
        <v>80</v>
      </c>
      <c r="O7" t="s">
        <v>89</v>
      </c>
      <c r="P7" t="s">
        <v>94</v>
      </c>
      <c r="Q7" t="s">
        <v>89</v>
      </c>
      <c r="R7" t="s">
        <v>96</v>
      </c>
      <c r="S7" t="s">
        <v>103</v>
      </c>
      <c r="T7">
        <v>3.45</v>
      </c>
    </row>
    <row r="8" spans="1:20" x14ac:dyDescent="0.25">
      <c r="A8" t="s">
        <v>22</v>
      </c>
      <c r="B8" t="s">
        <v>26</v>
      </c>
      <c r="C8" t="s">
        <v>35</v>
      </c>
      <c r="D8" t="s">
        <v>45</v>
      </c>
      <c r="E8" t="s">
        <v>54</v>
      </c>
      <c r="F8" t="s">
        <v>60</v>
      </c>
      <c r="G8" t="s">
        <v>62</v>
      </c>
      <c r="H8" t="s">
        <v>64</v>
      </c>
      <c r="I8" t="s">
        <v>66</v>
      </c>
      <c r="J8" t="s">
        <v>68</v>
      </c>
      <c r="K8" t="s">
        <v>73</v>
      </c>
      <c r="L8" t="s">
        <v>77</v>
      </c>
      <c r="M8" t="s">
        <v>78</v>
      </c>
      <c r="N8" t="s">
        <v>79</v>
      </c>
      <c r="O8" t="s">
        <v>90</v>
      </c>
      <c r="P8" t="s">
        <v>94</v>
      </c>
      <c r="Q8" t="s">
        <v>90</v>
      </c>
      <c r="R8" t="s">
        <v>96</v>
      </c>
      <c r="S8" t="s">
        <v>104</v>
      </c>
      <c r="T8">
        <v>6.22</v>
      </c>
    </row>
    <row r="9" spans="1:20" x14ac:dyDescent="0.25">
      <c r="A9" t="s">
        <v>22</v>
      </c>
      <c r="B9" t="s">
        <v>26</v>
      </c>
      <c r="C9" t="s">
        <v>36</v>
      </c>
      <c r="D9" t="s">
        <v>46</v>
      </c>
      <c r="E9" t="s">
        <v>55</v>
      </c>
      <c r="F9" t="s">
        <v>60</v>
      </c>
      <c r="G9" t="s">
        <v>62</v>
      </c>
      <c r="H9" t="s">
        <v>64</v>
      </c>
      <c r="I9" t="s">
        <v>66</v>
      </c>
      <c r="J9" t="s">
        <v>69</v>
      </c>
      <c r="K9" t="s">
        <v>74</v>
      </c>
      <c r="L9" t="s">
        <v>77</v>
      </c>
      <c r="M9" t="s">
        <v>78</v>
      </c>
      <c r="N9" t="s">
        <v>83</v>
      </c>
      <c r="O9" t="s">
        <v>91</v>
      </c>
      <c r="P9" t="s">
        <v>94</v>
      </c>
      <c r="Q9" t="s">
        <v>91</v>
      </c>
      <c r="R9" t="s">
        <v>96</v>
      </c>
      <c r="S9" t="s">
        <v>104</v>
      </c>
      <c r="T9">
        <v>5.37</v>
      </c>
    </row>
    <row r="10" spans="1:20" x14ac:dyDescent="0.25">
      <c r="A10" t="s">
        <v>22</v>
      </c>
      <c r="B10" t="s">
        <v>26</v>
      </c>
      <c r="C10" t="s">
        <v>37</v>
      </c>
      <c r="D10" t="s">
        <v>47</v>
      </c>
      <c r="E10" t="s">
        <v>56</v>
      </c>
      <c r="F10" t="s">
        <v>60</v>
      </c>
      <c r="G10" t="s">
        <v>62</v>
      </c>
      <c r="H10" t="s">
        <v>64</v>
      </c>
      <c r="I10" t="s">
        <v>67</v>
      </c>
      <c r="J10" t="s">
        <v>68</v>
      </c>
      <c r="K10" t="s">
        <v>75</v>
      </c>
      <c r="L10" t="s">
        <v>77</v>
      </c>
      <c r="M10" t="s">
        <v>78</v>
      </c>
      <c r="N10" t="s">
        <v>79</v>
      </c>
      <c r="O10" t="s">
        <v>90</v>
      </c>
      <c r="P10" t="s">
        <v>94</v>
      </c>
      <c r="Q10" t="s">
        <v>90</v>
      </c>
      <c r="R10" t="s">
        <v>96</v>
      </c>
      <c r="S10" t="s">
        <v>104</v>
      </c>
      <c r="T10">
        <v>6.22</v>
      </c>
    </row>
    <row r="11" spans="1:20" x14ac:dyDescent="0.25">
      <c r="A11" t="s">
        <v>23</v>
      </c>
      <c r="B11" t="s">
        <v>27</v>
      </c>
      <c r="C11" t="s">
        <v>38</v>
      </c>
      <c r="D11" t="s">
        <v>48</v>
      </c>
      <c r="E11" t="s">
        <v>57</v>
      </c>
      <c r="F11" t="s">
        <v>59</v>
      </c>
      <c r="G11" t="s">
        <v>61</v>
      </c>
      <c r="H11" t="s">
        <v>65</v>
      </c>
      <c r="I11" t="s">
        <v>67</v>
      </c>
      <c r="J11" t="s">
        <v>68</v>
      </c>
      <c r="K11" t="s">
        <v>76</v>
      </c>
      <c r="L11" t="s">
        <v>77</v>
      </c>
      <c r="M11" t="s">
        <v>78</v>
      </c>
      <c r="N11" t="s">
        <v>79</v>
      </c>
      <c r="O11" t="s">
        <v>92</v>
      </c>
      <c r="P11" t="s">
        <v>94</v>
      </c>
      <c r="Q11" t="s">
        <v>95</v>
      </c>
      <c r="R11" t="s">
        <v>96</v>
      </c>
      <c r="S11" t="s">
        <v>105</v>
      </c>
      <c r="T11">
        <v>1.34</v>
      </c>
    </row>
    <row r="12" spans="1:20" x14ac:dyDescent="0.25">
      <c r="A12" t="s">
        <v>24</v>
      </c>
      <c r="B12" t="s">
        <v>28</v>
      </c>
      <c r="C12" t="s">
        <v>39</v>
      </c>
      <c r="D12" t="s">
        <v>49</v>
      </c>
      <c r="E12" t="s">
        <v>58</v>
      </c>
      <c r="F12" t="s">
        <v>59</v>
      </c>
      <c r="G12" t="s">
        <v>61</v>
      </c>
      <c r="H12" t="s">
        <v>64</v>
      </c>
      <c r="I12" t="s">
        <v>66</v>
      </c>
      <c r="J12" t="s">
        <v>68</v>
      </c>
      <c r="K12" t="s">
        <v>70</v>
      </c>
      <c r="L12" t="s">
        <v>77</v>
      </c>
      <c r="M12" t="s">
        <v>78</v>
      </c>
      <c r="N12" t="s">
        <v>80</v>
      </c>
      <c r="O12" t="s">
        <v>93</v>
      </c>
      <c r="P12" t="s">
        <v>94</v>
      </c>
      <c r="Q12" t="s">
        <v>93</v>
      </c>
      <c r="R12" t="s">
        <v>96</v>
      </c>
      <c r="S12" t="s">
        <v>103</v>
      </c>
      <c r="T12">
        <v>4.54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106</v>
      </c>
    </row>
    <row r="2" spans="1:9" x14ac:dyDescent="0.25">
      <c r="A2" t="s">
        <v>35</v>
      </c>
      <c r="B2" t="s">
        <v>45</v>
      </c>
      <c r="C2" t="s">
        <v>54</v>
      </c>
      <c r="D2" t="s">
        <v>60</v>
      </c>
      <c r="E2" t="s">
        <v>62</v>
      </c>
      <c r="F2" t="s">
        <v>64</v>
      </c>
      <c r="G2" t="s">
        <v>66</v>
      </c>
      <c r="H2" t="s">
        <v>107</v>
      </c>
      <c r="I2">
        <v>-16.36</v>
      </c>
    </row>
    <row r="3" spans="1:9" x14ac:dyDescent="0.25">
      <c r="A3" t="s">
        <v>29</v>
      </c>
      <c r="B3" t="s">
        <v>40</v>
      </c>
      <c r="C3" t="s">
        <v>50</v>
      </c>
      <c r="D3" t="s">
        <v>59</v>
      </c>
      <c r="E3" t="s">
        <v>61</v>
      </c>
      <c r="F3" t="s">
        <v>63</v>
      </c>
      <c r="G3" t="s">
        <v>66</v>
      </c>
      <c r="H3" t="s">
        <v>107</v>
      </c>
      <c r="I3">
        <v>-30.19</v>
      </c>
    </row>
    <row r="4" spans="1:9" x14ac:dyDescent="0.25">
      <c r="A4" t="s">
        <v>30</v>
      </c>
      <c r="B4" t="s">
        <v>41</v>
      </c>
      <c r="C4" t="s">
        <v>51</v>
      </c>
      <c r="D4" t="s">
        <v>59</v>
      </c>
      <c r="E4" t="s">
        <v>61</v>
      </c>
      <c r="F4" t="s">
        <v>63</v>
      </c>
      <c r="G4" t="s">
        <v>66</v>
      </c>
      <c r="H4" t="s">
        <v>107</v>
      </c>
      <c r="I4">
        <v>-28.61</v>
      </c>
    </row>
    <row r="5" spans="1:9" x14ac:dyDescent="0.25">
      <c r="A5" t="s">
        <v>31</v>
      </c>
      <c r="B5" t="s">
        <v>42</v>
      </c>
      <c r="C5" t="s">
        <v>52</v>
      </c>
      <c r="D5" t="s">
        <v>59</v>
      </c>
      <c r="E5" t="s">
        <v>61</v>
      </c>
      <c r="F5" t="s">
        <v>63</v>
      </c>
      <c r="G5" t="s">
        <v>66</v>
      </c>
      <c r="H5" t="s">
        <v>107</v>
      </c>
      <c r="I5">
        <v>-25.25</v>
      </c>
    </row>
    <row r="6" spans="1:9" x14ac:dyDescent="0.25">
      <c r="A6" t="s">
        <v>39</v>
      </c>
      <c r="B6" t="s">
        <v>49</v>
      </c>
      <c r="C6" t="s">
        <v>58</v>
      </c>
      <c r="D6" t="s">
        <v>59</v>
      </c>
      <c r="E6" t="s">
        <v>61</v>
      </c>
      <c r="F6" t="s">
        <v>64</v>
      </c>
      <c r="G6" t="s">
        <v>66</v>
      </c>
      <c r="H6" t="s">
        <v>107</v>
      </c>
      <c r="I6">
        <v>-33.72</v>
      </c>
    </row>
    <row r="7" spans="1:9" x14ac:dyDescent="0.25">
      <c r="A7" t="s">
        <v>34</v>
      </c>
      <c r="B7" t="s">
        <v>44</v>
      </c>
      <c r="C7" t="s">
        <v>51</v>
      </c>
      <c r="D7" t="s">
        <v>59</v>
      </c>
      <c r="E7" t="s">
        <v>61</v>
      </c>
      <c r="F7" t="s">
        <v>63</v>
      </c>
      <c r="G7" t="s">
        <v>66</v>
      </c>
      <c r="H7" t="s">
        <v>107</v>
      </c>
      <c r="I7">
        <v>-25.88</v>
      </c>
    </row>
    <row r="8" spans="1:9" x14ac:dyDescent="0.25">
      <c r="A8" t="s">
        <v>36</v>
      </c>
      <c r="B8" t="s">
        <v>46</v>
      </c>
      <c r="C8" t="s">
        <v>55</v>
      </c>
      <c r="D8" t="s">
        <v>60</v>
      </c>
      <c r="E8" t="s">
        <v>62</v>
      </c>
      <c r="F8" t="s">
        <v>64</v>
      </c>
      <c r="G8" t="s">
        <v>66</v>
      </c>
      <c r="H8" t="s">
        <v>107</v>
      </c>
      <c r="I8">
        <v>-14.13</v>
      </c>
    </row>
    <row r="9" spans="1:9" x14ac:dyDescent="0.25">
      <c r="A9" t="s">
        <v>38</v>
      </c>
      <c r="B9" t="s">
        <v>48</v>
      </c>
      <c r="C9" t="s">
        <v>57</v>
      </c>
      <c r="D9" t="s">
        <v>59</v>
      </c>
      <c r="E9" t="s">
        <v>61</v>
      </c>
      <c r="F9" t="s">
        <v>65</v>
      </c>
      <c r="G9" t="s">
        <v>67</v>
      </c>
      <c r="H9" t="s">
        <v>107</v>
      </c>
      <c r="I9">
        <v>-38.74</v>
      </c>
    </row>
    <row r="10" spans="1:9" x14ac:dyDescent="0.25">
      <c r="A10" t="s">
        <v>37</v>
      </c>
      <c r="B10" t="s">
        <v>47</v>
      </c>
      <c r="C10" t="s">
        <v>56</v>
      </c>
      <c r="D10" t="s">
        <v>60</v>
      </c>
      <c r="E10" t="s">
        <v>62</v>
      </c>
      <c r="F10" t="s">
        <v>64</v>
      </c>
      <c r="G10" t="s">
        <v>67</v>
      </c>
      <c r="H10" t="s">
        <v>107</v>
      </c>
      <c r="I10">
        <v>-16.36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108</v>
      </c>
      <c r="L1" s="1" t="s">
        <v>17</v>
      </c>
      <c r="M1" s="1" t="s">
        <v>18</v>
      </c>
      <c r="N1" s="1" t="s">
        <v>109</v>
      </c>
      <c r="O1" s="1" t="s">
        <v>110</v>
      </c>
      <c r="P1" s="1" t="s">
        <v>111</v>
      </c>
    </row>
    <row r="2" spans="1:16" x14ac:dyDescent="0.25">
      <c r="A2" t="s">
        <v>21</v>
      </c>
      <c r="B2" t="s">
        <v>25</v>
      </c>
      <c r="C2" t="s">
        <v>29</v>
      </c>
      <c r="D2" t="s">
        <v>40</v>
      </c>
      <c r="E2" t="s">
        <v>50</v>
      </c>
      <c r="F2" t="s">
        <v>59</v>
      </c>
      <c r="G2" t="s">
        <v>61</v>
      </c>
      <c r="H2" t="s">
        <v>63</v>
      </c>
      <c r="I2" t="s">
        <v>66</v>
      </c>
      <c r="J2" t="s">
        <v>112</v>
      </c>
      <c r="K2" t="s">
        <v>84</v>
      </c>
      <c r="L2" t="s">
        <v>96</v>
      </c>
      <c r="M2" t="s">
        <v>97</v>
      </c>
      <c r="N2" t="s">
        <v>113</v>
      </c>
      <c r="O2">
        <v>362.28</v>
      </c>
      <c r="P2" t="s">
        <v>115</v>
      </c>
    </row>
    <row r="3" spans="1:16" x14ac:dyDescent="0.25">
      <c r="A3" t="s">
        <v>22</v>
      </c>
      <c r="B3" t="s">
        <v>26</v>
      </c>
      <c r="C3" t="s">
        <v>35</v>
      </c>
      <c r="D3" t="s">
        <v>45</v>
      </c>
      <c r="E3" t="s">
        <v>54</v>
      </c>
      <c r="F3" t="s">
        <v>60</v>
      </c>
      <c r="G3" t="s">
        <v>62</v>
      </c>
      <c r="H3" t="s">
        <v>64</v>
      </c>
      <c r="I3" t="s">
        <v>66</v>
      </c>
      <c r="J3" t="s">
        <v>112</v>
      </c>
      <c r="K3" t="s">
        <v>90</v>
      </c>
      <c r="L3" t="s">
        <v>96</v>
      </c>
      <c r="M3" t="s">
        <v>98</v>
      </c>
      <c r="N3" t="s">
        <v>114</v>
      </c>
      <c r="O3">
        <v>147.24</v>
      </c>
      <c r="P3" t="s">
        <v>115</v>
      </c>
    </row>
    <row r="4" spans="1:16" x14ac:dyDescent="0.25">
      <c r="A4" t="s">
        <v>22</v>
      </c>
      <c r="B4" t="s">
        <v>26</v>
      </c>
      <c r="C4" t="s">
        <v>37</v>
      </c>
      <c r="D4" t="s">
        <v>47</v>
      </c>
      <c r="E4" t="s">
        <v>56</v>
      </c>
      <c r="F4" t="s">
        <v>60</v>
      </c>
      <c r="G4" t="s">
        <v>62</v>
      </c>
      <c r="H4" t="s">
        <v>64</v>
      </c>
      <c r="I4" t="s">
        <v>67</v>
      </c>
      <c r="J4" t="s">
        <v>112</v>
      </c>
      <c r="K4" t="s">
        <v>90</v>
      </c>
      <c r="L4" t="s">
        <v>96</v>
      </c>
      <c r="M4" t="s">
        <v>98</v>
      </c>
      <c r="N4" t="s">
        <v>114</v>
      </c>
      <c r="O4">
        <v>147.24</v>
      </c>
      <c r="P4" t="s">
        <v>115</v>
      </c>
    </row>
    <row r="5" spans="1:16" x14ac:dyDescent="0.25">
      <c r="A5" t="s">
        <v>23</v>
      </c>
      <c r="B5" t="s">
        <v>27</v>
      </c>
      <c r="C5" t="s">
        <v>38</v>
      </c>
      <c r="D5" t="s">
        <v>48</v>
      </c>
      <c r="E5" t="s">
        <v>57</v>
      </c>
      <c r="F5" t="s">
        <v>59</v>
      </c>
      <c r="G5" t="s">
        <v>61</v>
      </c>
      <c r="H5" t="s">
        <v>65</v>
      </c>
      <c r="I5" t="s">
        <v>67</v>
      </c>
      <c r="J5" t="s">
        <v>112</v>
      </c>
      <c r="K5" t="s">
        <v>95</v>
      </c>
      <c r="L5" t="s">
        <v>96</v>
      </c>
      <c r="M5" t="s">
        <v>99</v>
      </c>
      <c r="N5" t="s">
        <v>113</v>
      </c>
      <c r="O5">
        <v>464.88</v>
      </c>
      <c r="P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2025-12-21T21:02:28Z</dcterms:created>
  <dcterms:modified xsi:type="dcterms:W3CDTF">2025-12-22T20:20:46Z</dcterms:modified>
</cp:coreProperties>
</file>