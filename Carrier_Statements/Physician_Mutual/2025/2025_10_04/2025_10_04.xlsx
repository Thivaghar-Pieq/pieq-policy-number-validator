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10-4-25\"/>
    </mc:Choice>
  </mc:AlternateContent>
  <xr:revisionPtr revIDLastSave="0" documentId="13_ncr:1_{C3C5EFEB-03DE-483C-B51E-D9DA765D6068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First Year Commission" sheetId="1" r:id="rId1"/>
    <sheet name="Advance Paybacks" sheetId="3" r:id="rId2"/>
    <sheet name="First Year Overwrites" sheetId="2" r:id="rId3"/>
  </sheets>
  <definedNames>
    <definedName name="_xlnm._FilterDatabase" localSheetId="1" hidden="1">'Advance Paybacks'!$A$1:$I$5</definedName>
    <definedName name="_xlnm._FilterDatabase" localSheetId="0">'First Year Commission'!$A$1:$T$10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2" i="1"/>
  <c r="F3" i="1"/>
  <c r="F8" i="1"/>
  <c r="F9" i="1"/>
  <c r="F10" i="1"/>
  <c r="F7" i="1"/>
  <c r="F5" i="1"/>
  <c r="F6" i="1"/>
  <c r="F4" i="1"/>
  <c r="D3" i="3"/>
  <c r="D4" i="3"/>
  <c r="D5" i="3"/>
  <c r="D2" i="3"/>
  <c r="G3" i="2"/>
  <c r="G4" i="2"/>
  <c r="G5" i="2"/>
  <c r="G6" i="2"/>
  <c r="G7" i="2"/>
  <c r="G8" i="2"/>
  <c r="G9" i="2"/>
  <c r="G10" i="2"/>
  <c r="G11" i="2"/>
  <c r="G2" i="2"/>
  <c r="D3" i="2"/>
  <c r="D4" i="2"/>
  <c r="D5" i="2"/>
  <c r="D6" i="2"/>
  <c r="D7" i="2"/>
  <c r="D8" i="2"/>
  <c r="D9" i="2"/>
  <c r="D10" i="2"/>
  <c r="D11" i="2"/>
  <c r="D2" i="2"/>
</calcChain>
</file>

<file path=xl/sharedStrings.xml><?xml version="1.0" encoding="utf-8"?>
<sst xmlns="http://schemas.openxmlformats.org/spreadsheetml/2006/main" count="242" uniqueCount="78">
  <si>
    <t>writingIntermediaryName</t>
  </si>
  <si>
    <t>writingIntermediaryNPN</t>
  </si>
  <si>
    <t>policyNumber</t>
  </si>
  <si>
    <t>policyOwner_firstName</t>
  </si>
  <si>
    <t>policyOwner_lastName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</si>
  <si>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</si>
  <si>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</si>
  <si>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</si>
  <si>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</si>
  <si>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</si>
  <si>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</si>
  <si>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</si>
  <si>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</si>
  <si>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</si>
  <si>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</si>
  <si>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</si>
  <si>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</si>
  <si>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</si>
  <si>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</si>
  <si>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</si>
  <si>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</si>
  <si>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 xml:space="preserve">Sherman Matthew </t>
  </si>
  <si>
    <t>Kucan Thomas null</t>
  </si>
  <si>
    <t>Green Danna null</t>
  </si>
  <si>
    <t>H750068245</t>
  </si>
  <si>
    <t>H750074387</t>
  </si>
  <si>
    <t>H711024512</t>
  </si>
  <si>
    <t>H750070618</t>
  </si>
  <si>
    <t>H711037504</t>
  </si>
  <si>
    <t>H750073946</t>
  </si>
  <si>
    <t>H750073872</t>
  </si>
  <si>
    <t>H711025485</t>
  </si>
  <si>
    <t>H711021314</t>
  </si>
  <si>
    <t>H711020958</t>
  </si>
  <si>
    <t>Ralph</t>
  </si>
  <si>
    <t>Thomas</t>
  </si>
  <si>
    <t>Daniel</t>
  </si>
  <si>
    <t>Edward</t>
  </si>
  <si>
    <t>Harlin</t>
  </si>
  <si>
    <t>Laura</t>
  </si>
  <si>
    <t>Shirley</t>
  </si>
  <si>
    <t>Connie</t>
  </si>
  <si>
    <t>Karen</t>
  </si>
  <si>
    <t>Gropper</t>
  </si>
  <si>
    <t>Benik</t>
  </si>
  <si>
    <t>Turner</t>
  </si>
  <si>
    <t>Kunkel</t>
  </si>
  <si>
    <t>Hill</t>
  </si>
  <si>
    <t>Perry</t>
  </si>
  <si>
    <t>Gangnon</t>
  </si>
  <si>
    <t>Duke</t>
  </si>
  <si>
    <t>Medicare Supplement</t>
  </si>
  <si>
    <t>Dental</t>
  </si>
  <si>
    <t>OH</t>
  </si>
  <si>
    <t>IL</t>
  </si>
  <si>
    <t>MD</t>
  </si>
  <si>
    <t>IN</t>
  </si>
  <si>
    <t>MONTHLY</t>
  </si>
  <si>
    <t>RCVP-R</t>
  </si>
  <si>
    <t>RCVP</t>
  </si>
  <si>
    <t>N</t>
  </si>
  <si>
    <t>Y</t>
  </si>
  <si>
    <t>advancePaybackAmount</t>
  </si>
  <si>
    <t>APB-S</t>
  </si>
  <si>
    <t>H750068245OVR</t>
  </si>
  <si>
    <t>H750074387OVR</t>
  </si>
  <si>
    <t>H711024512OVR</t>
  </si>
  <si>
    <t>H750070618OVR</t>
  </si>
  <si>
    <t>H711037504OVR</t>
  </si>
  <si>
    <t>H750073946OVR</t>
  </si>
  <si>
    <t>H750073872OVR</t>
  </si>
  <si>
    <t>H711025485OVR</t>
  </si>
  <si>
    <t>H711021314OVR</t>
  </si>
  <si>
    <t>H711020958OVR</t>
  </si>
  <si>
    <t>name</t>
  </si>
  <si>
    <t>All Other Guarantee Issue, Underage, &amp; Issue Age 80+</t>
  </si>
  <si>
    <t>Open Enrollment - States Where Available</t>
  </si>
  <si>
    <t>5+.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</si>
</sst>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0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NumberFormat="1" applyFill="1" applyAlignment="1">
      <alignment horizontal="left"/>
    </xf>
    <xf numFmtId="14" fontId="0" fillId="2" borderId="0" xfId="0" applyNumberFormat="1" applyFill="1" applyAlignment="1">
      <alignment horizontal="left"/>
    </xf>
    <xf numFmtId="10" fontId="0" fillId="2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NumberFormat="1" applyFill="1" applyAlignment="1">
      <alignment horizontal="left"/>
    </xf>
    <xf numFmtId="14" fontId="0" fillId="3" borderId="0" xfId="0" applyNumberFormat="1" applyFill="1" applyAlignment="1">
      <alignment horizontal="left"/>
    </xf>
    <xf numFmtId="10" fontId="0" fillId="3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topLeftCell="C1" workbookViewId="0">
      <selection activeCell="C7" sqref="C7"/>
    </sheetView>
  </sheetViews>
  <sheetFormatPr defaultRowHeight="15" x14ac:dyDescent="0.25"/>
  <cols>
    <col min="1" max="1" width="26.85546875" style="10" bestFit="1" customWidth="1"/>
    <col min="2" max="2" width="25.5703125" style="10" bestFit="1" customWidth="1"/>
    <col min="3" max="3" width="16" style="10" bestFit="1" customWidth="1"/>
    <col min="4" max="4" width="24.85546875" style="10" bestFit="1" customWidth="1"/>
    <col min="5" max="5" width="24.42578125" style="10" bestFit="1" customWidth="1"/>
    <col min="6" max="6" width="15.7109375" style="10" bestFit="1" customWidth="1"/>
    <col min="7" max="7" width="20.85546875" style="10" bestFit="1" customWidth="1"/>
    <col min="8" max="8" width="19.7109375" style="10" bestFit="1" customWidth="1"/>
    <col min="9" max="9" width="7.7109375" style="10" bestFit="1" customWidth="1"/>
    <col min="10" max="10" width="21.28515625" style="10" bestFit="1" customWidth="1"/>
    <col min="11" max="11" width="21.5703125" style="10" bestFit="1" customWidth="1"/>
    <col min="12" max="12" width="17.42578125" style="10" bestFit="1" customWidth="1"/>
    <col min="13" max="14" width="13.42578125" style="10" bestFit="1" customWidth="1"/>
    <col min="15" max="15" width="9.7109375" style="10" bestFit="1" customWidth="1"/>
    <col min="16" max="16" width="17.5703125" style="10" bestFit="1" customWidth="1"/>
    <col min="17" max="17" width="15.5703125" style="10" bestFit="1" customWidth="1"/>
    <col min="18" max="18" width="19.85546875" style="10" bestFit="1" customWidth="1"/>
    <col min="19" max="19" width="17.28515625" style="10" bestFit="1" customWidth="1"/>
    <col min="20" max="20" width="18" style="10" bestFit="1" customWidth="1"/>
    <col min="21" max="16384" width="9.140625" style="10"/>
  </cols>
  <sheetData>
    <row r="1" spans="1:20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74</v>
      </c>
      <c r="G1" s="9" t="s">
        <v>5</v>
      </c>
      <c r="H1" s="9" t="s">
        <v>13</v>
      </c>
      <c r="I1" s="9" t="s">
        <v>6</v>
      </c>
      <c r="J1" s="9" t="s">
        <v>18</v>
      </c>
      <c r="K1" s="9" t="s">
        <v>19</v>
      </c>
      <c r="L1" s="9" t="s">
        <v>7</v>
      </c>
      <c r="M1" s="9" t="s">
        <v>8</v>
      </c>
      <c r="N1" s="9" t="s">
        <v>9</v>
      </c>
      <c r="O1" s="9" t="s">
        <v>10</v>
      </c>
      <c r="P1" s="9" t="s">
        <v>11</v>
      </c>
      <c r="Q1" s="9" t="s">
        <v>12</v>
      </c>
      <c r="R1" s="9" t="s">
        <v>15</v>
      </c>
      <c r="S1" s="9" t="s">
        <v>16</v>
      </c>
      <c r="T1" s="9" t="s">
        <v>17</v>
      </c>
    </row>
    <row r="2" spans="1:20" s="14" customFormat="1" x14ac:dyDescent="0.25">
      <c r="A2" s="10" t="s">
        <v>20</v>
      </c>
      <c r="B2" s="11">
        <v>19491313</v>
      </c>
      <c r="C2" s="10" t="s">
        <v>26</v>
      </c>
      <c r="D2" s="10" t="s">
        <v>36</v>
      </c>
      <c r="E2" s="10" t="s">
        <v>45</v>
      </c>
      <c r="F2" s="10" t="str">
        <f>CONCATENATE(D2, " ",E2)</f>
        <v>Daniel Turner</v>
      </c>
      <c r="G2" s="10" t="s">
        <v>52</v>
      </c>
      <c r="H2" s="11">
        <v>62.17</v>
      </c>
      <c r="I2" s="10" t="s">
        <v>53</v>
      </c>
      <c r="J2" s="10">
        <v>15.54</v>
      </c>
      <c r="K2" s="10" t="s">
        <v>60</v>
      </c>
      <c r="L2" s="12">
        <v>45933</v>
      </c>
      <c r="M2" s="12">
        <v>45962</v>
      </c>
      <c r="N2" s="11">
        <v>65</v>
      </c>
      <c r="O2" s="10" t="s">
        <v>57</v>
      </c>
      <c r="P2" s="10" t="s">
        <v>59</v>
      </c>
      <c r="Q2" s="11">
        <v>3</v>
      </c>
      <c r="R2" s="11">
        <v>62.17</v>
      </c>
      <c r="S2" s="11">
        <v>100</v>
      </c>
      <c r="T2" s="13">
        <v>0.25</v>
      </c>
    </row>
    <row r="3" spans="1:20" x14ac:dyDescent="0.25">
      <c r="A3" s="10" t="s">
        <v>20</v>
      </c>
      <c r="B3" s="11">
        <v>19491313</v>
      </c>
      <c r="C3" s="10" t="s">
        <v>27</v>
      </c>
      <c r="D3" s="10" t="s">
        <v>36</v>
      </c>
      <c r="E3" s="10" t="s">
        <v>45</v>
      </c>
      <c r="F3" s="10" t="str">
        <f>CONCATENATE(D3, " ",E3)</f>
        <v>Daniel Turner</v>
      </c>
      <c r="G3" s="10" t="s">
        <v>76</v>
      </c>
      <c r="H3" s="11">
        <v>115.86</v>
      </c>
      <c r="I3" s="10" t="s">
        <v>53</v>
      </c>
      <c r="J3" s="10">
        <v>24.33</v>
      </c>
      <c r="K3" s="10" t="s">
        <v>60</v>
      </c>
      <c r="L3" s="12">
        <v>45933</v>
      </c>
      <c r="M3" s="12">
        <v>45962</v>
      </c>
      <c r="N3" s="11">
        <v>65</v>
      </c>
      <c r="O3" s="10" t="s">
        <v>57</v>
      </c>
      <c r="P3" s="10" t="s">
        <v>58</v>
      </c>
      <c r="Q3" s="11">
        <v>3</v>
      </c>
      <c r="R3" s="11">
        <v>115.86</v>
      </c>
      <c r="S3" s="11">
        <v>100</v>
      </c>
      <c r="T3" s="13">
        <v>0.21</v>
      </c>
    </row>
    <row r="4" spans="1:20" x14ac:dyDescent="0.25">
      <c r="A4" s="10" t="s">
        <v>77</v>
      </c>
      <c r="B4" s="11">
        <v>19491313</v>
      </c>
      <c r="C4" s="10" t="s">
        <v>24</v>
      </c>
      <c r="D4" s="10" t="s">
        <v>34</v>
      </c>
      <c r="E4" s="10" t="s">
        <v>43</v>
      </c>
      <c r="F4" s="10" t="str">
        <f>CONCATENATE(D4, " ",E4)</f>
        <v>Ralph Gropper</v>
      </c>
      <c r="G4" s="10" t="s">
        <v>75</v>
      </c>
      <c r="H4" s="11">
        <v>279.06</v>
      </c>
      <c r="I4" s="10" t="s">
        <v>53</v>
      </c>
      <c r="J4" s="10">
        <v>4.87</v>
      </c>
      <c r="K4" s="10" t="s">
        <v>60</v>
      </c>
      <c r="L4" s="12">
        <v>45931</v>
      </c>
      <c r="M4" s="12">
        <v>45962</v>
      </c>
      <c r="N4" s="11">
        <v>86</v>
      </c>
      <c r="O4" s="10" t="s">
        <v>57</v>
      </c>
      <c r="P4" s="10" t="s">
        <v>58</v>
      </c>
      <c r="Q4" s="11">
        <v>3</v>
      </c>
      <c r="R4" s="11">
        <v>243.62</v>
      </c>
      <c r="S4" s="11">
        <v>100</v>
      </c>
      <c r="T4" s="13">
        <v>0.02</v>
      </c>
    </row>
    <row r="5" spans="1:20" s="14" customFormat="1" x14ac:dyDescent="0.25">
      <c r="A5" s="14" t="s">
        <v>23</v>
      </c>
      <c r="B5" s="15">
        <v>16849453</v>
      </c>
      <c r="C5" s="14" t="s">
        <v>32</v>
      </c>
      <c r="D5" s="14" t="s">
        <v>41</v>
      </c>
      <c r="E5" s="14" t="s">
        <v>49</v>
      </c>
      <c r="F5" s="14" t="str">
        <f>CONCATENATE(D5, " ",E5)</f>
        <v>Connie Gangnon</v>
      </c>
      <c r="G5" s="14" t="s">
        <v>52</v>
      </c>
      <c r="H5" s="15">
        <v>127.65</v>
      </c>
      <c r="I5" s="14" t="s">
        <v>56</v>
      </c>
      <c r="J5" s="14">
        <v>31.91</v>
      </c>
      <c r="K5" s="14" t="s">
        <v>60</v>
      </c>
      <c r="L5" s="16">
        <v>45931</v>
      </c>
      <c r="M5" s="16">
        <v>45962</v>
      </c>
      <c r="N5" s="15">
        <v>64</v>
      </c>
      <c r="O5" s="14" t="s">
        <v>57</v>
      </c>
      <c r="P5" s="14" t="s">
        <v>59</v>
      </c>
      <c r="Q5" s="15">
        <v>3</v>
      </c>
      <c r="R5" s="15">
        <v>127.65</v>
      </c>
      <c r="S5" s="15">
        <v>100</v>
      </c>
      <c r="T5" s="17">
        <v>0.25</v>
      </c>
    </row>
    <row r="6" spans="1:20" s="14" customFormat="1" x14ac:dyDescent="0.25">
      <c r="A6" s="14" t="s">
        <v>23</v>
      </c>
      <c r="B6" s="15">
        <v>16849453</v>
      </c>
      <c r="C6" s="14" t="s">
        <v>33</v>
      </c>
      <c r="D6" s="14" t="s">
        <v>42</v>
      </c>
      <c r="E6" s="14" t="s">
        <v>50</v>
      </c>
      <c r="F6" s="14" t="str">
        <f>CONCATENATE(D6, " ",E6)</f>
        <v>Karen Duke</v>
      </c>
      <c r="G6" s="14" t="s">
        <v>52</v>
      </c>
      <c r="H6" s="15">
        <v>56.5</v>
      </c>
      <c r="I6" s="14" t="s">
        <v>56</v>
      </c>
      <c r="J6" s="14">
        <v>14.13</v>
      </c>
      <c r="K6" s="14" t="s">
        <v>60</v>
      </c>
      <c r="L6" s="16">
        <v>45931</v>
      </c>
      <c r="M6" s="16">
        <v>45962</v>
      </c>
      <c r="N6" s="15">
        <v>81</v>
      </c>
      <c r="O6" s="14" t="s">
        <v>57</v>
      </c>
      <c r="P6" s="14" t="s">
        <v>59</v>
      </c>
      <c r="Q6" s="15">
        <v>3</v>
      </c>
      <c r="R6" s="15">
        <v>56.5</v>
      </c>
      <c r="S6" s="15">
        <v>100</v>
      </c>
      <c r="T6" s="17">
        <v>0.25</v>
      </c>
    </row>
    <row r="7" spans="1:20" s="14" customFormat="1" x14ac:dyDescent="0.25">
      <c r="A7" s="14" t="s">
        <v>22</v>
      </c>
      <c r="B7" s="15">
        <v>16202925</v>
      </c>
      <c r="C7" s="14" t="s">
        <v>31</v>
      </c>
      <c r="D7" s="14" t="s">
        <v>40</v>
      </c>
      <c r="E7" s="14" t="s">
        <v>48</v>
      </c>
      <c r="F7" s="14" t="str">
        <f>CONCATENATE(D7, " ",E7)</f>
        <v>Shirley Perry</v>
      </c>
      <c r="G7" s="14" t="s">
        <v>52</v>
      </c>
      <c r="H7" s="15">
        <v>47.7</v>
      </c>
      <c r="I7" s="14" t="s">
        <v>55</v>
      </c>
      <c r="J7" s="14">
        <v>11.93</v>
      </c>
      <c r="K7" s="14" t="s">
        <v>60</v>
      </c>
      <c r="L7" s="16">
        <v>45931</v>
      </c>
      <c r="M7" s="16">
        <v>45962</v>
      </c>
      <c r="N7" s="15">
        <v>58</v>
      </c>
      <c r="O7" s="14" t="s">
        <v>57</v>
      </c>
      <c r="P7" s="14" t="s">
        <v>59</v>
      </c>
      <c r="Q7" s="15">
        <v>3</v>
      </c>
      <c r="R7" s="15">
        <v>47.7</v>
      </c>
      <c r="S7" s="15">
        <v>100</v>
      </c>
      <c r="T7" s="17">
        <v>0.25</v>
      </c>
    </row>
    <row r="8" spans="1:20" x14ac:dyDescent="0.25">
      <c r="A8" s="14" t="s">
        <v>21</v>
      </c>
      <c r="B8" s="15">
        <v>8812322</v>
      </c>
      <c r="C8" s="14" t="s">
        <v>28</v>
      </c>
      <c r="D8" s="14" t="s">
        <v>37</v>
      </c>
      <c r="E8" s="14" t="s">
        <v>46</v>
      </c>
      <c r="F8" s="14" t="str">
        <f>CONCATENATE(D8, " ",E8)</f>
        <v>Edward Kunkel</v>
      </c>
      <c r="G8" s="14" t="s">
        <v>52</v>
      </c>
      <c r="H8" s="15">
        <v>127.65</v>
      </c>
      <c r="I8" s="14" t="s">
        <v>54</v>
      </c>
      <c r="J8" s="14">
        <v>31.91</v>
      </c>
      <c r="K8" s="14" t="s">
        <v>61</v>
      </c>
      <c r="L8" s="16">
        <v>45931</v>
      </c>
      <c r="M8" s="16">
        <v>45966</v>
      </c>
      <c r="N8" s="15">
        <v>66</v>
      </c>
      <c r="O8" s="14" t="s">
        <v>57</v>
      </c>
      <c r="P8" s="14" t="s">
        <v>59</v>
      </c>
      <c r="Q8" s="15">
        <v>2</v>
      </c>
      <c r="R8" s="15">
        <v>127.65</v>
      </c>
      <c r="S8" s="15">
        <v>100</v>
      </c>
      <c r="T8" s="17">
        <v>0.25</v>
      </c>
    </row>
    <row r="9" spans="1:20" s="18" customFormat="1" x14ac:dyDescent="0.25">
      <c r="A9" s="18" t="s">
        <v>21</v>
      </c>
      <c r="B9" s="19">
        <v>8812322</v>
      </c>
      <c r="C9" s="18" t="s">
        <v>29</v>
      </c>
      <c r="D9" s="18" t="s">
        <v>38</v>
      </c>
      <c r="E9" s="18" t="s">
        <v>47</v>
      </c>
      <c r="F9" s="18" t="str">
        <f>CONCATENATE(D9, " ",E9)</f>
        <v>Harlin Hill</v>
      </c>
      <c r="G9" s="18" t="s">
        <v>51</v>
      </c>
      <c r="H9" s="19">
        <v>170.91</v>
      </c>
      <c r="I9" s="18" t="s">
        <v>54</v>
      </c>
      <c r="J9" s="18">
        <v>35.549999999999997</v>
      </c>
      <c r="K9" s="18" t="s">
        <v>61</v>
      </c>
      <c r="L9" s="20">
        <v>45931</v>
      </c>
      <c r="M9" s="20">
        <v>45962</v>
      </c>
      <c r="N9" s="19">
        <v>71</v>
      </c>
      <c r="O9" s="18" t="s">
        <v>57</v>
      </c>
      <c r="P9" s="18" t="s">
        <v>58</v>
      </c>
      <c r="Q9" s="19">
        <v>2</v>
      </c>
      <c r="R9" s="19">
        <v>170.91</v>
      </c>
      <c r="S9" s="19">
        <v>100</v>
      </c>
      <c r="T9" s="21">
        <v>0.20799999999999999</v>
      </c>
    </row>
    <row r="10" spans="1:20" s="18" customFormat="1" x14ac:dyDescent="0.25">
      <c r="A10" s="18" t="s">
        <v>21</v>
      </c>
      <c r="B10" s="19">
        <v>8812322</v>
      </c>
      <c r="C10" s="18" t="s">
        <v>30</v>
      </c>
      <c r="D10" s="18" t="s">
        <v>39</v>
      </c>
      <c r="E10" s="18" t="s">
        <v>47</v>
      </c>
      <c r="F10" s="18" t="str">
        <f>CONCATENATE(D10, " ",E10)</f>
        <v>Laura Hill</v>
      </c>
      <c r="G10" s="18" t="s">
        <v>51</v>
      </c>
      <c r="H10" s="19">
        <v>149.69</v>
      </c>
      <c r="I10" s="18" t="s">
        <v>54</v>
      </c>
      <c r="J10" s="18">
        <v>31.14</v>
      </c>
      <c r="K10" s="18" t="s">
        <v>61</v>
      </c>
      <c r="L10" s="20">
        <v>45931</v>
      </c>
      <c r="M10" s="20">
        <v>45962</v>
      </c>
      <c r="N10" s="19">
        <v>70</v>
      </c>
      <c r="O10" s="18" t="s">
        <v>57</v>
      </c>
      <c r="P10" s="18" t="s">
        <v>58</v>
      </c>
      <c r="Q10" s="19">
        <v>2</v>
      </c>
      <c r="R10" s="19">
        <v>149.69</v>
      </c>
      <c r="S10" s="19">
        <v>100</v>
      </c>
      <c r="T10" s="21">
        <v>0.20799999999999999</v>
      </c>
    </row>
    <row r="11" spans="1:20" s="18" customFormat="1" x14ac:dyDescent="0.25">
      <c r="A11" s="18" t="s">
        <v>20</v>
      </c>
      <c r="B11" s="19">
        <v>19491313</v>
      </c>
      <c r="C11" s="18" t="s">
        <v>25</v>
      </c>
      <c r="D11" s="18" t="s">
        <v>35</v>
      </c>
      <c r="E11" s="18" t="s">
        <v>44</v>
      </c>
      <c r="F11" s="18" t="str">
        <f>CONCATENATE(D11, " ",E11)</f>
        <v>Thomas Benik</v>
      </c>
      <c r="G11" s="18" t="s">
        <v>51</v>
      </c>
      <c r="H11" s="19">
        <v>115.86</v>
      </c>
      <c r="I11" s="18" t="s">
        <v>53</v>
      </c>
      <c r="J11" s="18">
        <v>24.33</v>
      </c>
      <c r="K11" s="18" t="s">
        <v>61</v>
      </c>
      <c r="L11" s="20">
        <v>45933</v>
      </c>
      <c r="M11" s="20">
        <v>45962</v>
      </c>
      <c r="N11" s="19">
        <v>65</v>
      </c>
      <c r="O11" s="18" t="s">
        <v>57</v>
      </c>
      <c r="P11" s="18" t="s">
        <v>58</v>
      </c>
      <c r="Q11" s="19">
        <v>2</v>
      </c>
      <c r="R11" s="19">
        <v>115.86</v>
      </c>
      <c r="S11" s="19">
        <v>100</v>
      </c>
      <c r="T11" s="21">
        <v>0.21</v>
      </c>
    </row>
  </sheetData>
  <autoFilter ref="A1:T1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>
      <selection activeCell="E32" sqref="E32"/>
    </sheetView>
  </sheetViews>
  <sheetFormatPr defaultRowHeight="15" x14ac:dyDescent="0.25"/>
  <cols>
    <col min="1" max="1" width="13.7109375" bestFit="1" customWidth="1"/>
    <col min="2" max="2" width="22.5703125" bestFit="1" customWidth="1"/>
    <col min="3" max="3" width="22.140625" bestFit="1" customWidth="1"/>
    <col min="4" max="4" width="22.140625" customWidth="1"/>
    <col min="5" max="5" width="20.85546875" bestFit="1" customWidth="1"/>
    <col min="6" max="6" width="5.42578125" bestFit="1" customWidth="1"/>
    <col min="7" max="7" width="15.140625" bestFit="1" customWidth="1"/>
    <col min="8" max="8" width="15.28515625" bestFit="1" customWidth="1"/>
    <col min="9" max="9" width="23" bestFit="1" customWidth="1"/>
  </cols>
  <sheetData>
    <row r="1" spans="1:9" x14ac:dyDescent="0.25">
      <c r="A1" s="1" t="s">
        <v>2</v>
      </c>
      <c r="B1" s="1" t="s">
        <v>3</v>
      </c>
      <c r="C1" s="1" t="s">
        <v>4</v>
      </c>
      <c r="D1" s="1" t="s">
        <v>74</v>
      </c>
      <c r="E1" s="1" t="s">
        <v>5</v>
      </c>
      <c r="F1" s="1" t="s">
        <v>6</v>
      </c>
      <c r="G1" s="1" t="s">
        <v>7</v>
      </c>
      <c r="H1" s="1" t="s">
        <v>11</v>
      </c>
      <c r="I1" s="1" t="s">
        <v>62</v>
      </c>
    </row>
    <row r="2" spans="1:9" x14ac:dyDescent="0.25">
      <c r="A2" s="5" t="s">
        <v>28</v>
      </c>
      <c r="B2" s="5" t="s">
        <v>37</v>
      </c>
      <c r="C2" s="5" t="s">
        <v>46</v>
      </c>
      <c r="D2" s="5" t="str">
        <f>CONCATENATE(B2, " ",C2)</f>
        <v>Edward Kunkel</v>
      </c>
      <c r="E2" s="5" t="s">
        <v>52</v>
      </c>
      <c r="F2" s="5" t="s">
        <v>54</v>
      </c>
      <c r="G2" s="6">
        <v>45931</v>
      </c>
      <c r="H2" s="5" t="s">
        <v>63</v>
      </c>
      <c r="I2" s="5">
        <v>-31.91</v>
      </c>
    </row>
    <row r="3" spans="1:9" x14ac:dyDescent="0.25">
      <c r="A3" s="7" t="s">
        <v>29</v>
      </c>
      <c r="B3" s="7" t="s">
        <v>38</v>
      </c>
      <c r="C3" s="7" t="s">
        <v>47</v>
      </c>
      <c r="D3" s="7" t="str">
        <f>CONCATENATE(B3, " ",C3)</f>
        <v>Harlin Hill</v>
      </c>
      <c r="E3" s="7" t="s">
        <v>51</v>
      </c>
      <c r="F3" s="7" t="s">
        <v>54</v>
      </c>
      <c r="G3" s="8">
        <v>45931</v>
      </c>
      <c r="H3" s="7" t="s">
        <v>63</v>
      </c>
      <c r="I3" s="7">
        <v>-35.549999999999997</v>
      </c>
    </row>
    <row r="4" spans="1:9" x14ac:dyDescent="0.25">
      <c r="A4" s="7" t="s">
        <v>30</v>
      </c>
      <c r="B4" s="7" t="s">
        <v>39</v>
      </c>
      <c r="C4" s="7" t="s">
        <v>47</v>
      </c>
      <c r="D4" s="7" t="str">
        <f>CONCATENATE(B4, " ",C4)</f>
        <v>Laura Hill</v>
      </c>
      <c r="E4" s="7" t="s">
        <v>51</v>
      </c>
      <c r="F4" s="7" t="s">
        <v>54</v>
      </c>
      <c r="G4" s="8">
        <v>45931</v>
      </c>
      <c r="H4" s="7" t="s">
        <v>63</v>
      </c>
      <c r="I4" s="7">
        <v>-31.14</v>
      </c>
    </row>
    <row r="5" spans="1:9" x14ac:dyDescent="0.25">
      <c r="A5" s="7" t="s">
        <v>25</v>
      </c>
      <c r="B5" s="7" t="s">
        <v>35</v>
      </c>
      <c r="C5" s="7" t="s">
        <v>44</v>
      </c>
      <c r="D5" s="7" t="str">
        <f>CONCATENATE(B5, " ",C5)</f>
        <v>Thomas Benik</v>
      </c>
      <c r="E5" s="7" t="s">
        <v>51</v>
      </c>
      <c r="F5" s="7" t="s">
        <v>53</v>
      </c>
      <c r="G5" s="8">
        <v>45933</v>
      </c>
      <c r="H5" s="7" t="s">
        <v>63</v>
      </c>
      <c r="I5" s="7">
        <v>-24.33</v>
      </c>
    </row>
  </sheetData>
  <autoFilter ref="A1:I5" xr:uid="{00000000-0001-0000-0200-000000000000}">
    <sortState xmlns:xlrd2="http://schemas.microsoft.com/office/spreadsheetml/2017/richdata2" ref="A2:I5">
      <sortCondition ref="D1:D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"/>
  <sheetViews>
    <sheetView workbookViewId="0">
      <selection activeCell="P2" sqref="P2:P11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13.7109375" customWidth="1"/>
    <col min="5" max="5" width="22.5703125" bestFit="1" customWidth="1"/>
    <col min="6" max="6" width="22.140625" bestFit="1" customWidth="1"/>
    <col min="7" max="7" width="22.140625" customWidth="1"/>
    <col min="8" max="8" width="20.85546875" bestFit="1" customWidth="1"/>
    <col min="9" max="9" width="5.42578125" bestFit="1" customWidth="1"/>
    <col min="10" max="10" width="15.140625" bestFit="1" customWidth="1"/>
    <col min="11" max="12" width="11.140625" bestFit="1" customWidth="1"/>
    <col min="13" max="13" width="9.7109375" bestFit="1" customWidth="1"/>
    <col min="14" max="14" width="15.28515625" bestFit="1" customWidth="1"/>
    <col min="15" max="15" width="13.28515625" bestFit="1" customWidth="1"/>
    <col min="16" max="16" width="17.42578125" bestFit="1" customWidth="1"/>
    <col min="17" max="17" width="32.5703125" bestFit="1" customWidth="1"/>
    <col min="18" max="18" width="17.5703125" bestFit="1" customWidth="1"/>
    <col min="19" max="19" width="15" bestFit="1" customWidth="1"/>
    <col min="20" max="20" width="15.7109375" bestFit="1" customWidth="1"/>
    <col min="21" max="21" width="19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x14ac:dyDescent="0.25">
      <c r="A2" t="s">
        <v>20</v>
      </c>
      <c r="B2" s="2">
        <v>19491313</v>
      </c>
      <c r="C2" t="s">
        <v>64</v>
      </c>
      <c r="D2" t="str">
        <f>CONCATENATE(C2, "OVR")</f>
        <v>H750068245OVROVR</v>
      </c>
      <c r="E2" t="s">
        <v>34</v>
      </c>
      <c r="F2" t="s">
        <v>43</v>
      </c>
      <c r="G2" t="str">
        <f>CONCATENATE(E2, " ",F2)</f>
        <v>Ralph Gropper</v>
      </c>
      <c r="H2" t="s">
        <v>51</v>
      </c>
      <c r="I2" t="s">
        <v>53</v>
      </c>
      <c r="J2" s="4">
        <v>45931</v>
      </c>
      <c r="K2" s="4">
        <v>45962</v>
      </c>
      <c r="L2" s="2">
        <v>86</v>
      </c>
      <c r="M2" t="s">
        <v>57</v>
      </c>
      <c r="N2" t="s">
        <v>58</v>
      </c>
      <c r="O2" s="2">
        <v>3</v>
      </c>
      <c r="P2">
        <v>1.95</v>
      </c>
      <c r="Q2" s="2">
        <v>0</v>
      </c>
      <c r="R2" s="2">
        <v>243.62</v>
      </c>
      <c r="S2" s="2">
        <v>100</v>
      </c>
      <c r="T2" s="3">
        <v>8.0000000000000002E-3</v>
      </c>
      <c r="U2">
        <v>1.95</v>
      </c>
    </row>
    <row r="3" spans="1:21" x14ac:dyDescent="0.25">
      <c r="A3" t="s">
        <v>20</v>
      </c>
      <c r="B3" s="2">
        <v>19491313</v>
      </c>
      <c r="C3" t="s">
        <v>65</v>
      </c>
      <c r="D3" t="str">
        <f t="shared" ref="D3:D11" si="0">CONCATENATE(C3, "OVR")</f>
        <v>H750074387OVROVR</v>
      </c>
      <c r="E3" t="s">
        <v>35</v>
      </c>
      <c r="F3" t="s">
        <v>44</v>
      </c>
      <c r="G3" t="str">
        <f t="shared" ref="G3:G11" si="1">CONCATENATE(E3, " ",F3)</f>
        <v>Thomas Benik</v>
      </c>
      <c r="H3" t="s">
        <v>51</v>
      </c>
      <c r="I3" t="s">
        <v>53</v>
      </c>
      <c r="J3" s="4">
        <v>45933</v>
      </c>
      <c r="K3" s="4">
        <v>45962</v>
      </c>
      <c r="L3" s="2">
        <v>65</v>
      </c>
      <c r="M3" t="s">
        <v>57</v>
      </c>
      <c r="N3" t="s">
        <v>58</v>
      </c>
      <c r="O3" s="2">
        <v>2</v>
      </c>
      <c r="P3">
        <v>3.24</v>
      </c>
      <c r="Q3" s="2">
        <v>0</v>
      </c>
      <c r="R3" s="2">
        <v>115.86</v>
      </c>
      <c r="S3" s="2">
        <v>100</v>
      </c>
      <c r="T3" s="3">
        <v>2.8000000000000001E-2</v>
      </c>
      <c r="U3">
        <v>3.24</v>
      </c>
    </row>
    <row r="4" spans="1:21" x14ac:dyDescent="0.25">
      <c r="A4" t="s">
        <v>20</v>
      </c>
      <c r="B4" s="2">
        <v>19491313</v>
      </c>
      <c r="C4" t="s">
        <v>66</v>
      </c>
      <c r="D4" t="str">
        <f t="shared" si="0"/>
        <v>H711024512OVROVR</v>
      </c>
      <c r="E4" t="s">
        <v>36</v>
      </c>
      <c r="F4" t="s">
        <v>45</v>
      </c>
      <c r="G4" t="str">
        <f t="shared" si="1"/>
        <v>Daniel Turner</v>
      </c>
      <c r="H4" t="s">
        <v>52</v>
      </c>
      <c r="I4" t="s">
        <v>53</v>
      </c>
      <c r="J4" s="4">
        <v>45933</v>
      </c>
      <c r="K4" s="4">
        <v>45962</v>
      </c>
      <c r="L4" s="2">
        <v>65</v>
      </c>
      <c r="M4" t="s">
        <v>57</v>
      </c>
      <c r="N4" t="s">
        <v>59</v>
      </c>
      <c r="O4" s="2">
        <v>3</v>
      </c>
      <c r="P4">
        <v>5.91</v>
      </c>
      <c r="Q4" s="2">
        <v>0</v>
      </c>
      <c r="R4" s="2">
        <v>62.17</v>
      </c>
      <c r="S4" s="2">
        <v>100</v>
      </c>
      <c r="T4" s="3">
        <v>9.5000000000000001E-2</v>
      </c>
      <c r="U4">
        <v>5.91</v>
      </c>
    </row>
    <row r="5" spans="1:21" x14ac:dyDescent="0.25">
      <c r="A5" t="s">
        <v>20</v>
      </c>
      <c r="B5" s="2">
        <v>19491313</v>
      </c>
      <c r="C5" t="s">
        <v>67</v>
      </c>
      <c r="D5" t="str">
        <f t="shared" si="0"/>
        <v>H750070618OVROVR</v>
      </c>
      <c r="E5" t="s">
        <v>36</v>
      </c>
      <c r="F5" t="s">
        <v>45</v>
      </c>
      <c r="G5" t="str">
        <f t="shared" si="1"/>
        <v>Daniel Turner</v>
      </c>
      <c r="H5" t="s">
        <v>51</v>
      </c>
      <c r="I5" t="s">
        <v>53</v>
      </c>
      <c r="J5" s="4">
        <v>45933</v>
      </c>
      <c r="K5" s="4">
        <v>45962</v>
      </c>
      <c r="L5" s="2">
        <v>65</v>
      </c>
      <c r="M5" t="s">
        <v>57</v>
      </c>
      <c r="N5" t="s">
        <v>58</v>
      </c>
      <c r="O5" s="2">
        <v>3</v>
      </c>
      <c r="P5">
        <v>3.24</v>
      </c>
      <c r="Q5" s="2">
        <v>0</v>
      </c>
      <c r="R5" s="2">
        <v>115.86</v>
      </c>
      <c r="S5" s="2">
        <v>100</v>
      </c>
      <c r="T5" s="3">
        <v>2.8000000000000001E-2</v>
      </c>
      <c r="U5">
        <v>3.24</v>
      </c>
    </row>
    <row r="6" spans="1:21" x14ac:dyDescent="0.25">
      <c r="A6" t="s">
        <v>21</v>
      </c>
      <c r="B6" s="2">
        <v>8812322</v>
      </c>
      <c r="C6" t="s">
        <v>68</v>
      </c>
      <c r="D6" t="str">
        <f t="shared" si="0"/>
        <v>H711037504OVROVR</v>
      </c>
      <c r="E6" t="s">
        <v>37</v>
      </c>
      <c r="F6" t="s">
        <v>46</v>
      </c>
      <c r="G6" t="str">
        <f t="shared" si="1"/>
        <v>Edward Kunkel</v>
      </c>
      <c r="H6" t="s">
        <v>52</v>
      </c>
      <c r="I6" t="s">
        <v>54</v>
      </c>
      <c r="J6" s="4">
        <v>45931</v>
      </c>
      <c r="K6" s="4">
        <v>45966</v>
      </c>
      <c r="L6" s="2">
        <v>66</v>
      </c>
      <c r="M6" t="s">
        <v>57</v>
      </c>
      <c r="N6" t="s">
        <v>59</v>
      </c>
      <c r="O6" s="2">
        <v>2</v>
      </c>
      <c r="P6">
        <v>12.13</v>
      </c>
      <c r="Q6" s="2">
        <v>0</v>
      </c>
      <c r="R6" s="2">
        <v>127.65</v>
      </c>
      <c r="S6" s="2">
        <v>100</v>
      </c>
      <c r="T6" s="3">
        <v>9.5000000000000001E-2</v>
      </c>
      <c r="U6">
        <v>12.13</v>
      </c>
    </row>
    <row r="7" spans="1:21" x14ac:dyDescent="0.25">
      <c r="A7" t="s">
        <v>21</v>
      </c>
      <c r="B7" s="2">
        <v>8812322</v>
      </c>
      <c r="C7" t="s">
        <v>69</v>
      </c>
      <c r="D7" t="str">
        <f t="shared" si="0"/>
        <v>H750073946OVROVR</v>
      </c>
      <c r="E7" t="s">
        <v>38</v>
      </c>
      <c r="F7" t="s">
        <v>47</v>
      </c>
      <c r="G7" t="str">
        <f t="shared" si="1"/>
        <v>Harlin Hill</v>
      </c>
      <c r="H7" t="s">
        <v>51</v>
      </c>
      <c r="I7" t="s">
        <v>54</v>
      </c>
      <c r="J7" s="4">
        <v>45931</v>
      </c>
      <c r="K7" s="4">
        <v>45962</v>
      </c>
      <c r="L7" s="2">
        <v>71</v>
      </c>
      <c r="M7" t="s">
        <v>57</v>
      </c>
      <c r="N7" t="s">
        <v>58</v>
      </c>
      <c r="O7" s="2">
        <v>2</v>
      </c>
      <c r="P7">
        <v>6.67</v>
      </c>
      <c r="Q7" s="2">
        <v>0</v>
      </c>
      <c r="R7" s="2">
        <v>170.91</v>
      </c>
      <c r="S7" s="2">
        <v>100</v>
      </c>
      <c r="T7" s="3">
        <v>3.9E-2</v>
      </c>
      <c r="U7">
        <v>6.67</v>
      </c>
    </row>
    <row r="8" spans="1:21" x14ac:dyDescent="0.25">
      <c r="A8" t="s">
        <v>21</v>
      </c>
      <c r="B8" s="2">
        <v>8812322</v>
      </c>
      <c r="C8" t="s">
        <v>70</v>
      </c>
      <c r="D8" t="str">
        <f t="shared" si="0"/>
        <v>H750073872OVROVR</v>
      </c>
      <c r="E8" t="s">
        <v>39</v>
      </c>
      <c r="F8" t="s">
        <v>47</v>
      </c>
      <c r="G8" t="str">
        <f t="shared" si="1"/>
        <v>Laura Hill</v>
      </c>
      <c r="H8" t="s">
        <v>51</v>
      </c>
      <c r="I8" t="s">
        <v>54</v>
      </c>
      <c r="J8" s="4">
        <v>45931</v>
      </c>
      <c r="K8" s="4">
        <v>45962</v>
      </c>
      <c r="L8" s="2">
        <v>70</v>
      </c>
      <c r="M8" t="s">
        <v>57</v>
      </c>
      <c r="N8" t="s">
        <v>58</v>
      </c>
      <c r="O8" s="2">
        <v>2</v>
      </c>
      <c r="P8">
        <v>5.84</v>
      </c>
      <c r="Q8" s="2">
        <v>0</v>
      </c>
      <c r="R8" s="2">
        <v>149.69</v>
      </c>
      <c r="S8" s="2">
        <v>100</v>
      </c>
      <c r="T8" s="3">
        <v>3.9E-2</v>
      </c>
      <c r="U8">
        <v>5.84</v>
      </c>
    </row>
    <row r="9" spans="1:21" x14ac:dyDescent="0.25">
      <c r="A9" t="s">
        <v>22</v>
      </c>
      <c r="B9" s="2">
        <v>16202925</v>
      </c>
      <c r="C9" t="s">
        <v>71</v>
      </c>
      <c r="D9" t="str">
        <f t="shared" si="0"/>
        <v>H711025485OVROVR</v>
      </c>
      <c r="E9" t="s">
        <v>40</v>
      </c>
      <c r="F9" t="s">
        <v>48</v>
      </c>
      <c r="G9" t="str">
        <f t="shared" si="1"/>
        <v>Shirley Perry</v>
      </c>
      <c r="H9" t="s">
        <v>52</v>
      </c>
      <c r="I9" t="s">
        <v>55</v>
      </c>
      <c r="J9" s="4">
        <v>45931</v>
      </c>
      <c r="K9" s="4">
        <v>45962</v>
      </c>
      <c r="L9" s="2">
        <v>58</v>
      </c>
      <c r="M9" t="s">
        <v>57</v>
      </c>
      <c r="N9" t="s">
        <v>59</v>
      </c>
      <c r="O9" s="2">
        <v>3</v>
      </c>
      <c r="P9">
        <v>4.53</v>
      </c>
      <c r="Q9" s="2">
        <v>0</v>
      </c>
      <c r="R9" s="2">
        <v>47.7</v>
      </c>
      <c r="S9" s="2">
        <v>100</v>
      </c>
      <c r="T9" s="3">
        <v>9.5000000000000001E-2</v>
      </c>
      <c r="U9">
        <v>4.53</v>
      </c>
    </row>
    <row r="10" spans="1:21" x14ac:dyDescent="0.25">
      <c r="A10" t="s">
        <v>23</v>
      </c>
      <c r="B10" s="2">
        <v>16849453</v>
      </c>
      <c r="C10" t="s">
        <v>72</v>
      </c>
      <c r="D10" t="str">
        <f t="shared" si="0"/>
        <v>H711021314OVROVR</v>
      </c>
      <c r="E10" t="s">
        <v>41</v>
      </c>
      <c r="F10" t="s">
        <v>49</v>
      </c>
      <c r="G10" t="str">
        <f t="shared" si="1"/>
        <v>Connie Gangnon</v>
      </c>
      <c r="H10" t="s">
        <v>52</v>
      </c>
      <c r="I10" t="s">
        <v>56</v>
      </c>
      <c r="J10" s="4">
        <v>45931</v>
      </c>
      <c r="K10" s="4">
        <v>45962</v>
      </c>
      <c r="L10" s="2">
        <v>64</v>
      </c>
      <c r="M10" t="s">
        <v>57</v>
      </c>
      <c r="N10" t="s">
        <v>59</v>
      </c>
      <c r="O10" s="2">
        <v>3</v>
      </c>
      <c r="P10">
        <v>12.13</v>
      </c>
      <c r="Q10" s="2">
        <v>0</v>
      </c>
      <c r="R10" s="2">
        <v>127.65</v>
      </c>
      <c r="S10" s="2">
        <v>100</v>
      </c>
      <c r="T10" s="3">
        <v>9.5000000000000001E-2</v>
      </c>
      <c r="U10">
        <v>12.13</v>
      </c>
    </row>
    <row r="11" spans="1:21" x14ac:dyDescent="0.25">
      <c r="A11" t="s">
        <v>23</v>
      </c>
      <c r="B11" s="2">
        <v>16849453</v>
      </c>
      <c r="C11" t="s">
        <v>73</v>
      </c>
      <c r="D11" t="str">
        <f t="shared" si="0"/>
        <v>H711020958OVROVR</v>
      </c>
      <c r="E11" t="s">
        <v>42</v>
      </c>
      <c r="F11" t="s">
        <v>50</v>
      </c>
      <c r="G11" t="str">
        <f t="shared" si="1"/>
        <v>Karen Duke</v>
      </c>
      <c r="H11" t="s">
        <v>52</v>
      </c>
      <c r="I11" t="s">
        <v>56</v>
      </c>
      <c r="J11" s="4">
        <v>45931</v>
      </c>
      <c r="K11" s="4">
        <v>45962</v>
      </c>
      <c r="L11" s="2">
        <v>81</v>
      </c>
      <c r="M11" t="s">
        <v>57</v>
      </c>
      <c r="N11" t="s">
        <v>59</v>
      </c>
      <c r="O11" s="2">
        <v>3</v>
      </c>
      <c r="P11">
        <v>5.37</v>
      </c>
      <c r="Q11" s="2">
        <v>0</v>
      </c>
      <c r="R11" s="2">
        <v>56.5</v>
      </c>
      <c r="S11" s="2">
        <v>100</v>
      </c>
      <c r="T11" s="3">
        <v>9.5000000000000001E-2</v>
      </c>
      <c r="U11">
        <v>5.37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First Year Commission</vt:lpstr>
      <vt:lpstr>Advance Paybacks</vt:lpstr>
      <vt:lpstr>First Year Overwrites</vt:lpstr>
      <vt:lpstr>'First Year Commission'!_FilterDatabase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2025-10-05T17:02:40Z</dcterms:created>
  <dcterms:modified xsi:type="dcterms:W3CDTF">2025-10-08T20:52:33Z</dcterms:modified>
</cp:coreProperties>
</file>