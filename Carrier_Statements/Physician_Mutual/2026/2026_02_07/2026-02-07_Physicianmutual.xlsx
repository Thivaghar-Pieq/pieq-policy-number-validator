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2-7-26\"/>
    </mc:Choice>
  </mc:AlternateContent>
  <xr:revisionPtr revIDLastSave="0" documentId="13_ncr:1_{87AA5A52-C4D0-4B47-A143-F385B82E8285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First Year Commission" sheetId="1" r:id="rId1"/>
    <sheet name="Sheet1" sheetId="6" r:id="rId2"/>
    <sheet name="First Year Overwrites" sheetId="2" r:id="rId3"/>
    <sheet name="Advance Paybacks" sheetId="3" r:id="rId4"/>
    <sheet name="Advances - Paid Advances" sheetId="4" r:id="rId5"/>
    <sheet name="Bonus" sheetId="5" r:id="rId6"/>
  </sheets>
  <calcPr calcId="181029"/>
</workbook>
</file>

<file path=xl/calcChain.xml><?xml version="1.0" encoding="utf-8"?>
<calcChain xmlns="http://schemas.openxmlformats.org/spreadsheetml/2006/main">
  <c r="D21" i="6" l="1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20" i="6"/>
  <c r="L6" i="6"/>
  <c r="L5" i="6"/>
  <c r="L4" i="6"/>
  <c r="L3" i="6"/>
  <c r="L15" i="6"/>
  <c r="L2" i="6"/>
  <c r="L7" i="6"/>
  <c r="L8" i="6"/>
  <c r="L11" i="6"/>
  <c r="L9" i="6"/>
  <c r="L16" i="6"/>
  <c r="L17" i="6"/>
  <c r="L18" i="6"/>
  <c r="L19" i="6"/>
  <c r="L12" i="6"/>
  <c r="L13" i="6"/>
  <c r="L14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10" i="6"/>
  <c r="G11" i="6"/>
  <c r="G3" i="6"/>
  <c r="G4" i="6"/>
  <c r="G5" i="6"/>
  <c r="G9" i="6"/>
  <c r="G6" i="6"/>
  <c r="G2" i="6"/>
  <c r="G7" i="6"/>
  <c r="G8" i="6"/>
  <c r="G16" i="6"/>
  <c r="G17" i="6"/>
  <c r="G18" i="6"/>
  <c r="G19" i="6"/>
  <c r="G12" i="6"/>
  <c r="G13" i="6"/>
  <c r="G14" i="6"/>
  <c r="G15" i="6"/>
  <c r="G10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</calcChain>
</file>

<file path=xl/sharedStrings.xml><?xml version="1.0" encoding="utf-8"?>
<sst xmlns="http://schemas.openxmlformats.org/spreadsheetml/2006/main" count="1338" uniqueCount="192">
  <si>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</si>
  <si>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</si>
  <si>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</si>
  <si>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</si>
  <si>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</si>
  <si>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</si>
  <si>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</si>
  <si>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</si>
  <si>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</si>
  <si>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</si>
  <si>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</si>
  <si>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</si>
  <si>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</si>
  <si>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</si>
  <si>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</si>
  <si>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</si>
  <si>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</si>
  <si>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</si>
  <si>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</si>
  <si>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</si>
  <si>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</si>
  <si>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</si>
  <si>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</si>
  <si>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>Brandt Steven K</t>
  </si>
  <si>
    <t xml:space="preserve">Sherman Matthew </t>
  </si>
  <si>
    <t>Kucan Thomas null</t>
  </si>
  <si>
    <t>Petrungaro Andrea null</t>
  </si>
  <si>
    <t>Schumann Barry null</t>
  </si>
  <si>
    <t>Hoffmann Jason null</t>
  </si>
  <si>
    <t>18710070</t>
  </si>
  <si>
    <t>17528908</t>
  </si>
  <si>
    <t>19491313</t>
  </si>
  <si>
    <t>8812322</t>
  </si>
  <si>
    <t>16202925</t>
  </si>
  <si>
    <t>16912722</t>
  </si>
  <si>
    <t>19586992</t>
  </si>
  <si>
    <t>15278437</t>
  </si>
  <si>
    <t>H711086900</t>
  </si>
  <si>
    <t>H711053915</t>
  </si>
  <si>
    <t>H750087378</t>
  </si>
  <si>
    <t>H750072498</t>
  </si>
  <si>
    <t>H750082805</t>
  </si>
  <si>
    <t>H711024512</t>
  </si>
  <si>
    <t>H750080222</t>
  </si>
  <si>
    <t>H750086341</t>
  </si>
  <si>
    <t>H750070618</t>
  </si>
  <si>
    <t>H750088570</t>
  </si>
  <si>
    <t>H711086159</t>
  </si>
  <si>
    <t>H711104082</t>
  </si>
  <si>
    <t>H711088706</t>
  </si>
  <si>
    <t>H711106761</t>
  </si>
  <si>
    <t>H711045437</t>
  </si>
  <si>
    <t>H711056072</t>
  </si>
  <si>
    <t>H711053462</t>
  </si>
  <si>
    <t>H750075562</t>
  </si>
  <si>
    <t>H750093974</t>
  </si>
  <si>
    <t>Michael</t>
  </si>
  <si>
    <t>Jo Anne</t>
  </si>
  <si>
    <t>Charles</t>
  </si>
  <si>
    <t>Jacquelyn</t>
  </si>
  <si>
    <t>Minnie</t>
  </si>
  <si>
    <t>Daniel</t>
  </si>
  <si>
    <t>Rhonda</t>
  </si>
  <si>
    <t>Thomas</t>
  </si>
  <si>
    <t>John</t>
  </si>
  <si>
    <t>Donald</t>
  </si>
  <si>
    <t>Joshua</t>
  </si>
  <si>
    <t>Emilee</t>
  </si>
  <si>
    <t>Scott</t>
  </si>
  <si>
    <t>Iysiah</t>
  </si>
  <si>
    <t>Shaista</t>
  </si>
  <si>
    <t>Allen</t>
  </si>
  <si>
    <t>Claire</t>
  </si>
  <si>
    <t>Janice</t>
  </si>
  <si>
    <t>Davis</t>
  </si>
  <si>
    <t>Kelly</t>
  </si>
  <si>
    <t>Barrett</t>
  </si>
  <si>
    <t>Alvis</t>
  </si>
  <si>
    <t>Vargo</t>
  </si>
  <si>
    <t>Turner</t>
  </si>
  <si>
    <t>Mays</t>
  </si>
  <si>
    <t>Benik</t>
  </si>
  <si>
    <t>Thompson</t>
  </si>
  <si>
    <t>Henkel</t>
  </si>
  <si>
    <t>Meyers</t>
  </si>
  <si>
    <t>Knollenberg</t>
  </si>
  <si>
    <t>Kiefner</t>
  </si>
  <si>
    <t>Maull</t>
  </si>
  <si>
    <t>Ali</t>
  </si>
  <si>
    <t>Funamura</t>
  </si>
  <si>
    <t>Nighman</t>
  </si>
  <si>
    <t>Gilbert</t>
  </si>
  <si>
    <t>C25400002</t>
  </si>
  <si>
    <t>S06600001</t>
  </si>
  <si>
    <t>P15400002</t>
  </si>
  <si>
    <t>S06500001</t>
  </si>
  <si>
    <t>Dental</t>
  </si>
  <si>
    <t>Medicare Supplement</t>
  </si>
  <si>
    <t>PA</t>
  </si>
  <si>
    <t>OH</t>
  </si>
  <si>
    <t>IL</t>
  </si>
  <si>
    <t>MD</t>
  </si>
  <si>
    <t>2026-02-03</t>
  </si>
  <si>
    <t>2026-02-02</t>
  </si>
  <si>
    <t>2026-02-05</t>
  </si>
  <si>
    <t>2026-02-06</t>
  </si>
  <si>
    <t>2026-02-04</t>
  </si>
  <si>
    <t>2026-03-01</t>
  </si>
  <si>
    <t>2026-03-05</t>
  </si>
  <si>
    <t>2026-04-01</t>
  </si>
  <si>
    <t>2026-02-01</t>
  </si>
  <si>
    <t>2026-03-03</t>
  </si>
  <si>
    <t>56</t>
  </si>
  <si>
    <t>67</t>
  </si>
  <si>
    <t>66</t>
  </si>
  <si>
    <t>65</t>
  </si>
  <si>
    <t>60</t>
  </si>
  <si>
    <t>33</t>
  </si>
  <si>
    <t>29</t>
  </si>
  <si>
    <t>25</t>
  </si>
  <si>
    <t>73</t>
  </si>
  <si>
    <t>72</t>
  </si>
  <si>
    <t>MONTHLY</t>
  </si>
  <si>
    <t>RCVP</t>
  </si>
  <si>
    <t>RCVP-R</t>
  </si>
  <si>
    <t>PRF</t>
  </si>
  <si>
    <t>2</t>
  </si>
  <si>
    <t>3</t>
  </si>
  <si>
    <t>5</t>
  </si>
  <si>
    <t>7</t>
  </si>
  <si>
    <t>1</t>
  </si>
  <si>
    <t>4</t>
  </si>
  <si>
    <t>56.50</t>
  </si>
  <si>
    <t>143.78</t>
  </si>
  <si>
    <t>104.82</t>
  </si>
  <si>
    <t>130.09</t>
  </si>
  <si>
    <t>62.17</t>
  </si>
  <si>
    <t>104.28</t>
  </si>
  <si>
    <t>130.65</t>
  </si>
  <si>
    <t>65.45</t>
  </si>
  <si>
    <t>177.95</t>
  </si>
  <si>
    <t>-39.45</t>
  </si>
  <si>
    <t>55.90</t>
  </si>
  <si>
    <t>116.70</t>
  </si>
  <si>
    <t>252.00</t>
  </si>
  <si>
    <t>0.00</t>
  </si>
  <si>
    <t>115.86</t>
  </si>
  <si>
    <t>215.71</t>
  </si>
  <si>
    <t>100.00000</t>
  </si>
  <si>
    <t>0.00%</t>
  </si>
  <si>
    <t>25.00%</t>
  </si>
  <si>
    <t>21.00%</t>
  </si>
  <si>
    <t>2.00%</t>
  </si>
  <si>
    <t>20.80%</t>
  </si>
  <si>
    <t>1.00%</t>
  </si>
  <si>
    <t>N</t>
  </si>
  <si>
    <t>Y</t>
  </si>
  <si>
    <t>9.50%</t>
  </si>
  <si>
    <t>3.90%</t>
  </si>
  <si>
    <t>2.80%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</si>
  <si>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</si>
  <si>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</si>
  <si>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</si>
  <si>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</si>
  <si>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</si>
  <si>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</si>
  <si>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</si>
  <si>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</si>
  <si>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</si>
  <si>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Issue Advance Request</t>
  </si>
  <si>
    <t>amount</t>
  </si>
  <si>
    <t>MED SUPP BNS JAN 2026</t>
  </si>
  <si>
    <t>ISS-B</t>
  </si>
  <si>
    <t>Main Line Benefits</t>
  </si>
  <si>
    <t xml:space="preserve">Inskipt Deborah </t>
  </si>
  <si>
    <t xml:space="preserve">Kucan Thomas </t>
  </si>
  <si>
    <t xml:space="preserve">Petrungaro Andrea </t>
  </si>
  <si>
    <t xml:space="preserve">Schumann Barry </t>
  </si>
  <si>
    <t xml:space="preserve">Hoffmann Jason </t>
  </si>
  <si>
    <t>All Other Guarantee Issue, Underage, &amp; Issue Age 80+ 1%</t>
  </si>
  <si>
    <t>All Other Guarantee Issue, Underage, &amp; Issue Age 80+</t>
  </si>
  <si>
    <t>Open Enrollment underwritten IL</t>
  </si>
  <si>
    <t>Open Enrollment - States Where Available</t>
  </si>
  <si>
    <t>Standard Dental</t>
  </si>
  <si>
    <t>17528908N</t>
  </si>
  <si>
    <t>8812322AV9</t>
  </si>
  <si>
    <t>Physician Mutual OVR</t>
  </si>
  <si>
    <t>AE</t>
  </si>
  <si>
    <t>RN</t>
  </si>
  <si>
    <t>NB</t>
  </si>
  <si>
    <t>AV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</si>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</sst>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0" fontId="0" fillId="0" borderId="0" xfId="0" applyNumberFormat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>
      <selection sqref="A1:XFD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29</v>
      </c>
      <c r="C2" t="s">
        <v>37</v>
      </c>
      <c r="D2" t="s">
        <v>56</v>
      </c>
      <c r="E2" t="s">
        <v>74</v>
      </c>
      <c r="F2" t="s">
        <v>92</v>
      </c>
      <c r="G2" t="s">
        <v>96</v>
      </c>
      <c r="H2" t="s">
        <v>98</v>
      </c>
      <c r="I2" t="s">
        <v>102</v>
      </c>
      <c r="J2" t="s">
        <v>107</v>
      </c>
      <c r="K2" t="s">
        <v>112</v>
      </c>
      <c r="L2" t="s">
        <v>122</v>
      </c>
      <c r="M2" t="s">
        <v>123</v>
      </c>
      <c r="N2" t="s">
        <v>126</v>
      </c>
      <c r="O2" t="s">
        <v>132</v>
      </c>
      <c r="P2" t="s">
        <v>145</v>
      </c>
      <c r="Q2" t="s">
        <v>132</v>
      </c>
      <c r="R2" t="s">
        <v>148</v>
      </c>
      <c r="S2" t="s">
        <v>149</v>
      </c>
      <c r="T2">
        <v>0</v>
      </c>
      <c r="U2" t="s">
        <v>155</v>
      </c>
    </row>
    <row r="3" spans="1:21" x14ac:dyDescent="0.25">
      <c r="A3" t="s">
        <v>22</v>
      </c>
      <c r="B3" t="s">
        <v>30</v>
      </c>
      <c r="C3" t="s">
        <v>38</v>
      </c>
      <c r="D3" t="s">
        <v>57</v>
      </c>
      <c r="E3" t="s">
        <v>75</v>
      </c>
      <c r="F3" t="s">
        <v>92</v>
      </c>
      <c r="G3" t="s">
        <v>96</v>
      </c>
      <c r="H3" t="s">
        <v>98</v>
      </c>
      <c r="I3" t="s">
        <v>103</v>
      </c>
      <c r="J3" t="s">
        <v>107</v>
      </c>
      <c r="K3" t="s">
        <v>113</v>
      </c>
      <c r="L3" t="s">
        <v>122</v>
      </c>
      <c r="M3" t="s">
        <v>123</v>
      </c>
      <c r="N3" t="s">
        <v>126</v>
      </c>
      <c r="O3" t="s">
        <v>132</v>
      </c>
      <c r="P3" t="s">
        <v>145</v>
      </c>
      <c r="Q3" t="s">
        <v>132</v>
      </c>
      <c r="R3" t="s">
        <v>148</v>
      </c>
      <c r="S3" t="s">
        <v>150</v>
      </c>
      <c r="T3">
        <v>14.13</v>
      </c>
      <c r="U3" t="s">
        <v>156</v>
      </c>
    </row>
    <row r="4" spans="1:21" x14ac:dyDescent="0.25">
      <c r="A4" t="s">
        <v>23</v>
      </c>
      <c r="B4" t="s">
        <v>31</v>
      </c>
      <c r="C4" t="s">
        <v>39</v>
      </c>
      <c r="D4" t="s">
        <v>58</v>
      </c>
      <c r="E4" t="s">
        <v>76</v>
      </c>
      <c r="F4" t="s">
        <v>93</v>
      </c>
      <c r="G4" t="s">
        <v>97</v>
      </c>
      <c r="H4" t="s">
        <v>99</v>
      </c>
      <c r="I4" t="s">
        <v>103</v>
      </c>
      <c r="J4" t="s">
        <v>107</v>
      </c>
      <c r="K4" t="s">
        <v>114</v>
      </c>
      <c r="L4" t="s">
        <v>122</v>
      </c>
      <c r="M4" t="s">
        <v>124</v>
      </c>
      <c r="N4" t="s">
        <v>127</v>
      </c>
      <c r="O4" t="s">
        <v>133</v>
      </c>
      <c r="P4" t="s">
        <v>145</v>
      </c>
      <c r="Q4" t="s">
        <v>133</v>
      </c>
      <c r="R4" t="s">
        <v>148</v>
      </c>
      <c r="S4" t="s">
        <v>151</v>
      </c>
      <c r="T4">
        <v>30.19</v>
      </c>
      <c r="U4" t="s">
        <v>156</v>
      </c>
    </row>
    <row r="5" spans="1:21" x14ac:dyDescent="0.25">
      <c r="A5" t="s">
        <v>23</v>
      </c>
      <c r="B5" t="s">
        <v>31</v>
      </c>
      <c r="C5" t="s">
        <v>40</v>
      </c>
      <c r="D5" t="s">
        <v>59</v>
      </c>
      <c r="E5" t="s">
        <v>77</v>
      </c>
      <c r="F5" t="s">
        <v>93</v>
      </c>
      <c r="G5" t="s">
        <v>97</v>
      </c>
      <c r="H5" t="s">
        <v>99</v>
      </c>
      <c r="I5" t="s">
        <v>102</v>
      </c>
      <c r="J5" t="s">
        <v>107</v>
      </c>
      <c r="K5" t="s">
        <v>115</v>
      </c>
      <c r="L5" t="s">
        <v>122</v>
      </c>
      <c r="M5" t="s">
        <v>123</v>
      </c>
      <c r="N5" t="s">
        <v>128</v>
      </c>
      <c r="O5" t="s">
        <v>134</v>
      </c>
      <c r="P5" t="s">
        <v>145</v>
      </c>
      <c r="Q5" t="s">
        <v>134</v>
      </c>
      <c r="R5" t="s">
        <v>148</v>
      </c>
      <c r="S5" t="s">
        <v>151</v>
      </c>
      <c r="T5">
        <v>22.01</v>
      </c>
      <c r="U5" t="s">
        <v>156</v>
      </c>
    </row>
    <row r="6" spans="1:21" x14ac:dyDescent="0.25">
      <c r="A6" t="s">
        <v>23</v>
      </c>
      <c r="B6" t="s">
        <v>31</v>
      </c>
      <c r="C6" t="s">
        <v>41</v>
      </c>
      <c r="D6" t="s">
        <v>60</v>
      </c>
      <c r="E6" t="s">
        <v>78</v>
      </c>
      <c r="F6" t="s">
        <v>93</v>
      </c>
      <c r="G6" t="s">
        <v>97</v>
      </c>
      <c r="H6" t="s">
        <v>99</v>
      </c>
      <c r="I6" t="s">
        <v>102</v>
      </c>
      <c r="J6" t="s">
        <v>107</v>
      </c>
      <c r="K6" t="s">
        <v>114</v>
      </c>
      <c r="L6" t="s">
        <v>122</v>
      </c>
      <c r="M6" t="s">
        <v>124</v>
      </c>
      <c r="N6" t="s">
        <v>126</v>
      </c>
      <c r="O6" t="s">
        <v>135</v>
      </c>
      <c r="P6" t="s">
        <v>145</v>
      </c>
      <c r="Q6" t="s">
        <v>135</v>
      </c>
      <c r="R6" t="s">
        <v>148</v>
      </c>
      <c r="S6" t="s">
        <v>151</v>
      </c>
      <c r="T6">
        <v>27.32</v>
      </c>
      <c r="U6" t="s">
        <v>156</v>
      </c>
    </row>
    <row r="7" spans="1:21" x14ac:dyDescent="0.25">
      <c r="A7" t="s">
        <v>23</v>
      </c>
      <c r="B7" t="s">
        <v>31</v>
      </c>
      <c r="C7" t="s">
        <v>42</v>
      </c>
      <c r="D7" t="s">
        <v>61</v>
      </c>
      <c r="E7" t="s">
        <v>79</v>
      </c>
      <c r="F7" t="s">
        <v>94</v>
      </c>
      <c r="G7" t="s">
        <v>96</v>
      </c>
      <c r="H7" t="s">
        <v>99</v>
      </c>
      <c r="I7" t="s">
        <v>104</v>
      </c>
      <c r="J7" t="s">
        <v>107</v>
      </c>
      <c r="K7" t="s">
        <v>115</v>
      </c>
      <c r="L7" t="s">
        <v>122</v>
      </c>
      <c r="M7" t="s">
        <v>123</v>
      </c>
      <c r="N7" t="s">
        <v>129</v>
      </c>
      <c r="O7" t="s">
        <v>136</v>
      </c>
      <c r="P7" t="s">
        <v>145</v>
      </c>
      <c r="Q7" t="s">
        <v>136</v>
      </c>
      <c r="R7" t="s">
        <v>148</v>
      </c>
      <c r="S7" t="s">
        <v>150</v>
      </c>
      <c r="T7">
        <v>15.54</v>
      </c>
      <c r="U7" t="s">
        <v>155</v>
      </c>
    </row>
    <row r="8" spans="1:21" x14ac:dyDescent="0.25">
      <c r="A8" t="s">
        <v>23</v>
      </c>
      <c r="B8" t="s">
        <v>31</v>
      </c>
      <c r="C8" t="s">
        <v>43</v>
      </c>
      <c r="D8" t="s">
        <v>62</v>
      </c>
      <c r="E8" t="s">
        <v>80</v>
      </c>
      <c r="F8" t="s">
        <v>93</v>
      </c>
      <c r="G8" t="s">
        <v>97</v>
      </c>
      <c r="H8" t="s">
        <v>99</v>
      </c>
      <c r="I8" t="s">
        <v>104</v>
      </c>
      <c r="J8" t="s">
        <v>107</v>
      </c>
      <c r="K8" t="s">
        <v>113</v>
      </c>
      <c r="L8" t="s">
        <v>122</v>
      </c>
      <c r="M8" t="s">
        <v>124</v>
      </c>
      <c r="N8" t="s">
        <v>127</v>
      </c>
      <c r="O8" t="s">
        <v>135</v>
      </c>
      <c r="P8" t="s">
        <v>145</v>
      </c>
      <c r="Q8" t="s">
        <v>135</v>
      </c>
      <c r="R8" t="s">
        <v>148</v>
      </c>
      <c r="S8" t="s">
        <v>151</v>
      </c>
      <c r="T8">
        <v>27.32</v>
      </c>
      <c r="U8" t="s">
        <v>156</v>
      </c>
    </row>
    <row r="9" spans="1:21" x14ac:dyDescent="0.25">
      <c r="A9" t="s">
        <v>23</v>
      </c>
      <c r="B9" t="s">
        <v>31</v>
      </c>
      <c r="C9" t="s">
        <v>44</v>
      </c>
      <c r="D9" t="s">
        <v>63</v>
      </c>
      <c r="E9" t="s">
        <v>81</v>
      </c>
      <c r="F9" t="s">
        <v>93</v>
      </c>
      <c r="G9" t="s">
        <v>97</v>
      </c>
      <c r="H9" t="s">
        <v>99</v>
      </c>
      <c r="I9" t="s">
        <v>104</v>
      </c>
      <c r="J9" t="s">
        <v>107</v>
      </c>
      <c r="K9" t="s">
        <v>115</v>
      </c>
      <c r="L9" t="s">
        <v>122</v>
      </c>
      <c r="M9" t="s">
        <v>124</v>
      </c>
      <c r="N9" t="s">
        <v>128</v>
      </c>
      <c r="O9" t="s">
        <v>137</v>
      </c>
      <c r="P9" t="s">
        <v>145</v>
      </c>
      <c r="Q9" t="s">
        <v>137</v>
      </c>
      <c r="R9" t="s">
        <v>148</v>
      </c>
      <c r="S9" t="s">
        <v>152</v>
      </c>
      <c r="T9">
        <v>2.09</v>
      </c>
      <c r="U9" t="s">
        <v>156</v>
      </c>
    </row>
    <row r="10" spans="1:21" x14ac:dyDescent="0.25">
      <c r="A10" t="s">
        <v>23</v>
      </c>
      <c r="B10" t="s">
        <v>31</v>
      </c>
      <c r="C10" t="s">
        <v>45</v>
      </c>
      <c r="D10" t="s">
        <v>61</v>
      </c>
      <c r="E10" t="s">
        <v>79</v>
      </c>
      <c r="F10" t="s">
        <v>93</v>
      </c>
      <c r="G10" t="s">
        <v>97</v>
      </c>
      <c r="H10" t="s">
        <v>99</v>
      </c>
      <c r="I10" t="s">
        <v>104</v>
      </c>
      <c r="J10" t="s">
        <v>107</v>
      </c>
      <c r="K10" t="s">
        <v>115</v>
      </c>
      <c r="L10" t="s">
        <v>122</v>
      </c>
      <c r="M10" t="s">
        <v>124</v>
      </c>
      <c r="N10" t="s">
        <v>129</v>
      </c>
      <c r="O10" t="s">
        <v>133</v>
      </c>
      <c r="P10" t="s">
        <v>145</v>
      </c>
      <c r="Q10" t="s">
        <v>146</v>
      </c>
      <c r="R10" t="s">
        <v>148</v>
      </c>
      <c r="S10" t="s">
        <v>151</v>
      </c>
      <c r="T10">
        <v>24.33</v>
      </c>
      <c r="U10" t="s">
        <v>155</v>
      </c>
    </row>
    <row r="11" spans="1:21" x14ac:dyDescent="0.25">
      <c r="A11" t="s">
        <v>23</v>
      </c>
      <c r="B11" t="s">
        <v>31</v>
      </c>
      <c r="C11" t="s">
        <v>46</v>
      </c>
      <c r="D11" t="s">
        <v>64</v>
      </c>
      <c r="E11" t="s">
        <v>82</v>
      </c>
      <c r="F11" t="s">
        <v>93</v>
      </c>
      <c r="G11" t="s">
        <v>97</v>
      </c>
      <c r="H11" t="s">
        <v>99</v>
      </c>
      <c r="I11" t="s">
        <v>105</v>
      </c>
      <c r="J11" t="s">
        <v>107</v>
      </c>
      <c r="K11" t="s">
        <v>115</v>
      </c>
      <c r="L11" t="s">
        <v>122</v>
      </c>
      <c r="M11" t="s">
        <v>124</v>
      </c>
      <c r="N11" t="s">
        <v>126</v>
      </c>
      <c r="O11" t="s">
        <v>133</v>
      </c>
      <c r="P11" t="s">
        <v>145</v>
      </c>
      <c r="Q11" t="s">
        <v>133</v>
      </c>
      <c r="R11" t="s">
        <v>148</v>
      </c>
      <c r="S11" t="s">
        <v>151</v>
      </c>
      <c r="T11">
        <v>30.19</v>
      </c>
      <c r="U11" t="s">
        <v>156</v>
      </c>
    </row>
    <row r="12" spans="1:21" x14ac:dyDescent="0.25">
      <c r="A12" t="s">
        <v>24</v>
      </c>
      <c r="B12" t="s">
        <v>32</v>
      </c>
      <c r="C12" t="s">
        <v>47</v>
      </c>
      <c r="D12" t="s">
        <v>65</v>
      </c>
      <c r="E12" t="s">
        <v>83</v>
      </c>
      <c r="F12" t="s">
        <v>94</v>
      </c>
      <c r="G12" t="s">
        <v>96</v>
      </c>
      <c r="H12" t="s">
        <v>100</v>
      </c>
      <c r="I12" t="s">
        <v>103</v>
      </c>
      <c r="J12" t="s">
        <v>107</v>
      </c>
      <c r="K12" t="s">
        <v>116</v>
      </c>
      <c r="L12" t="s">
        <v>122</v>
      </c>
      <c r="M12" t="s">
        <v>123</v>
      </c>
      <c r="N12" t="s">
        <v>126</v>
      </c>
      <c r="O12" t="s">
        <v>138</v>
      </c>
      <c r="P12" t="s">
        <v>145</v>
      </c>
      <c r="Q12" t="s">
        <v>138</v>
      </c>
      <c r="R12" t="s">
        <v>148</v>
      </c>
      <c r="S12" t="s">
        <v>150</v>
      </c>
      <c r="T12">
        <v>32.659999999999997</v>
      </c>
      <c r="U12" t="s">
        <v>156</v>
      </c>
    </row>
    <row r="13" spans="1:21" x14ac:dyDescent="0.25">
      <c r="A13" t="s">
        <v>24</v>
      </c>
      <c r="B13" t="s">
        <v>32</v>
      </c>
      <c r="C13" t="s">
        <v>48</v>
      </c>
      <c r="D13" t="s">
        <v>66</v>
      </c>
      <c r="E13" t="s">
        <v>84</v>
      </c>
      <c r="F13" t="s">
        <v>94</v>
      </c>
      <c r="G13" t="s">
        <v>96</v>
      </c>
      <c r="H13" t="s">
        <v>100</v>
      </c>
      <c r="I13" t="s">
        <v>103</v>
      </c>
      <c r="J13" t="s">
        <v>107</v>
      </c>
      <c r="K13" t="s">
        <v>117</v>
      </c>
      <c r="L13" t="s">
        <v>122</v>
      </c>
      <c r="M13" t="s">
        <v>123</v>
      </c>
      <c r="N13" t="s">
        <v>130</v>
      </c>
      <c r="O13" t="s">
        <v>139</v>
      </c>
      <c r="P13" t="s">
        <v>145</v>
      </c>
      <c r="Q13" t="s">
        <v>139</v>
      </c>
      <c r="R13" t="s">
        <v>148</v>
      </c>
      <c r="S13" t="s">
        <v>150</v>
      </c>
      <c r="T13">
        <v>16.36</v>
      </c>
      <c r="U13" t="s">
        <v>156</v>
      </c>
    </row>
    <row r="14" spans="1:21" x14ac:dyDescent="0.25">
      <c r="A14" t="s">
        <v>24</v>
      </c>
      <c r="B14" t="s">
        <v>32</v>
      </c>
      <c r="C14" t="s">
        <v>49</v>
      </c>
      <c r="D14" t="s">
        <v>67</v>
      </c>
      <c r="E14" t="s">
        <v>85</v>
      </c>
      <c r="F14" t="s">
        <v>94</v>
      </c>
      <c r="G14" t="s">
        <v>96</v>
      </c>
      <c r="H14" t="s">
        <v>100</v>
      </c>
      <c r="I14" t="s">
        <v>104</v>
      </c>
      <c r="J14" t="s">
        <v>108</v>
      </c>
      <c r="K14" t="s">
        <v>118</v>
      </c>
      <c r="L14" t="s">
        <v>122</v>
      </c>
      <c r="M14" t="s">
        <v>123</v>
      </c>
      <c r="N14" t="s">
        <v>126</v>
      </c>
      <c r="O14" t="s">
        <v>140</v>
      </c>
      <c r="P14" t="s">
        <v>145</v>
      </c>
      <c r="Q14" t="s">
        <v>140</v>
      </c>
      <c r="R14" t="s">
        <v>148</v>
      </c>
      <c r="S14" t="s">
        <v>150</v>
      </c>
      <c r="T14">
        <v>44.49</v>
      </c>
      <c r="U14" t="s">
        <v>156</v>
      </c>
    </row>
    <row r="15" spans="1:21" x14ac:dyDescent="0.25">
      <c r="A15" t="s">
        <v>24</v>
      </c>
      <c r="B15" t="s">
        <v>32</v>
      </c>
      <c r="C15" t="s">
        <v>50</v>
      </c>
      <c r="D15" t="s">
        <v>68</v>
      </c>
      <c r="E15" t="s">
        <v>86</v>
      </c>
      <c r="F15" t="s">
        <v>94</v>
      </c>
      <c r="G15" t="s">
        <v>96</v>
      </c>
      <c r="H15" t="s">
        <v>100</v>
      </c>
      <c r="I15" t="s">
        <v>105</v>
      </c>
      <c r="J15" t="s">
        <v>109</v>
      </c>
      <c r="K15" t="s">
        <v>112</v>
      </c>
      <c r="L15" t="s">
        <v>122</v>
      </c>
      <c r="M15" t="s">
        <v>123</v>
      </c>
      <c r="N15" t="s">
        <v>130</v>
      </c>
      <c r="O15" t="s">
        <v>139</v>
      </c>
      <c r="P15" t="s">
        <v>145</v>
      </c>
      <c r="Q15" t="s">
        <v>139</v>
      </c>
      <c r="R15" t="s">
        <v>148</v>
      </c>
      <c r="S15" t="s">
        <v>150</v>
      </c>
      <c r="T15">
        <v>16.36</v>
      </c>
      <c r="U15" t="s">
        <v>156</v>
      </c>
    </row>
    <row r="16" spans="1:21" x14ac:dyDescent="0.25">
      <c r="A16" t="s">
        <v>25</v>
      </c>
      <c r="B16" t="s">
        <v>33</v>
      </c>
      <c r="C16" t="s">
        <v>51</v>
      </c>
      <c r="D16" t="s">
        <v>69</v>
      </c>
      <c r="E16" t="s">
        <v>87</v>
      </c>
      <c r="F16" t="s">
        <v>94</v>
      </c>
      <c r="G16" t="s">
        <v>96</v>
      </c>
      <c r="H16" t="s">
        <v>101</v>
      </c>
      <c r="I16" t="s">
        <v>103</v>
      </c>
      <c r="J16" t="s">
        <v>110</v>
      </c>
      <c r="K16" t="s">
        <v>119</v>
      </c>
      <c r="L16" t="s">
        <v>122</v>
      </c>
      <c r="M16" t="s">
        <v>125</v>
      </c>
      <c r="N16" t="s">
        <v>128</v>
      </c>
      <c r="O16" t="s">
        <v>141</v>
      </c>
      <c r="P16" t="s">
        <v>145</v>
      </c>
      <c r="Q16" t="s">
        <v>141</v>
      </c>
      <c r="R16" t="s">
        <v>148</v>
      </c>
      <c r="S16" t="s">
        <v>150</v>
      </c>
      <c r="T16">
        <v>-9.86</v>
      </c>
      <c r="U16" t="s">
        <v>156</v>
      </c>
    </row>
    <row r="17" spans="1:21" x14ac:dyDescent="0.25">
      <c r="A17" t="s">
        <v>25</v>
      </c>
      <c r="B17" t="s">
        <v>33</v>
      </c>
      <c r="C17" t="s">
        <v>52</v>
      </c>
      <c r="D17" t="s">
        <v>70</v>
      </c>
      <c r="E17" t="s">
        <v>88</v>
      </c>
      <c r="F17" t="s">
        <v>94</v>
      </c>
      <c r="G17" t="s">
        <v>96</v>
      </c>
      <c r="H17" t="s">
        <v>101</v>
      </c>
      <c r="I17" t="s">
        <v>103</v>
      </c>
      <c r="J17" t="s">
        <v>107</v>
      </c>
      <c r="K17" t="s">
        <v>116</v>
      </c>
      <c r="L17" t="s">
        <v>122</v>
      </c>
      <c r="M17" t="s">
        <v>123</v>
      </c>
      <c r="N17" t="s">
        <v>131</v>
      </c>
      <c r="O17" t="s">
        <v>132</v>
      </c>
      <c r="P17" t="s">
        <v>145</v>
      </c>
      <c r="Q17" t="s">
        <v>132</v>
      </c>
      <c r="R17" t="s">
        <v>148</v>
      </c>
      <c r="S17" t="s">
        <v>150</v>
      </c>
      <c r="T17">
        <v>14.13</v>
      </c>
      <c r="U17" t="s">
        <v>156</v>
      </c>
    </row>
    <row r="18" spans="1:21" x14ac:dyDescent="0.25">
      <c r="A18" t="s">
        <v>26</v>
      </c>
      <c r="B18" t="s">
        <v>34</v>
      </c>
      <c r="C18" t="s">
        <v>53</v>
      </c>
      <c r="D18" t="s">
        <v>71</v>
      </c>
      <c r="E18" t="s">
        <v>89</v>
      </c>
      <c r="F18" t="s">
        <v>94</v>
      </c>
      <c r="G18" t="s">
        <v>96</v>
      </c>
      <c r="H18" t="s">
        <v>100</v>
      </c>
      <c r="I18" t="s">
        <v>105</v>
      </c>
      <c r="J18" t="s">
        <v>107</v>
      </c>
      <c r="K18" t="s">
        <v>120</v>
      </c>
      <c r="L18" t="s">
        <v>122</v>
      </c>
      <c r="M18" t="s">
        <v>124</v>
      </c>
      <c r="N18" t="s">
        <v>131</v>
      </c>
      <c r="O18" t="s">
        <v>142</v>
      </c>
      <c r="P18" t="s">
        <v>145</v>
      </c>
      <c r="Q18" t="s">
        <v>142</v>
      </c>
      <c r="R18" t="s">
        <v>148</v>
      </c>
      <c r="S18" t="s">
        <v>150</v>
      </c>
      <c r="T18">
        <v>13.98</v>
      </c>
      <c r="U18" t="s">
        <v>156</v>
      </c>
    </row>
    <row r="19" spans="1:21" x14ac:dyDescent="0.25">
      <c r="A19" t="s">
        <v>27</v>
      </c>
      <c r="B19" t="s">
        <v>35</v>
      </c>
      <c r="C19" t="s">
        <v>54</v>
      </c>
      <c r="D19" t="s">
        <v>72</v>
      </c>
      <c r="E19" t="s">
        <v>90</v>
      </c>
      <c r="F19" t="s">
        <v>93</v>
      </c>
      <c r="G19" t="s">
        <v>97</v>
      </c>
      <c r="H19" t="s">
        <v>100</v>
      </c>
      <c r="I19" t="s">
        <v>106</v>
      </c>
      <c r="J19" t="s">
        <v>107</v>
      </c>
      <c r="K19" t="s">
        <v>115</v>
      </c>
      <c r="L19" t="s">
        <v>122</v>
      </c>
      <c r="M19" t="s">
        <v>123</v>
      </c>
      <c r="N19" t="s">
        <v>128</v>
      </c>
      <c r="O19" t="s">
        <v>143</v>
      </c>
      <c r="P19" t="s">
        <v>145</v>
      </c>
      <c r="Q19" t="s">
        <v>143</v>
      </c>
      <c r="R19" t="s">
        <v>148</v>
      </c>
      <c r="S19" t="s">
        <v>153</v>
      </c>
      <c r="T19">
        <v>24.27</v>
      </c>
      <c r="U19" t="s">
        <v>156</v>
      </c>
    </row>
    <row r="20" spans="1:21" x14ac:dyDescent="0.25">
      <c r="A20" t="s">
        <v>28</v>
      </c>
      <c r="B20" t="s">
        <v>36</v>
      </c>
      <c r="C20" t="s">
        <v>55</v>
      </c>
      <c r="D20" t="s">
        <v>73</v>
      </c>
      <c r="E20" t="s">
        <v>91</v>
      </c>
      <c r="F20" t="s">
        <v>95</v>
      </c>
      <c r="G20" t="s">
        <v>97</v>
      </c>
      <c r="H20" t="s">
        <v>98</v>
      </c>
      <c r="I20" t="s">
        <v>103</v>
      </c>
      <c r="J20" t="s">
        <v>111</v>
      </c>
      <c r="K20" t="s">
        <v>121</v>
      </c>
      <c r="L20" t="s">
        <v>122</v>
      </c>
      <c r="M20" t="s">
        <v>124</v>
      </c>
      <c r="N20" t="s">
        <v>126</v>
      </c>
      <c r="O20" t="s">
        <v>144</v>
      </c>
      <c r="P20" t="s">
        <v>145</v>
      </c>
      <c r="Q20" t="s">
        <v>147</v>
      </c>
      <c r="R20" t="s">
        <v>148</v>
      </c>
      <c r="S20" t="s">
        <v>154</v>
      </c>
      <c r="T20">
        <v>2.16</v>
      </c>
      <c r="U20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5EA6-F4A7-463C-9CB8-D9BFA9F813C3}">
  <dimension ref="A1:S38"/>
  <sheetViews>
    <sheetView workbookViewId="0">
      <selection activeCell="R2" sqref="R2:R38"/>
    </sheetView>
  </sheetViews>
  <sheetFormatPr defaultRowHeight="15" x14ac:dyDescent="0.25"/>
  <cols>
    <col min="1" max="1" width="24.5703125" bestFit="1" customWidth="1"/>
    <col min="2" max="2" width="14.140625" customWidth="1"/>
    <col min="3" max="3" width="13.7109375" bestFit="1" customWidth="1"/>
    <col min="4" max="4" width="15.28515625" bestFit="1" customWidth="1"/>
    <col min="7" max="7" width="13.28515625" bestFit="1" customWidth="1"/>
    <col min="10" max="10" width="12.140625" customWidth="1"/>
    <col min="11" max="11" width="11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/>
      <c r="N1" s="1"/>
      <c r="O1" s="1" t="s">
        <v>16</v>
      </c>
      <c r="P1" s="1" t="s">
        <v>17</v>
      </c>
      <c r="Q1" s="1" t="s">
        <v>18</v>
      </c>
      <c r="R1" s="1" t="s">
        <v>19</v>
      </c>
    </row>
    <row r="2" spans="1:19" x14ac:dyDescent="0.25">
      <c r="A2" t="s">
        <v>23</v>
      </c>
      <c r="B2">
        <v>19491313</v>
      </c>
      <c r="C2" t="s">
        <v>44</v>
      </c>
      <c r="D2" t="s">
        <v>44</v>
      </c>
      <c r="E2" t="s">
        <v>63</v>
      </c>
      <c r="F2" t="s">
        <v>81</v>
      </c>
      <c r="G2" t="str">
        <f t="shared" ref="G2:G19" si="0">CONCATENATE(E2," ",F2)</f>
        <v>Thomas Benik</v>
      </c>
      <c r="H2" t="s">
        <v>97</v>
      </c>
      <c r="I2" t="s">
        <v>99</v>
      </c>
      <c r="J2" s="5">
        <v>45667</v>
      </c>
      <c r="K2" s="5">
        <v>46025</v>
      </c>
      <c r="L2">
        <f t="shared" ref="L2:L19" si="1">DATEDIF(J2,K2,"M")</f>
        <v>11</v>
      </c>
      <c r="M2" t="s">
        <v>188</v>
      </c>
      <c r="N2" t="s">
        <v>187</v>
      </c>
      <c r="O2">
        <v>104.28</v>
      </c>
      <c r="P2">
        <v>100</v>
      </c>
      <c r="Q2" s="3">
        <v>0.02</v>
      </c>
      <c r="R2">
        <v>2.09</v>
      </c>
      <c r="S2" t="s">
        <v>180</v>
      </c>
    </row>
    <row r="3" spans="1:19" x14ac:dyDescent="0.25">
      <c r="A3" t="s">
        <v>23</v>
      </c>
      <c r="B3">
        <v>19491313</v>
      </c>
      <c r="C3" t="s">
        <v>39</v>
      </c>
      <c r="D3" t="s">
        <v>39</v>
      </c>
      <c r="E3" t="s">
        <v>58</v>
      </c>
      <c r="F3" t="s">
        <v>76</v>
      </c>
      <c r="G3" t="str">
        <f t="shared" si="0"/>
        <v>Charles Barrett</v>
      </c>
      <c r="H3" t="s">
        <v>97</v>
      </c>
      <c r="I3" t="s">
        <v>99</v>
      </c>
      <c r="J3" s="5">
        <v>45669</v>
      </c>
      <c r="K3" s="5">
        <v>46025</v>
      </c>
      <c r="L3">
        <f t="shared" si="1"/>
        <v>11</v>
      </c>
      <c r="M3" t="s">
        <v>188</v>
      </c>
      <c r="N3" t="s">
        <v>187</v>
      </c>
      <c r="O3">
        <v>143.78</v>
      </c>
      <c r="P3">
        <v>100</v>
      </c>
      <c r="Q3" s="3">
        <v>0.21</v>
      </c>
      <c r="R3">
        <v>30.19</v>
      </c>
      <c r="S3" t="s">
        <v>182</v>
      </c>
    </row>
    <row r="4" spans="1:19" x14ac:dyDescent="0.25">
      <c r="A4" t="s">
        <v>23</v>
      </c>
      <c r="B4">
        <v>19491313</v>
      </c>
      <c r="C4" t="s">
        <v>40</v>
      </c>
      <c r="D4" t="s">
        <v>40</v>
      </c>
      <c r="E4" t="s">
        <v>59</v>
      </c>
      <c r="F4" t="s">
        <v>77</v>
      </c>
      <c r="G4" t="str">
        <f t="shared" si="0"/>
        <v>Jacquelyn Alvis</v>
      </c>
      <c r="H4" t="s">
        <v>97</v>
      </c>
      <c r="I4" t="s">
        <v>99</v>
      </c>
      <c r="J4" s="5">
        <v>45667</v>
      </c>
      <c r="K4" s="5">
        <v>46025</v>
      </c>
      <c r="L4">
        <f t="shared" si="1"/>
        <v>11</v>
      </c>
      <c r="M4" t="s">
        <v>188</v>
      </c>
      <c r="N4" t="s">
        <v>187</v>
      </c>
      <c r="O4">
        <v>104.82</v>
      </c>
      <c r="P4">
        <v>100</v>
      </c>
      <c r="Q4" s="3">
        <v>0.21</v>
      </c>
      <c r="R4">
        <v>22.01</v>
      </c>
      <c r="S4" t="s">
        <v>182</v>
      </c>
    </row>
    <row r="5" spans="1:19" x14ac:dyDescent="0.25">
      <c r="A5" t="s">
        <v>23</v>
      </c>
      <c r="B5">
        <v>19491313</v>
      </c>
      <c r="C5" t="s">
        <v>41</v>
      </c>
      <c r="D5" t="s">
        <v>41</v>
      </c>
      <c r="E5" t="s">
        <v>60</v>
      </c>
      <c r="F5" t="s">
        <v>78</v>
      </c>
      <c r="G5" t="str">
        <f t="shared" si="0"/>
        <v>Minnie Vargo</v>
      </c>
      <c r="H5" t="s">
        <v>97</v>
      </c>
      <c r="I5" t="s">
        <v>99</v>
      </c>
      <c r="J5" s="5">
        <v>46023</v>
      </c>
      <c r="K5" s="5">
        <v>46025</v>
      </c>
      <c r="L5">
        <f t="shared" si="1"/>
        <v>0</v>
      </c>
      <c r="M5" t="s">
        <v>188</v>
      </c>
      <c r="N5" t="s">
        <v>187</v>
      </c>
      <c r="O5">
        <v>130.09</v>
      </c>
      <c r="P5">
        <v>100</v>
      </c>
      <c r="Q5" s="3">
        <v>0.21</v>
      </c>
      <c r="R5">
        <v>27.32</v>
      </c>
      <c r="S5" t="s">
        <v>182</v>
      </c>
    </row>
    <row r="6" spans="1:19" x14ac:dyDescent="0.25">
      <c r="A6" t="s">
        <v>23</v>
      </c>
      <c r="B6">
        <v>19491313</v>
      </c>
      <c r="C6" t="s">
        <v>43</v>
      </c>
      <c r="D6" t="s">
        <v>43</v>
      </c>
      <c r="E6" t="s">
        <v>62</v>
      </c>
      <c r="F6" t="s">
        <v>80</v>
      </c>
      <c r="G6" t="str">
        <f t="shared" si="0"/>
        <v>Rhonda Mays</v>
      </c>
      <c r="H6" t="s">
        <v>97</v>
      </c>
      <c r="I6" t="s">
        <v>99</v>
      </c>
      <c r="J6" s="5">
        <v>45669</v>
      </c>
      <c r="K6" s="5">
        <v>46025</v>
      </c>
      <c r="L6">
        <f t="shared" si="1"/>
        <v>11</v>
      </c>
      <c r="M6" t="s">
        <v>188</v>
      </c>
      <c r="N6" t="s">
        <v>187</v>
      </c>
      <c r="O6">
        <v>130.09</v>
      </c>
      <c r="P6">
        <v>100</v>
      </c>
      <c r="Q6" s="3">
        <v>0.21</v>
      </c>
      <c r="R6">
        <v>27.32</v>
      </c>
      <c r="S6" t="s">
        <v>182</v>
      </c>
    </row>
    <row r="7" spans="1:19" x14ac:dyDescent="0.25">
      <c r="A7" t="s">
        <v>23</v>
      </c>
      <c r="B7">
        <v>19491313</v>
      </c>
      <c r="C7" t="s">
        <v>45</v>
      </c>
      <c r="D7" t="s">
        <v>45</v>
      </c>
      <c r="E7" t="s">
        <v>61</v>
      </c>
      <c r="F7" t="s">
        <v>79</v>
      </c>
      <c r="G7" t="str">
        <f t="shared" si="0"/>
        <v>Daniel Turner</v>
      </c>
      <c r="H7" t="s">
        <v>97</v>
      </c>
      <c r="I7" t="s">
        <v>99</v>
      </c>
      <c r="J7" s="5">
        <v>45665</v>
      </c>
      <c r="K7" s="5">
        <v>46025</v>
      </c>
      <c r="L7">
        <f t="shared" si="1"/>
        <v>11</v>
      </c>
      <c r="M7" t="s">
        <v>188</v>
      </c>
      <c r="N7" t="s">
        <v>187</v>
      </c>
      <c r="O7">
        <v>115.86</v>
      </c>
      <c r="P7">
        <v>100</v>
      </c>
      <c r="Q7" s="3">
        <v>0.21</v>
      </c>
      <c r="R7">
        <v>24.33</v>
      </c>
      <c r="S7" t="s">
        <v>182</v>
      </c>
    </row>
    <row r="8" spans="1:19" x14ac:dyDescent="0.25">
      <c r="A8" t="s">
        <v>23</v>
      </c>
      <c r="B8">
        <v>19491313</v>
      </c>
      <c r="C8" t="s">
        <v>46</v>
      </c>
      <c r="D8" t="s">
        <v>46</v>
      </c>
      <c r="E8" t="s">
        <v>64</v>
      </c>
      <c r="F8" t="s">
        <v>82</v>
      </c>
      <c r="G8" t="str">
        <f t="shared" si="0"/>
        <v>John Thompson</v>
      </c>
      <c r="H8" t="s">
        <v>97</v>
      </c>
      <c r="I8" t="s">
        <v>99</v>
      </c>
      <c r="J8" s="5">
        <v>46023</v>
      </c>
      <c r="K8" s="5">
        <v>46025</v>
      </c>
      <c r="L8">
        <f t="shared" si="1"/>
        <v>0</v>
      </c>
      <c r="M8" t="s">
        <v>188</v>
      </c>
      <c r="N8" t="s">
        <v>187</v>
      </c>
      <c r="O8">
        <v>143.78</v>
      </c>
      <c r="P8">
        <v>100</v>
      </c>
      <c r="Q8" s="3">
        <v>0.21</v>
      </c>
      <c r="R8">
        <v>30.19</v>
      </c>
      <c r="S8" t="s">
        <v>182</v>
      </c>
    </row>
    <row r="9" spans="1:19" x14ac:dyDescent="0.25">
      <c r="A9" t="s">
        <v>23</v>
      </c>
      <c r="B9">
        <v>19491313</v>
      </c>
      <c r="C9" t="s">
        <v>42</v>
      </c>
      <c r="D9" t="s">
        <v>42</v>
      </c>
      <c r="E9" t="s">
        <v>61</v>
      </c>
      <c r="F9" t="s">
        <v>79</v>
      </c>
      <c r="G9" t="str">
        <f t="shared" si="0"/>
        <v>Daniel Turner</v>
      </c>
      <c r="H9" t="s">
        <v>96</v>
      </c>
      <c r="I9" t="s">
        <v>99</v>
      </c>
      <c r="J9" s="5">
        <v>45665</v>
      </c>
      <c r="K9" s="5">
        <v>46025</v>
      </c>
      <c r="L9">
        <f t="shared" si="1"/>
        <v>11</v>
      </c>
      <c r="M9" t="s">
        <v>188</v>
      </c>
      <c r="N9" t="s">
        <v>187</v>
      </c>
      <c r="O9">
        <v>62.17</v>
      </c>
      <c r="P9">
        <v>100</v>
      </c>
      <c r="Q9" s="3">
        <v>0.25</v>
      </c>
      <c r="R9">
        <v>15.54</v>
      </c>
      <c r="S9" t="s">
        <v>183</v>
      </c>
    </row>
    <row r="10" spans="1:19" x14ac:dyDescent="0.25">
      <c r="A10" t="s">
        <v>178</v>
      </c>
      <c r="B10">
        <v>15278437</v>
      </c>
      <c r="C10" t="s">
        <v>55</v>
      </c>
      <c r="D10" t="s">
        <v>55</v>
      </c>
      <c r="E10" t="s">
        <v>73</v>
      </c>
      <c r="F10" t="s">
        <v>91</v>
      </c>
      <c r="G10" t="str">
        <f t="shared" si="0"/>
        <v>Janice Gilbert</v>
      </c>
      <c r="H10" t="s">
        <v>97</v>
      </c>
      <c r="I10" t="s">
        <v>98</v>
      </c>
      <c r="J10" s="5">
        <v>46082</v>
      </c>
      <c r="K10" s="5">
        <v>46084</v>
      </c>
      <c r="L10">
        <f t="shared" si="1"/>
        <v>0</v>
      </c>
      <c r="M10" t="s">
        <v>188</v>
      </c>
      <c r="N10" t="s">
        <v>187</v>
      </c>
      <c r="O10">
        <v>215.71</v>
      </c>
      <c r="P10">
        <v>100</v>
      </c>
      <c r="Q10" s="3">
        <v>0.01</v>
      </c>
      <c r="R10">
        <v>2.16</v>
      </c>
      <c r="S10" t="s">
        <v>179</v>
      </c>
    </row>
    <row r="11" spans="1:19" x14ac:dyDescent="0.25">
      <c r="A11" t="s">
        <v>174</v>
      </c>
      <c r="B11" t="s">
        <v>184</v>
      </c>
      <c r="C11" t="s">
        <v>38</v>
      </c>
      <c r="D11" t="s">
        <v>38</v>
      </c>
      <c r="E11" t="s">
        <v>57</v>
      </c>
      <c r="F11" t="s">
        <v>75</v>
      </c>
      <c r="G11" t="str">
        <f t="shared" si="0"/>
        <v>Jo Anne Kelly</v>
      </c>
      <c r="H11" t="s">
        <v>96</v>
      </c>
      <c r="I11" t="s">
        <v>98</v>
      </c>
      <c r="J11" s="5">
        <v>46023</v>
      </c>
      <c r="K11" s="5">
        <v>46025</v>
      </c>
      <c r="L11">
        <f t="shared" si="1"/>
        <v>0</v>
      </c>
      <c r="M11" t="s">
        <v>188</v>
      </c>
      <c r="N11" t="s">
        <v>187</v>
      </c>
      <c r="O11">
        <v>56.5</v>
      </c>
      <c r="P11">
        <v>100</v>
      </c>
      <c r="Q11" s="3">
        <v>0.25</v>
      </c>
      <c r="R11">
        <v>14.13</v>
      </c>
      <c r="S11" t="s">
        <v>183</v>
      </c>
    </row>
    <row r="12" spans="1:19" s="7" customFormat="1" x14ac:dyDescent="0.25">
      <c r="A12" s="7" t="s">
        <v>175</v>
      </c>
      <c r="B12" s="7">
        <v>16202925</v>
      </c>
      <c r="C12" s="7" t="s">
        <v>51</v>
      </c>
      <c r="D12" s="7" t="s">
        <v>51</v>
      </c>
      <c r="E12" s="7" t="s">
        <v>69</v>
      </c>
      <c r="F12" s="7" t="s">
        <v>87</v>
      </c>
      <c r="G12" s="7" t="str">
        <f t="shared" si="0"/>
        <v>Iysiah Maull</v>
      </c>
      <c r="H12" s="7" t="s">
        <v>96</v>
      </c>
      <c r="I12" s="7" t="s">
        <v>101</v>
      </c>
      <c r="J12" s="8">
        <v>45667</v>
      </c>
      <c r="K12" s="8">
        <v>46024</v>
      </c>
      <c r="L12" s="7">
        <f t="shared" si="1"/>
        <v>11</v>
      </c>
      <c r="M12" s="7" t="s">
        <v>188</v>
      </c>
      <c r="N12" s="7" t="s">
        <v>187</v>
      </c>
      <c r="O12" s="7">
        <v>-39.450000000000003</v>
      </c>
      <c r="P12" s="7">
        <v>100</v>
      </c>
      <c r="Q12" s="9">
        <v>0.25</v>
      </c>
      <c r="R12" s="7">
        <v>-9.86</v>
      </c>
      <c r="S12" s="7" t="s">
        <v>183</v>
      </c>
    </row>
    <row r="13" spans="1:19" s="7" customFormat="1" x14ac:dyDescent="0.25">
      <c r="A13" s="7" t="s">
        <v>175</v>
      </c>
      <c r="B13" s="7">
        <v>16202925</v>
      </c>
      <c r="C13" s="7" t="s">
        <v>52</v>
      </c>
      <c r="D13" s="7" t="s">
        <v>52</v>
      </c>
      <c r="E13" s="7" t="s">
        <v>70</v>
      </c>
      <c r="F13" s="7" t="s">
        <v>88</v>
      </c>
      <c r="G13" s="7" t="str">
        <f t="shared" si="0"/>
        <v>Shaista Ali</v>
      </c>
      <c r="H13" s="7" t="s">
        <v>96</v>
      </c>
      <c r="I13" s="7" t="s">
        <v>101</v>
      </c>
      <c r="J13" s="8">
        <v>45668</v>
      </c>
      <c r="K13" s="8">
        <v>46025</v>
      </c>
      <c r="L13" s="7">
        <f t="shared" si="1"/>
        <v>11</v>
      </c>
      <c r="M13" s="7" t="s">
        <v>188</v>
      </c>
      <c r="N13" s="7" t="s">
        <v>187</v>
      </c>
      <c r="O13" s="7">
        <v>56.5</v>
      </c>
      <c r="P13" s="7">
        <v>100</v>
      </c>
      <c r="Q13" s="9">
        <v>0.25</v>
      </c>
      <c r="R13" s="7">
        <v>14.13</v>
      </c>
      <c r="S13" s="7" t="s">
        <v>183</v>
      </c>
    </row>
    <row r="14" spans="1:19" s="7" customFormat="1" x14ac:dyDescent="0.25">
      <c r="A14" s="7" t="s">
        <v>176</v>
      </c>
      <c r="B14" s="7">
        <v>16912722</v>
      </c>
      <c r="C14" s="7" t="s">
        <v>53</v>
      </c>
      <c r="D14" s="7" t="s">
        <v>53</v>
      </c>
      <c r="E14" s="7" t="s">
        <v>71</v>
      </c>
      <c r="F14" s="7" t="s">
        <v>89</v>
      </c>
      <c r="G14" s="7" t="str">
        <f t="shared" si="0"/>
        <v>Allen Funamura</v>
      </c>
      <c r="H14" s="7" t="s">
        <v>96</v>
      </c>
      <c r="I14" s="7" t="s">
        <v>100</v>
      </c>
      <c r="J14" s="8">
        <v>45668</v>
      </c>
      <c r="K14" s="8">
        <v>46025</v>
      </c>
      <c r="L14" s="7">
        <f t="shared" si="1"/>
        <v>11</v>
      </c>
      <c r="M14" s="7" t="s">
        <v>188</v>
      </c>
      <c r="N14" s="7" t="s">
        <v>187</v>
      </c>
      <c r="O14" s="7">
        <v>55.9</v>
      </c>
      <c r="P14" s="7">
        <v>100</v>
      </c>
      <c r="Q14" s="9">
        <v>0.25</v>
      </c>
      <c r="R14" s="7">
        <v>13.98</v>
      </c>
      <c r="S14" s="7" t="s">
        <v>183</v>
      </c>
    </row>
    <row r="15" spans="1:19" s="7" customFormat="1" x14ac:dyDescent="0.25">
      <c r="A15" s="7" t="s">
        <v>177</v>
      </c>
      <c r="B15" s="7">
        <v>19586992</v>
      </c>
      <c r="C15" s="7" t="s">
        <v>54</v>
      </c>
      <c r="D15" s="7" t="s">
        <v>54</v>
      </c>
      <c r="E15" s="7" t="s">
        <v>72</v>
      </c>
      <c r="F15" s="7" t="s">
        <v>90</v>
      </c>
      <c r="G15" s="7" t="str">
        <f t="shared" si="0"/>
        <v>Claire Nighman</v>
      </c>
      <c r="H15" s="7" t="s">
        <v>97</v>
      </c>
      <c r="I15" s="7" t="s">
        <v>100</v>
      </c>
      <c r="J15" s="8">
        <v>45667</v>
      </c>
      <c r="K15" s="8">
        <v>46025</v>
      </c>
      <c r="L15" s="7">
        <f t="shared" si="1"/>
        <v>11</v>
      </c>
      <c r="M15" s="7" t="s">
        <v>188</v>
      </c>
      <c r="N15" s="7" t="s">
        <v>187</v>
      </c>
      <c r="O15" s="7">
        <v>116.7</v>
      </c>
      <c r="P15" s="7">
        <v>100</v>
      </c>
      <c r="Q15" s="9">
        <v>0.20799999999999999</v>
      </c>
      <c r="R15" s="7">
        <v>24.27</v>
      </c>
      <c r="S15" s="7" t="s">
        <v>181</v>
      </c>
    </row>
    <row r="16" spans="1:19" s="7" customFormat="1" x14ac:dyDescent="0.25">
      <c r="A16" s="7" t="s">
        <v>24</v>
      </c>
      <c r="B16" s="7">
        <v>8812322</v>
      </c>
      <c r="C16" s="7" t="s">
        <v>47</v>
      </c>
      <c r="D16" s="7" t="s">
        <v>47</v>
      </c>
      <c r="E16" s="7" t="s">
        <v>65</v>
      </c>
      <c r="F16" s="7" t="s">
        <v>83</v>
      </c>
      <c r="G16" s="7" t="str">
        <f t="shared" si="0"/>
        <v>Donald Henkel</v>
      </c>
      <c r="H16" s="7" t="s">
        <v>96</v>
      </c>
      <c r="I16" s="7" t="s">
        <v>100</v>
      </c>
      <c r="J16" s="8">
        <v>46023</v>
      </c>
      <c r="K16" s="8">
        <v>46025</v>
      </c>
      <c r="L16" s="7">
        <f t="shared" si="1"/>
        <v>0</v>
      </c>
      <c r="M16" s="7" t="s">
        <v>188</v>
      </c>
      <c r="N16" s="7" t="s">
        <v>191</v>
      </c>
      <c r="O16" s="7">
        <v>130.65</v>
      </c>
      <c r="P16" s="7">
        <v>100</v>
      </c>
      <c r="Q16" s="9">
        <v>0.25</v>
      </c>
      <c r="R16" s="7">
        <v>32.659999999999997</v>
      </c>
      <c r="S16" s="7" t="s">
        <v>183</v>
      </c>
    </row>
    <row r="17" spans="1:19" s="7" customFormat="1" x14ac:dyDescent="0.25">
      <c r="A17" s="7" t="s">
        <v>24</v>
      </c>
      <c r="B17" s="7" t="s">
        <v>185</v>
      </c>
      <c r="C17" s="7" t="s">
        <v>48</v>
      </c>
      <c r="D17" s="7" t="s">
        <v>48</v>
      </c>
      <c r="E17" s="7" t="s">
        <v>66</v>
      </c>
      <c r="F17" s="7" t="s">
        <v>84</v>
      </c>
      <c r="G17" s="7" t="str">
        <f t="shared" si="0"/>
        <v>Joshua Meyers</v>
      </c>
      <c r="H17" s="7" t="s">
        <v>96</v>
      </c>
      <c r="I17" s="7" t="s">
        <v>100</v>
      </c>
      <c r="J17" s="8">
        <v>46024</v>
      </c>
      <c r="K17" s="8">
        <v>46025</v>
      </c>
      <c r="L17" s="7">
        <f t="shared" si="1"/>
        <v>0</v>
      </c>
      <c r="M17" s="7" t="s">
        <v>189</v>
      </c>
      <c r="N17" s="7" t="s">
        <v>190</v>
      </c>
      <c r="O17" s="7">
        <v>65.45</v>
      </c>
      <c r="P17" s="7">
        <v>100</v>
      </c>
      <c r="Q17" s="9">
        <v>0.25</v>
      </c>
      <c r="R17" s="7">
        <v>16.36</v>
      </c>
      <c r="S17" s="7" t="s">
        <v>183</v>
      </c>
    </row>
    <row r="18" spans="1:19" s="7" customFormat="1" x14ac:dyDescent="0.25">
      <c r="A18" s="7" t="s">
        <v>24</v>
      </c>
      <c r="B18" s="7">
        <v>8812322</v>
      </c>
      <c r="C18" s="7" t="s">
        <v>49</v>
      </c>
      <c r="D18" s="7" t="s">
        <v>49</v>
      </c>
      <c r="E18" s="7" t="s">
        <v>67</v>
      </c>
      <c r="F18" s="7" t="s">
        <v>85</v>
      </c>
      <c r="G18" s="7" t="str">
        <f t="shared" si="0"/>
        <v>Emilee Knollenberg</v>
      </c>
      <c r="H18" s="7" t="s">
        <v>96</v>
      </c>
      <c r="I18" s="7" t="s">
        <v>100</v>
      </c>
      <c r="J18" s="8">
        <v>46143</v>
      </c>
      <c r="K18" s="8">
        <v>46145</v>
      </c>
      <c r="L18" s="7">
        <f t="shared" si="1"/>
        <v>0</v>
      </c>
      <c r="M18" s="7" t="s">
        <v>188</v>
      </c>
      <c r="N18" s="7" t="s">
        <v>191</v>
      </c>
      <c r="O18" s="7">
        <v>177.95</v>
      </c>
      <c r="P18" s="7">
        <v>100</v>
      </c>
      <c r="Q18" s="9">
        <v>0.25</v>
      </c>
      <c r="R18" s="7">
        <v>44.49</v>
      </c>
      <c r="S18" s="7" t="s">
        <v>183</v>
      </c>
    </row>
    <row r="19" spans="1:19" s="7" customFormat="1" x14ac:dyDescent="0.25">
      <c r="A19" s="7" t="s">
        <v>24</v>
      </c>
      <c r="B19" s="7" t="s">
        <v>185</v>
      </c>
      <c r="C19" s="7" t="s">
        <v>50</v>
      </c>
      <c r="D19" s="7" t="s">
        <v>50</v>
      </c>
      <c r="E19" s="7" t="s">
        <v>68</v>
      </c>
      <c r="F19" s="7" t="s">
        <v>86</v>
      </c>
      <c r="G19" s="7" t="str">
        <f t="shared" si="0"/>
        <v>Scott Kiefner</v>
      </c>
      <c r="H19" s="7" t="s">
        <v>96</v>
      </c>
      <c r="I19" s="7" t="s">
        <v>100</v>
      </c>
      <c r="J19" s="8">
        <v>46025</v>
      </c>
      <c r="K19" s="8">
        <v>46026</v>
      </c>
      <c r="L19" s="7">
        <f t="shared" si="1"/>
        <v>0</v>
      </c>
      <c r="M19" s="7" t="s">
        <v>189</v>
      </c>
      <c r="N19" s="7" t="s">
        <v>190</v>
      </c>
      <c r="O19" s="7">
        <v>65.45</v>
      </c>
      <c r="P19" s="7">
        <v>100</v>
      </c>
      <c r="Q19" s="9">
        <v>0.25</v>
      </c>
      <c r="R19" s="7">
        <v>16.36</v>
      </c>
      <c r="S19" s="7" t="s">
        <v>183</v>
      </c>
    </row>
    <row r="20" spans="1:19" s="2" customFormat="1" x14ac:dyDescent="0.25">
      <c r="A20" s="2" t="s">
        <v>173</v>
      </c>
      <c r="B20" s="2">
        <v>20411454</v>
      </c>
      <c r="C20" s="2" t="s">
        <v>37</v>
      </c>
      <c r="D20" s="2" t="str">
        <f>CONCATENATE(C20,"OVR")</f>
        <v>H711086900OVR</v>
      </c>
      <c r="E20" s="2" t="s">
        <v>56</v>
      </c>
      <c r="F20" s="2" t="s">
        <v>74</v>
      </c>
      <c r="G20" t="str">
        <f t="shared" ref="G20:G38" si="2">CONCATENATE(E20," ",F20)</f>
        <v>Michael Davis</v>
      </c>
      <c r="H20" s="2" t="s">
        <v>96</v>
      </c>
      <c r="I20" s="2" t="s">
        <v>98</v>
      </c>
      <c r="J20" s="6">
        <v>46023</v>
      </c>
      <c r="K20" s="6">
        <v>46025</v>
      </c>
      <c r="L20">
        <f t="shared" ref="L20:L38" si="3">DATEDIF(J20,K20,"M")</f>
        <v>0</v>
      </c>
      <c r="M20" t="s">
        <v>188</v>
      </c>
      <c r="N20" t="s">
        <v>187</v>
      </c>
      <c r="O20" s="2">
        <v>5.37</v>
      </c>
      <c r="P20" s="2">
        <v>100</v>
      </c>
      <c r="Q20" s="4">
        <v>9.5000000000000001E-2</v>
      </c>
      <c r="R20" s="2">
        <v>5.37</v>
      </c>
      <c r="S20" s="2" t="s">
        <v>186</v>
      </c>
    </row>
    <row r="21" spans="1:19" s="2" customFormat="1" x14ac:dyDescent="0.25">
      <c r="A21" s="2" t="s">
        <v>173</v>
      </c>
      <c r="B21" s="2">
        <v>20411454</v>
      </c>
      <c r="C21" s="2" t="s">
        <v>38</v>
      </c>
      <c r="D21" s="2" t="str">
        <f t="shared" ref="D21:D38" si="4">CONCATENATE(C21,"OVR")</f>
        <v>H711053915OVR</v>
      </c>
      <c r="E21" s="2" t="s">
        <v>57</v>
      </c>
      <c r="F21" s="2" t="s">
        <v>75</v>
      </c>
      <c r="G21" t="str">
        <f t="shared" si="2"/>
        <v>Jo Anne Kelly</v>
      </c>
      <c r="H21" s="2" t="s">
        <v>96</v>
      </c>
      <c r="I21" s="2" t="s">
        <v>98</v>
      </c>
      <c r="J21" s="6">
        <v>46023</v>
      </c>
      <c r="K21" s="6">
        <v>46025</v>
      </c>
      <c r="L21">
        <f t="shared" si="3"/>
        <v>0</v>
      </c>
      <c r="M21" t="s">
        <v>188</v>
      </c>
      <c r="N21" t="s">
        <v>187</v>
      </c>
      <c r="O21" s="2">
        <v>5.37</v>
      </c>
      <c r="P21" s="2">
        <v>100</v>
      </c>
      <c r="Q21" s="4">
        <v>9.5000000000000001E-2</v>
      </c>
      <c r="R21" s="2">
        <v>5.37</v>
      </c>
      <c r="S21" s="2" t="s">
        <v>186</v>
      </c>
    </row>
    <row r="22" spans="1:19" s="2" customFormat="1" x14ac:dyDescent="0.25">
      <c r="A22" s="2" t="s">
        <v>173</v>
      </c>
      <c r="B22" s="2">
        <v>20411454</v>
      </c>
      <c r="C22" s="2" t="s">
        <v>39</v>
      </c>
      <c r="D22" s="2" t="str">
        <f t="shared" si="4"/>
        <v>H750087378OVR</v>
      </c>
      <c r="E22" s="2" t="s">
        <v>58</v>
      </c>
      <c r="F22" s="2" t="s">
        <v>76</v>
      </c>
      <c r="G22" t="str">
        <f t="shared" si="2"/>
        <v>Charles Barrett</v>
      </c>
      <c r="H22" s="2" t="s">
        <v>97</v>
      </c>
      <c r="I22" s="2" t="s">
        <v>99</v>
      </c>
      <c r="J22" s="6">
        <v>45669</v>
      </c>
      <c r="K22" s="6">
        <v>46025</v>
      </c>
      <c r="L22">
        <f t="shared" si="3"/>
        <v>11</v>
      </c>
      <c r="M22" t="s">
        <v>188</v>
      </c>
      <c r="N22" t="s">
        <v>187</v>
      </c>
      <c r="O22" s="2">
        <v>5.61</v>
      </c>
      <c r="P22" s="2">
        <v>100</v>
      </c>
      <c r="Q22" s="4">
        <v>3.9E-2</v>
      </c>
      <c r="R22" s="2">
        <v>5.61</v>
      </c>
      <c r="S22" s="2" t="s">
        <v>186</v>
      </c>
    </row>
    <row r="23" spans="1:19" s="2" customFormat="1" x14ac:dyDescent="0.25">
      <c r="A23" s="2" t="s">
        <v>173</v>
      </c>
      <c r="B23" s="2">
        <v>20411454</v>
      </c>
      <c r="C23" s="2" t="s">
        <v>40</v>
      </c>
      <c r="D23" s="2" t="str">
        <f t="shared" si="4"/>
        <v>H750072498OVR</v>
      </c>
      <c r="E23" s="2" t="s">
        <v>59</v>
      </c>
      <c r="F23" s="2" t="s">
        <v>77</v>
      </c>
      <c r="G23" t="str">
        <f t="shared" si="2"/>
        <v>Jacquelyn Alvis</v>
      </c>
      <c r="H23" s="2" t="s">
        <v>97</v>
      </c>
      <c r="I23" s="2" t="s">
        <v>99</v>
      </c>
      <c r="J23" s="6">
        <v>45667</v>
      </c>
      <c r="K23" s="6">
        <v>46025</v>
      </c>
      <c r="L23">
        <f t="shared" si="3"/>
        <v>11</v>
      </c>
      <c r="M23" t="s">
        <v>188</v>
      </c>
      <c r="N23" t="s">
        <v>187</v>
      </c>
      <c r="O23" s="2">
        <v>2.93</v>
      </c>
      <c r="P23" s="2">
        <v>100</v>
      </c>
      <c r="Q23" s="4">
        <v>2.8000000000000001E-2</v>
      </c>
      <c r="R23" s="2">
        <v>2.93</v>
      </c>
      <c r="S23" s="2" t="s">
        <v>186</v>
      </c>
    </row>
    <row r="24" spans="1:19" s="2" customFormat="1" x14ac:dyDescent="0.25">
      <c r="A24" s="2" t="s">
        <v>173</v>
      </c>
      <c r="B24" s="2">
        <v>20411454</v>
      </c>
      <c r="C24" s="2" t="s">
        <v>41</v>
      </c>
      <c r="D24" s="2" t="str">
        <f t="shared" si="4"/>
        <v>H750082805OVR</v>
      </c>
      <c r="E24" s="2" t="s">
        <v>60</v>
      </c>
      <c r="F24" s="2" t="s">
        <v>78</v>
      </c>
      <c r="G24" t="str">
        <f t="shared" si="2"/>
        <v>Minnie Vargo</v>
      </c>
      <c r="H24" s="2" t="s">
        <v>97</v>
      </c>
      <c r="I24" s="2" t="s">
        <v>99</v>
      </c>
      <c r="J24" s="6">
        <v>46023</v>
      </c>
      <c r="K24" s="6">
        <v>46025</v>
      </c>
      <c r="L24">
        <f t="shared" si="3"/>
        <v>0</v>
      </c>
      <c r="M24" t="s">
        <v>188</v>
      </c>
      <c r="N24" t="s">
        <v>187</v>
      </c>
      <c r="O24" s="2">
        <v>5.07</v>
      </c>
      <c r="P24" s="2">
        <v>100</v>
      </c>
      <c r="Q24" s="4">
        <v>3.9E-2</v>
      </c>
      <c r="R24" s="2">
        <v>5.07</v>
      </c>
      <c r="S24" s="2" t="s">
        <v>186</v>
      </c>
    </row>
    <row r="25" spans="1:19" s="2" customFormat="1" x14ac:dyDescent="0.25">
      <c r="A25" s="2" t="s">
        <v>173</v>
      </c>
      <c r="B25" s="2">
        <v>20411454</v>
      </c>
      <c r="C25" s="2" t="s">
        <v>42</v>
      </c>
      <c r="D25" s="2" t="str">
        <f t="shared" si="4"/>
        <v>H711024512OVR</v>
      </c>
      <c r="E25" s="2" t="s">
        <v>61</v>
      </c>
      <c r="F25" s="2" t="s">
        <v>79</v>
      </c>
      <c r="G25" t="str">
        <f t="shared" si="2"/>
        <v>Daniel Turner</v>
      </c>
      <c r="H25" s="2" t="s">
        <v>96</v>
      </c>
      <c r="I25" s="2" t="s">
        <v>99</v>
      </c>
      <c r="J25" s="6">
        <v>45665</v>
      </c>
      <c r="K25" s="6">
        <v>46025</v>
      </c>
      <c r="L25">
        <f t="shared" si="3"/>
        <v>11</v>
      </c>
      <c r="M25" t="s">
        <v>188</v>
      </c>
      <c r="N25" t="s">
        <v>187</v>
      </c>
      <c r="O25" s="2">
        <v>5.91</v>
      </c>
      <c r="P25" s="2">
        <v>100</v>
      </c>
      <c r="Q25" s="4">
        <v>9.5000000000000001E-2</v>
      </c>
      <c r="R25" s="2">
        <v>5.91</v>
      </c>
      <c r="S25" s="2" t="s">
        <v>186</v>
      </c>
    </row>
    <row r="26" spans="1:19" s="2" customFormat="1" x14ac:dyDescent="0.25">
      <c r="A26" s="2" t="s">
        <v>173</v>
      </c>
      <c r="B26" s="2">
        <v>20411454</v>
      </c>
      <c r="C26" s="2" t="s">
        <v>43</v>
      </c>
      <c r="D26" s="2" t="str">
        <f t="shared" si="4"/>
        <v>H750080222OVR</v>
      </c>
      <c r="E26" s="2" t="s">
        <v>62</v>
      </c>
      <c r="F26" s="2" t="s">
        <v>80</v>
      </c>
      <c r="G26" t="str">
        <f t="shared" si="2"/>
        <v>Rhonda Mays</v>
      </c>
      <c r="H26" s="2" t="s">
        <v>97</v>
      </c>
      <c r="I26" s="2" t="s">
        <v>99</v>
      </c>
      <c r="J26" s="6">
        <v>45669</v>
      </c>
      <c r="K26" s="6">
        <v>46025</v>
      </c>
      <c r="L26">
        <f t="shared" si="3"/>
        <v>11</v>
      </c>
      <c r="M26" t="s">
        <v>188</v>
      </c>
      <c r="N26" t="s">
        <v>187</v>
      </c>
      <c r="O26" s="2">
        <v>5.07</v>
      </c>
      <c r="P26" s="2">
        <v>100</v>
      </c>
      <c r="Q26" s="4">
        <v>3.9E-2</v>
      </c>
      <c r="R26" s="2">
        <v>5.07</v>
      </c>
      <c r="S26" s="2" t="s">
        <v>186</v>
      </c>
    </row>
    <row r="27" spans="1:19" s="2" customFormat="1" x14ac:dyDescent="0.25">
      <c r="A27" s="2" t="s">
        <v>173</v>
      </c>
      <c r="B27" s="2">
        <v>20411454</v>
      </c>
      <c r="C27" s="2" t="s">
        <v>44</v>
      </c>
      <c r="D27" s="2" t="str">
        <f t="shared" si="4"/>
        <v>H750086341OVR</v>
      </c>
      <c r="E27" s="2" t="s">
        <v>63</v>
      </c>
      <c r="F27" s="2" t="s">
        <v>81</v>
      </c>
      <c r="G27" t="str">
        <f t="shared" si="2"/>
        <v>Thomas Benik</v>
      </c>
      <c r="H27" s="2" t="s">
        <v>97</v>
      </c>
      <c r="I27" s="2" t="s">
        <v>99</v>
      </c>
      <c r="J27" s="6">
        <v>45667</v>
      </c>
      <c r="K27" s="6">
        <v>46025</v>
      </c>
      <c r="L27">
        <f t="shared" si="3"/>
        <v>11</v>
      </c>
      <c r="M27" t="s">
        <v>188</v>
      </c>
      <c r="N27" t="s">
        <v>187</v>
      </c>
      <c r="O27" s="2">
        <v>0.83</v>
      </c>
      <c r="P27" s="2">
        <v>100</v>
      </c>
      <c r="Q27" s="4">
        <v>8.0000000000000002E-3</v>
      </c>
      <c r="R27" s="2">
        <v>0.83</v>
      </c>
      <c r="S27" s="2" t="s">
        <v>186</v>
      </c>
    </row>
    <row r="28" spans="1:19" s="2" customFormat="1" x14ac:dyDescent="0.25">
      <c r="A28" s="2" t="s">
        <v>173</v>
      </c>
      <c r="B28" s="2">
        <v>20411454</v>
      </c>
      <c r="C28" s="2" t="s">
        <v>45</v>
      </c>
      <c r="D28" s="2" t="str">
        <f t="shared" si="4"/>
        <v>H750070618OVR</v>
      </c>
      <c r="E28" s="2" t="s">
        <v>61</v>
      </c>
      <c r="F28" s="2" t="s">
        <v>79</v>
      </c>
      <c r="G28" t="str">
        <f t="shared" si="2"/>
        <v>Daniel Turner</v>
      </c>
      <c r="H28" s="2" t="s">
        <v>97</v>
      </c>
      <c r="I28" s="2" t="s">
        <v>99</v>
      </c>
      <c r="J28" s="6">
        <v>45665</v>
      </c>
      <c r="K28" s="6">
        <v>46025</v>
      </c>
      <c r="L28">
        <f t="shared" si="3"/>
        <v>11</v>
      </c>
      <c r="M28" t="s">
        <v>188</v>
      </c>
      <c r="N28" t="s">
        <v>187</v>
      </c>
      <c r="O28" s="2">
        <v>3.24</v>
      </c>
      <c r="P28" s="2">
        <v>100</v>
      </c>
      <c r="Q28" s="4">
        <v>2.8000000000000001E-2</v>
      </c>
      <c r="R28" s="2">
        <v>3.24</v>
      </c>
      <c r="S28" s="2" t="s">
        <v>186</v>
      </c>
    </row>
    <row r="29" spans="1:19" s="2" customFormat="1" x14ac:dyDescent="0.25">
      <c r="A29" s="2" t="s">
        <v>173</v>
      </c>
      <c r="B29" s="2">
        <v>20411454</v>
      </c>
      <c r="C29" s="2" t="s">
        <v>46</v>
      </c>
      <c r="D29" s="2" t="str">
        <f t="shared" si="4"/>
        <v>H750088570OVR</v>
      </c>
      <c r="E29" s="2" t="s">
        <v>64</v>
      </c>
      <c r="F29" s="2" t="s">
        <v>82</v>
      </c>
      <c r="G29" t="str">
        <f t="shared" si="2"/>
        <v>John Thompson</v>
      </c>
      <c r="H29" s="2" t="s">
        <v>97</v>
      </c>
      <c r="I29" s="2" t="s">
        <v>99</v>
      </c>
      <c r="J29" s="6">
        <v>46023</v>
      </c>
      <c r="K29" s="6">
        <v>46025</v>
      </c>
      <c r="L29">
        <f t="shared" si="3"/>
        <v>0</v>
      </c>
      <c r="M29" t="s">
        <v>188</v>
      </c>
      <c r="N29" t="s">
        <v>187</v>
      </c>
      <c r="O29" s="2">
        <v>4.03</v>
      </c>
      <c r="P29" s="2">
        <v>100</v>
      </c>
      <c r="Q29" s="4">
        <v>2.8000000000000001E-2</v>
      </c>
      <c r="R29" s="2">
        <v>4.03</v>
      </c>
      <c r="S29" s="2" t="s">
        <v>186</v>
      </c>
    </row>
    <row r="30" spans="1:19" s="2" customFormat="1" x14ac:dyDescent="0.25">
      <c r="A30" s="2" t="s">
        <v>173</v>
      </c>
      <c r="B30" s="2">
        <v>20411454</v>
      </c>
      <c r="C30" s="2" t="s">
        <v>47</v>
      </c>
      <c r="D30" s="2" t="str">
        <f t="shared" si="4"/>
        <v>H711086159OVR</v>
      </c>
      <c r="E30" s="2" t="s">
        <v>65</v>
      </c>
      <c r="F30" s="2" t="s">
        <v>83</v>
      </c>
      <c r="G30" t="str">
        <f t="shared" si="2"/>
        <v>Donald Henkel</v>
      </c>
      <c r="H30" s="2" t="s">
        <v>96</v>
      </c>
      <c r="I30" s="2" t="s">
        <v>100</v>
      </c>
      <c r="J30" s="6">
        <v>46023</v>
      </c>
      <c r="K30" s="6">
        <v>46025</v>
      </c>
      <c r="L30">
        <f t="shared" si="3"/>
        <v>0</v>
      </c>
      <c r="M30" t="s">
        <v>188</v>
      </c>
      <c r="N30" t="s">
        <v>187</v>
      </c>
      <c r="O30" s="2">
        <v>12.41</v>
      </c>
      <c r="P30" s="2">
        <v>100</v>
      </c>
      <c r="Q30" s="4">
        <v>9.5000000000000001E-2</v>
      </c>
      <c r="R30" s="2">
        <v>12.41</v>
      </c>
      <c r="S30" s="2" t="s">
        <v>186</v>
      </c>
    </row>
    <row r="31" spans="1:19" s="2" customFormat="1" x14ac:dyDescent="0.25">
      <c r="A31" s="2" t="s">
        <v>173</v>
      </c>
      <c r="B31" s="2">
        <v>20411454</v>
      </c>
      <c r="C31" s="2" t="s">
        <v>48</v>
      </c>
      <c r="D31" s="2" t="str">
        <f t="shared" si="4"/>
        <v>H711104082OVR</v>
      </c>
      <c r="E31" s="2" t="s">
        <v>66</v>
      </c>
      <c r="F31" s="2" t="s">
        <v>84</v>
      </c>
      <c r="G31" t="str">
        <f t="shared" si="2"/>
        <v>Joshua Meyers</v>
      </c>
      <c r="H31" s="2" t="s">
        <v>96</v>
      </c>
      <c r="I31" s="2" t="s">
        <v>100</v>
      </c>
      <c r="J31" s="6">
        <v>46024</v>
      </c>
      <c r="K31" s="6">
        <v>46025</v>
      </c>
      <c r="L31">
        <f t="shared" si="3"/>
        <v>0</v>
      </c>
      <c r="M31" t="s">
        <v>188</v>
      </c>
      <c r="N31" t="s">
        <v>187</v>
      </c>
      <c r="O31" s="2">
        <v>6.22</v>
      </c>
      <c r="P31" s="2">
        <v>100</v>
      </c>
      <c r="Q31" s="4">
        <v>9.5000000000000001E-2</v>
      </c>
      <c r="R31" s="2">
        <v>6.22</v>
      </c>
      <c r="S31" s="2" t="s">
        <v>186</v>
      </c>
    </row>
    <row r="32" spans="1:19" s="2" customFormat="1" x14ac:dyDescent="0.25">
      <c r="A32" s="2" t="s">
        <v>173</v>
      </c>
      <c r="B32" s="2">
        <v>20411454</v>
      </c>
      <c r="C32" s="2" t="s">
        <v>49</v>
      </c>
      <c r="D32" s="2" t="str">
        <f t="shared" si="4"/>
        <v>H711088706OVR</v>
      </c>
      <c r="E32" s="2" t="s">
        <v>67</v>
      </c>
      <c r="F32" s="2" t="s">
        <v>85</v>
      </c>
      <c r="G32" t="str">
        <f t="shared" si="2"/>
        <v>Emilee Knollenberg</v>
      </c>
      <c r="H32" s="2" t="s">
        <v>96</v>
      </c>
      <c r="I32" s="2" t="s">
        <v>100</v>
      </c>
      <c r="J32" s="6">
        <v>46143</v>
      </c>
      <c r="K32" s="6">
        <v>46145</v>
      </c>
      <c r="L32">
        <f t="shared" si="3"/>
        <v>0</v>
      </c>
      <c r="M32" t="s">
        <v>188</v>
      </c>
      <c r="N32" t="s">
        <v>187</v>
      </c>
      <c r="O32" s="2">
        <v>16.91</v>
      </c>
      <c r="P32" s="2">
        <v>100</v>
      </c>
      <c r="Q32" s="4">
        <v>9.5000000000000001E-2</v>
      </c>
      <c r="R32" s="2">
        <v>16.91</v>
      </c>
      <c r="S32" s="2" t="s">
        <v>186</v>
      </c>
    </row>
    <row r="33" spans="1:19" s="2" customFormat="1" x14ac:dyDescent="0.25">
      <c r="A33" s="2" t="s">
        <v>173</v>
      </c>
      <c r="B33" s="2">
        <v>20411454</v>
      </c>
      <c r="C33" s="2" t="s">
        <v>50</v>
      </c>
      <c r="D33" s="2" t="str">
        <f t="shared" si="4"/>
        <v>H711106761OVR</v>
      </c>
      <c r="E33" s="2" t="s">
        <v>68</v>
      </c>
      <c r="F33" s="2" t="s">
        <v>86</v>
      </c>
      <c r="G33" t="str">
        <f t="shared" si="2"/>
        <v>Scott Kiefner</v>
      </c>
      <c r="H33" s="2" t="s">
        <v>96</v>
      </c>
      <c r="I33" s="2" t="s">
        <v>100</v>
      </c>
      <c r="J33" s="6">
        <v>46025</v>
      </c>
      <c r="K33" s="6">
        <v>46026</v>
      </c>
      <c r="L33">
        <f t="shared" si="3"/>
        <v>0</v>
      </c>
      <c r="M33" t="s">
        <v>188</v>
      </c>
      <c r="N33" t="s">
        <v>187</v>
      </c>
      <c r="O33" s="2">
        <v>6.22</v>
      </c>
      <c r="P33" s="2">
        <v>100</v>
      </c>
      <c r="Q33" s="4">
        <v>9.5000000000000001E-2</v>
      </c>
      <c r="R33" s="2">
        <v>6.22</v>
      </c>
      <c r="S33" s="2" t="s">
        <v>186</v>
      </c>
    </row>
    <row r="34" spans="1:19" s="2" customFormat="1" x14ac:dyDescent="0.25">
      <c r="A34" s="2" t="s">
        <v>173</v>
      </c>
      <c r="B34" s="2">
        <v>20411454</v>
      </c>
      <c r="C34" s="2" t="s">
        <v>51</v>
      </c>
      <c r="D34" s="2" t="str">
        <f t="shared" si="4"/>
        <v>H711045437OVR</v>
      </c>
      <c r="E34" s="2" t="s">
        <v>69</v>
      </c>
      <c r="F34" s="2" t="s">
        <v>87</v>
      </c>
      <c r="G34" t="str">
        <f t="shared" si="2"/>
        <v>Iysiah Maull</v>
      </c>
      <c r="H34" s="2" t="s">
        <v>96</v>
      </c>
      <c r="I34" s="2" t="s">
        <v>101</v>
      </c>
      <c r="J34" s="6">
        <v>45667</v>
      </c>
      <c r="K34" s="6">
        <v>46024</v>
      </c>
      <c r="L34">
        <f t="shared" si="3"/>
        <v>11</v>
      </c>
      <c r="M34" t="s">
        <v>188</v>
      </c>
      <c r="N34" t="s">
        <v>187</v>
      </c>
      <c r="O34" s="2">
        <v>-3.75</v>
      </c>
      <c r="P34" s="2">
        <v>100</v>
      </c>
      <c r="Q34" s="4">
        <v>9.5000000000000001E-2</v>
      </c>
      <c r="R34" s="2">
        <v>-3.75</v>
      </c>
      <c r="S34" s="2" t="s">
        <v>186</v>
      </c>
    </row>
    <row r="35" spans="1:19" s="2" customFormat="1" x14ac:dyDescent="0.25">
      <c r="A35" s="2" t="s">
        <v>173</v>
      </c>
      <c r="B35" s="2">
        <v>20411454</v>
      </c>
      <c r="C35" s="2" t="s">
        <v>52</v>
      </c>
      <c r="D35" s="2" t="str">
        <f t="shared" si="4"/>
        <v>H711056072OVR</v>
      </c>
      <c r="E35" s="2" t="s">
        <v>70</v>
      </c>
      <c r="F35" s="2" t="s">
        <v>88</v>
      </c>
      <c r="G35" t="str">
        <f t="shared" si="2"/>
        <v>Shaista Ali</v>
      </c>
      <c r="H35" s="2" t="s">
        <v>96</v>
      </c>
      <c r="I35" s="2" t="s">
        <v>101</v>
      </c>
      <c r="J35" s="6">
        <v>45668</v>
      </c>
      <c r="K35" s="6">
        <v>46025</v>
      </c>
      <c r="L35">
        <f t="shared" si="3"/>
        <v>11</v>
      </c>
      <c r="M35" t="s">
        <v>188</v>
      </c>
      <c r="N35" t="s">
        <v>187</v>
      </c>
      <c r="O35" s="2">
        <v>5.37</v>
      </c>
      <c r="P35" s="2">
        <v>100</v>
      </c>
      <c r="Q35" s="4">
        <v>9.5000000000000001E-2</v>
      </c>
      <c r="R35" s="2">
        <v>5.37</v>
      </c>
      <c r="S35" s="2" t="s">
        <v>186</v>
      </c>
    </row>
    <row r="36" spans="1:19" s="2" customFormat="1" x14ac:dyDescent="0.25">
      <c r="A36" s="2" t="s">
        <v>173</v>
      </c>
      <c r="B36" s="2">
        <v>20411454</v>
      </c>
      <c r="C36" s="2" t="s">
        <v>53</v>
      </c>
      <c r="D36" s="2" t="str">
        <f t="shared" si="4"/>
        <v>H711053462OVR</v>
      </c>
      <c r="E36" s="2" t="s">
        <v>71</v>
      </c>
      <c r="F36" s="2" t="s">
        <v>89</v>
      </c>
      <c r="G36" t="str">
        <f t="shared" si="2"/>
        <v>Allen Funamura</v>
      </c>
      <c r="H36" s="2" t="s">
        <v>96</v>
      </c>
      <c r="I36" s="2" t="s">
        <v>100</v>
      </c>
      <c r="J36" s="6">
        <v>45668</v>
      </c>
      <c r="K36" s="6">
        <v>46025</v>
      </c>
      <c r="L36">
        <f t="shared" si="3"/>
        <v>11</v>
      </c>
      <c r="M36" t="s">
        <v>188</v>
      </c>
      <c r="N36" t="s">
        <v>187</v>
      </c>
      <c r="O36" s="2">
        <v>5.31</v>
      </c>
      <c r="P36" s="2">
        <v>100</v>
      </c>
      <c r="Q36" s="4">
        <v>9.5000000000000001E-2</v>
      </c>
      <c r="R36" s="2">
        <v>5.31</v>
      </c>
      <c r="S36" s="2" t="s">
        <v>186</v>
      </c>
    </row>
    <row r="37" spans="1:19" s="2" customFormat="1" x14ac:dyDescent="0.25">
      <c r="A37" s="2" t="s">
        <v>173</v>
      </c>
      <c r="B37" s="2">
        <v>20411454</v>
      </c>
      <c r="C37" s="2" t="s">
        <v>54</v>
      </c>
      <c r="D37" s="2" t="str">
        <f t="shared" si="4"/>
        <v>H750075562OVR</v>
      </c>
      <c r="E37" s="2" t="s">
        <v>72</v>
      </c>
      <c r="F37" s="2" t="s">
        <v>90</v>
      </c>
      <c r="G37" t="str">
        <f t="shared" si="2"/>
        <v>Claire Nighman</v>
      </c>
      <c r="H37" s="2" t="s">
        <v>97</v>
      </c>
      <c r="I37" s="2" t="s">
        <v>100</v>
      </c>
      <c r="J37" s="6">
        <v>45667</v>
      </c>
      <c r="K37" s="6">
        <v>46025</v>
      </c>
      <c r="L37">
        <f t="shared" si="3"/>
        <v>11</v>
      </c>
      <c r="M37" t="s">
        <v>188</v>
      </c>
      <c r="N37" t="s">
        <v>187</v>
      </c>
      <c r="O37" s="2">
        <v>3.27</v>
      </c>
      <c r="P37" s="2">
        <v>100</v>
      </c>
      <c r="Q37" s="4">
        <v>2.8000000000000001E-2</v>
      </c>
      <c r="R37" s="2">
        <v>3.27</v>
      </c>
      <c r="S37" s="2" t="s">
        <v>186</v>
      </c>
    </row>
    <row r="38" spans="1:19" s="2" customFormat="1" x14ac:dyDescent="0.25">
      <c r="A38" s="2" t="s">
        <v>173</v>
      </c>
      <c r="B38" s="2">
        <v>20411454</v>
      </c>
      <c r="C38" s="2" t="s">
        <v>55</v>
      </c>
      <c r="D38" s="2" t="str">
        <f t="shared" si="4"/>
        <v>H750093974OVR</v>
      </c>
      <c r="E38" s="2" t="s">
        <v>73</v>
      </c>
      <c r="F38" s="2" t="s">
        <v>91</v>
      </c>
      <c r="G38" t="str">
        <f t="shared" si="2"/>
        <v>Janice Gilbert</v>
      </c>
      <c r="H38" s="2" t="s">
        <v>97</v>
      </c>
      <c r="I38" s="2" t="s">
        <v>98</v>
      </c>
      <c r="J38" s="6">
        <v>46082</v>
      </c>
      <c r="K38" s="6">
        <v>46084</v>
      </c>
      <c r="L38">
        <f t="shared" si="3"/>
        <v>0</v>
      </c>
      <c r="M38" t="s">
        <v>188</v>
      </c>
      <c r="N38" t="s">
        <v>187</v>
      </c>
      <c r="O38" s="2">
        <v>1.73</v>
      </c>
      <c r="P38" s="2">
        <v>100</v>
      </c>
      <c r="Q38" s="4">
        <v>8.0000000000000002E-3</v>
      </c>
      <c r="R38" s="2">
        <v>1.73</v>
      </c>
      <c r="S38" s="2" t="s">
        <v>186</v>
      </c>
    </row>
  </sheetData>
  <sortState xmlns:xlrd2="http://schemas.microsoft.com/office/spreadsheetml/2017/richdata2" ref="A2:Y19">
    <sortCondition ref="A2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workbookViewId="0">
      <selection activeCell="A2" sqref="A2:XFD2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29</v>
      </c>
      <c r="C2" t="s">
        <v>37</v>
      </c>
      <c r="D2" t="s">
        <v>56</v>
      </c>
      <c r="E2" t="s">
        <v>74</v>
      </c>
      <c r="F2" t="s">
        <v>92</v>
      </c>
      <c r="G2" t="s">
        <v>96</v>
      </c>
      <c r="H2" t="s">
        <v>98</v>
      </c>
      <c r="I2" t="s">
        <v>102</v>
      </c>
      <c r="J2" t="s">
        <v>107</v>
      </c>
      <c r="K2" t="s">
        <v>112</v>
      </c>
      <c r="L2" t="s">
        <v>122</v>
      </c>
      <c r="M2" t="s">
        <v>123</v>
      </c>
      <c r="N2" t="s">
        <v>126</v>
      </c>
      <c r="O2" t="s">
        <v>132</v>
      </c>
      <c r="P2" t="s">
        <v>145</v>
      </c>
      <c r="Q2" t="s">
        <v>132</v>
      </c>
      <c r="R2" t="s">
        <v>148</v>
      </c>
      <c r="S2" t="s">
        <v>157</v>
      </c>
      <c r="T2">
        <v>5.37</v>
      </c>
    </row>
    <row r="3" spans="1:20" x14ac:dyDescent="0.25">
      <c r="A3" t="s">
        <v>22</v>
      </c>
      <c r="B3" t="s">
        <v>30</v>
      </c>
      <c r="C3" t="s">
        <v>38</v>
      </c>
      <c r="D3" t="s">
        <v>57</v>
      </c>
      <c r="E3" t="s">
        <v>75</v>
      </c>
      <c r="F3" t="s">
        <v>92</v>
      </c>
      <c r="G3" t="s">
        <v>96</v>
      </c>
      <c r="H3" t="s">
        <v>98</v>
      </c>
      <c r="I3" t="s">
        <v>103</v>
      </c>
      <c r="J3" t="s">
        <v>107</v>
      </c>
      <c r="K3" t="s">
        <v>113</v>
      </c>
      <c r="L3" t="s">
        <v>122</v>
      </c>
      <c r="M3" t="s">
        <v>123</v>
      </c>
      <c r="N3" t="s">
        <v>126</v>
      </c>
      <c r="O3" t="s">
        <v>132</v>
      </c>
      <c r="P3" t="s">
        <v>145</v>
      </c>
      <c r="Q3" t="s">
        <v>132</v>
      </c>
      <c r="R3" t="s">
        <v>148</v>
      </c>
      <c r="S3" t="s">
        <v>157</v>
      </c>
      <c r="T3">
        <v>5.37</v>
      </c>
    </row>
    <row r="4" spans="1:20" x14ac:dyDescent="0.25">
      <c r="A4" t="s">
        <v>23</v>
      </c>
      <c r="B4" t="s">
        <v>31</v>
      </c>
      <c r="C4" t="s">
        <v>39</v>
      </c>
      <c r="D4" t="s">
        <v>58</v>
      </c>
      <c r="E4" t="s">
        <v>76</v>
      </c>
      <c r="F4" t="s">
        <v>93</v>
      </c>
      <c r="G4" t="s">
        <v>97</v>
      </c>
      <c r="H4" t="s">
        <v>99</v>
      </c>
      <c r="I4" t="s">
        <v>103</v>
      </c>
      <c r="J4" t="s">
        <v>107</v>
      </c>
      <c r="K4" t="s">
        <v>114</v>
      </c>
      <c r="L4" t="s">
        <v>122</v>
      </c>
      <c r="M4" t="s">
        <v>124</v>
      </c>
      <c r="N4" t="s">
        <v>127</v>
      </c>
      <c r="O4" t="s">
        <v>133</v>
      </c>
      <c r="P4" t="s">
        <v>145</v>
      </c>
      <c r="Q4" t="s">
        <v>133</v>
      </c>
      <c r="R4" t="s">
        <v>148</v>
      </c>
      <c r="S4" t="s">
        <v>158</v>
      </c>
      <c r="T4">
        <v>5.61</v>
      </c>
    </row>
    <row r="5" spans="1:20" x14ac:dyDescent="0.25">
      <c r="A5" t="s">
        <v>23</v>
      </c>
      <c r="B5" t="s">
        <v>31</v>
      </c>
      <c r="C5" t="s">
        <v>40</v>
      </c>
      <c r="D5" t="s">
        <v>59</v>
      </c>
      <c r="E5" t="s">
        <v>77</v>
      </c>
      <c r="F5" t="s">
        <v>93</v>
      </c>
      <c r="G5" t="s">
        <v>97</v>
      </c>
      <c r="H5" t="s">
        <v>99</v>
      </c>
      <c r="I5" t="s">
        <v>102</v>
      </c>
      <c r="J5" t="s">
        <v>107</v>
      </c>
      <c r="K5" t="s">
        <v>115</v>
      </c>
      <c r="L5" t="s">
        <v>122</v>
      </c>
      <c r="M5" t="s">
        <v>123</v>
      </c>
      <c r="N5" t="s">
        <v>128</v>
      </c>
      <c r="O5" t="s">
        <v>134</v>
      </c>
      <c r="P5" t="s">
        <v>145</v>
      </c>
      <c r="Q5" t="s">
        <v>134</v>
      </c>
      <c r="R5" t="s">
        <v>148</v>
      </c>
      <c r="S5" t="s">
        <v>159</v>
      </c>
      <c r="T5">
        <v>2.93</v>
      </c>
    </row>
    <row r="6" spans="1:20" x14ac:dyDescent="0.25">
      <c r="A6" t="s">
        <v>23</v>
      </c>
      <c r="B6" t="s">
        <v>31</v>
      </c>
      <c r="C6" t="s">
        <v>41</v>
      </c>
      <c r="D6" t="s">
        <v>60</v>
      </c>
      <c r="E6" t="s">
        <v>78</v>
      </c>
      <c r="F6" t="s">
        <v>93</v>
      </c>
      <c r="G6" t="s">
        <v>97</v>
      </c>
      <c r="H6" t="s">
        <v>99</v>
      </c>
      <c r="I6" t="s">
        <v>102</v>
      </c>
      <c r="J6" t="s">
        <v>107</v>
      </c>
      <c r="K6" t="s">
        <v>114</v>
      </c>
      <c r="L6" t="s">
        <v>122</v>
      </c>
      <c r="M6" t="s">
        <v>124</v>
      </c>
      <c r="N6" t="s">
        <v>126</v>
      </c>
      <c r="O6" t="s">
        <v>135</v>
      </c>
      <c r="P6" t="s">
        <v>145</v>
      </c>
      <c r="Q6" t="s">
        <v>135</v>
      </c>
      <c r="R6" t="s">
        <v>148</v>
      </c>
      <c r="S6" t="s">
        <v>158</v>
      </c>
      <c r="T6">
        <v>5.07</v>
      </c>
    </row>
    <row r="7" spans="1:20" x14ac:dyDescent="0.25">
      <c r="A7" t="s">
        <v>23</v>
      </c>
      <c r="B7" t="s">
        <v>31</v>
      </c>
      <c r="C7" t="s">
        <v>42</v>
      </c>
      <c r="D7" t="s">
        <v>61</v>
      </c>
      <c r="E7" t="s">
        <v>79</v>
      </c>
      <c r="F7" t="s">
        <v>94</v>
      </c>
      <c r="G7" t="s">
        <v>96</v>
      </c>
      <c r="H7" t="s">
        <v>99</v>
      </c>
      <c r="I7" t="s">
        <v>104</v>
      </c>
      <c r="J7" t="s">
        <v>107</v>
      </c>
      <c r="K7" t="s">
        <v>115</v>
      </c>
      <c r="L7" t="s">
        <v>122</v>
      </c>
      <c r="M7" t="s">
        <v>123</v>
      </c>
      <c r="N7" t="s">
        <v>129</v>
      </c>
      <c r="O7" t="s">
        <v>136</v>
      </c>
      <c r="P7" t="s">
        <v>145</v>
      </c>
      <c r="Q7" t="s">
        <v>136</v>
      </c>
      <c r="R7" t="s">
        <v>148</v>
      </c>
      <c r="S7" t="s">
        <v>157</v>
      </c>
      <c r="T7">
        <v>5.91</v>
      </c>
    </row>
    <row r="8" spans="1:20" x14ac:dyDescent="0.25">
      <c r="A8" t="s">
        <v>23</v>
      </c>
      <c r="B8" t="s">
        <v>31</v>
      </c>
      <c r="C8" t="s">
        <v>43</v>
      </c>
      <c r="D8" t="s">
        <v>62</v>
      </c>
      <c r="E8" t="s">
        <v>80</v>
      </c>
      <c r="F8" t="s">
        <v>93</v>
      </c>
      <c r="G8" t="s">
        <v>97</v>
      </c>
      <c r="H8" t="s">
        <v>99</v>
      </c>
      <c r="I8" t="s">
        <v>104</v>
      </c>
      <c r="J8" t="s">
        <v>107</v>
      </c>
      <c r="K8" t="s">
        <v>113</v>
      </c>
      <c r="L8" t="s">
        <v>122</v>
      </c>
      <c r="M8" t="s">
        <v>124</v>
      </c>
      <c r="N8" t="s">
        <v>127</v>
      </c>
      <c r="O8" t="s">
        <v>135</v>
      </c>
      <c r="P8" t="s">
        <v>145</v>
      </c>
      <c r="Q8" t="s">
        <v>135</v>
      </c>
      <c r="R8" t="s">
        <v>148</v>
      </c>
      <c r="S8" t="s">
        <v>158</v>
      </c>
      <c r="T8">
        <v>5.07</v>
      </c>
    </row>
    <row r="9" spans="1:20" x14ac:dyDescent="0.25">
      <c r="A9" t="s">
        <v>23</v>
      </c>
      <c r="B9" t="s">
        <v>31</v>
      </c>
      <c r="C9" t="s">
        <v>44</v>
      </c>
      <c r="D9" t="s">
        <v>63</v>
      </c>
      <c r="E9" t="s">
        <v>81</v>
      </c>
      <c r="F9" t="s">
        <v>93</v>
      </c>
      <c r="G9" t="s">
        <v>97</v>
      </c>
      <c r="H9" t="s">
        <v>99</v>
      </c>
      <c r="I9" t="s">
        <v>104</v>
      </c>
      <c r="J9" t="s">
        <v>107</v>
      </c>
      <c r="K9" t="s">
        <v>115</v>
      </c>
      <c r="L9" t="s">
        <v>122</v>
      </c>
      <c r="M9" t="s">
        <v>124</v>
      </c>
      <c r="N9" t="s">
        <v>128</v>
      </c>
      <c r="O9" t="s">
        <v>137</v>
      </c>
      <c r="P9" t="s">
        <v>145</v>
      </c>
      <c r="Q9" t="s">
        <v>137</v>
      </c>
      <c r="R9" t="s">
        <v>148</v>
      </c>
      <c r="S9" t="s">
        <v>160</v>
      </c>
      <c r="T9">
        <v>0.83</v>
      </c>
    </row>
    <row r="10" spans="1:20" x14ac:dyDescent="0.25">
      <c r="A10" t="s">
        <v>23</v>
      </c>
      <c r="B10" t="s">
        <v>31</v>
      </c>
      <c r="C10" t="s">
        <v>45</v>
      </c>
      <c r="D10" t="s">
        <v>61</v>
      </c>
      <c r="E10" t="s">
        <v>79</v>
      </c>
      <c r="F10" t="s">
        <v>93</v>
      </c>
      <c r="G10" t="s">
        <v>97</v>
      </c>
      <c r="H10" t="s">
        <v>99</v>
      </c>
      <c r="I10" t="s">
        <v>104</v>
      </c>
      <c r="J10" t="s">
        <v>107</v>
      </c>
      <c r="K10" t="s">
        <v>115</v>
      </c>
      <c r="L10" t="s">
        <v>122</v>
      </c>
      <c r="M10" t="s">
        <v>124</v>
      </c>
      <c r="N10" t="s">
        <v>129</v>
      </c>
      <c r="O10" t="s">
        <v>133</v>
      </c>
      <c r="P10" t="s">
        <v>145</v>
      </c>
      <c r="Q10" t="s">
        <v>146</v>
      </c>
      <c r="R10" t="s">
        <v>148</v>
      </c>
      <c r="S10" t="s">
        <v>159</v>
      </c>
      <c r="T10">
        <v>3.24</v>
      </c>
    </row>
    <row r="11" spans="1:20" x14ac:dyDescent="0.25">
      <c r="A11" t="s">
        <v>23</v>
      </c>
      <c r="B11" t="s">
        <v>31</v>
      </c>
      <c r="C11" t="s">
        <v>46</v>
      </c>
      <c r="D11" t="s">
        <v>64</v>
      </c>
      <c r="E11" t="s">
        <v>82</v>
      </c>
      <c r="F11" t="s">
        <v>93</v>
      </c>
      <c r="G11" t="s">
        <v>97</v>
      </c>
      <c r="H11" t="s">
        <v>99</v>
      </c>
      <c r="I11" t="s">
        <v>105</v>
      </c>
      <c r="J11" t="s">
        <v>107</v>
      </c>
      <c r="K11" t="s">
        <v>115</v>
      </c>
      <c r="L11" t="s">
        <v>122</v>
      </c>
      <c r="M11" t="s">
        <v>124</v>
      </c>
      <c r="N11" t="s">
        <v>126</v>
      </c>
      <c r="O11" t="s">
        <v>133</v>
      </c>
      <c r="P11" t="s">
        <v>145</v>
      </c>
      <c r="Q11" t="s">
        <v>133</v>
      </c>
      <c r="R11" t="s">
        <v>148</v>
      </c>
      <c r="S11" t="s">
        <v>159</v>
      </c>
      <c r="T11">
        <v>4.03</v>
      </c>
    </row>
    <row r="12" spans="1:20" x14ac:dyDescent="0.25">
      <c r="A12" t="s">
        <v>24</v>
      </c>
      <c r="B12" t="s">
        <v>32</v>
      </c>
      <c r="C12" t="s">
        <v>47</v>
      </c>
      <c r="D12" t="s">
        <v>65</v>
      </c>
      <c r="E12" t="s">
        <v>83</v>
      </c>
      <c r="F12" t="s">
        <v>94</v>
      </c>
      <c r="G12" t="s">
        <v>96</v>
      </c>
      <c r="H12" t="s">
        <v>100</v>
      </c>
      <c r="I12" t="s">
        <v>103</v>
      </c>
      <c r="J12" t="s">
        <v>107</v>
      </c>
      <c r="K12" t="s">
        <v>116</v>
      </c>
      <c r="L12" t="s">
        <v>122</v>
      </c>
      <c r="M12" t="s">
        <v>123</v>
      </c>
      <c r="N12" t="s">
        <v>126</v>
      </c>
      <c r="O12" t="s">
        <v>138</v>
      </c>
      <c r="P12" t="s">
        <v>145</v>
      </c>
      <c r="Q12" t="s">
        <v>138</v>
      </c>
      <c r="R12" t="s">
        <v>148</v>
      </c>
      <c r="S12" t="s">
        <v>157</v>
      </c>
      <c r="T12">
        <v>12.41</v>
      </c>
    </row>
    <row r="13" spans="1:20" x14ac:dyDescent="0.25">
      <c r="A13" t="s">
        <v>24</v>
      </c>
      <c r="B13" t="s">
        <v>32</v>
      </c>
      <c r="C13" t="s">
        <v>48</v>
      </c>
      <c r="D13" t="s">
        <v>66</v>
      </c>
      <c r="E13" t="s">
        <v>84</v>
      </c>
      <c r="F13" t="s">
        <v>94</v>
      </c>
      <c r="G13" t="s">
        <v>96</v>
      </c>
      <c r="H13" t="s">
        <v>100</v>
      </c>
      <c r="I13" t="s">
        <v>103</v>
      </c>
      <c r="J13" t="s">
        <v>107</v>
      </c>
      <c r="K13" t="s">
        <v>117</v>
      </c>
      <c r="L13" t="s">
        <v>122</v>
      </c>
      <c r="M13" t="s">
        <v>123</v>
      </c>
      <c r="N13" t="s">
        <v>130</v>
      </c>
      <c r="O13" t="s">
        <v>139</v>
      </c>
      <c r="P13" t="s">
        <v>145</v>
      </c>
      <c r="Q13" t="s">
        <v>139</v>
      </c>
      <c r="R13" t="s">
        <v>148</v>
      </c>
      <c r="S13" t="s">
        <v>157</v>
      </c>
      <c r="T13">
        <v>6.22</v>
      </c>
    </row>
    <row r="14" spans="1:20" x14ac:dyDescent="0.25">
      <c r="A14" t="s">
        <v>24</v>
      </c>
      <c r="B14" t="s">
        <v>32</v>
      </c>
      <c r="C14" t="s">
        <v>49</v>
      </c>
      <c r="D14" t="s">
        <v>67</v>
      </c>
      <c r="E14" t="s">
        <v>85</v>
      </c>
      <c r="F14" t="s">
        <v>94</v>
      </c>
      <c r="G14" t="s">
        <v>96</v>
      </c>
      <c r="H14" t="s">
        <v>100</v>
      </c>
      <c r="I14" t="s">
        <v>104</v>
      </c>
      <c r="J14" t="s">
        <v>108</v>
      </c>
      <c r="K14" t="s">
        <v>118</v>
      </c>
      <c r="L14" t="s">
        <v>122</v>
      </c>
      <c r="M14" t="s">
        <v>123</v>
      </c>
      <c r="N14" t="s">
        <v>126</v>
      </c>
      <c r="O14" t="s">
        <v>140</v>
      </c>
      <c r="P14" t="s">
        <v>145</v>
      </c>
      <c r="Q14" t="s">
        <v>140</v>
      </c>
      <c r="R14" t="s">
        <v>148</v>
      </c>
      <c r="S14" t="s">
        <v>157</v>
      </c>
      <c r="T14">
        <v>16.91</v>
      </c>
    </row>
    <row r="15" spans="1:20" x14ac:dyDescent="0.25">
      <c r="A15" t="s">
        <v>24</v>
      </c>
      <c r="B15" t="s">
        <v>32</v>
      </c>
      <c r="C15" t="s">
        <v>50</v>
      </c>
      <c r="D15" t="s">
        <v>68</v>
      </c>
      <c r="E15" t="s">
        <v>86</v>
      </c>
      <c r="F15" t="s">
        <v>94</v>
      </c>
      <c r="G15" t="s">
        <v>96</v>
      </c>
      <c r="H15" t="s">
        <v>100</v>
      </c>
      <c r="I15" t="s">
        <v>105</v>
      </c>
      <c r="J15" t="s">
        <v>109</v>
      </c>
      <c r="K15" t="s">
        <v>112</v>
      </c>
      <c r="L15" t="s">
        <v>122</v>
      </c>
      <c r="M15" t="s">
        <v>123</v>
      </c>
      <c r="N15" t="s">
        <v>130</v>
      </c>
      <c r="O15" t="s">
        <v>139</v>
      </c>
      <c r="P15" t="s">
        <v>145</v>
      </c>
      <c r="Q15" t="s">
        <v>139</v>
      </c>
      <c r="R15" t="s">
        <v>148</v>
      </c>
      <c r="S15" t="s">
        <v>157</v>
      </c>
      <c r="T15">
        <v>6.22</v>
      </c>
    </row>
    <row r="16" spans="1:20" x14ac:dyDescent="0.25">
      <c r="A16" t="s">
        <v>25</v>
      </c>
      <c r="B16" t="s">
        <v>33</v>
      </c>
      <c r="C16" t="s">
        <v>51</v>
      </c>
      <c r="D16" t="s">
        <v>69</v>
      </c>
      <c r="E16" t="s">
        <v>87</v>
      </c>
      <c r="F16" t="s">
        <v>94</v>
      </c>
      <c r="G16" t="s">
        <v>96</v>
      </c>
      <c r="H16" t="s">
        <v>101</v>
      </c>
      <c r="I16" t="s">
        <v>103</v>
      </c>
      <c r="J16" t="s">
        <v>110</v>
      </c>
      <c r="K16" t="s">
        <v>119</v>
      </c>
      <c r="L16" t="s">
        <v>122</v>
      </c>
      <c r="M16" t="s">
        <v>125</v>
      </c>
      <c r="N16" t="s">
        <v>128</v>
      </c>
      <c r="O16" t="s">
        <v>141</v>
      </c>
      <c r="P16" t="s">
        <v>145</v>
      </c>
      <c r="Q16" t="s">
        <v>141</v>
      </c>
      <c r="R16" t="s">
        <v>148</v>
      </c>
      <c r="S16" t="s">
        <v>157</v>
      </c>
      <c r="T16">
        <v>-3.75</v>
      </c>
    </row>
    <row r="17" spans="1:20" x14ac:dyDescent="0.25">
      <c r="A17" t="s">
        <v>25</v>
      </c>
      <c r="B17" t="s">
        <v>33</v>
      </c>
      <c r="C17" t="s">
        <v>52</v>
      </c>
      <c r="D17" t="s">
        <v>70</v>
      </c>
      <c r="E17" t="s">
        <v>88</v>
      </c>
      <c r="F17" t="s">
        <v>94</v>
      </c>
      <c r="G17" t="s">
        <v>96</v>
      </c>
      <c r="H17" t="s">
        <v>101</v>
      </c>
      <c r="I17" t="s">
        <v>103</v>
      </c>
      <c r="J17" t="s">
        <v>107</v>
      </c>
      <c r="K17" t="s">
        <v>116</v>
      </c>
      <c r="L17" t="s">
        <v>122</v>
      </c>
      <c r="M17" t="s">
        <v>123</v>
      </c>
      <c r="N17" t="s">
        <v>131</v>
      </c>
      <c r="O17" t="s">
        <v>132</v>
      </c>
      <c r="P17" t="s">
        <v>145</v>
      </c>
      <c r="Q17" t="s">
        <v>132</v>
      </c>
      <c r="R17" t="s">
        <v>148</v>
      </c>
      <c r="S17" t="s">
        <v>157</v>
      </c>
      <c r="T17">
        <v>5.37</v>
      </c>
    </row>
    <row r="18" spans="1:20" x14ac:dyDescent="0.25">
      <c r="A18" t="s">
        <v>26</v>
      </c>
      <c r="B18" t="s">
        <v>34</v>
      </c>
      <c r="C18" t="s">
        <v>53</v>
      </c>
      <c r="D18" t="s">
        <v>71</v>
      </c>
      <c r="E18" t="s">
        <v>89</v>
      </c>
      <c r="F18" t="s">
        <v>94</v>
      </c>
      <c r="G18" t="s">
        <v>96</v>
      </c>
      <c r="H18" t="s">
        <v>100</v>
      </c>
      <c r="I18" t="s">
        <v>105</v>
      </c>
      <c r="J18" t="s">
        <v>107</v>
      </c>
      <c r="K18" t="s">
        <v>120</v>
      </c>
      <c r="L18" t="s">
        <v>122</v>
      </c>
      <c r="M18" t="s">
        <v>124</v>
      </c>
      <c r="N18" t="s">
        <v>131</v>
      </c>
      <c r="O18" t="s">
        <v>142</v>
      </c>
      <c r="P18" t="s">
        <v>145</v>
      </c>
      <c r="Q18" t="s">
        <v>142</v>
      </c>
      <c r="R18" t="s">
        <v>148</v>
      </c>
      <c r="S18" t="s">
        <v>157</v>
      </c>
      <c r="T18">
        <v>5.31</v>
      </c>
    </row>
    <row r="19" spans="1:20" x14ac:dyDescent="0.25">
      <c r="A19" t="s">
        <v>27</v>
      </c>
      <c r="B19" t="s">
        <v>35</v>
      </c>
      <c r="C19" t="s">
        <v>54</v>
      </c>
      <c r="D19" t="s">
        <v>72</v>
      </c>
      <c r="E19" t="s">
        <v>90</v>
      </c>
      <c r="F19" t="s">
        <v>93</v>
      </c>
      <c r="G19" t="s">
        <v>97</v>
      </c>
      <c r="H19" t="s">
        <v>100</v>
      </c>
      <c r="I19" t="s">
        <v>106</v>
      </c>
      <c r="J19" t="s">
        <v>107</v>
      </c>
      <c r="K19" t="s">
        <v>115</v>
      </c>
      <c r="L19" t="s">
        <v>122</v>
      </c>
      <c r="M19" t="s">
        <v>123</v>
      </c>
      <c r="N19" t="s">
        <v>128</v>
      </c>
      <c r="O19" t="s">
        <v>143</v>
      </c>
      <c r="P19" t="s">
        <v>145</v>
      </c>
      <c r="Q19" t="s">
        <v>143</v>
      </c>
      <c r="R19" t="s">
        <v>148</v>
      </c>
      <c r="S19" t="s">
        <v>159</v>
      </c>
      <c r="T19">
        <v>3.27</v>
      </c>
    </row>
    <row r="20" spans="1:20" x14ac:dyDescent="0.25">
      <c r="A20" t="s">
        <v>28</v>
      </c>
      <c r="B20" t="s">
        <v>36</v>
      </c>
      <c r="C20" t="s">
        <v>55</v>
      </c>
      <c r="D20" t="s">
        <v>73</v>
      </c>
      <c r="E20" t="s">
        <v>91</v>
      </c>
      <c r="F20" t="s">
        <v>95</v>
      </c>
      <c r="G20" t="s">
        <v>97</v>
      </c>
      <c r="H20" t="s">
        <v>98</v>
      </c>
      <c r="I20" t="s">
        <v>103</v>
      </c>
      <c r="J20" t="s">
        <v>111</v>
      </c>
      <c r="K20" t="s">
        <v>121</v>
      </c>
      <c r="L20" t="s">
        <v>122</v>
      </c>
      <c r="M20" t="s">
        <v>124</v>
      </c>
      <c r="N20" t="s">
        <v>126</v>
      </c>
      <c r="O20" t="s">
        <v>144</v>
      </c>
      <c r="P20" t="s">
        <v>145</v>
      </c>
      <c r="Q20" t="s">
        <v>147</v>
      </c>
      <c r="R20" t="s">
        <v>148</v>
      </c>
      <c r="S20" t="s">
        <v>160</v>
      </c>
      <c r="T20">
        <v>1.73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H20" sqref="H20"/>
    </sheetView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161</v>
      </c>
    </row>
    <row r="2" spans="1:9" x14ac:dyDescent="0.25">
      <c r="A2" t="s">
        <v>51</v>
      </c>
      <c r="B2" t="s">
        <v>69</v>
      </c>
      <c r="C2" t="s">
        <v>87</v>
      </c>
      <c r="D2" t="s">
        <v>94</v>
      </c>
      <c r="E2" t="s">
        <v>96</v>
      </c>
      <c r="F2" t="s">
        <v>101</v>
      </c>
      <c r="G2" t="s">
        <v>103</v>
      </c>
      <c r="H2" t="s">
        <v>162</v>
      </c>
      <c r="I2">
        <v>9.86</v>
      </c>
    </row>
    <row r="3" spans="1:9" x14ac:dyDescent="0.25">
      <c r="A3" t="s">
        <v>47</v>
      </c>
      <c r="B3" t="s">
        <v>65</v>
      </c>
      <c r="C3" t="s">
        <v>83</v>
      </c>
      <c r="D3" t="s">
        <v>94</v>
      </c>
      <c r="E3" t="s">
        <v>96</v>
      </c>
      <c r="F3" t="s">
        <v>100</v>
      </c>
      <c r="G3" t="s">
        <v>103</v>
      </c>
      <c r="H3" t="s">
        <v>162</v>
      </c>
      <c r="I3">
        <v>-32.659999999999997</v>
      </c>
    </row>
    <row r="4" spans="1:9" x14ac:dyDescent="0.25">
      <c r="A4" t="s">
        <v>38</v>
      </c>
      <c r="B4" t="s">
        <v>57</v>
      </c>
      <c r="C4" t="s">
        <v>75</v>
      </c>
      <c r="D4" t="s">
        <v>92</v>
      </c>
      <c r="E4" t="s">
        <v>96</v>
      </c>
      <c r="F4" t="s">
        <v>98</v>
      </c>
      <c r="G4" t="s">
        <v>103</v>
      </c>
      <c r="H4" t="s">
        <v>162</v>
      </c>
      <c r="I4">
        <v>-14.13</v>
      </c>
    </row>
    <row r="5" spans="1:9" x14ac:dyDescent="0.25">
      <c r="A5" t="s">
        <v>52</v>
      </c>
      <c r="B5" t="s">
        <v>70</v>
      </c>
      <c r="C5" t="s">
        <v>88</v>
      </c>
      <c r="D5" t="s">
        <v>94</v>
      </c>
      <c r="E5" t="s">
        <v>96</v>
      </c>
      <c r="F5" t="s">
        <v>101</v>
      </c>
      <c r="G5" t="s">
        <v>103</v>
      </c>
      <c r="H5" t="s">
        <v>162</v>
      </c>
      <c r="I5">
        <v>-14.13</v>
      </c>
    </row>
    <row r="6" spans="1:9" x14ac:dyDescent="0.25">
      <c r="A6" t="s">
        <v>48</v>
      </c>
      <c r="B6" t="s">
        <v>66</v>
      </c>
      <c r="C6" t="s">
        <v>84</v>
      </c>
      <c r="D6" t="s">
        <v>94</v>
      </c>
      <c r="E6" t="s">
        <v>96</v>
      </c>
      <c r="F6" t="s">
        <v>100</v>
      </c>
      <c r="G6" t="s">
        <v>103</v>
      </c>
      <c r="H6" t="s">
        <v>162</v>
      </c>
      <c r="I6">
        <v>-16.36</v>
      </c>
    </row>
    <row r="7" spans="1:9" x14ac:dyDescent="0.25">
      <c r="A7" t="s">
        <v>39</v>
      </c>
      <c r="B7" t="s">
        <v>58</v>
      </c>
      <c r="C7" t="s">
        <v>76</v>
      </c>
      <c r="D7" t="s">
        <v>93</v>
      </c>
      <c r="E7" t="s">
        <v>97</v>
      </c>
      <c r="F7" t="s">
        <v>99</v>
      </c>
      <c r="G7" t="s">
        <v>103</v>
      </c>
      <c r="H7" t="s">
        <v>162</v>
      </c>
      <c r="I7">
        <v>-30.19</v>
      </c>
    </row>
    <row r="8" spans="1:9" x14ac:dyDescent="0.25">
      <c r="A8" t="s">
        <v>55</v>
      </c>
      <c r="B8" t="s">
        <v>73</v>
      </c>
      <c r="C8" t="s">
        <v>91</v>
      </c>
      <c r="D8" t="s">
        <v>95</v>
      </c>
      <c r="E8" t="s">
        <v>97</v>
      </c>
      <c r="F8" t="s">
        <v>98</v>
      </c>
      <c r="G8" t="s">
        <v>103</v>
      </c>
      <c r="H8" t="s">
        <v>162</v>
      </c>
      <c r="I8">
        <v>-2.16</v>
      </c>
    </row>
    <row r="9" spans="1:9" x14ac:dyDescent="0.25">
      <c r="A9" t="s">
        <v>40</v>
      </c>
      <c r="B9" t="s">
        <v>59</v>
      </c>
      <c r="C9" t="s">
        <v>77</v>
      </c>
      <c r="D9" t="s">
        <v>93</v>
      </c>
      <c r="E9" t="s">
        <v>97</v>
      </c>
      <c r="F9" t="s">
        <v>99</v>
      </c>
      <c r="G9" t="s">
        <v>102</v>
      </c>
      <c r="H9" t="s">
        <v>162</v>
      </c>
      <c r="I9">
        <v>-22.01</v>
      </c>
    </row>
    <row r="10" spans="1:9" x14ac:dyDescent="0.25">
      <c r="A10" t="s">
        <v>41</v>
      </c>
      <c r="B10" t="s">
        <v>60</v>
      </c>
      <c r="C10" t="s">
        <v>78</v>
      </c>
      <c r="D10" t="s">
        <v>93</v>
      </c>
      <c r="E10" t="s">
        <v>97</v>
      </c>
      <c r="F10" t="s">
        <v>99</v>
      </c>
      <c r="G10" t="s">
        <v>102</v>
      </c>
      <c r="H10" t="s">
        <v>162</v>
      </c>
      <c r="I10">
        <v>-27.32</v>
      </c>
    </row>
    <row r="11" spans="1:9" x14ac:dyDescent="0.25">
      <c r="A11" t="s">
        <v>54</v>
      </c>
      <c r="B11" t="s">
        <v>72</v>
      </c>
      <c r="C11" t="s">
        <v>90</v>
      </c>
      <c r="D11" t="s">
        <v>93</v>
      </c>
      <c r="E11" t="s">
        <v>97</v>
      </c>
      <c r="F11" t="s">
        <v>100</v>
      </c>
      <c r="G11" t="s">
        <v>106</v>
      </c>
      <c r="H11" t="s">
        <v>162</v>
      </c>
      <c r="I11">
        <v>-24.27</v>
      </c>
    </row>
    <row r="12" spans="1:9" x14ac:dyDescent="0.25">
      <c r="A12" t="s">
        <v>43</v>
      </c>
      <c r="B12" t="s">
        <v>62</v>
      </c>
      <c r="C12" t="s">
        <v>80</v>
      </c>
      <c r="D12" t="s">
        <v>93</v>
      </c>
      <c r="E12" t="s">
        <v>97</v>
      </c>
      <c r="F12" t="s">
        <v>99</v>
      </c>
      <c r="G12" t="s">
        <v>104</v>
      </c>
      <c r="H12" t="s">
        <v>162</v>
      </c>
      <c r="I12">
        <v>-27.32</v>
      </c>
    </row>
    <row r="13" spans="1:9" x14ac:dyDescent="0.25">
      <c r="A13" t="s">
        <v>44</v>
      </c>
      <c r="B13" t="s">
        <v>63</v>
      </c>
      <c r="C13" t="s">
        <v>81</v>
      </c>
      <c r="D13" t="s">
        <v>93</v>
      </c>
      <c r="E13" t="s">
        <v>97</v>
      </c>
      <c r="F13" t="s">
        <v>99</v>
      </c>
      <c r="G13" t="s">
        <v>104</v>
      </c>
      <c r="H13" t="s">
        <v>162</v>
      </c>
      <c r="I13">
        <v>-2.09</v>
      </c>
    </row>
    <row r="14" spans="1:9" x14ac:dyDescent="0.25">
      <c r="A14" t="s">
        <v>49</v>
      </c>
      <c r="B14" t="s">
        <v>67</v>
      </c>
      <c r="C14" t="s">
        <v>85</v>
      </c>
      <c r="D14" t="s">
        <v>94</v>
      </c>
      <c r="E14" t="s">
        <v>96</v>
      </c>
      <c r="F14" t="s">
        <v>100</v>
      </c>
      <c r="G14" t="s">
        <v>104</v>
      </c>
      <c r="H14" t="s">
        <v>162</v>
      </c>
      <c r="I14">
        <v>-44.49</v>
      </c>
    </row>
    <row r="15" spans="1:9" x14ac:dyDescent="0.25">
      <c r="A15" t="s">
        <v>50</v>
      </c>
      <c r="B15" t="s">
        <v>68</v>
      </c>
      <c r="C15" t="s">
        <v>86</v>
      </c>
      <c r="D15" t="s">
        <v>94</v>
      </c>
      <c r="E15" t="s">
        <v>96</v>
      </c>
      <c r="F15" t="s">
        <v>100</v>
      </c>
      <c r="G15" t="s">
        <v>105</v>
      </c>
      <c r="H15" t="s">
        <v>162</v>
      </c>
      <c r="I15">
        <v>-16.36</v>
      </c>
    </row>
    <row r="16" spans="1:9" x14ac:dyDescent="0.25">
      <c r="A16" t="s">
        <v>53</v>
      </c>
      <c r="B16" t="s">
        <v>71</v>
      </c>
      <c r="C16" t="s">
        <v>89</v>
      </c>
      <c r="D16" t="s">
        <v>94</v>
      </c>
      <c r="E16" t="s">
        <v>96</v>
      </c>
      <c r="F16" t="s">
        <v>100</v>
      </c>
      <c r="G16" t="s">
        <v>105</v>
      </c>
      <c r="H16" t="s">
        <v>162</v>
      </c>
      <c r="I16">
        <v>-13.98</v>
      </c>
    </row>
    <row r="17" spans="1:9" x14ac:dyDescent="0.25">
      <c r="A17" t="s">
        <v>46</v>
      </c>
      <c r="B17" t="s">
        <v>64</v>
      </c>
      <c r="C17" t="s">
        <v>82</v>
      </c>
      <c r="D17" t="s">
        <v>93</v>
      </c>
      <c r="E17" t="s">
        <v>97</v>
      </c>
      <c r="F17" t="s">
        <v>99</v>
      </c>
      <c r="G17" t="s">
        <v>105</v>
      </c>
      <c r="H17" t="s">
        <v>162</v>
      </c>
      <c r="I17">
        <v>-30.19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>
      <selection activeCell="K15" sqref="K1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163</v>
      </c>
      <c r="L1" s="1" t="s">
        <v>17</v>
      </c>
      <c r="M1" s="1" t="s">
        <v>18</v>
      </c>
      <c r="N1" s="1" t="s">
        <v>164</v>
      </c>
      <c r="O1" s="1" t="s">
        <v>165</v>
      </c>
      <c r="P1" s="1" t="s">
        <v>166</v>
      </c>
    </row>
    <row r="2" spans="1:16" x14ac:dyDescent="0.25">
      <c r="A2" t="s">
        <v>24</v>
      </c>
      <c r="B2" t="s">
        <v>32</v>
      </c>
      <c r="C2" t="s">
        <v>48</v>
      </c>
      <c r="D2" t="s">
        <v>66</v>
      </c>
      <c r="E2" t="s">
        <v>84</v>
      </c>
      <c r="F2" t="s">
        <v>94</v>
      </c>
      <c r="G2" t="s">
        <v>96</v>
      </c>
      <c r="H2" t="s">
        <v>100</v>
      </c>
      <c r="I2" t="s">
        <v>103</v>
      </c>
      <c r="J2" t="s">
        <v>167</v>
      </c>
      <c r="K2" t="s">
        <v>139</v>
      </c>
      <c r="L2" t="s">
        <v>148</v>
      </c>
      <c r="M2" t="s">
        <v>150</v>
      </c>
      <c r="N2" t="s">
        <v>168</v>
      </c>
      <c r="O2">
        <v>147.24</v>
      </c>
      <c r="P2" t="s">
        <v>169</v>
      </c>
    </row>
    <row r="3" spans="1:16" x14ac:dyDescent="0.25">
      <c r="A3" t="s">
        <v>24</v>
      </c>
      <c r="B3" t="s">
        <v>32</v>
      </c>
      <c r="C3" t="s">
        <v>50</v>
      </c>
      <c r="D3" t="s">
        <v>68</v>
      </c>
      <c r="E3" t="s">
        <v>86</v>
      </c>
      <c r="F3" t="s">
        <v>94</v>
      </c>
      <c r="G3" t="s">
        <v>96</v>
      </c>
      <c r="H3" t="s">
        <v>100</v>
      </c>
      <c r="I3" t="s">
        <v>105</v>
      </c>
      <c r="J3" t="s">
        <v>167</v>
      </c>
      <c r="K3" t="s">
        <v>139</v>
      </c>
      <c r="L3" t="s">
        <v>148</v>
      </c>
      <c r="M3" t="s">
        <v>150</v>
      </c>
      <c r="N3" t="s">
        <v>168</v>
      </c>
      <c r="O3">
        <v>147.24</v>
      </c>
      <c r="P3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tabSelected="1" workbookViewId="0">
      <selection activeCell="E5" sqref="E5"/>
    </sheetView>
  </sheetViews>
  <sheetFormatPr defaultRowHeight="15" x14ac:dyDescent="0.25"/>
  <cols>
    <col min="1" max="1" width="23" bestFit="1" customWidth="1"/>
    <col min="2" max="2" width="15.28515625" bestFit="1" customWidth="1"/>
    <col min="3" max="3" width="7.85546875" bestFit="1" customWidth="1"/>
  </cols>
  <sheetData>
    <row r="1" spans="1:3" x14ac:dyDescent="0.25">
      <c r="A1" s="1" t="s">
        <v>166</v>
      </c>
      <c r="B1" s="1" t="s">
        <v>12</v>
      </c>
      <c r="C1" s="1" t="s">
        <v>170</v>
      </c>
    </row>
    <row r="2" spans="1:3" x14ac:dyDescent="0.25">
      <c r="A2" s="1" t="s">
        <v>171</v>
      </c>
      <c r="B2" t="s">
        <v>172</v>
      </c>
      <c r="C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Year Commission</vt:lpstr>
      <vt:lpstr>Sheet1</vt:lpstr>
      <vt:lpstr>First Year Overwrites</vt:lpstr>
      <vt:lpstr>Advance Paybacks</vt:lpstr>
      <vt:lpstr>Advances - Paid Advances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2026-02-08T21:02:49Z</dcterms:created>
  <dcterms:modified xsi:type="dcterms:W3CDTF">2026-03-24T19:50:45Z</dcterms:modified>
</cp:coreProperties>
</file>