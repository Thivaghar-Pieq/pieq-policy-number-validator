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physician mutual\2026\2-14-26\"/>
    </mc:Choice>
  </mc:AlternateContent>
  <xr:revisionPtr revIDLastSave="0" documentId="13_ncr:1_{CB765889-7CAA-4677-B79A-ACCF96171A9C}" xr6:coauthVersionLast="47" xr6:coauthVersionMax="47" xr10:uidLastSave="{00000000-0000-0000-0000-000000000000}"/>
  <bookViews>
    <workbookView xWindow="-120" yWindow="-120" windowWidth="29040" windowHeight="16440" activeTab="1" xr2:uid="{00000000-000D-0000-FFFF-FFFF00000000}"/>
  </bookViews>
  <sheets>
    <sheet name="First Year Commission" sheetId="1" r:id="rId1"/>
    <sheet name="Sheet1" sheetId="4" r:id="rId2"/>
    <sheet name="First Year Overwrites" sheetId="2" r:id="rId3"/>
    <sheet name="Advance Paybacks" sheetId="3" r:id="rId4"/>
  </sheets>
  <calcPr calcId="181029"/>
</workbook>
</file>

<file path=xl/calcChain.xml><?xml version="1.0" encoding="utf-8"?>
<calcChain xmlns="http://schemas.openxmlformats.org/spreadsheetml/2006/main">
  <c r="D12" i="4" l="1"/>
  <c r="D13" i="4"/>
  <c r="D14" i="4"/>
  <c r="D15" i="4"/>
  <c r="D16" i="4"/>
  <c r="D17" i="4"/>
  <c r="D18" i="4"/>
  <c r="D19" i="4"/>
  <c r="D11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" i="4"/>
</calcChain>
</file>

<file path=xl/sharedStrings.xml><?xml version="1.0" encoding="utf-8"?>
<sst xmlns="http://schemas.openxmlformats.org/spreadsheetml/2006/main" count="675" uniqueCount="107">
  <si>
    <t>writingIntermediaryName</t>
  </si>
  <si>
    <t>writingIntermediaryNPN</t>
  </si>
  <si>
    <t>policyNumber</t>
  </si>
  <si>
    <t>policyOwner_firstName</t>
  </si>
  <si>
    <t>policyOwner_lastName</t>
  </si>
  <si>
    <t>policyKind</t>
  </si>
  <si>
    <t>policyGroup</t>
  </si>
  <si>
    <t>state</t>
  </si>
  <si>
    <t>transactionDate</t>
  </si>
  <si>
    <t>paidToDate</t>
  </si>
  <si>
    <t>insuredAge</t>
  </si>
  <si>
    <t>mode</t>
  </si>
  <si>
    <t>transactionType</t>
  </si>
  <si>
    <t>policyMonths</t>
  </si>
  <si>
    <t>Applied_Premium</t>
  </si>
  <si>
    <t>commissionableBasis_subStandard</t>
  </si>
  <si>
    <t>Commission_Basis</t>
  </si>
  <si>
    <t>splitPercentage</t>
  </si>
  <si>
    <t>commissionRate</t>
  </si>
  <si>
    <t>commissionAmount</t>
  </si>
  <si>
    <t>advancePaybackFlag</t>
  </si>
  <si>
    <t>Brandt Steven K</t>
  </si>
  <si>
    <t xml:space="preserve">Sherman Matthew </t>
  </si>
  <si>
    <t>Shapiro Robert null</t>
  </si>
  <si>
    <t>19491313</t>
  </si>
  <si>
    <t>8812322</t>
  </si>
  <si>
    <t>7565575</t>
  </si>
  <si>
    <t>H750092058</t>
  </si>
  <si>
    <t>H750070465</t>
  </si>
  <si>
    <t>H750075022</t>
  </si>
  <si>
    <t>H750095804</t>
  </si>
  <si>
    <t>H711024011</t>
  </si>
  <si>
    <t>H711037165</t>
  </si>
  <si>
    <t>H750095052</t>
  </si>
  <si>
    <t>H711067626</t>
  </si>
  <si>
    <t>H750077920</t>
  </si>
  <si>
    <t>Robert</t>
  </si>
  <si>
    <t>Michael</t>
  </si>
  <si>
    <t>Kerry</t>
  </si>
  <si>
    <t>Kimberly</t>
  </si>
  <si>
    <t>Lisa</t>
  </si>
  <si>
    <t>Kelly</t>
  </si>
  <si>
    <t>James</t>
  </si>
  <si>
    <t>Leighty</t>
  </si>
  <si>
    <t>Mcclellan</t>
  </si>
  <si>
    <t>Morrison</t>
  </si>
  <si>
    <t>Shonebarger</t>
  </si>
  <si>
    <t>Brewster</t>
  </si>
  <si>
    <t>Mcmorrow</t>
  </si>
  <si>
    <t>Andre</t>
  </si>
  <si>
    <t>S06600001</t>
  </si>
  <si>
    <t>P15400002</t>
  </si>
  <si>
    <t>Medicare Supplement</t>
  </si>
  <si>
    <t>Dental</t>
  </si>
  <si>
    <t>OH</t>
  </si>
  <si>
    <t>IL</t>
  </si>
  <si>
    <t>2026-02-10</t>
  </si>
  <si>
    <t>2026-02-13</t>
  </si>
  <si>
    <t>2026-03-01</t>
  </si>
  <si>
    <t>2026-04-01</t>
  </si>
  <si>
    <t>2026-03-15</t>
  </si>
  <si>
    <t>65</t>
  </si>
  <si>
    <t>69</t>
  </si>
  <si>
    <t>64</t>
  </si>
  <si>
    <t>59</t>
  </si>
  <si>
    <t>MONTHLY</t>
  </si>
  <si>
    <t>RCVP</t>
  </si>
  <si>
    <t>2</t>
  </si>
  <si>
    <t>8</t>
  </si>
  <si>
    <t>6</t>
  </si>
  <si>
    <t>3</t>
  </si>
  <si>
    <t>4</t>
  </si>
  <si>
    <t>5</t>
  </si>
  <si>
    <t>143.78</t>
  </si>
  <si>
    <t>151.36</t>
  </si>
  <si>
    <t>120.26</t>
  </si>
  <si>
    <t>130.09</t>
  </si>
  <si>
    <t>62.17</t>
  </si>
  <si>
    <t>53.67</t>
  </si>
  <si>
    <t>56.50</t>
  </si>
  <si>
    <t>162.10</t>
  </si>
  <si>
    <t>0.00</t>
  </si>
  <si>
    <t>121.96</t>
  </si>
  <si>
    <t>100.00000</t>
  </si>
  <si>
    <t>21.00%</t>
  </si>
  <si>
    <t>25.00%</t>
  </si>
  <si>
    <t>20.80%</t>
  </si>
  <si>
    <t>Y</t>
  </si>
  <si>
    <t>N</t>
  </si>
  <si>
    <t>2.80%</t>
  </si>
  <si>
    <t>9.50%</t>
  </si>
  <si>
    <t>advancePaybackAmount</t>
  </si>
  <si>
    <t>H711088706</t>
  </si>
  <si>
    <t>H750075870</t>
  </si>
  <si>
    <t>Emilee</t>
  </si>
  <si>
    <t>Barbara</t>
  </si>
  <si>
    <t>Knollenberg</t>
  </si>
  <si>
    <t>Holley</t>
  </si>
  <si>
    <t>2026-02-09</t>
  </si>
  <si>
    <t>APB-U</t>
  </si>
  <si>
    <t>APB-S</t>
  </si>
  <si>
    <t>Shapiro Robert</t>
  </si>
  <si>
    <t>Main Lines Benefits</t>
  </si>
  <si>
    <t>Open Enrollment underwritten IL</t>
  </si>
  <si>
    <t>Open Enrollment - States Where Available</t>
  </si>
  <si>
    <t>Standard Dental</t>
  </si>
  <si>
    <t>Physician Mutual OVR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</si>
</sst>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  <xf numFmtId="10" fontId="0" fillId="0" borderId="0" xfId="0" applyNumberFormat="1"/>
    <xf numFmtId="0" fontId="0" fillId="2" borderId="0" xfId="0" applyFill="1"/>
    <xf numFmtId="0" fontId="0" fillId="2" borderId="0" xfId="0" applyNumberFormat="1" applyFill="1"/>
    <xf numFmtId="10" fontId="0" fillId="2" borderId="0" xfId="0" applyNumberFormat="1" applyFill="1"/>
    <xf numFmtId="0" fontId="0" fillId="3" borderId="0" xfId="0" applyFill="1"/>
    <xf numFmtId="14" fontId="0" fillId="0" borderId="0" xfId="0" applyNumberFormat="1"/>
    <xf numFmtId="14" fontId="0" fillId="2" borderId="0" xfId="0" applyNumberFormat="1" applyFill="1"/>
    <xf numFmtId="0" fontId="0" fillId="3" borderId="0" xfId="0" applyNumberFormat="1" applyFill="1"/>
    <xf numFmtId="14" fontId="0" fillId="3" borderId="0" xfId="0" applyNumberFormat="1" applyFill="1"/>
    <xf numFmtId="10" fontId="0" fillId="3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"/>
  <sheetViews>
    <sheetView workbookViewId="0">
      <selection sqref="A1:XFD1048576"/>
    </sheetView>
  </sheetViews>
  <sheetFormatPr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t="s">
        <v>21</v>
      </c>
      <c r="B2" t="s">
        <v>24</v>
      </c>
      <c r="C2" t="s">
        <v>27</v>
      </c>
      <c r="D2" t="s">
        <v>36</v>
      </c>
      <c r="E2" t="s">
        <v>43</v>
      </c>
      <c r="F2" t="s">
        <v>50</v>
      </c>
      <c r="G2" t="s">
        <v>52</v>
      </c>
      <c r="H2" t="s">
        <v>54</v>
      </c>
      <c r="I2" t="s">
        <v>56</v>
      </c>
      <c r="J2" t="s">
        <v>58</v>
      </c>
      <c r="K2" t="s">
        <v>61</v>
      </c>
      <c r="L2" t="s">
        <v>65</v>
      </c>
      <c r="M2" t="s">
        <v>66</v>
      </c>
      <c r="N2" t="s">
        <v>67</v>
      </c>
      <c r="O2" t="s">
        <v>73</v>
      </c>
      <c r="P2" t="s">
        <v>81</v>
      </c>
      <c r="Q2" t="s">
        <v>73</v>
      </c>
      <c r="R2" t="s">
        <v>83</v>
      </c>
      <c r="S2" t="s">
        <v>84</v>
      </c>
      <c r="T2">
        <v>30.19</v>
      </c>
      <c r="U2" t="s">
        <v>87</v>
      </c>
    </row>
    <row r="3" spans="1:21" x14ac:dyDescent="0.25">
      <c r="A3" t="s">
        <v>21</v>
      </c>
      <c r="B3" t="s">
        <v>24</v>
      </c>
      <c r="C3" t="s">
        <v>28</v>
      </c>
      <c r="D3" t="s">
        <v>37</v>
      </c>
      <c r="E3" t="s">
        <v>44</v>
      </c>
      <c r="F3" t="s">
        <v>50</v>
      </c>
      <c r="G3" t="s">
        <v>52</v>
      </c>
      <c r="H3" t="s">
        <v>54</v>
      </c>
      <c r="I3" t="s">
        <v>57</v>
      </c>
      <c r="J3" t="s">
        <v>59</v>
      </c>
      <c r="K3" t="s">
        <v>61</v>
      </c>
      <c r="L3" t="s">
        <v>65</v>
      </c>
      <c r="M3" t="s">
        <v>66</v>
      </c>
      <c r="N3" t="s">
        <v>68</v>
      </c>
      <c r="O3" t="s">
        <v>74</v>
      </c>
      <c r="P3" t="s">
        <v>81</v>
      </c>
      <c r="Q3" t="s">
        <v>82</v>
      </c>
      <c r="R3" t="s">
        <v>83</v>
      </c>
      <c r="S3" t="s">
        <v>84</v>
      </c>
      <c r="T3">
        <v>25.61</v>
      </c>
      <c r="U3" t="s">
        <v>88</v>
      </c>
    </row>
    <row r="4" spans="1:21" x14ac:dyDescent="0.25">
      <c r="A4" t="s">
        <v>21</v>
      </c>
      <c r="B4" t="s">
        <v>24</v>
      </c>
      <c r="C4" t="s">
        <v>29</v>
      </c>
      <c r="D4" t="s">
        <v>38</v>
      </c>
      <c r="E4" t="s">
        <v>45</v>
      </c>
      <c r="F4" t="s">
        <v>50</v>
      </c>
      <c r="G4" t="s">
        <v>52</v>
      </c>
      <c r="H4" t="s">
        <v>54</v>
      </c>
      <c r="I4" t="s">
        <v>57</v>
      </c>
      <c r="J4" t="s">
        <v>59</v>
      </c>
      <c r="K4" t="s">
        <v>62</v>
      </c>
      <c r="L4" t="s">
        <v>65</v>
      </c>
      <c r="M4" t="s">
        <v>66</v>
      </c>
      <c r="N4" t="s">
        <v>69</v>
      </c>
      <c r="O4" t="s">
        <v>75</v>
      </c>
      <c r="P4" t="s">
        <v>81</v>
      </c>
      <c r="Q4" t="s">
        <v>75</v>
      </c>
      <c r="R4" t="s">
        <v>83</v>
      </c>
      <c r="S4" t="s">
        <v>84</v>
      </c>
      <c r="T4">
        <v>25.25</v>
      </c>
      <c r="U4" t="s">
        <v>87</v>
      </c>
    </row>
    <row r="5" spans="1:21" x14ac:dyDescent="0.25">
      <c r="A5" t="s">
        <v>21</v>
      </c>
      <c r="B5" t="s">
        <v>24</v>
      </c>
      <c r="C5" t="s">
        <v>30</v>
      </c>
      <c r="D5" t="s">
        <v>39</v>
      </c>
      <c r="E5" t="s">
        <v>46</v>
      </c>
      <c r="F5" t="s">
        <v>50</v>
      </c>
      <c r="G5" t="s">
        <v>52</v>
      </c>
      <c r="H5" t="s">
        <v>54</v>
      </c>
      <c r="I5" t="s">
        <v>57</v>
      </c>
      <c r="J5" t="s">
        <v>59</v>
      </c>
      <c r="K5" t="s">
        <v>61</v>
      </c>
      <c r="L5" t="s">
        <v>65</v>
      </c>
      <c r="M5" t="s">
        <v>66</v>
      </c>
      <c r="N5" t="s">
        <v>67</v>
      </c>
      <c r="O5" t="s">
        <v>76</v>
      </c>
      <c r="P5" t="s">
        <v>81</v>
      </c>
      <c r="Q5" t="s">
        <v>76</v>
      </c>
      <c r="R5" t="s">
        <v>83</v>
      </c>
      <c r="S5" t="s">
        <v>84</v>
      </c>
      <c r="T5">
        <v>27.32</v>
      </c>
      <c r="U5" t="s">
        <v>87</v>
      </c>
    </row>
    <row r="6" spans="1:21" x14ac:dyDescent="0.25">
      <c r="A6" t="s">
        <v>21</v>
      </c>
      <c r="B6" t="s">
        <v>24</v>
      </c>
      <c r="C6" t="s">
        <v>31</v>
      </c>
      <c r="D6" t="s">
        <v>37</v>
      </c>
      <c r="E6" t="s">
        <v>44</v>
      </c>
      <c r="F6" t="s">
        <v>51</v>
      </c>
      <c r="G6" t="s">
        <v>53</v>
      </c>
      <c r="H6" t="s">
        <v>54</v>
      </c>
      <c r="I6" t="s">
        <v>57</v>
      </c>
      <c r="J6" t="s">
        <v>59</v>
      </c>
      <c r="K6" t="s">
        <v>63</v>
      </c>
      <c r="L6" t="s">
        <v>65</v>
      </c>
      <c r="M6" t="s">
        <v>66</v>
      </c>
      <c r="N6" t="s">
        <v>68</v>
      </c>
      <c r="O6" t="s">
        <v>77</v>
      </c>
      <c r="P6" t="s">
        <v>81</v>
      </c>
      <c r="Q6" t="s">
        <v>77</v>
      </c>
      <c r="R6" t="s">
        <v>83</v>
      </c>
      <c r="S6" t="s">
        <v>85</v>
      </c>
      <c r="T6">
        <v>15.54</v>
      </c>
      <c r="U6" t="s">
        <v>88</v>
      </c>
    </row>
    <row r="7" spans="1:21" x14ac:dyDescent="0.25">
      <c r="A7" t="s">
        <v>21</v>
      </c>
      <c r="B7" t="s">
        <v>24</v>
      </c>
      <c r="C7" t="s">
        <v>32</v>
      </c>
      <c r="D7" t="s">
        <v>38</v>
      </c>
      <c r="E7" t="s">
        <v>45</v>
      </c>
      <c r="F7" t="s">
        <v>51</v>
      </c>
      <c r="G7" t="s">
        <v>53</v>
      </c>
      <c r="H7" t="s">
        <v>54</v>
      </c>
      <c r="I7" t="s">
        <v>57</v>
      </c>
      <c r="J7" t="s">
        <v>59</v>
      </c>
      <c r="K7" t="s">
        <v>62</v>
      </c>
      <c r="L7" t="s">
        <v>65</v>
      </c>
      <c r="M7" t="s">
        <v>66</v>
      </c>
      <c r="N7" t="s">
        <v>70</v>
      </c>
      <c r="O7" t="s">
        <v>78</v>
      </c>
      <c r="P7" t="s">
        <v>81</v>
      </c>
      <c r="Q7" t="s">
        <v>78</v>
      </c>
      <c r="R7" t="s">
        <v>83</v>
      </c>
      <c r="S7" t="s">
        <v>85</v>
      </c>
      <c r="T7">
        <v>13.42</v>
      </c>
      <c r="U7" t="s">
        <v>87</v>
      </c>
    </row>
    <row r="8" spans="1:21" x14ac:dyDescent="0.25">
      <c r="A8" t="s">
        <v>21</v>
      </c>
      <c r="B8" t="s">
        <v>24</v>
      </c>
      <c r="C8" t="s">
        <v>33</v>
      </c>
      <c r="D8" t="s">
        <v>40</v>
      </c>
      <c r="E8" t="s">
        <v>47</v>
      </c>
      <c r="F8" t="s">
        <v>50</v>
      </c>
      <c r="G8" t="s">
        <v>52</v>
      </c>
      <c r="H8" t="s">
        <v>54</v>
      </c>
      <c r="I8" t="s">
        <v>57</v>
      </c>
      <c r="J8" t="s">
        <v>59</v>
      </c>
      <c r="K8" t="s">
        <v>61</v>
      </c>
      <c r="L8" t="s">
        <v>65</v>
      </c>
      <c r="M8" t="s">
        <v>66</v>
      </c>
      <c r="N8" t="s">
        <v>67</v>
      </c>
      <c r="O8" t="s">
        <v>76</v>
      </c>
      <c r="P8" t="s">
        <v>81</v>
      </c>
      <c r="Q8" t="s">
        <v>76</v>
      </c>
      <c r="R8" t="s">
        <v>83</v>
      </c>
      <c r="S8" t="s">
        <v>84</v>
      </c>
      <c r="T8">
        <v>27.32</v>
      </c>
      <c r="U8" t="s">
        <v>87</v>
      </c>
    </row>
    <row r="9" spans="1:21" x14ac:dyDescent="0.25">
      <c r="A9" t="s">
        <v>22</v>
      </c>
      <c r="B9" t="s">
        <v>25</v>
      </c>
      <c r="C9" t="s">
        <v>34</v>
      </c>
      <c r="D9" t="s">
        <v>41</v>
      </c>
      <c r="E9" t="s">
        <v>48</v>
      </c>
      <c r="F9" t="s">
        <v>51</v>
      </c>
      <c r="G9" t="s">
        <v>53</v>
      </c>
      <c r="H9" t="s">
        <v>55</v>
      </c>
      <c r="I9" t="s">
        <v>57</v>
      </c>
      <c r="J9" t="s">
        <v>60</v>
      </c>
      <c r="K9" t="s">
        <v>64</v>
      </c>
      <c r="L9" t="s">
        <v>65</v>
      </c>
      <c r="M9" t="s">
        <v>66</v>
      </c>
      <c r="N9" t="s">
        <v>71</v>
      </c>
      <c r="O9" t="s">
        <v>79</v>
      </c>
      <c r="P9" t="s">
        <v>81</v>
      </c>
      <c r="Q9" t="s">
        <v>79</v>
      </c>
      <c r="R9" t="s">
        <v>83</v>
      </c>
      <c r="S9" t="s">
        <v>85</v>
      </c>
      <c r="T9">
        <v>14.13</v>
      </c>
      <c r="U9" t="s">
        <v>87</v>
      </c>
    </row>
    <row r="10" spans="1:21" x14ac:dyDescent="0.25">
      <c r="A10" t="s">
        <v>23</v>
      </c>
      <c r="B10" t="s">
        <v>26</v>
      </c>
      <c r="C10" t="s">
        <v>35</v>
      </c>
      <c r="D10" t="s">
        <v>42</v>
      </c>
      <c r="E10" t="s">
        <v>49</v>
      </c>
      <c r="F10" t="s">
        <v>50</v>
      </c>
      <c r="G10" t="s">
        <v>52</v>
      </c>
      <c r="H10" t="s">
        <v>55</v>
      </c>
      <c r="I10" t="s">
        <v>57</v>
      </c>
      <c r="J10" t="s">
        <v>59</v>
      </c>
      <c r="K10" t="s">
        <v>61</v>
      </c>
      <c r="L10" t="s">
        <v>65</v>
      </c>
      <c r="M10" t="s">
        <v>66</v>
      </c>
      <c r="N10" t="s">
        <v>72</v>
      </c>
      <c r="O10" t="s">
        <v>80</v>
      </c>
      <c r="P10" t="s">
        <v>81</v>
      </c>
      <c r="Q10" t="s">
        <v>80</v>
      </c>
      <c r="R10" t="s">
        <v>83</v>
      </c>
      <c r="S10" t="s">
        <v>86</v>
      </c>
      <c r="T10">
        <v>33.72</v>
      </c>
      <c r="U10" t="s">
        <v>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2C4E0-88E0-4322-87DD-94A26E597EF3}">
  <dimension ref="A1:V19"/>
  <sheetViews>
    <sheetView tabSelected="1" workbookViewId="0">
      <selection activeCell="U2" sqref="U2:U19"/>
    </sheetView>
  </sheetViews>
  <sheetFormatPr defaultRowHeight="15" x14ac:dyDescent="0.25"/>
  <cols>
    <col min="1" max="1" width="24.5703125" bestFit="1" customWidth="1"/>
    <col min="3" max="3" width="13.7109375" bestFit="1" customWidth="1"/>
    <col min="4" max="4" width="15.7109375" customWidth="1"/>
    <col min="7" max="7" width="12.28515625" bestFit="1" customWidth="1"/>
    <col min="11" max="11" width="15.140625" bestFit="1" customWidth="1"/>
    <col min="12" max="12" width="11.140625" bestFit="1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/>
      <c r="E1" s="1" t="s">
        <v>3</v>
      </c>
      <c r="F1" s="1" t="s">
        <v>4</v>
      </c>
      <c r="G1" s="1"/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2" x14ac:dyDescent="0.25">
      <c r="A2" t="s">
        <v>101</v>
      </c>
      <c r="B2" s="2">
        <v>7565575</v>
      </c>
      <c r="C2" t="s">
        <v>35</v>
      </c>
      <c r="D2" t="s">
        <v>35</v>
      </c>
      <c r="E2" t="s">
        <v>42</v>
      </c>
      <c r="F2" t="s">
        <v>49</v>
      </c>
      <c r="G2" t="str">
        <f>CONCATENATE(E2," ",F2)</f>
        <v>James Andre</v>
      </c>
      <c r="H2" t="s">
        <v>50</v>
      </c>
      <c r="I2" t="s">
        <v>52</v>
      </c>
      <c r="J2" t="s">
        <v>55</v>
      </c>
      <c r="K2" s="8">
        <v>45668</v>
      </c>
      <c r="L2" s="8">
        <v>46113</v>
      </c>
      <c r="M2" s="2">
        <v>65</v>
      </c>
      <c r="N2" t="s">
        <v>65</v>
      </c>
      <c r="O2" t="s">
        <v>66</v>
      </c>
      <c r="P2" s="2">
        <v>5</v>
      </c>
      <c r="Q2" s="2">
        <v>0</v>
      </c>
      <c r="R2" s="2">
        <v>162.1</v>
      </c>
      <c r="S2" s="2">
        <v>100</v>
      </c>
      <c r="T2" s="3">
        <v>0.20799999999999999</v>
      </c>
      <c r="U2">
        <v>33.72</v>
      </c>
      <c r="V2" t="s">
        <v>103</v>
      </c>
    </row>
    <row r="3" spans="1:22" x14ac:dyDescent="0.25">
      <c r="A3" t="s">
        <v>21</v>
      </c>
      <c r="B3" s="2">
        <v>19491313</v>
      </c>
      <c r="C3" t="s">
        <v>27</v>
      </c>
      <c r="D3" t="s">
        <v>27</v>
      </c>
      <c r="E3" t="s">
        <v>36</v>
      </c>
      <c r="F3" t="s">
        <v>43</v>
      </c>
      <c r="G3" t="str">
        <f t="shared" ref="G3:G19" si="0">CONCATENATE(E3," ",F3)</f>
        <v>Robert Leighty</v>
      </c>
      <c r="H3" t="s">
        <v>50</v>
      </c>
      <c r="I3" t="s">
        <v>52</v>
      </c>
      <c r="J3" t="s">
        <v>54</v>
      </c>
      <c r="K3" s="8">
        <v>46023</v>
      </c>
      <c r="L3" s="8">
        <v>46082</v>
      </c>
      <c r="M3" s="2">
        <v>65</v>
      </c>
      <c r="N3" t="s">
        <v>65</v>
      </c>
      <c r="O3" t="s">
        <v>66</v>
      </c>
      <c r="P3" s="2">
        <v>2</v>
      </c>
      <c r="Q3" s="2">
        <v>0</v>
      </c>
      <c r="R3" s="2">
        <v>143.78</v>
      </c>
      <c r="S3" s="2">
        <v>100</v>
      </c>
      <c r="T3" s="3">
        <v>0.21</v>
      </c>
      <c r="U3">
        <v>30.19</v>
      </c>
      <c r="V3" t="s">
        <v>104</v>
      </c>
    </row>
    <row r="4" spans="1:22" x14ac:dyDescent="0.25">
      <c r="A4" t="s">
        <v>21</v>
      </c>
      <c r="B4" s="2">
        <v>19491313</v>
      </c>
      <c r="C4" t="s">
        <v>28</v>
      </c>
      <c r="D4" t="s">
        <v>28</v>
      </c>
      <c r="E4" t="s">
        <v>37</v>
      </c>
      <c r="F4" t="s">
        <v>44</v>
      </c>
      <c r="G4" t="str">
        <f t="shared" si="0"/>
        <v>Michael Mcclellan</v>
      </c>
      <c r="H4" t="s">
        <v>50</v>
      </c>
      <c r="I4" t="s">
        <v>52</v>
      </c>
      <c r="J4" t="s">
        <v>54</v>
      </c>
      <c r="K4" s="8">
        <v>45665</v>
      </c>
      <c r="L4" s="8">
        <v>46113</v>
      </c>
      <c r="M4" s="2">
        <v>65</v>
      </c>
      <c r="N4" t="s">
        <v>65</v>
      </c>
      <c r="O4" t="s">
        <v>66</v>
      </c>
      <c r="P4" s="2">
        <v>8</v>
      </c>
      <c r="Q4" s="2">
        <v>0</v>
      </c>
      <c r="R4" s="2">
        <v>121.96</v>
      </c>
      <c r="S4" s="2">
        <v>100</v>
      </c>
      <c r="T4" s="3">
        <v>0.21</v>
      </c>
      <c r="U4">
        <v>25.61</v>
      </c>
      <c r="V4" t="s">
        <v>104</v>
      </c>
    </row>
    <row r="5" spans="1:22" x14ac:dyDescent="0.25">
      <c r="A5" t="s">
        <v>21</v>
      </c>
      <c r="B5" s="2">
        <v>19491313</v>
      </c>
      <c r="C5" t="s">
        <v>29</v>
      </c>
      <c r="D5" t="s">
        <v>29</v>
      </c>
      <c r="E5" t="s">
        <v>38</v>
      </c>
      <c r="F5" t="s">
        <v>45</v>
      </c>
      <c r="G5" t="str">
        <f t="shared" si="0"/>
        <v>Kerry Morrison</v>
      </c>
      <c r="H5" t="s">
        <v>50</v>
      </c>
      <c r="I5" t="s">
        <v>52</v>
      </c>
      <c r="J5" t="s">
        <v>54</v>
      </c>
      <c r="K5" s="8">
        <v>45667</v>
      </c>
      <c r="L5" s="8">
        <v>46113</v>
      </c>
      <c r="M5" s="2">
        <v>69</v>
      </c>
      <c r="N5" t="s">
        <v>65</v>
      </c>
      <c r="O5" t="s">
        <v>66</v>
      </c>
      <c r="P5" s="2">
        <v>6</v>
      </c>
      <c r="Q5" s="2">
        <v>0</v>
      </c>
      <c r="R5" s="2">
        <v>120.26</v>
      </c>
      <c r="S5" s="2">
        <v>100</v>
      </c>
      <c r="T5" s="3">
        <v>0.21</v>
      </c>
      <c r="U5">
        <v>25.25</v>
      </c>
      <c r="V5" t="s">
        <v>104</v>
      </c>
    </row>
    <row r="6" spans="1:22" x14ac:dyDescent="0.25">
      <c r="A6" t="s">
        <v>21</v>
      </c>
      <c r="B6" s="2">
        <v>19491313</v>
      </c>
      <c r="C6" t="s">
        <v>30</v>
      </c>
      <c r="D6" t="s">
        <v>30</v>
      </c>
      <c r="E6" t="s">
        <v>39</v>
      </c>
      <c r="F6" t="s">
        <v>46</v>
      </c>
      <c r="G6" t="str">
        <f t="shared" si="0"/>
        <v>Kimberly Shonebarger</v>
      </c>
      <c r="H6" t="s">
        <v>50</v>
      </c>
      <c r="I6" t="s">
        <v>52</v>
      </c>
      <c r="J6" t="s">
        <v>54</v>
      </c>
      <c r="K6" s="8">
        <v>46024</v>
      </c>
      <c r="L6" s="8">
        <v>46113</v>
      </c>
      <c r="M6" s="2">
        <v>65</v>
      </c>
      <c r="N6" t="s">
        <v>65</v>
      </c>
      <c r="O6" t="s">
        <v>66</v>
      </c>
      <c r="P6" s="2">
        <v>2</v>
      </c>
      <c r="Q6" s="2">
        <v>0</v>
      </c>
      <c r="R6" s="2">
        <v>130.09</v>
      </c>
      <c r="S6" s="2">
        <v>100</v>
      </c>
      <c r="T6" s="3">
        <v>0.21</v>
      </c>
      <c r="U6">
        <v>27.32</v>
      </c>
      <c r="V6" t="s">
        <v>104</v>
      </c>
    </row>
    <row r="7" spans="1:22" x14ac:dyDescent="0.25">
      <c r="A7" t="s">
        <v>21</v>
      </c>
      <c r="B7" s="2">
        <v>19491313</v>
      </c>
      <c r="C7" t="s">
        <v>33</v>
      </c>
      <c r="D7" t="s">
        <v>33</v>
      </c>
      <c r="E7" t="s">
        <v>40</v>
      </c>
      <c r="F7" t="s">
        <v>47</v>
      </c>
      <c r="G7" t="str">
        <f t="shared" si="0"/>
        <v>Lisa Brewster</v>
      </c>
      <c r="H7" t="s">
        <v>50</v>
      </c>
      <c r="I7" t="s">
        <v>52</v>
      </c>
      <c r="J7" t="s">
        <v>54</v>
      </c>
      <c r="K7" s="8">
        <v>46024</v>
      </c>
      <c r="L7" s="8">
        <v>46113</v>
      </c>
      <c r="M7" s="2">
        <v>65</v>
      </c>
      <c r="N7" t="s">
        <v>65</v>
      </c>
      <c r="O7" t="s">
        <v>66</v>
      </c>
      <c r="P7" s="2">
        <v>2</v>
      </c>
      <c r="Q7" s="2">
        <v>0</v>
      </c>
      <c r="R7" s="2">
        <v>130.09</v>
      </c>
      <c r="S7" s="2">
        <v>100</v>
      </c>
      <c r="T7" s="3">
        <v>0.21</v>
      </c>
      <c r="U7">
        <v>27.32</v>
      </c>
      <c r="V7" t="s">
        <v>104</v>
      </c>
    </row>
    <row r="8" spans="1:22" x14ac:dyDescent="0.25">
      <c r="A8" t="s">
        <v>21</v>
      </c>
      <c r="B8" s="2">
        <v>19491313</v>
      </c>
      <c r="C8" t="s">
        <v>31</v>
      </c>
      <c r="D8" t="s">
        <v>31</v>
      </c>
      <c r="E8" t="s">
        <v>37</v>
      </c>
      <c r="F8" t="s">
        <v>44</v>
      </c>
      <c r="G8" t="str">
        <f t="shared" si="0"/>
        <v>Michael Mcclellan</v>
      </c>
      <c r="H8" t="s">
        <v>51</v>
      </c>
      <c r="I8" t="s">
        <v>53</v>
      </c>
      <c r="J8" t="s">
        <v>54</v>
      </c>
      <c r="K8" s="8">
        <v>45665</v>
      </c>
      <c r="L8" s="8">
        <v>46113</v>
      </c>
      <c r="M8" s="2">
        <v>64</v>
      </c>
      <c r="N8" t="s">
        <v>65</v>
      </c>
      <c r="O8" t="s">
        <v>66</v>
      </c>
      <c r="P8" s="2">
        <v>8</v>
      </c>
      <c r="Q8" s="2">
        <v>0</v>
      </c>
      <c r="R8" s="2">
        <v>62.17</v>
      </c>
      <c r="S8" s="2">
        <v>100</v>
      </c>
      <c r="T8" s="3">
        <v>0.25</v>
      </c>
      <c r="U8">
        <v>15.54</v>
      </c>
      <c r="V8" t="s">
        <v>105</v>
      </c>
    </row>
    <row r="9" spans="1:22" x14ac:dyDescent="0.25">
      <c r="A9" t="s">
        <v>21</v>
      </c>
      <c r="B9" s="2">
        <v>19491313</v>
      </c>
      <c r="C9" t="s">
        <v>32</v>
      </c>
      <c r="D9" t="s">
        <v>32</v>
      </c>
      <c r="E9" t="s">
        <v>38</v>
      </c>
      <c r="F9" t="s">
        <v>45</v>
      </c>
      <c r="G9" t="str">
        <f t="shared" si="0"/>
        <v>Kerry Morrison</v>
      </c>
      <c r="H9" t="s">
        <v>51</v>
      </c>
      <c r="I9" t="s">
        <v>53</v>
      </c>
      <c r="J9" t="s">
        <v>54</v>
      </c>
      <c r="K9" s="8">
        <v>46023</v>
      </c>
      <c r="L9" s="8">
        <v>46113</v>
      </c>
      <c r="M9" s="2">
        <v>69</v>
      </c>
      <c r="N9" t="s">
        <v>65</v>
      </c>
      <c r="O9" t="s">
        <v>66</v>
      </c>
      <c r="P9" s="2">
        <v>3</v>
      </c>
      <c r="Q9" s="2">
        <v>0</v>
      </c>
      <c r="R9" s="2">
        <v>53.67</v>
      </c>
      <c r="S9" s="2">
        <v>100</v>
      </c>
      <c r="T9" s="3">
        <v>0.25</v>
      </c>
      <c r="U9">
        <v>13.42</v>
      </c>
      <c r="V9" t="s">
        <v>105</v>
      </c>
    </row>
    <row r="10" spans="1:22" s="7" customFormat="1" x14ac:dyDescent="0.25">
      <c r="A10" s="7" t="s">
        <v>22</v>
      </c>
      <c r="B10" s="10">
        <v>8812322</v>
      </c>
      <c r="C10" s="7" t="s">
        <v>34</v>
      </c>
      <c r="D10" s="7" t="s">
        <v>34</v>
      </c>
      <c r="E10" s="7" t="s">
        <v>41</v>
      </c>
      <c r="F10" s="7" t="s">
        <v>48</v>
      </c>
      <c r="G10" s="7" t="str">
        <f t="shared" si="0"/>
        <v>Kelly Mcmorrow</v>
      </c>
      <c r="H10" s="7" t="s">
        <v>51</v>
      </c>
      <c r="I10" s="7" t="s">
        <v>53</v>
      </c>
      <c r="J10" s="7" t="s">
        <v>55</v>
      </c>
      <c r="K10" s="11">
        <v>45976</v>
      </c>
      <c r="L10" s="11">
        <v>46096</v>
      </c>
      <c r="M10" s="10">
        <v>59</v>
      </c>
      <c r="N10" s="7" t="s">
        <v>65</v>
      </c>
      <c r="O10" s="7" t="s">
        <v>66</v>
      </c>
      <c r="P10" s="10">
        <v>4</v>
      </c>
      <c r="Q10" s="10">
        <v>0</v>
      </c>
      <c r="R10" s="10">
        <v>56.5</v>
      </c>
      <c r="S10" s="10">
        <v>100</v>
      </c>
      <c r="T10" s="12">
        <v>0.25</v>
      </c>
      <c r="U10" s="7">
        <v>14.13</v>
      </c>
      <c r="V10" s="7" t="s">
        <v>105</v>
      </c>
    </row>
    <row r="11" spans="1:22" s="4" customFormat="1" x14ac:dyDescent="0.25">
      <c r="A11" s="4" t="s">
        <v>102</v>
      </c>
      <c r="B11" s="5">
        <v>20411454</v>
      </c>
      <c r="C11" s="4" t="s">
        <v>27</v>
      </c>
      <c r="D11" s="4" t="str">
        <f>CONCATENATE(C11,"OVR")</f>
        <v>H750092058OVR</v>
      </c>
      <c r="E11" s="4" t="s">
        <v>36</v>
      </c>
      <c r="F11" s="4" t="s">
        <v>43</v>
      </c>
      <c r="G11" t="str">
        <f t="shared" si="0"/>
        <v>Robert Leighty</v>
      </c>
      <c r="H11" s="4" t="s">
        <v>50</v>
      </c>
      <c r="I11" s="4" t="s">
        <v>52</v>
      </c>
      <c r="J11" s="4" t="s">
        <v>54</v>
      </c>
      <c r="K11" s="9">
        <v>46023</v>
      </c>
      <c r="L11" s="9">
        <v>46082</v>
      </c>
      <c r="M11" s="5">
        <v>65</v>
      </c>
      <c r="N11" s="4" t="s">
        <v>65</v>
      </c>
      <c r="O11" s="4" t="s">
        <v>66</v>
      </c>
      <c r="P11" s="5">
        <v>2</v>
      </c>
      <c r="Q11" s="5">
        <v>0</v>
      </c>
      <c r="R11" s="4">
        <v>4.03</v>
      </c>
      <c r="S11" s="5">
        <v>100</v>
      </c>
      <c r="T11" s="6">
        <v>2.8000000000000001E-2</v>
      </c>
      <c r="U11" s="4">
        <v>4.03</v>
      </c>
      <c r="V11" s="4" t="s">
        <v>106</v>
      </c>
    </row>
    <row r="12" spans="1:22" s="4" customFormat="1" x14ac:dyDescent="0.25">
      <c r="A12" s="4" t="s">
        <v>102</v>
      </c>
      <c r="B12" s="5">
        <v>20411454</v>
      </c>
      <c r="C12" s="4" t="s">
        <v>28</v>
      </c>
      <c r="D12" s="4" t="str">
        <f t="shared" ref="D12:D19" si="1">CONCATENATE(C12,"OVR")</f>
        <v>H750070465OVR</v>
      </c>
      <c r="E12" s="4" t="s">
        <v>37</v>
      </c>
      <c r="F12" s="4" t="s">
        <v>44</v>
      </c>
      <c r="G12" t="str">
        <f t="shared" si="0"/>
        <v>Michael Mcclellan</v>
      </c>
      <c r="H12" s="4" t="s">
        <v>50</v>
      </c>
      <c r="I12" s="4" t="s">
        <v>52</v>
      </c>
      <c r="J12" s="4" t="s">
        <v>54</v>
      </c>
      <c r="K12" s="9">
        <v>45665</v>
      </c>
      <c r="L12" s="9">
        <v>46113</v>
      </c>
      <c r="M12" s="5">
        <v>65</v>
      </c>
      <c r="N12" s="4" t="s">
        <v>65</v>
      </c>
      <c r="O12" s="4" t="s">
        <v>66</v>
      </c>
      <c r="P12" s="5">
        <v>8</v>
      </c>
      <c r="Q12" s="5">
        <v>0</v>
      </c>
      <c r="R12" s="4">
        <v>3.41</v>
      </c>
      <c r="S12" s="5">
        <v>100</v>
      </c>
      <c r="T12" s="6">
        <v>2.8000000000000001E-2</v>
      </c>
      <c r="U12" s="4">
        <v>3.41</v>
      </c>
      <c r="V12" s="4" t="s">
        <v>106</v>
      </c>
    </row>
    <row r="13" spans="1:22" s="4" customFormat="1" x14ac:dyDescent="0.25">
      <c r="A13" s="4" t="s">
        <v>102</v>
      </c>
      <c r="B13" s="5">
        <v>20411454</v>
      </c>
      <c r="C13" s="4" t="s">
        <v>29</v>
      </c>
      <c r="D13" s="4" t="str">
        <f t="shared" si="1"/>
        <v>H750075022OVR</v>
      </c>
      <c r="E13" s="4" t="s">
        <v>38</v>
      </c>
      <c r="F13" s="4" t="s">
        <v>45</v>
      </c>
      <c r="G13" t="str">
        <f t="shared" si="0"/>
        <v>Kerry Morrison</v>
      </c>
      <c r="H13" s="4" t="s">
        <v>50</v>
      </c>
      <c r="I13" s="4" t="s">
        <v>52</v>
      </c>
      <c r="J13" s="4" t="s">
        <v>54</v>
      </c>
      <c r="K13" s="9">
        <v>45667</v>
      </c>
      <c r="L13" s="9">
        <v>46113</v>
      </c>
      <c r="M13" s="5">
        <v>69</v>
      </c>
      <c r="N13" s="4" t="s">
        <v>65</v>
      </c>
      <c r="O13" s="4" t="s">
        <v>66</v>
      </c>
      <c r="P13" s="5">
        <v>6</v>
      </c>
      <c r="Q13" s="5">
        <v>0</v>
      </c>
      <c r="R13" s="4">
        <v>3.37</v>
      </c>
      <c r="S13" s="5">
        <v>100</v>
      </c>
      <c r="T13" s="6">
        <v>2.8000000000000001E-2</v>
      </c>
      <c r="U13" s="4">
        <v>3.37</v>
      </c>
      <c r="V13" s="4" t="s">
        <v>106</v>
      </c>
    </row>
    <row r="14" spans="1:22" s="4" customFormat="1" x14ac:dyDescent="0.25">
      <c r="A14" s="4" t="s">
        <v>102</v>
      </c>
      <c r="B14" s="5">
        <v>20411454</v>
      </c>
      <c r="C14" s="4" t="s">
        <v>30</v>
      </c>
      <c r="D14" s="4" t="str">
        <f t="shared" si="1"/>
        <v>H750095804OVR</v>
      </c>
      <c r="E14" s="4" t="s">
        <v>39</v>
      </c>
      <c r="F14" s="4" t="s">
        <v>46</v>
      </c>
      <c r="G14" t="str">
        <f t="shared" si="0"/>
        <v>Kimberly Shonebarger</v>
      </c>
      <c r="H14" s="4" t="s">
        <v>50</v>
      </c>
      <c r="I14" s="4" t="s">
        <v>52</v>
      </c>
      <c r="J14" s="4" t="s">
        <v>54</v>
      </c>
      <c r="K14" s="9">
        <v>46024</v>
      </c>
      <c r="L14" s="9">
        <v>46113</v>
      </c>
      <c r="M14" s="5">
        <v>65</v>
      </c>
      <c r="N14" s="4" t="s">
        <v>65</v>
      </c>
      <c r="O14" s="4" t="s">
        <v>66</v>
      </c>
      <c r="P14" s="5">
        <v>2</v>
      </c>
      <c r="Q14" s="5">
        <v>0</v>
      </c>
      <c r="R14" s="4">
        <v>3.64</v>
      </c>
      <c r="S14" s="5">
        <v>100</v>
      </c>
      <c r="T14" s="6">
        <v>2.8000000000000001E-2</v>
      </c>
      <c r="U14" s="4">
        <v>3.64</v>
      </c>
      <c r="V14" s="4" t="s">
        <v>106</v>
      </c>
    </row>
    <row r="15" spans="1:22" s="4" customFormat="1" x14ac:dyDescent="0.25">
      <c r="A15" s="4" t="s">
        <v>102</v>
      </c>
      <c r="B15" s="5">
        <v>20411454</v>
      </c>
      <c r="C15" s="4" t="s">
        <v>31</v>
      </c>
      <c r="D15" s="4" t="str">
        <f t="shared" si="1"/>
        <v>H711024011OVR</v>
      </c>
      <c r="E15" s="4" t="s">
        <v>37</v>
      </c>
      <c r="F15" s="4" t="s">
        <v>44</v>
      </c>
      <c r="G15" t="str">
        <f t="shared" si="0"/>
        <v>Michael Mcclellan</v>
      </c>
      <c r="H15" s="4" t="s">
        <v>51</v>
      </c>
      <c r="I15" s="4" t="s">
        <v>53</v>
      </c>
      <c r="J15" s="4" t="s">
        <v>54</v>
      </c>
      <c r="K15" s="9">
        <v>45665</v>
      </c>
      <c r="L15" s="9">
        <v>46113</v>
      </c>
      <c r="M15" s="5">
        <v>64</v>
      </c>
      <c r="N15" s="4" t="s">
        <v>65</v>
      </c>
      <c r="O15" s="4" t="s">
        <v>66</v>
      </c>
      <c r="P15" s="5">
        <v>8</v>
      </c>
      <c r="Q15" s="5">
        <v>0</v>
      </c>
      <c r="R15" s="4">
        <v>5.91</v>
      </c>
      <c r="S15" s="5">
        <v>100</v>
      </c>
      <c r="T15" s="6">
        <v>9.5000000000000001E-2</v>
      </c>
      <c r="U15" s="4">
        <v>5.91</v>
      </c>
      <c r="V15" s="4" t="s">
        <v>106</v>
      </c>
    </row>
    <row r="16" spans="1:22" s="4" customFormat="1" x14ac:dyDescent="0.25">
      <c r="A16" s="4" t="s">
        <v>102</v>
      </c>
      <c r="B16" s="5">
        <v>20411454</v>
      </c>
      <c r="C16" s="4" t="s">
        <v>32</v>
      </c>
      <c r="D16" s="4" t="str">
        <f t="shared" si="1"/>
        <v>H711037165OVR</v>
      </c>
      <c r="E16" s="4" t="s">
        <v>38</v>
      </c>
      <c r="F16" s="4" t="s">
        <v>45</v>
      </c>
      <c r="G16" t="str">
        <f t="shared" si="0"/>
        <v>Kerry Morrison</v>
      </c>
      <c r="H16" s="4" t="s">
        <v>51</v>
      </c>
      <c r="I16" s="4" t="s">
        <v>53</v>
      </c>
      <c r="J16" s="4" t="s">
        <v>54</v>
      </c>
      <c r="K16" s="9">
        <v>46023</v>
      </c>
      <c r="L16" s="9">
        <v>46113</v>
      </c>
      <c r="M16" s="5">
        <v>69</v>
      </c>
      <c r="N16" s="4" t="s">
        <v>65</v>
      </c>
      <c r="O16" s="4" t="s">
        <v>66</v>
      </c>
      <c r="P16" s="5">
        <v>3</v>
      </c>
      <c r="Q16" s="5">
        <v>0</v>
      </c>
      <c r="R16" s="4">
        <v>5.0999999999999996</v>
      </c>
      <c r="S16" s="5">
        <v>100</v>
      </c>
      <c r="T16" s="6">
        <v>9.5000000000000001E-2</v>
      </c>
      <c r="U16" s="4">
        <v>5.0999999999999996</v>
      </c>
      <c r="V16" s="4" t="s">
        <v>106</v>
      </c>
    </row>
    <row r="17" spans="1:22" s="4" customFormat="1" x14ac:dyDescent="0.25">
      <c r="A17" s="4" t="s">
        <v>102</v>
      </c>
      <c r="B17" s="5">
        <v>20411454</v>
      </c>
      <c r="C17" s="4" t="s">
        <v>33</v>
      </c>
      <c r="D17" s="4" t="str">
        <f t="shared" si="1"/>
        <v>H750095052OVR</v>
      </c>
      <c r="E17" s="4" t="s">
        <v>40</v>
      </c>
      <c r="F17" s="4" t="s">
        <v>47</v>
      </c>
      <c r="G17" t="str">
        <f t="shared" si="0"/>
        <v>Lisa Brewster</v>
      </c>
      <c r="H17" s="4" t="s">
        <v>50</v>
      </c>
      <c r="I17" s="4" t="s">
        <v>52</v>
      </c>
      <c r="J17" s="4" t="s">
        <v>54</v>
      </c>
      <c r="K17" s="9">
        <v>46024</v>
      </c>
      <c r="L17" s="9">
        <v>46113</v>
      </c>
      <c r="M17" s="5">
        <v>65</v>
      </c>
      <c r="N17" s="4" t="s">
        <v>65</v>
      </c>
      <c r="O17" s="4" t="s">
        <v>66</v>
      </c>
      <c r="P17" s="5">
        <v>2</v>
      </c>
      <c r="Q17" s="5">
        <v>0</v>
      </c>
      <c r="R17" s="4">
        <v>3.64</v>
      </c>
      <c r="S17" s="5">
        <v>100</v>
      </c>
      <c r="T17" s="6">
        <v>2.8000000000000001E-2</v>
      </c>
      <c r="U17" s="4">
        <v>3.64</v>
      </c>
      <c r="V17" s="4" t="s">
        <v>106</v>
      </c>
    </row>
    <row r="18" spans="1:22" s="4" customFormat="1" x14ac:dyDescent="0.25">
      <c r="A18" s="4" t="s">
        <v>102</v>
      </c>
      <c r="B18" s="5">
        <v>20411454</v>
      </c>
      <c r="C18" s="4" t="s">
        <v>34</v>
      </c>
      <c r="D18" s="4" t="str">
        <f t="shared" si="1"/>
        <v>H711067626OVR</v>
      </c>
      <c r="E18" s="4" t="s">
        <v>41</v>
      </c>
      <c r="F18" s="4" t="s">
        <v>48</v>
      </c>
      <c r="G18" t="str">
        <f t="shared" si="0"/>
        <v>Kelly Mcmorrow</v>
      </c>
      <c r="H18" s="4" t="s">
        <v>51</v>
      </c>
      <c r="I18" s="4" t="s">
        <v>53</v>
      </c>
      <c r="J18" s="4" t="s">
        <v>55</v>
      </c>
      <c r="K18" s="9">
        <v>45976</v>
      </c>
      <c r="L18" s="9">
        <v>46096</v>
      </c>
      <c r="M18" s="5">
        <v>59</v>
      </c>
      <c r="N18" s="4" t="s">
        <v>65</v>
      </c>
      <c r="O18" s="4" t="s">
        <v>66</v>
      </c>
      <c r="P18" s="5">
        <v>4</v>
      </c>
      <c r="Q18" s="5">
        <v>0</v>
      </c>
      <c r="R18" s="4">
        <v>5.37</v>
      </c>
      <c r="S18" s="5">
        <v>100</v>
      </c>
      <c r="T18" s="6">
        <v>9.5000000000000001E-2</v>
      </c>
      <c r="U18" s="4">
        <v>5.37</v>
      </c>
      <c r="V18" s="4" t="s">
        <v>106</v>
      </c>
    </row>
    <row r="19" spans="1:22" s="4" customFormat="1" x14ac:dyDescent="0.25">
      <c r="A19" s="4" t="s">
        <v>102</v>
      </c>
      <c r="B19" s="5">
        <v>20411454</v>
      </c>
      <c r="C19" s="4" t="s">
        <v>35</v>
      </c>
      <c r="D19" s="4" t="str">
        <f t="shared" si="1"/>
        <v>H750077920OVR</v>
      </c>
      <c r="E19" s="4" t="s">
        <v>42</v>
      </c>
      <c r="F19" s="4" t="s">
        <v>49</v>
      </c>
      <c r="G19" t="str">
        <f t="shared" si="0"/>
        <v>James Andre</v>
      </c>
      <c r="H19" s="4" t="s">
        <v>50</v>
      </c>
      <c r="I19" s="4" t="s">
        <v>52</v>
      </c>
      <c r="J19" s="4" t="s">
        <v>55</v>
      </c>
      <c r="K19" s="9">
        <v>45668</v>
      </c>
      <c r="L19" s="9">
        <v>46113</v>
      </c>
      <c r="M19" s="5">
        <v>65</v>
      </c>
      <c r="N19" s="4" t="s">
        <v>65</v>
      </c>
      <c r="O19" s="4" t="s">
        <v>66</v>
      </c>
      <c r="P19" s="5">
        <v>5</v>
      </c>
      <c r="Q19" s="5">
        <v>0</v>
      </c>
      <c r="R19" s="4">
        <v>4.54</v>
      </c>
      <c r="S19" s="5">
        <v>100</v>
      </c>
      <c r="T19" s="6">
        <v>2.8000000000000001E-2</v>
      </c>
      <c r="U19" s="4">
        <v>4.54</v>
      </c>
      <c r="V19" s="4" t="s">
        <v>106</v>
      </c>
    </row>
  </sheetData>
  <sortState xmlns:xlrd2="http://schemas.microsoft.com/office/spreadsheetml/2017/richdata2" ref="A2:W10">
    <sortCondition ref="T2:T10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0"/>
  <sheetViews>
    <sheetView workbookViewId="0">
      <selection activeCell="A2" sqref="A2:XFD10"/>
    </sheetView>
  </sheetViews>
  <sheetFormatPr defaultRowHeight="15" x14ac:dyDescent="0.25"/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21</v>
      </c>
      <c r="B2" t="s">
        <v>24</v>
      </c>
      <c r="C2" t="s">
        <v>27</v>
      </c>
      <c r="D2" t="s">
        <v>36</v>
      </c>
      <c r="E2" t="s">
        <v>43</v>
      </c>
      <c r="F2" t="s">
        <v>50</v>
      </c>
      <c r="G2" t="s">
        <v>52</v>
      </c>
      <c r="H2" t="s">
        <v>54</v>
      </c>
      <c r="I2" t="s">
        <v>56</v>
      </c>
      <c r="J2" t="s">
        <v>58</v>
      </c>
      <c r="K2" t="s">
        <v>61</v>
      </c>
      <c r="L2" t="s">
        <v>65</v>
      </c>
      <c r="M2" t="s">
        <v>66</v>
      </c>
      <c r="N2" t="s">
        <v>67</v>
      </c>
      <c r="O2" t="s">
        <v>73</v>
      </c>
      <c r="P2" t="s">
        <v>81</v>
      </c>
      <c r="Q2" t="s">
        <v>73</v>
      </c>
      <c r="R2" t="s">
        <v>83</v>
      </c>
      <c r="S2" t="s">
        <v>89</v>
      </c>
      <c r="T2">
        <v>4.03</v>
      </c>
    </row>
    <row r="3" spans="1:20" x14ac:dyDescent="0.25">
      <c r="A3" t="s">
        <v>21</v>
      </c>
      <c r="B3" t="s">
        <v>24</v>
      </c>
      <c r="C3" t="s">
        <v>28</v>
      </c>
      <c r="D3" t="s">
        <v>37</v>
      </c>
      <c r="E3" t="s">
        <v>44</v>
      </c>
      <c r="F3" t="s">
        <v>50</v>
      </c>
      <c r="G3" t="s">
        <v>52</v>
      </c>
      <c r="H3" t="s">
        <v>54</v>
      </c>
      <c r="I3" t="s">
        <v>57</v>
      </c>
      <c r="J3" t="s">
        <v>59</v>
      </c>
      <c r="K3" t="s">
        <v>61</v>
      </c>
      <c r="L3" t="s">
        <v>65</v>
      </c>
      <c r="M3" t="s">
        <v>66</v>
      </c>
      <c r="N3" t="s">
        <v>68</v>
      </c>
      <c r="O3" t="s">
        <v>74</v>
      </c>
      <c r="P3" t="s">
        <v>81</v>
      </c>
      <c r="Q3" t="s">
        <v>82</v>
      </c>
      <c r="R3" t="s">
        <v>83</v>
      </c>
      <c r="S3" t="s">
        <v>89</v>
      </c>
      <c r="T3">
        <v>3.41</v>
      </c>
    </row>
    <row r="4" spans="1:20" x14ac:dyDescent="0.25">
      <c r="A4" t="s">
        <v>21</v>
      </c>
      <c r="B4" t="s">
        <v>24</v>
      </c>
      <c r="C4" t="s">
        <v>29</v>
      </c>
      <c r="D4" t="s">
        <v>38</v>
      </c>
      <c r="E4" t="s">
        <v>45</v>
      </c>
      <c r="F4" t="s">
        <v>50</v>
      </c>
      <c r="G4" t="s">
        <v>52</v>
      </c>
      <c r="H4" t="s">
        <v>54</v>
      </c>
      <c r="I4" t="s">
        <v>57</v>
      </c>
      <c r="J4" t="s">
        <v>59</v>
      </c>
      <c r="K4" t="s">
        <v>62</v>
      </c>
      <c r="L4" t="s">
        <v>65</v>
      </c>
      <c r="M4" t="s">
        <v>66</v>
      </c>
      <c r="N4" t="s">
        <v>69</v>
      </c>
      <c r="O4" t="s">
        <v>75</v>
      </c>
      <c r="P4" t="s">
        <v>81</v>
      </c>
      <c r="Q4" t="s">
        <v>75</v>
      </c>
      <c r="R4" t="s">
        <v>83</v>
      </c>
      <c r="S4" t="s">
        <v>89</v>
      </c>
      <c r="T4">
        <v>3.37</v>
      </c>
    </row>
    <row r="5" spans="1:20" x14ac:dyDescent="0.25">
      <c r="A5" t="s">
        <v>21</v>
      </c>
      <c r="B5" t="s">
        <v>24</v>
      </c>
      <c r="C5" t="s">
        <v>30</v>
      </c>
      <c r="D5" t="s">
        <v>39</v>
      </c>
      <c r="E5" t="s">
        <v>46</v>
      </c>
      <c r="F5" t="s">
        <v>50</v>
      </c>
      <c r="G5" t="s">
        <v>52</v>
      </c>
      <c r="H5" t="s">
        <v>54</v>
      </c>
      <c r="I5" t="s">
        <v>57</v>
      </c>
      <c r="J5" t="s">
        <v>59</v>
      </c>
      <c r="K5" t="s">
        <v>61</v>
      </c>
      <c r="L5" t="s">
        <v>65</v>
      </c>
      <c r="M5" t="s">
        <v>66</v>
      </c>
      <c r="N5" t="s">
        <v>67</v>
      </c>
      <c r="O5" t="s">
        <v>76</v>
      </c>
      <c r="P5" t="s">
        <v>81</v>
      </c>
      <c r="Q5" t="s">
        <v>76</v>
      </c>
      <c r="R5" t="s">
        <v>83</v>
      </c>
      <c r="S5" t="s">
        <v>89</v>
      </c>
      <c r="T5">
        <v>3.64</v>
      </c>
    </row>
    <row r="6" spans="1:20" x14ac:dyDescent="0.25">
      <c r="A6" t="s">
        <v>21</v>
      </c>
      <c r="B6" t="s">
        <v>24</v>
      </c>
      <c r="C6" t="s">
        <v>31</v>
      </c>
      <c r="D6" t="s">
        <v>37</v>
      </c>
      <c r="E6" t="s">
        <v>44</v>
      </c>
      <c r="F6" t="s">
        <v>51</v>
      </c>
      <c r="G6" t="s">
        <v>53</v>
      </c>
      <c r="H6" t="s">
        <v>54</v>
      </c>
      <c r="I6" t="s">
        <v>57</v>
      </c>
      <c r="J6" t="s">
        <v>59</v>
      </c>
      <c r="K6" t="s">
        <v>63</v>
      </c>
      <c r="L6" t="s">
        <v>65</v>
      </c>
      <c r="M6" t="s">
        <v>66</v>
      </c>
      <c r="N6" t="s">
        <v>68</v>
      </c>
      <c r="O6" t="s">
        <v>77</v>
      </c>
      <c r="P6" t="s">
        <v>81</v>
      </c>
      <c r="Q6" t="s">
        <v>77</v>
      </c>
      <c r="R6" t="s">
        <v>83</v>
      </c>
      <c r="S6" t="s">
        <v>90</v>
      </c>
      <c r="T6">
        <v>5.91</v>
      </c>
    </row>
    <row r="7" spans="1:20" x14ac:dyDescent="0.25">
      <c r="A7" t="s">
        <v>21</v>
      </c>
      <c r="B7" t="s">
        <v>24</v>
      </c>
      <c r="C7" t="s">
        <v>32</v>
      </c>
      <c r="D7" t="s">
        <v>38</v>
      </c>
      <c r="E7" t="s">
        <v>45</v>
      </c>
      <c r="F7" t="s">
        <v>51</v>
      </c>
      <c r="G7" t="s">
        <v>53</v>
      </c>
      <c r="H7" t="s">
        <v>54</v>
      </c>
      <c r="I7" t="s">
        <v>57</v>
      </c>
      <c r="J7" t="s">
        <v>59</v>
      </c>
      <c r="K7" t="s">
        <v>62</v>
      </c>
      <c r="L7" t="s">
        <v>65</v>
      </c>
      <c r="M7" t="s">
        <v>66</v>
      </c>
      <c r="N7" t="s">
        <v>70</v>
      </c>
      <c r="O7" t="s">
        <v>78</v>
      </c>
      <c r="P7" t="s">
        <v>81</v>
      </c>
      <c r="Q7" t="s">
        <v>78</v>
      </c>
      <c r="R7" t="s">
        <v>83</v>
      </c>
      <c r="S7" t="s">
        <v>90</v>
      </c>
      <c r="T7">
        <v>5.0999999999999996</v>
      </c>
    </row>
    <row r="8" spans="1:20" x14ac:dyDescent="0.25">
      <c r="A8" t="s">
        <v>21</v>
      </c>
      <c r="B8" t="s">
        <v>24</v>
      </c>
      <c r="C8" t="s">
        <v>33</v>
      </c>
      <c r="D8" t="s">
        <v>40</v>
      </c>
      <c r="E8" t="s">
        <v>47</v>
      </c>
      <c r="F8" t="s">
        <v>50</v>
      </c>
      <c r="G8" t="s">
        <v>52</v>
      </c>
      <c r="H8" t="s">
        <v>54</v>
      </c>
      <c r="I8" t="s">
        <v>57</v>
      </c>
      <c r="J8" t="s">
        <v>59</v>
      </c>
      <c r="K8" t="s">
        <v>61</v>
      </c>
      <c r="L8" t="s">
        <v>65</v>
      </c>
      <c r="M8" t="s">
        <v>66</v>
      </c>
      <c r="N8" t="s">
        <v>67</v>
      </c>
      <c r="O8" t="s">
        <v>76</v>
      </c>
      <c r="P8" t="s">
        <v>81</v>
      </c>
      <c r="Q8" t="s">
        <v>76</v>
      </c>
      <c r="R8" t="s">
        <v>83</v>
      </c>
      <c r="S8" t="s">
        <v>89</v>
      </c>
      <c r="T8">
        <v>3.64</v>
      </c>
    </row>
    <row r="9" spans="1:20" x14ac:dyDescent="0.25">
      <c r="A9" t="s">
        <v>22</v>
      </c>
      <c r="B9" t="s">
        <v>25</v>
      </c>
      <c r="C9" t="s">
        <v>34</v>
      </c>
      <c r="D9" t="s">
        <v>41</v>
      </c>
      <c r="E9" t="s">
        <v>48</v>
      </c>
      <c r="F9" t="s">
        <v>51</v>
      </c>
      <c r="G9" t="s">
        <v>53</v>
      </c>
      <c r="H9" t="s">
        <v>55</v>
      </c>
      <c r="I9" t="s">
        <v>57</v>
      </c>
      <c r="J9" t="s">
        <v>60</v>
      </c>
      <c r="K9" t="s">
        <v>64</v>
      </c>
      <c r="L9" t="s">
        <v>65</v>
      </c>
      <c r="M9" t="s">
        <v>66</v>
      </c>
      <c r="N9" t="s">
        <v>71</v>
      </c>
      <c r="O9" t="s">
        <v>79</v>
      </c>
      <c r="P9" t="s">
        <v>81</v>
      </c>
      <c r="Q9" t="s">
        <v>79</v>
      </c>
      <c r="R9" t="s">
        <v>83</v>
      </c>
      <c r="S9" t="s">
        <v>90</v>
      </c>
      <c r="T9">
        <v>5.37</v>
      </c>
    </row>
    <row r="10" spans="1:20" x14ac:dyDescent="0.25">
      <c r="A10" t="s">
        <v>23</v>
      </c>
      <c r="B10" t="s">
        <v>26</v>
      </c>
      <c r="C10" t="s">
        <v>35</v>
      </c>
      <c r="D10" t="s">
        <v>42</v>
      </c>
      <c r="E10" t="s">
        <v>49</v>
      </c>
      <c r="F10" t="s">
        <v>50</v>
      </c>
      <c r="G10" t="s">
        <v>52</v>
      </c>
      <c r="H10" t="s">
        <v>55</v>
      </c>
      <c r="I10" t="s">
        <v>57</v>
      </c>
      <c r="J10" t="s">
        <v>59</v>
      </c>
      <c r="K10" t="s">
        <v>61</v>
      </c>
      <c r="L10" t="s">
        <v>65</v>
      </c>
      <c r="M10" t="s">
        <v>66</v>
      </c>
      <c r="N10" t="s">
        <v>72</v>
      </c>
      <c r="O10" t="s">
        <v>80</v>
      </c>
      <c r="P10" t="s">
        <v>81</v>
      </c>
      <c r="Q10" t="s">
        <v>80</v>
      </c>
      <c r="R10" t="s">
        <v>83</v>
      </c>
      <c r="S10" t="s">
        <v>89</v>
      </c>
      <c r="T10">
        <v>4.54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0"/>
  <sheetViews>
    <sheetView workbookViewId="0"/>
  </sheetViews>
  <sheetFormatPr defaultRowHeight="15" x14ac:dyDescent="0.25"/>
  <sheetData>
    <row r="1" spans="1:9" x14ac:dyDescent="0.25">
      <c r="A1" s="1" t="s">
        <v>2</v>
      </c>
      <c r="B1" s="1" t="s">
        <v>3</v>
      </c>
      <c r="C1" s="1" t="s">
        <v>4</v>
      </c>
      <c r="D1" s="1" t="s">
        <v>8</v>
      </c>
      <c r="E1" s="1" t="s">
        <v>12</v>
      </c>
      <c r="F1" s="1" t="s">
        <v>91</v>
      </c>
      <c r="G1" s="1" t="s">
        <v>5</v>
      </c>
      <c r="H1" s="1" t="s">
        <v>6</v>
      </c>
      <c r="I1" s="1" t="s">
        <v>7</v>
      </c>
    </row>
    <row r="2" spans="1:9" x14ac:dyDescent="0.25">
      <c r="A2" t="s">
        <v>92</v>
      </c>
      <c r="B2" t="s">
        <v>94</v>
      </c>
      <c r="C2" t="s">
        <v>96</v>
      </c>
      <c r="D2" t="s">
        <v>98</v>
      </c>
      <c r="E2" t="s">
        <v>99</v>
      </c>
      <c r="F2">
        <v>-311.43</v>
      </c>
    </row>
    <row r="3" spans="1:9" x14ac:dyDescent="0.25">
      <c r="A3" t="s">
        <v>27</v>
      </c>
      <c r="B3" t="s">
        <v>36</v>
      </c>
      <c r="C3" t="s">
        <v>43</v>
      </c>
      <c r="D3" t="s">
        <v>56</v>
      </c>
      <c r="E3" t="s">
        <v>100</v>
      </c>
      <c r="F3">
        <v>-30.19</v>
      </c>
      <c r="G3" t="s">
        <v>50</v>
      </c>
      <c r="H3" t="s">
        <v>52</v>
      </c>
      <c r="I3" t="s">
        <v>54</v>
      </c>
    </row>
    <row r="4" spans="1:9" x14ac:dyDescent="0.25">
      <c r="A4" t="s">
        <v>93</v>
      </c>
      <c r="B4" t="s">
        <v>95</v>
      </c>
      <c r="C4" t="s">
        <v>97</v>
      </c>
      <c r="D4" t="s">
        <v>57</v>
      </c>
      <c r="E4" t="s">
        <v>99</v>
      </c>
      <c r="F4">
        <v>-258.39</v>
      </c>
    </row>
    <row r="5" spans="1:9" x14ac:dyDescent="0.25">
      <c r="A5" t="s">
        <v>29</v>
      </c>
      <c r="B5" t="s">
        <v>38</v>
      </c>
      <c r="C5" t="s">
        <v>45</v>
      </c>
      <c r="D5" t="s">
        <v>57</v>
      </c>
      <c r="E5" t="s">
        <v>100</v>
      </c>
      <c r="F5">
        <v>-25.25</v>
      </c>
      <c r="G5" t="s">
        <v>50</v>
      </c>
      <c r="H5" t="s">
        <v>52</v>
      </c>
      <c r="I5" t="s">
        <v>54</v>
      </c>
    </row>
    <row r="6" spans="1:9" x14ac:dyDescent="0.25">
      <c r="A6" t="s">
        <v>35</v>
      </c>
      <c r="B6" t="s">
        <v>42</v>
      </c>
      <c r="C6" t="s">
        <v>49</v>
      </c>
      <c r="D6" t="s">
        <v>57</v>
      </c>
      <c r="E6" t="s">
        <v>100</v>
      </c>
      <c r="F6">
        <v>-33.72</v>
      </c>
      <c r="G6" t="s">
        <v>50</v>
      </c>
      <c r="H6" t="s">
        <v>52</v>
      </c>
      <c r="I6" t="s">
        <v>55</v>
      </c>
    </row>
    <row r="7" spans="1:9" x14ac:dyDescent="0.25">
      <c r="A7" t="s">
        <v>34</v>
      </c>
      <c r="B7" t="s">
        <v>41</v>
      </c>
      <c r="C7" t="s">
        <v>48</v>
      </c>
      <c r="D7" t="s">
        <v>57</v>
      </c>
      <c r="E7" t="s">
        <v>100</v>
      </c>
      <c r="F7">
        <v>-14.13</v>
      </c>
      <c r="G7" t="s">
        <v>51</v>
      </c>
      <c r="H7" t="s">
        <v>53</v>
      </c>
      <c r="I7" t="s">
        <v>55</v>
      </c>
    </row>
    <row r="8" spans="1:9" x14ac:dyDescent="0.25">
      <c r="A8" t="s">
        <v>30</v>
      </c>
      <c r="B8" t="s">
        <v>39</v>
      </c>
      <c r="C8" t="s">
        <v>46</v>
      </c>
      <c r="D8" t="s">
        <v>57</v>
      </c>
      <c r="E8" t="s">
        <v>100</v>
      </c>
      <c r="F8">
        <v>-27.32</v>
      </c>
      <c r="G8" t="s">
        <v>50</v>
      </c>
      <c r="H8" t="s">
        <v>52</v>
      </c>
      <c r="I8" t="s">
        <v>54</v>
      </c>
    </row>
    <row r="9" spans="1:9" x14ac:dyDescent="0.25">
      <c r="A9" t="s">
        <v>32</v>
      </c>
      <c r="B9" t="s">
        <v>38</v>
      </c>
      <c r="C9" t="s">
        <v>45</v>
      </c>
      <c r="D9" t="s">
        <v>57</v>
      </c>
      <c r="E9" t="s">
        <v>100</v>
      </c>
      <c r="F9">
        <v>-13.42</v>
      </c>
      <c r="G9" t="s">
        <v>51</v>
      </c>
      <c r="H9" t="s">
        <v>53</v>
      </c>
      <c r="I9" t="s">
        <v>54</v>
      </c>
    </row>
    <row r="10" spans="1:9" x14ac:dyDescent="0.25">
      <c r="A10" t="s">
        <v>33</v>
      </c>
      <c r="B10" t="s">
        <v>40</v>
      </c>
      <c r="C10" t="s">
        <v>47</v>
      </c>
      <c r="D10" t="s">
        <v>57</v>
      </c>
      <c r="E10" t="s">
        <v>100</v>
      </c>
      <c r="F10">
        <v>-27.32</v>
      </c>
      <c r="G10" t="s">
        <v>50</v>
      </c>
      <c r="H10" t="s">
        <v>52</v>
      </c>
      <c r="I10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First Year Commission</vt:lpstr>
      <vt:lpstr>Sheet1</vt:lpstr>
      <vt:lpstr>First Year Overwrites</vt:lpstr>
      <vt:lpstr>Advance Paybacks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Darshan Darji</dc:creator>
  <cp:lastModifiedBy>Loula Irene Cabel</cp:lastModifiedBy>
  <dcterms:created xsi:type="dcterms:W3CDTF">2026-02-15T21:05:27Z</dcterms:created>
  <dcterms:modified xsi:type="dcterms:W3CDTF">2026-02-18T18:35:28Z</dcterms:modified>
</cp:coreProperties>
</file>