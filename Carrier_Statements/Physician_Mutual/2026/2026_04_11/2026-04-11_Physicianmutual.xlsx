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rst Year Commission" sheetId="1" r:id="rId4"/>
    <sheet state="visible" name="Sheet1" sheetId="2" r:id="rId5"/>
    <sheet state="visible" name="First Year Overwrites" sheetId="3" r:id="rId6"/>
    <sheet state="visible" name="Advance Paybacks" sheetId="4" r:id="rId7"/>
    <sheet state="visible" name="Advances - Paid Advances" sheetId="5" r:id="rId8"/>
  </sheets>
  <definedNames/>
  <calcPr/>
  <extLst>
    <ext uri="GoogleSheetsCustomDataVersion2">
      <go:sheetsCustomData xmlns:go="http://customooxmlschemas.google.com/" r:id="rId9" roundtripDataChecksum="SeSnqCq2Qmq89NMR/7L6gSbcagNLSUUG+JsXloGBk4c="/>
    </ext>
  </extLst>
</workbook>
</file>

<file path=xl/sharedStrings.xml><?xml version="1.0" encoding="utf-8"?>
<sst xmlns="http://schemas.openxmlformats.org/spreadsheetml/2006/main" count="803" uniqueCount="125">
  <si>
    <t>writingIntermediaryName</t>
  </si>
  <si>
    <t>writingIntermediaryNPN</t>
  </si>
  <si>
    <t>policyNumber</t>
  </si>
  <si>
    <t>policyOwner_firstName</t>
  </si>
  <si>
    <t>policyOwner_lastName</t>
  </si>
  <si>
    <t>policyKind</t>
  </si>
  <si>
    <t>policyGroup</t>
  </si>
  <si>
    <t>state</t>
  </si>
  <si>
    <t>transactionDate</t>
  </si>
  <si>
    <t>paidToDate</t>
  </si>
  <si>
    <t>insuredAge</t>
  </si>
  <si>
    <t>mode</t>
  </si>
  <si>
    <t>transactionType</t>
  </si>
  <si>
    <t>policyMonths</t>
  </si>
  <si>
    <t>Applied_Premium</t>
  </si>
  <si>
    <t>commissionableBasis_subStandard</t>
  </si>
  <si>
    <t>Commission_Basis</t>
  </si>
  <si>
    <t>splitPercentage</t>
  </si>
  <si>
    <t>commissionRate</t>
  </si>
  <si>
    <t>commissionAmount</t>
  </si>
  <si>
    <t>advancePaybackFlag</t>
  </si>
  <si>
    <t>Brandt Steven K</t>
  </si>
  <si>
    <t>19491313</t>
  </si>
  <si>
    <t>H750088570</t>
  </si>
  <si>
    <t>John</t>
  </si>
  <si>
    <t>Thompson</t>
  </si>
  <si>
    <t>S06600001</t>
  </si>
  <si>
    <t>Medicare Supplement</t>
  </si>
  <si>
    <t>OH</t>
  </si>
  <si>
    <t>2026-04-06</t>
  </si>
  <si>
    <t>2026-05-01</t>
  </si>
  <si>
    <t>65</t>
  </si>
  <si>
    <t>MONTHLY</t>
  </si>
  <si>
    <t>RCVP-R</t>
  </si>
  <si>
    <t>4</t>
  </si>
  <si>
    <t>143.78</t>
  </si>
  <si>
    <t>0.00</t>
  </si>
  <si>
    <t>100.00000</t>
  </si>
  <si>
    <t>21.00%</t>
  </si>
  <si>
    <t>Y</t>
  </si>
  <si>
    <t>H750094989</t>
  </si>
  <si>
    <t>James</t>
  </si>
  <si>
    <t>Brandt</t>
  </si>
  <si>
    <t>2026-04-07</t>
  </si>
  <si>
    <t>RCVP</t>
  </si>
  <si>
    <t>3</t>
  </si>
  <si>
    <t>H711138979</t>
  </si>
  <si>
    <t>Pamela</t>
  </si>
  <si>
    <t>Marion</t>
  </si>
  <si>
    <t>P15400002</t>
  </si>
  <si>
    <t>Dental</t>
  </si>
  <si>
    <t>2026-04-09</t>
  </si>
  <si>
    <t>2026-06-01</t>
  </si>
  <si>
    <t>1</t>
  </si>
  <si>
    <t>62.17</t>
  </si>
  <si>
    <t>25.00%</t>
  </si>
  <si>
    <t>H750102411</t>
  </si>
  <si>
    <t>130.09</t>
  </si>
  <si>
    <t>H750092058</t>
  </si>
  <si>
    <t>Robert</t>
  </si>
  <si>
    <t>Leighty</t>
  </si>
  <si>
    <t>2026-04-10</t>
  </si>
  <si>
    <t>H750094552</t>
  </si>
  <si>
    <t>Kimberly</t>
  </si>
  <si>
    <t>Patterson</t>
  </si>
  <si>
    <t>2</t>
  </si>
  <si>
    <t>136.94</t>
  </si>
  <si>
    <t xml:space="preserve">Sherman Matthew </t>
  </si>
  <si>
    <t>8812322</t>
  </si>
  <si>
    <t>H711124438</t>
  </si>
  <si>
    <t>Jenna</t>
  </si>
  <si>
    <t>Austin</t>
  </si>
  <si>
    <t>IL</t>
  </si>
  <si>
    <t>2026-05-11</t>
  </si>
  <si>
    <t>35</t>
  </si>
  <si>
    <t>127.65</t>
  </si>
  <si>
    <t>Petrungaro Andrea null</t>
  </si>
  <si>
    <t>16912722</t>
  </si>
  <si>
    <t>H711053462</t>
  </si>
  <si>
    <t>Allen</t>
  </si>
  <si>
    <t>Funamura</t>
  </si>
  <si>
    <t>2026-04-08</t>
  </si>
  <si>
    <t>73</t>
  </si>
  <si>
    <t>6</t>
  </si>
  <si>
    <t>55.90</t>
  </si>
  <si>
    <t>Green Danna null</t>
  </si>
  <si>
    <t>16849453</t>
  </si>
  <si>
    <t>H750102221</t>
  </si>
  <si>
    <t>Janice</t>
  </si>
  <si>
    <t>Tedder</t>
  </si>
  <si>
    <t>IN</t>
  </si>
  <si>
    <t>2026-07-01</t>
  </si>
  <si>
    <t>151.07</t>
  </si>
  <si>
    <t>23.20%</t>
  </si>
  <si>
    <t>H750101146</t>
  </si>
  <si>
    <t>Larry</t>
  </si>
  <si>
    <t>Hazzard</t>
  </si>
  <si>
    <t>187.86</t>
  </si>
  <si>
    <t>Open Enrollment - States Where Available</t>
  </si>
  <si>
    <t>RN</t>
  </si>
  <si>
    <t>AE</t>
  </si>
  <si>
    <t>Standard Dental</t>
  </si>
  <si>
    <t>8812322AV9L3</t>
  </si>
  <si>
    <t>AV1</t>
  </si>
  <si>
    <t>Petrungaro Andrea</t>
  </si>
  <si>
    <t>16912722AV9</t>
  </si>
  <si>
    <t>Green Danna</t>
  </si>
  <si>
    <t>16849453AV9</t>
  </si>
  <si>
    <t>Physician Mutual Medsupp IN</t>
  </si>
  <si>
    <t>NB</t>
  </si>
  <si>
    <t>AV</t>
  </si>
  <si>
    <t>Main Line Benefits</t>
  </si>
  <si>
    <t>Physician Mutual OVR</t>
  </si>
  <si>
    <t>2.80%</t>
  </si>
  <si>
    <t>9.50%</t>
  </si>
  <si>
    <t>advancePaybackAmount</t>
  </si>
  <si>
    <t>APB-S</t>
  </si>
  <si>
    <t>advanceBasis</t>
  </si>
  <si>
    <t>monthsAdvanced</t>
  </si>
  <si>
    <t>paidAdvanceAmount</t>
  </si>
  <si>
    <t>description</t>
  </si>
  <si>
    <t>ISS-A</t>
  </si>
  <si>
    <t>9</t>
  </si>
  <si>
    <t>Issue Advance Request</t>
  </si>
  <si>
    <t>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</si>
</sst>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4" xfId="0" applyFont="1" applyNumberFormat="1"/>
    <xf borderId="0" fillId="0" fontId="3" numFmtId="0" xfId="0" applyFont="1"/>
    <xf borderId="0" fillId="0" fontId="3" numFmtId="10" xfId="0" applyFont="1" applyNumberFormat="1"/>
    <xf borderId="2" fillId="2" fontId="3" numFmtId="0" xfId="0" applyBorder="1" applyFill="1" applyFont="1"/>
    <xf borderId="2" fillId="2" fontId="3" numFmtId="14" xfId="0" applyBorder="1" applyFont="1" applyNumberFormat="1"/>
    <xf borderId="2" fillId="2" fontId="3" numFmtId="10" xfId="0" applyBorder="1" applyFont="1" applyNumberFormat="1"/>
    <xf borderId="2" fillId="3" fontId="3" numFmtId="0" xfId="0" applyBorder="1" applyFill="1" applyFont="1"/>
    <xf borderId="2" fillId="3" fontId="3" numFmtId="14" xfId="0" applyBorder="1" applyFont="1" applyNumberFormat="1"/>
    <xf borderId="2" fillId="3" fontId="3" numFmtId="10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8.71"/>
    <col customWidth="1" min="9" max="9" width="15.0"/>
    <col customWidth="1" min="10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customHeight="1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  <c r="O2" s="2" t="s">
        <v>35</v>
      </c>
      <c r="P2" s="2" t="s">
        <v>36</v>
      </c>
      <c r="Q2" s="2" t="s">
        <v>35</v>
      </c>
      <c r="R2" s="2" t="s">
        <v>37</v>
      </c>
      <c r="S2" s="2" t="s">
        <v>38</v>
      </c>
      <c r="T2" s="2">
        <v>30.19</v>
      </c>
      <c r="U2" s="2" t="s">
        <v>39</v>
      </c>
    </row>
    <row r="3" ht="14.25" customHeight="1">
      <c r="A3" s="2" t="s">
        <v>21</v>
      </c>
      <c r="B3" s="2" t="s">
        <v>22</v>
      </c>
      <c r="C3" s="2" t="s">
        <v>40</v>
      </c>
      <c r="D3" s="2" t="s">
        <v>41</v>
      </c>
      <c r="E3" s="2" t="s">
        <v>42</v>
      </c>
      <c r="F3" s="2" t="s">
        <v>26</v>
      </c>
      <c r="G3" s="2" t="s">
        <v>27</v>
      </c>
      <c r="H3" s="2" t="s">
        <v>28</v>
      </c>
      <c r="I3" s="2" t="s">
        <v>43</v>
      </c>
      <c r="J3" s="2" t="s">
        <v>30</v>
      </c>
      <c r="K3" s="2" t="s">
        <v>31</v>
      </c>
      <c r="L3" s="2" t="s">
        <v>32</v>
      </c>
      <c r="M3" s="2" t="s">
        <v>44</v>
      </c>
      <c r="N3" s="2" t="s">
        <v>45</v>
      </c>
      <c r="O3" s="2" t="s">
        <v>35</v>
      </c>
      <c r="P3" s="2" t="s">
        <v>36</v>
      </c>
      <c r="Q3" s="2" t="s">
        <v>35</v>
      </c>
      <c r="R3" s="2" t="s">
        <v>37</v>
      </c>
      <c r="S3" s="2" t="s">
        <v>38</v>
      </c>
      <c r="T3" s="2">
        <v>30.19</v>
      </c>
      <c r="U3" s="2" t="s">
        <v>39</v>
      </c>
    </row>
    <row r="4" ht="14.25" customHeight="1">
      <c r="A4" s="2" t="s">
        <v>21</v>
      </c>
      <c r="B4" s="2" t="s">
        <v>22</v>
      </c>
      <c r="C4" s="2" t="s">
        <v>46</v>
      </c>
      <c r="D4" s="2" t="s">
        <v>47</v>
      </c>
      <c r="E4" s="2" t="s">
        <v>48</v>
      </c>
      <c r="F4" s="2" t="s">
        <v>49</v>
      </c>
      <c r="G4" s="2" t="s">
        <v>50</v>
      </c>
      <c r="H4" s="2" t="s">
        <v>28</v>
      </c>
      <c r="I4" s="2" t="s">
        <v>51</v>
      </c>
      <c r="J4" s="2" t="s">
        <v>52</v>
      </c>
      <c r="K4" s="2" t="s">
        <v>31</v>
      </c>
      <c r="L4" s="2" t="s">
        <v>32</v>
      </c>
      <c r="M4" s="2" t="s">
        <v>44</v>
      </c>
      <c r="N4" s="2" t="s">
        <v>53</v>
      </c>
      <c r="O4" s="2" t="s">
        <v>54</v>
      </c>
      <c r="P4" s="2" t="s">
        <v>36</v>
      </c>
      <c r="Q4" s="2" t="s">
        <v>54</v>
      </c>
      <c r="R4" s="2" t="s">
        <v>37</v>
      </c>
      <c r="S4" s="2" t="s">
        <v>55</v>
      </c>
      <c r="T4" s="2">
        <v>15.54</v>
      </c>
      <c r="U4" s="2" t="s">
        <v>39</v>
      </c>
    </row>
    <row r="5" ht="14.25" customHeight="1">
      <c r="A5" s="2" t="s">
        <v>21</v>
      </c>
      <c r="B5" s="2" t="s">
        <v>22</v>
      </c>
      <c r="C5" s="2" t="s">
        <v>56</v>
      </c>
      <c r="D5" s="2" t="s">
        <v>47</v>
      </c>
      <c r="E5" s="2" t="s">
        <v>48</v>
      </c>
      <c r="F5" s="2" t="s">
        <v>26</v>
      </c>
      <c r="G5" s="2" t="s">
        <v>27</v>
      </c>
      <c r="H5" s="2" t="s">
        <v>28</v>
      </c>
      <c r="I5" s="2" t="s">
        <v>51</v>
      </c>
      <c r="J5" s="2" t="s">
        <v>52</v>
      </c>
      <c r="K5" s="2" t="s">
        <v>31</v>
      </c>
      <c r="L5" s="2" t="s">
        <v>32</v>
      </c>
      <c r="M5" s="2" t="s">
        <v>44</v>
      </c>
      <c r="N5" s="2" t="s">
        <v>53</v>
      </c>
      <c r="O5" s="2" t="s">
        <v>57</v>
      </c>
      <c r="P5" s="2" t="s">
        <v>36</v>
      </c>
      <c r="Q5" s="2" t="s">
        <v>57</v>
      </c>
      <c r="R5" s="2" t="s">
        <v>37</v>
      </c>
      <c r="S5" s="2" t="s">
        <v>38</v>
      </c>
      <c r="T5" s="2">
        <v>27.32</v>
      </c>
      <c r="U5" s="2" t="s">
        <v>39</v>
      </c>
    </row>
    <row r="6" ht="14.25" customHeight="1">
      <c r="A6" s="2" t="s">
        <v>21</v>
      </c>
      <c r="B6" s="2" t="s">
        <v>22</v>
      </c>
      <c r="C6" s="2" t="s">
        <v>58</v>
      </c>
      <c r="D6" s="2" t="s">
        <v>59</v>
      </c>
      <c r="E6" s="2" t="s">
        <v>60</v>
      </c>
      <c r="F6" s="2" t="s">
        <v>26</v>
      </c>
      <c r="G6" s="2" t="s">
        <v>27</v>
      </c>
      <c r="H6" s="2" t="s">
        <v>28</v>
      </c>
      <c r="I6" s="2" t="s">
        <v>61</v>
      </c>
      <c r="J6" s="2" t="s">
        <v>30</v>
      </c>
      <c r="K6" s="2" t="s">
        <v>31</v>
      </c>
      <c r="L6" s="2" t="s">
        <v>32</v>
      </c>
      <c r="M6" s="2" t="s">
        <v>44</v>
      </c>
      <c r="N6" s="2" t="s">
        <v>34</v>
      </c>
      <c r="O6" s="2" t="s">
        <v>35</v>
      </c>
      <c r="P6" s="2" t="s">
        <v>36</v>
      </c>
      <c r="Q6" s="2" t="s">
        <v>35</v>
      </c>
      <c r="R6" s="2" t="s">
        <v>37</v>
      </c>
      <c r="S6" s="2" t="s">
        <v>38</v>
      </c>
      <c r="T6" s="2">
        <v>30.19</v>
      </c>
      <c r="U6" s="2" t="s">
        <v>39</v>
      </c>
    </row>
    <row r="7" ht="14.25" customHeight="1">
      <c r="A7" s="2" t="s">
        <v>21</v>
      </c>
      <c r="B7" s="2" t="s">
        <v>22</v>
      </c>
      <c r="C7" s="2" t="s">
        <v>62</v>
      </c>
      <c r="D7" s="2" t="s">
        <v>63</v>
      </c>
      <c r="E7" s="2" t="s">
        <v>64</v>
      </c>
      <c r="F7" s="2" t="s">
        <v>26</v>
      </c>
      <c r="G7" s="2" t="s">
        <v>27</v>
      </c>
      <c r="H7" s="2" t="s">
        <v>28</v>
      </c>
      <c r="I7" s="2" t="s">
        <v>61</v>
      </c>
      <c r="J7" s="2" t="s">
        <v>30</v>
      </c>
      <c r="K7" s="2" t="s">
        <v>31</v>
      </c>
      <c r="L7" s="2" t="s">
        <v>32</v>
      </c>
      <c r="M7" s="2" t="s">
        <v>44</v>
      </c>
      <c r="N7" s="2" t="s">
        <v>65</v>
      </c>
      <c r="O7" s="2" t="s">
        <v>66</v>
      </c>
      <c r="P7" s="2" t="s">
        <v>36</v>
      </c>
      <c r="Q7" s="2" t="s">
        <v>66</v>
      </c>
      <c r="R7" s="2" t="s">
        <v>37</v>
      </c>
      <c r="S7" s="2" t="s">
        <v>38</v>
      </c>
      <c r="T7" s="2">
        <v>28.76</v>
      </c>
      <c r="U7" s="2" t="s">
        <v>39</v>
      </c>
    </row>
    <row r="8" ht="14.25" customHeight="1">
      <c r="A8" s="2" t="s">
        <v>67</v>
      </c>
      <c r="B8" s="2" t="s">
        <v>68</v>
      </c>
      <c r="C8" s="2" t="s">
        <v>69</v>
      </c>
      <c r="D8" s="2" t="s">
        <v>70</v>
      </c>
      <c r="E8" s="2" t="s">
        <v>71</v>
      </c>
      <c r="F8" s="2" t="s">
        <v>49</v>
      </c>
      <c r="G8" s="2" t="s">
        <v>50</v>
      </c>
      <c r="H8" s="2" t="s">
        <v>72</v>
      </c>
      <c r="I8" s="2" t="s">
        <v>61</v>
      </c>
      <c r="J8" s="2" t="s">
        <v>73</v>
      </c>
      <c r="K8" s="2" t="s">
        <v>74</v>
      </c>
      <c r="L8" s="2" t="s">
        <v>32</v>
      </c>
      <c r="M8" s="2" t="s">
        <v>44</v>
      </c>
      <c r="N8" s="2" t="s">
        <v>65</v>
      </c>
      <c r="O8" s="2" t="s">
        <v>75</v>
      </c>
      <c r="P8" s="2" t="s">
        <v>36</v>
      </c>
      <c r="Q8" s="2" t="s">
        <v>75</v>
      </c>
      <c r="R8" s="2" t="s">
        <v>37</v>
      </c>
      <c r="S8" s="2" t="s">
        <v>55</v>
      </c>
      <c r="T8" s="2">
        <v>31.91</v>
      </c>
      <c r="U8" s="2" t="s">
        <v>39</v>
      </c>
    </row>
    <row r="9" ht="14.25" customHeight="1">
      <c r="A9" s="2" t="s">
        <v>76</v>
      </c>
      <c r="B9" s="2" t="s">
        <v>77</v>
      </c>
      <c r="C9" s="2" t="s">
        <v>78</v>
      </c>
      <c r="D9" s="2" t="s">
        <v>79</v>
      </c>
      <c r="E9" s="2" t="s">
        <v>80</v>
      </c>
      <c r="F9" s="2" t="s">
        <v>49</v>
      </c>
      <c r="G9" s="2" t="s">
        <v>50</v>
      </c>
      <c r="H9" s="2" t="s">
        <v>72</v>
      </c>
      <c r="I9" s="2" t="s">
        <v>81</v>
      </c>
      <c r="J9" s="2" t="s">
        <v>30</v>
      </c>
      <c r="K9" s="2" t="s">
        <v>82</v>
      </c>
      <c r="L9" s="2" t="s">
        <v>32</v>
      </c>
      <c r="M9" s="2" t="s">
        <v>33</v>
      </c>
      <c r="N9" s="2" t="s">
        <v>83</v>
      </c>
      <c r="O9" s="2" t="s">
        <v>84</v>
      </c>
      <c r="P9" s="2" t="s">
        <v>36</v>
      </c>
      <c r="Q9" s="2" t="s">
        <v>84</v>
      </c>
      <c r="R9" s="2" t="s">
        <v>37</v>
      </c>
      <c r="S9" s="2" t="s">
        <v>55</v>
      </c>
      <c r="T9" s="2">
        <v>13.98</v>
      </c>
      <c r="U9" s="2" t="s">
        <v>39</v>
      </c>
    </row>
    <row r="10" ht="14.25" customHeight="1">
      <c r="A10" s="2" t="s">
        <v>85</v>
      </c>
      <c r="B10" s="2" t="s">
        <v>86</v>
      </c>
      <c r="C10" s="2" t="s">
        <v>87</v>
      </c>
      <c r="D10" s="2" t="s">
        <v>88</v>
      </c>
      <c r="E10" s="2" t="s">
        <v>89</v>
      </c>
      <c r="F10" s="2" t="s">
        <v>26</v>
      </c>
      <c r="G10" s="2" t="s">
        <v>27</v>
      </c>
      <c r="H10" s="2" t="s">
        <v>90</v>
      </c>
      <c r="I10" s="2" t="s">
        <v>81</v>
      </c>
      <c r="J10" s="2" t="s">
        <v>91</v>
      </c>
      <c r="K10" s="2" t="s">
        <v>31</v>
      </c>
      <c r="L10" s="2" t="s">
        <v>32</v>
      </c>
      <c r="M10" s="2" t="s">
        <v>44</v>
      </c>
      <c r="N10" s="2" t="s">
        <v>53</v>
      </c>
      <c r="O10" s="2" t="s">
        <v>92</v>
      </c>
      <c r="P10" s="2" t="s">
        <v>36</v>
      </c>
      <c r="Q10" s="2" t="s">
        <v>92</v>
      </c>
      <c r="R10" s="2" t="s">
        <v>37</v>
      </c>
      <c r="S10" s="2" t="s">
        <v>93</v>
      </c>
      <c r="T10" s="2">
        <v>35.05</v>
      </c>
      <c r="U10" s="2" t="s">
        <v>39</v>
      </c>
    </row>
    <row r="11" ht="14.25" customHeight="1">
      <c r="A11" s="2" t="s">
        <v>85</v>
      </c>
      <c r="B11" s="2" t="s">
        <v>86</v>
      </c>
      <c r="C11" s="2" t="s">
        <v>94</v>
      </c>
      <c r="D11" s="2" t="s">
        <v>95</v>
      </c>
      <c r="E11" s="2" t="s">
        <v>96</v>
      </c>
      <c r="F11" s="2" t="s">
        <v>26</v>
      </c>
      <c r="G11" s="2" t="s">
        <v>27</v>
      </c>
      <c r="H11" s="2" t="s">
        <v>90</v>
      </c>
      <c r="I11" s="2" t="s">
        <v>81</v>
      </c>
      <c r="J11" s="2" t="s">
        <v>52</v>
      </c>
      <c r="K11" s="2" t="s">
        <v>31</v>
      </c>
      <c r="L11" s="2" t="s">
        <v>32</v>
      </c>
      <c r="M11" s="2" t="s">
        <v>44</v>
      </c>
      <c r="N11" s="2" t="s">
        <v>53</v>
      </c>
      <c r="O11" s="2" t="s">
        <v>97</v>
      </c>
      <c r="P11" s="2" t="s">
        <v>36</v>
      </c>
      <c r="Q11" s="2" t="s">
        <v>97</v>
      </c>
      <c r="R11" s="2" t="s">
        <v>37</v>
      </c>
      <c r="S11" s="2" t="s">
        <v>93</v>
      </c>
      <c r="T11" s="2">
        <v>43.58</v>
      </c>
      <c r="U11" s="2" t="s">
        <v>39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71"/>
    <col customWidth="1" min="2" max="2" width="12.29"/>
    <col customWidth="1" min="3" max="3" width="8.71"/>
    <col customWidth="1" min="4" max="4" width="21.71"/>
    <col customWidth="1" min="5" max="5" width="8.71"/>
    <col customWidth="1" min="6" max="6" width="8.86"/>
    <col customWidth="1" min="7" max="7" width="21.57"/>
    <col customWidth="1" min="8" max="9" width="8.71"/>
    <col customWidth="1" min="10" max="10" width="11.57"/>
    <col customWidth="1" min="11" max="11" width="10.71"/>
    <col customWidth="1" min="12" max="12" width="6.29"/>
    <col customWidth="1" min="13" max="13" width="9.57"/>
    <col customWidth="1" min="14" max="14" width="10.43"/>
    <col customWidth="1" min="15" max="15" width="8.71"/>
    <col customWidth="1" min="16" max="16" width="38.29"/>
    <col customWidth="1" min="17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/>
      <c r="H1" s="1" t="s">
        <v>6</v>
      </c>
      <c r="I1" s="1" t="s">
        <v>7</v>
      </c>
      <c r="J1" s="1" t="s">
        <v>8</v>
      </c>
      <c r="K1" s="1" t="s">
        <v>9</v>
      </c>
      <c r="L1" s="1" t="s">
        <v>13</v>
      </c>
      <c r="M1" s="1" t="s">
        <v>16</v>
      </c>
      <c r="N1" s="1" t="s">
        <v>18</v>
      </c>
      <c r="O1" s="1" t="s">
        <v>19</v>
      </c>
    </row>
    <row r="2" ht="14.25" customHeight="1">
      <c r="A2" s="2" t="s">
        <v>21</v>
      </c>
      <c r="B2" s="2">
        <v>1.9491313E7</v>
      </c>
      <c r="C2" s="2" t="s">
        <v>23</v>
      </c>
      <c r="D2" s="2" t="s">
        <v>23</v>
      </c>
      <c r="E2" s="2" t="s">
        <v>24</v>
      </c>
      <c r="F2" s="2" t="s">
        <v>25</v>
      </c>
      <c r="G2" s="2" t="str">
        <f t="shared" ref="G2:G21" si="1">CONCAT(E2," ",F2)</f>
        <v>#N/A</v>
      </c>
      <c r="H2" s="2" t="s">
        <v>27</v>
      </c>
      <c r="I2" s="2" t="s">
        <v>28</v>
      </c>
      <c r="J2" s="3">
        <v>46023.0</v>
      </c>
      <c r="K2" s="3">
        <v>46143.0</v>
      </c>
      <c r="L2" s="4">
        <v>4.0</v>
      </c>
      <c r="M2" s="4">
        <v>143.78</v>
      </c>
      <c r="N2" s="5">
        <v>0.21</v>
      </c>
      <c r="O2" s="2">
        <v>30.19</v>
      </c>
      <c r="P2" s="2" t="s">
        <v>98</v>
      </c>
      <c r="Q2" s="2" t="s">
        <v>99</v>
      </c>
      <c r="R2" s="2" t="s">
        <v>100</v>
      </c>
    </row>
    <row r="3" ht="14.25" customHeight="1">
      <c r="A3" s="2" t="s">
        <v>21</v>
      </c>
      <c r="B3" s="2">
        <v>1.9491313E7</v>
      </c>
      <c r="C3" s="2" t="s">
        <v>40</v>
      </c>
      <c r="D3" s="2" t="s">
        <v>40</v>
      </c>
      <c r="E3" s="2" t="s">
        <v>41</v>
      </c>
      <c r="F3" s="2" t="s">
        <v>42</v>
      </c>
      <c r="G3" s="2" t="str">
        <f t="shared" si="1"/>
        <v>#N/A</v>
      </c>
      <c r="H3" s="2" t="s">
        <v>27</v>
      </c>
      <c r="I3" s="2" t="s">
        <v>28</v>
      </c>
      <c r="J3" s="3">
        <v>46054.0</v>
      </c>
      <c r="K3" s="3">
        <v>46143.0</v>
      </c>
      <c r="L3" s="4">
        <v>3.0</v>
      </c>
      <c r="M3" s="4">
        <v>143.78</v>
      </c>
      <c r="N3" s="5">
        <v>0.21</v>
      </c>
      <c r="O3" s="2">
        <v>30.19</v>
      </c>
      <c r="P3" s="2" t="s">
        <v>98</v>
      </c>
      <c r="Q3" s="2" t="s">
        <v>99</v>
      </c>
      <c r="R3" s="2" t="s">
        <v>100</v>
      </c>
    </row>
    <row r="4" ht="14.25" customHeight="1">
      <c r="A4" s="4" t="s">
        <v>21</v>
      </c>
      <c r="B4" s="4">
        <v>1.9491313E7</v>
      </c>
      <c r="C4" s="4" t="s">
        <v>46</v>
      </c>
      <c r="D4" s="4" t="s">
        <v>46</v>
      </c>
      <c r="E4" s="4" t="s">
        <v>47</v>
      </c>
      <c r="F4" s="4" t="s">
        <v>48</v>
      </c>
      <c r="G4" s="2" t="str">
        <f t="shared" si="1"/>
        <v>#N/A</v>
      </c>
      <c r="H4" s="4" t="s">
        <v>50</v>
      </c>
      <c r="I4" s="4" t="s">
        <v>28</v>
      </c>
      <c r="J4" s="3">
        <v>46143.0</v>
      </c>
      <c r="K4" s="3">
        <v>46174.0</v>
      </c>
      <c r="L4" s="4">
        <v>1.0</v>
      </c>
      <c r="M4" s="4">
        <v>62.17</v>
      </c>
      <c r="N4" s="5">
        <v>0.25</v>
      </c>
      <c r="O4" s="4">
        <v>15.54</v>
      </c>
      <c r="P4" s="4" t="s">
        <v>101</v>
      </c>
      <c r="Q4" s="4" t="s">
        <v>99</v>
      </c>
      <c r="R4" s="4" t="s">
        <v>100</v>
      </c>
      <c r="S4" s="4"/>
      <c r="T4" s="4"/>
      <c r="U4" s="4"/>
      <c r="V4" s="4"/>
      <c r="W4" s="4"/>
      <c r="X4" s="4"/>
      <c r="Y4" s="4"/>
      <c r="Z4" s="4"/>
    </row>
    <row r="5" ht="14.25" customHeight="1">
      <c r="A5" s="4" t="s">
        <v>21</v>
      </c>
      <c r="B5" s="4">
        <v>1.9491313E7</v>
      </c>
      <c r="C5" s="4" t="s">
        <v>56</v>
      </c>
      <c r="D5" s="4" t="s">
        <v>56</v>
      </c>
      <c r="E5" s="4" t="s">
        <v>47</v>
      </c>
      <c r="F5" s="4" t="s">
        <v>48</v>
      </c>
      <c r="G5" s="2" t="str">
        <f t="shared" si="1"/>
        <v>#N/A</v>
      </c>
      <c r="H5" s="4" t="s">
        <v>27</v>
      </c>
      <c r="I5" s="4" t="s">
        <v>28</v>
      </c>
      <c r="J5" s="3">
        <v>46143.0</v>
      </c>
      <c r="K5" s="3">
        <v>46174.0</v>
      </c>
      <c r="L5" s="4">
        <v>1.0</v>
      </c>
      <c r="M5" s="4">
        <v>130.09</v>
      </c>
      <c r="N5" s="5">
        <v>0.21</v>
      </c>
      <c r="O5" s="4">
        <v>27.32</v>
      </c>
      <c r="P5" s="4" t="s">
        <v>98</v>
      </c>
      <c r="Q5" s="4" t="s">
        <v>99</v>
      </c>
      <c r="R5" s="4" t="s">
        <v>100</v>
      </c>
      <c r="S5" s="4"/>
      <c r="T5" s="4"/>
      <c r="U5" s="4"/>
      <c r="V5" s="4"/>
      <c r="W5" s="4"/>
      <c r="X5" s="4"/>
      <c r="Y5" s="4"/>
      <c r="Z5" s="4"/>
    </row>
    <row r="6" ht="14.25" customHeight="1">
      <c r="A6" s="2" t="s">
        <v>21</v>
      </c>
      <c r="B6" s="2">
        <v>1.9491313E7</v>
      </c>
      <c r="C6" s="2" t="s">
        <v>58</v>
      </c>
      <c r="D6" s="2" t="s">
        <v>58</v>
      </c>
      <c r="E6" s="2" t="s">
        <v>59</v>
      </c>
      <c r="F6" s="2" t="s">
        <v>60</v>
      </c>
      <c r="G6" s="2" t="str">
        <f t="shared" si="1"/>
        <v>#N/A</v>
      </c>
      <c r="H6" s="2" t="s">
        <v>27</v>
      </c>
      <c r="I6" s="2" t="s">
        <v>28</v>
      </c>
      <c r="J6" s="3">
        <v>46023.0</v>
      </c>
      <c r="K6" s="3">
        <v>46143.0</v>
      </c>
      <c r="L6" s="4">
        <v>4.0</v>
      </c>
      <c r="M6" s="4">
        <v>143.78</v>
      </c>
      <c r="N6" s="5">
        <v>0.21</v>
      </c>
      <c r="O6" s="2">
        <v>30.19</v>
      </c>
      <c r="P6" s="2" t="s">
        <v>98</v>
      </c>
      <c r="Q6" s="2" t="s">
        <v>99</v>
      </c>
      <c r="R6" s="2" t="s">
        <v>100</v>
      </c>
    </row>
    <row r="7" ht="14.25" customHeight="1">
      <c r="A7" s="2" t="s">
        <v>21</v>
      </c>
      <c r="B7" s="2">
        <v>1.9491313E7</v>
      </c>
      <c r="C7" s="2" t="s">
        <v>62</v>
      </c>
      <c r="D7" s="2" t="s">
        <v>62</v>
      </c>
      <c r="E7" s="2" t="s">
        <v>63</v>
      </c>
      <c r="F7" s="2" t="s">
        <v>64</v>
      </c>
      <c r="G7" s="2" t="str">
        <f t="shared" si="1"/>
        <v>#N/A</v>
      </c>
      <c r="H7" s="2" t="s">
        <v>27</v>
      </c>
      <c r="I7" s="2" t="s">
        <v>28</v>
      </c>
      <c r="J7" s="3">
        <v>46082.0</v>
      </c>
      <c r="K7" s="3">
        <v>46143.0</v>
      </c>
      <c r="L7" s="4">
        <v>2.0</v>
      </c>
      <c r="M7" s="4">
        <v>136.94</v>
      </c>
      <c r="N7" s="5">
        <v>0.21</v>
      </c>
      <c r="O7" s="2">
        <v>28.76</v>
      </c>
      <c r="P7" s="2" t="s">
        <v>98</v>
      </c>
      <c r="Q7" s="2" t="s">
        <v>99</v>
      </c>
      <c r="R7" s="2" t="s">
        <v>100</v>
      </c>
    </row>
    <row r="8" ht="14.25" customHeight="1">
      <c r="A8" s="6" t="s">
        <v>67</v>
      </c>
      <c r="B8" s="6" t="s">
        <v>102</v>
      </c>
      <c r="C8" s="6" t="s">
        <v>69</v>
      </c>
      <c r="D8" s="6" t="s">
        <v>69</v>
      </c>
      <c r="E8" s="6" t="s">
        <v>70</v>
      </c>
      <c r="F8" s="6" t="s">
        <v>71</v>
      </c>
      <c r="G8" s="2" t="str">
        <f t="shared" si="1"/>
        <v>#N/A</v>
      </c>
      <c r="H8" s="6" t="s">
        <v>50</v>
      </c>
      <c r="I8" s="6" t="s">
        <v>72</v>
      </c>
      <c r="J8" s="7">
        <v>46092.0</v>
      </c>
      <c r="K8" s="7">
        <v>46153.0</v>
      </c>
      <c r="L8" s="6">
        <v>2.0</v>
      </c>
      <c r="M8" s="6">
        <v>127.65</v>
      </c>
      <c r="N8" s="8">
        <v>0.25</v>
      </c>
      <c r="O8" s="6">
        <v>31.91</v>
      </c>
      <c r="P8" s="6" t="s">
        <v>101</v>
      </c>
      <c r="Q8" s="6" t="s">
        <v>99</v>
      </c>
      <c r="R8" s="6" t="s">
        <v>103</v>
      </c>
      <c r="S8" s="6"/>
      <c r="T8" s="6"/>
      <c r="U8" s="6"/>
      <c r="V8" s="6"/>
      <c r="W8" s="6"/>
      <c r="X8" s="6"/>
      <c r="Y8" s="6"/>
      <c r="Z8" s="6"/>
    </row>
    <row r="9" ht="14.25" customHeight="1">
      <c r="A9" s="6" t="s">
        <v>104</v>
      </c>
      <c r="B9" s="6" t="s">
        <v>105</v>
      </c>
      <c r="C9" s="6" t="s">
        <v>78</v>
      </c>
      <c r="D9" s="6" t="s">
        <v>78</v>
      </c>
      <c r="E9" s="6" t="s">
        <v>79</v>
      </c>
      <c r="F9" s="6" t="s">
        <v>80</v>
      </c>
      <c r="G9" s="2" t="str">
        <f t="shared" si="1"/>
        <v>#N/A</v>
      </c>
      <c r="H9" s="6" t="s">
        <v>50</v>
      </c>
      <c r="I9" s="6" t="s">
        <v>72</v>
      </c>
      <c r="J9" s="7">
        <v>45962.0</v>
      </c>
      <c r="K9" s="7">
        <v>46143.0</v>
      </c>
      <c r="L9" s="6">
        <v>6.0</v>
      </c>
      <c r="M9" s="6">
        <v>55.9</v>
      </c>
      <c r="N9" s="8">
        <v>0.25</v>
      </c>
      <c r="O9" s="6">
        <v>13.98</v>
      </c>
      <c r="P9" s="6" t="s">
        <v>101</v>
      </c>
      <c r="Q9" s="6" t="s">
        <v>99</v>
      </c>
      <c r="R9" s="6" t="s">
        <v>103</v>
      </c>
      <c r="S9" s="6"/>
      <c r="T9" s="6"/>
      <c r="U9" s="6"/>
      <c r="V9" s="6"/>
      <c r="W9" s="6"/>
      <c r="X9" s="6"/>
      <c r="Y9" s="6"/>
      <c r="Z9" s="6"/>
    </row>
    <row r="10" ht="14.25" customHeight="1">
      <c r="A10" s="9" t="s">
        <v>106</v>
      </c>
      <c r="B10" s="9" t="s">
        <v>107</v>
      </c>
      <c r="C10" s="9" t="s">
        <v>87</v>
      </c>
      <c r="D10" s="9" t="s">
        <v>87</v>
      </c>
      <c r="E10" s="9" t="s">
        <v>88</v>
      </c>
      <c r="F10" s="9" t="s">
        <v>89</v>
      </c>
      <c r="G10" s="2" t="str">
        <f t="shared" si="1"/>
        <v>#N/A</v>
      </c>
      <c r="H10" s="9" t="s">
        <v>27</v>
      </c>
      <c r="I10" s="9" t="s">
        <v>90</v>
      </c>
      <c r="J10" s="10">
        <v>46174.0</v>
      </c>
      <c r="K10" s="10">
        <v>46204.0</v>
      </c>
      <c r="L10" s="9">
        <v>1.0</v>
      </c>
      <c r="M10" s="9">
        <v>151.07</v>
      </c>
      <c r="N10" s="11">
        <v>0.232</v>
      </c>
      <c r="O10" s="9">
        <v>35.05</v>
      </c>
      <c r="P10" s="9" t="s">
        <v>108</v>
      </c>
      <c r="Q10" s="9" t="s">
        <v>109</v>
      </c>
      <c r="R10" s="9" t="s">
        <v>110</v>
      </c>
      <c r="S10" s="9"/>
      <c r="T10" s="9"/>
      <c r="U10" s="9"/>
      <c r="V10" s="9"/>
      <c r="W10" s="9"/>
      <c r="X10" s="9"/>
      <c r="Y10" s="9"/>
      <c r="Z10" s="9"/>
    </row>
    <row r="11" ht="14.25" customHeight="1">
      <c r="A11" s="9" t="s">
        <v>106</v>
      </c>
      <c r="B11" s="9" t="s">
        <v>107</v>
      </c>
      <c r="C11" s="9" t="s">
        <v>94</v>
      </c>
      <c r="D11" s="9" t="s">
        <v>94</v>
      </c>
      <c r="E11" s="9" t="s">
        <v>95</v>
      </c>
      <c r="F11" s="9" t="s">
        <v>96</v>
      </c>
      <c r="G11" s="2" t="str">
        <f t="shared" si="1"/>
        <v>#N/A</v>
      </c>
      <c r="H11" s="9" t="s">
        <v>27</v>
      </c>
      <c r="I11" s="9" t="s">
        <v>90</v>
      </c>
      <c r="J11" s="10">
        <v>46143.0</v>
      </c>
      <c r="K11" s="10">
        <v>46174.0</v>
      </c>
      <c r="L11" s="9">
        <v>1.0</v>
      </c>
      <c r="M11" s="9">
        <v>187.86</v>
      </c>
      <c r="N11" s="11">
        <v>0.232</v>
      </c>
      <c r="O11" s="9">
        <v>43.58</v>
      </c>
      <c r="P11" s="9" t="s">
        <v>108</v>
      </c>
      <c r="Q11" s="9" t="s">
        <v>109</v>
      </c>
      <c r="R11" s="9" t="s">
        <v>110</v>
      </c>
      <c r="S11" s="9"/>
      <c r="T11" s="9"/>
      <c r="U11" s="9"/>
      <c r="V11" s="9"/>
      <c r="W11" s="9"/>
      <c r="X11" s="9"/>
      <c r="Y11" s="9"/>
      <c r="Z11" s="9"/>
    </row>
    <row r="12" ht="14.25" customHeight="1">
      <c r="A12" s="4" t="s">
        <v>111</v>
      </c>
      <c r="B12" s="4">
        <v>2.0411454E7</v>
      </c>
      <c r="C12" s="4" t="s">
        <v>23</v>
      </c>
      <c r="D12" s="4" t="str">
        <f t="shared" ref="D12:D21" si="2">CONCAT(C12,"OVR")</f>
        <v>H750088570OVR</v>
      </c>
      <c r="E12" s="4" t="s">
        <v>24</v>
      </c>
      <c r="F12" s="4" t="s">
        <v>25</v>
      </c>
      <c r="G12" s="2" t="str">
        <f t="shared" si="1"/>
        <v>#N/A</v>
      </c>
      <c r="H12" s="4" t="s">
        <v>27</v>
      </c>
      <c r="I12" s="4" t="s">
        <v>28</v>
      </c>
      <c r="J12" s="3">
        <v>46023.0</v>
      </c>
      <c r="K12" s="3">
        <v>46143.0</v>
      </c>
      <c r="L12" s="4">
        <v>4.0</v>
      </c>
      <c r="M12" s="4">
        <v>4.03</v>
      </c>
      <c r="N12" s="5">
        <v>0.028</v>
      </c>
      <c r="O12" s="4">
        <v>4.03</v>
      </c>
      <c r="P12" s="4" t="s">
        <v>112</v>
      </c>
      <c r="Q12" s="2" t="s">
        <v>99</v>
      </c>
      <c r="R12" s="2" t="s">
        <v>100</v>
      </c>
      <c r="S12" s="4"/>
      <c r="T12" s="4"/>
      <c r="U12" s="4"/>
      <c r="V12" s="4"/>
      <c r="W12" s="4"/>
      <c r="X12" s="4"/>
      <c r="Y12" s="4"/>
      <c r="Z12" s="4"/>
    </row>
    <row r="13" ht="14.25" customHeight="1">
      <c r="A13" s="4" t="s">
        <v>111</v>
      </c>
      <c r="B13" s="4">
        <v>2.0411454E7</v>
      </c>
      <c r="C13" s="4" t="s">
        <v>40</v>
      </c>
      <c r="D13" s="4" t="str">
        <f t="shared" si="2"/>
        <v>H750094989OVR</v>
      </c>
      <c r="E13" s="4" t="s">
        <v>41</v>
      </c>
      <c r="F13" s="4" t="s">
        <v>42</v>
      </c>
      <c r="G13" s="2" t="str">
        <f t="shared" si="1"/>
        <v>#N/A</v>
      </c>
      <c r="H13" s="4" t="s">
        <v>27</v>
      </c>
      <c r="I13" s="4" t="s">
        <v>28</v>
      </c>
      <c r="J13" s="3">
        <v>46054.0</v>
      </c>
      <c r="K13" s="3">
        <v>46143.0</v>
      </c>
      <c r="L13" s="4">
        <v>3.0</v>
      </c>
      <c r="M13" s="4">
        <v>4.03</v>
      </c>
      <c r="N13" s="5">
        <v>0.028</v>
      </c>
      <c r="O13" s="4">
        <v>4.03</v>
      </c>
      <c r="P13" s="4" t="s">
        <v>112</v>
      </c>
      <c r="Q13" s="2" t="s">
        <v>99</v>
      </c>
      <c r="R13" s="2" t="s">
        <v>100</v>
      </c>
      <c r="S13" s="4"/>
      <c r="T13" s="4"/>
      <c r="U13" s="4"/>
      <c r="V13" s="4"/>
      <c r="W13" s="4"/>
      <c r="X13" s="4"/>
      <c r="Y13" s="4"/>
      <c r="Z13" s="4"/>
    </row>
    <row r="14" ht="14.25" customHeight="1">
      <c r="A14" s="4" t="s">
        <v>111</v>
      </c>
      <c r="B14" s="4">
        <v>2.0411454E7</v>
      </c>
      <c r="C14" s="4" t="s">
        <v>46</v>
      </c>
      <c r="D14" s="4" t="str">
        <f t="shared" si="2"/>
        <v>H711138979OVR</v>
      </c>
      <c r="E14" s="4" t="s">
        <v>47</v>
      </c>
      <c r="F14" s="4" t="s">
        <v>48</v>
      </c>
      <c r="G14" s="2" t="str">
        <f t="shared" si="1"/>
        <v>#N/A</v>
      </c>
      <c r="H14" s="4" t="s">
        <v>50</v>
      </c>
      <c r="I14" s="4" t="s">
        <v>28</v>
      </c>
      <c r="J14" s="3">
        <v>46143.0</v>
      </c>
      <c r="K14" s="3">
        <v>46174.0</v>
      </c>
      <c r="L14" s="4">
        <v>1.0</v>
      </c>
      <c r="M14" s="4">
        <v>5.91</v>
      </c>
      <c r="N14" s="5">
        <v>0.095</v>
      </c>
      <c r="O14" s="4">
        <v>5.91</v>
      </c>
      <c r="P14" s="4" t="s">
        <v>112</v>
      </c>
      <c r="Q14" s="2" t="s">
        <v>99</v>
      </c>
      <c r="R14" s="2" t="s">
        <v>100</v>
      </c>
      <c r="S14" s="4"/>
      <c r="T14" s="4"/>
      <c r="U14" s="4"/>
      <c r="V14" s="4"/>
      <c r="W14" s="4"/>
      <c r="X14" s="4"/>
      <c r="Y14" s="4"/>
      <c r="Z14" s="4"/>
    </row>
    <row r="15" ht="14.25" customHeight="1">
      <c r="A15" s="4" t="s">
        <v>111</v>
      </c>
      <c r="B15" s="4">
        <v>2.0411454E7</v>
      </c>
      <c r="C15" s="4" t="s">
        <v>56</v>
      </c>
      <c r="D15" s="4" t="str">
        <f t="shared" si="2"/>
        <v>H750102411OVR</v>
      </c>
      <c r="E15" s="4" t="s">
        <v>47</v>
      </c>
      <c r="F15" s="4" t="s">
        <v>48</v>
      </c>
      <c r="G15" s="2" t="str">
        <f t="shared" si="1"/>
        <v>#N/A</v>
      </c>
      <c r="H15" s="4" t="s">
        <v>27</v>
      </c>
      <c r="I15" s="4" t="s">
        <v>28</v>
      </c>
      <c r="J15" s="3">
        <v>46143.0</v>
      </c>
      <c r="K15" s="3">
        <v>46174.0</v>
      </c>
      <c r="L15" s="4">
        <v>1.0</v>
      </c>
      <c r="M15" s="4">
        <v>3.64</v>
      </c>
      <c r="N15" s="5">
        <v>0.028</v>
      </c>
      <c r="O15" s="4">
        <v>3.64</v>
      </c>
      <c r="P15" s="4" t="s">
        <v>112</v>
      </c>
      <c r="Q15" s="2" t="s">
        <v>99</v>
      </c>
      <c r="R15" s="2" t="s">
        <v>100</v>
      </c>
      <c r="S15" s="4"/>
      <c r="T15" s="4"/>
      <c r="U15" s="4"/>
      <c r="V15" s="4"/>
      <c r="W15" s="4"/>
      <c r="X15" s="4"/>
      <c r="Y15" s="4"/>
      <c r="Z15" s="4"/>
    </row>
    <row r="16" ht="14.25" customHeight="1">
      <c r="A16" s="4" t="s">
        <v>111</v>
      </c>
      <c r="B16" s="4">
        <v>2.0411454E7</v>
      </c>
      <c r="C16" s="4" t="s">
        <v>58</v>
      </c>
      <c r="D16" s="4" t="str">
        <f t="shared" si="2"/>
        <v>H750092058OVR</v>
      </c>
      <c r="E16" s="4" t="s">
        <v>59</v>
      </c>
      <c r="F16" s="4" t="s">
        <v>60</v>
      </c>
      <c r="G16" s="2" t="str">
        <f t="shared" si="1"/>
        <v>#N/A</v>
      </c>
      <c r="H16" s="4" t="s">
        <v>27</v>
      </c>
      <c r="I16" s="4" t="s">
        <v>28</v>
      </c>
      <c r="J16" s="3">
        <v>46023.0</v>
      </c>
      <c r="K16" s="3">
        <v>46143.0</v>
      </c>
      <c r="L16" s="4">
        <v>4.0</v>
      </c>
      <c r="M16" s="4">
        <v>4.03</v>
      </c>
      <c r="N16" s="5">
        <v>0.028</v>
      </c>
      <c r="O16" s="4">
        <v>4.03</v>
      </c>
      <c r="P16" s="4" t="s">
        <v>112</v>
      </c>
      <c r="Q16" s="2" t="s">
        <v>99</v>
      </c>
      <c r="R16" s="2" t="s">
        <v>100</v>
      </c>
      <c r="S16" s="4"/>
      <c r="T16" s="4"/>
      <c r="U16" s="4"/>
      <c r="V16" s="4"/>
      <c r="W16" s="4"/>
      <c r="X16" s="4"/>
      <c r="Y16" s="4"/>
      <c r="Z16" s="4"/>
    </row>
    <row r="17" ht="14.25" customHeight="1">
      <c r="A17" s="4" t="s">
        <v>111</v>
      </c>
      <c r="B17" s="4">
        <v>2.0411454E7</v>
      </c>
      <c r="C17" s="4" t="s">
        <v>62</v>
      </c>
      <c r="D17" s="4" t="str">
        <f t="shared" si="2"/>
        <v>H750094552OVR</v>
      </c>
      <c r="E17" s="4" t="s">
        <v>63</v>
      </c>
      <c r="F17" s="4" t="s">
        <v>64</v>
      </c>
      <c r="G17" s="2" t="str">
        <f t="shared" si="1"/>
        <v>#N/A</v>
      </c>
      <c r="H17" s="4" t="s">
        <v>27</v>
      </c>
      <c r="I17" s="4" t="s">
        <v>28</v>
      </c>
      <c r="J17" s="3">
        <v>46082.0</v>
      </c>
      <c r="K17" s="3">
        <v>46143.0</v>
      </c>
      <c r="L17" s="4">
        <v>2.0</v>
      </c>
      <c r="M17" s="4">
        <v>3.83</v>
      </c>
      <c r="N17" s="5">
        <v>0.028</v>
      </c>
      <c r="O17" s="4">
        <v>3.83</v>
      </c>
      <c r="P17" s="4" t="s">
        <v>112</v>
      </c>
      <c r="Q17" s="2" t="s">
        <v>99</v>
      </c>
      <c r="R17" s="2" t="s">
        <v>100</v>
      </c>
      <c r="S17" s="4"/>
      <c r="T17" s="4"/>
      <c r="U17" s="4"/>
      <c r="V17" s="4"/>
      <c r="W17" s="4"/>
      <c r="X17" s="4"/>
      <c r="Y17" s="4"/>
      <c r="Z17" s="4"/>
    </row>
    <row r="18" ht="14.25" customHeight="1">
      <c r="A18" s="4" t="s">
        <v>111</v>
      </c>
      <c r="B18" s="4">
        <v>2.0411454E7</v>
      </c>
      <c r="C18" s="4" t="s">
        <v>69</v>
      </c>
      <c r="D18" s="4" t="str">
        <f t="shared" si="2"/>
        <v>H711124438OVR</v>
      </c>
      <c r="E18" s="4" t="s">
        <v>70</v>
      </c>
      <c r="F18" s="4" t="s">
        <v>71</v>
      </c>
      <c r="G18" s="2" t="str">
        <f t="shared" si="1"/>
        <v>#N/A</v>
      </c>
      <c r="H18" s="4" t="s">
        <v>50</v>
      </c>
      <c r="I18" s="4" t="s">
        <v>72</v>
      </c>
      <c r="J18" s="3">
        <v>46092.0</v>
      </c>
      <c r="K18" s="3">
        <v>46153.0</v>
      </c>
      <c r="L18" s="4">
        <v>2.0</v>
      </c>
      <c r="M18" s="4">
        <v>12.13</v>
      </c>
      <c r="N18" s="5">
        <v>0.095</v>
      </c>
      <c r="O18" s="4">
        <v>12.13</v>
      </c>
      <c r="P18" s="4" t="s">
        <v>112</v>
      </c>
      <c r="Q18" s="2" t="s">
        <v>99</v>
      </c>
      <c r="R18" s="2" t="s">
        <v>100</v>
      </c>
      <c r="S18" s="4"/>
      <c r="T18" s="4"/>
      <c r="U18" s="4"/>
      <c r="V18" s="4"/>
      <c r="W18" s="4"/>
      <c r="X18" s="4"/>
      <c r="Y18" s="4"/>
      <c r="Z18" s="4"/>
    </row>
    <row r="19" ht="14.25" customHeight="1">
      <c r="A19" s="4" t="s">
        <v>111</v>
      </c>
      <c r="B19" s="4">
        <v>2.0411454E7</v>
      </c>
      <c r="C19" s="4" t="s">
        <v>78</v>
      </c>
      <c r="D19" s="4" t="str">
        <f t="shared" si="2"/>
        <v>H711053462OVR</v>
      </c>
      <c r="E19" s="4" t="s">
        <v>79</v>
      </c>
      <c r="F19" s="4" t="s">
        <v>80</v>
      </c>
      <c r="G19" s="2" t="str">
        <f t="shared" si="1"/>
        <v>#N/A</v>
      </c>
      <c r="H19" s="4" t="s">
        <v>50</v>
      </c>
      <c r="I19" s="4" t="s">
        <v>72</v>
      </c>
      <c r="J19" s="3">
        <v>45962.0</v>
      </c>
      <c r="K19" s="3">
        <v>46143.0</v>
      </c>
      <c r="L19" s="4">
        <v>6.0</v>
      </c>
      <c r="M19" s="4">
        <v>5.31</v>
      </c>
      <c r="N19" s="5">
        <v>0.095</v>
      </c>
      <c r="O19" s="4">
        <v>5.31</v>
      </c>
      <c r="P19" s="4" t="s">
        <v>112</v>
      </c>
      <c r="Q19" s="2" t="s">
        <v>99</v>
      </c>
      <c r="R19" s="2" t="s">
        <v>100</v>
      </c>
      <c r="S19" s="4"/>
      <c r="T19" s="4"/>
      <c r="U19" s="4"/>
      <c r="V19" s="4"/>
      <c r="W19" s="4"/>
      <c r="X19" s="4"/>
      <c r="Y19" s="4"/>
      <c r="Z19" s="4"/>
    </row>
    <row r="20" ht="14.25" customHeight="1">
      <c r="A20" s="4" t="s">
        <v>111</v>
      </c>
      <c r="B20" s="4">
        <v>2.0411454E7</v>
      </c>
      <c r="C20" s="4" t="s">
        <v>87</v>
      </c>
      <c r="D20" s="4" t="str">
        <f t="shared" si="2"/>
        <v>H750102221OVR</v>
      </c>
      <c r="E20" s="4" t="s">
        <v>88</v>
      </c>
      <c r="F20" s="4" t="s">
        <v>89</v>
      </c>
      <c r="G20" s="2" t="str">
        <f t="shared" si="1"/>
        <v>#N/A</v>
      </c>
      <c r="H20" s="4" t="s">
        <v>27</v>
      </c>
      <c r="I20" s="4" t="s">
        <v>90</v>
      </c>
      <c r="J20" s="3">
        <v>46174.0</v>
      </c>
      <c r="K20" s="3">
        <v>46204.0</v>
      </c>
      <c r="L20" s="4">
        <v>1.0</v>
      </c>
      <c r="M20" s="4">
        <v>4.23</v>
      </c>
      <c r="N20" s="5">
        <v>0.028</v>
      </c>
      <c r="O20" s="4">
        <v>4.23</v>
      </c>
      <c r="P20" s="4" t="s">
        <v>112</v>
      </c>
      <c r="Q20" s="2" t="s">
        <v>99</v>
      </c>
      <c r="R20" s="2" t="s">
        <v>100</v>
      </c>
      <c r="S20" s="4"/>
      <c r="T20" s="4"/>
      <c r="U20" s="4"/>
      <c r="V20" s="4"/>
      <c r="W20" s="4"/>
      <c r="X20" s="4"/>
      <c r="Y20" s="4"/>
      <c r="Z20" s="4"/>
    </row>
    <row r="21" ht="14.25" customHeight="1">
      <c r="A21" s="4" t="s">
        <v>111</v>
      </c>
      <c r="B21" s="4">
        <v>2.0411454E7</v>
      </c>
      <c r="C21" s="4" t="s">
        <v>94</v>
      </c>
      <c r="D21" s="4" t="str">
        <f t="shared" si="2"/>
        <v>H750101146OVR</v>
      </c>
      <c r="E21" s="4" t="s">
        <v>95</v>
      </c>
      <c r="F21" s="4" t="s">
        <v>96</v>
      </c>
      <c r="G21" s="2" t="str">
        <f t="shared" si="1"/>
        <v>#N/A</v>
      </c>
      <c r="H21" s="4" t="s">
        <v>27</v>
      </c>
      <c r="I21" s="4" t="s">
        <v>90</v>
      </c>
      <c r="J21" s="3">
        <v>46143.0</v>
      </c>
      <c r="K21" s="3">
        <v>46174.0</v>
      </c>
      <c r="L21" s="4">
        <v>1.0</v>
      </c>
      <c r="M21" s="4">
        <v>5.26</v>
      </c>
      <c r="N21" s="5">
        <v>0.028</v>
      </c>
      <c r="O21" s="4">
        <v>5.26</v>
      </c>
      <c r="P21" s="4" t="s">
        <v>112</v>
      </c>
      <c r="Q21" s="2" t="s">
        <v>99</v>
      </c>
      <c r="R21" s="2" t="s">
        <v>100</v>
      </c>
      <c r="S21" s="4"/>
      <c r="T21" s="4"/>
      <c r="U21" s="4"/>
      <c r="V21" s="4"/>
      <c r="W21" s="4"/>
      <c r="X21" s="4"/>
      <c r="Y21" s="4"/>
      <c r="Z21" s="4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14.25" customHeight="1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  <c r="O2" s="2" t="s">
        <v>35</v>
      </c>
      <c r="P2" s="2" t="s">
        <v>36</v>
      </c>
      <c r="Q2" s="2" t="s">
        <v>35</v>
      </c>
      <c r="R2" s="2" t="s">
        <v>37</v>
      </c>
      <c r="S2" s="2" t="s">
        <v>113</v>
      </c>
      <c r="T2" s="2">
        <v>4.03</v>
      </c>
    </row>
    <row r="3" ht="14.25" customHeight="1">
      <c r="A3" s="2" t="s">
        <v>21</v>
      </c>
      <c r="B3" s="2" t="s">
        <v>22</v>
      </c>
      <c r="C3" s="2" t="s">
        <v>40</v>
      </c>
      <c r="D3" s="2" t="s">
        <v>41</v>
      </c>
      <c r="E3" s="2" t="s">
        <v>42</v>
      </c>
      <c r="F3" s="2" t="s">
        <v>26</v>
      </c>
      <c r="G3" s="2" t="s">
        <v>27</v>
      </c>
      <c r="H3" s="2" t="s">
        <v>28</v>
      </c>
      <c r="I3" s="2" t="s">
        <v>43</v>
      </c>
      <c r="J3" s="2" t="s">
        <v>30</v>
      </c>
      <c r="K3" s="2" t="s">
        <v>31</v>
      </c>
      <c r="L3" s="2" t="s">
        <v>32</v>
      </c>
      <c r="M3" s="2" t="s">
        <v>44</v>
      </c>
      <c r="N3" s="2" t="s">
        <v>45</v>
      </c>
      <c r="O3" s="2" t="s">
        <v>35</v>
      </c>
      <c r="P3" s="2" t="s">
        <v>36</v>
      </c>
      <c r="Q3" s="2" t="s">
        <v>35</v>
      </c>
      <c r="R3" s="2" t="s">
        <v>37</v>
      </c>
      <c r="S3" s="2" t="s">
        <v>113</v>
      </c>
      <c r="T3" s="2">
        <v>4.03</v>
      </c>
    </row>
    <row r="4" ht="14.25" customHeight="1">
      <c r="A4" s="2" t="s">
        <v>21</v>
      </c>
      <c r="B4" s="2" t="s">
        <v>22</v>
      </c>
      <c r="C4" s="2" t="s">
        <v>46</v>
      </c>
      <c r="D4" s="2" t="s">
        <v>47</v>
      </c>
      <c r="E4" s="2" t="s">
        <v>48</v>
      </c>
      <c r="F4" s="2" t="s">
        <v>49</v>
      </c>
      <c r="G4" s="2" t="s">
        <v>50</v>
      </c>
      <c r="H4" s="2" t="s">
        <v>28</v>
      </c>
      <c r="I4" s="2" t="s">
        <v>51</v>
      </c>
      <c r="J4" s="2" t="s">
        <v>52</v>
      </c>
      <c r="K4" s="2" t="s">
        <v>31</v>
      </c>
      <c r="L4" s="2" t="s">
        <v>32</v>
      </c>
      <c r="M4" s="2" t="s">
        <v>44</v>
      </c>
      <c r="N4" s="2" t="s">
        <v>53</v>
      </c>
      <c r="O4" s="2" t="s">
        <v>54</v>
      </c>
      <c r="P4" s="2" t="s">
        <v>36</v>
      </c>
      <c r="Q4" s="2" t="s">
        <v>54</v>
      </c>
      <c r="R4" s="2" t="s">
        <v>37</v>
      </c>
      <c r="S4" s="2" t="s">
        <v>114</v>
      </c>
      <c r="T4" s="2">
        <v>5.91</v>
      </c>
    </row>
    <row r="5" ht="14.25" customHeight="1">
      <c r="A5" s="2" t="s">
        <v>21</v>
      </c>
      <c r="B5" s="2" t="s">
        <v>22</v>
      </c>
      <c r="C5" s="2" t="s">
        <v>56</v>
      </c>
      <c r="D5" s="2" t="s">
        <v>47</v>
      </c>
      <c r="E5" s="2" t="s">
        <v>48</v>
      </c>
      <c r="F5" s="2" t="s">
        <v>26</v>
      </c>
      <c r="G5" s="2" t="s">
        <v>27</v>
      </c>
      <c r="H5" s="2" t="s">
        <v>28</v>
      </c>
      <c r="I5" s="2" t="s">
        <v>51</v>
      </c>
      <c r="J5" s="2" t="s">
        <v>52</v>
      </c>
      <c r="K5" s="2" t="s">
        <v>31</v>
      </c>
      <c r="L5" s="2" t="s">
        <v>32</v>
      </c>
      <c r="M5" s="2" t="s">
        <v>44</v>
      </c>
      <c r="N5" s="2" t="s">
        <v>53</v>
      </c>
      <c r="O5" s="2" t="s">
        <v>57</v>
      </c>
      <c r="P5" s="2" t="s">
        <v>36</v>
      </c>
      <c r="Q5" s="2" t="s">
        <v>57</v>
      </c>
      <c r="R5" s="2" t="s">
        <v>37</v>
      </c>
      <c r="S5" s="2" t="s">
        <v>113</v>
      </c>
      <c r="T5" s="2">
        <v>3.64</v>
      </c>
    </row>
    <row r="6" ht="14.25" customHeight="1">
      <c r="A6" s="2" t="s">
        <v>21</v>
      </c>
      <c r="B6" s="2" t="s">
        <v>22</v>
      </c>
      <c r="C6" s="2" t="s">
        <v>58</v>
      </c>
      <c r="D6" s="2" t="s">
        <v>59</v>
      </c>
      <c r="E6" s="2" t="s">
        <v>60</v>
      </c>
      <c r="F6" s="2" t="s">
        <v>26</v>
      </c>
      <c r="G6" s="2" t="s">
        <v>27</v>
      </c>
      <c r="H6" s="2" t="s">
        <v>28</v>
      </c>
      <c r="I6" s="2" t="s">
        <v>61</v>
      </c>
      <c r="J6" s="2" t="s">
        <v>30</v>
      </c>
      <c r="K6" s="2" t="s">
        <v>31</v>
      </c>
      <c r="L6" s="2" t="s">
        <v>32</v>
      </c>
      <c r="M6" s="2" t="s">
        <v>44</v>
      </c>
      <c r="N6" s="2" t="s">
        <v>34</v>
      </c>
      <c r="O6" s="2" t="s">
        <v>35</v>
      </c>
      <c r="P6" s="2" t="s">
        <v>36</v>
      </c>
      <c r="Q6" s="2" t="s">
        <v>35</v>
      </c>
      <c r="R6" s="2" t="s">
        <v>37</v>
      </c>
      <c r="S6" s="2" t="s">
        <v>113</v>
      </c>
      <c r="T6" s="2">
        <v>4.03</v>
      </c>
    </row>
    <row r="7" ht="14.25" customHeight="1">
      <c r="A7" s="2" t="s">
        <v>21</v>
      </c>
      <c r="B7" s="2" t="s">
        <v>22</v>
      </c>
      <c r="C7" s="2" t="s">
        <v>62</v>
      </c>
      <c r="D7" s="2" t="s">
        <v>63</v>
      </c>
      <c r="E7" s="2" t="s">
        <v>64</v>
      </c>
      <c r="F7" s="2" t="s">
        <v>26</v>
      </c>
      <c r="G7" s="2" t="s">
        <v>27</v>
      </c>
      <c r="H7" s="2" t="s">
        <v>28</v>
      </c>
      <c r="I7" s="2" t="s">
        <v>61</v>
      </c>
      <c r="J7" s="2" t="s">
        <v>30</v>
      </c>
      <c r="K7" s="2" t="s">
        <v>31</v>
      </c>
      <c r="L7" s="2" t="s">
        <v>32</v>
      </c>
      <c r="M7" s="2" t="s">
        <v>44</v>
      </c>
      <c r="N7" s="2" t="s">
        <v>65</v>
      </c>
      <c r="O7" s="2" t="s">
        <v>66</v>
      </c>
      <c r="P7" s="2" t="s">
        <v>36</v>
      </c>
      <c r="Q7" s="2" t="s">
        <v>66</v>
      </c>
      <c r="R7" s="2" t="s">
        <v>37</v>
      </c>
      <c r="S7" s="2" t="s">
        <v>113</v>
      </c>
      <c r="T7" s="2">
        <v>3.83</v>
      </c>
    </row>
    <row r="8" ht="14.25" customHeight="1">
      <c r="A8" s="2" t="s">
        <v>67</v>
      </c>
      <c r="B8" s="2" t="s">
        <v>68</v>
      </c>
      <c r="C8" s="2" t="s">
        <v>69</v>
      </c>
      <c r="D8" s="2" t="s">
        <v>70</v>
      </c>
      <c r="E8" s="2" t="s">
        <v>71</v>
      </c>
      <c r="F8" s="2" t="s">
        <v>49</v>
      </c>
      <c r="G8" s="2" t="s">
        <v>50</v>
      </c>
      <c r="H8" s="2" t="s">
        <v>72</v>
      </c>
      <c r="I8" s="2" t="s">
        <v>61</v>
      </c>
      <c r="J8" s="2" t="s">
        <v>73</v>
      </c>
      <c r="K8" s="2" t="s">
        <v>74</v>
      </c>
      <c r="L8" s="2" t="s">
        <v>32</v>
      </c>
      <c r="M8" s="2" t="s">
        <v>44</v>
      </c>
      <c r="N8" s="2" t="s">
        <v>65</v>
      </c>
      <c r="O8" s="2" t="s">
        <v>75</v>
      </c>
      <c r="P8" s="2" t="s">
        <v>36</v>
      </c>
      <c r="Q8" s="2" t="s">
        <v>75</v>
      </c>
      <c r="R8" s="2" t="s">
        <v>37</v>
      </c>
      <c r="S8" s="2" t="s">
        <v>114</v>
      </c>
      <c r="T8" s="2">
        <v>12.13</v>
      </c>
    </row>
    <row r="9" ht="14.25" customHeight="1">
      <c r="A9" s="2" t="s">
        <v>76</v>
      </c>
      <c r="B9" s="2" t="s">
        <v>77</v>
      </c>
      <c r="C9" s="2" t="s">
        <v>78</v>
      </c>
      <c r="D9" s="2" t="s">
        <v>79</v>
      </c>
      <c r="E9" s="2" t="s">
        <v>80</v>
      </c>
      <c r="F9" s="2" t="s">
        <v>49</v>
      </c>
      <c r="G9" s="2" t="s">
        <v>50</v>
      </c>
      <c r="H9" s="2" t="s">
        <v>72</v>
      </c>
      <c r="I9" s="2" t="s">
        <v>81</v>
      </c>
      <c r="J9" s="2" t="s">
        <v>30</v>
      </c>
      <c r="K9" s="2" t="s">
        <v>82</v>
      </c>
      <c r="L9" s="2" t="s">
        <v>32</v>
      </c>
      <c r="M9" s="2" t="s">
        <v>33</v>
      </c>
      <c r="N9" s="2" t="s">
        <v>83</v>
      </c>
      <c r="O9" s="2" t="s">
        <v>84</v>
      </c>
      <c r="P9" s="2" t="s">
        <v>36</v>
      </c>
      <c r="Q9" s="2" t="s">
        <v>84</v>
      </c>
      <c r="R9" s="2" t="s">
        <v>37</v>
      </c>
      <c r="S9" s="2" t="s">
        <v>114</v>
      </c>
      <c r="T9" s="2">
        <v>5.31</v>
      </c>
    </row>
    <row r="10" ht="14.25" customHeight="1">
      <c r="A10" s="2" t="s">
        <v>85</v>
      </c>
      <c r="B10" s="2" t="s">
        <v>86</v>
      </c>
      <c r="C10" s="2" t="s">
        <v>87</v>
      </c>
      <c r="D10" s="2" t="s">
        <v>88</v>
      </c>
      <c r="E10" s="2" t="s">
        <v>89</v>
      </c>
      <c r="F10" s="2" t="s">
        <v>26</v>
      </c>
      <c r="G10" s="2" t="s">
        <v>27</v>
      </c>
      <c r="H10" s="2" t="s">
        <v>90</v>
      </c>
      <c r="I10" s="2" t="s">
        <v>81</v>
      </c>
      <c r="J10" s="2" t="s">
        <v>91</v>
      </c>
      <c r="K10" s="2" t="s">
        <v>31</v>
      </c>
      <c r="L10" s="2" t="s">
        <v>32</v>
      </c>
      <c r="M10" s="2" t="s">
        <v>44</v>
      </c>
      <c r="N10" s="2" t="s">
        <v>53</v>
      </c>
      <c r="O10" s="2" t="s">
        <v>92</v>
      </c>
      <c r="P10" s="2" t="s">
        <v>36</v>
      </c>
      <c r="Q10" s="2" t="s">
        <v>92</v>
      </c>
      <c r="R10" s="2" t="s">
        <v>37</v>
      </c>
      <c r="S10" s="2" t="s">
        <v>113</v>
      </c>
      <c r="T10" s="2">
        <v>4.23</v>
      </c>
    </row>
    <row r="11" ht="14.25" customHeight="1">
      <c r="A11" s="2" t="s">
        <v>85</v>
      </c>
      <c r="B11" s="2" t="s">
        <v>86</v>
      </c>
      <c r="C11" s="2" t="s">
        <v>94</v>
      </c>
      <c r="D11" s="2" t="s">
        <v>95</v>
      </c>
      <c r="E11" s="2" t="s">
        <v>96</v>
      </c>
      <c r="F11" s="2" t="s">
        <v>26</v>
      </c>
      <c r="G11" s="2" t="s">
        <v>27</v>
      </c>
      <c r="H11" s="2" t="s">
        <v>90</v>
      </c>
      <c r="I11" s="2" t="s">
        <v>81</v>
      </c>
      <c r="J11" s="2" t="s">
        <v>52</v>
      </c>
      <c r="K11" s="2" t="s">
        <v>31</v>
      </c>
      <c r="L11" s="2" t="s">
        <v>32</v>
      </c>
      <c r="M11" s="2" t="s">
        <v>44</v>
      </c>
      <c r="N11" s="2" t="s">
        <v>53</v>
      </c>
      <c r="O11" s="2" t="s">
        <v>97</v>
      </c>
      <c r="P11" s="2" t="s">
        <v>36</v>
      </c>
      <c r="Q11" s="2" t="s">
        <v>97</v>
      </c>
      <c r="R11" s="2" t="s">
        <v>37</v>
      </c>
      <c r="S11" s="2" t="s">
        <v>113</v>
      </c>
      <c r="T11" s="2">
        <v>5.26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12</v>
      </c>
      <c r="I1" s="1" t="s">
        <v>115</v>
      </c>
    </row>
    <row r="2" ht="14.25" customHeight="1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116</v>
      </c>
      <c r="I2" s="2">
        <v>-30.19</v>
      </c>
    </row>
    <row r="3" ht="14.25" customHeight="1">
      <c r="A3" s="2" t="s">
        <v>40</v>
      </c>
      <c r="B3" s="2" t="s">
        <v>41</v>
      </c>
      <c r="C3" s="2" t="s">
        <v>42</v>
      </c>
      <c r="D3" s="2" t="s">
        <v>26</v>
      </c>
      <c r="E3" s="2" t="s">
        <v>27</v>
      </c>
      <c r="F3" s="2" t="s">
        <v>28</v>
      </c>
      <c r="G3" s="2" t="s">
        <v>43</v>
      </c>
      <c r="H3" s="2" t="s">
        <v>116</v>
      </c>
      <c r="I3" s="2">
        <v>-30.19</v>
      </c>
    </row>
    <row r="4" ht="14.25" customHeight="1">
      <c r="A4" s="2" t="s">
        <v>78</v>
      </c>
      <c r="B4" s="2" t="s">
        <v>79</v>
      </c>
      <c r="C4" s="2" t="s">
        <v>80</v>
      </c>
      <c r="D4" s="2" t="s">
        <v>49</v>
      </c>
      <c r="E4" s="2" t="s">
        <v>50</v>
      </c>
      <c r="F4" s="2" t="s">
        <v>72</v>
      </c>
      <c r="G4" s="2" t="s">
        <v>81</v>
      </c>
      <c r="H4" s="2" t="s">
        <v>116</v>
      </c>
      <c r="I4" s="2">
        <v>-13.98</v>
      </c>
    </row>
    <row r="5" ht="14.25" customHeight="1">
      <c r="A5" s="2" t="s">
        <v>87</v>
      </c>
      <c r="B5" s="2" t="s">
        <v>88</v>
      </c>
      <c r="C5" s="2" t="s">
        <v>89</v>
      </c>
      <c r="D5" s="2" t="s">
        <v>26</v>
      </c>
      <c r="E5" s="2" t="s">
        <v>27</v>
      </c>
      <c r="F5" s="2" t="s">
        <v>90</v>
      </c>
      <c r="G5" s="2" t="s">
        <v>81</v>
      </c>
      <c r="H5" s="2" t="s">
        <v>116</v>
      </c>
      <c r="I5" s="2">
        <v>-35.05</v>
      </c>
    </row>
    <row r="6" ht="14.25" customHeight="1">
      <c r="A6" s="2" t="s">
        <v>94</v>
      </c>
      <c r="B6" s="2" t="s">
        <v>95</v>
      </c>
      <c r="C6" s="2" t="s">
        <v>96</v>
      </c>
      <c r="D6" s="2" t="s">
        <v>26</v>
      </c>
      <c r="E6" s="2" t="s">
        <v>27</v>
      </c>
      <c r="F6" s="2" t="s">
        <v>90</v>
      </c>
      <c r="G6" s="2" t="s">
        <v>81</v>
      </c>
      <c r="H6" s="2" t="s">
        <v>116</v>
      </c>
      <c r="I6" s="2">
        <v>-43.58</v>
      </c>
    </row>
    <row r="7" ht="14.25" customHeight="1">
      <c r="A7" s="2" t="s">
        <v>46</v>
      </c>
      <c r="B7" s="2" t="s">
        <v>47</v>
      </c>
      <c r="C7" s="2" t="s">
        <v>48</v>
      </c>
      <c r="D7" s="2" t="s">
        <v>49</v>
      </c>
      <c r="E7" s="2" t="s">
        <v>50</v>
      </c>
      <c r="F7" s="2" t="s">
        <v>28</v>
      </c>
      <c r="G7" s="2" t="s">
        <v>51</v>
      </c>
      <c r="H7" s="2" t="s">
        <v>116</v>
      </c>
      <c r="I7" s="2">
        <v>-15.54</v>
      </c>
    </row>
    <row r="8" ht="14.25" customHeight="1">
      <c r="A8" s="2" t="s">
        <v>56</v>
      </c>
      <c r="B8" s="2" t="s">
        <v>47</v>
      </c>
      <c r="C8" s="2" t="s">
        <v>48</v>
      </c>
      <c r="D8" s="2" t="s">
        <v>26</v>
      </c>
      <c r="E8" s="2" t="s">
        <v>27</v>
      </c>
      <c r="F8" s="2" t="s">
        <v>28</v>
      </c>
      <c r="G8" s="2" t="s">
        <v>51</v>
      </c>
      <c r="H8" s="2" t="s">
        <v>116</v>
      </c>
      <c r="I8" s="2">
        <v>-27.32</v>
      </c>
    </row>
    <row r="9" ht="14.25" customHeight="1">
      <c r="A9" s="2" t="s">
        <v>69</v>
      </c>
      <c r="B9" s="2" t="s">
        <v>70</v>
      </c>
      <c r="C9" s="2" t="s">
        <v>71</v>
      </c>
      <c r="D9" s="2" t="s">
        <v>49</v>
      </c>
      <c r="E9" s="2" t="s">
        <v>50</v>
      </c>
      <c r="F9" s="2" t="s">
        <v>72</v>
      </c>
      <c r="G9" s="2" t="s">
        <v>61</v>
      </c>
      <c r="H9" s="2" t="s">
        <v>116</v>
      </c>
      <c r="I9" s="2">
        <v>-31.91</v>
      </c>
    </row>
    <row r="10" ht="14.25" customHeight="1">
      <c r="A10" s="2" t="s">
        <v>58</v>
      </c>
      <c r="B10" s="2" t="s">
        <v>59</v>
      </c>
      <c r="C10" s="2" t="s">
        <v>60</v>
      </c>
      <c r="D10" s="2" t="s">
        <v>26</v>
      </c>
      <c r="E10" s="2" t="s">
        <v>27</v>
      </c>
      <c r="F10" s="2" t="s">
        <v>28</v>
      </c>
      <c r="G10" s="2" t="s">
        <v>61</v>
      </c>
      <c r="H10" s="2" t="s">
        <v>116</v>
      </c>
      <c r="I10" s="2">
        <v>-30.19</v>
      </c>
    </row>
    <row r="11" ht="14.25" customHeight="1">
      <c r="A11" s="2" t="s">
        <v>62</v>
      </c>
      <c r="B11" s="2" t="s">
        <v>63</v>
      </c>
      <c r="C11" s="2" t="s">
        <v>64</v>
      </c>
      <c r="D11" s="2" t="s">
        <v>26</v>
      </c>
      <c r="E11" s="2" t="s">
        <v>27</v>
      </c>
      <c r="F11" s="2" t="s">
        <v>28</v>
      </c>
      <c r="G11" s="2" t="s">
        <v>61</v>
      </c>
      <c r="H11" s="2" t="s">
        <v>116</v>
      </c>
      <c r="I11" s="2">
        <v>-28.76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</v>
      </c>
      <c r="K1" s="1" t="s">
        <v>117</v>
      </c>
      <c r="L1" s="1" t="s">
        <v>17</v>
      </c>
      <c r="M1" s="1" t="s">
        <v>18</v>
      </c>
      <c r="N1" s="1" t="s">
        <v>118</v>
      </c>
      <c r="O1" s="1" t="s">
        <v>119</v>
      </c>
      <c r="P1" s="1" t="s">
        <v>120</v>
      </c>
    </row>
    <row r="2" ht="14.25" customHeight="1">
      <c r="A2" s="2" t="s">
        <v>21</v>
      </c>
      <c r="B2" s="2" t="s">
        <v>22</v>
      </c>
      <c r="C2" s="2" t="s">
        <v>46</v>
      </c>
      <c r="D2" s="2" t="s">
        <v>47</v>
      </c>
      <c r="E2" s="2" t="s">
        <v>48</v>
      </c>
      <c r="F2" s="2" t="s">
        <v>49</v>
      </c>
      <c r="G2" s="2" t="s">
        <v>50</v>
      </c>
      <c r="H2" s="2" t="s">
        <v>28</v>
      </c>
      <c r="I2" s="2" t="s">
        <v>51</v>
      </c>
      <c r="J2" s="2" t="s">
        <v>121</v>
      </c>
      <c r="K2" s="2" t="s">
        <v>54</v>
      </c>
      <c r="L2" s="2" t="s">
        <v>37</v>
      </c>
      <c r="M2" s="2" t="s">
        <v>55</v>
      </c>
      <c r="N2" s="2" t="s">
        <v>122</v>
      </c>
      <c r="O2" s="2">
        <v>139.86</v>
      </c>
      <c r="P2" s="2" t="s">
        <v>123</v>
      </c>
    </row>
    <row r="3" ht="14.25" customHeight="1">
      <c r="A3" s="2" t="s">
        <v>21</v>
      </c>
      <c r="B3" s="2" t="s">
        <v>22</v>
      </c>
      <c r="C3" s="2" t="s">
        <v>56</v>
      </c>
      <c r="D3" s="2" t="s">
        <v>47</v>
      </c>
      <c r="E3" s="2" t="s">
        <v>48</v>
      </c>
      <c r="F3" s="2" t="s">
        <v>26</v>
      </c>
      <c r="G3" s="2" t="s">
        <v>27</v>
      </c>
      <c r="H3" s="2" t="s">
        <v>28</v>
      </c>
      <c r="I3" s="2" t="s">
        <v>51</v>
      </c>
      <c r="J3" s="2" t="s">
        <v>121</v>
      </c>
      <c r="K3" s="2" t="s">
        <v>57</v>
      </c>
      <c r="L3" s="2" t="s">
        <v>37</v>
      </c>
      <c r="M3" s="2" t="s">
        <v>38</v>
      </c>
      <c r="N3" s="2" t="s">
        <v>124</v>
      </c>
      <c r="O3" s="2">
        <v>327.84</v>
      </c>
      <c r="P3" s="2" t="s">
        <v>123</v>
      </c>
    </row>
    <row r="4" ht="14.25" customHeight="1">
      <c r="A4" s="2" t="s">
        <v>85</v>
      </c>
      <c r="B4" s="2" t="s">
        <v>86</v>
      </c>
      <c r="C4" s="2" t="s">
        <v>94</v>
      </c>
      <c r="D4" s="2" t="s">
        <v>95</v>
      </c>
      <c r="E4" s="2" t="s">
        <v>96</v>
      </c>
      <c r="F4" s="2" t="s">
        <v>26</v>
      </c>
      <c r="G4" s="2" t="s">
        <v>27</v>
      </c>
      <c r="H4" s="2" t="s">
        <v>90</v>
      </c>
      <c r="I4" s="2" t="s">
        <v>81</v>
      </c>
      <c r="J4" s="2" t="s">
        <v>121</v>
      </c>
      <c r="K4" s="2" t="s">
        <v>97</v>
      </c>
      <c r="L4" s="2" t="s">
        <v>37</v>
      </c>
      <c r="M4" s="2" t="s">
        <v>93</v>
      </c>
      <c r="N4" s="2" t="s">
        <v>124</v>
      </c>
      <c r="O4" s="2">
        <v>522.96</v>
      </c>
      <c r="P4" s="2" t="s">
        <v>123</v>
      </c>
    </row>
    <row r="5" ht="14.25" customHeight="1">
      <c r="A5" s="2" t="s">
        <v>85</v>
      </c>
      <c r="B5" s="2" t="s">
        <v>86</v>
      </c>
      <c r="C5" s="2" t="s">
        <v>87</v>
      </c>
      <c r="D5" s="2" t="s">
        <v>88</v>
      </c>
      <c r="E5" s="2" t="s">
        <v>89</v>
      </c>
      <c r="F5" s="2" t="s">
        <v>26</v>
      </c>
      <c r="G5" s="2" t="s">
        <v>27</v>
      </c>
      <c r="H5" s="2" t="s">
        <v>90</v>
      </c>
      <c r="I5" s="2" t="s">
        <v>81</v>
      </c>
      <c r="J5" s="2" t="s">
        <v>121</v>
      </c>
      <c r="K5" s="2" t="s">
        <v>92</v>
      </c>
      <c r="L5" s="2" t="s">
        <v>37</v>
      </c>
      <c r="M5" s="2" t="s">
        <v>93</v>
      </c>
      <c r="N5" s="2" t="s">
        <v>124</v>
      </c>
      <c r="O5" s="2">
        <v>420.6</v>
      </c>
      <c r="P5" s="2" t="s">
        <v>123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2026-04-12T23:02:33Z</dcterms:created>
  <dc:creator>JB Infotech</dc:creator>
</cp:coreProperties>
</file>