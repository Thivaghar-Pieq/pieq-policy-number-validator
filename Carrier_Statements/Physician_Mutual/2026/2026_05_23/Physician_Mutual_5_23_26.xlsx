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Physician Mutual\2026\2026-05-23\"/>
    </mc:Choice>
  </mc:AlternateContent>
  <xr:revisionPtr revIDLastSave="0" documentId="13_ncr:1_{D561E1BE-39A4-4F21-B13D-D3950EAAA5C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5" l="1"/>
  <c r="D12" i="5"/>
  <c r="D13" i="5"/>
  <c r="D14" i="5"/>
  <c r="D15" i="5"/>
  <c r="D16" i="5"/>
  <c r="D17" i="5"/>
  <c r="D18" i="5"/>
  <c r="D10" i="5"/>
</calcChain>
</file>

<file path=xl/sharedStrings.xml><?xml version="1.0" encoding="utf-8"?>
<sst xmlns="http://schemas.openxmlformats.org/spreadsheetml/2006/main" count="779" uniqueCount="152">
  <si>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</si>
  <si>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</si>
  <si>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</si>
  <si>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</si>
  <si>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</si>
  <si>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</si>
  <si>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</si>
  <si>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</si>
  <si>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</si>
  <si>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</si>
  <si>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</si>
  <si>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</si>
  <si>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</si>
  <si>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</si>
  <si>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</si>
  <si>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</si>
  <si>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</si>
  <si>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</si>
  <si>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</si>
  <si>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</si>
  <si>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</si>
  <si>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</si>
  <si>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Inskipt Deborah null</t>
  </si>
  <si>
    <t>Green Danna null</t>
  </si>
  <si>
    <t xml:space="preserve">Dunavant Michael </t>
  </si>
  <si>
    <t>18710070</t>
  </si>
  <si>
    <t>17528908</t>
  </si>
  <si>
    <t>16849453</t>
  </si>
  <si>
    <t>18828278</t>
  </si>
  <si>
    <t>H711061009</t>
  </si>
  <si>
    <t>H711071682</t>
  </si>
  <si>
    <t>H750097916</t>
  </si>
  <si>
    <t>H750106253</t>
  </si>
  <si>
    <t>H750104463</t>
  </si>
  <si>
    <t>H750106098</t>
  </si>
  <si>
    <t>H750106328</t>
  </si>
  <si>
    <t>H711112932</t>
  </si>
  <si>
    <t>H711155050</t>
  </si>
  <si>
    <t>John</t>
  </si>
  <si>
    <t>Kathy</t>
  </si>
  <si>
    <t>Janet</t>
  </si>
  <si>
    <t>Cynthia</t>
  </si>
  <si>
    <t>Randi</t>
  </si>
  <si>
    <t>Barbara</t>
  </si>
  <si>
    <t>Richard</t>
  </si>
  <si>
    <t>Mark</t>
  </si>
  <si>
    <t>Robert</t>
  </si>
  <si>
    <t>Hanley</t>
  </si>
  <si>
    <t>Unis</t>
  </si>
  <si>
    <t>Goad</t>
  </si>
  <si>
    <t>Desjean</t>
  </si>
  <si>
    <t>Aufderheide</t>
  </si>
  <si>
    <t>Sizemore</t>
  </si>
  <si>
    <t>Bishop</t>
  </si>
  <si>
    <t>Carter</t>
  </si>
  <si>
    <t>Aaron</t>
  </si>
  <si>
    <t>C25400002</t>
  </si>
  <si>
    <t>S06600001</t>
  </si>
  <si>
    <t>S06500001</t>
  </si>
  <si>
    <t>P15400002</t>
  </si>
  <si>
    <t>Dental</t>
  </si>
  <si>
    <t>Medicare Supplement</t>
  </si>
  <si>
    <t>PA</t>
  </si>
  <si>
    <t>TX</t>
  </si>
  <si>
    <t>IN</t>
  </si>
  <si>
    <t>IL</t>
  </si>
  <si>
    <t>2026-05-22</t>
  </si>
  <si>
    <t>2026-05-20</t>
  </si>
  <si>
    <t>2026-05-21</t>
  </si>
  <si>
    <t>2026-05-18</t>
  </si>
  <si>
    <t>2026-05-19</t>
  </si>
  <si>
    <t>2026-07-01</t>
  </si>
  <si>
    <t>2026-06-22</t>
  </si>
  <si>
    <t>2026-06-19</t>
  </si>
  <si>
    <t>64</t>
  </si>
  <si>
    <t>66</t>
  </si>
  <si>
    <t>72</t>
  </si>
  <si>
    <t>75</t>
  </si>
  <si>
    <t>73</t>
  </si>
  <si>
    <t>74</t>
  </si>
  <si>
    <t>69</t>
  </si>
  <si>
    <t>76</t>
  </si>
  <si>
    <t>MONTHLY</t>
  </si>
  <si>
    <t>RCVP</t>
  </si>
  <si>
    <t>RCVP-R</t>
  </si>
  <si>
    <t>8</t>
  </si>
  <si>
    <t>7</t>
  </si>
  <si>
    <t>4</t>
  </si>
  <si>
    <t>1</t>
  </si>
  <si>
    <t>68.45</t>
  </si>
  <si>
    <t>56.50</t>
  </si>
  <si>
    <t>201.99</t>
  </si>
  <si>
    <t>235.80</t>
  </si>
  <si>
    <t>192.40</t>
  </si>
  <si>
    <t>206.11</t>
  </si>
  <si>
    <t>220.15</t>
  </si>
  <si>
    <t>67.98</t>
  </si>
  <si>
    <t>0.00</t>
  </si>
  <si>
    <t>208.72</t>
  </si>
  <si>
    <t>187.40</t>
  </si>
  <si>
    <t>100.00000</t>
  </si>
  <si>
    <t>0.00%</t>
  </si>
  <si>
    <t>25.00%</t>
  </si>
  <si>
    <t>19.10%</t>
  </si>
  <si>
    <t>23.20%</t>
  </si>
  <si>
    <t>N</t>
  </si>
  <si>
    <t>Y</t>
  </si>
  <si>
    <t>9.50%</t>
  </si>
  <si>
    <t>3.60%</t>
  </si>
  <si>
    <t>0.80%</t>
  </si>
  <si>
    <t>advancePaybackAmount</t>
  </si>
  <si>
    <t>H750076900</t>
  </si>
  <si>
    <t>Zaharoula</t>
  </si>
  <si>
    <t>Diamantakos</t>
  </si>
  <si>
    <t>APB-U</t>
  </si>
  <si>
    <t>APB-S</t>
  </si>
  <si>
    <t>advanceBasis</t>
  </si>
  <si>
    <t>monthsAdvanced</t>
  </si>
  <si>
    <t>paidAdvanceAmount</t>
  </si>
  <si>
    <t>description</t>
  </si>
  <si>
    <t>Main Line Benefits, LLC</t>
  </si>
  <si>
    <t>20411454</t>
  </si>
  <si>
    <t>ISS-A</t>
  </si>
  <si>
    <t>11</t>
  </si>
  <si>
    <t>12</t>
  </si>
  <si>
    <t>9</t>
  </si>
  <si>
    <t>T to Active</t>
  </si>
  <si>
    <t>Issue Advance Request</t>
  </si>
  <si>
    <t>Kathy Unis</t>
  </si>
  <si>
    <t>Janet M Goad</t>
  </si>
  <si>
    <t>Cynthia Desjean</t>
  </si>
  <si>
    <t>Randi Aufderheide</t>
  </si>
  <si>
    <t>Barbara Sizemore</t>
  </si>
  <si>
    <t>Richard Bishop</t>
  </si>
  <si>
    <t>Mark Carter</t>
  </si>
  <si>
    <t>Robert Aaron</t>
  </si>
  <si>
    <t>John Hanley</t>
  </si>
  <si>
    <t>Main Line Benefits</t>
  </si>
  <si>
    <t>Inskipt Deborah</t>
  </si>
  <si>
    <t>Green Danna</t>
  </si>
  <si>
    <t>17528908N</t>
  </si>
  <si>
    <t>Standard Dental</t>
  </si>
  <si>
    <t>Open Enrollment - TX</t>
  </si>
  <si>
    <t>Physician Mutual OVR</t>
  </si>
  <si>
    <t>AE</t>
  </si>
  <si>
    <t>AV</t>
  </si>
  <si>
    <t>RN</t>
  </si>
  <si>
    <t>Physician Mutual Medsupp IN</t>
  </si>
  <si>
    <t>NB</t>
  </si>
  <si>
    <t>16849453LAV9</t>
  </si>
  <si>
    <t>18828278AV9</t>
  </si>
  <si>
    <t>16849453AV9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</si>
</sst>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NumberFormat="1"/>
    <xf numFmtId="10" fontId="0" fillId="0" borderId="0" xfId="0" applyNumberFormat="1"/>
    <xf numFmtId="0" fontId="0" fillId="2" borderId="0" xfId="0" applyNumberFormat="1" applyFill="1"/>
    <xf numFmtId="10" fontId="0" fillId="2" borderId="0" xfId="0" applyNumberFormat="1" applyFill="1"/>
    <xf numFmtId="14" fontId="0" fillId="0" borderId="0" xfId="0" applyNumberFormat="1"/>
    <xf numFmtId="14" fontId="0" fillId="2" borderId="0" xfId="0" applyNumberFormat="1" applyFill="1"/>
    <xf numFmtId="0" fontId="1" fillId="0" borderId="1" xfId="0" applyFont="1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/>
    <xf numFmtId="14" fontId="0" fillId="3" borderId="0" xfId="0" applyNumberFormat="1" applyFill="1"/>
    <xf numFmtId="0" fontId="0" fillId="3" borderId="0" xfId="0" applyNumberFormat="1" applyFill="1"/>
    <xf numFmtId="10" fontId="0" fillId="3" borderId="0" xfId="0" applyNumberFormat="1" applyFill="1"/>
    <xf numFmtId="0" fontId="0" fillId="3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4" fontId="0" fillId="0" borderId="0" xfId="0" applyNumberFormat="1" applyFill="1"/>
    <xf numFmtId="0" fontId="0" fillId="0" borderId="0" xfId="0" applyNumberFormat="1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>
      <selection sqref="A1:XFD1048576"/>
    </sheetView>
  </sheetViews>
  <sheetFormatPr defaultRowHeight="15" x14ac:dyDescent="0.25"/>
  <cols>
    <col min="1" max="1" width="24.5703125" bestFit="1" customWidth="1"/>
    <col min="2" max="2" width="23.28515625" bestFit="1" customWidth="1"/>
    <col min="3" max="3" width="13.7109375" bestFit="1" customWidth="1"/>
    <col min="4" max="4" width="22.5703125" bestFit="1" customWidth="1"/>
    <col min="5" max="5" width="22.140625" bestFit="1" customWidth="1"/>
    <col min="6" max="6" width="10.28515625" bestFit="1" customWidth="1"/>
    <col min="7" max="7" width="20.85546875" bestFit="1" customWidth="1"/>
    <col min="8" max="8" width="5.42578125" bestFit="1" customWidth="1"/>
    <col min="9" max="9" width="15.140625" bestFit="1" customWidth="1"/>
    <col min="10" max="11" width="11.140625" bestFit="1" customWidth="1"/>
    <col min="12" max="12" width="9.7109375" bestFit="1" customWidth="1"/>
    <col min="13" max="13" width="15.28515625" bestFit="1" customWidth="1"/>
    <col min="14" max="14" width="13.28515625" bestFit="1" customWidth="1"/>
    <col min="15" max="15" width="17.42578125" bestFit="1" customWidth="1"/>
    <col min="16" max="16" width="32.5703125" bestFit="1" customWidth="1"/>
    <col min="17" max="17" width="17.5703125" bestFit="1" customWidth="1"/>
    <col min="18" max="18" width="15" bestFit="1" customWidth="1"/>
    <col min="19" max="19" width="15.7109375" bestFit="1" customWidth="1"/>
    <col min="20" max="20" width="19" bestFit="1" customWidth="1"/>
    <col min="21" max="21" width="1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25</v>
      </c>
      <c r="C2" t="s">
        <v>29</v>
      </c>
      <c r="D2" t="s">
        <v>38</v>
      </c>
      <c r="E2" t="s">
        <v>47</v>
      </c>
      <c r="F2" t="s">
        <v>56</v>
      </c>
      <c r="G2" t="s">
        <v>60</v>
      </c>
      <c r="H2" t="s">
        <v>62</v>
      </c>
      <c r="I2" t="s">
        <v>66</v>
      </c>
      <c r="J2" t="s">
        <v>71</v>
      </c>
      <c r="K2" t="s">
        <v>74</v>
      </c>
      <c r="L2" t="s">
        <v>82</v>
      </c>
      <c r="M2" t="s">
        <v>83</v>
      </c>
      <c r="N2" t="s">
        <v>85</v>
      </c>
      <c r="O2" t="s">
        <v>89</v>
      </c>
      <c r="P2" t="s">
        <v>97</v>
      </c>
      <c r="Q2" t="s">
        <v>89</v>
      </c>
      <c r="R2" t="s">
        <v>100</v>
      </c>
      <c r="S2" t="s">
        <v>101</v>
      </c>
      <c r="T2">
        <v>0</v>
      </c>
      <c r="U2" t="s">
        <v>105</v>
      </c>
    </row>
    <row r="3" spans="1:21" x14ac:dyDescent="0.25">
      <c r="A3" t="s">
        <v>22</v>
      </c>
      <c r="B3" t="s">
        <v>26</v>
      </c>
      <c r="C3" t="s">
        <v>30</v>
      </c>
      <c r="D3" t="s">
        <v>39</v>
      </c>
      <c r="E3" t="s">
        <v>48</v>
      </c>
      <c r="F3" t="s">
        <v>56</v>
      </c>
      <c r="G3" t="s">
        <v>60</v>
      </c>
      <c r="H3" t="s">
        <v>62</v>
      </c>
      <c r="I3" t="s">
        <v>66</v>
      </c>
      <c r="J3" t="s">
        <v>72</v>
      </c>
      <c r="K3" t="s">
        <v>75</v>
      </c>
      <c r="L3" t="s">
        <v>82</v>
      </c>
      <c r="M3" t="s">
        <v>83</v>
      </c>
      <c r="N3" t="s">
        <v>86</v>
      </c>
      <c r="O3" t="s">
        <v>90</v>
      </c>
      <c r="P3" t="s">
        <v>97</v>
      </c>
      <c r="Q3" t="s">
        <v>90</v>
      </c>
      <c r="R3" t="s">
        <v>100</v>
      </c>
      <c r="S3" t="s">
        <v>102</v>
      </c>
      <c r="T3">
        <v>14.13</v>
      </c>
      <c r="U3" t="s">
        <v>106</v>
      </c>
    </row>
    <row r="4" spans="1:21" x14ac:dyDescent="0.25">
      <c r="A4" t="s">
        <v>23</v>
      </c>
      <c r="B4" t="s">
        <v>27</v>
      </c>
      <c r="C4" t="s">
        <v>31</v>
      </c>
      <c r="D4" t="s">
        <v>40</v>
      </c>
      <c r="E4" t="s">
        <v>49</v>
      </c>
      <c r="F4" t="s">
        <v>57</v>
      </c>
      <c r="G4" t="s">
        <v>61</v>
      </c>
      <c r="H4" t="s">
        <v>63</v>
      </c>
      <c r="I4" t="s">
        <v>67</v>
      </c>
      <c r="J4" t="s">
        <v>71</v>
      </c>
      <c r="K4" t="s">
        <v>76</v>
      </c>
      <c r="L4" t="s">
        <v>82</v>
      </c>
      <c r="M4" t="s">
        <v>84</v>
      </c>
      <c r="N4" t="s">
        <v>87</v>
      </c>
      <c r="O4" t="s">
        <v>91</v>
      </c>
      <c r="P4" t="s">
        <v>97</v>
      </c>
      <c r="Q4" t="s">
        <v>91</v>
      </c>
      <c r="R4" t="s">
        <v>100</v>
      </c>
      <c r="S4" t="s">
        <v>103</v>
      </c>
      <c r="T4">
        <v>38.58</v>
      </c>
      <c r="U4" t="s">
        <v>106</v>
      </c>
    </row>
    <row r="5" spans="1:21" x14ac:dyDescent="0.25">
      <c r="A5" t="s">
        <v>23</v>
      </c>
      <c r="B5" t="s">
        <v>27</v>
      </c>
      <c r="C5" t="s">
        <v>32</v>
      </c>
      <c r="D5" t="s">
        <v>41</v>
      </c>
      <c r="E5" t="s">
        <v>50</v>
      </c>
      <c r="F5" t="s">
        <v>58</v>
      </c>
      <c r="G5" t="s">
        <v>61</v>
      </c>
      <c r="H5" t="s">
        <v>64</v>
      </c>
      <c r="I5" t="s">
        <v>68</v>
      </c>
      <c r="J5" t="s">
        <v>71</v>
      </c>
      <c r="K5" t="s">
        <v>77</v>
      </c>
      <c r="L5" t="s">
        <v>82</v>
      </c>
      <c r="M5" t="s">
        <v>84</v>
      </c>
      <c r="N5" t="s">
        <v>88</v>
      </c>
      <c r="O5" t="s">
        <v>92</v>
      </c>
      <c r="P5" t="s">
        <v>97</v>
      </c>
      <c r="Q5" t="s">
        <v>98</v>
      </c>
      <c r="R5" t="s">
        <v>100</v>
      </c>
      <c r="S5" t="s">
        <v>104</v>
      </c>
      <c r="T5">
        <v>48.42</v>
      </c>
      <c r="U5" t="s">
        <v>106</v>
      </c>
    </row>
    <row r="6" spans="1:21" x14ac:dyDescent="0.25">
      <c r="A6" t="s">
        <v>23</v>
      </c>
      <c r="B6" t="s">
        <v>27</v>
      </c>
      <c r="C6" t="s">
        <v>33</v>
      </c>
      <c r="D6" t="s">
        <v>42</v>
      </c>
      <c r="E6" t="s">
        <v>51</v>
      </c>
      <c r="F6" t="s">
        <v>57</v>
      </c>
      <c r="G6" t="s">
        <v>61</v>
      </c>
      <c r="H6" t="s">
        <v>64</v>
      </c>
      <c r="I6" t="s">
        <v>68</v>
      </c>
      <c r="J6" t="s">
        <v>71</v>
      </c>
      <c r="K6" t="s">
        <v>78</v>
      </c>
      <c r="L6" t="s">
        <v>82</v>
      </c>
      <c r="M6" t="s">
        <v>84</v>
      </c>
      <c r="N6" t="s">
        <v>88</v>
      </c>
      <c r="O6" t="s">
        <v>93</v>
      </c>
      <c r="P6" t="s">
        <v>97</v>
      </c>
      <c r="Q6" t="s">
        <v>99</v>
      </c>
      <c r="R6" t="s">
        <v>100</v>
      </c>
      <c r="S6" t="s">
        <v>104</v>
      </c>
      <c r="T6">
        <v>43.48</v>
      </c>
      <c r="U6" t="s">
        <v>105</v>
      </c>
    </row>
    <row r="7" spans="1:21" x14ac:dyDescent="0.25">
      <c r="A7" t="s">
        <v>23</v>
      </c>
      <c r="B7" t="s">
        <v>27</v>
      </c>
      <c r="C7" t="s">
        <v>34</v>
      </c>
      <c r="D7" t="s">
        <v>43</v>
      </c>
      <c r="E7" t="s">
        <v>52</v>
      </c>
      <c r="F7" t="s">
        <v>57</v>
      </c>
      <c r="G7" t="s">
        <v>61</v>
      </c>
      <c r="H7" t="s">
        <v>64</v>
      </c>
      <c r="I7" t="s">
        <v>68</v>
      </c>
      <c r="J7" t="s">
        <v>71</v>
      </c>
      <c r="K7" t="s">
        <v>79</v>
      </c>
      <c r="L7" t="s">
        <v>82</v>
      </c>
      <c r="M7" t="s">
        <v>84</v>
      </c>
      <c r="N7" t="s">
        <v>88</v>
      </c>
      <c r="O7" t="s">
        <v>94</v>
      </c>
      <c r="P7" t="s">
        <v>97</v>
      </c>
      <c r="Q7" t="s">
        <v>94</v>
      </c>
      <c r="R7" t="s">
        <v>100</v>
      </c>
      <c r="S7" t="s">
        <v>104</v>
      </c>
      <c r="T7">
        <v>47.82</v>
      </c>
      <c r="U7" t="s">
        <v>106</v>
      </c>
    </row>
    <row r="8" spans="1:21" x14ac:dyDescent="0.25">
      <c r="A8" t="s">
        <v>23</v>
      </c>
      <c r="B8" t="s">
        <v>27</v>
      </c>
      <c r="C8" t="s">
        <v>35</v>
      </c>
      <c r="D8" t="s">
        <v>44</v>
      </c>
      <c r="E8" t="s">
        <v>53</v>
      </c>
      <c r="F8" t="s">
        <v>57</v>
      </c>
      <c r="G8" t="s">
        <v>61</v>
      </c>
      <c r="H8" t="s">
        <v>64</v>
      </c>
      <c r="I8" t="s">
        <v>66</v>
      </c>
      <c r="J8" t="s">
        <v>71</v>
      </c>
      <c r="K8" t="s">
        <v>77</v>
      </c>
      <c r="L8" t="s">
        <v>82</v>
      </c>
      <c r="M8" t="s">
        <v>84</v>
      </c>
      <c r="N8" t="s">
        <v>88</v>
      </c>
      <c r="O8" t="s">
        <v>95</v>
      </c>
      <c r="P8" t="s">
        <v>97</v>
      </c>
      <c r="Q8" t="s">
        <v>95</v>
      </c>
      <c r="R8" t="s">
        <v>100</v>
      </c>
      <c r="S8" t="s">
        <v>104</v>
      </c>
      <c r="T8">
        <v>51.07</v>
      </c>
      <c r="U8" t="s">
        <v>106</v>
      </c>
    </row>
    <row r="9" spans="1:21" x14ac:dyDescent="0.25">
      <c r="A9" t="s">
        <v>24</v>
      </c>
      <c r="B9" t="s">
        <v>28</v>
      </c>
      <c r="C9" t="s">
        <v>36</v>
      </c>
      <c r="D9" t="s">
        <v>45</v>
      </c>
      <c r="E9" t="s">
        <v>54</v>
      </c>
      <c r="F9" t="s">
        <v>59</v>
      </c>
      <c r="G9" t="s">
        <v>60</v>
      </c>
      <c r="H9" t="s">
        <v>65</v>
      </c>
      <c r="I9" t="s">
        <v>69</v>
      </c>
      <c r="J9" t="s">
        <v>73</v>
      </c>
      <c r="K9" t="s">
        <v>80</v>
      </c>
      <c r="L9" t="s">
        <v>82</v>
      </c>
      <c r="M9" t="s">
        <v>83</v>
      </c>
      <c r="N9" t="s">
        <v>87</v>
      </c>
      <c r="O9" t="s">
        <v>90</v>
      </c>
      <c r="P9" t="s">
        <v>97</v>
      </c>
      <c r="Q9" t="s">
        <v>90</v>
      </c>
      <c r="R9" t="s">
        <v>100</v>
      </c>
      <c r="S9" t="s">
        <v>102</v>
      </c>
      <c r="T9">
        <v>14.13</v>
      </c>
      <c r="U9" t="s">
        <v>106</v>
      </c>
    </row>
    <row r="10" spans="1:21" x14ac:dyDescent="0.25">
      <c r="A10" t="s">
        <v>24</v>
      </c>
      <c r="B10" t="s">
        <v>28</v>
      </c>
      <c r="C10" t="s">
        <v>37</v>
      </c>
      <c r="D10" t="s">
        <v>46</v>
      </c>
      <c r="E10" t="s">
        <v>55</v>
      </c>
      <c r="F10" t="s">
        <v>59</v>
      </c>
      <c r="G10" t="s">
        <v>60</v>
      </c>
      <c r="H10" t="s">
        <v>65</v>
      </c>
      <c r="I10" t="s">
        <v>70</v>
      </c>
      <c r="J10" t="s">
        <v>71</v>
      </c>
      <c r="K10" t="s">
        <v>81</v>
      </c>
      <c r="L10" t="s">
        <v>82</v>
      </c>
      <c r="M10" t="s">
        <v>83</v>
      </c>
      <c r="N10" t="s">
        <v>88</v>
      </c>
      <c r="O10" t="s">
        <v>96</v>
      </c>
      <c r="P10" t="s">
        <v>97</v>
      </c>
      <c r="Q10" t="s">
        <v>96</v>
      </c>
      <c r="R10" t="s">
        <v>100</v>
      </c>
      <c r="S10" t="s">
        <v>102</v>
      </c>
      <c r="T10">
        <v>17</v>
      </c>
      <c r="U10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3BB44-4F27-41F8-8C75-B90B618C7B31}">
  <dimension ref="A1:T18"/>
  <sheetViews>
    <sheetView tabSelected="1" topLeftCell="B1" workbookViewId="0">
      <selection activeCell="N2" sqref="N2:N18"/>
    </sheetView>
  </sheetViews>
  <sheetFormatPr defaultRowHeight="15" x14ac:dyDescent="0.25"/>
  <cols>
    <col min="1" max="1" width="19.28515625" customWidth="1"/>
    <col min="2" max="2" width="23.28515625" style="11" bestFit="1" customWidth="1"/>
    <col min="3" max="3" width="13.7109375" bestFit="1" customWidth="1"/>
    <col min="4" max="4" width="13.7109375" customWidth="1"/>
    <col min="5" max="5" width="9.7109375" customWidth="1"/>
    <col min="6" max="7" width="12.28515625" customWidth="1"/>
    <col min="8" max="8" width="20.85546875" bestFit="1" customWidth="1"/>
    <col min="9" max="9" width="20.85546875" customWidth="1"/>
    <col min="10" max="10" width="10.140625" customWidth="1"/>
    <col min="11" max="11" width="9.28515625" customWidth="1"/>
    <col min="12" max="12" width="5.42578125" bestFit="1" customWidth="1"/>
    <col min="13" max="13" width="15.140625" bestFit="1" customWidth="1"/>
    <col min="14" max="14" width="11.140625" bestFit="1" customWidth="1"/>
    <col min="15" max="15" width="9.7109375" bestFit="1" customWidth="1"/>
    <col min="16" max="16" width="7.7109375" customWidth="1"/>
    <col min="17" max="17" width="17.5703125" bestFit="1" customWidth="1"/>
    <col min="18" max="18" width="15.7109375" bestFit="1" customWidth="1"/>
    <col min="19" max="19" width="19" bestFit="1" customWidth="1"/>
    <col min="20" max="20" width="19.28515625" bestFit="1" customWidth="1"/>
  </cols>
  <sheetData>
    <row r="1" spans="1:20" x14ac:dyDescent="0.25">
      <c r="A1" s="1" t="s">
        <v>0</v>
      </c>
      <c r="B1" s="9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6</v>
      </c>
      <c r="I1" s="1"/>
      <c r="J1" s="1"/>
      <c r="K1" s="1"/>
      <c r="L1" s="1" t="s">
        <v>7</v>
      </c>
      <c r="M1" s="1" t="s">
        <v>8</v>
      </c>
      <c r="N1" s="1" t="s">
        <v>9</v>
      </c>
      <c r="O1" s="1" t="s">
        <v>11</v>
      </c>
      <c r="P1" s="1" t="s">
        <v>13</v>
      </c>
      <c r="Q1" s="1" t="s">
        <v>16</v>
      </c>
      <c r="R1" s="1" t="s">
        <v>18</v>
      </c>
      <c r="S1" s="1" t="s">
        <v>19</v>
      </c>
      <c r="T1" s="1" t="s">
        <v>20</v>
      </c>
    </row>
    <row r="2" spans="1:20" x14ac:dyDescent="0.25">
      <c r="A2" t="s">
        <v>138</v>
      </c>
      <c r="B2" s="11" t="s">
        <v>140</v>
      </c>
      <c r="C2" t="s">
        <v>30</v>
      </c>
      <c r="D2" t="s">
        <v>30</v>
      </c>
      <c r="E2" t="s">
        <v>39</v>
      </c>
      <c r="F2" t="s">
        <v>48</v>
      </c>
      <c r="G2" t="s">
        <v>128</v>
      </c>
      <c r="H2" t="s">
        <v>60</v>
      </c>
      <c r="I2" t="s">
        <v>141</v>
      </c>
      <c r="J2" t="s">
        <v>146</v>
      </c>
      <c r="K2" t="s">
        <v>144</v>
      </c>
      <c r="L2" t="s">
        <v>62</v>
      </c>
      <c r="M2" s="7">
        <v>45983</v>
      </c>
      <c r="N2" s="7">
        <v>46195</v>
      </c>
      <c r="O2" t="s">
        <v>82</v>
      </c>
      <c r="P2" s="3">
        <v>7</v>
      </c>
      <c r="Q2" s="3">
        <v>56.5</v>
      </c>
      <c r="R2" s="4">
        <v>0.25</v>
      </c>
      <c r="S2">
        <v>14.13</v>
      </c>
      <c r="T2" t="s">
        <v>106</v>
      </c>
    </row>
    <row r="3" spans="1:20" x14ac:dyDescent="0.25">
      <c r="A3" t="s">
        <v>139</v>
      </c>
      <c r="B3" s="11" t="s">
        <v>149</v>
      </c>
      <c r="C3" t="s">
        <v>31</v>
      </c>
      <c r="D3" t="s">
        <v>31</v>
      </c>
      <c r="E3" t="s">
        <v>40</v>
      </c>
      <c r="F3" t="s">
        <v>49</v>
      </c>
      <c r="G3" t="s">
        <v>129</v>
      </c>
      <c r="H3" t="s">
        <v>61</v>
      </c>
      <c r="I3" t="s">
        <v>142</v>
      </c>
      <c r="J3" t="s">
        <v>146</v>
      </c>
      <c r="K3" t="s">
        <v>145</v>
      </c>
      <c r="L3" t="s">
        <v>63</v>
      </c>
      <c r="M3" s="7">
        <v>46082</v>
      </c>
      <c r="N3" s="7">
        <v>46204</v>
      </c>
      <c r="O3" t="s">
        <v>82</v>
      </c>
      <c r="P3" s="3">
        <v>4</v>
      </c>
      <c r="Q3" s="3">
        <v>201.99</v>
      </c>
      <c r="R3" s="4">
        <v>0.191</v>
      </c>
      <c r="S3">
        <v>38.58</v>
      </c>
      <c r="T3" t="s">
        <v>106</v>
      </c>
    </row>
    <row r="4" spans="1:20" s="12" customFormat="1" x14ac:dyDescent="0.25">
      <c r="A4" s="12" t="s">
        <v>139</v>
      </c>
      <c r="B4" s="16" t="s">
        <v>151</v>
      </c>
      <c r="C4" s="12" t="s">
        <v>32</v>
      </c>
      <c r="D4" s="12" t="s">
        <v>32</v>
      </c>
      <c r="E4" s="12" t="s">
        <v>41</v>
      </c>
      <c r="F4" s="12" t="s">
        <v>50</v>
      </c>
      <c r="G4" s="12" t="s">
        <v>130</v>
      </c>
      <c r="H4" s="12" t="s">
        <v>61</v>
      </c>
      <c r="I4" s="12" t="s">
        <v>147</v>
      </c>
      <c r="J4" s="12" t="s">
        <v>148</v>
      </c>
      <c r="K4" s="12" t="s">
        <v>145</v>
      </c>
      <c r="L4" s="12" t="s">
        <v>64</v>
      </c>
      <c r="M4" s="13">
        <v>46174</v>
      </c>
      <c r="N4" s="13">
        <v>46447</v>
      </c>
      <c r="O4" s="12" t="s">
        <v>82</v>
      </c>
      <c r="P4" s="14">
        <v>1</v>
      </c>
      <c r="Q4" s="14">
        <v>208.72</v>
      </c>
      <c r="R4" s="15">
        <v>0.23200000000000001</v>
      </c>
      <c r="S4" s="12">
        <v>48.42</v>
      </c>
      <c r="T4" s="12" t="s">
        <v>106</v>
      </c>
    </row>
    <row r="5" spans="1:20" s="12" customFormat="1" x14ac:dyDescent="0.25">
      <c r="A5" s="12" t="s">
        <v>139</v>
      </c>
      <c r="B5" s="16" t="s">
        <v>151</v>
      </c>
      <c r="C5" s="12" t="s">
        <v>33</v>
      </c>
      <c r="D5" s="12" t="s">
        <v>33</v>
      </c>
      <c r="E5" s="12" t="s">
        <v>42</v>
      </c>
      <c r="F5" s="12" t="s">
        <v>51</v>
      </c>
      <c r="G5" s="12" t="s">
        <v>131</v>
      </c>
      <c r="H5" s="12" t="s">
        <v>61</v>
      </c>
      <c r="I5" s="12" t="s">
        <v>147</v>
      </c>
      <c r="J5" s="12" t="s">
        <v>148</v>
      </c>
      <c r="K5" s="12" t="s">
        <v>145</v>
      </c>
      <c r="L5" s="12" t="s">
        <v>64</v>
      </c>
      <c r="M5" s="13">
        <v>46174</v>
      </c>
      <c r="N5" s="13">
        <v>46447</v>
      </c>
      <c r="O5" s="12" t="s">
        <v>82</v>
      </c>
      <c r="P5" s="14">
        <v>1</v>
      </c>
      <c r="Q5" s="14">
        <v>187.4</v>
      </c>
      <c r="R5" s="15">
        <v>0.23200000000000001</v>
      </c>
      <c r="S5" s="12">
        <v>43.48</v>
      </c>
      <c r="T5" s="12" t="s">
        <v>105</v>
      </c>
    </row>
    <row r="6" spans="1:20" s="12" customFormat="1" x14ac:dyDescent="0.25">
      <c r="A6" s="12" t="s">
        <v>139</v>
      </c>
      <c r="B6" s="16" t="s">
        <v>151</v>
      </c>
      <c r="C6" s="12" t="s">
        <v>34</v>
      </c>
      <c r="D6" s="12" t="s">
        <v>34</v>
      </c>
      <c r="E6" s="12" t="s">
        <v>43</v>
      </c>
      <c r="F6" s="12" t="s">
        <v>52</v>
      </c>
      <c r="G6" s="12" t="s">
        <v>132</v>
      </c>
      <c r="H6" s="12" t="s">
        <v>61</v>
      </c>
      <c r="I6" s="12" t="s">
        <v>147</v>
      </c>
      <c r="J6" s="12" t="s">
        <v>148</v>
      </c>
      <c r="K6" s="12" t="s">
        <v>145</v>
      </c>
      <c r="L6" s="12" t="s">
        <v>64</v>
      </c>
      <c r="M6" s="13">
        <v>46174</v>
      </c>
      <c r="N6" s="13">
        <v>46447</v>
      </c>
      <c r="O6" s="12" t="s">
        <v>82</v>
      </c>
      <c r="P6" s="14">
        <v>1</v>
      </c>
      <c r="Q6" s="14">
        <v>206.11</v>
      </c>
      <c r="R6" s="15">
        <v>0.23200000000000001</v>
      </c>
      <c r="S6" s="12">
        <v>47.82</v>
      </c>
      <c r="T6" s="12" t="s">
        <v>106</v>
      </c>
    </row>
    <row r="7" spans="1:20" s="12" customFormat="1" x14ac:dyDescent="0.25">
      <c r="A7" s="12" t="s">
        <v>139</v>
      </c>
      <c r="B7" s="16" t="s">
        <v>151</v>
      </c>
      <c r="C7" s="12" t="s">
        <v>35</v>
      </c>
      <c r="D7" s="12" t="s">
        <v>35</v>
      </c>
      <c r="E7" s="12" t="s">
        <v>44</v>
      </c>
      <c r="F7" s="12" t="s">
        <v>53</v>
      </c>
      <c r="G7" s="12" t="s">
        <v>133</v>
      </c>
      <c r="H7" s="12" t="s">
        <v>61</v>
      </c>
      <c r="I7" s="12" t="s">
        <v>147</v>
      </c>
      <c r="J7" s="12" t="s">
        <v>148</v>
      </c>
      <c r="K7" s="12" t="s">
        <v>145</v>
      </c>
      <c r="L7" s="12" t="s">
        <v>64</v>
      </c>
      <c r="M7" s="13">
        <v>46174</v>
      </c>
      <c r="N7" s="13">
        <v>46447</v>
      </c>
      <c r="O7" s="12" t="s">
        <v>82</v>
      </c>
      <c r="P7" s="14">
        <v>1</v>
      </c>
      <c r="Q7" s="14">
        <v>220.15</v>
      </c>
      <c r="R7" s="15">
        <v>0.23200000000000001</v>
      </c>
      <c r="S7" s="12">
        <v>51.07</v>
      </c>
      <c r="T7" s="12" t="s">
        <v>106</v>
      </c>
    </row>
    <row r="8" spans="1:20" s="17" customFormat="1" x14ac:dyDescent="0.25">
      <c r="A8" s="17" t="s">
        <v>24</v>
      </c>
      <c r="B8" s="18" t="s">
        <v>150</v>
      </c>
      <c r="C8" s="17" t="s">
        <v>36</v>
      </c>
      <c r="D8" s="17" t="s">
        <v>36</v>
      </c>
      <c r="E8" s="17" t="s">
        <v>45</v>
      </c>
      <c r="F8" s="17" t="s">
        <v>54</v>
      </c>
      <c r="G8" s="17" t="s">
        <v>134</v>
      </c>
      <c r="H8" s="17" t="s">
        <v>60</v>
      </c>
      <c r="I8" s="17" t="s">
        <v>141</v>
      </c>
      <c r="J8" s="17" t="s">
        <v>146</v>
      </c>
      <c r="K8" s="17" t="s">
        <v>145</v>
      </c>
      <c r="L8" s="17" t="s">
        <v>65</v>
      </c>
      <c r="M8" s="19">
        <v>46072</v>
      </c>
      <c r="N8" s="19">
        <v>46192</v>
      </c>
      <c r="O8" s="17" t="s">
        <v>82</v>
      </c>
      <c r="P8" s="20">
        <v>4</v>
      </c>
      <c r="Q8" s="20">
        <v>56.5</v>
      </c>
      <c r="R8" s="21">
        <v>0.25</v>
      </c>
      <c r="S8" s="17">
        <v>14.13</v>
      </c>
      <c r="T8" s="17" t="s">
        <v>106</v>
      </c>
    </row>
    <row r="9" spans="1:20" s="12" customFormat="1" x14ac:dyDescent="0.25">
      <c r="A9" s="12" t="s">
        <v>24</v>
      </c>
      <c r="B9" s="16" t="s">
        <v>150</v>
      </c>
      <c r="C9" s="12" t="s">
        <v>37</v>
      </c>
      <c r="D9" s="12" t="s">
        <v>37</v>
      </c>
      <c r="E9" s="12" t="s">
        <v>46</v>
      </c>
      <c r="F9" s="12" t="s">
        <v>55</v>
      </c>
      <c r="G9" s="12" t="s">
        <v>135</v>
      </c>
      <c r="H9" s="12" t="s">
        <v>60</v>
      </c>
      <c r="I9" s="12" t="s">
        <v>141</v>
      </c>
      <c r="J9" s="12" t="s">
        <v>148</v>
      </c>
      <c r="K9" s="12" t="s">
        <v>145</v>
      </c>
      <c r="L9" s="12" t="s">
        <v>65</v>
      </c>
      <c r="M9" s="13">
        <v>46174</v>
      </c>
      <c r="N9" s="13">
        <v>46447</v>
      </c>
      <c r="O9" s="12" t="s">
        <v>82</v>
      </c>
      <c r="P9" s="14">
        <v>1</v>
      </c>
      <c r="Q9" s="14">
        <v>67.98</v>
      </c>
      <c r="R9" s="15">
        <v>0.25</v>
      </c>
      <c r="S9" s="12">
        <v>17</v>
      </c>
      <c r="T9" s="12" t="s">
        <v>106</v>
      </c>
    </row>
    <row r="10" spans="1:20" s="2" customFormat="1" x14ac:dyDescent="0.25">
      <c r="A10" s="2" t="s">
        <v>137</v>
      </c>
      <c r="B10" s="10">
        <v>20411454</v>
      </c>
      <c r="C10" s="2" t="s">
        <v>29</v>
      </c>
      <c r="D10" s="2" t="str">
        <f>CONCATENATE(C10,"OVR")</f>
        <v>H711061009OVR</v>
      </c>
      <c r="E10" s="2" t="s">
        <v>38</v>
      </c>
      <c r="F10" s="2" t="s">
        <v>47</v>
      </c>
      <c r="G10" s="2" t="s">
        <v>136</v>
      </c>
      <c r="H10" s="2" t="s">
        <v>60</v>
      </c>
      <c r="I10" s="2" t="s">
        <v>143</v>
      </c>
      <c r="J10" s="2" t="s">
        <v>146</v>
      </c>
      <c r="K10" s="2" t="s">
        <v>144</v>
      </c>
      <c r="L10" s="2" t="s">
        <v>62</v>
      </c>
      <c r="M10" s="8">
        <v>45962</v>
      </c>
      <c r="N10" s="8">
        <v>46204</v>
      </c>
      <c r="O10" s="2" t="s">
        <v>82</v>
      </c>
      <c r="P10" s="5">
        <v>8</v>
      </c>
      <c r="Q10" s="2">
        <v>6.5</v>
      </c>
      <c r="R10" s="6">
        <v>9.5000000000000001E-2</v>
      </c>
      <c r="S10" s="2">
        <v>6.5</v>
      </c>
    </row>
    <row r="11" spans="1:20" s="2" customFormat="1" x14ac:dyDescent="0.25">
      <c r="A11" s="2" t="s">
        <v>137</v>
      </c>
      <c r="B11" s="10">
        <v>20411454</v>
      </c>
      <c r="C11" s="2" t="s">
        <v>30</v>
      </c>
      <c r="D11" s="2" t="str">
        <f t="shared" ref="D11:D18" si="0">CONCATENATE(C11,"OVR")</f>
        <v>H711071682OVR</v>
      </c>
      <c r="E11" s="2" t="s">
        <v>39</v>
      </c>
      <c r="F11" s="2" t="s">
        <v>48</v>
      </c>
      <c r="G11" s="2" t="s">
        <v>128</v>
      </c>
      <c r="H11" s="2" t="s">
        <v>60</v>
      </c>
      <c r="I11" s="2" t="s">
        <v>143</v>
      </c>
      <c r="J11" s="2" t="s">
        <v>146</v>
      </c>
      <c r="K11" s="2" t="s">
        <v>144</v>
      </c>
      <c r="L11" s="2" t="s">
        <v>62</v>
      </c>
      <c r="M11" s="8">
        <v>45983</v>
      </c>
      <c r="N11" s="8">
        <v>46195</v>
      </c>
      <c r="O11" s="2" t="s">
        <v>82</v>
      </c>
      <c r="P11" s="5">
        <v>7</v>
      </c>
      <c r="Q11" s="2">
        <v>5.37</v>
      </c>
      <c r="R11" s="6">
        <v>9.5000000000000001E-2</v>
      </c>
      <c r="S11" s="2">
        <v>5.37</v>
      </c>
    </row>
    <row r="12" spans="1:20" s="2" customFormat="1" x14ac:dyDescent="0.25">
      <c r="A12" s="2" t="s">
        <v>137</v>
      </c>
      <c r="B12" s="10">
        <v>20411454</v>
      </c>
      <c r="C12" s="2" t="s">
        <v>31</v>
      </c>
      <c r="D12" s="2" t="str">
        <f t="shared" si="0"/>
        <v>H750097916OVR</v>
      </c>
      <c r="E12" s="2" t="s">
        <v>40</v>
      </c>
      <c r="F12" s="2" t="s">
        <v>49</v>
      </c>
      <c r="G12" s="2" t="s">
        <v>129</v>
      </c>
      <c r="H12" s="2" t="s">
        <v>61</v>
      </c>
      <c r="I12" s="2" t="s">
        <v>143</v>
      </c>
      <c r="J12" s="2" t="s">
        <v>146</v>
      </c>
      <c r="K12" s="2" t="s">
        <v>144</v>
      </c>
      <c r="L12" s="2" t="s">
        <v>63</v>
      </c>
      <c r="M12" s="8">
        <v>46082</v>
      </c>
      <c r="N12" s="8">
        <v>46204</v>
      </c>
      <c r="O12" s="2" t="s">
        <v>82</v>
      </c>
      <c r="P12" s="5">
        <v>4</v>
      </c>
      <c r="Q12" s="2">
        <v>7.27</v>
      </c>
      <c r="R12" s="6">
        <v>3.5999999999999997E-2</v>
      </c>
      <c r="S12" s="2">
        <v>7.27</v>
      </c>
    </row>
    <row r="13" spans="1:20" s="2" customFormat="1" x14ac:dyDescent="0.25">
      <c r="A13" s="2" t="s">
        <v>137</v>
      </c>
      <c r="B13" s="10">
        <v>20411454</v>
      </c>
      <c r="C13" s="2" t="s">
        <v>32</v>
      </c>
      <c r="D13" s="2" t="str">
        <f t="shared" si="0"/>
        <v>H750106253OVR</v>
      </c>
      <c r="E13" s="2" t="s">
        <v>41</v>
      </c>
      <c r="F13" s="2" t="s">
        <v>50</v>
      </c>
      <c r="G13" s="2" t="s">
        <v>130</v>
      </c>
      <c r="H13" s="2" t="s">
        <v>61</v>
      </c>
      <c r="I13" s="2" t="s">
        <v>143</v>
      </c>
      <c r="J13" s="2" t="s">
        <v>146</v>
      </c>
      <c r="K13" s="2" t="s">
        <v>144</v>
      </c>
      <c r="L13" s="2" t="s">
        <v>64</v>
      </c>
      <c r="M13" s="8">
        <v>46174</v>
      </c>
      <c r="N13" s="8">
        <v>46204</v>
      </c>
      <c r="O13" s="2" t="s">
        <v>82</v>
      </c>
      <c r="P13" s="5">
        <v>1</v>
      </c>
      <c r="Q13" s="2">
        <v>1.67</v>
      </c>
      <c r="R13" s="6">
        <v>8.0000000000000002E-3</v>
      </c>
      <c r="S13" s="2">
        <v>1.67</v>
      </c>
    </row>
    <row r="14" spans="1:20" s="2" customFormat="1" x14ac:dyDescent="0.25">
      <c r="A14" s="2" t="s">
        <v>137</v>
      </c>
      <c r="B14" s="10">
        <v>20411454</v>
      </c>
      <c r="C14" s="2" t="s">
        <v>33</v>
      </c>
      <c r="D14" s="2" t="str">
        <f t="shared" si="0"/>
        <v>H750104463OVR</v>
      </c>
      <c r="E14" s="2" t="s">
        <v>42</v>
      </c>
      <c r="F14" s="2" t="s">
        <v>51</v>
      </c>
      <c r="G14" s="2" t="s">
        <v>131</v>
      </c>
      <c r="H14" s="2" t="s">
        <v>61</v>
      </c>
      <c r="I14" s="2" t="s">
        <v>143</v>
      </c>
      <c r="J14" s="2" t="s">
        <v>146</v>
      </c>
      <c r="K14" s="2" t="s">
        <v>144</v>
      </c>
      <c r="L14" s="2" t="s">
        <v>64</v>
      </c>
      <c r="M14" s="8">
        <v>46174</v>
      </c>
      <c r="N14" s="8">
        <v>46204</v>
      </c>
      <c r="O14" s="2" t="s">
        <v>82</v>
      </c>
      <c r="P14" s="5">
        <v>1</v>
      </c>
      <c r="Q14" s="2">
        <v>1.5</v>
      </c>
      <c r="R14" s="6">
        <v>8.0000000000000002E-3</v>
      </c>
      <c r="S14" s="2">
        <v>1.5</v>
      </c>
    </row>
    <row r="15" spans="1:20" s="2" customFormat="1" x14ac:dyDescent="0.25">
      <c r="A15" s="2" t="s">
        <v>137</v>
      </c>
      <c r="B15" s="10">
        <v>20411454</v>
      </c>
      <c r="C15" s="2" t="s">
        <v>34</v>
      </c>
      <c r="D15" s="2" t="str">
        <f t="shared" si="0"/>
        <v>H750106098OVR</v>
      </c>
      <c r="E15" s="2" t="s">
        <v>43</v>
      </c>
      <c r="F15" s="2" t="s">
        <v>52</v>
      </c>
      <c r="G15" s="2" t="s">
        <v>132</v>
      </c>
      <c r="H15" s="2" t="s">
        <v>61</v>
      </c>
      <c r="I15" s="2" t="s">
        <v>143</v>
      </c>
      <c r="J15" s="2" t="s">
        <v>146</v>
      </c>
      <c r="K15" s="2" t="s">
        <v>144</v>
      </c>
      <c r="L15" s="2" t="s">
        <v>64</v>
      </c>
      <c r="M15" s="8">
        <v>46174</v>
      </c>
      <c r="N15" s="8">
        <v>46204</v>
      </c>
      <c r="O15" s="2" t="s">
        <v>82</v>
      </c>
      <c r="P15" s="5">
        <v>1</v>
      </c>
      <c r="Q15" s="2">
        <v>1.65</v>
      </c>
      <c r="R15" s="6">
        <v>8.0000000000000002E-3</v>
      </c>
      <c r="S15" s="2">
        <v>1.65</v>
      </c>
    </row>
    <row r="16" spans="1:20" s="2" customFormat="1" x14ac:dyDescent="0.25">
      <c r="A16" s="2" t="s">
        <v>137</v>
      </c>
      <c r="B16" s="10">
        <v>20411454</v>
      </c>
      <c r="C16" s="2" t="s">
        <v>35</v>
      </c>
      <c r="D16" s="2" t="str">
        <f t="shared" si="0"/>
        <v>H750106328OVR</v>
      </c>
      <c r="E16" s="2" t="s">
        <v>44</v>
      </c>
      <c r="F16" s="2" t="s">
        <v>53</v>
      </c>
      <c r="G16" s="2" t="s">
        <v>133</v>
      </c>
      <c r="H16" s="2" t="s">
        <v>61</v>
      </c>
      <c r="I16" s="2" t="s">
        <v>143</v>
      </c>
      <c r="J16" s="2" t="s">
        <v>146</v>
      </c>
      <c r="K16" s="2" t="s">
        <v>144</v>
      </c>
      <c r="L16" s="2" t="s">
        <v>64</v>
      </c>
      <c r="M16" s="8">
        <v>46174</v>
      </c>
      <c r="N16" s="8">
        <v>46204</v>
      </c>
      <c r="O16" s="2" t="s">
        <v>82</v>
      </c>
      <c r="P16" s="5">
        <v>1</v>
      </c>
      <c r="Q16" s="2">
        <v>1.76</v>
      </c>
      <c r="R16" s="6">
        <v>8.0000000000000002E-3</v>
      </c>
      <c r="S16" s="2">
        <v>1.76</v>
      </c>
    </row>
    <row r="17" spans="1:19" s="2" customFormat="1" x14ac:dyDescent="0.25">
      <c r="A17" s="2" t="s">
        <v>137</v>
      </c>
      <c r="B17" s="10">
        <v>20411454</v>
      </c>
      <c r="C17" s="2" t="s">
        <v>36</v>
      </c>
      <c r="D17" s="2" t="str">
        <f t="shared" si="0"/>
        <v>H711112932OVR</v>
      </c>
      <c r="E17" s="2" t="s">
        <v>45</v>
      </c>
      <c r="F17" s="2" t="s">
        <v>54</v>
      </c>
      <c r="G17" s="2" t="s">
        <v>134</v>
      </c>
      <c r="H17" s="2" t="s">
        <v>60</v>
      </c>
      <c r="I17" s="2" t="s">
        <v>143</v>
      </c>
      <c r="J17" s="2" t="s">
        <v>146</v>
      </c>
      <c r="K17" s="2" t="s">
        <v>144</v>
      </c>
      <c r="L17" s="2" t="s">
        <v>65</v>
      </c>
      <c r="M17" s="8">
        <v>46072</v>
      </c>
      <c r="N17" s="8">
        <v>46192</v>
      </c>
      <c r="O17" s="2" t="s">
        <v>82</v>
      </c>
      <c r="P17" s="5">
        <v>4</v>
      </c>
      <c r="Q17" s="2">
        <v>5.37</v>
      </c>
      <c r="R17" s="6">
        <v>9.5000000000000001E-2</v>
      </c>
      <c r="S17" s="2">
        <v>5.37</v>
      </c>
    </row>
    <row r="18" spans="1:19" s="2" customFormat="1" x14ac:dyDescent="0.25">
      <c r="A18" s="2" t="s">
        <v>137</v>
      </c>
      <c r="B18" s="10">
        <v>20411454</v>
      </c>
      <c r="C18" s="2" t="s">
        <v>37</v>
      </c>
      <c r="D18" s="2" t="str">
        <f t="shared" si="0"/>
        <v>H711155050OVR</v>
      </c>
      <c r="E18" s="2" t="s">
        <v>46</v>
      </c>
      <c r="F18" s="2" t="s">
        <v>55</v>
      </c>
      <c r="G18" s="2" t="s">
        <v>135</v>
      </c>
      <c r="H18" s="2" t="s">
        <v>60</v>
      </c>
      <c r="I18" s="2" t="s">
        <v>143</v>
      </c>
      <c r="J18" s="2" t="s">
        <v>146</v>
      </c>
      <c r="K18" s="2" t="s">
        <v>144</v>
      </c>
      <c r="L18" s="2" t="s">
        <v>65</v>
      </c>
      <c r="M18" s="8">
        <v>46174</v>
      </c>
      <c r="N18" s="8">
        <v>46204</v>
      </c>
      <c r="O18" s="2" t="s">
        <v>82</v>
      </c>
      <c r="P18" s="5">
        <v>1</v>
      </c>
      <c r="Q18" s="2">
        <v>6.46</v>
      </c>
      <c r="R18" s="6">
        <v>9.5000000000000001E-2</v>
      </c>
      <c r="S18" s="2">
        <v>6.46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workbookViewId="0">
      <selection activeCell="A2" sqref="A2:XFD10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25</v>
      </c>
      <c r="C2" t="s">
        <v>29</v>
      </c>
      <c r="D2" t="s">
        <v>38</v>
      </c>
      <c r="E2" t="s">
        <v>47</v>
      </c>
      <c r="F2" t="s">
        <v>56</v>
      </c>
      <c r="G2" t="s">
        <v>60</v>
      </c>
      <c r="H2" t="s">
        <v>62</v>
      </c>
      <c r="I2" t="s">
        <v>66</v>
      </c>
      <c r="J2" t="s">
        <v>71</v>
      </c>
      <c r="K2" t="s">
        <v>74</v>
      </c>
      <c r="L2" t="s">
        <v>82</v>
      </c>
      <c r="M2" t="s">
        <v>83</v>
      </c>
      <c r="N2" t="s">
        <v>85</v>
      </c>
      <c r="O2" t="s">
        <v>89</v>
      </c>
      <c r="P2" t="s">
        <v>97</v>
      </c>
      <c r="Q2" t="s">
        <v>89</v>
      </c>
      <c r="R2" t="s">
        <v>100</v>
      </c>
      <c r="S2" t="s">
        <v>107</v>
      </c>
      <c r="T2">
        <v>6.5</v>
      </c>
    </row>
    <row r="3" spans="1:20" x14ac:dyDescent="0.25">
      <c r="A3" t="s">
        <v>22</v>
      </c>
      <c r="B3" t="s">
        <v>26</v>
      </c>
      <c r="C3" t="s">
        <v>30</v>
      </c>
      <c r="D3" t="s">
        <v>39</v>
      </c>
      <c r="E3" t="s">
        <v>48</v>
      </c>
      <c r="F3" t="s">
        <v>56</v>
      </c>
      <c r="G3" t="s">
        <v>60</v>
      </c>
      <c r="H3" t="s">
        <v>62</v>
      </c>
      <c r="I3" t="s">
        <v>66</v>
      </c>
      <c r="J3" t="s">
        <v>72</v>
      </c>
      <c r="K3" t="s">
        <v>75</v>
      </c>
      <c r="L3" t="s">
        <v>82</v>
      </c>
      <c r="M3" t="s">
        <v>83</v>
      </c>
      <c r="N3" t="s">
        <v>86</v>
      </c>
      <c r="O3" t="s">
        <v>90</v>
      </c>
      <c r="P3" t="s">
        <v>97</v>
      </c>
      <c r="Q3" t="s">
        <v>90</v>
      </c>
      <c r="R3" t="s">
        <v>100</v>
      </c>
      <c r="S3" t="s">
        <v>107</v>
      </c>
      <c r="T3">
        <v>5.37</v>
      </c>
    </row>
    <row r="4" spans="1:20" x14ac:dyDescent="0.25">
      <c r="A4" t="s">
        <v>23</v>
      </c>
      <c r="B4" t="s">
        <v>27</v>
      </c>
      <c r="C4" t="s">
        <v>31</v>
      </c>
      <c r="D4" t="s">
        <v>40</v>
      </c>
      <c r="E4" t="s">
        <v>49</v>
      </c>
      <c r="F4" t="s">
        <v>57</v>
      </c>
      <c r="G4" t="s">
        <v>61</v>
      </c>
      <c r="H4" t="s">
        <v>63</v>
      </c>
      <c r="I4" t="s">
        <v>67</v>
      </c>
      <c r="J4" t="s">
        <v>71</v>
      </c>
      <c r="K4" t="s">
        <v>76</v>
      </c>
      <c r="L4" t="s">
        <v>82</v>
      </c>
      <c r="M4" t="s">
        <v>84</v>
      </c>
      <c r="N4" t="s">
        <v>87</v>
      </c>
      <c r="O4" t="s">
        <v>91</v>
      </c>
      <c r="P4" t="s">
        <v>97</v>
      </c>
      <c r="Q4" t="s">
        <v>91</v>
      </c>
      <c r="R4" t="s">
        <v>100</v>
      </c>
      <c r="S4" t="s">
        <v>108</v>
      </c>
      <c r="T4">
        <v>7.27</v>
      </c>
    </row>
    <row r="5" spans="1:20" x14ac:dyDescent="0.25">
      <c r="A5" t="s">
        <v>23</v>
      </c>
      <c r="B5" t="s">
        <v>27</v>
      </c>
      <c r="C5" t="s">
        <v>32</v>
      </c>
      <c r="D5" t="s">
        <v>41</v>
      </c>
      <c r="E5" t="s">
        <v>50</v>
      </c>
      <c r="F5" t="s">
        <v>58</v>
      </c>
      <c r="G5" t="s">
        <v>61</v>
      </c>
      <c r="H5" t="s">
        <v>64</v>
      </c>
      <c r="I5" t="s">
        <v>68</v>
      </c>
      <c r="J5" t="s">
        <v>71</v>
      </c>
      <c r="K5" t="s">
        <v>77</v>
      </c>
      <c r="L5" t="s">
        <v>82</v>
      </c>
      <c r="M5" t="s">
        <v>84</v>
      </c>
      <c r="N5" t="s">
        <v>88</v>
      </c>
      <c r="O5" t="s">
        <v>92</v>
      </c>
      <c r="P5" t="s">
        <v>97</v>
      </c>
      <c r="Q5" t="s">
        <v>98</v>
      </c>
      <c r="R5" t="s">
        <v>100</v>
      </c>
      <c r="S5" t="s">
        <v>109</v>
      </c>
      <c r="T5">
        <v>1.67</v>
      </c>
    </row>
    <row r="6" spans="1:20" x14ac:dyDescent="0.25">
      <c r="A6" t="s">
        <v>23</v>
      </c>
      <c r="B6" t="s">
        <v>27</v>
      </c>
      <c r="C6" t="s">
        <v>33</v>
      </c>
      <c r="D6" t="s">
        <v>42</v>
      </c>
      <c r="E6" t="s">
        <v>51</v>
      </c>
      <c r="F6" t="s">
        <v>57</v>
      </c>
      <c r="G6" t="s">
        <v>61</v>
      </c>
      <c r="H6" t="s">
        <v>64</v>
      </c>
      <c r="I6" t="s">
        <v>68</v>
      </c>
      <c r="J6" t="s">
        <v>71</v>
      </c>
      <c r="K6" t="s">
        <v>78</v>
      </c>
      <c r="L6" t="s">
        <v>82</v>
      </c>
      <c r="M6" t="s">
        <v>84</v>
      </c>
      <c r="N6" t="s">
        <v>88</v>
      </c>
      <c r="O6" t="s">
        <v>93</v>
      </c>
      <c r="P6" t="s">
        <v>97</v>
      </c>
      <c r="Q6" t="s">
        <v>99</v>
      </c>
      <c r="R6" t="s">
        <v>100</v>
      </c>
      <c r="S6" t="s">
        <v>109</v>
      </c>
      <c r="T6">
        <v>1.5</v>
      </c>
    </row>
    <row r="7" spans="1:20" x14ac:dyDescent="0.25">
      <c r="A7" t="s">
        <v>23</v>
      </c>
      <c r="B7" t="s">
        <v>27</v>
      </c>
      <c r="C7" t="s">
        <v>34</v>
      </c>
      <c r="D7" t="s">
        <v>43</v>
      </c>
      <c r="E7" t="s">
        <v>52</v>
      </c>
      <c r="F7" t="s">
        <v>57</v>
      </c>
      <c r="G7" t="s">
        <v>61</v>
      </c>
      <c r="H7" t="s">
        <v>64</v>
      </c>
      <c r="I7" t="s">
        <v>68</v>
      </c>
      <c r="J7" t="s">
        <v>71</v>
      </c>
      <c r="K7" t="s">
        <v>79</v>
      </c>
      <c r="L7" t="s">
        <v>82</v>
      </c>
      <c r="M7" t="s">
        <v>84</v>
      </c>
      <c r="N7" t="s">
        <v>88</v>
      </c>
      <c r="O7" t="s">
        <v>94</v>
      </c>
      <c r="P7" t="s">
        <v>97</v>
      </c>
      <c r="Q7" t="s">
        <v>94</v>
      </c>
      <c r="R7" t="s">
        <v>100</v>
      </c>
      <c r="S7" t="s">
        <v>109</v>
      </c>
      <c r="T7">
        <v>1.65</v>
      </c>
    </row>
    <row r="8" spans="1:20" x14ac:dyDescent="0.25">
      <c r="A8" t="s">
        <v>23</v>
      </c>
      <c r="B8" t="s">
        <v>27</v>
      </c>
      <c r="C8" t="s">
        <v>35</v>
      </c>
      <c r="D8" t="s">
        <v>44</v>
      </c>
      <c r="E8" t="s">
        <v>53</v>
      </c>
      <c r="F8" t="s">
        <v>57</v>
      </c>
      <c r="G8" t="s">
        <v>61</v>
      </c>
      <c r="H8" t="s">
        <v>64</v>
      </c>
      <c r="I8" t="s">
        <v>66</v>
      </c>
      <c r="J8" t="s">
        <v>71</v>
      </c>
      <c r="K8" t="s">
        <v>77</v>
      </c>
      <c r="L8" t="s">
        <v>82</v>
      </c>
      <c r="M8" t="s">
        <v>84</v>
      </c>
      <c r="N8" t="s">
        <v>88</v>
      </c>
      <c r="O8" t="s">
        <v>95</v>
      </c>
      <c r="P8" t="s">
        <v>97</v>
      </c>
      <c r="Q8" t="s">
        <v>95</v>
      </c>
      <c r="R8" t="s">
        <v>100</v>
      </c>
      <c r="S8" t="s">
        <v>109</v>
      </c>
      <c r="T8">
        <v>1.76</v>
      </c>
    </row>
    <row r="9" spans="1:20" x14ac:dyDescent="0.25">
      <c r="A9" t="s">
        <v>24</v>
      </c>
      <c r="B9" t="s">
        <v>28</v>
      </c>
      <c r="C9" t="s">
        <v>36</v>
      </c>
      <c r="D9" t="s">
        <v>45</v>
      </c>
      <c r="E9" t="s">
        <v>54</v>
      </c>
      <c r="F9" t="s">
        <v>59</v>
      </c>
      <c r="G9" t="s">
        <v>60</v>
      </c>
      <c r="H9" t="s">
        <v>65</v>
      </c>
      <c r="I9" t="s">
        <v>69</v>
      </c>
      <c r="J9" t="s">
        <v>73</v>
      </c>
      <c r="K9" t="s">
        <v>80</v>
      </c>
      <c r="L9" t="s">
        <v>82</v>
      </c>
      <c r="M9" t="s">
        <v>83</v>
      </c>
      <c r="N9" t="s">
        <v>87</v>
      </c>
      <c r="O9" t="s">
        <v>90</v>
      </c>
      <c r="P9" t="s">
        <v>97</v>
      </c>
      <c r="Q9" t="s">
        <v>90</v>
      </c>
      <c r="R9" t="s">
        <v>100</v>
      </c>
      <c r="S9" t="s">
        <v>107</v>
      </c>
      <c r="T9">
        <v>5.37</v>
      </c>
    </row>
    <row r="10" spans="1:20" x14ac:dyDescent="0.25">
      <c r="A10" t="s">
        <v>24</v>
      </c>
      <c r="B10" t="s">
        <v>28</v>
      </c>
      <c r="C10" t="s">
        <v>37</v>
      </c>
      <c r="D10" t="s">
        <v>46</v>
      </c>
      <c r="E10" t="s">
        <v>55</v>
      </c>
      <c r="F10" t="s">
        <v>59</v>
      </c>
      <c r="G10" t="s">
        <v>60</v>
      </c>
      <c r="H10" t="s">
        <v>65</v>
      </c>
      <c r="I10" t="s">
        <v>70</v>
      </c>
      <c r="J10" t="s">
        <v>71</v>
      </c>
      <c r="K10" t="s">
        <v>81</v>
      </c>
      <c r="L10" t="s">
        <v>82</v>
      </c>
      <c r="M10" t="s">
        <v>83</v>
      </c>
      <c r="N10" t="s">
        <v>88</v>
      </c>
      <c r="O10" t="s">
        <v>96</v>
      </c>
      <c r="P10" t="s">
        <v>97</v>
      </c>
      <c r="Q10" t="s">
        <v>96</v>
      </c>
      <c r="R10" t="s">
        <v>100</v>
      </c>
      <c r="S10" t="s">
        <v>107</v>
      </c>
      <c r="T10">
        <v>6.46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workbookViewId="0">
      <selection activeCell="C2" sqref="C2:C9"/>
    </sheetView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8</v>
      </c>
      <c r="E1" s="1" t="s">
        <v>12</v>
      </c>
      <c r="F1" s="1" t="s">
        <v>110</v>
      </c>
      <c r="G1" s="1" t="s">
        <v>5</v>
      </c>
      <c r="H1" s="1" t="s">
        <v>6</v>
      </c>
      <c r="I1" s="1" t="s">
        <v>7</v>
      </c>
    </row>
    <row r="2" spans="1:9" x14ac:dyDescent="0.25">
      <c r="A2" t="s">
        <v>111</v>
      </c>
      <c r="B2" t="s">
        <v>112</v>
      </c>
      <c r="C2" t="s">
        <v>113</v>
      </c>
      <c r="D2" t="s">
        <v>69</v>
      </c>
      <c r="E2" t="s">
        <v>114</v>
      </c>
      <c r="F2">
        <v>-144.44</v>
      </c>
    </row>
    <row r="3" spans="1:9" x14ac:dyDescent="0.25">
      <c r="A3" t="s">
        <v>36</v>
      </c>
      <c r="B3" t="s">
        <v>45</v>
      </c>
      <c r="C3" t="s">
        <v>54</v>
      </c>
      <c r="D3" t="s">
        <v>69</v>
      </c>
      <c r="E3" t="s">
        <v>115</v>
      </c>
      <c r="F3">
        <v>-14.13</v>
      </c>
      <c r="G3" t="s">
        <v>59</v>
      </c>
      <c r="H3" t="s">
        <v>60</v>
      </c>
      <c r="I3" t="s">
        <v>65</v>
      </c>
    </row>
    <row r="4" spans="1:9" x14ac:dyDescent="0.25">
      <c r="A4" t="s">
        <v>37</v>
      </c>
      <c r="B4" t="s">
        <v>46</v>
      </c>
      <c r="C4" t="s">
        <v>55</v>
      </c>
      <c r="D4" t="s">
        <v>70</v>
      </c>
      <c r="E4" t="s">
        <v>115</v>
      </c>
      <c r="F4">
        <v>-17</v>
      </c>
      <c r="G4" t="s">
        <v>59</v>
      </c>
      <c r="H4" t="s">
        <v>60</v>
      </c>
      <c r="I4" t="s">
        <v>65</v>
      </c>
    </row>
    <row r="5" spans="1:9" x14ac:dyDescent="0.25">
      <c r="A5" t="s">
        <v>31</v>
      </c>
      <c r="B5" t="s">
        <v>40</v>
      </c>
      <c r="C5" t="s">
        <v>49</v>
      </c>
      <c r="D5" t="s">
        <v>67</v>
      </c>
      <c r="E5" t="s">
        <v>115</v>
      </c>
      <c r="F5">
        <v>-38.58</v>
      </c>
      <c r="G5" t="s">
        <v>57</v>
      </c>
      <c r="H5" t="s">
        <v>61</v>
      </c>
      <c r="I5" t="s">
        <v>63</v>
      </c>
    </row>
    <row r="6" spans="1:9" x14ac:dyDescent="0.25">
      <c r="A6" t="s">
        <v>32</v>
      </c>
      <c r="B6" t="s">
        <v>41</v>
      </c>
      <c r="C6" t="s">
        <v>50</v>
      </c>
      <c r="D6" t="s">
        <v>68</v>
      </c>
      <c r="E6" t="s">
        <v>115</v>
      </c>
      <c r="F6">
        <v>-48.42</v>
      </c>
      <c r="G6" t="s">
        <v>58</v>
      </c>
      <c r="H6" t="s">
        <v>61</v>
      </c>
      <c r="I6" t="s">
        <v>64</v>
      </c>
    </row>
    <row r="7" spans="1:9" x14ac:dyDescent="0.25">
      <c r="A7" t="s">
        <v>34</v>
      </c>
      <c r="B7" t="s">
        <v>43</v>
      </c>
      <c r="C7" t="s">
        <v>52</v>
      </c>
      <c r="D7" t="s">
        <v>68</v>
      </c>
      <c r="E7" t="s">
        <v>115</v>
      </c>
      <c r="F7">
        <v>-47.82</v>
      </c>
      <c r="G7" t="s">
        <v>57</v>
      </c>
      <c r="H7" t="s">
        <v>61</v>
      </c>
      <c r="I7" t="s">
        <v>64</v>
      </c>
    </row>
    <row r="8" spans="1:9" x14ac:dyDescent="0.25">
      <c r="A8" t="s">
        <v>30</v>
      </c>
      <c r="B8" t="s">
        <v>39</v>
      </c>
      <c r="C8" t="s">
        <v>48</v>
      </c>
      <c r="D8" t="s">
        <v>66</v>
      </c>
      <c r="E8" t="s">
        <v>115</v>
      </c>
      <c r="F8">
        <v>-14.13</v>
      </c>
      <c r="G8" t="s">
        <v>56</v>
      </c>
      <c r="H8" t="s">
        <v>60</v>
      </c>
      <c r="I8" t="s">
        <v>62</v>
      </c>
    </row>
    <row r="9" spans="1:9" x14ac:dyDescent="0.25">
      <c r="A9" t="s">
        <v>35</v>
      </c>
      <c r="B9" t="s">
        <v>44</v>
      </c>
      <c r="C9" t="s">
        <v>53</v>
      </c>
      <c r="D9" t="s">
        <v>66</v>
      </c>
      <c r="E9" t="s">
        <v>115</v>
      </c>
      <c r="F9">
        <v>-51.07</v>
      </c>
      <c r="G9" t="s">
        <v>57</v>
      </c>
      <c r="H9" t="s">
        <v>61</v>
      </c>
      <c r="I9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116</v>
      </c>
      <c r="L1" s="1" t="s">
        <v>17</v>
      </c>
      <c r="M1" s="1" t="s">
        <v>18</v>
      </c>
      <c r="N1" s="1" t="s">
        <v>117</v>
      </c>
      <c r="O1" s="1" t="s">
        <v>118</v>
      </c>
      <c r="P1" s="1" t="s">
        <v>119</v>
      </c>
    </row>
    <row r="2" spans="1:16" x14ac:dyDescent="0.25">
      <c r="A2" t="s">
        <v>120</v>
      </c>
      <c r="B2" t="s">
        <v>121</v>
      </c>
      <c r="C2" t="s">
        <v>33</v>
      </c>
      <c r="D2" t="s">
        <v>42</v>
      </c>
      <c r="E2" t="s">
        <v>51</v>
      </c>
      <c r="F2" t="s">
        <v>57</v>
      </c>
      <c r="G2" t="s">
        <v>61</v>
      </c>
      <c r="H2" t="s">
        <v>64</v>
      </c>
      <c r="I2" t="s">
        <v>66</v>
      </c>
      <c r="J2" t="s">
        <v>122</v>
      </c>
      <c r="K2" t="s">
        <v>99</v>
      </c>
      <c r="L2" t="s">
        <v>100</v>
      </c>
      <c r="M2" t="s">
        <v>104</v>
      </c>
      <c r="N2" t="s">
        <v>123</v>
      </c>
      <c r="O2">
        <v>478.28</v>
      </c>
      <c r="P2" t="s">
        <v>126</v>
      </c>
    </row>
    <row r="3" spans="1:16" x14ac:dyDescent="0.25">
      <c r="A3" t="s">
        <v>23</v>
      </c>
      <c r="B3" t="s">
        <v>27</v>
      </c>
      <c r="C3" t="s">
        <v>34</v>
      </c>
      <c r="D3" t="s">
        <v>43</v>
      </c>
      <c r="E3" t="s">
        <v>52</v>
      </c>
      <c r="F3" t="s">
        <v>57</v>
      </c>
      <c r="G3" t="s">
        <v>61</v>
      </c>
      <c r="H3" t="s">
        <v>64</v>
      </c>
      <c r="I3" t="s">
        <v>68</v>
      </c>
      <c r="J3" t="s">
        <v>122</v>
      </c>
      <c r="K3" t="s">
        <v>94</v>
      </c>
      <c r="L3" t="s">
        <v>100</v>
      </c>
      <c r="M3" t="s">
        <v>104</v>
      </c>
      <c r="N3" t="s">
        <v>124</v>
      </c>
      <c r="O3">
        <v>573.84</v>
      </c>
      <c r="P3" t="s">
        <v>127</v>
      </c>
    </row>
    <row r="4" spans="1:16" x14ac:dyDescent="0.25">
      <c r="A4" t="s">
        <v>23</v>
      </c>
      <c r="B4" t="s">
        <v>27</v>
      </c>
      <c r="C4" t="s">
        <v>32</v>
      </c>
      <c r="D4" t="s">
        <v>41</v>
      </c>
      <c r="E4" t="s">
        <v>50</v>
      </c>
      <c r="F4" t="s">
        <v>58</v>
      </c>
      <c r="G4" t="s">
        <v>61</v>
      </c>
      <c r="H4" t="s">
        <v>64</v>
      </c>
      <c r="I4" t="s">
        <v>68</v>
      </c>
      <c r="J4" t="s">
        <v>122</v>
      </c>
      <c r="K4" t="s">
        <v>98</v>
      </c>
      <c r="L4" t="s">
        <v>100</v>
      </c>
      <c r="M4" t="s">
        <v>104</v>
      </c>
      <c r="N4" t="s">
        <v>124</v>
      </c>
      <c r="O4">
        <v>581.04</v>
      </c>
      <c r="P4" t="s">
        <v>127</v>
      </c>
    </row>
    <row r="5" spans="1:16" x14ac:dyDescent="0.25">
      <c r="A5" t="s">
        <v>23</v>
      </c>
      <c r="B5" t="s">
        <v>27</v>
      </c>
      <c r="C5" t="s">
        <v>35</v>
      </c>
      <c r="D5" t="s">
        <v>44</v>
      </c>
      <c r="E5" t="s">
        <v>53</v>
      </c>
      <c r="F5" t="s">
        <v>57</v>
      </c>
      <c r="G5" t="s">
        <v>61</v>
      </c>
      <c r="H5" t="s">
        <v>64</v>
      </c>
      <c r="I5" t="s">
        <v>66</v>
      </c>
      <c r="J5" t="s">
        <v>122</v>
      </c>
      <c r="K5" t="s">
        <v>95</v>
      </c>
      <c r="L5" t="s">
        <v>100</v>
      </c>
      <c r="M5" t="s">
        <v>104</v>
      </c>
      <c r="N5" t="s">
        <v>124</v>
      </c>
      <c r="O5">
        <v>612.84</v>
      </c>
      <c r="P5" t="s">
        <v>127</v>
      </c>
    </row>
    <row r="6" spans="1:16" x14ac:dyDescent="0.25">
      <c r="A6" t="s">
        <v>24</v>
      </c>
      <c r="B6" t="s">
        <v>28</v>
      </c>
      <c r="C6" t="s">
        <v>37</v>
      </c>
      <c r="D6" t="s">
        <v>46</v>
      </c>
      <c r="E6" t="s">
        <v>55</v>
      </c>
      <c r="F6" t="s">
        <v>59</v>
      </c>
      <c r="G6" t="s">
        <v>60</v>
      </c>
      <c r="H6" t="s">
        <v>65</v>
      </c>
      <c r="I6" t="s">
        <v>70</v>
      </c>
      <c r="J6" t="s">
        <v>122</v>
      </c>
      <c r="K6" t="s">
        <v>96</v>
      </c>
      <c r="L6" t="s">
        <v>100</v>
      </c>
      <c r="M6" t="s">
        <v>102</v>
      </c>
      <c r="N6" t="s">
        <v>125</v>
      </c>
      <c r="O6">
        <v>153</v>
      </c>
      <c r="P6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2026-05-24T17:01:55Z</dcterms:created>
  <dcterms:modified xsi:type="dcterms:W3CDTF">2026-05-26T19:11:56Z</dcterms:modified>
</cp:coreProperties>
</file>