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Physician_Mutual\2026\2026-07-25\"/>
    </mc:Choice>
  </mc:AlternateContent>
  <xr:revisionPtr revIDLastSave="0" documentId="13_ncr:1_{C578447F-D2AA-4889-957E-664D48D49D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5" l="1"/>
  <c r="C13" i="5"/>
  <c r="C14" i="5"/>
  <c r="C15" i="5"/>
  <c r="C16" i="5"/>
  <c r="C17" i="5"/>
  <c r="C18" i="5"/>
  <c r="C19" i="5"/>
  <c r="C20" i="5"/>
  <c r="C11" i="5"/>
  <c r="G12" i="5"/>
  <c r="G13" i="5"/>
  <c r="G14" i="5"/>
  <c r="G15" i="5"/>
  <c r="G16" i="5"/>
  <c r="G17" i="5"/>
  <c r="G18" i="5"/>
  <c r="G19" i="5"/>
  <c r="G20" i="5"/>
  <c r="G11" i="5"/>
</calcChain>
</file>

<file path=xl/sharedStrings.xml><?xml version="1.0" encoding="utf-8"?>
<sst xmlns="http://schemas.openxmlformats.org/spreadsheetml/2006/main" count="883" uniqueCount="152">
  <si>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</si>
  <si>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</si>
  <si>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</si>
  <si>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</si>
  <si>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</si>
  <si>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</si>
  <si>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</si>
  <si>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</si>
  <si>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</si>
  <si>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</si>
  <si>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</si>
  <si>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</si>
  <si>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</si>
  <si>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</si>
  <si>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</si>
  <si>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</si>
  <si>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</si>
  <si>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</si>
  <si>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</si>
  <si>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</si>
  <si>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</si>
  <si>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Inskipt Deborah null</t>
  </si>
  <si>
    <t xml:space="preserve">Sherman Matthew </t>
  </si>
  <si>
    <t xml:space="preserve">Deaton Pamela </t>
  </si>
  <si>
    <t>Green Danna null</t>
  </si>
  <si>
    <t>17528908</t>
  </si>
  <si>
    <t>8812322</t>
  </si>
  <si>
    <t>8244481</t>
  </si>
  <si>
    <t>16849453</t>
  </si>
  <si>
    <t>H711071682</t>
  </si>
  <si>
    <t>H711176941</t>
  </si>
  <si>
    <t>H711175678</t>
  </si>
  <si>
    <t>H750097916</t>
  </si>
  <si>
    <t>H750112492</t>
  </si>
  <si>
    <t>H750110947</t>
  </si>
  <si>
    <t>H750112626</t>
  </si>
  <si>
    <t>H750112578</t>
  </si>
  <si>
    <t>H750112990</t>
  </si>
  <si>
    <t>Kathy</t>
  </si>
  <si>
    <t>Devin</t>
  </si>
  <si>
    <t>Timothy</t>
  </si>
  <si>
    <t>Janet</t>
  </si>
  <si>
    <t>Chris</t>
  </si>
  <si>
    <t>Gregory</t>
  </si>
  <si>
    <t>Karen</t>
  </si>
  <si>
    <t>Kevin</t>
  </si>
  <si>
    <t>Kimberly</t>
  </si>
  <si>
    <t>Unis</t>
  </si>
  <si>
    <t>Grebner</t>
  </si>
  <si>
    <t>Davis</t>
  </si>
  <si>
    <t>Goad</t>
  </si>
  <si>
    <t>Hobson</t>
  </si>
  <si>
    <t>Rowland</t>
  </si>
  <si>
    <t>Duke</t>
  </si>
  <si>
    <t>Walls</t>
  </si>
  <si>
    <t>C25400002</t>
  </si>
  <si>
    <t>P15400002</t>
  </si>
  <si>
    <t>S06600001</t>
  </si>
  <si>
    <t>Dental</t>
  </si>
  <si>
    <t>Medicare Supplement</t>
  </si>
  <si>
    <t>PA</t>
  </si>
  <si>
    <t>IL</t>
  </si>
  <si>
    <t>TX</t>
  </si>
  <si>
    <t>IN</t>
  </si>
  <si>
    <t>NC</t>
  </si>
  <si>
    <t>2026-07-23</t>
  </si>
  <si>
    <t>2026-07-22</t>
  </si>
  <si>
    <t>2026-07-20</t>
  </si>
  <si>
    <t>2026-07-21</t>
  </si>
  <si>
    <t>2026-07-24</t>
  </si>
  <si>
    <t>2026-08-22</t>
  </si>
  <si>
    <t>2026-08-23</t>
  </si>
  <si>
    <t>2026-09-01</t>
  </si>
  <si>
    <t>2026-10-01</t>
  </si>
  <si>
    <t>2026-08-01</t>
  </si>
  <si>
    <t>66</t>
  </si>
  <si>
    <t>35</t>
  </si>
  <si>
    <t>36</t>
  </si>
  <si>
    <t>72</t>
  </si>
  <si>
    <t>65</t>
  </si>
  <si>
    <t>67</t>
  </si>
  <si>
    <t>82</t>
  </si>
  <si>
    <t>MONTHLY</t>
  </si>
  <si>
    <t>RCVP</t>
  </si>
  <si>
    <t>RCVP-R</t>
  </si>
  <si>
    <t>9</t>
  </si>
  <si>
    <t>1</t>
  </si>
  <si>
    <t>6</t>
  </si>
  <si>
    <t>56.50</t>
  </si>
  <si>
    <t>111.80</t>
  </si>
  <si>
    <t>46.95</t>
  </si>
  <si>
    <t>201.99</t>
  </si>
  <si>
    <t>166.99</t>
  </si>
  <si>
    <t>149.08</t>
  </si>
  <si>
    <t>275.59</t>
  </si>
  <si>
    <t>160.60</t>
  </si>
  <si>
    <t>0.00</t>
  </si>
  <si>
    <t>100.00000</t>
  </si>
  <si>
    <t>25.00%</t>
  </si>
  <si>
    <t>19.10%</t>
  </si>
  <si>
    <t>23.20%</t>
  </si>
  <si>
    <t>21.00%</t>
  </si>
  <si>
    <t>Y</t>
  </si>
  <si>
    <t>N</t>
  </si>
  <si>
    <t>McCorkle Michelle null</t>
  </si>
  <si>
    <t>18710070</t>
  </si>
  <si>
    <t>H711061009</t>
  </si>
  <si>
    <t>John</t>
  </si>
  <si>
    <t>Hanley</t>
  </si>
  <si>
    <t>64</t>
  </si>
  <si>
    <t>10</t>
  </si>
  <si>
    <t>68.45</t>
  </si>
  <si>
    <t>9.50%</t>
  </si>
  <si>
    <t>11.50%</t>
  </si>
  <si>
    <t>3.60%</t>
  </si>
  <si>
    <t>4.60%</t>
  </si>
  <si>
    <t>1.25%</t>
  </si>
  <si>
    <t>6.00%</t>
  </si>
  <si>
    <t>advancePaybackAmount</t>
  </si>
  <si>
    <t>APB-S</t>
  </si>
  <si>
    <t>advanceBasis</t>
  </si>
  <si>
    <t>monthsAdvanced</t>
  </si>
  <si>
    <t>paidAdvanceAmount</t>
  </si>
  <si>
    <t>description</t>
  </si>
  <si>
    <t>Main Line Benefits, LLC</t>
  </si>
  <si>
    <t>20411454</t>
  </si>
  <si>
    <t>ISS-A</t>
  </si>
  <si>
    <t>11</t>
  </si>
  <si>
    <t>12</t>
  </si>
  <si>
    <t>Issue Advance Request</t>
  </si>
  <si>
    <t>Kathy Unis</t>
  </si>
  <si>
    <t>Devin Grebner</t>
  </si>
  <si>
    <t>Timothy Davis</t>
  </si>
  <si>
    <t>Janet M Goad</t>
  </si>
  <si>
    <t>Chris Hobson</t>
  </si>
  <si>
    <t>Gregory Rowland</t>
  </si>
  <si>
    <t>Karen Duke</t>
  </si>
  <si>
    <t>Kevin Walls</t>
  </si>
  <si>
    <t>Kimberly Walls</t>
  </si>
  <si>
    <t>John Hanley</t>
  </si>
  <si>
    <t>Standard Dental</t>
  </si>
  <si>
    <t>Open Enrollment - TX</t>
  </si>
  <si>
    <t>Physician Mutual OVR</t>
  </si>
  <si>
    <t>Open Enrollment - States Where Available</t>
  </si>
  <si>
    <t>Physician Mutual Medsupp IN</t>
  </si>
  <si>
    <t>16849453AV9</t>
  </si>
  <si>
    <t>8812322AV9</t>
  </si>
  <si>
    <t>8244481AV9</t>
  </si>
  <si>
    <t>RN</t>
  </si>
  <si>
    <t>AE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</si>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</sst>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0" fontId="0" fillId="0" borderId="0" xfId="0" applyNumberFormat="1"/>
    <xf numFmtId="10" fontId="0" fillId="0" borderId="0" xfId="0" applyNumberFormat="1"/>
    <xf numFmtId="0" fontId="0" fillId="2" borderId="0" xfId="0" applyNumberFormat="1" applyFill="1"/>
    <xf numFmtId="10" fontId="0" fillId="2" borderId="0" xfId="0" applyNumberFormat="1" applyFill="1"/>
    <xf numFmtId="0" fontId="0" fillId="3" borderId="0" xfId="0" applyFill="1"/>
    <xf numFmtId="0" fontId="0" fillId="3" borderId="0" xfId="0" applyNumberFormat="1" applyFill="1"/>
    <xf numFmtId="1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>
      <selection sqref="A1:XFD10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25</v>
      </c>
      <c r="C2" t="s">
        <v>29</v>
      </c>
      <c r="D2" t="s">
        <v>38</v>
      </c>
      <c r="E2" t="s">
        <v>47</v>
      </c>
      <c r="F2" t="s">
        <v>55</v>
      </c>
      <c r="G2" t="s">
        <v>58</v>
      </c>
      <c r="H2" t="s">
        <v>60</v>
      </c>
      <c r="I2" t="s">
        <v>65</v>
      </c>
      <c r="J2" t="s">
        <v>70</v>
      </c>
      <c r="K2" t="s">
        <v>75</v>
      </c>
      <c r="L2" t="s">
        <v>82</v>
      </c>
      <c r="M2" t="s">
        <v>83</v>
      </c>
      <c r="N2" t="s">
        <v>85</v>
      </c>
      <c r="O2" t="s">
        <v>88</v>
      </c>
      <c r="P2" t="s">
        <v>96</v>
      </c>
      <c r="Q2" t="s">
        <v>88</v>
      </c>
      <c r="R2" t="s">
        <v>97</v>
      </c>
      <c r="S2" t="s">
        <v>98</v>
      </c>
      <c r="T2">
        <v>14.13</v>
      </c>
      <c r="U2" t="s">
        <v>102</v>
      </c>
    </row>
    <row r="3" spans="1:21" x14ac:dyDescent="0.25">
      <c r="A3" t="s">
        <v>22</v>
      </c>
      <c r="B3" t="s">
        <v>26</v>
      </c>
      <c r="C3" t="s">
        <v>30</v>
      </c>
      <c r="D3" t="s">
        <v>39</v>
      </c>
      <c r="E3" t="s">
        <v>48</v>
      </c>
      <c r="F3" t="s">
        <v>56</v>
      </c>
      <c r="G3" t="s">
        <v>58</v>
      </c>
      <c r="H3" t="s">
        <v>61</v>
      </c>
      <c r="I3" t="s">
        <v>66</v>
      </c>
      <c r="J3" t="s">
        <v>71</v>
      </c>
      <c r="K3" t="s">
        <v>76</v>
      </c>
      <c r="L3" t="s">
        <v>82</v>
      </c>
      <c r="M3" t="s">
        <v>83</v>
      </c>
      <c r="N3" t="s">
        <v>86</v>
      </c>
      <c r="O3" t="s">
        <v>89</v>
      </c>
      <c r="P3" t="s">
        <v>96</v>
      </c>
      <c r="Q3" t="s">
        <v>89</v>
      </c>
      <c r="R3" t="s">
        <v>97</v>
      </c>
      <c r="S3" t="s">
        <v>98</v>
      </c>
      <c r="T3">
        <v>27.95</v>
      </c>
      <c r="U3" t="s">
        <v>102</v>
      </c>
    </row>
    <row r="4" spans="1:21" x14ac:dyDescent="0.25">
      <c r="A4" t="s">
        <v>23</v>
      </c>
      <c r="B4" t="s">
        <v>27</v>
      </c>
      <c r="C4" t="s">
        <v>31</v>
      </c>
      <c r="D4" t="s">
        <v>40</v>
      </c>
      <c r="E4" t="s">
        <v>49</v>
      </c>
      <c r="F4" t="s">
        <v>56</v>
      </c>
      <c r="G4" t="s">
        <v>58</v>
      </c>
      <c r="H4" t="s">
        <v>61</v>
      </c>
      <c r="I4" t="s">
        <v>67</v>
      </c>
      <c r="J4" t="s">
        <v>72</v>
      </c>
      <c r="K4" t="s">
        <v>77</v>
      </c>
      <c r="L4" t="s">
        <v>82</v>
      </c>
      <c r="M4" t="s">
        <v>83</v>
      </c>
      <c r="N4" t="s">
        <v>86</v>
      </c>
      <c r="O4" t="s">
        <v>90</v>
      </c>
      <c r="P4" t="s">
        <v>96</v>
      </c>
      <c r="Q4" t="s">
        <v>90</v>
      </c>
      <c r="R4" t="s">
        <v>97</v>
      </c>
      <c r="S4" t="s">
        <v>98</v>
      </c>
      <c r="T4">
        <v>11.74</v>
      </c>
      <c r="U4" t="s">
        <v>102</v>
      </c>
    </row>
    <row r="5" spans="1:21" x14ac:dyDescent="0.25">
      <c r="A5" t="s">
        <v>24</v>
      </c>
      <c r="B5" t="s">
        <v>28</v>
      </c>
      <c r="C5" t="s">
        <v>32</v>
      </c>
      <c r="D5" t="s">
        <v>41</v>
      </c>
      <c r="E5" t="s">
        <v>50</v>
      </c>
      <c r="F5" t="s">
        <v>57</v>
      </c>
      <c r="G5" t="s">
        <v>59</v>
      </c>
      <c r="H5" t="s">
        <v>62</v>
      </c>
      <c r="I5" t="s">
        <v>67</v>
      </c>
      <c r="J5" t="s">
        <v>72</v>
      </c>
      <c r="K5" t="s">
        <v>78</v>
      </c>
      <c r="L5" t="s">
        <v>82</v>
      </c>
      <c r="M5" t="s">
        <v>84</v>
      </c>
      <c r="N5" t="s">
        <v>87</v>
      </c>
      <c r="O5" t="s">
        <v>91</v>
      </c>
      <c r="P5" t="s">
        <v>96</v>
      </c>
      <c r="Q5" t="s">
        <v>91</v>
      </c>
      <c r="R5" t="s">
        <v>97</v>
      </c>
      <c r="S5" t="s">
        <v>99</v>
      </c>
      <c r="T5">
        <v>38.58</v>
      </c>
      <c r="U5" t="s">
        <v>102</v>
      </c>
    </row>
    <row r="6" spans="1:21" x14ac:dyDescent="0.25">
      <c r="A6" t="s">
        <v>24</v>
      </c>
      <c r="B6" t="s">
        <v>28</v>
      </c>
      <c r="C6" t="s">
        <v>33</v>
      </c>
      <c r="D6" t="s">
        <v>42</v>
      </c>
      <c r="E6" t="s">
        <v>51</v>
      </c>
      <c r="F6" t="s">
        <v>57</v>
      </c>
      <c r="G6" t="s">
        <v>59</v>
      </c>
      <c r="H6" t="s">
        <v>63</v>
      </c>
      <c r="I6" t="s">
        <v>67</v>
      </c>
      <c r="J6" t="s">
        <v>73</v>
      </c>
      <c r="K6" t="s">
        <v>79</v>
      </c>
      <c r="L6" t="s">
        <v>82</v>
      </c>
      <c r="M6" t="s">
        <v>83</v>
      </c>
      <c r="N6" t="s">
        <v>86</v>
      </c>
      <c r="O6" t="s">
        <v>92</v>
      </c>
      <c r="P6" t="s">
        <v>96</v>
      </c>
      <c r="Q6" t="s">
        <v>92</v>
      </c>
      <c r="R6" t="s">
        <v>97</v>
      </c>
      <c r="S6" t="s">
        <v>100</v>
      </c>
      <c r="T6">
        <v>38.74</v>
      </c>
      <c r="U6" t="s">
        <v>102</v>
      </c>
    </row>
    <row r="7" spans="1:21" x14ac:dyDescent="0.25">
      <c r="A7" t="s">
        <v>24</v>
      </c>
      <c r="B7" t="s">
        <v>28</v>
      </c>
      <c r="C7" t="s">
        <v>34</v>
      </c>
      <c r="D7" t="s">
        <v>43</v>
      </c>
      <c r="E7" t="s">
        <v>52</v>
      </c>
      <c r="F7" t="s">
        <v>57</v>
      </c>
      <c r="G7" t="s">
        <v>59</v>
      </c>
      <c r="H7" t="s">
        <v>64</v>
      </c>
      <c r="I7" t="s">
        <v>67</v>
      </c>
      <c r="J7" t="s">
        <v>74</v>
      </c>
      <c r="K7" t="s">
        <v>80</v>
      </c>
      <c r="L7" t="s">
        <v>82</v>
      </c>
      <c r="M7" t="s">
        <v>83</v>
      </c>
      <c r="N7" t="s">
        <v>86</v>
      </c>
      <c r="O7" t="s">
        <v>93</v>
      </c>
      <c r="P7" t="s">
        <v>96</v>
      </c>
      <c r="Q7" t="s">
        <v>93</v>
      </c>
      <c r="R7" t="s">
        <v>97</v>
      </c>
      <c r="S7" t="s">
        <v>101</v>
      </c>
      <c r="T7">
        <v>31.31</v>
      </c>
      <c r="U7" t="s">
        <v>103</v>
      </c>
    </row>
    <row r="8" spans="1:21" x14ac:dyDescent="0.25">
      <c r="A8" t="s">
        <v>24</v>
      </c>
      <c r="B8" t="s">
        <v>28</v>
      </c>
      <c r="C8" t="s">
        <v>35</v>
      </c>
      <c r="D8" t="s">
        <v>44</v>
      </c>
      <c r="E8" t="s">
        <v>53</v>
      </c>
      <c r="F8" t="s">
        <v>57</v>
      </c>
      <c r="G8" t="s">
        <v>59</v>
      </c>
      <c r="H8" t="s">
        <v>63</v>
      </c>
      <c r="I8" t="s">
        <v>68</v>
      </c>
      <c r="J8" t="s">
        <v>72</v>
      </c>
      <c r="K8" t="s">
        <v>81</v>
      </c>
      <c r="L8" t="s">
        <v>82</v>
      </c>
      <c r="M8" t="s">
        <v>84</v>
      </c>
      <c r="N8" t="s">
        <v>86</v>
      </c>
      <c r="O8" t="s">
        <v>94</v>
      </c>
      <c r="P8" t="s">
        <v>96</v>
      </c>
      <c r="Q8" t="s">
        <v>94</v>
      </c>
      <c r="R8" t="s">
        <v>97</v>
      </c>
      <c r="S8" t="s">
        <v>100</v>
      </c>
      <c r="T8">
        <v>63.94</v>
      </c>
      <c r="U8" t="s">
        <v>102</v>
      </c>
    </row>
    <row r="9" spans="1:21" x14ac:dyDescent="0.25">
      <c r="A9" t="s">
        <v>24</v>
      </c>
      <c r="B9" t="s">
        <v>28</v>
      </c>
      <c r="C9" t="s">
        <v>36</v>
      </c>
      <c r="D9" t="s">
        <v>45</v>
      </c>
      <c r="E9" t="s">
        <v>54</v>
      </c>
      <c r="F9" t="s">
        <v>57</v>
      </c>
      <c r="G9" t="s">
        <v>59</v>
      </c>
      <c r="H9" t="s">
        <v>63</v>
      </c>
      <c r="I9" t="s">
        <v>65</v>
      </c>
      <c r="J9" t="s">
        <v>72</v>
      </c>
      <c r="K9" t="s">
        <v>75</v>
      </c>
      <c r="L9" t="s">
        <v>82</v>
      </c>
      <c r="M9" t="s">
        <v>83</v>
      </c>
      <c r="N9" t="s">
        <v>86</v>
      </c>
      <c r="O9" t="s">
        <v>92</v>
      </c>
      <c r="P9" t="s">
        <v>96</v>
      </c>
      <c r="Q9" t="s">
        <v>92</v>
      </c>
      <c r="R9" t="s">
        <v>97</v>
      </c>
      <c r="S9" t="s">
        <v>100</v>
      </c>
      <c r="T9">
        <v>38.74</v>
      </c>
      <c r="U9" t="s">
        <v>102</v>
      </c>
    </row>
    <row r="10" spans="1:21" x14ac:dyDescent="0.25">
      <c r="A10" t="s">
        <v>24</v>
      </c>
      <c r="B10" t="s">
        <v>28</v>
      </c>
      <c r="C10" t="s">
        <v>37</v>
      </c>
      <c r="D10" t="s">
        <v>46</v>
      </c>
      <c r="E10" t="s">
        <v>54</v>
      </c>
      <c r="F10" t="s">
        <v>57</v>
      </c>
      <c r="G10" t="s">
        <v>59</v>
      </c>
      <c r="H10" t="s">
        <v>63</v>
      </c>
      <c r="I10" t="s">
        <v>69</v>
      </c>
      <c r="J10" t="s">
        <v>72</v>
      </c>
      <c r="K10" t="s">
        <v>75</v>
      </c>
      <c r="L10" t="s">
        <v>82</v>
      </c>
      <c r="M10" t="s">
        <v>84</v>
      </c>
      <c r="N10" t="s">
        <v>86</v>
      </c>
      <c r="O10" t="s">
        <v>95</v>
      </c>
      <c r="P10" t="s">
        <v>96</v>
      </c>
      <c r="Q10" t="s">
        <v>95</v>
      </c>
      <c r="R10" t="s">
        <v>97</v>
      </c>
      <c r="S10" t="s">
        <v>100</v>
      </c>
      <c r="T10">
        <v>37.26</v>
      </c>
      <c r="U10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593D-4D5A-45C7-91BF-CEAC3C130C44}">
  <dimension ref="A1:X20"/>
  <sheetViews>
    <sheetView tabSelected="1" workbookViewId="0">
      <selection activeCell="X2" sqref="X2:X20"/>
    </sheetView>
  </sheetViews>
  <sheetFormatPr defaultRowHeight="15" x14ac:dyDescent="0.25"/>
  <cols>
    <col min="2" max="5" width="11.5703125" customWidth="1"/>
    <col min="15" max="15" width="12.42578125" customWidth="1"/>
    <col min="16" max="16" width="11.140625" bestFit="1" customWidth="1"/>
  </cols>
  <sheetData>
    <row r="1" spans="1:24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 t="s">
        <v>3</v>
      </c>
      <c r="I1" s="1" t="s">
        <v>4</v>
      </c>
      <c r="J1" s="1"/>
      <c r="K1" s="1" t="s">
        <v>5</v>
      </c>
      <c r="L1" s="1" t="s">
        <v>6</v>
      </c>
      <c r="M1" s="1"/>
      <c r="N1" s="1" t="s">
        <v>7</v>
      </c>
      <c r="O1" s="1" t="s">
        <v>8</v>
      </c>
      <c r="P1" s="1" t="s">
        <v>9</v>
      </c>
      <c r="Q1" s="1" t="s">
        <v>11</v>
      </c>
      <c r="R1" s="1" t="s">
        <v>12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25">
      <c r="A2" t="s">
        <v>24</v>
      </c>
      <c r="B2" s="5">
        <v>16849453</v>
      </c>
      <c r="C2" s="5">
        <v>16849453</v>
      </c>
      <c r="D2" s="5" t="s">
        <v>148</v>
      </c>
      <c r="E2" s="5" t="s">
        <v>149</v>
      </c>
      <c r="F2" t="s">
        <v>32</v>
      </c>
      <c r="G2" t="s">
        <v>32</v>
      </c>
      <c r="H2" t="s">
        <v>41</v>
      </c>
      <c r="I2" t="s">
        <v>50</v>
      </c>
      <c r="J2" t="s">
        <v>133</v>
      </c>
      <c r="K2" t="s">
        <v>57</v>
      </c>
      <c r="L2" t="s">
        <v>59</v>
      </c>
      <c r="M2" t="s">
        <v>141</v>
      </c>
      <c r="N2" t="s">
        <v>62</v>
      </c>
      <c r="O2" s="3">
        <v>46082</v>
      </c>
      <c r="P2" s="3">
        <v>46266</v>
      </c>
      <c r="Q2" t="s">
        <v>82</v>
      </c>
      <c r="R2" t="s">
        <v>84</v>
      </c>
      <c r="S2" s="5">
        <v>201.99</v>
      </c>
      <c r="T2" s="5">
        <v>0</v>
      </c>
      <c r="U2" s="5">
        <v>201.99</v>
      </c>
      <c r="V2" s="5">
        <v>100</v>
      </c>
      <c r="W2" s="6">
        <v>0.191</v>
      </c>
      <c r="X2">
        <v>38.58</v>
      </c>
    </row>
    <row r="3" spans="1:24" s="9" customFormat="1" x14ac:dyDescent="0.25">
      <c r="A3" s="9" t="s">
        <v>24</v>
      </c>
      <c r="B3" s="10">
        <v>16849453</v>
      </c>
      <c r="C3" s="10" t="s">
        <v>145</v>
      </c>
      <c r="D3" s="10" t="s">
        <v>150</v>
      </c>
      <c r="E3" s="10" t="s">
        <v>151</v>
      </c>
      <c r="F3" s="9" t="s">
        <v>34</v>
      </c>
      <c r="G3" s="9" t="s">
        <v>34</v>
      </c>
      <c r="H3" s="9" t="s">
        <v>43</v>
      </c>
      <c r="I3" s="9" t="s">
        <v>52</v>
      </c>
      <c r="J3" s="9" t="s">
        <v>135</v>
      </c>
      <c r="K3" s="9" t="s">
        <v>57</v>
      </c>
      <c r="L3" s="9" t="s">
        <v>59</v>
      </c>
      <c r="M3" s="9" t="s">
        <v>143</v>
      </c>
      <c r="N3" s="9" t="s">
        <v>64</v>
      </c>
      <c r="O3" s="11">
        <v>46204</v>
      </c>
      <c r="P3" s="11">
        <v>46235</v>
      </c>
      <c r="Q3" s="9" t="s">
        <v>82</v>
      </c>
      <c r="R3" s="9" t="s">
        <v>83</v>
      </c>
      <c r="S3" s="10">
        <v>149.08000000000001</v>
      </c>
      <c r="T3" s="10">
        <v>0</v>
      </c>
      <c r="U3" s="10">
        <v>149.08000000000001</v>
      </c>
      <c r="V3" s="10">
        <v>100</v>
      </c>
      <c r="W3" s="12">
        <v>0.21</v>
      </c>
      <c r="X3" s="9">
        <v>31.31</v>
      </c>
    </row>
    <row r="4" spans="1:24" s="9" customFormat="1" x14ac:dyDescent="0.25">
      <c r="A4" s="9" t="s">
        <v>24</v>
      </c>
      <c r="B4" s="10">
        <v>16849453</v>
      </c>
      <c r="C4" s="10" t="s">
        <v>145</v>
      </c>
      <c r="D4" s="10" t="s">
        <v>150</v>
      </c>
      <c r="E4" s="10" t="s">
        <v>151</v>
      </c>
      <c r="F4" s="9" t="s">
        <v>33</v>
      </c>
      <c r="G4" s="9" t="s">
        <v>33</v>
      </c>
      <c r="H4" s="9" t="s">
        <v>42</v>
      </c>
      <c r="I4" s="9" t="s">
        <v>51</v>
      </c>
      <c r="J4" s="9" t="s">
        <v>134</v>
      </c>
      <c r="K4" s="9" t="s">
        <v>57</v>
      </c>
      <c r="L4" s="9" t="s">
        <v>59</v>
      </c>
      <c r="M4" s="9" t="s">
        <v>144</v>
      </c>
      <c r="N4" s="9" t="s">
        <v>63</v>
      </c>
      <c r="O4" s="11">
        <v>46266</v>
      </c>
      <c r="P4" s="11">
        <v>46296</v>
      </c>
      <c r="Q4" s="9" t="s">
        <v>82</v>
      </c>
      <c r="R4" s="9" t="s">
        <v>83</v>
      </c>
      <c r="S4" s="10">
        <v>166.99</v>
      </c>
      <c r="T4" s="10">
        <v>0</v>
      </c>
      <c r="U4" s="10">
        <v>166.99</v>
      </c>
      <c r="V4" s="10">
        <v>100</v>
      </c>
      <c r="W4" s="12">
        <v>0.23200000000000001</v>
      </c>
      <c r="X4" s="9">
        <v>38.74</v>
      </c>
    </row>
    <row r="5" spans="1:24" s="9" customFormat="1" x14ac:dyDescent="0.25">
      <c r="A5" s="9" t="s">
        <v>24</v>
      </c>
      <c r="B5" s="10">
        <v>16849453</v>
      </c>
      <c r="C5" s="10" t="s">
        <v>145</v>
      </c>
      <c r="D5" s="10" t="s">
        <v>150</v>
      </c>
      <c r="E5" s="10" t="s">
        <v>151</v>
      </c>
      <c r="F5" s="9" t="s">
        <v>35</v>
      </c>
      <c r="G5" s="9" t="s">
        <v>35</v>
      </c>
      <c r="H5" s="9" t="s">
        <v>44</v>
      </c>
      <c r="I5" s="9" t="s">
        <v>53</v>
      </c>
      <c r="J5" s="9" t="s">
        <v>136</v>
      </c>
      <c r="K5" s="9" t="s">
        <v>57</v>
      </c>
      <c r="L5" s="9" t="s">
        <v>59</v>
      </c>
      <c r="M5" s="9" t="s">
        <v>144</v>
      </c>
      <c r="N5" s="9" t="s">
        <v>63</v>
      </c>
      <c r="O5" s="11">
        <v>46235</v>
      </c>
      <c r="P5" s="11">
        <v>46266</v>
      </c>
      <c r="Q5" s="9" t="s">
        <v>82</v>
      </c>
      <c r="R5" s="9" t="s">
        <v>84</v>
      </c>
      <c r="S5" s="10">
        <v>275.58999999999997</v>
      </c>
      <c r="T5" s="10">
        <v>0</v>
      </c>
      <c r="U5" s="10">
        <v>275.58999999999997</v>
      </c>
      <c r="V5" s="10">
        <v>100</v>
      </c>
      <c r="W5" s="12">
        <v>0.23200000000000001</v>
      </c>
      <c r="X5" s="9">
        <v>63.94</v>
      </c>
    </row>
    <row r="6" spans="1:24" s="9" customFormat="1" x14ac:dyDescent="0.25">
      <c r="A6" s="9" t="s">
        <v>24</v>
      </c>
      <c r="B6" s="10">
        <v>16849453</v>
      </c>
      <c r="C6" s="10" t="s">
        <v>145</v>
      </c>
      <c r="D6" s="10" t="s">
        <v>150</v>
      </c>
      <c r="E6" s="10" t="s">
        <v>151</v>
      </c>
      <c r="F6" s="9" t="s">
        <v>36</v>
      </c>
      <c r="G6" s="9" t="s">
        <v>36</v>
      </c>
      <c r="H6" s="9" t="s">
        <v>45</v>
      </c>
      <c r="I6" s="9" t="s">
        <v>54</v>
      </c>
      <c r="J6" s="9" t="s">
        <v>137</v>
      </c>
      <c r="K6" s="9" t="s">
        <v>57</v>
      </c>
      <c r="L6" s="9" t="s">
        <v>59</v>
      </c>
      <c r="M6" s="9" t="s">
        <v>144</v>
      </c>
      <c r="N6" s="9" t="s">
        <v>63</v>
      </c>
      <c r="O6" s="11">
        <v>46235</v>
      </c>
      <c r="P6" s="11">
        <v>46266</v>
      </c>
      <c r="Q6" s="9" t="s">
        <v>82</v>
      </c>
      <c r="R6" s="9" t="s">
        <v>83</v>
      </c>
      <c r="S6" s="10">
        <v>166.99</v>
      </c>
      <c r="T6" s="10">
        <v>0</v>
      </c>
      <c r="U6" s="10">
        <v>166.99</v>
      </c>
      <c r="V6" s="10">
        <v>100</v>
      </c>
      <c r="W6" s="12">
        <v>0.23200000000000001</v>
      </c>
      <c r="X6" s="9">
        <v>38.74</v>
      </c>
    </row>
    <row r="7" spans="1:24" s="9" customFormat="1" x14ac:dyDescent="0.25">
      <c r="A7" s="9" t="s">
        <v>24</v>
      </c>
      <c r="B7" s="10">
        <v>16849453</v>
      </c>
      <c r="C7" s="10" t="s">
        <v>145</v>
      </c>
      <c r="D7" s="10" t="s">
        <v>150</v>
      </c>
      <c r="E7" s="10" t="s">
        <v>151</v>
      </c>
      <c r="F7" s="9" t="s">
        <v>37</v>
      </c>
      <c r="G7" s="9" t="s">
        <v>37</v>
      </c>
      <c r="H7" s="9" t="s">
        <v>46</v>
      </c>
      <c r="I7" s="9" t="s">
        <v>54</v>
      </c>
      <c r="J7" s="9" t="s">
        <v>138</v>
      </c>
      <c r="K7" s="9" t="s">
        <v>57</v>
      </c>
      <c r="L7" s="9" t="s">
        <v>59</v>
      </c>
      <c r="M7" s="9" t="s">
        <v>144</v>
      </c>
      <c r="N7" s="9" t="s">
        <v>63</v>
      </c>
      <c r="O7" s="11">
        <v>46235</v>
      </c>
      <c r="P7" s="11">
        <v>46266</v>
      </c>
      <c r="Q7" s="9" t="s">
        <v>82</v>
      </c>
      <c r="R7" s="9" t="s">
        <v>84</v>
      </c>
      <c r="S7" s="10">
        <v>160.6</v>
      </c>
      <c r="T7" s="10">
        <v>0</v>
      </c>
      <c r="U7" s="10">
        <v>160.6</v>
      </c>
      <c r="V7" s="10">
        <v>100</v>
      </c>
      <c r="W7" s="12">
        <v>0.23200000000000001</v>
      </c>
      <c r="X7" s="9">
        <v>37.26</v>
      </c>
    </row>
    <row r="8" spans="1:24" x14ac:dyDescent="0.25">
      <c r="A8" t="s">
        <v>21</v>
      </c>
      <c r="B8" s="5">
        <v>17528908</v>
      </c>
      <c r="C8" s="5">
        <v>17528908</v>
      </c>
      <c r="D8" s="5" t="s">
        <v>148</v>
      </c>
      <c r="E8" s="5" t="s">
        <v>149</v>
      </c>
      <c r="F8" t="s">
        <v>29</v>
      </c>
      <c r="G8" t="s">
        <v>29</v>
      </c>
      <c r="H8" t="s">
        <v>38</v>
      </c>
      <c r="I8" t="s">
        <v>47</v>
      </c>
      <c r="J8" t="s">
        <v>130</v>
      </c>
      <c r="K8" t="s">
        <v>55</v>
      </c>
      <c r="L8" t="s">
        <v>58</v>
      </c>
      <c r="M8" t="s">
        <v>140</v>
      </c>
      <c r="N8" t="s">
        <v>60</v>
      </c>
      <c r="O8" s="3">
        <v>45983</v>
      </c>
      <c r="P8" s="3">
        <v>46256</v>
      </c>
      <c r="Q8" t="s">
        <v>82</v>
      </c>
      <c r="R8" t="s">
        <v>83</v>
      </c>
      <c r="S8" s="5">
        <v>56.5</v>
      </c>
      <c r="T8" s="5">
        <v>0</v>
      </c>
      <c r="U8" s="5">
        <v>56.5</v>
      </c>
      <c r="V8" s="5">
        <v>100</v>
      </c>
      <c r="W8" s="6">
        <v>0.25</v>
      </c>
      <c r="X8">
        <v>14.13</v>
      </c>
    </row>
    <row r="9" spans="1:24" s="9" customFormat="1" x14ac:dyDescent="0.25">
      <c r="A9" s="9" t="s">
        <v>22</v>
      </c>
      <c r="B9" s="10">
        <v>8812322</v>
      </c>
      <c r="C9" s="10" t="s">
        <v>146</v>
      </c>
      <c r="D9" s="10" t="s">
        <v>150</v>
      </c>
      <c r="E9" s="10" t="s">
        <v>151</v>
      </c>
      <c r="F9" s="9" t="s">
        <v>30</v>
      </c>
      <c r="G9" s="9" t="s">
        <v>30</v>
      </c>
      <c r="H9" s="9" t="s">
        <v>39</v>
      </c>
      <c r="I9" s="9" t="s">
        <v>48</v>
      </c>
      <c r="J9" s="9" t="s">
        <v>131</v>
      </c>
      <c r="K9" s="9" t="s">
        <v>56</v>
      </c>
      <c r="L9" s="9" t="s">
        <v>58</v>
      </c>
      <c r="M9" s="9" t="s">
        <v>140</v>
      </c>
      <c r="N9" s="9" t="s">
        <v>61</v>
      </c>
      <c r="O9" s="11">
        <v>46226</v>
      </c>
      <c r="P9" s="11">
        <v>46257</v>
      </c>
      <c r="Q9" s="9" t="s">
        <v>82</v>
      </c>
      <c r="R9" s="9" t="s">
        <v>83</v>
      </c>
      <c r="S9" s="10">
        <v>111.8</v>
      </c>
      <c r="T9" s="10">
        <v>0</v>
      </c>
      <c r="U9" s="10">
        <v>111.8</v>
      </c>
      <c r="V9" s="10">
        <v>100</v>
      </c>
      <c r="W9" s="12">
        <v>0.25</v>
      </c>
      <c r="X9" s="9">
        <v>27.95</v>
      </c>
    </row>
    <row r="10" spans="1:24" s="9" customFormat="1" x14ac:dyDescent="0.25">
      <c r="A10" s="9" t="s">
        <v>23</v>
      </c>
      <c r="B10" s="10">
        <v>8244481</v>
      </c>
      <c r="C10" s="10" t="s">
        <v>147</v>
      </c>
      <c r="D10" s="10" t="s">
        <v>150</v>
      </c>
      <c r="E10" s="10" t="s">
        <v>151</v>
      </c>
      <c r="F10" s="9" t="s">
        <v>31</v>
      </c>
      <c r="G10" s="9" t="s">
        <v>31</v>
      </c>
      <c r="H10" s="9" t="s">
        <v>40</v>
      </c>
      <c r="I10" s="9" t="s">
        <v>49</v>
      </c>
      <c r="J10" s="9" t="s">
        <v>132</v>
      </c>
      <c r="K10" s="9" t="s">
        <v>56</v>
      </c>
      <c r="L10" s="9" t="s">
        <v>58</v>
      </c>
      <c r="M10" s="9" t="s">
        <v>140</v>
      </c>
      <c r="N10" s="9" t="s">
        <v>61</v>
      </c>
      <c r="O10" s="11">
        <v>46235</v>
      </c>
      <c r="P10" s="11">
        <v>46266</v>
      </c>
      <c r="Q10" s="9" t="s">
        <v>82</v>
      </c>
      <c r="R10" s="9" t="s">
        <v>83</v>
      </c>
      <c r="S10" s="10">
        <v>46.95</v>
      </c>
      <c r="T10" s="10">
        <v>0</v>
      </c>
      <c r="U10" s="10">
        <v>46.95</v>
      </c>
      <c r="V10" s="10">
        <v>100</v>
      </c>
      <c r="W10" s="12">
        <v>0.25</v>
      </c>
      <c r="X10" s="9">
        <v>11.74</v>
      </c>
    </row>
    <row r="11" spans="1:24" s="2" customFormat="1" x14ac:dyDescent="0.25">
      <c r="A11" s="2" t="s">
        <v>104</v>
      </c>
      <c r="B11" s="7">
        <v>18710070</v>
      </c>
      <c r="C11" s="7" t="str">
        <f>CONCATENATE(B11,"OVR")</f>
        <v>18710070OVR</v>
      </c>
      <c r="D11" s="7" t="s">
        <v>148</v>
      </c>
      <c r="E11" s="7" t="s">
        <v>149</v>
      </c>
      <c r="F11" s="2" t="s">
        <v>106</v>
      </c>
      <c r="G11" s="2" t="str">
        <f>CONCATENATE(F11,"OVR")</f>
        <v>H711061009OVR</v>
      </c>
      <c r="H11" s="2" t="s">
        <v>107</v>
      </c>
      <c r="I11" s="2" t="s">
        <v>108</v>
      </c>
      <c r="J11" s="2" t="s">
        <v>139</v>
      </c>
      <c r="K11" s="2" t="s">
        <v>55</v>
      </c>
      <c r="L11" s="2" t="s">
        <v>58</v>
      </c>
      <c r="M11" s="2" t="s">
        <v>142</v>
      </c>
      <c r="N11" s="2" t="s">
        <v>60</v>
      </c>
      <c r="O11" s="4">
        <v>45962</v>
      </c>
      <c r="P11" s="4">
        <v>46266</v>
      </c>
      <c r="Q11" s="2" t="s">
        <v>82</v>
      </c>
      <c r="R11" s="2" t="s">
        <v>83</v>
      </c>
      <c r="S11" s="7">
        <v>68.45</v>
      </c>
      <c r="T11" s="7">
        <v>0</v>
      </c>
      <c r="U11" s="2">
        <v>6.5</v>
      </c>
      <c r="V11" s="7">
        <v>100</v>
      </c>
      <c r="W11" s="8">
        <v>9.5000000000000001E-2</v>
      </c>
      <c r="X11" s="2">
        <v>6.5</v>
      </c>
    </row>
    <row r="12" spans="1:24" s="2" customFormat="1" x14ac:dyDescent="0.25">
      <c r="A12" s="2" t="s">
        <v>21</v>
      </c>
      <c r="B12" s="7">
        <v>17528908</v>
      </c>
      <c r="C12" s="7" t="str">
        <f t="shared" ref="C12:C20" si="0">CONCATENATE(B12,"OVR")</f>
        <v>17528908OVR</v>
      </c>
      <c r="D12" s="7" t="s">
        <v>148</v>
      </c>
      <c r="E12" s="7" t="s">
        <v>149</v>
      </c>
      <c r="F12" s="2" t="s">
        <v>29</v>
      </c>
      <c r="G12" s="2" t="str">
        <f t="shared" ref="G12:G20" si="1">CONCATENATE(F12,"OVR")</f>
        <v>H711071682OVR</v>
      </c>
      <c r="H12" s="2" t="s">
        <v>38</v>
      </c>
      <c r="I12" s="2" t="s">
        <v>47</v>
      </c>
      <c r="J12" s="2" t="s">
        <v>130</v>
      </c>
      <c r="K12" s="2" t="s">
        <v>55</v>
      </c>
      <c r="L12" s="2" t="s">
        <v>58</v>
      </c>
      <c r="M12" s="2" t="s">
        <v>142</v>
      </c>
      <c r="N12" s="2" t="s">
        <v>60</v>
      </c>
      <c r="O12" s="4">
        <v>45983</v>
      </c>
      <c r="P12" s="4">
        <v>46256</v>
      </c>
      <c r="Q12" s="2" t="s">
        <v>82</v>
      </c>
      <c r="R12" s="2" t="s">
        <v>83</v>
      </c>
      <c r="S12" s="7">
        <v>56.5</v>
      </c>
      <c r="T12" s="7">
        <v>0</v>
      </c>
      <c r="U12" s="2">
        <v>5.37</v>
      </c>
      <c r="V12" s="7">
        <v>100</v>
      </c>
      <c r="W12" s="8">
        <v>9.5000000000000001E-2</v>
      </c>
      <c r="X12" s="2">
        <v>5.37</v>
      </c>
    </row>
    <row r="13" spans="1:24" s="2" customFormat="1" x14ac:dyDescent="0.25">
      <c r="A13" s="2" t="s">
        <v>22</v>
      </c>
      <c r="B13" s="7">
        <v>8812322</v>
      </c>
      <c r="C13" s="7" t="str">
        <f t="shared" si="0"/>
        <v>8812322OVR</v>
      </c>
      <c r="D13" s="7" t="s">
        <v>148</v>
      </c>
      <c r="E13" s="7" t="s">
        <v>149</v>
      </c>
      <c r="F13" s="2" t="s">
        <v>30</v>
      </c>
      <c r="G13" s="2" t="str">
        <f t="shared" si="1"/>
        <v>H711176941OVR</v>
      </c>
      <c r="H13" s="2" t="s">
        <v>39</v>
      </c>
      <c r="I13" s="2" t="s">
        <v>48</v>
      </c>
      <c r="J13" s="2" t="s">
        <v>131</v>
      </c>
      <c r="K13" s="2" t="s">
        <v>56</v>
      </c>
      <c r="L13" s="2" t="s">
        <v>58</v>
      </c>
      <c r="M13" s="2" t="s">
        <v>142</v>
      </c>
      <c r="N13" s="2" t="s">
        <v>61</v>
      </c>
      <c r="O13" s="4">
        <v>46226</v>
      </c>
      <c r="P13" s="4">
        <v>46257</v>
      </c>
      <c r="Q13" s="2" t="s">
        <v>82</v>
      </c>
      <c r="R13" s="2" t="s">
        <v>83</v>
      </c>
      <c r="S13" s="7">
        <v>111.8</v>
      </c>
      <c r="T13" s="7">
        <v>0</v>
      </c>
      <c r="U13" s="2">
        <v>12.86</v>
      </c>
      <c r="V13" s="7">
        <v>100</v>
      </c>
      <c r="W13" s="8">
        <v>0.115</v>
      </c>
      <c r="X13" s="2">
        <v>12.86</v>
      </c>
    </row>
    <row r="14" spans="1:24" s="2" customFormat="1" x14ac:dyDescent="0.25">
      <c r="A14" s="2" t="s">
        <v>23</v>
      </c>
      <c r="B14" s="7">
        <v>8244481</v>
      </c>
      <c r="C14" s="7" t="str">
        <f t="shared" si="0"/>
        <v>8244481OVR</v>
      </c>
      <c r="D14" s="7" t="s">
        <v>148</v>
      </c>
      <c r="E14" s="7" t="s">
        <v>149</v>
      </c>
      <c r="F14" s="2" t="s">
        <v>31</v>
      </c>
      <c r="G14" s="2" t="str">
        <f t="shared" si="1"/>
        <v>H711175678OVR</v>
      </c>
      <c r="H14" s="2" t="s">
        <v>40</v>
      </c>
      <c r="I14" s="2" t="s">
        <v>49</v>
      </c>
      <c r="J14" s="2" t="s">
        <v>132</v>
      </c>
      <c r="K14" s="2" t="s">
        <v>56</v>
      </c>
      <c r="L14" s="2" t="s">
        <v>58</v>
      </c>
      <c r="M14" s="2" t="s">
        <v>142</v>
      </c>
      <c r="N14" s="2" t="s">
        <v>61</v>
      </c>
      <c r="O14" s="4">
        <v>46235</v>
      </c>
      <c r="P14" s="4">
        <v>46266</v>
      </c>
      <c r="Q14" s="2" t="s">
        <v>82</v>
      </c>
      <c r="R14" s="2" t="s">
        <v>83</v>
      </c>
      <c r="S14" s="7">
        <v>46.95</v>
      </c>
      <c r="T14" s="7">
        <v>0</v>
      </c>
      <c r="U14" s="2">
        <v>5.4</v>
      </c>
      <c r="V14" s="7">
        <v>100</v>
      </c>
      <c r="W14" s="8">
        <v>0.115</v>
      </c>
      <c r="X14" s="2">
        <v>5.4</v>
      </c>
    </row>
    <row r="15" spans="1:24" s="2" customFormat="1" x14ac:dyDescent="0.25">
      <c r="A15" s="2" t="s">
        <v>24</v>
      </c>
      <c r="B15" s="7">
        <v>16849453</v>
      </c>
      <c r="C15" s="7" t="str">
        <f t="shared" si="0"/>
        <v>16849453OVR</v>
      </c>
      <c r="D15" s="7" t="s">
        <v>148</v>
      </c>
      <c r="E15" s="7" t="s">
        <v>149</v>
      </c>
      <c r="F15" s="2" t="s">
        <v>32</v>
      </c>
      <c r="G15" s="2" t="str">
        <f t="shared" si="1"/>
        <v>H750097916OVR</v>
      </c>
      <c r="H15" s="2" t="s">
        <v>41</v>
      </c>
      <c r="I15" s="2" t="s">
        <v>50</v>
      </c>
      <c r="J15" s="2" t="s">
        <v>133</v>
      </c>
      <c r="K15" s="2" t="s">
        <v>57</v>
      </c>
      <c r="L15" s="2" t="s">
        <v>59</v>
      </c>
      <c r="M15" s="2" t="s">
        <v>142</v>
      </c>
      <c r="N15" s="2" t="s">
        <v>62</v>
      </c>
      <c r="O15" s="4">
        <v>46082</v>
      </c>
      <c r="P15" s="4">
        <v>46266</v>
      </c>
      <c r="Q15" s="2" t="s">
        <v>82</v>
      </c>
      <c r="R15" s="2" t="s">
        <v>84</v>
      </c>
      <c r="S15" s="7">
        <v>201.99</v>
      </c>
      <c r="T15" s="7">
        <v>0</v>
      </c>
      <c r="U15" s="2">
        <v>7.27</v>
      </c>
      <c r="V15" s="7">
        <v>100</v>
      </c>
      <c r="W15" s="8">
        <v>3.5999999999999997E-2</v>
      </c>
      <c r="X15" s="2">
        <v>7.27</v>
      </c>
    </row>
    <row r="16" spans="1:24" s="2" customFormat="1" x14ac:dyDescent="0.25">
      <c r="A16" s="2" t="s">
        <v>24</v>
      </c>
      <c r="B16" s="7">
        <v>16849453</v>
      </c>
      <c r="C16" s="7" t="str">
        <f t="shared" si="0"/>
        <v>16849453OVR</v>
      </c>
      <c r="D16" s="7" t="s">
        <v>148</v>
      </c>
      <c r="E16" s="7" t="s">
        <v>149</v>
      </c>
      <c r="F16" s="2" t="s">
        <v>33</v>
      </c>
      <c r="G16" s="2" t="str">
        <f t="shared" si="1"/>
        <v>H750112492OVR</v>
      </c>
      <c r="H16" s="2" t="s">
        <v>42</v>
      </c>
      <c r="I16" s="2" t="s">
        <v>51</v>
      </c>
      <c r="J16" s="2" t="s">
        <v>134</v>
      </c>
      <c r="K16" s="2" t="s">
        <v>57</v>
      </c>
      <c r="L16" s="2" t="s">
        <v>59</v>
      </c>
      <c r="M16" s="2" t="s">
        <v>142</v>
      </c>
      <c r="N16" s="2" t="s">
        <v>63</v>
      </c>
      <c r="O16" s="4">
        <v>46266</v>
      </c>
      <c r="P16" s="4">
        <v>46296</v>
      </c>
      <c r="Q16" s="2" t="s">
        <v>82</v>
      </c>
      <c r="R16" s="2" t="s">
        <v>83</v>
      </c>
      <c r="S16" s="7">
        <v>166.99</v>
      </c>
      <c r="T16" s="7">
        <v>0</v>
      </c>
      <c r="U16" s="2">
        <v>7.68</v>
      </c>
      <c r="V16" s="7">
        <v>100</v>
      </c>
      <c r="W16" s="8">
        <v>4.5999999999999999E-2</v>
      </c>
      <c r="X16" s="2">
        <v>7.68</v>
      </c>
    </row>
    <row r="17" spans="1:24" s="2" customFormat="1" x14ac:dyDescent="0.25">
      <c r="A17" s="2" t="s">
        <v>24</v>
      </c>
      <c r="B17" s="7">
        <v>16849453</v>
      </c>
      <c r="C17" s="7" t="str">
        <f t="shared" si="0"/>
        <v>16849453OVR</v>
      </c>
      <c r="D17" s="7" t="s">
        <v>148</v>
      </c>
      <c r="E17" s="7" t="s">
        <v>149</v>
      </c>
      <c r="F17" s="2" t="s">
        <v>34</v>
      </c>
      <c r="G17" s="2" t="str">
        <f t="shared" si="1"/>
        <v>H750110947OVR</v>
      </c>
      <c r="H17" s="2" t="s">
        <v>43</v>
      </c>
      <c r="I17" s="2" t="s">
        <v>52</v>
      </c>
      <c r="J17" s="2" t="s">
        <v>135</v>
      </c>
      <c r="K17" s="2" t="s">
        <v>57</v>
      </c>
      <c r="L17" s="2" t="s">
        <v>59</v>
      </c>
      <c r="M17" s="2" t="s">
        <v>142</v>
      </c>
      <c r="N17" s="2" t="s">
        <v>64</v>
      </c>
      <c r="O17" s="4">
        <v>46204</v>
      </c>
      <c r="P17" s="4">
        <v>46235</v>
      </c>
      <c r="Q17" s="2" t="s">
        <v>82</v>
      </c>
      <c r="R17" s="2" t="s">
        <v>83</v>
      </c>
      <c r="S17" s="7">
        <v>149.08000000000001</v>
      </c>
      <c r="T17" s="7">
        <v>0</v>
      </c>
      <c r="U17" s="2">
        <v>6.86</v>
      </c>
      <c r="V17" s="7">
        <v>100</v>
      </c>
      <c r="W17" s="8">
        <v>4.5999999999999999E-2</v>
      </c>
      <c r="X17" s="2">
        <v>6.86</v>
      </c>
    </row>
    <row r="18" spans="1:24" s="2" customFormat="1" x14ac:dyDescent="0.25">
      <c r="A18" s="2" t="s">
        <v>24</v>
      </c>
      <c r="B18" s="7">
        <v>16849453</v>
      </c>
      <c r="C18" s="7" t="str">
        <f t="shared" si="0"/>
        <v>16849453OVR</v>
      </c>
      <c r="D18" s="7" t="s">
        <v>148</v>
      </c>
      <c r="E18" s="7" t="s">
        <v>149</v>
      </c>
      <c r="F18" s="2" t="s">
        <v>35</v>
      </c>
      <c r="G18" s="2" t="str">
        <f t="shared" si="1"/>
        <v>H750112626OVR</v>
      </c>
      <c r="H18" s="2" t="s">
        <v>44</v>
      </c>
      <c r="I18" s="2" t="s">
        <v>53</v>
      </c>
      <c r="J18" s="2" t="s">
        <v>136</v>
      </c>
      <c r="K18" s="2" t="s">
        <v>57</v>
      </c>
      <c r="L18" s="2" t="s">
        <v>59</v>
      </c>
      <c r="M18" s="2" t="s">
        <v>142</v>
      </c>
      <c r="N18" s="2" t="s">
        <v>63</v>
      </c>
      <c r="O18" s="4">
        <v>46235</v>
      </c>
      <c r="P18" s="4">
        <v>46266</v>
      </c>
      <c r="Q18" s="2" t="s">
        <v>82</v>
      </c>
      <c r="R18" s="2" t="s">
        <v>84</v>
      </c>
      <c r="S18" s="7">
        <v>275.58999999999997</v>
      </c>
      <c r="T18" s="7">
        <v>0</v>
      </c>
      <c r="U18" s="2">
        <v>3.44</v>
      </c>
      <c r="V18" s="7">
        <v>100</v>
      </c>
      <c r="W18" s="8">
        <v>1.2500000000000001E-2</v>
      </c>
      <c r="X18" s="2">
        <v>3.44</v>
      </c>
    </row>
    <row r="19" spans="1:24" s="2" customFormat="1" x14ac:dyDescent="0.25">
      <c r="A19" s="2" t="s">
        <v>24</v>
      </c>
      <c r="B19" s="7">
        <v>16849453</v>
      </c>
      <c r="C19" s="7" t="str">
        <f t="shared" si="0"/>
        <v>16849453OVR</v>
      </c>
      <c r="D19" s="7" t="s">
        <v>148</v>
      </c>
      <c r="E19" s="7" t="s">
        <v>149</v>
      </c>
      <c r="F19" s="2" t="s">
        <v>36</v>
      </c>
      <c r="G19" s="2" t="str">
        <f t="shared" si="1"/>
        <v>H750112578OVR</v>
      </c>
      <c r="H19" s="2" t="s">
        <v>45</v>
      </c>
      <c r="I19" s="2" t="s">
        <v>54</v>
      </c>
      <c r="J19" s="2" t="s">
        <v>137</v>
      </c>
      <c r="K19" s="2" t="s">
        <v>57</v>
      </c>
      <c r="L19" s="2" t="s">
        <v>59</v>
      </c>
      <c r="M19" s="2" t="s">
        <v>142</v>
      </c>
      <c r="N19" s="2" t="s">
        <v>63</v>
      </c>
      <c r="O19" s="4">
        <v>46235</v>
      </c>
      <c r="P19" s="4">
        <v>46266</v>
      </c>
      <c r="Q19" s="2" t="s">
        <v>82</v>
      </c>
      <c r="R19" s="2" t="s">
        <v>83</v>
      </c>
      <c r="S19" s="7">
        <v>166.99</v>
      </c>
      <c r="T19" s="7">
        <v>0</v>
      </c>
      <c r="U19" s="2">
        <v>2.09</v>
      </c>
      <c r="V19" s="7">
        <v>100</v>
      </c>
      <c r="W19" s="8">
        <v>1.2500000000000001E-2</v>
      </c>
      <c r="X19" s="2">
        <v>2.09</v>
      </c>
    </row>
    <row r="20" spans="1:24" s="2" customFormat="1" x14ac:dyDescent="0.25">
      <c r="A20" s="2" t="s">
        <v>24</v>
      </c>
      <c r="B20" s="7">
        <v>16849453</v>
      </c>
      <c r="C20" s="7" t="str">
        <f t="shared" si="0"/>
        <v>16849453OVR</v>
      </c>
      <c r="D20" s="7" t="s">
        <v>148</v>
      </c>
      <c r="E20" s="7" t="s">
        <v>149</v>
      </c>
      <c r="F20" s="2" t="s">
        <v>37</v>
      </c>
      <c r="G20" s="2" t="str">
        <f t="shared" si="1"/>
        <v>H750112990OVR</v>
      </c>
      <c r="H20" s="2" t="s">
        <v>46</v>
      </c>
      <c r="I20" s="2" t="s">
        <v>54</v>
      </c>
      <c r="J20" s="2" t="s">
        <v>138</v>
      </c>
      <c r="K20" s="2" t="s">
        <v>57</v>
      </c>
      <c r="L20" s="2" t="s">
        <v>59</v>
      </c>
      <c r="M20" s="2" t="s">
        <v>142</v>
      </c>
      <c r="N20" s="2" t="s">
        <v>63</v>
      </c>
      <c r="O20" s="4">
        <v>46235</v>
      </c>
      <c r="P20" s="4">
        <v>46266</v>
      </c>
      <c r="Q20" s="2" t="s">
        <v>82</v>
      </c>
      <c r="R20" s="2" t="s">
        <v>84</v>
      </c>
      <c r="S20" s="7">
        <v>160.6</v>
      </c>
      <c r="T20" s="7">
        <v>0</v>
      </c>
      <c r="U20" s="2">
        <v>9.64</v>
      </c>
      <c r="V20" s="7">
        <v>100</v>
      </c>
      <c r="W20" s="8">
        <v>0.06</v>
      </c>
      <c r="X20" s="2">
        <v>9.64</v>
      </c>
    </row>
  </sheetData>
  <sortState xmlns:xlrd2="http://schemas.microsoft.com/office/spreadsheetml/2017/richdata2" ref="A2:AA10">
    <sortCondition ref="W2:W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>
      <selection activeCell="A2" sqref="A2:XFD1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55</v>
      </c>
      <c r="G2" t="s">
        <v>58</v>
      </c>
      <c r="H2" t="s">
        <v>60</v>
      </c>
      <c r="I2" t="s">
        <v>69</v>
      </c>
      <c r="J2" t="s">
        <v>72</v>
      </c>
      <c r="K2" t="s">
        <v>109</v>
      </c>
      <c r="L2" t="s">
        <v>82</v>
      </c>
      <c r="M2" t="s">
        <v>83</v>
      </c>
      <c r="N2" t="s">
        <v>110</v>
      </c>
      <c r="O2" t="s">
        <v>111</v>
      </c>
      <c r="P2" t="s">
        <v>96</v>
      </c>
      <c r="Q2" t="s">
        <v>111</v>
      </c>
      <c r="R2" t="s">
        <v>97</v>
      </c>
      <c r="S2" t="s">
        <v>112</v>
      </c>
      <c r="T2">
        <v>6.5</v>
      </c>
    </row>
    <row r="3" spans="1:20" x14ac:dyDescent="0.25">
      <c r="A3" t="s">
        <v>21</v>
      </c>
      <c r="B3" t="s">
        <v>25</v>
      </c>
      <c r="C3" t="s">
        <v>29</v>
      </c>
      <c r="D3" t="s">
        <v>38</v>
      </c>
      <c r="E3" t="s">
        <v>47</v>
      </c>
      <c r="F3" t="s">
        <v>55</v>
      </c>
      <c r="G3" t="s">
        <v>58</v>
      </c>
      <c r="H3" t="s">
        <v>60</v>
      </c>
      <c r="I3" t="s">
        <v>65</v>
      </c>
      <c r="J3" t="s">
        <v>70</v>
      </c>
      <c r="K3" t="s">
        <v>75</v>
      </c>
      <c r="L3" t="s">
        <v>82</v>
      </c>
      <c r="M3" t="s">
        <v>83</v>
      </c>
      <c r="N3" t="s">
        <v>85</v>
      </c>
      <c r="O3" t="s">
        <v>88</v>
      </c>
      <c r="P3" t="s">
        <v>96</v>
      </c>
      <c r="Q3" t="s">
        <v>88</v>
      </c>
      <c r="R3" t="s">
        <v>97</v>
      </c>
      <c r="S3" t="s">
        <v>112</v>
      </c>
      <c r="T3">
        <v>5.37</v>
      </c>
    </row>
    <row r="4" spans="1:20" x14ac:dyDescent="0.25">
      <c r="A4" t="s">
        <v>22</v>
      </c>
      <c r="B4" t="s">
        <v>26</v>
      </c>
      <c r="C4" t="s">
        <v>30</v>
      </c>
      <c r="D4" t="s">
        <v>39</v>
      </c>
      <c r="E4" t="s">
        <v>48</v>
      </c>
      <c r="F4" t="s">
        <v>56</v>
      </c>
      <c r="G4" t="s">
        <v>58</v>
      </c>
      <c r="H4" t="s">
        <v>61</v>
      </c>
      <c r="I4" t="s">
        <v>66</v>
      </c>
      <c r="J4" t="s">
        <v>71</v>
      </c>
      <c r="K4" t="s">
        <v>76</v>
      </c>
      <c r="L4" t="s">
        <v>82</v>
      </c>
      <c r="M4" t="s">
        <v>83</v>
      </c>
      <c r="N4" t="s">
        <v>86</v>
      </c>
      <c r="O4" t="s">
        <v>89</v>
      </c>
      <c r="P4" t="s">
        <v>96</v>
      </c>
      <c r="Q4" t="s">
        <v>89</v>
      </c>
      <c r="R4" t="s">
        <v>97</v>
      </c>
      <c r="S4" t="s">
        <v>113</v>
      </c>
      <c r="T4">
        <v>12.86</v>
      </c>
    </row>
    <row r="5" spans="1:20" x14ac:dyDescent="0.25">
      <c r="A5" t="s">
        <v>23</v>
      </c>
      <c r="B5" t="s">
        <v>27</v>
      </c>
      <c r="C5" t="s">
        <v>31</v>
      </c>
      <c r="D5" t="s">
        <v>40</v>
      </c>
      <c r="E5" t="s">
        <v>49</v>
      </c>
      <c r="F5" t="s">
        <v>56</v>
      </c>
      <c r="G5" t="s">
        <v>58</v>
      </c>
      <c r="H5" t="s">
        <v>61</v>
      </c>
      <c r="I5" t="s">
        <v>67</v>
      </c>
      <c r="J5" t="s">
        <v>72</v>
      </c>
      <c r="K5" t="s">
        <v>77</v>
      </c>
      <c r="L5" t="s">
        <v>82</v>
      </c>
      <c r="M5" t="s">
        <v>83</v>
      </c>
      <c r="N5" t="s">
        <v>86</v>
      </c>
      <c r="O5" t="s">
        <v>90</v>
      </c>
      <c r="P5" t="s">
        <v>96</v>
      </c>
      <c r="Q5" t="s">
        <v>90</v>
      </c>
      <c r="R5" t="s">
        <v>97</v>
      </c>
      <c r="S5" t="s">
        <v>113</v>
      </c>
      <c r="T5">
        <v>5.4</v>
      </c>
    </row>
    <row r="6" spans="1:20" x14ac:dyDescent="0.25">
      <c r="A6" t="s">
        <v>24</v>
      </c>
      <c r="B6" t="s">
        <v>28</v>
      </c>
      <c r="C6" t="s">
        <v>32</v>
      </c>
      <c r="D6" t="s">
        <v>41</v>
      </c>
      <c r="E6" t="s">
        <v>50</v>
      </c>
      <c r="F6" t="s">
        <v>57</v>
      </c>
      <c r="G6" t="s">
        <v>59</v>
      </c>
      <c r="H6" t="s">
        <v>62</v>
      </c>
      <c r="I6" t="s">
        <v>67</v>
      </c>
      <c r="J6" t="s">
        <v>72</v>
      </c>
      <c r="K6" t="s">
        <v>78</v>
      </c>
      <c r="L6" t="s">
        <v>82</v>
      </c>
      <c r="M6" t="s">
        <v>84</v>
      </c>
      <c r="N6" t="s">
        <v>87</v>
      </c>
      <c r="O6" t="s">
        <v>91</v>
      </c>
      <c r="P6" t="s">
        <v>96</v>
      </c>
      <c r="Q6" t="s">
        <v>91</v>
      </c>
      <c r="R6" t="s">
        <v>97</v>
      </c>
      <c r="S6" t="s">
        <v>114</v>
      </c>
      <c r="T6">
        <v>7.27</v>
      </c>
    </row>
    <row r="7" spans="1:20" x14ac:dyDescent="0.25">
      <c r="A7" t="s">
        <v>24</v>
      </c>
      <c r="B7" t="s">
        <v>28</v>
      </c>
      <c r="C7" t="s">
        <v>33</v>
      </c>
      <c r="D7" t="s">
        <v>42</v>
      </c>
      <c r="E7" t="s">
        <v>51</v>
      </c>
      <c r="F7" t="s">
        <v>57</v>
      </c>
      <c r="G7" t="s">
        <v>59</v>
      </c>
      <c r="H7" t="s">
        <v>63</v>
      </c>
      <c r="I7" t="s">
        <v>67</v>
      </c>
      <c r="J7" t="s">
        <v>73</v>
      </c>
      <c r="K7" t="s">
        <v>79</v>
      </c>
      <c r="L7" t="s">
        <v>82</v>
      </c>
      <c r="M7" t="s">
        <v>83</v>
      </c>
      <c r="N7" t="s">
        <v>86</v>
      </c>
      <c r="O7" t="s">
        <v>92</v>
      </c>
      <c r="P7" t="s">
        <v>96</v>
      </c>
      <c r="Q7" t="s">
        <v>92</v>
      </c>
      <c r="R7" t="s">
        <v>97</v>
      </c>
      <c r="S7" t="s">
        <v>115</v>
      </c>
      <c r="T7">
        <v>7.68</v>
      </c>
    </row>
    <row r="8" spans="1:20" x14ac:dyDescent="0.25">
      <c r="A8" t="s">
        <v>24</v>
      </c>
      <c r="B8" t="s">
        <v>28</v>
      </c>
      <c r="C8" t="s">
        <v>34</v>
      </c>
      <c r="D8" t="s">
        <v>43</v>
      </c>
      <c r="E8" t="s">
        <v>52</v>
      </c>
      <c r="F8" t="s">
        <v>57</v>
      </c>
      <c r="G8" t="s">
        <v>59</v>
      </c>
      <c r="H8" t="s">
        <v>64</v>
      </c>
      <c r="I8" t="s">
        <v>67</v>
      </c>
      <c r="J8" t="s">
        <v>74</v>
      </c>
      <c r="K8" t="s">
        <v>80</v>
      </c>
      <c r="L8" t="s">
        <v>82</v>
      </c>
      <c r="M8" t="s">
        <v>83</v>
      </c>
      <c r="N8" t="s">
        <v>86</v>
      </c>
      <c r="O8" t="s">
        <v>93</v>
      </c>
      <c r="P8" t="s">
        <v>96</v>
      </c>
      <c r="Q8" t="s">
        <v>93</v>
      </c>
      <c r="R8" t="s">
        <v>97</v>
      </c>
      <c r="S8" t="s">
        <v>115</v>
      </c>
      <c r="T8">
        <v>6.86</v>
      </c>
    </row>
    <row r="9" spans="1:20" x14ac:dyDescent="0.25">
      <c r="A9" t="s">
        <v>24</v>
      </c>
      <c r="B9" t="s">
        <v>28</v>
      </c>
      <c r="C9" t="s">
        <v>35</v>
      </c>
      <c r="D9" t="s">
        <v>44</v>
      </c>
      <c r="E9" t="s">
        <v>53</v>
      </c>
      <c r="F9" t="s">
        <v>57</v>
      </c>
      <c r="G9" t="s">
        <v>59</v>
      </c>
      <c r="H9" t="s">
        <v>63</v>
      </c>
      <c r="I9" t="s">
        <v>68</v>
      </c>
      <c r="J9" t="s">
        <v>72</v>
      </c>
      <c r="K9" t="s">
        <v>81</v>
      </c>
      <c r="L9" t="s">
        <v>82</v>
      </c>
      <c r="M9" t="s">
        <v>84</v>
      </c>
      <c r="N9" t="s">
        <v>86</v>
      </c>
      <c r="O9" t="s">
        <v>94</v>
      </c>
      <c r="P9" t="s">
        <v>96</v>
      </c>
      <c r="Q9" t="s">
        <v>94</v>
      </c>
      <c r="R9" t="s">
        <v>97</v>
      </c>
      <c r="S9" t="s">
        <v>116</v>
      </c>
      <c r="T9">
        <v>3.44</v>
      </c>
    </row>
    <row r="10" spans="1:20" x14ac:dyDescent="0.25">
      <c r="A10" t="s">
        <v>24</v>
      </c>
      <c r="B10" t="s">
        <v>28</v>
      </c>
      <c r="C10" t="s">
        <v>36</v>
      </c>
      <c r="D10" t="s">
        <v>45</v>
      </c>
      <c r="E10" t="s">
        <v>54</v>
      </c>
      <c r="F10" t="s">
        <v>57</v>
      </c>
      <c r="G10" t="s">
        <v>59</v>
      </c>
      <c r="H10" t="s">
        <v>63</v>
      </c>
      <c r="I10" t="s">
        <v>65</v>
      </c>
      <c r="J10" t="s">
        <v>72</v>
      </c>
      <c r="K10" t="s">
        <v>75</v>
      </c>
      <c r="L10" t="s">
        <v>82</v>
      </c>
      <c r="M10" t="s">
        <v>83</v>
      </c>
      <c r="N10" t="s">
        <v>86</v>
      </c>
      <c r="O10" t="s">
        <v>92</v>
      </c>
      <c r="P10" t="s">
        <v>96</v>
      </c>
      <c r="Q10" t="s">
        <v>92</v>
      </c>
      <c r="R10" t="s">
        <v>97</v>
      </c>
      <c r="S10" t="s">
        <v>116</v>
      </c>
      <c r="T10">
        <v>2.09</v>
      </c>
    </row>
    <row r="11" spans="1:20" x14ac:dyDescent="0.25">
      <c r="A11" t="s">
        <v>24</v>
      </c>
      <c r="B11" t="s">
        <v>28</v>
      </c>
      <c r="C11" t="s">
        <v>37</v>
      </c>
      <c r="D11" t="s">
        <v>46</v>
      </c>
      <c r="E11" t="s">
        <v>54</v>
      </c>
      <c r="F11" t="s">
        <v>57</v>
      </c>
      <c r="G11" t="s">
        <v>59</v>
      </c>
      <c r="H11" t="s">
        <v>63</v>
      </c>
      <c r="I11" t="s">
        <v>69</v>
      </c>
      <c r="J11" t="s">
        <v>72</v>
      </c>
      <c r="K11" t="s">
        <v>75</v>
      </c>
      <c r="L11" t="s">
        <v>82</v>
      </c>
      <c r="M11" t="s">
        <v>84</v>
      </c>
      <c r="N11" t="s">
        <v>86</v>
      </c>
      <c r="O11" t="s">
        <v>95</v>
      </c>
      <c r="P11" t="s">
        <v>96</v>
      </c>
      <c r="Q11" t="s">
        <v>95</v>
      </c>
      <c r="R11" t="s">
        <v>97</v>
      </c>
      <c r="S11" t="s">
        <v>117</v>
      </c>
      <c r="T11">
        <v>9.64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118</v>
      </c>
    </row>
    <row r="2" spans="1:9" x14ac:dyDescent="0.25">
      <c r="A2" t="s">
        <v>32</v>
      </c>
      <c r="B2" t="s">
        <v>41</v>
      </c>
      <c r="C2" t="s">
        <v>50</v>
      </c>
      <c r="D2" t="s">
        <v>57</v>
      </c>
      <c r="E2" t="s">
        <v>59</v>
      </c>
      <c r="F2" t="s">
        <v>62</v>
      </c>
      <c r="G2" t="s">
        <v>67</v>
      </c>
      <c r="H2" t="s">
        <v>119</v>
      </c>
      <c r="I2">
        <v>-38.58</v>
      </c>
    </row>
    <row r="3" spans="1:9" x14ac:dyDescent="0.25">
      <c r="A3" t="s">
        <v>31</v>
      </c>
      <c r="B3" t="s">
        <v>40</v>
      </c>
      <c r="C3" t="s">
        <v>49</v>
      </c>
      <c r="D3" t="s">
        <v>56</v>
      </c>
      <c r="E3" t="s">
        <v>58</v>
      </c>
      <c r="F3" t="s">
        <v>61</v>
      </c>
      <c r="G3" t="s">
        <v>67</v>
      </c>
      <c r="H3" t="s">
        <v>119</v>
      </c>
      <c r="I3">
        <v>-11.74</v>
      </c>
    </row>
    <row r="4" spans="1:9" x14ac:dyDescent="0.25">
      <c r="A4" t="s">
        <v>33</v>
      </c>
      <c r="B4" t="s">
        <v>42</v>
      </c>
      <c r="C4" t="s">
        <v>51</v>
      </c>
      <c r="D4" t="s">
        <v>57</v>
      </c>
      <c r="E4" t="s">
        <v>59</v>
      </c>
      <c r="F4" t="s">
        <v>63</v>
      </c>
      <c r="G4" t="s">
        <v>67</v>
      </c>
      <c r="H4" t="s">
        <v>119</v>
      </c>
      <c r="I4">
        <v>-38.74</v>
      </c>
    </row>
    <row r="5" spans="1:9" x14ac:dyDescent="0.25">
      <c r="A5" t="s">
        <v>35</v>
      </c>
      <c r="B5" t="s">
        <v>44</v>
      </c>
      <c r="C5" t="s">
        <v>53</v>
      </c>
      <c r="D5" t="s">
        <v>57</v>
      </c>
      <c r="E5" t="s">
        <v>59</v>
      </c>
      <c r="F5" t="s">
        <v>63</v>
      </c>
      <c r="G5" t="s">
        <v>68</v>
      </c>
      <c r="H5" t="s">
        <v>119</v>
      </c>
      <c r="I5">
        <v>-63.94</v>
      </c>
    </row>
    <row r="6" spans="1:9" x14ac:dyDescent="0.25">
      <c r="A6" t="s">
        <v>30</v>
      </c>
      <c r="B6" t="s">
        <v>39</v>
      </c>
      <c r="C6" t="s">
        <v>48</v>
      </c>
      <c r="D6" t="s">
        <v>56</v>
      </c>
      <c r="E6" t="s">
        <v>58</v>
      </c>
      <c r="F6" t="s">
        <v>61</v>
      </c>
      <c r="G6" t="s">
        <v>66</v>
      </c>
      <c r="H6" t="s">
        <v>119</v>
      </c>
      <c r="I6">
        <v>-27.95</v>
      </c>
    </row>
    <row r="7" spans="1:9" x14ac:dyDescent="0.25">
      <c r="A7" t="s">
        <v>29</v>
      </c>
      <c r="B7" t="s">
        <v>38</v>
      </c>
      <c r="C7" t="s">
        <v>47</v>
      </c>
      <c r="D7" t="s">
        <v>55</v>
      </c>
      <c r="E7" t="s">
        <v>58</v>
      </c>
      <c r="F7" t="s">
        <v>60</v>
      </c>
      <c r="G7" t="s">
        <v>65</v>
      </c>
      <c r="H7" t="s">
        <v>119</v>
      </c>
      <c r="I7">
        <v>-14.13</v>
      </c>
    </row>
    <row r="8" spans="1:9" x14ac:dyDescent="0.25">
      <c r="A8" t="s">
        <v>36</v>
      </c>
      <c r="B8" t="s">
        <v>45</v>
      </c>
      <c r="C8" t="s">
        <v>54</v>
      </c>
      <c r="D8" t="s">
        <v>57</v>
      </c>
      <c r="E8" t="s">
        <v>59</v>
      </c>
      <c r="F8" t="s">
        <v>63</v>
      </c>
      <c r="G8" t="s">
        <v>65</v>
      </c>
      <c r="H8" t="s">
        <v>119</v>
      </c>
      <c r="I8">
        <v>-38.74</v>
      </c>
    </row>
    <row r="9" spans="1:9" x14ac:dyDescent="0.25">
      <c r="A9" t="s">
        <v>37</v>
      </c>
      <c r="B9" t="s">
        <v>46</v>
      </c>
      <c r="C9" t="s">
        <v>54</v>
      </c>
      <c r="D9" t="s">
        <v>57</v>
      </c>
      <c r="E9" t="s">
        <v>59</v>
      </c>
      <c r="F9" t="s">
        <v>63</v>
      </c>
      <c r="G9" t="s">
        <v>69</v>
      </c>
      <c r="H9" t="s">
        <v>119</v>
      </c>
      <c r="I9">
        <v>-37.26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120</v>
      </c>
      <c r="L1" s="1" t="s">
        <v>17</v>
      </c>
      <c r="M1" s="1" t="s">
        <v>18</v>
      </c>
      <c r="N1" s="1" t="s">
        <v>121</v>
      </c>
      <c r="O1" s="1" t="s">
        <v>122</v>
      </c>
      <c r="P1" s="1" t="s">
        <v>123</v>
      </c>
    </row>
    <row r="2" spans="1:16" x14ac:dyDescent="0.25">
      <c r="A2" t="s">
        <v>22</v>
      </c>
      <c r="B2" t="s">
        <v>26</v>
      </c>
      <c r="C2" t="s">
        <v>30</v>
      </c>
      <c r="D2" t="s">
        <v>39</v>
      </c>
      <c r="E2" t="s">
        <v>48</v>
      </c>
      <c r="F2" t="s">
        <v>56</v>
      </c>
      <c r="G2" t="s">
        <v>58</v>
      </c>
      <c r="H2" t="s">
        <v>61</v>
      </c>
      <c r="I2" t="s">
        <v>66</v>
      </c>
      <c r="J2" t="s">
        <v>126</v>
      </c>
      <c r="K2" t="s">
        <v>89</v>
      </c>
      <c r="L2" t="s">
        <v>97</v>
      </c>
      <c r="M2" t="s">
        <v>98</v>
      </c>
      <c r="N2" t="s">
        <v>85</v>
      </c>
      <c r="O2">
        <v>251.55</v>
      </c>
      <c r="P2" t="s">
        <v>129</v>
      </c>
    </row>
    <row r="3" spans="1:16" x14ac:dyDescent="0.25">
      <c r="A3" t="s">
        <v>124</v>
      </c>
      <c r="B3" t="s">
        <v>125</v>
      </c>
      <c r="C3" t="s">
        <v>34</v>
      </c>
      <c r="D3" t="s">
        <v>43</v>
      </c>
      <c r="E3" t="s">
        <v>52</v>
      </c>
      <c r="H3" t="s">
        <v>64</v>
      </c>
      <c r="I3" t="s">
        <v>68</v>
      </c>
      <c r="J3" t="s">
        <v>126</v>
      </c>
      <c r="K3" t="s">
        <v>93</v>
      </c>
      <c r="L3" t="s">
        <v>97</v>
      </c>
      <c r="M3" t="s">
        <v>101</v>
      </c>
      <c r="N3" t="s">
        <v>127</v>
      </c>
      <c r="O3">
        <v>344.41</v>
      </c>
    </row>
    <row r="4" spans="1:16" x14ac:dyDescent="0.25">
      <c r="A4" t="s">
        <v>23</v>
      </c>
      <c r="B4" t="s">
        <v>27</v>
      </c>
      <c r="C4" t="s">
        <v>31</v>
      </c>
      <c r="D4" t="s">
        <v>40</v>
      </c>
      <c r="E4" t="s">
        <v>49</v>
      </c>
      <c r="F4" t="s">
        <v>56</v>
      </c>
      <c r="G4" t="s">
        <v>58</v>
      </c>
      <c r="H4" t="s">
        <v>61</v>
      </c>
      <c r="I4" t="s">
        <v>67</v>
      </c>
      <c r="J4" t="s">
        <v>126</v>
      </c>
      <c r="K4" t="s">
        <v>90</v>
      </c>
      <c r="L4" t="s">
        <v>97</v>
      </c>
      <c r="M4" t="s">
        <v>98</v>
      </c>
      <c r="N4" t="s">
        <v>85</v>
      </c>
      <c r="O4">
        <v>105.66</v>
      </c>
      <c r="P4" t="s">
        <v>129</v>
      </c>
    </row>
    <row r="5" spans="1:16" x14ac:dyDescent="0.25">
      <c r="A5" t="s">
        <v>24</v>
      </c>
      <c r="B5" t="s">
        <v>28</v>
      </c>
      <c r="C5" t="s">
        <v>33</v>
      </c>
      <c r="D5" t="s">
        <v>42</v>
      </c>
      <c r="E5" t="s">
        <v>51</v>
      </c>
      <c r="F5" t="s">
        <v>57</v>
      </c>
      <c r="G5" t="s">
        <v>59</v>
      </c>
      <c r="H5" t="s">
        <v>63</v>
      </c>
      <c r="I5" t="s">
        <v>67</v>
      </c>
      <c r="J5" t="s">
        <v>126</v>
      </c>
      <c r="K5" t="s">
        <v>92</v>
      </c>
      <c r="L5" t="s">
        <v>97</v>
      </c>
      <c r="M5" t="s">
        <v>100</v>
      </c>
      <c r="N5" t="s">
        <v>128</v>
      </c>
      <c r="O5">
        <v>464.88</v>
      </c>
      <c r="P5" t="s">
        <v>129</v>
      </c>
    </row>
    <row r="6" spans="1:16" x14ac:dyDescent="0.25">
      <c r="A6" t="s">
        <v>24</v>
      </c>
      <c r="B6" t="s">
        <v>28</v>
      </c>
      <c r="C6" t="s">
        <v>35</v>
      </c>
      <c r="D6" t="s">
        <v>44</v>
      </c>
      <c r="E6" t="s">
        <v>53</v>
      </c>
      <c r="F6" t="s">
        <v>57</v>
      </c>
      <c r="G6" t="s">
        <v>59</v>
      </c>
      <c r="H6" t="s">
        <v>63</v>
      </c>
      <c r="I6" t="s">
        <v>68</v>
      </c>
      <c r="J6" t="s">
        <v>126</v>
      </c>
      <c r="K6" t="s">
        <v>94</v>
      </c>
      <c r="L6" t="s">
        <v>97</v>
      </c>
      <c r="M6" t="s">
        <v>100</v>
      </c>
      <c r="N6" t="s">
        <v>128</v>
      </c>
      <c r="O6">
        <v>767.28</v>
      </c>
      <c r="P6" t="s">
        <v>129</v>
      </c>
    </row>
    <row r="7" spans="1:16" x14ac:dyDescent="0.25">
      <c r="A7" t="s">
        <v>24</v>
      </c>
      <c r="B7" t="s">
        <v>28</v>
      </c>
      <c r="C7" t="s">
        <v>36</v>
      </c>
      <c r="D7" t="s">
        <v>45</v>
      </c>
      <c r="E7" t="s">
        <v>54</v>
      </c>
      <c r="F7" t="s">
        <v>57</v>
      </c>
      <c r="G7" t="s">
        <v>59</v>
      </c>
      <c r="H7" t="s">
        <v>63</v>
      </c>
      <c r="I7" t="s">
        <v>65</v>
      </c>
      <c r="J7" t="s">
        <v>126</v>
      </c>
      <c r="K7" t="s">
        <v>92</v>
      </c>
      <c r="L7" t="s">
        <v>97</v>
      </c>
      <c r="M7" t="s">
        <v>100</v>
      </c>
      <c r="N7" t="s">
        <v>128</v>
      </c>
      <c r="O7">
        <v>464.88</v>
      </c>
      <c r="P7" t="s">
        <v>129</v>
      </c>
    </row>
    <row r="8" spans="1:16" x14ac:dyDescent="0.25">
      <c r="A8" t="s">
        <v>24</v>
      </c>
      <c r="B8" t="s">
        <v>28</v>
      </c>
      <c r="C8" t="s">
        <v>37</v>
      </c>
      <c r="D8" t="s">
        <v>46</v>
      </c>
      <c r="E8" t="s">
        <v>54</v>
      </c>
      <c r="F8" t="s">
        <v>57</v>
      </c>
      <c r="G8" t="s">
        <v>59</v>
      </c>
      <c r="H8" t="s">
        <v>63</v>
      </c>
      <c r="I8" t="s">
        <v>69</v>
      </c>
      <c r="J8" t="s">
        <v>126</v>
      </c>
      <c r="K8" t="s">
        <v>95</v>
      </c>
      <c r="L8" t="s">
        <v>97</v>
      </c>
      <c r="M8" t="s">
        <v>100</v>
      </c>
      <c r="N8" t="s">
        <v>128</v>
      </c>
      <c r="O8">
        <v>447.12</v>
      </c>
      <c r="P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2026-07-26T21:02:49Z</dcterms:created>
  <dcterms:modified xsi:type="dcterms:W3CDTF">2026-07-28T16:38:30Z</dcterms:modified>
</cp:coreProperties>
</file>