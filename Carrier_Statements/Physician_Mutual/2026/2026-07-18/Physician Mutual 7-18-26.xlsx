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hysician_Mutual\2026\2026-07-18\"/>
    </mc:Choice>
  </mc:AlternateContent>
  <xr:revisionPtr revIDLastSave="0" documentId="13_ncr:1_{7E7BEC56-59DF-4A3C-9B2C-4ABEFF06EBE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irst Year Commission" sheetId="1" r:id="rId1"/>
    <sheet name="Sheet1" sheetId="7" r:id="rId2"/>
    <sheet name="First Year Overwrites" sheetId="2" r:id="rId3"/>
    <sheet name="Renewal Overwrites" sheetId="3" r:id="rId4"/>
    <sheet name="Renewal Commission" sheetId="4" r:id="rId5"/>
    <sheet name="Advance Paybacks" sheetId="5" r:id="rId6"/>
    <sheet name="Advances - Paid Advanc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7" l="1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25" i="7"/>
</calcChain>
</file>

<file path=xl/sharedStrings.xml><?xml version="1.0" encoding="utf-8"?>
<sst xmlns="http://schemas.openxmlformats.org/spreadsheetml/2006/main" count="2123" uniqueCount="243">
  <si>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</si>
  <si>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</si>
  <si>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</si>
  <si>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</si>
  <si>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</si>
  <si>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</si>
  <si>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</si>
  <si>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</si>
  <si>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</si>
  <si>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</si>
  <si>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</si>
  <si>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</si>
  <si>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</si>
  <si>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</si>
  <si>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</si>
  <si>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</si>
  <si>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</si>
  <si>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</si>
  <si>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</si>
  <si>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</si>
  <si>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</si>
  <si>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</si>
  <si>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</si>
  <si>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Green Danna null</t>
  </si>
  <si>
    <t xml:space="preserve">Dunavant Michael </t>
  </si>
  <si>
    <t xml:space="preserve">Berthelsen Heidi </t>
  </si>
  <si>
    <t>Shapiro Robert null</t>
  </si>
  <si>
    <t>19491313</t>
  </si>
  <si>
    <t>8812322</t>
  </si>
  <si>
    <t>16849453</t>
  </si>
  <si>
    <t>18828278</t>
  </si>
  <si>
    <t>19617796</t>
  </si>
  <si>
    <t>7565575</t>
  </si>
  <si>
    <t>H711138979</t>
  </si>
  <si>
    <t>H750095052</t>
  </si>
  <si>
    <t>H711037165</t>
  </si>
  <si>
    <t>H750075022</t>
  </si>
  <si>
    <t>H750102411</t>
  </si>
  <si>
    <t>H750094300</t>
  </si>
  <si>
    <t>H750094301</t>
  </si>
  <si>
    <t>H711172573</t>
  </si>
  <si>
    <t>H711140334</t>
  </si>
  <si>
    <t>H711067626</t>
  </si>
  <si>
    <t>H711163461</t>
  </si>
  <si>
    <t>H711175060</t>
  </si>
  <si>
    <t>H750111535</t>
  </si>
  <si>
    <t>H750111461</t>
  </si>
  <si>
    <t>H750111903</t>
  </si>
  <si>
    <t>H750111728</t>
  </si>
  <si>
    <t>H750108060</t>
  </si>
  <si>
    <t>H750111977</t>
  </si>
  <si>
    <t>H750112150</t>
  </si>
  <si>
    <t>H750112289</t>
  </si>
  <si>
    <t>H750112231</t>
  </si>
  <si>
    <t>H750112069</t>
  </si>
  <si>
    <t>H711112932</t>
  </si>
  <si>
    <t>H711141587</t>
  </si>
  <si>
    <t>H750077920</t>
  </si>
  <si>
    <t>Pamela</t>
  </si>
  <si>
    <t>Lisa</t>
  </si>
  <si>
    <t>Kerry</t>
  </si>
  <si>
    <t>Mark</t>
  </si>
  <si>
    <t>Tammy</t>
  </si>
  <si>
    <t>Dakota</t>
  </si>
  <si>
    <t>Susan</t>
  </si>
  <si>
    <t>Kelly</t>
  </si>
  <si>
    <t>Jennifer</t>
  </si>
  <si>
    <t>Jeffrey</t>
  </si>
  <si>
    <t>Steven</t>
  </si>
  <si>
    <t>Harry</t>
  </si>
  <si>
    <t>John</t>
  </si>
  <si>
    <t>Kent</t>
  </si>
  <si>
    <t>Rita</t>
  </si>
  <si>
    <t>Deborah</t>
  </si>
  <si>
    <t>Debra</t>
  </si>
  <si>
    <t>Michael</t>
  </si>
  <si>
    <t>Clark</t>
  </si>
  <si>
    <t>James</t>
  </si>
  <si>
    <t>Marion</t>
  </si>
  <si>
    <t>Brewster</t>
  </si>
  <si>
    <t>Morrison</t>
  </si>
  <si>
    <t>Libbee</t>
  </si>
  <si>
    <t>Shepard</t>
  </si>
  <si>
    <t>Stafford</t>
  </si>
  <si>
    <t>Mcmorrow</t>
  </si>
  <si>
    <t>Pruitt</t>
  </si>
  <si>
    <t>Wawczak</t>
  </si>
  <si>
    <t>Kemper</t>
  </si>
  <si>
    <t>Mccracken</t>
  </si>
  <si>
    <t>Anderson</t>
  </si>
  <si>
    <t>Strange</t>
  </si>
  <si>
    <t>Hawkins</t>
  </si>
  <si>
    <t>Trump</t>
  </si>
  <si>
    <t>Mcclurg</t>
  </si>
  <si>
    <t>Perry</t>
  </si>
  <si>
    <t>Gaither</t>
  </si>
  <si>
    <t>Polesel</t>
  </si>
  <si>
    <t>Carter</t>
  </si>
  <si>
    <t>Quillin</t>
  </si>
  <si>
    <t>Andre</t>
  </si>
  <si>
    <t>P15400002</t>
  </si>
  <si>
    <t>S06600001</t>
  </si>
  <si>
    <t>S06500001</t>
  </si>
  <si>
    <t>Dental</t>
  </si>
  <si>
    <t>Medicare Supplement</t>
  </si>
  <si>
    <t>OH</t>
  </si>
  <si>
    <t>IL</t>
  </si>
  <si>
    <t>IN</t>
  </si>
  <si>
    <t>NE</t>
  </si>
  <si>
    <t>2026-07-15</t>
  </si>
  <si>
    <t>2026-07-16</t>
  </si>
  <si>
    <t>2026-07-13</t>
  </si>
  <si>
    <t>2026-07-14</t>
  </si>
  <si>
    <t>2026-07-17</t>
  </si>
  <si>
    <t>2026-09-01</t>
  </si>
  <si>
    <t>2026-08-14</t>
  </si>
  <si>
    <t>2026-08-15</t>
  </si>
  <si>
    <t>2026-08-16</t>
  </si>
  <si>
    <t>2026-11-01</t>
  </si>
  <si>
    <t>2026-08-19</t>
  </si>
  <si>
    <t>65</t>
  </si>
  <si>
    <t>69</t>
  </si>
  <si>
    <t>66</t>
  </si>
  <si>
    <t>34</t>
  </si>
  <si>
    <t>56</t>
  </si>
  <si>
    <t>59</t>
  </si>
  <si>
    <t>53</t>
  </si>
  <si>
    <t>63</t>
  </si>
  <si>
    <t>78</t>
  </si>
  <si>
    <t>76</t>
  </si>
  <si>
    <t>79</t>
  </si>
  <si>
    <t>67</t>
  </si>
  <si>
    <t>75</t>
  </si>
  <si>
    <t>55</t>
  </si>
  <si>
    <t>MONTHLY</t>
  </si>
  <si>
    <t>RCVP</t>
  </si>
  <si>
    <t>RCVP-R</t>
  </si>
  <si>
    <t>4</t>
  </si>
  <si>
    <t>7</t>
  </si>
  <si>
    <t>8</t>
  </si>
  <si>
    <t>11</t>
  </si>
  <si>
    <t>1</t>
  </si>
  <si>
    <t>9</t>
  </si>
  <si>
    <t>2</t>
  </si>
  <si>
    <t>6</t>
  </si>
  <si>
    <t>10</t>
  </si>
  <si>
    <t>62.17</t>
  </si>
  <si>
    <t>130.09</t>
  </si>
  <si>
    <t>53.67</t>
  </si>
  <si>
    <t>149.24</t>
  </si>
  <si>
    <t>136.22</t>
  </si>
  <si>
    <t>123.24</t>
  </si>
  <si>
    <t>176.10</t>
  </si>
  <si>
    <t>144.18</t>
  </si>
  <si>
    <t>56.50</t>
  </si>
  <si>
    <t>67.98</t>
  </si>
  <si>
    <t>55.90</t>
  </si>
  <si>
    <t>258.91</t>
  </si>
  <si>
    <t>244.04</t>
  </si>
  <si>
    <t>181.52</t>
  </si>
  <si>
    <t>176.52</t>
  </si>
  <si>
    <t>252.21</t>
  </si>
  <si>
    <t>161.83</t>
  </si>
  <si>
    <t>151.07</t>
  </si>
  <si>
    <t>185.79</t>
  </si>
  <si>
    <t>236.92</t>
  </si>
  <si>
    <t>197.76</t>
  </si>
  <si>
    <t>0.00</t>
  </si>
  <si>
    <t>120.26</t>
  </si>
  <si>
    <t>227.90</t>
  </si>
  <si>
    <t>214.82</t>
  </si>
  <si>
    <t>156.83</t>
  </si>
  <si>
    <t>208.56</t>
  </si>
  <si>
    <t>162.10</t>
  </si>
  <si>
    <t>100.00000</t>
  </si>
  <si>
    <t>25.00%</t>
  </si>
  <si>
    <t>21.00%</t>
  </si>
  <si>
    <t>23.20%</t>
  </si>
  <si>
    <t>20.80%</t>
  </si>
  <si>
    <t>Y</t>
  </si>
  <si>
    <t>9.50%</t>
  </si>
  <si>
    <t>2.80%</t>
  </si>
  <si>
    <t>11.50%</t>
  </si>
  <si>
    <t>1.25%</t>
  </si>
  <si>
    <t>4.60%</t>
  </si>
  <si>
    <t>H711024011</t>
  </si>
  <si>
    <t>H750070465</t>
  </si>
  <si>
    <t>Mcclellan</t>
  </si>
  <si>
    <t>64</t>
  </si>
  <si>
    <t>13</t>
  </si>
  <si>
    <t>64.86</t>
  </si>
  <si>
    <t>151.36</t>
  </si>
  <si>
    <t>121.96</t>
  </si>
  <si>
    <t>3.00%</t>
  </si>
  <si>
    <t>N</t>
  </si>
  <si>
    <t>advancePaybackAmount</t>
  </si>
  <si>
    <t>H750095804</t>
  </si>
  <si>
    <t>Kimberly</t>
  </si>
  <si>
    <t>Shonebarger</t>
  </si>
  <si>
    <t>APB-S</t>
  </si>
  <si>
    <t>APB-U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</si>
  <si>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</si>
  <si>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</si>
  <si>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</si>
  <si>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</si>
  <si>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</si>
  <si>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</si>
  <si>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</si>
  <si>
    <t>Pamela L Marion</t>
  </si>
  <si>
    <t>Lisa A Brewster</t>
  </si>
  <si>
    <t>Kerry Morrison</t>
  </si>
  <si>
    <t>Mark Libbee</t>
  </si>
  <si>
    <t>Tammy Libbee</t>
  </si>
  <si>
    <t>Dakota Shepard</t>
  </si>
  <si>
    <t>Susan Stafford</t>
  </si>
  <si>
    <t>Kelly Mcmorrow</t>
  </si>
  <si>
    <t>Jennifer Pruitt</t>
  </si>
  <si>
    <t>Jeffrey Wawczak</t>
  </si>
  <si>
    <t>Steven Kemper</t>
  </si>
  <si>
    <t>Harry Mccracken</t>
  </si>
  <si>
    <t>John Anderson</t>
  </si>
  <si>
    <t>Kent Strange</t>
  </si>
  <si>
    <t>Rita Hawkins</t>
  </si>
  <si>
    <t>Deborah Trump</t>
  </si>
  <si>
    <t>Debra Mcclurg</t>
  </si>
  <si>
    <t>Michael Perry</t>
  </si>
  <si>
    <t>Clark Gaither</t>
  </si>
  <si>
    <t>Michael Polesel</t>
  </si>
  <si>
    <t>Mark Carter</t>
  </si>
  <si>
    <t>Debra Quillin</t>
  </si>
  <si>
    <t>James M Andre</t>
  </si>
  <si>
    <t>Green Danna</t>
  </si>
  <si>
    <t>Shapiro Robert</t>
  </si>
  <si>
    <t>Standard Dental</t>
  </si>
  <si>
    <t>Open Enrollment - States Where Available</t>
  </si>
  <si>
    <t>Physician Mutual Medsupp IN</t>
  </si>
  <si>
    <t>Physician Mutual OVR</t>
  </si>
  <si>
    <t>8812322AV9</t>
  </si>
  <si>
    <t>16849453AV9</t>
  </si>
  <si>
    <t>AE</t>
  </si>
  <si>
    <t>AV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</si>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</sst>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0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0" fontId="0" fillId="4" borderId="0" xfId="0" applyNumberFormat="1" applyFill="1" applyAlignment="1">
      <alignment horizontal="left"/>
    </xf>
    <xf numFmtId="14" fontId="0" fillId="4" borderId="0" xfId="0" applyNumberFormat="1" applyFill="1"/>
    <xf numFmtId="0" fontId="0" fillId="4" borderId="0" xfId="0" applyNumberFormat="1" applyFill="1"/>
    <xf numFmtId="10" fontId="0" fillId="4" borderId="0" xfId="0" applyNumberFormat="1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>
      <selection sqref="A1:XFD104857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 t="s">
        <v>33</v>
      </c>
      <c r="D2" t="s">
        <v>58</v>
      </c>
      <c r="E2" t="s">
        <v>78</v>
      </c>
      <c r="F2" t="s">
        <v>100</v>
      </c>
      <c r="G2" t="s">
        <v>103</v>
      </c>
      <c r="H2" t="s">
        <v>105</v>
      </c>
      <c r="I2" t="s">
        <v>109</v>
      </c>
      <c r="J2" t="s">
        <v>114</v>
      </c>
      <c r="K2" t="s">
        <v>120</v>
      </c>
      <c r="L2" t="s">
        <v>134</v>
      </c>
      <c r="M2" t="s">
        <v>135</v>
      </c>
      <c r="N2" t="s">
        <v>137</v>
      </c>
      <c r="O2" t="s">
        <v>146</v>
      </c>
      <c r="P2" t="s">
        <v>167</v>
      </c>
      <c r="Q2" t="s">
        <v>146</v>
      </c>
      <c r="R2" t="s">
        <v>174</v>
      </c>
      <c r="S2" t="s">
        <v>175</v>
      </c>
      <c r="T2">
        <v>15.54</v>
      </c>
      <c r="U2" t="s">
        <v>179</v>
      </c>
    </row>
    <row r="3" spans="1:21" x14ac:dyDescent="0.25">
      <c r="A3" t="s">
        <v>21</v>
      </c>
      <c r="B3" t="s">
        <v>27</v>
      </c>
      <c r="C3" t="s">
        <v>34</v>
      </c>
      <c r="D3" t="s">
        <v>59</v>
      </c>
      <c r="E3" t="s">
        <v>79</v>
      </c>
      <c r="F3" t="s">
        <v>101</v>
      </c>
      <c r="G3" t="s">
        <v>104</v>
      </c>
      <c r="H3" t="s">
        <v>105</v>
      </c>
      <c r="I3" t="s">
        <v>109</v>
      </c>
      <c r="J3" t="s">
        <v>114</v>
      </c>
      <c r="K3" t="s">
        <v>120</v>
      </c>
      <c r="L3" t="s">
        <v>134</v>
      </c>
      <c r="M3" t="s">
        <v>135</v>
      </c>
      <c r="N3" t="s">
        <v>138</v>
      </c>
      <c r="O3" t="s">
        <v>147</v>
      </c>
      <c r="P3" t="s">
        <v>167</v>
      </c>
      <c r="Q3" t="s">
        <v>147</v>
      </c>
      <c r="R3" t="s">
        <v>174</v>
      </c>
      <c r="S3" t="s">
        <v>176</v>
      </c>
      <c r="T3">
        <v>27.32</v>
      </c>
      <c r="U3" t="s">
        <v>179</v>
      </c>
    </row>
    <row r="4" spans="1:21" x14ac:dyDescent="0.25">
      <c r="A4" t="s">
        <v>21</v>
      </c>
      <c r="B4" t="s">
        <v>27</v>
      </c>
      <c r="C4" t="s">
        <v>35</v>
      </c>
      <c r="D4" t="s">
        <v>60</v>
      </c>
      <c r="E4" t="s">
        <v>80</v>
      </c>
      <c r="F4" t="s">
        <v>100</v>
      </c>
      <c r="G4" t="s">
        <v>103</v>
      </c>
      <c r="H4" t="s">
        <v>105</v>
      </c>
      <c r="I4" t="s">
        <v>109</v>
      </c>
      <c r="J4" t="s">
        <v>114</v>
      </c>
      <c r="K4" t="s">
        <v>121</v>
      </c>
      <c r="L4" t="s">
        <v>134</v>
      </c>
      <c r="M4" t="s">
        <v>135</v>
      </c>
      <c r="N4" t="s">
        <v>139</v>
      </c>
      <c r="O4" t="s">
        <v>148</v>
      </c>
      <c r="P4" t="s">
        <v>167</v>
      </c>
      <c r="Q4" t="s">
        <v>148</v>
      </c>
      <c r="R4" t="s">
        <v>174</v>
      </c>
      <c r="S4" t="s">
        <v>175</v>
      </c>
      <c r="T4">
        <v>13.42</v>
      </c>
      <c r="U4" t="s">
        <v>179</v>
      </c>
    </row>
    <row r="5" spans="1:21" x14ac:dyDescent="0.25">
      <c r="A5" t="s">
        <v>21</v>
      </c>
      <c r="B5" t="s">
        <v>27</v>
      </c>
      <c r="C5" t="s">
        <v>36</v>
      </c>
      <c r="D5" t="s">
        <v>60</v>
      </c>
      <c r="E5" t="s">
        <v>80</v>
      </c>
      <c r="F5" t="s">
        <v>101</v>
      </c>
      <c r="G5" t="s">
        <v>104</v>
      </c>
      <c r="H5" t="s">
        <v>105</v>
      </c>
      <c r="I5" t="s">
        <v>109</v>
      </c>
      <c r="J5" t="s">
        <v>114</v>
      </c>
      <c r="K5" t="s">
        <v>121</v>
      </c>
      <c r="L5" t="s">
        <v>134</v>
      </c>
      <c r="M5" t="s">
        <v>135</v>
      </c>
      <c r="N5" t="s">
        <v>140</v>
      </c>
      <c r="O5" t="s">
        <v>149</v>
      </c>
      <c r="P5" t="s">
        <v>167</v>
      </c>
      <c r="Q5" t="s">
        <v>168</v>
      </c>
      <c r="R5" t="s">
        <v>174</v>
      </c>
      <c r="S5" t="s">
        <v>176</v>
      </c>
      <c r="T5">
        <v>25.25</v>
      </c>
      <c r="U5" t="s">
        <v>179</v>
      </c>
    </row>
    <row r="6" spans="1:21" x14ac:dyDescent="0.25">
      <c r="A6" t="s">
        <v>21</v>
      </c>
      <c r="B6" t="s">
        <v>27</v>
      </c>
      <c r="C6" t="s">
        <v>37</v>
      </c>
      <c r="D6" t="s">
        <v>58</v>
      </c>
      <c r="E6" t="s">
        <v>78</v>
      </c>
      <c r="F6" t="s">
        <v>101</v>
      </c>
      <c r="G6" t="s">
        <v>104</v>
      </c>
      <c r="H6" t="s">
        <v>105</v>
      </c>
      <c r="I6" t="s">
        <v>109</v>
      </c>
      <c r="J6" t="s">
        <v>114</v>
      </c>
      <c r="K6" t="s">
        <v>120</v>
      </c>
      <c r="L6" t="s">
        <v>134</v>
      </c>
      <c r="M6" t="s">
        <v>135</v>
      </c>
      <c r="N6" t="s">
        <v>137</v>
      </c>
      <c r="O6" t="s">
        <v>147</v>
      </c>
      <c r="P6" t="s">
        <v>167</v>
      </c>
      <c r="Q6" t="s">
        <v>147</v>
      </c>
      <c r="R6" t="s">
        <v>174</v>
      </c>
      <c r="S6" t="s">
        <v>176</v>
      </c>
      <c r="T6">
        <v>27.32</v>
      </c>
      <c r="U6" t="s">
        <v>179</v>
      </c>
    </row>
    <row r="7" spans="1:21" x14ac:dyDescent="0.25">
      <c r="A7" t="s">
        <v>21</v>
      </c>
      <c r="B7" t="s">
        <v>27</v>
      </c>
      <c r="C7" t="s">
        <v>38</v>
      </c>
      <c r="D7" t="s">
        <v>61</v>
      </c>
      <c r="E7" t="s">
        <v>81</v>
      </c>
      <c r="F7" t="s">
        <v>101</v>
      </c>
      <c r="G7" t="s">
        <v>104</v>
      </c>
      <c r="H7" t="s">
        <v>105</v>
      </c>
      <c r="I7" t="s">
        <v>110</v>
      </c>
      <c r="J7" t="s">
        <v>114</v>
      </c>
      <c r="K7" t="s">
        <v>122</v>
      </c>
      <c r="L7" t="s">
        <v>134</v>
      </c>
      <c r="M7" t="s">
        <v>135</v>
      </c>
      <c r="N7" t="s">
        <v>138</v>
      </c>
      <c r="O7" t="s">
        <v>150</v>
      </c>
      <c r="P7" t="s">
        <v>167</v>
      </c>
      <c r="Q7" t="s">
        <v>150</v>
      </c>
      <c r="R7" t="s">
        <v>174</v>
      </c>
      <c r="S7" t="s">
        <v>176</v>
      </c>
      <c r="T7">
        <v>28.61</v>
      </c>
      <c r="U7" t="s">
        <v>179</v>
      </c>
    </row>
    <row r="8" spans="1:21" x14ac:dyDescent="0.25">
      <c r="A8" t="s">
        <v>21</v>
      </c>
      <c r="B8" t="s">
        <v>27</v>
      </c>
      <c r="C8" t="s">
        <v>39</v>
      </c>
      <c r="D8" t="s">
        <v>62</v>
      </c>
      <c r="E8" t="s">
        <v>81</v>
      </c>
      <c r="F8" t="s">
        <v>101</v>
      </c>
      <c r="G8" t="s">
        <v>104</v>
      </c>
      <c r="H8" t="s">
        <v>105</v>
      </c>
      <c r="I8" t="s">
        <v>110</v>
      </c>
      <c r="J8" t="s">
        <v>114</v>
      </c>
      <c r="K8" t="s">
        <v>120</v>
      </c>
      <c r="L8" t="s">
        <v>134</v>
      </c>
      <c r="M8" t="s">
        <v>135</v>
      </c>
      <c r="N8" t="s">
        <v>138</v>
      </c>
      <c r="O8" t="s">
        <v>151</v>
      </c>
      <c r="P8" t="s">
        <v>167</v>
      </c>
      <c r="Q8" t="s">
        <v>151</v>
      </c>
      <c r="R8" t="s">
        <v>174</v>
      </c>
      <c r="S8" t="s">
        <v>176</v>
      </c>
      <c r="T8">
        <v>25.88</v>
      </c>
      <c r="U8" t="s">
        <v>179</v>
      </c>
    </row>
    <row r="9" spans="1:21" x14ac:dyDescent="0.25">
      <c r="A9" t="s">
        <v>22</v>
      </c>
      <c r="B9" t="s">
        <v>28</v>
      </c>
      <c r="C9" t="s">
        <v>40</v>
      </c>
      <c r="D9" t="s">
        <v>63</v>
      </c>
      <c r="E9" t="s">
        <v>82</v>
      </c>
      <c r="F9" t="s">
        <v>100</v>
      </c>
      <c r="G9" t="s">
        <v>103</v>
      </c>
      <c r="H9" t="s">
        <v>106</v>
      </c>
      <c r="I9" t="s">
        <v>111</v>
      </c>
      <c r="J9" t="s">
        <v>114</v>
      </c>
      <c r="K9" t="s">
        <v>123</v>
      </c>
      <c r="L9" t="s">
        <v>134</v>
      </c>
      <c r="M9" t="s">
        <v>135</v>
      </c>
      <c r="N9" t="s">
        <v>141</v>
      </c>
      <c r="O9" t="s">
        <v>152</v>
      </c>
      <c r="P9" t="s">
        <v>167</v>
      </c>
      <c r="Q9" t="s">
        <v>152</v>
      </c>
      <c r="R9" t="s">
        <v>174</v>
      </c>
      <c r="S9" t="s">
        <v>175</v>
      </c>
      <c r="T9">
        <v>44.03</v>
      </c>
      <c r="U9" t="s">
        <v>179</v>
      </c>
    </row>
    <row r="10" spans="1:21" x14ac:dyDescent="0.25">
      <c r="A10" t="s">
        <v>22</v>
      </c>
      <c r="B10" t="s">
        <v>28</v>
      </c>
      <c r="C10" t="s">
        <v>41</v>
      </c>
      <c r="D10" t="s">
        <v>64</v>
      </c>
      <c r="E10" t="s">
        <v>83</v>
      </c>
      <c r="F10" t="s">
        <v>100</v>
      </c>
      <c r="G10" t="s">
        <v>103</v>
      </c>
      <c r="H10" t="s">
        <v>106</v>
      </c>
      <c r="I10" t="s">
        <v>112</v>
      </c>
      <c r="J10" t="s">
        <v>115</v>
      </c>
      <c r="K10" t="s">
        <v>124</v>
      </c>
      <c r="L10" t="s">
        <v>134</v>
      </c>
      <c r="M10" t="s">
        <v>135</v>
      </c>
      <c r="N10" t="s">
        <v>137</v>
      </c>
      <c r="O10" t="s">
        <v>153</v>
      </c>
      <c r="P10" t="s">
        <v>167</v>
      </c>
      <c r="Q10" t="s">
        <v>153</v>
      </c>
      <c r="R10" t="s">
        <v>174</v>
      </c>
      <c r="S10" t="s">
        <v>175</v>
      </c>
      <c r="T10">
        <v>36.049999999999997</v>
      </c>
      <c r="U10" t="s">
        <v>179</v>
      </c>
    </row>
    <row r="11" spans="1:21" x14ac:dyDescent="0.25">
      <c r="A11" t="s">
        <v>22</v>
      </c>
      <c r="B11" t="s">
        <v>28</v>
      </c>
      <c r="C11" t="s">
        <v>42</v>
      </c>
      <c r="D11" t="s">
        <v>65</v>
      </c>
      <c r="E11" t="s">
        <v>84</v>
      </c>
      <c r="F11" t="s">
        <v>100</v>
      </c>
      <c r="G11" t="s">
        <v>103</v>
      </c>
      <c r="H11" t="s">
        <v>106</v>
      </c>
      <c r="I11" t="s">
        <v>109</v>
      </c>
      <c r="J11" t="s">
        <v>116</v>
      </c>
      <c r="K11" t="s">
        <v>125</v>
      </c>
      <c r="L11" t="s">
        <v>134</v>
      </c>
      <c r="M11" t="s">
        <v>135</v>
      </c>
      <c r="N11" t="s">
        <v>142</v>
      </c>
      <c r="O11" t="s">
        <v>154</v>
      </c>
      <c r="P11" t="s">
        <v>167</v>
      </c>
      <c r="Q11" t="s">
        <v>154</v>
      </c>
      <c r="R11" t="s">
        <v>174</v>
      </c>
      <c r="S11" t="s">
        <v>175</v>
      </c>
      <c r="T11">
        <v>14.13</v>
      </c>
      <c r="U11" t="s">
        <v>179</v>
      </c>
    </row>
    <row r="12" spans="1:21" x14ac:dyDescent="0.25">
      <c r="A12" t="s">
        <v>22</v>
      </c>
      <c r="B12" t="s">
        <v>28</v>
      </c>
      <c r="C12" t="s">
        <v>43</v>
      </c>
      <c r="D12" t="s">
        <v>66</v>
      </c>
      <c r="E12" t="s">
        <v>85</v>
      </c>
      <c r="F12" t="s">
        <v>100</v>
      </c>
      <c r="G12" t="s">
        <v>103</v>
      </c>
      <c r="H12" t="s">
        <v>106</v>
      </c>
      <c r="I12" t="s">
        <v>110</v>
      </c>
      <c r="J12" t="s">
        <v>117</v>
      </c>
      <c r="K12" t="s">
        <v>126</v>
      </c>
      <c r="L12" t="s">
        <v>134</v>
      </c>
      <c r="M12" t="s">
        <v>135</v>
      </c>
      <c r="N12" t="s">
        <v>143</v>
      </c>
      <c r="O12" t="s">
        <v>155</v>
      </c>
      <c r="P12" t="s">
        <v>167</v>
      </c>
      <c r="Q12" t="s">
        <v>155</v>
      </c>
      <c r="R12" t="s">
        <v>174</v>
      </c>
      <c r="S12" t="s">
        <v>175</v>
      </c>
      <c r="T12">
        <v>17</v>
      </c>
      <c r="U12" t="s">
        <v>179</v>
      </c>
    </row>
    <row r="13" spans="1:21" x14ac:dyDescent="0.25">
      <c r="A13" t="s">
        <v>22</v>
      </c>
      <c r="B13" t="s">
        <v>28</v>
      </c>
      <c r="C13" t="s">
        <v>44</v>
      </c>
      <c r="D13" t="s">
        <v>67</v>
      </c>
      <c r="E13" t="s">
        <v>86</v>
      </c>
      <c r="F13" t="s">
        <v>100</v>
      </c>
      <c r="G13" t="s">
        <v>103</v>
      </c>
      <c r="H13" t="s">
        <v>106</v>
      </c>
      <c r="I13" t="s">
        <v>113</v>
      </c>
      <c r="J13" t="s">
        <v>114</v>
      </c>
      <c r="K13" t="s">
        <v>127</v>
      </c>
      <c r="L13" t="s">
        <v>134</v>
      </c>
      <c r="M13" t="s">
        <v>135</v>
      </c>
      <c r="N13" t="s">
        <v>141</v>
      </c>
      <c r="O13" t="s">
        <v>156</v>
      </c>
      <c r="P13" t="s">
        <v>167</v>
      </c>
      <c r="Q13" t="s">
        <v>156</v>
      </c>
      <c r="R13" t="s">
        <v>174</v>
      </c>
      <c r="S13" t="s">
        <v>175</v>
      </c>
      <c r="T13">
        <v>13.98</v>
      </c>
      <c r="U13" t="s">
        <v>179</v>
      </c>
    </row>
    <row r="14" spans="1:21" x14ac:dyDescent="0.25">
      <c r="A14" t="s">
        <v>23</v>
      </c>
      <c r="B14" t="s">
        <v>29</v>
      </c>
      <c r="C14" t="s">
        <v>45</v>
      </c>
      <c r="D14" t="s">
        <v>68</v>
      </c>
      <c r="E14" t="s">
        <v>87</v>
      </c>
      <c r="F14" t="s">
        <v>102</v>
      </c>
      <c r="G14" t="s">
        <v>104</v>
      </c>
      <c r="H14" t="s">
        <v>107</v>
      </c>
      <c r="I14" t="s">
        <v>111</v>
      </c>
      <c r="J14" t="s">
        <v>114</v>
      </c>
      <c r="K14" t="s">
        <v>128</v>
      </c>
      <c r="L14" t="s">
        <v>134</v>
      </c>
      <c r="M14" t="s">
        <v>136</v>
      </c>
      <c r="N14" t="s">
        <v>141</v>
      </c>
      <c r="O14" t="s">
        <v>157</v>
      </c>
      <c r="P14" t="s">
        <v>167</v>
      </c>
      <c r="Q14" t="s">
        <v>169</v>
      </c>
      <c r="R14" t="s">
        <v>174</v>
      </c>
      <c r="S14" t="s">
        <v>177</v>
      </c>
      <c r="T14">
        <v>52.87</v>
      </c>
      <c r="U14" t="s">
        <v>179</v>
      </c>
    </row>
    <row r="15" spans="1:21" x14ac:dyDescent="0.25">
      <c r="A15" t="s">
        <v>23</v>
      </c>
      <c r="B15" t="s">
        <v>29</v>
      </c>
      <c r="C15" t="s">
        <v>46</v>
      </c>
      <c r="D15" t="s">
        <v>69</v>
      </c>
      <c r="E15" t="s">
        <v>88</v>
      </c>
      <c r="F15" t="s">
        <v>102</v>
      </c>
      <c r="G15" t="s">
        <v>104</v>
      </c>
      <c r="H15" t="s">
        <v>107</v>
      </c>
      <c r="I15" t="s">
        <v>111</v>
      </c>
      <c r="J15" t="s">
        <v>114</v>
      </c>
      <c r="K15" t="s">
        <v>129</v>
      </c>
      <c r="L15" t="s">
        <v>134</v>
      </c>
      <c r="M15" t="s">
        <v>136</v>
      </c>
      <c r="N15" t="s">
        <v>141</v>
      </c>
      <c r="O15" t="s">
        <v>158</v>
      </c>
      <c r="P15" t="s">
        <v>167</v>
      </c>
      <c r="Q15" t="s">
        <v>170</v>
      </c>
      <c r="R15" t="s">
        <v>174</v>
      </c>
      <c r="S15" t="s">
        <v>177</v>
      </c>
      <c r="T15">
        <v>49.84</v>
      </c>
      <c r="U15" t="s">
        <v>179</v>
      </c>
    </row>
    <row r="16" spans="1:21" x14ac:dyDescent="0.25">
      <c r="A16" t="s">
        <v>23</v>
      </c>
      <c r="B16" t="s">
        <v>29</v>
      </c>
      <c r="C16" t="s">
        <v>47</v>
      </c>
      <c r="D16" t="s">
        <v>70</v>
      </c>
      <c r="E16" t="s">
        <v>89</v>
      </c>
      <c r="F16" t="s">
        <v>101</v>
      </c>
      <c r="G16" t="s">
        <v>104</v>
      </c>
      <c r="H16" t="s">
        <v>107</v>
      </c>
      <c r="I16" t="s">
        <v>111</v>
      </c>
      <c r="J16" t="s">
        <v>118</v>
      </c>
      <c r="K16" t="s">
        <v>120</v>
      </c>
      <c r="L16" t="s">
        <v>134</v>
      </c>
      <c r="M16" t="s">
        <v>135</v>
      </c>
      <c r="N16" t="s">
        <v>141</v>
      </c>
      <c r="O16" t="s">
        <v>159</v>
      </c>
      <c r="P16" t="s">
        <v>167</v>
      </c>
      <c r="Q16" t="s">
        <v>160</v>
      </c>
      <c r="R16" t="s">
        <v>174</v>
      </c>
      <c r="S16" t="s">
        <v>177</v>
      </c>
      <c r="T16">
        <v>40.950000000000003</v>
      </c>
      <c r="U16" t="s">
        <v>179</v>
      </c>
    </row>
    <row r="17" spans="1:21" x14ac:dyDescent="0.25">
      <c r="A17" t="s">
        <v>23</v>
      </c>
      <c r="B17" t="s">
        <v>29</v>
      </c>
      <c r="C17" t="s">
        <v>48</v>
      </c>
      <c r="D17" t="s">
        <v>71</v>
      </c>
      <c r="E17" t="s">
        <v>90</v>
      </c>
      <c r="F17" t="s">
        <v>101</v>
      </c>
      <c r="G17" t="s">
        <v>104</v>
      </c>
      <c r="H17" t="s">
        <v>107</v>
      </c>
      <c r="I17" t="s">
        <v>112</v>
      </c>
      <c r="J17" t="s">
        <v>114</v>
      </c>
      <c r="K17" t="s">
        <v>120</v>
      </c>
      <c r="L17" t="s">
        <v>134</v>
      </c>
      <c r="M17" t="s">
        <v>135</v>
      </c>
      <c r="N17" t="s">
        <v>141</v>
      </c>
      <c r="O17" t="s">
        <v>160</v>
      </c>
      <c r="P17" t="s">
        <v>167</v>
      </c>
      <c r="Q17" t="s">
        <v>160</v>
      </c>
      <c r="R17" t="s">
        <v>174</v>
      </c>
      <c r="S17" t="s">
        <v>177</v>
      </c>
      <c r="T17">
        <v>40.950000000000003</v>
      </c>
      <c r="U17" t="s">
        <v>179</v>
      </c>
    </row>
    <row r="18" spans="1:21" x14ac:dyDescent="0.25">
      <c r="A18" t="s">
        <v>23</v>
      </c>
      <c r="B18" t="s">
        <v>29</v>
      </c>
      <c r="C18" t="s">
        <v>49</v>
      </c>
      <c r="D18" t="s">
        <v>72</v>
      </c>
      <c r="E18" t="s">
        <v>91</v>
      </c>
      <c r="F18" t="s">
        <v>101</v>
      </c>
      <c r="G18" t="s">
        <v>104</v>
      </c>
      <c r="H18" t="s">
        <v>107</v>
      </c>
      <c r="I18" t="s">
        <v>109</v>
      </c>
      <c r="J18" t="s">
        <v>114</v>
      </c>
      <c r="K18" t="s">
        <v>130</v>
      </c>
      <c r="L18" t="s">
        <v>134</v>
      </c>
      <c r="M18" t="s">
        <v>136</v>
      </c>
      <c r="N18" t="s">
        <v>143</v>
      </c>
      <c r="O18" t="s">
        <v>161</v>
      </c>
      <c r="P18" t="s">
        <v>167</v>
      </c>
      <c r="Q18" t="s">
        <v>161</v>
      </c>
      <c r="R18" t="s">
        <v>174</v>
      </c>
      <c r="S18" t="s">
        <v>177</v>
      </c>
      <c r="T18">
        <v>58.51</v>
      </c>
      <c r="U18" t="s">
        <v>179</v>
      </c>
    </row>
    <row r="19" spans="1:21" x14ac:dyDescent="0.25">
      <c r="A19" t="s">
        <v>23</v>
      </c>
      <c r="B19" t="s">
        <v>29</v>
      </c>
      <c r="C19" t="s">
        <v>50</v>
      </c>
      <c r="D19" t="s">
        <v>73</v>
      </c>
      <c r="E19" t="s">
        <v>92</v>
      </c>
      <c r="F19" t="s">
        <v>101</v>
      </c>
      <c r="G19" t="s">
        <v>104</v>
      </c>
      <c r="H19" t="s">
        <v>107</v>
      </c>
      <c r="I19" t="s">
        <v>110</v>
      </c>
      <c r="J19" t="s">
        <v>114</v>
      </c>
      <c r="K19" t="s">
        <v>121</v>
      </c>
      <c r="L19" t="s">
        <v>134</v>
      </c>
      <c r="M19" t="s">
        <v>136</v>
      </c>
      <c r="N19" t="s">
        <v>141</v>
      </c>
      <c r="O19" t="s">
        <v>162</v>
      </c>
      <c r="P19" t="s">
        <v>167</v>
      </c>
      <c r="Q19" t="s">
        <v>171</v>
      </c>
      <c r="R19" t="s">
        <v>174</v>
      </c>
      <c r="S19" t="s">
        <v>177</v>
      </c>
      <c r="T19">
        <v>36.380000000000003</v>
      </c>
      <c r="U19" t="s">
        <v>179</v>
      </c>
    </row>
    <row r="20" spans="1:21" x14ac:dyDescent="0.25">
      <c r="A20" t="s">
        <v>23</v>
      </c>
      <c r="B20" t="s">
        <v>29</v>
      </c>
      <c r="C20" t="s">
        <v>51</v>
      </c>
      <c r="D20" t="s">
        <v>74</v>
      </c>
      <c r="E20" t="s">
        <v>93</v>
      </c>
      <c r="F20" t="s">
        <v>101</v>
      </c>
      <c r="G20" t="s">
        <v>104</v>
      </c>
      <c r="H20" t="s">
        <v>107</v>
      </c>
      <c r="I20" t="s">
        <v>110</v>
      </c>
      <c r="J20" t="s">
        <v>114</v>
      </c>
      <c r="K20" t="s">
        <v>120</v>
      </c>
      <c r="L20" t="s">
        <v>134</v>
      </c>
      <c r="M20" t="s">
        <v>135</v>
      </c>
      <c r="N20" t="s">
        <v>141</v>
      </c>
      <c r="O20" t="s">
        <v>163</v>
      </c>
      <c r="P20" t="s">
        <v>167</v>
      </c>
      <c r="Q20" t="s">
        <v>163</v>
      </c>
      <c r="R20" t="s">
        <v>174</v>
      </c>
      <c r="S20" t="s">
        <v>177</v>
      </c>
      <c r="T20">
        <v>35.049999999999997</v>
      </c>
      <c r="U20" t="s">
        <v>179</v>
      </c>
    </row>
    <row r="21" spans="1:21" x14ac:dyDescent="0.25">
      <c r="A21" t="s">
        <v>23</v>
      </c>
      <c r="B21" t="s">
        <v>29</v>
      </c>
      <c r="C21" t="s">
        <v>52</v>
      </c>
      <c r="D21" t="s">
        <v>75</v>
      </c>
      <c r="E21" t="s">
        <v>94</v>
      </c>
      <c r="F21" t="s">
        <v>101</v>
      </c>
      <c r="G21" t="s">
        <v>104</v>
      </c>
      <c r="H21" t="s">
        <v>107</v>
      </c>
      <c r="I21" t="s">
        <v>110</v>
      </c>
      <c r="J21" t="s">
        <v>114</v>
      </c>
      <c r="K21" t="s">
        <v>120</v>
      </c>
      <c r="L21" t="s">
        <v>134</v>
      </c>
      <c r="M21" t="s">
        <v>135</v>
      </c>
      <c r="N21" t="s">
        <v>141</v>
      </c>
      <c r="O21" t="s">
        <v>164</v>
      </c>
      <c r="P21" t="s">
        <v>167</v>
      </c>
      <c r="Q21" t="s">
        <v>164</v>
      </c>
      <c r="R21" t="s">
        <v>174</v>
      </c>
      <c r="S21" t="s">
        <v>177</v>
      </c>
      <c r="T21">
        <v>43.1</v>
      </c>
      <c r="U21" t="s">
        <v>179</v>
      </c>
    </row>
    <row r="22" spans="1:21" x14ac:dyDescent="0.25">
      <c r="A22" t="s">
        <v>23</v>
      </c>
      <c r="B22" t="s">
        <v>29</v>
      </c>
      <c r="C22" t="s">
        <v>53</v>
      </c>
      <c r="D22" t="s">
        <v>76</v>
      </c>
      <c r="E22" t="s">
        <v>95</v>
      </c>
      <c r="F22" t="s">
        <v>101</v>
      </c>
      <c r="G22" t="s">
        <v>104</v>
      </c>
      <c r="H22" t="s">
        <v>107</v>
      </c>
      <c r="I22" t="s">
        <v>113</v>
      </c>
      <c r="J22" t="s">
        <v>114</v>
      </c>
      <c r="K22" t="s">
        <v>131</v>
      </c>
      <c r="L22" t="s">
        <v>134</v>
      </c>
      <c r="M22" t="s">
        <v>136</v>
      </c>
      <c r="N22" t="s">
        <v>141</v>
      </c>
      <c r="O22" t="s">
        <v>160</v>
      </c>
      <c r="P22" t="s">
        <v>167</v>
      </c>
      <c r="Q22" t="s">
        <v>160</v>
      </c>
      <c r="R22" t="s">
        <v>174</v>
      </c>
      <c r="S22" t="s">
        <v>177</v>
      </c>
      <c r="T22">
        <v>40.950000000000003</v>
      </c>
      <c r="U22" t="s">
        <v>179</v>
      </c>
    </row>
    <row r="23" spans="1:21" x14ac:dyDescent="0.25">
      <c r="A23" t="s">
        <v>23</v>
      </c>
      <c r="B23" t="s">
        <v>29</v>
      </c>
      <c r="C23" t="s">
        <v>54</v>
      </c>
      <c r="D23" t="s">
        <v>75</v>
      </c>
      <c r="E23" t="s">
        <v>96</v>
      </c>
      <c r="F23" t="s">
        <v>102</v>
      </c>
      <c r="G23" t="s">
        <v>104</v>
      </c>
      <c r="H23" t="s">
        <v>107</v>
      </c>
      <c r="I23" t="s">
        <v>113</v>
      </c>
      <c r="J23" t="s">
        <v>114</v>
      </c>
      <c r="K23" t="s">
        <v>132</v>
      </c>
      <c r="L23" t="s">
        <v>134</v>
      </c>
      <c r="M23" t="s">
        <v>136</v>
      </c>
      <c r="N23" t="s">
        <v>141</v>
      </c>
      <c r="O23" t="s">
        <v>165</v>
      </c>
      <c r="P23" t="s">
        <v>167</v>
      </c>
      <c r="Q23" t="s">
        <v>172</v>
      </c>
      <c r="R23" t="s">
        <v>174</v>
      </c>
      <c r="S23" t="s">
        <v>177</v>
      </c>
      <c r="T23">
        <v>48.39</v>
      </c>
      <c r="U23" t="s">
        <v>179</v>
      </c>
    </row>
    <row r="24" spans="1:21" x14ac:dyDescent="0.25">
      <c r="A24" t="s">
        <v>24</v>
      </c>
      <c r="B24" t="s">
        <v>30</v>
      </c>
      <c r="C24" t="s">
        <v>55</v>
      </c>
      <c r="D24" t="s">
        <v>61</v>
      </c>
      <c r="E24" t="s">
        <v>97</v>
      </c>
      <c r="F24" t="s">
        <v>100</v>
      </c>
      <c r="G24" t="s">
        <v>103</v>
      </c>
      <c r="H24" t="s">
        <v>106</v>
      </c>
      <c r="I24" t="s">
        <v>113</v>
      </c>
      <c r="J24" t="s">
        <v>119</v>
      </c>
      <c r="K24" t="s">
        <v>121</v>
      </c>
      <c r="L24" t="s">
        <v>134</v>
      </c>
      <c r="M24" t="s">
        <v>135</v>
      </c>
      <c r="N24" t="s">
        <v>144</v>
      </c>
      <c r="O24" t="s">
        <v>154</v>
      </c>
      <c r="P24" t="s">
        <v>167</v>
      </c>
      <c r="Q24" t="s">
        <v>154</v>
      </c>
      <c r="R24" t="s">
        <v>174</v>
      </c>
      <c r="S24" t="s">
        <v>175</v>
      </c>
      <c r="T24">
        <v>14.13</v>
      </c>
      <c r="U24" t="s">
        <v>179</v>
      </c>
    </row>
    <row r="25" spans="1:21" x14ac:dyDescent="0.25">
      <c r="A25" t="s">
        <v>25</v>
      </c>
      <c r="B25" t="s">
        <v>31</v>
      </c>
      <c r="C25" t="s">
        <v>56</v>
      </c>
      <c r="D25" t="s">
        <v>74</v>
      </c>
      <c r="E25" t="s">
        <v>98</v>
      </c>
      <c r="F25" t="s">
        <v>100</v>
      </c>
      <c r="G25" t="s">
        <v>103</v>
      </c>
      <c r="H25" t="s">
        <v>108</v>
      </c>
      <c r="I25" t="s">
        <v>111</v>
      </c>
      <c r="J25" t="s">
        <v>114</v>
      </c>
      <c r="K25" t="s">
        <v>133</v>
      </c>
      <c r="L25" t="s">
        <v>134</v>
      </c>
      <c r="M25" t="s">
        <v>135</v>
      </c>
      <c r="N25" t="s">
        <v>137</v>
      </c>
      <c r="O25" t="s">
        <v>156</v>
      </c>
      <c r="P25" t="s">
        <v>167</v>
      </c>
      <c r="Q25" t="s">
        <v>156</v>
      </c>
      <c r="R25" t="s">
        <v>174</v>
      </c>
      <c r="S25" t="s">
        <v>175</v>
      </c>
      <c r="T25">
        <v>13.98</v>
      </c>
      <c r="U25" t="s">
        <v>179</v>
      </c>
    </row>
    <row r="26" spans="1:21" x14ac:dyDescent="0.25">
      <c r="A26" t="s">
        <v>26</v>
      </c>
      <c r="B26" t="s">
        <v>32</v>
      </c>
      <c r="C26" t="s">
        <v>57</v>
      </c>
      <c r="D26" t="s">
        <v>77</v>
      </c>
      <c r="E26" t="s">
        <v>99</v>
      </c>
      <c r="F26" t="s">
        <v>101</v>
      </c>
      <c r="G26" t="s">
        <v>104</v>
      </c>
      <c r="H26" t="s">
        <v>106</v>
      </c>
      <c r="I26" t="s">
        <v>109</v>
      </c>
      <c r="J26" t="s">
        <v>114</v>
      </c>
      <c r="K26" t="s">
        <v>120</v>
      </c>
      <c r="L26" t="s">
        <v>134</v>
      </c>
      <c r="M26" t="s">
        <v>135</v>
      </c>
      <c r="N26" t="s">
        <v>145</v>
      </c>
      <c r="O26" t="s">
        <v>166</v>
      </c>
      <c r="P26" t="s">
        <v>167</v>
      </c>
      <c r="Q26" t="s">
        <v>173</v>
      </c>
      <c r="R26" t="s">
        <v>174</v>
      </c>
      <c r="S26" t="s">
        <v>178</v>
      </c>
      <c r="T26">
        <v>33.72</v>
      </c>
      <c r="U26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D2E3-C907-4E61-8B46-69A46FAABF64}">
  <dimension ref="A1:AA54"/>
  <sheetViews>
    <sheetView tabSelected="1" topLeftCell="A34" workbookViewId="0">
      <selection activeCell="U2" sqref="U2:U49"/>
    </sheetView>
  </sheetViews>
  <sheetFormatPr defaultRowHeight="15" x14ac:dyDescent="0.25"/>
  <cols>
    <col min="1" max="1" width="24.5703125" bestFit="1" customWidth="1"/>
    <col min="2" max="2" width="12.42578125" customWidth="1"/>
    <col min="3" max="3" width="12.85546875" bestFit="1" customWidth="1"/>
    <col min="4" max="5" width="8" customWidth="1"/>
    <col min="6" max="6" width="13.7109375" bestFit="1" customWidth="1"/>
    <col min="7" max="7" width="15.28515625" bestFit="1" customWidth="1"/>
    <col min="8" max="8" width="9.5703125" customWidth="1"/>
    <col min="9" max="10" width="11.140625" customWidth="1"/>
    <col min="11" max="11" width="20.85546875" bestFit="1" customWidth="1"/>
    <col min="12" max="12" width="20.85546875" customWidth="1"/>
    <col min="13" max="13" width="5.42578125" bestFit="1" customWidth="1"/>
    <col min="14" max="14" width="15.140625" bestFit="1" customWidth="1"/>
    <col min="15" max="15" width="11.140625" bestFit="1" customWidth="1"/>
    <col min="16" max="16" width="9.7109375" bestFit="1" customWidth="1"/>
    <col min="17" max="17" width="8" customWidth="1"/>
    <col min="18" max="19" width="10" customWidth="1"/>
    <col min="20" max="20" width="9.42578125" customWidth="1"/>
    <col min="21" max="21" width="10.140625" customWidth="1"/>
  </cols>
  <sheetData>
    <row r="1" spans="1:27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 t="s">
        <v>3</v>
      </c>
      <c r="I1" s="1" t="s">
        <v>4</v>
      </c>
      <c r="J1" s="1"/>
      <c r="K1" s="1" t="s">
        <v>6</v>
      </c>
      <c r="L1" s="1"/>
      <c r="M1" s="1" t="s">
        <v>7</v>
      </c>
      <c r="N1" s="1" t="s">
        <v>8</v>
      </c>
      <c r="O1" s="1" t="s">
        <v>9</v>
      </c>
      <c r="P1" s="1" t="s">
        <v>11</v>
      </c>
      <c r="Q1" s="1" t="s">
        <v>13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7" x14ac:dyDescent="0.25">
      <c r="A2" t="s">
        <v>21</v>
      </c>
      <c r="B2" s="5">
        <v>19491313</v>
      </c>
      <c r="C2" s="5">
        <v>19491313</v>
      </c>
      <c r="D2" s="5" t="s">
        <v>242</v>
      </c>
      <c r="E2" s="21" t="s">
        <v>239</v>
      </c>
      <c r="F2" t="s">
        <v>34</v>
      </c>
      <c r="G2" t="s">
        <v>34</v>
      </c>
      <c r="H2" t="s">
        <v>59</v>
      </c>
      <c r="I2" t="s">
        <v>79</v>
      </c>
      <c r="J2" t="s">
        <v>209</v>
      </c>
      <c r="K2" t="s">
        <v>104</v>
      </c>
      <c r="L2" t="s">
        <v>234</v>
      </c>
      <c r="M2" t="s">
        <v>105</v>
      </c>
      <c r="N2" s="9">
        <v>46054</v>
      </c>
      <c r="O2" s="9">
        <v>46266</v>
      </c>
      <c r="P2" t="s">
        <v>134</v>
      </c>
      <c r="Q2" s="3">
        <v>7</v>
      </c>
      <c r="R2" s="3">
        <v>130.09</v>
      </c>
      <c r="S2" s="3">
        <v>100</v>
      </c>
      <c r="T2" s="7">
        <v>0.21</v>
      </c>
      <c r="U2">
        <v>27.32</v>
      </c>
    </row>
    <row r="3" spans="1:27" x14ac:dyDescent="0.25">
      <c r="A3" t="s">
        <v>21</v>
      </c>
      <c r="B3" s="5">
        <v>19491313</v>
      </c>
      <c r="C3" s="5">
        <v>19491313</v>
      </c>
      <c r="D3" s="5" t="s">
        <v>242</v>
      </c>
      <c r="E3" s="21" t="s">
        <v>239</v>
      </c>
      <c r="F3" t="s">
        <v>37</v>
      </c>
      <c r="G3" t="s">
        <v>37</v>
      </c>
      <c r="H3" t="s">
        <v>58</v>
      </c>
      <c r="I3" t="s">
        <v>78</v>
      </c>
      <c r="J3" t="s">
        <v>208</v>
      </c>
      <c r="K3" t="s">
        <v>104</v>
      </c>
      <c r="L3" t="s">
        <v>234</v>
      </c>
      <c r="M3" t="s">
        <v>105</v>
      </c>
      <c r="N3" s="9">
        <v>46143</v>
      </c>
      <c r="O3" s="9">
        <v>46266</v>
      </c>
      <c r="P3" t="s">
        <v>134</v>
      </c>
      <c r="Q3" s="3">
        <v>4</v>
      </c>
      <c r="R3" s="3">
        <v>130.09</v>
      </c>
      <c r="S3" s="3">
        <v>100</v>
      </c>
      <c r="T3" s="7">
        <v>0.21</v>
      </c>
      <c r="U3">
        <v>27.32</v>
      </c>
    </row>
    <row r="4" spans="1:27" x14ac:dyDescent="0.25">
      <c r="A4" t="s">
        <v>21</v>
      </c>
      <c r="B4" s="5">
        <v>19491313</v>
      </c>
      <c r="C4" s="5">
        <v>19491313</v>
      </c>
      <c r="D4" s="5" t="s">
        <v>242</v>
      </c>
      <c r="E4" s="21" t="s">
        <v>239</v>
      </c>
      <c r="F4" t="s">
        <v>38</v>
      </c>
      <c r="G4" t="s">
        <v>38</v>
      </c>
      <c r="H4" t="s">
        <v>61</v>
      </c>
      <c r="I4" t="s">
        <v>81</v>
      </c>
      <c r="J4" t="s">
        <v>211</v>
      </c>
      <c r="K4" t="s">
        <v>104</v>
      </c>
      <c r="L4" t="s">
        <v>234</v>
      </c>
      <c r="M4" t="s">
        <v>105</v>
      </c>
      <c r="N4" s="9">
        <v>46054</v>
      </c>
      <c r="O4" s="9">
        <v>46266</v>
      </c>
      <c r="P4" t="s">
        <v>134</v>
      </c>
      <c r="Q4" s="3">
        <v>7</v>
      </c>
      <c r="R4" s="3">
        <v>136.22</v>
      </c>
      <c r="S4" s="3">
        <v>100</v>
      </c>
      <c r="T4" s="7">
        <v>0.21</v>
      </c>
      <c r="U4">
        <v>28.61</v>
      </c>
    </row>
    <row r="5" spans="1:27" x14ac:dyDescent="0.25">
      <c r="A5" t="s">
        <v>21</v>
      </c>
      <c r="B5" s="5">
        <v>19491313</v>
      </c>
      <c r="C5" s="5">
        <v>19491313</v>
      </c>
      <c r="D5" s="5" t="s">
        <v>242</v>
      </c>
      <c r="E5" s="21" t="s">
        <v>239</v>
      </c>
      <c r="F5" t="s">
        <v>39</v>
      </c>
      <c r="G5" t="s">
        <v>39</v>
      </c>
      <c r="H5" t="s">
        <v>62</v>
      </c>
      <c r="I5" t="s">
        <v>81</v>
      </c>
      <c r="J5" t="s">
        <v>212</v>
      </c>
      <c r="K5" t="s">
        <v>104</v>
      </c>
      <c r="L5" t="s">
        <v>234</v>
      </c>
      <c r="M5" t="s">
        <v>105</v>
      </c>
      <c r="N5" s="9">
        <v>46054</v>
      </c>
      <c r="O5" s="9">
        <v>46266</v>
      </c>
      <c r="P5" t="s">
        <v>134</v>
      </c>
      <c r="Q5" s="3">
        <v>7</v>
      </c>
      <c r="R5" s="3">
        <v>123.24</v>
      </c>
      <c r="S5" s="3">
        <v>100</v>
      </c>
      <c r="T5" s="7">
        <v>0.21</v>
      </c>
      <c r="U5">
        <v>25.88</v>
      </c>
    </row>
    <row r="6" spans="1:27" x14ac:dyDescent="0.25">
      <c r="A6" s="16" t="s">
        <v>231</v>
      </c>
      <c r="B6" s="17">
        <v>16849453</v>
      </c>
      <c r="C6" s="17" t="s">
        <v>238</v>
      </c>
      <c r="D6" s="17" t="s">
        <v>241</v>
      </c>
      <c r="E6" s="22" t="s">
        <v>240</v>
      </c>
      <c r="F6" s="16" t="s">
        <v>45</v>
      </c>
      <c r="G6" s="16" t="s">
        <v>45</v>
      </c>
      <c r="H6" s="16" t="s">
        <v>68</v>
      </c>
      <c r="I6" s="16" t="s">
        <v>87</v>
      </c>
      <c r="J6" s="16" t="s">
        <v>218</v>
      </c>
      <c r="K6" s="16" t="s">
        <v>104</v>
      </c>
      <c r="L6" s="16" t="s">
        <v>235</v>
      </c>
      <c r="M6" s="16" t="s">
        <v>107</v>
      </c>
      <c r="N6" s="18">
        <v>46235</v>
      </c>
      <c r="O6" s="18">
        <v>46266</v>
      </c>
      <c r="P6" s="16" t="s">
        <v>134</v>
      </c>
      <c r="Q6" s="19">
        <v>1</v>
      </c>
      <c r="R6" s="19">
        <v>227.9</v>
      </c>
      <c r="S6" s="19">
        <v>100</v>
      </c>
      <c r="T6" s="20">
        <v>0.23200000000000001</v>
      </c>
      <c r="U6" s="16">
        <v>52.87</v>
      </c>
      <c r="V6" s="16"/>
      <c r="W6" s="16"/>
      <c r="X6" s="16"/>
      <c r="Y6" s="16"/>
      <c r="Z6" s="16"/>
      <c r="AA6" s="16"/>
    </row>
    <row r="7" spans="1:27" x14ac:dyDescent="0.25">
      <c r="A7" s="16" t="s">
        <v>231</v>
      </c>
      <c r="B7" s="17">
        <v>16849453</v>
      </c>
      <c r="C7" s="17" t="s">
        <v>238</v>
      </c>
      <c r="D7" s="17" t="s">
        <v>241</v>
      </c>
      <c r="E7" s="22" t="s">
        <v>240</v>
      </c>
      <c r="F7" s="16" t="s">
        <v>46</v>
      </c>
      <c r="G7" s="16" t="s">
        <v>46</v>
      </c>
      <c r="H7" s="16" t="s">
        <v>69</v>
      </c>
      <c r="I7" s="16" t="s">
        <v>88</v>
      </c>
      <c r="J7" s="16" t="s">
        <v>219</v>
      </c>
      <c r="K7" s="16" t="s">
        <v>104</v>
      </c>
      <c r="L7" s="16" t="s">
        <v>235</v>
      </c>
      <c r="M7" s="16" t="s">
        <v>107</v>
      </c>
      <c r="N7" s="18">
        <v>46235</v>
      </c>
      <c r="O7" s="18">
        <v>46266</v>
      </c>
      <c r="P7" s="16" t="s">
        <v>134</v>
      </c>
      <c r="Q7" s="19">
        <v>1</v>
      </c>
      <c r="R7" s="19">
        <v>214.82</v>
      </c>
      <c r="S7" s="19">
        <v>100</v>
      </c>
      <c r="T7" s="20">
        <v>0.23200000000000001</v>
      </c>
      <c r="U7" s="16">
        <v>49.84</v>
      </c>
      <c r="V7" s="16"/>
      <c r="W7" s="16"/>
      <c r="X7" s="16"/>
      <c r="Y7" s="16"/>
      <c r="Z7" s="16"/>
      <c r="AA7" s="16"/>
    </row>
    <row r="8" spans="1:27" s="16" customFormat="1" x14ac:dyDescent="0.25">
      <c r="A8" s="16" t="s">
        <v>231</v>
      </c>
      <c r="B8" s="17">
        <v>16849453</v>
      </c>
      <c r="C8" s="17" t="s">
        <v>238</v>
      </c>
      <c r="D8" s="17" t="s">
        <v>241</v>
      </c>
      <c r="E8" s="22" t="s">
        <v>240</v>
      </c>
      <c r="F8" s="16" t="s">
        <v>47</v>
      </c>
      <c r="G8" s="16" t="s">
        <v>47</v>
      </c>
      <c r="H8" s="16" t="s">
        <v>70</v>
      </c>
      <c r="I8" s="16" t="s">
        <v>89</v>
      </c>
      <c r="J8" s="16" t="s">
        <v>220</v>
      </c>
      <c r="K8" s="16" t="s">
        <v>104</v>
      </c>
      <c r="L8" s="16" t="s">
        <v>235</v>
      </c>
      <c r="M8" s="16" t="s">
        <v>107</v>
      </c>
      <c r="N8" s="18">
        <v>46296</v>
      </c>
      <c r="O8" s="18">
        <v>46327</v>
      </c>
      <c r="P8" s="16" t="s">
        <v>134</v>
      </c>
      <c r="Q8" s="19">
        <v>1</v>
      </c>
      <c r="R8" s="19">
        <v>176.52</v>
      </c>
      <c r="S8" s="19">
        <v>100</v>
      </c>
      <c r="T8" s="20">
        <v>0.23200000000000001</v>
      </c>
      <c r="U8" s="16">
        <v>40.950000000000003</v>
      </c>
    </row>
    <row r="9" spans="1:27" x14ac:dyDescent="0.25">
      <c r="A9" s="16" t="s">
        <v>231</v>
      </c>
      <c r="B9" s="17">
        <v>16849453</v>
      </c>
      <c r="C9" s="17" t="s">
        <v>238</v>
      </c>
      <c r="D9" s="17" t="s">
        <v>241</v>
      </c>
      <c r="E9" s="22" t="s">
        <v>240</v>
      </c>
      <c r="F9" s="16" t="s">
        <v>48</v>
      </c>
      <c r="G9" s="16" t="s">
        <v>48</v>
      </c>
      <c r="H9" s="16" t="s">
        <v>71</v>
      </c>
      <c r="I9" s="16" t="s">
        <v>90</v>
      </c>
      <c r="J9" s="16" t="s">
        <v>221</v>
      </c>
      <c r="K9" s="16" t="s">
        <v>104</v>
      </c>
      <c r="L9" s="16" t="s">
        <v>235</v>
      </c>
      <c r="M9" s="16" t="s">
        <v>107</v>
      </c>
      <c r="N9" s="18">
        <v>46235</v>
      </c>
      <c r="O9" s="18">
        <v>46266</v>
      </c>
      <c r="P9" s="16" t="s">
        <v>134</v>
      </c>
      <c r="Q9" s="19">
        <v>1</v>
      </c>
      <c r="R9" s="19">
        <v>176.52</v>
      </c>
      <c r="S9" s="19">
        <v>100</v>
      </c>
      <c r="T9" s="20">
        <v>0.23200000000000001</v>
      </c>
      <c r="U9" s="16">
        <v>40.950000000000003</v>
      </c>
      <c r="V9" s="16"/>
      <c r="W9" s="16"/>
      <c r="X9" s="16"/>
      <c r="Y9" s="16"/>
      <c r="Z9" s="16"/>
      <c r="AA9" s="16"/>
    </row>
    <row r="10" spans="1:27" x14ac:dyDescent="0.25">
      <c r="A10" t="s">
        <v>231</v>
      </c>
      <c r="B10" s="5">
        <v>16849453</v>
      </c>
      <c r="C10" s="5">
        <v>16849453</v>
      </c>
      <c r="D10" s="5" t="s">
        <v>242</v>
      </c>
      <c r="E10" s="21" t="s">
        <v>240</v>
      </c>
      <c r="F10" t="s">
        <v>49</v>
      </c>
      <c r="G10" t="s">
        <v>49</v>
      </c>
      <c r="H10" t="s">
        <v>72</v>
      </c>
      <c r="I10" t="s">
        <v>91</v>
      </c>
      <c r="J10" t="s">
        <v>222</v>
      </c>
      <c r="K10" t="s">
        <v>104</v>
      </c>
      <c r="L10" t="s">
        <v>235</v>
      </c>
      <c r="M10" t="s">
        <v>107</v>
      </c>
      <c r="N10" s="9">
        <v>46204</v>
      </c>
      <c r="O10" s="9">
        <v>46266</v>
      </c>
      <c r="P10" t="s">
        <v>134</v>
      </c>
      <c r="Q10" s="3">
        <v>2</v>
      </c>
      <c r="R10" s="3">
        <v>252.21</v>
      </c>
      <c r="S10" s="3">
        <v>100</v>
      </c>
      <c r="T10" s="7">
        <v>0.23200000000000001</v>
      </c>
      <c r="U10">
        <v>58.51</v>
      </c>
    </row>
    <row r="11" spans="1:27" x14ac:dyDescent="0.25">
      <c r="A11" s="16" t="s">
        <v>231</v>
      </c>
      <c r="B11" s="17">
        <v>16849453</v>
      </c>
      <c r="C11" s="17" t="s">
        <v>238</v>
      </c>
      <c r="D11" s="17" t="s">
        <v>241</v>
      </c>
      <c r="E11" s="22" t="s">
        <v>240</v>
      </c>
      <c r="F11" s="16" t="s">
        <v>50</v>
      </c>
      <c r="G11" s="16" t="s">
        <v>50</v>
      </c>
      <c r="H11" s="16" t="s">
        <v>73</v>
      </c>
      <c r="I11" s="16" t="s">
        <v>92</v>
      </c>
      <c r="J11" s="16" t="s">
        <v>223</v>
      </c>
      <c r="K11" s="16" t="s">
        <v>104</v>
      </c>
      <c r="L11" s="16" t="s">
        <v>235</v>
      </c>
      <c r="M11" s="16" t="s">
        <v>107</v>
      </c>
      <c r="N11" s="18">
        <v>46235</v>
      </c>
      <c r="O11" s="18">
        <v>46266</v>
      </c>
      <c r="P11" s="16" t="s">
        <v>134</v>
      </c>
      <c r="Q11" s="19">
        <v>1</v>
      </c>
      <c r="R11" s="19">
        <v>156.83000000000001</v>
      </c>
      <c r="S11" s="19">
        <v>100</v>
      </c>
      <c r="T11" s="20">
        <v>0.23200000000000001</v>
      </c>
      <c r="U11" s="16">
        <v>36.380000000000003</v>
      </c>
      <c r="V11" s="16"/>
      <c r="W11" s="16"/>
      <c r="X11" s="16"/>
      <c r="Y11" s="16"/>
      <c r="Z11" s="16"/>
      <c r="AA11" s="16"/>
    </row>
    <row r="12" spans="1:27" s="16" customFormat="1" x14ac:dyDescent="0.25">
      <c r="A12" s="16" t="s">
        <v>231</v>
      </c>
      <c r="B12" s="17">
        <v>16849453</v>
      </c>
      <c r="C12" s="17" t="s">
        <v>238</v>
      </c>
      <c r="D12" s="17" t="s">
        <v>241</v>
      </c>
      <c r="E12" s="22" t="s">
        <v>240</v>
      </c>
      <c r="F12" s="16" t="s">
        <v>51</v>
      </c>
      <c r="G12" s="16" t="s">
        <v>51</v>
      </c>
      <c r="H12" s="16" t="s">
        <v>74</v>
      </c>
      <c r="I12" s="16" t="s">
        <v>93</v>
      </c>
      <c r="J12" s="16" t="s">
        <v>224</v>
      </c>
      <c r="K12" s="16" t="s">
        <v>104</v>
      </c>
      <c r="L12" s="16" t="s">
        <v>235</v>
      </c>
      <c r="M12" s="16" t="s">
        <v>107</v>
      </c>
      <c r="N12" s="18">
        <v>46235</v>
      </c>
      <c r="O12" s="18">
        <v>46266</v>
      </c>
      <c r="P12" s="16" t="s">
        <v>134</v>
      </c>
      <c r="Q12" s="19">
        <v>1</v>
      </c>
      <c r="R12" s="19">
        <v>151.07</v>
      </c>
      <c r="S12" s="19">
        <v>100</v>
      </c>
      <c r="T12" s="20">
        <v>0.23200000000000001</v>
      </c>
      <c r="U12" s="16">
        <v>35.049999999999997</v>
      </c>
    </row>
    <row r="13" spans="1:27" s="16" customFormat="1" x14ac:dyDescent="0.25">
      <c r="A13" s="16" t="s">
        <v>231</v>
      </c>
      <c r="B13" s="17">
        <v>16849453</v>
      </c>
      <c r="C13" s="17" t="s">
        <v>238</v>
      </c>
      <c r="D13" s="17" t="s">
        <v>241</v>
      </c>
      <c r="E13" s="22" t="s">
        <v>240</v>
      </c>
      <c r="F13" s="16" t="s">
        <v>52</v>
      </c>
      <c r="G13" s="16" t="s">
        <v>52</v>
      </c>
      <c r="H13" s="16" t="s">
        <v>75</v>
      </c>
      <c r="I13" s="16" t="s">
        <v>94</v>
      </c>
      <c r="J13" s="16" t="s">
        <v>225</v>
      </c>
      <c r="K13" s="16" t="s">
        <v>104</v>
      </c>
      <c r="L13" s="16" t="s">
        <v>235</v>
      </c>
      <c r="M13" s="16" t="s">
        <v>107</v>
      </c>
      <c r="N13" s="18">
        <v>46235</v>
      </c>
      <c r="O13" s="18">
        <v>46266</v>
      </c>
      <c r="P13" s="16" t="s">
        <v>134</v>
      </c>
      <c r="Q13" s="19">
        <v>1</v>
      </c>
      <c r="R13" s="19">
        <v>185.79</v>
      </c>
      <c r="S13" s="19">
        <v>100</v>
      </c>
      <c r="T13" s="20">
        <v>0.23200000000000001</v>
      </c>
      <c r="U13" s="16">
        <v>43.1</v>
      </c>
    </row>
    <row r="14" spans="1:27" s="16" customFormat="1" x14ac:dyDescent="0.25">
      <c r="A14" s="16" t="s">
        <v>231</v>
      </c>
      <c r="B14" s="17">
        <v>16849453</v>
      </c>
      <c r="C14" s="17" t="s">
        <v>238</v>
      </c>
      <c r="D14" s="17" t="s">
        <v>241</v>
      </c>
      <c r="E14" s="22" t="s">
        <v>240</v>
      </c>
      <c r="F14" s="16" t="s">
        <v>53</v>
      </c>
      <c r="G14" s="16" t="s">
        <v>53</v>
      </c>
      <c r="H14" s="16" t="s">
        <v>76</v>
      </c>
      <c r="I14" s="16" t="s">
        <v>95</v>
      </c>
      <c r="J14" s="16" t="s">
        <v>226</v>
      </c>
      <c r="K14" s="16" t="s">
        <v>104</v>
      </c>
      <c r="L14" s="16" t="s">
        <v>235</v>
      </c>
      <c r="M14" s="16" t="s">
        <v>107</v>
      </c>
      <c r="N14" s="18">
        <v>46235</v>
      </c>
      <c r="O14" s="18">
        <v>46266</v>
      </c>
      <c r="P14" s="16" t="s">
        <v>134</v>
      </c>
      <c r="Q14" s="19">
        <v>1</v>
      </c>
      <c r="R14" s="19">
        <v>176.52</v>
      </c>
      <c r="S14" s="19">
        <v>100</v>
      </c>
      <c r="T14" s="20">
        <v>0.23200000000000001</v>
      </c>
      <c r="U14" s="16">
        <v>40.950000000000003</v>
      </c>
    </row>
    <row r="15" spans="1:27" s="16" customFormat="1" x14ac:dyDescent="0.25">
      <c r="A15" s="16" t="s">
        <v>231</v>
      </c>
      <c r="B15" s="17">
        <v>16849453</v>
      </c>
      <c r="C15" s="17" t="s">
        <v>238</v>
      </c>
      <c r="D15" s="17" t="s">
        <v>241</v>
      </c>
      <c r="E15" s="22" t="s">
        <v>240</v>
      </c>
      <c r="F15" s="16" t="s">
        <v>54</v>
      </c>
      <c r="G15" s="16" t="s">
        <v>54</v>
      </c>
      <c r="H15" s="16" t="s">
        <v>75</v>
      </c>
      <c r="I15" s="16" t="s">
        <v>96</v>
      </c>
      <c r="J15" s="16" t="s">
        <v>227</v>
      </c>
      <c r="K15" s="16" t="s">
        <v>104</v>
      </c>
      <c r="L15" s="16" t="s">
        <v>235</v>
      </c>
      <c r="M15" s="16" t="s">
        <v>107</v>
      </c>
      <c r="N15" s="18">
        <v>46235</v>
      </c>
      <c r="O15" s="18">
        <v>46266</v>
      </c>
      <c r="P15" s="16" t="s">
        <v>134</v>
      </c>
      <c r="Q15" s="19">
        <v>1</v>
      </c>
      <c r="R15" s="19">
        <v>208.56</v>
      </c>
      <c r="S15" s="19">
        <v>100</v>
      </c>
      <c r="T15" s="20">
        <v>0.23200000000000001</v>
      </c>
      <c r="U15" s="16">
        <v>48.39</v>
      </c>
    </row>
    <row r="16" spans="1:27" s="16" customFormat="1" x14ac:dyDescent="0.25">
      <c r="A16" t="s">
        <v>21</v>
      </c>
      <c r="B16" s="5">
        <v>19491313</v>
      </c>
      <c r="C16" s="5">
        <v>19491313</v>
      </c>
      <c r="D16" s="5" t="s">
        <v>242</v>
      </c>
      <c r="E16" s="21" t="s">
        <v>239</v>
      </c>
      <c r="F16" t="s">
        <v>33</v>
      </c>
      <c r="G16" t="s">
        <v>33</v>
      </c>
      <c r="H16" t="s">
        <v>58</v>
      </c>
      <c r="I16" t="s">
        <v>78</v>
      </c>
      <c r="J16" t="s">
        <v>208</v>
      </c>
      <c r="K16" t="s">
        <v>103</v>
      </c>
      <c r="L16" t="s">
        <v>233</v>
      </c>
      <c r="M16" t="s">
        <v>105</v>
      </c>
      <c r="N16" s="9">
        <v>46143</v>
      </c>
      <c r="O16" s="9">
        <v>46266</v>
      </c>
      <c r="P16" t="s">
        <v>134</v>
      </c>
      <c r="Q16" s="3">
        <v>4</v>
      </c>
      <c r="R16" s="3">
        <v>62.17</v>
      </c>
      <c r="S16" s="3">
        <v>100</v>
      </c>
      <c r="T16" s="7">
        <v>0.25</v>
      </c>
      <c r="U16">
        <v>15.54</v>
      </c>
      <c r="V16"/>
      <c r="W16"/>
      <c r="X16"/>
      <c r="Y16"/>
      <c r="Z16"/>
      <c r="AA16"/>
    </row>
    <row r="17" spans="1:27" x14ac:dyDescent="0.25">
      <c r="A17" t="s">
        <v>21</v>
      </c>
      <c r="B17" s="5">
        <v>19491313</v>
      </c>
      <c r="C17" s="5">
        <v>19491313</v>
      </c>
      <c r="D17" s="5" t="s">
        <v>242</v>
      </c>
      <c r="E17" s="21" t="s">
        <v>239</v>
      </c>
      <c r="F17" t="s">
        <v>35</v>
      </c>
      <c r="G17" t="s">
        <v>35</v>
      </c>
      <c r="H17" t="s">
        <v>60</v>
      </c>
      <c r="I17" t="s">
        <v>80</v>
      </c>
      <c r="J17" t="s">
        <v>210</v>
      </c>
      <c r="K17" t="s">
        <v>103</v>
      </c>
      <c r="L17" t="s">
        <v>233</v>
      </c>
      <c r="M17" t="s">
        <v>105</v>
      </c>
      <c r="N17" s="9">
        <v>46023</v>
      </c>
      <c r="O17" s="9">
        <v>46266</v>
      </c>
      <c r="P17" t="s">
        <v>134</v>
      </c>
      <c r="Q17" s="3">
        <v>8</v>
      </c>
      <c r="R17" s="3">
        <v>53.67</v>
      </c>
      <c r="S17" s="3">
        <v>100</v>
      </c>
      <c r="T17" s="7">
        <v>0.25</v>
      </c>
      <c r="U17">
        <v>13.42</v>
      </c>
    </row>
    <row r="18" spans="1:27" s="16" customFormat="1" x14ac:dyDescent="0.25">
      <c r="A18" s="16" t="s">
        <v>22</v>
      </c>
      <c r="B18" s="17">
        <v>8812322</v>
      </c>
      <c r="C18" s="17" t="s">
        <v>237</v>
      </c>
      <c r="D18" s="17" t="s">
        <v>241</v>
      </c>
      <c r="E18" s="22" t="s">
        <v>240</v>
      </c>
      <c r="F18" s="16" t="s">
        <v>40</v>
      </c>
      <c r="G18" s="16" t="s">
        <v>40</v>
      </c>
      <c r="H18" s="16" t="s">
        <v>63</v>
      </c>
      <c r="I18" s="16" t="s">
        <v>82</v>
      </c>
      <c r="J18" s="16" t="s">
        <v>213</v>
      </c>
      <c r="K18" s="16" t="s">
        <v>103</v>
      </c>
      <c r="L18" s="16" t="s">
        <v>233</v>
      </c>
      <c r="M18" s="16" t="s">
        <v>106</v>
      </c>
      <c r="N18" s="18">
        <v>46235</v>
      </c>
      <c r="O18" s="18">
        <v>46266</v>
      </c>
      <c r="P18" s="16" t="s">
        <v>134</v>
      </c>
      <c r="Q18" s="19">
        <v>1</v>
      </c>
      <c r="R18" s="19">
        <v>176.1</v>
      </c>
      <c r="S18" s="19">
        <v>100</v>
      </c>
      <c r="T18" s="20">
        <v>0.25</v>
      </c>
      <c r="U18" s="16">
        <v>44.03</v>
      </c>
    </row>
    <row r="19" spans="1:27" s="16" customFormat="1" x14ac:dyDescent="0.25">
      <c r="A19" t="s">
        <v>22</v>
      </c>
      <c r="B19" s="5">
        <v>8812322</v>
      </c>
      <c r="C19" s="5">
        <v>8812322</v>
      </c>
      <c r="D19" s="5" t="s">
        <v>242</v>
      </c>
      <c r="E19" s="21" t="s">
        <v>240</v>
      </c>
      <c r="F19" t="s">
        <v>41</v>
      </c>
      <c r="G19" t="s">
        <v>41</v>
      </c>
      <c r="H19" t="s">
        <v>64</v>
      </c>
      <c r="I19" t="s">
        <v>83</v>
      </c>
      <c r="J19" t="s">
        <v>214</v>
      </c>
      <c r="K19" t="s">
        <v>103</v>
      </c>
      <c r="L19" t="s">
        <v>233</v>
      </c>
      <c r="M19" t="s">
        <v>106</v>
      </c>
      <c r="N19" s="9">
        <v>46126</v>
      </c>
      <c r="O19" s="9">
        <v>46248</v>
      </c>
      <c r="P19" t="s">
        <v>134</v>
      </c>
      <c r="Q19" s="3">
        <v>4</v>
      </c>
      <c r="R19" s="3">
        <v>144.18</v>
      </c>
      <c r="S19" s="3">
        <v>100</v>
      </c>
      <c r="T19" s="7">
        <v>0.25</v>
      </c>
      <c r="U19">
        <v>36.049999999999997</v>
      </c>
      <c r="V19"/>
      <c r="W19"/>
      <c r="X19"/>
      <c r="Y19"/>
      <c r="Z19"/>
      <c r="AA19"/>
    </row>
    <row r="20" spans="1:27" s="16" customFormat="1" x14ac:dyDescent="0.25">
      <c r="A20" t="s">
        <v>22</v>
      </c>
      <c r="B20" s="5">
        <v>8812322</v>
      </c>
      <c r="C20" s="5">
        <v>8812322</v>
      </c>
      <c r="D20" s="5" t="s">
        <v>242</v>
      </c>
      <c r="E20" s="21" t="s">
        <v>239</v>
      </c>
      <c r="F20" t="s">
        <v>42</v>
      </c>
      <c r="G20" t="s">
        <v>42</v>
      </c>
      <c r="H20" t="s">
        <v>65</v>
      </c>
      <c r="I20" t="s">
        <v>84</v>
      </c>
      <c r="J20" t="s">
        <v>215</v>
      </c>
      <c r="K20" t="s">
        <v>103</v>
      </c>
      <c r="L20" t="s">
        <v>233</v>
      </c>
      <c r="M20" t="s">
        <v>106</v>
      </c>
      <c r="N20" s="9">
        <v>45976</v>
      </c>
      <c r="O20" s="9">
        <v>46249</v>
      </c>
      <c r="P20" t="s">
        <v>134</v>
      </c>
      <c r="Q20" s="3">
        <v>9</v>
      </c>
      <c r="R20" s="3">
        <v>56.5</v>
      </c>
      <c r="S20" s="3">
        <v>100</v>
      </c>
      <c r="T20" s="7">
        <v>0.25</v>
      </c>
      <c r="U20">
        <v>14.13</v>
      </c>
      <c r="V20"/>
      <c r="W20"/>
      <c r="X20"/>
      <c r="Y20"/>
      <c r="Z20"/>
      <c r="AA20"/>
    </row>
    <row r="21" spans="1:27" s="16" customFormat="1" x14ac:dyDescent="0.25">
      <c r="A21" t="s">
        <v>22</v>
      </c>
      <c r="B21" s="5">
        <v>8812322</v>
      </c>
      <c r="C21" s="5">
        <v>8812322</v>
      </c>
      <c r="D21" s="5" t="s">
        <v>242</v>
      </c>
      <c r="E21" s="21" t="s">
        <v>240</v>
      </c>
      <c r="F21" t="s">
        <v>43</v>
      </c>
      <c r="G21" t="s">
        <v>43</v>
      </c>
      <c r="H21" t="s">
        <v>66</v>
      </c>
      <c r="I21" t="s">
        <v>85</v>
      </c>
      <c r="J21" t="s">
        <v>216</v>
      </c>
      <c r="K21" t="s">
        <v>103</v>
      </c>
      <c r="L21" t="s">
        <v>233</v>
      </c>
      <c r="M21" t="s">
        <v>106</v>
      </c>
      <c r="N21" s="9">
        <v>46189</v>
      </c>
      <c r="O21" s="9">
        <v>46250</v>
      </c>
      <c r="P21" t="s">
        <v>134</v>
      </c>
      <c r="Q21" s="3">
        <v>2</v>
      </c>
      <c r="R21" s="3">
        <v>67.98</v>
      </c>
      <c r="S21" s="3">
        <v>100</v>
      </c>
      <c r="T21" s="7">
        <v>0.25</v>
      </c>
      <c r="U21">
        <v>17</v>
      </c>
      <c r="V21"/>
      <c r="W21"/>
      <c r="X21"/>
      <c r="Y21"/>
      <c r="Z21"/>
      <c r="AA21"/>
    </row>
    <row r="22" spans="1:27" s="16" customFormat="1" x14ac:dyDescent="0.25">
      <c r="A22" s="16" t="s">
        <v>22</v>
      </c>
      <c r="B22" s="17">
        <v>8812322</v>
      </c>
      <c r="C22" s="17" t="s">
        <v>237</v>
      </c>
      <c r="D22" s="17" t="s">
        <v>241</v>
      </c>
      <c r="E22" s="22" t="s">
        <v>240</v>
      </c>
      <c r="F22" s="16" t="s">
        <v>44</v>
      </c>
      <c r="G22" s="16" t="s">
        <v>44</v>
      </c>
      <c r="H22" s="16" t="s">
        <v>67</v>
      </c>
      <c r="I22" s="16" t="s">
        <v>86</v>
      </c>
      <c r="J22" s="16" t="s">
        <v>217</v>
      </c>
      <c r="K22" s="16" t="s">
        <v>103</v>
      </c>
      <c r="L22" s="16" t="s">
        <v>233</v>
      </c>
      <c r="M22" s="16" t="s">
        <v>106</v>
      </c>
      <c r="N22" s="18">
        <v>46235</v>
      </c>
      <c r="O22" s="18">
        <v>46266</v>
      </c>
      <c r="P22" s="16" t="s">
        <v>134</v>
      </c>
      <c r="Q22" s="19">
        <v>1</v>
      </c>
      <c r="R22" s="19">
        <v>55.9</v>
      </c>
      <c r="S22" s="19">
        <v>100</v>
      </c>
      <c r="T22" s="20">
        <v>0.25</v>
      </c>
      <c r="U22" s="16">
        <v>13.98</v>
      </c>
    </row>
    <row r="23" spans="1:27" x14ac:dyDescent="0.25">
      <c r="A23" t="s">
        <v>24</v>
      </c>
      <c r="B23" s="5">
        <v>18828278</v>
      </c>
      <c r="C23" s="5">
        <v>18828278</v>
      </c>
      <c r="D23" s="5" t="s">
        <v>242</v>
      </c>
      <c r="E23" s="21" t="s">
        <v>239</v>
      </c>
      <c r="F23" t="s">
        <v>55</v>
      </c>
      <c r="G23" t="s">
        <v>55</v>
      </c>
      <c r="H23" t="s">
        <v>61</v>
      </c>
      <c r="I23" t="s">
        <v>97</v>
      </c>
      <c r="J23" t="s">
        <v>228</v>
      </c>
      <c r="K23" t="s">
        <v>103</v>
      </c>
      <c r="L23" t="s">
        <v>233</v>
      </c>
      <c r="M23" t="s">
        <v>106</v>
      </c>
      <c r="N23" s="9">
        <v>46072</v>
      </c>
      <c r="O23" s="9">
        <v>46253</v>
      </c>
      <c r="P23" t="s">
        <v>134</v>
      </c>
      <c r="Q23" s="3">
        <v>6</v>
      </c>
      <c r="R23" s="3">
        <v>56.5</v>
      </c>
      <c r="S23" s="3">
        <v>100</v>
      </c>
      <c r="T23" s="7">
        <v>0.25</v>
      </c>
      <c r="U23">
        <v>14.13</v>
      </c>
    </row>
    <row r="24" spans="1:27" x14ac:dyDescent="0.25">
      <c r="A24" t="s">
        <v>25</v>
      </c>
      <c r="B24" s="5">
        <v>19617796</v>
      </c>
      <c r="C24" s="5">
        <v>19617796</v>
      </c>
      <c r="D24" s="5" t="s">
        <v>242</v>
      </c>
      <c r="E24" s="21" t="s">
        <v>240</v>
      </c>
      <c r="F24" t="s">
        <v>56</v>
      </c>
      <c r="G24" t="s">
        <v>56</v>
      </c>
      <c r="H24" t="s">
        <v>74</v>
      </c>
      <c r="I24" t="s">
        <v>98</v>
      </c>
      <c r="J24" t="s">
        <v>229</v>
      </c>
      <c r="K24" t="s">
        <v>103</v>
      </c>
      <c r="L24" t="s">
        <v>233</v>
      </c>
      <c r="M24" t="s">
        <v>108</v>
      </c>
      <c r="N24" s="9">
        <v>46143</v>
      </c>
      <c r="O24" s="9">
        <v>46266</v>
      </c>
      <c r="P24" t="s">
        <v>134</v>
      </c>
      <c r="Q24" s="3">
        <v>4</v>
      </c>
      <c r="R24" s="3">
        <v>55.9</v>
      </c>
      <c r="S24" s="3">
        <v>100</v>
      </c>
      <c r="T24" s="7">
        <v>0.25</v>
      </c>
      <c r="U24">
        <v>13.98</v>
      </c>
    </row>
    <row r="25" spans="1:27" s="2" customFormat="1" x14ac:dyDescent="0.25">
      <c r="A25" s="2" t="s">
        <v>21</v>
      </c>
      <c r="B25" s="6">
        <v>19491313</v>
      </c>
      <c r="C25" s="2" t="str">
        <f>CONCATENATE(B25,"OVR")</f>
        <v>19491313OVR</v>
      </c>
      <c r="D25" s="2" t="s">
        <v>242</v>
      </c>
      <c r="E25" s="2" t="s">
        <v>239</v>
      </c>
      <c r="F25" s="2" t="s">
        <v>33</v>
      </c>
      <c r="G25" s="2" t="str">
        <f>CONCATENATE(F25,"OVR")</f>
        <v>H711138979OVR</v>
      </c>
      <c r="H25" s="2" t="s">
        <v>58</v>
      </c>
      <c r="I25" s="2" t="s">
        <v>78</v>
      </c>
      <c r="J25" s="2" t="s">
        <v>208</v>
      </c>
      <c r="K25" s="2" t="s">
        <v>103</v>
      </c>
      <c r="L25" s="2" t="s">
        <v>236</v>
      </c>
      <c r="M25" s="2" t="s">
        <v>105</v>
      </c>
      <c r="N25" s="10">
        <v>46143</v>
      </c>
      <c r="O25" s="10">
        <v>46266</v>
      </c>
      <c r="P25" s="2" t="s">
        <v>134</v>
      </c>
      <c r="Q25" s="4">
        <v>4</v>
      </c>
      <c r="R25" s="2">
        <v>5.91</v>
      </c>
      <c r="S25" s="4">
        <v>100</v>
      </c>
      <c r="T25" s="8">
        <v>9.5000000000000001E-2</v>
      </c>
      <c r="U25" s="2">
        <v>5.91</v>
      </c>
    </row>
    <row r="26" spans="1:27" s="2" customFormat="1" x14ac:dyDescent="0.25">
      <c r="A26" s="2" t="s">
        <v>21</v>
      </c>
      <c r="B26" s="6">
        <v>19491313</v>
      </c>
      <c r="C26" s="2" t="str">
        <f t="shared" ref="C26:C49" si="0">CONCATENATE(B26,"OVR")</f>
        <v>19491313OVR</v>
      </c>
      <c r="D26" s="2" t="s">
        <v>242</v>
      </c>
      <c r="E26" s="2" t="s">
        <v>239</v>
      </c>
      <c r="F26" s="2" t="s">
        <v>34</v>
      </c>
      <c r="G26" s="2" t="str">
        <f t="shared" ref="G26:G49" si="1">CONCATENATE(F26,"OVR")</f>
        <v>H750095052OVR</v>
      </c>
      <c r="H26" s="2" t="s">
        <v>59</v>
      </c>
      <c r="I26" s="2" t="s">
        <v>79</v>
      </c>
      <c r="J26" s="2" t="s">
        <v>209</v>
      </c>
      <c r="K26" s="2" t="s">
        <v>104</v>
      </c>
      <c r="L26" s="2" t="s">
        <v>236</v>
      </c>
      <c r="M26" s="2" t="s">
        <v>105</v>
      </c>
      <c r="N26" s="10">
        <v>46054</v>
      </c>
      <c r="O26" s="10">
        <v>46266</v>
      </c>
      <c r="P26" s="2" t="s">
        <v>134</v>
      </c>
      <c r="Q26" s="4">
        <v>7</v>
      </c>
      <c r="R26" s="2">
        <v>3.64</v>
      </c>
      <c r="S26" s="4">
        <v>100</v>
      </c>
      <c r="T26" s="8">
        <v>2.8000000000000001E-2</v>
      </c>
      <c r="U26" s="2">
        <v>3.64</v>
      </c>
    </row>
    <row r="27" spans="1:27" s="2" customFormat="1" x14ac:dyDescent="0.25">
      <c r="A27" s="2" t="s">
        <v>21</v>
      </c>
      <c r="B27" s="6">
        <v>19491313</v>
      </c>
      <c r="C27" s="2" t="str">
        <f t="shared" si="0"/>
        <v>19491313OVR</v>
      </c>
      <c r="D27" s="2" t="s">
        <v>242</v>
      </c>
      <c r="E27" s="2" t="s">
        <v>239</v>
      </c>
      <c r="F27" s="2" t="s">
        <v>35</v>
      </c>
      <c r="G27" s="2" t="str">
        <f t="shared" si="1"/>
        <v>H711037165OVR</v>
      </c>
      <c r="H27" s="2" t="s">
        <v>60</v>
      </c>
      <c r="I27" s="2" t="s">
        <v>80</v>
      </c>
      <c r="J27" s="2" t="s">
        <v>210</v>
      </c>
      <c r="K27" s="2" t="s">
        <v>103</v>
      </c>
      <c r="L27" s="2" t="s">
        <v>236</v>
      </c>
      <c r="M27" s="2" t="s">
        <v>105</v>
      </c>
      <c r="N27" s="10">
        <v>46023</v>
      </c>
      <c r="O27" s="10">
        <v>46266</v>
      </c>
      <c r="P27" s="2" t="s">
        <v>134</v>
      </c>
      <c r="Q27" s="4">
        <v>8</v>
      </c>
      <c r="R27" s="2">
        <v>5.0999999999999996</v>
      </c>
      <c r="S27" s="4">
        <v>100</v>
      </c>
      <c r="T27" s="8">
        <v>9.5000000000000001E-2</v>
      </c>
      <c r="U27" s="2">
        <v>5.0999999999999996</v>
      </c>
    </row>
    <row r="28" spans="1:27" s="2" customFormat="1" x14ac:dyDescent="0.25">
      <c r="A28" s="2" t="s">
        <v>21</v>
      </c>
      <c r="B28" s="6">
        <v>19491313</v>
      </c>
      <c r="C28" s="2" t="str">
        <f t="shared" si="0"/>
        <v>19491313OVR</v>
      </c>
      <c r="D28" s="2" t="s">
        <v>242</v>
      </c>
      <c r="E28" s="2" t="s">
        <v>239</v>
      </c>
      <c r="F28" s="2" t="s">
        <v>36</v>
      </c>
      <c r="G28" s="2" t="str">
        <f t="shared" si="1"/>
        <v>H750075022OVR</v>
      </c>
      <c r="H28" s="2" t="s">
        <v>60</v>
      </c>
      <c r="I28" s="2" t="s">
        <v>80</v>
      </c>
      <c r="J28" s="2" t="s">
        <v>210</v>
      </c>
      <c r="K28" s="2" t="s">
        <v>104</v>
      </c>
      <c r="L28" s="2" t="s">
        <v>236</v>
      </c>
      <c r="M28" s="2" t="s">
        <v>105</v>
      </c>
      <c r="N28" s="10">
        <v>45931</v>
      </c>
      <c r="O28" s="10">
        <v>46266</v>
      </c>
      <c r="P28" s="2" t="s">
        <v>134</v>
      </c>
      <c r="Q28" s="4">
        <v>11</v>
      </c>
      <c r="R28" s="2">
        <v>3.37</v>
      </c>
      <c r="S28" s="4">
        <v>100</v>
      </c>
      <c r="T28" s="8">
        <v>2.8000000000000001E-2</v>
      </c>
      <c r="U28" s="2">
        <v>3.37</v>
      </c>
    </row>
    <row r="29" spans="1:27" s="2" customFormat="1" x14ac:dyDescent="0.25">
      <c r="A29" s="2" t="s">
        <v>21</v>
      </c>
      <c r="B29" s="6">
        <v>19491313</v>
      </c>
      <c r="C29" s="2" t="str">
        <f t="shared" si="0"/>
        <v>19491313OVR</v>
      </c>
      <c r="D29" s="2" t="s">
        <v>242</v>
      </c>
      <c r="E29" s="2" t="s">
        <v>239</v>
      </c>
      <c r="F29" s="2" t="s">
        <v>37</v>
      </c>
      <c r="G29" s="2" t="str">
        <f t="shared" si="1"/>
        <v>H750102411OVR</v>
      </c>
      <c r="H29" s="2" t="s">
        <v>58</v>
      </c>
      <c r="I29" s="2" t="s">
        <v>78</v>
      </c>
      <c r="J29" s="2" t="s">
        <v>208</v>
      </c>
      <c r="K29" s="2" t="s">
        <v>104</v>
      </c>
      <c r="L29" s="2" t="s">
        <v>236</v>
      </c>
      <c r="M29" s="2" t="s">
        <v>105</v>
      </c>
      <c r="N29" s="10">
        <v>46143</v>
      </c>
      <c r="O29" s="10">
        <v>46266</v>
      </c>
      <c r="P29" s="2" t="s">
        <v>134</v>
      </c>
      <c r="Q29" s="4">
        <v>4</v>
      </c>
      <c r="R29" s="2">
        <v>3.64</v>
      </c>
      <c r="S29" s="4">
        <v>100</v>
      </c>
      <c r="T29" s="8">
        <v>2.8000000000000001E-2</v>
      </c>
      <c r="U29" s="2">
        <v>3.64</v>
      </c>
    </row>
    <row r="30" spans="1:27" s="2" customFormat="1" x14ac:dyDescent="0.25">
      <c r="A30" s="2" t="s">
        <v>21</v>
      </c>
      <c r="B30" s="6">
        <v>19491313</v>
      </c>
      <c r="C30" s="2" t="str">
        <f t="shared" si="0"/>
        <v>19491313OVR</v>
      </c>
      <c r="D30" s="2" t="s">
        <v>242</v>
      </c>
      <c r="E30" s="2" t="s">
        <v>239</v>
      </c>
      <c r="F30" s="2" t="s">
        <v>38</v>
      </c>
      <c r="G30" s="2" t="str">
        <f t="shared" si="1"/>
        <v>H750094300OVR</v>
      </c>
      <c r="H30" s="2" t="s">
        <v>61</v>
      </c>
      <c r="I30" s="2" t="s">
        <v>81</v>
      </c>
      <c r="J30" s="2" t="s">
        <v>211</v>
      </c>
      <c r="K30" s="2" t="s">
        <v>104</v>
      </c>
      <c r="L30" s="2" t="s">
        <v>236</v>
      </c>
      <c r="M30" s="2" t="s">
        <v>105</v>
      </c>
      <c r="N30" s="10">
        <v>46054</v>
      </c>
      <c r="O30" s="10">
        <v>46266</v>
      </c>
      <c r="P30" s="2" t="s">
        <v>134</v>
      </c>
      <c r="Q30" s="4">
        <v>7</v>
      </c>
      <c r="R30" s="2">
        <v>3.81</v>
      </c>
      <c r="S30" s="4">
        <v>100</v>
      </c>
      <c r="T30" s="8">
        <v>2.8000000000000001E-2</v>
      </c>
      <c r="U30" s="2">
        <v>3.81</v>
      </c>
    </row>
    <row r="31" spans="1:27" s="2" customFormat="1" x14ac:dyDescent="0.25">
      <c r="A31" s="2" t="s">
        <v>21</v>
      </c>
      <c r="B31" s="6">
        <v>19491313</v>
      </c>
      <c r="C31" s="2" t="str">
        <f t="shared" si="0"/>
        <v>19491313OVR</v>
      </c>
      <c r="D31" s="2" t="s">
        <v>242</v>
      </c>
      <c r="E31" s="2" t="s">
        <v>239</v>
      </c>
      <c r="F31" s="2" t="s">
        <v>39</v>
      </c>
      <c r="G31" s="2" t="str">
        <f t="shared" si="1"/>
        <v>H750094301OVR</v>
      </c>
      <c r="H31" s="2" t="s">
        <v>62</v>
      </c>
      <c r="I31" s="2" t="s">
        <v>81</v>
      </c>
      <c r="J31" s="2" t="s">
        <v>212</v>
      </c>
      <c r="K31" s="2" t="s">
        <v>104</v>
      </c>
      <c r="L31" s="2" t="s">
        <v>236</v>
      </c>
      <c r="M31" s="2" t="s">
        <v>105</v>
      </c>
      <c r="N31" s="10">
        <v>46054</v>
      </c>
      <c r="O31" s="10">
        <v>46266</v>
      </c>
      <c r="P31" s="2" t="s">
        <v>134</v>
      </c>
      <c r="Q31" s="4">
        <v>7</v>
      </c>
      <c r="R31" s="2">
        <v>3.45</v>
      </c>
      <c r="S31" s="4">
        <v>100</v>
      </c>
      <c r="T31" s="8">
        <v>2.8000000000000001E-2</v>
      </c>
      <c r="U31" s="2">
        <v>3.45</v>
      </c>
    </row>
    <row r="32" spans="1:27" s="2" customFormat="1" x14ac:dyDescent="0.25">
      <c r="A32" s="2" t="s">
        <v>22</v>
      </c>
      <c r="B32" s="6">
        <v>8812322</v>
      </c>
      <c r="C32" s="2" t="str">
        <f t="shared" si="0"/>
        <v>8812322OVR</v>
      </c>
      <c r="D32" s="2" t="s">
        <v>242</v>
      </c>
      <c r="E32" s="2" t="s">
        <v>239</v>
      </c>
      <c r="F32" s="2" t="s">
        <v>40</v>
      </c>
      <c r="G32" s="2" t="str">
        <f t="shared" si="1"/>
        <v>H711172573OVR</v>
      </c>
      <c r="H32" s="2" t="s">
        <v>63</v>
      </c>
      <c r="I32" s="2" t="s">
        <v>82</v>
      </c>
      <c r="J32" s="2" t="s">
        <v>213</v>
      </c>
      <c r="K32" s="2" t="s">
        <v>103</v>
      </c>
      <c r="L32" s="2" t="s">
        <v>236</v>
      </c>
      <c r="M32" s="2" t="s">
        <v>106</v>
      </c>
      <c r="N32" s="10">
        <v>46235</v>
      </c>
      <c r="O32" s="10">
        <v>46266</v>
      </c>
      <c r="P32" s="2" t="s">
        <v>134</v>
      </c>
      <c r="Q32" s="4">
        <v>1</v>
      </c>
      <c r="R32" s="2">
        <v>20.25</v>
      </c>
      <c r="S32" s="4">
        <v>100</v>
      </c>
      <c r="T32" s="8">
        <v>0.115</v>
      </c>
      <c r="U32" s="2">
        <v>20.25</v>
      </c>
    </row>
    <row r="33" spans="1:21" s="2" customFormat="1" x14ac:dyDescent="0.25">
      <c r="A33" s="2" t="s">
        <v>22</v>
      </c>
      <c r="B33" s="6">
        <v>8812322</v>
      </c>
      <c r="C33" s="2" t="str">
        <f t="shared" si="0"/>
        <v>8812322OVR</v>
      </c>
      <c r="D33" s="2" t="s">
        <v>242</v>
      </c>
      <c r="E33" s="2" t="s">
        <v>239</v>
      </c>
      <c r="F33" s="2" t="s">
        <v>41</v>
      </c>
      <c r="G33" s="2" t="str">
        <f t="shared" si="1"/>
        <v>H711140334OVR</v>
      </c>
      <c r="H33" s="2" t="s">
        <v>64</v>
      </c>
      <c r="I33" s="2" t="s">
        <v>83</v>
      </c>
      <c r="J33" s="2" t="s">
        <v>214</v>
      </c>
      <c r="K33" s="2" t="s">
        <v>103</v>
      </c>
      <c r="L33" s="2" t="s">
        <v>236</v>
      </c>
      <c r="M33" s="2" t="s">
        <v>106</v>
      </c>
      <c r="N33" s="10">
        <v>46126</v>
      </c>
      <c r="O33" s="10">
        <v>46248</v>
      </c>
      <c r="P33" s="2" t="s">
        <v>134</v>
      </c>
      <c r="Q33" s="4">
        <v>4</v>
      </c>
      <c r="R33" s="2">
        <v>13.7</v>
      </c>
      <c r="S33" s="4">
        <v>100</v>
      </c>
      <c r="T33" s="8">
        <v>9.5000000000000001E-2</v>
      </c>
      <c r="U33" s="2">
        <v>13.7</v>
      </c>
    </row>
    <row r="34" spans="1:21" s="2" customFormat="1" x14ac:dyDescent="0.25">
      <c r="A34" s="2" t="s">
        <v>22</v>
      </c>
      <c r="B34" s="6">
        <v>8812322</v>
      </c>
      <c r="C34" s="2" t="str">
        <f t="shared" si="0"/>
        <v>8812322OVR</v>
      </c>
      <c r="D34" s="2" t="s">
        <v>242</v>
      </c>
      <c r="E34" s="2" t="s">
        <v>239</v>
      </c>
      <c r="F34" s="2" t="s">
        <v>42</v>
      </c>
      <c r="G34" s="2" t="str">
        <f t="shared" si="1"/>
        <v>H711067626OVR</v>
      </c>
      <c r="H34" s="2" t="s">
        <v>65</v>
      </c>
      <c r="I34" s="2" t="s">
        <v>84</v>
      </c>
      <c r="J34" s="2" t="s">
        <v>215</v>
      </c>
      <c r="K34" s="2" t="s">
        <v>103</v>
      </c>
      <c r="L34" s="2" t="s">
        <v>236</v>
      </c>
      <c r="M34" s="2" t="s">
        <v>106</v>
      </c>
      <c r="N34" s="10">
        <v>45976</v>
      </c>
      <c r="O34" s="10">
        <v>46249</v>
      </c>
      <c r="P34" s="2" t="s">
        <v>134</v>
      </c>
      <c r="Q34" s="4">
        <v>9</v>
      </c>
      <c r="R34" s="2">
        <v>5.37</v>
      </c>
      <c r="S34" s="4">
        <v>100</v>
      </c>
      <c r="T34" s="8">
        <v>9.5000000000000001E-2</v>
      </c>
      <c r="U34" s="2">
        <v>5.37</v>
      </c>
    </row>
    <row r="35" spans="1:21" s="2" customFormat="1" x14ac:dyDescent="0.25">
      <c r="A35" s="2" t="s">
        <v>22</v>
      </c>
      <c r="B35" s="6">
        <v>8812322</v>
      </c>
      <c r="C35" s="2" t="str">
        <f t="shared" si="0"/>
        <v>8812322OVR</v>
      </c>
      <c r="D35" s="2" t="s">
        <v>242</v>
      </c>
      <c r="E35" s="2" t="s">
        <v>239</v>
      </c>
      <c r="F35" s="2" t="s">
        <v>43</v>
      </c>
      <c r="G35" s="2" t="str">
        <f t="shared" si="1"/>
        <v>H711163461OVR</v>
      </c>
      <c r="H35" s="2" t="s">
        <v>66</v>
      </c>
      <c r="I35" s="2" t="s">
        <v>85</v>
      </c>
      <c r="J35" s="2" t="s">
        <v>216</v>
      </c>
      <c r="K35" s="2" t="s">
        <v>103</v>
      </c>
      <c r="L35" s="2" t="s">
        <v>236</v>
      </c>
      <c r="M35" s="2" t="s">
        <v>106</v>
      </c>
      <c r="N35" s="10">
        <v>46189</v>
      </c>
      <c r="O35" s="10">
        <v>46250</v>
      </c>
      <c r="P35" s="2" t="s">
        <v>134</v>
      </c>
      <c r="Q35" s="4">
        <v>2</v>
      </c>
      <c r="R35" s="2">
        <v>7.82</v>
      </c>
      <c r="S35" s="4">
        <v>100</v>
      </c>
      <c r="T35" s="8">
        <v>0.115</v>
      </c>
      <c r="U35" s="2">
        <v>7.82</v>
      </c>
    </row>
    <row r="36" spans="1:21" s="2" customFormat="1" x14ac:dyDescent="0.25">
      <c r="A36" s="2" t="s">
        <v>22</v>
      </c>
      <c r="B36" s="6">
        <v>8812322</v>
      </c>
      <c r="C36" s="2" t="str">
        <f t="shared" si="0"/>
        <v>8812322OVR</v>
      </c>
      <c r="D36" s="2" t="s">
        <v>242</v>
      </c>
      <c r="E36" s="2" t="s">
        <v>239</v>
      </c>
      <c r="F36" s="2" t="s">
        <v>44</v>
      </c>
      <c r="G36" s="2" t="str">
        <f t="shared" si="1"/>
        <v>H711175060OVR</v>
      </c>
      <c r="H36" s="2" t="s">
        <v>67</v>
      </c>
      <c r="I36" s="2" t="s">
        <v>86</v>
      </c>
      <c r="J36" s="2" t="s">
        <v>217</v>
      </c>
      <c r="K36" s="2" t="s">
        <v>103</v>
      </c>
      <c r="L36" s="2" t="s">
        <v>236</v>
      </c>
      <c r="M36" s="2" t="s">
        <v>106</v>
      </c>
      <c r="N36" s="10">
        <v>46235</v>
      </c>
      <c r="O36" s="10">
        <v>46266</v>
      </c>
      <c r="P36" s="2" t="s">
        <v>134</v>
      </c>
      <c r="Q36" s="4">
        <v>1</v>
      </c>
      <c r="R36" s="2">
        <v>6.43</v>
      </c>
      <c r="S36" s="4">
        <v>100</v>
      </c>
      <c r="T36" s="8">
        <v>0.115</v>
      </c>
      <c r="U36" s="2">
        <v>6.43</v>
      </c>
    </row>
    <row r="37" spans="1:21" s="2" customFormat="1" x14ac:dyDescent="0.25">
      <c r="A37" s="2" t="s">
        <v>231</v>
      </c>
      <c r="B37" s="6">
        <v>16849453</v>
      </c>
      <c r="C37" s="2" t="str">
        <f t="shared" si="0"/>
        <v>16849453OVR</v>
      </c>
      <c r="D37" s="2" t="s">
        <v>242</v>
      </c>
      <c r="E37" s="2" t="s">
        <v>239</v>
      </c>
      <c r="F37" s="2" t="s">
        <v>45</v>
      </c>
      <c r="G37" s="2" t="str">
        <f t="shared" si="1"/>
        <v>H750111535OVR</v>
      </c>
      <c r="H37" s="2" t="s">
        <v>68</v>
      </c>
      <c r="I37" s="2" t="s">
        <v>87</v>
      </c>
      <c r="J37" s="2" t="s">
        <v>218</v>
      </c>
      <c r="K37" s="2" t="s">
        <v>104</v>
      </c>
      <c r="L37" s="2" t="s">
        <v>236</v>
      </c>
      <c r="M37" s="2" t="s">
        <v>107</v>
      </c>
      <c r="N37" s="10">
        <v>46235</v>
      </c>
      <c r="O37" s="10">
        <v>46266</v>
      </c>
      <c r="P37" s="2" t="s">
        <v>134</v>
      </c>
      <c r="Q37" s="4">
        <v>1</v>
      </c>
      <c r="R37" s="2">
        <v>2.85</v>
      </c>
      <c r="S37" s="4">
        <v>100</v>
      </c>
      <c r="T37" s="8">
        <v>1.2500000000000001E-2</v>
      </c>
      <c r="U37" s="2">
        <v>2.85</v>
      </c>
    </row>
    <row r="38" spans="1:21" s="2" customFormat="1" x14ac:dyDescent="0.25">
      <c r="A38" s="2" t="s">
        <v>231</v>
      </c>
      <c r="B38" s="6">
        <v>16849453</v>
      </c>
      <c r="C38" s="2" t="str">
        <f t="shared" si="0"/>
        <v>16849453OVR</v>
      </c>
      <c r="D38" s="2" t="s">
        <v>242</v>
      </c>
      <c r="E38" s="2" t="s">
        <v>239</v>
      </c>
      <c r="F38" s="2" t="s">
        <v>46</v>
      </c>
      <c r="G38" s="2" t="str">
        <f t="shared" si="1"/>
        <v>H750111461OVR</v>
      </c>
      <c r="H38" s="2" t="s">
        <v>69</v>
      </c>
      <c r="I38" s="2" t="s">
        <v>88</v>
      </c>
      <c r="J38" s="2" t="s">
        <v>219</v>
      </c>
      <c r="K38" s="2" t="s">
        <v>104</v>
      </c>
      <c r="L38" s="2" t="s">
        <v>236</v>
      </c>
      <c r="M38" s="2" t="s">
        <v>107</v>
      </c>
      <c r="N38" s="10">
        <v>46235</v>
      </c>
      <c r="O38" s="10">
        <v>46266</v>
      </c>
      <c r="P38" s="2" t="s">
        <v>134</v>
      </c>
      <c r="Q38" s="4">
        <v>1</v>
      </c>
      <c r="R38" s="2">
        <v>2.69</v>
      </c>
      <c r="S38" s="4">
        <v>100</v>
      </c>
      <c r="T38" s="8">
        <v>1.2500000000000001E-2</v>
      </c>
      <c r="U38" s="2">
        <v>2.69</v>
      </c>
    </row>
    <row r="39" spans="1:21" s="2" customFormat="1" x14ac:dyDescent="0.25">
      <c r="A39" s="2" t="s">
        <v>231</v>
      </c>
      <c r="B39" s="6">
        <v>16849453</v>
      </c>
      <c r="C39" s="2" t="str">
        <f t="shared" si="0"/>
        <v>16849453OVR</v>
      </c>
      <c r="D39" s="2" t="s">
        <v>242</v>
      </c>
      <c r="E39" s="2" t="s">
        <v>239</v>
      </c>
      <c r="F39" s="2" t="s">
        <v>47</v>
      </c>
      <c r="G39" s="2" t="str">
        <f t="shared" si="1"/>
        <v>H750111903OVR</v>
      </c>
      <c r="H39" s="2" t="s">
        <v>70</v>
      </c>
      <c r="I39" s="2" t="s">
        <v>89</v>
      </c>
      <c r="J39" s="2" t="s">
        <v>220</v>
      </c>
      <c r="K39" s="2" t="s">
        <v>104</v>
      </c>
      <c r="L39" s="2" t="s">
        <v>236</v>
      </c>
      <c r="M39" s="2" t="s">
        <v>107</v>
      </c>
      <c r="N39" s="10">
        <v>46296</v>
      </c>
      <c r="O39" s="10">
        <v>46327</v>
      </c>
      <c r="P39" s="2" t="s">
        <v>134</v>
      </c>
      <c r="Q39" s="4">
        <v>1</v>
      </c>
      <c r="R39" s="2">
        <v>8.1199999999999992</v>
      </c>
      <c r="S39" s="4">
        <v>100</v>
      </c>
      <c r="T39" s="8">
        <v>4.5999999999999999E-2</v>
      </c>
      <c r="U39" s="2">
        <v>8.1199999999999992</v>
      </c>
    </row>
    <row r="40" spans="1:21" s="2" customFormat="1" x14ac:dyDescent="0.25">
      <c r="A40" s="2" t="s">
        <v>231</v>
      </c>
      <c r="B40" s="6">
        <v>16849453</v>
      </c>
      <c r="C40" s="2" t="str">
        <f t="shared" si="0"/>
        <v>16849453OVR</v>
      </c>
      <c r="D40" s="2" t="s">
        <v>242</v>
      </c>
      <c r="E40" s="2" t="s">
        <v>239</v>
      </c>
      <c r="F40" s="2" t="s">
        <v>48</v>
      </c>
      <c r="G40" s="2" t="str">
        <f t="shared" si="1"/>
        <v>H750111728OVR</v>
      </c>
      <c r="H40" s="2" t="s">
        <v>71</v>
      </c>
      <c r="I40" s="2" t="s">
        <v>90</v>
      </c>
      <c r="J40" s="2" t="s">
        <v>221</v>
      </c>
      <c r="K40" s="2" t="s">
        <v>104</v>
      </c>
      <c r="L40" s="2" t="s">
        <v>236</v>
      </c>
      <c r="M40" s="2" t="s">
        <v>107</v>
      </c>
      <c r="N40" s="10">
        <v>46235</v>
      </c>
      <c r="O40" s="10">
        <v>46266</v>
      </c>
      <c r="P40" s="2" t="s">
        <v>134</v>
      </c>
      <c r="Q40" s="4">
        <v>1</v>
      </c>
      <c r="R40" s="2">
        <v>8.1199999999999992</v>
      </c>
      <c r="S40" s="4">
        <v>100</v>
      </c>
      <c r="T40" s="8">
        <v>4.5999999999999999E-2</v>
      </c>
      <c r="U40" s="2">
        <v>8.1199999999999992</v>
      </c>
    </row>
    <row r="41" spans="1:21" s="2" customFormat="1" x14ac:dyDescent="0.25">
      <c r="A41" s="2" t="s">
        <v>231</v>
      </c>
      <c r="B41" s="6">
        <v>16849453</v>
      </c>
      <c r="C41" s="2" t="str">
        <f t="shared" si="0"/>
        <v>16849453OVR</v>
      </c>
      <c r="D41" s="2" t="s">
        <v>242</v>
      </c>
      <c r="E41" s="2" t="s">
        <v>239</v>
      </c>
      <c r="F41" s="2" t="s">
        <v>49</v>
      </c>
      <c r="G41" s="2" t="str">
        <f t="shared" si="1"/>
        <v>H750108060OVR</v>
      </c>
      <c r="H41" s="2" t="s">
        <v>72</v>
      </c>
      <c r="I41" s="2" t="s">
        <v>91</v>
      </c>
      <c r="J41" s="2" t="s">
        <v>222</v>
      </c>
      <c r="K41" s="2" t="s">
        <v>104</v>
      </c>
      <c r="L41" s="2" t="s">
        <v>236</v>
      </c>
      <c r="M41" s="2" t="s">
        <v>107</v>
      </c>
      <c r="N41" s="10">
        <v>46204</v>
      </c>
      <c r="O41" s="10">
        <v>46266</v>
      </c>
      <c r="P41" s="2" t="s">
        <v>134</v>
      </c>
      <c r="Q41" s="4">
        <v>2</v>
      </c>
      <c r="R41" s="2">
        <v>3.15</v>
      </c>
      <c r="S41" s="4">
        <v>100</v>
      </c>
      <c r="T41" s="8">
        <v>1.2500000000000001E-2</v>
      </c>
      <c r="U41" s="2">
        <v>3.15</v>
      </c>
    </row>
    <row r="42" spans="1:21" s="2" customFormat="1" x14ac:dyDescent="0.25">
      <c r="A42" s="2" t="s">
        <v>231</v>
      </c>
      <c r="B42" s="6">
        <v>16849453</v>
      </c>
      <c r="C42" s="2" t="str">
        <f t="shared" si="0"/>
        <v>16849453OVR</v>
      </c>
      <c r="D42" s="2" t="s">
        <v>242</v>
      </c>
      <c r="E42" s="2" t="s">
        <v>239</v>
      </c>
      <c r="F42" s="2" t="s">
        <v>50</v>
      </c>
      <c r="G42" s="2" t="str">
        <f t="shared" si="1"/>
        <v>H750111977OVR</v>
      </c>
      <c r="H42" s="2" t="s">
        <v>73</v>
      </c>
      <c r="I42" s="2" t="s">
        <v>92</v>
      </c>
      <c r="J42" s="2" t="s">
        <v>223</v>
      </c>
      <c r="K42" s="2" t="s">
        <v>104</v>
      </c>
      <c r="L42" s="2" t="s">
        <v>236</v>
      </c>
      <c r="M42" s="2" t="s">
        <v>107</v>
      </c>
      <c r="N42" s="10">
        <v>46235</v>
      </c>
      <c r="O42" s="10">
        <v>46266</v>
      </c>
      <c r="P42" s="2" t="s">
        <v>134</v>
      </c>
      <c r="Q42" s="4">
        <v>1</v>
      </c>
      <c r="R42" s="2">
        <v>1.96</v>
      </c>
      <c r="S42" s="4">
        <v>100</v>
      </c>
      <c r="T42" s="8">
        <v>1.2500000000000001E-2</v>
      </c>
      <c r="U42" s="2">
        <v>1.96</v>
      </c>
    </row>
    <row r="43" spans="1:21" s="2" customFormat="1" x14ac:dyDescent="0.25">
      <c r="A43" s="2" t="s">
        <v>231</v>
      </c>
      <c r="B43" s="6">
        <v>16849453</v>
      </c>
      <c r="C43" s="2" t="str">
        <f t="shared" si="0"/>
        <v>16849453OVR</v>
      </c>
      <c r="D43" s="2" t="s">
        <v>242</v>
      </c>
      <c r="E43" s="2" t="s">
        <v>239</v>
      </c>
      <c r="F43" s="2" t="s">
        <v>51</v>
      </c>
      <c r="G43" s="2" t="str">
        <f t="shared" si="1"/>
        <v>H750112150OVR</v>
      </c>
      <c r="H43" s="2" t="s">
        <v>74</v>
      </c>
      <c r="I43" s="2" t="s">
        <v>93</v>
      </c>
      <c r="J43" s="2" t="s">
        <v>224</v>
      </c>
      <c r="K43" s="2" t="s">
        <v>104</v>
      </c>
      <c r="L43" s="2" t="s">
        <v>236</v>
      </c>
      <c r="M43" s="2" t="s">
        <v>107</v>
      </c>
      <c r="N43" s="10">
        <v>46235</v>
      </c>
      <c r="O43" s="10">
        <v>46266</v>
      </c>
      <c r="P43" s="2" t="s">
        <v>134</v>
      </c>
      <c r="Q43" s="4">
        <v>1</v>
      </c>
      <c r="R43" s="2">
        <v>6.95</v>
      </c>
      <c r="S43" s="4">
        <v>100</v>
      </c>
      <c r="T43" s="8">
        <v>4.5999999999999999E-2</v>
      </c>
      <c r="U43" s="2">
        <v>6.95</v>
      </c>
    </row>
    <row r="44" spans="1:21" s="2" customFormat="1" x14ac:dyDescent="0.25">
      <c r="A44" s="2" t="s">
        <v>231</v>
      </c>
      <c r="B44" s="6">
        <v>16849453</v>
      </c>
      <c r="C44" s="2" t="str">
        <f t="shared" si="0"/>
        <v>16849453OVR</v>
      </c>
      <c r="D44" s="2" t="s">
        <v>242</v>
      </c>
      <c r="E44" s="2" t="s">
        <v>239</v>
      </c>
      <c r="F44" s="2" t="s">
        <v>52</v>
      </c>
      <c r="G44" s="2" t="str">
        <f t="shared" si="1"/>
        <v>H750112289OVR</v>
      </c>
      <c r="H44" s="2" t="s">
        <v>75</v>
      </c>
      <c r="I44" s="2" t="s">
        <v>94</v>
      </c>
      <c r="J44" s="2" t="s">
        <v>225</v>
      </c>
      <c r="K44" s="2" t="s">
        <v>104</v>
      </c>
      <c r="L44" s="2" t="s">
        <v>236</v>
      </c>
      <c r="M44" s="2" t="s">
        <v>107</v>
      </c>
      <c r="N44" s="10">
        <v>46235</v>
      </c>
      <c r="O44" s="10">
        <v>46266</v>
      </c>
      <c r="P44" s="2" t="s">
        <v>134</v>
      </c>
      <c r="Q44" s="4">
        <v>1</v>
      </c>
      <c r="R44" s="2">
        <v>8.5500000000000007</v>
      </c>
      <c r="S44" s="4">
        <v>100</v>
      </c>
      <c r="T44" s="8">
        <v>4.5999999999999999E-2</v>
      </c>
      <c r="U44" s="2">
        <v>8.5500000000000007</v>
      </c>
    </row>
    <row r="45" spans="1:21" s="2" customFormat="1" x14ac:dyDescent="0.25">
      <c r="A45" s="2" t="s">
        <v>231</v>
      </c>
      <c r="B45" s="6">
        <v>16849453</v>
      </c>
      <c r="C45" s="2" t="str">
        <f t="shared" si="0"/>
        <v>16849453OVR</v>
      </c>
      <c r="D45" s="2" t="s">
        <v>242</v>
      </c>
      <c r="E45" s="2" t="s">
        <v>239</v>
      </c>
      <c r="F45" s="2" t="s">
        <v>53</v>
      </c>
      <c r="G45" s="2" t="str">
        <f t="shared" si="1"/>
        <v>H750112231OVR</v>
      </c>
      <c r="H45" s="2" t="s">
        <v>76</v>
      </c>
      <c r="I45" s="2" t="s">
        <v>95</v>
      </c>
      <c r="J45" s="2" t="s">
        <v>226</v>
      </c>
      <c r="K45" s="2" t="s">
        <v>104</v>
      </c>
      <c r="L45" s="2" t="s">
        <v>236</v>
      </c>
      <c r="M45" s="2" t="s">
        <v>107</v>
      </c>
      <c r="N45" s="10">
        <v>46235</v>
      </c>
      <c r="O45" s="10">
        <v>46266</v>
      </c>
      <c r="P45" s="2" t="s">
        <v>134</v>
      </c>
      <c r="Q45" s="4">
        <v>1</v>
      </c>
      <c r="R45" s="2">
        <v>2.21</v>
      </c>
      <c r="S45" s="4">
        <v>100</v>
      </c>
      <c r="T45" s="8">
        <v>1.2500000000000001E-2</v>
      </c>
      <c r="U45" s="2">
        <v>2.21</v>
      </c>
    </row>
    <row r="46" spans="1:21" s="2" customFormat="1" x14ac:dyDescent="0.25">
      <c r="A46" s="2" t="s">
        <v>231</v>
      </c>
      <c r="B46" s="6">
        <v>16849453</v>
      </c>
      <c r="C46" s="2" t="str">
        <f t="shared" si="0"/>
        <v>16849453OVR</v>
      </c>
      <c r="D46" s="2" t="s">
        <v>242</v>
      </c>
      <c r="E46" s="2" t="s">
        <v>239</v>
      </c>
      <c r="F46" s="2" t="s">
        <v>54</v>
      </c>
      <c r="G46" s="2" t="str">
        <f t="shared" si="1"/>
        <v>H750112069OVR</v>
      </c>
      <c r="H46" s="2" t="s">
        <v>75</v>
      </c>
      <c r="I46" s="2" t="s">
        <v>96</v>
      </c>
      <c r="J46" s="2" t="s">
        <v>227</v>
      </c>
      <c r="K46" s="2" t="s">
        <v>104</v>
      </c>
      <c r="L46" s="2" t="s">
        <v>236</v>
      </c>
      <c r="M46" s="2" t="s">
        <v>107</v>
      </c>
      <c r="N46" s="10">
        <v>46235</v>
      </c>
      <c r="O46" s="10">
        <v>46266</v>
      </c>
      <c r="P46" s="2" t="s">
        <v>134</v>
      </c>
      <c r="Q46" s="4">
        <v>1</v>
      </c>
      <c r="R46" s="2">
        <v>2.61</v>
      </c>
      <c r="S46" s="4">
        <v>100</v>
      </c>
      <c r="T46" s="8">
        <v>1.2500000000000001E-2</v>
      </c>
      <c r="U46" s="2">
        <v>2.61</v>
      </c>
    </row>
    <row r="47" spans="1:21" s="2" customFormat="1" x14ac:dyDescent="0.25">
      <c r="A47" s="2" t="s">
        <v>24</v>
      </c>
      <c r="B47" s="6">
        <v>18828278</v>
      </c>
      <c r="C47" s="2" t="str">
        <f t="shared" si="0"/>
        <v>18828278OVR</v>
      </c>
      <c r="D47" s="2" t="s">
        <v>242</v>
      </c>
      <c r="E47" s="2" t="s">
        <v>239</v>
      </c>
      <c r="F47" s="2" t="s">
        <v>55</v>
      </c>
      <c r="G47" s="2" t="str">
        <f t="shared" si="1"/>
        <v>H711112932OVR</v>
      </c>
      <c r="H47" s="2" t="s">
        <v>61</v>
      </c>
      <c r="I47" s="2" t="s">
        <v>97</v>
      </c>
      <c r="J47" s="2" t="s">
        <v>228</v>
      </c>
      <c r="K47" s="2" t="s">
        <v>103</v>
      </c>
      <c r="L47" s="2" t="s">
        <v>236</v>
      </c>
      <c r="M47" s="2" t="s">
        <v>106</v>
      </c>
      <c r="N47" s="10">
        <v>46072</v>
      </c>
      <c r="O47" s="10">
        <v>46253</v>
      </c>
      <c r="P47" s="2" t="s">
        <v>134</v>
      </c>
      <c r="Q47" s="4">
        <v>6</v>
      </c>
      <c r="R47" s="2">
        <v>5.37</v>
      </c>
      <c r="S47" s="4">
        <v>100</v>
      </c>
      <c r="T47" s="8">
        <v>9.5000000000000001E-2</v>
      </c>
      <c r="U47" s="2">
        <v>5.37</v>
      </c>
    </row>
    <row r="48" spans="1:21" s="2" customFormat="1" x14ac:dyDescent="0.25">
      <c r="A48" s="2" t="s">
        <v>25</v>
      </c>
      <c r="B48" s="6">
        <v>19617796</v>
      </c>
      <c r="C48" s="2" t="str">
        <f t="shared" si="0"/>
        <v>19617796OVR</v>
      </c>
      <c r="D48" s="2" t="s">
        <v>242</v>
      </c>
      <c r="E48" s="2" t="s">
        <v>239</v>
      </c>
      <c r="F48" s="2" t="s">
        <v>56</v>
      </c>
      <c r="G48" s="2" t="str">
        <f t="shared" si="1"/>
        <v>H711141587OVR</v>
      </c>
      <c r="H48" s="2" t="s">
        <v>74</v>
      </c>
      <c r="I48" s="2" t="s">
        <v>98</v>
      </c>
      <c r="J48" s="2" t="s">
        <v>229</v>
      </c>
      <c r="K48" s="2" t="s">
        <v>103</v>
      </c>
      <c r="L48" s="2" t="s">
        <v>236</v>
      </c>
      <c r="M48" s="2" t="s">
        <v>108</v>
      </c>
      <c r="N48" s="10">
        <v>46143</v>
      </c>
      <c r="O48" s="10">
        <v>46266</v>
      </c>
      <c r="P48" s="2" t="s">
        <v>134</v>
      </c>
      <c r="Q48" s="4">
        <v>4</v>
      </c>
      <c r="R48" s="2">
        <v>5.31</v>
      </c>
      <c r="S48" s="4">
        <v>100</v>
      </c>
      <c r="T48" s="8">
        <v>9.5000000000000001E-2</v>
      </c>
      <c r="U48" s="2">
        <v>5.31</v>
      </c>
    </row>
    <row r="49" spans="1:21" s="2" customFormat="1" x14ac:dyDescent="0.25">
      <c r="A49" s="2" t="s">
        <v>232</v>
      </c>
      <c r="B49" s="6">
        <v>7565575</v>
      </c>
      <c r="C49" s="2" t="str">
        <f t="shared" si="0"/>
        <v>7565575OVR</v>
      </c>
      <c r="D49" s="2" t="s">
        <v>242</v>
      </c>
      <c r="E49" s="2" t="s">
        <v>239</v>
      </c>
      <c r="F49" s="2" t="s">
        <v>57</v>
      </c>
      <c r="G49" s="2" t="str">
        <f t="shared" si="1"/>
        <v>H750077920OVR</v>
      </c>
      <c r="H49" s="2" t="s">
        <v>77</v>
      </c>
      <c r="I49" s="2" t="s">
        <v>99</v>
      </c>
      <c r="J49" s="2" t="s">
        <v>230</v>
      </c>
      <c r="K49" s="2" t="s">
        <v>104</v>
      </c>
      <c r="L49" s="2" t="s">
        <v>236</v>
      </c>
      <c r="M49" s="2" t="s">
        <v>106</v>
      </c>
      <c r="N49" s="10">
        <v>45962</v>
      </c>
      <c r="O49" s="10">
        <v>46266</v>
      </c>
      <c r="P49" s="2" t="s">
        <v>134</v>
      </c>
      <c r="Q49" s="4">
        <v>10</v>
      </c>
      <c r="R49" s="2">
        <v>4.54</v>
      </c>
      <c r="S49" s="4">
        <v>100</v>
      </c>
      <c r="T49" s="8">
        <v>2.8000000000000001E-2</v>
      </c>
      <c r="U49" s="2">
        <v>4.54</v>
      </c>
    </row>
    <row r="53" spans="1:21" s="11" customFormat="1" x14ac:dyDescent="0.25">
      <c r="A53" s="11" t="s">
        <v>21</v>
      </c>
      <c r="B53" s="12">
        <v>19491313</v>
      </c>
      <c r="C53" s="12"/>
      <c r="D53" s="12"/>
      <c r="E53" s="12"/>
      <c r="F53" s="11" t="s">
        <v>36</v>
      </c>
      <c r="H53" s="11" t="s">
        <v>60</v>
      </c>
      <c r="I53" s="11" t="s">
        <v>80</v>
      </c>
      <c r="J53" s="11" t="s">
        <v>210</v>
      </c>
      <c r="K53" s="11" t="s">
        <v>104</v>
      </c>
      <c r="M53" s="11" t="s">
        <v>105</v>
      </c>
      <c r="N53" s="13">
        <v>45931</v>
      </c>
      <c r="O53" s="13">
        <v>46266</v>
      </c>
      <c r="P53" s="11" t="s">
        <v>134</v>
      </c>
      <c r="Q53" s="14">
        <v>11</v>
      </c>
      <c r="R53" s="14">
        <v>120.26</v>
      </c>
      <c r="S53" s="14">
        <v>100</v>
      </c>
      <c r="T53" s="15">
        <v>0.21</v>
      </c>
      <c r="U53" s="11">
        <v>25.25</v>
      </c>
    </row>
    <row r="54" spans="1:21" s="11" customFormat="1" x14ac:dyDescent="0.25">
      <c r="A54" s="11" t="s">
        <v>26</v>
      </c>
      <c r="B54" s="12">
        <v>7565575</v>
      </c>
      <c r="C54" s="12"/>
      <c r="D54" s="12"/>
      <c r="E54" s="12"/>
      <c r="F54" s="11" t="s">
        <v>57</v>
      </c>
      <c r="H54" s="11" t="s">
        <v>77</v>
      </c>
      <c r="I54" s="11" t="s">
        <v>99</v>
      </c>
      <c r="J54" s="11" t="s">
        <v>230</v>
      </c>
      <c r="K54" s="11" t="s">
        <v>104</v>
      </c>
      <c r="M54" s="11" t="s">
        <v>106</v>
      </c>
      <c r="N54" s="13">
        <v>45962</v>
      </c>
      <c r="O54" s="13">
        <v>46266</v>
      </c>
      <c r="P54" s="11" t="s">
        <v>134</v>
      </c>
      <c r="Q54" s="14">
        <v>10</v>
      </c>
      <c r="R54" s="14">
        <v>162.1</v>
      </c>
      <c r="S54" s="14">
        <v>100</v>
      </c>
      <c r="T54" s="15">
        <v>0.20799999999999999</v>
      </c>
      <c r="U54" s="11">
        <v>33.72</v>
      </c>
    </row>
  </sheetData>
  <sortState xmlns:xlrd2="http://schemas.microsoft.com/office/spreadsheetml/2017/richdata2" ref="A2:AA24">
    <sortCondition ref="T2:T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workbookViewId="0">
      <selection activeCell="A2" sqref="A2:XFD2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27</v>
      </c>
      <c r="C2" t="s">
        <v>33</v>
      </c>
      <c r="D2" t="s">
        <v>58</v>
      </c>
      <c r="E2" t="s">
        <v>78</v>
      </c>
      <c r="F2" t="s">
        <v>100</v>
      </c>
      <c r="G2" t="s">
        <v>103</v>
      </c>
      <c r="H2" t="s">
        <v>105</v>
      </c>
      <c r="I2" t="s">
        <v>109</v>
      </c>
      <c r="J2" t="s">
        <v>114</v>
      </c>
      <c r="K2" t="s">
        <v>120</v>
      </c>
      <c r="L2" t="s">
        <v>134</v>
      </c>
      <c r="M2" t="s">
        <v>135</v>
      </c>
      <c r="N2" t="s">
        <v>137</v>
      </c>
      <c r="O2" t="s">
        <v>146</v>
      </c>
      <c r="P2" t="s">
        <v>167</v>
      </c>
      <c r="Q2" t="s">
        <v>146</v>
      </c>
      <c r="R2" t="s">
        <v>174</v>
      </c>
      <c r="S2" t="s">
        <v>180</v>
      </c>
      <c r="T2">
        <v>5.91</v>
      </c>
    </row>
    <row r="3" spans="1:20" x14ac:dyDescent="0.25">
      <c r="A3" t="s">
        <v>21</v>
      </c>
      <c r="B3" t="s">
        <v>27</v>
      </c>
      <c r="C3" t="s">
        <v>34</v>
      </c>
      <c r="D3" t="s">
        <v>59</v>
      </c>
      <c r="E3" t="s">
        <v>79</v>
      </c>
      <c r="F3" t="s">
        <v>101</v>
      </c>
      <c r="G3" t="s">
        <v>104</v>
      </c>
      <c r="H3" t="s">
        <v>105</v>
      </c>
      <c r="I3" t="s">
        <v>109</v>
      </c>
      <c r="J3" t="s">
        <v>114</v>
      </c>
      <c r="K3" t="s">
        <v>120</v>
      </c>
      <c r="L3" t="s">
        <v>134</v>
      </c>
      <c r="M3" t="s">
        <v>135</v>
      </c>
      <c r="N3" t="s">
        <v>138</v>
      </c>
      <c r="O3" t="s">
        <v>147</v>
      </c>
      <c r="P3" t="s">
        <v>167</v>
      </c>
      <c r="Q3" t="s">
        <v>147</v>
      </c>
      <c r="R3" t="s">
        <v>174</v>
      </c>
      <c r="S3" t="s">
        <v>181</v>
      </c>
      <c r="T3">
        <v>3.64</v>
      </c>
    </row>
    <row r="4" spans="1:20" x14ac:dyDescent="0.25">
      <c r="A4" t="s">
        <v>21</v>
      </c>
      <c r="B4" t="s">
        <v>27</v>
      </c>
      <c r="C4" t="s">
        <v>35</v>
      </c>
      <c r="D4" t="s">
        <v>60</v>
      </c>
      <c r="E4" t="s">
        <v>80</v>
      </c>
      <c r="F4" t="s">
        <v>100</v>
      </c>
      <c r="G4" t="s">
        <v>103</v>
      </c>
      <c r="H4" t="s">
        <v>105</v>
      </c>
      <c r="I4" t="s">
        <v>109</v>
      </c>
      <c r="J4" t="s">
        <v>114</v>
      </c>
      <c r="K4" t="s">
        <v>121</v>
      </c>
      <c r="L4" t="s">
        <v>134</v>
      </c>
      <c r="M4" t="s">
        <v>135</v>
      </c>
      <c r="N4" t="s">
        <v>139</v>
      </c>
      <c r="O4" t="s">
        <v>148</v>
      </c>
      <c r="P4" t="s">
        <v>167</v>
      </c>
      <c r="Q4" t="s">
        <v>148</v>
      </c>
      <c r="R4" t="s">
        <v>174</v>
      </c>
      <c r="S4" t="s">
        <v>180</v>
      </c>
      <c r="T4">
        <v>5.0999999999999996</v>
      </c>
    </row>
    <row r="5" spans="1:20" x14ac:dyDescent="0.25">
      <c r="A5" t="s">
        <v>21</v>
      </c>
      <c r="B5" t="s">
        <v>27</v>
      </c>
      <c r="C5" t="s">
        <v>36</v>
      </c>
      <c r="D5" t="s">
        <v>60</v>
      </c>
      <c r="E5" t="s">
        <v>80</v>
      </c>
      <c r="F5" t="s">
        <v>101</v>
      </c>
      <c r="G5" t="s">
        <v>104</v>
      </c>
      <c r="H5" t="s">
        <v>105</v>
      </c>
      <c r="I5" t="s">
        <v>109</v>
      </c>
      <c r="J5" t="s">
        <v>114</v>
      </c>
      <c r="K5" t="s">
        <v>121</v>
      </c>
      <c r="L5" t="s">
        <v>134</v>
      </c>
      <c r="M5" t="s">
        <v>135</v>
      </c>
      <c r="N5" t="s">
        <v>140</v>
      </c>
      <c r="O5" t="s">
        <v>149</v>
      </c>
      <c r="P5" t="s">
        <v>167</v>
      </c>
      <c r="Q5" t="s">
        <v>168</v>
      </c>
      <c r="R5" t="s">
        <v>174</v>
      </c>
      <c r="S5" t="s">
        <v>181</v>
      </c>
      <c r="T5">
        <v>3.37</v>
      </c>
    </row>
    <row r="6" spans="1:20" x14ac:dyDescent="0.25">
      <c r="A6" t="s">
        <v>21</v>
      </c>
      <c r="B6" t="s">
        <v>27</v>
      </c>
      <c r="C6" t="s">
        <v>37</v>
      </c>
      <c r="D6" t="s">
        <v>58</v>
      </c>
      <c r="E6" t="s">
        <v>78</v>
      </c>
      <c r="F6" t="s">
        <v>101</v>
      </c>
      <c r="G6" t="s">
        <v>104</v>
      </c>
      <c r="H6" t="s">
        <v>105</v>
      </c>
      <c r="I6" t="s">
        <v>109</v>
      </c>
      <c r="J6" t="s">
        <v>114</v>
      </c>
      <c r="K6" t="s">
        <v>120</v>
      </c>
      <c r="L6" t="s">
        <v>134</v>
      </c>
      <c r="M6" t="s">
        <v>135</v>
      </c>
      <c r="N6" t="s">
        <v>137</v>
      </c>
      <c r="O6" t="s">
        <v>147</v>
      </c>
      <c r="P6" t="s">
        <v>167</v>
      </c>
      <c r="Q6" t="s">
        <v>147</v>
      </c>
      <c r="R6" t="s">
        <v>174</v>
      </c>
      <c r="S6" t="s">
        <v>181</v>
      </c>
      <c r="T6">
        <v>3.64</v>
      </c>
    </row>
    <row r="7" spans="1:20" x14ac:dyDescent="0.25">
      <c r="A7" t="s">
        <v>21</v>
      </c>
      <c r="B7" t="s">
        <v>27</v>
      </c>
      <c r="C7" t="s">
        <v>38</v>
      </c>
      <c r="D7" t="s">
        <v>61</v>
      </c>
      <c r="E7" t="s">
        <v>81</v>
      </c>
      <c r="F7" t="s">
        <v>101</v>
      </c>
      <c r="G7" t="s">
        <v>104</v>
      </c>
      <c r="H7" t="s">
        <v>105</v>
      </c>
      <c r="I7" t="s">
        <v>110</v>
      </c>
      <c r="J7" t="s">
        <v>114</v>
      </c>
      <c r="K7" t="s">
        <v>122</v>
      </c>
      <c r="L7" t="s">
        <v>134</v>
      </c>
      <c r="M7" t="s">
        <v>135</v>
      </c>
      <c r="N7" t="s">
        <v>138</v>
      </c>
      <c r="O7" t="s">
        <v>150</v>
      </c>
      <c r="P7" t="s">
        <v>167</v>
      </c>
      <c r="Q7" t="s">
        <v>150</v>
      </c>
      <c r="R7" t="s">
        <v>174</v>
      </c>
      <c r="S7" t="s">
        <v>181</v>
      </c>
      <c r="T7">
        <v>3.81</v>
      </c>
    </row>
    <row r="8" spans="1:20" x14ac:dyDescent="0.25">
      <c r="A8" t="s">
        <v>21</v>
      </c>
      <c r="B8" t="s">
        <v>27</v>
      </c>
      <c r="C8" t="s">
        <v>39</v>
      </c>
      <c r="D8" t="s">
        <v>62</v>
      </c>
      <c r="E8" t="s">
        <v>81</v>
      </c>
      <c r="F8" t="s">
        <v>101</v>
      </c>
      <c r="G8" t="s">
        <v>104</v>
      </c>
      <c r="H8" t="s">
        <v>105</v>
      </c>
      <c r="I8" t="s">
        <v>110</v>
      </c>
      <c r="J8" t="s">
        <v>114</v>
      </c>
      <c r="K8" t="s">
        <v>120</v>
      </c>
      <c r="L8" t="s">
        <v>134</v>
      </c>
      <c r="M8" t="s">
        <v>135</v>
      </c>
      <c r="N8" t="s">
        <v>138</v>
      </c>
      <c r="O8" t="s">
        <v>151</v>
      </c>
      <c r="P8" t="s">
        <v>167</v>
      </c>
      <c r="Q8" t="s">
        <v>151</v>
      </c>
      <c r="R8" t="s">
        <v>174</v>
      </c>
      <c r="S8" t="s">
        <v>181</v>
      </c>
      <c r="T8">
        <v>3.45</v>
      </c>
    </row>
    <row r="9" spans="1:20" x14ac:dyDescent="0.25">
      <c r="A9" t="s">
        <v>22</v>
      </c>
      <c r="B9" t="s">
        <v>28</v>
      </c>
      <c r="C9" t="s">
        <v>40</v>
      </c>
      <c r="D9" t="s">
        <v>63</v>
      </c>
      <c r="E9" t="s">
        <v>82</v>
      </c>
      <c r="F9" t="s">
        <v>100</v>
      </c>
      <c r="G9" t="s">
        <v>103</v>
      </c>
      <c r="H9" t="s">
        <v>106</v>
      </c>
      <c r="I9" t="s">
        <v>111</v>
      </c>
      <c r="J9" t="s">
        <v>114</v>
      </c>
      <c r="K9" t="s">
        <v>123</v>
      </c>
      <c r="L9" t="s">
        <v>134</v>
      </c>
      <c r="M9" t="s">
        <v>135</v>
      </c>
      <c r="N9" t="s">
        <v>141</v>
      </c>
      <c r="O9" t="s">
        <v>152</v>
      </c>
      <c r="P9" t="s">
        <v>167</v>
      </c>
      <c r="Q9" t="s">
        <v>152</v>
      </c>
      <c r="R9" t="s">
        <v>174</v>
      </c>
      <c r="S9" t="s">
        <v>182</v>
      </c>
      <c r="T9">
        <v>20.25</v>
      </c>
    </row>
    <row r="10" spans="1:20" x14ac:dyDescent="0.25">
      <c r="A10" t="s">
        <v>22</v>
      </c>
      <c r="B10" t="s">
        <v>28</v>
      </c>
      <c r="C10" t="s">
        <v>41</v>
      </c>
      <c r="D10" t="s">
        <v>64</v>
      </c>
      <c r="E10" t="s">
        <v>83</v>
      </c>
      <c r="F10" t="s">
        <v>100</v>
      </c>
      <c r="G10" t="s">
        <v>103</v>
      </c>
      <c r="H10" t="s">
        <v>106</v>
      </c>
      <c r="I10" t="s">
        <v>112</v>
      </c>
      <c r="J10" t="s">
        <v>115</v>
      </c>
      <c r="K10" t="s">
        <v>124</v>
      </c>
      <c r="L10" t="s">
        <v>134</v>
      </c>
      <c r="M10" t="s">
        <v>135</v>
      </c>
      <c r="N10" t="s">
        <v>137</v>
      </c>
      <c r="O10" t="s">
        <v>153</v>
      </c>
      <c r="P10" t="s">
        <v>167</v>
      </c>
      <c r="Q10" t="s">
        <v>153</v>
      </c>
      <c r="R10" t="s">
        <v>174</v>
      </c>
      <c r="S10" t="s">
        <v>180</v>
      </c>
      <c r="T10">
        <v>13.7</v>
      </c>
    </row>
    <row r="11" spans="1:20" x14ac:dyDescent="0.25">
      <c r="A11" t="s">
        <v>22</v>
      </c>
      <c r="B11" t="s">
        <v>28</v>
      </c>
      <c r="C11" t="s">
        <v>42</v>
      </c>
      <c r="D11" t="s">
        <v>65</v>
      </c>
      <c r="E11" t="s">
        <v>84</v>
      </c>
      <c r="F11" t="s">
        <v>100</v>
      </c>
      <c r="G11" t="s">
        <v>103</v>
      </c>
      <c r="H11" t="s">
        <v>106</v>
      </c>
      <c r="I11" t="s">
        <v>109</v>
      </c>
      <c r="J11" t="s">
        <v>116</v>
      </c>
      <c r="K11" t="s">
        <v>125</v>
      </c>
      <c r="L11" t="s">
        <v>134</v>
      </c>
      <c r="M11" t="s">
        <v>135</v>
      </c>
      <c r="N11" t="s">
        <v>142</v>
      </c>
      <c r="O11" t="s">
        <v>154</v>
      </c>
      <c r="P11" t="s">
        <v>167</v>
      </c>
      <c r="Q11" t="s">
        <v>154</v>
      </c>
      <c r="R11" t="s">
        <v>174</v>
      </c>
      <c r="S11" t="s">
        <v>180</v>
      </c>
      <c r="T11">
        <v>5.37</v>
      </c>
    </row>
    <row r="12" spans="1:20" x14ac:dyDescent="0.25">
      <c r="A12" t="s">
        <v>22</v>
      </c>
      <c r="B12" t="s">
        <v>28</v>
      </c>
      <c r="C12" t="s">
        <v>43</v>
      </c>
      <c r="D12" t="s">
        <v>66</v>
      </c>
      <c r="E12" t="s">
        <v>85</v>
      </c>
      <c r="F12" t="s">
        <v>100</v>
      </c>
      <c r="G12" t="s">
        <v>103</v>
      </c>
      <c r="H12" t="s">
        <v>106</v>
      </c>
      <c r="I12" t="s">
        <v>110</v>
      </c>
      <c r="J12" t="s">
        <v>117</v>
      </c>
      <c r="K12" t="s">
        <v>126</v>
      </c>
      <c r="L12" t="s">
        <v>134</v>
      </c>
      <c r="M12" t="s">
        <v>135</v>
      </c>
      <c r="N12" t="s">
        <v>143</v>
      </c>
      <c r="O12" t="s">
        <v>155</v>
      </c>
      <c r="P12" t="s">
        <v>167</v>
      </c>
      <c r="Q12" t="s">
        <v>155</v>
      </c>
      <c r="R12" t="s">
        <v>174</v>
      </c>
      <c r="S12" t="s">
        <v>182</v>
      </c>
      <c r="T12">
        <v>7.82</v>
      </c>
    </row>
    <row r="13" spans="1:20" x14ac:dyDescent="0.25">
      <c r="A13" t="s">
        <v>22</v>
      </c>
      <c r="B13" t="s">
        <v>28</v>
      </c>
      <c r="C13" t="s">
        <v>44</v>
      </c>
      <c r="D13" t="s">
        <v>67</v>
      </c>
      <c r="E13" t="s">
        <v>86</v>
      </c>
      <c r="F13" t="s">
        <v>100</v>
      </c>
      <c r="G13" t="s">
        <v>103</v>
      </c>
      <c r="H13" t="s">
        <v>106</v>
      </c>
      <c r="I13" t="s">
        <v>113</v>
      </c>
      <c r="J13" t="s">
        <v>114</v>
      </c>
      <c r="K13" t="s">
        <v>127</v>
      </c>
      <c r="L13" t="s">
        <v>134</v>
      </c>
      <c r="M13" t="s">
        <v>135</v>
      </c>
      <c r="N13" t="s">
        <v>141</v>
      </c>
      <c r="O13" t="s">
        <v>156</v>
      </c>
      <c r="P13" t="s">
        <v>167</v>
      </c>
      <c r="Q13" t="s">
        <v>156</v>
      </c>
      <c r="R13" t="s">
        <v>174</v>
      </c>
      <c r="S13" t="s">
        <v>182</v>
      </c>
      <c r="T13">
        <v>6.43</v>
      </c>
    </row>
    <row r="14" spans="1:20" x14ac:dyDescent="0.25">
      <c r="A14" t="s">
        <v>23</v>
      </c>
      <c r="B14" t="s">
        <v>29</v>
      </c>
      <c r="C14" t="s">
        <v>45</v>
      </c>
      <c r="D14" t="s">
        <v>68</v>
      </c>
      <c r="E14" t="s">
        <v>87</v>
      </c>
      <c r="F14" t="s">
        <v>102</v>
      </c>
      <c r="G14" t="s">
        <v>104</v>
      </c>
      <c r="H14" t="s">
        <v>107</v>
      </c>
      <c r="I14" t="s">
        <v>111</v>
      </c>
      <c r="J14" t="s">
        <v>114</v>
      </c>
      <c r="K14" t="s">
        <v>128</v>
      </c>
      <c r="L14" t="s">
        <v>134</v>
      </c>
      <c r="M14" t="s">
        <v>136</v>
      </c>
      <c r="N14" t="s">
        <v>141</v>
      </c>
      <c r="O14" t="s">
        <v>157</v>
      </c>
      <c r="P14" t="s">
        <v>167</v>
      </c>
      <c r="Q14" t="s">
        <v>169</v>
      </c>
      <c r="R14" t="s">
        <v>174</v>
      </c>
      <c r="S14" t="s">
        <v>183</v>
      </c>
      <c r="T14">
        <v>2.85</v>
      </c>
    </row>
    <row r="15" spans="1:20" x14ac:dyDescent="0.25">
      <c r="A15" t="s">
        <v>23</v>
      </c>
      <c r="B15" t="s">
        <v>29</v>
      </c>
      <c r="C15" t="s">
        <v>46</v>
      </c>
      <c r="D15" t="s">
        <v>69</v>
      </c>
      <c r="E15" t="s">
        <v>88</v>
      </c>
      <c r="F15" t="s">
        <v>102</v>
      </c>
      <c r="G15" t="s">
        <v>104</v>
      </c>
      <c r="H15" t="s">
        <v>107</v>
      </c>
      <c r="I15" t="s">
        <v>111</v>
      </c>
      <c r="J15" t="s">
        <v>114</v>
      </c>
      <c r="K15" t="s">
        <v>129</v>
      </c>
      <c r="L15" t="s">
        <v>134</v>
      </c>
      <c r="M15" t="s">
        <v>136</v>
      </c>
      <c r="N15" t="s">
        <v>141</v>
      </c>
      <c r="O15" t="s">
        <v>158</v>
      </c>
      <c r="P15" t="s">
        <v>167</v>
      </c>
      <c r="Q15" t="s">
        <v>170</v>
      </c>
      <c r="R15" t="s">
        <v>174</v>
      </c>
      <c r="S15" t="s">
        <v>183</v>
      </c>
      <c r="T15">
        <v>2.69</v>
      </c>
    </row>
    <row r="16" spans="1:20" x14ac:dyDescent="0.25">
      <c r="A16" t="s">
        <v>23</v>
      </c>
      <c r="B16" t="s">
        <v>29</v>
      </c>
      <c r="C16" t="s">
        <v>47</v>
      </c>
      <c r="D16" t="s">
        <v>70</v>
      </c>
      <c r="E16" t="s">
        <v>89</v>
      </c>
      <c r="F16" t="s">
        <v>101</v>
      </c>
      <c r="G16" t="s">
        <v>104</v>
      </c>
      <c r="H16" t="s">
        <v>107</v>
      </c>
      <c r="I16" t="s">
        <v>111</v>
      </c>
      <c r="J16" t="s">
        <v>118</v>
      </c>
      <c r="K16" t="s">
        <v>120</v>
      </c>
      <c r="L16" t="s">
        <v>134</v>
      </c>
      <c r="M16" t="s">
        <v>135</v>
      </c>
      <c r="N16" t="s">
        <v>141</v>
      </c>
      <c r="O16" t="s">
        <v>159</v>
      </c>
      <c r="P16" t="s">
        <v>167</v>
      </c>
      <c r="Q16" t="s">
        <v>160</v>
      </c>
      <c r="R16" t="s">
        <v>174</v>
      </c>
      <c r="S16" t="s">
        <v>184</v>
      </c>
      <c r="T16">
        <v>8.1199999999999992</v>
      </c>
    </row>
    <row r="17" spans="1:20" x14ac:dyDescent="0.25">
      <c r="A17" t="s">
        <v>23</v>
      </c>
      <c r="B17" t="s">
        <v>29</v>
      </c>
      <c r="C17" t="s">
        <v>48</v>
      </c>
      <c r="D17" t="s">
        <v>71</v>
      </c>
      <c r="E17" t="s">
        <v>90</v>
      </c>
      <c r="F17" t="s">
        <v>101</v>
      </c>
      <c r="G17" t="s">
        <v>104</v>
      </c>
      <c r="H17" t="s">
        <v>107</v>
      </c>
      <c r="I17" t="s">
        <v>112</v>
      </c>
      <c r="J17" t="s">
        <v>114</v>
      </c>
      <c r="K17" t="s">
        <v>120</v>
      </c>
      <c r="L17" t="s">
        <v>134</v>
      </c>
      <c r="M17" t="s">
        <v>135</v>
      </c>
      <c r="N17" t="s">
        <v>141</v>
      </c>
      <c r="O17" t="s">
        <v>160</v>
      </c>
      <c r="P17" t="s">
        <v>167</v>
      </c>
      <c r="Q17" t="s">
        <v>160</v>
      </c>
      <c r="R17" t="s">
        <v>174</v>
      </c>
      <c r="S17" t="s">
        <v>184</v>
      </c>
      <c r="T17">
        <v>8.1199999999999992</v>
      </c>
    </row>
    <row r="18" spans="1:20" x14ac:dyDescent="0.25">
      <c r="A18" t="s">
        <v>23</v>
      </c>
      <c r="B18" t="s">
        <v>29</v>
      </c>
      <c r="C18" t="s">
        <v>49</v>
      </c>
      <c r="D18" t="s">
        <v>72</v>
      </c>
      <c r="E18" t="s">
        <v>91</v>
      </c>
      <c r="F18" t="s">
        <v>101</v>
      </c>
      <c r="G18" t="s">
        <v>104</v>
      </c>
      <c r="H18" t="s">
        <v>107</v>
      </c>
      <c r="I18" t="s">
        <v>109</v>
      </c>
      <c r="J18" t="s">
        <v>114</v>
      </c>
      <c r="K18" t="s">
        <v>130</v>
      </c>
      <c r="L18" t="s">
        <v>134</v>
      </c>
      <c r="M18" t="s">
        <v>136</v>
      </c>
      <c r="N18" t="s">
        <v>143</v>
      </c>
      <c r="O18" t="s">
        <v>161</v>
      </c>
      <c r="P18" t="s">
        <v>167</v>
      </c>
      <c r="Q18" t="s">
        <v>161</v>
      </c>
      <c r="R18" t="s">
        <v>174</v>
      </c>
      <c r="S18" t="s">
        <v>183</v>
      </c>
      <c r="T18">
        <v>3.15</v>
      </c>
    </row>
    <row r="19" spans="1:20" x14ac:dyDescent="0.25">
      <c r="A19" t="s">
        <v>23</v>
      </c>
      <c r="B19" t="s">
        <v>29</v>
      </c>
      <c r="C19" t="s">
        <v>50</v>
      </c>
      <c r="D19" t="s">
        <v>73</v>
      </c>
      <c r="E19" t="s">
        <v>92</v>
      </c>
      <c r="F19" t="s">
        <v>101</v>
      </c>
      <c r="G19" t="s">
        <v>104</v>
      </c>
      <c r="H19" t="s">
        <v>107</v>
      </c>
      <c r="I19" t="s">
        <v>110</v>
      </c>
      <c r="J19" t="s">
        <v>114</v>
      </c>
      <c r="K19" t="s">
        <v>121</v>
      </c>
      <c r="L19" t="s">
        <v>134</v>
      </c>
      <c r="M19" t="s">
        <v>136</v>
      </c>
      <c r="N19" t="s">
        <v>141</v>
      </c>
      <c r="O19" t="s">
        <v>162</v>
      </c>
      <c r="P19" t="s">
        <v>167</v>
      </c>
      <c r="Q19" t="s">
        <v>171</v>
      </c>
      <c r="R19" t="s">
        <v>174</v>
      </c>
      <c r="S19" t="s">
        <v>183</v>
      </c>
      <c r="T19">
        <v>1.96</v>
      </c>
    </row>
    <row r="20" spans="1:20" x14ac:dyDescent="0.25">
      <c r="A20" t="s">
        <v>23</v>
      </c>
      <c r="B20" t="s">
        <v>29</v>
      </c>
      <c r="C20" t="s">
        <v>51</v>
      </c>
      <c r="D20" t="s">
        <v>74</v>
      </c>
      <c r="E20" t="s">
        <v>93</v>
      </c>
      <c r="F20" t="s">
        <v>101</v>
      </c>
      <c r="G20" t="s">
        <v>104</v>
      </c>
      <c r="H20" t="s">
        <v>107</v>
      </c>
      <c r="I20" t="s">
        <v>110</v>
      </c>
      <c r="J20" t="s">
        <v>114</v>
      </c>
      <c r="K20" t="s">
        <v>120</v>
      </c>
      <c r="L20" t="s">
        <v>134</v>
      </c>
      <c r="M20" t="s">
        <v>135</v>
      </c>
      <c r="N20" t="s">
        <v>141</v>
      </c>
      <c r="O20" t="s">
        <v>163</v>
      </c>
      <c r="P20" t="s">
        <v>167</v>
      </c>
      <c r="Q20" t="s">
        <v>163</v>
      </c>
      <c r="R20" t="s">
        <v>174</v>
      </c>
      <c r="S20" t="s">
        <v>184</v>
      </c>
      <c r="T20">
        <v>6.95</v>
      </c>
    </row>
    <row r="21" spans="1:20" x14ac:dyDescent="0.25">
      <c r="A21" t="s">
        <v>23</v>
      </c>
      <c r="B21" t="s">
        <v>29</v>
      </c>
      <c r="C21" t="s">
        <v>52</v>
      </c>
      <c r="D21" t="s">
        <v>75</v>
      </c>
      <c r="E21" t="s">
        <v>94</v>
      </c>
      <c r="F21" t="s">
        <v>101</v>
      </c>
      <c r="G21" t="s">
        <v>104</v>
      </c>
      <c r="H21" t="s">
        <v>107</v>
      </c>
      <c r="I21" t="s">
        <v>110</v>
      </c>
      <c r="J21" t="s">
        <v>114</v>
      </c>
      <c r="K21" t="s">
        <v>120</v>
      </c>
      <c r="L21" t="s">
        <v>134</v>
      </c>
      <c r="M21" t="s">
        <v>135</v>
      </c>
      <c r="N21" t="s">
        <v>141</v>
      </c>
      <c r="O21" t="s">
        <v>164</v>
      </c>
      <c r="P21" t="s">
        <v>167</v>
      </c>
      <c r="Q21" t="s">
        <v>164</v>
      </c>
      <c r="R21" t="s">
        <v>174</v>
      </c>
      <c r="S21" t="s">
        <v>184</v>
      </c>
      <c r="T21">
        <v>8.5500000000000007</v>
      </c>
    </row>
    <row r="22" spans="1:20" x14ac:dyDescent="0.25">
      <c r="A22" t="s">
        <v>23</v>
      </c>
      <c r="B22" t="s">
        <v>29</v>
      </c>
      <c r="C22" t="s">
        <v>53</v>
      </c>
      <c r="D22" t="s">
        <v>76</v>
      </c>
      <c r="E22" t="s">
        <v>95</v>
      </c>
      <c r="F22" t="s">
        <v>101</v>
      </c>
      <c r="G22" t="s">
        <v>104</v>
      </c>
      <c r="H22" t="s">
        <v>107</v>
      </c>
      <c r="I22" t="s">
        <v>113</v>
      </c>
      <c r="J22" t="s">
        <v>114</v>
      </c>
      <c r="K22" t="s">
        <v>131</v>
      </c>
      <c r="L22" t="s">
        <v>134</v>
      </c>
      <c r="M22" t="s">
        <v>136</v>
      </c>
      <c r="N22" t="s">
        <v>141</v>
      </c>
      <c r="O22" t="s">
        <v>160</v>
      </c>
      <c r="P22" t="s">
        <v>167</v>
      </c>
      <c r="Q22" t="s">
        <v>160</v>
      </c>
      <c r="R22" t="s">
        <v>174</v>
      </c>
      <c r="S22" t="s">
        <v>183</v>
      </c>
      <c r="T22">
        <v>2.21</v>
      </c>
    </row>
    <row r="23" spans="1:20" x14ac:dyDescent="0.25">
      <c r="A23" t="s">
        <v>23</v>
      </c>
      <c r="B23" t="s">
        <v>29</v>
      </c>
      <c r="C23" t="s">
        <v>54</v>
      </c>
      <c r="D23" t="s">
        <v>75</v>
      </c>
      <c r="E23" t="s">
        <v>96</v>
      </c>
      <c r="F23" t="s">
        <v>102</v>
      </c>
      <c r="G23" t="s">
        <v>104</v>
      </c>
      <c r="H23" t="s">
        <v>107</v>
      </c>
      <c r="I23" t="s">
        <v>113</v>
      </c>
      <c r="J23" t="s">
        <v>114</v>
      </c>
      <c r="K23" t="s">
        <v>132</v>
      </c>
      <c r="L23" t="s">
        <v>134</v>
      </c>
      <c r="M23" t="s">
        <v>136</v>
      </c>
      <c r="N23" t="s">
        <v>141</v>
      </c>
      <c r="O23" t="s">
        <v>165</v>
      </c>
      <c r="P23" t="s">
        <v>167</v>
      </c>
      <c r="Q23" t="s">
        <v>172</v>
      </c>
      <c r="R23" t="s">
        <v>174</v>
      </c>
      <c r="S23" t="s">
        <v>183</v>
      </c>
      <c r="T23">
        <v>2.61</v>
      </c>
    </row>
    <row r="24" spans="1:20" x14ac:dyDescent="0.25">
      <c r="A24" t="s">
        <v>24</v>
      </c>
      <c r="B24" t="s">
        <v>30</v>
      </c>
      <c r="C24" t="s">
        <v>55</v>
      </c>
      <c r="D24" t="s">
        <v>61</v>
      </c>
      <c r="E24" t="s">
        <v>97</v>
      </c>
      <c r="F24" t="s">
        <v>100</v>
      </c>
      <c r="G24" t="s">
        <v>103</v>
      </c>
      <c r="H24" t="s">
        <v>106</v>
      </c>
      <c r="I24" t="s">
        <v>113</v>
      </c>
      <c r="J24" t="s">
        <v>119</v>
      </c>
      <c r="K24" t="s">
        <v>121</v>
      </c>
      <c r="L24" t="s">
        <v>134</v>
      </c>
      <c r="M24" t="s">
        <v>135</v>
      </c>
      <c r="N24" t="s">
        <v>144</v>
      </c>
      <c r="O24" t="s">
        <v>154</v>
      </c>
      <c r="P24" t="s">
        <v>167</v>
      </c>
      <c r="Q24" t="s">
        <v>154</v>
      </c>
      <c r="R24" t="s">
        <v>174</v>
      </c>
      <c r="S24" t="s">
        <v>180</v>
      </c>
      <c r="T24">
        <v>5.37</v>
      </c>
    </row>
    <row r="25" spans="1:20" x14ac:dyDescent="0.25">
      <c r="A25" t="s">
        <v>25</v>
      </c>
      <c r="B25" t="s">
        <v>31</v>
      </c>
      <c r="C25" t="s">
        <v>56</v>
      </c>
      <c r="D25" t="s">
        <v>74</v>
      </c>
      <c r="E25" t="s">
        <v>98</v>
      </c>
      <c r="F25" t="s">
        <v>100</v>
      </c>
      <c r="G25" t="s">
        <v>103</v>
      </c>
      <c r="H25" t="s">
        <v>108</v>
      </c>
      <c r="I25" t="s">
        <v>111</v>
      </c>
      <c r="J25" t="s">
        <v>114</v>
      </c>
      <c r="K25" t="s">
        <v>133</v>
      </c>
      <c r="L25" t="s">
        <v>134</v>
      </c>
      <c r="M25" t="s">
        <v>135</v>
      </c>
      <c r="N25" t="s">
        <v>137</v>
      </c>
      <c r="O25" t="s">
        <v>156</v>
      </c>
      <c r="P25" t="s">
        <v>167</v>
      </c>
      <c r="Q25" t="s">
        <v>156</v>
      </c>
      <c r="R25" t="s">
        <v>174</v>
      </c>
      <c r="S25" t="s">
        <v>180</v>
      </c>
      <c r="T25">
        <v>5.31</v>
      </c>
    </row>
    <row r="26" spans="1:20" x14ac:dyDescent="0.25">
      <c r="A26" t="s">
        <v>26</v>
      </c>
      <c r="B26" t="s">
        <v>32</v>
      </c>
      <c r="C26" t="s">
        <v>57</v>
      </c>
      <c r="D26" t="s">
        <v>77</v>
      </c>
      <c r="E26" t="s">
        <v>99</v>
      </c>
      <c r="F26" t="s">
        <v>101</v>
      </c>
      <c r="G26" t="s">
        <v>104</v>
      </c>
      <c r="H26" t="s">
        <v>106</v>
      </c>
      <c r="I26" t="s">
        <v>109</v>
      </c>
      <c r="J26" t="s">
        <v>114</v>
      </c>
      <c r="K26" t="s">
        <v>120</v>
      </c>
      <c r="L26" t="s">
        <v>134</v>
      </c>
      <c r="M26" t="s">
        <v>135</v>
      </c>
      <c r="N26" t="s">
        <v>145</v>
      </c>
      <c r="O26" t="s">
        <v>166</v>
      </c>
      <c r="P26" t="s">
        <v>167</v>
      </c>
      <c r="Q26" t="s">
        <v>173</v>
      </c>
      <c r="R26" t="s">
        <v>174</v>
      </c>
      <c r="S26" t="s">
        <v>181</v>
      </c>
      <c r="T26">
        <v>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27</v>
      </c>
      <c r="C2" t="s">
        <v>185</v>
      </c>
      <c r="D2" t="s">
        <v>75</v>
      </c>
      <c r="E2" t="s">
        <v>187</v>
      </c>
      <c r="F2" t="s">
        <v>100</v>
      </c>
      <c r="G2" t="s">
        <v>103</v>
      </c>
      <c r="H2" t="s">
        <v>105</v>
      </c>
      <c r="I2" t="s">
        <v>109</v>
      </c>
      <c r="J2" t="s">
        <v>114</v>
      </c>
      <c r="K2" t="s">
        <v>188</v>
      </c>
      <c r="L2" t="s">
        <v>134</v>
      </c>
      <c r="M2" t="s">
        <v>135</v>
      </c>
      <c r="N2" t="s">
        <v>189</v>
      </c>
      <c r="O2" t="s">
        <v>190</v>
      </c>
      <c r="P2" t="s">
        <v>167</v>
      </c>
      <c r="Q2" t="s">
        <v>190</v>
      </c>
      <c r="R2" t="s">
        <v>174</v>
      </c>
      <c r="S2" t="s">
        <v>180</v>
      </c>
      <c r="T2">
        <v>6.16</v>
      </c>
    </row>
    <row r="3" spans="1:20" x14ac:dyDescent="0.25">
      <c r="A3" t="s">
        <v>21</v>
      </c>
      <c r="B3" t="s">
        <v>27</v>
      </c>
      <c r="C3" t="s">
        <v>186</v>
      </c>
      <c r="D3" t="s">
        <v>75</v>
      </c>
      <c r="E3" t="s">
        <v>187</v>
      </c>
      <c r="F3" t="s">
        <v>101</v>
      </c>
      <c r="G3" t="s">
        <v>104</v>
      </c>
      <c r="H3" t="s">
        <v>105</v>
      </c>
      <c r="I3" t="s">
        <v>109</v>
      </c>
      <c r="J3" t="s">
        <v>114</v>
      </c>
      <c r="K3" t="s">
        <v>120</v>
      </c>
      <c r="L3" t="s">
        <v>134</v>
      </c>
      <c r="M3" t="s">
        <v>135</v>
      </c>
      <c r="N3" t="s">
        <v>189</v>
      </c>
      <c r="O3" t="s">
        <v>191</v>
      </c>
      <c r="P3" t="s">
        <v>167</v>
      </c>
      <c r="Q3" t="s">
        <v>192</v>
      </c>
      <c r="R3" t="s">
        <v>174</v>
      </c>
      <c r="S3" t="s">
        <v>181</v>
      </c>
      <c r="T3">
        <v>3.41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 t="s">
        <v>185</v>
      </c>
      <c r="D2" t="s">
        <v>75</v>
      </c>
      <c r="E2" t="s">
        <v>187</v>
      </c>
      <c r="F2" t="s">
        <v>100</v>
      </c>
      <c r="G2" t="s">
        <v>103</v>
      </c>
      <c r="H2" t="s">
        <v>105</v>
      </c>
      <c r="I2" t="s">
        <v>109</v>
      </c>
      <c r="J2" t="s">
        <v>114</v>
      </c>
      <c r="K2" t="s">
        <v>188</v>
      </c>
      <c r="L2" t="s">
        <v>134</v>
      </c>
      <c r="M2" t="s">
        <v>135</v>
      </c>
      <c r="N2" t="s">
        <v>189</v>
      </c>
      <c r="O2" t="s">
        <v>190</v>
      </c>
      <c r="P2" t="s">
        <v>167</v>
      </c>
      <c r="Q2" t="s">
        <v>190</v>
      </c>
      <c r="R2" t="s">
        <v>174</v>
      </c>
      <c r="S2" t="s">
        <v>193</v>
      </c>
      <c r="T2">
        <v>1.95</v>
      </c>
      <c r="U2" t="s">
        <v>194</v>
      </c>
    </row>
    <row r="3" spans="1:21" x14ac:dyDescent="0.25">
      <c r="A3" t="s">
        <v>21</v>
      </c>
      <c r="B3" t="s">
        <v>27</v>
      </c>
      <c r="C3" t="s">
        <v>186</v>
      </c>
      <c r="D3" t="s">
        <v>75</v>
      </c>
      <c r="E3" t="s">
        <v>187</v>
      </c>
      <c r="F3" t="s">
        <v>101</v>
      </c>
      <c r="G3" t="s">
        <v>104</v>
      </c>
      <c r="H3" t="s">
        <v>105</v>
      </c>
      <c r="I3" t="s">
        <v>109</v>
      </c>
      <c r="J3" t="s">
        <v>114</v>
      </c>
      <c r="K3" t="s">
        <v>120</v>
      </c>
      <c r="L3" t="s">
        <v>134</v>
      </c>
      <c r="M3" t="s">
        <v>135</v>
      </c>
      <c r="N3" t="s">
        <v>189</v>
      </c>
      <c r="O3" t="s">
        <v>191</v>
      </c>
      <c r="P3" t="s">
        <v>167</v>
      </c>
      <c r="Q3" t="s">
        <v>192</v>
      </c>
      <c r="R3" t="s">
        <v>174</v>
      </c>
      <c r="S3" t="s">
        <v>176</v>
      </c>
      <c r="T3">
        <v>25.61</v>
      </c>
      <c r="U3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195</v>
      </c>
    </row>
    <row r="2" spans="1:9" x14ac:dyDescent="0.25">
      <c r="A2" t="s">
        <v>45</v>
      </c>
      <c r="B2" t="s">
        <v>68</v>
      </c>
      <c r="C2" t="s">
        <v>87</v>
      </c>
      <c r="D2" t="s">
        <v>102</v>
      </c>
      <c r="E2" t="s">
        <v>104</v>
      </c>
      <c r="F2" t="s">
        <v>107</v>
      </c>
      <c r="G2" t="s">
        <v>111</v>
      </c>
      <c r="H2" t="s">
        <v>199</v>
      </c>
      <c r="I2">
        <v>-52.87</v>
      </c>
    </row>
    <row r="3" spans="1:9" x14ac:dyDescent="0.25">
      <c r="A3" t="s">
        <v>46</v>
      </c>
      <c r="B3" t="s">
        <v>69</v>
      </c>
      <c r="C3" t="s">
        <v>88</v>
      </c>
      <c r="D3" t="s">
        <v>102</v>
      </c>
      <c r="E3" t="s">
        <v>104</v>
      </c>
      <c r="F3" t="s">
        <v>107</v>
      </c>
      <c r="G3" t="s">
        <v>111</v>
      </c>
      <c r="H3" t="s">
        <v>199</v>
      </c>
      <c r="I3">
        <v>-49.84</v>
      </c>
    </row>
    <row r="4" spans="1:9" x14ac:dyDescent="0.25">
      <c r="A4" t="s">
        <v>56</v>
      </c>
      <c r="B4" t="s">
        <v>74</v>
      </c>
      <c r="C4" t="s">
        <v>98</v>
      </c>
      <c r="D4" t="s">
        <v>100</v>
      </c>
      <c r="E4" t="s">
        <v>103</v>
      </c>
      <c r="F4" t="s">
        <v>108</v>
      </c>
      <c r="G4" t="s">
        <v>111</v>
      </c>
      <c r="H4" t="s">
        <v>199</v>
      </c>
      <c r="I4">
        <v>-13.98</v>
      </c>
    </row>
    <row r="5" spans="1:9" x14ac:dyDescent="0.25">
      <c r="A5" t="s">
        <v>40</v>
      </c>
      <c r="B5" t="s">
        <v>63</v>
      </c>
      <c r="C5" t="s">
        <v>82</v>
      </c>
      <c r="D5" t="s">
        <v>100</v>
      </c>
      <c r="E5" t="s">
        <v>103</v>
      </c>
      <c r="F5" t="s">
        <v>106</v>
      </c>
      <c r="G5" t="s">
        <v>111</v>
      </c>
      <c r="H5" t="s">
        <v>199</v>
      </c>
      <c r="I5">
        <v>-44.03</v>
      </c>
    </row>
    <row r="6" spans="1:9" x14ac:dyDescent="0.25">
      <c r="A6" t="s">
        <v>47</v>
      </c>
      <c r="B6" t="s">
        <v>70</v>
      </c>
      <c r="C6" t="s">
        <v>89</v>
      </c>
      <c r="D6" t="s">
        <v>101</v>
      </c>
      <c r="E6" t="s">
        <v>104</v>
      </c>
      <c r="F6" t="s">
        <v>107</v>
      </c>
      <c r="G6" t="s">
        <v>111</v>
      </c>
      <c r="H6" t="s">
        <v>199</v>
      </c>
      <c r="I6">
        <v>-40.950000000000003</v>
      </c>
    </row>
    <row r="7" spans="1:9" x14ac:dyDescent="0.25">
      <c r="A7" t="s">
        <v>41</v>
      </c>
      <c r="B7" t="s">
        <v>64</v>
      </c>
      <c r="C7" t="s">
        <v>83</v>
      </c>
      <c r="D7" t="s">
        <v>100</v>
      </c>
      <c r="E7" t="s">
        <v>103</v>
      </c>
      <c r="F7" t="s">
        <v>106</v>
      </c>
      <c r="G7" t="s">
        <v>112</v>
      </c>
      <c r="H7" t="s">
        <v>199</v>
      </c>
      <c r="I7">
        <v>-36.049999999999997</v>
      </c>
    </row>
    <row r="8" spans="1:9" x14ac:dyDescent="0.25">
      <c r="A8" t="s">
        <v>48</v>
      </c>
      <c r="B8" t="s">
        <v>71</v>
      </c>
      <c r="C8" t="s">
        <v>90</v>
      </c>
      <c r="D8" t="s">
        <v>101</v>
      </c>
      <c r="E8" t="s">
        <v>104</v>
      </c>
      <c r="F8" t="s">
        <v>107</v>
      </c>
      <c r="G8" t="s">
        <v>112</v>
      </c>
      <c r="H8" t="s">
        <v>199</v>
      </c>
      <c r="I8">
        <v>-40.950000000000003</v>
      </c>
    </row>
    <row r="9" spans="1:9" x14ac:dyDescent="0.25">
      <c r="A9" t="s">
        <v>33</v>
      </c>
      <c r="B9" t="s">
        <v>58</v>
      </c>
      <c r="C9" t="s">
        <v>78</v>
      </c>
      <c r="D9" t="s">
        <v>100</v>
      </c>
      <c r="E9" t="s">
        <v>103</v>
      </c>
      <c r="F9" t="s">
        <v>105</v>
      </c>
      <c r="G9" t="s">
        <v>109</v>
      </c>
      <c r="H9" t="s">
        <v>199</v>
      </c>
      <c r="I9">
        <v>-15.54</v>
      </c>
    </row>
    <row r="10" spans="1:9" x14ac:dyDescent="0.25">
      <c r="A10" t="s">
        <v>34</v>
      </c>
      <c r="B10" t="s">
        <v>59</v>
      </c>
      <c r="C10" t="s">
        <v>79</v>
      </c>
      <c r="D10" t="s">
        <v>101</v>
      </c>
      <c r="E10" t="s">
        <v>104</v>
      </c>
      <c r="F10" t="s">
        <v>105</v>
      </c>
      <c r="G10" t="s">
        <v>109</v>
      </c>
      <c r="H10" t="s">
        <v>199</v>
      </c>
      <c r="I10">
        <v>-27.32</v>
      </c>
    </row>
    <row r="11" spans="1:9" x14ac:dyDescent="0.25">
      <c r="A11" t="s">
        <v>35</v>
      </c>
      <c r="B11" t="s">
        <v>60</v>
      </c>
      <c r="C11" t="s">
        <v>80</v>
      </c>
      <c r="D11" t="s">
        <v>100</v>
      </c>
      <c r="E11" t="s">
        <v>103</v>
      </c>
      <c r="F11" t="s">
        <v>105</v>
      </c>
      <c r="G11" t="s">
        <v>109</v>
      </c>
      <c r="H11" t="s">
        <v>199</v>
      </c>
      <c r="I11">
        <v>-13.42</v>
      </c>
    </row>
    <row r="12" spans="1:9" x14ac:dyDescent="0.25">
      <c r="A12" t="s">
        <v>42</v>
      </c>
      <c r="B12" t="s">
        <v>65</v>
      </c>
      <c r="C12" t="s">
        <v>84</v>
      </c>
      <c r="D12" t="s">
        <v>100</v>
      </c>
      <c r="E12" t="s">
        <v>103</v>
      </c>
      <c r="F12" t="s">
        <v>106</v>
      </c>
      <c r="G12" t="s">
        <v>109</v>
      </c>
      <c r="H12" t="s">
        <v>199</v>
      </c>
      <c r="I12">
        <v>-14.13</v>
      </c>
    </row>
    <row r="13" spans="1:9" x14ac:dyDescent="0.25">
      <c r="A13" t="s">
        <v>36</v>
      </c>
      <c r="B13" t="s">
        <v>60</v>
      </c>
      <c r="C13" t="s">
        <v>80</v>
      </c>
      <c r="D13" t="s">
        <v>101</v>
      </c>
      <c r="E13" t="s">
        <v>104</v>
      </c>
      <c r="F13" t="s">
        <v>105</v>
      </c>
      <c r="G13" t="s">
        <v>109</v>
      </c>
      <c r="H13" t="s">
        <v>199</v>
      </c>
      <c r="I13">
        <v>-25.25</v>
      </c>
    </row>
    <row r="14" spans="1:9" x14ac:dyDescent="0.25">
      <c r="A14" t="s">
        <v>57</v>
      </c>
      <c r="B14" t="s">
        <v>77</v>
      </c>
      <c r="C14" t="s">
        <v>99</v>
      </c>
      <c r="D14" t="s">
        <v>101</v>
      </c>
      <c r="E14" t="s">
        <v>104</v>
      </c>
      <c r="F14" t="s">
        <v>106</v>
      </c>
      <c r="G14" t="s">
        <v>109</v>
      </c>
      <c r="H14" t="s">
        <v>199</v>
      </c>
      <c r="I14">
        <v>-33.72</v>
      </c>
    </row>
    <row r="15" spans="1:9" x14ac:dyDescent="0.25">
      <c r="A15" t="s">
        <v>49</v>
      </c>
      <c r="B15" t="s">
        <v>72</v>
      </c>
      <c r="C15" t="s">
        <v>91</v>
      </c>
      <c r="D15" t="s">
        <v>101</v>
      </c>
      <c r="E15" t="s">
        <v>104</v>
      </c>
      <c r="F15" t="s">
        <v>107</v>
      </c>
      <c r="G15" t="s">
        <v>109</v>
      </c>
      <c r="H15" t="s">
        <v>199</v>
      </c>
      <c r="I15">
        <v>-58.51</v>
      </c>
    </row>
    <row r="16" spans="1:9" x14ac:dyDescent="0.25">
      <c r="A16" t="s">
        <v>37</v>
      </c>
      <c r="B16" t="s">
        <v>58</v>
      </c>
      <c r="C16" t="s">
        <v>78</v>
      </c>
      <c r="D16" t="s">
        <v>101</v>
      </c>
      <c r="E16" t="s">
        <v>104</v>
      </c>
      <c r="F16" t="s">
        <v>105</v>
      </c>
      <c r="G16" t="s">
        <v>109</v>
      </c>
      <c r="H16" t="s">
        <v>199</v>
      </c>
      <c r="I16">
        <v>-27.32</v>
      </c>
    </row>
    <row r="17" spans="1:9" x14ac:dyDescent="0.25">
      <c r="A17" t="s">
        <v>196</v>
      </c>
      <c r="B17" t="s">
        <v>197</v>
      </c>
      <c r="C17" t="s">
        <v>198</v>
      </c>
      <c r="G17" t="s">
        <v>110</v>
      </c>
      <c r="H17" t="s">
        <v>200</v>
      </c>
      <c r="I17">
        <v>-218.56</v>
      </c>
    </row>
    <row r="18" spans="1:9" x14ac:dyDescent="0.25">
      <c r="A18" t="s">
        <v>43</v>
      </c>
      <c r="B18" t="s">
        <v>66</v>
      </c>
      <c r="C18" t="s">
        <v>85</v>
      </c>
      <c r="D18" t="s">
        <v>100</v>
      </c>
      <c r="E18" t="s">
        <v>103</v>
      </c>
      <c r="F18" t="s">
        <v>106</v>
      </c>
      <c r="G18" t="s">
        <v>110</v>
      </c>
      <c r="H18" t="s">
        <v>199</v>
      </c>
      <c r="I18">
        <v>-17</v>
      </c>
    </row>
    <row r="19" spans="1:9" x14ac:dyDescent="0.25">
      <c r="A19" t="s">
        <v>50</v>
      </c>
      <c r="B19" t="s">
        <v>73</v>
      </c>
      <c r="C19" t="s">
        <v>92</v>
      </c>
      <c r="D19" t="s">
        <v>101</v>
      </c>
      <c r="E19" t="s">
        <v>104</v>
      </c>
      <c r="F19" t="s">
        <v>107</v>
      </c>
      <c r="G19" t="s">
        <v>110</v>
      </c>
      <c r="H19" t="s">
        <v>199</v>
      </c>
      <c r="I19">
        <v>-36.380000000000003</v>
      </c>
    </row>
    <row r="20" spans="1:9" x14ac:dyDescent="0.25">
      <c r="A20" t="s">
        <v>38</v>
      </c>
      <c r="B20" t="s">
        <v>61</v>
      </c>
      <c r="C20" t="s">
        <v>81</v>
      </c>
      <c r="D20" t="s">
        <v>101</v>
      </c>
      <c r="E20" t="s">
        <v>104</v>
      </c>
      <c r="F20" t="s">
        <v>105</v>
      </c>
      <c r="G20" t="s">
        <v>110</v>
      </c>
      <c r="H20" t="s">
        <v>199</v>
      </c>
      <c r="I20">
        <v>-28.61</v>
      </c>
    </row>
    <row r="21" spans="1:9" x14ac:dyDescent="0.25">
      <c r="A21" t="s">
        <v>51</v>
      </c>
      <c r="B21" t="s">
        <v>74</v>
      </c>
      <c r="C21" t="s">
        <v>93</v>
      </c>
      <c r="D21" t="s">
        <v>101</v>
      </c>
      <c r="E21" t="s">
        <v>104</v>
      </c>
      <c r="F21" t="s">
        <v>107</v>
      </c>
      <c r="G21" t="s">
        <v>110</v>
      </c>
      <c r="H21" t="s">
        <v>199</v>
      </c>
      <c r="I21">
        <v>-35.049999999999997</v>
      </c>
    </row>
    <row r="22" spans="1:9" x14ac:dyDescent="0.25">
      <c r="A22" t="s">
        <v>39</v>
      </c>
      <c r="B22" t="s">
        <v>62</v>
      </c>
      <c r="C22" t="s">
        <v>81</v>
      </c>
      <c r="D22" t="s">
        <v>101</v>
      </c>
      <c r="E22" t="s">
        <v>104</v>
      </c>
      <c r="F22" t="s">
        <v>105</v>
      </c>
      <c r="G22" t="s">
        <v>110</v>
      </c>
      <c r="H22" t="s">
        <v>199</v>
      </c>
      <c r="I22">
        <v>-25.88</v>
      </c>
    </row>
    <row r="23" spans="1:9" x14ac:dyDescent="0.25">
      <c r="A23" t="s">
        <v>52</v>
      </c>
      <c r="B23" t="s">
        <v>75</v>
      </c>
      <c r="C23" t="s">
        <v>94</v>
      </c>
      <c r="D23" t="s">
        <v>101</v>
      </c>
      <c r="E23" t="s">
        <v>104</v>
      </c>
      <c r="F23" t="s">
        <v>107</v>
      </c>
      <c r="G23" t="s">
        <v>110</v>
      </c>
      <c r="H23" t="s">
        <v>199</v>
      </c>
      <c r="I23">
        <v>-43.1</v>
      </c>
    </row>
    <row r="24" spans="1:9" x14ac:dyDescent="0.25">
      <c r="A24" t="s">
        <v>55</v>
      </c>
      <c r="B24" t="s">
        <v>61</v>
      </c>
      <c r="C24" t="s">
        <v>97</v>
      </c>
      <c r="D24" t="s">
        <v>100</v>
      </c>
      <c r="E24" t="s">
        <v>103</v>
      </c>
      <c r="F24" t="s">
        <v>106</v>
      </c>
      <c r="G24" t="s">
        <v>113</v>
      </c>
      <c r="H24" t="s">
        <v>199</v>
      </c>
      <c r="I24">
        <v>-14.13</v>
      </c>
    </row>
    <row r="25" spans="1:9" x14ac:dyDescent="0.25">
      <c r="A25" t="s">
        <v>53</v>
      </c>
      <c r="B25" t="s">
        <v>76</v>
      </c>
      <c r="C25" t="s">
        <v>95</v>
      </c>
      <c r="D25" t="s">
        <v>101</v>
      </c>
      <c r="E25" t="s">
        <v>104</v>
      </c>
      <c r="F25" t="s">
        <v>107</v>
      </c>
      <c r="G25" t="s">
        <v>113</v>
      </c>
      <c r="H25" t="s">
        <v>199</v>
      </c>
      <c r="I25">
        <v>-40.950000000000003</v>
      </c>
    </row>
    <row r="26" spans="1:9" x14ac:dyDescent="0.25">
      <c r="A26" t="s">
        <v>44</v>
      </c>
      <c r="B26" t="s">
        <v>67</v>
      </c>
      <c r="C26" t="s">
        <v>86</v>
      </c>
      <c r="D26" t="s">
        <v>100</v>
      </c>
      <c r="E26" t="s">
        <v>103</v>
      </c>
      <c r="F26" t="s">
        <v>106</v>
      </c>
      <c r="G26" t="s">
        <v>113</v>
      </c>
      <c r="H26" t="s">
        <v>199</v>
      </c>
      <c r="I26">
        <v>-13.98</v>
      </c>
    </row>
    <row r="27" spans="1:9" x14ac:dyDescent="0.25">
      <c r="A27" t="s">
        <v>54</v>
      </c>
      <c r="B27" t="s">
        <v>75</v>
      </c>
      <c r="C27" t="s">
        <v>96</v>
      </c>
      <c r="D27" t="s">
        <v>102</v>
      </c>
      <c r="E27" t="s">
        <v>104</v>
      </c>
      <c r="F27" t="s">
        <v>107</v>
      </c>
      <c r="G27" t="s">
        <v>113</v>
      </c>
      <c r="H27" t="s">
        <v>199</v>
      </c>
      <c r="I27">
        <v>-48.39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201</v>
      </c>
      <c r="L1" s="1" t="s">
        <v>17</v>
      </c>
      <c r="M1" s="1" t="s">
        <v>18</v>
      </c>
      <c r="N1" s="1" t="s">
        <v>202</v>
      </c>
      <c r="O1" s="1" t="s">
        <v>203</v>
      </c>
      <c r="P1" s="1" t="s">
        <v>204</v>
      </c>
    </row>
    <row r="2" spans="1:16" x14ac:dyDescent="0.25">
      <c r="A2" t="s">
        <v>22</v>
      </c>
      <c r="B2" t="s">
        <v>28</v>
      </c>
      <c r="C2" t="s">
        <v>40</v>
      </c>
      <c r="D2" t="s">
        <v>63</v>
      </c>
      <c r="E2" t="s">
        <v>82</v>
      </c>
      <c r="F2" t="s">
        <v>100</v>
      </c>
      <c r="G2" t="s">
        <v>103</v>
      </c>
      <c r="H2" t="s">
        <v>106</v>
      </c>
      <c r="I2" t="s">
        <v>111</v>
      </c>
      <c r="J2" t="s">
        <v>205</v>
      </c>
      <c r="K2" t="s">
        <v>152</v>
      </c>
      <c r="L2" t="s">
        <v>174</v>
      </c>
      <c r="M2" t="s">
        <v>175</v>
      </c>
      <c r="N2" t="s">
        <v>142</v>
      </c>
      <c r="O2">
        <v>396.27</v>
      </c>
      <c r="P2" t="s">
        <v>207</v>
      </c>
    </row>
    <row r="3" spans="1:16" x14ac:dyDescent="0.25">
      <c r="A3" t="s">
        <v>22</v>
      </c>
      <c r="B3" t="s">
        <v>28</v>
      </c>
      <c r="C3" t="s">
        <v>44</v>
      </c>
      <c r="D3" t="s">
        <v>67</v>
      </c>
      <c r="E3" t="s">
        <v>86</v>
      </c>
      <c r="F3" t="s">
        <v>100</v>
      </c>
      <c r="G3" t="s">
        <v>103</v>
      </c>
      <c r="H3" t="s">
        <v>106</v>
      </c>
      <c r="I3" t="s">
        <v>113</v>
      </c>
      <c r="J3" t="s">
        <v>205</v>
      </c>
      <c r="K3" t="s">
        <v>156</v>
      </c>
      <c r="L3" t="s">
        <v>174</v>
      </c>
      <c r="M3" t="s">
        <v>175</v>
      </c>
      <c r="N3" t="s">
        <v>142</v>
      </c>
      <c r="O3">
        <v>125.82</v>
      </c>
      <c r="P3" t="s">
        <v>207</v>
      </c>
    </row>
    <row r="4" spans="1:16" x14ac:dyDescent="0.25">
      <c r="A4" t="s">
        <v>23</v>
      </c>
      <c r="B4" t="s">
        <v>29</v>
      </c>
      <c r="C4" t="s">
        <v>46</v>
      </c>
      <c r="D4" t="s">
        <v>69</v>
      </c>
      <c r="E4" t="s">
        <v>88</v>
      </c>
      <c r="F4" t="s">
        <v>102</v>
      </c>
      <c r="G4" t="s">
        <v>104</v>
      </c>
      <c r="H4" t="s">
        <v>107</v>
      </c>
      <c r="I4" t="s">
        <v>111</v>
      </c>
      <c r="J4" t="s">
        <v>205</v>
      </c>
      <c r="K4" t="s">
        <v>170</v>
      </c>
      <c r="L4" t="s">
        <v>174</v>
      </c>
      <c r="M4" t="s">
        <v>177</v>
      </c>
      <c r="N4" t="s">
        <v>206</v>
      </c>
      <c r="O4">
        <v>598.08000000000004</v>
      </c>
      <c r="P4" t="s">
        <v>207</v>
      </c>
    </row>
    <row r="5" spans="1:16" x14ac:dyDescent="0.25">
      <c r="A5" t="s">
        <v>23</v>
      </c>
      <c r="B5" t="s">
        <v>29</v>
      </c>
      <c r="C5" t="s">
        <v>45</v>
      </c>
      <c r="D5" t="s">
        <v>68</v>
      </c>
      <c r="E5" t="s">
        <v>87</v>
      </c>
      <c r="F5" t="s">
        <v>102</v>
      </c>
      <c r="G5" t="s">
        <v>104</v>
      </c>
      <c r="H5" t="s">
        <v>107</v>
      </c>
      <c r="I5" t="s">
        <v>111</v>
      </c>
      <c r="J5" t="s">
        <v>205</v>
      </c>
      <c r="K5" t="s">
        <v>169</v>
      </c>
      <c r="L5" t="s">
        <v>174</v>
      </c>
      <c r="M5" t="s">
        <v>177</v>
      </c>
      <c r="N5" t="s">
        <v>206</v>
      </c>
      <c r="O5">
        <v>634.44000000000005</v>
      </c>
      <c r="P5" t="s">
        <v>207</v>
      </c>
    </row>
    <row r="6" spans="1:16" x14ac:dyDescent="0.25">
      <c r="A6" t="s">
        <v>23</v>
      </c>
      <c r="B6" t="s">
        <v>29</v>
      </c>
      <c r="C6" t="s">
        <v>47</v>
      </c>
      <c r="D6" t="s">
        <v>70</v>
      </c>
      <c r="E6" t="s">
        <v>89</v>
      </c>
      <c r="F6" t="s">
        <v>101</v>
      </c>
      <c r="G6" t="s">
        <v>104</v>
      </c>
      <c r="H6" t="s">
        <v>107</v>
      </c>
      <c r="I6" t="s">
        <v>111</v>
      </c>
      <c r="J6" t="s">
        <v>205</v>
      </c>
      <c r="K6" t="s">
        <v>160</v>
      </c>
      <c r="L6" t="s">
        <v>174</v>
      </c>
      <c r="M6" t="s">
        <v>177</v>
      </c>
      <c r="N6" t="s">
        <v>206</v>
      </c>
      <c r="O6">
        <v>491.4</v>
      </c>
      <c r="P6" t="s">
        <v>207</v>
      </c>
    </row>
    <row r="7" spans="1:16" x14ac:dyDescent="0.25">
      <c r="A7" t="s">
        <v>23</v>
      </c>
      <c r="B7" t="s">
        <v>29</v>
      </c>
      <c r="C7" t="s">
        <v>48</v>
      </c>
      <c r="D7" t="s">
        <v>71</v>
      </c>
      <c r="E7" t="s">
        <v>90</v>
      </c>
      <c r="F7" t="s">
        <v>101</v>
      </c>
      <c r="G7" t="s">
        <v>104</v>
      </c>
      <c r="H7" t="s">
        <v>107</v>
      </c>
      <c r="I7" t="s">
        <v>112</v>
      </c>
      <c r="J7" t="s">
        <v>205</v>
      </c>
      <c r="K7" t="s">
        <v>160</v>
      </c>
      <c r="L7" t="s">
        <v>174</v>
      </c>
      <c r="M7" t="s">
        <v>177</v>
      </c>
      <c r="N7" t="s">
        <v>206</v>
      </c>
      <c r="O7">
        <v>491.4</v>
      </c>
      <c r="P7" t="s">
        <v>207</v>
      </c>
    </row>
    <row r="8" spans="1:16" x14ac:dyDescent="0.25">
      <c r="A8" t="s">
        <v>23</v>
      </c>
      <c r="B8" t="s">
        <v>29</v>
      </c>
      <c r="C8" t="s">
        <v>52</v>
      </c>
      <c r="D8" t="s">
        <v>75</v>
      </c>
      <c r="E8" t="s">
        <v>94</v>
      </c>
      <c r="F8" t="s">
        <v>101</v>
      </c>
      <c r="G8" t="s">
        <v>104</v>
      </c>
      <c r="H8" t="s">
        <v>107</v>
      </c>
      <c r="I8" t="s">
        <v>110</v>
      </c>
      <c r="J8" t="s">
        <v>205</v>
      </c>
      <c r="K8" t="s">
        <v>164</v>
      </c>
      <c r="L8" t="s">
        <v>174</v>
      </c>
      <c r="M8" t="s">
        <v>177</v>
      </c>
      <c r="N8" t="s">
        <v>206</v>
      </c>
      <c r="O8">
        <v>517.20000000000005</v>
      </c>
      <c r="P8" t="s">
        <v>207</v>
      </c>
    </row>
    <row r="9" spans="1:16" x14ac:dyDescent="0.25">
      <c r="A9" t="s">
        <v>23</v>
      </c>
      <c r="B9" t="s">
        <v>29</v>
      </c>
      <c r="C9" t="s">
        <v>51</v>
      </c>
      <c r="D9" t="s">
        <v>74</v>
      </c>
      <c r="E9" t="s">
        <v>93</v>
      </c>
      <c r="F9" t="s">
        <v>101</v>
      </c>
      <c r="G9" t="s">
        <v>104</v>
      </c>
      <c r="H9" t="s">
        <v>107</v>
      </c>
      <c r="I9" t="s">
        <v>110</v>
      </c>
      <c r="J9" t="s">
        <v>205</v>
      </c>
      <c r="K9" t="s">
        <v>163</v>
      </c>
      <c r="L9" t="s">
        <v>174</v>
      </c>
      <c r="M9" t="s">
        <v>177</v>
      </c>
      <c r="N9" t="s">
        <v>206</v>
      </c>
      <c r="O9">
        <v>420.6</v>
      </c>
      <c r="P9" t="s">
        <v>207</v>
      </c>
    </row>
    <row r="10" spans="1:16" x14ac:dyDescent="0.25">
      <c r="A10" t="s">
        <v>23</v>
      </c>
      <c r="B10" t="s">
        <v>29</v>
      </c>
      <c r="C10" t="s">
        <v>50</v>
      </c>
      <c r="D10" t="s">
        <v>73</v>
      </c>
      <c r="E10" t="s">
        <v>92</v>
      </c>
      <c r="F10" t="s">
        <v>101</v>
      </c>
      <c r="G10" t="s">
        <v>104</v>
      </c>
      <c r="H10" t="s">
        <v>107</v>
      </c>
      <c r="I10" t="s">
        <v>110</v>
      </c>
      <c r="J10" t="s">
        <v>205</v>
      </c>
      <c r="K10" t="s">
        <v>171</v>
      </c>
      <c r="L10" t="s">
        <v>174</v>
      </c>
      <c r="M10" t="s">
        <v>177</v>
      </c>
      <c r="N10" t="s">
        <v>206</v>
      </c>
      <c r="O10">
        <v>436.56</v>
      </c>
      <c r="P10" t="s">
        <v>207</v>
      </c>
    </row>
    <row r="11" spans="1:16" x14ac:dyDescent="0.25">
      <c r="A11" t="s">
        <v>23</v>
      </c>
      <c r="B11" t="s">
        <v>29</v>
      </c>
      <c r="C11" t="s">
        <v>53</v>
      </c>
      <c r="D11" t="s">
        <v>76</v>
      </c>
      <c r="E11" t="s">
        <v>95</v>
      </c>
      <c r="F11" t="s">
        <v>101</v>
      </c>
      <c r="G11" t="s">
        <v>104</v>
      </c>
      <c r="H11" t="s">
        <v>107</v>
      </c>
      <c r="I11" t="s">
        <v>113</v>
      </c>
      <c r="J11" t="s">
        <v>205</v>
      </c>
      <c r="K11" t="s">
        <v>160</v>
      </c>
      <c r="L11" t="s">
        <v>174</v>
      </c>
      <c r="M11" t="s">
        <v>177</v>
      </c>
      <c r="N11" t="s">
        <v>206</v>
      </c>
      <c r="O11">
        <v>491.4</v>
      </c>
      <c r="P11" t="s">
        <v>207</v>
      </c>
    </row>
    <row r="12" spans="1:16" x14ac:dyDescent="0.25">
      <c r="A12" t="s">
        <v>23</v>
      </c>
      <c r="B12" t="s">
        <v>29</v>
      </c>
      <c r="C12" t="s">
        <v>54</v>
      </c>
      <c r="D12" t="s">
        <v>75</v>
      </c>
      <c r="E12" t="s">
        <v>96</v>
      </c>
      <c r="F12" t="s">
        <v>102</v>
      </c>
      <c r="G12" t="s">
        <v>104</v>
      </c>
      <c r="H12" t="s">
        <v>107</v>
      </c>
      <c r="I12" t="s">
        <v>113</v>
      </c>
      <c r="J12" t="s">
        <v>205</v>
      </c>
      <c r="K12" t="s">
        <v>172</v>
      </c>
      <c r="L12" t="s">
        <v>174</v>
      </c>
      <c r="M12" t="s">
        <v>177</v>
      </c>
      <c r="N12" t="s">
        <v>206</v>
      </c>
      <c r="O12">
        <v>580.67999999999995</v>
      </c>
      <c r="P1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Year Commission</vt:lpstr>
      <vt:lpstr>Sheet1</vt:lpstr>
      <vt:lpstr>First Year Overwrites</vt:lpstr>
      <vt:lpstr>Renewal Overwrites</vt:lpstr>
      <vt:lpstr>Renewal Commission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2026-07-19T21:03:16Z</dcterms:created>
  <dcterms:modified xsi:type="dcterms:W3CDTF">2026-07-20T17:06:46Z</dcterms:modified>
</cp:coreProperties>
</file>