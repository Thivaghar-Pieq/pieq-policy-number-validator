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Physician Mutual\2026\2026-05-02\"/>
    </mc:Choice>
  </mc:AlternateContent>
  <xr:revisionPtr revIDLastSave="0" documentId="13_ncr:1_{01B43802-3B9A-499B-B613-E1454F5F9F5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T48" i="5" l="1"/>
  <c r="T12" i="5"/>
  <c r="T5" i="5"/>
  <c r="T4" i="5"/>
  <c r="T3" i="5"/>
  <c r="T2" i="5"/>
  <c r="L51" i="5"/>
  <c r="L48" i="5"/>
  <c r="L46" i="5"/>
  <c r="L34" i="5"/>
  <c r="L35" i="5"/>
  <c r="L41" i="5"/>
  <c r="L2" i="5"/>
  <c r="L54" i="5"/>
  <c r="L57" i="5"/>
  <c r="L55" i="5"/>
  <c r="L58" i="5"/>
  <c r="L61" i="5"/>
  <c r="L52" i="5"/>
  <c r="L53" i="5"/>
  <c r="L59" i="5"/>
  <c r="L60" i="5"/>
  <c r="L56" i="5"/>
  <c r="L62" i="5"/>
  <c r="L3" i="5"/>
  <c r="L24" i="5"/>
  <c r="L12" i="5"/>
  <c r="L13" i="5"/>
  <c r="L14" i="5"/>
  <c r="L15" i="5"/>
  <c r="L63" i="5"/>
  <c r="L25" i="5"/>
  <c r="L4" i="5"/>
  <c r="L16" i="5"/>
  <c r="L6" i="5"/>
  <c r="L7" i="5"/>
  <c r="L8" i="5"/>
  <c r="L9" i="5"/>
  <c r="L10" i="5"/>
  <c r="L11" i="5"/>
  <c r="L17" i="5"/>
  <c r="L49" i="5"/>
  <c r="L138" i="5"/>
  <c r="L142" i="5"/>
  <c r="L44" i="5"/>
  <c r="L50" i="5"/>
  <c r="L33" i="5"/>
  <c r="L36" i="5"/>
  <c r="L42" i="5"/>
  <c r="L37" i="5"/>
  <c r="L38" i="5"/>
  <c r="L18" i="5"/>
  <c r="L26" i="5"/>
  <c r="L27" i="5"/>
  <c r="L47" i="5"/>
  <c r="L19" i="5"/>
  <c r="L20" i="5"/>
  <c r="L28" i="5"/>
  <c r="L21" i="5"/>
  <c r="L39" i="5"/>
  <c r="L22" i="5"/>
  <c r="L45" i="5"/>
  <c r="L40" i="5"/>
  <c r="L139" i="5"/>
  <c r="L43" i="5"/>
  <c r="L29" i="5"/>
  <c r="L30" i="5"/>
  <c r="L140" i="5"/>
  <c r="L5" i="5"/>
  <c r="L31" i="5"/>
  <c r="L23" i="5"/>
  <c r="L141" i="5"/>
  <c r="L32" i="5"/>
  <c r="L97" i="5"/>
  <c r="L64" i="5"/>
  <c r="L98" i="5"/>
  <c r="L119" i="5"/>
  <c r="L99" i="5"/>
  <c r="L134" i="5"/>
  <c r="L120" i="5"/>
  <c r="L127" i="5"/>
  <c r="L86" i="5"/>
  <c r="L87" i="5"/>
  <c r="L114" i="5"/>
  <c r="L121" i="5"/>
  <c r="L122" i="5"/>
  <c r="L115" i="5"/>
  <c r="L128" i="5"/>
  <c r="L100" i="5"/>
  <c r="L116" i="5"/>
  <c r="L101" i="5"/>
  <c r="L102" i="5"/>
  <c r="L68" i="5"/>
  <c r="L88" i="5"/>
  <c r="L89" i="5"/>
  <c r="L131" i="5"/>
  <c r="L69" i="5"/>
  <c r="L103" i="5"/>
  <c r="L104" i="5"/>
  <c r="L70" i="5"/>
  <c r="L90" i="5"/>
  <c r="L83" i="5"/>
  <c r="L105" i="5"/>
  <c r="L84" i="5"/>
  <c r="L123" i="5"/>
  <c r="L106" i="5"/>
  <c r="L107" i="5"/>
  <c r="L132" i="5"/>
  <c r="L117" i="5"/>
  <c r="L91" i="5"/>
  <c r="L92" i="5"/>
  <c r="L108" i="5"/>
  <c r="L133" i="5"/>
  <c r="L65" i="5"/>
  <c r="L118" i="5"/>
  <c r="L93" i="5"/>
  <c r="L85" i="5"/>
  <c r="L109" i="5"/>
  <c r="L94" i="5"/>
  <c r="L95" i="5"/>
  <c r="L71" i="5"/>
  <c r="L72" i="5"/>
  <c r="L73" i="5"/>
  <c r="L66" i="5"/>
  <c r="L74" i="5"/>
  <c r="L110" i="5"/>
  <c r="L75" i="5"/>
  <c r="L96" i="5"/>
  <c r="L135" i="5"/>
  <c r="L67" i="5"/>
  <c r="L76" i="5"/>
  <c r="L77" i="5"/>
  <c r="L78" i="5"/>
  <c r="L79" i="5"/>
  <c r="L80" i="5"/>
  <c r="L81" i="5"/>
  <c r="L129" i="5"/>
  <c r="L111" i="5"/>
  <c r="L124" i="5"/>
  <c r="L125" i="5"/>
  <c r="L136" i="5"/>
  <c r="L112" i="5"/>
  <c r="L130" i="5"/>
  <c r="L126" i="5"/>
  <c r="L82" i="5"/>
  <c r="L113" i="5"/>
  <c r="L137" i="5"/>
  <c r="D113" i="5"/>
  <c r="D64" i="5"/>
  <c r="D98" i="5"/>
  <c r="D119" i="5"/>
  <c r="D99" i="5"/>
  <c r="D134" i="5"/>
  <c r="D120" i="5"/>
  <c r="D127" i="5"/>
  <c r="D86" i="5"/>
  <c r="D87" i="5"/>
  <c r="D114" i="5"/>
  <c r="D121" i="5"/>
  <c r="D122" i="5"/>
  <c r="D115" i="5"/>
  <c r="D128" i="5"/>
  <c r="D100" i="5"/>
  <c r="D116" i="5"/>
  <c r="D101" i="5"/>
  <c r="D102" i="5"/>
  <c r="D68" i="5"/>
  <c r="D88" i="5"/>
  <c r="D89" i="5"/>
  <c r="D131" i="5"/>
  <c r="D69" i="5"/>
  <c r="D103" i="5"/>
  <c r="D104" i="5"/>
  <c r="D70" i="5"/>
  <c r="D90" i="5"/>
  <c r="D83" i="5"/>
  <c r="D105" i="5"/>
  <c r="D84" i="5"/>
  <c r="D123" i="5"/>
  <c r="D106" i="5"/>
  <c r="D107" i="5"/>
  <c r="D132" i="5"/>
  <c r="D117" i="5"/>
  <c r="D91" i="5"/>
  <c r="D92" i="5"/>
  <c r="D108" i="5"/>
  <c r="D133" i="5"/>
  <c r="D65" i="5"/>
  <c r="D118" i="5"/>
  <c r="D93" i="5"/>
  <c r="D85" i="5"/>
  <c r="D109" i="5"/>
  <c r="D94" i="5"/>
  <c r="D95" i="5"/>
  <c r="D71" i="5"/>
  <c r="D72" i="5"/>
  <c r="D73" i="5"/>
  <c r="D66" i="5"/>
  <c r="D74" i="5"/>
  <c r="D110" i="5"/>
  <c r="D75" i="5"/>
  <c r="D96" i="5"/>
  <c r="D135" i="5"/>
  <c r="D67" i="5"/>
  <c r="D76" i="5"/>
  <c r="D77" i="5"/>
  <c r="D78" i="5"/>
  <c r="D79" i="5"/>
  <c r="D80" i="5"/>
  <c r="D81" i="5"/>
  <c r="D129" i="5"/>
  <c r="D111" i="5"/>
  <c r="D124" i="5"/>
  <c r="D125" i="5"/>
  <c r="D136" i="5"/>
  <c r="D112" i="5"/>
  <c r="D130" i="5"/>
  <c r="D126" i="5"/>
  <c r="D82" i="5"/>
  <c r="D97" i="5"/>
</calcChain>
</file>

<file path=xl/sharedStrings.xml><?xml version="1.0" encoding="utf-8"?>
<sst xmlns="http://schemas.openxmlformats.org/spreadsheetml/2006/main" count="5223" uniqueCount="494">
  <si>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</si>
  <si>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</si>
  <si>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</si>
  <si>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</si>
  <si>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</si>
  <si>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</si>
  <si>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</si>
  <si>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</si>
  <si>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</si>
  <si>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</si>
  <si>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</si>
  <si>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</si>
  <si>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</si>
  <si>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</si>
  <si>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</si>
  <si>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</si>
  <si>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</si>
  <si>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</si>
  <si>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</si>
  <si>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</si>
  <si>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</si>
  <si>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</si>
  <si>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Brandt Steven K</t>
  </si>
  <si>
    <t xml:space="preserve">Sherman Matthew </t>
  </si>
  <si>
    <t>Green Danna null</t>
  </si>
  <si>
    <t xml:space="preserve">Berthelsen Heidi </t>
  </si>
  <si>
    <t>Inskipt Deborah null</t>
  </si>
  <si>
    <t xml:space="preserve">Kozacheck Anne Marie </t>
  </si>
  <si>
    <t>Kucan Thomas null</t>
  </si>
  <si>
    <t>Petrungaro Andrea null</t>
  </si>
  <si>
    <t>Schumann Barry null</t>
  </si>
  <si>
    <t xml:space="preserve">Dunavant Michael </t>
  </si>
  <si>
    <t>Hoffmann Jason null</t>
  </si>
  <si>
    <t>18710070</t>
  </si>
  <si>
    <t>19491313</t>
  </si>
  <si>
    <t>8812322</t>
  </si>
  <si>
    <t>16849453</t>
  </si>
  <si>
    <t>19617796</t>
  </si>
  <si>
    <t>17528908</t>
  </si>
  <si>
    <t>19278370</t>
  </si>
  <si>
    <t>16202925</t>
  </si>
  <si>
    <t>16912722</t>
  </si>
  <si>
    <t>19586992</t>
  </si>
  <si>
    <t>18828278</t>
  </si>
  <si>
    <t>15278437</t>
  </si>
  <si>
    <t>H711086900</t>
  </si>
  <si>
    <t>H750103734</t>
  </si>
  <si>
    <t>H750083231</t>
  </si>
  <si>
    <t>H750083517</t>
  </si>
  <si>
    <t>H750082805</t>
  </si>
  <si>
    <t>H750068245</t>
  </si>
  <si>
    <t>H750073175</t>
  </si>
  <si>
    <t>H750075381</t>
  </si>
  <si>
    <t>H750095804</t>
  </si>
  <si>
    <t>H750081328</t>
  </si>
  <si>
    <t>H750083520</t>
  </si>
  <si>
    <t>H750079901</t>
  </si>
  <si>
    <t>H750087378</t>
  </si>
  <si>
    <t>H750072498</t>
  </si>
  <si>
    <t>H711079647</t>
  </si>
  <si>
    <t>H711064367</t>
  </si>
  <si>
    <t>H711075141</t>
  </si>
  <si>
    <t>H711073391</t>
  </si>
  <si>
    <t>H711132467</t>
  </si>
  <si>
    <t>H711101209</t>
  </si>
  <si>
    <t>H711094874</t>
  </si>
  <si>
    <t>H711037504</t>
  </si>
  <si>
    <t>H711124408</t>
  </si>
  <si>
    <t>H750088412</t>
  </si>
  <si>
    <t>H750088408</t>
  </si>
  <si>
    <t>H711114255</t>
  </si>
  <si>
    <t>H711104082</t>
  </si>
  <si>
    <t>H711115473</t>
  </si>
  <si>
    <t>H711070502</t>
  </si>
  <si>
    <t>H711117482</t>
  </si>
  <si>
    <t>H711067280</t>
  </si>
  <si>
    <t>H711074532</t>
  </si>
  <si>
    <t>H711080848</t>
  </si>
  <si>
    <t>H750073872</t>
  </si>
  <si>
    <t>H711067996</t>
  </si>
  <si>
    <t>H711096465</t>
  </si>
  <si>
    <t>H711101358</t>
  </si>
  <si>
    <t>H711086159</t>
  </si>
  <si>
    <t>H750073946</t>
  </si>
  <si>
    <t>H711148576</t>
  </si>
  <si>
    <t>H750086700</t>
  </si>
  <si>
    <t>H711096008</t>
  </si>
  <si>
    <t>H711106761</t>
  </si>
  <si>
    <t>H711083511</t>
  </si>
  <si>
    <t>H711102067</t>
  </si>
  <si>
    <t>H750095201</t>
  </si>
  <si>
    <t>H750101214</t>
  </si>
  <si>
    <t>H750101234</t>
  </si>
  <si>
    <t>H750101210</t>
  </si>
  <si>
    <t>H750103921</t>
  </si>
  <si>
    <t>H750099200</t>
  </si>
  <si>
    <t>H750091114</t>
  </si>
  <si>
    <t>H711133668</t>
  </si>
  <si>
    <t>H750095010</t>
  </si>
  <si>
    <t>H711020958</t>
  </si>
  <si>
    <t>H750103995</t>
  </si>
  <si>
    <t>H750098156</t>
  </si>
  <si>
    <t>H711130308</t>
  </si>
  <si>
    <t>H711131138</t>
  </si>
  <si>
    <t>H711131159</t>
  </si>
  <si>
    <t>H711131014</t>
  </si>
  <si>
    <t>H711131191</t>
  </si>
  <si>
    <t>H711045193</t>
  </si>
  <si>
    <t>H711053915</t>
  </si>
  <si>
    <t>H711051038</t>
  </si>
  <si>
    <t>H711056072</t>
  </si>
  <si>
    <t>H711025485</t>
  </si>
  <si>
    <t>H711054000</t>
  </si>
  <si>
    <t>H750076900</t>
  </si>
  <si>
    <t>H750075298</t>
  </si>
  <si>
    <t>H711134623</t>
  </si>
  <si>
    <t>H750093974</t>
  </si>
  <si>
    <t>Michael</t>
  </si>
  <si>
    <t>Richard</t>
  </si>
  <si>
    <t>Michelle</t>
  </si>
  <si>
    <t>Alan</t>
  </si>
  <si>
    <t>Minnie</t>
  </si>
  <si>
    <t>Ralph</t>
  </si>
  <si>
    <t>Lori</t>
  </si>
  <si>
    <t>Ray</t>
  </si>
  <si>
    <t>Kimberly</t>
  </si>
  <si>
    <t>Mary Ann</t>
  </si>
  <si>
    <t>Paula</t>
  </si>
  <si>
    <t>Cheryl</t>
  </si>
  <si>
    <t>Charles</t>
  </si>
  <si>
    <t>Jacquelyn</t>
  </si>
  <si>
    <t>Laura</t>
  </si>
  <si>
    <t>Kalin</t>
  </si>
  <si>
    <t>Aaron</t>
  </si>
  <si>
    <t>Jennifer</t>
  </si>
  <si>
    <t>Zachariah</t>
  </si>
  <si>
    <t>Nathan</t>
  </si>
  <si>
    <t>Edward</t>
  </si>
  <si>
    <t>Maria</t>
  </si>
  <si>
    <t>Peggy</t>
  </si>
  <si>
    <t>Joshua</t>
  </si>
  <si>
    <t>Daniel</t>
  </si>
  <si>
    <t>Trina</t>
  </si>
  <si>
    <t>Patricia</t>
  </si>
  <si>
    <t>Grant</t>
  </si>
  <si>
    <t>Hannah</t>
  </si>
  <si>
    <t>Misty</t>
  </si>
  <si>
    <t>Carrie</t>
  </si>
  <si>
    <t>Ted</t>
  </si>
  <si>
    <t>Donald</t>
  </si>
  <si>
    <t>Harlin</t>
  </si>
  <si>
    <t>Marc</t>
  </si>
  <si>
    <t>Jo</t>
  </si>
  <si>
    <t>Scott</t>
  </si>
  <si>
    <t>Brandon</t>
  </si>
  <si>
    <t>Delbert</t>
  </si>
  <si>
    <t>John</t>
  </si>
  <si>
    <t>Carla</t>
  </si>
  <si>
    <t>Catherine</t>
  </si>
  <si>
    <t>Thomas</t>
  </si>
  <si>
    <t>Roger</t>
  </si>
  <si>
    <t>Roxanne</t>
  </si>
  <si>
    <t>Gerrod</t>
  </si>
  <si>
    <t>Jacob</t>
  </si>
  <si>
    <t>Carolyn</t>
  </si>
  <si>
    <t>Karen</t>
  </si>
  <si>
    <t>David</t>
  </si>
  <si>
    <t>Ronald</t>
  </si>
  <si>
    <t>Melissa</t>
  </si>
  <si>
    <t>Kyle</t>
  </si>
  <si>
    <t>Michele</t>
  </si>
  <si>
    <t>Tina</t>
  </si>
  <si>
    <t>Kenneth</t>
  </si>
  <si>
    <t>Jo Anne</t>
  </si>
  <si>
    <t>Sandra</t>
  </si>
  <si>
    <t>Shaista</t>
  </si>
  <si>
    <t>Shirley</t>
  </si>
  <si>
    <t>Anna</t>
  </si>
  <si>
    <t>Zaharoula</t>
  </si>
  <si>
    <t>Jacqueline</t>
  </si>
  <si>
    <t>Janis</t>
  </si>
  <si>
    <t>Janice</t>
  </si>
  <si>
    <t>Davis</t>
  </si>
  <si>
    <t>Binkley</t>
  </si>
  <si>
    <t>Zahler</t>
  </si>
  <si>
    <t>Kercher</t>
  </si>
  <si>
    <t>Vargo</t>
  </si>
  <si>
    <t>Gropper</t>
  </si>
  <si>
    <t>Friend</t>
  </si>
  <si>
    <t>Askin</t>
  </si>
  <si>
    <t>Shonebarger</t>
  </si>
  <si>
    <t>Benik</t>
  </si>
  <si>
    <t>Sandridge</t>
  </si>
  <si>
    <t>Barrett</t>
  </si>
  <si>
    <t>Alvis</t>
  </si>
  <si>
    <t>Crabtree</t>
  </si>
  <si>
    <t>Kocher</t>
  </si>
  <si>
    <t>Kincaid</t>
  </si>
  <si>
    <t>Biddle</t>
  </si>
  <si>
    <t>Heath</t>
  </si>
  <si>
    <t>Lake</t>
  </si>
  <si>
    <t>Smith</t>
  </si>
  <si>
    <t>Kunkel</t>
  </si>
  <si>
    <t>Medina</t>
  </si>
  <si>
    <t>Bailey</t>
  </si>
  <si>
    <t>Snearley</t>
  </si>
  <si>
    <t>Meyers</t>
  </si>
  <si>
    <t>Kovach</t>
  </si>
  <si>
    <t>Hildenbrand</t>
  </si>
  <si>
    <t>Gordon</t>
  </si>
  <si>
    <t>Buckley</t>
  </si>
  <si>
    <t>Hegstrom</t>
  </si>
  <si>
    <t>Minton</t>
  </si>
  <si>
    <t>Hill</t>
  </si>
  <si>
    <t>Newberry</t>
  </si>
  <si>
    <t>Serres</t>
  </si>
  <si>
    <t>Morris</t>
  </si>
  <si>
    <t>Henkel</t>
  </si>
  <si>
    <t>Wells</t>
  </si>
  <si>
    <t>Tobias</t>
  </si>
  <si>
    <t>Tappendorf</t>
  </si>
  <si>
    <t>Kiefner</t>
  </si>
  <si>
    <t>Greene</t>
  </si>
  <si>
    <t>Wimberly</t>
  </si>
  <si>
    <t>Johns</t>
  </si>
  <si>
    <t>Bechman</t>
  </si>
  <si>
    <t>Polesel</t>
  </si>
  <si>
    <t>Prince</t>
  </si>
  <si>
    <t>Jackson</t>
  </si>
  <si>
    <t>Lambrecht</t>
  </si>
  <si>
    <t>Cochenour</t>
  </si>
  <si>
    <t>Zhiss</t>
  </si>
  <si>
    <t>Duke</t>
  </si>
  <si>
    <t>Montgomery</t>
  </si>
  <si>
    <t>Battershell</t>
  </si>
  <si>
    <t>Fountain</t>
  </si>
  <si>
    <t>Kennedy</t>
  </si>
  <si>
    <t>Deegan</t>
  </si>
  <si>
    <t>Kirsch</t>
  </si>
  <si>
    <t>Maniecki</t>
  </si>
  <si>
    <t>Kelly</t>
  </si>
  <si>
    <t>Pelzsharpe</t>
  </si>
  <si>
    <t>Ali</t>
  </si>
  <si>
    <t>Perry</t>
  </si>
  <si>
    <t>Biebl</t>
  </si>
  <si>
    <t>Diamantakos</t>
  </si>
  <si>
    <t>Green</t>
  </si>
  <si>
    <t>Bohannon</t>
  </si>
  <si>
    <t>Gilbert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</si>
  <si>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</si>
  <si>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</si>
  <si>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</si>
  <si>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</si>
  <si>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</si>
  <si>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</si>
  <si>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</si>
  <si>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</si>
  <si>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</si>
  <si>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IN</t>
  </si>
  <si>
    <t>TN</t>
  </si>
  <si>
    <t>NE</t>
  </si>
  <si>
    <t>SD</t>
  </si>
  <si>
    <t>MD</t>
  </si>
  <si>
    <t>2026-05-01</t>
  </si>
  <si>
    <t>2026-04-27</t>
  </si>
  <si>
    <t>2026-04-28</t>
  </si>
  <si>
    <t>2026-06-01</t>
  </si>
  <si>
    <t>2026-07-01</t>
  </si>
  <si>
    <t>2026-06-05</t>
  </si>
  <si>
    <t>2026-06-15</t>
  </si>
  <si>
    <t>2026-05-28</t>
  </si>
  <si>
    <t>2026-06-03</t>
  </si>
  <si>
    <t>56</t>
  </si>
  <si>
    <t>65</t>
  </si>
  <si>
    <t>66</t>
  </si>
  <si>
    <t>86</t>
  </si>
  <si>
    <t>63</t>
  </si>
  <si>
    <t>51</t>
  </si>
  <si>
    <t>53</t>
  </si>
  <si>
    <t>57</t>
  </si>
  <si>
    <t>29</t>
  </si>
  <si>
    <t>62</t>
  </si>
  <si>
    <t>64</t>
  </si>
  <si>
    <t>78</t>
  </si>
  <si>
    <t>73</t>
  </si>
  <si>
    <t>54</t>
  </si>
  <si>
    <t>33</t>
  </si>
  <si>
    <t>58</t>
  </si>
  <si>
    <t>31</t>
  </si>
  <si>
    <t>26</t>
  </si>
  <si>
    <t>70</t>
  </si>
  <si>
    <t>49</t>
  </si>
  <si>
    <t>60</t>
  </si>
  <si>
    <t>71</t>
  </si>
  <si>
    <t>50</t>
  </si>
  <si>
    <t>27</t>
  </si>
  <si>
    <t>69</t>
  </si>
  <si>
    <t>72</t>
  </si>
  <si>
    <t>75</t>
  </si>
  <si>
    <t>81</t>
  </si>
  <si>
    <t>34</t>
  </si>
  <si>
    <t>43</t>
  </si>
  <si>
    <t>48</t>
  </si>
  <si>
    <t>55</t>
  </si>
  <si>
    <t>67</t>
  </si>
  <si>
    <t>79</t>
  </si>
  <si>
    <t>68</t>
  </si>
  <si>
    <t>MONTHLY</t>
  </si>
  <si>
    <t>RCVP</t>
  </si>
  <si>
    <t>RCVP-R</t>
  </si>
  <si>
    <t>5</t>
  </si>
  <si>
    <t>1</t>
  </si>
  <si>
    <t>7</t>
  </si>
  <si>
    <t>10</t>
  </si>
  <si>
    <t>8</t>
  </si>
  <si>
    <t>4</t>
  </si>
  <si>
    <t>3</t>
  </si>
  <si>
    <t>6</t>
  </si>
  <si>
    <t>2</t>
  </si>
  <si>
    <t>9</t>
  </si>
  <si>
    <t>56.50</t>
  </si>
  <si>
    <t>143.78</t>
  </si>
  <si>
    <t>130.09</t>
  </si>
  <si>
    <t>136.22</t>
  </si>
  <si>
    <t>354.28</t>
  </si>
  <si>
    <t>135.09</t>
  </si>
  <si>
    <t>117.08</t>
  </si>
  <si>
    <t>123.24</t>
  </si>
  <si>
    <t>127.65</t>
  </si>
  <si>
    <t>206.15</t>
  </si>
  <si>
    <t>55.90</t>
  </si>
  <si>
    <t>65.45</t>
  </si>
  <si>
    <t>242.94</t>
  </si>
  <si>
    <t>189.62</t>
  </si>
  <si>
    <t>182.62</t>
  </si>
  <si>
    <t>113.00</t>
  </si>
  <si>
    <t>130.65</t>
  </si>
  <si>
    <t>214.76</t>
  </si>
  <si>
    <t>64.98</t>
  </si>
  <si>
    <t>120.21</t>
  </si>
  <si>
    <t>238.23</t>
  </si>
  <si>
    <t>172.69</t>
  </si>
  <si>
    <t>188.70</t>
  </si>
  <si>
    <t>190.86</t>
  </si>
  <si>
    <t>176.65</t>
  </si>
  <si>
    <t>151.07</t>
  </si>
  <si>
    <t>333.95</t>
  </si>
  <si>
    <t>160.60</t>
  </si>
  <si>
    <t>166.99</t>
  </si>
  <si>
    <t>176.52</t>
  </si>
  <si>
    <t>176.10</t>
  </si>
  <si>
    <t>179.10</t>
  </si>
  <si>
    <t>110.20</t>
  </si>
  <si>
    <t>47.70</t>
  </si>
  <si>
    <t>215.68</t>
  </si>
  <si>
    <t>142.36</t>
  </si>
  <si>
    <t>59.50</t>
  </si>
  <si>
    <t>252.00</t>
  </si>
  <si>
    <t>0.00</t>
  </si>
  <si>
    <t>243.62</t>
  </si>
  <si>
    <t>104.82</t>
  </si>
  <si>
    <t>115.86</t>
  </si>
  <si>
    <t>149.69</t>
  </si>
  <si>
    <t>170.91</t>
  </si>
  <si>
    <t>173.60</t>
  </si>
  <si>
    <t>116.70</t>
  </si>
  <si>
    <t>215.71</t>
  </si>
  <si>
    <t>100.00000</t>
  </si>
  <si>
    <t>0.00%</t>
  </si>
  <si>
    <t>21.00%</t>
  </si>
  <si>
    <t>2.00%</t>
  </si>
  <si>
    <t>1.00%</t>
  </si>
  <si>
    <t>25.00%</t>
  </si>
  <si>
    <t>20.80%</t>
  </si>
  <si>
    <t>23.20%</t>
  </si>
  <si>
    <t>N</t>
  </si>
  <si>
    <t>Y</t>
  </si>
  <si>
    <t>9.50%</t>
  </si>
  <si>
    <t>2.80%</t>
  </si>
  <si>
    <t>3.90%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</si>
  <si>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</si>
  <si>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</si>
  <si>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</si>
  <si>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</si>
  <si>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</si>
  <si>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</si>
  <si>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</si>
  <si>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</si>
  <si>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</si>
  <si>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</si>
  <si>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Main Line Benefits</t>
  </si>
  <si>
    <t>Green Danna</t>
  </si>
  <si>
    <t>Inskipt Deborah</t>
  </si>
  <si>
    <t>Kucan Thomas</t>
  </si>
  <si>
    <t>Petrungaro Andrea</t>
  </si>
  <si>
    <t>Hoffmann Jason</t>
  </si>
  <si>
    <t>Standard Dental</t>
  </si>
  <si>
    <t>Open Enrollment - States Where Available</t>
  </si>
  <si>
    <t>All Other Guarantee Issue, Underage, &amp; Issue Age 80+</t>
  </si>
  <si>
    <t>Promise Gaurantee (1)</t>
  </si>
  <si>
    <t>Open Enrollment underwritten IL</t>
  </si>
  <si>
    <t>Physician Mutual Medsupp IN</t>
  </si>
  <si>
    <t>All Other Guarantee Issue, Underage, &amp; Issue Age 80+ 1%</t>
  </si>
  <si>
    <t>Physician Mutual OVR</t>
  </si>
  <si>
    <t>19617796AV9</t>
  </si>
  <si>
    <t>19491313AV9</t>
  </si>
  <si>
    <t>18828278AV9</t>
  </si>
  <si>
    <t>16849453LAV9</t>
  </si>
  <si>
    <t>16849453L5</t>
  </si>
  <si>
    <t>17528908N</t>
  </si>
  <si>
    <t>19278370old</t>
  </si>
  <si>
    <t>16202925AV9</t>
  </si>
  <si>
    <t>16912722AV9</t>
  </si>
  <si>
    <t>8812322AV9L3</t>
  </si>
  <si>
    <t>8812322AV9</t>
  </si>
  <si>
    <t>8812322L3</t>
  </si>
  <si>
    <t>16849453AV9</t>
  </si>
  <si>
    <t>NB</t>
  </si>
  <si>
    <t>AV</t>
  </si>
  <si>
    <t>RN</t>
  </si>
  <si>
    <t>AE</t>
  </si>
  <si>
    <t>AV1</t>
  </si>
  <si>
    <t>Richard Binkley</t>
  </si>
  <si>
    <t>Roger Prince</t>
  </si>
  <si>
    <t>David Montgomery</t>
  </si>
  <si>
    <t>Marc Wells</t>
  </si>
  <si>
    <t>Melissa Battershell</t>
  </si>
  <si>
    <t>Kyle Fountain</t>
  </si>
  <si>
    <t>Michele Kennedy</t>
  </si>
  <si>
    <t>Michael Deegan</t>
  </si>
  <si>
    <t>Tina Kirsch</t>
  </si>
  <si>
    <t>Janis Bohannon</t>
  </si>
  <si>
    <t>Carla Bechman</t>
  </si>
  <si>
    <t>Catherine Polesel</t>
  </si>
  <si>
    <t>Thomas Bechman</t>
  </si>
  <si>
    <t>Roxanne Jackson</t>
  </si>
  <si>
    <t>Ronald Zhiss</t>
  </si>
  <si>
    <t>Jacob Cochenour</t>
  </si>
  <si>
    <t>Zachariah Heath</t>
  </si>
  <si>
    <t>Maria Medina</t>
  </si>
  <si>
    <t>Lori Snearley</t>
  </si>
  <si>
    <t>Michael Kovach</t>
  </si>
  <si>
    <t>Trina Gordon</t>
  </si>
  <si>
    <t>Scott Kiefner</t>
  </si>
  <si>
    <t>John Johns</t>
  </si>
  <si>
    <t>Carolyn Zhiss</t>
  </si>
  <si>
    <t>Nathan Lake</t>
  </si>
  <si>
    <t>Cheryl Smith</t>
  </si>
  <si>
    <t>Joshua Meyers</t>
  </si>
  <si>
    <t>Carrie Serres</t>
  </si>
  <si>
    <t>Ted Morris</t>
  </si>
  <si>
    <t>Jo Tappendorf</t>
  </si>
  <si>
    <t>Delbert Wimberly</t>
  </si>
  <si>
    <t>Anna Biebl</t>
  </si>
  <si>
    <t>Michael Bailey</t>
  </si>
  <si>
    <t>Peggy Bailey</t>
  </si>
  <si>
    <t>Laura Crabtree</t>
  </si>
  <si>
    <t>Aaron Kincaid</t>
  </si>
  <si>
    <t>Jennifer Biddle</t>
  </si>
  <si>
    <t>Daniel Hildenbrand</t>
  </si>
  <si>
    <t>Grant Hegstrom</t>
  </si>
  <si>
    <t>Jennifer Tobias</t>
  </si>
  <si>
    <t>Kalin Kocher</t>
  </si>
  <si>
    <t>Misty Newberry</t>
  </si>
  <si>
    <t>Shaista Ali</t>
  </si>
  <si>
    <t>Patricia Buckley</t>
  </si>
  <si>
    <t>Zaharoula Diamantakos</t>
  </si>
  <si>
    <t>Edward Kunkel</t>
  </si>
  <si>
    <t>Ralph H Gropper</t>
  </si>
  <si>
    <t>Karen Duke</t>
  </si>
  <si>
    <t>Shirley Perry</t>
  </si>
  <si>
    <t>Janice Gilbert</t>
  </si>
  <si>
    <t>Kimberly Shonebarger</t>
  </si>
  <si>
    <t>Michelle L Zahler</t>
  </si>
  <si>
    <t>Minnie Vargo</t>
  </si>
  <si>
    <t>Charles E Barrett</t>
  </si>
  <si>
    <t>Alan J Kercher</t>
  </si>
  <si>
    <t>Lori H Friend</t>
  </si>
  <si>
    <t>Paula T Kercher</t>
  </si>
  <si>
    <t>Cheryl J Sandridge</t>
  </si>
  <si>
    <t>Ray Askin</t>
  </si>
  <si>
    <t>Jacquelyn S Alvis</t>
  </si>
  <si>
    <t>Gerrod Lambrecht</t>
  </si>
  <si>
    <t>Michael W Davis</t>
  </si>
  <si>
    <t>Hannah Minton</t>
  </si>
  <si>
    <t>Donald Henkel</t>
  </si>
  <si>
    <t>Brandon Greene</t>
  </si>
  <si>
    <t>Jo Anne Kelly</t>
  </si>
  <si>
    <t>Mary Ann Benik</t>
  </si>
  <si>
    <t>Sandra Pelzsharpe</t>
  </si>
  <si>
    <t>Jacqueline D Green</t>
  </si>
  <si>
    <t>Kenneth S Maniecki</t>
  </si>
  <si>
    <t>Laura Hill</t>
  </si>
  <si>
    <t>Tom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</si>
</sst>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NumberFormat="1" applyFill="1"/>
    <xf numFmtId="10" fontId="0" fillId="2" borderId="0" xfId="0" applyNumberFormat="1" applyFill="1"/>
    <xf numFmtId="0" fontId="0" fillId="2" borderId="0" xfId="0" applyFill="1" applyAlignment="1">
      <alignment horizontal="left"/>
    </xf>
    <xf numFmtId="0" fontId="1" fillId="0" borderId="1" xfId="0" applyNumberFormat="1" applyFont="1" applyBorder="1" applyAlignment="1">
      <alignment horizontal="center" vertical="top"/>
    </xf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10" fontId="0" fillId="3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opLeftCell="A49" workbookViewId="0">
      <selection activeCell="C74" sqref="C74"/>
    </sheetView>
  </sheetViews>
  <sheetFormatPr defaultColWidth="9.28515625"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33</v>
      </c>
      <c r="C2" t="s">
        <v>45</v>
      </c>
      <c r="D2" t="s">
        <v>117</v>
      </c>
      <c r="E2" t="s">
        <v>182</v>
      </c>
      <c r="F2" t="s">
        <v>249</v>
      </c>
      <c r="G2" t="s">
        <v>253</v>
      </c>
      <c r="H2" t="s">
        <v>255</v>
      </c>
      <c r="I2" t="s">
        <v>263</v>
      </c>
      <c r="J2" t="s">
        <v>266</v>
      </c>
      <c r="K2" t="s">
        <v>272</v>
      </c>
      <c r="L2" t="s">
        <v>307</v>
      </c>
      <c r="M2" t="s">
        <v>308</v>
      </c>
      <c r="N2" t="s">
        <v>310</v>
      </c>
      <c r="O2" t="s">
        <v>320</v>
      </c>
      <c r="P2" t="s">
        <v>358</v>
      </c>
      <c r="Q2" t="s">
        <v>320</v>
      </c>
      <c r="R2" t="s">
        <v>367</v>
      </c>
      <c r="S2" t="s">
        <v>368</v>
      </c>
      <c r="T2">
        <v>0</v>
      </c>
      <c r="U2" t="s">
        <v>375</v>
      </c>
    </row>
    <row r="3" spans="1:21" x14ac:dyDescent="0.25">
      <c r="A3" t="s">
        <v>22</v>
      </c>
      <c r="B3" t="s">
        <v>34</v>
      </c>
      <c r="C3" t="s">
        <v>46</v>
      </c>
      <c r="D3" t="s">
        <v>118</v>
      </c>
      <c r="E3" t="s">
        <v>183</v>
      </c>
      <c r="F3" t="s">
        <v>250</v>
      </c>
      <c r="G3" t="s">
        <v>254</v>
      </c>
      <c r="H3" t="s">
        <v>256</v>
      </c>
      <c r="I3" t="s">
        <v>264</v>
      </c>
      <c r="J3" t="s">
        <v>267</v>
      </c>
      <c r="K3" t="s">
        <v>273</v>
      </c>
      <c r="L3" t="s">
        <v>307</v>
      </c>
      <c r="M3" t="s">
        <v>308</v>
      </c>
      <c r="N3" t="s">
        <v>311</v>
      </c>
      <c r="O3" t="s">
        <v>321</v>
      </c>
      <c r="P3" t="s">
        <v>358</v>
      </c>
      <c r="Q3" t="s">
        <v>321</v>
      </c>
      <c r="R3" t="s">
        <v>367</v>
      </c>
      <c r="S3" t="s">
        <v>369</v>
      </c>
      <c r="T3">
        <v>30.19</v>
      </c>
      <c r="U3" t="s">
        <v>376</v>
      </c>
    </row>
    <row r="4" spans="1:21" x14ac:dyDescent="0.25">
      <c r="A4" t="s">
        <v>22</v>
      </c>
      <c r="B4" t="s">
        <v>34</v>
      </c>
      <c r="C4" t="s">
        <v>47</v>
      </c>
      <c r="D4" t="s">
        <v>119</v>
      </c>
      <c r="E4" t="s">
        <v>184</v>
      </c>
      <c r="F4" t="s">
        <v>250</v>
      </c>
      <c r="G4" t="s">
        <v>254</v>
      </c>
      <c r="H4" t="s">
        <v>256</v>
      </c>
      <c r="I4" t="s">
        <v>263</v>
      </c>
      <c r="J4" t="s">
        <v>266</v>
      </c>
      <c r="K4" t="s">
        <v>273</v>
      </c>
      <c r="L4" t="s">
        <v>307</v>
      </c>
      <c r="M4" t="s">
        <v>308</v>
      </c>
      <c r="N4" t="s">
        <v>310</v>
      </c>
      <c r="O4" t="s">
        <v>322</v>
      </c>
      <c r="P4" t="s">
        <v>358</v>
      </c>
      <c r="Q4" t="s">
        <v>322</v>
      </c>
      <c r="R4" t="s">
        <v>367</v>
      </c>
      <c r="S4" t="s">
        <v>369</v>
      </c>
      <c r="T4">
        <v>27.32</v>
      </c>
      <c r="U4" t="s">
        <v>376</v>
      </c>
    </row>
    <row r="5" spans="1:21" x14ac:dyDescent="0.25">
      <c r="A5" t="s">
        <v>22</v>
      </c>
      <c r="B5" t="s">
        <v>34</v>
      </c>
      <c r="C5" t="s">
        <v>48</v>
      </c>
      <c r="D5" t="s">
        <v>120</v>
      </c>
      <c r="E5" t="s">
        <v>185</v>
      </c>
      <c r="F5" t="s">
        <v>250</v>
      </c>
      <c r="G5" t="s">
        <v>254</v>
      </c>
      <c r="H5" t="s">
        <v>256</v>
      </c>
      <c r="I5" t="s">
        <v>263</v>
      </c>
      <c r="J5" t="s">
        <v>266</v>
      </c>
      <c r="K5" t="s">
        <v>273</v>
      </c>
      <c r="L5" t="s">
        <v>307</v>
      </c>
      <c r="M5" t="s">
        <v>308</v>
      </c>
      <c r="N5" t="s">
        <v>312</v>
      </c>
      <c r="O5" t="s">
        <v>323</v>
      </c>
      <c r="P5" t="s">
        <v>358</v>
      </c>
      <c r="Q5" t="s">
        <v>323</v>
      </c>
      <c r="R5" t="s">
        <v>367</v>
      </c>
      <c r="S5" t="s">
        <v>369</v>
      </c>
      <c r="T5">
        <v>28.61</v>
      </c>
      <c r="U5" t="s">
        <v>376</v>
      </c>
    </row>
    <row r="6" spans="1:21" x14ac:dyDescent="0.25">
      <c r="A6" t="s">
        <v>22</v>
      </c>
      <c r="B6" t="s">
        <v>34</v>
      </c>
      <c r="C6" t="s">
        <v>49</v>
      </c>
      <c r="D6" t="s">
        <v>121</v>
      </c>
      <c r="E6" t="s">
        <v>186</v>
      </c>
      <c r="F6" t="s">
        <v>250</v>
      </c>
      <c r="G6" t="s">
        <v>254</v>
      </c>
      <c r="H6" t="s">
        <v>256</v>
      </c>
      <c r="I6" t="s">
        <v>263</v>
      </c>
      <c r="J6" t="s">
        <v>266</v>
      </c>
      <c r="K6" t="s">
        <v>274</v>
      </c>
      <c r="L6" t="s">
        <v>307</v>
      </c>
      <c r="M6" t="s">
        <v>309</v>
      </c>
      <c r="N6" t="s">
        <v>310</v>
      </c>
      <c r="O6" t="s">
        <v>322</v>
      </c>
      <c r="P6" t="s">
        <v>358</v>
      </c>
      <c r="Q6" t="s">
        <v>322</v>
      </c>
      <c r="R6" t="s">
        <v>367</v>
      </c>
      <c r="S6" t="s">
        <v>369</v>
      </c>
      <c r="T6">
        <v>27.32</v>
      </c>
      <c r="U6" t="s">
        <v>376</v>
      </c>
    </row>
    <row r="7" spans="1:21" x14ac:dyDescent="0.25">
      <c r="A7" t="s">
        <v>22</v>
      </c>
      <c r="B7" t="s">
        <v>34</v>
      </c>
      <c r="C7" t="s">
        <v>50</v>
      </c>
      <c r="D7" t="s">
        <v>122</v>
      </c>
      <c r="E7" t="s">
        <v>187</v>
      </c>
      <c r="F7" t="s">
        <v>251</v>
      </c>
      <c r="G7" t="s">
        <v>254</v>
      </c>
      <c r="H7" t="s">
        <v>256</v>
      </c>
      <c r="I7" t="s">
        <v>263</v>
      </c>
      <c r="J7" t="s">
        <v>266</v>
      </c>
      <c r="K7" t="s">
        <v>275</v>
      </c>
      <c r="L7" t="s">
        <v>307</v>
      </c>
      <c r="M7" t="s">
        <v>309</v>
      </c>
      <c r="N7" t="s">
        <v>313</v>
      </c>
      <c r="O7" t="s">
        <v>324</v>
      </c>
      <c r="P7" t="s">
        <v>358</v>
      </c>
      <c r="Q7" t="s">
        <v>359</v>
      </c>
      <c r="R7" t="s">
        <v>367</v>
      </c>
      <c r="S7" t="s">
        <v>370</v>
      </c>
      <c r="T7">
        <v>4.87</v>
      </c>
      <c r="U7" t="s">
        <v>375</v>
      </c>
    </row>
    <row r="8" spans="1:21" x14ac:dyDescent="0.25">
      <c r="A8" t="s">
        <v>22</v>
      </c>
      <c r="B8" t="s">
        <v>34</v>
      </c>
      <c r="C8" t="s">
        <v>51</v>
      </c>
      <c r="D8" t="s">
        <v>123</v>
      </c>
      <c r="E8" t="s">
        <v>188</v>
      </c>
      <c r="F8" t="s">
        <v>250</v>
      </c>
      <c r="G8" t="s">
        <v>254</v>
      </c>
      <c r="H8" t="s">
        <v>256</v>
      </c>
      <c r="I8" t="s">
        <v>263</v>
      </c>
      <c r="J8" t="s">
        <v>266</v>
      </c>
      <c r="K8" t="s">
        <v>273</v>
      </c>
      <c r="L8" t="s">
        <v>307</v>
      </c>
      <c r="M8" t="s">
        <v>308</v>
      </c>
      <c r="N8" t="s">
        <v>312</v>
      </c>
      <c r="O8" t="s">
        <v>322</v>
      </c>
      <c r="P8" t="s">
        <v>358</v>
      </c>
      <c r="Q8" t="s">
        <v>360</v>
      </c>
      <c r="R8" t="s">
        <v>367</v>
      </c>
      <c r="S8" t="s">
        <v>369</v>
      </c>
      <c r="T8">
        <v>22.01</v>
      </c>
      <c r="U8" t="s">
        <v>376</v>
      </c>
    </row>
    <row r="9" spans="1:21" x14ac:dyDescent="0.25">
      <c r="A9" t="s">
        <v>22</v>
      </c>
      <c r="B9" t="s">
        <v>34</v>
      </c>
      <c r="C9" t="s">
        <v>52</v>
      </c>
      <c r="D9" t="s">
        <v>124</v>
      </c>
      <c r="E9" t="s">
        <v>189</v>
      </c>
      <c r="F9" t="s">
        <v>250</v>
      </c>
      <c r="G9" t="s">
        <v>254</v>
      </c>
      <c r="H9" t="s">
        <v>256</v>
      </c>
      <c r="I9" t="s">
        <v>263</v>
      </c>
      <c r="J9" t="s">
        <v>266</v>
      </c>
      <c r="K9" t="s">
        <v>273</v>
      </c>
      <c r="L9" t="s">
        <v>307</v>
      </c>
      <c r="M9" t="s">
        <v>309</v>
      </c>
      <c r="N9" t="s">
        <v>314</v>
      </c>
      <c r="O9" t="s">
        <v>321</v>
      </c>
      <c r="P9" t="s">
        <v>358</v>
      </c>
      <c r="Q9" t="s">
        <v>361</v>
      </c>
      <c r="R9" t="s">
        <v>367</v>
      </c>
      <c r="S9" t="s">
        <v>369</v>
      </c>
      <c r="T9">
        <v>24.33</v>
      </c>
      <c r="U9" t="s">
        <v>376</v>
      </c>
    </row>
    <row r="10" spans="1:21" x14ac:dyDescent="0.25">
      <c r="A10" t="s">
        <v>22</v>
      </c>
      <c r="B10" t="s">
        <v>34</v>
      </c>
      <c r="C10" t="s">
        <v>53</v>
      </c>
      <c r="D10" t="s">
        <v>125</v>
      </c>
      <c r="E10" t="s">
        <v>190</v>
      </c>
      <c r="F10" t="s">
        <v>250</v>
      </c>
      <c r="G10" t="s">
        <v>254</v>
      </c>
      <c r="H10" t="s">
        <v>256</v>
      </c>
      <c r="I10" t="s">
        <v>263</v>
      </c>
      <c r="J10" t="s">
        <v>266</v>
      </c>
      <c r="K10" t="s">
        <v>273</v>
      </c>
      <c r="L10" t="s">
        <v>307</v>
      </c>
      <c r="M10" t="s">
        <v>308</v>
      </c>
      <c r="N10" t="s">
        <v>315</v>
      </c>
      <c r="O10" t="s">
        <v>325</v>
      </c>
      <c r="P10" t="s">
        <v>358</v>
      </c>
      <c r="Q10" t="s">
        <v>322</v>
      </c>
      <c r="R10" t="s">
        <v>367</v>
      </c>
      <c r="S10" t="s">
        <v>369</v>
      </c>
      <c r="T10">
        <v>27.32</v>
      </c>
      <c r="U10" t="s">
        <v>376</v>
      </c>
    </row>
    <row r="11" spans="1:21" x14ac:dyDescent="0.25">
      <c r="A11" t="s">
        <v>22</v>
      </c>
      <c r="B11" t="s">
        <v>34</v>
      </c>
      <c r="C11" t="s">
        <v>53</v>
      </c>
      <c r="D11" t="s">
        <v>125</v>
      </c>
      <c r="E11" t="s">
        <v>190</v>
      </c>
      <c r="F11" t="s">
        <v>250</v>
      </c>
      <c r="G11" t="s">
        <v>254</v>
      </c>
      <c r="H11" t="s">
        <v>256</v>
      </c>
      <c r="I11" t="s">
        <v>263</v>
      </c>
      <c r="J11" t="s">
        <v>266</v>
      </c>
      <c r="K11" t="s">
        <v>273</v>
      </c>
      <c r="L11" t="s">
        <v>307</v>
      </c>
      <c r="M11" t="s">
        <v>308</v>
      </c>
      <c r="N11" t="s">
        <v>316</v>
      </c>
      <c r="O11" t="s">
        <v>325</v>
      </c>
      <c r="P11" t="s">
        <v>358</v>
      </c>
      <c r="Q11" t="s">
        <v>322</v>
      </c>
      <c r="R11" t="s">
        <v>367</v>
      </c>
      <c r="S11" t="s">
        <v>369</v>
      </c>
      <c r="T11">
        <v>27.32</v>
      </c>
      <c r="U11" t="s">
        <v>376</v>
      </c>
    </row>
    <row r="12" spans="1:21" x14ac:dyDescent="0.25">
      <c r="A12" t="s">
        <v>22</v>
      </c>
      <c r="B12" t="s">
        <v>34</v>
      </c>
      <c r="C12" t="s">
        <v>54</v>
      </c>
      <c r="D12" t="s">
        <v>126</v>
      </c>
      <c r="E12" t="s">
        <v>191</v>
      </c>
      <c r="F12" t="s">
        <v>250</v>
      </c>
      <c r="G12" t="s">
        <v>254</v>
      </c>
      <c r="H12" t="s">
        <v>256</v>
      </c>
      <c r="I12" t="s">
        <v>263</v>
      </c>
      <c r="J12" t="s">
        <v>266</v>
      </c>
      <c r="K12" t="s">
        <v>273</v>
      </c>
      <c r="L12" t="s">
        <v>307</v>
      </c>
      <c r="M12" t="s">
        <v>309</v>
      </c>
      <c r="N12" t="s">
        <v>317</v>
      </c>
      <c r="O12" t="s">
        <v>326</v>
      </c>
      <c r="P12" t="s">
        <v>358</v>
      </c>
      <c r="Q12" t="s">
        <v>326</v>
      </c>
      <c r="R12" t="s">
        <v>367</v>
      </c>
      <c r="S12" t="s">
        <v>371</v>
      </c>
      <c r="T12">
        <v>1.17</v>
      </c>
      <c r="U12" t="s">
        <v>376</v>
      </c>
    </row>
    <row r="13" spans="1:21" x14ac:dyDescent="0.25">
      <c r="A13" t="s">
        <v>22</v>
      </c>
      <c r="B13" t="s">
        <v>34</v>
      </c>
      <c r="C13" t="s">
        <v>55</v>
      </c>
      <c r="D13" t="s">
        <v>127</v>
      </c>
      <c r="E13" t="s">
        <v>185</v>
      </c>
      <c r="F13" t="s">
        <v>250</v>
      </c>
      <c r="G13" t="s">
        <v>254</v>
      </c>
      <c r="H13" t="s">
        <v>256</v>
      </c>
      <c r="I13" t="s">
        <v>263</v>
      </c>
      <c r="J13" t="s">
        <v>266</v>
      </c>
      <c r="K13" t="s">
        <v>273</v>
      </c>
      <c r="L13" t="s">
        <v>307</v>
      </c>
      <c r="M13" t="s">
        <v>308</v>
      </c>
      <c r="N13" t="s">
        <v>312</v>
      </c>
      <c r="O13" t="s">
        <v>327</v>
      </c>
      <c r="P13" t="s">
        <v>358</v>
      </c>
      <c r="Q13" t="s">
        <v>327</v>
      </c>
      <c r="R13" t="s">
        <v>367</v>
      </c>
      <c r="S13" t="s">
        <v>369</v>
      </c>
      <c r="T13">
        <v>25.88</v>
      </c>
      <c r="U13" t="s">
        <v>376</v>
      </c>
    </row>
    <row r="14" spans="1:21" x14ac:dyDescent="0.25">
      <c r="A14" t="s">
        <v>22</v>
      </c>
      <c r="B14" t="s">
        <v>34</v>
      </c>
      <c r="C14" t="s">
        <v>56</v>
      </c>
      <c r="D14" t="s">
        <v>128</v>
      </c>
      <c r="E14" t="s">
        <v>192</v>
      </c>
      <c r="F14" t="s">
        <v>250</v>
      </c>
      <c r="G14" t="s">
        <v>254</v>
      </c>
      <c r="H14" t="s">
        <v>256</v>
      </c>
      <c r="I14" t="s">
        <v>263</v>
      </c>
      <c r="J14" t="s">
        <v>266</v>
      </c>
      <c r="K14" t="s">
        <v>273</v>
      </c>
      <c r="L14" t="s">
        <v>307</v>
      </c>
      <c r="M14" t="s">
        <v>308</v>
      </c>
      <c r="N14" t="s">
        <v>312</v>
      </c>
      <c r="O14" t="s">
        <v>326</v>
      </c>
      <c r="P14" t="s">
        <v>358</v>
      </c>
      <c r="Q14" t="s">
        <v>326</v>
      </c>
      <c r="R14" t="s">
        <v>367</v>
      </c>
      <c r="S14" t="s">
        <v>369</v>
      </c>
      <c r="T14">
        <v>24.59</v>
      </c>
      <c r="U14" t="s">
        <v>376</v>
      </c>
    </row>
    <row r="15" spans="1:21" x14ac:dyDescent="0.25">
      <c r="A15" t="s">
        <v>22</v>
      </c>
      <c r="B15" t="s">
        <v>34</v>
      </c>
      <c r="C15" t="s">
        <v>57</v>
      </c>
      <c r="D15" t="s">
        <v>129</v>
      </c>
      <c r="E15" t="s">
        <v>193</v>
      </c>
      <c r="F15" t="s">
        <v>250</v>
      </c>
      <c r="G15" t="s">
        <v>254</v>
      </c>
      <c r="H15" t="s">
        <v>256</v>
      </c>
      <c r="I15" t="s">
        <v>263</v>
      </c>
      <c r="J15" t="s">
        <v>266</v>
      </c>
      <c r="K15" t="s">
        <v>274</v>
      </c>
      <c r="L15" t="s">
        <v>307</v>
      </c>
      <c r="M15" t="s">
        <v>309</v>
      </c>
      <c r="N15" t="s">
        <v>317</v>
      </c>
      <c r="O15" t="s">
        <v>321</v>
      </c>
      <c r="P15" t="s">
        <v>358</v>
      </c>
      <c r="Q15" t="s">
        <v>321</v>
      </c>
      <c r="R15" t="s">
        <v>367</v>
      </c>
      <c r="S15" t="s">
        <v>369</v>
      </c>
      <c r="T15">
        <v>30.19</v>
      </c>
      <c r="U15" t="s">
        <v>376</v>
      </c>
    </row>
    <row r="16" spans="1:21" x14ac:dyDescent="0.25">
      <c r="A16" t="s">
        <v>22</v>
      </c>
      <c r="B16" t="s">
        <v>34</v>
      </c>
      <c r="C16" t="s">
        <v>58</v>
      </c>
      <c r="D16" t="s">
        <v>130</v>
      </c>
      <c r="E16" t="s">
        <v>194</v>
      </c>
      <c r="F16" t="s">
        <v>250</v>
      </c>
      <c r="G16" t="s">
        <v>254</v>
      </c>
      <c r="H16" t="s">
        <v>256</v>
      </c>
      <c r="I16" t="s">
        <v>263</v>
      </c>
      <c r="J16" t="s">
        <v>266</v>
      </c>
      <c r="K16" t="s">
        <v>273</v>
      </c>
      <c r="L16" t="s">
        <v>307</v>
      </c>
      <c r="M16" t="s">
        <v>308</v>
      </c>
      <c r="N16" t="s">
        <v>314</v>
      </c>
      <c r="O16" t="s">
        <v>322</v>
      </c>
      <c r="P16" t="s">
        <v>358</v>
      </c>
      <c r="Q16" t="s">
        <v>360</v>
      </c>
      <c r="R16" t="s">
        <v>367</v>
      </c>
      <c r="S16" t="s">
        <v>369</v>
      </c>
      <c r="T16">
        <v>22.01</v>
      </c>
      <c r="U16" t="s">
        <v>376</v>
      </c>
    </row>
    <row r="17" spans="1:21" x14ac:dyDescent="0.25">
      <c r="A17" t="s">
        <v>23</v>
      </c>
      <c r="B17" t="s">
        <v>35</v>
      </c>
      <c r="C17" t="s">
        <v>59</v>
      </c>
      <c r="D17" t="s">
        <v>131</v>
      </c>
      <c r="E17" t="s">
        <v>195</v>
      </c>
      <c r="F17" t="s">
        <v>252</v>
      </c>
      <c r="G17" t="s">
        <v>253</v>
      </c>
      <c r="H17" t="s">
        <v>257</v>
      </c>
      <c r="I17" t="s">
        <v>265</v>
      </c>
      <c r="J17" t="s">
        <v>266</v>
      </c>
      <c r="K17" t="s">
        <v>276</v>
      </c>
      <c r="L17" t="s">
        <v>307</v>
      </c>
      <c r="M17" t="s">
        <v>309</v>
      </c>
      <c r="N17" t="s">
        <v>310</v>
      </c>
      <c r="O17" t="s">
        <v>328</v>
      </c>
      <c r="P17" t="s">
        <v>358</v>
      </c>
      <c r="Q17" t="s">
        <v>328</v>
      </c>
      <c r="R17" t="s">
        <v>367</v>
      </c>
      <c r="S17" t="s">
        <v>372</v>
      </c>
      <c r="T17">
        <v>31.91</v>
      </c>
      <c r="U17" t="s">
        <v>376</v>
      </c>
    </row>
    <row r="18" spans="1:21" x14ac:dyDescent="0.25">
      <c r="A18" t="s">
        <v>23</v>
      </c>
      <c r="B18" t="s">
        <v>35</v>
      </c>
      <c r="C18" t="s">
        <v>60</v>
      </c>
      <c r="D18" t="s">
        <v>132</v>
      </c>
      <c r="E18" t="s">
        <v>196</v>
      </c>
      <c r="F18" t="s">
        <v>252</v>
      </c>
      <c r="G18" t="s">
        <v>253</v>
      </c>
      <c r="H18" t="s">
        <v>257</v>
      </c>
      <c r="I18" t="s">
        <v>263</v>
      </c>
      <c r="J18" t="s">
        <v>266</v>
      </c>
      <c r="K18" t="s">
        <v>277</v>
      </c>
      <c r="L18" t="s">
        <v>307</v>
      </c>
      <c r="M18" t="s">
        <v>308</v>
      </c>
      <c r="N18" t="s">
        <v>317</v>
      </c>
      <c r="O18" t="s">
        <v>320</v>
      </c>
      <c r="P18" t="s">
        <v>358</v>
      </c>
      <c r="Q18" t="s">
        <v>320</v>
      </c>
      <c r="R18" t="s">
        <v>367</v>
      </c>
      <c r="S18" t="s">
        <v>372</v>
      </c>
      <c r="T18">
        <v>14.13</v>
      </c>
      <c r="U18" t="s">
        <v>376</v>
      </c>
    </row>
    <row r="19" spans="1:21" x14ac:dyDescent="0.25">
      <c r="A19" t="s">
        <v>23</v>
      </c>
      <c r="B19" t="s">
        <v>35</v>
      </c>
      <c r="C19" t="s">
        <v>61</v>
      </c>
      <c r="D19" t="s">
        <v>133</v>
      </c>
      <c r="E19" t="s">
        <v>197</v>
      </c>
      <c r="F19" t="s">
        <v>252</v>
      </c>
      <c r="G19" t="s">
        <v>253</v>
      </c>
      <c r="H19" t="s">
        <v>257</v>
      </c>
      <c r="I19" t="s">
        <v>263</v>
      </c>
      <c r="J19" t="s">
        <v>266</v>
      </c>
      <c r="K19" t="s">
        <v>278</v>
      </c>
      <c r="L19" t="s">
        <v>307</v>
      </c>
      <c r="M19" t="s">
        <v>308</v>
      </c>
      <c r="N19" t="s">
        <v>310</v>
      </c>
      <c r="O19" t="s">
        <v>329</v>
      </c>
      <c r="P19" t="s">
        <v>358</v>
      </c>
      <c r="Q19" t="s">
        <v>329</v>
      </c>
      <c r="R19" t="s">
        <v>367</v>
      </c>
      <c r="S19" t="s">
        <v>372</v>
      </c>
      <c r="T19">
        <v>51.54</v>
      </c>
      <c r="U19" t="s">
        <v>376</v>
      </c>
    </row>
    <row r="20" spans="1:21" x14ac:dyDescent="0.25">
      <c r="A20" t="s">
        <v>23</v>
      </c>
      <c r="B20" t="s">
        <v>35</v>
      </c>
      <c r="C20" t="s">
        <v>62</v>
      </c>
      <c r="D20" t="s">
        <v>134</v>
      </c>
      <c r="E20" t="s">
        <v>198</v>
      </c>
      <c r="F20" t="s">
        <v>252</v>
      </c>
      <c r="G20" t="s">
        <v>253</v>
      </c>
      <c r="H20" t="s">
        <v>257</v>
      </c>
      <c r="I20" t="s">
        <v>263</v>
      </c>
      <c r="J20" t="s">
        <v>266</v>
      </c>
      <c r="K20" t="s">
        <v>279</v>
      </c>
      <c r="L20" t="s">
        <v>307</v>
      </c>
      <c r="M20" t="s">
        <v>308</v>
      </c>
      <c r="N20" t="s">
        <v>310</v>
      </c>
      <c r="O20" t="s">
        <v>330</v>
      </c>
      <c r="P20" t="s">
        <v>358</v>
      </c>
      <c r="Q20" t="s">
        <v>330</v>
      </c>
      <c r="R20" t="s">
        <v>367</v>
      </c>
      <c r="S20" t="s">
        <v>372</v>
      </c>
      <c r="T20">
        <v>13.98</v>
      </c>
      <c r="U20" t="s">
        <v>376</v>
      </c>
    </row>
    <row r="21" spans="1:21" x14ac:dyDescent="0.25">
      <c r="A21" t="s">
        <v>23</v>
      </c>
      <c r="B21" t="s">
        <v>35</v>
      </c>
      <c r="C21" t="s">
        <v>63</v>
      </c>
      <c r="D21" t="s">
        <v>135</v>
      </c>
      <c r="E21" t="s">
        <v>199</v>
      </c>
      <c r="F21" t="s">
        <v>252</v>
      </c>
      <c r="G21" t="s">
        <v>253</v>
      </c>
      <c r="H21" t="s">
        <v>257</v>
      </c>
      <c r="I21" t="s">
        <v>263</v>
      </c>
      <c r="J21" t="s">
        <v>266</v>
      </c>
      <c r="K21" t="s">
        <v>280</v>
      </c>
      <c r="L21" t="s">
        <v>307</v>
      </c>
      <c r="M21" t="s">
        <v>308</v>
      </c>
      <c r="N21" t="s">
        <v>318</v>
      </c>
      <c r="O21" t="s">
        <v>328</v>
      </c>
      <c r="P21" t="s">
        <v>358</v>
      </c>
      <c r="Q21" t="s">
        <v>328</v>
      </c>
      <c r="R21" t="s">
        <v>367</v>
      </c>
      <c r="S21" t="s">
        <v>372</v>
      </c>
      <c r="T21">
        <v>31.91</v>
      </c>
      <c r="U21" t="s">
        <v>376</v>
      </c>
    </row>
    <row r="22" spans="1:21" x14ac:dyDescent="0.25">
      <c r="A22" t="s">
        <v>23</v>
      </c>
      <c r="B22" t="s">
        <v>35</v>
      </c>
      <c r="C22" t="s">
        <v>64</v>
      </c>
      <c r="D22" t="s">
        <v>136</v>
      </c>
      <c r="E22" t="s">
        <v>200</v>
      </c>
      <c r="F22" t="s">
        <v>252</v>
      </c>
      <c r="G22" t="s">
        <v>253</v>
      </c>
      <c r="H22" t="s">
        <v>257</v>
      </c>
      <c r="I22" t="s">
        <v>263</v>
      </c>
      <c r="J22" t="s">
        <v>266</v>
      </c>
      <c r="K22" t="s">
        <v>277</v>
      </c>
      <c r="L22" t="s">
        <v>307</v>
      </c>
      <c r="M22" t="s">
        <v>308</v>
      </c>
      <c r="N22" t="s">
        <v>315</v>
      </c>
      <c r="O22" t="s">
        <v>331</v>
      </c>
      <c r="P22" t="s">
        <v>358</v>
      </c>
      <c r="Q22" t="s">
        <v>331</v>
      </c>
      <c r="R22" t="s">
        <v>367</v>
      </c>
      <c r="S22" t="s">
        <v>372</v>
      </c>
      <c r="T22">
        <v>16.36</v>
      </c>
      <c r="U22" t="s">
        <v>376</v>
      </c>
    </row>
    <row r="23" spans="1:21" x14ac:dyDescent="0.25">
      <c r="A23" t="s">
        <v>23</v>
      </c>
      <c r="B23" t="s">
        <v>35</v>
      </c>
      <c r="C23" t="s">
        <v>65</v>
      </c>
      <c r="D23" t="s">
        <v>128</v>
      </c>
      <c r="E23" t="s">
        <v>201</v>
      </c>
      <c r="F23" t="s">
        <v>252</v>
      </c>
      <c r="G23" t="s">
        <v>253</v>
      </c>
      <c r="H23" t="s">
        <v>257</v>
      </c>
      <c r="I23" t="s">
        <v>263</v>
      </c>
      <c r="J23" t="s">
        <v>266</v>
      </c>
      <c r="K23" t="s">
        <v>281</v>
      </c>
      <c r="L23" t="s">
        <v>307</v>
      </c>
      <c r="M23" t="s">
        <v>308</v>
      </c>
      <c r="N23" t="s">
        <v>315</v>
      </c>
      <c r="O23" t="s">
        <v>331</v>
      </c>
      <c r="P23" t="s">
        <v>358</v>
      </c>
      <c r="Q23" t="s">
        <v>331</v>
      </c>
      <c r="R23" t="s">
        <v>367</v>
      </c>
      <c r="S23" t="s">
        <v>372</v>
      </c>
      <c r="T23">
        <v>16.36</v>
      </c>
      <c r="U23" t="s">
        <v>376</v>
      </c>
    </row>
    <row r="24" spans="1:21" x14ac:dyDescent="0.25">
      <c r="A24" t="s">
        <v>23</v>
      </c>
      <c r="B24" t="s">
        <v>35</v>
      </c>
      <c r="C24" t="s">
        <v>66</v>
      </c>
      <c r="D24" t="s">
        <v>137</v>
      </c>
      <c r="E24" t="s">
        <v>202</v>
      </c>
      <c r="F24" t="s">
        <v>252</v>
      </c>
      <c r="G24" t="s">
        <v>253</v>
      </c>
      <c r="H24" t="s">
        <v>257</v>
      </c>
      <c r="I24" t="s">
        <v>263</v>
      </c>
      <c r="J24" t="s">
        <v>268</v>
      </c>
      <c r="K24" t="s">
        <v>274</v>
      </c>
      <c r="L24" t="s">
        <v>307</v>
      </c>
      <c r="M24" t="s">
        <v>308</v>
      </c>
      <c r="N24" t="s">
        <v>319</v>
      </c>
      <c r="O24" t="s">
        <v>328</v>
      </c>
      <c r="P24" t="s">
        <v>358</v>
      </c>
      <c r="Q24" t="s">
        <v>328</v>
      </c>
      <c r="R24" t="s">
        <v>367</v>
      </c>
      <c r="S24" t="s">
        <v>372</v>
      </c>
      <c r="T24">
        <v>31.91</v>
      </c>
      <c r="U24" t="s">
        <v>376</v>
      </c>
    </row>
    <row r="25" spans="1:21" x14ac:dyDescent="0.25">
      <c r="A25" t="s">
        <v>23</v>
      </c>
      <c r="B25" t="s">
        <v>35</v>
      </c>
      <c r="C25" t="s">
        <v>67</v>
      </c>
      <c r="D25" t="s">
        <v>138</v>
      </c>
      <c r="E25" t="s">
        <v>203</v>
      </c>
      <c r="F25" t="s">
        <v>252</v>
      </c>
      <c r="G25" t="s">
        <v>253</v>
      </c>
      <c r="H25" t="s">
        <v>257</v>
      </c>
      <c r="I25" t="s">
        <v>263</v>
      </c>
      <c r="J25" t="s">
        <v>266</v>
      </c>
      <c r="K25" t="s">
        <v>282</v>
      </c>
      <c r="L25" t="s">
        <v>307</v>
      </c>
      <c r="M25" t="s">
        <v>308</v>
      </c>
      <c r="N25" t="s">
        <v>318</v>
      </c>
      <c r="O25" t="s">
        <v>320</v>
      </c>
      <c r="P25" t="s">
        <v>358</v>
      </c>
      <c r="Q25" t="s">
        <v>320</v>
      </c>
      <c r="R25" t="s">
        <v>367</v>
      </c>
      <c r="S25" t="s">
        <v>372</v>
      </c>
      <c r="T25">
        <v>14.13</v>
      </c>
      <c r="U25" t="s">
        <v>376</v>
      </c>
    </row>
    <row r="26" spans="1:21" x14ac:dyDescent="0.25">
      <c r="A26" t="s">
        <v>23</v>
      </c>
      <c r="B26" t="s">
        <v>35</v>
      </c>
      <c r="C26" t="s">
        <v>68</v>
      </c>
      <c r="D26" t="s">
        <v>117</v>
      </c>
      <c r="E26" t="s">
        <v>204</v>
      </c>
      <c r="F26" t="s">
        <v>250</v>
      </c>
      <c r="G26" t="s">
        <v>254</v>
      </c>
      <c r="H26" t="s">
        <v>257</v>
      </c>
      <c r="I26" t="s">
        <v>263</v>
      </c>
      <c r="J26" t="s">
        <v>266</v>
      </c>
      <c r="K26" t="s">
        <v>283</v>
      </c>
      <c r="L26" t="s">
        <v>307</v>
      </c>
      <c r="M26" t="s">
        <v>309</v>
      </c>
      <c r="N26" t="s">
        <v>310</v>
      </c>
      <c r="O26" t="s">
        <v>332</v>
      </c>
      <c r="P26" t="s">
        <v>358</v>
      </c>
      <c r="Q26" t="s">
        <v>332</v>
      </c>
      <c r="R26" t="s">
        <v>367</v>
      </c>
      <c r="S26" t="s">
        <v>373</v>
      </c>
      <c r="T26">
        <v>50.53</v>
      </c>
      <c r="U26" t="s">
        <v>376</v>
      </c>
    </row>
    <row r="27" spans="1:21" x14ac:dyDescent="0.25">
      <c r="A27" t="s">
        <v>23</v>
      </c>
      <c r="B27" t="s">
        <v>35</v>
      </c>
      <c r="C27" t="s">
        <v>69</v>
      </c>
      <c r="D27" t="s">
        <v>139</v>
      </c>
      <c r="E27" t="s">
        <v>204</v>
      </c>
      <c r="F27" t="s">
        <v>250</v>
      </c>
      <c r="G27" t="s">
        <v>254</v>
      </c>
      <c r="H27" t="s">
        <v>257</v>
      </c>
      <c r="I27" t="s">
        <v>263</v>
      </c>
      <c r="J27" t="s">
        <v>266</v>
      </c>
      <c r="K27" t="s">
        <v>284</v>
      </c>
      <c r="L27" t="s">
        <v>307</v>
      </c>
      <c r="M27" t="s">
        <v>309</v>
      </c>
      <c r="N27" t="s">
        <v>310</v>
      </c>
      <c r="O27" t="s">
        <v>333</v>
      </c>
      <c r="P27" t="s">
        <v>358</v>
      </c>
      <c r="Q27" t="s">
        <v>333</v>
      </c>
      <c r="R27" t="s">
        <v>367</v>
      </c>
      <c r="S27" t="s">
        <v>373</v>
      </c>
      <c r="T27">
        <v>39.44</v>
      </c>
      <c r="U27" t="s">
        <v>376</v>
      </c>
    </row>
    <row r="28" spans="1:21" x14ac:dyDescent="0.25">
      <c r="A28" t="s">
        <v>23</v>
      </c>
      <c r="B28" t="s">
        <v>35</v>
      </c>
      <c r="C28" t="s">
        <v>70</v>
      </c>
      <c r="D28" t="s">
        <v>123</v>
      </c>
      <c r="E28" t="s">
        <v>205</v>
      </c>
      <c r="F28" t="s">
        <v>252</v>
      </c>
      <c r="G28" t="s">
        <v>253</v>
      </c>
      <c r="H28" t="s">
        <v>257</v>
      </c>
      <c r="I28" t="s">
        <v>263</v>
      </c>
      <c r="J28" t="s">
        <v>266</v>
      </c>
      <c r="K28" t="s">
        <v>285</v>
      </c>
      <c r="L28" t="s">
        <v>307</v>
      </c>
      <c r="M28" t="s">
        <v>308</v>
      </c>
      <c r="N28" t="s">
        <v>318</v>
      </c>
      <c r="O28" t="s">
        <v>328</v>
      </c>
      <c r="P28" t="s">
        <v>358</v>
      </c>
      <c r="Q28" t="s">
        <v>328</v>
      </c>
      <c r="R28" t="s">
        <v>367</v>
      </c>
      <c r="S28" t="s">
        <v>372</v>
      </c>
      <c r="T28">
        <v>31.91</v>
      </c>
      <c r="U28" t="s">
        <v>376</v>
      </c>
    </row>
    <row r="29" spans="1:21" x14ac:dyDescent="0.25">
      <c r="A29" t="s">
        <v>23</v>
      </c>
      <c r="B29" t="s">
        <v>35</v>
      </c>
      <c r="C29" t="s">
        <v>71</v>
      </c>
      <c r="D29" t="s">
        <v>140</v>
      </c>
      <c r="E29" t="s">
        <v>206</v>
      </c>
      <c r="F29" t="s">
        <v>252</v>
      </c>
      <c r="G29" t="s">
        <v>253</v>
      </c>
      <c r="H29" t="s">
        <v>257</v>
      </c>
      <c r="I29" t="s">
        <v>263</v>
      </c>
      <c r="J29" t="s">
        <v>266</v>
      </c>
      <c r="K29" t="s">
        <v>286</v>
      </c>
      <c r="L29" t="s">
        <v>307</v>
      </c>
      <c r="M29" t="s">
        <v>308</v>
      </c>
      <c r="N29" t="s">
        <v>315</v>
      </c>
      <c r="O29" t="s">
        <v>331</v>
      </c>
      <c r="P29" t="s">
        <v>358</v>
      </c>
      <c r="Q29" t="s">
        <v>331</v>
      </c>
      <c r="R29" t="s">
        <v>367</v>
      </c>
      <c r="S29" t="s">
        <v>372</v>
      </c>
      <c r="T29">
        <v>16.36</v>
      </c>
      <c r="U29" t="s">
        <v>376</v>
      </c>
    </row>
    <row r="30" spans="1:21" x14ac:dyDescent="0.25">
      <c r="A30" t="s">
        <v>23</v>
      </c>
      <c r="B30" t="s">
        <v>35</v>
      </c>
      <c r="C30" t="s">
        <v>72</v>
      </c>
      <c r="D30" t="s">
        <v>117</v>
      </c>
      <c r="E30" t="s">
        <v>207</v>
      </c>
      <c r="F30" t="s">
        <v>252</v>
      </c>
      <c r="G30" t="s">
        <v>253</v>
      </c>
      <c r="H30" t="s">
        <v>257</v>
      </c>
      <c r="I30" t="s">
        <v>263</v>
      </c>
      <c r="J30" t="s">
        <v>266</v>
      </c>
      <c r="K30" t="s">
        <v>273</v>
      </c>
      <c r="L30" t="s">
        <v>307</v>
      </c>
      <c r="M30" t="s">
        <v>308</v>
      </c>
      <c r="N30" t="s">
        <v>316</v>
      </c>
      <c r="O30" t="s">
        <v>320</v>
      </c>
      <c r="P30" t="s">
        <v>358</v>
      </c>
      <c r="Q30" t="s">
        <v>320</v>
      </c>
      <c r="R30" t="s">
        <v>367</v>
      </c>
      <c r="S30" t="s">
        <v>372</v>
      </c>
      <c r="T30">
        <v>14.13</v>
      </c>
      <c r="U30" t="s">
        <v>376</v>
      </c>
    </row>
    <row r="31" spans="1:21" x14ac:dyDescent="0.25">
      <c r="A31" t="s">
        <v>23</v>
      </c>
      <c r="B31" t="s">
        <v>35</v>
      </c>
      <c r="C31" t="s">
        <v>73</v>
      </c>
      <c r="D31" t="s">
        <v>141</v>
      </c>
      <c r="E31" t="s">
        <v>208</v>
      </c>
      <c r="F31" t="s">
        <v>252</v>
      </c>
      <c r="G31" t="s">
        <v>253</v>
      </c>
      <c r="H31" t="s">
        <v>257</v>
      </c>
      <c r="I31" t="s">
        <v>263</v>
      </c>
      <c r="J31" t="s">
        <v>266</v>
      </c>
      <c r="K31" t="s">
        <v>281</v>
      </c>
      <c r="L31" t="s">
        <v>307</v>
      </c>
      <c r="M31" t="s">
        <v>308</v>
      </c>
      <c r="N31" t="s">
        <v>310</v>
      </c>
      <c r="O31" t="s">
        <v>328</v>
      </c>
      <c r="P31" t="s">
        <v>358</v>
      </c>
      <c r="Q31" t="s">
        <v>328</v>
      </c>
      <c r="R31" t="s">
        <v>367</v>
      </c>
      <c r="S31" t="s">
        <v>372</v>
      </c>
      <c r="T31">
        <v>31.91</v>
      </c>
      <c r="U31" t="s">
        <v>376</v>
      </c>
    </row>
    <row r="32" spans="1:21" x14ac:dyDescent="0.25">
      <c r="A32" t="s">
        <v>23</v>
      </c>
      <c r="B32" t="s">
        <v>35</v>
      </c>
      <c r="C32" t="s">
        <v>74</v>
      </c>
      <c r="D32" t="s">
        <v>142</v>
      </c>
      <c r="E32" t="s">
        <v>209</v>
      </c>
      <c r="F32" t="s">
        <v>252</v>
      </c>
      <c r="G32" t="s">
        <v>253</v>
      </c>
      <c r="H32" t="s">
        <v>257</v>
      </c>
      <c r="I32" t="s">
        <v>263</v>
      </c>
      <c r="J32" t="s">
        <v>266</v>
      </c>
      <c r="K32" t="s">
        <v>287</v>
      </c>
      <c r="L32" t="s">
        <v>307</v>
      </c>
      <c r="M32" t="s">
        <v>308</v>
      </c>
      <c r="N32" t="s">
        <v>316</v>
      </c>
      <c r="O32" t="s">
        <v>331</v>
      </c>
      <c r="P32" t="s">
        <v>358</v>
      </c>
      <c r="Q32" t="s">
        <v>331</v>
      </c>
      <c r="R32" t="s">
        <v>367</v>
      </c>
      <c r="S32" t="s">
        <v>372</v>
      </c>
      <c r="T32">
        <v>16.36</v>
      </c>
      <c r="U32" t="s">
        <v>376</v>
      </c>
    </row>
    <row r="33" spans="1:21" x14ac:dyDescent="0.25">
      <c r="A33" t="s">
        <v>23</v>
      </c>
      <c r="B33" t="s">
        <v>35</v>
      </c>
      <c r="C33" t="s">
        <v>75</v>
      </c>
      <c r="D33" t="s">
        <v>143</v>
      </c>
      <c r="E33" t="s">
        <v>210</v>
      </c>
      <c r="F33" t="s">
        <v>252</v>
      </c>
      <c r="G33" t="s">
        <v>253</v>
      </c>
      <c r="H33" t="s">
        <v>257</v>
      </c>
      <c r="I33" t="s">
        <v>263</v>
      </c>
      <c r="J33" t="s">
        <v>269</v>
      </c>
      <c r="K33" t="s">
        <v>276</v>
      </c>
      <c r="L33" t="s">
        <v>307</v>
      </c>
      <c r="M33" t="s">
        <v>308</v>
      </c>
      <c r="N33" t="s">
        <v>312</v>
      </c>
      <c r="O33" t="s">
        <v>331</v>
      </c>
      <c r="P33" t="s">
        <v>358</v>
      </c>
      <c r="Q33" t="s">
        <v>331</v>
      </c>
      <c r="R33" t="s">
        <v>367</v>
      </c>
      <c r="S33" t="s">
        <v>372</v>
      </c>
      <c r="T33">
        <v>16.36</v>
      </c>
      <c r="U33" t="s">
        <v>376</v>
      </c>
    </row>
    <row r="34" spans="1:21" x14ac:dyDescent="0.25">
      <c r="A34" t="s">
        <v>23</v>
      </c>
      <c r="B34" t="s">
        <v>35</v>
      </c>
      <c r="C34" t="s">
        <v>76</v>
      </c>
      <c r="D34" t="s">
        <v>144</v>
      </c>
      <c r="E34" t="s">
        <v>211</v>
      </c>
      <c r="F34" t="s">
        <v>252</v>
      </c>
      <c r="G34" t="s">
        <v>253</v>
      </c>
      <c r="H34" t="s">
        <v>257</v>
      </c>
      <c r="I34" t="s">
        <v>263</v>
      </c>
      <c r="J34" t="s">
        <v>266</v>
      </c>
      <c r="K34" t="s">
        <v>288</v>
      </c>
      <c r="L34" t="s">
        <v>307</v>
      </c>
      <c r="M34" t="s">
        <v>308</v>
      </c>
      <c r="N34" t="s">
        <v>310</v>
      </c>
      <c r="O34" t="s">
        <v>328</v>
      </c>
      <c r="P34" t="s">
        <v>358</v>
      </c>
      <c r="Q34" t="s">
        <v>328</v>
      </c>
      <c r="R34" t="s">
        <v>367</v>
      </c>
      <c r="S34" t="s">
        <v>372</v>
      </c>
      <c r="T34">
        <v>31.91</v>
      </c>
      <c r="U34" t="s">
        <v>376</v>
      </c>
    </row>
    <row r="35" spans="1:21" x14ac:dyDescent="0.25">
      <c r="A35" t="s">
        <v>23</v>
      </c>
      <c r="B35" t="s">
        <v>35</v>
      </c>
      <c r="C35" t="s">
        <v>77</v>
      </c>
      <c r="D35" t="s">
        <v>145</v>
      </c>
      <c r="E35" t="s">
        <v>212</v>
      </c>
      <c r="F35" t="s">
        <v>252</v>
      </c>
      <c r="G35" t="s">
        <v>253</v>
      </c>
      <c r="H35" t="s">
        <v>257</v>
      </c>
      <c r="I35" t="s">
        <v>263</v>
      </c>
      <c r="J35" t="s">
        <v>266</v>
      </c>
      <c r="K35" t="s">
        <v>289</v>
      </c>
      <c r="L35" t="s">
        <v>307</v>
      </c>
      <c r="M35" t="s">
        <v>308</v>
      </c>
      <c r="N35" t="s">
        <v>310</v>
      </c>
      <c r="O35" t="s">
        <v>331</v>
      </c>
      <c r="P35" t="s">
        <v>358</v>
      </c>
      <c r="Q35" t="s">
        <v>331</v>
      </c>
      <c r="R35" t="s">
        <v>367</v>
      </c>
      <c r="S35" t="s">
        <v>372</v>
      </c>
      <c r="T35">
        <v>16.36</v>
      </c>
      <c r="U35" t="s">
        <v>376</v>
      </c>
    </row>
    <row r="36" spans="1:21" x14ac:dyDescent="0.25">
      <c r="A36" t="s">
        <v>23</v>
      </c>
      <c r="B36" t="s">
        <v>35</v>
      </c>
      <c r="C36" t="s">
        <v>78</v>
      </c>
      <c r="D36" t="s">
        <v>131</v>
      </c>
      <c r="E36" t="s">
        <v>213</v>
      </c>
      <c r="F36" t="s">
        <v>250</v>
      </c>
      <c r="G36" t="s">
        <v>254</v>
      </c>
      <c r="H36" t="s">
        <v>257</v>
      </c>
      <c r="I36" t="s">
        <v>263</v>
      </c>
      <c r="J36" t="s">
        <v>266</v>
      </c>
      <c r="K36" t="s">
        <v>290</v>
      </c>
      <c r="L36" t="s">
        <v>307</v>
      </c>
      <c r="M36" t="s">
        <v>309</v>
      </c>
      <c r="N36" t="s">
        <v>319</v>
      </c>
      <c r="O36" t="s">
        <v>334</v>
      </c>
      <c r="P36" t="s">
        <v>358</v>
      </c>
      <c r="Q36" t="s">
        <v>362</v>
      </c>
      <c r="R36" t="s">
        <v>367</v>
      </c>
      <c r="S36" t="s">
        <v>373</v>
      </c>
      <c r="T36">
        <v>31.14</v>
      </c>
      <c r="U36" t="s">
        <v>376</v>
      </c>
    </row>
    <row r="37" spans="1:21" x14ac:dyDescent="0.25">
      <c r="A37" t="s">
        <v>23</v>
      </c>
      <c r="B37" t="s">
        <v>35</v>
      </c>
      <c r="C37" t="s">
        <v>79</v>
      </c>
      <c r="D37" t="s">
        <v>146</v>
      </c>
      <c r="E37" t="s">
        <v>214</v>
      </c>
      <c r="F37" t="s">
        <v>252</v>
      </c>
      <c r="G37" t="s">
        <v>253</v>
      </c>
      <c r="H37" t="s">
        <v>257</v>
      </c>
      <c r="I37" t="s">
        <v>263</v>
      </c>
      <c r="J37" t="s">
        <v>266</v>
      </c>
      <c r="K37" t="s">
        <v>277</v>
      </c>
      <c r="L37" t="s">
        <v>307</v>
      </c>
      <c r="M37" t="s">
        <v>308</v>
      </c>
      <c r="N37" t="s">
        <v>317</v>
      </c>
      <c r="O37" t="s">
        <v>320</v>
      </c>
      <c r="P37" t="s">
        <v>358</v>
      </c>
      <c r="Q37" t="s">
        <v>320</v>
      </c>
      <c r="R37" t="s">
        <v>367</v>
      </c>
      <c r="S37" t="s">
        <v>372</v>
      </c>
      <c r="T37">
        <v>14.13</v>
      </c>
      <c r="U37" t="s">
        <v>376</v>
      </c>
    </row>
    <row r="38" spans="1:21" x14ac:dyDescent="0.25">
      <c r="A38" t="s">
        <v>23</v>
      </c>
      <c r="B38" t="s">
        <v>35</v>
      </c>
      <c r="C38" t="s">
        <v>80</v>
      </c>
      <c r="D38" t="s">
        <v>147</v>
      </c>
      <c r="E38" t="s">
        <v>215</v>
      </c>
      <c r="F38" t="s">
        <v>252</v>
      </c>
      <c r="G38" t="s">
        <v>253</v>
      </c>
      <c r="H38" t="s">
        <v>257</v>
      </c>
      <c r="I38" t="s">
        <v>263</v>
      </c>
      <c r="J38" t="s">
        <v>266</v>
      </c>
      <c r="K38" t="s">
        <v>291</v>
      </c>
      <c r="L38" t="s">
        <v>307</v>
      </c>
      <c r="M38" t="s">
        <v>308</v>
      </c>
      <c r="N38" t="s">
        <v>315</v>
      </c>
      <c r="O38" t="s">
        <v>335</v>
      </c>
      <c r="P38" t="s">
        <v>358</v>
      </c>
      <c r="Q38" t="s">
        <v>335</v>
      </c>
      <c r="R38" t="s">
        <v>367</v>
      </c>
      <c r="S38" t="s">
        <v>372</v>
      </c>
      <c r="T38">
        <v>28.25</v>
      </c>
      <c r="U38" t="s">
        <v>376</v>
      </c>
    </row>
    <row r="39" spans="1:21" x14ac:dyDescent="0.25">
      <c r="A39" t="s">
        <v>23</v>
      </c>
      <c r="B39" t="s">
        <v>35</v>
      </c>
      <c r="C39" t="s">
        <v>81</v>
      </c>
      <c r="D39" t="s">
        <v>148</v>
      </c>
      <c r="E39" t="s">
        <v>216</v>
      </c>
      <c r="F39" t="s">
        <v>252</v>
      </c>
      <c r="G39" t="s">
        <v>253</v>
      </c>
      <c r="H39" t="s">
        <v>257</v>
      </c>
      <c r="I39" t="s">
        <v>263</v>
      </c>
      <c r="J39" t="s">
        <v>266</v>
      </c>
      <c r="K39" t="s">
        <v>292</v>
      </c>
      <c r="L39" t="s">
        <v>307</v>
      </c>
      <c r="M39" t="s">
        <v>308</v>
      </c>
      <c r="N39" t="s">
        <v>315</v>
      </c>
      <c r="O39" t="s">
        <v>328</v>
      </c>
      <c r="P39" t="s">
        <v>358</v>
      </c>
      <c r="Q39" t="s">
        <v>328</v>
      </c>
      <c r="R39" t="s">
        <v>367</v>
      </c>
      <c r="S39" t="s">
        <v>372</v>
      </c>
      <c r="T39">
        <v>31.91</v>
      </c>
      <c r="U39" t="s">
        <v>376</v>
      </c>
    </row>
    <row r="40" spans="1:21" x14ac:dyDescent="0.25">
      <c r="A40" t="s">
        <v>23</v>
      </c>
      <c r="B40" t="s">
        <v>35</v>
      </c>
      <c r="C40" t="s">
        <v>82</v>
      </c>
      <c r="D40" t="s">
        <v>149</v>
      </c>
      <c r="E40" t="s">
        <v>217</v>
      </c>
      <c r="F40" t="s">
        <v>252</v>
      </c>
      <c r="G40" t="s">
        <v>253</v>
      </c>
      <c r="H40" t="s">
        <v>257</v>
      </c>
      <c r="I40" t="s">
        <v>263</v>
      </c>
      <c r="J40" t="s">
        <v>266</v>
      </c>
      <c r="K40" t="s">
        <v>292</v>
      </c>
      <c r="L40" t="s">
        <v>307</v>
      </c>
      <c r="M40" t="s">
        <v>308</v>
      </c>
      <c r="N40" t="s">
        <v>310</v>
      </c>
      <c r="O40" t="s">
        <v>336</v>
      </c>
      <c r="P40" t="s">
        <v>358</v>
      </c>
      <c r="Q40" t="s">
        <v>336</v>
      </c>
      <c r="R40" t="s">
        <v>367</v>
      </c>
      <c r="S40" t="s">
        <v>372</v>
      </c>
      <c r="T40">
        <v>32.659999999999997</v>
      </c>
      <c r="U40" t="s">
        <v>376</v>
      </c>
    </row>
    <row r="41" spans="1:21" x14ac:dyDescent="0.25">
      <c r="A41" t="s">
        <v>23</v>
      </c>
      <c r="B41" t="s">
        <v>35</v>
      </c>
      <c r="C41" t="s">
        <v>83</v>
      </c>
      <c r="D41" t="s">
        <v>150</v>
      </c>
      <c r="E41" t="s">
        <v>213</v>
      </c>
      <c r="F41" t="s">
        <v>250</v>
      </c>
      <c r="G41" t="s">
        <v>254</v>
      </c>
      <c r="H41" t="s">
        <v>257</v>
      </c>
      <c r="I41" t="s">
        <v>263</v>
      </c>
      <c r="J41" t="s">
        <v>266</v>
      </c>
      <c r="K41" t="s">
        <v>293</v>
      </c>
      <c r="L41" t="s">
        <v>307</v>
      </c>
      <c r="M41" t="s">
        <v>309</v>
      </c>
      <c r="N41" t="s">
        <v>319</v>
      </c>
      <c r="O41" t="s">
        <v>337</v>
      </c>
      <c r="P41" t="s">
        <v>358</v>
      </c>
      <c r="Q41" t="s">
        <v>363</v>
      </c>
      <c r="R41" t="s">
        <v>367</v>
      </c>
      <c r="S41" t="s">
        <v>373</v>
      </c>
      <c r="T41">
        <v>35.549999999999997</v>
      </c>
      <c r="U41" t="s">
        <v>376</v>
      </c>
    </row>
    <row r="42" spans="1:21" x14ac:dyDescent="0.25">
      <c r="A42" t="s">
        <v>23</v>
      </c>
      <c r="B42" t="s">
        <v>35</v>
      </c>
      <c r="C42" t="s">
        <v>84</v>
      </c>
      <c r="D42" t="s">
        <v>151</v>
      </c>
      <c r="E42" t="s">
        <v>218</v>
      </c>
      <c r="F42" t="s">
        <v>252</v>
      </c>
      <c r="G42" t="s">
        <v>253</v>
      </c>
      <c r="H42" t="s">
        <v>257</v>
      </c>
      <c r="I42" t="s">
        <v>263</v>
      </c>
      <c r="J42" t="s">
        <v>266</v>
      </c>
      <c r="K42" t="s">
        <v>279</v>
      </c>
      <c r="L42" t="s">
        <v>307</v>
      </c>
      <c r="M42" t="s">
        <v>308</v>
      </c>
      <c r="N42" t="s">
        <v>311</v>
      </c>
      <c r="O42" t="s">
        <v>338</v>
      </c>
      <c r="P42" t="s">
        <v>358</v>
      </c>
      <c r="Q42" t="s">
        <v>338</v>
      </c>
      <c r="R42" t="s">
        <v>367</v>
      </c>
      <c r="S42" t="s">
        <v>372</v>
      </c>
      <c r="T42">
        <v>16.25</v>
      </c>
      <c r="U42" t="s">
        <v>376</v>
      </c>
    </row>
    <row r="43" spans="1:21" x14ac:dyDescent="0.25">
      <c r="A43" t="s">
        <v>23</v>
      </c>
      <c r="B43" t="s">
        <v>35</v>
      </c>
      <c r="C43" t="s">
        <v>85</v>
      </c>
      <c r="D43" t="s">
        <v>134</v>
      </c>
      <c r="E43" t="s">
        <v>219</v>
      </c>
      <c r="F43" t="s">
        <v>250</v>
      </c>
      <c r="G43" t="s">
        <v>254</v>
      </c>
      <c r="H43" t="s">
        <v>257</v>
      </c>
      <c r="I43" t="s">
        <v>263</v>
      </c>
      <c r="J43" t="s">
        <v>266</v>
      </c>
      <c r="K43" t="s">
        <v>273</v>
      </c>
      <c r="L43" t="s">
        <v>307</v>
      </c>
      <c r="M43" t="s">
        <v>308</v>
      </c>
      <c r="N43" t="s">
        <v>317</v>
      </c>
      <c r="O43" t="s">
        <v>339</v>
      </c>
      <c r="P43" t="s">
        <v>358</v>
      </c>
      <c r="Q43" t="s">
        <v>339</v>
      </c>
      <c r="R43" t="s">
        <v>367</v>
      </c>
      <c r="S43" t="s">
        <v>373</v>
      </c>
      <c r="T43">
        <v>25</v>
      </c>
      <c r="U43" t="s">
        <v>376</v>
      </c>
    </row>
    <row r="44" spans="1:21" x14ac:dyDescent="0.25">
      <c r="A44" t="s">
        <v>23</v>
      </c>
      <c r="B44" t="s">
        <v>35</v>
      </c>
      <c r="C44" t="s">
        <v>86</v>
      </c>
      <c r="D44" t="s">
        <v>152</v>
      </c>
      <c r="E44" t="s">
        <v>220</v>
      </c>
      <c r="F44" t="s">
        <v>252</v>
      </c>
      <c r="G44" t="s">
        <v>253</v>
      </c>
      <c r="H44" t="s">
        <v>257</v>
      </c>
      <c r="I44" t="s">
        <v>263</v>
      </c>
      <c r="J44" t="s">
        <v>266</v>
      </c>
      <c r="K44" t="s">
        <v>294</v>
      </c>
      <c r="L44" t="s">
        <v>307</v>
      </c>
      <c r="M44" t="s">
        <v>308</v>
      </c>
      <c r="N44" t="s">
        <v>315</v>
      </c>
      <c r="O44" t="s">
        <v>329</v>
      </c>
      <c r="P44" t="s">
        <v>358</v>
      </c>
      <c r="Q44" t="s">
        <v>329</v>
      </c>
      <c r="R44" t="s">
        <v>367</v>
      </c>
      <c r="S44" t="s">
        <v>372</v>
      </c>
      <c r="T44">
        <v>51.54</v>
      </c>
      <c r="U44" t="s">
        <v>376</v>
      </c>
    </row>
    <row r="45" spans="1:21" x14ac:dyDescent="0.25">
      <c r="A45" t="s">
        <v>23</v>
      </c>
      <c r="B45" t="s">
        <v>35</v>
      </c>
      <c r="C45" t="s">
        <v>87</v>
      </c>
      <c r="D45" t="s">
        <v>153</v>
      </c>
      <c r="E45" t="s">
        <v>221</v>
      </c>
      <c r="F45" t="s">
        <v>252</v>
      </c>
      <c r="G45" t="s">
        <v>253</v>
      </c>
      <c r="H45" t="s">
        <v>257</v>
      </c>
      <c r="I45" t="s">
        <v>263</v>
      </c>
      <c r="J45" t="s">
        <v>266</v>
      </c>
      <c r="K45" t="s">
        <v>272</v>
      </c>
      <c r="L45" t="s">
        <v>307</v>
      </c>
      <c r="M45" t="s">
        <v>308</v>
      </c>
      <c r="N45" t="s">
        <v>316</v>
      </c>
      <c r="O45" t="s">
        <v>331</v>
      </c>
      <c r="P45" t="s">
        <v>358</v>
      </c>
      <c r="Q45" t="s">
        <v>331</v>
      </c>
      <c r="R45" t="s">
        <v>367</v>
      </c>
      <c r="S45" t="s">
        <v>372</v>
      </c>
      <c r="T45">
        <v>16.36</v>
      </c>
      <c r="U45" t="s">
        <v>376</v>
      </c>
    </row>
    <row r="46" spans="1:21" x14ac:dyDescent="0.25">
      <c r="A46" t="s">
        <v>23</v>
      </c>
      <c r="B46" t="s">
        <v>35</v>
      </c>
      <c r="C46" t="s">
        <v>88</v>
      </c>
      <c r="D46" t="s">
        <v>154</v>
      </c>
      <c r="E46" t="s">
        <v>222</v>
      </c>
      <c r="F46" t="s">
        <v>252</v>
      </c>
      <c r="G46" t="s">
        <v>253</v>
      </c>
      <c r="H46" t="s">
        <v>257</v>
      </c>
      <c r="I46" t="s">
        <v>263</v>
      </c>
      <c r="J46" t="s">
        <v>266</v>
      </c>
      <c r="K46" t="s">
        <v>295</v>
      </c>
      <c r="L46" t="s">
        <v>307</v>
      </c>
      <c r="M46" t="s">
        <v>308</v>
      </c>
      <c r="N46" t="s">
        <v>310</v>
      </c>
      <c r="O46" t="s">
        <v>331</v>
      </c>
      <c r="P46" t="s">
        <v>358</v>
      </c>
      <c r="Q46" t="s">
        <v>331</v>
      </c>
      <c r="R46" t="s">
        <v>367</v>
      </c>
      <c r="S46" t="s">
        <v>372</v>
      </c>
      <c r="T46">
        <v>16.36</v>
      </c>
      <c r="U46" t="s">
        <v>376</v>
      </c>
    </row>
    <row r="47" spans="1:21" x14ac:dyDescent="0.25">
      <c r="A47" t="s">
        <v>23</v>
      </c>
      <c r="B47" t="s">
        <v>35</v>
      </c>
      <c r="C47" t="s">
        <v>89</v>
      </c>
      <c r="D47" t="s">
        <v>155</v>
      </c>
      <c r="E47" t="s">
        <v>223</v>
      </c>
      <c r="F47" t="s">
        <v>252</v>
      </c>
      <c r="G47" t="s">
        <v>253</v>
      </c>
      <c r="H47" t="s">
        <v>257</v>
      </c>
      <c r="I47" t="s">
        <v>263</v>
      </c>
      <c r="J47" t="s">
        <v>266</v>
      </c>
      <c r="K47" t="s">
        <v>281</v>
      </c>
      <c r="L47" t="s">
        <v>307</v>
      </c>
      <c r="M47" t="s">
        <v>308</v>
      </c>
      <c r="N47" t="s">
        <v>315</v>
      </c>
      <c r="O47" t="s">
        <v>328</v>
      </c>
      <c r="P47" t="s">
        <v>358</v>
      </c>
      <c r="Q47" t="s">
        <v>328</v>
      </c>
      <c r="R47" t="s">
        <v>367</v>
      </c>
      <c r="S47" t="s">
        <v>372</v>
      </c>
      <c r="T47">
        <v>31.91</v>
      </c>
      <c r="U47" t="s">
        <v>376</v>
      </c>
    </row>
    <row r="48" spans="1:21" x14ac:dyDescent="0.25">
      <c r="A48" t="s">
        <v>24</v>
      </c>
      <c r="B48" t="s">
        <v>36</v>
      </c>
      <c r="C48" t="s">
        <v>90</v>
      </c>
      <c r="D48" t="s">
        <v>156</v>
      </c>
      <c r="E48" t="s">
        <v>224</v>
      </c>
      <c r="F48" t="s">
        <v>250</v>
      </c>
      <c r="G48" t="s">
        <v>254</v>
      </c>
      <c r="H48" t="s">
        <v>258</v>
      </c>
      <c r="I48" t="s">
        <v>263</v>
      </c>
      <c r="J48" t="s">
        <v>266</v>
      </c>
      <c r="K48" t="s">
        <v>296</v>
      </c>
      <c r="L48" t="s">
        <v>307</v>
      </c>
      <c r="M48" t="s">
        <v>309</v>
      </c>
      <c r="N48" t="s">
        <v>315</v>
      </c>
      <c r="O48" t="s">
        <v>340</v>
      </c>
      <c r="P48" t="s">
        <v>358</v>
      </c>
      <c r="Q48" t="s">
        <v>340</v>
      </c>
      <c r="R48" t="s">
        <v>367</v>
      </c>
      <c r="S48" t="s">
        <v>374</v>
      </c>
      <c r="T48">
        <v>55.27</v>
      </c>
      <c r="U48" t="s">
        <v>376</v>
      </c>
    </row>
    <row r="49" spans="1:21" x14ac:dyDescent="0.25">
      <c r="A49" t="s">
        <v>24</v>
      </c>
      <c r="B49" t="s">
        <v>36</v>
      </c>
      <c r="C49" t="s">
        <v>91</v>
      </c>
      <c r="D49" t="s">
        <v>157</v>
      </c>
      <c r="E49" t="s">
        <v>225</v>
      </c>
      <c r="F49" t="s">
        <v>250</v>
      </c>
      <c r="G49" t="s">
        <v>254</v>
      </c>
      <c r="H49" t="s">
        <v>258</v>
      </c>
      <c r="I49" t="s">
        <v>263</v>
      </c>
      <c r="J49" t="s">
        <v>266</v>
      </c>
      <c r="K49" t="s">
        <v>297</v>
      </c>
      <c r="L49" t="s">
        <v>307</v>
      </c>
      <c r="M49" t="s">
        <v>308</v>
      </c>
      <c r="N49" t="s">
        <v>318</v>
      </c>
      <c r="O49" t="s">
        <v>341</v>
      </c>
      <c r="P49" t="s">
        <v>358</v>
      </c>
      <c r="Q49" t="s">
        <v>341</v>
      </c>
      <c r="R49" t="s">
        <v>367</v>
      </c>
      <c r="S49" t="s">
        <v>374</v>
      </c>
      <c r="T49">
        <v>40.06</v>
      </c>
      <c r="U49" t="s">
        <v>376</v>
      </c>
    </row>
    <row r="50" spans="1:21" x14ac:dyDescent="0.25">
      <c r="A50" t="s">
        <v>24</v>
      </c>
      <c r="B50" t="s">
        <v>36</v>
      </c>
      <c r="C50" t="s">
        <v>92</v>
      </c>
      <c r="D50" t="s">
        <v>158</v>
      </c>
      <c r="E50" t="s">
        <v>226</v>
      </c>
      <c r="F50" t="s">
        <v>250</v>
      </c>
      <c r="G50" t="s">
        <v>254</v>
      </c>
      <c r="H50" t="s">
        <v>258</v>
      </c>
      <c r="I50" t="s">
        <v>263</v>
      </c>
      <c r="J50" t="s">
        <v>266</v>
      </c>
      <c r="K50" t="s">
        <v>298</v>
      </c>
      <c r="L50" t="s">
        <v>307</v>
      </c>
      <c r="M50" t="s">
        <v>309</v>
      </c>
      <c r="N50" t="s">
        <v>318</v>
      </c>
      <c r="O50" t="s">
        <v>342</v>
      </c>
      <c r="P50" t="s">
        <v>358</v>
      </c>
      <c r="Q50" t="s">
        <v>342</v>
      </c>
      <c r="R50" t="s">
        <v>367</v>
      </c>
      <c r="S50" t="s">
        <v>374</v>
      </c>
      <c r="T50">
        <v>43.78</v>
      </c>
      <c r="U50" t="s">
        <v>376</v>
      </c>
    </row>
    <row r="51" spans="1:21" x14ac:dyDescent="0.25">
      <c r="A51" t="s">
        <v>24</v>
      </c>
      <c r="B51" t="s">
        <v>36</v>
      </c>
      <c r="C51" t="s">
        <v>93</v>
      </c>
      <c r="D51" t="s">
        <v>159</v>
      </c>
      <c r="E51" t="s">
        <v>225</v>
      </c>
      <c r="F51" t="s">
        <v>250</v>
      </c>
      <c r="G51" t="s">
        <v>254</v>
      </c>
      <c r="H51" t="s">
        <v>258</v>
      </c>
      <c r="I51" t="s">
        <v>263</v>
      </c>
      <c r="J51" t="s">
        <v>266</v>
      </c>
      <c r="K51" t="s">
        <v>297</v>
      </c>
      <c r="L51" t="s">
        <v>307</v>
      </c>
      <c r="M51" t="s">
        <v>308</v>
      </c>
      <c r="N51" t="s">
        <v>318</v>
      </c>
      <c r="O51" t="s">
        <v>343</v>
      </c>
      <c r="P51" t="s">
        <v>358</v>
      </c>
      <c r="Q51" t="s">
        <v>343</v>
      </c>
      <c r="R51" t="s">
        <v>367</v>
      </c>
      <c r="S51" t="s">
        <v>374</v>
      </c>
      <c r="T51">
        <v>44.28</v>
      </c>
      <c r="U51" t="s">
        <v>376</v>
      </c>
    </row>
    <row r="52" spans="1:21" x14ac:dyDescent="0.25">
      <c r="A52" t="s">
        <v>24</v>
      </c>
      <c r="B52" t="s">
        <v>36</v>
      </c>
      <c r="C52" t="s">
        <v>94</v>
      </c>
      <c r="D52" t="s">
        <v>160</v>
      </c>
      <c r="E52" t="s">
        <v>227</v>
      </c>
      <c r="F52" t="s">
        <v>250</v>
      </c>
      <c r="G52" t="s">
        <v>254</v>
      </c>
      <c r="H52" t="s">
        <v>259</v>
      </c>
      <c r="I52" t="s">
        <v>263</v>
      </c>
      <c r="J52" t="s">
        <v>266</v>
      </c>
      <c r="K52" t="s">
        <v>273</v>
      </c>
      <c r="L52" t="s">
        <v>307</v>
      </c>
      <c r="M52" t="s">
        <v>308</v>
      </c>
      <c r="N52" t="s">
        <v>311</v>
      </c>
      <c r="O52" t="s">
        <v>344</v>
      </c>
      <c r="P52" t="s">
        <v>358</v>
      </c>
      <c r="Q52" t="s">
        <v>344</v>
      </c>
      <c r="R52" t="s">
        <v>367</v>
      </c>
      <c r="S52" t="s">
        <v>369</v>
      </c>
      <c r="T52">
        <v>37.1</v>
      </c>
      <c r="U52" t="s">
        <v>376</v>
      </c>
    </row>
    <row r="53" spans="1:21" x14ac:dyDescent="0.25">
      <c r="A53" t="s">
        <v>24</v>
      </c>
      <c r="B53" t="s">
        <v>36</v>
      </c>
      <c r="C53" t="s">
        <v>95</v>
      </c>
      <c r="D53" t="s">
        <v>161</v>
      </c>
      <c r="E53" t="s">
        <v>228</v>
      </c>
      <c r="F53" t="s">
        <v>250</v>
      </c>
      <c r="G53" t="s">
        <v>254</v>
      </c>
      <c r="H53" t="s">
        <v>258</v>
      </c>
      <c r="I53" t="s">
        <v>263</v>
      </c>
      <c r="J53" t="s">
        <v>266</v>
      </c>
      <c r="K53" t="s">
        <v>273</v>
      </c>
      <c r="L53" t="s">
        <v>307</v>
      </c>
      <c r="M53" t="s">
        <v>308</v>
      </c>
      <c r="N53" t="s">
        <v>318</v>
      </c>
      <c r="O53" t="s">
        <v>345</v>
      </c>
      <c r="P53" t="s">
        <v>358</v>
      </c>
      <c r="Q53" t="s">
        <v>345</v>
      </c>
      <c r="R53" t="s">
        <v>367</v>
      </c>
      <c r="S53" t="s">
        <v>374</v>
      </c>
      <c r="T53">
        <v>35.049999999999997</v>
      </c>
      <c r="U53" t="s">
        <v>376</v>
      </c>
    </row>
    <row r="54" spans="1:21" x14ac:dyDescent="0.25">
      <c r="A54" t="s">
        <v>24</v>
      </c>
      <c r="B54" t="s">
        <v>36</v>
      </c>
      <c r="C54" t="s">
        <v>96</v>
      </c>
      <c r="D54" t="s">
        <v>162</v>
      </c>
      <c r="E54" t="s">
        <v>229</v>
      </c>
      <c r="F54" t="s">
        <v>250</v>
      </c>
      <c r="G54" t="s">
        <v>254</v>
      </c>
      <c r="H54" t="s">
        <v>258</v>
      </c>
      <c r="I54" t="s">
        <v>263</v>
      </c>
      <c r="J54" t="s">
        <v>266</v>
      </c>
      <c r="K54" t="s">
        <v>294</v>
      </c>
      <c r="L54" t="s">
        <v>307</v>
      </c>
      <c r="M54" t="s">
        <v>308</v>
      </c>
      <c r="N54" t="s">
        <v>310</v>
      </c>
      <c r="O54" t="s">
        <v>346</v>
      </c>
      <c r="P54" t="s">
        <v>358</v>
      </c>
      <c r="Q54" t="s">
        <v>348</v>
      </c>
      <c r="R54" t="s">
        <v>367</v>
      </c>
      <c r="S54" t="s">
        <v>374</v>
      </c>
      <c r="T54">
        <v>38.74</v>
      </c>
      <c r="U54" t="s">
        <v>376</v>
      </c>
    </row>
    <row r="55" spans="1:21" x14ac:dyDescent="0.25">
      <c r="A55" t="s">
        <v>24</v>
      </c>
      <c r="B55" t="s">
        <v>36</v>
      </c>
      <c r="C55" t="s">
        <v>97</v>
      </c>
      <c r="D55" t="s">
        <v>163</v>
      </c>
      <c r="E55" t="s">
        <v>230</v>
      </c>
      <c r="F55" t="s">
        <v>252</v>
      </c>
      <c r="G55" t="s">
        <v>253</v>
      </c>
      <c r="H55" t="s">
        <v>258</v>
      </c>
      <c r="I55" t="s">
        <v>263</v>
      </c>
      <c r="J55" t="s">
        <v>266</v>
      </c>
      <c r="K55" t="s">
        <v>280</v>
      </c>
      <c r="L55" t="s">
        <v>307</v>
      </c>
      <c r="M55" t="s">
        <v>308</v>
      </c>
      <c r="N55" t="s">
        <v>318</v>
      </c>
      <c r="O55" t="s">
        <v>330</v>
      </c>
      <c r="P55" t="s">
        <v>358</v>
      </c>
      <c r="Q55" t="s">
        <v>330</v>
      </c>
      <c r="R55" t="s">
        <v>367</v>
      </c>
      <c r="S55" t="s">
        <v>372</v>
      </c>
      <c r="T55">
        <v>13.98</v>
      </c>
      <c r="U55" t="s">
        <v>376</v>
      </c>
    </row>
    <row r="56" spans="1:21" x14ac:dyDescent="0.25">
      <c r="A56" t="s">
        <v>24</v>
      </c>
      <c r="B56" t="s">
        <v>36</v>
      </c>
      <c r="C56" t="s">
        <v>98</v>
      </c>
      <c r="D56" t="s">
        <v>164</v>
      </c>
      <c r="E56" t="s">
        <v>231</v>
      </c>
      <c r="F56" t="s">
        <v>250</v>
      </c>
      <c r="G56" t="s">
        <v>254</v>
      </c>
      <c r="H56" t="s">
        <v>258</v>
      </c>
      <c r="I56" t="s">
        <v>263</v>
      </c>
      <c r="J56" t="s">
        <v>266</v>
      </c>
      <c r="K56" t="s">
        <v>273</v>
      </c>
      <c r="L56" t="s">
        <v>307</v>
      </c>
      <c r="M56" t="s">
        <v>308</v>
      </c>
      <c r="N56" t="s">
        <v>315</v>
      </c>
      <c r="O56" t="s">
        <v>347</v>
      </c>
      <c r="P56" t="s">
        <v>358</v>
      </c>
      <c r="Q56" t="s">
        <v>347</v>
      </c>
      <c r="R56" t="s">
        <v>367</v>
      </c>
      <c r="S56" t="s">
        <v>374</v>
      </c>
      <c r="T56">
        <v>37.26</v>
      </c>
      <c r="U56" t="s">
        <v>376</v>
      </c>
    </row>
    <row r="57" spans="1:21" x14ac:dyDescent="0.25">
      <c r="A57" t="s">
        <v>24</v>
      </c>
      <c r="B57" t="s">
        <v>36</v>
      </c>
      <c r="C57" t="s">
        <v>99</v>
      </c>
      <c r="D57" t="s">
        <v>165</v>
      </c>
      <c r="E57" t="s">
        <v>232</v>
      </c>
      <c r="F57" t="s">
        <v>252</v>
      </c>
      <c r="G57" t="s">
        <v>253</v>
      </c>
      <c r="H57" t="s">
        <v>258</v>
      </c>
      <c r="I57" t="s">
        <v>263</v>
      </c>
      <c r="J57" t="s">
        <v>266</v>
      </c>
      <c r="K57" t="s">
        <v>299</v>
      </c>
      <c r="L57" t="s">
        <v>307</v>
      </c>
      <c r="M57" t="s">
        <v>308</v>
      </c>
      <c r="N57" t="s">
        <v>313</v>
      </c>
      <c r="O57" t="s">
        <v>320</v>
      </c>
      <c r="P57" t="s">
        <v>358</v>
      </c>
      <c r="Q57" t="s">
        <v>320</v>
      </c>
      <c r="R57" t="s">
        <v>367</v>
      </c>
      <c r="S57" t="s">
        <v>372</v>
      </c>
      <c r="T57">
        <v>14.13</v>
      </c>
      <c r="U57" t="s">
        <v>375</v>
      </c>
    </row>
    <row r="58" spans="1:21" x14ac:dyDescent="0.25">
      <c r="A58" t="s">
        <v>24</v>
      </c>
      <c r="B58" t="s">
        <v>36</v>
      </c>
      <c r="C58" t="s">
        <v>100</v>
      </c>
      <c r="D58" t="s">
        <v>166</v>
      </c>
      <c r="E58" t="s">
        <v>233</v>
      </c>
      <c r="F58" t="s">
        <v>250</v>
      </c>
      <c r="G58" t="s">
        <v>254</v>
      </c>
      <c r="H58" t="s">
        <v>258</v>
      </c>
      <c r="I58" t="s">
        <v>263</v>
      </c>
      <c r="J58" t="s">
        <v>266</v>
      </c>
      <c r="K58" t="s">
        <v>273</v>
      </c>
      <c r="L58" t="s">
        <v>307</v>
      </c>
      <c r="M58" t="s">
        <v>308</v>
      </c>
      <c r="N58" t="s">
        <v>311</v>
      </c>
      <c r="O58" t="s">
        <v>348</v>
      </c>
      <c r="P58" t="s">
        <v>358</v>
      </c>
      <c r="Q58" t="s">
        <v>348</v>
      </c>
      <c r="R58" t="s">
        <v>367</v>
      </c>
      <c r="S58" t="s">
        <v>374</v>
      </c>
      <c r="T58">
        <v>38.74</v>
      </c>
      <c r="U58" t="s">
        <v>376</v>
      </c>
    </row>
    <row r="59" spans="1:21" x14ac:dyDescent="0.25">
      <c r="A59" t="s">
        <v>24</v>
      </c>
      <c r="B59" t="s">
        <v>36</v>
      </c>
      <c r="C59" t="s">
        <v>101</v>
      </c>
      <c r="D59" t="s">
        <v>167</v>
      </c>
      <c r="E59" t="s">
        <v>231</v>
      </c>
      <c r="F59" t="s">
        <v>250</v>
      </c>
      <c r="G59" t="s">
        <v>254</v>
      </c>
      <c r="H59" t="s">
        <v>258</v>
      </c>
      <c r="I59" t="s">
        <v>263</v>
      </c>
      <c r="J59" t="s">
        <v>266</v>
      </c>
      <c r="K59" t="s">
        <v>273</v>
      </c>
      <c r="L59" t="s">
        <v>307</v>
      </c>
      <c r="M59" t="s">
        <v>308</v>
      </c>
      <c r="N59" t="s">
        <v>318</v>
      </c>
      <c r="O59" t="s">
        <v>349</v>
      </c>
      <c r="P59" t="s">
        <v>358</v>
      </c>
      <c r="Q59" t="s">
        <v>349</v>
      </c>
      <c r="R59" t="s">
        <v>367</v>
      </c>
      <c r="S59" t="s">
        <v>374</v>
      </c>
      <c r="T59">
        <v>40.950000000000003</v>
      </c>
      <c r="U59" t="s">
        <v>376</v>
      </c>
    </row>
    <row r="60" spans="1:21" x14ac:dyDescent="0.25">
      <c r="A60" t="s">
        <v>25</v>
      </c>
      <c r="B60" t="s">
        <v>37</v>
      </c>
      <c r="C60" t="s">
        <v>102</v>
      </c>
      <c r="D60" t="s">
        <v>168</v>
      </c>
      <c r="E60" t="s">
        <v>234</v>
      </c>
      <c r="F60" t="s">
        <v>252</v>
      </c>
      <c r="G60" t="s">
        <v>253</v>
      </c>
      <c r="H60" t="s">
        <v>260</v>
      </c>
      <c r="I60" t="s">
        <v>263</v>
      </c>
      <c r="J60" t="s">
        <v>266</v>
      </c>
      <c r="K60" t="s">
        <v>285</v>
      </c>
      <c r="L60" t="s">
        <v>307</v>
      </c>
      <c r="M60" t="s">
        <v>308</v>
      </c>
      <c r="N60" t="s">
        <v>318</v>
      </c>
      <c r="O60" t="s">
        <v>330</v>
      </c>
      <c r="P60" t="s">
        <v>358</v>
      </c>
      <c r="Q60" t="s">
        <v>330</v>
      </c>
      <c r="R60" t="s">
        <v>367</v>
      </c>
      <c r="S60" t="s">
        <v>372</v>
      </c>
      <c r="T60">
        <v>13.98</v>
      </c>
      <c r="U60" t="s">
        <v>376</v>
      </c>
    </row>
    <row r="61" spans="1:21" x14ac:dyDescent="0.25">
      <c r="A61" t="s">
        <v>25</v>
      </c>
      <c r="B61" t="s">
        <v>37</v>
      </c>
      <c r="C61" t="s">
        <v>103</v>
      </c>
      <c r="D61" t="s">
        <v>169</v>
      </c>
      <c r="E61" t="s">
        <v>235</v>
      </c>
      <c r="F61" t="s">
        <v>252</v>
      </c>
      <c r="G61" t="s">
        <v>253</v>
      </c>
      <c r="H61" t="s">
        <v>260</v>
      </c>
      <c r="I61" t="s">
        <v>263</v>
      </c>
      <c r="J61" t="s">
        <v>266</v>
      </c>
      <c r="K61" t="s">
        <v>300</v>
      </c>
      <c r="L61" t="s">
        <v>307</v>
      </c>
      <c r="M61" t="s">
        <v>308</v>
      </c>
      <c r="N61" t="s">
        <v>318</v>
      </c>
      <c r="O61" t="s">
        <v>350</v>
      </c>
      <c r="P61" t="s">
        <v>358</v>
      </c>
      <c r="Q61" t="s">
        <v>350</v>
      </c>
      <c r="R61" t="s">
        <v>367</v>
      </c>
      <c r="S61" t="s">
        <v>372</v>
      </c>
      <c r="T61">
        <v>44.03</v>
      </c>
      <c r="U61" t="s">
        <v>376</v>
      </c>
    </row>
    <row r="62" spans="1:21" x14ac:dyDescent="0.25">
      <c r="A62" t="s">
        <v>25</v>
      </c>
      <c r="B62" t="s">
        <v>37</v>
      </c>
      <c r="C62" t="s">
        <v>104</v>
      </c>
      <c r="D62" t="s">
        <v>170</v>
      </c>
      <c r="E62" t="s">
        <v>236</v>
      </c>
      <c r="F62" t="s">
        <v>252</v>
      </c>
      <c r="G62" t="s">
        <v>253</v>
      </c>
      <c r="H62" t="s">
        <v>260</v>
      </c>
      <c r="I62" t="s">
        <v>263</v>
      </c>
      <c r="J62" t="s">
        <v>266</v>
      </c>
      <c r="K62" t="s">
        <v>272</v>
      </c>
      <c r="L62" t="s">
        <v>307</v>
      </c>
      <c r="M62" t="s">
        <v>308</v>
      </c>
      <c r="N62" t="s">
        <v>318</v>
      </c>
      <c r="O62" t="s">
        <v>330</v>
      </c>
      <c r="P62" t="s">
        <v>358</v>
      </c>
      <c r="Q62" t="s">
        <v>330</v>
      </c>
      <c r="R62" t="s">
        <v>367</v>
      </c>
      <c r="S62" t="s">
        <v>372</v>
      </c>
      <c r="T62">
        <v>13.98</v>
      </c>
      <c r="U62" t="s">
        <v>376</v>
      </c>
    </row>
    <row r="63" spans="1:21" x14ac:dyDescent="0.25">
      <c r="A63" t="s">
        <v>25</v>
      </c>
      <c r="B63" t="s">
        <v>37</v>
      </c>
      <c r="C63" t="s">
        <v>105</v>
      </c>
      <c r="D63" t="s">
        <v>117</v>
      </c>
      <c r="E63" t="s">
        <v>237</v>
      </c>
      <c r="F63" t="s">
        <v>252</v>
      </c>
      <c r="G63" t="s">
        <v>253</v>
      </c>
      <c r="H63" t="s">
        <v>260</v>
      </c>
      <c r="I63" t="s">
        <v>263</v>
      </c>
      <c r="J63" t="s">
        <v>266</v>
      </c>
      <c r="K63" t="s">
        <v>301</v>
      </c>
      <c r="L63" t="s">
        <v>307</v>
      </c>
      <c r="M63" t="s">
        <v>308</v>
      </c>
      <c r="N63" t="s">
        <v>318</v>
      </c>
      <c r="O63" t="s">
        <v>351</v>
      </c>
      <c r="P63" t="s">
        <v>358</v>
      </c>
      <c r="Q63" t="s">
        <v>351</v>
      </c>
      <c r="R63" t="s">
        <v>367</v>
      </c>
      <c r="S63" t="s">
        <v>372</v>
      </c>
      <c r="T63">
        <v>44.78</v>
      </c>
      <c r="U63" t="s">
        <v>376</v>
      </c>
    </row>
    <row r="64" spans="1:21" x14ac:dyDescent="0.25">
      <c r="A64" t="s">
        <v>25</v>
      </c>
      <c r="B64" t="s">
        <v>37</v>
      </c>
      <c r="C64" t="s">
        <v>106</v>
      </c>
      <c r="D64" t="s">
        <v>171</v>
      </c>
      <c r="E64" t="s">
        <v>238</v>
      </c>
      <c r="F64" t="s">
        <v>252</v>
      </c>
      <c r="G64" t="s">
        <v>253</v>
      </c>
      <c r="H64" t="s">
        <v>261</v>
      </c>
      <c r="I64" t="s">
        <v>263</v>
      </c>
      <c r="J64" t="s">
        <v>266</v>
      </c>
      <c r="K64" t="s">
        <v>302</v>
      </c>
      <c r="L64" t="s">
        <v>307</v>
      </c>
      <c r="M64" t="s">
        <v>308</v>
      </c>
      <c r="N64" t="s">
        <v>318</v>
      </c>
      <c r="O64" t="s">
        <v>330</v>
      </c>
      <c r="P64" t="s">
        <v>358</v>
      </c>
      <c r="Q64" t="s">
        <v>330</v>
      </c>
      <c r="R64" t="s">
        <v>367</v>
      </c>
      <c r="S64" t="s">
        <v>372</v>
      </c>
      <c r="T64">
        <v>13.98</v>
      </c>
      <c r="U64" t="s">
        <v>376</v>
      </c>
    </row>
    <row r="65" spans="1:21" x14ac:dyDescent="0.25">
      <c r="A65" t="s">
        <v>26</v>
      </c>
      <c r="B65" t="s">
        <v>38</v>
      </c>
      <c r="C65" t="s">
        <v>107</v>
      </c>
      <c r="D65" t="s">
        <v>172</v>
      </c>
      <c r="E65" t="s">
        <v>239</v>
      </c>
      <c r="F65" t="s">
        <v>249</v>
      </c>
      <c r="G65" t="s">
        <v>253</v>
      </c>
      <c r="H65" t="s">
        <v>255</v>
      </c>
      <c r="I65" t="s">
        <v>263</v>
      </c>
      <c r="J65" t="s">
        <v>270</v>
      </c>
      <c r="K65" t="s">
        <v>303</v>
      </c>
      <c r="L65" t="s">
        <v>307</v>
      </c>
      <c r="M65" t="s">
        <v>308</v>
      </c>
      <c r="N65" t="s">
        <v>314</v>
      </c>
      <c r="O65" t="s">
        <v>352</v>
      </c>
      <c r="P65" t="s">
        <v>358</v>
      </c>
      <c r="Q65" t="s">
        <v>352</v>
      </c>
      <c r="R65" t="s">
        <v>367</v>
      </c>
      <c r="S65" t="s">
        <v>372</v>
      </c>
      <c r="T65">
        <v>27.55</v>
      </c>
      <c r="U65" t="s">
        <v>376</v>
      </c>
    </row>
    <row r="66" spans="1:21" x14ac:dyDescent="0.25">
      <c r="A66" t="s">
        <v>26</v>
      </c>
      <c r="B66" t="s">
        <v>38</v>
      </c>
      <c r="C66" t="s">
        <v>108</v>
      </c>
      <c r="D66" t="s">
        <v>173</v>
      </c>
      <c r="E66" t="s">
        <v>240</v>
      </c>
      <c r="F66" t="s">
        <v>249</v>
      </c>
      <c r="G66" t="s">
        <v>253</v>
      </c>
      <c r="H66" t="s">
        <v>255</v>
      </c>
      <c r="I66" t="s">
        <v>263</v>
      </c>
      <c r="J66" t="s">
        <v>266</v>
      </c>
      <c r="K66" t="s">
        <v>304</v>
      </c>
      <c r="L66" t="s">
        <v>307</v>
      </c>
      <c r="M66" t="s">
        <v>308</v>
      </c>
      <c r="N66" t="s">
        <v>310</v>
      </c>
      <c r="O66" t="s">
        <v>320</v>
      </c>
      <c r="P66" t="s">
        <v>358</v>
      </c>
      <c r="Q66" t="s">
        <v>320</v>
      </c>
      <c r="R66" t="s">
        <v>367</v>
      </c>
      <c r="S66" t="s">
        <v>372</v>
      </c>
      <c r="T66">
        <v>14.13</v>
      </c>
      <c r="U66" t="s">
        <v>376</v>
      </c>
    </row>
    <row r="67" spans="1:21" x14ac:dyDescent="0.25">
      <c r="A67" t="s">
        <v>27</v>
      </c>
      <c r="B67" t="s">
        <v>39</v>
      </c>
      <c r="C67" t="s">
        <v>109</v>
      </c>
      <c r="D67" t="s">
        <v>174</v>
      </c>
      <c r="E67" t="s">
        <v>241</v>
      </c>
      <c r="F67" t="s">
        <v>249</v>
      </c>
      <c r="G67" t="s">
        <v>253</v>
      </c>
      <c r="H67" t="s">
        <v>255</v>
      </c>
      <c r="I67" t="s">
        <v>263</v>
      </c>
      <c r="J67" t="s">
        <v>266</v>
      </c>
      <c r="K67" t="s">
        <v>273</v>
      </c>
      <c r="L67" t="s">
        <v>307</v>
      </c>
      <c r="M67" t="s">
        <v>308</v>
      </c>
      <c r="N67" t="s">
        <v>312</v>
      </c>
      <c r="O67" t="s">
        <v>352</v>
      </c>
      <c r="P67" t="s">
        <v>358</v>
      </c>
      <c r="Q67" t="s">
        <v>352</v>
      </c>
      <c r="R67" t="s">
        <v>367</v>
      </c>
      <c r="S67" t="s">
        <v>372</v>
      </c>
      <c r="T67">
        <v>27.55</v>
      </c>
      <c r="U67" t="s">
        <v>376</v>
      </c>
    </row>
    <row r="68" spans="1:21" x14ac:dyDescent="0.25">
      <c r="A68" t="s">
        <v>28</v>
      </c>
      <c r="B68" t="s">
        <v>40</v>
      </c>
      <c r="C68" t="s">
        <v>110</v>
      </c>
      <c r="D68" t="s">
        <v>175</v>
      </c>
      <c r="E68" t="s">
        <v>242</v>
      </c>
      <c r="F68" t="s">
        <v>252</v>
      </c>
      <c r="G68" t="s">
        <v>253</v>
      </c>
      <c r="H68" t="s">
        <v>262</v>
      </c>
      <c r="I68" t="s">
        <v>263</v>
      </c>
      <c r="J68" t="s">
        <v>266</v>
      </c>
      <c r="K68" t="s">
        <v>292</v>
      </c>
      <c r="L68" t="s">
        <v>307</v>
      </c>
      <c r="M68" t="s">
        <v>308</v>
      </c>
      <c r="N68" t="s">
        <v>312</v>
      </c>
      <c r="O68" t="s">
        <v>320</v>
      </c>
      <c r="P68" t="s">
        <v>358</v>
      </c>
      <c r="Q68" t="s">
        <v>320</v>
      </c>
      <c r="R68" t="s">
        <v>367</v>
      </c>
      <c r="S68" t="s">
        <v>372</v>
      </c>
      <c r="T68">
        <v>14.13</v>
      </c>
      <c r="U68" t="s">
        <v>376</v>
      </c>
    </row>
    <row r="69" spans="1:21" x14ac:dyDescent="0.25">
      <c r="A69" t="s">
        <v>28</v>
      </c>
      <c r="B69" t="s">
        <v>40</v>
      </c>
      <c r="C69" t="s">
        <v>111</v>
      </c>
      <c r="D69" t="s">
        <v>176</v>
      </c>
      <c r="E69" t="s">
        <v>243</v>
      </c>
      <c r="F69" t="s">
        <v>252</v>
      </c>
      <c r="G69" t="s">
        <v>253</v>
      </c>
      <c r="H69" t="s">
        <v>262</v>
      </c>
      <c r="I69" t="s">
        <v>263</v>
      </c>
      <c r="J69" t="s">
        <v>266</v>
      </c>
      <c r="K69" t="s">
        <v>287</v>
      </c>
      <c r="L69" t="s">
        <v>307</v>
      </c>
      <c r="M69" t="s">
        <v>308</v>
      </c>
      <c r="N69" t="s">
        <v>313</v>
      </c>
      <c r="O69" t="s">
        <v>353</v>
      </c>
      <c r="P69" t="s">
        <v>358</v>
      </c>
      <c r="Q69" t="s">
        <v>353</v>
      </c>
      <c r="R69" t="s">
        <v>367</v>
      </c>
      <c r="S69" t="s">
        <v>372</v>
      </c>
      <c r="T69">
        <v>11.93</v>
      </c>
      <c r="U69" t="s">
        <v>375</v>
      </c>
    </row>
    <row r="70" spans="1:21" x14ac:dyDescent="0.25">
      <c r="A70" t="s">
        <v>28</v>
      </c>
      <c r="B70" t="s">
        <v>40</v>
      </c>
      <c r="C70" t="s">
        <v>112</v>
      </c>
      <c r="D70" t="s">
        <v>177</v>
      </c>
      <c r="E70" t="s">
        <v>244</v>
      </c>
      <c r="F70" t="s">
        <v>252</v>
      </c>
      <c r="G70" t="s">
        <v>253</v>
      </c>
      <c r="H70" t="s">
        <v>262</v>
      </c>
      <c r="I70" t="s">
        <v>263</v>
      </c>
      <c r="J70" t="s">
        <v>266</v>
      </c>
      <c r="K70" t="s">
        <v>273</v>
      </c>
      <c r="L70" t="s">
        <v>307</v>
      </c>
      <c r="M70" t="s">
        <v>308</v>
      </c>
      <c r="N70" t="s">
        <v>310</v>
      </c>
      <c r="O70" t="s">
        <v>320</v>
      </c>
      <c r="P70" t="s">
        <v>358</v>
      </c>
      <c r="Q70" t="s">
        <v>320</v>
      </c>
      <c r="R70" t="s">
        <v>367</v>
      </c>
      <c r="S70" t="s">
        <v>372</v>
      </c>
      <c r="T70">
        <v>14.13</v>
      </c>
      <c r="U70" t="s">
        <v>376</v>
      </c>
    </row>
    <row r="71" spans="1:21" x14ac:dyDescent="0.25">
      <c r="A71" t="s">
        <v>29</v>
      </c>
      <c r="B71" t="s">
        <v>41</v>
      </c>
      <c r="C71" t="s">
        <v>113</v>
      </c>
      <c r="D71" t="s">
        <v>178</v>
      </c>
      <c r="E71" t="s">
        <v>245</v>
      </c>
      <c r="F71" t="s">
        <v>250</v>
      </c>
      <c r="G71" t="s">
        <v>254</v>
      </c>
      <c r="H71" t="s">
        <v>257</v>
      </c>
      <c r="I71" t="s">
        <v>263</v>
      </c>
      <c r="J71" t="s">
        <v>266</v>
      </c>
      <c r="K71" t="s">
        <v>305</v>
      </c>
      <c r="L71" t="s">
        <v>307</v>
      </c>
      <c r="M71" t="s">
        <v>309</v>
      </c>
      <c r="N71" t="s">
        <v>314</v>
      </c>
      <c r="O71" t="s">
        <v>354</v>
      </c>
      <c r="P71" t="s">
        <v>358</v>
      </c>
      <c r="Q71" t="s">
        <v>364</v>
      </c>
      <c r="R71" t="s">
        <v>367</v>
      </c>
      <c r="S71" t="s">
        <v>373</v>
      </c>
      <c r="T71">
        <v>36.11</v>
      </c>
      <c r="U71" t="s">
        <v>376</v>
      </c>
    </row>
    <row r="72" spans="1:21" x14ac:dyDescent="0.25">
      <c r="A72" t="s">
        <v>30</v>
      </c>
      <c r="B72" t="s">
        <v>42</v>
      </c>
      <c r="C72" t="s">
        <v>114</v>
      </c>
      <c r="D72" t="s">
        <v>179</v>
      </c>
      <c r="E72" t="s">
        <v>246</v>
      </c>
      <c r="F72" t="s">
        <v>250</v>
      </c>
      <c r="G72" t="s">
        <v>254</v>
      </c>
      <c r="H72" t="s">
        <v>257</v>
      </c>
      <c r="I72" t="s">
        <v>265</v>
      </c>
      <c r="J72" t="s">
        <v>266</v>
      </c>
      <c r="K72" t="s">
        <v>273</v>
      </c>
      <c r="L72" t="s">
        <v>307</v>
      </c>
      <c r="M72" t="s">
        <v>308</v>
      </c>
      <c r="N72" t="s">
        <v>312</v>
      </c>
      <c r="O72" t="s">
        <v>355</v>
      </c>
      <c r="P72" t="s">
        <v>358</v>
      </c>
      <c r="Q72" t="s">
        <v>365</v>
      </c>
      <c r="R72" t="s">
        <v>367</v>
      </c>
      <c r="S72" t="s">
        <v>373</v>
      </c>
      <c r="T72">
        <v>24.27</v>
      </c>
      <c r="U72" t="s">
        <v>376</v>
      </c>
    </row>
    <row r="73" spans="1:21" x14ac:dyDescent="0.25">
      <c r="A73" t="s">
        <v>31</v>
      </c>
      <c r="B73" t="s">
        <v>43</v>
      </c>
      <c r="C73" t="s">
        <v>115</v>
      </c>
      <c r="D73" t="s">
        <v>180</v>
      </c>
      <c r="E73" t="s">
        <v>247</v>
      </c>
      <c r="F73" t="s">
        <v>252</v>
      </c>
      <c r="G73" t="s">
        <v>253</v>
      </c>
      <c r="H73" t="s">
        <v>257</v>
      </c>
      <c r="I73" t="s">
        <v>265</v>
      </c>
      <c r="J73" t="s">
        <v>266</v>
      </c>
      <c r="K73" t="s">
        <v>306</v>
      </c>
      <c r="L73" t="s">
        <v>307</v>
      </c>
      <c r="M73" t="s">
        <v>308</v>
      </c>
      <c r="N73" t="s">
        <v>318</v>
      </c>
      <c r="O73" t="s">
        <v>356</v>
      </c>
      <c r="P73" t="s">
        <v>358</v>
      </c>
      <c r="Q73" t="s">
        <v>356</v>
      </c>
      <c r="R73" t="s">
        <v>367</v>
      </c>
      <c r="S73" t="s">
        <v>372</v>
      </c>
      <c r="T73">
        <v>14.88</v>
      </c>
      <c r="U73" t="s">
        <v>376</v>
      </c>
    </row>
    <row r="74" spans="1:21" x14ac:dyDescent="0.25">
      <c r="A74" t="s">
        <v>32</v>
      </c>
      <c r="B74" t="s">
        <v>44</v>
      </c>
      <c r="C74" t="s">
        <v>116</v>
      </c>
      <c r="D74" t="s">
        <v>181</v>
      </c>
      <c r="E74" t="s">
        <v>248</v>
      </c>
      <c r="F74" t="s">
        <v>251</v>
      </c>
      <c r="G74" t="s">
        <v>254</v>
      </c>
      <c r="H74" t="s">
        <v>255</v>
      </c>
      <c r="I74" t="s">
        <v>263</v>
      </c>
      <c r="J74" t="s">
        <v>271</v>
      </c>
      <c r="K74" t="s">
        <v>297</v>
      </c>
      <c r="L74" t="s">
        <v>307</v>
      </c>
      <c r="M74" t="s">
        <v>309</v>
      </c>
      <c r="N74" t="s">
        <v>310</v>
      </c>
      <c r="O74" t="s">
        <v>357</v>
      </c>
      <c r="P74" t="s">
        <v>358</v>
      </c>
      <c r="Q74" t="s">
        <v>366</v>
      </c>
      <c r="R74" t="s">
        <v>367</v>
      </c>
      <c r="S74" t="s">
        <v>371</v>
      </c>
      <c r="T74">
        <v>2.16</v>
      </c>
      <c r="U74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EE8C-0627-4DE8-8602-6153F42CF338}">
  <dimension ref="A1:AA143"/>
  <sheetViews>
    <sheetView tabSelected="1" topLeftCell="B7" workbookViewId="0">
      <selection activeCell="D50" sqref="D50"/>
    </sheetView>
  </sheetViews>
  <sheetFormatPr defaultColWidth="9.28515625"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15.28515625" customWidth="1"/>
    <col min="5" max="5" width="11.140625" customWidth="1"/>
    <col min="6" max="6" width="10.28515625" bestFit="1" customWidth="1"/>
    <col min="7" max="7" width="22" bestFit="1" customWidth="1"/>
    <col min="8" max="8" width="5.85546875" customWidth="1"/>
    <col min="9" max="10" width="11.140625" bestFit="1" customWidth="1"/>
    <col min="11" max="11" width="11.140625" style="2" customWidth="1"/>
    <col min="12" max="12" width="6.140625" customWidth="1"/>
    <col min="13" max="14" width="8.42578125" customWidth="1"/>
    <col min="15" max="15" width="11.85546875" customWidth="1"/>
    <col min="16" max="16" width="8.5703125" customWidth="1"/>
    <col min="17" max="17" width="7.140625" customWidth="1"/>
    <col min="19" max="19" width="52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8"/>
      <c r="M1" s="1"/>
      <c r="N1" s="1"/>
      <c r="O1" s="1" t="s">
        <v>11</v>
      </c>
      <c r="P1" s="1" t="s">
        <v>16</v>
      </c>
      <c r="Q1" s="1" t="s">
        <v>18</v>
      </c>
      <c r="R1" s="1" t="s">
        <v>19</v>
      </c>
    </row>
    <row r="2" spans="1:27" s="3" customFormat="1" x14ac:dyDescent="0.25">
      <c r="A2" s="3" t="s">
        <v>22</v>
      </c>
      <c r="B2" s="7">
        <v>19491313</v>
      </c>
      <c r="C2" s="3" t="s">
        <v>46</v>
      </c>
      <c r="D2" s="3" t="s">
        <v>46</v>
      </c>
      <c r="E2" s="3" t="s">
        <v>118</v>
      </c>
      <c r="F2" s="3" t="s">
        <v>183</v>
      </c>
      <c r="G2" s="3" t="s">
        <v>422</v>
      </c>
      <c r="H2" s="3" t="s">
        <v>254</v>
      </c>
      <c r="I2" s="3" t="s">
        <v>256</v>
      </c>
      <c r="J2" s="4">
        <v>46174</v>
      </c>
      <c r="K2" s="4">
        <v>46204</v>
      </c>
      <c r="L2" s="5">
        <f>DATEDIF(J2,K2,"M")</f>
        <v>1</v>
      </c>
      <c r="M2" s="4" t="s">
        <v>419</v>
      </c>
      <c r="N2" s="4" t="s">
        <v>420</v>
      </c>
      <c r="O2" s="3" t="s">
        <v>307</v>
      </c>
      <c r="P2" s="5">
        <v>143.78</v>
      </c>
      <c r="Q2" s="6">
        <v>0.21</v>
      </c>
      <c r="R2" s="3">
        <v>30.19</v>
      </c>
      <c r="S2" s="3" t="s">
        <v>397</v>
      </c>
      <c r="T2" s="3">
        <f>27.05+1.88+1.27</f>
        <v>30.2</v>
      </c>
    </row>
    <row r="3" spans="1:27" s="3" customFormat="1" x14ac:dyDescent="0.25">
      <c r="A3" s="3" t="s">
        <v>391</v>
      </c>
      <c r="B3" s="7" t="s">
        <v>416</v>
      </c>
      <c r="C3" s="3" t="s">
        <v>94</v>
      </c>
      <c r="D3" s="3" t="s">
        <v>94</v>
      </c>
      <c r="E3" s="3" t="s">
        <v>160</v>
      </c>
      <c r="F3" s="3" t="s">
        <v>227</v>
      </c>
      <c r="G3" s="3" t="s">
        <v>423</v>
      </c>
      <c r="H3" s="3" t="s">
        <v>254</v>
      </c>
      <c r="I3" s="3" t="s">
        <v>259</v>
      </c>
      <c r="J3" s="4">
        <v>46143</v>
      </c>
      <c r="K3" s="4">
        <v>46174</v>
      </c>
      <c r="L3" s="5">
        <f>DATEDIF(J3,K3,"M")</f>
        <v>1</v>
      </c>
      <c r="M3" s="4" t="s">
        <v>417</v>
      </c>
      <c r="N3" s="4" t="s">
        <v>418</v>
      </c>
      <c r="O3" s="3" t="s">
        <v>307</v>
      </c>
      <c r="P3" s="5">
        <v>176.65</v>
      </c>
      <c r="Q3" s="6">
        <v>0.21</v>
      </c>
      <c r="R3" s="3">
        <v>37.1</v>
      </c>
      <c r="S3" s="3" t="s">
        <v>397</v>
      </c>
      <c r="T3" s="3">
        <f>33.23+2.31+1.55</f>
        <v>37.089999999999996</v>
      </c>
    </row>
    <row r="4" spans="1:27" s="3" customFormat="1" x14ac:dyDescent="0.25">
      <c r="A4" s="3" t="s">
        <v>391</v>
      </c>
      <c r="B4" s="7" t="s">
        <v>416</v>
      </c>
      <c r="C4" s="3" t="s">
        <v>100</v>
      </c>
      <c r="D4" s="3" t="s">
        <v>100</v>
      </c>
      <c r="E4" s="3" t="s">
        <v>166</v>
      </c>
      <c r="F4" s="3" t="s">
        <v>233</v>
      </c>
      <c r="G4" s="3" t="s">
        <v>424</v>
      </c>
      <c r="H4" s="3" t="s">
        <v>254</v>
      </c>
      <c r="I4" s="3" t="s">
        <v>258</v>
      </c>
      <c r="J4" s="4">
        <v>46143</v>
      </c>
      <c r="K4" s="4">
        <v>46174</v>
      </c>
      <c r="L4" s="5">
        <f>DATEDIF(J4,K4,"M")</f>
        <v>1</v>
      </c>
      <c r="M4" s="4" t="s">
        <v>417</v>
      </c>
      <c r="N4" s="4" t="s">
        <v>418</v>
      </c>
      <c r="O4" s="3" t="s">
        <v>307</v>
      </c>
      <c r="P4" s="5">
        <v>166.99</v>
      </c>
      <c r="Q4" s="6">
        <v>0.23200000000000001</v>
      </c>
      <c r="R4" s="3">
        <v>38.74</v>
      </c>
      <c r="S4" s="3" t="s">
        <v>401</v>
      </c>
      <c r="T4" s="3">
        <f>24.35+3.32+11.07</f>
        <v>38.74</v>
      </c>
    </row>
    <row r="5" spans="1:27" s="3" customFormat="1" x14ac:dyDescent="0.25">
      <c r="A5" s="3" t="s">
        <v>23</v>
      </c>
      <c r="B5" s="7" t="s">
        <v>414</v>
      </c>
      <c r="C5" s="3" t="s">
        <v>84</v>
      </c>
      <c r="D5" s="3" t="s">
        <v>84</v>
      </c>
      <c r="E5" s="3" t="s">
        <v>151</v>
      </c>
      <c r="F5" s="3" t="s">
        <v>218</v>
      </c>
      <c r="G5" s="3" t="s">
        <v>425</v>
      </c>
      <c r="H5" s="3" t="s">
        <v>253</v>
      </c>
      <c r="I5" s="3" t="s">
        <v>257</v>
      </c>
      <c r="J5" s="4">
        <v>46143</v>
      </c>
      <c r="K5" s="4">
        <v>46174</v>
      </c>
      <c r="L5" s="5">
        <f>DATEDIF(J5,K5,"M")</f>
        <v>1</v>
      </c>
      <c r="M5" s="4" t="s">
        <v>417</v>
      </c>
      <c r="N5" s="4" t="s">
        <v>418</v>
      </c>
      <c r="O5" s="3" t="s">
        <v>307</v>
      </c>
      <c r="P5" s="5">
        <v>64.98</v>
      </c>
      <c r="Q5" s="6">
        <v>0.25</v>
      </c>
      <c r="R5" s="3">
        <v>16.25</v>
      </c>
      <c r="S5" s="3" t="s">
        <v>396</v>
      </c>
      <c r="T5" s="3">
        <f>9.75+1.39+5.11</f>
        <v>16.25</v>
      </c>
    </row>
    <row r="6" spans="1:27" s="9" customFormat="1" x14ac:dyDescent="0.25">
      <c r="A6" s="9" t="s">
        <v>25</v>
      </c>
      <c r="B6" s="10" t="s">
        <v>404</v>
      </c>
      <c r="C6" s="9" t="s">
        <v>102</v>
      </c>
      <c r="D6" s="9" t="s">
        <v>102</v>
      </c>
      <c r="E6" s="9" t="s">
        <v>168</v>
      </c>
      <c r="F6" s="9" t="s">
        <v>234</v>
      </c>
      <c r="G6" s="9" t="s">
        <v>426</v>
      </c>
      <c r="H6" s="9" t="s">
        <v>253</v>
      </c>
      <c r="I6" s="9" t="s">
        <v>260</v>
      </c>
      <c r="J6" s="11">
        <v>46113</v>
      </c>
      <c r="K6" s="11">
        <v>46174</v>
      </c>
      <c r="L6" s="12">
        <f>DATEDIF(J6,K6,"M")</f>
        <v>2</v>
      </c>
      <c r="M6" s="11" t="s">
        <v>419</v>
      </c>
      <c r="N6" s="11" t="s">
        <v>421</v>
      </c>
      <c r="O6" s="9" t="s">
        <v>307</v>
      </c>
      <c r="P6" s="12">
        <v>55.9</v>
      </c>
      <c r="Q6" s="13">
        <v>0.25</v>
      </c>
      <c r="R6" s="9">
        <v>13.98</v>
      </c>
      <c r="S6" s="9" t="s">
        <v>396</v>
      </c>
    </row>
    <row r="7" spans="1:27" x14ac:dyDescent="0.25">
      <c r="A7" s="9" t="s">
        <v>25</v>
      </c>
      <c r="B7" s="10" t="s">
        <v>404</v>
      </c>
      <c r="C7" s="9" t="s">
        <v>103</v>
      </c>
      <c r="D7" s="9" t="s">
        <v>103</v>
      </c>
      <c r="E7" s="9" t="s">
        <v>169</v>
      </c>
      <c r="F7" s="9" t="s">
        <v>235</v>
      </c>
      <c r="G7" s="9" t="s">
        <v>427</v>
      </c>
      <c r="H7" s="9" t="s">
        <v>253</v>
      </c>
      <c r="I7" s="9" t="s">
        <v>260</v>
      </c>
      <c r="J7" s="11">
        <v>46113</v>
      </c>
      <c r="K7" s="11">
        <v>46174</v>
      </c>
      <c r="L7" s="12">
        <f>DATEDIF(J7,K7,"M")</f>
        <v>2</v>
      </c>
      <c r="M7" s="11" t="s">
        <v>419</v>
      </c>
      <c r="N7" s="11" t="s">
        <v>421</v>
      </c>
      <c r="O7" s="9" t="s">
        <v>307</v>
      </c>
      <c r="P7" s="12">
        <v>176.1</v>
      </c>
      <c r="Q7" s="13">
        <v>0.25</v>
      </c>
      <c r="R7" s="9">
        <v>44.03</v>
      </c>
      <c r="S7" s="9" t="s">
        <v>396</v>
      </c>
      <c r="T7" s="9"/>
      <c r="U7" s="9"/>
      <c r="V7" s="9"/>
      <c r="W7" s="9"/>
      <c r="X7" s="9"/>
      <c r="Y7" s="9"/>
      <c r="Z7" s="9"/>
      <c r="AA7" s="9"/>
    </row>
    <row r="8" spans="1:27" s="9" customFormat="1" x14ac:dyDescent="0.25">
      <c r="A8" s="9" t="s">
        <v>25</v>
      </c>
      <c r="B8" s="10" t="s">
        <v>404</v>
      </c>
      <c r="C8" s="9" t="s">
        <v>104</v>
      </c>
      <c r="D8" s="9" t="s">
        <v>104</v>
      </c>
      <c r="E8" s="9" t="s">
        <v>170</v>
      </c>
      <c r="F8" s="9" t="s">
        <v>236</v>
      </c>
      <c r="G8" s="9" t="s">
        <v>428</v>
      </c>
      <c r="H8" s="9" t="s">
        <v>253</v>
      </c>
      <c r="I8" s="9" t="s">
        <v>260</v>
      </c>
      <c r="J8" s="11">
        <v>46113</v>
      </c>
      <c r="K8" s="11">
        <v>46174</v>
      </c>
      <c r="L8" s="12">
        <f>DATEDIF(J8,K8,"M")</f>
        <v>2</v>
      </c>
      <c r="M8" s="11" t="s">
        <v>419</v>
      </c>
      <c r="N8" s="11" t="s">
        <v>421</v>
      </c>
      <c r="O8" s="9" t="s">
        <v>307</v>
      </c>
      <c r="P8" s="12">
        <v>55.9</v>
      </c>
      <c r="Q8" s="13">
        <v>0.25</v>
      </c>
      <c r="R8" s="9">
        <v>13.98</v>
      </c>
      <c r="S8" s="9" t="s">
        <v>396</v>
      </c>
    </row>
    <row r="9" spans="1:27" x14ac:dyDescent="0.25">
      <c r="A9" s="9" t="s">
        <v>25</v>
      </c>
      <c r="B9" s="10" t="s">
        <v>404</v>
      </c>
      <c r="C9" s="9" t="s">
        <v>105</v>
      </c>
      <c r="D9" s="9" t="s">
        <v>105</v>
      </c>
      <c r="E9" s="9" t="s">
        <v>117</v>
      </c>
      <c r="F9" s="9" t="s">
        <v>237</v>
      </c>
      <c r="G9" s="9" t="s">
        <v>429</v>
      </c>
      <c r="H9" s="9" t="s">
        <v>253</v>
      </c>
      <c r="I9" s="9" t="s">
        <v>260</v>
      </c>
      <c r="J9" s="11">
        <v>46113</v>
      </c>
      <c r="K9" s="11">
        <v>46174</v>
      </c>
      <c r="L9" s="12">
        <f>DATEDIF(J9,K9,"M")</f>
        <v>2</v>
      </c>
      <c r="M9" s="11" t="s">
        <v>419</v>
      </c>
      <c r="N9" s="11" t="s">
        <v>421</v>
      </c>
      <c r="O9" s="9" t="s">
        <v>307</v>
      </c>
      <c r="P9" s="12">
        <v>179.1</v>
      </c>
      <c r="Q9" s="13">
        <v>0.25</v>
      </c>
      <c r="R9" s="9">
        <v>44.78</v>
      </c>
      <c r="S9" s="9" t="s">
        <v>396</v>
      </c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 t="s">
        <v>25</v>
      </c>
      <c r="B10" s="10" t="s">
        <v>404</v>
      </c>
      <c r="C10" s="9" t="s">
        <v>106</v>
      </c>
      <c r="D10" s="9" t="s">
        <v>106</v>
      </c>
      <c r="E10" s="9" t="s">
        <v>171</v>
      </c>
      <c r="F10" s="9" t="s">
        <v>238</v>
      </c>
      <c r="G10" s="9" t="s">
        <v>430</v>
      </c>
      <c r="H10" s="9" t="s">
        <v>253</v>
      </c>
      <c r="I10" s="9" t="s">
        <v>261</v>
      </c>
      <c r="J10" s="11">
        <v>46113</v>
      </c>
      <c r="K10" s="11">
        <v>46174</v>
      </c>
      <c r="L10" s="12">
        <f>DATEDIF(J10,K10,"M")</f>
        <v>2</v>
      </c>
      <c r="M10" s="11" t="s">
        <v>419</v>
      </c>
      <c r="N10" s="11" t="s">
        <v>421</v>
      </c>
      <c r="O10" s="9" t="s">
        <v>307</v>
      </c>
      <c r="P10" s="12">
        <v>55.9</v>
      </c>
      <c r="Q10" s="13">
        <v>0.25</v>
      </c>
      <c r="R10" s="9">
        <v>13.98</v>
      </c>
      <c r="S10" s="9" t="s">
        <v>396</v>
      </c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 t="s">
        <v>31</v>
      </c>
      <c r="B11" s="10" t="s">
        <v>406</v>
      </c>
      <c r="C11" s="9" t="s">
        <v>115</v>
      </c>
      <c r="D11" s="9" t="s">
        <v>115</v>
      </c>
      <c r="E11" s="9" t="s">
        <v>180</v>
      </c>
      <c r="F11" s="9" t="s">
        <v>247</v>
      </c>
      <c r="G11" s="9" t="s">
        <v>431</v>
      </c>
      <c r="H11" s="9" t="s">
        <v>253</v>
      </c>
      <c r="I11" s="9" t="s">
        <v>257</v>
      </c>
      <c r="J11" s="11">
        <v>46113</v>
      </c>
      <c r="K11" s="11">
        <v>46174</v>
      </c>
      <c r="L11" s="12">
        <f>DATEDIF(J11,K11,"M")</f>
        <v>2</v>
      </c>
      <c r="M11" s="11" t="s">
        <v>419</v>
      </c>
      <c r="N11" s="11" t="s">
        <v>421</v>
      </c>
      <c r="O11" s="9" t="s">
        <v>307</v>
      </c>
      <c r="P11" s="12">
        <v>59.5</v>
      </c>
      <c r="Q11" s="13">
        <v>0.25</v>
      </c>
      <c r="R11" s="9">
        <v>14.88</v>
      </c>
      <c r="S11" s="9" t="s">
        <v>396</v>
      </c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 t="s">
        <v>391</v>
      </c>
      <c r="B12" s="10" t="s">
        <v>407</v>
      </c>
      <c r="C12" s="9" t="s">
        <v>91</v>
      </c>
      <c r="D12" s="9" t="s">
        <v>91</v>
      </c>
      <c r="E12" s="9" t="s">
        <v>157</v>
      </c>
      <c r="F12" s="9" t="s">
        <v>225</v>
      </c>
      <c r="G12" s="9" t="s">
        <v>432</v>
      </c>
      <c r="H12" s="9" t="s">
        <v>254</v>
      </c>
      <c r="I12" s="9" t="s">
        <v>258</v>
      </c>
      <c r="J12" s="11">
        <v>46113</v>
      </c>
      <c r="K12" s="11">
        <v>46174</v>
      </c>
      <c r="L12" s="12">
        <f>DATEDIF(J12,K12,"M")</f>
        <v>2</v>
      </c>
      <c r="M12" s="11" t="s">
        <v>419</v>
      </c>
      <c r="N12" s="11" t="s">
        <v>421</v>
      </c>
      <c r="O12" s="9" t="s">
        <v>307</v>
      </c>
      <c r="P12" s="12">
        <v>172.69</v>
      </c>
      <c r="Q12" s="13">
        <v>0.23200000000000001</v>
      </c>
      <c r="R12" s="9">
        <v>40.06</v>
      </c>
      <c r="S12" s="9" t="s">
        <v>401</v>
      </c>
      <c r="T12" s="9">
        <f>25.18+3.44+11.45</f>
        <v>40.07</v>
      </c>
      <c r="U12" s="9"/>
      <c r="V12" s="9"/>
      <c r="W12" s="9"/>
      <c r="X12" s="9"/>
      <c r="Y12" s="9"/>
      <c r="Z12" s="9"/>
      <c r="AA12" s="9"/>
    </row>
    <row r="13" spans="1:27" x14ac:dyDescent="0.25">
      <c r="A13" s="9" t="s">
        <v>391</v>
      </c>
      <c r="B13" s="10" t="s">
        <v>407</v>
      </c>
      <c r="C13" s="9" t="s">
        <v>92</v>
      </c>
      <c r="D13" s="9" t="s">
        <v>92</v>
      </c>
      <c r="E13" s="9" t="s">
        <v>158</v>
      </c>
      <c r="F13" s="9" t="s">
        <v>226</v>
      </c>
      <c r="G13" s="9" t="s">
        <v>433</v>
      </c>
      <c r="H13" s="9" t="s">
        <v>254</v>
      </c>
      <c r="I13" s="9" t="s">
        <v>258</v>
      </c>
      <c r="J13" s="11">
        <v>46113</v>
      </c>
      <c r="K13" s="11">
        <v>46174</v>
      </c>
      <c r="L13" s="12">
        <f>DATEDIF(J13,K13,"M")</f>
        <v>2</v>
      </c>
      <c r="M13" s="11" t="s">
        <v>419</v>
      </c>
      <c r="N13" s="11" t="s">
        <v>421</v>
      </c>
      <c r="O13" s="9" t="s">
        <v>307</v>
      </c>
      <c r="P13" s="12">
        <v>188.7</v>
      </c>
      <c r="Q13" s="13">
        <v>0.23200000000000001</v>
      </c>
      <c r="R13" s="9">
        <v>43.78</v>
      </c>
      <c r="S13" s="9" t="s">
        <v>401</v>
      </c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 t="s">
        <v>391</v>
      </c>
      <c r="B14" s="10" t="s">
        <v>407</v>
      </c>
      <c r="C14" s="9" t="s">
        <v>93</v>
      </c>
      <c r="D14" s="9" t="s">
        <v>93</v>
      </c>
      <c r="E14" s="9" t="s">
        <v>159</v>
      </c>
      <c r="F14" s="9" t="s">
        <v>225</v>
      </c>
      <c r="G14" s="9" t="s">
        <v>434</v>
      </c>
      <c r="H14" s="9" t="s">
        <v>254</v>
      </c>
      <c r="I14" s="9" t="s">
        <v>258</v>
      </c>
      <c r="J14" s="11">
        <v>46113</v>
      </c>
      <c r="K14" s="11">
        <v>46174</v>
      </c>
      <c r="L14" s="12">
        <f>DATEDIF(J14,K14,"M")</f>
        <v>2</v>
      </c>
      <c r="M14" s="11" t="s">
        <v>419</v>
      </c>
      <c r="N14" s="11" t="s">
        <v>421</v>
      </c>
      <c r="O14" s="9" t="s">
        <v>307</v>
      </c>
      <c r="P14" s="12">
        <v>190.86</v>
      </c>
      <c r="Q14" s="13">
        <v>0.23200000000000001</v>
      </c>
      <c r="R14" s="9">
        <v>44.28</v>
      </c>
      <c r="S14" s="9" t="s">
        <v>401</v>
      </c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 t="s">
        <v>391</v>
      </c>
      <c r="B15" s="10" t="s">
        <v>407</v>
      </c>
      <c r="C15" s="9" t="s">
        <v>95</v>
      </c>
      <c r="D15" s="9" t="s">
        <v>95</v>
      </c>
      <c r="E15" s="9" t="s">
        <v>161</v>
      </c>
      <c r="F15" s="9" t="s">
        <v>228</v>
      </c>
      <c r="G15" s="9" t="s">
        <v>435</v>
      </c>
      <c r="H15" s="9" t="s">
        <v>254</v>
      </c>
      <c r="I15" s="9" t="s">
        <v>258</v>
      </c>
      <c r="J15" s="11">
        <v>46113</v>
      </c>
      <c r="K15" s="11">
        <v>46174</v>
      </c>
      <c r="L15" s="12">
        <f>DATEDIF(J15,K15,"M")</f>
        <v>2</v>
      </c>
      <c r="M15" s="11" t="s">
        <v>419</v>
      </c>
      <c r="N15" s="11" t="s">
        <v>421</v>
      </c>
      <c r="O15" s="9" t="s">
        <v>307</v>
      </c>
      <c r="P15" s="12">
        <v>151.07</v>
      </c>
      <c r="Q15" s="13">
        <v>0.23200000000000001</v>
      </c>
      <c r="R15" s="9">
        <v>35.049999999999997</v>
      </c>
      <c r="S15" s="9" t="s">
        <v>401</v>
      </c>
      <c r="T15" s="9"/>
      <c r="U15" s="9"/>
      <c r="V15" s="9"/>
      <c r="W15" s="9"/>
      <c r="X15" s="9"/>
      <c r="Y15" s="9"/>
      <c r="Z15" s="9"/>
      <c r="AA15" s="9"/>
    </row>
    <row r="16" spans="1:27" x14ac:dyDescent="0.25">
      <c r="A16" s="9" t="s">
        <v>391</v>
      </c>
      <c r="B16" s="10" t="s">
        <v>407</v>
      </c>
      <c r="C16" s="9" t="s">
        <v>101</v>
      </c>
      <c r="D16" s="9" t="s">
        <v>101</v>
      </c>
      <c r="E16" s="9" t="s">
        <v>167</v>
      </c>
      <c r="F16" s="9" t="s">
        <v>231</v>
      </c>
      <c r="G16" s="9" t="s">
        <v>436</v>
      </c>
      <c r="H16" s="9" t="s">
        <v>254</v>
      </c>
      <c r="I16" s="9" t="s">
        <v>258</v>
      </c>
      <c r="J16" s="11">
        <v>46113</v>
      </c>
      <c r="K16" s="11">
        <v>46174</v>
      </c>
      <c r="L16" s="12">
        <f>DATEDIF(J16,K16,"M")</f>
        <v>2</v>
      </c>
      <c r="M16" s="11" t="s">
        <v>419</v>
      </c>
      <c r="N16" s="11" t="s">
        <v>421</v>
      </c>
      <c r="O16" s="9" t="s">
        <v>307</v>
      </c>
      <c r="P16" s="12">
        <v>176.52</v>
      </c>
      <c r="Q16" s="13">
        <v>0.23200000000000001</v>
      </c>
      <c r="R16" s="9">
        <v>40.950000000000003</v>
      </c>
      <c r="S16" s="9" t="s">
        <v>401</v>
      </c>
      <c r="T16" s="9"/>
      <c r="U16" s="9"/>
      <c r="V16" s="9"/>
      <c r="W16" s="9"/>
      <c r="X16" s="9"/>
      <c r="Y16" s="9"/>
      <c r="Z16" s="9"/>
      <c r="AA16" s="9"/>
    </row>
    <row r="17" spans="1:27" x14ac:dyDescent="0.25">
      <c r="A17" s="9" t="s">
        <v>391</v>
      </c>
      <c r="B17" s="10" t="s">
        <v>407</v>
      </c>
      <c r="C17" s="9" t="s">
        <v>97</v>
      </c>
      <c r="D17" s="9" t="s">
        <v>97</v>
      </c>
      <c r="E17" s="9" t="s">
        <v>163</v>
      </c>
      <c r="F17" s="9" t="s">
        <v>230</v>
      </c>
      <c r="G17" s="9" t="s">
        <v>437</v>
      </c>
      <c r="H17" s="9" t="s">
        <v>253</v>
      </c>
      <c r="I17" s="9" t="s">
        <v>258</v>
      </c>
      <c r="J17" s="11">
        <v>46113</v>
      </c>
      <c r="K17" s="11">
        <v>46174</v>
      </c>
      <c r="L17" s="12">
        <f>DATEDIF(J17,K17,"M")</f>
        <v>2</v>
      </c>
      <c r="M17" s="11" t="s">
        <v>419</v>
      </c>
      <c r="N17" s="11" t="s">
        <v>421</v>
      </c>
      <c r="O17" s="9" t="s">
        <v>307</v>
      </c>
      <c r="P17" s="12">
        <v>55.9</v>
      </c>
      <c r="Q17" s="13">
        <v>0.25</v>
      </c>
      <c r="R17" s="9">
        <v>13.98</v>
      </c>
      <c r="S17" s="9" t="s">
        <v>396</v>
      </c>
      <c r="T17" s="9"/>
      <c r="U17" s="9"/>
      <c r="V17" s="9"/>
      <c r="W17" s="9"/>
      <c r="X17" s="9"/>
      <c r="Y17" s="9"/>
      <c r="Z17" s="9"/>
      <c r="AA17" s="9"/>
    </row>
    <row r="18" spans="1:27" x14ac:dyDescent="0.25">
      <c r="A18" s="9" t="s">
        <v>23</v>
      </c>
      <c r="B18" s="10" t="s">
        <v>414</v>
      </c>
      <c r="C18" s="9" t="s">
        <v>63</v>
      </c>
      <c r="D18" s="9" t="s">
        <v>63</v>
      </c>
      <c r="E18" s="9" t="s">
        <v>135</v>
      </c>
      <c r="F18" s="9" t="s">
        <v>199</v>
      </c>
      <c r="G18" s="9" t="s">
        <v>438</v>
      </c>
      <c r="H18" s="9" t="s">
        <v>253</v>
      </c>
      <c r="I18" s="9" t="s">
        <v>257</v>
      </c>
      <c r="J18" s="11">
        <v>46113</v>
      </c>
      <c r="K18" s="11">
        <v>46174</v>
      </c>
      <c r="L18" s="12">
        <f>DATEDIF(J18,K18,"M")</f>
        <v>2</v>
      </c>
      <c r="M18" s="11" t="s">
        <v>419</v>
      </c>
      <c r="N18" s="11" t="s">
        <v>421</v>
      </c>
      <c r="O18" s="9" t="s">
        <v>307</v>
      </c>
      <c r="P18" s="12">
        <v>127.65</v>
      </c>
      <c r="Q18" s="13">
        <v>0.25</v>
      </c>
      <c r="R18" s="9">
        <v>31.91</v>
      </c>
      <c r="S18" s="9" t="s">
        <v>396</v>
      </c>
      <c r="T18" s="9"/>
      <c r="U18" s="9"/>
      <c r="V18" s="9"/>
      <c r="W18" s="9"/>
      <c r="X18" s="9"/>
      <c r="Y18" s="9"/>
      <c r="Z18" s="9"/>
      <c r="AA18" s="9"/>
    </row>
    <row r="19" spans="1:27" x14ac:dyDescent="0.25">
      <c r="A19" s="9" t="s">
        <v>23</v>
      </c>
      <c r="B19" s="10" t="s">
        <v>413</v>
      </c>
      <c r="C19" s="9" t="s">
        <v>67</v>
      </c>
      <c r="D19" s="9" t="s">
        <v>67</v>
      </c>
      <c r="E19" s="9" t="s">
        <v>138</v>
      </c>
      <c r="F19" s="9" t="s">
        <v>203</v>
      </c>
      <c r="G19" s="9" t="s">
        <v>439</v>
      </c>
      <c r="H19" s="9" t="s">
        <v>253</v>
      </c>
      <c r="I19" s="9" t="s">
        <v>257</v>
      </c>
      <c r="J19" s="11">
        <v>46113</v>
      </c>
      <c r="K19" s="11">
        <v>46174</v>
      </c>
      <c r="L19" s="12">
        <f>DATEDIF(J19,K19,"M")</f>
        <v>2</v>
      </c>
      <c r="M19" s="11" t="s">
        <v>419</v>
      </c>
      <c r="N19" s="11" t="s">
        <v>421</v>
      </c>
      <c r="O19" s="9" t="s">
        <v>307</v>
      </c>
      <c r="P19" s="12">
        <v>56.5</v>
      </c>
      <c r="Q19" s="13">
        <v>0.25</v>
      </c>
      <c r="R19" s="9">
        <v>14.13</v>
      </c>
      <c r="S19" s="9" t="s">
        <v>396</v>
      </c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 t="s">
        <v>23</v>
      </c>
      <c r="B20" s="10" t="s">
        <v>413</v>
      </c>
      <c r="C20" s="9" t="s">
        <v>70</v>
      </c>
      <c r="D20" s="9" t="s">
        <v>70</v>
      </c>
      <c r="E20" s="9" t="s">
        <v>123</v>
      </c>
      <c r="F20" s="9" t="s">
        <v>205</v>
      </c>
      <c r="G20" s="9" t="s">
        <v>440</v>
      </c>
      <c r="H20" s="9" t="s">
        <v>253</v>
      </c>
      <c r="I20" s="9" t="s">
        <v>257</v>
      </c>
      <c r="J20" s="11">
        <v>46113</v>
      </c>
      <c r="K20" s="11">
        <v>46174</v>
      </c>
      <c r="L20" s="12">
        <f>DATEDIF(J20,K20,"M")</f>
        <v>2</v>
      </c>
      <c r="M20" s="11" t="s">
        <v>419</v>
      </c>
      <c r="N20" s="11" t="s">
        <v>421</v>
      </c>
      <c r="O20" s="9" t="s">
        <v>307</v>
      </c>
      <c r="P20" s="12">
        <v>127.65</v>
      </c>
      <c r="Q20" s="13">
        <v>0.25</v>
      </c>
      <c r="R20" s="9">
        <v>31.91</v>
      </c>
      <c r="S20" s="9" t="s">
        <v>396</v>
      </c>
      <c r="T20" s="9"/>
      <c r="U20" s="9"/>
      <c r="V20" s="9"/>
      <c r="W20" s="9"/>
      <c r="X20" s="9"/>
      <c r="Y20" s="9"/>
      <c r="Z20" s="9"/>
      <c r="AA20" s="9"/>
    </row>
    <row r="21" spans="1:27" s="9" customFormat="1" x14ac:dyDescent="0.25">
      <c r="A21" s="9" t="s">
        <v>23</v>
      </c>
      <c r="B21" s="10" t="s">
        <v>413</v>
      </c>
      <c r="C21" s="9" t="s">
        <v>72</v>
      </c>
      <c r="D21" s="9" t="s">
        <v>72</v>
      </c>
      <c r="E21" s="9" t="s">
        <v>117</v>
      </c>
      <c r="F21" s="9" t="s">
        <v>207</v>
      </c>
      <c r="G21" s="9" t="s">
        <v>441</v>
      </c>
      <c r="H21" s="9" t="s">
        <v>253</v>
      </c>
      <c r="I21" s="9" t="s">
        <v>257</v>
      </c>
      <c r="J21" s="11">
        <v>46082</v>
      </c>
      <c r="K21" s="11">
        <v>46174</v>
      </c>
      <c r="L21" s="12">
        <f>DATEDIF(J21,K21,"M")</f>
        <v>3</v>
      </c>
      <c r="M21" s="11" t="s">
        <v>419</v>
      </c>
      <c r="N21" s="11" t="s">
        <v>421</v>
      </c>
      <c r="O21" s="9" t="s">
        <v>307</v>
      </c>
      <c r="P21" s="12">
        <v>56.5</v>
      </c>
      <c r="Q21" s="13">
        <v>0.25</v>
      </c>
      <c r="R21" s="9">
        <v>14.13</v>
      </c>
      <c r="S21" s="9" t="s">
        <v>396</v>
      </c>
    </row>
    <row r="22" spans="1:27" x14ac:dyDescent="0.25">
      <c r="A22" s="9" t="s">
        <v>23</v>
      </c>
      <c r="B22" s="10" t="s">
        <v>413</v>
      </c>
      <c r="C22" s="9" t="s">
        <v>74</v>
      </c>
      <c r="D22" s="9" t="s">
        <v>74</v>
      </c>
      <c r="E22" s="9" t="s">
        <v>142</v>
      </c>
      <c r="F22" s="9" t="s">
        <v>209</v>
      </c>
      <c r="G22" s="9" t="s">
        <v>442</v>
      </c>
      <c r="H22" s="9" t="s">
        <v>253</v>
      </c>
      <c r="I22" s="9" t="s">
        <v>257</v>
      </c>
      <c r="J22" s="11">
        <v>46082</v>
      </c>
      <c r="K22" s="11">
        <v>46174</v>
      </c>
      <c r="L22" s="12">
        <f>DATEDIF(J22,K22,"M")</f>
        <v>3</v>
      </c>
      <c r="M22" s="11" t="s">
        <v>419</v>
      </c>
      <c r="N22" s="11" t="s">
        <v>421</v>
      </c>
      <c r="O22" s="9" t="s">
        <v>307</v>
      </c>
      <c r="P22" s="12">
        <v>65.45</v>
      </c>
      <c r="Q22" s="13">
        <v>0.25</v>
      </c>
      <c r="R22" s="9">
        <v>16.36</v>
      </c>
      <c r="S22" s="9" t="s">
        <v>396</v>
      </c>
      <c r="T22" s="9"/>
      <c r="U22" s="9"/>
      <c r="V22" s="9"/>
      <c r="W22" s="9"/>
      <c r="X22" s="9"/>
      <c r="Y22" s="9"/>
      <c r="Z22" s="9"/>
      <c r="AA22" s="9"/>
    </row>
    <row r="23" spans="1:27" s="9" customFormat="1" x14ac:dyDescent="0.25">
      <c r="A23" s="9" t="s">
        <v>23</v>
      </c>
      <c r="B23" s="10" t="s">
        <v>413</v>
      </c>
      <c r="C23" s="9" t="s">
        <v>87</v>
      </c>
      <c r="D23" s="9" t="s">
        <v>87</v>
      </c>
      <c r="E23" s="9" t="s">
        <v>153</v>
      </c>
      <c r="F23" s="9" t="s">
        <v>221</v>
      </c>
      <c r="G23" s="9" t="s">
        <v>443</v>
      </c>
      <c r="H23" s="9" t="s">
        <v>253</v>
      </c>
      <c r="I23" s="9" t="s">
        <v>257</v>
      </c>
      <c r="J23" s="11">
        <v>46082</v>
      </c>
      <c r="K23" s="11">
        <v>46174</v>
      </c>
      <c r="L23" s="12">
        <f>DATEDIF(J23,K23,"M")</f>
        <v>3</v>
      </c>
      <c r="M23" s="11" t="s">
        <v>419</v>
      </c>
      <c r="N23" s="11" t="s">
        <v>421</v>
      </c>
      <c r="O23" s="9" t="s">
        <v>307</v>
      </c>
      <c r="P23" s="12">
        <v>65.45</v>
      </c>
      <c r="Q23" s="13">
        <v>0.25</v>
      </c>
      <c r="R23" s="9">
        <v>16.36</v>
      </c>
      <c r="S23" s="9" t="s">
        <v>396</v>
      </c>
    </row>
    <row r="24" spans="1:27" s="9" customFormat="1" x14ac:dyDescent="0.25">
      <c r="A24" s="9" t="s">
        <v>391</v>
      </c>
      <c r="B24" s="10" t="s">
        <v>407</v>
      </c>
      <c r="C24" s="9" t="s">
        <v>90</v>
      </c>
      <c r="D24" s="9" t="s">
        <v>90</v>
      </c>
      <c r="E24" s="9" t="s">
        <v>156</v>
      </c>
      <c r="F24" s="9" t="s">
        <v>224</v>
      </c>
      <c r="G24" s="9" t="s">
        <v>444</v>
      </c>
      <c r="H24" s="9" t="s">
        <v>254</v>
      </c>
      <c r="I24" s="9" t="s">
        <v>258</v>
      </c>
      <c r="J24" s="11">
        <v>46054</v>
      </c>
      <c r="K24" s="11">
        <v>46174</v>
      </c>
      <c r="L24" s="12">
        <f>DATEDIF(J24,K24,"M")</f>
        <v>4</v>
      </c>
      <c r="M24" s="11" t="s">
        <v>419</v>
      </c>
      <c r="N24" s="11" t="s">
        <v>421</v>
      </c>
      <c r="O24" s="9" t="s">
        <v>307</v>
      </c>
      <c r="P24" s="12">
        <v>238.23</v>
      </c>
      <c r="Q24" s="13">
        <v>0.23200000000000001</v>
      </c>
      <c r="R24" s="9">
        <v>55.27</v>
      </c>
      <c r="S24" s="9" t="s">
        <v>401</v>
      </c>
    </row>
    <row r="25" spans="1:27" s="9" customFormat="1" x14ac:dyDescent="0.25">
      <c r="A25" s="9" t="s">
        <v>391</v>
      </c>
      <c r="B25" s="10" t="s">
        <v>407</v>
      </c>
      <c r="C25" s="9" t="s">
        <v>98</v>
      </c>
      <c r="D25" s="9" t="s">
        <v>98</v>
      </c>
      <c r="E25" s="9" t="s">
        <v>164</v>
      </c>
      <c r="F25" s="9" t="s">
        <v>231</v>
      </c>
      <c r="G25" s="9" t="s">
        <v>445</v>
      </c>
      <c r="H25" s="9" t="s">
        <v>254</v>
      </c>
      <c r="I25" s="9" t="s">
        <v>258</v>
      </c>
      <c r="J25" s="11">
        <v>46054</v>
      </c>
      <c r="K25" s="11">
        <v>46174</v>
      </c>
      <c r="L25" s="12">
        <f>DATEDIF(J25,K25,"M")</f>
        <v>4</v>
      </c>
      <c r="M25" s="11" t="s">
        <v>419</v>
      </c>
      <c r="N25" s="11" t="s">
        <v>421</v>
      </c>
      <c r="O25" s="9" t="s">
        <v>307</v>
      </c>
      <c r="P25" s="12">
        <v>160.6</v>
      </c>
      <c r="Q25" s="13">
        <v>0.23200000000000001</v>
      </c>
      <c r="R25" s="9">
        <v>37.26</v>
      </c>
      <c r="S25" s="9" t="s">
        <v>401</v>
      </c>
    </row>
    <row r="26" spans="1:27" s="9" customFormat="1" x14ac:dyDescent="0.25">
      <c r="A26" s="9" t="s">
        <v>23</v>
      </c>
      <c r="B26" s="10" t="s">
        <v>413</v>
      </c>
      <c r="C26" s="9" t="s">
        <v>64</v>
      </c>
      <c r="D26" s="9" t="s">
        <v>64</v>
      </c>
      <c r="E26" s="9" t="s">
        <v>136</v>
      </c>
      <c r="F26" s="9" t="s">
        <v>200</v>
      </c>
      <c r="G26" s="9" t="s">
        <v>446</v>
      </c>
      <c r="H26" s="9" t="s">
        <v>253</v>
      </c>
      <c r="I26" s="9" t="s">
        <v>257</v>
      </c>
      <c r="J26" s="11">
        <v>46054</v>
      </c>
      <c r="K26" s="11">
        <v>46174</v>
      </c>
      <c r="L26" s="12">
        <f>DATEDIF(J26,K26,"M")</f>
        <v>4</v>
      </c>
      <c r="M26" s="11" t="s">
        <v>419</v>
      </c>
      <c r="N26" s="11" t="s">
        <v>421</v>
      </c>
      <c r="O26" s="9" t="s">
        <v>307</v>
      </c>
      <c r="P26" s="12">
        <v>65.45</v>
      </c>
      <c r="Q26" s="13">
        <v>0.25</v>
      </c>
      <c r="R26" s="9">
        <v>16.36</v>
      </c>
      <c r="S26" s="9" t="s">
        <v>396</v>
      </c>
    </row>
    <row r="27" spans="1:27" s="9" customFormat="1" x14ac:dyDescent="0.25">
      <c r="A27" s="9" t="s">
        <v>23</v>
      </c>
      <c r="B27" s="10" t="s">
        <v>413</v>
      </c>
      <c r="C27" s="9" t="s">
        <v>65</v>
      </c>
      <c r="D27" s="9" t="s">
        <v>65</v>
      </c>
      <c r="E27" s="9" t="s">
        <v>128</v>
      </c>
      <c r="F27" s="9" t="s">
        <v>201</v>
      </c>
      <c r="G27" s="9" t="s">
        <v>447</v>
      </c>
      <c r="H27" s="9" t="s">
        <v>253</v>
      </c>
      <c r="I27" s="9" t="s">
        <v>257</v>
      </c>
      <c r="J27" s="11">
        <v>46054</v>
      </c>
      <c r="K27" s="11">
        <v>46174</v>
      </c>
      <c r="L27" s="12">
        <f>DATEDIF(J27,K27,"M")</f>
        <v>4</v>
      </c>
      <c r="M27" s="11" t="s">
        <v>419</v>
      </c>
      <c r="N27" s="11" t="s">
        <v>421</v>
      </c>
      <c r="O27" s="9" t="s">
        <v>307</v>
      </c>
      <c r="P27" s="12">
        <v>65.45</v>
      </c>
      <c r="Q27" s="13">
        <v>0.25</v>
      </c>
      <c r="R27" s="9">
        <v>16.36</v>
      </c>
      <c r="S27" s="9" t="s">
        <v>396</v>
      </c>
    </row>
    <row r="28" spans="1:27" x14ac:dyDescent="0.25">
      <c r="A28" s="9" t="s">
        <v>23</v>
      </c>
      <c r="B28" s="10" t="s">
        <v>413</v>
      </c>
      <c r="C28" s="9" t="s">
        <v>71</v>
      </c>
      <c r="D28" s="9" t="s">
        <v>71</v>
      </c>
      <c r="E28" s="9" t="s">
        <v>140</v>
      </c>
      <c r="F28" s="9" t="s">
        <v>206</v>
      </c>
      <c r="G28" s="9" t="s">
        <v>448</v>
      </c>
      <c r="H28" s="9" t="s">
        <v>253</v>
      </c>
      <c r="I28" s="9" t="s">
        <v>257</v>
      </c>
      <c r="J28" s="11">
        <v>46054</v>
      </c>
      <c r="K28" s="11">
        <v>46174</v>
      </c>
      <c r="L28" s="12">
        <f>DATEDIF(J28,K28,"M")</f>
        <v>4</v>
      </c>
      <c r="M28" s="11" t="s">
        <v>419</v>
      </c>
      <c r="N28" s="11" t="s">
        <v>421</v>
      </c>
      <c r="O28" s="9" t="s">
        <v>307</v>
      </c>
      <c r="P28" s="12">
        <v>65.45</v>
      </c>
      <c r="Q28" s="13">
        <v>0.25</v>
      </c>
      <c r="R28" s="9">
        <v>16.36</v>
      </c>
      <c r="S28" s="9" t="s">
        <v>396</v>
      </c>
      <c r="T28" s="9"/>
      <c r="U28" s="9"/>
      <c r="V28" s="9"/>
      <c r="W28" s="9"/>
      <c r="X28" s="9"/>
      <c r="Y28" s="9"/>
      <c r="Z28" s="9"/>
      <c r="AA28" s="9"/>
    </row>
    <row r="29" spans="1:27" s="9" customFormat="1" x14ac:dyDescent="0.25">
      <c r="A29" s="9" t="s">
        <v>23</v>
      </c>
      <c r="B29" s="10" t="s">
        <v>413</v>
      </c>
      <c r="C29" s="9" t="s">
        <v>80</v>
      </c>
      <c r="D29" s="9" t="s">
        <v>80</v>
      </c>
      <c r="E29" s="9" t="s">
        <v>147</v>
      </c>
      <c r="F29" s="9" t="s">
        <v>215</v>
      </c>
      <c r="G29" s="9" t="s">
        <v>449</v>
      </c>
      <c r="H29" s="9" t="s">
        <v>253</v>
      </c>
      <c r="I29" s="9" t="s">
        <v>257</v>
      </c>
      <c r="J29" s="11">
        <v>46054</v>
      </c>
      <c r="K29" s="11">
        <v>46174</v>
      </c>
      <c r="L29" s="12">
        <f>DATEDIF(J29,K29,"M")</f>
        <v>4</v>
      </c>
      <c r="M29" s="11" t="s">
        <v>419</v>
      </c>
      <c r="N29" s="11" t="s">
        <v>421</v>
      </c>
      <c r="O29" s="9" t="s">
        <v>307</v>
      </c>
      <c r="P29" s="12">
        <v>113</v>
      </c>
      <c r="Q29" s="13">
        <v>0.25</v>
      </c>
      <c r="R29" s="9">
        <v>28.25</v>
      </c>
      <c r="S29" s="9" t="s">
        <v>396</v>
      </c>
    </row>
    <row r="30" spans="1:27" x14ac:dyDescent="0.25">
      <c r="A30" s="9" t="s">
        <v>23</v>
      </c>
      <c r="B30" s="10" t="s">
        <v>413</v>
      </c>
      <c r="C30" s="9" t="s">
        <v>81</v>
      </c>
      <c r="D30" s="9" t="s">
        <v>81</v>
      </c>
      <c r="E30" s="9" t="s">
        <v>148</v>
      </c>
      <c r="F30" s="9" t="s">
        <v>216</v>
      </c>
      <c r="G30" s="9" t="s">
        <v>450</v>
      </c>
      <c r="H30" s="9" t="s">
        <v>253</v>
      </c>
      <c r="I30" s="9" t="s">
        <v>257</v>
      </c>
      <c r="J30" s="11">
        <v>46054</v>
      </c>
      <c r="K30" s="11">
        <v>46174</v>
      </c>
      <c r="L30" s="12">
        <f>DATEDIF(J30,K30,"M")</f>
        <v>4</v>
      </c>
      <c r="M30" s="11" t="s">
        <v>419</v>
      </c>
      <c r="N30" s="11" t="s">
        <v>421</v>
      </c>
      <c r="O30" s="9" t="s">
        <v>307</v>
      </c>
      <c r="P30" s="12">
        <v>127.65</v>
      </c>
      <c r="Q30" s="13">
        <v>0.25</v>
      </c>
      <c r="R30" s="9">
        <v>31.91</v>
      </c>
      <c r="S30" s="9" t="s">
        <v>396</v>
      </c>
      <c r="T30" s="9"/>
      <c r="U30" s="9"/>
      <c r="V30" s="9"/>
      <c r="W30" s="9"/>
      <c r="X30" s="9"/>
      <c r="Y30" s="9"/>
      <c r="Z30" s="9"/>
      <c r="AA30" s="9"/>
    </row>
    <row r="31" spans="1:27" s="9" customFormat="1" x14ac:dyDescent="0.25">
      <c r="A31" s="9" t="s">
        <v>23</v>
      </c>
      <c r="B31" s="10" t="s">
        <v>413</v>
      </c>
      <c r="C31" s="9" t="s">
        <v>86</v>
      </c>
      <c r="D31" s="9" t="s">
        <v>86</v>
      </c>
      <c r="E31" s="9" t="s">
        <v>152</v>
      </c>
      <c r="F31" s="9" t="s">
        <v>220</v>
      </c>
      <c r="G31" s="9" t="s">
        <v>451</v>
      </c>
      <c r="H31" s="9" t="s">
        <v>253</v>
      </c>
      <c r="I31" s="9" t="s">
        <v>257</v>
      </c>
      <c r="J31" s="11">
        <v>46054</v>
      </c>
      <c r="K31" s="11">
        <v>46174</v>
      </c>
      <c r="L31" s="12">
        <f>DATEDIF(J31,K31,"M")</f>
        <v>4</v>
      </c>
      <c r="M31" s="11" t="s">
        <v>419</v>
      </c>
      <c r="N31" s="11" t="s">
        <v>421</v>
      </c>
      <c r="O31" s="9" t="s">
        <v>307</v>
      </c>
      <c r="P31" s="12">
        <v>206.15</v>
      </c>
      <c r="Q31" s="13">
        <v>0.25</v>
      </c>
      <c r="R31" s="9">
        <v>51.54</v>
      </c>
      <c r="S31" s="9" t="s">
        <v>396</v>
      </c>
    </row>
    <row r="32" spans="1:27" s="9" customFormat="1" x14ac:dyDescent="0.25">
      <c r="A32" s="9" t="s">
        <v>23</v>
      </c>
      <c r="B32" s="10" t="s">
        <v>413</v>
      </c>
      <c r="C32" s="9" t="s">
        <v>89</v>
      </c>
      <c r="D32" s="9" t="s">
        <v>89</v>
      </c>
      <c r="E32" s="9" t="s">
        <v>155</v>
      </c>
      <c r="F32" s="9" t="s">
        <v>223</v>
      </c>
      <c r="G32" s="9" t="s">
        <v>452</v>
      </c>
      <c r="H32" s="9" t="s">
        <v>253</v>
      </c>
      <c r="I32" s="9" t="s">
        <v>257</v>
      </c>
      <c r="J32" s="11">
        <v>46054</v>
      </c>
      <c r="K32" s="11">
        <v>46174</v>
      </c>
      <c r="L32" s="12">
        <f>DATEDIF(J32,K32,"M")</f>
        <v>4</v>
      </c>
      <c r="M32" s="11" t="s">
        <v>419</v>
      </c>
      <c r="N32" s="11" t="s">
        <v>421</v>
      </c>
      <c r="O32" s="9" t="s">
        <v>307</v>
      </c>
      <c r="P32" s="12">
        <v>127.65</v>
      </c>
      <c r="Q32" s="13">
        <v>0.25</v>
      </c>
      <c r="R32" s="9">
        <v>31.91</v>
      </c>
      <c r="S32" s="9" t="s">
        <v>396</v>
      </c>
    </row>
    <row r="33" spans="1:27" s="9" customFormat="1" x14ac:dyDescent="0.25">
      <c r="A33" s="9" t="s">
        <v>393</v>
      </c>
      <c r="B33" s="10" t="s">
        <v>411</v>
      </c>
      <c r="C33" s="9" t="s">
        <v>112</v>
      </c>
      <c r="D33" s="9" t="s">
        <v>112</v>
      </c>
      <c r="E33" s="9" t="s">
        <v>177</v>
      </c>
      <c r="F33" s="9" t="s">
        <v>244</v>
      </c>
      <c r="G33" s="9" t="s">
        <v>453</v>
      </c>
      <c r="H33" s="9" t="s">
        <v>253</v>
      </c>
      <c r="I33" s="9" t="s">
        <v>262</v>
      </c>
      <c r="J33" s="11">
        <v>46023</v>
      </c>
      <c r="K33" s="11">
        <v>46174</v>
      </c>
      <c r="L33" s="12">
        <f>DATEDIF(J33,K33,"M")</f>
        <v>5</v>
      </c>
      <c r="M33" s="11" t="s">
        <v>419</v>
      </c>
      <c r="N33" s="11" t="s">
        <v>421</v>
      </c>
      <c r="O33" s="9" t="s">
        <v>307</v>
      </c>
      <c r="P33" s="12">
        <v>56.5</v>
      </c>
      <c r="Q33" s="13">
        <v>0.25</v>
      </c>
      <c r="R33" s="9">
        <v>14.13</v>
      </c>
      <c r="S33" s="9" t="s">
        <v>396</v>
      </c>
    </row>
    <row r="34" spans="1:27" x14ac:dyDescent="0.25">
      <c r="A34" s="9" t="s">
        <v>23</v>
      </c>
      <c r="B34" s="10" t="s">
        <v>413</v>
      </c>
      <c r="C34" s="9" t="s">
        <v>68</v>
      </c>
      <c r="D34" s="9" t="s">
        <v>68</v>
      </c>
      <c r="E34" s="9" t="s">
        <v>117</v>
      </c>
      <c r="F34" s="9" t="s">
        <v>204</v>
      </c>
      <c r="G34" s="9" t="s">
        <v>454</v>
      </c>
      <c r="H34" s="9" t="s">
        <v>254</v>
      </c>
      <c r="I34" s="9" t="s">
        <v>257</v>
      </c>
      <c r="J34" s="11">
        <v>46023</v>
      </c>
      <c r="K34" s="11">
        <v>46174</v>
      </c>
      <c r="L34" s="12">
        <f>DATEDIF(J34,K34,"M")</f>
        <v>5</v>
      </c>
      <c r="M34" s="11" t="s">
        <v>419</v>
      </c>
      <c r="N34" s="11" t="s">
        <v>421</v>
      </c>
      <c r="O34" s="9" t="s">
        <v>307</v>
      </c>
      <c r="P34" s="12">
        <v>242.94</v>
      </c>
      <c r="Q34" s="13">
        <v>0.20799999999999999</v>
      </c>
      <c r="R34" s="9">
        <v>50.53</v>
      </c>
      <c r="S34" s="9" t="s">
        <v>400</v>
      </c>
      <c r="T34" s="9"/>
      <c r="U34" s="9"/>
      <c r="V34" s="9"/>
      <c r="W34" s="9"/>
      <c r="X34" s="9"/>
      <c r="Y34" s="9"/>
      <c r="Z34" s="9"/>
      <c r="AA34" s="9"/>
    </row>
    <row r="35" spans="1:27" x14ac:dyDescent="0.25">
      <c r="A35" s="9" t="s">
        <v>23</v>
      </c>
      <c r="B35" s="10" t="s">
        <v>413</v>
      </c>
      <c r="C35" s="9" t="s">
        <v>69</v>
      </c>
      <c r="D35" s="9" t="s">
        <v>69</v>
      </c>
      <c r="E35" s="9" t="s">
        <v>139</v>
      </c>
      <c r="F35" s="9" t="s">
        <v>204</v>
      </c>
      <c r="G35" s="9" t="s">
        <v>455</v>
      </c>
      <c r="H35" s="9" t="s">
        <v>254</v>
      </c>
      <c r="I35" s="9" t="s">
        <v>257</v>
      </c>
      <c r="J35" s="11">
        <v>46023</v>
      </c>
      <c r="K35" s="11">
        <v>46174</v>
      </c>
      <c r="L35" s="12">
        <f>DATEDIF(J35,K35,"M")</f>
        <v>5</v>
      </c>
      <c r="M35" s="11" t="s">
        <v>419</v>
      </c>
      <c r="N35" s="11" t="s">
        <v>421</v>
      </c>
      <c r="O35" s="9" t="s">
        <v>307</v>
      </c>
      <c r="P35" s="12">
        <v>189.62</v>
      </c>
      <c r="Q35" s="13">
        <v>0.20799999999999999</v>
      </c>
      <c r="R35" s="9">
        <v>39.44</v>
      </c>
      <c r="S35" s="9" t="s">
        <v>400</v>
      </c>
      <c r="T35" s="9"/>
      <c r="U35" s="9"/>
      <c r="V35" s="9"/>
      <c r="W35" s="9"/>
      <c r="X35" s="9"/>
      <c r="Y35" s="9"/>
      <c r="Z35" s="9"/>
      <c r="AA35" s="9"/>
    </row>
    <row r="36" spans="1:27" x14ac:dyDescent="0.25">
      <c r="A36" s="9" t="s">
        <v>23</v>
      </c>
      <c r="B36" s="10" t="s">
        <v>413</v>
      </c>
      <c r="C36" s="9" t="s">
        <v>59</v>
      </c>
      <c r="D36" s="9" t="s">
        <v>59</v>
      </c>
      <c r="E36" s="9" t="s">
        <v>131</v>
      </c>
      <c r="F36" s="9" t="s">
        <v>195</v>
      </c>
      <c r="G36" s="9" t="s">
        <v>456</v>
      </c>
      <c r="H36" s="9" t="s">
        <v>253</v>
      </c>
      <c r="I36" s="9" t="s">
        <v>257</v>
      </c>
      <c r="J36" s="11">
        <v>46023</v>
      </c>
      <c r="K36" s="11">
        <v>46174</v>
      </c>
      <c r="L36" s="12">
        <f>DATEDIF(J36,K36,"M")</f>
        <v>5</v>
      </c>
      <c r="M36" s="11" t="s">
        <v>419</v>
      </c>
      <c r="N36" s="11" t="s">
        <v>421</v>
      </c>
      <c r="O36" s="9" t="s">
        <v>307</v>
      </c>
      <c r="P36" s="12">
        <v>127.65</v>
      </c>
      <c r="Q36" s="13">
        <v>0.25</v>
      </c>
      <c r="R36" s="9">
        <v>31.91</v>
      </c>
      <c r="S36" s="9" t="s">
        <v>396</v>
      </c>
      <c r="T36" s="9"/>
      <c r="U36" s="9"/>
      <c r="V36" s="9"/>
      <c r="W36" s="9"/>
      <c r="X36" s="9"/>
      <c r="Y36" s="9"/>
      <c r="Z36" s="9"/>
      <c r="AA36" s="9"/>
    </row>
    <row r="37" spans="1:27" x14ac:dyDescent="0.25">
      <c r="A37" s="9" t="s">
        <v>23</v>
      </c>
      <c r="B37" s="10" t="s">
        <v>413</v>
      </c>
      <c r="C37" s="9" t="s">
        <v>61</v>
      </c>
      <c r="D37" s="9" t="s">
        <v>61</v>
      </c>
      <c r="E37" s="9" t="s">
        <v>133</v>
      </c>
      <c r="F37" s="9" t="s">
        <v>197</v>
      </c>
      <c r="G37" s="9" t="s">
        <v>457</v>
      </c>
      <c r="H37" s="9" t="s">
        <v>253</v>
      </c>
      <c r="I37" s="9" t="s">
        <v>257</v>
      </c>
      <c r="J37" s="11">
        <v>46023</v>
      </c>
      <c r="K37" s="11">
        <v>46174</v>
      </c>
      <c r="L37" s="12">
        <f>DATEDIF(J37,K37,"M")</f>
        <v>5</v>
      </c>
      <c r="M37" s="11" t="s">
        <v>419</v>
      </c>
      <c r="N37" s="11" t="s">
        <v>421</v>
      </c>
      <c r="O37" s="9" t="s">
        <v>307</v>
      </c>
      <c r="P37" s="12">
        <v>206.15</v>
      </c>
      <c r="Q37" s="13">
        <v>0.25</v>
      </c>
      <c r="R37" s="9">
        <v>51.54</v>
      </c>
      <c r="S37" s="9" t="s">
        <v>396</v>
      </c>
      <c r="T37" s="9"/>
      <c r="U37" s="9"/>
      <c r="V37" s="9"/>
      <c r="W37" s="9"/>
      <c r="X37" s="9"/>
      <c r="Y37" s="9"/>
      <c r="Z37" s="9"/>
      <c r="AA37" s="9"/>
    </row>
    <row r="38" spans="1:27" s="9" customFormat="1" x14ac:dyDescent="0.25">
      <c r="A38" s="9" t="s">
        <v>23</v>
      </c>
      <c r="B38" s="10" t="s">
        <v>413</v>
      </c>
      <c r="C38" s="9" t="s">
        <v>62</v>
      </c>
      <c r="D38" s="9" t="s">
        <v>62</v>
      </c>
      <c r="E38" s="9" t="s">
        <v>134</v>
      </c>
      <c r="F38" s="9" t="s">
        <v>198</v>
      </c>
      <c r="G38" s="9" t="s">
        <v>458</v>
      </c>
      <c r="H38" s="9" t="s">
        <v>253</v>
      </c>
      <c r="I38" s="9" t="s">
        <v>257</v>
      </c>
      <c r="J38" s="11">
        <v>46023</v>
      </c>
      <c r="K38" s="11">
        <v>46174</v>
      </c>
      <c r="L38" s="12">
        <f>DATEDIF(J38,K38,"M")</f>
        <v>5</v>
      </c>
      <c r="M38" s="11" t="s">
        <v>419</v>
      </c>
      <c r="N38" s="11" t="s">
        <v>421</v>
      </c>
      <c r="O38" s="9" t="s">
        <v>307</v>
      </c>
      <c r="P38" s="12">
        <v>55.9</v>
      </c>
      <c r="Q38" s="13">
        <v>0.25</v>
      </c>
      <c r="R38" s="9">
        <v>13.98</v>
      </c>
      <c r="S38" s="9" t="s">
        <v>396</v>
      </c>
    </row>
    <row r="39" spans="1:27" s="9" customFormat="1" x14ac:dyDescent="0.25">
      <c r="A39" s="9" t="s">
        <v>23</v>
      </c>
      <c r="B39" s="10" t="s">
        <v>413</v>
      </c>
      <c r="C39" s="9" t="s">
        <v>73</v>
      </c>
      <c r="D39" s="9" t="s">
        <v>73</v>
      </c>
      <c r="E39" s="9" t="s">
        <v>141</v>
      </c>
      <c r="F39" s="9" t="s">
        <v>208</v>
      </c>
      <c r="G39" s="9" t="s">
        <v>459</v>
      </c>
      <c r="H39" s="9" t="s">
        <v>253</v>
      </c>
      <c r="I39" s="9" t="s">
        <v>257</v>
      </c>
      <c r="J39" s="11">
        <v>46023</v>
      </c>
      <c r="K39" s="11">
        <v>46174</v>
      </c>
      <c r="L39" s="12">
        <f>DATEDIF(J39,K39,"M")</f>
        <v>5</v>
      </c>
      <c r="M39" s="11" t="s">
        <v>419</v>
      </c>
      <c r="N39" s="11" t="s">
        <v>421</v>
      </c>
      <c r="O39" s="9" t="s">
        <v>307</v>
      </c>
      <c r="P39" s="12">
        <v>127.65</v>
      </c>
      <c r="Q39" s="13">
        <v>0.25</v>
      </c>
      <c r="R39" s="9">
        <v>31.91</v>
      </c>
      <c r="S39" s="9" t="s">
        <v>396</v>
      </c>
    </row>
    <row r="40" spans="1:27" s="9" customFormat="1" x14ac:dyDescent="0.25">
      <c r="A40" s="9" t="s">
        <v>23</v>
      </c>
      <c r="B40" s="10" t="s">
        <v>413</v>
      </c>
      <c r="C40" s="9" t="s">
        <v>76</v>
      </c>
      <c r="D40" s="9" t="s">
        <v>76</v>
      </c>
      <c r="E40" s="9" t="s">
        <v>144</v>
      </c>
      <c r="F40" s="9" t="s">
        <v>211</v>
      </c>
      <c r="G40" s="9" t="s">
        <v>460</v>
      </c>
      <c r="H40" s="9" t="s">
        <v>253</v>
      </c>
      <c r="I40" s="9" t="s">
        <v>257</v>
      </c>
      <c r="J40" s="11">
        <v>46023</v>
      </c>
      <c r="K40" s="11">
        <v>46174</v>
      </c>
      <c r="L40" s="12">
        <f>DATEDIF(J40,K40,"M")</f>
        <v>5</v>
      </c>
      <c r="M40" s="11" t="s">
        <v>419</v>
      </c>
      <c r="N40" s="11" t="s">
        <v>421</v>
      </c>
      <c r="O40" s="9" t="s">
        <v>307</v>
      </c>
      <c r="P40" s="12">
        <v>127.65</v>
      </c>
      <c r="Q40" s="13">
        <v>0.25</v>
      </c>
      <c r="R40" s="9">
        <v>31.91</v>
      </c>
      <c r="S40" s="9" t="s">
        <v>396</v>
      </c>
    </row>
    <row r="41" spans="1:27" s="9" customFormat="1" x14ac:dyDescent="0.25">
      <c r="A41" s="9" t="s">
        <v>23</v>
      </c>
      <c r="B41" s="10" t="s">
        <v>413</v>
      </c>
      <c r="C41" s="9" t="s">
        <v>85</v>
      </c>
      <c r="D41" s="9" t="s">
        <v>85</v>
      </c>
      <c r="E41" s="9" t="s">
        <v>134</v>
      </c>
      <c r="F41" s="9" t="s">
        <v>219</v>
      </c>
      <c r="G41" s="9" t="s">
        <v>461</v>
      </c>
      <c r="H41" s="9" t="s">
        <v>254</v>
      </c>
      <c r="I41" s="9" t="s">
        <v>257</v>
      </c>
      <c r="J41" s="11">
        <v>45992</v>
      </c>
      <c r="K41" s="11">
        <v>46174</v>
      </c>
      <c r="L41" s="12">
        <f>DATEDIF(J41,K41,"M")</f>
        <v>6</v>
      </c>
      <c r="M41" s="11" t="s">
        <v>419</v>
      </c>
      <c r="N41" s="11" t="s">
        <v>421</v>
      </c>
      <c r="O41" s="9" t="s">
        <v>307</v>
      </c>
      <c r="P41" s="12">
        <v>120.21</v>
      </c>
      <c r="Q41" s="13">
        <v>0.20799999999999999</v>
      </c>
      <c r="R41" s="9">
        <v>25</v>
      </c>
      <c r="S41" s="9" t="s">
        <v>400</v>
      </c>
    </row>
    <row r="42" spans="1:27" s="9" customFormat="1" x14ac:dyDescent="0.25">
      <c r="A42" s="9" t="s">
        <v>23</v>
      </c>
      <c r="B42" s="10" t="s">
        <v>413</v>
      </c>
      <c r="C42" s="9" t="s">
        <v>60</v>
      </c>
      <c r="D42" s="9" t="s">
        <v>60</v>
      </c>
      <c r="E42" s="9" t="s">
        <v>132</v>
      </c>
      <c r="F42" s="9" t="s">
        <v>196</v>
      </c>
      <c r="G42" s="9" t="s">
        <v>462</v>
      </c>
      <c r="H42" s="9" t="s">
        <v>253</v>
      </c>
      <c r="I42" s="9" t="s">
        <v>257</v>
      </c>
      <c r="J42" s="11">
        <v>45992</v>
      </c>
      <c r="K42" s="11">
        <v>46174</v>
      </c>
      <c r="L42" s="12">
        <f>DATEDIF(J42,K42,"M")</f>
        <v>6</v>
      </c>
      <c r="M42" s="11" t="s">
        <v>419</v>
      </c>
      <c r="N42" s="11" t="s">
        <v>421</v>
      </c>
      <c r="O42" s="9" t="s">
        <v>307</v>
      </c>
      <c r="P42" s="12">
        <v>56.5</v>
      </c>
      <c r="Q42" s="13">
        <v>0.25</v>
      </c>
      <c r="R42" s="9">
        <v>14.13</v>
      </c>
      <c r="S42" s="9" t="s">
        <v>396</v>
      </c>
    </row>
    <row r="43" spans="1:27" s="9" customFormat="1" x14ac:dyDescent="0.25">
      <c r="A43" s="9" t="s">
        <v>23</v>
      </c>
      <c r="B43" s="10" t="s">
        <v>413</v>
      </c>
      <c r="C43" s="9" t="s">
        <v>79</v>
      </c>
      <c r="D43" s="9" t="s">
        <v>79</v>
      </c>
      <c r="E43" s="9" t="s">
        <v>146</v>
      </c>
      <c r="F43" s="9" t="s">
        <v>214</v>
      </c>
      <c r="G43" s="9" t="s">
        <v>463</v>
      </c>
      <c r="H43" s="9" t="s">
        <v>253</v>
      </c>
      <c r="I43" s="9" t="s">
        <v>257</v>
      </c>
      <c r="J43" s="11">
        <v>45992</v>
      </c>
      <c r="K43" s="11">
        <v>46174</v>
      </c>
      <c r="L43" s="12">
        <f>DATEDIF(J43,K43,"M")</f>
        <v>6</v>
      </c>
      <c r="M43" s="11" t="s">
        <v>419</v>
      </c>
      <c r="N43" s="11" t="s">
        <v>421</v>
      </c>
      <c r="O43" s="9" t="s">
        <v>307</v>
      </c>
      <c r="P43" s="12">
        <v>56.5</v>
      </c>
      <c r="Q43" s="13">
        <v>0.25</v>
      </c>
      <c r="R43" s="9">
        <v>14.13</v>
      </c>
      <c r="S43" s="9" t="s">
        <v>396</v>
      </c>
    </row>
    <row r="44" spans="1:27" s="9" customFormat="1" x14ac:dyDescent="0.25">
      <c r="A44" s="9" t="s">
        <v>393</v>
      </c>
      <c r="B44" s="10" t="s">
        <v>411</v>
      </c>
      <c r="C44" s="9" t="s">
        <v>110</v>
      </c>
      <c r="D44" s="9" t="s">
        <v>110</v>
      </c>
      <c r="E44" s="9" t="s">
        <v>175</v>
      </c>
      <c r="F44" s="9" t="s">
        <v>242</v>
      </c>
      <c r="G44" s="9" t="s">
        <v>464</v>
      </c>
      <c r="H44" s="9" t="s">
        <v>253</v>
      </c>
      <c r="I44" s="9" t="s">
        <v>262</v>
      </c>
      <c r="J44" s="11">
        <v>45962</v>
      </c>
      <c r="K44" s="11">
        <v>46174</v>
      </c>
      <c r="L44" s="12">
        <f>DATEDIF(J44,K44,"M")</f>
        <v>7</v>
      </c>
      <c r="M44" s="11" t="s">
        <v>419</v>
      </c>
      <c r="N44" s="11" t="s">
        <v>421</v>
      </c>
      <c r="O44" s="9" t="s">
        <v>307</v>
      </c>
      <c r="P44" s="12">
        <v>56.5</v>
      </c>
      <c r="Q44" s="13">
        <v>0.25</v>
      </c>
      <c r="R44" s="9">
        <v>14.13</v>
      </c>
      <c r="S44" s="9" t="s">
        <v>396</v>
      </c>
    </row>
    <row r="45" spans="1:27" s="9" customFormat="1" x14ac:dyDescent="0.25">
      <c r="A45" s="9" t="s">
        <v>23</v>
      </c>
      <c r="B45" s="10" t="s">
        <v>413</v>
      </c>
      <c r="C45" s="9" t="s">
        <v>75</v>
      </c>
      <c r="D45" s="9" t="s">
        <v>75</v>
      </c>
      <c r="E45" s="9" t="s">
        <v>143</v>
      </c>
      <c r="F45" s="9" t="s">
        <v>210</v>
      </c>
      <c r="G45" s="9" t="s">
        <v>465</v>
      </c>
      <c r="H45" s="9" t="s">
        <v>253</v>
      </c>
      <c r="I45" s="9" t="s">
        <v>257</v>
      </c>
      <c r="J45" s="11">
        <v>45976</v>
      </c>
      <c r="K45" s="11">
        <v>46188</v>
      </c>
      <c r="L45" s="12">
        <f>DATEDIF(J45,K45,"M")</f>
        <v>7</v>
      </c>
      <c r="M45" s="11" t="s">
        <v>419</v>
      </c>
      <c r="N45" s="11" t="s">
        <v>421</v>
      </c>
      <c r="O45" s="9" t="s">
        <v>307</v>
      </c>
      <c r="P45" s="12">
        <v>65.45</v>
      </c>
      <c r="Q45" s="13">
        <v>0.25</v>
      </c>
      <c r="R45" s="9">
        <v>16.36</v>
      </c>
      <c r="S45" s="9" t="s">
        <v>396</v>
      </c>
    </row>
    <row r="46" spans="1:27" s="9" customFormat="1" x14ac:dyDescent="0.25">
      <c r="A46" s="9" t="s">
        <v>394</v>
      </c>
      <c r="B46" s="10" t="s">
        <v>412</v>
      </c>
      <c r="C46" s="9" t="s">
        <v>113</v>
      </c>
      <c r="D46" s="9" t="s">
        <v>113</v>
      </c>
      <c r="E46" s="9" t="s">
        <v>178</v>
      </c>
      <c r="F46" s="9" t="s">
        <v>245</v>
      </c>
      <c r="G46" s="9" t="s">
        <v>466</v>
      </c>
      <c r="H46" s="9" t="s">
        <v>254</v>
      </c>
      <c r="I46" s="9" t="s">
        <v>257</v>
      </c>
      <c r="J46" s="11">
        <v>45931</v>
      </c>
      <c r="K46" s="11">
        <v>46174</v>
      </c>
      <c r="L46" s="12">
        <f>DATEDIF(J46,K46,"M")</f>
        <v>8</v>
      </c>
      <c r="M46" s="11" t="s">
        <v>419</v>
      </c>
      <c r="N46" s="11" t="s">
        <v>421</v>
      </c>
      <c r="O46" s="9" t="s">
        <v>307</v>
      </c>
      <c r="P46" s="12">
        <v>173.6</v>
      </c>
      <c r="Q46" s="13">
        <v>0.20799999999999999</v>
      </c>
      <c r="R46" s="9">
        <v>36.11</v>
      </c>
      <c r="S46" s="9" t="s">
        <v>400</v>
      </c>
    </row>
    <row r="47" spans="1:27" s="9" customFormat="1" x14ac:dyDescent="0.25">
      <c r="A47" s="9" t="s">
        <v>23</v>
      </c>
      <c r="B47" s="10" t="s">
        <v>413</v>
      </c>
      <c r="C47" s="9" t="s">
        <v>66</v>
      </c>
      <c r="D47" s="9" t="s">
        <v>66</v>
      </c>
      <c r="E47" s="9" t="s">
        <v>137</v>
      </c>
      <c r="F47" s="9" t="s">
        <v>202</v>
      </c>
      <c r="G47" s="9" t="s">
        <v>467</v>
      </c>
      <c r="H47" s="9" t="s">
        <v>253</v>
      </c>
      <c r="I47" s="9" t="s">
        <v>257</v>
      </c>
      <c r="J47" s="11">
        <v>45905</v>
      </c>
      <c r="K47" s="11">
        <v>46178</v>
      </c>
      <c r="L47" s="12">
        <f>DATEDIF(J47,K47,"M")</f>
        <v>9</v>
      </c>
      <c r="M47" s="11" t="s">
        <v>419</v>
      </c>
      <c r="N47" s="11" t="s">
        <v>421</v>
      </c>
      <c r="O47" s="9" t="s">
        <v>307</v>
      </c>
      <c r="P47" s="12">
        <v>127.65</v>
      </c>
      <c r="Q47" s="13">
        <v>0.25</v>
      </c>
      <c r="R47" s="9">
        <v>31.91</v>
      </c>
      <c r="S47" s="9" t="s">
        <v>396</v>
      </c>
    </row>
    <row r="48" spans="1:27" s="9" customFormat="1" x14ac:dyDescent="0.25">
      <c r="A48" s="9" t="s">
        <v>22</v>
      </c>
      <c r="B48" s="10" t="s">
        <v>405</v>
      </c>
      <c r="C48" s="9" t="s">
        <v>50</v>
      </c>
      <c r="D48" s="9" t="s">
        <v>50</v>
      </c>
      <c r="E48" s="9" t="s">
        <v>122</v>
      </c>
      <c r="F48" s="9" t="s">
        <v>187</v>
      </c>
      <c r="G48" s="9" t="s">
        <v>468</v>
      </c>
      <c r="H48" s="9" t="s">
        <v>254</v>
      </c>
      <c r="I48" s="9" t="s">
        <v>256</v>
      </c>
      <c r="J48" s="11">
        <v>45870</v>
      </c>
      <c r="K48" s="11">
        <v>46174</v>
      </c>
      <c r="L48" s="12">
        <f>DATEDIF(J48,K48,"M")</f>
        <v>10</v>
      </c>
      <c r="M48" s="11" t="s">
        <v>419</v>
      </c>
      <c r="N48" s="11" t="s">
        <v>420</v>
      </c>
      <c r="O48" s="9" t="s">
        <v>307</v>
      </c>
      <c r="P48" s="12">
        <v>243.62</v>
      </c>
      <c r="Q48" s="13">
        <v>0.02</v>
      </c>
      <c r="R48" s="9">
        <v>4.87</v>
      </c>
      <c r="S48" s="9" t="s">
        <v>398</v>
      </c>
      <c r="T48" s="9">
        <f>4.36+0.32+0.19</f>
        <v>4.870000000000001</v>
      </c>
    </row>
    <row r="49" spans="1:19" s="9" customFormat="1" x14ac:dyDescent="0.25">
      <c r="A49" s="9" t="s">
        <v>391</v>
      </c>
      <c r="B49" s="10" t="s">
        <v>407</v>
      </c>
      <c r="C49" s="9" t="s">
        <v>99</v>
      </c>
      <c r="D49" s="9" t="s">
        <v>99</v>
      </c>
      <c r="E49" s="9" t="s">
        <v>165</v>
      </c>
      <c r="F49" s="9" t="s">
        <v>232</v>
      </c>
      <c r="G49" s="9" t="s">
        <v>469</v>
      </c>
      <c r="H49" s="9" t="s">
        <v>253</v>
      </c>
      <c r="I49" s="9" t="s">
        <v>258</v>
      </c>
      <c r="J49" s="11">
        <v>45870</v>
      </c>
      <c r="K49" s="11">
        <v>46174</v>
      </c>
      <c r="L49" s="12">
        <f>DATEDIF(J49,K49,"M")</f>
        <v>10</v>
      </c>
      <c r="M49" s="11" t="s">
        <v>419</v>
      </c>
      <c r="N49" s="11" t="s">
        <v>420</v>
      </c>
      <c r="O49" s="9" t="s">
        <v>307</v>
      </c>
      <c r="P49" s="12">
        <v>56.5</v>
      </c>
      <c r="Q49" s="13">
        <v>0.25</v>
      </c>
      <c r="R49" s="9">
        <v>14.13</v>
      </c>
      <c r="S49" s="9" t="s">
        <v>396</v>
      </c>
    </row>
    <row r="50" spans="1:19" s="9" customFormat="1" x14ac:dyDescent="0.25">
      <c r="A50" s="9" t="s">
        <v>393</v>
      </c>
      <c r="B50" s="10" t="s">
        <v>411</v>
      </c>
      <c r="C50" s="9" t="s">
        <v>111</v>
      </c>
      <c r="D50" s="9" t="s">
        <v>111</v>
      </c>
      <c r="E50" s="9" t="s">
        <v>176</v>
      </c>
      <c r="F50" s="9" t="s">
        <v>243</v>
      </c>
      <c r="G50" s="9" t="s">
        <v>470</v>
      </c>
      <c r="H50" s="9" t="s">
        <v>253</v>
      </c>
      <c r="I50" s="9" t="s">
        <v>262</v>
      </c>
      <c r="J50" s="11">
        <v>45870</v>
      </c>
      <c r="K50" s="11">
        <v>46174</v>
      </c>
      <c r="L50" s="12">
        <f>DATEDIF(J50,K50,"M")</f>
        <v>10</v>
      </c>
      <c r="M50" s="11" t="s">
        <v>419</v>
      </c>
      <c r="N50" s="11" t="s">
        <v>420</v>
      </c>
      <c r="O50" s="9" t="s">
        <v>307</v>
      </c>
      <c r="P50" s="12">
        <v>47.7</v>
      </c>
      <c r="Q50" s="13">
        <v>0.25</v>
      </c>
      <c r="R50" s="9">
        <v>11.93</v>
      </c>
      <c r="S50" s="9" t="s">
        <v>396</v>
      </c>
    </row>
    <row r="51" spans="1:19" s="14" customFormat="1" x14ac:dyDescent="0.25">
      <c r="A51" s="14" t="s">
        <v>395</v>
      </c>
      <c r="B51" s="15">
        <v>15278437</v>
      </c>
      <c r="C51" s="14" t="s">
        <v>116</v>
      </c>
      <c r="D51" s="14" t="s">
        <v>116</v>
      </c>
      <c r="E51" s="14" t="s">
        <v>181</v>
      </c>
      <c r="F51" s="14" t="s">
        <v>248</v>
      </c>
      <c r="G51" s="14" t="s">
        <v>471</v>
      </c>
      <c r="H51" s="14" t="s">
        <v>254</v>
      </c>
      <c r="I51" s="14" t="s">
        <v>255</v>
      </c>
      <c r="J51" s="16">
        <v>46025</v>
      </c>
      <c r="K51" s="16">
        <v>46176</v>
      </c>
      <c r="L51" s="17">
        <f>DATEDIF(J51,K51,"M")</f>
        <v>5</v>
      </c>
      <c r="M51" s="16" t="s">
        <v>419</v>
      </c>
      <c r="N51" s="16" t="s">
        <v>420</v>
      </c>
      <c r="O51" s="14" t="s">
        <v>307</v>
      </c>
      <c r="P51" s="17">
        <v>215.71</v>
      </c>
      <c r="Q51" s="18">
        <v>0.01</v>
      </c>
      <c r="R51" s="14">
        <v>2.16</v>
      </c>
      <c r="S51" s="14" t="s">
        <v>402</v>
      </c>
    </row>
    <row r="52" spans="1:19" s="14" customFormat="1" x14ac:dyDescent="0.25">
      <c r="A52" s="14" t="s">
        <v>22</v>
      </c>
      <c r="B52" s="15">
        <v>19491313</v>
      </c>
      <c r="C52" s="14" t="s">
        <v>53</v>
      </c>
      <c r="D52" s="14" t="s">
        <v>53</v>
      </c>
      <c r="E52" s="14" t="s">
        <v>125</v>
      </c>
      <c r="F52" s="14" t="s">
        <v>190</v>
      </c>
      <c r="G52" s="14" t="s">
        <v>472</v>
      </c>
      <c r="H52" s="14" t="s">
        <v>254</v>
      </c>
      <c r="I52" s="14" t="s">
        <v>256</v>
      </c>
      <c r="J52" s="16">
        <v>46054</v>
      </c>
      <c r="K52" s="16">
        <v>46174</v>
      </c>
      <c r="L52" s="17">
        <f>DATEDIF(J52,K52,"M")</f>
        <v>4</v>
      </c>
      <c r="M52" s="16" t="s">
        <v>419</v>
      </c>
      <c r="N52" s="16" t="s">
        <v>420</v>
      </c>
      <c r="O52" s="14" t="s">
        <v>307</v>
      </c>
      <c r="P52" s="17">
        <v>130.09</v>
      </c>
      <c r="Q52" s="18">
        <v>0.21</v>
      </c>
      <c r="R52" s="14">
        <v>27.32</v>
      </c>
      <c r="S52" s="14" t="s">
        <v>397</v>
      </c>
    </row>
    <row r="53" spans="1:19" s="14" customFormat="1" x14ac:dyDescent="0.25">
      <c r="A53" s="14" t="s">
        <v>22</v>
      </c>
      <c r="B53" s="15">
        <v>19491313</v>
      </c>
      <c r="C53" s="14" t="s">
        <v>53</v>
      </c>
      <c r="D53" s="14" t="s">
        <v>53</v>
      </c>
      <c r="E53" s="14" t="s">
        <v>125</v>
      </c>
      <c r="F53" s="14" t="s">
        <v>190</v>
      </c>
      <c r="G53" s="14" t="s">
        <v>472</v>
      </c>
      <c r="H53" s="14" t="s">
        <v>254</v>
      </c>
      <c r="I53" s="14" t="s">
        <v>256</v>
      </c>
      <c r="J53" s="16">
        <v>46054</v>
      </c>
      <c r="K53" s="16">
        <v>46174</v>
      </c>
      <c r="L53" s="17">
        <f>DATEDIF(J53,K53,"M")</f>
        <v>4</v>
      </c>
      <c r="M53" s="16" t="s">
        <v>419</v>
      </c>
      <c r="N53" s="16" t="s">
        <v>420</v>
      </c>
      <c r="O53" s="14" t="s">
        <v>307</v>
      </c>
      <c r="P53" s="17">
        <v>130.09</v>
      </c>
      <c r="Q53" s="18">
        <v>0.21</v>
      </c>
      <c r="R53" s="14">
        <v>27.32</v>
      </c>
      <c r="S53" s="14" t="s">
        <v>397</v>
      </c>
    </row>
    <row r="54" spans="1:19" s="14" customFormat="1" x14ac:dyDescent="0.25">
      <c r="A54" s="14" t="s">
        <v>22</v>
      </c>
      <c r="B54" s="15">
        <v>19491313</v>
      </c>
      <c r="C54" s="14" t="s">
        <v>47</v>
      </c>
      <c r="D54" s="14" t="s">
        <v>47</v>
      </c>
      <c r="E54" s="14" t="s">
        <v>119</v>
      </c>
      <c r="F54" s="14" t="s">
        <v>184</v>
      </c>
      <c r="G54" s="14" t="s">
        <v>473</v>
      </c>
      <c r="H54" s="14" t="s">
        <v>254</v>
      </c>
      <c r="I54" s="14" t="s">
        <v>256</v>
      </c>
      <c r="J54" s="16">
        <v>46023</v>
      </c>
      <c r="K54" s="16">
        <v>46174</v>
      </c>
      <c r="L54" s="17">
        <f>DATEDIF(J54,K54,"M")</f>
        <v>5</v>
      </c>
      <c r="M54" s="16" t="s">
        <v>419</v>
      </c>
      <c r="N54" s="16" t="s">
        <v>420</v>
      </c>
      <c r="O54" s="14" t="s">
        <v>307</v>
      </c>
      <c r="P54" s="17">
        <v>130.09</v>
      </c>
      <c r="Q54" s="18">
        <v>0.21</v>
      </c>
      <c r="R54" s="14">
        <v>27.32</v>
      </c>
      <c r="S54" s="14" t="s">
        <v>397</v>
      </c>
    </row>
    <row r="55" spans="1:19" s="14" customFormat="1" x14ac:dyDescent="0.25">
      <c r="A55" s="14" t="s">
        <v>22</v>
      </c>
      <c r="B55" s="15">
        <v>19491313</v>
      </c>
      <c r="C55" s="14" t="s">
        <v>49</v>
      </c>
      <c r="D55" s="14" t="s">
        <v>49</v>
      </c>
      <c r="E55" s="14" t="s">
        <v>121</v>
      </c>
      <c r="F55" s="14" t="s">
        <v>186</v>
      </c>
      <c r="G55" s="14" t="s">
        <v>474</v>
      </c>
      <c r="H55" s="14" t="s">
        <v>254</v>
      </c>
      <c r="I55" s="14" t="s">
        <v>256</v>
      </c>
      <c r="J55" s="16">
        <v>46023</v>
      </c>
      <c r="K55" s="16">
        <v>46174</v>
      </c>
      <c r="L55" s="17">
        <f>DATEDIF(J55,K55,"M")</f>
        <v>5</v>
      </c>
      <c r="M55" s="16" t="s">
        <v>419</v>
      </c>
      <c r="N55" s="16" t="s">
        <v>420</v>
      </c>
      <c r="O55" s="14" t="s">
        <v>307</v>
      </c>
      <c r="P55" s="17">
        <v>130.09</v>
      </c>
      <c r="Q55" s="18">
        <v>0.21</v>
      </c>
      <c r="R55" s="14">
        <v>27.32</v>
      </c>
      <c r="S55" s="14" t="s">
        <v>397</v>
      </c>
    </row>
    <row r="56" spans="1:19" s="14" customFormat="1" x14ac:dyDescent="0.25">
      <c r="A56" s="14" t="s">
        <v>22</v>
      </c>
      <c r="B56" s="15">
        <v>19491313</v>
      </c>
      <c r="C56" s="14" t="s">
        <v>57</v>
      </c>
      <c r="D56" s="14" t="s">
        <v>57</v>
      </c>
      <c r="E56" s="14" t="s">
        <v>129</v>
      </c>
      <c r="F56" s="14" t="s">
        <v>193</v>
      </c>
      <c r="G56" s="14" t="s">
        <v>475</v>
      </c>
      <c r="H56" s="14" t="s">
        <v>254</v>
      </c>
      <c r="I56" s="14" t="s">
        <v>256</v>
      </c>
      <c r="J56" s="16">
        <v>45992</v>
      </c>
      <c r="K56" s="16">
        <v>46174</v>
      </c>
      <c r="L56" s="17">
        <f>DATEDIF(J56,K56,"M")</f>
        <v>6</v>
      </c>
      <c r="M56" s="16" t="s">
        <v>419</v>
      </c>
      <c r="N56" s="16" t="s">
        <v>420</v>
      </c>
      <c r="O56" s="14" t="s">
        <v>307</v>
      </c>
      <c r="P56" s="17">
        <v>143.78</v>
      </c>
      <c r="Q56" s="18">
        <v>0.21</v>
      </c>
      <c r="R56" s="14">
        <v>30.19</v>
      </c>
      <c r="S56" s="14" t="s">
        <v>397</v>
      </c>
    </row>
    <row r="57" spans="1:19" s="14" customFormat="1" x14ac:dyDescent="0.25">
      <c r="A57" s="14" t="s">
        <v>22</v>
      </c>
      <c r="B57" s="15">
        <v>19491313</v>
      </c>
      <c r="C57" s="14" t="s">
        <v>48</v>
      </c>
      <c r="D57" s="14" t="s">
        <v>48</v>
      </c>
      <c r="E57" s="14" t="s">
        <v>120</v>
      </c>
      <c r="F57" s="14" t="s">
        <v>185</v>
      </c>
      <c r="G57" s="14" t="s">
        <v>476</v>
      </c>
      <c r="H57" s="14" t="s">
        <v>254</v>
      </c>
      <c r="I57" s="14" t="s">
        <v>256</v>
      </c>
      <c r="J57" s="16">
        <v>45962</v>
      </c>
      <c r="K57" s="16">
        <v>46174</v>
      </c>
      <c r="L57" s="17">
        <f>DATEDIF(J57,K57,"M")</f>
        <v>7</v>
      </c>
      <c r="M57" s="16" t="s">
        <v>419</v>
      </c>
      <c r="N57" s="16" t="s">
        <v>420</v>
      </c>
      <c r="O57" s="14" t="s">
        <v>307</v>
      </c>
      <c r="P57" s="17">
        <v>136.22</v>
      </c>
      <c r="Q57" s="18">
        <v>0.21</v>
      </c>
      <c r="R57" s="14">
        <v>28.61</v>
      </c>
      <c r="S57" s="14" t="s">
        <v>397</v>
      </c>
    </row>
    <row r="58" spans="1:19" s="14" customFormat="1" x14ac:dyDescent="0.25">
      <c r="A58" s="14" t="s">
        <v>22</v>
      </c>
      <c r="B58" s="15">
        <v>19491313</v>
      </c>
      <c r="C58" s="14" t="s">
        <v>51</v>
      </c>
      <c r="D58" s="14" t="s">
        <v>51</v>
      </c>
      <c r="E58" s="14" t="s">
        <v>123</v>
      </c>
      <c r="F58" s="14" t="s">
        <v>188</v>
      </c>
      <c r="G58" s="14" t="s">
        <v>477</v>
      </c>
      <c r="H58" s="14" t="s">
        <v>254</v>
      </c>
      <c r="I58" s="14" t="s">
        <v>256</v>
      </c>
      <c r="J58" s="16">
        <v>45962</v>
      </c>
      <c r="K58" s="16">
        <v>46174</v>
      </c>
      <c r="L58" s="17">
        <f>DATEDIF(J58,K58,"M")</f>
        <v>7</v>
      </c>
      <c r="M58" s="16" t="s">
        <v>419</v>
      </c>
      <c r="N58" s="16" t="s">
        <v>420</v>
      </c>
      <c r="O58" s="14" t="s">
        <v>307</v>
      </c>
      <c r="P58" s="17">
        <v>104.82</v>
      </c>
      <c r="Q58" s="18">
        <v>0.21</v>
      </c>
      <c r="R58" s="14">
        <v>22.01</v>
      </c>
      <c r="S58" s="14" t="s">
        <v>397</v>
      </c>
    </row>
    <row r="59" spans="1:19" s="14" customFormat="1" x14ac:dyDescent="0.25">
      <c r="A59" s="14" t="s">
        <v>22</v>
      </c>
      <c r="B59" s="15">
        <v>19491313</v>
      </c>
      <c r="C59" s="14" t="s">
        <v>55</v>
      </c>
      <c r="D59" s="14" t="s">
        <v>55</v>
      </c>
      <c r="E59" s="14" t="s">
        <v>127</v>
      </c>
      <c r="F59" s="14" t="s">
        <v>185</v>
      </c>
      <c r="G59" s="14" t="s">
        <v>478</v>
      </c>
      <c r="H59" s="14" t="s">
        <v>254</v>
      </c>
      <c r="I59" s="14" t="s">
        <v>256</v>
      </c>
      <c r="J59" s="16">
        <v>45962</v>
      </c>
      <c r="K59" s="16">
        <v>46174</v>
      </c>
      <c r="L59" s="17">
        <f>DATEDIF(J59,K59,"M")</f>
        <v>7</v>
      </c>
      <c r="M59" s="16" t="s">
        <v>419</v>
      </c>
      <c r="N59" s="16" t="s">
        <v>420</v>
      </c>
      <c r="O59" s="14" t="s">
        <v>307</v>
      </c>
      <c r="P59" s="17">
        <v>123.24</v>
      </c>
      <c r="Q59" s="18">
        <v>0.21</v>
      </c>
      <c r="R59" s="14">
        <v>25.88</v>
      </c>
      <c r="S59" s="14" t="s">
        <v>397</v>
      </c>
    </row>
    <row r="60" spans="1:19" s="14" customFormat="1" x14ac:dyDescent="0.25">
      <c r="A60" s="14" t="s">
        <v>22</v>
      </c>
      <c r="B60" s="15">
        <v>19491313</v>
      </c>
      <c r="C60" s="14" t="s">
        <v>56</v>
      </c>
      <c r="D60" s="14" t="s">
        <v>56</v>
      </c>
      <c r="E60" s="14" t="s">
        <v>128</v>
      </c>
      <c r="F60" s="14" t="s">
        <v>192</v>
      </c>
      <c r="G60" s="14" t="s">
        <v>479</v>
      </c>
      <c r="H60" s="14" t="s">
        <v>254</v>
      </c>
      <c r="I60" s="14" t="s">
        <v>256</v>
      </c>
      <c r="J60" s="16">
        <v>45962</v>
      </c>
      <c r="K60" s="16">
        <v>46174</v>
      </c>
      <c r="L60" s="17">
        <f>DATEDIF(J60,K60,"M")</f>
        <v>7</v>
      </c>
      <c r="M60" s="16" t="s">
        <v>419</v>
      </c>
      <c r="N60" s="16" t="s">
        <v>420</v>
      </c>
      <c r="O60" s="14" t="s">
        <v>307</v>
      </c>
      <c r="P60" s="17">
        <v>117.08</v>
      </c>
      <c r="Q60" s="18">
        <v>0.21</v>
      </c>
      <c r="R60" s="14">
        <v>24.59</v>
      </c>
      <c r="S60" s="14" t="s">
        <v>397</v>
      </c>
    </row>
    <row r="61" spans="1:19" s="14" customFormat="1" x14ac:dyDescent="0.25">
      <c r="A61" s="14" t="s">
        <v>22</v>
      </c>
      <c r="B61" s="15">
        <v>19491313</v>
      </c>
      <c r="C61" s="14" t="s">
        <v>52</v>
      </c>
      <c r="D61" s="14" t="s">
        <v>52</v>
      </c>
      <c r="E61" s="14" t="s">
        <v>124</v>
      </c>
      <c r="F61" s="14" t="s">
        <v>189</v>
      </c>
      <c r="G61" s="14" t="s">
        <v>480</v>
      </c>
      <c r="H61" s="14" t="s">
        <v>254</v>
      </c>
      <c r="I61" s="14" t="s">
        <v>256</v>
      </c>
      <c r="J61" s="16">
        <v>45931</v>
      </c>
      <c r="K61" s="16">
        <v>46174</v>
      </c>
      <c r="L61" s="17">
        <f>DATEDIF(J61,K61,"M")</f>
        <v>8</v>
      </c>
      <c r="M61" s="16" t="s">
        <v>419</v>
      </c>
      <c r="N61" s="16" t="s">
        <v>420</v>
      </c>
      <c r="O61" s="14" t="s">
        <v>307</v>
      </c>
      <c r="P61" s="17">
        <v>115.86</v>
      </c>
      <c r="Q61" s="18">
        <v>0.21</v>
      </c>
      <c r="R61" s="14">
        <v>24.33</v>
      </c>
      <c r="S61" s="14" t="s">
        <v>397</v>
      </c>
    </row>
    <row r="62" spans="1:19" s="14" customFormat="1" x14ac:dyDescent="0.25">
      <c r="A62" s="14" t="s">
        <v>22</v>
      </c>
      <c r="B62" s="15">
        <v>19491313</v>
      </c>
      <c r="C62" s="14" t="s">
        <v>58</v>
      </c>
      <c r="D62" s="14" t="s">
        <v>58</v>
      </c>
      <c r="E62" s="14" t="s">
        <v>130</v>
      </c>
      <c r="F62" s="14" t="s">
        <v>194</v>
      </c>
      <c r="G62" s="14" t="s">
        <v>481</v>
      </c>
      <c r="H62" s="14" t="s">
        <v>254</v>
      </c>
      <c r="I62" s="14" t="s">
        <v>256</v>
      </c>
      <c r="J62" s="16">
        <v>45931</v>
      </c>
      <c r="K62" s="16">
        <v>46174</v>
      </c>
      <c r="L62" s="17">
        <f>DATEDIF(J62,K62,"M")</f>
        <v>8</v>
      </c>
      <c r="M62" s="16" t="s">
        <v>419</v>
      </c>
      <c r="N62" s="16" t="s">
        <v>420</v>
      </c>
      <c r="O62" s="14" t="s">
        <v>307</v>
      </c>
      <c r="P62" s="17">
        <v>104.82</v>
      </c>
      <c r="Q62" s="18">
        <v>0.21</v>
      </c>
      <c r="R62" s="14">
        <v>22.01</v>
      </c>
      <c r="S62" s="14" t="s">
        <v>397</v>
      </c>
    </row>
    <row r="63" spans="1:19" s="14" customFormat="1" x14ac:dyDescent="0.25">
      <c r="A63" s="14" t="s">
        <v>391</v>
      </c>
      <c r="B63" s="15" t="s">
        <v>408</v>
      </c>
      <c r="C63" s="14" t="s">
        <v>96</v>
      </c>
      <c r="D63" s="14" t="s">
        <v>96</v>
      </c>
      <c r="E63" s="14" t="s">
        <v>162</v>
      </c>
      <c r="F63" s="14" t="s">
        <v>229</v>
      </c>
      <c r="G63" s="14" t="s">
        <v>482</v>
      </c>
      <c r="H63" s="14" t="s">
        <v>254</v>
      </c>
      <c r="I63" s="14" t="s">
        <v>258</v>
      </c>
      <c r="J63" s="16">
        <v>46023</v>
      </c>
      <c r="K63" s="16">
        <v>46174</v>
      </c>
      <c r="L63" s="17">
        <f>DATEDIF(J63,K63,"M")</f>
        <v>5</v>
      </c>
      <c r="M63" s="16" t="s">
        <v>419</v>
      </c>
      <c r="N63" s="16" t="s">
        <v>420</v>
      </c>
      <c r="O63" s="14" t="s">
        <v>307</v>
      </c>
      <c r="P63" s="17">
        <v>166.99</v>
      </c>
      <c r="Q63" s="18">
        <v>0.23200000000000001</v>
      </c>
      <c r="R63" s="14">
        <v>38.74</v>
      </c>
      <c r="S63" s="14" t="s">
        <v>401</v>
      </c>
    </row>
    <row r="64" spans="1:19" s="14" customFormat="1" x14ac:dyDescent="0.25">
      <c r="A64" s="14" t="s">
        <v>390</v>
      </c>
      <c r="B64" s="15">
        <v>20411454</v>
      </c>
      <c r="C64" s="14" t="s">
        <v>46</v>
      </c>
      <c r="D64" s="14" t="str">
        <f>CONCATENATE(C64,"OVR")</f>
        <v>H750103734OVR</v>
      </c>
      <c r="E64" s="14" t="s">
        <v>118</v>
      </c>
      <c r="F64" s="14" t="s">
        <v>183</v>
      </c>
      <c r="G64" s="14" t="s">
        <v>422</v>
      </c>
      <c r="H64" s="14" t="s">
        <v>254</v>
      </c>
      <c r="I64" s="14" t="s">
        <v>256</v>
      </c>
      <c r="J64" s="16">
        <v>46174</v>
      </c>
      <c r="K64" s="16">
        <v>46204</v>
      </c>
      <c r="L64" s="17">
        <f>DATEDIF(J64,K64,"M")</f>
        <v>1</v>
      </c>
      <c r="M64" s="16" t="s">
        <v>419</v>
      </c>
      <c r="N64" s="16" t="s">
        <v>420</v>
      </c>
      <c r="O64" s="14" t="s">
        <v>307</v>
      </c>
      <c r="P64" s="14">
        <v>4.03</v>
      </c>
      <c r="Q64" s="18">
        <v>2.8000000000000001E-2</v>
      </c>
      <c r="R64" s="14">
        <v>4.03</v>
      </c>
      <c r="S64" s="14" t="s">
        <v>403</v>
      </c>
    </row>
    <row r="65" spans="1:19" s="14" customFormat="1" x14ac:dyDescent="0.25">
      <c r="A65" s="14" t="s">
        <v>390</v>
      </c>
      <c r="B65" s="15">
        <v>20411454</v>
      </c>
      <c r="C65" s="14" t="s">
        <v>84</v>
      </c>
      <c r="D65" s="14" t="str">
        <f>CONCATENATE(C65,"OVR")</f>
        <v>H711148576OVR</v>
      </c>
      <c r="E65" s="14" t="s">
        <v>151</v>
      </c>
      <c r="F65" s="14" t="s">
        <v>218</v>
      </c>
      <c r="G65" s="14" t="s">
        <v>425</v>
      </c>
      <c r="H65" s="14" t="s">
        <v>253</v>
      </c>
      <c r="I65" s="14" t="s">
        <v>257</v>
      </c>
      <c r="J65" s="16">
        <v>46143</v>
      </c>
      <c r="K65" s="16">
        <v>46174</v>
      </c>
      <c r="L65" s="17">
        <f>DATEDIF(J65,K65,"M")</f>
        <v>1</v>
      </c>
      <c r="M65" s="16" t="s">
        <v>419</v>
      </c>
      <c r="N65" s="16" t="s">
        <v>420</v>
      </c>
      <c r="O65" s="14" t="s">
        <v>307</v>
      </c>
      <c r="P65" s="14">
        <v>6.17</v>
      </c>
      <c r="Q65" s="18">
        <v>9.5000000000000001E-2</v>
      </c>
      <c r="R65" s="14">
        <v>6.17</v>
      </c>
      <c r="S65" s="14" t="s">
        <v>403</v>
      </c>
    </row>
    <row r="66" spans="1:19" s="14" customFormat="1" x14ac:dyDescent="0.25">
      <c r="A66" s="14" t="s">
        <v>390</v>
      </c>
      <c r="B66" s="15">
        <v>20411454</v>
      </c>
      <c r="C66" s="14" t="s">
        <v>94</v>
      </c>
      <c r="D66" s="14" t="str">
        <f>CONCATENATE(C66,"OVR")</f>
        <v>H750103921OVR</v>
      </c>
      <c r="E66" s="14" t="s">
        <v>160</v>
      </c>
      <c r="F66" s="14" t="s">
        <v>227</v>
      </c>
      <c r="G66" s="14" t="s">
        <v>423</v>
      </c>
      <c r="H66" s="14" t="s">
        <v>254</v>
      </c>
      <c r="I66" s="14" t="s">
        <v>259</v>
      </c>
      <c r="J66" s="16">
        <v>46143</v>
      </c>
      <c r="K66" s="16">
        <v>46174</v>
      </c>
      <c r="L66" s="17">
        <f>DATEDIF(J66,K66,"M")</f>
        <v>1</v>
      </c>
      <c r="M66" s="16" t="s">
        <v>419</v>
      </c>
      <c r="N66" s="16" t="s">
        <v>420</v>
      </c>
      <c r="O66" s="14" t="s">
        <v>307</v>
      </c>
      <c r="P66" s="14">
        <v>4.95</v>
      </c>
      <c r="Q66" s="18">
        <v>2.8000000000000001E-2</v>
      </c>
      <c r="R66" s="14">
        <v>4.95</v>
      </c>
      <c r="S66" s="14" t="s">
        <v>403</v>
      </c>
    </row>
    <row r="67" spans="1:19" s="14" customFormat="1" x14ac:dyDescent="0.25">
      <c r="A67" s="14" t="s">
        <v>390</v>
      </c>
      <c r="B67" s="15">
        <v>20411454</v>
      </c>
      <c r="C67" s="14" t="s">
        <v>100</v>
      </c>
      <c r="D67" s="14" t="str">
        <f>CONCATENATE(C67,"OVR")</f>
        <v>H750103995OVR</v>
      </c>
      <c r="E67" s="14" t="s">
        <v>166</v>
      </c>
      <c r="F67" s="14" t="s">
        <v>233</v>
      </c>
      <c r="G67" s="14" t="s">
        <v>424</v>
      </c>
      <c r="H67" s="14" t="s">
        <v>254</v>
      </c>
      <c r="I67" s="14" t="s">
        <v>258</v>
      </c>
      <c r="J67" s="16">
        <v>46143</v>
      </c>
      <c r="K67" s="16">
        <v>46174</v>
      </c>
      <c r="L67" s="17">
        <f>DATEDIF(J67,K67,"M")</f>
        <v>1</v>
      </c>
      <c r="M67" s="16" t="s">
        <v>419</v>
      </c>
      <c r="N67" s="16" t="s">
        <v>420</v>
      </c>
      <c r="O67" s="14" t="s">
        <v>307</v>
      </c>
      <c r="P67" s="14">
        <v>4.68</v>
      </c>
      <c r="Q67" s="18">
        <v>2.8000000000000001E-2</v>
      </c>
      <c r="R67" s="14">
        <v>4.68</v>
      </c>
      <c r="S67" s="14" t="s">
        <v>403</v>
      </c>
    </row>
    <row r="68" spans="1:19" s="14" customFormat="1" x14ac:dyDescent="0.25">
      <c r="A68" s="14" t="s">
        <v>390</v>
      </c>
      <c r="B68" s="15">
        <v>20411454</v>
      </c>
      <c r="C68" s="14" t="s">
        <v>63</v>
      </c>
      <c r="D68" s="14" t="str">
        <f>CONCATENATE(C68,"OVR")</f>
        <v>H711132467OVR</v>
      </c>
      <c r="E68" s="14" t="s">
        <v>135</v>
      </c>
      <c r="F68" s="14" t="s">
        <v>199</v>
      </c>
      <c r="G68" s="14" t="s">
        <v>438</v>
      </c>
      <c r="H68" s="14" t="s">
        <v>253</v>
      </c>
      <c r="I68" s="14" t="s">
        <v>257</v>
      </c>
      <c r="J68" s="16">
        <v>46113</v>
      </c>
      <c r="K68" s="16">
        <v>46174</v>
      </c>
      <c r="L68" s="17">
        <f>DATEDIF(J68,K68,"M")</f>
        <v>2</v>
      </c>
      <c r="M68" s="16" t="s">
        <v>419</v>
      </c>
      <c r="N68" s="16" t="s">
        <v>420</v>
      </c>
      <c r="O68" s="14" t="s">
        <v>307</v>
      </c>
      <c r="P68" s="14">
        <v>12.13</v>
      </c>
      <c r="Q68" s="18">
        <v>9.5000000000000001E-2</v>
      </c>
      <c r="R68" s="14">
        <v>12.13</v>
      </c>
      <c r="S68" s="14" t="s">
        <v>403</v>
      </c>
    </row>
    <row r="69" spans="1:19" s="14" customFormat="1" x14ac:dyDescent="0.25">
      <c r="A69" s="14" t="s">
        <v>390</v>
      </c>
      <c r="B69" s="15">
        <v>20411454</v>
      </c>
      <c r="C69" s="14" t="s">
        <v>67</v>
      </c>
      <c r="D69" s="14" t="str">
        <f>CONCATENATE(C69,"OVR")</f>
        <v>H711124408OVR</v>
      </c>
      <c r="E69" s="14" t="s">
        <v>138</v>
      </c>
      <c r="F69" s="14" t="s">
        <v>203</v>
      </c>
      <c r="G69" s="14" t="s">
        <v>439</v>
      </c>
      <c r="H69" s="14" t="s">
        <v>253</v>
      </c>
      <c r="I69" s="14" t="s">
        <v>257</v>
      </c>
      <c r="J69" s="16">
        <v>46113</v>
      </c>
      <c r="K69" s="16">
        <v>46174</v>
      </c>
      <c r="L69" s="17">
        <f>DATEDIF(J69,K69,"M")</f>
        <v>2</v>
      </c>
      <c r="M69" s="16" t="s">
        <v>419</v>
      </c>
      <c r="N69" s="16" t="s">
        <v>420</v>
      </c>
      <c r="O69" s="14" t="s">
        <v>307</v>
      </c>
      <c r="P69" s="14">
        <v>5.37</v>
      </c>
      <c r="Q69" s="18">
        <v>9.5000000000000001E-2</v>
      </c>
      <c r="R69" s="14">
        <v>5.37</v>
      </c>
      <c r="S69" s="14" t="s">
        <v>403</v>
      </c>
    </row>
    <row r="70" spans="1:19" s="14" customFormat="1" x14ac:dyDescent="0.25">
      <c r="A70" s="14" t="s">
        <v>390</v>
      </c>
      <c r="B70" s="15">
        <v>20411454</v>
      </c>
      <c r="C70" s="14" t="s">
        <v>70</v>
      </c>
      <c r="D70" s="14" t="str">
        <f>CONCATENATE(C70,"OVR")</f>
        <v>H711114255OVR</v>
      </c>
      <c r="E70" s="14" t="s">
        <v>123</v>
      </c>
      <c r="F70" s="14" t="s">
        <v>205</v>
      </c>
      <c r="G70" s="14" t="s">
        <v>440</v>
      </c>
      <c r="H70" s="14" t="s">
        <v>253</v>
      </c>
      <c r="I70" s="14" t="s">
        <v>257</v>
      </c>
      <c r="J70" s="16">
        <v>46113</v>
      </c>
      <c r="K70" s="16">
        <v>46174</v>
      </c>
      <c r="L70" s="17">
        <f>DATEDIF(J70,K70,"M")</f>
        <v>2</v>
      </c>
      <c r="M70" s="16" t="s">
        <v>419</v>
      </c>
      <c r="N70" s="16" t="s">
        <v>420</v>
      </c>
      <c r="O70" s="14" t="s">
        <v>307</v>
      </c>
      <c r="P70" s="14">
        <v>12.13</v>
      </c>
      <c r="Q70" s="18">
        <v>9.5000000000000001E-2</v>
      </c>
      <c r="R70" s="14">
        <v>12.13</v>
      </c>
      <c r="S70" s="14" t="s">
        <v>403</v>
      </c>
    </row>
    <row r="71" spans="1:19" s="14" customFormat="1" x14ac:dyDescent="0.25">
      <c r="A71" s="14" t="s">
        <v>390</v>
      </c>
      <c r="B71" s="15">
        <v>20411454</v>
      </c>
      <c r="C71" s="14" t="s">
        <v>91</v>
      </c>
      <c r="D71" s="14" t="str">
        <f>CONCATENATE(C71,"OVR")</f>
        <v>H750101214OVR</v>
      </c>
      <c r="E71" s="14" t="s">
        <v>157</v>
      </c>
      <c r="F71" s="14" t="s">
        <v>225</v>
      </c>
      <c r="G71" s="14" t="s">
        <v>432</v>
      </c>
      <c r="H71" s="14" t="s">
        <v>254</v>
      </c>
      <c r="I71" s="14" t="s">
        <v>258</v>
      </c>
      <c r="J71" s="16">
        <v>46113</v>
      </c>
      <c r="K71" s="16">
        <v>46174</v>
      </c>
      <c r="L71" s="17">
        <f>DATEDIF(J71,K71,"M")</f>
        <v>2</v>
      </c>
      <c r="M71" s="16" t="s">
        <v>419</v>
      </c>
      <c r="N71" s="16" t="s">
        <v>420</v>
      </c>
      <c r="O71" s="14" t="s">
        <v>307</v>
      </c>
      <c r="P71" s="14">
        <v>4.84</v>
      </c>
      <c r="Q71" s="18">
        <v>2.8000000000000001E-2</v>
      </c>
      <c r="R71" s="14">
        <v>4.84</v>
      </c>
      <c r="S71" s="14" t="s">
        <v>403</v>
      </c>
    </row>
    <row r="72" spans="1:19" s="14" customFormat="1" x14ac:dyDescent="0.25">
      <c r="A72" s="14" t="s">
        <v>390</v>
      </c>
      <c r="B72" s="15">
        <v>20411454</v>
      </c>
      <c r="C72" s="14" t="s">
        <v>92</v>
      </c>
      <c r="D72" s="14" t="str">
        <f>CONCATENATE(C72,"OVR")</f>
        <v>H750101234OVR</v>
      </c>
      <c r="E72" s="14" t="s">
        <v>158</v>
      </c>
      <c r="F72" s="14" t="s">
        <v>226</v>
      </c>
      <c r="G72" s="14" t="s">
        <v>433</v>
      </c>
      <c r="H72" s="14" t="s">
        <v>254</v>
      </c>
      <c r="I72" s="14" t="s">
        <v>258</v>
      </c>
      <c r="J72" s="16">
        <v>46113</v>
      </c>
      <c r="K72" s="16">
        <v>46174</v>
      </c>
      <c r="L72" s="17">
        <f>DATEDIF(J72,K72,"M")</f>
        <v>2</v>
      </c>
      <c r="M72" s="16" t="s">
        <v>419</v>
      </c>
      <c r="N72" s="16" t="s">
        <v>420</v>
      </c>
      <c r="O72" s="14" t="s">
        <v>307</v>
      </c>
      <c r="P72" s="14">
        <v>1.51</v>
      </c>
      <c r="Q72" s="18">
        <v>8.0000000000000002E-3</v>
      </c>
      <c r="R72" s="14">
        <v>1.51</v>
      </c>
      <c r="S72" s="14" t="s">
        <v>403</v>
      </c>
    </row>
    <row r="73" spans="1:19" s="14" customFormat="1" x14ac:dyDescent="0.25">
      <c r="A73" s="14" t="s">
        <v>390</v>
      </c>
      <c r="B73" s="15">
        <v>20411454</v>
      </c>
      <c r="C73" s="14" t="s">
        <v>93</v>
      </c>
      <c r="D73" s="14" t="str">
        <f>CONCATENATE(C73,"OVR")</f>
        <v>H750101210OVR</v>
      </c>
      <c r="E73" s="14" t="s">
        <v>159</v>
      </c>
      <c r="F73" s="14" t="s">
        <v>225</v>
      </c>
      <c r="G73" s="14" t="s">
        <v>434</v>
      </c>
      <c r="H73" s="14" t="s">
        <v>254</v>
      </c>
      <c r="I73" s="14" t="s">
        <v>258</v>
      </c>
      <c r="J73" s="16">
        <v>46113</v>
      </c>
      <c r="K73" s="16">
        <v>46174</v>
      </c>
      <c r="L73" s="17">
        <f>DATEDIF(J73,K73,"M")</f>
        <v>2</v>
      </c>
      <c r="M73" s="16" t="s">
        <v>419</v>
      </c>
      <c r="N73" s="16" t="s">
        <v>420</v>
      </c>
      <c r="O73" s="14" t="s">
        <v>307</v>
      </c>
      <c r="P73" s="14">
        <v>5.34</v>
      </c>
      <c r="Q73" s="18">
        <v>2.8000000000000001E-2</v>
      </c>
      <c r="R73" s="14">
        <v>5.34</v>
      </c>
      <c r="S73" s="14" t="s">
        <v>403</v>
      </c>
    </row>
    <row r="74" spans="1:19" s="14" customFormat="1" x14ac:dyDescent="0.25">
      <c r="A74" s="14" t="s">
        <v>390</v>
      </c>
      <c r="B74" s="15">
        <v>20411454</v>
      </c>
      <c r="C74" s="14" t="s">
        <v>95</v>
      </c>
      <c r="D74" s="14" t="str">
        <f>CONCATENATE(C74,"OVR")</f>
        <v>H750099200OVR</v>
      </c>
      <c r="E74" s="14" t="s">
        <v>161</v>
      </c>
      <c r="F74" s="14" t="s">
        <v>228</v>
      </c>
      <c r="G74" s="14" t="s">
        <v>435</v>
      </c>
      <c r="H74" s="14" t="s">
        <v>254</v>
      </c>
      <c r="I74" s="14" t="s">
        <v>258</v>
      </c>
      <c r="J74" s="16">
        <v>46113</v>
      </c>
      <c r="K74" s="16">
        <v>46174</v>
      </c>
      <c r="L74" s="17">
        <f>DATEDIF(J74,K74,"M")</f>
        <v>2</v>
      </c>
      <c r="M74" s="16" t="s">
        <v>419</v>
      </c>
      <c r="N74" s="16" t="s">
        <v>420</v>
      </c>
      <c r="O74" s="14" t="s">
        <v>307</v>
      </c>
      <c r="P74" s="14">
        <v>4.2300000000000004</v>
      </c>
      <c r="Q74" s="18">
        <v>2.8000000000000001E-2</v>
      </c>
      <c r="R74" s="14">
        <v>4.2300000000000004</v>
      </c>
      <c r="S74" s="14" t="s">
        <v>403</v>
      </c>
    </row>
    <row r="75" spans="1:19" s="14" customFormat="1" x14ac:dyDescent="0.25">
      <c r="A75" s="14" t="s">
        <v>390</v>
      </c>
      <c r="B75" s="15">
        <v>20411454</v>
      </c>
      <c r="C75" s="14" t="s">
        <v>97</v>
      </c>
      <c r="D75" s="14" t="str">
        <f>CONCATENATE(C75,"OVR")</f>
        <v>H711133668OVR</v>
      </c>
      <c r="E75" s="14" t="s">
        <v>163</v>
      </c>
      <c r="F75" s="14" t="s">
        <v>230</v>
      </c>
      <c r="G75" s="14" t="s">
        <v>437</v>
      </c>
      <c r="H75" s="14" t="s">
        <v>253</v>
      </c>
      <c r="I75" s="14" t="s">
        <v>258</v>
      </c>
      <c r="J75" s="16">
        <v>46113</v>
      </c>
      <c r="K75" s="16">
        <v>46174</v>
      </c>
      <c r="L75" s="17">
        <f>DATEDIF(J75,K75,"M")</f>
        <v>2</v>
      </c>
      <c r="M75" s="16" t="s">
        <v>419</v>
      </c>
      <c r="N75" s="16" t="s">
        <v>420</v>
      </c>
      <c r="O75" s="14" t="s">
        <v>307</v>
      </c>
      <c r="P75" s="14">
        <v>5.31</v>
      </c>
      <c r="Q75" s="18">
        <v>9.5000000000000001E-2</v>
      </c>
      <c r="R75" s="14">
        <v>5.31</v>
      </c>
      <c r="S75" s="14" t="s">
        <v>403</v>
      </c>
    </row>
    <row r="76" spans="1:19" s="14" customFormat="1" x14ac:dyDescent="0.25">
      <c r="A76" s="14" t="s">
        <v>390</v>
      </c>
      <c r="B76" s="15">
        <v>20411454</v>
      </c>
      <c r="C76" s="14" t="s">
        <v>101</v>
      </c>
      <c r="D76" s="14" t="str">
        <f>CONCATENATE(C76,"OVR")</f>
        <v>H750098156OVR</v>
      </c>
      <c r="E76" s="14" t="s">
        <v>167</v>
      </c>
      <c r="F76" s="14" t="s">
        <v>231</v>
      </c>
      <c r="G76" s="14" t="s">
        <v>436</v>
      </c>
      <c r="H76" s="14" t="s">
        <v>254</v>
      </c>
      <c r="I76" s="14" t="s">
        <v>258</v>
      </c>
      <c r="J76" s="16">
        <v>46113</v>
      </c>
      <c r="K76" s="16">
        <v>46174</v>
      </c>
      <c r="L76" s="17">
        <f>DATEDIF(J76,K76,"M")</f>
        <v>2</v>
      </c>
      <c r="M76" s="16" t="s">
        <v>419</v>
      </c>
      <c r="N76" s="16" t="s">
        <v>420</v>
      </c>
      <c r="O76" s="14" t="s">
        <v>307</v>
      </c>
      <c r="P76" s="14">
        <v>4.9400000000000004</v>
      </c>
      <c r="Q76" s="18">
        <v>2.8000000000000001E-2</v>
      </c>
      <c r="R76" s="14">
        <v>4.9400000000000004</v>
      </c>
      <c r="S76" s="14" t="s">
        <v>403</v>
      </c>
    </row>
    <row r="77" spans="1:19" s="14" customFormat="1" x14ac:dyDescent="0.25">
      <c r="A77" s="14" t="s">
        <v>390</v>
      </c>
      <c r="B77" s="15">
        <v>20411454</v>
      </c>
      <c r="C77" s="14" t="s">
        <v>102</v>
      </c>
      <c r="D77" s="14" t="str">
        <f>CONCATENATE(C77,"OVR")</f>
        <v>H711130308OVR</v>
      </c>
      <c r="E77" s="14" t="s">
        <v>168</v>
      </c>
      <c r="F77" s="14" t="s">
        <v>234</v>
      </c>
      <c r="G77" s="14" t="s">
        <v>426</v>
      </c>
      <c r="H77" s="14" t="s">
        <v>253</v>
      </c>
      <c r="I77" s="14" t="s">
        <v>260</v>
      </c>
      <c r="J77" s="16">
        <v>46113</v>
      </c>
      <c r="K77" s="16">
        <v>46174</v>
      </c>
      <c r="L77" s="17">
        <f>DATEDIF(J77,K77,"M")</f>
        <v>2</v>
      </c>
      <c r="M77" s="16" t="s">
        <v>419</v>
      </c>
      <c r="N77" s="16" t="s">
        <v>420</v>
      </c>
      <c r="O77" s="14" t="s">
        <v>307</v>
      </c>
      <c r="P77" s="14">
        <v>5.31</v>
      </c>
      <c r="Q77" s="18">
        <v>9.5000000000000001E-2</v>
      </c>
      <c r="R77" s="14">
        <v>5.31</v>
      </c>
      <c r="S77" s="14" t="s">
        <v>403</v>
      </c>
    </row>
    <row r="78" spans="1:19" s="14" customFormat="1" x14ac:dyDescent="0.25">
      <c r="A78" s="14" t="s">
        <v>390</v>
      </c>
      <c r="B78" s="15">
        <v>20411454</v>
      </c>
      <c r="C78" s="14" t="s">
        <v>103</v>
      </c>
      <c r="D78" s="14" t="str">
        <f>CONCATENATE(C78,"OVR")</f>
        <v>H711131138OVR</v>
      </c>
      <c r="E78" s="14" t="s">
        <v>169</v>
      </c>
      <c r="F78" s="14" t="s">
        <v>235</v>
      </c>
      <c r="G78" s="14" t="s">
        <v>427</v>
      </c>
      <c r="H78" s="14" t="s">
        <v>253</v>
      </c>
      <c r="I78" s="14" t="s">
        <v>260</v>
      </c>
      <c r="J78" s="16">
        <v>46113</v>
      </c>
      <c r="K78" s="16">
        <v>46174</v>
      </c>
      <c r="L78" s="17">
        <f>DATEDIF(J78,K78,"M")</f>
        <v>2</v>
      </c>
      <c r="M78" s="16" t="s">
        <v>419</v>
      </c>
      <c r="N78" s="16" t="s">
        <v>420</v>
      </c>
      <c r="O78" s="14" t="s">
        <v>307</v>
      </c>
      <c r="P78" s="14">
        <v>16.73</v>
      </c>
      <c r="Q78" s="18">
        <v>9.5000000000000001E-2</v>
      </c>
      <c r="R78" s="14">
        <v>16.73</v>
      </c>
      <c r="S78" s="14" t="s">
        <v>403</v>
      </c>
    </row>
    <row r="79" spans="1:19" s="14" customFormat="1" x14ac:dyDescent="0.25">
      <c r="A79" s="14" t="s">
        <v>390</v>
      </c>
      <c r="B79" s="15">
        <v>20411454</v>
      </c>
      <c r="C79" s="14" t="s">
        <v>104</v>
      </c>
      <c r="D79" s="14" t="str">
        <f>CONCATENATE(C79,"OVR")</f>
        <v>H711131159OVR</v>
      </c>
      <c r="E79" s="14" t="s">
        <v>170</v>
      </c>
      <c r="F79" s="14" t="s">
        <v>236</v>
      </c>
      <c r="G79" s="14" t="s">
        <v>428</v>
      </c>
      <c r="H79" s="14" t="s">
        <v>253</v>
      </c>
      <c r="I79" s="14" t="s">
        <v>260</v>
      </c>
      <c r="J79" s="16">
        <v>46113</v>
      </c>
      <c r="K79" s="16">
        <v>46174</v>
      </c>
      <c r="L79" s="17">
        <f>DATEDIF(J79,K79,"M")</f>
        <v>2</v>
      </c>
      <c r="M79" s="16" t="s">
        <v>419</v>
      </c>
      <c r="N79" s="16" t="s">
        <v>420</v>
      </c>
      <c r="O79" s="14" t="s">
        <v>307</v>
      </c>
      <c r="P79" s="14">
        <v>5.31</v>
      </c>
      <c r="Q79" s="18">
        <v>9.5000000000000001E-2</v>
      </c>
      <c r="R79" s="14">
        <v>5.31</v>
      </c>
      <c r="S79" s="14" t="s">
        <v>403</v>
      </c>
    </row>
    <row r="80" spans="1:19" s="14" customFormat="1" x14ac:dyDescent="0.25">
      <c r="A80" s="14" t="s">
        <v>390</v>
      </c>
      <c r="B80" s="15">
        <v>20411454</v>
      </c>
      <c r="C80" s="14" t="s">
        <v>105</v>
      </c>
      <c r="D80" s="14" t="str">
        <f>CONCATENATE(C80,"OVR")</f>
        <v>H711131014OVR</v>
      </c>
      <c r="E80" s="14" t="s">
        <v>117</v>
      </c>
      <c r="F80" s="14" t="s">
        <v>237</v>
      </c>
      <c r="G80" s="14" t="s">
        <v>429</v>
      </c>
      <c r="H80" s="14" t="s">
        <v>253</v>
      </c>
      <c r="I80" s="14" t="s">
        <v>260</v>
      </c>
      <c r="J80" s="16">
        <v>46113</v>
      </c>
      <c r="K80" s="16">
        <v>46174</v>
      </c>
      <c r="L80" s="17">
        <f>DATEDIF(J80,K80,"M")</f>
        <v>2</v>
      </c>
      <c r="M80" s="16" t="s">
        <v>419</v>
      </c>
      <c r="N80" s="16" t="s">
        <v>420</v>
      </c>
      <c r="O80" s="14" t="s">
        <v>307</v>
      </c>
      <c r="P80" s="14">
        <v>17.010000000000002</v>
      </c>
      <c r="Q80" s="18">
        <v>9.5000000000000001E-2</v>
      </c>
      <c r="R80" s="14">
        <v>17.010000000000002</v>
      </c>
      <c r="S80" s="14" t="s">
        <v>403</v>
      </c>
    </row>
    <row r="81" spans="1:19" s="14" customFormat="1" x14ac:dyDescent="0.25">
      <c r="A81" s="14" t="s">
        <v>390</v>
      </c>
      <c r="B81" s="15">
        <v>20411454</v>
      </c>
      <c r="C81" s="14" t="s">
        <v>106</v>
      </c>
      <c r="D81" s="14" t="str">
        <f>CONCATENATE(C81,"OVR")</f>
        <v>H711131191OVR</v>
      </c>
      <c r="E81" s="14" t="s">
        <v>171</v>
      </c>
      <c r="F81" s="14" t="s">
        <v>238</v>
      </c>
      <c r="G81" s="14" t="s">
        <v>430</v>
      </c>
      <c r="H81" s="14" t="s">
        <v>253</v>
      </c>
      <c r="I81" s="14" t="s">
        <v>261</v>
      </c>
      <c r="J81" s="16">
        <v>46113</v>
      </c>
      <c r="K81" s="16">
        <v>46174</v>
      </c>
      <c r="L81" s="17">
        <f>DATEDIF(J81,K81,"M")</f>
        <v>2</v>
      </c>
      <c r="M81" s="16" t="s">
        <v>419</v>
      </c>
      <c r="N81" s="16" t="s">
        <v>420</v>
      </c>
      <c r="O81" s="14" t="s">
        <v>307</v>
      </c>
      <c r="P81" s="14">
        <v>5.31</v>
      </c>
      <c r="Q81" s="18">
        <v>9.5000000000000001E-2</v>
      </c>
      <c r="R81" s="14">
        <v>5.31</v>
      </c>
      <c r="S81" s="14" t="s">
        <v>403</v>
      </c>
    </row>
    <row r="82" spans="1:19" s="14" customFormat="1" x14ac:dyDescent="0.25">
      <c r="A82" s="14" t="s">
        <v>390</v>
      </c>
      <c r="B82" s="15">
        <v>20411454</v>
      </c>
      <c r="C82" s="14" t="s">
        <v>115</v>
      </c>
      <c r="D82" s="14" t="str">
        <f>CONCATENATE(C82,"OVR")</f>
        <v>H711134623OVR</v>
      </c>
      <c r="E82" s="14" t="s">
        <v>180</v>
      </c>
      <c r="F82" s="14" t="s">
        <v>247</v>
      </c>
      <c r="G82" s="14" t="s">
        <v>431</v>
      </c>
      <c r="H82" s="14" t="s">
        <v>253</v>
      </c>
      <c r="I82" s="14" t="s">
        <v>257</v>
      </c>
      <c r="J82" s="16">
        <v>46113</v>
      </c>
      <c r="K82" s="16">
        <v>46174</v>
      </c>
      <c r="L82" s="17">
        <f>DATEDIF(J82,K82,"M")</f>
        <v>2</v>
      </c>
      <c r="M82" s="16" t="s">
        <v>419</v>
      </c>
      <c r="N82" s="16" t="s">
        <v>420</v>
      </c>
      <c r="O82" s="14" t="s">
        <v>307</v>
      </c>
      <c r="P82" s="14">
        <v>5.65</v>
      </c>
      <c r="Q82" s="18">
        <v>9.5000000000000001E-2</v>
      </c>
      <c r="R82" s="14">
        <v>5.65</v>
      </c>
      <c r="S82" s="14" t="s">
        <v>403</v>
      </c>
    </row>
    <row r="83" spans="1:19" s="14" customFormat="1" x14ac:dyDescent="0.25">
      <c r="A83" s="14" t="s">
        <v>390</v>
      </c>
      <c r="B83" s="15">
        <v>20411454</v>
      </c>
      <c r="C83" s="14" t="s">
        <v>72</v>
      </c>
      <c r="D83" s="14" t="str">
        <f>CONCATENATE(C83,"OVR")</f>
        <v>H711115473OVR</v>
      </c>
      <c r="E83" s="14" t="s">
        <v>117</v>
      </c>
      <c r="F83" s="14" t="s">
        <v>207</v>
      </c>
      <c r="G83" s="14" t="s">
        <v>441</v>
      </c>
      <c r="H83" s="14" t="s">
        <v>253</v>
      </c>
      <c r="I83" s="14" t="s">
        <v>257</v>
      </c>
      <c r="J83" s="16">
        <v>46082</v>
      </c>
      <c r="K83" s="16">
        <v>46174</v>
      </c>
      <c r="L83" s="17">
        <f>DATEDIF(J83,K83,"M")</f>
        <v>3</v>
      </c>
      <c r="M83" s="16" t="s">
        <v>419</v>
      </c>
      <c r="N83" s="16" t="s">
        <v>420</v>
      </c>
      <c r="O83" s="14" t="s">
        <v>307</v>
      </c>
      <c r="P83" s="14">
        <v>5.37</v>
      </c>
      <c r="Q83" s="18">
        <v>9.5000000000000001E-2</v>
      </c>
      <c r="R83" s="14">
        <v>5.37</v>
      </c>
      <c r="S83" s="14" t="s">
        <v>403</v>
      </c>
    </row>
    <row r="84" spans="1:19" s="14" customFormat="1" x14ac:dyDescent="0.25">
      <c r="A84" s="14" t="s">
        <v>390</v>
      </c>
      <c r="B84" s="15">
        <v>20411454</v>
      </c>
      <c r="C84" s="14" t="s">
        <v>74</v>
      </c>
      <c r="D84" s="14" t="str">
        <f>CONCATENATE(C84,"OVR")</f>
        <v>H711117482OVR</v>
      </c>
      <c r="E84" s="14" t="s">
        <v>142</v>
      </c>
      <c r="F84" s="14" t="s">
        <v>209</v>
      </c>
      <c r="G84" s="14" t="s">
        <v>442</v>
      </c>
      <c r="H84" s="14" t="s">
        <v>253</v>
      </c>
      <c r="I84" s="14" t="s">
        <v>257</v>
      </c>
      <c r="J84" s="16">
        <v>46082</v>
      </c>
      <c r="K84" s="16">
        <v>46174</v>
      </c>
      <c r="L84" s="17">
        <f>DATEDIF(J84,K84,"M")</f>
        <v>3</v>
      </c>
      <c r="M84" s="16" t="s">
        <v>419</v>
      </c>
      <c r="N84" s="16" t="s">
        <v>420</v>
      </c>
      <c r="O84" s="14" t="s">
        <v>307</v>
      </c>
      <c r="P84" s="14">
        <v>6.22</v>
      </c>
      <c r="Q84" s="18">
        <v>9.5000000000000001E-2</v>
      </c>
      <c r="R84" s="14">
        <v>6.22</v>
      </c>
      <c r="S84" s="14" t="s">
        <v>403</v>
      </c>
    </row>
    <row r="85" spans="1:19" s="14" customFormat="1" x14ac:dyDescent="0.25">
      <c r="A85" s="14" t="s">
        <v>390</v>
      </c>
      <c r="B85" s="15">
        <v>20411454</v>
      </c>
      <c r="C85" s="14" t="s">
        <v>87</v>
      </c>
      <c r="D85" s="14" t="str">
        <f>CONCATENATE(C85,"OVR")</f>
        <v>H711106761OVR</v>
      </c>
      <c r="E85" s="14" t="s">
        <v>153</v>
      </c>
      <c r="F85" s="14" t="s">
        <v>221</v>
      </c>
      <c r="G85" s="14" t="s">
        <v>443</v>
      </c>
      <c r="H85" s="14" t="s">
        <v>253</v>
      </c>
      <c r="I85" s="14" t="s">
        <v>257</v>
      </c>
      <c r="J85" s="16">
        <v>46082</v>
      </c>
      <c r="K85" s="16">
        <v>46174</v>
      </c>
      <c r="L85" s="17">
        <f>DATEDIF(J85,K85,"M")</f>
        <v>3</v>
      </c>
      <c r="M85" s="16" t="s">
        <v>419</v>
      </c>
      <c r="N85" s="16" t="s">
        <v>420</v>
      </c>
      <c r="O85" s="14" t="s">
        <v>307</v>
      </c>
      <c r="P85" s="14">
        <v>6.22</v>
      </c>
      <c r="Q85" s="18">
        <v>9.5000000000000001E-2</v>
      </c>
      <c r="R85" s="14">
        <v>6.22</v>
      </c>
      <c r="S85" s="14" t="s">
        <v>403</v>
      </c>
    </row>
    <row r="86" spans="1:19" s="14" customFormat="1" x14ac:dyDescent="0.25">
      <c r="A86" s="14" t="s">
        <v>390</v>
      </c>
      <c r="B86" s="15">
        <v>20411454</v>
      </c>
      <c r="C86" s="14" t="s">
        <v>53</v>
      </c>
      <c r="D86" s="14" t="str">
        <f>CONCATENATE(C86,"OVR")</f>
        <v>H750095804OVR</v>
      </c>
      <c r="E86" s="14" t="s">
        <v>125</v>
      </c>
      <c r="F86" s="14" t="s">
        <v>190</v>
      </c>
      <c r="G86" s="14" t="s">
        <v>472</v>
      </c>
      <c r="H86" s="14" t="s">
        <v>254</v>
      </c>
      <c r="I86" s="14" t="s">
        <v>256</v>
      </c>
      <c r="J86" s="16">
        <v>46054</v>
      </c>
      <c r="K86" s="16">
        <v>46174</v>
      </c>
      <c r="L86" s="17">
        <f>DATEDIF(J86,K86,"M")</f>
        <v>4</v>
      </c>
      <c r="M86" s="16" t="s">
        <v>419</v>
      </c>
      <c r="N86" s="16" t="s">
        <v>420</v>
      </c>
      <c r="O86" s="14" t="s">
        <v>307</v>
      </c>
      <c r="P86" s="14">
        <v>3.64</v>
      </c>
      <c r="Q86" s="18">
        <v>2.8000000000000001E-2</v>
      </c>
      <c r="R86" s="14">
        <v>3.64</v>
      </c>
      <c r="S86" s="14" t="s">
        <v>403</v>
      </c>
    </row>
    <row r="87" spans="1:19" s="14" customFormat="1" x14ac:dyDescent="0.25">
      <c r="A87" s="14" t="s">
        <v>390</v>
      </c>
      <c r="B87" s="15">
        <v>20411454</v>
      </c>
      <c r="C87" s="14" t="s">
        <v>53</v>
      </c>
      <c r="D87" s="14" t="str">
        <f>CONCATENATE(C87,"OVR")</f>
        <v>H750095804OVR</v>
      </c>
      <c r="E87" s="14" t="s">
        <v>125</v>
      </c>
      <c r="F87" s="14" t="s">
        <v>190</v>
      </c>
      <c r="G87" s="14" t="s">
        <v>472</v>
      </c>
      <c r="H87" s="14" t="s">
        <v>254</v>
      </c>
      <c r="I87" s="14" t="s">
        <v>256</v>
      </c>
      <c r="J87" s="16">
        <v>46054</v>
      </c>
      <c r="K87" s="16">
        <v>46174</v>
      </c>
      <c r="L87" s="17">
        <f>DATEDIF(J87,K87,"M")</f>
        <v>4</v>
      </c>
      <c r="M87" s="16" t="s">
        <v>419</v>
      </c>
      <c r="N87" s="16" t="s">
        <v>420</v>
      </c>
      <c r="O87" s="14" t="s">
        <v>307</v>
      </c>
      <c r="P87" s="14">
        <v>3.64</v>
      </c>
      <c r="Q87" s="18">
        <v>2.8000000000000001E-2</v>
      </c>
      <c r="R87" s="14">
        <v>3.64</v>
      </c>
      <c r="S87" s="14" t="s">
        <v>403</v>
      </c>
    </row>
    <row r="88" spans="1:19" s="14" customFormat="1" x14ac:dyDescent="0.25">
      <c r="A88" s="14" t="s">
        <v>390</v>
      </c>
      <c r="B88" s="15">
        <v>20411454</v>
      </c>
      <c r="C88" s="14" t="s">
        <v>64</v>
      </c>
      <c r="D88" s="14" t="str">
        <f>CONCATENATE(C88,"OVR")</f>
        <v>H711101209OVR</v>
      </c>
      <c r="E88" s="14" t="s">
        <v>136</v>
      </c>
      <c r="F88" s="14" t="s">
        <v>200</v>
      </c>
      <c r="G88" s="14" t="s">
        <v>446</v>
      </c>
      <c r="H88" s="14" t="s">
        <v>253</v>
      </c>
      <c r="I88" s="14" t="s">
        <v>257</v>
      </c>
      <c r="J88" s="16">
        <v>46054</v>
      </c>
      <c r="K88" s="16">
        <v>46174</v>
      </c>
      <c r="L88" s="17">
        <f>DATEDIF(J88,K88,"M")</f>
        <v>4</v>
      </c>
      <c r="M88" s="16" t="s">
        <v>419</v>
      </c>
      <c r="N88" s="16" t="s">
        <v>420</v>
      </c>
      <c r="O88" s="14" t="s">
        <v>307</v>
      </c>
      <c r="P88" s="14">
        <v>6.22</v>
      </c>
      <c r="Q88" s="18">
        <v>9.5000000000000001E-2</v>
      </c>
      <c r="R88" s="14">
        <v>6.22</v>
      </c>
      <c r="S88" s="14" t="s">
        <v>403</v>
      </c>
    </row>
    <row r="89" spans="1:19" s="14" customFormat="1" x14ac:dyDescent="0.25">
      <c r="A89" s="14" t="s">
        <v>390</v>
      </c>
      <c r="B89" s="15">
        <v>20411454</v>
      </c>
      <c r="C89" s="14" t="s">
        <v>65</v>
      </c>
      <c r="D89" s="14" t="str">
        <f>CONCATENATE(C89,"OVR")</f>
        <v>H711094874OVR</v>
      </c>
      <c r="E89" s="14" t="s">
        <v>128</v>
      </c>
      <c r="F89" s="14" t="s">
        <v>201</v>
      </c>
      <c r="G89" s="14" t="s">
        <v>447</v>
      </c>
      <c r="H89" s="14" t="s">
        <v>253</v>
      </c>
      <c r="I89" s="14" t="s">
        <v>257</v>
      </c>
      <c r="J89" s="16">
        <v>46054</v>
      </c>
      <c r="K89" s="16">
        <v>46174</v>
      </c>
      <c r="L89" s="17">
        <f>DATEDIF(J89,K89,"M")</f>
        <v>4</v>
      </c>
      <c r="M89" s="16" t="s">
        <v>419</v>
      </c>
      <c r="N89" s="16" t="s">
        <v>420</v>
      </c>
      <c r="O89" s="14" t="s">
        <v>307</v>
      </c>
      <c r="P89" s="14">
        <v>6.22</v>
      </c>
      <c r="Q89" s="18">
        <v>9.5000000000000001E-2</v>
      </c>
      <c r="R89" s="14">
        <v>6.22</v>
      </c>
      <c r="S89" s="14" t="s">
        <v>403</v>
      </c>
    </row>
    <row r="90" spans="1:19" s="14" customFormat="1" x14ac:dyDescent="0.25">
      <c r="A90" s="14" t="s">
        <v>390</v>
      </c>
      <c r="B90" s="15">
        <v>20411454</v>
      </c>
      <c r="C90" s="14" t="s">
        <v>71</v>
      </c>
      <c r="D90" s="14" t="str">
        <f>CONCATENATE(C90,"OVR")</f>
        <v>H711104082OVR</v>
      </c>
      <c r="E90" s="14" t="s">
        <v>140</v>
      </c>
      <c r="F90" s="14" t="s">
        <v>206</v>
      </c>
      <c r="G90" s="14" t="s">
        <v>448</v>
      </c>
      <c r="H90" s="14" t="s">
        <v>253</v>
      </c>
      <c r="I90" s="14" t="s">
        <v>257</v>
      </c>
      <c r="J90" s="16">
        <v>46054</v>
      </c>
      <c r="K90" s="16">
        <v>46174</v>
      </c>
      <c r="L90" s="17">
        <f>DATEDIF(J90,K90,"M")</f>
        <v>4</v>
      </c>
      <c r="M90" s="16" t="s">
        <v>419</v>
      </c>
      <c r="N90" s="16" t="s">
        <v>420</v>
      </c>
      <c r="O90" s="14" t="s">
        <v>307</v>
      </c>
      <c r="P90" s="14">
        <v>6.22</v>
      </c>
      <c r="Q90" s="18">
        <v>9.5000000000000001E-2</v>
      </c>
      <c r="R90" s="14">
        <v>6.22</v>
      </c>
      <c r="S90" s="14" t="s">
        <v>403</v>
      </c>
    </row>
    <row r="91" spans="1:19" s="14" customFormat="1" x14ac:dyDescent="0.25">
      <c r="A91" s="14" t="s">
        <v>390</v>
      </c>
      <c r="B91" s="15">
        <v>20411454</v>
      </c>
      <c r="C91" s="14" t="s">
        <v>80</v>
      </c>
      <c r="D91" s="14" t="str">
        <f>CONCATENATE(C91,"OVR")</f>
        <v>H711096465OVR</v>
      </c>
      <c r="E91" s="14" t="s">
        <v>147</v>
      </c>
      <c r="F91" s="14" t="s">
        <v>215</v>
      </c>
      <c r="G91" s="14" t="s">
        <v>449</v>
      </c>
      <c r="H91" s="14" t="s">
        <v>253</v>
      </c>
      <c r="I91" s="14" t="s">
        <v>257</v>
      </c>
      <c r="J91" s="16">
        <v>46054</v>
      </c>
      <c r="K91" s="16">
        <v>46174</v>
      </c>
      <c r="L91" s="17">
        <f>DATEDIF(J91,K91,"M")</f>
        <v>4</v>
      </c>
      <c r="M91" s="16" t="s">
        <v>419</v>
      </c>
      <c r="N91" s="16" t="s">
        <v>420</v>
      </c>
      <c r="O91" s="14" t="s">
        <v>307</v>
      </c>
      <c r="P91" s="14">
        <v>10.74</v>
      </c>
      <c r="Q91" s="18">
        <v>9.5000000000000001E-2</v>
      </c>
      <c r="R91" s="14">
        <v>10.74</v>
      </c>
      <c r="S91" s="14" t="s">
        <v>403</v>
      </c>
    </row>
    <row r="92" spans="1:19" s="14" customFormat="1" x14ac:dyDescent="0.25">
      <c r="A92" s="14" t="s">
        <v>390</v>
      </c>
      <c r="B92" s="15">
        <v>20411454</v>
      </c>
      <c r="C92" s="14" t="s">
        <v>81</v>
      </c>
      <c r="D92" s="14" t="str">
        <f>CONCATENATE(C92,"OVR")</f>
        <v>H711101358OVR</v>
      </c>
      <c r="E92" s="14" t="s">
        <v>148</v>
      </c>
      <c r="F92" s="14" t="s">
        <v>216</v>
      </c>
      <c r="G92" s="14" t="s">
        <v>450</v>
      </c>
      <c r="H92" s="14" t="s">
        <v>253</v>
      </c>
      <c r="I92" s="14" t="s">
        <v>257</v>
      </c>
      <c r="J92" s="16">
        <v>46054</v>
      </c>
      <c r="K92" s="16">
        <v>46174</v>
      </c>
      <c r="L92" s="17">
        <f>DATEDIF(J92,K92,"M")</f>
        <v>4</v>
      </c>
      <c r="M92" s="16" t="s">
        <v>419</v>
      </c>
      <c r="N92" s="16" t="s">
        <v>420</v>
      </c>
      <c r="O92" s="14" t="s">
        <v>307</v>
      </c>
      <c r="P92" s="14">
        <v>12.13</v>
      </c>
      <c r="Q92" s="18">
        <v>9.5000000000000001E-2</v>
      </c>
      <c r="R92" s="14">
        <v>12.13</v>
      </c>
      <c r="S92" s="14" t="s">
        <v>403</v>
      </c>
    </row>
    <row r="93" spans="1:19" s="14" customFormat="1" x14ac:dyDescent="0.25">
      <c r="A93" s="14" t="s">
        <v>390</v>
      </c>
      <c r="B93" s="15">
        <v>20411454</v>
      </c>
      <c r="C93" s="14" t="s">
        <v>86</v>
      </c>
      <c r="D93" s="14" t="str">
        <f>CONCATENATE(C93,"OVR")</f>
        <v>H711096008OVR</v>
      </c>
      <c r="E93" s="14" t="s">
        <v>152</v>
      </c>
      <c r="F93" s="14" t="s">
        <v>220</v>
      </c>
      <c r="G93" s="14" t="s">
        <v>451</v>
      </c>
      <c r="H93" s="14" t="s">
        <v>253</v>
      </c>
      <c r="I93" s="14" t="s">
        <v>257</v>
      </c>
      <c r="J93" s="16">
        <v>46054</v>
      </c>
      <c r="K93" s="16">
        <v>46174</v>
      </c>
      <c r="L93" s="17">
        <f>DATEDIF(J93,K93,"M")</f>
        <v>4</v>
      </c>
      <c r="M93" s="16" t="s">
        <v>419</v>
      </c>
      <c r="N93" s="16" t="s">
        <v>420</v>
      </c>
      <c r="O93" s="14" t="s">
        <v>307</v>
      </c>
      <c r="P93" s="14">
        <v>19.579999999999998</v>
      </c>
      <c r="Q93" s="18">
        <v>9.5000000000000001E-2</v>
      </c>
      <c r="R93" s="14">
        <v>19.579999999999998</v>
      </c>
      <c r="S93" s="14" t="s">
        <v>403</v>
      </c>
    </row>
    <row r="94" spans="1:19" s="14" customFormat="1" x14ac:dyDescent="0.25">
      <c r="A94" s="14" t="s">
        <v>390</v>
      </c>
      <c r="B94" s="15">
        <v>20411454</v>
      </c>
      <c r="C94" s="14" t="s">
        <v>89</v>
      </c>
      <c r="D94" s="14" t="str">
        <f>CONCATENATE(C94,"OVR")</f>
        <v>H711102067OVR</v>
      </c>
      <c r="E94" s="14" t="s">
        <v>155</v>
      </c>
      <c r="F94" s="14" t="s">
        <v>223</v>
      </c>
      <c r="G94" s="14" t="s">
        <v>452</v>
      </c>
      <c r="H94" s="14" t="s">
        <v>253</v>
      </c>
      <c r="I94" s="14" t="s">
        <v>257</v>
      </c>
      <c r="J94" s="16">
        <v>46054</v>
      </c>
      <c r="K94" s="16">
        <v>46174</v>
      </c>
      <c r="L94" s="17">
        <f>DATEDIF(J94,K94,"M")</f>
        <v>4</v>
      </c>
      <c r="M94" s="16" t="s">
        <v>419</v>
      </c>
      <c r="N94" s="16" t="s">
        <v>420</v>
      </c>
      <c r="O94" s="14" t="s">
        <v>307</v>
      </c>
      <c r="P94" s="14">
        <v>12.13</v>
      </c>
      <c r="Q94" s="18">
        <v>9.5000000000000001E-2</v>
      </c>
      <c r="R94" s="14">
        <v>12.13</v>
      </c>
      <c r="S94" s="14" t="s">
        <v>403</v>
      </c>
    </row>
    <row r="95" spans="1:19" s="14" customFormat="1" x14ac:dyDescent="0.25">
      <c r="A95" s="14" t="s">
        <v>390</v>
      </c>
      <c r="B95" s="15">
        <v>20411454</v>
      </c>
      <c r="C95" s="14" t="s">
        <v>90</v>
      </c>
      <c r="D95" s="14" t="str">
        <f>CONCATENATE(C95,"OVR")</f>
        <v>H750095201OVR</v>
      </c>
      <c r="E95" s="14" t="s">
        <v>156</v>
      </c>
      <c r="F95" s="14" t="s">
        <v>224</v>
      </c>
      <c r="G95" s="14" t="s">
        <v>444</v>
      </c>
      <c r="H95" s="14" t="s">
        <v>254</v>
      </c>
      <c r="I95" s="14" t="s">
        <v>258</v>
      </c>
      <c r="J95" s="16">
        <v>46054</v>
      </c>
      <c r="K95" s="16">
        <v>46174</v>
      </c>
      <c r="L95" s="17">
        <f>DATEDIF(J95,K95,"M")</f>
        <v>4</v>
      </c>
      <c r="M95" s="16" t="s">
        <v>419</v>
      </c>
      <c r="N95" s="16" t="s">
        <v>420</v>
      </c>
      <c r="O95" s="14" t="s">
        <v>307</v>
      </c>
      <c r="P95" s="14">
        <v>9.2899999999999991</v>
      </c>
      <c r="Q95" s="18">
        <v>3.9E-2</v>
      </c>
      <c r="R95" s="14">
        <v>9.2899999999999991</v>
      </c>
      <c r="S95" s="14" t="s">
        <v>403</v>
      </c>
    </row>
    <row r="96" spans="1:19" s="14" customFormat="1" x14ac:dyDescent="0.25">
      <c r="A96" s="14" t="s">
        <v>390</v>
      </c>
      <c r="B96" s="15">
        <v>20411454</v>
      </c>
      <c r="C96" s="14" t="s">
        <v>98</v>
      </c>
      <c r="D96" s="14" t="str">
        <f>CONCATENATE(C96,"OVR")</f>
        <v>H750095010OVR</v>
      </c>
      <c r="E96" s="14" t="s">
        <v>164</v>
      </c>
      <c r="F96" s="14" t="s">
        <v>231</v>
      </c>
      <c r="G96" s="14" t="s">
        <v>445</v>
      </c>
      <c r="H96" s="14" t="s">
        <v>254</v>
      </c>
      <c r="I96" s="14" t="s">
        <v>258</v>
      </c>
      <c r="J96" s="16">
        <v>46054</v>
      </c>
      <c r="K96" s="16">
        <v>46174</v>
      </c>
      <c r="L96" s="17">
        <f>DATEDIF(J96,K96,"M")</f>
        <v>4</v>
      </c>
      <c r="M96" s="16" t="s">
        <v>419</v>
      </c>
      <c r="N96" s="16" t="s">
        <v>420</v>
      </c>
      <c r="O96" s="14" t="s">
        <v>307</v>
      </c>
      <c r="P96" s="14">
        <v>4.5</v>
      </c>
      <c r="Q96" s="18">
        <v>2.8000000000000001E-2</v>
      </c>
      <c r="R96" s="14">
        <v>4.5</v>
      </c>
      <c r="S96" s="14" t="s">
        <v>403</v>
      </c>
    </row>
    <row r="97" spans="1:19" s="14" customFormat="1" x14ac:dyDescent="0.25">
      <c r="A97" s="14" t="s">
        <v>390</v>
      </c>
      <c r="B97" s="15">
        <v>20411454</v>
      </c>
      <c r="C97" s="14" t="s">
        <v>45</v>
      </c>
      <c r="D97" s="14" t="str">
        <f>CONCATENATE(C97,"OVR")</f>
        <v>H711086900OVR</v>
      </c>
      <c r="E97" s="14" t="s">
        <v>117</v>
      </c>
      <c r="F97" s="14" t="s">
        <v>182</v>
      </c>
      <c r="G97" s="14" t="s">
        <v>483</v>
      </c>
      <c r="H97" s="14" t="s">
        <v>253</v>
      </c>
      <c r="I97" s="14" t="s">
        <v>255</v>
      </c>
      <c r="J97" s="16">
        <v>46023</v>
      </c>
      <c r="K97" s="16">
        <v>46174</v>
      </c>
      <c r="L97" s="17">
        <f>DATEDIF(J97,K97,"M")</f>
        <v>5</v>
      </c>
      <c r="M97" s="16" t="s">
        <v>419</v>
      </c>
      <c r="N97" s="16" t="s">
        <v>420</v>
      </c>
      <c r="O97" s="14" t="s">
        <v>307</v>
      </c>
      <c r="P97" s="14">
        <v>5.37</v>
      </c>
      <c r="Q97" s="18">
        <v>9.5000000000000001E-2</v>
      </c>
      <c r="R97" s="14">
        <v>5.37</v>
      </c>
      <c r="S97" s="14" t="s">
        <v>403</v>
      </c>
    </row>
    <row r="98" spans="1:19" s="14" customFormat="1" x14ac:dyDescent="0.25">
      <c r="A98" s="14" t="s">
        <v>390</v>
      </c>
      <c r="B98" s="15">
        <v>20411454</v>
      </c>
      <c r="C98" s="14" t="s">
        <v>47</v>
      </c>
      <c r="D98" s="14" t="str">
        <f>CONCATENATE(C98,"OVR")</f>
        <v>H750083231OVR</v>
      </c>
      <c r="E98" s="14" t="s">
        <v>119</v>
      </c>
      <c r="F98" s="14" t="s">
        <v>184</v>
      </c>
      <c r="G98" s="14" t="s">
        <v>473</v>
      </c>
      <c r="H98" s="14" t="s">
        <v>254</v>
      </c>
      <c r="I98" s="14" t="s">
        <v>256</v>
      </c>
      <c r="J98" s="16">
        <v>46023</v>
      </c>
      <c r="K98" s="16">
        <v>46174</v>
      </c>
      <c r="L98" s="17">
        <f>DATEDIF(J98,K98,"M")</f>
        <v>5</v>
      </c>
      <c r="M98" s="16" t="s">
        <v>419</v>
      </c>
      <c r="N98" s="16" t="s">
        <v>420</v>
      </c>
      <c r="O98" s="14" t="s">
        <v>307</v>
      </c>
      <c r="P98" s="14">
        <v>3.64</v>
      </c>
      <c r="Q98" s="18">
        <v>2.8000000000000001E-2</v>
      </c>
      <c r="R98" s="14">
        <v>3.64</v>
      </c>
      <c r="S98" s="14" t="s">
        <v>403</v>
      </c>
    </row>
    <row r="99" spans="1:19" s="14" customFormat="1" x14ac:dyDescent="0.25">
      <c r="A99" s="14" t="s">
        <v>390</v>
      </c>
      <c r="B99" s="15">
        <v>20411454</v>
      </c>
      <c r="C99" s="14" t="s">
        <v>49</v>
      </c>
      <c r="D99" s="14" t="str">
        <f>CONCATENATE(C99,"OVR")</f>
        <v>H750082805OVR</v>
      </c>
      <c r="E99" s="14" t="s">
        <v>121</v>
      </c>
      <c r="F99" s="14" t="s">
        <v>186</v>
      </c>
      <c r="G99" s="14" t="s">
        <v>474</v>
      </c>
      <c r="H99" s="14" t="s">
        <v>254</v>
      </c>
      <c r="I99" s="14" t="s">
        <v>256</v>
      </c>
      <c r="J99" s="16">
        <v>46023</v>
      </c>
      <c r="K99" s="16">
        <v>46174</v>
      </c>
      <c r="L99" s="17">
        <f>DATEDIF(J99,K99,"M")</f>
        <v>5</v>
      </c>
      <c r="M99" s="16" t="s">
        <v>419</v>
      </c>
      <c r="N99" s="16" t="s">
        <v>420</v>
      </c>
      <c r="O99" s="14" t="s">
        <v>307</v>
      </c>
      <c r="P99" s="14">
        <v>5.07</v>
      </c>
      <c r="Q99" s="18">
        <v>3.9E-2</v>
      </c>
      <c r="R99" s="14">
        <v>5.07</v>
      </c>
      <c r="S99" s="14" t="s">
        <v>403</v>
      </c>
    </row>
    <row r="100" spans="1:19" s="14" customFormat="1" x14ac:dyDescent="0.25">
      <c r="A100" s="14" t="s">
        <v>390</v>
      </c>
      <c r="B100" s="15">
        <v>20411454</v>
      </c>
      <c r="C100" s="14" t="s">
        <v>59</v>
      </c>
      <c r="D100" s="14" t="str">
        <f>CONCATENATE(C100,"OVR")</f>
        <v>H711079647OVR</v>
      </c>
      <c r="E100" s="14" t="s">
        <v>131</v>
      </c>
      <c r="F100" s="14" t="s">
        <v>195</v>
      </c>
      <c r="G100" s="14" t="s">
        <v>456</v>
      </c>
      <c r="H100" s="14" t="s">
        <v>253</v>
      </c>
      <c r="I100" s="14" t="s">
        <v>257</v>
      </c>
      <c r="J100" s="16">
        <v>46023</v>
      </c>
      <c r="K100" s="16">
        <v>46174</v>
      </c>
      <c r="L100" s="17">
        <f>DATEDIF(J100,K100,"M")</f>
        <v>5</v>
      </c>
      <c r="M100" s="16" t="s">
        <v>419</v>
      </c>
      <c r="N100" s="16" t="s">
        <v>420</v>
      </c>
      <c r="O100" s="14" t="s">
        <v>307</v>
      </c>
      <c r="P100" s="14">
        <v>12.13</v>
      </c>
      <c r="Q100" s="18">
        <v>9.5000000000000001E-2</v>
      </c>
      <c r="R100" s="14">
        <v>12.13</v>
      </c>
      <c r="S100" s="14" t="s">
        <v>403</v>
      </c>
    </row>
    <row r="101" spans="1:19" s="14" customFormat="1" x14ac:dyDescent="0.25">
      <c r="A101" s="14" t="s">
        <v>390</v>
      </c>
      <c r="B101" s="15">
        <v>20411454</v>
      </c>
      <c r="C101" s="14" t="s">
        <v>61</v>
      </c>
      <c r="D101" s="14" t="str">
        <f>CONCATENATE(C101,"OVR")</f>
        <v>H711075141OVR</v>
      </c>
      <c r="E101" s="14" t="s">
        <v>133</v>
      </c>
      <c r="F101" s="14" t="s">
        <v>197</v>
      </c>
      <c r="G101" s="14" t="s">
        <v>457</v>
      </c>
      <c r="H101" s="14" t="s">
        <v>253</v>
      </c>
      <c r="I101" s="14" t="s">
        <v>257</v>
      </c>
      <c r="J101" s="16">
        <v>46023</v>
      </c>
      <c r="K101" s="16">
        <v>46174</v>
      </c>
      <c r="L101" s="17">
        <f>DATEDIF(J101,K101,"M")</f>
        <v>5</v>
      </c>
      <c r="M101" s="16" t="s">
        <v>419</v>
      </c>
      <c r="N101" s="16" t="s">
        <v>420</v>
      </c>
      <c r="O101" s="14" t="s">
        <v>307</v>
      </c>
      <c r="P101" s="14">
        <v>19.579999999999998</v>
      </c>
      <c r="Q101" s="18">
        <v>9.5000000000000001E-2</v>
      </c>
      <c r="R101" s="14">
        <v>19.579999999999998</v>
      </c>
      <c r="S101" s="14" t="s">
        <v>403</v>
      </c>
    </row>
    <row r="102" spans="1:19" s="14" customFormat="1" x14ac:dyDescent="0.25">
      <c r="A102" s="14" t="s">
        <v>390</v>
      </c>
      <c r="B102" s="15">
        <v>20411454</v>
      </c>
      <c r="C102" s="14" t="s">
        <v>62</v>
      </c>
      <c r="D102" s="14" t="str">
        <f>CONCATENATE(C102,"OVR")</f>
        <v>H711073391OVR</v>
      </c>
      <c r="E102" s="14" t="s">
        <v>134</v>
      </c>
      <c r="F102" s="14" t="s">
        <v>198</v>
      </c>
      <c r="G102" s="14" t="s">
        <v>458</v>
      </c>
      <c r="H102" s="14" t="s">
        <v>253</v>
      </c>
      <c r="I102" s="14" t="s">
        <v>257</v>
      </c>
      <c r="J102" s="16">
        <v>46023</v>
      </c>
      <c r="K102" s="16">
        <v>46174</v>
      </c>
      <c r="L102" s="17">
        <f>DATEDIF(J102,K102,"M")</f>
        <v>5</v>
      </c>
      <c r="M102" s="16" t="s">
        <v>419</v>
      </c>
      <c r="N102" s="16" t="s">
        <v>420</v>
      </c>
      <c r="O102" s="14" t="s">
        <v>307</v>
      </c>
      <c r="P102" s="14">
        <v>5.31</v>
      </c>
      <c r="Q102" s="18">
        <v>9.5000000000000001E-2</v>
      </c>
      <c r="R102" s="14">
        <v>5.31</v>
      </c>
      <c r="S102" s="14" t="s">
        <v>403</v>
      </c>
    </row>
    <row r="103" spans="1:19" s="14" customFormat="1" x14ac:dyDescent="0.25">
      <c r="A103" s="14" t="s">
        <v>390</v>
      </c>
      <c r="B103" s="15">
        <v>20411454</v>
      </c>
      <c r="C103" s="14" t="s">
        <v>68</v>
      </c>
      <c r="D103" s="14" t="str">
        <f>CONCATENATE(C103,"OVR")</f>
        <v>H750088412OVR</v>
      </c>
      <c r="E103" s="14" t="s">
        <v>117</v>
      </c>
      <c r="F103" s="14" t="s">
        <v>204</v>
      </c>
      <c r="G103" s="14" t="s">
        <v>454</v>
      </c>
      <c r="H103" s="14" t="s">
        <v>254</v>
      </c>
      <c r="I103" s="14" t="s">
        <v>257</v>
      </c>
      <c r="J103" s="16">
        <v>46023</v>
      </c>
      <c r="K103" s="16">
        <v>46174</v>
      </c>
      <c r="L103" s="17">
        <f>DATEDIF(J103,K103,"M")</f>
        <v>5</v>
      </c>
      <c r="M103" s="16" t="s">
        <v>419</v>
      </c>
      <c r="N103" s="16" t="s">
        <v>420</v>
      </c>
      <c r="O103" s="14" t="s">
        <v>307</v>
      </c>
      <c r="P103" s="14">
        <v>9.4700000000000006</v>
      </c>
      <c r="Q103" s="18">
        <v>3.9E-2</v>
      </c>
      <c r="R103" s="14">
        <v>9.4700000000000006</v>
      </c>
      <c r="S103" s="14" t="s">
        <v>403</v>
      </c>
    </row>
    <row r="104" spans="1:19" s="14" customFormat="1" x14ac:dyDescent="0.25">
      <c r="A104" s="14" t="s">
        <v>390</v>
      </c>
      <c r="B104" s="15">
        <v>20411454</v>
      </c>
      <c r="C104" s="14" t="s">
        <v>69</v>
      </c>
      <c r="D104" s="14" t="str">
        <f>CONCATENATE(C104,"OVR")</f>
        <v>H750088408OVR</v>
      </c>
      <c r="E104" s="14" t="s">
        <v>139</v>
      </c>
      <c r="F104" s="14" t="s">
        <v>204</v>
      </c>
      <c r="G104" s="14" t="s">
        <v>455</v>
      </c>
      <c r="H104" s="14" t="s">
        <v>254</v>
      </c>
      <c r="I104" s="14" t="s">
        <v>257</v>
      </c>
      <c r="J104" s="16">
        <v>46023</v>
      </c>
      <c r="K104" s="16">
        <v>46174</v>
      </c>
      <c r="L104" s="17">
        <f>DATEDIF(J104,K104,"M")</f>
        <v>5</v>
      </c>
      <c r="M104" s="16" t="s">
        <v>419</v>
      </c>
      <c r="N104" s="16" t="s">
        <v>420</v>
      </c>
      <c r="O104" s="14" t="s">
        <v>307</v>
      </c>
      <c r="P104" s="14">
        <v>7.4</v>
      </c>
      <c r="Q104" s="18">
        <v>3.9E-2</v>
      </c>
      <c r="R104" s="14">
        <v>7.4</v>
      </c>
      <c r="S104" s="14" t="s">
        <v>403</v>
      </c>
    </row>
    <row r="105" spans="1:19" s="14" customFormat="1" x14ac:dyDescent="0.25">
      <c r="A105" s="14" t="s">
        <v>390</v>
      </c>
      <c r="B105" s="15">
        <v>20411454</v>
      </c>
      <c r="C105" s="14" t="s">
        <v>73</v>
      </c>
      <c r="D105" s="14" t="str">
        <f>CONCATENATE(C105,"OVR")</f>
        <v>H711070502OVR</v>
      </c>
      <c r="E105" s="14" t="s">
        <v>141</v>
      </c>
      <c r="F105" s="14" t="s">
        <v>208</v>
      </c>
      <c r="G105" s="14" t="s">
        <v>459</v>
      </c>
      <c r="H105" s="14" t="s">
        <v>253</v>
      </c>
      <c r="I105" s="14" t="s">
        <v>257</v>
      </c>
      <c r="J105" s="16">
        <v>46023</v>
      </c>
      <c r="K105" s="16">
        <v>46174</v>
      </c>
      <c r="L105" s="17">
        <f>DATEDIF(J105,K105,"M")</f>
        <v>5</v>
      </c>
      <c r="M105" s="16" t="s">
        <v>419</v>
      </c>
      <c r="N105" s="16" t="s">
        <v>420</v>
      </c>
      <c r="O105" s="14" t="s">
        <v>307</v>
      </c>
      <c r="P105" s="14">
        <v>12.13</v>
      </c>
      <c r="Q105" s="18">
        <v>9.5000000000000001E-2</v>
      </c>
      <c r="R105" s="14">
        <v>12.13</v>
      </c>
      <c r="S105" s="14" t="s">
        <v>403</v>
      </c>
    </row>
    <row r="106" spans="1:19" s="14" customFormat="1" x14ac:dyDescent="0.25">
      <c r="A106" s="14" t="s">
        <v>390</v>
      </c>
      <c r="B106" s="15">
        <v>20411454</v>
      </c>
      <c r="C106" s="14" t="s">
        <v>76</v>
      </c>
      <c r="D106" s="14" t="str">
        <f>CONCATENATE(C106,"OVR")</f>
        <v>H711074532OVR</v>
      </c>
      <c r="E106" s="14" t="s">
        <v>144</v>
      </c>
      <c r="F106" s="14" t="s">
        <v>211</v>
      </c>
      <c r="G106" s="14" t="s">
        <v>460</v>
      </c>
      <c r="H106" s="14" t="s">
        <v>253</v>
      </c>
      <c r="I106" s="14" t="s">
        <v>257</v>
      </c>
      <c r="J106" s="16">
        <v>46023</v>
      </c>
      <c r="K106" s="16">
        <v>46174</v>
      </c>
      <c r="L106" s="17">
        <f>DATEDIF(J106,K106,"M")</f>
        <v>5</v>
      </c>
      <c r="M106" s="16" t="s">
        <v>419</v>
      </c>
      <c r="N106" s="16" t="s">
        <v>420</v>
      </c>
      <c r="O106" s="14" t="s">
        <v>307</v>
      </c>
      <c r="P106" s="14">
        <v>12.13</v>
      </c>
      <c r="Q106" s="18">
        <v>9.5000000000000001E-2</v>
      </c>
      <c r="R106" s="14">
        <v>12.13</v>
      </c>
      <c r="S106" s="14" t="s">
        <v>403</v>
      </c>
    </row>
    <row r="107" spans="1:19" s="14" customFormat="1" x14ac:dyDescent="0.25">
      <c r="A107" s="14" t="s">
        <v>390</v>
      </c>
      <c r="B107" s="15">
        <v>20411454</v>
      </c>
      <c r="C107" s="14" t="s">
        <v>77</v>
      </c>
      <c r="D107" s="14" t="str">
        <f>CONCATENATE(C107,"OVR")</f>
        <v>H711080848OVR</v>
      </c>
      <c r="E107" s="14" t="s">
        <v>145</v>
      </c>
      <c r="F107" s="14" t="s">
        <v>212</v>
      </c>
      <c r="G107" s="14" t="s">
        <v>484</v>
      </c>
      <c r="H107" s="14" t="s">
        <v>253</v>
      </c>
      <c r="I107" s="14" t="s">
        <v>257</v>
      </c>
      <c r="J107" s="16">
        <v>46023</v>
      </c>
      <c r="K107" s="16">
        <v>46174</v>
      </c>
      <c r="L107" s="17">
        <f>DATEDIF(J107,K107,"M")</f>
        <v>5</v>
      </c>
      <c r="M107" s="16" t="s">
        <v>419</v>
      </c>
      <c r="N107" s="16" t="s">
        <v>420</v>
      </c>
      <c r="O107" s="14" t="s">
        <v>307</v>
      </c>
      <c r="P107" s="14">
        <v>6.22</v>
      </c>
      <c r="Q107" s="18">
        <v>9.5000000000000001E-2</v>
      </c>
      <c r="R107" s="14">
        <v>6.22</v>
      </c>
      <c r="S107" s="14" t="s">
        <v>403</v>
      </c>
    </row>
    <row r="108" spans="1:19" s="14" customFormat="1" x14ac:dyDescent="0.25">
      <c r="A108" s="14" t="s">
        <v>390</v>
      </c>
      <c r="B108" s="15">
        <v>20411454</v>
      </c>
      <c r="C108" s="14" t="s">
        <v>82</v>
      </c>
      <c r="D108" s="14" t="str">
        <f>CONCATENATE(C108,"OVR")</f>
        <v>H711086159OVR</v>
      </c>
      <c r="E108" s="14" t="s">
        <v>149</v>
      </c>
      <c r="F108" s="14" t="s">
        <v>217</v>
      </c>
      <c r="G108" s="14" t="s">
        <v>485</v>
      </c>
      <c r="H108" s="14" t="s">
        <v>253</v>
      </c>
      <c r="I108" s="14" t="s">
        <v>257</v>
      </c>
      <c r="J108" s="16">
        <v>46023</v>
      </c>
      <c r="K108" s="16">
        <v>46174</v>
      </c>
      <c r="L108" s="17">
        <f>DATEDIF(J108,K108,"M")</f>
        <v>5</v>
      </c>
      <c r="M108" s="16" t="s">
        <v>419</v>
      </c>
      <c r="N108" s="16" t="s">
        <v>420</v>
      </c>
      <c r="O108" s="14" t="s">
        <v>307</v>
      </c>
      <c r="P108" s="14">
        <v>12.41</v>
      </c>
      <c r="Q108" s="18">
        <v>9.5000000000000001E-2</v>
      </c>
      <c r="R108" s="14">
        <v>12.41</v>
      </c>
      <c r="S108" s="14" t="s">
        <v>403</v>
      </c>
    </row>
    <row r="109" spans="1:19" s="14" customFormat="1" x14ac:dyDescent="0.25">
      <c r="A109" s="14" t="s">
        <v>390</v>
      </c>
      <c r="B109" s="15">
        <v>20411454</v>
      </c>
      <c r="C109" s="14" t="s">
        <v>88</v>
      </c>
      <c r="D109" s="14" t="str">
        <f>CONCATENATE(C109,"OVR")</f>
        <v>H711083511OVR</v>
      </c>
      <c r="E109" s="14" t="s">
        <v>154</v>
      </c>
      <c r="F109" s="14" t="s">
        <v>222</v>
      </c>
      <c r="G109" s="14" t="s">
        <v>486</v>
      </c>
      <c r="H109" s="14" t="s">
        <v>253</v>
      </c>
      <c r="I109" s="14" t="s">
        <v>257</v>
      </c>
      <c r="J109" s="16">
        <v>46023</v>
      </c>
      <c r="K109" s="16">
        <v>46174</v>
      </c>
      <c r="L109" s="17">
        <f>DATEDIF(J109,K109,"M")</f>
        <v>5</v>
      </c>
      <c r="M109" s="16" t="s">
        <v>419</v>
      </c>
      <c r="N109" s="16" t="s">
        <v>420</v>
      </c>
      <c r="O109" s="14" t="s">
        <v>307</v>
      </c>
      <c r="P109" s="14">
        <v>6.22</v>
      </c>
      <c r="Q109" s="18">
        <v>9.5000000000000001E-2</v>
      </c>
      <c r="R109" s="14">
        <v>6.22</v>
      </c>
      <c r="S109" s="14" t="s">
        <v>403</v>
      </c>
    </row>
    <row r="110" spans="1:19" s="14" customFormat="1" x14ac:dyDescent="0.25">
      <c r="A110" s="14" t="s">
        <v>390</v>
      </c>
      <c r="B110" s="15">
        <v>20411454</v>
      </c>
      <c r="C110" s="14" t="s">
        <v>96</v>
      </c>
      <c r="D110" s="14" t="str">
        <f>CONCATENATE(C110,"OVR")</f>
        <v>H750091114OVR</v>
      </c>
      <c r="E110" s="14" t="s">
        <v>162</v>
      </c>
      <c r="F110" s="14" t="s">
        <v>229</v>
      </c>
      <c r="G110" s="14" t="s">
        <v>482</v>
      </c>
      <c r="H110" s="14" t="s">
        <v>254</v>
      </c>
      <c r="I110" s="14" t="s">
        <v>258</v>
      </c>
      <c r="J110" s="16">
        <v>46023</v>
      </c>
      <c r="K110" s="16">
        <v>46174</v>
      </c>
      <c r="L110" s="17">
        <f>DATEDIF(J110,K110,"M")</f>
        <v>5</v>
      </c>
      <c r="M110" s="16" t="s">
        <v>419</v>
      </c>
      <c r="N110" s="16" t="s">
        <v>420</v>
      </c>
      <c r="O110" s="14" t="s">
        <v>307</v>
      </c>
      <c r="P110" s="14">
        <v>1.34</v>
      </c>
      <c r="Q110" s="18">
        <v>8.0000000000000002E-3</v>
      </c>
      <c r="R110" s="14">
        <v>1.34</v>
      </c>
      <c r="S110" s="14" t="s">
        <v>403</v>
      </c>
    </row>
    <row r="111" spans="1:19" s="14" customFormat="1" x14ac:dyDescent="0.25">
      <c r="A111" s="14" t="s">
        <v>390</v>
      </c>
      <c r="B111" s="15">
        <v>20411454</v>
      </c>
      <c r="C111" s="14" t="s">
        <v>108</v>
      </c>
      <c r="D111" s="14" t="str">
        <f>CONCATENATE(C111,"OVR")</f>
        <v>H711053915OVR</v>
      </c>
      <c r="E111" s="14" t="s">
        <v>173</v>
      </c>
      <c r="F111" s="14" t="s">
        <v>240</v>
      </c>
      <c r="G111" s="14" t="s">
        <v>487</v>
      </c>
      <c r="H111" s="14" t="s">
        <v>253</v>
      </c>
      <c r="I111" s="14" t="s">
        <v>255</v>
      </c>
      <c r="J111" s="16">
        <v>46023</v>
      </c>
      <c r="K111" s="16">
        <v>46174</v>
      </c>
      <c r="L111" s="17">
        <f>DATEDIF(J111,K111,"M")</f>
        <v>5</v>
      </c>
      <c r="M111" s="16" t="s">
        <v>419</v>
      </c>
      <c r="N111" s="16" t="s">
        <v>420</v>
      </c>
      <c r="O111" s="14" t="s">
        <v>307</v>
      </c>
      <c r="P111" s="14">
        <v>5.37</v>
      </c>
      <c r="Q111" s="18">
        <v>9.5000000000000001E-2</v>
      </c>
      <c r="R111" s="14">
        <v>5.37</v>
      </c>
      <c r="S111" s="14" t="s">
        <v>403</v>
      </c>
    </row>
    <row r="112" spans="1:19" s="14" customFormat="1" x14ac:dyDescent="0.25">
      <c r="A112" s="14" t="s">
        <v>390</v>
      </c>
      <c r="B112" s="15">
        <v>20411454</v>
      </c>
      <c r="C112" s="14" t="s">
        <v>112</v>
      </c>
      <c r="D112" s="14" t="str">
        <f>CONCATENATE(C112,"OVR")</f>
        <v>H711054000OVR</v>
      </c>
      <c r="E112" s="14" t="s">
        <v>177</v>
      </c>
      <c r="F112" s="14" t="s">
        <v>244</v>
      </c>
      <c r="G112" s="14" t="s">
        <v>453</v>
      </c>
      <c r="H112" s="14" t="s">
        <v>253</v>
      </c>
      <c r="I112" s="14" t="s">
        <v>262</v>
      </c>
      <c r="J112" s="16">
        <v>46023</v>
      </c>
      <c r="K112" s="16">
        <v>46174</v>
      </c>
      <c r="L112" s="17">
        <f>DATEDIF(J112,K112,"M")</f>
        <v>5</v>
      </c>
      <c r="M112" s="16" t="s">
        <v>419</v>
      </c>
      <c r="N112" s="16" t="s">
        <v>420</v>
      </c>
      <c r="O112" s="14" t="s">
        <v>307</v>
      </c>
      <c r="P112" s="14">
        <v>5.37</v>
      </c>
      <c r="Q112" s="18">
        <v>9.5000000000000001E-2</v>
      </c>
      <c r="R112" s="14">
        <v>5.37</v>
      </c>
      <c r="S112" s="14" t="s">
        <v>403</v>
      </c>
    </row>
    <row r="113" spans="1:19" s="14" customFormat="1" x14ac:dyDescent="0.25">
      <c r="A113" s="14" t="s">
        <v>390</v>
      </c>
      <c r="B113" s="15">
        <v>20411454</v>
      </c>
      <c r="C113" s="14" t="s">
        <v>116</v>
      </c>
      <c r="D113" s="14" t="str">
        <f>CONCATENATE(C113,"OVR")</f>
        <v>H750093974OVR</v>
      </c>
      <c r="E113" s="14" t="s">
        <v>181</v>
      </c>
      <c r="F113" s="14" t="s">
        <v>248</v>
      </c>
      <c r="G113" s="14" t="s">
        <v>471</v>
      </c>
      <c r="H113" s="14" t="s">
        <v>251</v>
      </c>
      <c r="I113" s="14" t="s">
        <v>255</v>
      </c>
      <c r="J113" s="16">
        <v>46025</v>
      </c>
      <c r="K113" s="16">
        <v>46176</v>
      </c>
      <c r="L113" s="17">
        <f>DATEDIF(J113,K113,"M")</f>
        <v>5</v>
      </c>
      <c r="M113" s="16" t="s">
        <v>419</v>
      </c>
      <c r="N113" s="16" t="s">
        <v>420</v>
      </c>
      <c r="O113" s="14" t="s">
        <v>307</v>
      </c>
      <c r="P113" s="14">
        <v>1.73</v>
      </c>
      <c r="Q113" s="18">
        <v>8.0000000000000002E-3</v>
      </c>
      <c r="R113" s="14">
        <v>1.73</v>
      </c>
      <c r="S113" s="14" t="s">
        <v>403</v>
      </c>
    </row>
    <row r="114" spans="1:19" s="14" customFormat="1" x14ac:dyDescent="0.25">
      <c r="A114" s="14" t="s">
        <v>390</v>
      </c>
      <c r="B114" s="15">
        <v>20411454</v>
      </c>
      <c r="C114" s="14" t="s">
        <v>54</v>
      </c>
      <c r="D114" s="14" t="str">
        <f>CONCATENATE(C114,"OVR")</f>
        <v>H750081328OVR</v>
      </c>
      <c r="E114" s="14" t="s">
        <v>126</v>
      </c>
      <c r="F114" s="14" t="s">
        <v>191</v>
      </c>
      <c r="G114" s="14" t="s">
        <v>488</v>
      </c>
      <c r="H114" s="14" t="s">
        <v>254</v>
      </c>
      <c r="I114" s="14" t="s">
        <v>256</v>
      </c>
      <c r="J114" s="16">
        <v>45992</v>
      </c>
      <c r="K114" s="16">
        <v>46174</v>
      </c>
      <c r="L114" s="17">
        <f>DATEDIF(J114,K114,"M")</f>
        <v>6</v>
      </c>
      <c r="M114" s="16" t="s">
        <v>419</v>
      </c>
      <c r="N114" s="16" t="s">
        <v>420</v>
      </c>
      <c r="O114" s="14" t="s">
        <v>307</v>
      </c>
      <c r="P114" s="14">
        <v>0.94</v>
      </c>
      <c r="Q114" s="18">
        <v>8.0000000000000002E-3</v>
      </c>
      <c r="R114" s="14">
        <v>0.94</v>
      </c>
      <c r="S114" s="14" t="s">
        <v>403</v>
      </c>
    </row>
    <row r="115" spans="1:19" s="14" customFormat="1" x14ac:dyDescent="0.25">
      <c r="A115" s="14" t="s">
        <v>390</v>
      </c>
      <c r="B115" s="15">
        <v>20411454</v>
      </c>
      <c r="C115" s="14" t="s">
        <v>57</v>
      </c>
      <c r="D115" s="14" t="str">
        <f>CONCATENATE(C115,"OVR")</f>
        <v>H750087378OVR</v>
      </c>
      <c r="E115" s="14" t="s">
        <v>129</v>
      </c>
      <c r="F115" s="14" t="s">
        <v>193</v>
      </c>
      <c r="G115" s="14" t="s">
        <v>475</v>
      </c>
      <c r="H115" s="14" t="s">
        <v>254</v>
      </c>
      <c r="I115" s="14" t="s">
        <v>256</v>
      </c>
      <c r="J115" s="16">
        <v>45992</v>
      </c>
      <c r="K115" s="16">
        <v>46174</v>
      </c>
      <c r="L115" s="17">
        <f>DATEDIF(J115,K115,"M")</f>
        <v>6</v>
      </c>
      <c r="M115" s="16" t="s">
        <v>419</v>
      </c>
      <c r="N115" s="16" t="s">
        <v>420</v>
      </c>
      <c r="O115" s="14" t="s">
        <v>307</v>
      </c>
      <c r="P115" s="14">
        <v>5.61</v>
      </c>
      <c r="Q115" s="18">
        <v>3.9E-2</v>
      </c>
      <c r="R115" s="14">
        <v>5.61</v>
      </c>
      <c r="S115" s="14" t="s">
        <v>403</v>
      </c>
    </row>
    <row r="116" spans="1:19" s="14" customFormat="1" x14ac:dyDescent="0.25">
      <c r="A116" s="14" t="s">
        <v>390</v>
      </c>
      <c r="B116" s="15">
        <v>20411454</v>
      </c>
      <c r="C116" s="14" t="s">
        <v>60</v>
      </c>
      <c r="D116" s="14" t="str">
        <f>CONCATENATE(C116,"OVR")</f>
        <v>H711064367OVR</v>
      </c>
      <c r="E116" s="14" t="s">
        <v>132</v>
      </c>
      <c r="F116" s="14" t="s">
        <v>196</v>
      </c>
      <c r="G116" s="14" t="s">
        <v>462</v>
      </c>
      <c r="H116" s="14" t="s">
        <v>253</v>
      </c>
      <c r="I116" s="14" t="s">
        <v>257</v>
      </c>
      <c r="J116" s="16">
        <v>45992</v>
      </c>
      <c r="K116" s="16">
        <v>46174</v>
      </c>
      <c r="L116" s="17">
        <f>DATEDIF(J116,K116,"M")</f>
        <v>6</v>
      </c>
      <c r="M116" s="16" t="s">
        <v>419</v>
      </c>
      <c r="N116" s="16" t="s">
        <v>420</v>
      </c>
      <c r="O116" s="14" t="s">
        <v>307</v>
      </c>
      <c r="P116" s="14">
        <v>5.37</v>
      </c>
      <c r="Q116" s="18">
        <v>9.5000000000000001E-2</v>
      </c>
      <c r="R116" s="14">
        <v>5.37</v>
      </c>
      <c r="S116" s="14" t="s">
        <v>403</v>
      </c>
    </row>
    <row r="117" spans="1:19" s="14" customFormat="1" x14ac:dyDescent="0.25">
      <c r="A117" s="14" t="s">
        <v>390</v>
      </c>
      <c r="B117" s="15">
        <v>20411454</v>
      </c>
      <c r="C117" s="14" t="s">
        <v>79</v>
      </c>
      <c r="D117" s="14" t="str">
        <f>CONCATENATE(C117,"OVR")</f>
        <v>H711067996OVR</v>
      </c>
      <c r="E117" s="14" t="s">
        <v>146</v>
      </c>
      <c r="F117" s="14" t="s">
        <v>214</v>
      </c>
      <c r="G117" s="14" t="s">
        <v>463</v>
      </c>
      <c r="H117" s="14" t="s">
        <v>253</v>
      </c>
      <c r="I117" s="14" t="s">
        <v>257</v>
      </c>
      <c r="J117" s="16">
        <v>45992</v>
      </c>
      <c r="K117" s="16">
        <v>46174</v>
      </c>
      <c r="L117" s="17">
        <f>DATEDIF(J117,K117,"M")</f>
        <v>6</v>
      </c>
      <c r="M117" s="16" t="s">
        <v>419</v>
      </c>
      <c r="N117" s="16" t="s">
        <v>420</v>
      </c>
      <c r="O117" s="14" t="s">
        <v>307</v>
      </c>
      <c r="P117" s="14">
        <v>5.37</v>
      </c>
      <c r="Q117" s="18">
        <v>9.5000000000000001E-2</v>
      </c>
      <c r="R117" s="14">
        <v>5.37</v>
      </c>
      <c r="S117" s="14" t="s">
        <v>403</v>
      </c>
    </row>
    <row r="118" spans="1:19" s="14" customFormat="1" x14ac:dyDescent="0.25">
      <c r="A118" s="14" t="s">
        <v>390</v>
      </c>
      <c r="B118" s="15">
        <v>20411454</v>
      </c>
      <c r="C118" s="14" t="s">
        <v>85</v>
      </c>
      <c r="D118" s="14" t="str">
        <f>CONCATENATE(C118,"OVR")</f>
        <v>H750086700OVR</v>
      </c>
      <c r="E118" s="14" t="s">
        <v>134</v>
      </c>
      <c r="F118" s="14" t="s">
        <v>219</v>
      </c>
      <c r="G118" s="14" t="s">
        <v>461</v>
      </c>
      <c r="H118" s="14" t="s">
        <v>254</v>
      </c>
      <c r="I118" s="14" t="s">
        <v>257</v>
      </c>
      <c r="J118" s="16">
        <v>45992</v>
      </c>
      <c r="K118" s="16">
        <v>46174</v>
      </c>
      <c r="L118" s="17">
        <f>DATEDIF(J118,K118,"M")</f>
        <v>6</v>
      </c>
      <c r="M118" s="16" t="s">
        <v>419</v>
      </c>
      <c r="N118" s="16" t="s">
        <v>420</v>
      </c>
      <c r="O118" s="14" t="s">
        <v>307</v>
      </c>
      <c r="P118" s="14">
        <v>3.37</v>
      </c>
      <c r="Q118" s="18">
        <v>2.8000000000000001E-2</v>
      </c>
      <c r="R118" s="14">
        <v>3.37</v>
      </c>
      <c r="S118" s="14" t="s">
        <v>403</v>
      </c>
    </row>
    <row r="119" spans="1:19" s="14" customFormat="1" x14ac:dyDescent="0.25">
      <c r="A119" s="14" t="s">
        <v>390</v>
      </c>
      <c r="B119" s="15">
        <v>20411454</v>
      </c>
      <c r="C119" s="14" t="s">
        <v>48</v>
      </c>
      <c r="D119" s="14" t="str">
        <f>CONCATENATE(C119,"OVR")</f>
        <v>H750083517OVR</v>
      </c>
      <c r="E119" s="14" t="s">
        <v>120</v>
      </c>
      <c r="F119" s="14" t="s">
        <v>185</v>
      </c>
      <c r="G119" s="14" t="s">
        <v>476</v>
      </c>
      <c r="H119" s="14" t="s">
        <v>254</v>
      </c>
      <c r="I119" s="14" t="s">
        <v>256</v>
      </c>
      <c r="J119" s="16">
        <v>45962</v>
      </c>
      <c r="K119" s="16">
        <v>46174</v>
      </c>
      <c r="L119" s="17">
        <f>DATEDIF(J119,K119,"M")</f>
        <v>7</v>
      </c>
      <c r="M119" s="16" t="s">
        <v>419</v>
      </c>
      <c r="N119" s="16" t="s">
        <v>420</v>
      </c>
      <c r="O119" s="14" t="s">
        <v>307</v>
      </c>
      <c r="P119" s="14">
        <v>3.81</v>
      </c>
      <c r="Q119" s="18">
        <v>2.8000000000000001E-2</v>
      </c>
      <c r="R119" s="14">
        <v>3.81</v>
      </c>
      <c r="S119" s="14" t="s">
        <v>403</v>
      </c>
    </row>
    <row r="120" spans="1:19" s="14" customFormat="1" x14ac:dyDescent="0.25">
      <c r="A120" s="14" t="s">
        <v>390</v>
      </c>
      <c r="B120" s="15">
        <v>20411454</v>
      </c>
      <c r="C120" s="14" t="s">
        <v>51</v>
      </c>
      <c r="D120" s="14" t="str">
        <f>CONCATENATE(C120,"OVR")</f>
        <v>H750073175OVR</v>
      </c>
      <c r="E120" s="14" t="s">
        <v>123</v>
      </c>
      <c r="F120" s="14" t="s">
        <v>188</v>
      </c>
      <c r="G120" s="14" t="s">
        <v>477</v>
      </c>
      <c r="H120" s="14" t="s">
        <v>254</v>
      </c>
      <c r="I120" s="14" t="s">
        <v>256</v>
      </c>
      <c r="J120" s="16">
        <v>45962</v>
      </c>
      <c r="K120" s="16">
        <v>46174</v>
      </c>
      <c r="L120" s="17">
        <f>DATEDIF(J120,K120,"M")</f>
        <v>7</v>
      </c>
      <c r="M120" s="16" t="s">
        <v>419</v>
      </c>
      <c r="N120" s="16" t="s">
        <v>420</v>
      </c>
      <c r="O120" s="14" t="s">
        <v>307</v>
      </c>
      <c r="P120" s="14">
        <v>2.93</v>
      </c>
      <c r="Q120" s="18">
        <v>2.8000000000000001E-2</v>
      </c>
      <c r="R120" s="14">
        <v>2.93</v>
      </c>
      <c r="S120" s="14" t="s">
        <v>403</v>
      </c>
    </row>
    <row r="121" spans="1:19" s="14" customFormat="1" x14ac:dyDescent="0.25">
      <c r="A121" s="14" t="s">
        <v>390</v>
      </c>
      <c r="B121" s="15">
        <v>20411454</v>
      </c>
      <c r="C121" s="14" t="s">
        <v>55</v>
      </c>
      <c r="D121" s="14" t="str">
        <f>CONCATENATE(C121,"OVR")</f>
        <v>H750083520OVR</v>
      </c>
      <c r="E121" s="14" t="s">
        <v>127</v>
      </c>
      <c r="F121" s="14" t="s">
        <v>185</v>
      </c>
      <c r="G121" s="14" t="s">
        <v>478</v>
      </c>
      <c r="H121" s="14" t="s">
        <v>254</v>
      </c>
      <c r="I121" s="14" t="s">
        <v>256</v>
      </c>
      <c r="J121" s="16">
        <v>45962</v>
      </c>
      <c r="K121" s="16">
        <v>46174</v>
      </c>
      <c r="L121" s="17">
        <f>DATEDIF(J121,K121,"M")</f>
        <v>7</v>
      </c>
      <c r="M121" s="16" t="s">
        <v>419</v>
      </c>
      <c r="N121" s="16" t="s">
        <v>420</v>
      </c>
      <c r="O121" s="14" t="s">
        <v>307</v>
      </c>
      <c r="P121" s="14">
        <v>3.45</v>
      </c>
      <c r="Q121" s="18">
        <v>2.8000000000000001E-2</v>
      </c>
      <c r="R121" s="14">
        <v>3.45</v>
      </c>
      <c r="S121" s="14" t="s">
        <v>403</v>
      </c>
    </row>
    <row r="122" spans="1:19" s="14" customFormat="1" x14ac:dyDescent="0.25">
      <c r="A122" s="14" t="s">
        <v>390</v>
      </c>
      <c r="B122" s="15">
        <v>20411454</v>
      </c>
      <c r="C122" s="14" t="s">
        <v>56</v>
      </c>
      <c r="D122" s="14" t="str">
        <f>CONCATENATE(C122,"OVR")</f>
        <v>H750079901OVR</v>
      </c>
      <c r="E122" s="14" t="s">
        <v>128</v>
      </c>
      <c r="F122" s="14" t="s">
        <v>192</v>
      </c>
      <c r="G122" s="14" t="s">
        <v>479</v>
      </c>
      <c r="H122" s="14" t="s">
        <v>254</v>
      </c>
      <c r="I122" s="14" t="s">
        <v>256</v>
      </c>
      <c r="J122" s="16">
        <v>45962</v>
      </c>
      <c r="K122" s="16">
        <v>46174</v>
      </c>
      <c r="L122" s="17">
        <f>DATEDIF(J122,K122,"M")</f>
        <v>7</v>
      </c>
      <c r="M122" s="16" t="s">
        <v>419</v>
      </c>
      <c r="N122" s="16" t="s">
        <v>420</v>
      </c>
      <c r="O122" s="14" t="s">
        <v>307</v>
      </c>
      <c r="P122" s="14">
        <v>3.28</v>
      </c>
      <c r="Q122" s="18">
        <v>2.8000000000000001E-2</v>
      </c>
      <c r="R122" s="14">
        <v>3.28</v>
      </c>
      <c r="S122" s="14" t="s">
        <v>403</v>
      </c>
    </row>
    <row r="123" spans="1:19" s="14" customFormat="1" x14ac:dyDescent="0.25">
      <c r="A123" s="14" t="s">
        <v>390</v>
      </c>
      <c r="B123" s="15">
        <v>20411454</v>
      </c>
      <c r="C123" s="14" t="s">
        <v>75</v>
      </c>
      <c r="D123" s="14" t="str">
        <f>CONCATENATE(C123,"OVR")</f>
        <v>H711067280OVR</v>
      </c>
      <c r="E123" s="14" t="s">
        <v>143</v>
      </c>
      <c r="F123" s="14" t="s">
        <v>210</v>
      </c>
      <c r="G123" s="14" t="s">
        <v>465</v>
      </c>
      <c r="H123" s="14" t="s">
        <v>253</v>
      </c>
      <c r="I123" s="14" t="s">
        <v>257</v>
      </c>
      <c r="J123" s="16">
        <v>45976</v>
      </c>
      <c r="K123" s="16">
        <v>46188</v>
      </c>
      <c r="L123" s="17">
        <f>DATEDIF(J123,K123,"M")</f>
        <v>7</v>
      </c>
      <c r="M123" s="16" t="s">
        <v>419</v>
      </c>
      <c r="N123" s="16" t="s">
        <v>420</v>
      </c>
      <c r="O123" s="14" t="s">
        <v>307</v>
      </c>
      <c r="P123" s="14">
        <v>6.22</v>
      </c>
      <c r="Q123" s="18">
        <v>9.5000000000000001E-2</v>
      </c>
      <c r="R123" s="14">
        <v>6.22</v>
      </c>
      <c r="S123" s="14" t="s">
        <v>403</v>
      </c>
    </row>
    <row r="124" spans="1:19" s="14" customFormat="1" x14ac:dyDescent="0.25">
      <c r="A124" s="14" t="s">
        <v>390</v>
      </c>
      <c r="B124" s="15">
        <v>20411454</v>
      </c>
      <c r="C124" s="14" t="s">
        <v>109</v>
      </c>
      <c r="D124" s="14" t="str">
        <f>CONCATENATE(C124,"OVR")</f>
        <v>H711051038OVR</v>
      </c>
      <c r="E124" s="14" t="s">
        <v>174</v>
      </c>
      <c r="F124" s="14" t="s">
        <v>241</v>
      </c>
      <c r="G124" s="14" t="s">
        <v>489</v>
      </c>
      <c r="H124" s="14" t="s">
        <v>253</v>
      </c>
      <c r="I124" s="14" t="s">
        <v>255</v>
      </c>
      <c r="J124" s="16">
        <v>45962</v>
      </c>
      <c r="K124" s="16">
        <v>46174</v>
      </c>
      <c r="L124" s="17">
        <f>DATEDIF(J124,K124,"M")</f>
        <v>7</v>
      </c>
      <c r="M124" s="16" t="s">
        <v>419</v>
      </c>
      <c r="N124" s="16" t="s">
        <v>420</v>
      </c>
      <c r="O124" s="14" t="s">
        <v>307</v>
      </c>
      <c r="P124" s="14">
        <v>10.47</v>
      </c>
      <c r="Q124" s="18">
        <v>9.5000000000000001E-2</v>
      </c>
      <c r="R124" s="14">
        <v>10.47</v>
      </c>
      <c r="S124" s="14" t="s">
        <v>403</v>
      </c>
    </row>
    <row r="125" spans="1:19" s="14" customFormat="1" x14ac:dyDescent="0.25">
      <c r="A125" s="14" t="s">
        <v>390</v>
      </c>
      <c r="B125" s="15">
        <v>20411454</v>
      </c>
      <c r="C125" s="14" t="s">
        <v>110</v>
      </c>
      <c r="D125" s="14" t="str">
        <f>CONCATENATE(C125,"OVR")</f>
        <v>H711056072OVR</v>
      </c>
      <c r="E125" s="14" t="s">
        <v>175</v>
      </c>
      <c r="F125" s="14" t="s">
        <v>242</v>
      </c>
      <c r="G125" s="14" t="s">
        <v>464</v>
      </c>
      <c r="H125" s="14" t="s">
        <v>253</v>
      </c>
      <c r="I125" s="14" t="s">
        <v>262</v>
      </c>
      <c r="J125" s="16">
        <v>45962</v>
      </c>
      <c r="K125" s="16">
        <v>46174</v>
      </c>
      <c r="L125" s="17">
        <f>DATEDIF(J125,K125,"M")</f>
        <v>7</v>
      </c>
      <c r="M125" s="16" t="s">
        <v>419</v>
      </c>
      <c r="N125" s="16" t="s">
        <v>420</v>
      </c>
      <c r="O125" s="14" t="s">
        <v>307</v>
      </c>
      <c r="P125" s="14">
        <v>5.37</v>
      </c>
      <c r="Q125" s="18">
        <v>9.5000000000000001E-2</v>
      </c>
      <c r="R125" s="14">
        <v>5.37</v>
      </c>
      <c r="S125" s="14" t="s">
        <v>403</v>
      </c>
    </row>
    <row r="126" spans="1:19" s="14" customFormat="1" x14ac:dyDescent="0.25">
      <c r="A126" s="14" t="s">
        <v>390</v>
      </c>
      <c r="B126" s="15">
        <v>20411454</v>
      </c>
      <c r="C126" s="14" t="s">
        <v>114</v>
      </c>
      <c r="D126" s="14" t="str">
        <f>CONCATENATE(C126,"OVR")</f>
        <v>H750075298OVR</v>
      </c>
      <c r="E126" s="14" t="s">
        <v>179</v>
      </c>
      <c r="F126" s="14" t="s">
        <v>246</v>
      </c>
      <c r="G126" s="14" t="s">
        <v>490</v>
      </c>
      <c r="H126" s="14" t="s">
        <v>254</v>
      </c>
      <c r="I126" s="14" t="s">
        <v>257</v>
      </c>
      <c r="J126" s="16">
        <v>45962</v>
      </c>
      <c r="K126" s="16">
        <v>46174</v>
      </c>
      <c r="L126" s="17">
        <f>DATEDIF(J126,K126,"M")</f>
        <v>7</v>
      </c>
      <c r="M126" s="16" t="s">
        <v>419</v>
      </c>
      <c r="N126" s="16" t="s">
        <v>420</v>
      </c>
      <c r="O126" s="14" t="s">
        <v>307</v>
      </c>
      <c r="P126" s="14">
        <v>3.27</v>
      </c>
      <c r="Q126" s="18">
        <v>2.8000000000000001E-2</v>
      </c>
      <c r="R126" s="14">
        <v>3.27</v>
      </c>
      <c r="S126" s="14" t="s">
        <v>403</v>
      </c>
    </row>
    <row r="127" spans="1:19" s="14" customFormat="1" x14ac:dyDescent="0.25">
      <c r="A127" s="14" t="s">
        <v>390</v>
      </c>
      <c r="B127" s="15">
        <v>20411454</v>
      </c>
      <c r="C127" s="14" t="s">
        <v>52</v>
      </c>
      <c r="D127" s="14" t="str">
        <f>CONCATENATE(C127,"OVR")</f>
        <v>H750075381OVR</v>
      </c>
      <c r="E127" s="14" t="s">
        <v>124</v>
      </c>
      <c r="F127" s="14" t="s">
        <v>189</v>
      </c>
      <c r="G127" s="14" t="s">
        <v>480</v>
      </c>
      <c r="H127" s="14" t="s">
        <v>254</v>
      </c>
      <c r="I127" s="14" t="s">
        <v>256</v>
      </c>
      <c r="J127" s="16">
        <v>45931</v>
      </c>
      <c r="K127" s="16">
        <v>46174</v>
      </c>
      <c r="L127" s="17">
        <f>DATEDIF(J127,K127,"M")</f>
        <v>8</v>
      </c>
      <c r="M127" s="16" t="s">
        <v>419</v>
      </c>
      <c r="N127" s="16" t="s">
        <v>420</v>
      </c>
      <c r="O127" s="14" t="s">
        <v>307</v>
      </c>
      <c r="P127" s="14">
        <v>4.5199999999999996</v>
      </c>
      <c r="Q127" s="18">
        <v>3.9E-2</v>
      </c>
      <c r="R127" s="14">
        <v>4.5199999999999996</v>
      </c>
      <c r="S127" s="14" t="s">
        <v>403</v>
      </c>
    </row>
    <row r="128" spans="1:19" s="14" customFormat="1" x14ac:dyDescent="0.25">
      <c r="A128" s="14" t="s">
        <v>390</v>
      </c>
      <c r="B128" s="15">
        <v>20411454</v>
      </c>
      <c r="C128" s="14" t="s">
        <v>58</v>
      </c>
      <c r="D128" s="14" t="str">
        <f>CONCATENATE(C128,"OVR")</f>
        <v>H750072498OVR</v>
      </c>
      <c r="E128" s="14" t="s">
        <v>130</v>
      </c>
      <c r="F128" s="14" t="s">
        <v>194</v>
      </c>
      <c r="G128" s="14" t="s">
        <v>481</v>
      </c>
      <c r="H128" s="14" t="s">
        <v>254</v>
      </c>
      <c r="I128" s="14" t="s">
        <v>256</v>
      </c>
      <c r="J128" s="16">
        <v>45931</v>
      </c>
      <c r="K128" s="16">
        <v>46174</v>
      </c>
      <c r="L128" s="17">
        <f>DATEDIF(J128,K128,"M")</f>
        <v>8</v>
      </c>
      <c r="M128" s="16" t="s">
        <v>419</v>
      </c>
      <c r="N128" s="16" t="s">
        <v>420</v>
      </c>
      <c r="O128" s="14" t="s">
        <v>307</v>
      </c>
      <c r="P128" s="14">
        <v>2.93</v>
      </c>
      <c r="Q128" s="18">
        <v>2.8000000000000001E-2</v>
      </c>
      <c r="R128" s="14">
        <v>2.93</v>
      </c>
      <c r="S128" s="14" t="s">
        <v>403</v>
      </c>
    </row>
    <row r="129" spans="1:19" s="14" customFormat="1" x14ac:dyDescent="0.25">
      <c r="A129" s="14" t="s">
        <v>390</v>
      </c>
      <c r="B129" s="15">
        <v>20411454</v>
      </c>
      <c r="C129" s="14" t="s">
        <v>107</v>
      </c>
      <c r="D129" s="14" t="str">
        <f>CONCATENATE(C129,"OVR")</f>
        <v>H711045193OVR</v>
      </c>
      <c r="E129" s="14" t="s">
        <v>172</v>
      </c>
      <c r="F129" s="14" t="s">
        <v>239</v>
      </c>
      <c r="G129" s="14" t="s">
        <v>491</v>
      </c>
      <c r="H129" s="14" t="s">
        <v>253</v>
      </c>
      <c r="I129" s="14" t="s">
        <v>255</v>
      </c>
      <c r="J129" s="16">
        <v>45928</v>
      </c>
      <c r="K129" s="16">
        <v>46170</v>
      </c>
      <c r="L129" s="17">
        <f>DATEDIF(J129,K129,"M")</f>
        <v>8</v>
      </c>
      <c r="M129" s="16" t="s">
        <v>419</v>
      </c>
      <c r="N129" s="16" t="s">
        <v>420</v>
      </c>
      <c r="O129" s="14" t="s">
        <v>307</v>
      </c>
      <c r="P129" s="14">
        <v>10.47</v>
      </c>
      <c r="Q129" s="18">
        <v>9.5000000000000001E-2</v>
      </c>
      <c r="R129" s="14">
        <v>10.47</v>
      </c>
      <c r="S129" s="14" t="s">
        <v>403</v>
      </c>
    </row>
    <row r="130" spans="1:19" s="14" customFormat="1" x14ac:dyDescent="0.25">
      <c r="A130" s="14" t="s">
        <v>390</v>
      </c>
      <c r="B130" s="15">
        <v>20411454</v>
      </c>
      <c r="C130" s="14" t="s">
        <v>113</v>
      </c>
      <c r="D130" s="14" t="str">
        <f>CONCATENATE(C130,"OVR")</f>
        <v>H750076900OVR</v>
      </c>
      <c r="E130" s="14" t="s">
        <v>178</v>
      </c>
      <c r="F130" s="14" t="s">
        <v>245</v>
      </c>
      <c r="G130" s="14" t="s">
        <v>466</v>
      </c>
      <c r="H130" s="14" t="s">
        <v>254</v>
      </c>
      <c r="I130" s="14" t="s">
        <v>257</v>
      </c>
      <c r="J130" s="16">
        <v>45931</v>
      </c>
      <c r="K130" s="16">
        <v>46174</v>
      </c>
      <c r="L130" s="17">
        <f>DATEDIF(J130,K130,"M")</f>
        <v>8</v>
      </c>
      <c r="M130" s="16" t="s">
        <v>419</v>
      </c>
      <c r="N130" s="16" t="s">
        <v>420</v>
      </c>
      <c r="O130" s="14" t="s">
        <v>307</v>
      </c>
      <c r="P130" s="14">
        <v>6.77</v>
      </c>
      <c r="Q130" s="18">
        <v>3.9E-2</v>
      </c>
      <c r="R130" s="14">
        <v>6.77</v>
      </c>
      <c r="S130" s="14" t="s">
        <v>403</v>
      </c>
    </row>
    <row r="131" spans="1:19" s="14" customFormat="1" x14ac:dyDescent="0.25">
      <c r="A131" s="14" t="s">
        <v>390</v>
      </c>
      <c r="B131" s="15">
        <v>20411454</v>
      </c>
      <c r="C131" s="14" t="s">
        <v>66</v>
      </c>
      <c r="D131" s="14" t="str">
        <f>CONCATENATE(C131,"OVR")</f>
        <v>H711037504OVR</v>
      </c>
      <c r="E131" s="14" t="s">
        <v>137</v>
      </c>
      <c r="F131" s="14" t="s">
        <v>202</v>
      </c>
      <c r="G131" s="14" t="s">
        <v>467</v>
      </c>
      <c r="H131" s="14" t="s">
        <v>253</v>
      </c>
      <c r="I131" s="14" t="s">
        <v>257</v>
      </c>
      <c r="J131" s="16">
        <v>45905</v>
      </c>
      <c r="K131" s="16">
        <v>46178</v>
      </c>
      <c r="L131" s="17">
        <f>DATEDIF(J131,K131,"M")</f>
        <v>9</v>
      </c>
      <c r="M131" s="16" t="s">
        <v>419</v>
      </c>
      <c r="N131" s="16" t="s">
        <v>420</v>
      </c>
      <c r="O131" s="14" t="s">
        <v>307</v>
      </c>
      <c r="P131" s="14">
        <v>12.13</v>
      </c>
      <c r="Q131" s="18">
        <v>9.5000000000000001E-2</v>
      </c>
      <c r="R131" s="14">
        <v>12.13</v>
      </c>
      <c r="S131" s="14" t="s">
        <v>403</v>
      </c>
    </row>
    <row r="132" spans="1:19" s="14" customFormat="1" x14ac:dyDescent="0.25">
      <c r="A132" s="14" t="s">
        <v>390</v>
      </c>
      <c r="B132" s="15">
        <v>20411454</v>
      </c>
      <c r="C132" s="14" t="s">
        <v>78</v>
      </c>
      <c r="D132" s="14" t="str">
        <f>CONCATENATE(C132,"OVR")</f>
        <v>H750073872OVR</v>
      </c>
      <c r="E132" s="14" t="s">
        <v>131</v>
      </c>
      <c r="F132" s="14" t="s">
        <v>213</v>
      </c>
      <c r="G132" s="14" t="s">
        <v>492</v>
      </c>
      <c r="H132" s="14" t="s">
        <v>254</v>
      </c>
      <c r="I132" s="14" t="s">
        <v>257</v>
      </c>
      <c r="J132" s="16">
        <v>45901</v>
      </c>
      <c r="K132" s="16">
        <v>46174</v>
      </c>
      <c r="L132" s="17">
        <f>DATEDIF(J132,K132,"M")</f>
        <v>9</v>
      </c>
      <c r="M132" s="16" t="s">
        <v>419</v>
      </c>
      <c r="N132" s="16" t="s">
        <v>420</v>
      </c>
      <c r="O132" s="14" t="s">
        <v>307</v>
      </c>
      <c r="P132" s="14">
        <v>5.84</v>
      </c>
      <c r="Q132" s="18">
        <v>3.9E-2</v>
      </c>
      <c r="R132" s="14">
        <v>5.84</v>
      </c>
      <c r="S132" s="14" t="s">
        <v>403</v>
      </c>
    </row>
    <row r="133" spans="1:19" s="14" customFormat="1" x14ac:dyDescent="0.25">
      <c r="A133" s="14" t="s">
        <v>390</v>
      </c>
      <c r="B133" s="15">
        <v>20411454</v>
      </c>
      <c r="C133" s="14" t="s">
        <v>83</v>
      </c>
      <c r="D133" s="14" t="str">
        <f>CONCATENATE(C133,"OVR")</f>
        <v>H750073946OVR</v>
      </c>
      <c r="E133" s="14" t="s">
        <v>150</v>
      </c>
      <c r="F133" s="14" t="s">
        <v>213</v>
      </c>
      <c r="G133" s="14" t="s">
        <v>493</v>
      </c>
      <c r="H133" s="14" t="s">
        <v>254</v>
      </c>
      <c r="I133" s="14" t="s">
        <v>257</v>
      </c>
      <c r="J133" s="16">
        <v>45901</v>
      </c>
      <c r="K133" s="16">
        <v>46174</v>
      </c>
      <c r="L133" s="17">
        <f>DATEDIF(J133,K133,"M")</f>
        <v>9</v>
      </c>
      <c r="M133" s="16" t="s">
        <v>419</v>
      </c>
      <c r="N133" s="16" t="s">
        <v>420</v>
      </c>
      <c r="O133" s="14" t="s">
        <v>307</v>
      </c>
      <c r="P133" s="14">
        <v>6.67</v>
      </c>
      <c r="Q133" s="18">
        <v>3.9E-2</v>
      </c>
      <c r="R133" s="14">
        <v>6.67</v>
      </c>
      <c r="S133" s="14" t="s">
        <v>403</v>
      </c>
    </row>
    <row r="134" spans="1:19" s="14" customFormat="1" x14ac:dyDescent="0.25">
      <c r="A134" s="14" t="s">
        <v>390</v>
      </c>
      <c r="B134" s="15">
        <v>20411454</v>
      </c>
      <c r="C134" s="14" t="s">
        <v>50</v>
      </c>
      <c r="D134" s="14" t="str">
        <f>CONCATENATE(C134,"OVR")</f>
        <v>H750068245OVR</v>
      </c>
      <c r="E134" s="14" t="s">
        <v>122</v>
      </c>
      <c r="F134" s="14" t="s">
        <v>187</v>
      </c>
      <c r="G134" s="14" t="s">
        <v>468</v>
      </c>
      <c r="H134" s="14" t="s">
        <v>254</v>
      </c>
      <c r="I134" s="14" t="s">
        <v>256</v>
      </c>
      <c r="J134" s="16">
        <v>45870</v>
      </c>
      <c r="K134" s="16">
        <v>46174</v>
      </c>
      <c r="L134" s="17">
        <f>DATEDIF(J134,K134,"M")</f>
        <v>10</v>
      </c>
      <c r="M134" s="16" t="s">
        <v>419</v>
      </c>
      <c r="N134" s="16" t="s">
        <v>420</v>
      </c>
      <c r="O134" s="14" t="s">
        <v>307</v>
      </c>
      <c r="P134" s="14">
        <v>1.95</v>
      </c>
      <c r="Q134" s="18">
        <v>8.0000000000000002E-3</v>
      </c>
      <c r="R134" s="14">
        <v>1.95</v>
      </c>
      <c r="S134" s="14" t="s">
        <v>403</v>
      </c>
    </row>
    <row r="135" spans="1:19" s="14" customFormat="1" x14ac:dyDescent="0.25">
      <c r="A135" s="14" t="s">
        <v>390</v>
      </c>
      <c r="B135" s="15">
        <v>20411454</v>
      </c>
      <c r="C135" s="14" t="s">
        <v>99</v>
      </c>
      <c r="D135" s="14" t="str">
        <f>CONCATENATE(C135,"OVR")</f>
        <v>H711020958OVR</v>
      </c>
      <c r="E135" s="14" t="s">
        <v>165</v>
      </c>
      <c r="F135" s="14" t="s">
        <v>232</v>
      </c>
      <c r="G135" s="14" t="s">
        <v>469</v>
      </c>
      <c r="H135" s="14" t="s">
        <v>253</v>
      </c>
      <c r="I135" s="14" t="s">
        <v>258</v>
      </c>
      <c r="J135" s="16">
        <v>45870</v>
      </c>
      <c r="K135" s="16">
        <v>46174</v>
      </c>
      <c r="L135" s="17">
        <f>DATEDIF(J135,K135,"M")</f>
        <v>10</v>
      </c>
      <c r="M135" s="16" t="s">
        <v>419</v>
      </c>
      <c r="N135" s="16" t="s">
        <v>420</v>
      </c>
      <c r="O135" s="14" t="s">
        <v>307</v>
      </c>
      <c r="P135" s="14">
        <v>5.37</v>
      </c>
      <c r="Q135" s="18">
        <v>9.5000000000000001E-2</v>
      </c>
      <c r="R135" s="14">
        <v>5.37</v>
      </c>
      <c r="S135" s="14" t="s">
        <v>403</v>
      </c>
    </row>
    <row r="136" spans="1:19" s="14" customFormat="1" x14ac:dyDescent="0.25">
      <c r="A136" s="14" t="s">
        <v>390</v>
      </c>
      <c r="B136" s="15">
        <v>20411454</v>
      </c>
      <c r="C136" s="14" t="s">
        <v>111</v>
      </c>
      <c r="D136" s="14" t="str">
        <f>CONCATENATE(C136,"OVR")</f>
        <v>H711025485OVR</v>
      </c>
      <c r="E136" s="14" t="s">
        <v>176</v>
      </c>
      <c r="F136" s="14" t="s">
        <v>243</v>
      </c>
      <c r="G136" s="14" t="s">
        <v>470</v>
      </c>
      <c r="H136" s="14" t="s">
        <v>253</v>
      </c>
      <c r="I136" s="14" t="s">
        <v>262</v>
      </c>
      <c r="J136" s="16">
        <v>45870</v>
      </c>
      <c r="K136" s="16">
        <v>46174</v>
      </c>
      <c r="L136" s="17">
        <f>DATEDIF(J136,K136,"M")</f>
        <v>10</v>
      </c>
      <c r="M136" s="16" t="s">
        <v>419</v>
      </c>
      <c r="N136" s="16" t="s">
        <v>420</v>
      </c>
      <c r="O136" s="14" t="s">
        <v>307</v>
      </c>
      <c r="P136" s="14">
        <v>4.53</v>
      </c>
      <c r="Q136" s="18">
        <v>9.5000000000000001E-2</v>
      </c>
      <c r="R136" s="14">
        <v>4.53</v>
      </c>
      <c r="S136" s="14" t="s">
        <v>403</v>
      </c>
    </row>
    <row r="137" spans="1:19" s="14" customFormat="1" x14ac:dyDescent="0.25">
      <c r="A137" s="14" t="s">
        <v>22</v>
      </c>
      <c r="B137" s="15">
        <v>19491313</v>
      </c>
      <c r="C137" s="14" t="s">
        <v>54</v>
      </c>
      <c r="D137" s="14" t="s">
        <v>54</v>
      </c>
      <c r="E137" s="14" t="s">
        <v>126</v>
      </c>
      <c r="F137" s="14" t="s">
        <v>191</v>
      </c>
      <c r="G137" s="14" t="s">
        <v>488</v>
      </c>
      <c r="H137" s="14" t="s">
        <v>254</v>
      </c>
      <c r="I137" s="14" t="s">
        <v>256</v>
      </c>
      <c r="J137" s="16">
        <v>45992</v>
      </c>
      <c r="K137" s="16">
        <v>46174</v>
      </c>
      <c r="L137" s="17">
        <f>DATEDIF(J137,K137,"M")</f>
        <v>6</v>
      </c>
      <c r="M137" s="16" t="s">
        <v>419</v>
      </c>
      <c r="N137" s="16" t="s">
        <v>420</v>
      </c>
      <c r="O137" s="14" t="s">
        <v>307</v>
      </c>
      <c r="P137" s="17">
        <v>117.08</v>
      </c>
      <c r="Q137" s="18">
        <v>0.01</v>
      </c>
      <c r="R137" s="14">
        <v>1.17</v>
      </c>
      <c r="S137" s="14" t="s">
        <v>399</v>
      </c>
    </row>
    <row r="138" spans="1:19" s="14" customFormat="1" x14ac:dyDescent="0.25">
      <c r="A138" s="14" t="s">
        <v>392</v>
      </c>
      <c r="B138" s="15" t="s">
        <v>409</v>
      </c>
      <c r="C138" s="14" t="s">
        <v>108</v>
      </c>
      <c r="D138" s="14" t="s">
        <v>108</v>
      </c>
      <c r="E138" s="14" t="s">
        <v>173</v>
      </c>
      <c r="F138" s="14" t="s">
        <v>240</v>
      </c>
      <c r="G138" s="14" t="s">
        <v>487</v>
      </c>
      <c r="H138" s="14" t="s">
        <v>253</v>
      </c>
      <c r="I138" s="14" t="s">
        <v>255</v>
      </c>
      <c r="J138" s="16">
        <v>46023</v>
      </c>
      <c r="K138" s="16">
        <v>46174</v>
      </c>
      <c r="L138" s="17">
        <f>DATEDIF(J138,K138,"M")</f>
        <v>5</v>
      </c>
      <c r="M138" s="16" t="s">
        <v>419</v>
      </c>
      <c r="N138" s="16" t="s">
        <v>420</v>
      </c>
      <c r="O138" s="14" t="s">
        <v>307</v>
      </c>
      <c r="P138" s="17">
        <v>56.5</v>
      </c>
      <c r="Q138" s="18">
        <v>0.25</v>
      </c>
      <c r="R138" s="14">
        <v>14.13</v>
      </c>
      <c r="S138" s="14" t="s">
        <v>396</v>
      </c>
    </row>
    <row r="139" spans="1:19" s="14" customFormat="1" x14ac:dyDescent="0.25">
      <c r="A139" s="14" t="s">
        <v>23</v>
      </c>
      <c r="B139" s="15" t="s">
        <v>415</v>
      </c>
      <c r="C139" s="14" t="s">
        <v>77</v>
      </c>
      <c r="D139" s="14" t="s">
        <v>77</v>
      </c>
      <c r="E139" s="14" t="s">
        <v>145</v>
      </c>
      <c r="F139" s="14" t="s">
        <v>212</v>
      </c>
      <c r="G139" s="14" t="s">
        <v>484</v>
      </c>
      <c r="H139" s="14" t="s">
        <v>253</v>
      </c>
      <c r="I139" s="14" t="s">
        <v>257</v>
      </c>
      <c r="J139" s="16">
        <v>46023</v>
      </c>
      <c r="K139" s="16">
        <v>46174</v>
      </c>
      <c r="L139" s="17">
        <f>DATEDIF(J139,K139,"M")</f>
        <v>5</v>
      </c>
      <c r="M139" s="16" t="s">
        <v>419</v>
      </c>
      <c r="N139" s="16" t="s">
        <v>420</v>
      </c>
      <c r="O139" s="14" t="s">
        <v>307</v>
      </c>
      <c r="P139" s="17">
        <v>65.45</v>
      </c>
      <c r="Q139" s="18">
        <v>0.25</v>
      </c>
      <c r="R139" s="14">
        <v>16.36</v>
      </c>
      <c r="S139" s="14" t="s">
        <v>396</v>
      </c>
    </row>
    <row r="140" spans="1:19" s="14" customFormat="1" x14ac:dyDescent="0.25">
      <c r="A140" s="14" t="s">
        <v>23</v>
      </c>
      <c r="B140" s="15" t="s">
        <v>415</v>
      </c>
      <c r="C140" s="14" t="s">
        <v>82</v>
      </c>
      <c r="D140" s="14" t="s">
        <v>82</v>
      </c>
      <c r="E140" s="14" t="s">
        <v>149</v>
      </c>
      <c r="F140" s="14" t="s">
        <v>217</v>
      </c>
      <c r="G140" s="14" t="s">
        <v>485</v>
      </c>
      <c r="H140" s="14" t="s">
        <v>253</v>
      </c>
      <c r="I140" s="14" t="s">
        <v>257</v>
      </c>
      <c r="J140" s="16">
        <v>46023</v>
      </c>
      <c r="K140" s="16">
        <v>46174</v>
      </c>
      <c r="L140" s="17">
        <f>DATEDIF(J140,K140,"M")</f>
        <v>5</v>
      </c>
      <c r="M140" s="16" t="s">
        <v>419</v>
      </c>
      <c r="N140" s="16" t="s">
        <v>420</v>
      </c>
      <c r="O140" s="14" t="s">
        <v>307</v>
      </c>
      <c r="P140" s="17">
        <v>130.65</v>
      </c>
      <c r="Q140" s="18">
        <v>0.25</v>
      </c>
      <c r="R140" s="14">
        <v>32.659999999999997</v>
      </c>
      <c r="S140" s="14" t="s">
        <v>396</v>
      </c>
    </row>
    <row r="141" spans="1:19" s="14" customFormat="1" x14ac:dyDescent="0.25">
      <c r="A141" s="14" t="s">
        <v>23</v>
      </c>
      <c r="B141" s="15" t="s">
        <v>415</v>
      </c>
      <c r="C141" s="14" t="s">
        <v>88</v>
      </c>
      <c r="D141" s="14" t="s">
        <v>88</v>
      </c>
      <c r="E141" s="14" t="s">
        <v>154</v>
      </c>
      <c r="F141" s="14" t="s">
        <v>222</v>
      </c>
      <c r="G141" s="14" t="s">
        <v>486</v>
      </c>
      <c r="H141" s="14" t="s">
        <v>253</v>
      </c>
      <c r="I141" s="14" t="s">
        <v>257</v>
      </c>
      <c r="J141" s="16">
        <v>46023</v>
      </c>
      <c r="K141" s="16">
        <v>46174</v>
      </c>
      <c r="L141" s="17">
        <f>DATEDIF(J141,K141,"M")</f>
        <v>5</v>
      </c>
      <c r="M141" s="16" t="s">
        <v>419</v>
      </c>
      <c r="N141" s="16" t="s">
        <v>420</v>
      </c>
      <c r="O141" s="14" t="s">
        <v>307</v>
      </c>
      <c r="P141" s="17">
        <v>65.45</v>
      </c>
      <c r="Q141" s="18">
        <v>0.25</v>
      </c>
      <c r="R141" s="14">
        <v>16.36</v>
      </c>
      <c r="S141" s="14" t="s">
        <v>396</v>
      </c>
    </row>
    <row r="142" spans="1:19" s="14" customFormat="1" x14ac:dyDescent="0.25">
      <c r="A142" s="14" t="s">
        <v>27</v>
      </c>
      <c r="B142" s="15" t="s">
        <v>410</v>
      </c>
      <c r="C142" s="14" t="s">
        <v>109</v>
      </c>
      <c r="D142" s="14" t="s">
        <v>109</v>
      </c>
      <c r="E142" s="14" t="s">
        <v>174</v>
      </c>
      <c r="F142" s="14" t="s">
        <v>241</v>
      </c>
      <c r="G142" s="14" t="s">
        <v>489</v>
      </c>
      <c r="H142" s="14" t="s">
        <v>253</v>
      </c>
      <c r="I142" s="14" t="s">
        <v>255</v>
      </c>
      <c r="J142" s="16">
        <v>45962</v>
      </c>
      <c r="K142" s="16">
        <v>46174</v>
      </c>
      <c r="L142" s="17">
        <f>DATEDIF(J142,K142,"M")</f>
        <v>7</v>
      </c>
      <c r="M142" s="16" t="s">
        <v>419</v>
      </c>
      <c r="N142" s="16" t="s">
        <v>420</v>
      </c>
      <c r="O142" s="14" t="s">
        <v>307</v>
      </c>
      <c r="P142" s="17">
        <v>110.2</v>
      </c>
      <c r="Q142" s="18">
        <v>0.25</v>
      </c>
      <c r="R142" s="14">
        <v>27.55</v>
      </c>
      <c r="S142" s="14" t="s">
        <v>396</v>
      </c>
    </row>
    <row r="143" spans="1:19" s="14" customFormat="1" x14ac:dyDescent="0.25">
      <c r="A143" s="14" t="s">
        <v>392</v>
      </c>
      <c r="B143" s="15" t="s">
        <v>409</v>
      </c>
      <c r="C143" s="14" t="s">
        <v>107</v>
      </c>
      <c r="D143" s="14" t="s">
        <v>107</v>
      </c>
      <c r="E143" s="14" t="s">
        <v>172</v>
      </c>
      <c r="F143" s="14" t="s">
        <v>239</v>
      </c>
      <c r="G143" s="14" t="s">
        <v>491</v>
      </c>
      <c r="I143" s="14" t="s">
        <v>255</v>
      </c>
      <c r="J143" s="16">
        <v>45928</v>
      </c>
      <c r="K143" s="16">
        <v>46170</v>
      </c>
      <c r="M143" s="16" t="s">
        <v>419</v>
      </c>
      <c r="N143" s="16" t="s">
        <v>420</v>
      </c>
      <c r="O143" s="14" t="s">
        <v>307</v>
      </c>
      <c r="P143" s="17">
        <v>110.2</v>
      </c>
      <c r="Q143" s="18">
        <v>0.25</v>
      </c>
      <c r="R143" s="14">
        <v>27.55</v>
      </c>
      <c r="S143" s="14" t="s">
        <v>396</v>
      </c>
    </row>
  </sheetData>
  <sortState xmlns:xlrd2="http://schemas.microsoft.com/office/spreadsheetml/2017/richdata2" ref="A51:Z143">
    <sortCondition ref="R51:R14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"/>
  <sheetViews>
    <sheetView workbookViewId="0">
      <selection activeCell="C74" sqref="C74"/>
    </sheetView>
  </sheetViews>
  <sheetFormatPr defaultRowHeight="15" x14ac:dyDescent="0.25"/>
  <cols>
    <col min="3" max="3" width="13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33</v>
      </c>
      <c r="C2" t="s">
        <v>45</v>
      </c>
      <c r="D2" t="s">
        <v>117</v>
      </c>
      <c r="E2" t="s">
        <v>182</v>
      </c>
      <c r="F2" t="s">
        <v>249</v>
      </c>
      <c r="G2" t="s">
        <v>253</v>
      </c>
      <c r="H2" t="s">
        <v>255</v>
      </c>
      <c r="I2" t="s">
        <v>263</v>
      </c>
      <c r="J2" t="s">
        <v>266</v>
      </c>
      <c r="K2" t="s">
        <v>272</v>
      </c>
      <c r="L2" t="s">
        <v>307</v>
      </c>
      <c r="M2" t="s">
        <v>308</v>
      </c>
      <c r="N2" t="s">
        <v>310</v>
      </c>
      <c r="O2" t="s">
        <v>320</v>
      </c>
      <c r="P2" t="s">
        <v>358</v>
      </c>
      <c r="Q2" t="s">
        <v>320</v>
      </c>
      <c r="R2" t="s">
        <v>367</v>
      </c>
      <c r="S2" t="s">
        <v>377</v>
      </c>
      <c r="T2">
        <v>5.37</v>
      </c>
    </row>
    <row r="3" spans="1:20" x14ac:dyDescent="0.25">
      <c r="A3" t="s">
        <v>22</v>
      </c>
      <c r="B3" t="s">
        <v>34</v>
      </c>
      <c r="C3" t="s">
        <v>46</v>
      </c>
      <c r="D3" t="s">
        <v>118</v>
      </c>
      <c r="E3" t="s">
        <v>183</v>
      </c>
      <c r="F3" t="s">
        <v>250</v>
      </c>
      <c r="G3" t="s">
        <v>254</v>
      </c>
      <c r="H3" t="s">
        <v>256</v>
      </c>
      <c r="I3" t="s">
        <v>264</v>
      </c>
      <c r="J3" t="s">
        <v>267</v>
      </c>
      <c r="K3" t="s">
        <v>273</v>
      </c>
      <c r="L3" t="s">
        <v>307</v>
      </c>
      <c r="M3" t="s">
        <v>308</v>
      </c>
      <c r="N3" t="s">
        <v>311</v>
      </c>
      <c r="O3" t="s">
        <v>321</v>
      </c>
      <c r="P3" t="s">
        <v>358</v>
      </c>
      <c r="Q3" t="s">
        <v>321</v>
      </c>
      <c r="R3" t="s">
        <v>367</v>
      </c>
      <c r="S3" t="s">
        <v>378</v>
      </c>
      <c r="T3">
        <v>4.03</v>
      </c>
    </row>
    <row r="4" spans="1:20" x14ac:dyDescent="0.25">
      <c r="A4" t="s">
        <v>22</v>
      </c>
      <c r="B4" t="s">
        <v>34</v>
      </c>
      <c r="C4" t="s">
        <v>47</v>
      </c>
      <c r="D4" t="s">
        <v>119</v>
      </c>
      <c r="E4" t="s">
        <v>184</v>
      </c>
      <c r="F4" t="s">
        <v>250</v>
      </c>
      <c r="G4" t="s">
        <v>254</v>
      </c>
      <c r="H4" t="s">
        <v>256</v>
      </c>
      <c r="I4" t="s">
        <v>263</v>
      </c>
      <c r="J4" t="s">
        <v>266</v>
      </c>
      <c r="K4" t="s">
        <v>273</v>
      </c>
      <c r="L4" t="s">
        <v>307</v>
      </c>
      <c r="M4" t="s">
        <v>308</v>
      </c>
      <c r="N4" t="s">
        <v>310</v>
      </c>
      <c r="O4" t="s">
        <v>322</v>
      </c>
      <c r="P4" t="s">
        <v>358</v>
      </c>
      <c r="Q4" t="s">
        <v>322</v>
      </c>
      <c r="R4" t="s">
        <v>367</v>
      </c>
      <c r="S4" t="s">
        <v>378</v>
      </c>
      <c r="T4">
        <v>3.64</v>
      </c>
    </row>
    <row r="5" spans="1:20" x14ac:dyDescent="0.25">
      <c r="A5" t="s">
        <v>22</v>
      </c>
      <c r="B5" t="s">
        <v>34</v>
      </c>
      <c r="C5" t="s">
        <v>48</v>
      </c>
      <c r="D5" t="s">
        <v>120</v>
      </c>
      <c r="E5" t="s">
        <v>185</v>
      </c>
      <c r="F5" t="s">
        <v>250</v>
      </c>
      <c r="G5" t="s">
        <v>254</v>
      </c>
      <c r="H5" t="s">
        <v>256</v>
      </c>
      <c r="I5" t="s">
        <v>263</v>
      </c>
      <c r="J5" t="s">
        <v>266</v>
      </c>
      <c r="K5" t="s">
        <v>273</v>
      </c>
      <c r="L5" t="s">
        <v>307</v>
      </c>
      <c r="M5" t="s">
        <v>308</v>
      </c>
      <c r="N5" t="s">
        <v>312</v>
      </c>
      <c r="O5" t="s">
        <v>323</v>
      </c>
      <c r="P5" t="s">
        <v>358</v>
      </c>
      <c r="Q5" t="s">
        <v>323</v>
      </c>
      <c r="R5" t="s">
        <v>367</v>
      </c>
      <c r="S5" t="s">
        <v>378</v>
      </c>
      <c r="T5">
        <v>3.81</v>
      </c>
    </row>
    <row r="6" spans="1:20" x14ac:dyDescent="0.25">
      <c r="A6" t="s">
        <v>22</v>
      </c>
      <c r="B6" t="s">
        <v>34</v>
      </c>
      <c r="C6" t="s">
        <v>49</v>
      </c>
      <c r="D6" t="s">
        <v>121</v>
      </c>
      <c r="E6" t="s">
        <v>186</v>
      </c>
      <c r="F6" t="s">
        <v>250</v>
      </c>
      <c r="G6" t="s">
        <v>254</v>
      </c>
      <c r="H6" t="s">
        <v>256</v>
      </c>
      <c r="I6" t="s">
        <v>263</v>
      </c>
      <c r="J6" t="s">
        <v>266</v>
      </c>
      <c r="K6" t="s">
        <v>274</v>
      </c>
      <c r="L6" t="s">
        <v>307</v>
      </c>
      <c r="M6" t="s">
        <v>309</v>
      </c>
      <c r="N6" t="s">
        <v>310</v>
      </c>
      <c r="O6" t="s">
        <v>322</v>
      </c>
      <c r="P6" t="s">
        <v>358</v>
      </c>
      <c r="Q6" t="s">
        <v>322</v>
      </c>
      <c r="R6" t="s">
        <v>367</v>
      </c>
      <c r="S6" t="s">
        <v>379</v>
      </c>
      <c r="T6">
        <v>5.07</v>
      </c>
    </row>
    <row r="7" spans="1:20" x14ac:dyDescent="0.25">
      <c r="A7" t="s">
        <v>22</v>
      </c>
      <c r="B7" t="s">
        <v>34</v>
      </c>
      <c r="C7" t="s">
        <v>50</v>
      </c>
      <c r="D7" t="s">
        <v>122</v>
      </c>
      <c r="E7" t="s">
        <v>187</v>
      </c>
      <c r="F7" t="s">
        <v>251</v>
      </c>
      <c r="G7" t="s">
        <v>254</v>
      </c>
      <c r="H7" t="s">
        <v>256</v>
      </c>
      <c r="I7" t="s">
        <v>263</v>
      </c>
      <c r="J7" t="s">
        <v>266</v>
      </c>
      <c r="K7" t="s">
        <v>275</v>
      </c>
      <c r="L7" t="s">
        <v>307</v>
      </c>
      <c r="M7" t="s">
        <v>309</v>
      </c>
      <c r="N7" t="s">
        <v>313</v>
      </c>
      <c r="O7" t="s">
        <v>324</v>
      </c>
      <c r="P7" t="s">
        <v>358</v>
      </c>
      <c r="Q7" t="s">
        <v>359</v>
      </c>
      <c r="R7" t="s">
        <v>367</v>
      </c>
      <c r="S7" t="s">
        <v>380</v>
      </c>
      <c r="T7">
        <v>1.95</v>
      </c>
    </row>
    <row r="8" spans="1:20" x14ac:dyDescent="0.25">
      <c r="A8" t="s">
        <v>22</v>
      </c>
      <c r="B8" t="s">
        <v>34</v>
      </c>
      <c r="C8" t="s">
        <v>51</v>
      </c>
      <c r="D8" t="s">
        <v>123</v>
      </c>
      <c r="E8" t="s">
        <v>188</v>
      </c>
      <c r="F8" t="s">
        <v>250</v>
      </c>
      <c r="G8" t="s">
        <v>254</v>
      </c>
      <c r="H8" t="s">
        <v>256</v>
      </c>
      <c r="I8" t="s">
        <v>263</v>
      </c>
      <c r="J8" t="s">
        <v>266</v>
      </c>
      <c r="K8" t="s">
        <v>273</v>
      </c>
      <c r="L8" t="s">
        <v>307</v>
      </c>
      <c r="M8" t="s">
        <v>308</v>
      </c>
      <c r="N8" t="s">
        <v>312</v>
      </c>
      <c r="O8" t="s">
        <v>322</v>
      </c>
      <c r="P8" t="s">
        <v>358</v>
      </c>
      <c r="Q8" t="s">
        <v>360</v>
      </c>
      <c r="R8" t="s">
        <v>367</v>
      </c>
      <c r="S8" t="s">
        <v>378</v>
      </c>
      <c r="T8">
        <v>2.93</v>
      </c>
    </row>
    <row r="9" spans="1:20" x14ac:dyDescent="0.25">
      <c r="A9" t="s">
        <v>22</v>
      </c>
      <c r="B9" t="s">
        <v>34</v>
      </c>
      <c r="C9" t="s">
        <v>52</v>
      </c>
      <c r="D9" t="s">
        <v>124</v>
      </c>
      <c r="E9" t="s">
        <v>189</v>
      </c>
      <c r="F9" t="s">
        <v>250</v>
      </c>
      <c r="G9" t="s">
        <v>254</v>
      </c>
      <c r="H9" t="s">
        <v>256</v>
      </c>
      <c r="I9" t="s">
        <v>263</v>
      </c>
      <c r="J9" t="s">
        <v>266</v>
      </c>
      <c r="K9" t="s">
        <v>273</v>
      </c>
      <c r="L9" t="s">
        <v>307</v>
      </c>
      <c r="M9" t="s">
        <v>309</v>
      </c>
      <c r="N9" t="s">
        <v>314</v>
      </c>
      <c r="O9" t="s">
        <v>321</v>
      </c>
      <c r="P9" t="s">
        <v>358</v>
      </c>
      <c r="Q9" t="s">
        <v>361</v>
      </c>
      <c r="R9" t="s">
        <v>367</v>
      </c>
      <c r="S9" t="s">
        <v>379</v>
      </c>
      <c r="T9">
        <v>4.5199999999999996</v>
      </c>
    </row>
    <row r="10" spans="1:20" x14ac:dyDescent="0.25">
      <c r="A10" t="s">
        <v>22</v>
      </c>
      <c r="B10" t="s">
        <v>34</v>
      </c>
      <c r="C10" t="s">
        <v>53</v>
      </c>
      <c r="D10" t="s">
        <v>125</v>
      </c>
      <c r="E10" t="s">
        <v>190</v>
      </c>
      <c r="F10" t="s">
        <v>250</v>
      </c>
      <c r="G10" t="s">
        <v>254</v>
      </c>
      <c r="H10" t="s">
        <v>256</v>
      </c>
      <c r="I10" t="s">
        <v>263</v>
      </c>
      <c r="J10" t="s">
        <v>266</v>
      </c>
      <c r="K10" t="s">
        <v>273</v>
      </c>
      <c r="L10" t="s">
        <v>307</v>
      </c>
      <c r="M10" t="s">
        <v>308</v>
      </c>
      <c r="N10" t="s">
        <v>315</v>
      </c>
      <c r="O10" t="s">
        <v>325</v>
      </c>
      <c r="P10" t="s">
        <v>358</v>
      </c>
      <c r="Q10" t="s">
        <v>322</v>
      </c>
      <c r="R10" t="s">
        <v>367</v>
      </c>
      <c r="S10" t="s">
        <v>378</v>
      </c>
      <c r="T10">
        <v>3.64</v>
      </c>
    </row>
    <row r="11" spans="1:20" x14ac:dyDescent="0.25">
      <c r="A11" t="s">
        <v>22</v>
      </c>
      <c r="B11" t="s">
        <v>34</v>
      </c>
      <c r="C11" t="s">
        <v>53</v>
      </c>
      <c r="D11" t="s">
        <v>125</v>
      </c>
      <c r="E11" t="s">
        <v>190</v>
      </c>
      <c r="F11" t="s">
        <v>250</v>
      </c>
      <c r="G11" t="s">
        <v>254</v>
      </c>
      <c r="H11" t="s">
        <v>256</v>
      </c>
      <c r="I11" t="s">
        <v>263</v>
      </c>
      <c r="J11" t="s">
        <v>266</v>
      </c>
      <c r="K11" t="s">
        <v>273</v>
      </c>
      <c r="L11" t="s">
        <v>307</v>
      </c>
      <c r="M11" t="s">
        <v>308</v>
      </c>
      <c r="N11" t="s">
        <v>316</v>
      </c>
      <c r="O11" t="s">
        <v>325</v>
      </c>
      <c r="P11" t="s">
        <v>358</v>
      </c>
      <c r="Q11" t="s">
        <v>322</v>
      </c>
      <c r="R11" t="s">
        <v>367</v>
      </c>
      <c r="S11" t="s">
        <v>378</v>
      </c>
      <c r="T11">
        <v>3.64</v>
      </c>
    </row>
    <row r="12" spans="1:20" x14ac:dyDescent="0.25">
      <c r="A12" t="s">
        <v>22</v>
      </c>
      <c r="B12" t="s">
        <v>34</v>
      </c>
      <c r="C12" t="s">
        <v>54</v>
      </c>
      <c r="D12" t="s">
        <v>126</v>
      </c>
      <c r="E12" t="s">
        <v>191</v>
      </c>
      <c r="F12" t="s">
        <v>250</v>
      </c>
      <c r="G12" t="s">
        <v>254</v>
      </c>
      <c r="H12" t="s">
        <v>256</v>
      </c>
      <c r="I12" t="s">
        <v>263</v>
      </c>
      <c r="J12" t="s">
        <v>266</v>
      </c>
      <c r="K12" t="s">
        <v>273</v>
      </c>
      <c r="L12" t="s">
        <v>307</v>
      </c>
      <c r="M12" t="s">
        <v>309</v>
      </c>
      <c r="N12" t="s">
        <v>317</v>
      </c>
      <c r="O12" t="s">
        <v>326</v>
      </c>
      <c r="P12" t="s">
        <v>358</v>
      </c>
      <c r="Q12" t="s">
        <v>326</v>
      </c>
      <c r="R12" t="s">
        <v>367</v>
      </c>
      <c r="S12" t="s">
        <v>380</v>
      </c>
      <c r="T12">
        <v>0.94</v>
      </c>
    </row>
    <row r="13" spans="1:20" x14ac:dyDescent="0.25">
      <c r="A13" t="s">
        <v>22</v>
      </c>
      <c r="B13" t="s">
        <v>34</v>
      </c>
      <c r="C13" t="s">
        <v>55</v>
      </c>
      <c r="D13" t="s">
        <v>127</v>
      </c>
      <c r="E13" t="s">
        <v>185</v>
      </c>
      <c r="F13" t="s">
        <v>250</v>
      </c>
      <c r="G13" t="s">
        <v>254</v>
      </c>
      <c r="H13" t="s">
        <v>256</v>
      </c>
      <c r="I13" t="s">
        <v>263</v>
      </c>
      <c r="J13" t="s">
        <v>266</v>
      </c>
      <c r="K13" t="s">
        <v>273</v>
      </c>
      <c r="L13" t="s">
        <v>307</v>
      </c>
      <c r="M13" t="s">
        <v>308</v>
      </c>
      <c r="N13" t="s">
        <v>312</v>
      </c>
      <c r="O13" t="s">
        <v>327</v>
      </c>
      <c r="P13" t="s">
        <v>358</v>
      </c>
      <c r="Q13" t="s">
        <v>327</v>
      </c>
      <c r="R13" t="s">
        <v>367</v>
      </c>
      <c r="S13" t="s">
        <v>378</v>
      </c>
      <c r="T13">
        <v>3.45</v>
      </c>
    </row>
    <row r="14" spans="1:20" x14ac:dyDescent="0.25">
      <c r="A14" t="s">
        <v>22</v>
      </c>
      <c r="B14" t="s">
        <v>34</v>
      </c>
      <c r="C14" t="s">
        <v>56</v>
      </c>
      <c r="D14" t="s">
        <v>128</v>
      </c>
      <c r="E14" t="s">
        <v>192</v>
      </c>
      <c r="F14" t="s">
        <v>250</v>
      </c>
      <c r="G14" t="s">
        <v>254</v>
      </c>
      <c r="H14" t="s">
        <v>256</v>
      </c>
      <c r="I14" t="s">
        <v>263</v>
      </c>
      <c r="J14" t="s">
        <v>266</v>
      </c>
      <c r="K14" t="s">
        <v>273</v>
      </c>
      <c r="L14" t="s">
        <v>307</v>
      </c>
      <c r="M14" t="s">
        <v>308</v>
      </c>
      <c r="N14" t="s">
        <v>312</v>
      </c>
      <c r="O14" t="s">
        <v>326</v>
      </c>
      <c r="P14" t="s">
        <v>358</v>
      </c>
      <c r="Q14" t="s">
        <v>326</v>
      </c>
      <c r="R14" t="s">
        <v>367</v>
      </c>
      <c r="S14" t="s">
        <v>378</v>
      </c>
      <c r="T14">
        <v>3.28</v>
      </c>
    </row>
    <row r="15" spans="1:20" x14ac:dyDescent="0.25">
      <c r="A15" t="s">
        <v>22</v>
      </c>
      <c r="B15" t="s">
        <v>34</v>
      </c>
      <c r="C15" t="s">
        <v>57</v>
      </c>
      <c r="D15" t="s">
        <v>129</v>
      </c>
      <c r="E15" t="s">
        <v>193</v>
      </c>
      <c r="F15" t="s">
        <v>250</v>
      </c>
      <c r="G15" t="s">
        <v>254</v>
      </c>
      <c r="H15" t="s">
        <v>256</v>
      </c>
      <c r="I15" t="s">
        <v>263</v>
      </c>
      <c r="J15" t="s">
        <v>266</v>
      </c>
      <c r="K15" t="s">
        <v>274</v>
      </c>
      <c r="L15" t="s">
        <v>307</v>
      </c>
      <c r="M15" t="s">
        <v>309</v>
      </c>
      <c r="N15" t="s">
        <v>317</v>
      </c>
      <c r="O15" t="s">
        <v>321</v>
      </c>
      <c r="P15" t="s">
        <v>358</v>
      </c>
      <c r="Q15" t="s">
        <v>321</v>
      </c>
      <c r="R15" t="s">
        <v>367</v>
      </c>
      <c r="S15" t="s">
        <v>379</v>
      </c>
      <c r="T15">
        <v>5.61</v>
      </c>
    </row>
    <row r="16" spans="1:20" x14ac:dyDescent="0.25">
      <c r="A16" t="s">
        <v>22</v>
      </c>
      <c r="B16" t="s">
        <v>34</v>
      </c>
      <c r="C16" t="s">
        <v>58</v>
      </c>
      <c r="D16" t="s">
        <v>130</v>
      </c>
      <c r="E16" t="s">
        <v>194</v>
      </c>
      <c r="F16" t="s">
        <v>250</v>
      </c>
      <c r="G16" t="s">
        <v>254</v>
      </c>
      <c r="H16" t="s">
        <v>256</v>
      </c>
      <c r="I16" t="s">
        <v>263</v>
      </c>
      <c r="J16" t="s">
        <v>266</v>
      </c>
      <c r="K16" t="s">
        <v>273</v>
      </c>
      <c r="L16" t="s">
        <v>307</v>
      </c>
      <c r="M16" t="s">
        <v>308</v>
      </c>
      <c r="N16" t="s">
        <v>314</v>
      </c>
      <c r="O16" t="s">
        <v>322</v>
      </c>
      <c r="P16" t="s">
        <v>358</v>
      </c>
      <c r="Q16" t="s">
        <v>360</v>
      </c>
      <c r="R16" t="s">
        <v>367</v>
      </c>
      <c r="S16" t="s">
        <v>378</v>
      </c>
      <c r="T16">
        <v>2.93</v>
      </c>
    </row>
    <row r="17" spans="1:20" x14ac:dyDescent="0.25">
      <c r="A17" t="s">
        <v>23</v>
      </c>
      <c r="B17" t="s">
        <v>35</v>
      </c>
      <c r="C17" t="s">
        <v>59</v>
      </c>
      <c r="D17" t="s">
        <v>131</v>
      </c>
      <c r="E17" t="s">
        <v>195</v>
      </c>
      <c r="F17" t="s">
        <v>252</v>
      </c>
      <c r="G17" t="s">
        <v>253</v>
      </c>
      <c r="H17" t="s">
        <v>257</v>
      </c>
      <c r="I17" t="s">
        <v>265</v>
      </c>
      <c r="J17" t="s">
        <v>266</v>
      </c>
      <c r="K17" t="s">
        <v>276</v>
      </c>
      <c r="L17" t="s">
        <v>307</v>
      </c>
      <c r="M17" t="s">
        <v>309</v>
      </c>
      <c r="N17" t="s">
        <v>310</v>
      </c>
      <c r="O17" t="s">
        <v>328</v>
      </c>
      <c r="P17" t="s">
        <v>358</v>
      </c>
      <c r="Q17" t="s">
        <v>328</v>
      </c>
      <c r="R17" t="s">
        <v>367</v>
      </c>
      <c r="S17" t="s">
        <v>377</v>
      </c>
      <c r="T17">
        <v>12.13</v>
      </c>
    </row>
    <row r="18" spans="1:20" x14ac:dyDescent="0.25">
      <c r="A18" t="s">
        <v>23</v>
      </c>
      <c r="B18" t="s">
        <v>35</v>
      </c>
      <c r="C18" t="s">
        <v>60</v>
      </c>
      <c r="D18" t="s">
        <v>132</v>
      </c>
      <c r="E18" t="s">
        <v>196</v>
      </c>
      <c r="F18" t="s">
        <v>252</v>
      </c>
      <c r="G18" t="s">
        <v>253</v>
      </c>
      <c r="H18" t="s">
        <v>257</v>
      </c>
      <c r="I18" t="s">
        <v>263</v>
      </c>
      <c r="J18" t="s">
        <v>266</v>
      </c>
      <c r="K18" t="s">
        <v>277</v>
      </c>
      <c r="L18" t="s">
        <v>307</v>
      </c>
      <c r="M18" t="s">
        <v>308</v>
      </c>
      <c r="N18" t="s">
        <v>317</v>
      </c>
      <c r="O18" t="s">
        <v>320</v>
      </c>
      <c r="P18" t="s">
        <v>358</v>
      </c>
      <c r="Q18" t="s">
        <v>320</v>
      </c>
      <c r="R18" t="s">
        <v>367</v>
      </c>
      <c r="S18" t="s">
        <v>377</v>
      </c>
      <c r="T18">
        <v>5.37</v>
      </c>
    </row>
    <row r="19" spans="1:20" x14ac:dyDescent="0.25">
      <c r="A19" t="s">
        <v>23</v>
      </c>
      <c r="B19" t="s">
        <v>35</v>
      </c>
      <c r="C19" t="s">
        <v>61</v>
      </c>
      <c r="D19" t="s">
        <v>133</v>
      </c>
      <c r="E19" t="s">
        <v>197</v>
      </c>
      <c r="F19" t="s">
        <v>252</v>
      </c>
      <c r="G19" t="s">
        <v>253</v>
      </c>
      <c r="H19" t="s">
        <v>257</v>
      </c>
      <c r="I19" t="s">
        <v>263</v>
      </c>
      <c r="J19" t="s">
        <v>266</v>
      </c>
      <c r="K19" t="s">
        <v>278</v>
      </c>
      <c r="L19" t="s">
        <v>307</v>
      </c>
      <c r="M19" t="s">
        <v>308</v>
      </c>
      <c r="N19" t="s">
        <v>310</v>
      </c>
      <c r="O19" t="s">
        <v>329</v>
      </c>
      <c r="P19" t="s">
        <v>358</v>
      </c>
      <c r="Q19" t="s">
        <v>329</v>
      </c>
      <c r="R19" t="s">
        <v>367</v>
      </c>
      <c r="S19" t="s">
        <v>377</v>
      </c>
      <c r="T19">
        <v>19.579999999999998</v>
      </c>
    </row>
    <row r="20" spans="1:20" x14ac:dyDescent="0.25">
      <c r="A20" t="s">
        <v>23</v>
      </c>
      <c r="B20" t="s">
        <v>35</v>
      </c>
      <c r="C20" t="s">
        <v>62</v>
      </c>
      <c r="D20" t="s">
        <v>134</v>
      </c>
      <c r="E20" t="s">
        <v>198</v>
      </c>
      <c r="F20" t="s">
        <v>252</v>
      </c>
      <c r="G20" t="s">
        <v>253</v>
      </c>
      <c r="H20" t="s">
        <v>257</v>
      </c>
      <c r="I20" t="s">
        <v>263</v>
      </c>
      <c r="J20" t="s">
        <v>266</v>
      </c>
      <c r="K20" t="s">
        <v>279</v>
      </c>
      <c r="L20" t="s">
        <v>307</v>
      </c>
      <c r="M20" t="s">
        <v>308</v>
      </c>
      <c r="N20" t="s">
        <v>310</v>
      </c>
      <c r="O20" t="s">
        <v>330</v>
      </c>
      <c r="P20" t="s">
        <v>358</v>
      </c>
      <c r="Q20" t="s">
        <v>330</v>
      </c>
      <c r="R20" t="s">
        <v>367</v>
      </c>
      <c r="S20" t="s">
        <v>377</v>
      </c>
      <c r="T20">
        <v>5.31</v>
      </c>
    </row>
    <row r="21" spans="1:20" x14ac:dyDescent="0.25">
      <c r="A21" t="s">
        <v>23</v>
      </c>
      <c r="B21" t="s">
        <v>35</v>
      </c>
      <c r="C21" t="s">
        <v>63</v>
      </c>
      <c r="D21" t="s">
        <v>135</v>
      </c>
      <c r="E21" t="s">
        <v>199</v>
      </c>
      <c r="F21" t="s">
        <v>252</v>
      </c>
      <c r="G21" t="s">
        <v>253</v>
      </c>
      <c r="H21" t="s">
        <v>257</v>
      </c>
      <c r="I21" t="s">
        <v>263</v>
      </c>
      <c r="J21" t="s">
        <v>266</v>
      </c>
      <c r="K21" t="s">
        <v>280</v>
      </c>
      <c r="L21" t="s">
        <v>307</v>
      </c>
      <c r="M21" t="s">
        <v>308</v>
      </c>
      <c r="N21" t="s">
        <v>318</v>
      </c>
      <c r="O21" t="s">
        <v>328</v>
      </c>
      <c r="P21" t="s">
        <v>358</v>
      </c>
      <c r="Q21" t="s">
        <v>328</v>
      </c>
      <c r="R21" t="s">
        <v>367</v>
      </c>
      <c r="S21" t="s">
        <v>377</v>
      </c>
      <c r="T21">
        <v>12.13</v>
      </c>
    </row>
    <row r="22" spans="1:20" x14ac:dyDescent="0.25">
      <c r="A22" t="s">
        <v>23</v>
      </c>
      <c r="B22" t="s">
        <v>35</v>
      </c>
      <c r="C22" t="s">
        <v>64</v>
      </c>
      <c r="D22" t="s">
        <v>136</v>
      </c>
      <c r="E22" t="s">
        <v>200</v>
      </c>
      <c r="F22" t="s">
        <v>252</v>
      </c>
      <c r="G22" t="s">
        <v>253</v>
      </c>
      <c r="H22" t="s">
        <v>257</v>
      </c>
      <c r="I22" t="s">
        <v>263</v>
      </c>
      <c r="J22" t="s">
        <v>266</v>
      </c>
      <c r="K22" t="s">
        <v>277</v>
      </c>
      <c r="L22" t="s">
        <v>307</v>
      </c>
      <c r="M22" t="s">
        <v>308</v>
      </c>
      <c r="N22" t="s">
        <v>315</v>
      </c>
      <c r="O22" t="s">
        <v>331</v>
      </c>
      <c r="P22" t="s">
        <v>358</v>
      </c>
      <c r="Q22" t="s">
        <v>331</v>
      </c>
      <c r="R22" t="s">
        <v>367</v>
      </c>
      <c r="S22" t="s">
        <v>377</v>
      </c>
      <c r="T22">
        <v>6.22</v>
      </c>
    </row>
    <row r="23" spans="1:20" x14ac:dyDescent="0.25">
      <c r="A23" t="s">
        <v>23</v>
      </c>
      <c r="B23" t="s">
        <v>35</v>
      </c>
      <c r="C23" t="s">
        <v>65</v>
      </c>
      <c r="D23" t="s">
        <v>128</v>
      </c>
      <c r="E23" t="s">
        <v>201</v>
      </c>
      <c r="F23" t="s">
        <v>252</v>
      </c>
      <c r="G23" t="s">
        <v>253</v>
      </c>
      <c r="H23" t="s">
        <v>257</v>
      </c>
      <c r="I23" t="s">
        <v>263</v>
      </c>
      <c r="J23" t="s">
        <v>266</v>
      </c>
      <c r="K23" t="s">
        <v>281</v>
      </c>
      <c r="L23" t="s">
        <v>307</v>
      </c>
      <c r="M23" t="s">
        <v>308</v>
      </c>
      <c r="N23" t="s">
        <v>315</v>
      </c>
      <c r="O23" t="s">
        <v>331</v>
      </c>
      <c r="P23" t="s">
        <v>358</v>
      </c>
      <c r="Q23" t="s">
        <v>331</v>
      </c>
      <c r="R23" t="s">
        <v>367</v>
      </c>
      <c r="S23" t="s">
        <v>377</v>
      </c>
      <c r="T23">
        <v>6.22</v>
      </c>
    </row>
    <row r="24" spans="1:20" x14ac:dyDescent="0.25">
      <c r="A24" t="s">
        <v>23</v>
      </c>
      <c r="B24" t="s">
        <v>35</v>
      </c>
      <c r="C24" t="s">
        <v>66</v>
      </c>
      <c r="D24" t="s">
        <v>137</v>
      </c>
      <c r="E24" t="s">
        <v>202</v>
      </c>
      <c r="F24" t="s">
        <v>252</v>
      </c>
      <c r="G24" t="s">
        <v>253</v>
      </c>
      <c r="H24" t="s">
        <v>257</v>
      </c>
      <c r="I24" t="s">
        <v>263</v>
      </c>
      <c r="J24" t="s">
        <v>268</v>
      </c>
      <c r="K24" t="s">
        <v>274</v>
      </c>
      <c r="L24" t="s">
        <v>307</v>
      </c>
      <c r="M24" t="s">
        <v>308</v>
      </c>
      <c r="N24" t="s">
        <v>319</v>
      </c>
      <c r="O24" t="s">
        <v>328</v>
      </c>
      <c r="P24" t="s">
        <v>358</v>
      </c>
      <c r="Q24" t="s">
        <v>328</v>
      </c>
      <c r="R24" t="s">
        <v>367</v>
      </c>
      <c r="S24" t="s">
        <v>377</v>
      </c>
      <c r="T24">
        <v>12.13</v>
      </c>
    </row>
    <row r="25" spans="1:20" x14ac:dyDescent="0.25">
      <c r="A25" t="s">
        <v>23</v>
      </c>
      <c r="B25" t="s">
        <v>35</v>
      </c>
      <c r="C25" t="s">
        <v>67</v>
      </c>
      <c r="D25" t="s">
        <v>138</v>
      </c>
      <c r="E25" t="s">
        <v>203</v>
      </c>
      <c r="F25" t="s">
        <v>252</v>
      </c>
      <c r="G25" t="s">
        <v>253</v>
      </c>
      <c r="H25" t="s">
        <v>257</v>
      </c>
      <c r="I25" t="s">
        <v>263</v>
      </c>
      <c r="J25" t="s">
        <v>266</v>
      </c>
      <c r="K25" t="s">
        <v>282</v>
      </c>
      <c r="L25" t="s">
        <v>307</v>
      </c>
      <c r="M25" t="s">
        <v>308</v>
      </c>
      <c r="N25" t="s">
        <v>318</v>
      </c>
      <c r="O25" t="s">
        <v>320</v>
      </c>
      <c r="P25" t="s">
        <v>358</v>
      </c>
      <c r="Q25" t="s">
        <v>320</v>
      </c>
      <c r="R25" t="s">
        <v>367</v>
      </c>
      <c r="S25" t="s">
        <v>377</v>
      </c>
      <c r="T25">
        <v>5.37</v>
      </c>
    </row>
    <row r="26" spans="1:20" x14ac:dyDescent="0.25">
      <c r="A26" t="s">
        <v>23</v>
      </c>
      <c r="B26" t="s">
        <v>35</v>
      </c>
      <c r="C26" t="s">
        <v>68</v>
      </c>
      <c r="D26" t="s">
        <v>117</v>
      </c>
      <c r="E26" t="s">
        <v>204</v>
      </c>
      <c r="F26" t="s">
        <v>250</v>
      </c>
      <c r="G26" t="s">
        <v>254</v>
      </c>
      <c r="H26" t="s">
        <v>257</v>
      </c>
      <c r="I26" t="s">
        <v>263</v>
      </c>
      <c r="J26" t="s">
        <v>266</v>
      </c>
      <c r="K26" t="s">
        <v>283</v>
      </c>
      <c r="L26" t="s">
        <v>307</v>
      </c>
      <c r="M26" t="s">
        <v>309</v>
      </c>
      <c r="N26" t="s">
        <v>310</v>
      </c>
      <c r="O26" t="s">
        <v>332</v>
      </c>
      <c r="P26" t="s">
        <v>358</v>
      </c>
      <c r="Q26" t="s">
        <v>332</v>
      </c>
      <c r="R26" t="s">
        <v>367</v>
      </c>
      <c r="S26" t="s">
        <v>379</v>
      </c>
      <c r="T26">
        <v>9.4700000000000006</v>
      </c>
    </row>
    <row r="27" spans="1:20" x14ac:dyDescent="0.25">
      <c r="A27" t="s">
        <v>23</v>
      </c>
      <c r="B27" t="s">
        <v>35</v>
      </c>
      <c r="C27" t="s">
        <v>69</v>
      </c>
      <c r="D27" t="s">
        <v>139</v>
      </c>
      <c r="E27" t="s">
        <v>204</v>
      </c>
      <c r="F27" t="s">
        <v>250</v>
      </c>
      <c r="G27" t="s">
        <v>254</v>
      </c>
      <c r="H27" t="s">
        <v>257</v>
      </c>
      <c r="I27" t="s">
        <v>263</v>
      </c>
      <c r="J27" t="s">
        <v>266</v>
      </c>
      <c r="K27" t="s">
        <v>284</v>
      </c>
      <c r="L27" t="s">
        <v>307</v>
      </c>
      <c r="M27" t="s">
        <v>309</v>
      </c>
      <c r="N27" t="s">
        <v>310</v>
      </c>
      <c r="O27" t="s">
        <v>333</v>
      </c>
      <c r="P27" t="s">
        <v>358</v>
      </c>
      <c r="Q27" t="s">
        <v>333</v>
      </c>
      <c r="R27" t="s">
        <v>367</v>
      </c>
      <c r="S27" t="s">
        <v>379</v>
      </c>
      <c r="T27">
        <v>7.4</v>
      </c>
    </row>
    <row r="28" spans="1:20" x14ac:dyDescent="0.25">
      <c r="A28" t="s">
        <v>23</v>
      </c>
      <c r="B28" t="s">
        <v>35</v>
      </c>
      <c r="C28" t="s">
        <v>70</v>
      </c>
      <c r="D28" t="s">
        <v>123</v>
      </c>
      <c r="E28" t="s">
        <v>205</v>
      </c>
      <c r="F28" t="s">
        <v>252</v>
      </c>
      <c r="G28" t="s">
        <v>253</v>
      </c>
      <c r="H28" t="s">
        <v>257</v>
      </c>
      <c r="I28" t="s">
        <v>263</v>
      </c>
      <c r="J28" t="s">
        <v>266</v>
      </c>
      <c r="K28" t="s">
        <v>285</v>
      </c>
      <c r="L28" t="s">
        <v>307</v>
      </c>
      <c r="M28" t="s">
        <v>308</v>
      </c>
      <c r="N28" t="s">
        <v>318</v>
      </c>
      <c r="O28" t="s">
        <v>328</v>
      </c>
      <c r="P28" t="s">
        <v>358</v>
      </c>
      <c r="Q28" t="s">
        <v>328</v>
      </c>
      <c r="R28" t="s">
        <v>367</v>
      </c>
      <c r="S28" t="s">
        <v>377</v>
      </c>
      <c r="T28">
        <v>12.13</v>
      </c>
    </row>
    <row r="29" spans="1:20" x14ac:dyDescent="0.25">
      <c r="A29" t="s">
        <v>23</v>
      </c>
      <c r="B29" t="s">
        <v>35</v>
      </c>
      <c r="C29" t="s">
        <v>71</v>
      </c>
      <c r="D29" t="s">
        <v>140</v>
      </c>
      <c r="E29" t="s">
        <v>206</v>
      </c>
      <c r="F29" t="s">
        <v>252</v>
      </c>
      <c r="G29" t="s">
        <v>253</v>
      </c>
      <c r="H29" t="s">
        <v>257</v>
      </c>
      <c r="I29" t="s">
        <v>263</v>
      </c>
      <c r="J29" t="s">
        <v>266</v>
      </c>
      <c r="K29" t="s">
        <v>286</v>
      </c>
      <c r="L29" t="s">
        <v>307</v>
      </c>
      <c r="M29" t="s">
        <v>308</v>
      </c>
      <c r="N29" t="s">
        <v>315</v>
      </c>
      <c r="O29" t="s">
        <v>331</v>
      </c>
      <c r="P29" t="s">
        <v>358</v>
      </c>
      <c r="Q29" t="s">
        <v>331</v>
      </c>
      <c r="R29" t="s">
        <v>367</v>
      </c>
      <c r="S29" t="s">
        <v>377</v>
      </c>
      <c r="T29">
        <v>6.22</v>
      </c>
    </row>
    <row r="30" spans="1:20" x14ac:dyDescent="0.25">
      <c r="A30" t="s">
        <v>23</v>
      </c>
      <c r="B30" t="s">
        <v>35</v>
      </c>
      <c r="C30" t="s">
        <v>72</v>
      </c>
      <c r="D30" t="s">
        <v>117</v>
      </c>
      <c r="E30" t="s">
        <v>207</v>
      </c>
      <c r="F30" t="s">
        <v>252</v>
      </c>
      <c r="G30" t="s">
        <v>253</v>
      </c>
      <c r="H30" t="s">
        <v>257</v>
      </c>
      <c r="I30" t="s">
        <v>263</v>
      </c>
      <c r="J30" t="s">
        <v>266</v>
      </c>
      <c r="K30" t="s">
        <v>273</v>
      </c>
      <c r="L30" t="s">
        <v>307</v>
      </c>
      <c r="M30" t="s">
        <v>308</v>
      </c>
      <c r="N30" t="s">
        <v>316</v>
      </c>
      <c r="O30" t="s">
        <v>320</v>
      </c>
      <c r="P30" t="s">
        <v>358</v>
      </c>
      <c r="Q30" t="s">
        <v>320</v>
      </c>
      <c r="R30" t="s">
        <v>367</v>
      </c>
      <c r="S30" t="s">
        <v>377</v>
      </c>
      <c r="T30">
        <v>5.37</v>
      </c>
    </row>
    <row r="31" spans="1:20" x14ac:dyDescent="0.25">
      <c r="A31" t="s">
        <v>23</v>
      </c>
      <c r="B31" t="s">
        <v>35</v>
      </c>
      <c r="C31" t="s">
        <v>73</v>
      </c>
      <c r="D31" t="s">
        <v>141</v>
      </c>
      <c r="E31" t="s">
        <v>208</v>
      </c>
      <c r="F31" t="s">
        <v>252</v>
      </c>
      <c r="G31" t="s">
        <v>253</v>
      </c>
      <c r="H31" t="s">
        <v>257</v>
      </c>
      <c r="I31" t="s">
        <v>263</v>
      </c>
      <c r="J31" t="s">
        <v>266</v>
      </c>
      <c r="K31" t="s">
        <v>281</v>
      </c>
      <c r="L31" t="s">
        <v>307</v>
      </c>
      <c r="M31" t="s">
        <v>308</v>
      </c>
      <c r="N31" t="s">
        <v>310</v>
      </c>
      <c r="O31" t="s">
        <v>328</v>
      </c>
      <c r="P31" t="s">
        <v>358</v>
      </c>
      <c r="Q31" t="s">
        <v>328</v>
      </c>
      <c r="R31" t="s">
        <v>367</v>
      </c>
      <c r="S31" t="s">
        <v>377</v>
      </c>
      <c r="T31">
        <v>12.13</v>
      </c>
    </row>
    <row r="32" spans="1:20" x14ac:dyDescent="0.25">
      <c r="A32" t="s">
        <v>23</v>
      </c>
      <c r="B32" t="s">
        <v>35</v>
      </c>
      <c r="C32" t="s">
        <v>74</v>
      </c>
      <c r="D32" t="s">
        <v>142</v>
      </c>
      <c r="E32" t="s">
        <v>209</v>
      </c>
      <c r="F32" t="s">
        <v>252</v>
      </c>
      <c r="G32" t="s">
        <v>253</v>
      </c>
      <c r="H32" t="s">
        <v>257</v>
      </c>
      <c r="I32" t="s">
        <v>263</v>
      </c>
      <c r="J32" t="s">
        <v>266</v>
      </c>
      <c r="K32" t="s">
        <v>287</v>
      </c>
      <c r="L32" t="s">
        <v>307</v>
      </c>
      <c r="M32" t="s">
        <v>308</v>
      </c>
      <c r="N32" t="s">
        <v>316</v>
      </c>
      <c r="O32" t="s">
        <v>331</v>
      </c>
      <c r="P32" t="s">
        <v>358</v>
      </c>
      <c r="Q32" t="s">
        <v>331</v>
      </c>
      <c r="R32" t="s">
        <v>367</v>
      </c>
      <c r="S32" t="s">
        <v>377</v>
      </c>
      <c r="T32">
        <v>6.22</v>
      </c>
    </row>
    <row r="33" spans="1:20" x14ac:dyDescent="0.25">
      <c r="A33" t="s">
        <v>23</v>
      </c>
      <c r="B33" t="s">
        <v>35</v>
      </c>
      <c r="C33" t="s">
        <v>75</v>
      </c>
      <c r="D33" t="s">
        <v>143</v>
      </c>
      <c r="E33" t="s">
        <v>210</v>
      </c>
      <c r="F33" t="s">
        <v>252</v>
      </c>
      <c r="G33" t="s">
        <v>253</v>
      </c>
      <c r="H33" t="s">
        <v>257</v>
      </c>
      <c r="I33" t="s">
        <v>263</v>
      </c>
      <c r="J33" t="s">
        <v>269</v>
      </c>
      <c r="K33" t="s">
        <v>276</v>
      </c>
      <c r="L33" t="s">
        <v>307</v>
      </c>
      <c r="M33" t="s">
        <v>308</v>
      </c>
      <c r="N33" t="s">
        <v>312</v>
      </c>
      <c r="O33" t="s">
        <v>331</v>
      </c>
      <c r="P33" t="s">
        <v>358</v>
      </c>
      <c r="Q33" t="s">
        <v>331</v>
      </c>
      <c r="R33" t="s">
        <v>367</v>
      </c>
      <c r="S33" t="s">
        <v>377</v>
      </c>
      <c r="T33">
        <v>6.22</v>
      </c>
    </row>
    <row r="34" spans="1:20" x14ac:dyDescent="0.25">
      <c r="A34" t="s">
        <v>23</v>
      </c>
      <c r="B34" t="s">
        <v>35</v>
      </c>
      <c r="C34" t="s">
        <v>76</v>
      </c>
      <c r="D34" t="s">
        <v>144</v>
      </c>
      <c r="E34" t="s">
        <v>211</v>
      </c>
      <c r="F34" t="s">
        <v>252</v>
      </c>
      <c r="G34" t="s">
        <v>253</v>
      </c>
      <c r="H34" t="s">
        <v>257</v>
      </c>
      <c r="I34" t="s">
        <v>263</v>
      </c>
      <c r="J34" t="s">
        <v>266</v>
      </c>
      <c r="K34" t="s">
        <v>288</v>
      </c>
      <c r="L34" t="s">
        <v>307</v>
      </c>
      <c r="M34" t="s">
        <v>308</v>
      </c>
      <c r="N34" t="s">
        <v>310</v>
      </c>
      <c r="O34" t="s">
        <v>328</v>
      </c>
      <c r="P34" t="s">
        <v>358</v>
      </c>
      <c r="Q34" t="s">
        <v>328</v>
      </c>
      <c r="R34" t="s">
        <v>367</v>
      </c>
      <c r="S34" t="s">
        <v>377</v>
      </c>
      <c r="T34">
        <v>12.13</v>
      </c>
    </row>
    <row r="35" spans="1:20" x14ac:dyDescent="0.25">
      <c r="A35" t="s">
        <v>23</v>
      </c>
      <c r="B35" t="s">
        <v>35</v>
      </c>
      <c r="C35" t="s">
        <v>77</v>
      </c>
      <c r="D35" t="s">
        <v>145</v>
      </c>
      <c r="E35" t="s">
        <v>212</v>
      </c>
      <c r="F35" t="s">
        <v>252</v>
      </c>
      <c r="G35" t="s">
        <v>253</v>
      </c>
      <c r="H35" t="s">
        <v>257</v>
      </c>
      <c r="I35" t="s">
        <v>263</v>
      </c>
      <c r="J35" t="s">
        <v>266</v>
      </c>
      <c r="K35" t="s">
        <v>289</v>
      </c>
      <c r="L35" t="s">
        <v>307</v>
      </c>
      <c r="M35" t="s">
        <v>308</v>
      </c>
      <c r="N35" t="s">
        <v>310</v>
      </c>
      <c r="O35" t="s">
        <v>331</v>
      </c>
      <c r="P35" t="s">
        <v>358</v>
      </c>
      <c r="Q35" t="s">
        <v>331</v>
      </c>
      <c r="R35" t="s">
        <v>367</v>
      </c>
      <c r="S35" t="s">
        <v>377</v>
      </c>
      <c r="T35">
        <v>6.22</v>
      </c>
    </row>
    <row r="36" spans="1:20" x14ac:dyDescent="0.25">
      <c r="A36" t="s">
        <v>23</v>
      </c>
      <c r="B36" t="s">
        <v>35</v>
      </c>
      <c r="C36" t="s">
        <v>78</v>
      </c>
      <c r="D36" t="s">
        <v>131</v>
      </c>
      <c r="E36" t="s">
        <v>213</v>
      </c>
      <c r="F36" t="s">
        <v>250</v>
      </c>
      <c r="G36" t="s">
        <v>254</v>
      </c>
      <c r="H36" t="s">
        <v>257</v>
      </c>
      <c r="I36" t="s">
        <v>263</v>
      </c>
      <c r="J36" t="s">
        <v>266</v>
      </c>
      <c r="K36" t="s">
        <v>290</v>
      </c>
      <c r="L36" t="s">
        <v>307</v>
      </c>
      <c r="M36" t="s">
        <v>309</v>
      </c>
      <c r="N36" t="s">
        <v>319</v>
      </c>
      <c r="O36" t="s">
        <v>334</v>
      </c>
      <c r="P36" t="s">
        <v>358</v>
      </c>
      <c r="Q36" t="s">
        <v>362</v>
      </c>
      <c r="R36" t="s">
        <v>367</v>
      </c>
      <c r="S36" t="s">
        <v>379</v>
      </c>
      <c r="T36">
        <v>5.84</v>
      </c>
    </row>
    <row r="37" spans="1:20" x14ac:dyDescent="0.25">
      <c r="A37" t="s">
        <v>23</v>
      </c>
      <c r="B37" t="s">
        <v>35</v>
      </c>
      <c r="C37" t="s">
        <v>79</v>
      </c>
      <c r="D37" t="s">
        <v>146</v>
      </c>
      <c r="E37" t="s">
        <v>214</v>
      </c>
      <c r="F37" t="s">
        <v>252</v>
      </c>
      <c r="G37" t="s">
        <v>253</v>
      </c>
      <c r="H37" t="s">
        <v>257</v>
      </c>
      <c r="I37" t="s">
        <v>263</v>
      </c>
      <c r="J37" t="s">
        <v>266</v>
      </c>
      <c r="K37" t="s">
        <v>277</v>
      </c>
      <c r="L37" t="s">
        <v>307</v>
      </c>
      <c r="M37" t="s">
        <v>308</v>
      </c>
      <c r="N37" t="s">
        <v>317</v>
      </c>
      <c r="O37" t="s">
        <v>320</v>
      </c>
      <c r="P37" t="s">
        <v>358</v>
      </c>
      <c r="Q37" t="s">
        <v>320</v>
      </c>
      <c r="R37" t="s">
        <v>367</v>
      </c>
      <c r="S37" t="s">
        <v>377</v>
      </c>
      <c r="T37">
        <v>5.37</v>
      </c>
    </row>
    <row r="38" spans="1:20" x14ac:dyDescent="0.25">
      <c r="A38" t="s">
        <v>23</v>
      </c>
      <c r="B38" t="s">
        <v>35</v>
      </c>
      <c r="C38" t="s">
        <v>80</v>
      </c>
      <c r="D38" t="s">
        <v>147</v>
      </c>
      <c r="E38" t="s">
        <v>215</v>
      </c>
      <c r="F38" t="s">
        <v>252</v>
      </c>
      <c r="G38" t="s">
        <v>253</v>
      </c>
      <c r="H38" t="s">
        <v>257</v>
      </c>
      <c r="I38" t="s">
        <v>263</v>
      </c>
      <c r="J38" t="s">
        <v>266</v>
      </c>
      <c r="K38" t="s">
        <v>291</v>
      </c>
      <c r="L38" t="s">
        <v>307</v>
      </c>
      <c r="M38" t="s">
        <v>308</v>
      </c>
      <c r="N38" t="s">
        <v>315</v>
      </c>
      <c r="O38" t="s">
        <v>335</v>
      </c>
      <c r="P38" t="s">
        <v>358</v>
      </c>
      <c r="Q38" t="s">
        <v>335</v>
      </c>
      <c r="R38" t="s">
        <v>367</v>
      </c>
      <c r="S38" t="s">
        <v>377</v>
      </c>
      <c r="T38">
        <v>10.74</v>
      </c>
    </row>
    <row r="39" spans="1:20" x14ac:dyDescent="0.25">
      <c r="A39" t="s">
        <v>23</v>
      </c>
      <c r="B39" t="s">
        <v>35</v>
      </c>
      <c r="C39" t="s">
        <v>81</v>
      </c>
      <c r="D39" t="s">
        <v>148</v>
      </c>
      <c r="E39" t="s">
        <v>216</v>
      </c>
      <c r="F39" t="s">
        <v>252</v>
      </c>
      <c r="G39" t="s">
        <v>253</v>
      </c>
      <c r="H39" t="s">
        <v>257</v>
      </c>
      <c r="I39" t="s">
        <v>263</v>
      </c>
      <c r="J39" t="s">
        <v>266</v>
      </c>
      <c r="K39" t="s">
        <v>292</v>
      </c>
      <c r="L39" t="s">
        <v>307</v>
      </c>
      <c r="M39" t="s">
        <v>308</v>
      </c>
      <c r="N39" t="s">
        <v>315</v>
      </c>
      <c r="O39" t="s">
        <v>328</v>
      </c>
      <c r="P39" t="s">
        <v>358</v>
      </c>
      <c r="Q39" t="s">
        <v>328</v>
      </c>
      <c r="R39" t="s">
        <v>367</v>
      </c>
      <c r="S39" t="s">
        <v>377</v>
      </c>
      <c r="T39">
        <v>12.13</v>
      </c>
    </row>
    <row r="40" spans="1:20" x14ac:dyDescent="0.25">
      <c r="A40" t="s">
        <v>23</v>
      </c>
      <c r="B40" t="s">
        <v>35</v>
      </c>
      <c r="C40" t="s">
        <v>82</v>
      </c>
      <c r="D40" t="s">
        <v>149</v>
      </c>
      <c r="E40" t="s">
        <v>217</v>
      </c>
      <c r="F40" t="s">
        <v>252</v>
      </c>
      <c r="G40" t="s">
        <v>253</v>
      </c>
      <c r="H40" t="s">
        <v>257</v>
      </c>
      <c r="I40" t="s">
        <v>263</v>
      </c>
      <c r="J40" t="s">
        <v>266</v>
      </c>
      <c r="K40" t="s">
        <v>292</v>
      </c>
      <c r="L40" t="s">
        <v>307</v>
      </c>
      <c r="M40" t="s">
        <v>308</v>
      </c>
      <c r="N40" t="s">
        <v>310</v>
      </c>
      <c r="O40" t="s">
        <v>336</v>
      </c>
      <c r="P40" t="s">
        <v>358</v>
      </c>
      <c r="Q40" t="s">
        <v>336</v>
      </c>
      <c r="R40" t="s">
        <v>367</v>
      </c>
      <c r="S40" t="s">
        <v>377</v>
      </c>
      <c r="T40">
        <v>12.41</v>
      </c>
    </row>
    <row r="41" spans="1:20" x14ac:dyDescent="0.25">
      <c r="A41" t="s">
        <v>23</v>
      </c>
      <c r="B41" t="s">
        <v>35</v>
      </c>
      <c r="C41" t="s">
        <v>83</v>
      </c>
      <c r="D41" t="s">
        <v>150</v>
      </c>
      <c r="E41" t="s">
        <v>213</v>
      </c>
      <c r="F41" t="s">
        <v>250</v>
      </c>
      <c r="G41" t="s">
        <v>254</v>
      </c>
      <c r="H41" t="s">
        <v>257</v>
      </c>
      <c r="I41" t="s">
        <v>263</v>
      </c>
      <c r="J41" t="s">
        <v>266</v>
      </c>
      <c r="K41" t="s">
        <v>293</v>
      </c>
      <c r="L41" t="s">
        <v>307</v>
      </c>
      <c r="M41" t="s">
        <v>309</v>
      </c>
      <c r="N41" t="s">
        <v>319</v>
      </c>
      <c r="O41" t="s">
        <v>337</v>
      </c>
      <c r="P41" t="s">
        <v>358</v>
      </c>
      <c r="Q41" t="s">
        <v>363</v>
      </c>
      <c r="R41" t="s">
        <v>367</v>
      </c>
      <c r="S41" t="s">
        <v>379</v>
      </c>
      <c r="T41">
        <v>6.67</v>
      </c>
    </row>
    <row r="42" spans="1:20" x14ac:dyDescent="0.25">
      <c r="A42" t="s">
        <v>23</v>
      </c>
      <c r="B42" t="s">
        <v>35</v>
      </c>
      <c r="C42" t="s">
        <v>84</v>
      </c>
      <c r="D42" t="s">
        <v>151</v>
      </c>
      <c r="E42" t="s">
        <v>218</v>
      </c>
      <c r="F42" t="s">
        <v>252</v>
      </c>
      <c r="G42" t="s">
        <v>253</v>
      </c>
      <c r="H42" t="s">
        <v>257</v>
      </c>
      <c r="I42" t="s">
        <v>263</v>
      </c>
      <c r="J42" t="s">
        <v>266</v>
      </c>
      <c r="K42" t="s">
        <v>279</v>
      </c>
      <c r="L42" t="s">
        <v>307</v>
      </c>
      <c r="M42" t="s">
        <v>308</v>
      </c>
      <c r="N42" t="s">
        <v>311</v>
      </c>
      <c r="O42" t="s">
        <v>338</v>
      </c>
      <c r="P42" t="s">
        <v>358</v>
      </c>
      <c r="Q42" t="s">
        <v>338</v>
      </c>
      <c r="R42" t="s">
        <v>367</v>
      </c>
      <c r="S42" t="s">
        <v>377</v>
      </c>
      <c r="T42">
        <v>6.17</v>
      </c>
    </row>
    <row r="43" spans="1:20" x14ac:dyDescent="0.25">
      <c r="A43" t="s">
        <v>23</v>
      </c>
      <c r="B43" t="s">
        <v>35</v>
      </c>
      <c r="C43" t="s">
        <v>85</v>
      </c>
      <c r="D43" t="s">
        <v>134</v>
      </c>
      <c r="E43" t="s">
        <v>219</v>
      </c>
      <c r="F43" t="s">
        <v>250</v>
      </c>
      <c r="G43" t="s">
        <v>254</v>
      </c>
      <c r="H43" t="s">
        <v>257</v>
      </c>
      <c r="I43" t="s">
        <v>263</v>
      </c>
      <c r="J43" t="s">
        <v>266</v>
      </c>
      <c r="K43" t="s">
        <v>273</v>
      </c>
      <c r="L43" t="s">
        <v>307</v>
      </c>
      <c r="M43" t="s">
        <v>308</v>
      </c>
      <c r="N43" t="s">
        <v>317</v>
      </c>
      <c r="O43" t="s">
        <v>339</v>
      </c>
      <c r="P43" t="s">
        <v>358</v>
      </c>
      <c r="Q43" t="s">
        <v>339</v>
      </c>
      <c r="R43" t="s">
        <v>367</v>
      </c>
      <c r="S43" t="s">
        <v>378</v>
      </c>
      <c r="T43">
        <v>3.37</v>
      </c>
    </row>
    <row r="44" spans="1:20" x14ac:dyDescent="0.25">
      <c r="A44" t="s">
        <v>23</v>
      </c>
      <c r="B44" t="s">
        <v>35</v>
      </c>
      <c r="C44" t="s">
        <v>86</v>
      </c>
      <c r="D44" t="s">
        <v>152</v>
      </c>
      <c r="E44" t="s">
        <v>220</v>
      </c>
      <c r="F44" t="s">
        <v>252</v>
      </c>
      <c r="G44" t="s">
        <v>253</v>
      </c>
      <c r="H44" t="s">
        <v>257</v>
      </c>
      <c r="I44" t="s">
        <v>263</v>
      </c>
      <c r="J44" t="s">
        <v>266</v>
      </c>
      <c r="K44" t="s">
        <v>294</v>
      </c>
      <c r="L44" t="s">
        <v>307</v>
      </c>
      <c r="M44" t="s">
        <v>308</v>
      </c>
      <c r="N44" t="s">
        <v>315</v>
      </c>
      <c r="O44" t="s">
        <v>329</v>
      </c>
      <c r="P44" t="s">
        <v>358</v>
      </c>
      <c r="Q44" t="s">
        <v>329</v>
      </c>
      <c r="R44" t="s">
        <v>367</v>
      </c>
      <c r="S44" t="s">
        <v>377</v>
      </c>
      <c r="T44">
        <v>19.579999999999998</v>
      </c>
    </row>
    <row r="45" spans="1:20" x14ac:dyDescent="0.25">
      <c r="A45" t="s">
        <v>23</v>
      </c>
      <c r="B45" t="s">
        <v>35</v>
      </c>
      <c r="C45" t="s">
        <v>87</v>
      </c>
      <c r="D45" t="s">
        <v>153</v>
      </c>
      <c r="E45" t="s">
        <v>221</v>
      </c>
      <c r="F45" t="s">
        <v>252</v>
      </c>
      <c r="G45" t="s">
        <v>253</v>
      </c>
      <c r="H45" t="s">
        <v>257</v>
      </c>
      <c r="I45" t="s">
        <v>263</v>
      </c>
      <c r="J45" t="s">
        <v>266</v>
      </c>
      <c r="K45" t="s">
        <v>272</v>
      </c>
      <c r="L45" t="s">
        <v>307</v>
      </c>
      <c r="M45" t="s">
        <v>308</v>
      </c>
      <c r="N45" t="s">
        <v>316</v>
      </c>
      <c r="O45" t="s">
        <v>331</v>
      </c>
      <c r="P45" t="s">
        <v>358</v>
      </c>
      <c r="Q45" t="s">
        <v>331</v>
      </c>
      <c r="R45" t="s">
        <v>367</v>
      </c>
      <c r="S45" t="s">
        <v>377</v>
      </c>
      <c r="T45">
        <v>6.22</v>
      </c>
    </row>
    <row r="46" spans="1:20" x14ac:dyDescent="0.25">
      <c r="A46" t="s">
        <v>23</v>
      </c>
      <c r="B46" t="s">
        <v>35</v>
      </c>
      <c r="C46" t="s">
        <v>88</v>
      </c>
      <c r="D46" t="s">
        <v>154</v>
      </c>
      <c r="E46" t="s">
        <v>222</v>
      </c>
      <c r="F46" t="s">
        <v>252</v>
      </c>
      <c r="G46" t="s">
        <v>253</v>
      </c>
      <c r="H46" t="s">
        <v>257</v>
      </c>
      <c r="I46" t="s">
        <v>263</v>
      </c>
      <c r="J46" t="s">
        <v>266</v>
      </c>
      <c r="K46" t="s">
        <v>295</v>
      </c>
      <c r="L46" t="s">
        <v>307</v>
      </c>
      <c r="M46" t="s">
        <v>308</v>
      </c>
      <c r="N46" t="s">
        <v>310</v>
      </c>
      <c r="O46" t="s">
        <v>331</v>
      </c>
      <c r="P46" t="s">
        <v>358</v>
      </c>
      <c r="Q46" t="s">
        <v>331</v>
      </c>
      <c r="R46" t="s">
        <v>367</v>
      </c>
      <c r="S46" t="s">
        <v>377</v>
      </c>
      <c r="T46">
        <v>6.22</v>
      </c>
    </row>
    <row r="47" spans="1:20" x14ac:dyDescent="0.25">
      <c r="A47" t="s">
        <v>23</v>
      </c>
      <c r="B47" t="s">
        <v>35</v>
      </c>
      <c r="C47" t="s">
        <v>89</v>
      </c>
      <c r="D47" t="s">
        <v>155</v>
      </c>
      <c r="E47" t="s">
        <v>223</v>
      </c>
      <c r="F47" t="s">
        <v>252</v>
      </c>
      <c r="G47" t="s">
        <v>253</v>
      </c>
      <c r="H47" t="s">
        <v>257</v>
      </c>
      <c r="I47" t="s">
        <v>263</v>
      </c>
      <c r="J47" t="s">
        <v>266</v>
      </c>
      <c r="K47" t="s">
        <v>281</v>
      </c>
      <c r="L47" t="s">
        <v>307</v>
      </c>
      <c r="M47" t="s">
        <v>308</v>
      </c>
      <c r="N47" t="s">
        <v>315</v>
      </c>
      <c r="O47" t="s">
        <v>328</v>
      </c>
      <c r="P47" t="s">
        <v>358</v>
      </c>
      <c r="Q47" t="s">
        <v>328</v>
      </c>
      <c r="R47" t="s">
        <v>367</v>
      </c>
      <c r="S47" t="s">
        <v>377</v>
      </c>
      <c r="T47">
        <v>12.13</v>
      </c>
    </row>
    <row r="48" spans="1:20" x14ac:dyDescent="0.25">
      <c r="A48" t="s">
        <v>24</v>
      </c>
      <c r="B48" t="s">
        <v>36</v>
      </c>
      <c r="C48" t="s">
        <v>90</v>
      </c>
      <c r="D48" t="s">
        <v>156</v>
      </c>
      <c r="E48" t="s">
        <v>224</v>
      </c>
      <c r="F48" t="s">
        <v>250</v>
      </c>
      <c r="G48" t="s">
        <v>254</v>
      </c>
      <c r="H48" t="s">
        <v>258</v>
      </c>
      <c r="I48" t="s">
        <v>263</v>
      </c>
      <c r="J48" t="s">
        <v>266</v>
      </c>
      <c r="K48" t="s">
        <v>296</v>
      </c>
      <c r="L48" t="s">
        <v>307</v>
      </c>
      <c r="M48" t="s">
        <v>309</v>
      </c>
      <c r="N48" t="s">
        <v>315</v>
      </c>
      <c r="O48" t="s">
        <v>340</v>
      </c>
      <c r="P48" t="s">
        <v>358</v>
      </c>
      <c r="Q48" t="s">
        <v>340</v>
      </c>
      <c r="R48" t="s">
        <v>367</v>
      </c>
      <c r="S48" t="s">
        <v>379</v>
      </c>
      <c r="T48">
        <v>9.2899999999999991</v>
      </c>
    </row>
    <row r="49" spans="1:20" x14ac:dyDescent="0.25">
      <c r="A49" t="s">
        <v>24</v>
      </c>
      <c r="B49" t="s">
        <v>36</v>
      </c>
      <c r="C49" t="s">
        <v>91</v>
      </c>
      <c r="D49" t="s">
        <v>157</v>
      </c>
      <c r="E49" t="s">
        <v>225</v>
      </c>
      <c r="F49" t="s">
        <v>250</v>
      </c>
      <c r="G49" t="s">
        <v>254</v>
      </c>
      <c r="H49" t="s">
        <v>258</v>
      </c>
      <c r="I49" t="s">
        <v>263</v>
      </c>
      <c r="J49" t="s">
        <v>266</v>
      </c>
      <c r="K49" t="s">
        <v>297</v>
      </c>
      <c r="L49" t="s">
        <v>307</v>
      </c>
      <c r="M49" t="s">
        <v>308</v>
      </c>
      <c r="N49" t="s">
        <v>318</v>
      </c>
      <c r="O49" t="s">
        <v>341</v>
      </c>
      <c r="P49" t="s">
        <v>358</v>
      </c>
      <c r="Q49" t="s">
        <v>341</v>
      </c>
      <c r="R49" t="s">
        <v>367</v>
      </c>
      <c r="S49" t="s">
        <v>378</v>
      </c>
      <c r="T49">
        <v>4.84</v>
      </c>
    </row>
    <row r="50" spans="1:20" x14ac:dyDescent="0.25">
      <c r="A50" t="s">
        <v>24</v>
      </c>
      <c r="B50" t="s">
        <v>36</v>
      </c>
      <c r="C50" t="s">
        <v>92</v>
      </c>
      <c r="D50" t="s">
        <v>158</v>
      </c>
      <c r="E50" t="s">
        <v>226</v>
      </c>
      <c r="F50" t="s">
        <v>250</v>
      </c>
      <c r="G50" t="s">
        <v>254</v>
      </c>
      <c r="H50" t="s">
        <v>258</v>
      </c>
      <c r="I50" t="s">
        <v>263</v>
      </c>
      <c r="J50" t="s">
        <v>266</v>
      </c>
      <c r="K50" t="s">
        <v>298</v>
      </c>
      <c r="L50" t="s">
        <v>307</v>
      </c>
      <c r="M50" t="s">
        <v>309</v>
      </c>
      <c r="N50" t="s">
        <v>318</v>
      </c>
      <c r="O50" t="s">
        <v>342</v>
      </c>
      <c r="P50" t="s">
        <v>358</v>
      </c>
      <c r="Q50" t="s">
        <v>342</v>
      </c>
      <c r="R50" t="s">
        <v>367</v>
      </c>
      <c r="S50" t="s">
        <v>380</v>
      </c>
      <c r="T50">
        <v>1.51</v>
      </c>
    </row>
    <row r="51" spans="1:20" x14ac:dyDescent="0.25">
      <c r="A51" t="s">
        <v>24</v>
      </c>
      <c r="B51" t="s">
        <v>36</v>
      </c>
      <c r="C51" t="s">
        <v>93</v>
      </c>
      <c r="D51" t="s">
        <v>159</v>
      </c>
      <c r="E51" t="s">
        <v>225</v>
      </c>
      <c r="F51" t="s">
        <v>250</v>
      </c>
      <c r="G51" t="s">
        <v>254</v>
      </c>
      <c r="H51" t="s">
        <v>258</v>
      </c>
      <c r="I51" t="s">
        <v>263</v>
      </c>
      <c r="J51" t="s">
        <v>266</v>
      </c>
      <c r="K51" t="s">
        <v>297</v>
      </c>
      <c r="L51" t="s">
        <v>307</v>
      </c>
      <c r="M51" t="s">
        <v>308</v>
      </c>
      <c r="N51" t="s">
        <v>318</v>
      </c>
      <c r="O51" t="s">
        <v>343</v>
      </c>
      <c r="P51" t="s">
        <v>358</v>
      </c>
      <c r="Q51" t="s">
        <v>343</v>
      </c>
      <c r="R51" t="s">
        <v>367</v>
      </c>
      <c r="S51" t="s">
        <v>378</v>
      </c>
      <c r="T51">
        <v>5.34</v>
      </c>
    </row>
    <row r="52" spans="1:20" x14ac:dyDescent="0.25">
      <c r="A52" t="s">
        <v>24</v>
      </c>
      <c r="B52" t="s">
        <v>36</v>
      </c>
      <c r="C52" t="s">
        <v>94</v>
      </c>
      <c r="D52" t="s">
        <v>160</v>
      </c>
      <c r="E52" t="s">
        <v>227</v>
      </c>
      <c r="F52" t="s">
        <v>250</v>
      </c>
      <c r="G52" t="s">
        <v>254</v>
      </c>
      <c r="H52" t="s">
        <v>259</v>
      </c>
      <c r="I52" t="s">
        <v>263</v>
      </c>
      <c r="J52" t="s">
        <v>266</v>
      </c>
      <c r="K52" t="s">
        <v>273</v>
      </c>
      <c r="L52" t="s">
        <v>307</v>
      </c>
      <c r="M52" t="s">
        <v>308</v>
      </c>
      <c r="N52" t="s">
        <v>311</v>
      </c>
      <c r="O52" t="s">
        <v>344</v>
      </c>
      <c r="P52" t="s">
        <v>358</v>
      </c>
      <c r="Q52" t="s">
        <v>344</v>
      </c>
      <c r="R52" t="s">
        <v>367</v>
      </c>
      <c r="S52" t="s">
        <v>378</v>
      </c>
      <c r="T52">
        <v>4.95</v>
      </c>
    </row>
    <row r="53" spans="1:20" x14ac:dyDescent="0.25">
      <c r="A53" t="s">
        <v>24</v>
      </c>
      <c r="B53" t="s">
        <v>36</v>
      </c>
      <c r="C53" t="s">
        <v>95</v>
      </c>
      <c r="D53" t="s">
        <v>161</v>
      </c>
      <c r="E53" t="s">
        <v>228</v>
      </c>
      <c r="F53" t="s">
        <v>250</v>
      </c>
      <c r="G53" t="s">
        <v>254</v>
      </c>
      <c r="H53" t="s">
        <v>258</v>
      </c>
      <c r="I53" t="s">
        <v>263</v>
      </c>
      <c r="J53" t="s">
        <v>266</v>
      </c>
      <c r="K53" t="s">
        <v>273</v>
      </c>
      <c r="L53" t="s">
        <v>307</v>
      </c>
      <c r="M53" t="s">
        <v>308</v>
      </c>
      <c r="N53" t="s">
        <v>318</v>
      </c>
      <c r="O53" t="s">
        <v>345</v>
      </c>
      <c r="P53" t="s">
        <v>358</v>
      </c>
      <c r="Q53" t="s">
        <v>345</v>
      </c>
      <c r="R53" t="s">
        <v>367</v>
      </c>
      <c r="S53" t="s">
        <v>378</v>
      </c>
      <c r="T53">
        <v>4.2300000000000004</v>
      </c>
    </row>
    <row r="54" spans="1:20" x14ac:dyDescent="0.25">
      <c r="A54" t="s">
        <v>24</v>
      </c>
      <c r="B54" t="s">
        <v>36</v>
      </c>
      <c r="C54" t="s">
        <v>96</v>
      </c>
      <c r="D54" t="s">
        <v>162</v>
      </c>
      <c r="E54" t="s">
        <v>229</v>
      </c>
      <c r="F54" t="s">
        <v>250</v>
      </c>
      <c r="G54" t="s">
        <v>254</v>
      </c>
      <c r="H54" t="s">
        <v>258</v>
      </c>
      <c r="I54" t="s">
        <v>263</v>
      </c>
      <c r="J54" t="s">
        <v>266</v>
      </c>
      <c r="K54" t="s">
        <v>294</v>
      </c>
      <c r="L54" t="s">
        <v>307</v>
      </c>
      <c r="M54" t="s">
        <v>308</v>
      </c>
      <c r="N54" t="s">
        <v>310</v>
      </c>
      <c r="O54" t="s">
        <v>346</v>
      </c>
      <c r="P54" t="s">
        <v>358</v>
      </c>
      <c r="Q54" t="s">
        <v>348</v>
      </c>
      <c r="R54" t="s">
        <v>367</v>
      </c>
      <c r="S54" t="s">
        <v>380</v>
      </c>
      <c r="T54">
        <v>1.34</v>
      </c>
    </row>
    <row r="55" spans="1:20" x14ac:dyDescent="0.25">
      <c r="A55" t="s">
        <v>24</v>
      </c>
      <c r="B55" t="s">
        <v>36</v>
      </c>
      <c r="C55" t="s">
        <v>97</v>
      </c>
      <c r="D55" t="s">
        <v>163</v>
      </c>
      <c r="E55" t="s">
        <v>230</v>
      </c>
      <c r="F55" t="s">
        <v>252</v>
      </c>
      <c r="G55" t="s">
        <v>253</v>
      </c>
      <c r="H55" t="s">
        <v>258</v>
      </c>
      <c r="I55" t="s">
        <v>263</v>
      </c>
      <c r="J55" t="s">
        <v>266</v>
      </c>
      <c r="K55" t="s">
        <v>280</v>
      </c>
      <c r="L55" t="s">
        <v>307</v>
      </c>
      <c r="M55" t="s">
        <v>308</v>
      </c>
      <c r="N55" t="s">
        <v>318</v>
      </c>
      <c r="O55" t="s">
        <v>330</v>
      </c>
      <c r="P55" t="s">
        <v>358</v>
      </c>
      <c r="Q55" t="s">
        <v>330</v>
      </c>
      <c r="R55" t="s">
        <v>367</v>
      </c>
      <c r="S55" t="s">
        <v>377</v>
      </c>
      <c r="T55">
        <v>5.31</v>
      </c>
    </row>
    <row r="56" spans="1:20" x14ac:dyDescent="0.25">
      <c r="A56" t="s">
        <v>24</v>
      </c>
      <c r="B56" t="s">
        <v>36</v>
      </c>
      <c r="C56" t="s">
        <v>98</v>
      </c>
      <c r="D56" t="s">
        <v>164</v>
      </c>
      <c r="E56" t="s">
        <v>231</v>
      </c>
      <c r="F56" t="s">
        <v>250</v>
      </c>
      <c r="G56" t="s">
        <v>254</v>
      </c>
      <c r="H56" t="s">
        <v>258</v>
      </c>
      <c r="I56" t="s">
        <v>263</v>
      </c>
      <c r="J56" t="s">
        <v>266</v>
      </c>
      <c r="K56" t="s">
        <v>273</v>
      </c>
      <c r="L56" t="s">
        <v>307</v>
      </c>
      <c r="M56" t="s">
        <v>308</v>
      </c>
      <c r="N56" t="s">
        <v>315</v>
      </c>
      <c r="O56" t="s">
        <v>347</v>
      </c>
      <c r="P56" t="s">
        <v>358</v>
      </c>
      <c r="Q56" t="s">
        <v>347</v>
      </c>
      <c r="R56" t="s">
        <v>367</v>
      </c>
      <c r="S56" t="s">
        <v>378</v>
      </c>
      <c r="T56">
        <v>4.5</v>
      </c>
    </row>
    <row r="57" spans="1:20" x14ac:dyDescent="0.25">
      <c r="A57" t="s">
        <v>24</v>
      </c>
      <c r="B57" t="s">
        <v>36</v>
      </c>
      <c r="C57" t="s">
        <v>99</v>
      </c>
      <c r="D57" t="s">
        <v>165</v>
      </c>
      <c r="E57" t="s">
        <v>232</v>
      </c>
      <c r="F57" t="s">
        <v>252</v>
      </c>
      <c r="G57" t="s">
        <v>253</v>
      </c>
      <c r="H57" t="s">
        <v>258</v>
      </c>
      <c r="I57" t="s">
        <v>263</v>
      </c>
      <c r="J57" t="s">
        <v>266</v>
      </c>
      <c r="K57" t="s">
        <v>299</v>
      </c>
      <c r="L57" t="s">
        <v>307</v>
      </c>
      <c r="M57" t="s">
        <v>308</v>
      </c>
      <c r="N57" t="s">
        <v>313</v>
      </c>
      <c r="O57" t="s">
        <v>320</v>
      </c>
      <c r="P57" t="s">
        <v>358</v>
      </c>
      <c r="Q57" t="s">
        <v>320</v>
      </c>
      <c r="R57" t="s">
        <v>367</v>
      </c>
      <c r="S57" t="s">
        <v>377</v>
      </c>
      <c r="T57">
        <v>5.37</v>
      </c>
    </row>
    <row r="58" spans="1:20" x14ac:dyDescent="0.25">
      <c r="A58" t="s">
        <v>24</v>
      </c>
      <c r="B58" t="s">
        <v>36</v>
      </c>
      <c r="C58" t="s">
        <v>100</v>
      </c>
      <c r="D58" t="s">
        <v>166</v>
      </c>
      <c r="E58" t="s">
        <v>233</v>
      </c>
      <c r="F58" t="s">
        <v>250</v>
      </c>
      <c r="G58" t="s">
        <v>254</v>
      </c>
      <c r="H58" t="s">
        <v>258</v>
      </c>
      <c r="I58" t="s">
        <v>263</v>
      </c>
      <c r="J58" t="s">
        <v>266</v>
      </c>
      <c r="K58" t="s">
        <v>273</v>
      </c>
      <c r="L58" t="s">
        <v>307</v>
      </c>
      <c r="M58" t="s">
        <v>308</v>
      </c>
      <c r="N58" t="s">
        <v>311</v>
      </c>
      <c r="O58" t="s">
        <v>348</v>
      </c>
      <c r="P58" t="s">
        <v>358</v>
      </c>
      <c r="Q58" t="s">
        <v>348</v>
      </c>
      <c r="R58" t="s">
        <v>367</v>
      </c>
      <c r="S58" t="s">
        <v>378</v>
      </c>
      <c r="T58">
        <v>4.68</v>
      </c>
    </row>
    <row r="59" spans="1:20" x14ac:dyDescent="0.25">
      <c r="A59" t="s">
        <v>24</v>
      </c>
      <c r="B59" t="s">
        <v>36</v>
      </c>
      <c r="C59" t="s">
        <v>101</v>
      </c>
      <c r="D59" t="s">
        <v>167</v>
      </c>
      <c r="E59" t="s">
        <v>231</v>
      </c>
      <c r="F59" t="s">
        <v>250</v>
      </c>
      <c r="G59" t="s">
        <v>254</v>
      </c>
      <c r="H59" t="s">
        <v>258</v>
      </c>
      <c r="I59" t="s">
        <v>263</v>
      </c>
      <c r="J59" t="s">
        <v>266</v>
      </c>
      <c r="K59" t="s">
        <v>273</v>
      </c>
      <c r="L59" t="s">
        <v>307</v>
      </c>
      <c r="M59" t="s">
        <v>308</v>
      </c>
      <c r="N59" t="s">
        <v>318</v>
      </c>
      <c r="O59" t="s">
        <v>349</v>
      </c>
      <c r="P59" t="s">
        <v>358</v>
      </c>
      <c r="Q59" t="s">
        <v>349</v>
      </c>
      <c r="R59" t="s">
        <v>367</v>
      </c>
      <c r="S59" t="s">
        <v>378</v>
      </c>
      <c r="T59">
        <v>4.9400000000000004</v>
      </c>
    </row>
    <row r="60" spans="1:20" x14ac:dyDescent="0.25">
      <c r="A60" t="s">
        <v>25</v>
      </c>
      <c r="B60" t="s">
        <v>37</v>
      </c>
      <c r="C60" t="s">
        <v>102</v>
      </c>
      <c r="D60" t="s">
        <v>168</v>
      </c>
      <c r="E60" t="s">
        <v>234</v>
      </c>
      <c r="F60" t="s">
        <v>252</v>
      </c>
      <c r="G60" t="s">
        <v>253</v>
      </c>
      <c r="H60" t="s">
        <v>260</v>
      </c>
      <c r="I60" t="s">
        <v>263</v>
      </c>
      <c r="J60" t="s">
        <v>266</v>
      </c>
      <c r="K60" t="s">
        <v>285</v>
      </c>
      <c r="L60" t="s">
        <v>307</v>
      </c>
      <c r="M60" t="s">
        <v>308</v>
      </c>
      <c r="N60" t="s">
        <v>318</v>
      </c>
      <c r="O60" t="s">
        <v>330</v>
      </c>
      <c r="P60" t="s">
        <v>358</v>
      </c>
      <c r="Q60" t="s">
        <v>330</v>
      </c>
      <c r="R60" t="s">
        <v>367</v>
      </c>
      <c r="S60" t="s">
        <v>377</v>
      </c>
      <c r="T60">
        <v>5.31</v>
      </c>
    </row>
    <row r="61" spans="1:20" x14ac:dyDescent="0.25">
      <c r="A61" t="s">
        <v>25</v>
      </c>
      <c r="B61" t="s">
        <v>37</v>
      </c>
      <c r="C61" t="s">
        <v>103</v>
      </c>
      <c r="D61" t="s">
        <v>169</v>
      </c>
      <c r="E61" t="s">
        <v>235</v>
      </c>
      <c r="F61" t="s">
        <v>252</v>
      </c>
      <c r="G61" t="s">
        <v>253</v>
      </c>
      <c r="H61" t="s">
        <v>260</v>
      </c>
      <c r="I61" t="s">
        <v>263</v>
      </c>
      <c r="J61" t="s">
        <v>266</v>
      </c>
      <c r="K61" t="s">
        <v>300</v>
      </c>
      <c r="L61" t="s">
        <v>307</v>
      </c>
      <c r="M61" t="s">
        <v>308</v>
      </c>
      <c r="N61" t="s">
        <v>318</v>
      </c>
      <c r="O61" t="s">
        <v>350</v>
      </c>
      <c r="P61" t="s">
        <v>358</v>
      </c>
      <c r="Q61" t="s">
        <v>350</v>
      </c>
      <c r="R61" t="s">
        <v>367</v>
      </c>
      <c r="S61" t="s">
        <v>377</v>
      </c>
      <c r="T61">
        <v>16.73</v>
      </c>
    </row>
    <row r="62" spans="1:20" x14ac:dyDescent="0.25">
      <c r="A62" t="s">
        <v>25</v>
      </c>
      <c r="B62" t="s">
        <v>37</v>
      </c>
      <c r="C62" t="s">
        <v>104</v>
      </c>
      <c r="D62" t="s">
        <v>170</v>
      </c>
      <c r="E62" t="s">
        <v>236</v>
      </c>
      <c r="F62" t="s">
        <v>252</v>
      </c>
      <c r="G62" t="s">
        <v>253</v>
      </c>
      <c r="H62" t="s">
        <v>260</v>
      </c>
      <c r="I62" t="s">
        <v>263</v>
      </c>
      <c r="J62" t="s">
        <v>266</v>
      </c>
      <c r="K62" t="s">
        <v>272</v>
      </c>
      <c r="L62" t="s">
        <v>307</v>
      </c>
      <c r="M62" t="s">
        <v>308</v>
      </c>
      <c r="N62" t="s">
        <v>318</v>
      </c>
      <c r="O62" t="s">
        <v>330</v>
      </c>
      <c r="P62" t="s">
        <v>358</v>
      </c>
      <c r="Q62" t="s">
        <v>330</v>
      </c>
      <c r="R62" t="s">
        <v>367</v>
      </c>
      <c r="S62" t="s">
        <v>377</v>
      </c>
      <c r="T62">
        <v>5.31</v>
      </c>
    </row>
    <row r="63" spans="1:20" x14ac:dyDescent="0.25">
      <c r="A63" t="s">
        <v>25</v>
      </c>
      <c r="B63" t="s">
        <v>37</v>
      </c>
      <c r="C63" t="s">
        <v>105</v>
      </c>
      <c r="D63" t="s">
        <v>117</v>
      </c>
      <c r="E63" t="s">
        <v>237</v>
      </c>
      <c r="F63" t="s">
        <v>252</v>
      </c>
      <c r="G63" t="s">
        <v>253</v>
      </c>
      <c r="H63" t="s">
        <v>260</v>
      </c>
      <c r="I63" t="s">
        <v>263</v>
      </c>
      <c r="J63" t="s">
        <v>266</v>
      </c>
      <c r="K63" t="s">
        <v>301</v>
      </c>
      <c r="L63" t="s">
        <v>307</v>
      </c>
      <c r="M63" t="s">
        <v>308</v>
      </c>
      <c r="N63" t="s">
        <v>318</v>
      </c>
      <c r="O63" t="s">
        <v>351</v>
      </c>
      <c r="P63" t="s">
        <v>358</v>
      </c>
      <c r="Q63" t="s">
        <v>351</v>
      </c>
      <c r="R63" t="s">
        <v>367</v>
      </c>
      <c r="S63" t="s">
        <v>377</v>
      </c>
      <c r="T63">
        <v>17.010000000000002</v>
      </c>
    </row>
    <row r="64" spans="1:20" x14ac:dyDescent="0.25">
      <c r="A64" t="s">
        <v>25</v>
      </c>
      <c r="B64" t="s">
        <v>37</v>
      </c>
      <c r="C64" t="s">
        <v>106</v>
      </c>
      <c r="D64" t="s">
        <v>171</v>
      </c>
      <c r="E64" t="s">
        <v>238</v>
      </c>
      <c r="F64" t="s">
        <v>252</v>
      </c>
      <c r="G64" t="s">
        <v>253</v>
      </c>
      <c r="H64" t="s">
        <v>261</v>
      </c>
      <c r="I64" t="s">
        <v>263</v>
      </c>
      <c r="J64" t="s">
        <v>266</v>
      </c>
      <c r="K64" t="s">
        <v>302</v>
      </c>
      <c r="L64" t="s">
        <v>307</v>
      </c>
      <c r="M64" t="s">
        <v>308</v>
      </c>
      <c r="N64" t="s">
        <v>318</v>
      </c>
      <c r="O64" t="s">
        <v>330</v>
      </c>
      <c r="P64" t="s">
        <v>358</v>
      </c>
      <c r="Q64" t="s">
        <v>330</v>
      </c>
      <c r="R64" t="s">
        <v>367</v>
      </c>
      <c r="S64" t="s">
        <v>377</v>
      </c>
      <c r="T64">
        <v>5.31</v>
      </c>
    </row>
    <row r="65" spans="1:20" x14ac:dyDescent="0.25">
      <c r="A65" t="s">
        <v>26</v>
      </c>
      <c r="B65" t="s">
        <v>38</v>
      </c>
      <c r="C65" t="s">
        <v>107</v>
      </c>
      <c r="D65" t="s">
        <v>172</v>
      </c>
      <c r="E65" t="s">
        <v>239</v>
      </c>
      <c r="F65" t="s">
        <v>249</v>
      </c>
      <c r="G65" t="s">
        <v>253</v>
      </c>
      <c r="H65" t="s">
        <v>255</v>
      </c>
      <c r="I65" t="s">
        <v>263</v>
      </c>
      <c r="J65" t="s">
        <v>270</v>
      </c>
      <c r="K65" t="s">
        <v>303</v>
      </c>
      <c r="L65" t="s">
        <v>307</v>
      </c>
      <c r="M65" t="s">
        <v>308</v>
      </c>
      <c r="N65" t="s">
        <v>314</v>
      </c>
      <c r="O65" t="s">
        <v>352</v>
      </c>
      <c r="P65" t="s">
        <v>358</v>
      </c>
      <c r="Q65" t="s">
        <v>352</v>
      </c>
      <c r="R65" t="s">
        <v>367</v>
      </c>
      <c r="S65" t="s">
        <v>377</v>
      </c>
      <c r="T65">
        <v>10.47</v>
      </c>
    </row>
    <row r="66" spans="1:20" x14ac:dyDescent="0.25">
      <c r="A66" t="s">
        <v>26</v>
      </c>
      <c r="B66" t="s">
        <v>38</v>
      </c>
      <c r="C66" t="s">
        <v>108</v>
      </c>
      <c r="D66" t="s">
        <v>173</v>
      </c>
      <c r="E66" t="s">
        <v>240</v>
      </c>
      <c r="F66" t="s">
        <v>249</v>
      </c>
      <c r="G66" t="s">
        <v>253</v>
      </c>
      <c r="H66" t="s">
        <v>255</v>
      </c>
      <c r="I66" t="s">
        <v>263</v>
      </c>
      <c r="J66" t="s">
        <v>266</v>
      </c>
      <c r="K66" t="s">
        <v>304</v>
      </c>
      <c r="L66" t="s">
        <v>307</v>
      </c>
      <c r="M66" t="s">
        <v>308</v>
      </c>
      <c r="N66" t="s">
        <v>310</v>
      </c>
      <c r="O66" t="s">
        <v>320</v>
      </c>
      <c r="P66" t="s">
        <v>358</v>
      </c>
      <c r="Q66" t="s">
        <v>320</v>
      </c>
      <c r="R66" t="s">
        <v>367</v>
      </c>
      <c r="S66" t="s">
        <v>377</v>
      </c>
      <c r="T66">
        <v>5.37</v>
      </c>
    </row>
    <row r="67" spans="1:20" x14ac:dyDescent="0.25">
      <c r="A67" t="s">
        <v>27</v>
      </c>
      <c r="B67" t="s">
        <v>39</v>
      </c>
      <c r="C67" t="s">
        <v>109</v>
      </c>
      <c r="D67" t="s">
        <v>174</v>
      </c>
      <c r="E67" t="s">
        <v>241</v>
      </c>
      <c r="F67" t="s">
        <v>249</v>
      </c>
      <c r="G67" t="s">
        <v>253</v>
      </c>
      <c r="H67" t="s">
        <v>255</v>
      </c>
      <c r="I67" t="s">
        <v>263</v>
      </c>
      <c r="J67" t="s">
        <v>266</v>
      </c>
      <c r="K67" t="s">
        <v>273</v>
      </c>
      <c r="L67" t="s">
        <v>307</v>
      </c>
      <c r="M67" t="s">
        <v>308</v>
      </c>
      <c r="N67" t="s">
        <v>312</v>
      </c>
      <c r="O67" t="s">
        <v>352</v>
      </c>
      <c r="P67" t="s">
        <v>358</v>
      </c>
      <c r="Q67" t="s">
        <v>352</v>
      </c>
      <c r="R67" t="s">
        <v>367</v>
      </c>
      <c r="S67" t="s">
        <v>377</v>
      </c>
      <c r="T67">
        <v>10.47</v>
      </c>
    </row>
    <row r="68" spans="1:20" x14ac:dyDescent="0.25">
      <c r="A68" t="s">
        <v>28</v>
      </c>
      <c r="B68" t="s">
        <v>40</v>
      </c>
      <c r="C68" t="s">
        <v>110</v>
      </c>
      <c r="D68" t="s">
        <v>175</v>
      </c>
      <c r="E68" t="s">
        <v>242</v>
      </c>
      <c r="F68" t="s">
        <v>252</v>
      </c>
      <c r="G68" t="s">
        <v>253</v>
      </c>
      <c r="H68" t="s">
        <v>262</v>
      </c>
      <c r="I68" t="s">
        <v>263</v>
      </c>
      <c r="J68" t="s">
        <v>266</v>
      </c>
      <c r="K68" t="s">
        <v>292</v>
      </c>
      <c r="L68" t="s">
        <v>307</v>
      </c>
      <c r="M68" t="s">
        <v>308</v>
      </c>
      <c r="N68" t="s">
        <v>312</v>
      </c>
      <c r="O68" t="s">
        <v>320</v>
      </c>
      <c r="P68" t="s">
        <v>358</v>
      </c>
      <c r="Q68" t="s">
        <v>320</v>
      </c>
      <c r="R68" t="s">
        <v>367</v>
      </c>
      <c r="S68" t="s">
        <v>377</v>
      </c>
      <c r="T68">
        <v>5.37</v>
      </c>
    </row>
    <row r="69" spans="1:20" x14ac:dyDescent="0.25">
      <c r="A69" t="s">
        <v>28</v>
      </c>
      <c r="B69" t="s">
        <v>40</v>
      </c>
      <c r="C69" t="s">
        <v>111</v>
      </c>
      <c r="D69" t="s">
        <v>176</v>
      </c>
      <c r="E69" t="s">
        <v>243</v>
      </c>
      <c r="F69" t="s">
        <v>252</v>
      </c>
      <c r="G69" t="s">
        <v>253</v>
      </c>
      <c r="H69" t="s">
        <v>262</v>
      </c>
      <c r="I69" t="s">
        <v>263</v>
      </c>
      <c r="J69" t="s">
        <v>266</v>
      </c>
      <c r="K69" t="s">
        <v>287</v>
      </c>
      <c r="L69" t="s">
        <v>307</v>
      </c>
      <c r="M69" t="s">
        <v>308</v>
      </c>
      <c r="N69" t="s">
        <v>313</v>
      </c>
      <c r="O69" t="s">
        <v>353</v>
      </c>
      <c r="P69" t="s">
        <v>358</v>
      </c>
      <c r="Q69" t="s">
        <v>353</v>
      </c>
      <c r="R69" t="s">
        <v>367</v>
      </c>
      <c r="S69" t="s">
        <v>377</v>
      </c>
      <c r="T69">
        <v>4.53</v>
      </c>
    </row>
    <row r="70" spans="1:20" x14ac:dyDescent="0.25">
      <c r="A70" t="s">
        <v>28</v>
      </c>
      <c r="B70" t="s">
        <v>40</v>
      </c>
      <c r="C70" t="s">
        <v>112</v>
      </c>
      <c r="D70" t="s">
        <v>177</v>
      </c>
      <c r="E70" t="s">
        <v>244</v>
      </c>
      <c r="F70" t="s">
        <v>252</v>
      </c>
      <c r="G70" t="s">
        <v>253</v>
      </c>
      <c r="H70" t="s">
        <v>262</v>
      </c>
      <c r="I70" t="s">
        <v>263</v>
      </c>
      <c r="J70" t="s">
        <v>266</v>
      </c>
      <c r="K70" t="s">
        <v>273</v>
      </c>
      <c r="L70" t="s">
        <v>307</v>
      </c>
      <c r="M70" t="s">
        <v>308</v>
      </c>
      <c r="N70" t="s">
        <v>310</v>
      </c>
      <c r="O70" t="s">
        <v>320</v>
      </c>
      <c r="P70" t="s">
        <v>358</v>
      </c>
      <c r="Q70" t="s">
        <v>320</v>
      </c>
      <c r="R70" t="s">
        <v>367</v>
      </c>
      <c r="S70" t="s">
        <v>377</v>
      </c>
      <c r="T70">
        <v>5.37</v>
      </c>
    </row>
    <row r="71" spans="1:20" x14ac:dyDescent="0.25">
      <c r="A71" t="s">
        <v>29</v>
      </c>
      <c r="B71" t="s">
        <v>41</v>
      </c>
      <c r="C71" t="s">
        <v>113</v>
      </c>
      <c r="D71" t="s">
        <v>178</v>
      </c>
      <c r="E71" t="s">
        <v>245</v>
      </c>
      <c r="F71" t="s">
        <v>250</v>
      </c>
      <c r="G71" t="s">
        <v>254</v>
      </c>
      <c r="H71" t="s">
        <v>257</v>
      </c>
      <c r="I71" t="s">
        <v>263</v>
      </c>
      <c r="J71" t="s">
        <v>266</v>
      </c>
      <c r="K71" t="s">
        <v>305</v>
      </c>
      <c r="L71" t="s">
        <v>307</v>
      </c>
      <c r="M71" t="s">
        <v>309</v>
      </c>
      <c r="N71" t="s">
        <v>314</v>
      </c>
      <c r="O71" t="s">
        <v>354</v>
      </c>
      <c r="P71" t="s">
        <v>358</v>
      </c>
      <c r="Q71" t="s">
        <v>364</v>
      </c>
      <c r="R71" t="s">
        <v>367</v>
      </c>
      <c r="S71" t="s">
        <v>379</v>
      </c>
      <c r="T71">
        <v>6.77</v>
      </c>
    </row>
    <row r="72" spans="1:20" x14ac:dyDescent="0.25">
      <c r="A72" t="s">
        <v>30</v>
      </c>
      <c r="B72" t="s">
        <v>42</v>
      </c>
      <c r="C72" t="s">
        <v>114</v>
      </c>
      <c r="D72" t="s">
        <v>179</v>
      </c>
      <c r="E72" t="s">
        <v>246</v>
      </c>
      <c r="F72" t="s">
        <v>250</v>
      </c>
      <c r="G72" t="s">
        <v>254</v>
      </c>
      <c r="H72" t="s">
        <v>257</v>
      </c>
      <c r="I72" t="s">
        <v>265</v>
      </c>
      <c r="J72" t="s">
        <v>266</v>
      </c>
      <c r="K72" t="s">
        <v>273</v>
      </c>
      <c r="L72" t="s">
        <v>307</v>
      </c>
      <c r="M72" t="s">
        <v>308</v>
      </c>
      <c r="N72" t="s">
        <v>312</v>
      </c>
      <c r="O72" t="s">
        <v>355</v>
      </c>
      <c r="P72" t="s">
        <v>358</v>
      </c>
      <c r="Q72" t="s">
        <v>365</v>
      </c>
      <c r="R72" t="s">
        <v>367</v>
      </c>
      <c r="S72" t="s">
        <v>378</v>
      </c>
      <c r="T72">
        <v>3.27</v>
      </c>
    </row>
    <row r="73" spans="1:20" x14ac:dyDescent="0.25">
      <c r="A73" t="s">
        <v>31</v>
      </c>
      <c r="B73" t="s">
        <v>43</v>
      </c>
      <c r="C73" t="s">
        <v>115</v>
      </c>
      <c r="D73" t="s">
        <v>180</v>
      </c>
      <c r="E73" t="s">
        <v>247</v>
      </c>
      <c r="F73" t="s">
        <v>252</v>
      </c>
      <c r="G73" t="s">
        <v>253</v>
      </c>
      <c r="H73" t="s">
        <v>257</v>
      </c>
      <c r="I73" t="s">
        <v>265</v>
      </c>
      <c r="J73" t="s">
        <v>266</v>
      </c>
      <c r="K73" t="s">
        <v>306</v>
      </c>
      <c r="L73" t="s">
        <v>307</v>
      </c>
      <c r="M73" t="s">
        <v>308</v>
      </c>
      <c r="N73" t="s">
        <v>318</v>
      </c>
      <c r="O73" t="s">
        <v>356</v>
      </c>
      <c r="P73" t="s">
        <v>358</v>
      </c>
      <c r="Q73" t="s">
        <v>356</v>
      </c>
      <c r="R73" t="s">
        <v>367</v>
      </c>
      <c r="S73" t="s">
        <v>377</v>
      </c>
      <c r="T73">
        <v>5.65</v>
      </c>
    </row>
    <row r="74" spans="1:20" x14ac:dyDescent="0.25">
      <c r="A74" t="s">
        <v>32</v>
      </c>
      <c r="B74" t="s">
        <v>44</v>
      </c>
      <c r="C74" t="s">
        <v>116</v>
      </c>
      <c r="D74" t="s">
        <v>181</v>
      </c>
      <c r="E74" t="s">
        <v>248</v>
      </c>
      <c r="F74" t="s">
        <v>251</v>
      </c>
      <c r="G74" t="s">
        <v>254</v>
      </c>
      <c r="H74" t="s">
        <v>255</v>
      </c>
      <c r="I74" t="s">
        <v>263</v>
      </c>
      <c r="J74" t="s">
        <v>271</v>
      </c>
      <c r="K74" t="s">
        <v>297</v>
      </c>
      <c r="L74" t="s">
        <v>307</v>
      </c>
      <c r="M74" t="s">
        <v>309</v>
      </c>
      <c r="N74" t="s">
        <v>310</v>
      </c>
      <c r="O74" t="s">
        <v>357</v>
      </c>
      <c r="P74" t="s">
        <v>358</v>
      </c>
      <c r="Q74" t="s">
        <v>366</v>
      </c>
      <c r="R74" t="s">
        <v>367</v>
      </c>
      <c r="S74" t="s">
        <v>380</v>
      </c>
      <c r="T74">
        <v>1.73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opLeftCell="A50" workbookViewId="0">
      <selection activeCell="A70" sqref="A70"/>
    </sheetView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381</v>
      </c>
    </row>
    <row r="2" spans="1:9" x14ac:dyDescent="0.25">
      <c r="A2" t="s">
        <v>46</v>
      </c>
      <c r="B2" t="s">
        <v>118</v>
      </c>
      <c r="C2" t="s">
        <v>183</v>
      </c>
      <c r="D2" t="s">
        <v>250</v>
      </c>
      <c r="E2" t="s">
        <v>254</v>
      </c>
      <c r="F2" t="s">
        <v>256</v>
      </c>
      <c r="G2" t="s">
        <v>264</v>
      </c>
      <c r="H2" t="s">
        <v>382</v>
      </c>
      <c r="I2">
        <v>-30.19</v>
      </c>
    </row>
    <row r="3" spans="1:9" x14ac:dyDescent="0.25">
      <c r="A3" t="s">
        <v>59</v>
      </c>
      <c r="B3" t="s">
        <v>131</v>
      </c>
      <c r="C3" t="s">
        <v>195</v>
      </c>
      <c r="D3" t="s">
        <v>252</v>
      </c>
      <c r="E3" t="s">
        <v>253</v>
      </c>
      <c r="F3" t="s">
        <v>257</v>
      </c>
      <c r="G3" t="s">
        <v>265</v>
      </c>
      <c r="H3" t="s">
        <v>382</v>
      </c>
      <c r="I3">
        <v>-31.91</v>
      </c>
    </row>
    <row r="4" spans="1:9" x14ac:dyDescent="0.25">
      <c r="A4" t="s">
        <v>114</v>
      </c>
      <c r="B4" t="s">
        <v>179</v>
      </c>
      <c r="C4" t="s">
        <v>246</v>
      </c>
      <c r="D4" t="s">
        <v>250</v>
      </c>
      <c r="E4" t="s">
        <v>254</v>
      </c>
      <c r="F4" t="s">
        <v>257</v>
      </c>
      <c r="G4" t="s">
        <v>265</v>
      </c>
      <c r="H4" t="s">
        <v>382</v>
      </c>
      <c r="I4">
        <v>-24.27</v>
      </c>
    </row>
    <row r="5" spans="1:9" x14ac:dyDescent="0.25">
      <c r="A5" t="s">
        <v>115</v>
      </c>
      <c r="B5" t="s">
        <v>180</v>
      </c>
      <c r="C5" t="s">
        <v>247</v>
      </c>
      <c r="D5" t="s">
        <v>252</v>
      </c>
      <c r="E5" t="s">
        <v>253</v>
      </c>
      <c r="F5" t="s">
        <v>257</v>
      </c>
      <c r="G5" t="s">
        <v>265</v>
      </c>
      <c r="H5" t="s">
        <v>382</v>
      </c>
      <c r="I5">
        <v>-14.88</v>
      </c>
    </row>
    <row r="6" spans="1:9" x14ac:dyDescent="0.25">
      <c r="A6" t="s">
        <v>60</v>
      </c>
      <c r="B6" t="s">
        <v>132</v>
      </c>
      <c r="C6" t="s">
        <v>196</v>
      </c>
      <c r="D6" t="s">
        <v>252</v>
      </c>
      <c r="E6" t="s">
        <v>253</v>
      </c>
      <c r="F6" t="s">
        <v>257</v>
      </c>
      <c r="G6" t="s">
        <v>263</v>
      </c>
      <c r="H6" t="s">
        <v>382</v>
      </c>
      <c r="I6">
        <v>-14.13</v>
      </c>
    </row>
    <row r="7" spans="1:9" x14ac:dyDescent="0.25">
      <c r="A7" t="s">
        <v>47</v>
      </c>
      <c r="B7" t="s">
        <v>119</v>
      </c>
      <c r="C7" t="s">
        <v>184</v>
      </c>
      <c r="D7" t="s">
        <v>250</v>
      </c>
      <c r="E7" t="s">
        <v>254</v>
      </c>
      <c r="F7" t="s">
        <v>256</v>
      </c>
      <c r="G7" t="s">
        <v>263</v>
      </c>
      <c r="H7" t="s">
        <v>382</v>
      </c>
      <c r="I7">
        <v>-27.32</v>
      </c>
    </row>
    <row r="8" spans="1:9" x14ac:dyDescent="0.25">
      <c r="A8" t="s">
        <v>48</v>
      </c>
      <c r="B8" t="s">
        <v>120</v>
      </c>
      <c r="C8" t="s">
        <v>185</v>
      </c>
      <c r="D8" t="s">
        <v>250</v>
      </c>
      <c r="E8" t="s">
        <v>254</v>
      </c>
      <c r="F8" t="s">
        <v>256</v>
      </c>
      <c r="G8" t="s">
        <v>263</v>
      </c>
      <c r="H8" t="s">
        <v>382</v>
      </c>
      <c r="I8">
        <v>-28.61</v>
      </c>
    </row>
    <row r="9" spans="1:9" x14ac:dyDescent="0.25">
      <c r="A9" t="s">
        <v>61</v>
      </c>
      <c r="B9" t="s">
        <v>133</v>
      </c>
      <c r="C9" t="s">
        <v>197</v>
      </c>
      <c r="D9" t="s">
        <v>252</v>
      </c>
      <c r="E9" t="s">
        <v>253</v>
      </c>
      <c r="F9" t="s">
        <v>257</v>
      </c>
      <c r="G9" t="s">
        <v>263</v>
      </c>
      <c r="H9" t="s">
        <v>382</v>
      </c>
      <c r="I9">
        <v>-51.54</v>
      </c>
    </row>
    <row r="10" spans="1:9" x14ac:dyDescent="0.25">
      <c r="A10" t="s">
        <v>102</v>
      </c>
      <c r="B10" t="s">
        <v>168</v>
      </c>
      <c r="C10" t="s">
        <v>234</v>
      </c>
      <c r="D10" t="s">
        <v>252</v>
      </c>
      <c r="E10" t="s">
        <v>253</v>
      </c>
      <c r="F10" t="s">
        <v>260</v>
      </c>
      <c r="G10" t="s">
        <v>263</v>
      </c>
      <c r="H10" t="s">
        <v>382</v>
      </c>
      <c r="I10">
        <v>-13.98</v>
      </c>
    </row>
    <row r="11" spans="1:9" x14ac:dyDescent="0.25">
      <c r="A11" t="s">
        <v>49</v>
      </c>
      <c r="B11" t="s">
        <v>121</v>
      </c>
      <c r="C11" t="s">
        <v>186</v>
      </c>
      <c r="D11" t="s">
        <v>250</v>
      </c>
      <c r="E11" t="s">
        <v>254</v>
      </c>
      <c r="F11" t="s">
        <v>256</v>
      </c>
      <c r="G11" t="s">
        <v>263</v>
      </c>
      <c r="H11" t="s">
        <v>382</v>
      </c>
      <c r="I11">
        <v>-27.32</v>
      </c>
    </row>
    <row r="12" spans="1:9" x14ac:dyDescent="0.25">
      <c r="A12" t="s">
        <v>62</v>
      </c>
      <c r="B12" t="s">
        <v>134</v>
      </c>
      <c r="C12" t="s">
        <v>198</v>
      </c>
      <c r="D12" t="s">
        <v>252</v>
      </c>
      <c r="E12" t="s">
        <v>253</v>
      </c>
      <c r="F12" t="s">
        <v>257</v>
      </c>
      <c r="G12" t="s">
        <v>263</v>
      </c>
      <c r="H12" t="s">
        <v>382</v>
      </c>
      <c r="I12">
        <v>-13.98</v>
      </c>
    </row>
    <row r="13" spans="1:9" x14ac:dyDescent="0.25">
      <c r="A13" t="s">
        <v>63</v>
      </c>
      <c r="B13" t="s">
        <v>135</v>
      </c>
      <c r="C13" t="s">
        <v>199</v>
      </c>
      <c r="D13" t="s">
        <v>252</v>
      </c>
      <c r="E13" t="s">
        <v>253</v>
      </c>
      <c r="F13" t="s">
        <v>257</v>
      </c>
      <c r="G13" t="s">
        <v>263</v>
      </c>
      <c r="H13" t="s">
        <v>382</v>
      </c>
      <c r="I13">
        <v>-31.91</v>
      </c>
    </row>
    <row r="14" spans="1:9" x14ac:dyDescent="0.25">
      <c r="A14" t="s">
        <v>64</v>
      </c>
      <c r="B14" t="s">
        <v>136</v>
      </c>
      <c r="C14" t="s">
        <v>200</v>
      </c>
      <c r="D14" t="s">
        <v>252</v>
      </c>
      <c r="E14" t="s">
        <v>253</v>
      </c>
      <c r="F14" t="s">
        <v>257</v>
      </c>
      <c r="G14" t="s">
        <v>263</v>
      </c>
      <c r="H14" t="s">
        <v>382</v>
      </c>
      <c r="I14">
        <v>-16.36</v>
      </c>
    </row>
    <row r="15" spans="1:9" x14ac:dyDescent="0.25">
      <c r="A15" t="s">
        <v>65</v>
      </c>
      <c r="B15" t="s">
        <v>128</v>
      </c>
      <c r="C15" t="s">
        <v>201</v>
      </c>
      <c r="D15" t="s">
        <v>252</v>
      </c>
      <c r="E15" t="s">
        <v>253</v>
      </c>
      <c r="F15" t="s">
        <v>257</v>
      </c>
      <c r="G15" t="s">
        <v>263</v>
      </c>
      <c r="H15" t="s">
        <v>382</v>
      </c>
      <c r="I15">
        <v>-16.36</v>
      </c>
    </row>
    <row r="16" spans="1:9" x14ac:dyDescent="0.25">
      <c r="A16" t="s">
        <v>90</v>
      </c>
      <c r="B16" t="s">
        <v>156</v>
      </c>
      <c r="C16" t="s">
        <v>224</v>
      </c>
      <c r="D16" t="s">
        <v>250</v>
      </c>
      <c r="E16" t="s">
        <v>254</v>
      </c>
      <c r="F16" t="s">
        <v>258</v>
      </c>
      <c r="G16" t="s">
        <v>263</v>
      </c>
      <c r="H16" t="s">
        <v>382</v>
      </c>
      <c r="I16">
        <v>-55.27</v>
      </c>
    </row>
    <row r="17" spans="1:9" x14ac:dyDescent="0.25">
      <c r="A17" t="s">
        <v>66</v>
      </c>
      <c r="B17" t="s">
        <v>137</v>
      </c>
      <c r="C17" t="s">
        <v>202</v>
      </c>
      <c r="D17" t="s">
        <v>252</v>
      </c>
      <c r="E17" t="s">
        <v>253</v>
      </c>
      <c r="F17" t="s">
        <v>257</v>
      </c>
      <c r="G17" t="s">
        <v>263</v>
      </c>
      <c r="H17" t="s">
        <v>382</v>
      </c>
      <c r="I17">
        <v>-31.91</v>
      </c>
    </row>
    <row r="18" spans="1:9" x14ac:dyDescent="0.25">
      <c r="A18" t="s">
        <v>67</v>
      </c>
      <c r="B18" t="s">
        <v>138</v>
      </c>
      <c r="C18" t="s">
        <v>203</v>
      </c>
      <c r="D18" t="s">
        <v>252</v>
      </c>
      <c r="E18" t="s">
        <v>253</v>
      </c>
      <c r="F18" t="s">
        <v>257</v>
      </c>
      <c r="G18" t="s">
        <v>263</v>
      </c>
      <c r="H18" t="s">
        <v>382</v>
      </c>
      <c r="I18">
        <v>-14.13</v>
      </c>
    </row>
    <row r="19" spans="1:9" x14ac:dyDescent="0.25">
      <c r="A19" t="s">
        <v>68</v>
      </c>
      <c r="B19" t="s">
        <v>117</v>
      </c>
      <c r="C19" t="s">
        <v>204</v>
      </c>
      <c r="D19" t="s">
        <v>250</v>
      </c>
      <c r="E19" t="s">
        <v>254</v>
      </c>
      <c r="F19" t="s">
        <v>257</v>
      </c>
      <c r="G19" t="s">
        <v>263</v>
      </c>
      <c r="H19" t="s">
        <v>382</v>
      </c>
      <c r="I19">
        <v>-50.53</v>
      </c>
    </row>
    <row r="20" spans="1:9" x14ac:dyDescent="0.25">
      <c r="A20" t="s">
        <v>91</v>
      </c>
      <c r="B20" t="s">
        <v>157</v>
      </c>
      <c r="C20" t="s">
        <v>225</v>
      </c>
      <c r="D20" t="s">
        <v>250</v>
      </c>
      <c r="E20" t="s">
        <v>254</v>
      </c>
      <c r="F20" t="s">
        <v>258</v>
      </c>
      <c r="G20" t="s">
        <v>263</v>
      </c>
      <c r="H20" t="s">
        <v>382</v>
      </c>
      <c r="I20">
        <v>-40.06</v>
      </c>
    </row>
    <row r="21" spans="1:9" x14ac:dyDescent="0.25">
      <c r="A21" t="s">
        <v>92</v>
      </c>
      <c r="B21" t="s">
        <v>158</v>
      </c>
      <c r="C21" t="s">
        <v>226</v>
      </c>
      <c r="D21" t="s">
        <v>250</v>
      </c>
      <c r="E21" t="s">
        <v>254</v>
      </c>
      <c r="F21" t="s">
        <v>258</v>
      </c>
      <c r="G21" t="s">
        <v>263</v>
      </c>
      <c r="H21" t="s">
        <v>382</v>
      </c>
      <c r="I21">
        <v>-43.78</v>
      </c>
    </row>
    <row r="22" spans="1:9" x14ac:dyDescent="0.25">
      <c r="A22" t="s">
        <v>93</v>
      </c>
      <c r="B22" t="s">
        <v>159</v>
      </c>
      <c r="C22" t="s">
        <v>225</v>
      </c>
      <c r="D22" t="s">
        <v>250</v>
      </c>
      <c r="E22" t="s">
        <v>254</v>
      </c>
      <c r="F22" t="s">
        <v>258</v>
      </c>
      <c r="G22" t="s">
        <v>263</v>
      </c>
      <c r="H22" t="s">
        <v>382</v>
      </c>
      <c r="I22">
        <v>-44.28</v>
      </c>
    </row>
    <row r="23" spans="1:9" x14ac:dyDescent="0.25">
      <c r="A23" t="s">
        <v>103</v>
      </c>
      <c r="B23" t="s">
        <v>169</v>
      </c>
      <c r="C23" t="s">
        <v>235</v>
      </c>
      <c r="D23" t="s">
        <v>252</v>
      </c>
      <c r="E23" t="s">
        <v>253</v>
      </c>
      <c r="F23" t="s">
        <v>260</v>
      </c>
      <c r="G23" t="s">
        <v>263</v>
      </c>
      <c r="H23" t="s">
        <v>382</v>
      </c>
      <c r="I23">
        <v>-44.03</v>
      </c>
    </row>
    <row r="24" spans="1:9" x14ac:dyDescent="0.25">
      <c r="A24" t="s">
        <v>69</v>
      </c>
      <c r="B24" t="s">
        <v>139</v>
      </c>
      <c r="C24" t="s">
        <v>204</v>
      </c>
      <c r="D24" t="s">
        <v>250</v>
      </c>
      <c r="E24" t="s">
        <v>254</v>
      </c>
      <c r="F24" t="s">
        <v>257</v>
      </c>
      <c r="G24" t="s">
        <v>263</v>
      </c>
      <c r="H24" t="s">
        <v>382</v>
      </c>
      <c r="I24">
        <v>-39.44</v>
      </c>
    </row>
    <row r="25" spans="1:9" x14ac:dyDescent="0.25">
      <c r="A25" t="s">
        <v>70</v>
      </c>
      <c r="B25" t="s">
        <v>123</v>
      </c>
      <c r="C25" t="s">
        <v>205</v>
      </c>
      <c r="D25" t="s">
        <v>252</v>
      </c>
      <c r="E25" t="s">
        <v>253</v>
      </c>
      <c r="F25" t="s">
        <v>257</v>
      </c>
      <c r="G25" t="s">
        <v>263</v>
      </c>
      <c r="H25" t="s">
        <v>382</v>
      </c>
      <c r="I25">
        <v>-31.91</v>
      </c>
    </row>
    <row r="26" spans="1:9" x14ac:dyDescent="0.25">
      <c r="A26" t="s">
        <v>109</v>
      </c>
      <c r="B26" t="s">
        <v>174</v>
      </c>
      <c r="C26" t="s">
        <v>241</v>
      </c>
      <c r="D26" t="s">
        <v>249</v>
      </c>
      <c r="E26" t="s">
        <v>253</v>
      </c>
      <c r="F26" t="s">
        <v>255</v>
      </c>
      <c r="G26" t="s">
        <v>263</v>
      </c>
      <c r="H26" t="s">
        <v>382</v>
      </c>
      <c r="I26">
        <v>-27.55</v>
      </c>
    </row>
    <row r="27" spans="1:9" x14ac:dyDescent="0.25">
      <c r="A27" t="s">
        <v>71</v>
      </c>
      <c r="B27" t="s">
        <v>140</v>
      </c>
      <c r="C27" t="s">
        <v>206</v>
      </c>
      <c r="D27" t="s">
        <v>252</v>
      </c>
      <c r="E27" t="s">
        <v>253</v>
      </c>
      <c r="F27" t="s">
        <v>257</v>
      </c>
      <c r="G27" t="s">
        <v>263</v>
      </c>
      <c r="H27" t="s">
        <v>382</v>
      </c>
      <c r="I27">
        <v>-16.36</v>
      </c>
    </row>
    <row r="28" spans="1:9" x14ac:dyDescent="0.25">
      <c r="A28" t="s">
        <v>94</v>
      </c>
      <c r="B28" t="s">
        <v>160</v>
      </c>
      <c r="C28" t="s">
        <v>227</v>
      </c>
      <c r="D28" t="s">
        <v>250</v>
      </c>
      <c r="E28" t="s">
        <v>254</v>
      </c>
      <c r="F28" t="s">
        <v>259</v>
      </c>
      <c r="G28" t="s">
        <v>263</v>
      </c>
      <c r="H28" t="s">
        <v>382</v>
      </c>
      <c r="I28">
        <v>-37.1</v>
      </c>
    </row>
    <row r="29" spans="1:9" x14ac:dyDescent="0.25">
      <c r="A29" t="s">
        <v>107</v>
      </c>
      <c r="B29" t="s">
        <v>172</v>
      </c>
      <c r="C29" t="s">
        <v>239</v>
      </c>
      <c r="D29" t="s">
        <v>249</v>
      </c>
      <c r="E29" t="s">
        <v>253</v>
      </c>
      <c r="F29" t="s">
        <v>255</v>
      </c>
      <c r="G29" t="s">
        <v>263</v>
      </c>
      <c r="H29" t="s">
        <v>382</v>
      </c>
      <c r="I29">
        <v>-27.55</v>
      </c>
    </row>
    <row r="30" spans="1:9" x14ac:dyDescent="0.25">
      <c r="A30" t="s">
        <v>104</v>
      </c>
      <c r="B30" t="s">
        <v>170</v>
      </c>
      <c r="C30" t="s">
        <v>236</v>
      </c>
      <c r="D30" t="s">
        <v>252</v>
      </c>
      <c r="E30" t="s">
        <v>253</v>
      </c>
      <c r="F30" t="s">
        <v>260</v>
      </c>
      <c r="G30" t="s">
        <v>263</v>
      </c>
      <c r="H30" t="s">
        <v>382</v>
      </c>
      <c r="I30">
        <v>-13.98</v>
      </c>
    </row>
    <row r="31" spans="1:9" x14ac:dyDescent="0.25">
      <c r="A31" t="s">
        <v>105</v>
      </c>
      <c r="B31" t="s">
        <v>117</v>
      </c>
      <c r="C31" t="s">
        <v>237</v>
      </c>
      <c r="D31" t="s">
        <v>252</v>
      </c>
      <c r="E31" t="s">
        <v>253</v>
      </c>
      <c r="F31" t="s">
        <v>260</v>
      </c>
      <c r="G31" t="s">
        <v>263</v>
      </c>
      <c r="H31" t="s">
        <v>382</v>
      </c>
      <c r="I31">
        <v>-44.78</v>
      </c>
    </row>
    <row r="32" spans="1:9" x14ac:dyDescent="0.25">
      <c r="A32" t="s">
        <v>95</v>
      </c>
      <c r="B32" t="s">
        <v>161</v>
      </c>
      <c r="C32" t="s">
        <v>228</v>
      </c>
      <c r="D32" t="s">
        <v>250</v>
      </c>
      <c r="E32" t="s">
        <v>254</v>
      </c>
      <c r="F32" t="s">
        <v>258</v>
      </c>
      <c r="G32" t="s">
        <v>263</v>
      </c>
      <c r="H32" t="s">
        <v>382</v>
      </c>
      <c r="I32">
        <v>-35.049999999999997</v>
      </c>
    </row>
    <row r="33" spans="1:9" x14ac:dyDescent="0.25">
      <c r="A33" t="s">
        <v>96</v>
      </c>
      <c r="B33" t="s">
        <v>162</v>
      </c>
      <c r="C33" t="s">
        <v>229</v>
      </c>
      <c r="D33" t="s">
        <v>250</v>
      </c>
      <c r="E33" t="s">
        <v>254</v>
      </c>
      <c r="F33" t="s">
        <v>258</v>
      </c>
      <c r="G33" t="s">
        <v>263</v>
      </c>
      <c r="H33" t="s">
        <v>382</v>
      </c>
      <c r="I33">
        <v>-38.74</v>
      </c>
    </row>
    <row r="34" spans="1:9" x14ac:dyDescent="0.25">
      <c r="A34" t="s">
        <v>51</v>
      </c>
      <c r="B34" t="s">
        <v>123</v>
      </c>
      <c r="C34" t="s">
        <v>188</v>
      </c>
      <c r="D34" t="s">
        <v>250</v>
      </c>
      <c r="E34" t="s">
        <v>254</v>
      </c>
      <c r="F34" t="s">
        <v>256</v>
      </c>
      <c r="G34" t="s">
        <v>263</v>
      </c>
      <c r="H34" t="s">
        <v>382</v>
      </c>
      <c r="I34">
        <v>-22.01</v>
      </c>
    </row>
    <row r="35" spans="1:9" x14ac:dyDescent="0.25">
      <c r="A35" t="s">
        <v>110</v>
      </c>
      <c r="B35" t="s">
        <v>175</v>
      </c>
      <c r="C35" t="s">
        <v>242</v>
      </c>
      <c r="D35" t="s">
        <v>252</v>
      </c>
      <c r="E35" t="s">
        <v>253</v>
      </c>
      <c r="F35" t="s">
        <v>262</v>
      </c>
      <c r="G35" t="s">
        <v>263</v>
      </c>
      <c r="H35" t="s">
        <v>382</v>
      </c>
      <c r="I35">
        <v>-14.13</v>
      </c>
    </row>
    <row r="36" spans="1:9" x14ac:dyDescent="0.25">
      <c r="A36" t="s">
        <v>72</v>
      </c>
      <c r="B36" t="s">
        <v>117</v>
      </c>
      <c r="C36" t="s">
        <v>207</v>
      </c>
      <c r="D36" t="s">
        <v>252</v>
      </c>
      <c r="E36" t="s">
        <v>253</v>
      </c>
      <c r="F36" t="s">
        <v>257</v>
      </c>
      <c r="G36" t="s">
        <v>263</v>
      </c>
      <c r="H36" t="s">
        <v>382</v>
      </c>
      <c r="I36">
        <v>-14.13</v>
      </c>
    </row>
    <row r="37" spans="1:9" x14ac:dyDescent="0.25">
      <c r="A37" t="s">
        <v>73</v>
      </c>
      <c r="B37" t="s">
        <v>141</v>
      </c>
      <c r="C37" t="s">
        <v>208</v>
      </c>
      <c r="D37" t="s">
        <v>252</v>
      </c>
      <c r="E37" t="s">
        <v>253</v>
      </c>
      <c r="F37" t="s">
        <v>257</v>
      </c>
      <c r="G37" t="s">
        <v>263</v>
      </c>
      <c r="H37" t="s">
        <v>382</v>
      </c>
      <c r="I37">
        <v>-31.91</v>
      </c>
    </row>
    <row r="38" spans="1:9" x14ac:dyDescent="0.25">
      <c r="A38" t="s">
        <v>52</v>
      </c>
      <c r="B38" t="s">
        <v>124</v>
      </c>
      <c r="C38" t="s">
        <v>189</v>
      </c>
      <c r="D38" t="s">
        <v>250</v>
      </c>
      <c r="E38" t="s">
        <v>254</v>
      </c>
      <c r="F38" t="s">
        <v>256</v>
      </c>
      <c r="G38" t="s">
        <v>263</v>
      </c>
      <c r="H38" t="s">
        <v>382</v>
      </c>
      <c r="I38">
        <v>-24.33</v>
      </c>
    </row>
    <row r="39" spans="1:9" x14ac:dyDescent="0.25">
      <c r="A39" t="s">
        <v>74</v>
      </c>
      <c r="B39" t="s">
        <v>142</v>
      </c>
      <c r="C39" t="s">
        <v>209</v>
      </c>
      <c r="D39" t="s">
        <v>252</v>
      </c>
      <c r="E39" t="s">
        <v>253</v>
      </c>
      <c r="F39" t="s">
        <v>257</v>
      </c>
      <c r="G39" t="s">
        <v>263</v>
      </c>
      <c r="H39" t="s">
        <v>382</v>
      </c>
      <c r="I39">
        <v>-16.36</v>
      </c>
    </row>
    <row r="40" spans="1:9" x14ac:dyDescent="0.25">
      <c r="A40" t="s">
        <v>106</v>
      </c>
      <c r="B40" t="s">
        <v>171</v>
      </c>
      <c r="C40" t="s">
        <v>238</v>
      </c>
      <c r="D40" t="s">
        <v>252</v>
      </c>
      <c r="E40" t="s">
        <v>253</v>
      </c>
      <c r="F40" t="s">
        <v>261</v>
      </c>
      <c r="G40" t="s">
        <v>263</v>
      </c>
      <c r="H40" t="s">
        <v>382</v>
      </c>
      <c r="I40">
        <v>-13.98</v>
      </c>
    </row>
    <row r="41" spans="1:9" x14ac:dyDescent="0.25">
      <c r="A41" t="s">
        <v>97</v>
      </c>
      <c r="B41" t="s">
        <v>163</v>
      </c>
      <c r="C41" t="s">
        <v>230</v>
      </c>
      <c r="D41" t="s">
        <v>252</v>
      </c>
      <c r="E41" t="s">
        <v>253</v>
      </c>
      <c r="F41" t="s">
        <v>258</v>
      </c>
      <c r="G41" t="s">
        <v>263</v>
      </c>
      <c r="H41" t="s">
        <v>382</v>
      </c>
      <c r="I41">
        <v>-13.98</v>
      </c>
    </row>
    <row r="42" spans="1:9" x14ac:dyDescent="0.25">
      <c r="A42" t="s">
        <v>75</v>
      </c>
      <c r="B42" t="s">
        <v>143</v>
      </c>
      <c r="C42" t="s">
        <v>210</v>
      </c>
      <c r="D42" t="s">
        <v>252</v>
      </c>
      <c r="E42" t="s">
        <v>253</v>
      </c>
      <c r="F42" t="s">
        <v>257</v>
      </c>
      <c r="G42" t="s">
        <v>263</v>
      </c>
      <c r="H42" t="s">
        <v>382</v>
      </c>
      <c r="I42">
        <v>-16.36</v>
      </c>
    </row>
    <row r="43" spans="1:9" x14ac:dyDescent="0.25">
      <c r="A43" t="s">
        <v>76</v>
      </c>
      <c r="B43" t="s">
        <v>144</v>
      </c>
      <c r="C43" t="s">
        <v>211</v>
      </c>
      <c r="D43" t="s">
        <v>252</v>
      </c>
      <c r="E43" t="s">
        <v>253</v>
      </c>
      <c r="F43" t="s">
        <v>257</v>
      </c>
      <c r="G43" t="s">
        <v>263</v>
      </c>
      <c r="H43" t="s">
        <v>382</v>
      </c>
      <c r="I43">
        <v>-31.91</v>
      </c>
    </row>
    <row r="44" spans="1:9" x14ac:dyDescent="0.25">
      <c r="A44" t="s">
        <v>113</v>
      </c>
      <c r="B44" t="s">
        <v>178</v>
      </c>
      <c r="C44" t="s">
        <v>245</v>
      </c>
      <c r="D44" t="s">
        <v>250</v>
      </c>
      <c r="E44" t="s">
        <v>254</v>
      </c>
      <c r="F44" t="s">
        <v>257</v>
      </c>
      <c r="G44" t="s">
        <v>263</v>
      </c>
      <c r="H44" t="s">
        <v>382</v>
      </c>
      <c r="I44">
        <v>-36.11</v>
      </c>
    </row>
    <row r="45" spans="1:9" x14ac:dyDescent="0.25">
      <c r="A45" t="s">
        <v>77</v>
      </c>
      <c r="B45" t="s">
        <v>145</v>
      </c>
      <c r="C45" t="s">
        <v>212</v>
      </c>
      <c r="D45" t="s">
        <v>252</v>
      </c>
      <c r="E45" t="s">
        <v>253</v>
      </c>
      <c r="F45" t="s">
        <v>257</v>
      </c>
      <c r="G45" t="s">
        <v>263</v>
      </c>
      <c r="H45" t="s">
        <v>382</v>
      </c>
      <c r="I45">
        <v>-16.36</v>
      </c>
    </row>
    <row r="46" spans="1:9" x14ac:dyDescent="0.25">
      <c r="A46" t="s">
        <v>78</v>
      </c>
      <c r="B46" t="s">
        <v>131</v>
      </c>
      <c r="C46" t="s">
        <v>213</v>
      </c>
      <c r="D46" t="s">
        <v>250</v>
      </c>
      <c r="E46" t="s">
        <v>254</v>
      </c>
      <c r="F46" t="s">
        <v>257</v>
      </c>
      <c r="G46" t="s">
        <v>263</v>
      </c>
      <c r="H46" t="s">
        <v>382</v>
      </c>
      <c r="I46">
        <v>-31.14</v>
      </c>
    </row>
    <row r="47" spans="1:9" x14ac:dyDescent="0.25">
      <c r="A47" t="s">
        <v>98</v>
      </c>
      <c r="B47" t="s">
        <v>164</v>
      </c>
      <c r="C47" t="s">
        <v>231</v>
      </c>
      <c r="D47" t="s">
        <v>250</v>
      </c>
      <c r="E47" t="s">
        <v>254</v>
      </c>
      <c r="F47" t="s">
        <v>258</v>
      </c>
      <c r="G47" t="s">
        <v>263</v>
      </c>
      <c r="H47" t="s">
        <v>382</v>
      </c>
      <c r="I47">
        <v>-37.26</v>
      </c>
    </row>
    <row r="48" spans="1:9" x14ac:dyDescent="0.25">
      <c r="A48" t="s">
        <v>53</v>
      </c>
      <c r="B48" t="s">
        <v>125</v>
      </c>
      <c r="C48" t="s">
        <v>190</v>
      </c>
      <c r="D48" t="s">
        <v>250</v>
      </c>
      <c r="E48" t="s">
        <v>254</v>
      </c>
      <c r="F48" t="s">
        <v>256</v>
      </c>
      <c r="G48" t="s">
        <v>263</v>
      </c>
      <c r="H48" t="s">
        <v>382</v>
      </c>
      <c r="I48">
        <v>-27.32</v>
      </c>
    </row>
    <row r="49" spans="1:9" x14ac:dyDescent="0.25">
      <c r="A49" t="s">
        <v>53</v>
      </c>
      <c r="B49" t="s">
        <v>125</v>
      </c>
      <c r="C49" t="s">
        <v>190</v>
      </c>
      <c r="D49" t="s">
        <v>250</v>
      </c>
      <c r="E49" t="s">
        <v>254</v>
      </c>
      <c r="F49" t="s">
        <v>256</v>
      </c>
      <c r="G49" t="s">
        <v>263</v>
      </c>
      <c r="H49" t="s">
        <v>382</v>
      </c>
      <c r="I49">
        <v>-27.32</v>
      </c>
    </row>
    <row r="50" spans="1:9" x14ac:dyDescent="0.25">
      <c r="A50" t="s">
        <v>79</v>
      </c>
      <c r="B50" t="s">
        <v>146</v>
      </c>
      <c r="C50" t="s">
        <v>214</v>
      </c>
      <c r="D50" t="s">
        <v>252</v>
      </c>
      <c r="E50" t="s">
        <v>253</v>
      </c>
      <c r="F50" t="s">
        <v>257</v>
      </c>
      <c r="G50" t="s">
        <v>263</v>
      </c>
      <c r="H50" t="s">
        <v>382</v>
      </c>
      <c r="I50">
        <v>-14.13</v>
      </c>
    </row>
    <row r="51" spans="1:9" x14ac:dyDescent="0.25">
      <c r="A51" t="s">
        <v>54</v>
      </c>
      <c r="B51" t="s">
        <v>126</v>
      </c>
      <c r="C51" t="s">
        <v>191</v>
      </c>
      <c r="D51" t="s">
        <v>250</v>
      </c>
      <c r="E51" t="s">
        <v>254</v>
      </c>
      <c r="F51" t="s">
        <v>256</v>
      </c>
      <c r="G51" t="s">
        <v>263</v>
      </c>
      <c r="H51" t="s">
        <v>382</v>
      </c>
      <c r="I51">
        <v>-1.17</v>
      </c>
    </row>
    <row r="52" spans="1:9" x14ac:dyDescent="0.25">
      <c r="A52" t="s">
        <v>108</v>
      </c>
      <c r="B52" t="s">
        <v>173</v>
      </c>
      <c r="C52" t="s">
        <v>240</v>
      </c>
      <c r="D52" t="s">
        <v>249</v>
      </c>
      <c r="E52" t="s">
        <v>253</v>
      </c>
      <c r="F52" t="s">
        <v>255</v>
      </c>
      <c r="G52" t="s">
        <v>263</v>
      </c>
      <c r="H52" t="s">
        <v>382</v>
      </c>
      <c r="I52">
        <v>-14.13</v>
      </c>
    </row>
    <row r="53" spans="1:9" x14ac:dyDescent="0.25">
      <c r="A53" t="s">
        <v>80</v>
      </c>
      <c r="B53" t="s">
        <v>147</v>
      </c>
      <c r="C53" t="s">
        <v>215</v>
      </c>
      <c r="D53" t="s">
        <v>252</v>
      </c>
      <c r="E53" t="s">
        <v>253</v>
      </c>
      <c r="F53" t="s">
        <v>257</v>
      </c>
      <c r="G53" t="s">
        <v>263</v>
      </c>
      <c r="H53" t="s">
        <v>382</v>
      </c>
      <c r="I53">
        <v>-28.25</v>
      </c>
    </row>
    <row r="54" spans="1:9" x14ac:dyDescent="0.25">
      <c r="A54" t="s">
        <v>81</v>
      </c>
      <c r="B54" t="s">
        <v>148</v>
      </c>
      <c r="C54" t="s">
        <v>216</v>
      </c>
      <c r="D54" t="s">
        <v>252</v>
      </c>
      <c r="E54" t="s">
        <v>253</v>
      </c>
      <c r="F54" t="s">
        <v>257</v>
      </c>
      <c r="G54" t="s">
        <v>263</v>
      </c>
      <c r="H54" t="s">
        <v>382</v>
      </c>
      <c r="I54">
        <v>-31.91</v>
      </c>
    </row>
    <row r="55" spans="1:9" x14ac:dyDescent="0.25">
      <c r="A55" t="s">
        <v>100</v>
      </c>
      <c r="B55" t="s">
        <v>166</v>
      </c>
      <c r="C55" t="s">
        <v>233</v>
      </c>
      <c r="D55" t="s">
        <v>250</v>
      </c>
      <c r="E55" t="s">
        <v>254</v>
      </c>
      <c r="F55" t="s">
        <v>258</v>
      </c>
      <c r="G55" t="s">
        <v>263</v>
      </c>
      <c r="H55" t="s">
        <v>382</v>
      </c>
      <c r="I55">
        <v>-38.74</v>
      </c>
    </row>
    <row r="56" spans="1:9" x14ac:dyDescent="0.25">
      <c r="A56" t="s">
        <v>82</v>
      </c>
      <c r="B56" t="s">
        <v>149</v>
      </c>
      <c r="C56" t="s">
        <v>217</v>
      </c>
      <c r="D56" t="s">
        <v>252</v>
      </c>
      <c r="E56" t="s">
        <v>253</v>
      </c>
      <c r="F56" t="s">
        <v>257</v>
      </c>
      <c r="G56" t="s">
        <v>263</v>
      </c>
      <c r="H56" t="s">
        <v>382</v>
      </c>
      <c r="I56">
        <v>-32.659999999999997</v>
      </c>
    </row>
    <row r="57" spans="1:9" x14ac:dyDescent="0.25">
      <c r="A57" t="s">
        <v>83</v>
      </c>
      <c r="B57" t="s">
        <v>150</v>
      </c>
      <c r="C57" t="s">
        <v>213</v>
      </c>
      <c r="D57" t="s">
        <v>250</v>
      </c>
      <c r="E57" t="s">
        <v>254</v>
      </c>
      <c r="F57" t="s">
        <v>257</v>
      </c>
      <c r="G57" t="s">
        <v>263</v>
      </c>
      <c r="H57" t="s">
        <v>382</v>
      </c>
      <c r="I57">
        <v>-35.549999999999997</v>
      </c>
    </row>
    <row r="58" spans="1:9" x14ac:dyDescent="0.25">
      <c r="A58" t="s">
        <v>84</v>
      </c>
      <c r="B58" t="s">
        <v>151</v>
      </c>
      <c r="C58" t="s">
        <v>218</v>
      </c>
      <c r="D58" t="s">
        <v>252</v>
      </c>
      <c r="E58" t="s">
        <v>253</v>
      </c>
      <c r="F58" t="s">
        <v>257</v>
      </c>
      <c r="G58" t="s">
        <v>263</v>
      </c>
      <c r="H58" t="s">
        <v>382</v>
      </c>
      <c r="I58">
        <v>-16.25</v>
      </c>
    </row>
    <row r="59" spans="1:9" x14ac:dyDescent="0.25">
      <c r="A59" t="s">
        <v>55</v>
      </c>
      <c r="B59" t="s">
        <v>127</v>
      </c>
      <c r="C59" t="s">
        <v>185</v>
      </c>
      <c r="D59" t="s">
        <v>250</v>
      </c>
      <c r="E59" t="s">
        <v>254</v>
      </c>
      <c r="F59" t="s">
        <v>256</v>
      </c>
      <c r="G59" t="s">
        <v>263</v>
      </c>
      <c r="H59" t="s">
        <v>382</v>
      </c>
      <c r="I59">
        <v>-25.88</v>
      </c>
    </row>
    <row r="60" spans="1:9" x14ac:dyDescent="0.25">
      <c r="A60" t="s">
        <v>112</v>
      </c>
      <c r="B60" t="s">
        <v>177</v>
      </c>
      <c r="C60" t="s">
        <v>244</v>
      </c>
      <c r="D60" t="s">
        <v>252</v>
      </c>
      <c r="E60" t="s">
        <v>253</v>
      </c>
      <c r="F60" t="s">
        <v>262</v>
      </c>
      <c r="G60" t="s">
        <v>263</v>
      </c>
      <c r="H60" t="s">
        <v>382</v>
      </c>
      <c r="I60">
        <v>-14.13</v>
      </c>
    </row>
    <row r="61" spans="1:9" x14ac:dyDescent="0.25">
      <c r="A61" t="s">
        <v>56</v>
      </c>
      <c r="B61" t="s">
        <v>128</v>
      </c>
      <c r="C61" t="s">
        <v>192</v>
      </c>
      <c r="D61" t="s">
        <v>250</v>
      </c>
      <c r="E61" t="s">
        <v>254</v>
      </c>
      <c r="F61" t="s">
        <v>256</v>
      </c>
      <c r="G61" t="s">
        <v>263</v>
      </c>
      <c r="H61" t="s">
        <v>382</v>
      </c>
      <c r="I61">
        <v>-24.59</v>
      </c>
    </row>
    <row r="62" spans="1:9" x14ac:dyDescent="0.25">
      <c r="A62" t="s">
        <v>85</v>
      </c>
      <c r="B62" t="s">
        <v>134</v>
      </c>
      <c r="C62" t="s">
        <v>219</v>
      </c>
      <c r="D62" t="s">
        <v>250</v>
      </c>
      <c r="E62" t="s">
        <v>254</v>
      </c>
      <c r="F62" t="s">
        <v>257</v>
      </c>
      <c r="G62" t="s">
        <v>263</v>
      </c>
      <c r="H62" t="s">
        <v>382</v>
      </c>
      <c r="I62">
        <v>-25</v>
      </c>
    </row>
    <row r="63" spans="1:9" x14ac:dyDescent="0.25">
      <c r="A63" t="s">
        <v>86</v>
      </c>
      <c r="B63" t="s">
        <v>152</v>
      </c>
      <c r="C63" t="s">
        <v>220</v>
      </c>
      <c r="D63" t="s">
        <v>252</v>
      </c>
      <c r="E63" t="s">
        <v>253</v>
      </c>
      <c r="F63" t="s">
        <v>257</v>
      </c>
      <c r="G63" t="s">
        <v>263</v>
      </c>
      <c r="H63" t="s">
        <v>382</v>
      </c>
      <c r="I63">
        <v>-51.54</v>
      </c>
    </row>
    <row r="64" spans="1:9" x14ac:dyDescent="0.25">
      <c r="A64" t="s">
        <v>101</v>
      </c>
      <c r="B64" t="s">
        <v>167</v>
      </c>
      <c r="C64" t="s">
        <v>231</v>
      </c>
      <c r="D64" t="s">
        <v>250</v>
      </c>
      <c r="E64" t="s">
        <v>254</v>
      </c>
      <c r="F64" t="s">
        <v>258</v>
      </c>
      <c r="G64" t="s">
        <v>263</v>
      </c>
      <c r="H64" t="s">
        <v>382</v>
      </c>
      <c r="I64">
        <v>-40.950000000000003</v>
      </c>
    </row>
    <row r="65" spans="1:9" x14ac:dyDescent="0.25">
      <c r="A65" t="s">
        <v>87</v>
      </c>
      <c r="B65" t="s">
        <v>153</v>
      </c>
      <c r="C65" t="s">
        <v>221</v>
      </c>
      <c r="D65" t="s">
        <v>252</v>
      </c>
      <c r="E65" t="s">
        <v>253</v>
      </c>
      <c r="F65" t="s">
        <v>257</v>
      </c>
      <c r="G65" t="s">
        <v>263</v>
      </c>
      <c r="H65" t="s">
        <v>382</v>
      </c>
      <c r="I65">
        <v>-16.36</v>
      </c>
    </row>
    <row r="66" spans="1:9" x14ac:dyDescent="0.25">
      <c r="A66" t="s">
        <v>57</v>
      </c>
      <c r="B66" t="s">
        <v>129</v>
      </c>
      <c r="C66" t="s">
        <v>193</v>
      </c>
      <c r="D66" t="s">
        <v>250</v>
      </c>
      <c r="E66" t="s">
        <v>254</v>
      </c>
      <c r="F66" t="s">
        <v>256</v>
      </c>
      <c r="G66" t="s">
        <v>263</v>
      </c>
      <c r="H66" t="s">
        <v>382</v>
      </c>
      <c r="I66">
        <v>-30.19</v>
      </c>
    </row>
    <row r="67" spans="1:9" x14ac:dyDescent="0.25">
      <c r="A67" t="s">
        <v>88</v>
      </c>
      <c r="B67" t="s">
        <v>154</v>
      </c>
      <c r="C67" t="s">
        <v>222</v>
      </c>
      <c r="D67" t="s">
        <v>252</v>
      </c>
      <c r="E67" t="s">
        <v>253</v>
      </c>
      <c r="F67" t="s">
        <v>257</v>
      </c>
      <c r="G67" t="s">
        <v>263</v>
      </c>
      <c r="H67" t="s">
        <v>382</v>
      </c>
      <c r="I67">
        <v>-16.36</v>
      </c>
    </row>
    <row r="68" spans="1:9" x14ac:dyDescent="0.25">
      <c r="A68" t="s">
        <v>89</v>
      </c>
      <c r="B68" t="s">
        <v>155</v>
      </c>
      <c r="C68" t="s">
        <v>223</v>
      </c>
      <c r="D68" t="s">
        <v>252</v>
      </c>
      <c r="E68" t="s">
        <v>253</v>
      </c>
      <c r="F68" t="s">
        <v>257</v>
      </c>
      <c r="G68" t="s">
        <v>263</v>
      </c>
      <c r="H68" t="s">
        <v>382</v>
      </c>
      <c r="I68">
        <v>-31.91</v>
      </c>
    </row>
    <row r="69" spans="1:9" x14ac:dyDescent="0.25">
      <c r="A69" t="s">
        <v>58</v>
      </c>
      <c r="B69" t="s">
        <v>130</v>
      </c>
      <c r="C69" t="s">
        <v>194</v>
      </c>
      <c r="D69" t="s">
        <v>250</v>
      </c>
      <c r="E69" t="s">
        <v>254</v>
      </c>
      <c r="F69" t="s">
        <v>256</v>
      </c>
      <c r="G69" t="s">
        <v>263</v>
      </c>
      <c r="H69" t="s">
        <v>382</v>
      </c>
      <c r="I69">
        <v>-22.01</v>
      </c>
    </row>
    <row r="70" spans="1:9" x14ac:dyDescent="0.25">
      <c r="A70" t="s">
        <v>116</v>
      </c>
      <c r="B70" t="s">
        <v>181</v>
      </c>
      <c r="C70" t="s">
        <v>248</v>
      </c>
      <c r="D70" t="s">
        <v>251</v>
      </c>
      <c r="E70" t="s">
        <v>254</v>
      </c>
      <c r="F70" t="s">
        <v>255</v>
      </c>
      <c r="G70" t="s">
        <v>263</v>
      </c>
      <c r="H70" t="s">
        <v>382</v>
      </c>
      <c r="I70">
        <v>-2.16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O5" sqref="O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383</v>
      </c>
      <c r="L1" s="1" t="s">
        <v>17</v>
      </c>
      <c r="M1" s="1" t="s">
        <v>18</v>
      </c>
      <c r="N1" s="1" t="s">
        <v>384</v>
      </c>
      <c r="O1" s="1" t="s">
        <v>385</v>
      </c>
      <c r="P1" s="1" t="s">
        <v>386</v>
      </c>
    </row>
    <row r="2" spans="1:16" x14ac:dyDescent="0.25">
      <c r="A2" t="s">
        <v>22</v>
      </c>
      <c r="B2" t="s">
        <v>34</v>
      </c>
      <c r="C2" t="s">
        <v>46</v>
      </c>
      <c r="D2" t="s">
        <v>118</v>
      </c>
      <c r="E2" t="s">
        <v>183</v>
      </c>
      <c r="F2" t="s">
        <v>250</v>
      </c>
      <c r="G2" t="s">
        <v>254</v>
      </c>
      <c r="H2" t="s">
        <v>256</v>
      </c>
      <c r="I2" t="s">
        <v>264</v>
      </c>
      <c r="J2" t="s">
        <v>387</v>
      </c>
      <c r="K2" t="s">
        <v>321</v>
      </c>
      <c r="L2" t="s">
        <v>367</v>
      </c>
      <c r="M2" t="s">
        <v>369</v>
      </c>
      <c r="N2" t="s">
        <v>388</v>
      </c>
      <c r="O2">
        <v>362.28</v>
      </c>
      <c r="P2" t="s">
        <v>389</v>
      </c>
    </row>
    <row r="3" spans="1:16" x14ac:dyDescent="0.25">
      <c r="A3" t="s">
        <v>23</v>
      </c>
      <c r="B3" t="s">
        <v>35</v>
      </c>
      <c r="C3" t="s">
        <v>84</v>
      </c>
      <c r="D3" t="s">
        <v>151</v>
      </c>
      <c r="E3" t="s">
        <v>218</v>
      </c>
      <c r="F3" t="s">
        <v>252</v>
      </c>
      <c r="G3" t="s">
        <v>253</v>
      </c>
      <c r="H3" t="s">
        <v>257</v>
      </c>
      <c r="I3" t="s">
        <v>263</v>
      </c>
      <c r="J3" t="s">
        <v>387</v>
      </c>
      <c r="K3" t="s">
        <v>338</v>
      </c>
      <c r="L3" t="s">
        <v>367</v>
      </c>
      <c r="M3" t="s">
        <v>372</v>
      </c>
      <c r="N3" t="s">
        <v>319</v>
      </c>
      <c r="O3">
        <v>146.25</v>
      </c>
      <c r="P3" t="s">
        <v>389</v>
      </c>
    </row>
    <row r="4" spans="1:16" x14ac:dyDescent="0.25">
      <c r="A4" t="s">
        <v>24</v>
      </c>
      <c r="B4" t="s">
        <v>36</v>
      </c>
      <c r="C4" t="s">
        <v>94</v>
      </c>
      <c r="D4" t="s">
        <v>160</v>
      </c>
      <c r="E4" t="s">
        <v>227</v>
      </c>
      <c r="F4" t="s">
        <v>250</v>
      </c>
      <c r="G4" t="s">
        <v>254</v>
      </c>
      <c r="H4" t="s">
        <v>259</v>
      </c>
      <c r="I4" t="s">
        <v>263</v>
      </c>
      <c r="J4" t="s">
        <v>387</v>
      </c>
      <c r="K4" t="s">
        <v>344</v>
      </c>
      <c r="L4" t="s">
        <v>367</v>
      </c>
      <c r="M4" t="s">
        <v>369</v>
      </c>
      <c r="N4" t="s">
        <v>388</v>
      </c>
      <c r="O4">
        <v>445.2</v>
      </c>
      <c r="P4" t="s">
        <v>389</v>
      </c>
    </row>
    <row r="5" spans="1:16" x14ac:dyDescent="0.25">
      <c r="A5" t="s">
        <v>24</v>
      </c>
      <c r="B5" t="s">
        <v>36</v>
      </c>
      <c r="C5" t="s">
        <v>100</v>
      </c>
      <c r="D5" t="s">
        <v>166</v>
      </c>
      <c r="E5" t="s">
        <v>233</v>
      </c>
      <c r="F5" t="s">
        <v>250</v>
      </c>
      <c r="G5" t="s">
        <v>254</v>
      </c>
      <c r="H5" t="s">
        <v>258</v>
      </c>
      <c r="I5" t="s">
        <v>263</v>
      </c>
      <c r="J5" t="s">
        <v>387</v>
      </c>
      <c r="K5" t="s">
        <v>348</v>
      </c>
      <c r="L5" t="s">
        <v>367</v>
      </c>
      <c r="M5" t="s">
        <v>374</v>
      </c>
      <c r="N5" t="s">
        <v>388</v>
      </c>
      <c r="O5">
        <v>464.88</v>
      </c>
      <c r="P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2026-05-03T21:03:23Z</dcterms:created>
  <dcterms:modified xsi:type="dcterms:W3CDTF">2026-05-04T18:39:53Z</dcterms:modified>
</cp:coreProperties>
</file>