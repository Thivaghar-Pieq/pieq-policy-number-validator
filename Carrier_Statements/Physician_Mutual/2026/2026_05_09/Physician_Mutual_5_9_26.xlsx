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Sheet1" sheetId="2" r:id="rId5"/>
    <sheet state="visible" name="First Year Overwrites" sheetId="3" r:id="rId6"/>
    <sheet state="visible" name="Advance Paybacks" sheetId="4" r:id="rId7"/>
    <sheet state="visible" name="Advances - Paid Advances" sheetId="5" r:id="rId8"/>
    <sheet state="visible" name="Bonus" sheetId="6" r:id="rId9"/>
  </sheets>
  <definedNames/>
  <calcPr/>
  <extLst>
    <ext uri="GoogleSheetsCustomDataVersion2">
      <go:sheetsCustomData xmlns:go="http://customooxmlschemas.google.com/" r:id="rId10" roundtripDataChecksum="60qMvyHEKM6KQ9zbZ9PKURMNwNHxYhIVfoR8UOdH8Ms="/>
    </ext>
  </extLst>
</workbook>
</file>

<file path=xl/sharedStrings.xml><?xml version="1.0" encoding="utf-8"?>
<sst xmlns="http://schemas.openxmlformats.org/spreadsheetml/2006/main" count="1483" uniqueCount="212">
  <si>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</si>
  <si>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</si>
  <si>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</si>
  <si>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</si>
  <si>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</si>
  <si>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</si>
  <si>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</si>
  <si>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</si>
  <si>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</si>
  <si>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</si>
  <si>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</si>
  <si>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</si>
  <si>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</si>
  <si>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</si>
  <si>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</si>
  <si>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</si>
  <si>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</si>
  <si>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</si>
  <si>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</si>
  <si>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</si>
  <si>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</si>
  <si>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</si>
  <si>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19491313</t>
  </si>
  <si>
    <t>H750080222</t>
  </si>
  <si>
    <t>Rhonda</t>
  </si>
  <si>
    <t>Mays</t>
  </si>
  <si>
    <t>S06600001</t>
  </si>
  <si>
    <t>Medicare Supplement</t>
  </si>
  <si>
    <t>OH</t>
  </si>
  <si>
    <t>2026-05-05</t>
  </si>
  <si>
    <t>2026-06-01</t>
  </si>
  <si>
    <t>67</t>
  </si>
  <si>
    <t>MONTHLY</t>
  </si>
  <si>
    <t>RCVP-R</t>
  </si>
  <si>
    <t>6</t>
  </si>
  <si>
    <t>130.09</t>
  </si>
  <si>
    <t>0.00</t>
  </si>
  <si>
    <t>100.00000</t>
  </si>
  <si>
    <t>21.00%</t>
  </si>
  <si>
    <t>Y</t>
  </si>
  <si>
    <t>H750086341</t>
  </si>
  <si>
    <t>Thomas</t>
  </si>
  <si>
    <t>Benik</t>
  </si>
  <si>
    <t>65</t>
  </si>
  <si>
    <t>8</t>
  </si>
  <si>
    <t>129.40</t>
  </si>
  <si>
    <t>104.28</t>
  </si>
  <si>
    <t>2.00%</t>
  </si>
  <si>
    <t>H750070618</t>
  </si>
  <si>
    <t>Daniel</t>
  </si>
  <si>
    <t>Turner</t>
  </si>
  <si>
    <t>10</t>
  </si>
  <si>
    <t>143.78</t>
  </si>
  <si>
    <t>115.86</t>
  </si>
  <si>
    <t>N</t>
  </si>
  <si>
    <t>H711024512</t>
  </si>
  <si>
    <t>P15400002</t>
  </si>
  <si>
    <t>Dental</t>
  </si>
  <si>
    <t>RCVP</t>
  </si>
  <si>
    <t>62.17</t>
  </si>
  <si>
    <t>25.00%</t>
  </si>
  <si>
    <t>H750101144</t>
  </si>
  <si>
    <t>Susan</t>
  </si>
  <si>
    <t>2</t>
  </si>
  <si>
    <t>H750088570</t>
  </si>
  <si>
    <t>John</t>
  </si>
  <si>
    <t>Thompson</t>
  </si>
  <si>
    <t>2026-05-06</t>
  </si>
  <si>
    <t>5</t>
  </si>
  <si>
    <t>H750094989</t>
  </si>
  <si>
    <t>James</t>
  </si>
  <si>
    <t>Brandt</t>
  </si>
  <si>
    <t>2026-05-07</t>
  </si>
  <si>
    <t>4</t>
  </si>
  <si>
    <t>H750094552</t>
  </si>
  <si>
    <t>Kimberly</t>
  </si>
  <si>
    <t>Patterson</t>
  </si>
  <si>
    <t>2026-05-08</t>
  </si>
  <si>
    <t>3</t>
  </si>
  <si>
    <t>136.94</t>
  </si>
  <si>
    <t>H750092058</t>
  </si>
  <si>
    <t>Robert</t>
  </si>
  <si>
    <t>Leighty</t>
  </si>
  <si>
    <t xml:space="preserve">Sherman Matthew </t>
  </si>
  <si>
    <t>8812322</t>
  </si>
  <si>
    <t>H750098999</t>
  </si>
  <si>
    <t>Kathleen</t>
  </si>
  <si>
    <t>Sheaffer</t>
  </si>
  <si>
    <t>IL</t>
  </si>
  <si>
    <t>2026-05-04</t>
  </si>
  <si>
    <t>2026-06-04</t>
  </si>
  <si>
    <t>113.89</t>
  </si>
  <si>
    <t>20.80%</t>
  </si>
  <si>
    <t>H711120348</t>
  </si>
  <si>
    <t>Kucan Thomas null</t>
  </si>
  <si>
    <t>16202925</t>
  </si>
  <si>
    <t>H711056072</t>
  </si>
  <si>
    <t>Shaista</t>
  </si>
  <si>
    <t>Ali</t>
  </si>
  <si>
    <t>MD</t>
  </si>
  <si>
    <t>2026-05-01</t>
  </si>
  <si>
    <t>60</t>
  </si>
  <si>
    <t>PRF</t>
  </si>
  <si>
    <t>7</t>
  </si>
  <si>
    <t>-56.50</t>
  </si>
  <si>
    <t>Petrungaro Andrea null</t>
  </si>
  <si>
    <t>16912722</t>
  </si>
  <si>
    <t>H711053462</t>
  </si>
  <si>
    <t>Allen</t>
  </si>
  <si>
    <t>Funamura</t>
  </si>
  <si>
    <t>73</t>
  </si>
  <si>
    <t>55.90</t>
  </si>
  <si>
    <t>Green Danna null</t>
  </si>
  <si>
    <t>16849453</t>
  </si>
  <si>
    <t>H750104463</t>
  </si>
  <si>
    <t>Randi</t>
  </si>
  <si>
    <t>Aufderheide</t>
  </si>
  <si>
    <t>IN</t>
  </si>
  <si>
    <t>2026-07-01</t>
  </si>
  <si>
    <t>1</t>
  </si>
  <si>
    <t>187.40</t>
  </si>
  <si>
    <t>23.20%</t>
  </si>
  <si>
    <t>H750104459</t>
  </si>
  <si>
    <t>Craig</t>
  </si>
  <si>
    <t>Robbins</t>
  </si>
  <si>
    <t>69</t>
  </si>
  <si>
    <t>173.33</t>
  </si>
  <si>
    <t>H750104128</t>
  </si>
  <si>
    <t>Sandra</t>
  </si>
  <si>
    <t>Moffett</t>
  </si>
  <si>
    <t>70</t>
  </si>
  <si>
    <t>192.12</t>
  </si>
  <si>
    <t>-187.40</t>
  </si>
  <si>
    <t>Schumann Barry null</t>
  </si>
  <si>
    <t>19586992</t>
  </si>
  <si>
    <t>H750075562</t>
  </si>
  <si>
    <t>Claire</t>
  </si>
  <si>
    <t>Nighman</t>
  </si>
  <si>
    <t>142.36</t>
  </si>
  <si>
    <t>116.70</t>
  </si>
  <si>
    <t xml:space="preserve">Dunavant Michael </t>
  </si>
  <si>
    <t>18828278</t>
  </si>
  <si>
    <t>H711150063</t>
  </si>
  <si>
    <t>Abbigail</t>
  </si>
  <si>
    <t>Davis</t>
  </si>
  <si>
    <t>2026-06-06</t>
  </si>
  <si>
    <t>23</t>
  </si>
  <si>
    <t>64.98</t>
  </si>
  <si>
    <t xml:space="preserve">Berthelsen Heidi </t>
  </si>
  <si>
    <t>19617796</t>
  </si>
  <si>
    <t>H711141587</t>
  </si>
  <si>
    <t>Debra</t>
  </si>
  <si>
    <t>Quillin</t>
  </si>
  <si>
    <t>NE</t>
  </si>
  <si>
    <t>55</t>
  </si>
  <si>
    <t>58.90</t>
  </si>
  <si>
    <t>Rhonda S Mays</t>
  </si>
  <si>
    <t>RN</t>
  </si>
  <si>
    <t>AE</t>
  </si>
  <si>
    <t>Open Enrollment - States Where Available</t>
  </si>
  <si>
    <t>Thomas Benik</t>
  </si>
  <si>
    <t>All Other Guarantee Issue, Underage, &amp; Issue Age 80+</t>
  </si>
  <si>
    <t>Daniel Turner</t>
  </si>
  <si>
    <t>Standard Dental</t>
  </si>
  <si>
    <t>Susan C Turner</t>
  </si>
  <si>
    <t>John R Thompson</t>
  </si>
  <si>
    <t>James B Brandt</t>
  </si>
  <si>
    <t>Kimberly K Patterson</t>
  </si>
  <si>
    <t>Robert E Leighty</t>
  </si>
  <si>
    <t>8812322AV9L3</t>
  </si>
  <si>
    <t>Kathleen Sheaffer</t>
  </si>
  <si>
    <t>AV1</t>
  </si>
  <si>
    <t>Open Enrollment underwritten IL</t>
  </si>
  <si>
    <t>16912722AV9</t>
  </si>
  <si>
    <t>Allen Funamura</t>
  </si>
  <si>
    <t>16849453AV9</t>
  </si>
  <si>
    <t>Craig Robbins</t>
  </si>
  <si>
    <t>NB</t>
  </si>
  <si>
    <t>AV</t>
  </si>
  <si>
    <t>Physician Mutual Medsupp IN</t>
  </si>
  <si>
    <t>Sandra Moffett</t>
  </si>
  <si>
    <t>18828278AV9</t>
  </si>
  <si>
    <t>Abbigail Davis</t>
  </si>
  <si>
    <t>19617796AV9</t>
  </si>
  <si>
    <t>Debra Quillin</t>
  </si>
  <si>
    <t>Main Line Benefits</t>
  </si>
  <si>
    <t>Physician Mutual OVR</t>
  </si>
  <si>
    <t>Shaista Ali</t>
  </si>
  <si>
    <t>Claire M Nighman</t>
  </si>
  <si>
    <t>16202925AV9</t>
  </si>
  <si>
    <t>Rescinded</t>
  </si>
  <si>
    <t>3.90%</t>
  </si>
  <si>
    <t>0.80%</t>
  </si>
  <si>
    <t>2.80%</t>
  </si>
  <si>
    <t>9.50%</t>
  </si>
  <si>
    <t>advancePaybackAmount</t>
  </si>
  <si>
    <t>APB-S</t>
  </si>
  <si>
    <t>APB-U</t>
  </si>
  <si>
    <t>advanceBasis</t>
  </si>
  <si>
    <t>monthsAdvanced</t>
  </si>
  <si>
    <t>paidAdvanceAmount</t>
  </si>
  <si>
    <t>description</t>
  </si>
  <si>
    <t>Main Line Benefits, LLC</t>
  </si>
  <si>
    <t>20411454</t>
  </si>
  <si>
    <t>2026-05-09</t>
  </si>
  <si>
    <t>ISS-A</t>
  </si>
  <si>
    <t>12</t>
  </si>
  <si>
    <t>Issue Advance Request</t>
  </si>
  <si>
    <t>9</t>
  </si>
  <si>
    <t>amount</t>
  </si>
  <si>
    <t>MED SUPP BNS APR 2026</t>
  </si>
  <si>
    <t>ISS-B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</si>
</sst>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4" xfId="0" applyFont="1" applyNumberFormat="1"/>
    <xf borderId="0" fillId="0" fontId="3" numFmtId="10" xfId="0" applyFont="1" applyNumberFormat="1"/>
    <xf borderId="2" fillId="2" fontId="3" numFmtId="0" xfId="0" applyBorder="1" applyFill="1" applyFont="1"/>
    <xf borderId="2" fillId="2" fontId="3" numFmtId="0" xfId="0" applyAlignment="1" applyBorder="1" applyFont="1">
      <alignment horizontal="left"/>
    </xf>
    <xf borderId="2" fillId="2" fontId="3" numFmtId="14" xfId="0" applyBorder="1" applyFont="1" applyNumberFormat="1"/>
    <xf borderId="2" fillId="2" fontId="3" numFmtId="10" xfId="0" applyBorder="1" applyFont="1" applyNumberFormat="1"/>
    <xf borderId="2" fillId="3" fontId="3" numFmtId="0" xfId="0" applyBorder="1" applyFill="1" applyFont="1"/>
    <xf borderId="2" fillId="3" fontId="3" numFmtId="14" xfId="0" applyBorder="1" applyFont="1" applyNumberFormat="1"/>
    <xf borderId="2" fillId="3" fontId="3" numFmtId="10" xfId="0" applyBorder="1" applyFont="1" applyNumberFormat="1"/>
    <xf borderId="2" fillId="4" fontId="3" numFmtId="0" xfId="0" applyBorder="1" applyFill="1" applyFont="1"/>
    <xf borderId="2" fillId="4" fontId="3" numFmtId="0" xfId="0" applyAlignment="1" applyBorder="1" applyFont="1">
      <alignment horizontal="left"/>
    </xf>
    <xf borderId="2" fillId="4" fontId="3" numFmtId="14" xfId="0" applyBorder="1" applyFont="1" applyNumberFormat="1"/>
    <xf borderId="2" fillId="4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5" width="8.71"/>
    <col customWidth="1" min="6" max="6" width="10.71"/>
    <col customWidth="1" min="7" max="7" width="20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27.32</v>
      </c>
      <c r="U2" s="2" t="s">
        <v>39</v>
      </c>
    </row>
    <row r="3" ht="14.25" customHeight="1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43</v>
      </c>
      <c r="L3" s="2" t="s">
        <v>32</v>
      </c>
      <c r="M3" s="2" t="s">
        <v>33</v>
      </c>
      <c r="N3" s="2" t="s">
        <v>44</v>
      </c>
      <c r="O3" s="2" t="s">
        <v>45</v>
      </c>
      <c r="P3" s="2" t="s">
        <v>36</v>
      </c>
      <c r="Q3" s="2" t="s">
        <v>46</v>
      </c>
      <c r="R3" s="2" t="s">
        <v>37</v>
      </c>
      <c r="S3" s="2" t="s">
        <v>47</v>
      </c>
      <c r="T3" s="2">
        <v>2.09</v>
      </c>
      <c r="U3" s="2" t="s">
        <v>39</v>
      </c>
    </row>
    <row r="4" ht="14.25" customHeight="1">
      <c r="A4" s="2" t="s">
        <v>21</v>
      </c>
      <c r="B4" s="2" t="s">
        <v>22</v>
      </c>
      <c r="C4" s="2" t="s">
        <v>48</v>
      </c>
      <c r="D4" s="2" t="s">
        <v>49</v>
      </c>
      <c r="E4" s="2" t="s">
        <v>50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32</v>
      </c>
      <c r="M4" s="2" t="s">
        <v>33</v>
      </c>
      <c r="N4" s="2" t="s">
        <v>51</v>
      </c>
      <c r="O4" s="2" t="s">
        <v>52</v>
      </c>
      <c r="P4" s="2" t="s">
        <v>36</v>
      </c>
      <c r="Q4" s="2" t="s">
        <v>53</v>
      </c>
      <c r="R4" s="2" t="s">
        <v>37</v>
      </c>
      <c r="S4" s="2" t="s">
        <v>38</v>
      </c>
      <c r="T4" s="2">
        <v>24.33</v>
      </c>
      <c r="U4" s="2" t="s">
        <v>54</v>
      </c>
    </row>
    <row r="5" ht="14.25" customHeight="1">
      <c r="A5" s="2" t="s">
        <v>21</v>
      </c>
      <c r="B5" s="2" t="s">
        <v>22</v>
      </c>
      <c r="C5" s="2" t="s">
        <v>55</v>
      </c>
      <c r="D5" s="2" t="s">
        <v>49</v>
      </c>
      <c r="E5" s="2" t="s">
        <v>50</v>
      </c>
      <c r="F5" s="2" t="s">
        <v>56</v>
      </c>
      <c r="G5" s="2" t="s">
        <v>57</v>
      </c>
      <c r="H5" s="2" t="s">
        <v>28</v>
      </c>
      <c r="I5" s="2" t="s">
        <v>29</v>
      </c>
      <c r="J5" s="2" t="s">
        <v>30</v>
      </c>
      <c r="K5" s="2" t="s">
        <v>43</v>
      </c>
      <c r="L5" s="2" t="s">
        <v>32</v>
      </c>
      <c r="M5" s="2" t="s">
        <v>58</v>
      </c>
      <c r="N5" s="2" t="s">
        <v>51</v>
      </c>
      <c r="O5" s="2" t="s">
        <v>59</v>
      </c>
      <c r="P5" s="2" t="s">
        <v>36</v>
      </c>
      <c r="Q5" s="2" t="s">
        <v>59</v>
      </c>
      <c r="R5" s="2" t="s">
        <v>37</v>
      </c>
      <c r="S5" s="2" t="s">
        <v>60</v>
      </c>
      <c r="T5" s="2">
        <v>15.54</v>
      </c>
      <c r="U5" s="2" t="s">
        <v>54</v>
      </c>
    </row>
    <row r="6" ht="14.25" customHeight="1">
      <c r="A6" s="2" t="s">
        <v>21</v>
      </c>
      <c r="B6" s="2" t="s">
        <v>22</v>
      </c>
      <c r="C6" s="2" t="s">
        <v>61</v>
      </c>
      <c r="D6" s="2" t="s">
        <v>62</v>
      </c>
      <c r="E6" s="2" t="s">
        <v>50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43</v>
      </c>
      <c r="L6" s="2" t="s">
        <v>32</v>
      </c>
      <c r="M6" s="2" t="s">
        <v>58</v>
      </c>
      <c r="N6" s="2" t="s">
        <v>63</v>
      </c>
      <c r="O6" s="2" t="s">
        <v>35</v>
      </c>
      <c r="P6" s="2" t="s">
        <v>36</v>
      </c>
      <c r="Q6" s="2" t="s">
        <v>35</v>
      </c>
      <c r="R6" s="2" t="s">
        <v>37</v>
      </c>
      <c r="S6" s="2" t="s">
        <v>38</v>
      </c>
      <c r="T6" s="2">
        <v>27.32</v>
      </c>
      <c r="U6" s="2" t="s">
        <v>39</v>
      </c>
    </row>
    <row r="7" ht="14.25" customHeight="1">
      <c r="A7" s="2" t="s">
        <v>21</v>
      </c>
      <c r="B7" s="2" t="s">
        <v>22</v>
      </c>
      <c r="C7" s="2" t="s">
        <v>64</v>
      </c>
      <c r="D7" s="2" t="s">
        <v>65</v>
      </c>
      <c r="E7" s="2" t="s">
        <v>66</v>
      </c>
      <c r="F7" s="2" t="s">
        <v>26</v>
      </c>
      <c r="G7" s="2" t="s">
        <v>27</v>
      </c>
      <c r="H7" s="2" t="s">
        <v>28</v>
      </c>
      <c r="I7" s="2" t="s">
        <v>67</v>
      </c>
      <c r="J7" s="2" t="s">
        <v>30</v>
      </c>
      <c r="K7" s="2" t="s">
        <v>43</v>
      </c>
      <c r="L7" s="2" t="s">
        <v>32</v>
      </c>
      <c r="M7" s="2" t="s">
        <v>33</v>
      </c>
      <c r="N7" s="2" t="s">
        <v>68</v>
      </c>
      <c r="O7" s="2" t="s">
        <v>52</v>
      </c>
      <c r="P7" s="2" t="s">
        <v>36</v>
      </c>
      <c r="Q7" s="2" t="s">
        <v>52</v>
      </c>
      <c r="R7" s="2" t="s">
        <v>37</v>
      </c>
      <c r="S7" s="2" t="s">
        <v>38</v>
      </c>
      <c r="T7" s="2">
        <v>30.19</v>
      </c>
      <c r="U7" s="2" t="s">
        <v>39</v>
      </c>
    </row>
    <row r="8" ht="14.25" customHeight="1">
      <c r="A8" s="2" t="s">
        <v>21</v>
      </c>
      <c r="B8" s="2" t="s">
        <v>22</v>
      </c>
      <c r="C8" s="2" t="s">
        <v>69</v>
      </c>
      <c r="D8" s="2" t="s">
        <v>70</v>
      </c>
      <c r="E8" s="2" t="s">
        <v>71</v>
      </c>
      <c r="F8" s="2" t="s">
        <v>26</v>
      </c>
      <c r="G8" s="2" t="s">
        <v>27</v>
      </c>
      <c r="H8" s="2" t="s">
        <v>28</v>
      </c>
      <c r="I8" s="2" t="s">
        <v>72</v>
      </c>
      <c r="J8" s="2" t="s">
        <v>30</v>
      </c>
      <c r="K8" s="2" t="s">
        <v>43</v>
      </c>
      <c r="L8" s="2" t="s">
        <v>32</v>
      </c>
      <c r="M8" s="2" t="s">
        <v>58</v>
      </c>
      <c r="N8" s="2" t="s">
        <v>73</v>
      </c>
      <c r="O8" s="2" t="s">
        <v>52</v>
      </c>
      <c r="P8" s="2" t="s">
        <v>36</v>
      </c>
      <c r="Q8" s="2" t="s">
        <v>52</v>
      </c>
      <c r="R8" s="2" t="s">
        <v>37</v>
      </c>
      <c r="S8" s="2" t="s">
        <v>38</v>
      </c>
      <c r="T8" s="2">
        <v>30.19</v>
      </c>
      <c r="U8" s="2" t="s">
        <v>39</v>
      </c>
    </row>
    <row r="9" ht="14.25" customHeight="1">
      <c r="A9" s="2" t="s">
        <v>21</v>
      </c>
      <c r="B9" s="2" t="s">
        <v>22</v>
      </c>
      <c r="C9" s="2" t="s">
        <v>74</v>
      </c>
      <c r="D9" s="2" t="s">
        <v>75</v>
      </c>
      <c r="E9" s="2" t="s">
        <v>76</v>
      </c>
      <c r="F9" s="2" t="s">
        <v>26</v>
      </c>
      <c r="G9" s="2" t="s">
        <v>27</v>
      </c>
      <c r="H9" s="2" t="s">
        <v>28</v>
      </c>
      <c r="I9" s="2" t="s">
        <v>77</v>
      </c>
      <c r="J9" s="2" t="s">
        <v>30</v>
      </c>
      <c r="K9" s="2" t="s">
        <v>43</v>
      </c>
      <c r="L9" s="2" t="s">
        <v>32</v>
      </c>
      <c r="M9" s="2" t="s">
        <v>58</v>
      </c>
      <c r="N9" s="2" t="s">
        <v>78</v>
      </c>
      <c r="O9" s="2" t="s">
        <v>79</v>
      </c>
      <c r="P9" s="2" t="s">
        <v>36</v>
      </c>
      <c r="Q9" s="2" t="s">
        <v>79</v>
      </c>
      <c r="R9" s="2" t="s">
        <v>37</v>
      </c>
      <c r="S9" s="2" t="s">
        <v>38</v>
      </c>
      <c r="T9" s="2">
        <v>28.76</v>
      </c>
      <c r="U9" s="2" t="s">
        <v>39</v>
      </c>
    </row>
    <row r="10" ht="14.25" customHeight="1">
      <c r="A10" s="2" t="s">
        <v>21</v>
      </c>
      <c r="B10" s="2" t="s">
        <v>22</v>
      </c>
      <c r="C10" s="2" t="s">
        <v>80</v>
      </c>
      <c r="D10" s="2" t="s">
        <v>81</v>
      </c>
      <c r="E10" s="2" t="s">
        <v>82</v>
      </c>
      <c r="F10" s="2" t="s">
        <v>26</v>
      </c>
      <c r="G10" s="2" t="s">
        <v>27</v>
      </c>
      <c r="H10" s="2" t="s">
        <v>28</v>
      </c>
      <c r="I10" s="2" t="s">
        <v>77</v>
      </c>
      <c r="J10" s="2" t="s">
        <v>30</v>
      </c>
      <c r="K10" s="2" t="s">
        <v>43</v>
      </c>
      <c r="L10" s="2" t="s">
        <v>32</v>
      </c>
      <c r="M10" s="2" t="s">
        <v>58</v>
      </c>
      <c r="N10" s="2" t="s">
        <v>68</v>
      </c>
      <c r="O10" s="2" t="s">
        <v>52</v>
      </c>
      <c r="P10" s="2" t="s">
        <v>36</v>
      </c>
      <c r="Q10" s="2" t="s">
        <v>52</v>
      </c>
      <c r="R10" s="2" t="s">
        <v>37</v>
      </c>
      <c r="S10" s="2" t="s">
        <v>38</v>
      </c>
      <c r="T10" s="2">
        <v>30.19</v>
      </c>
      <c r="U10" s="2" t="s">
        <v>39</v>
      </c>
    </row>
    <row r="11" ht="14.25" customHeight="1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26</v>
      </c>
      <c r="G11" s="2" t="s">
        <v>27</v>
      </c>
      <c r="H11" s="2" t="s">
        <v>88</v>
      </c>
      <c r="I11" s="2" t="s">
        <v>89</v>
      </c>
      <c r="J11" s="2" t="s">
        <v>90</v>
      </c>
      <c r="K11" s="2" t="s">
        <v>43</v>
      </c>
      <c r="L11" s="2" t="s">
        <v>32</v>
      </c>
      <c r="M11" s="2" t="s">
        <v>58</v>
      </c>
      <c r="N11" s="2" t="s">
        <v>78</v>
      </c>
      <c r="O11" s="2" t="s">
        <v>91</v>
      </c>
      <c r="P11" s="2" t="s">
        <v>36</v>
      </c>
      <c r="Q11" s="2" t="s">
        <v>91</v>
      </c>
      <c r="R11" s="2" t="s">
        <v>37</v>
      </c>
      <c r="S11" s="2" t="s">
        <v>92</v>
      </c>
      <c r="T11" s="2">
        <v>23.69</v>
      </c>
      <c r="U11" s="2" t="s">
        <v>39</v>
      </c>
    </row>
    <row r="12" ht="14.25" customHeight="1">
      <c r="A12" s="2" t="s">
        <v>83</v>
      </c>
      <c r="B12" s="2" t="s">
        <v>84</v>
      </c>
      <c r="C12" s="2" t="s">
        <v>93</v>
      </c>
      <c r="D12" s="2" t="s">
        <v>86</v>
      </c>
      <c r="E12" s="2" t="s">
        <v>87</v>
      </c>
      <c r="F12" s="2" t="s">
        <v>56</v>
      </c>
      <c r="G12" s="2" t="s">
        <v>57</v>
      </c>
      <c r="H12" s="2" t="s">
        <v>88</v>
      </c>
      <c r="I12" s="2" t="s">
        <v>89</v>
      </c>
      <c r="J12" s="2" t="s">
        <v>90</v>
      </c>
      <c r="K12" s="2" t="s">
        <v>43</v>
      </c>
      <c r="L12" s="2" t="s">
        <v>32</v>
      </c>
      <c r="M12" s="2" t="s">
        <v>58</v>
      </c>
      <c r="N12" s="2" t="s">
        <v>78</v>
      </c>
      <c r="O12" s="2" t="s">
        <v>59</v>
      </c>
      <c r="P12" s="2" t="s">
        <v>36</v>
      </c>
      <c r="Q12" s="2" t="s">
        <v>59</v>
      </c>
      <c r="R12" s="2" t="s">
        <v>37</v>
      </c>
      <c r="S12" s="2" t="s">
        <v>60</v>
      </c>
      <c r="T12" s="2">
        <v>15.54</v>
      </c>
      <c r="U12" s="2" t="s">
        <v>39</v>
      </c>
    </row>
    <row r="13" ht="14.25" customHeight="1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56</v>
      </c>
      <c r="G13" s="2" t="s">
        <v>57</v>
      </c>
      <c r="H13" s="2" t="s">
        <v>99</v>
      </c>
      <c r="I13" s="2" t="s">
        <v>89</v>
      </c>
      <c r="J13" s="2" t="s">
        <v>100</v>
      </c>
      <c r="K13" s="2" t="s">
        <v>101</v>
      </c>
      <c r="L13" s="2" t="s">
        <v>32</v>
      </c>
      <c r="M13" s="2" t="s">
        <v>102</v>
      </c>
      <c r="N13" s="2" t="s">
        <v>103</v>
      </c>
      <c r="O13" s="2" t="s">
        <v>104</v>
      </c>
      <c r="P13" s="2" t="s">
        <v>36</v>
      </c>
      <c r="Q13" s="2" t="s">
        <v>104</v>
      </c>
      <c r="R13" s="2" t="s">
        <v>37</v>
      </c>
      <c r="S13" s="2" t="s">
        <v>60</v>
      </c>
      <c r="T13" s="2">
        <v>-14.13</v>
      </c>
      <c r="U13" s="2" t="s">
        <v>39</v>
      </c>
    </row>
    <row r="14" ht="14.25" customHeight="1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56</v>
      </c>
      <c r="G14" s="2" t="s">
        <v>57</v>
      </c>
      <c r="H14" s="2" t="s">
        <v>88</v>
      </c>
      <c r="I14" s="2" t="s">
        <v>77</v>
      </c>
      <c r="J14" s="2" t="s">
        <v>30</v>
      </c>
      <c r="K14" s="2" t="s">
        <v>110</v>
      </c>
      <c r="L14" s="2" t="s">
        <v>32</v>
      </c>
      <c r="M14" s="2" t="s">
        <v>33</v>
      </c>
      <c r="N14" s="2" t="s">
        <v>103</v>
      </c>
      <c r="O14" s="2" t="s">
        <v>111</v>
      </c>
      <c r="P14" s="2" t="s">
        <v>36</v>
      </c>
      <c r="Q14" s="2" t="s">
        <v>111</v>
      </c>
      <c r="R14" s="2" t="s">
        <v>37</v>
      </c>
      <c r="S14" s="2" t="s">
        <v>60</v>
      </c>
      <c r="T14" s="2">
        <v>13.98</v>
      </c>
      <c r="U14" s="2" t="s">
        <v>39</v>
      </c>
    </row>
    <row r="15" ht="14.25" customHeight="1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26</v>
      </c>
      <c r="G15" s="2" t="s">
        <v>27</v>
      </c>
      <c r="H15" s="2" t="s">
        <v>117</v>
      </c>
      <c r="I15" s="2" t="s">
        <v>89</v>
      </c>
      <c r="J15" s="2" t="s">
        <v>118</v>
      </c>
      <c r="K15" s="2" t="s">
        <v>110</v>
      </c>
      <c r="L15" s="2" t="s">
        <v>32</v>
      </c>
      <c r="M15" s="2" t="s">
        <v>33</v>
      </c>
      <c r="N15" s="2" t="s">
        <v>119</v>
      </c>
      <c r="O15" s="2" t="s">
        <v>120</v>
      </c>
      <c r="P15" s="2" t="s">
        <v>36</v>
      </c>
      <c r="Q15" s="2" t="s">
        <v>120</v>
      </c>
      <c r="R15" s="2" t="s">
        <v>37</v>
      </c>
      <c r="S15" s="2" t="s">
        <v>121</v>
      </c>
      <c r="T15" s="2">
        <v>43.48</v>
      </c>
      <c r="U15" s="2" t="s">
        <v>39</v>
      </c>
    </row>
    <row r="16" ht="14.25" customHeight="1">
      <c r="A16" s="2" t="s">
        <v>112</v>
      </c>
      <c r="B16" s="2" t="s">
        <v>113</v>
      </c>
      <c r="C16" s="2" t="s">
        <v>122</v>
      </c>
      <c r="D16" s="2" t="s">
        <v>123</v>
      </c>
      <c r="E16" s="2" t="s">
        <v>124</v>
      </c>
      <c r="F16" s="2" t="s">
        <v>26</v>
      </c>
      <c r="G16" s="2" t="s">
        <v>27</v>
      </c>
      <c r="H16" s="2" t="s">
        <v>117</v>
      </c>
      <c r="I16" s="2" t="s">
        <v>89</v>
      </c>
      <c r="J16" s="2" t="s">
        <v>118</v>
      </c>
      <c r="K16" s="2" t="s">
        <v>125</v>
      </c>
      <c r="L16" s="2" t="s">
        <v>32</v>
      </c>
      <c r="M16" s="2" t="s">
        <v>33</v>
      </c>
      <c r="N16" s="2" t="s">
        <v>119</v>
      </c>
      <c r="O16" s="2" t="s">
        <v>126</v>
      </c>
      <c r="P16" s="2" t="s">
        <v>36</v>
      </c>
      <c r="Q16" s="2" t="s">
        <v>126</v>
      </c>
      <c r="R16" s="2" t="s">
        <v>37</v>
      </c>
      <c r="S16" s="2" t="s">
        <v>121</v>
      </c>
      <c r="T16" s="2">
        <v>40.21</v>
      </c>
      <c r="U16" s="2" t="s">
        <v>39</v>
      </c>
    </row>
    <row r="17" ht="14.25" customHeight="1">
      <c r="A17" s="2" t="s">
        <v>112</v>
      </c>
      <c r="B17" s="2" t="s">
        <v>113</v>
      </c>
      <c r="C17" s="2" t="s">
        <v>127</v>
      </c>
      <c r="D17" s="2" t="s">
        <v>128</v>
      </c>
      <c r="E17" s="2" t="s">
        <v>129</v>
      </c>
      <c r="F17" s="2" t="s">
        <v>26</v>
      </c>
      <c r="G17" s="2" t="s">
        <v>27</v>
      </c>
      <c r="H17" s="2" t="s">
        <v>117</v>
      </c>
      <c r="I17" s="2" t="s">
        <v>29</v>
      </c>
      <c r="J17" s="2" t="s">
        <v>30</v>
      </c>
      <c r="K17" s="2" t="s">
        <v>130</v>
      </c>
      <c r="L17" s="2" t="s">
        <v>32</v>
      </c>
      <c r="M17" s="2" t="s">
        <v>33</v>
      </c>
      <c r="N17" s="2" t="s">
        <v>119</v>
      </c>
      <c r="O17" s="2" t="s">
        <v>131</v>
      </c>
      <c r="P17" s="2" t="s">
        <v>36</v>
      </c>
      <c r="Q17" s="2" t="s">
        <v>131</v>
      </c>
      <c r="R17" s="2" t="s">
        <v>37</v>
      </c>
      <c r="S17" s="2" t="s">
        <v>121</v>
      </c>
      <c r="T17" s="2">
        <v>44.57</v>
      </c>
      <c r="U17" s="2" t="s">
        <v>39</v>
      </c>
    </row>
    <row r="18" ht="14.25" customHeight="1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116</v>
      </c>
      <c r="F18" s="2" t="s">
        <v>26</v>
      </c>
      <c r="G18" s="2" t="s">
        <v>27</v>
      </c>
      <c r="H18" s="2" t="s">
        <v>117</v>
      </c>
      <c r="I18" s="2" t="s">
        <v>72</v>
      </c>
      <c r="J18" s="2" t="s">
        <v>30</v>
      </c>
      <c r="K18" s="2" t="s">
        <v>110</v>
      </c>
      <c r="L18" s="2" t="s">
        <v>32</v>
      </c>
      <c r="M18" s="2" t="s">
        <v>102</v>
      </c>
      <c r="N18" s="2" t="s">
        <v>119</v>
      </c>
      <c r="O18" s="2" t="s">
        <v>132</v>
      </c>
      <c r="P18" s="2" t="s">
        <v>36</v>
      </c>
      <c r="Q18" s="2" t="s">
        <v>132</v>
      </c>
      <c r="R18" s="2" t="s">
        <v>37</v>
      </c>
      <c r="S18" s="2" t="s">
        <v>121</v>
      </c>
      <c r="T18" s="2">
        <v>-43.48</v>
      </c>
      <c r="U18" s="2" t="s">
        <v>39</v>
      </c>
    </row>
    <row r="19" ht="14.25" customHeight="1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2" t="s">
        <v>26</v>
      </c>
      <c r="G19" s="2" t="s">
        <v>27</v>
      </c>
      <c r="H19" s="2" t="s">
        <v>88</v>
      </c>
      <c r="I19" s="2" t="s">
        <v>89</v>
      </c>
      <c r="J19" s="2" t="s">
        <v>30</v>
      </c>
      <c r="K19" s="2" t="s">
        <v>43</v>
      </c>
      <c r="L19" s="2" t="s">
        <v>32</v>
      </c>
      <c r="M19" s="2" t="s">
        <v>58</v>
      </c>
      <c r="N19" s="2" t="s">
        <v>44</v>
      </c>
      <c r="O19" s="2" t="s">
        <v>138</v>
      </c>
      <c r="P19" s="2" t="s">
        <v>36</v>
      </c>
      <c r="Q19" s="2" t="s">
        <v>139</v>
      </c>
      <c r="R19" s="2" t="s">
        <v>37</v>
      </c>
      <c r="S19" s="2" t="s">
        <v>92</v>
      </c>
      <c r="T19" s="2">
        <v>24.27</v>
      </c>
      <c r="U19" s="2" t="s">
        <v>39</v>
      </c>
    </row>
    <row r="20" ht="14.25" customHeight="1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56</v>
      </c>
      <c r="G20" s="2" t="s">
        <v>57</v>
      </c>
      <c r="H20" s="2" t="s">
        <v>88</v>
      </c>
      <c r="I20" s="2" t="s">
        <v>29</v>
      </c>
      <c r="J20" s="2" t="s">
        <v>145</v>
      </c>
      <c r="K20" s="2" t="s">
        <v>146</v>
      </c>
      <c r="L20" s="2" t="s">
        <v>32</v>
      </c>
      <c r="M20" s="2" t="s">
        <v>58</v>
      </c>
      <c r="N20" s="2" t="s">
        <v>119</v>
      </c>
      <c r="O20" s="2" t="s">
        <v>147</v>
      </c>
      <c r="P20" s="2" t="s">
        <v>36</v>
      </c>
      <c r="Q20" s="2" t="s">
        <v>147</v>
      </c>
      <c r="R20" s="2" t="s">
        <v>37</v>
      </c>
      <c r="S20" s="2" t="s">
        <v>60</v>
      </c>
      <c r="T20" s="2">
        <v>16.25</v>
      </c>
      <c r="U20" s="2" t="s">
        <v>39</v>
      </c>
    </row>
    <row r="21" ht="14.25" customHeight="1">
      <c r="A21" s="2" t="s">
        <v>148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56</v>
      </c>
      <c r="G21" s="2" t="s">
        <v>57</v>
      </c>
      <c r="H21" s="2" t="s">
        <v>153</v>
      </c>
      <c r="I21" s="2" t="s">
        <v>77</v>
      </c>
      <c r="J21" s="2" t="s">
        <v>30</v>
      </c>
      <c r="K21" s="2" t="s">
        <v>154</v>
      </c>
      <c r="L21" s="2" t="s">
        <v>32</v>
      </c>
      <c r="M21" s="2" t="s">
        <v>58</v>
      </c>
      <c r="N21" s="2" t="s">
        <v>119</v>
      </c>
      <c r="O21" s="2" t="s">
        <v>155</v>
      </c>
      <c r="P21" s="2" t="s">
        <v>36</v>
      </c>
      <c r="Q21" s="2" t="s">
        <v>155</v>
      </c>
      <c r="R21" s="2" t="s">
        <v>37</v>
      </c>
      <c r="S21" s="2" t="s">
        <v>60</v>
      </c>
      <c r="T21" s="2">
        <v>14.73</v>
      </c>
      <c r="U21" s="2" t="s">
        <v>54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71"/>
    <col customWidth="1" min="4" max="5" width="13.29"/>
    <col customWidth="1" min="6" max="9" width="8.71"/>
    <col customWidth="1" min="10" max="10" width="10.14"/>
    <col customWidth="1" min="11" max="11" width="10.71"/>
    <col customWidth="1" min="12" max="17" width="8.71"/>
    <col customWidth="1" min="18" max="18" width="15.14"/>
    <col customWidth="1" min="19" max="19" width="47.86"/>
    <col customWidth="1" min="20" max="26" width="8.71"/>
  </cols>
  <sheetData>
    <row r="1" ht="14.25" customHeight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13</v>
      </c>
      <c r="N1" s="1"/>
      <c r="O1" s="1"/>
      <c r="P1" s="1" t="s">
        <v>16</v>
      </c>
      <c r="Q1" s="1" t="s">
        <v>18</v>
      </c>
      <c r="R1" s="1" t="s">
        <v>19</v>
      </c>
    </row>
    <row r="2" ht="14.25" customHeight="1">
      <c r="A2" s="2" t="s">
        <v>21</v>
      </c>
      <c r="B2" s="3">
        <v>1.9491313E7</v>
      </c>
      <c r="C2" s="4">
        <v>1.9491313E7</v>
      </c>
      <c r="D2" s="2" t="s">
        <v>23</v>
      </c>
      <c r="E2" s="2" t="s">
        <v>23</v>
      </c>
      <c r="F2" s="2" t="s">
        <v>24</v>
      </c>
      <c r="G2" s="2" t="s">
        <v>25</v>
      </c>
      <c r="H2" s="2" t="s">
        <v>156</v>
      </c>
      <c r="I2" s="2" t="s">
        <v>27</v>
      </c>
      <c r="J2" s="2" t="s">
        <v>28</v>
      </c>
      <c r="K2" s="5">
        <v>45992.0</v>
      </c>
      <c r="L2" s="5">
        <v>46174.0</v>
      </c>
      <c r="M2" s="2">
        <f t="shared" ref="M2:M35" si="1">DATEDIF(K2,L2,"M")</f>
        <v>6</v>
      </c>
      <c r="N2" s="2" t="s">
        <v>157</v>
      </c>
      <c r="O2" s="2" t="s">
        <v>158</v>
      </c>
      <c r="P2" s="3">
        <v>130.09</v>
      </c>
      <c r="Q2" s="6">
        <v>0.21</v>
      </c>
      <c r="R2" s="2">
        <v>27.32</v>
      </c>
      <c r="S2" s="2" t="s">
        <v>159</v>
      </c>
    </row>
    <row r="3" ht="14.25" customHeight="1">
      <c r="A3" s="2" t="s">
        <v>21</v>
      </c>
      <c r="B3" s="3">
        <v>1.9491313E7</v>
      </c>
      <c r="C3" s="4">
        <v>1.9491313E7</v>
      </c>
      <c r="D3" s="2" t="s">
        <v>40</v>
      </c>
      <c r="E3" s="2" t="s">
        <v>40</v>
      </c>
      <c r="F3" s="2" t="s">
        <v>41</v>
      </c>
      <c r="G3" s="2" t="s">
        <v>42</v>
      </c>
      <c r="H3" s="2" t="s">
        <v>160</v>
      </c>
      <c r="I3" s="2" t="s">
        <v>27</v>
      </c>
      <c r="J3" s="2" t="s">
        <v>28</v>
      </c>
      <c r="K3" s="5">
        <v>45931.0</v>
      </c>
      <c r="L3" s="5">
        <v>46174.0</v>
      </c>
      <c r="M3" s="2">
        <f t="shared" si="1"/>
        <v>8</v>
      </c>
      <c r="N3" s="2" t="s">
        <v>157</v>
      </c>
      <c r="O3" s="2" t="s">
        <v>158</v>
      </c>
      <c r="P3" s="3">
        <v>104.28</v>
      </c>
      <c r="Q3" s="6">
        <v>0.02</v>
      </c>
      <c r="R3" s="2">
        <v>2.09</v>
      </c>
      <c r="S3" s="2" t="s">
        <v>161</v>
      </c>
    </row>
    <row r="4" ht="14.25" customHeight="1">
      <c r="A4" s="2" t="s">
        <v>21</v>
      </c>
      <c r="B4" s="3">
        <v>1.9491313E7</v>
      </c>
      <c r="C4" s="4">
        <v>1.9491313E7</v>
      </c>
      <c r="D4" s="2" t="s">
        <v>48</v>
      </c>
      <c r="E4" s="2" t="s">
        <v>48</v>
      </c>
      <c r="F4" s="2" t="s">
        <v>49</v>
      </c>
      <c r="G4" s="2" t="s">
        <v>50</v>
      </c>
      <c r="H4" s="2" t="s">
        <v>162</v>
      </c>
      <c r="I4" s="2" t="s">
        <v>27</v>
      </c>
      <c r="J4" s="2" t="s">
        <v>28</v>
      </c>
      <c r="K4" s="5">
        <v>45870.0</v>
      </c>
      <c r="L4" s="5">
        <v>46174.0</v>
      </c>
      <c r="M4" s="2">
        <f t="shared" si="1"/>
        <v>10</v>
      </c>
      <c r="N4" s="2" t="s">
        <v>157</v>
      </c>
      <c r="O4" s="2" t="s">
        <v>158</v>
      </c>
      <c r="P4" s="3">
        <v>115.86</v>
      </c>
      <c r="Q4" s="6">
        <v>0.21</v>
      </c>
      <c r="R4" s="2">
        <v>24.33</v>
      </c>
      <c r="S4" s="2" t="s">
        <v>159</v>
      </c>
    </row>
    <row r="5" ht="14.25" customHeight="1">
      <c r="A5" s="2" t="s">
        <v>21</v>
      </c>
      <c r="B5" s="3">
        <v>1.9491313E7</v>
      </c>
      <c r="C5" s="4">
        <v>1.9491313E7</v>
      </c>
      <c r="D5" s="2" t="s">
        <v>55</v>
      </c>
      <c r="E5" s="2" t="s">
        <v>55</v>
      </c>
      <c r="F5" s="2" t="s">
        <v>49</v>
      </c>
      <c r="G5" s="2" t="s">
        <v>50</v>
      </c>
      <c r="H5" s="2" t="s">
        <v>162</v>
      </c>
      <c r="I5" s="2" t="s">
        <v>57</v>
      </c>
      <c r="J5" s="2" t="s">
        <v>28</v>
      </c>
      <c r="K5" s="5">
        <v>45870.0</v>
      </c>
      <c r="L5" s="5">
        <v>46174.0</v>
      </c>
      <c r="M5" s="2">
        <f t="shared" si="1"/>
        <v>10</v>
      </c>
      <c r="N5" s="2" t="s">
        <v>157</v>
      </c>
      <c r="O5" s="2" t="s">
        <v>158</v>
      </c>
      <c r="P5" s="3">
        <v>62.17</v>
      </c>
      <c r="Q5" s="6">
        <v>0.25</v>
      </c>
      <c r="R5" s="2">
        <v>15.54</v>
      </c>
      <c r="S5" s="2" t="s">
        <v>163</v>
      </c>
    </row>
    <row r="6" ht="14.25" customHeight="1">
      <c r="A6" s="2" t="s">
        <v>21</v>
      </c>
      <c r="B6" s="3">
        <v>1.9491313E7</v>
      </c>
      <c r="C6" s="4">
        <v>1.9491313E7</v>
      </c>
      <c r="D6" s="2" t="s">
        <v>61</v>
      </c>
      <c r="E6" s="2" t="s">
        <v>61</v>
      </c>
      <c r="F6" s="2" t="s">
        <v>62</v>
      </c>
      <c r="G6" s="2" t="s">
        <v>50</v>
      </c>
      <c r="H6" s="2" t="s">
        <v>164</v>
      </c>
      <c r="I6" s="2" t="s">
        <v>27</v>
      </c>
      <c r="J6" s="2" t="s">
        <v>28</v>
      </c>
      <c r="K6" s="5">
        <v>46113.0</v>
      </c>
      <c r="L6" s="5">
        <v>46174.0</v>
      </c>
      <c r="M6" s="2">
        <f t="shared" si="1"/>
        <v>2</v>
      </c>
      <c r="N6" s="2" t="s">
        <v>157</v>
      </c>
      <c r="O6" s="2" t="s">
        <v>158</v>
      </c>
      <c r="P6" s="3">
        <v>130.09</v>
      </c>
      <c r="Q6" s="6">
        <v>0.21</v>
      </c>
      <c r="R6" s="2">
        <v>27.32</v>
      </c>
      <c r="S6" s="2" t="s">
        <v>159</v>
      </c>
    </row>
    <row r="7" ht="14.25" customHeight="1">
      <c r="A7" s="2" t="s">
        <v>21</v>
      </c>
      <c r="B7" s="3">
        <v>1.9491313E7</v>
      </c>
      <c r="C7" s="4">
        <v>1.9491313E7</v>
      </c>
      <c r="D7" s="2" t="s">
        <v>64</v>
      </c>
      <c r="E7" s="2" t="s">
        <v>64</v>
      </c>
      <c r="F7" s="2" t="s">
        <v>65</v>
      </c>
      <c r="G7" s="2" t="s">
        <v>66</v>
      </c>
      <c r="H7" s="2" t="s">
        <v>165</v>
      </c>
      <c r="I7" s="2" t="s">
        <v>27</v>
      </c>
      <c r="J7" s="2" t="s">
        <v>28</v>
      </c>
      <c r="K7" s="5">
        <v>46023.0</v>
      </c>
      <c r="L7" s="5">
        <v>46174.0</v>
      </c>
      <c r="M7" s="2">
        <f t="shared" si="1"/>
        <v>5</v>
      </c>
      <c r="N7" s="2" t="s">
        <v>157</v>
      </c>
      <c r="O7" s="2" t="s">
        <v>158</v>
      </c>
      <c r="P7" s="3">
        <v>143.78</v>
      </c>
      <c r="Q7" s="6">
        <v>0.21</v>
      </c>
      <c r="R7" s="2">
        <v>30.19</v>
      </c>
      <c r="S7" s="2" t="s">
        <v>159</v>
      </c>
    </row>
    <row r="8" ht="14.25" customHeight="1">
      <c r="A8" s="2" t="s">
        <v>21</v>
      </c>
      <c r="B8" s="3">
        <v>1.9491313E7</v>
      </c>
      <c r="C8" s="4">
        <v>1.9491313E7</v>
      </c>
      <c r="D8" s="2" t="s">
        <v>69</v>
      </c>
      <c r="E8" s="2" t="s">
        <v>69</v>
      </c>
      <c r="F8" s="2" t="s">
        <v>70</v>
      </c>
      <c r="G8" s="2" t="s">
        <v>71</v>
      </c>
      <c r="H8" s="2" t="s">
        <v>166</v>
      </c>
      <c r="I8" s="2" t="s">
        <v>27</v>
      </c>
      <c r="J8" s="2" t="s">
        <v>28</v>
      </c>
      <c r="K8" s="5">
        <v>46054.0</v>
      </c>
      <c r="L8" s="5">
        <v>46174.0</v>
      </c>
      <c r="M8" s="2">
        <f t="shared" si="1"/>
        <v>4</v>
      </c>
      <c r="N8" s="2" t="s">
        <v>157</v>
      </c>
      <c r="O8" s="2" t="s">
        <v>158</v>
      </c>
      <c r="P8" s="3">
        <v>143.78</v>
      </c>
      <c r="Q8" s="6">
        <v>0.21</v>
      </c>
      <c r="R8" s="2">
        <v>30.19</v>
      </c>
      <c r="S8" s="2" t="s">
        <v>159</v>
      </c>
    </row>
    <row r="9" ht="14.25" customHeight="1">
      <c r="A9" s="2" t="s">
        <v>21</v>
      </c>
      <c r="B9" s="3">
        <v>1.9491313E7</v>
      </c>
      <c r="C9" s="4">
        <v>1.9491313E7</v>
      </c>
      <c r="D9" s="2" t="s">
        <v>74</v>
      </c>
      <c r="E9" s="2" t="s">
        <v>74</v>
      </c>
      <c r="F9" s="2" t="s">
        <v>75</v>
      </c>
      <c r="G9" s="2" t="s">
        <v>76</v>
      </c>
      <c r="H9" s="2" t="s">
        <v>167</v>
      </c>
      <c r="I9" s="2" t="s">
        <v>27</v>
      </c>
      <c r="J9" s="2" t="s">
        <v>28</v>
      </c>
      <c r="K9" s="5">
        <v>46082.0</v>
      </c>
      <c r="L9" s="5">
        <v>46174.0</v>
      </c>
      <c r="M9" s="2">
        <f t="shared" si="1"/>
        <v>3</v>
      </c>
      <c r="N9" s="2" t="s">
        <v>157</v>
      </c>
      <c r="O9" s="2" t="s">
        <v>158</v>
      </c>
      <c r="P9" s="3">
        <v>136.94</v>
      </c>
      <c r="Q9" s="6">
        <v>0.21</v>
      </c>
      <c r="R9" s="2">
        <v>28.76</v>
      </c>
      <c r="S9" s="2" t="s">
        <v>159</v>
      </c>
    </row>
    <row r="10" ht="14.25" customHeight="1">
      <c r="A10" s="2" t="s">
        <v>21</v>
      </c>
      <c r="B10" s="3">
        <v>1.9491313E7</v>
      </c>
      <c r="C10" s="4">
        <v>1.9491313E7</v>
      </c>
      <c r="D10" s="2" t="s">
        <v>80</v>
      </c>
      <c r="E10" s="2" t="s">
        <v>80</v>
      </c>
      <c r="F10" s="2" t="s">
        <v>81</v>
      </c>
      <c r="G10" s="2" t="s">
        <v>82</v>
      </c>
      <c r="H10" s="2" t="s">
        <v>168</v>
      </c>
      <c r="I10" s="2" t="s">
        <v>27</v>
      </c>
      <c r="J10" s="2" t="s">
        <v>28</v>
      </c>
      <c r="K10" s="5">
        <v>46023.0</v>
      </c>
      <c r="L10" s="5">
        <v>46174.0</v>
      </c>
      <c r="M10" s="2">
        <f t="shared" si="1"/>
        <v>5</v>
      </c>
      <c r="N10" s="2" t="s">
        <v>157</v>
      </c>
      <c r="O10" s="2" t="s">
        <v>158</v>
      </c>
      <c r="P10" s="3">
        <v>143.78</v>
      </c>
      <c r="Q10" s="6">
        <v>0.21</v>
      </c>
      <c r="R10" s="2">
        <v>30.19</v>
      </c>
      <c r="S10" s="2" t="s">
        <v>159</v>
      </c>
    </row>
    <row r="11" ht="14.25" customHeight="1">
      <c r="A11" s="7" t="s">
        <v>83</v>
      </c>
      <c r="B11" s="7">
        <v>8812322.0</v>
      </c>
      <c r="C11" s="8" t="s">
        <v>169</v>
      </c>
      <c r="D11" s="7" t="s">
        <v>85</v>
      </c>
      <c r="E11" s="7" t="s">
        <v>85</v>
      </c>
      <c r="F11" s="7" t="s">
        <v>86</v>
      </c>
      <c r="G11" s="7" t="s">
        <v>87</v>
      </c>
      <c r="H11" s="7" t="s">
        <v>170</v>
      </c>
      <c r="I11" s="7" t="s">
        <v>27</v>
      </c>
      <c r="J11" s="7" t="s">
        <v>88</v>
      </c>
      <c r="K11" s="9">
        <v>46085.0</v>
      </c>
      <c r="L11" s="9">
        <v>46177.0</v>
      </c>
      <c r="M11" s="7">
        <f t="shared" si="1"/>
        <v>3</v>
      </c>
      <c r="N11" s="7" t="s">
        <v>157</v>
      </c>
      <c r="O11" s="7" t="s">
        <v>171</v>
      </c>
      <c r="P11" s="7">
        <v>113.89</v>
      </c>
      <c r="Q11" s="10">
        <v>0.208</v>
      </c>
      <c r="R11" s="7">
        <v>23.69</v>
      </c>
      <c r="S11" s="7" t="s">
        <v>172</v>
      </c>
      <c r="T11" s="7"/>
      <c r="U11" s="7"/>
      <c r="V11" s="7"/>
      <c r="W11" s="7"/>
      <c r="X11" s="7"/>
      <c r="Y11" s="7"/>
      <c r="Z11" s="7"/>
    </row>
    <row r="12" ht="14.25" customHeight="1">
      <c r="A12" s="7" t="s">
        <v>83</v>
      </c>
      <c r="B12" s="7">
        <v>8812322.0</v>
      </c>
      <c r="C12" s="8" t="s">
        <v>169</v>
      </c>
      <c r="D12" s="7" t="s">
        <v>93</v>
      </c>
      <c r="E12" s="7" t="s">
        <v>93</v>
      </c>
      <c r="F12" s="7" t="s">
        <v>86</v>
      </c>
      <c r="G12" s="7" t="s">
        <v>87</v>
      </c>
      <c r="H12" s="7" t="s">
        <v>170</v>
      </c>
      <c r="I12" s="7" t="s">
        <v>57</v>
      </c>
      <c r="J12" s="7" t="s">
        <v>88</v>
      </c>
      <c r="K12" s="9">
        <v>46085.0</v>
      </c>
      <c r="L12" s="9">
        <v>46177.0</v>
      </c>
      <c r="M12" s="7">
        <f t="shared" si="1"/>
        <v>3</v>
      </c>
      <c r="N12" s="7" t="s">
        <v>157</v>
      </c>
      <c r="O12" s="7" t="s">
        <v>171</v>
      </c>
      <c r="P12" s="7">
        <v>62.17</v>
      </c>
      <c r="Q12" s="10">
        <v>0.25</v>
      </c>
      <c r="R12" s="7">
        <v>15.54</v>
      </c>
      <c r="S12" s="7" t="s">
        <v>163</v>
      </c>
      <c r="T12" s="7"/>
      <c r="U12" s="7"/>
      <c r="V12" s="7"/>
      <c r="W12" s="7"/>
      <c r="X12" s="7"/>
      <c r="Y12" s="7"/>
      <c r="Z12" s="7"/>
    </row>
    <row r="13" ht="14.25" customHeight="1">
      <c r="A13" s="7" t="s">
        <v>105</v>
      </c>
      <c r="B13" s="7">
        <v>1.6912722E7</v>
      </c>
      <c r="C13" s="8" t="s">
        <v>173</v>
      </c>
      <c r="D13" s="7" t="s">
        <v>107</v>
      </c>
      <c r="E13" s="7" t="s">
        <v>107</v>
      </c>
      <c r="F13" s="7" t="s">
        <v>108</v>
      </c>
      <c r="G13" s="7" t="s">
        <v>109</v>
      </c>
      <c r="H13" s="7" t="s">
        <v>174</v>
      </c>
      <c r="I13" s="7" t="s">
        <v>57</v>
      </c>
      <c r="J13" s="7" t="s">
        <v>88</v>
      </c>
      <c r="K13" s="9">
        <v>45962.0</v>
      </c>
      <c r="L13" s="9">
        <v>46174.0</v>
      </c>
      <c r="M13" s="7">
        <f t="shared" si="1"/>
        <v>7</v>
      </c>
      <c r="N13" s="7" t="s">
        <v>157</v>
      </c>
      <c r="O13" s="7" t="s">
        <v>171</v>
      </c>
      <c r="P13" s="7">
        <v>55.9</v>
      </c>
      <c r="Q13" s="10">
        <v>0.25</v>
      </c>
      <c r="R13" s="7">
        <v>13.98</v>
      </c>
      <c r="S13" s="7" t="s">
        <v>163</v>
      </c>
      <c r="T13" s="7"/>
      <c r="U13" s="7"/>
      <c r="V13" s="7"/>
      <c r="W13" s="7"/>
      <c r="X13" s="7"/>
      <c r="Y13" s="7"/>
      <c r="Z13" s="7"/>
    </row>
    <row r="14" ht="14.25" customHeight="1">
      <c r="A14" s="11" t="s">
        <v>112</v>
      </c>
      <c r="B14" s="11">
        <v>1.6849453E7</v>
      </c>
      <c r="C14" s="11" t="s">
        <v>175</v>
      </c>
      <c r="D14" s="11" t="s">
        <v>122</v>
      </c>
      <c r="E14" s="11" t="s">
        <v>122</v>
      </c>
      <c r="F14" s="11" t="s">
        <v>123</v>
      </c>
      <c r="G14" s="11" t="s">
        <v>124</v>
      </c>
      <c r="H14" s="11" t="s">
        <v>176</v>
      </c>
      <c r="I14" s="11" t="s">
        <v>27</v>
      </c>
      <c r="J14" s="11" t="s">
        <v>117</v>
      </c>
      <c r="K14" s="12">
        <v>46174.0</v>
      </c>
      <c r="L14" s="12">
        <v>46204.0</v>
      </c>
      <c r="M14" s="11">
        <f t="shared" si="1"/>
        <v>1</v>
      </c>
      <c r="N14" s="11" t="s">
        <v>177</v>
      </c>
      <c r="O14" s="11" t="s">
        <v>178</v>
      </c>
      <c r="P14" s="11">
        <v>173.33</v>
      </c>
      <c r="Q14" s="13">
        <v>0.232</v>
      </c>
      <c r="R14" s="11">
        <v>40.21</v>
      </c>
      <c r="S14" s="11" t="s">
        <v>179</v>
      </c>
      <c r="T14" s="11"/>
      <c r="U14" s="11"/>
      <c r="V14" s="11"/>
      <c r="W14" s="11"/>
      <c r="X14" s="11"/>
      <c r="Y14" s="11"/>
      <c r="Z14" s="11"/>
    </row>
    <row r="15" ht="14.25" customHeight="1">
      <c r="A15" s="11" t="s">
        <v>112</v>
      </c>
      <c r="B15" s="11">
        <v>1.6849453E7</v>
      </c>
      <c r="C15" s="11" t="s">
        <v>175</v>
      </c>
      <c r="D15" s="11" t="s">
        <v>127</v>
      </c>
      <c r="E15" s="11" t="s">
        <v>127</v>
      </c>
      <c r="F15" s="11" t="s">
        <v>128</v>
      </c>
      <c r="G15" s="11" t="s">
        <v>129</v>
      </c>
      <c r="H15" s="11" t="s">
        <v>180</v>
      </c>
      <c r="I15" s="11" t="s">
        <v>27</v>
      </c>
      <c r="J15" s="11" t="s">
        <v>117</v>
      </c>
      <c r="K15" s="12">
        <v>46143.0</v>
      </c>
      <c r="L15" s="12">
        <v>46174.0</v>
      </c>
      <c r="M15" s="11">
        <f t="shared" si="1"/>
        <v>1</v>
      </c>
      <c r="N15" s="11" t="s">
        <v>177</v>
      </c>
      <c r="O15" s="11" t="s">
        <v>178</v>
      </c>
      <c r="P15" s="11">
        <v>192.12</v>
      </c>
      <c r="Q15" s="13">
        <v>0.232</v>
      </c>
      <c r="R15" s="11">
        <v>44.57</v>
      </c>
      <c r="S15" s="11" t="s">
        <v>179</v>
      </c>
      <c r="T15" s="11"/>
      <c r="U15" s="11"/>
      <c r="V15" s="11"/>
      <c r="W15" s="11"/>
      <c r="X15" s="11"/>
      <c r="Y15" s="11"/>
      <c r="Z15" s="11"/>
    </row>
    <row r="16" ht="14.25" customHeight="1">
      <c r="A16" s="11" t="s">
        <v>140</v>
      </c>
      <c r="B16" s="11">
        <v>1.8828278E7</v>
      </c>
      <c r="C16" s="11" t="s">
        <v>181</v>
      </c>
      <c r="D16" s="11" t="s">
        <v>142</v>
      </c>
      <c r="E16" s="11" t="s">
        <v>142</v>
      </c>
      <c r="F16" s="11" t="s">
        <v>143</v>
      </c>
      <c r="G16" s="11" t="s">
        <v>144</v>
      </c>
      <c r="H16" s="11" t="s">
        <v>182</v>
      </c>
      <c r="I16" s="11" t="s">
        <v>57</v>
      </c>
      <c r="J16" s="11" t="s">
        <v>88</v>
      </c>
      <c r="K16" s="12">
        <v>46148.0</v>
      </c>
      <c r="L16" s="12">
        <v>46179.0</v>
      </c>
      <c r="M16" s="11">
        <f t="shared" si="1"/>
        <v>1</v>
      </c>
      <c r="N16" s="11" t="s">
        <v>177</v>
      </c>
      <c r="O16" s="11" t="s">
        <v>178</v>
      </c>
      <c r="P16" s="11">
        <v>64.98</v>
      </c>
      <c r="Q16" s="13">
        <v>0.25</v>
      </c>
      <c r="R16" s="11">
        <v>16.25</v>
      </c>
      <c r="S16" s="11" t="s">
        <v>163</v>
      </c>
      <c r="T16" s="11"/>
      <c r="U16" s="11"/>
      <c r="V16" s="11"/>
      <c r="W16" s="11"/>
      <c r="X16" s="11"/>
      <c r="Y16" s="11"/>
      <c r="Z16" s="11"/>
    </row>
    <row r="17" ht="14.25" customHeight="1">
      <c r="A17" s="11" t="s">
        <v>148</v>
      </c>
      <c r="B17" s="11">
        <v>1.9617796E7</v>
      </c>
      <c r="C17" s="11" t="s">
        <v>183</v>
      </c>
      <c r="D17" s="11" t="s">
        <v>150</v>
      </c>
      <c r="E17" s="11" t="s">
        <v>150</v>
      </c>
      <c r="F17" s="11" t="s">
        <v>151</v>
      </c>
      <c r="G17" s="11" t="s">
        <v>152</v>
      </c>
      <c r="H17" s="11" t="s">
        <v>184</v>
      </c>
      <c r="I17" s="11" t="s">
        <v>57</v>
      </c>
      <c r="J17" s="11" t="s">
        <v>153</v>
      </c>
      <c r="K17" s="12">
        <v>46143.0</v>
      </c>
      <c r="L17" s="12">
        <v>46174.0</v>
      </c>
      <c r="M17" s="11">
        <f t="shared" si="1"/>
        <v>1</v>
      </c>
      <c r="N17" s="11" t="s">
        <v>177</v>
      </c>
      <c r="O17" s="11" t="s">
        <v>178</v>
      </c>
      <c r="P17" s="11">
        <v>58.9</v>
      </c>
      <c r="Q17" s="13">
        <v>0.25</v>
      </c>
      <c r="R17" s="11">
        <v>14.73</v>
      </c>
      <c r="S17" s="11" t="s">
        <v>163</v>
      </c>
      <c r="T17" s="11"/>
      <c r="U17" s="11"/>
      <c r="V17" s="11"/>
      <c r="W17" s="11"/>
      <c r="X17" s="11"/>
      <c r="Y17" s="11"/>
      <c r="Z17" s="11"/>
    </row>
    <row r="18" ht="14.25" customHeight="1">
      <c r="A18" s="14" t="s">
        <v>185</v>
      </c>
      <c r="B18" s="14">
        <v>1.9491313E7</v>
      </c>
      <c r="C18" s="15">
        <v>2.0411454E7</v>
      </c>
      <c r="D18" s="14" t="s">
        <v>23</v>
      </c>
      <c r="E18" s="14" t="str">
        <f t="shared" ref="E18:E35" si="2">CONCATENATE(D18,"OVR")</f>
        <v>H750080222OVR</v>
      </c>
      <c r="F18" s="14" t="s">
        <v>24</v>
      </c>
      <c r="G18" s="14" t="s">
        <v>25</v>
      </c>
      <c r="H18" s="14" t="s">
        <v>156</v>
      </c>
      <c r="I18" s="14" t="s">
        <v>27</v>
      </c>
      <c r="J18" s="14" t="s">
        <v>28</v>
      </c>
      <c r="K18" s="16">
        <v>45992.0</v>
      </c>
      <c r="L18" s="16">
        <v>46174.0</v>
      </c>
      <c r="M18" s="14">
        <f t="shared" si="1"/>
        <v>6</v>
      </c>
      <c r="N18" s="14" t="s">
        <v>157</v>
      </c>
      <c r="O18" s="14" t="s">
        <v>158</v>
      </c>
      <c r="P18" s="14">
        <v>5.07</v>
      </c>
      <c r="Q18" s="17">
        <v>0.039</v>
      </c>
      <c r="R18" s="14">
        <v>5.07</v>
      </c>
      <c r="S18" s="14" t="s">
        <v>186</v>
      </c>
      <c r="T18" s="14"/>
      <c r="U18" s="14"/>
      <c r="V18" s="14"/>
      <c r="W18" s="14"/>
      <c r="X18" s="14"/>
      <c r="Y18" s="14"/>
      <c r="Z18" s="14"/>
    </row>
    <row r="19" ht="14.25" customHeight="1">
      <c r="A19" s="14" t="s">
        <v>185</v>
      </c>
      <c r="B19" s="14">
        <v>1.9491313E7</v>
      </c>
      <c r="C19" s="15">
        <v>2.0411454E7</v>
      </c>
      <c r="D19" s="14" t="s">
        <v>40</v>
      </c>
      <c r="E19" s="14" t="str">
        <f t="shared" si="2"/>
        <v>H750086341OVR</v>
      </c>
      <c r="F19" s="14" t="s">
        <v>41</v>
      </c>
      <c r="G19" s="14" t="s">
        <v>42</v>
      </c>
      <c r="H19" s="14" t="s">
        <v>160</v>
      </c>
      <c r="I19" s="14" t="s">
        <v>27</v>
      </c>
      <c r="J19" s="14" t="s">
        <v>28</v>
      </c>
      <c r="K19" s="16">
        <v>45931.0</v>
      </c>
      <c r="L19" s="16">
        <v>46174.0</v>
      </c>
      <c r="M19" s="14">
        <f t="shared" si="1"/>
        <v>8</v>
      </c>
      <c r="N19" s="14" t="s">
        <v>157</v>
      </c>
      <c r="O19" s="14" t="s">
        <v>158</v>
      </c>
      <c r="P19" s="14">
        <v>0.83</v>
      </c>
      <c r="Q19" s="17">
        <v>0.008</v>
      </c>
      <c r="R19" s="14">
        <v>0.83</v>
      </c>
      <c r="S19" s="14" t="s">
        <v>186</v>
      </c>
      <c r="T19" s="14"/>
      <c r="U19" s="14"/>
      <c r="V19" s="14"/>
      <c r="W19" s="14"/>
      <c r="X19" s="14"/>
      <c r="Y19" s="14"/>
      <c r="Z19" s="14"/>
    </row>
    <row r="20" ht="14.25" customHeight="1">
      <c r="A20" s="14" t="s">
        <v>185</v>
      </c>
      <c r="B20" s="14">
        <v>1.9491313E7</v>
      </c>
      <c r="C20" s="15">
        <v>2.0411454E7</v>
      </c>
      <c r="D20" s="14" t="s">
        <v>48</v>
      </c>
      <c r="E20" s="14" t="str">
        <f t="shared" si="2"/>
        <v>H750070618OVR</v>
      </c>
      <c r="F20" s="14" t="s">
        <v>49</v>
      </c>
      <c r="G20" s="14" t="s">
        <v>50</v>
      </c>
      <c r="H20" s="14" t="s">
        <v>162</v>
      </c>
      <c r="I20" s="14" t="s">
        <v>27</v>
      </c>
      <c r="J20" s="14" t="s">
        <v>28</v>
      </c>
      <c r="K20" s="16">
        <v>45870.0</v>
      </c>
      <c r="L20" s="16">
        <v>46174.0</v>
      </c>
      <c r="M20" s="14">
        <f t="shared" si="1"/>
        <v>10</v>
      </c>
      <c r="N20" s="14" t="s">
        <v>157</v>
      </c>
      <c r="O20" s="14" t="s">
        <v>158</v>
      </c>
      <c r="P20" s="14">
        <v>3.24</v>
      </c>
      <c r="Q20" s="17">
        <v>0.028</v>
      </c>
      <c r="R20" s="14">
        <v>3.24</v>
      </c>
      <c r="S20" s="14" t="s">
        <v>186</v>
      </c>
      <c r="T20" s="14"/>
      <c r="U20" s="14"/>
      <c r="V20" s="14"/>
      <c r="W20" s="14"/>
      <c r="X20" s="14"/>
      <c r="Y20" s="14"/>
      <c r="Z20" s="14"/>
    </row>
    <row r="21" ht="14.25" customHeight="1">
      <c r="A21" s="14" t="s">
        <v>185</v>
      </c>
      <c r="B21" s="14">
        <v>1.9491313E7</v>
      </c>
      <c r="C21" s="15">
        <v>2.0411454E7</v>
      </c>
      <c r="D21" s="14" t="s">
        <v>55</v>
      </c>
      <c r="E21" s="14" t="str">
        <f t="shared" si="2"/>
        <v>H711024512OVR</v>
      </c>
      <c r="F21" s="14" t="s">
        <v>49</v>
      </c>
      <c r="G21" s="14" t="s">
        <v>50</v>
      </c>
      <c r="H21" s="14" t="s">
        <v>162</v>
      </c>
      <c r="I21" s="14" t="s">
        <v>57</v>
      </c>
      <c r="J21" s="14" t="s">
        <v>28</v>
      </c>
      <c r="K21" s="16">
        <v>45870.0</v>
      </c>
      <c r="L21" s="16">
        <v>46174.0</v>
      </c>
      <c r="M21" s="14">
        <f t="shared" si="1"/>
        <v>10</v>
      </c>
      <c r="N21" s="14" t="s">
        <v>157</v>
      </c>
      <c r="O21" s="14" t="s">
        <v>158</v>
      </c>
      <c r="P21" s="14">
        <v>5.91</v>
      </c>
      <c r="Q21" s="17">
        <v>0.095</v>
      </c>
      <c r="R21" s="14">
        <v>5.91</v>
      </c>
      <c r="S21" s="14" t="s">
        <v>186</v>
      </c>
      <c r="T21" s="14"/>
      <c r="U21" s="14"/>
      <c r="V21" s="14"/>
      <c r="W21" s="14"/>
      <c r="X21" s="14"/>
      <c r="Y21" s="14"/>
      <c r="Z21" s="14"/>
    </row>
    <row r="22" ht="14.25" customHeight="1">
      <c r="A22" s="14" t="s">
        <v>185</v>
      </c>
      <c r="B22" s="14">
        <v>1.9491313E7</v>
      </c>
      <c r="C22" s="15">
        <v>2.0411454E7</v>
      </c>
      <c r="D22" s="14" t="s">
        <v>61</v>
      </c>
      <c r="E22" s="14" t="str">
        <f t="shared" si="2"/>
        <v>H750101144OVR</v>
      </c>
      <c r="F22" s="14" t="s">
        <v>62</v>
      </c>
      <c r="G22" s="14" t="s">
        <v>50</v>
      </c>
      <c r="H22" s="14" t="s">
        <v>164</v>
      </c>
      <c r="I22" s="14" t="s">
        <v>27</v>
      </c>
      <c r="J22" s="14" t="s">
        <v>28</v>
      </c>
      <c r="K22" s="16">
        <v>46113.0</v>
      </c>
      <c r="L22" s="16">
        <v>46174.0</v>
      </c>
      <c r="M22" s="14">
        <f t="shared" si="1"/>
        <v>2</v>
      </c>
      <c r="N22" s="14" t="s">
        <v>157</v>
      </c>
      <c r="O22" s="14" t="s">
        <v>158</v>
      </c>
      <c r="P22" s="14">
        <v>3.64</v>
      </c>
      <c r="Q22" s="17">
        <v>0.028</v>
      </c>
      <c r="R22" s="14">
        <v>3.64</v>
      </c>
      <c r="S22" s="14" t="s">
        <v>186</v>
      </c>
      <c r="T22" s="14"/>
      <c r="U22" s="14"/>
      <c r="V22" s="14"/>
      <c r="W22" s="14"/>
      <c r="X22" s="14"/>
      <c r="Y22" s="14"/>
      <c r="Z22" s="14"/>
    </row>
    <row r="23" ht="14.25" customHeight="1">
      <c r="A23" s="14" t="s">
        <v>185</v>
      </c>
      <c r="B23" s="14">
        <v>1.9491313E7</v>
      </c>
      <c r="C23" s="15">
        <v>2.0411454E7</v>
      </c>
      <c r="D23" s="14" t="s">
        <v>64</v>
      </c>
      <c r="E23" s="14" t="str">
        <f t="shared" si="2"/>
        <v>H750088570OVR</v>
      </c>
      <c r="F23" s="14" t="s">
        <v>65</v>
      </c>
      <c r="G23" s="14" t="s">
        <v>66</v>
      </c>
      <c r="H23" s="14" t="s">
        <v>165</v>
      </c>
      <c r="I23" s="14" t="s">
        <v>27</v>
      </c>
      <c r="J23" s="14" t="s">
        <v>28</v>
      </c>
      <c r="K23" s="16">
        <v>46023.0</v>
      </c>
      <c r="L23" s="16">
        <v>46174.0</v>
      </c>
      <c r="M23" s="14">
        <f t="shared" si="1"/>
        <v>5</v>
      </c>
      <c r="N23" s="14" t="s">
        <v>157</v>
      </c>
      <c r="O23" s="14" t="s">
        <v>158</v>
      </c>
      <c r="P23" s="14">
        <v>4.03</v>
      </c>
      <c r="Q23" s="17">
        <v>0.028</v>
      </c>
      <c r="R23" s="14">
        <v>4.03</v>
      </c>
      <c r="S23" s="14" t="s">
        <v>186</v>
      </c>
      <c r="T23" s="14"/>
      <c r="U23" s="14"/>
      <c r="V23" s="14"/>
      <c r="W23" s="14"/>
      <c r="X23" s="14"/>
      <c r="Y23" s="14"/>
      <c r="Z23" s="14"/>
    </row>
    <row r="24" ht="14.25" customHeight="1">
      <c r="A24" s="14" t="s">
        <v>185</v>
      </c>
      <c r="B24" s="14">
        <v>1.9491313E7</v>
      </c>
      <c r="C24" s="15">
        <v>2.0411454E7</v>
      </c>
      <c r="D24" s="14" t="s">
        <v>69</v>
      </c>
      <c r="E24" s="14" t="str">
        <f t="shared" si="2"/>
        <v>H750094989OVR</v>
      </c>
      <c r="F24" s="14" t="s">
        <v>70</v>
      </c>
      <c r="G24" s="14" t="s">
        <v>71</v>
      </c>
      <c r="H24" s="14" t="s">
        <v>166</v>
      </c>
      <c r="I24" s="14" t="s">
        <v>27</v>
      </c>
      <c r="J24" s="14" t="s">
        <v>28</v>
      </c>
      <c r="K24" s="16">
        <v>46054.0</v>
      </c>
      <c r="L24" s="16">
        <v>46174.0</v>
      </c>
      <c r="M24" s="14">
        <f t="shared" si="1"/>
        <v>4</v>
      </c>
      <c r="N24" s="14" t="s">
        <v>157</v>
      </c>
      <c r="O24" s="14" t="s">
        <v>158</v>
      </c>
      <c r="P24" s="14">
        <v>4.03</v>
      </c>
      <c r="Q24" s="17">
        <v>0.028</v>
      </c>
      <c r="R24" s="14">
        <v>4.03</v>
      </c>
      <c r="S24" s="14" t="s">
        <v>186</v>
      </c>
      <c r="T24" s="14"/>
      <c r="U24" s="14"/>
      <c r="V24" s="14"/>
      <c r="W24" s="14"/>
      <c r="X24" s="14"/>
      <c r="Y24" s="14"/>
      <c r="Z24" s="14"/>
    </row>
    <row r="25" ht="14.25" customHeight="1">
      <c r="A25" s="14" t="s">
        <v>185</v>
      </c>
      <c r="B25" s="14">
        <v>1.9491313E7</v>
      </c>
      <c r="C25" s="15">
        <v>2.0411454E7</v>
      </c>
      <c r="D25" s="14" t="s">
        <v>74</v>
      </c>
      <c r="E25" s="14" t="str">
        <f t="shared" si="2"/>
        <v>H750094552OVR</v>
      </c>
      <c r="F25" s="14" t="s">
        <v>75</v>
      </c>
      <c r="G25" s="14" t="s">
        <v>76</v>
      </c>
      <c r="H25" s="14" t="s">
        <v>167</v>
      </c>
      <c r="I25" s="14" t="s">
        <v>27</v>
      </c>
      <c r="J25" s="14" t="s">
        <v>28</v>
      </c>
      <c r="K25" s="16">
        <v>46082.0</v>
      </c>
      <c r="L25" s="16">
        <v>46174.0</v>
      </c>
      <c r="M25" s="14">
        <f t="shared" si="1"/>
        <v>3</v>
      </c>
      <c r="N25" s="14" t="s">
        <v>157</v>
      </c>
      <c r="O25" s="14" t="s">
        <v>158</v>
      </c>
      <c r="P25" s="14">
        <v>3.83</v>
      </c>
      <c r="Q25" s="17">
        <v>0.028</v>
      </c>
      <c r="R25" s="14">
        <v>3.83</v>
      </c>
      <c r="S25" s="14" t="s">
        <v>186</v>
      </c>
      <c r="T25" s="14"/>
      <c r="U25" s="14"/>
      <c r="V25" s="14"/>
      <c r="W25" s="14"/>
      <c r="X25" s="14"/>
      <c r="Y25" s="14"/>
      <c r="Z25" s="14"/>
    </row>
    <row r="26" ht="14.25" customHeight="1">
      <c r="A26" s="14" t="s">
        <v>185</v>
      </c>
      <c r="B26" s="14">
        <v>1.9491313E7</v>
      </c>
      <c r="C26" s="15">
        <v>2.0411454E7</v>
      </c>
      <c r="D26" s="14" t="s">
        <v>80</v>
      </c>
      <c r="E26" s="14" t="str">
        <f t="shared" si="2"/>
        <v>H750092058OVR</v>
      </c>
      <c r="F26" s="14" t="s">
        <v>81</v>
      </c>
      <c r="G26" s="14" t="s">
        <v>82</v>
      </c>
      <c r="H26" s="14" t="s">
        <v>168</v>
      </c>
      <c r="I26" s="14" t="s">
        <v>27</v>
      </c>
      <c r="J26" s="14" t="s">
        <v>28</v>
      </c>
      <c r="K26" s="16">
        <v>46023.0</v>
      </c>
      <c r="L26" s="16">
        <v>46174.0</v>
      </c>
      <c r="M26" s="14">
        <f t="shared" si="1"/>
        <v>5</v>
      </c>
      <c r="N26" s="14" t="s">
        <v>157</v>
      </c>
      <c r="O26" s="14" t="s">
        <v>158</v>
      </c>
      <c r="P26" s="14">
        <v>4.03</v>
      </c>
      <c r="Q26" s="17">
        <v>0.028</v>
      </c>
      <c r="R26" s="14">
        <v>4.03</v>
      </c>
      <c r="S26" s="14" t="s">
        <v>186</v>
      </c>
      <c r="T26" s="14"/>
      <c r="U26" s="14"/>
      <c r="V26" s="14"/>
      <c r="W26" s="14"/>
      <c r="X26" s="14"/>
      <c r="Y26" s="14"/>
      <c r="Z26" s="14"/>
    </row>
    <row r="27" ht="14.25" customHeight="1">
      <c r="A27" s="14" t="s">
        <v>185</v>
      </c>
      <c r="B27" s="14">
        <v>8812322.0</v>
      </c>
      <c r="C27" s="15">
        <v>2.0411454E7</v>
      </c>
      <c r="D27" s="14" t="s">
        <v>85</v>
      </c>
      <c r="E27" s="14" t="str">
        <f t="shared" si="2"/>
        <v>H750098999OVR</v>
      </c>
      <c r="F27" s="14" t="s">
        <v>86</v>
      </c>
      <c r="G27" s="14" t="s">
        <v>87</v>
      </c>
      <c r="H27" s="14" t="s">
        <v>170</v>
      </c>
      <c r="I27" s="14" t="s">
        <v>27</v>
      </c>
      <c r="J27" s="14" t="s">
        <v>88</v>
      </c>
      <c r="K27" s="16">
        <v>46085.0</v>
      </c>
      <c r="L27" s="16">
        <v>46177.0</v>
      </c>
      <c r="M27" s="14">
        <f t="shared" si="1"/>
        <v>3</v>
      </c>
      <c r="N27" s="14" t="s">
        <v>157</v>
      </c>
      <c r="O27" s="14" t="s">
        <v>158</v>
      </c>
      <c r="P27" s="14">
        <v>3.19</v>
      </c>
      <c r="Q27" s="17">
        <v>0.028</v>
      </c>
      <c r="R27" s="14">
        <v>3.19</v>
      </c>
      <c r="S27" s="14" t="s">
        <v>186</v>
      </c>
      <c r="T27" s="14"/>
      <c r="U27" s="14"/>
      <c r="V27" s="14"/>
      <c r="W27" s="14"/>
      <c r="X27" s="14"/>
      <c r="Y27" s="14"/>
      <c r="Z27" s="14"/>
    </row>
    <row r="28" ht="14.25" customHeight="1">
      <c r="A28" s="14" t="s">
        <v>185</v>
      </c>
      <c r="B28" s="14">
        <v>8812322.0</v>
      </c>
      <c r="C28" s="15">
        <v>2.0411454E7</v>
      </c>
      <c r="D28" s="14" t="s">
        <v>93</v>
      </c>
      <c r="E28" s="14" t="str">
        <f t="shared" si="2"/>
        <v>H711120348OVR</v>
      </c>
      <c r="F28" s="14" t="s">
        <v>86</v>
      </c>
      <c r="G28" s="14" t="s">
        <v>87</v>
      </c>
      <c r="H28" s="14" t="s">
        <v>170</v>
      </c>
      <c r="I28" s="14" t="s">
        <v>57</v>
      </c>
      <c r="J28" s="14" t="s">
        <v>88</v>
      </c>
      <c r="K28" s="16">
        <v>46085.0</v>
      </c>
      <c r="L28" s="16">
        <v>46177.0</v>
      </c>
      <c r="M28" s="14">
        <f t="shared" si="1"/>
        <v>3</v>
      </c>
      <c r="N28" s="14" t="s">
        <v>157</v>
      </c>
      <c r="O28" s="14" t="s">
        <v>158</v>
      </c>
      <c r="P28" s="14">
        <v>5.91</v>
      </c>
      <c r="Q28" s="17">
        <v>0.095</v>
      </c>
      <c r="R28" s="14">
        <v>5.91</v>
      </c>
      <c r="S28" s="14" t="s">
        <v>186</v>
      </c>
      <c r="T28" s="14"/>
      <c r="U28" s="14"/>
      <c r="V28" s="14"/>
      <c r="W28" s="14"/>
      <c r="X28" s="14"/>
      <c r="Y28" s="14"/>
      <c r="Z28" s="14"/>
    </row>
    <row r="29" ht="14.25" customHeight="1">
      <c r="A29" s="14" t="s">
        <v>185</v>
      </c>
      <c r="B29" s="14">
        <v>1.6202925E7</v>
      </c>
      <c r="C29" s="15">
        <v>2.0411454E7</v>
      </c>
      <c r="D29" s="14" t="s">
        <v>96</v>
      </c>
      <c r="E29" s="14" t="str">
        <f t="shared" si="2"/>
        <v>H711056072OVR</v>
      </c>
      <c r="F29" s="14" t="s">
        <v>97</v>
      </c>
      <c r="G29" s="14" t="s">
        <v>98</v>
      </c>
      <c r="H29" s="14" t="s">
        <v>187</v>
      </c>
      <c r="I29" s="14" t="s">
        <v>57</v>
      </c>
      <c r="J29" s="14" t="s">
        <v>99</v>
      </c>
      <c r="K29" s="16">
        <v>45962.0</v>
      </c>
      <c r="L29" s="16">
        <v>46143.0</v>
      </c>
      <c r="M29" s="14">
        <f t="shared" si="1"/>
        <v>6</v>
      </c>
      <c r="N29" s="14" t="s">
        <v>157</v>
      </c>
      <c r="O29" s="14" t="s">
        <v>158</v>
      </c>
      <c r="P29" s="14">
        <v>-5.37</v>
      </c>
      <c r="Q29" s="17">
        <v>0.095</v>
      </c>
      <c r="R29" s="14">
        <v>-5.37</v>
      </c>
      <c r="S29" s="14" t="s">
        <v>186</v>
      </c>
      <c r="T29" s="14"/>
      <c r="U29" s="14"/>
      <c r="V29" s="14"/>
      <c r="W29" s="14"/>
      <c r="X29" s="14"/>
      <c r="Y29" s="14"/>
      <c r="Z29" s="14"/>
    </row>
    <row r="30" ht="14.25" customHeight="1">
      <c r="A30" s="14" t="s">
        <v>185</v>
      </c>
      <c r="B30" s="14">
        <v>1.6912722E7</v>
      </c>
      <c r="C30" s="15">
        <v>2.0411454E7</v>
      </c>
      <c r="D30" s="14" t="s">
        <v>107</v>
      </c>
      <c r="E30" s="14" t="str">
        <f t="shared" si="2"/>
        <v>H711053462OVR</v>
      </c>
      <c r="F30" s="14" t="s">
        <v>108</v>
      </c>
      <c r="G30" s="14" t="s">
        <v>109</v>
      </c>
      <c r="H30" s="14" t="s">
        <v>174</v>
      </c>
      <c r="I30" s="14" t="s">
        <v>57</v>
      </c>
      <c r="J30" s="14" t="s">
        <v>88</v>
      </c>
      <c r="K30" s="16">
        <v>45962.0</v>
      </c>
      <c r="L30" s="16">
        <v>46174.0</v>
      </c>
      <c r="M30" s="14">
        <f t="shared" si="1"/>
        <v>7</v>
      </c>
      <c r="N30" s="14" t="s">
        <v>157</v>
      </c>
      <c r="O30" s="14" t="s">
        <v>158</v>
      </c>
      <c r="P30" s="14">
        <v>5.31</v>
      </c>
      <c r="Q30" s="17">
        <v>0.095</v>
      </c>
      <c r="R30" s="14">
        <v>5.31</v>
      </c>
      <c r="S30" s="14" t="s">
        <v>186</v>
      </c>
      <c r="T30" s="14"/>
      <c r="U30" s="14"/>
      <c r="V30" s="14"/>
      <c r="W30" s="14"/>
      <c r="X30" s="14"/>
      <c r="Y30" s="14"/>
      <c r="Z30" s="14"/>
    </row>
    <row r="31" ht="14.25" customHeight="1">
      <c r="A31" s="14" t="s">
        <v>185</v>
      </c>
      <c r="B31" s="14">
        <v>1.6849453E7</v>
      </c>
      <c r="C31" s="15">
        <v>2.0411454E7</v>
      </c>
      <c r="D31" s="14" t="s">
        <v>122</v>
      </c>
      <c r="E31" s="14" t="str">
        <f t="shared" si="2"/>
        <v>H750104459OVR</v>
      </c>
      <c r="F31" s="14" t="s">
        <v>123</v>
      </c>
      <c r="G31" s="14" t="s">
        <v>124</v>
      </c>
      <c r="H31" s="14" t="s">
        <v>176</v>
      </c>
      <c r="I31" s="14" t="s">
        <v>27</v>
      </c>
      <c r="J31" s="14" t="s">
        <v>117</v>
      </c>
      <c r="K31" s="16">
        <v>46174.0</v>
      </c>
      <c r="L31" s="16">
        <v>46204.0</v>
      </c>
      <c r="M31" s="14">
        <f t="shared" si="1"/>
        <v>1</v>
      </c>
      <c r="N31" s="14" t="s">
        <v>157</v>
      </c>
      <c r="O31" s="14" t="s">
        <v>158</v>
      </c>
      <c r="P31" s="14">
        <v>1.39</v>
      </c>
      <c r="Q31" s="17">
        <v>0.008</v>
      </c>
      <c r="R31" s="14">
        <v>1.39</v>
      </c>
      <c r="S31" s="14" t="s">
        <v>186</v>
      </c>
      <c r="T31" s="14"/>
      <c r="U31" s="14"/>
      <c r="V31" s="14"/>
      <c r="W31" s="14"/>
      <c r="X31" s="14"/>
      <c r="Y31" s="14"/>
      <c r="Z31" s="14"/>
    </row>
    <row r="32" ht="14.25" customHeight="1">
      <c r="A32" s="14" t="s">
        <v>185</v>
      </c>
      <c r="B32" s="14">
        <v>1.6849453E7</v>
      </c>
      <c r="C32" s="15">
        <v>2.0411454E7</v>
      </c>
      <c r="D32" s="14" t="s">
        <v>127</v>
      </c>
      <c r="E32" s="14" t="str">
        <f t="shared" si="2"/>
        <v>H750104128OVR</v>
      </c>
      <c r="F32" s="14" t="s">
        <v>128</v>
      </c>
      <c r="G32" s="14" t="s">
        <v>129</v>
      </c>
      <c r="H32" s="14" t="s">
        <v>180</v>
      </c>
      <c r="I32" s="14" t="s">
        <v>27</v>
      </c>
      <c r="J32" s="14" t="s">
        <v>117</v>
      </c>
      <c r="K32" s="16">
        <v>46143.0</v>
      </c>
      <c r="L32" s="16">
        <v>46174.0</v>
      </c>
      <c r="M32" s="14">
        <f t="shared" si="1"/>
        <v>1</v>
      </c>
      <c r="N32" s="14" t="s">
        <v>157</v>
      </c>
      <c r="O32" s="14" t="s">
        <v>158</v>
      </c>
      <c r="P32" s="14">
        <v>1.54</v>
      </c>
      <c r="Q32" s="17">
        <v>0.008</v>
      </c>
      <c r="R32" s="14">
        <v>1.54</v>
      </c>
      <c r="S32" s="14" t="s">
        <v>186</v>
      </c>
      <c r="T32" s="14"/>
      <c r="U32" s="14"/>
      <c r="V32" s="14"/>
      <c r="W32" s="14"/>
      <c r="X32" s="14"/>
      <c r="Y32" s="14"/>
      <c r="Z32" s="14"/>
    </row>
    <row r="33" ht="14.25" customHeight="1">
      <c r="A33" s="14" t="s">
        <v>185</v>
      </c>
      <c r="B33" s="14">
        <v>1.9586992E7</v>
      </c>
      <c r="C33" s="15">
        <v>2.0411454E7</v>
      </c>
      <c r="D33" s="14" t="s">
        <v>135</v>
      </c>
      <c r="E33" s="14" t="str">
        <f t="shared" si="2"/>
        <v>H750075562OVR</v>
      </c>
      <c r="F33" s="14" t="s">
        <v>136</v>
      </c>
      <c r="G33" s="14" t="s">
        <v>137</v>
      </c>
      <c r="H33" s="14" t="s">
        <v>188</v>
      </c>
      <c r="I33" s="14" t="s">
        <v>27</v>
      </c>
      <c r="J33" s="14" t="s">
        <v>88</v>
      </c>
      <c r="K33" s="16">
        <v>45931.0</v>
      </c>
      <c r="L33" s="16">
        <v>46174.0</v>
      </c>
      <c r="M33" s="14">
        <f t="shared" si="1"/>
        <v>8</v>
      </c>
      <c r="N33" s="14" t="s">
        <v>157</v>
      </c>
      <c r="O33" s="14" t="s">
        <v>158</v>
      </c>
      <c r="P33" s="14">
        <v>3.27</v>
      </c>
      <c r="Q33" s="17">
        <v>0.028</v>
      </c>
      <c r="R33" s="14">
        <v>3.27</v>
      </c>
      <c r="S33" s="14" t="s">
        <v>186</v>
      </c>
      <c r="T33" s="14"/>
      <c r="U33" s="14"/>
      <c r="V33" s="14"/>
      <c r="W33" s="14"/>
      <c r="X33" s="14"/>
      <c r="Y33" s="14"/>
      <c r="Z33" s="14"/>
    </row>
    <row r="34" ht="14.25" customHeight="1">
      <c r="A34" s="14" t="s">
        <v>185</v>
      </c>
      <c r="B34" s="14">
        <v>1.8828278E7</v>
      </c>
      <c r="C34" s="15">
        <v>2.0411454E7</v>
      </c>
      <c r="D34" s="14" t="s">
        <v>142</v>
      </c>
      <c r="E34" s="14" t="str">
        <f t="shared" si="2"/>
        <v>H711150063OVR</v>
      </c>
      <c r="F34" s="14" t="s">
        <v>143</v>
      </c>
      <c r="G34" s="14" t="s">
        <v>144</v>
      </c>
      <c r="H34" s="14" t="s">
        <v>182</v>
      </c>
      <c r="I34" s="14" t="s">
        <v>57</v>
      </c>
      <c r="J34" s="14" t="s">
        <v>88</v>
      </c>
      <c r="K34" s="16">
        <v>46148.0</v>
      </c>
      <c r="L34" s="16">
        <v>46179.0</v>
      </c>
      <c r="M34" s="14">
        <f t="shared" si="1"/>
        <v>1</v>
      </c>
      <c r="N34" s="14" t="s">
        <v>157</v>
      </c>
      <c r="O34" s="14" t="s">
        <v>158</v>
      </c>
      <c r="P34" s="14">
        <v>6.17</v>
      </c>
      <c r="Q34" s="17">
        <v>0.095</v>
      </c>
      <c r="R34" s="14">
        <v>6.17</v>
      </c>
      <c r="S34" s="14" t="s">
        <v>186</v>
      </c>
      <c r="T34" s="14"/>
      <c r="U34" s="14"/>
      <c r="V34" s="14"/>
      <c r="W34" s="14"/>
      <c r="X34" s="14"/>
      <c r="Y34" s="14"/>
      <c r="Z34" s="14"/>
    </row>
    <row r="35" ht="14.25" customHeight="1">
      <c r="A35" s="14" t="s">
        <v>185</v>
      </c>
      <c r="B35" s="14">
        <v>1.9617796E7</v>
      </c>
      <c r="C35" s="15">
        <v>2.0411454E7</v>
      </c>
      <c r="D35" s="14" t="s">
        <v>150</v>
      </c>
      <c r="E35" s="14" t="str">
        <f t="shared" si="2"/>
        <v>H711141587OVR</v>
      </c>
      <c r="F35" s="14" t="s">
        <v>151</v>
      </c>
      <c r="G35" s="14" t="s">
        <v>152</v>
      </c>
      <c r="H35" s="14" t="s">
        <v>184</v>
      </c>
      <c r="I35" s="14" t="s">
        <v>57</v>
      </c>
      <c r="J35" s="14" t="s">
        <v>153</v>
      </c>
      <c r="K35" s="16">
        <v>46143.0</v>
      </c>
      <c r="L35" s="16">
        <v>46174.0</v>
      </c>
      <c r="M35" s="14">
        <f t="shared" si="1"/>
        <v>1</v>
      </c>
      <c r="N35" s="14" t="s">
        <v>157</v>
      </c>
      <c r="O35" s="14" t="s">
        <v>158</v>
      </c>
      <c r="P35" s="14">
        <v>5.6</v>
      </c>
      <c r="Q35" s="17">
        <v>0.095</v>
      </c>
      <c r="R35" s="14">
        <v>5.6</v>
      </c>
      <c r="S35" s="14" t="s">
        <v>186</v>
      </c>
      <c r="T35" s="14"/>
      <c r="U35" s="14"/>
      <c r="V35" s="14"/>
      <c r="W35" s="14"/>
      <c r="X35" s="14"/>
      <c r="Y35" s="14"/>
      <c r="Z35" s="14"/>
    </row>
    <row r="36" ht="14.25" customHeight="1"/>
    <row r="37" ht="14.25" customHeight="1"/>
    <row r="38" ht="14.25" customHeight="1"/>
    <row r="39" ht="14.25" customHeight="1">
      <c r="A39" s="11" t="s">
        <v>112</v>
      </c>
      <c r="B39" s="11">
        <v>1.6849453E7</v>
      </c>
      <c r="C39" s="11" t="e">
        <v>#N/A</v>
      </c>
      <c r="D39" s="11" t="s">
        <v>114</v>
      </c>
      <c r="E39" s="11"/>
      <c r="F39" s="11" t="s">
        <v>115</v>
      </c>
      <c r="G39" s="11" t="s">
        <v>116</v>
      </c>
      <c r="H39" s="11" t="e">
        <v>#N/A</v>
      </c>
      <c r="I39" s="11" t="s">
        <v>27</v>
      </c>
      <c r="J39" s="11" t="s">
        <v>117</v>
      </c>
      <c r="K39" s="12" t="e">
        <v>#N/A</v>
      </c>
      <c r="L39" s="12" t="e">
        <v>#N/A</v>
      </c>
      <c r="M39" s="11" t="s">
        <v>119</v>
      </c>
      <c r="N39" s="11"/>
      <c r="O39" s="11"/>
      <c r="P39" s="11">
        <v>187.4</v>
      </c>
      <c r="Q39" s="13">
        <v>0.232</v>
      </c>
      <c r="R39" s="11">
        <v>43.48</v>
      </c>
      <c r="S39" s="11" t="e">
        <v>#N/A</v>
      </c>
      <c r="T39" s="11"/>
      <c r="U39" s="11"/>
      <c r="V39" s="11"/>
      <c r="W39" s="11"/>
      <c r="X39" s="11"/>
      <c r="Y39" s="11"/>
      <c r="Z39" s="11"/>
    </row>
    <row r="40" ht="14.25" customHeight="1">
      <c r="A40" s="11" t="s">
        <v>112</v>
      </c>
      <c r="B40" s="11">
        <v>1.6849453E7</v>
      </c>
      <c r="C40" s="11" t="e">
        <v>#N/A</v>
      </c>
      <c r="D40" s="11" t="s">
        <v>114</v>
      </c>
      <c r="E40" s="11"/>
      <c r="F40" s="11" t="s">
        <v>115</v>
      </c>
      <c r="G40" s="11" t="s">
        <v>116</v>
      </c>
      <c r="H40" s="11" t="e">
        <v>#N/A</v>
      </c>
      <c r="I40" s="11" t="s">
        <v>27</v>
      </c>
      <c r="J40" s="11" t="s">
        <v>117</v>
      </c>
      <c r="K40" s="12" t="e">
        <v>#N/A</v>
      </c>
      <c r="L40" s="12" t="e">
        <v>#N/A</v>
      </c>
      <c r="M40" s="11" t="s">
        <v>119</v>
      </c>
      <c r="N40" s="11"/>
      <c r="O40" s="11"/>
      <c r="P40" s="11">
        <v>-187.4</v>
      </c>
      <c r="Q40" s="13">
        <v>0.232</v>
      </c>
      <c r="R40" s="11">
        <v>-43.48</v>
      </c>
      <c r="S40" s="11" t="e">
        <v>#N/A</v>
      </c>
      <c r="T40" s="11"/>
      <c r="U40" s="11"/>
      <c r="V40" s="11"/>
      <c r="W40" s="11"/>
      <c r="X40" s="11"/>
      <c r="Y40" s="11"/>
      <c r="Z40" s="11"/>
    </row>
    <row r="41" ht="14.25" customHeight="1">
      <c r="A41" s="14" t="s">
        <v>112</v>
      </c>
      <c r="B41" s="14">
        <v>1.6849453E7</v>
      </c>
      <c r="C41" s="14" t="e">
        <v>#N/A</v>
      </c>
      <c r="D41" s="14" t="s">
        <v>114</v>
      </c>
      <c r="E41" s="14"/>
      <c r="F41" s="14" t="s">
        <v>115</v>
      </c>
      <c r="G41" s="14" t="s">
        <v>116</v>
      </c>
      <c r="H41" s="14" t="e">
        <v>#N/A</v>
      </c>
      <c r="I41" s="14" t="s">
        <v>27</v>
      </c>
      <c r="J41" s="14" t="s">
        <v>117</v>
      </c>
      <c r="K41" s="16" t="e">
        <v>#N/A</v>
      </c>
      <c r="L41" s="16" t="e">
        <v>#N/A</v>
      </c>
      <c r="M41" s="14" t="s">
        <v>119</v>
      </c>
      <c r="N41" s="14"/>
      <c r="O41" s="14"/>
      <c r="P41" s="14">
        <v>1.5</v>
      </c>
      <c r="Q41" s="17">
        <v>0.008</v>
      </c>
      <c r="R41" s="14">
        <v>1.5</v>
      </c>
      <c r="S41" s="14" t="e">
        <v>#N/A</v>
      </c>
      <c r="T41" s="14"/>
      <c r="U41" s="14"/>
      <c r="V41" s="14"/>
      <c r="W41" s="14"/>
      <c r="X41" s="14"/>
      <c r="Y41" s="14"/>
      <c r="Z41" s="14"/>
    </row>
    <row r="42" ht="14.25" customHeight="1">
      <c r="A42" s="14" t="s">
        <v>112</v>
      </c>
      <c r="B42" s="14">
        <v>1.6849453E7</v>
      </c>
      <c r="C42" s="14" t="e">
        <v>#N/A</v>
      </c>
      <c r="D42" s="14" t="s">
        <v>114</v>
      </c>
      <c r="E42" s="14"/>
      <c r="F42" s="14" t="s">
        <v>115</v>
      </c>
      <c r="G42" s="14" t="s">
        <v>116</v>
      </c>
      <c r="H42" s="14" t="e">
        <v>#N/A</v>
      </c>
      <c r="I42" s="14" t="s">
        <v>27</v>
      </c>
      <c r="J42" s="14" t="s">
        <v>117</v>
      </c>
      <c r="K42" s="16" t="e">
        <v>#N/A</v>
      </c>
      <c r="L42" s="16" t="e">
        <v>#N/A</v>
      </c>
      <c r="M42" s="14" t="s">
        <v>119</v>
      </c>
      <c r="N42" s="14"/>
      <c r="O42" s="14"/>
      <c r="P42" s="14">
        <v>-1.5</v>
      </c>
      <c r="Q42" s="17">
        <v>0.008</v>
      </c>
      <c r="R42" s="14">
        <v>-1.5</v>
      </c>
      <c r="S42" s="14" t="e">
        <v>#N/A</v>
      </c>
      <c r="T42" s="14"/>
      <c r="U42" s="14"/>
      <c r="V42" s="14"/>
      <c r="W42" s="14"/>
      <c r="X42" s="14"/>
      <c r="Y42" s="14"/>
      <c r="Z42" s="14"/>
    </row>
    <row r="43" ht="14.25" customHeight="1">
      <c r="A43" s="7" t="s">
        <v>94</v>
      </c>
      <c r="B43" s="7">
        <v>1.6202925E7</v>
      </c>
      <c r="C43" s="8" t="s">
        <v>189</v>
      </c>
      <c r="D43" s="7" t="s">
        <v>96</v>
      </c>
      <c r="E43" s="7" t="s">
        <v>96</v>
      </c>
      <c r="F43" s="7" t="s">
        <v>97</v>
      </c>
      <c r="G43" s="7" t="s">
        <v>98</v>
      </c>
      <c r="H43" s="7" t="s">
        <v>187</v>
      </c>
      <c r="I43" s="7" t="s">
        <v>57</v>
      </c>
      <c r="J43" s="7" t="s">
        <v>99</v>
      </c>
      <c r="K43" s="9">
        <v>45962.0</v>
      </c>
      <c r="L43" s="9">
        <v>46143.0</v>
      </c>
      <c r="M43" s="7">
        <f>DATEDIF(K43,L43,"M")</f>
        <v>6</v>
      </c>
      <c r="N43" s="7" t="s">
        <v>157</v>
      </c>
      <c r="O43" s="7" t="s">
        <v>171</v>
      </c>
      <c r="P43" s="7">
        <v>-56.5</v>
      </c>
      <c r="Q43" s="10">
        <v>0.25</v>
      </c>
      <c r="R43" s="7">
        <v>-14.13</v>
      </c>
      <c r="S43" s="7" t="s">
        <v>163</v>
      </c>
      <c r="T43" s="7" t="s">
        <v>190</v>
      </c>
      <c r="U43" s="7"/>
      <c r="V43" s="7"/>
      <c r="W43" s="7"/>
      <c r="X43" s="7"/>
      <c r="Y43" s="7"/>
      <c r="Z43" s="7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191</v>
      </c>
      <c r="T2" s="2">
        <v>5.07</v>
      </c>
    </row>
    <row r="3" ht="14.25" customHeight="1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43</v>
      </c>
      <c r="L3" s="2" t="s">
        <v>32</v>
      </c>
      <c r="M3" s="2" t="s">
        <v>33</v>
      </c>
      <c r="N3" s="2" t="s">
        <v>44</v>
      </c>
      <c r="O3" s="2" t="s">
        <v>45</v>
      </c>
      <c r="P3" s="2" t="s">
        <v>36</v>
      </c>
      <c r="Q3" s="2" t="s">
        <v>46</v>
      </c>
      <c r="R3" s="2" t="s">
        <v>37</v>
      </c>
      <c r="S3" s="2" t="s">
        <v>192</v>
      </c>
      <c r="T3" s="2">
        <v>0.83</v>
      </c>
    </row>
    <row r="4" ht="14.25" customHeight="1">
      <c r="A4" s="2" t="s">
        <v>21</v>
      </c>
      <c r="B4" s="2" t="s">
        <v>22</v>
      </c>
      <c r="C4" s="2" t="s">
        <v>48</v>
      </c>
      <c r="D4" s="2" t="s">
        <v>49</v>
      </c>
      <c r="E4" s="2" t="s">
        <v>50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32</v>
      </c>
      <c r="M4" s="2" t="s">
        <v>33</v>
      </c>
      <c r="N4" s="2" t="s">
        <v>51</v>
      </c>
      <c r="O4" s="2" t="s">
        <v>52</v>
      </c>
      <c r="P4" s="2" t="s">
        <v>36</v>
      </c>
      <c r="Q4" s="2" t="s">
        <v>53</v>
      </c>
      <c r="R4" s="2" t="s">
        <v>37</v>
      </c>
      <c r="S4" s="2" t="s">
        <v>193</v>
      </c>
      <c r="T4" s="2">
        <v>3.24</v>
      </c>
    </row>
    <row r="5" ht="14.25" customHeight="1">
      <c r="A5" s="2" t="s">
        <v>21</v>
      </c>
      <c r="B5" s="2" t="s">
        <v>22</v>
      </c>
      <c r="C5" s="2" t="s">
        <v>55</v>
      </c>
      <c r="D5" s="2" t="s">
        <v>49</v>
      </c>
      <c r="E5" s="2" t="s">
        <v>50</v>
      </c>
      <c r="F5" s="2" t="s">
        <v>56</v>
      </c>
      <c r="G5" s="2" t="s">
        <v>57</v>
      </c>
      <c r="H5" s="2" t="s">
        <v>28</v>
      </c>
      <c r="I5" s="2" t="s">
        <v>29</v>
      </c>
      <c r="J5" s="2" t="s">
        <v>30</v>
      </c>
      <c r="K5" s="2" t="s">
        <v>43</v>
      </c>
      <c r="L5" s="2" t="s">
        <v>32</v>
      </c>
      <c r="M5" s="2" t="s">
        <v>58</v>
      </c>
      <c r="N5" s="2" t="s">
        <v>51</v>
      </c>
      <c r="O5" s="2" t="s">
        <v>59</v>
      </c>
      <c r="P5" s="2" t="s">
        <v>36</v>
      </c>
      <c r="Q5" s="2" t="s">
        <v>59</v>
      </c>
      <c r="R5" s="2" t="s">
        <v>37</v>
      </c>
      <c r="S5" s="2" t="s">
        <v>194</v>
      </c>
      <c r="T5" s="2">
        <v>5.91</v>
      </c>
    </row>
    <row r="6" ht="14.25" customHeight="1">
      <c r="A6" s="2" t="s">
        <v>21</v>
      </c>
      <c r="B6" s="2" t="s">
        <v>22</v>
      </c>
      <c r="C6" s="2" t="s">
        <v>61</v>
      </c>
      <c r="D6" s="2" t="s">
        <v>62</v>
      </c>
      <c r="E6" s="2" t="s">
        <v>50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43</v>
      </c>
      <c r="L6" s="2" t="s">
        <v>32</v>
      </c>
      <c r="M6" s="2" t="s">
        <v>58</v>
      </c>
      <c r="N6" s="2" t="s">
        <v>63</v>
      </c>
      <c r="O6" s="2" t="s">
        <v>35</v>
      </c>
      <c r="P6" s="2" t="s">
        <v>36</v>
      </c>
      <c r="Q6" s="2" t="s">
        <v>35</v>
      </c>
      <c r="R6" s="2" t="s">
        <v>37</v>
      </c>
      <c r="S6" s="2" t="s">
        <v>193</v>
      </c>
      <c r="T6" s="2">
        <v>3.64</v>
      </c>
    </row>
    <row r="7" ht="14.25" customHeight="1">
      <c r="A7" s="2" t="s">
        <v>21</v>
      </c>
      <c r="B7" s="2" t="s">
        <v>22</v>
      </c>
      <c r="C7" s="2" t="s">
        <v>64</v>
      </c>
      <c r="D7" s="2" t="s">
        <v>65</v>
      </c>
      <c r="E7" s="2" t="s">
        <v>66</v>
      </c>
      <c r="F7" s="2" t="s">
        <v>26</v>
      </c>
      <c r="G7" s="2" t="s">
        <v>27</v>
      </c>
      <c r="H7" s="2" t="s">
        <v>28</v>
      </c>
      <c r="I7" s="2" t="s">
        <v>67</v>
      </c>
      <c r="J7" s="2" t="s">
        <v>30</v>
      </c>
      <c r="K7" s="2" t="s">
        <v>43</v>
      </c>
      <c r="L7" s="2" t="s">
        <v>32</v>
      </c>
      <c r="M7" s="2" t="s">
        <v>33</v>
      </c>
      <c r="N7" s="2" t="s">
        <v>68</v>
      </c>
      <c r="O7" s="2" t="s">
        <v>52</v>
      </c>
      <c r="P7" s="2" t="s">
        <v>36</v>
      </c>
      <c r="Q7" s="2" t="s">
        <v>52</v>
      </c>
      <c r="R7" s="2" t="s">
        <v>37</v>
      </c>
      <c r="S7" s="2" t="s">
        <v>193</v>
      </c>
      <c r="T7" s="2">
        <v>4.03</v>
      </c>
    </row>
    <row r="8" ht="14.25" customHeight="1">
      <c r="A8" s="2" t="s">
        <v>21</v>
      </c>
      <c r="B8" s="2" t="s">
        <v>22</v>
      </c>
      <c r="C8" s="2" t="s">
        <v>69</v>
      </c>
      <c r="D8" s="2" t="s">
        <v>70</v>
      </c>
      <c r="E8" s="2" t="s">
        <v>71</v>
      </c>
      <c r="F8" s="2" t="s">
        <v>26</v>
      </c>
      <c r="G8" s="2" t="s">
        <v>27</v>
      </c>
      <c r="H8" s="2" t="s">
        <v>28</v>
      </c>
      <c r="I8" s="2" t="s">
        <v>72</v>
      </c>
      <c r="J8" s="2" t="s">
        <v>30</v>
      </c>
      <c r="K8" s="2" t="s">
        <v>43</v>
      </c>
      <c r="L8" s="2" t="s">
        <v>32</v>
      </c>
      <c r="M8" s="2" t="s">
        <v>58</v>
      </c>
      <c r="N8" s="2" t="s">
        <v>73</v>
      </c>
      <c r="O8" s="2" t="s">
        <v>52</v>
      </c>
      <c r="P8" s="2" t="s">
        <v>36</v>
      </c>
      <c r="Q8" s="2" t="s">
        <v>52</v>
      </c>
      <c r="R8" s="2" t="s">
        <v>37</v>
      </c>
      <c r="S8" s="2" t="s">
        <v>193</v>
      </c>
      <c r="T8" s="2">
        <v>4.03</v>
      </c>
    </row>
    <row r="9" ht="14.25" customHeight="1">
      <c r="A9" s="2" t="s">
        <v>21</v>
      </c>
      <c r="B9" s="2" t="s">
        <v>22</v>
      </c>
      <c r="C9" s="2" t="s">
        <v>74</v>
      </c>
      <c r="D9" s="2" t="s">
        <v>75</v>
      </c>
      <c r="E9" s="2" t="s">
        <v>76</v>
      </c>
      <c r="F9" s="2" t="s">
        <v>26</v>
      </c>
      <c r="G9" s="2" t="s">
        <v>27</v>
      </c>
      <c r="H9" s="2" t="s">
        <v>28</v>
      </c>
      <c r="I9" s="2" t="s">
        <v>77</v>
      </c>
      <c r="J9" s="2" t="s">
        <v>30</v>
      </c>
      <c r="K9" s="2" t="s">
        <v>43</v>
      </c>
      <c r="L9" s="2" t="s">
        <v>32</v>
      </c>
      <c r="M9" s="2" t="s">
        <v>58</v>
      </c>
      <c r="N9" s="2" t="s">
        <v>78</v>
      </c>
      <c r="O9" s="2" t="s">
        <v>79</v>
      </c>
      <c r="P9" s="2" t="s">
        <v>36</v>
      </c>
      <c r="Q9" s="2" t="s">
        <v>79</v>
      </c>
      <c r="R9" s="2" t="s">
        <v>37</v>
      </c>
      <c r="S9" s="2" t="s">
        <v>193</v>
      </c>
      <c r="T9" s="2">
        <v>3.83</v>
      </c>
    </row>
    <row r="10" ht="14.25" customHeight="1">
      <c r="A10" s="2" t="s">
        <v>21</v>
      </c>
      <c r="B10" s="2" t="s">
        <v>22</v>
      </c>
      <c r="C10" s="2" t="s">
        <v>80</v>
      </c>
      <c r="D10" s="2" t="s">
        <v>81</v>
      </c>
      <c r="E10" s="2" t="s">
        <v>82</v>
      </c>
      <c r="F10" s="2" t="s">
        <v>26</v>
      </c>
      <c r="G10" s="2" t="s">
        <v>27</v>
      </c>
      <c r="H10" s="2" t="s">
        <v>28</v>
      </c>
      <c r="I10" s="2" t="s">
        <v>77</v>
      </c>
      <c r="J10" s="2" t="s">
        <v>30</v>
      </c>
      <c r="K10" s="2" t="s">
        <v>43</v>
      </c>
      <c r="L10" s="2" t="s">
        <v>32</v>
      </c>
      <c r="M10" s="2" t="s">
        <v>58</v>
      </c>
      <c r="N10" s="2" t="s">
        <v>68</v>
      </c>
      <c r="O10" s="2" t="s">
        <v>52</v>
      </c>
      <c r="P10" s="2" t="s">
        <v>36</v>
      </c>
      <c r="Q10" s="2" t="s">
        <v>52</v>
      </c>
      <c r="R10" s="2" t="s">
        <v>37</v>
      </c>
      <c r="S10" s="2" t="s">
        <v>193</v>
      </c>
      <c r="T10" s="2">
        <v>4.03</v>
      </c>
    </row>
    <row r="11" ht="14.25" customHeight="1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26</v>
      </c>
      <c r="G11" s="2" t="s">
        <v>27</v>
      </c>
      <c r="H11" s="2" t="s">
        <v>88</v>
      </c>
      <c r="I11" s="2" t="s">
        <v>89</v>
      </c>
      <c r="J11" s="2" t="s">
        <v>90</v>
      </c>
      <c r="K11" s="2" t="s">
        <v>43</v>
      </c>
      <c r="L11" s="2" t="s">
        <v>32</v>
      </c>
      <c r="M11" s="2" t="s">
        <v>58</v>
      </c>
      <c r="N11" s="2" t="s">
        <v>78</v>
      </c>
      <c r="O11" s="2" t="s">
        <v>91</v>
      </c>
      <c r="P11" s="2" t="s">
        <v>36</v>
      </c>
      <c r="Q11" s="2" t="s">
        <v>91</v>
      </c>
      <c r="R11" s="2" t="s">
        <v>37</v>
      </c>
      <c r="S11" s="2" t="s">
        <v>193</v>
      </c>
      <c r="T11" s="2">
        <v>3.19</v>
      </c>
    </row>
    <row r="12" ht="14.25" customHeight="1">
      <c r="A12" s="2" t="s">
        <v>83</v>
      </c>
      <c r="B12" s="2" t="s">
        <v>84</v>
      </c>
      <c r="C12" s="2" t="s">
        <v>93</v>
      </c>
      <c r="D12" s="2" t="s">
        <v>86</v>
      </c>
      <c r="E12" s="2" t="s">
        <v>87</v>
      </c>
      <c r="F12" s="2" t="s">
        <v>56</v>
      </c>
      <c r="G12" s="2" t="s">
        <v>57</v>
      </c>
      <c r="H12" s="2" t="s">
        <v>88</v>
      </c>
      <c r="I12" s="2" t="s">
        <v>89</v>
      </c>
      <c r="J12" s="2" t="s">
        <v>90</v>
      </c>
      <c r="K12" s="2" t="s">
        <v>43</v>
      </c>
      <c r="L12" s="2" t="s">
        <v>32</v>
      </c>
      <c r="M12" s="2" t="s">
        <v>58</v>
      </c>
      <c r="N12" s="2" t="s">
        <v>78</v>
      </c>
      <c r="O12" s="2" t="s">
        <v>59</v>
      </c>
      <c r="P12" s="2" t="s">
        <v>36</v>
      </c>
      <c r="Q12" s="2" t="s">
        <v>59</v>
      </c>
      <c r="R12" s="2" t="s">
        <v>37</v>
      </c>
      <c r="S12" s="2" t="s">
        <v>194</v>
      </c>
      <c r="T12" s="2">
        <v>5.91</v>
      </c>
    </row>
    <row r="13" ht="14.25" customHeight="1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56</v>
      </c>
      <c r="G13" s="2" t="s">
        <v>57</v>
      </c>
      <c r="H13" s="2" t="s">
        <v>99</v>
      </c>
      <c r="I13" s="2" t="s">
        <v>89</v>
      </c>
      <c r="J13" s="2" t="s">
        <v>100</v>
      </c>
      <c r="K13" s="2" t="s">
        <v>101</v>
      </c>
      <c r="L13" s="2" t="s">
        <v>32</v>
      </c>
      <c r="M13" s="2" t="s">
        <v>102</v>
      </c>
      <c r="N13" s="2" t="s">
        <v>103</v>
      </c>
      <c r="O13" s="2" t="s">
        <v>104</v>
      </c>
      <c r="P13" s="2" t="s">
        <v>36</v>
      </c>
      <c r="Q13" s="2" t="s">
        <v>104</v>
      </c>
      <c r="R13" s="2" t="s">
        <v>37</v>
      </c>
      <c r="S13" s="2" t="s">
        <v>194</v>
      </c>
      <c r="T13" s="2">
        <v>-5.37</v>
      </c>
    </row>
    <row r="14" ht="14.25" customHeight="1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56</v>
      </c>
      <c r="G14" s="2" t="s">
        <v>57</v>
      </c>
      <c r="H14" s="2" t="s">
        <v>88</v>
      </c>
      <c r="I14" s="2" t="s">
        <v>77</v>
      </c>
      <c r="J14" s="2" t="s">
        <v>30</v>
      </c>
      <c r="K14" s="2" t="s">
        <v>110</v>
      </c>
      <c r="L14" s="2" t="s">
        <v>32</v>
      </c>
      <c r="M14" s="2" t="s">
        <v>33</v>
      </c>
      <c r="N14" s="2" t="s">
        <v>103</v>
      </c>
      <c r="O14" s="2" t="s">
        <v>111</v>
      </c>
      <c r="P14" s="2" t="s">
        <v>36</v>
      </c>
      <c r="Q14" s="2" t="s">
        <v>111</v>
      </c>
      <c r="R14" s="2" t="s">
        <v>37</v>
      </c>
      <c r="S14" s="2" t="s">
        <v>194</v>
      </c>
      <c r="T14" s="2">
        <v>5.31</v>
      </c>
    </row>
    <row r="15" ht="14.25" customHeight="1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26</v>
      </c>
      <c r="G15" s="2" t="s">
        <v>27</v>
      </c>
      <c r="H15" s="2" t="s">
        <v>117</v>
      </c>
      <c r="I15" s="2" t="s">
        <v>89</v>
      </c>
      <c r="J15" s="2" t="s">
        <v>118</v>
      </c>
      <c r="K15" s="2" t="s">
        <v>110</v>
      </c>
      <c r="L15" s="2" t="s">
        <v>32</v>
      </c>
      <c r="M15" s="2" t="s">
        <v>33</v>
      </c>
      <c r="N15" s="2" t="s">
        <v>119</v>
      </c>
      <c r="O15" s="2" t="s">
        <v>120</v>
      </c>
      <c r="P15" s="2" t="s">
        <v>36</v>
      </c>
      <c r="Q15" s="2" t="s">
        <v>120</v>
      </c>
      <c r="R15" s="2" t="s">
        <v>37</v>
      </c>
      <c r="S15" s="2" t="s">
        <v>192</v>
      </c>
      <c r="T15" s="2">
        <v>1.5</v>
      </c>
    </row>
    <row r="16" ht="14.25" customHeight="1">
      <c r="A16" s="2" t="s">
        <v>112</v>
      </c>
      <c r="B16" s="2" t="s">
        <v>113</v>
      </c>
      <c r="C16" s="2" t="s">
        <v>122</v>
      </c>
      <c r="D16" s="2" t="s">
        <v>123</v>
      </c>
      <c r="E16" s="2" t="s">
        <v>124</v>
      </c>
      <c r="F16" s="2" t="s">
        <v>26</v>
      </c>
      <c r="G16" s="2" t="s">
        <v>27</v>
      </c>
      <c r="H16" s="2" t="s">
        <v>117</v>
      </c>
      <c r="I16" s="2" t="s">
        <v>89</v>
      </c>
      <c r="J16" s="2" t="s">
        <v>118</v>
      </c>
      <c r="K16" s="2" t="s">
        <v>125</v>
      </c>
      <c r="L16" s="2" t="s">
        <v>32</v>
      </c>
      <c r="M16" s="2" t="s">
        <v>33</v>
      </c>
      <c r="N16" s="2" t="s">
        <v>119</v>
      </c>
      <c r="O16" s="2" t="s">
        <v>126</v>
      </c>
      <c r="P16" s="2" t="s">
        <v>36</v>
      </c>
      <c r="Q16" s="2" t="s">
        <v>126</v>
      </c>
      <c r="R16" s="2" t="s">
        <v>37</v>
      </c>
      <c r="S16" s="2" t="s">
        <v>192</v>
      </c>
      <c r="T16" s="2">
        <v>1.39</v>
      </c>
    </row>
    <row r="17" ht="14.25" customHeight="1">
      <c r="A17" s="2" t="s">
        <v>112</v>
      </c>
      <c r="B17" s="2" t="s">
        <v>113</v>
      </c>
      <c r="C17" s="2" t="s">
        <v>127</v>
      </c>
      <c r="D17" s="2" t="s">
        <v>128</v>
      </c>
      <c r="E17" s="2" t="s">
        <v>129</v>
      </c>
      <c r="F17" s="2" t="s">
        <v>26</v>
      </c>
      <c r="G17" s="2" t="s">
        <v>27</v>
      </c>
      <c r="H17" s="2" t="s">
        <v>117</v>
      </c>
      <c r="I17" s="2" t="s">
        <v>29</v>
      </c>
      <c r="J17" s="2" t="s">
        <v>30</v>
      </c>
      <c r="K17" s="2" t="s">
        <v>130</v>
      </c>
      <c r="L17" s="2" t="s">
        <v>32</v>
      </c>
      <c r="M17" s="2" t="s">
        <v>33</v>
      </c>
      <c r="N17" s="2" t="s">
        <v>119</v>
      </c>
      <c r="O17" s="2" t="s">
        <v>131</v>
      </c>
      <c r="P17" s="2" t="s">
        <v>36</v>
      </c>
      <c r="Q17" s="2" t="s">
        <v>131</v>
      </c>
      <c r="R17" s="2" t="s">
        <v>37</v>
      </c>
      <c r="S17" s="2" t="s">
        <v>192</v>
      </c>
      <c r="T17" s="2">
        <v>1.54</v>
      </c>
    </row>
    <row r="18" ht="14.25" customHeight="1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116</v>
      </c>
      <c r="F18" s="2" t="s">
        <v>26</v>
      </c>
      <c r="G18" s="2" t="s">
        <v>27</v>
      </c>
      <c r="H18" s="2" t="s">
        <v>117</v>
      </c>
      <c r="I18" s="2" t="s">
        <v>72</v>
      </c>
      <c r="J18" s="2" t="s">
        <v>30</v>
      </c>
      <c r="K18" s="2" t="s">
        <v>110</v>
      </c>
      <c r="L18" s="2" t="s">
        <v>32</v>
      </c>
      <c r="M18" s="2" t="s">
        <v>102</v>
      </c>
      <c r="N18" s="2" t="s">
        <v>119</v>
      </c>
      <c r="O18" s="2" t="s">
        <v>132</v>
      </c>
      <c r="P18" s="2" t="s">
        <v>36</v>
      </c>
      <c r="Q18" s="2" t="s">
        <v>132</v>
      </c>
      <c r="R18" s="2" t="s">
        <v>37</v>
      </c>
      <c r="S18" s="2" t="s">
        <v>192</v>
      </c>
      <c r="T18" s="2">
        <v>-1.5</v>
      </c>
    </row>
    <row r="19" ht="14.25" customHeight="1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2" t="s">
        <v>26</v>
      </c>
      <c r="G19" s="2" t="s">
        <v>27</v>
      </c>
      <c r="H19" s="2" t="s">
        <v>88</v>
      </c>
      <c r="I19" s="2" t="s">
        <v>89</v>
      </c>
      <c r="J19" s="2" t="s">
        <v>30</v>
      </c>
      <c r="K19" s="2" t="s">
        <v>43</v>
      </c>
      <c r="L19" s="2" t="s">
        <v>32</v>
      </c>
      <c r="M19" s="2" t="s">
        <v>58</v>
      </c>
      <c r="N19" s="2" t="s">
        <v>44</v>
      </c>
      <c r="O19" s="2" t="s">
        <v>138</v>
      </c>
      <c r="P19" s="2" t="s">
        <v>36</v>
      </c>
      <c r="Q19" s="2" t="s">
        <v>139</v>
      </c>
      <c r="R19" s="2" t="s">
        <v>37</v>
      </c>
      <c r="S19" s="2" t="s">
        <v>193</v>
      </c>
      <c r="T19" s="2">
        <v>3.27</v>
      </c>
    </row>
    <row r="20" ht="14.25" customHeight="1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56</v>
      </c>
      <c r="G20" s="2" t="s">
        <v>57</v>
      </c>
      <c r="H20" s="2" t="s">
        <v>88</v>
      </c>
      <c r="I20" s="2" t="s">
        <v>29</v>
      </c>
      <c r="J20" s="2" t="s">
        <v>145</v>
      </c>
      <c r="K20" s="2" t="s">
        <v>146</v>
      </c>
      <c r="L20" s="2" t="s">
        <v>32</v>
      </c>
      <c r="M20" s="2" t="s">
        <v>58</v>
      </c>
      <c r="N20" s="2" t="s">
        <v>119</v>
      </c>
      <c r="O20" s="2" t="s">
        <v>147</v>
      </c>
      <c r="P20" s="2" t="s">
        <v>36</v>
      </c>
      <c r="Q20" s="2" t="s">
        <v>147</v>
      </c>
      <c r="R20" s="2" t="s">
        <v>37</v>
      </c>
      <c r="S20" s="2" t="s">
        <v>194</v>
      </c>
      <c r="T20" s="2">
        <v>6.17</v>
      </c>
    </row>
    <row r="21" ht="14.25" customHeight="1">
      <c r="A21" s="2" t="s">
        <v>148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56</v>
      </c>
      <c r="G21" s="2" t="s">
        <v>57</v>
      </c>
      <c r="H21" s="2" t="s">
        <v>153</v>
      </c>
      <c r="I21" s="2" t="s">
        <v>77</v>
      </c>
      <c r="J21" s="2" t="s">
        <v>30</v>
      </c>
      <c r="K21" s="2" t="s">
        <v>154</v>
      </c>
      <c r="L21" s="2" t="s">
        <v>32</v>
      </c>
      <c r="M21" s="2" t="s">
        <v>58</v>
      </c>
      <c r="N21" s="2" t="s">
        <v>119</v>
      </c>
      <c r="O21" s="2" t="s">
        <v>155</v>
      </c>
      <c r="P21" s="2" t="s">
        <v>36</v>
      </c>
      <c r="Q21" s="2" t="s">
        <v>155</v>
      </c>
      <c r="R21" s="2" t="s">
        <v>37</v>
      </c>
      <c r="S21" s="2" t="s">
        <v>194</v>
      </c>
      <c r="T21" s="2">
        <v>5.6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195</v>
      </c>
    </row>
    <row r="2" ht="14.25" customHeight="1">
      <c r="A2" s="2" t="s">
        <v>85</v>
      </c>
      <c r="B2" s="2" t="s">
        <v>86</v>
      </c>
      <c r="C2" s="2" t="s">
        <v>87</v>
      </c>
      <c r="D2" s="2" t="s">
        <v>26</v>
      </c>
      <c r="E2" s="2" t="s">
        <v>27</v>
      </c>
      <c r="F2" s="2" t="s">
        <v>88</v>
      </c>
      <c r="G2" s="2" t="s">
        <v>89</v>
      </c>
      <c r="H2" s="2" t="s">
        <v>196</v>
      </c>
      <c r="I2" s="2">
        <v>-23.69</v>
      </c>
    </row>
    <row r="3" ht="14.25" customHeight="1">
      <c r="A3" s="2" t="s">
        <v>96</v>
      </c>
      <c r="B3" s="2" t="s">
        <v>97</v>
      </c>
      <c r="C3" s="2" t="s">
        <v>98</v>
      </c>
      <c r="D3" s="2" t="s">
        <v>56</v>
      </c>
      <c r="E3" s="2" t="s">
        <v>57</v>
      </c>
      <c r="F3" s="2" t="s">
        <v>99</v>
      </c>
      <c r="G3" s="2" t="s">
        <v>89</v>
      </c>
      <c r="H3" s="2" t="s">
        <v>196</v>
      </c>
      <c r="I3" s="2">
        <v>14.13</v>
      </c>
    </row>
    <row r="4" ht="14.25" customHeight="1">
      <c r="A4" s="2" t="s">
        <v>114</v>
      </c>
      <c r="B4" s="2" t="s">
        <v>115</v>
      </c>
      <c r="C4" s="2" t="s">
        <v>116</v>
      </c>
      <c r="D4" s="2" t="s">
        <v>26</v>
      </c>
      <c r="E4" s="2" t="s">
        <v>27</v>
      </c>
      <c r="F4" s="2" t="s">
        <v>117</v>
      </c>
      <c r="G4" s="2" t="s">
        <v>89</v>
      </c>
      <c r="H4" s="2" t="s">
        <v>196</v>
      </c>
      <c r="I4" s="2">
        <v>-43.48</v>
      </c>
    </row>
    <row r="5" ht="14.25" customHeight="1">
      <c r="A5" s="2" t="s">
        <v>93</v>
      </c>
      <c r="B5" s="2" t="s">
        <v>86</v>
      </c>
      <c r="C5" s="2" t="s">
        <v>87</v>
      </c>
      <c r="D5" s="2" t="s">
        <v>56</v>
      </c>
      <c r="E5" s="2" t="s">
        <v>57</v>
      </c>
      <c r="F5" s="2" t="s">
        <v>88</v>
      </c>
      <c r="G5" s="2" t="s">
        <v>89</v>
      </c>
      <c r="H5" s="2" t="s">
        <v>196</v>
      </c>
      <c r="I5" s="2">
        <v>-15.54</v>
      </c>
    </row>
    <row r="6" ht="14.25" customHeight="1">
      <c r="A6" s="2" t="s">
        <v>135</v>
      </c>
      <c r="B6" s="2" t="s">
        <v>136</v>
      </c>
      <c r="C6" s="2" t="s">
        <v>137</v>
      </c>
      <c r="D6" s="2" t="s">
        <v>26</v>
      </c>
      <c r="E6" s="2" t="s">
        <v>27</v>
      </c>
      <c r="F6" s="2" t="s">
        <v>88</v>
      </c>
      <c r="G6" s="2" t="s">
        <v>89</v>
      </c>
      <c r="H6" s="2" t="s">
        <v>196</v>
      </c>
      <c r="I6" s="2">
        <v>-24.27</v>
      </c>
    </row>
    <row r="7" ht="14.25" customHeight="1">
      <c r="A7" s="2" t="s">
        <v>122</v>
      </c>
      <c r="B7" s="2" t="s">
        <v>123</v>
      </c>
      <c r="C7" s="2" t="s">
        <v>124</v>
      </c>
      <c r="D7" s="2" t="s">
        <v>26</v>
      </c>
      <c r="E7" s="2" t="s">
        <v>27</v>
      </c>
      <c r="F7" s="2" t="s">
        <v>117</v>
      </c>
      <c r="G7" s="2" t="s">
        <v>89</v>
      </c>
      <c r="H7" s="2" t="s">
        <v>196</v>
      </c>
      <c r="I7" s="2">
        <v>-40.21</v>
      </c>
    </row>
    <row r="8" ht="14.25" customHeight="1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196</v>
      </c>
      <c r="I8" s="2">
        <v>-27.32</v>
      </c>
    </row>
    <row r="9" ht="14.25" customHeight="1">
      <c r="A9" s="2" t="s">
        <v>40</v>
      </c>
      <c r="B9" s="2" t="s">
        <v>41</v>
      </c>
      <c r="C9" s="2" t="s">
        <v>42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196</v>
      </c>
      <c r="I9" s="2">
        <v>-2.09</v>
      </c>
    </row>
    <row r="10" ht="14.25" customHeight="1">
      <c r="A10" s="2" t="s">
        <v>127</v>
      </c>
      <c r="B10" s="2" t="s">
        <v>128</v>
      </c>
      <c r="C10" s="2" t="s">
        <v>129</v>
      </c>
      <c r="D10" s="2" t="s">
        <v>26</v>
      </c>
      <c r="E10" s="2" t="s">
        <v>27</v>
      </c>
      <c r="F10" s="2" t="s">
        <v>117</v>
      </c>
      <c r="G10" s="2" t="s">
        <v>29</v>
      </c>
      <c r="H10" s="2" t="s">
        <v>196</v>
      </c>
      <c r="I10" s="2">
        <v>-44.57</v>
      </c>
    </row>
    <row r="11" ht="14.25" customHeight="1">
      <c r="A11" s="2" t="s">
        <v>61</v>
      </c>
      <c r="B11" s="2" t="s">
        <v>62</v>
      </c>
      <c r="C11" s="2" t="s">
        <v>50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196</v>
      </c>
      <c r="I11" s="2">
        <v>-27.32</v>
      </c>
    </row>
    <row r="12" ht="14.25" customHeight="1">
      <c r="A12" s="2" t="s">
        <v>142</v>
      </c>
      <c r="B12" s="2" t="s">
        <v>143</v>
      </c>
      <c r="C12" s="2" t="s">
        <v>144</v>
      </c>
      <c r="D12" s="2" t="s">
        <v>56</v>
      </c>
      <c r="E12" s="2" t="s">
        <v>57</v>
      </c>
      <c r="F12" s="2" t="s">
        <v>88</v>
      </c>
      <c r="G12" s="2" t="s">
        <v>29</v>
      </c>
      <c r="H12" s="2" t="s">
        <v>196</v>
      </c>
      <c r="I12" s="2">
        <v>-16.25</v>
      </c>
    </row>
    <row r="13" ht="14.25" customHeight="1">
      <c r="A13" s="2" t="s">
        <v>64</v>
      </c>
      <c r="B13" s="2" t="s">
        <v>65</v>
      </c>
      <c r="C13" s="2" t="s">
        <v>66</v>
      </c>
      <c r="D13" s="2" t="s">
        <v>26</v>
      </c>
      <c r="E13" s="2" t="s">
        <v>27</v>
      </c>
      <c r="F13" s="2" t="s">
        <v>28</v>
      </c>
      <c r="G13" s="2" t="s">
        <v>67</v>
      </c>
      <c r="H13" s="2" t="s">
        <v>196</v>
      </c>
      <c r="I13" s="2">
        <v>-30.19</v>
      </c>
    </row>
    <row r="14" ht="14.25" customHeight="1">
      <c r="A14" s="2" t="s">
        <v>69</v>
      </c>
      <c r="B14" s="2" t="s">
        <v>70</v>
      </c>
      <c r="C14" s="2" t="s">
        <v>71</v>
      </c>
      <c r="D14" s="2" t="s">
        <v>26</v>
      </c>
      <c r="E14" s="2" t="s">
        <v>27</v>
      </c>
      <c r="F14" s="2" t="s">
        <v>28</v>
      </c>
      <c r="G14" s="2" t="s">
        <v>72</v>
      </c>
      <c r="H14" s="2" t="s">
        <v>196</v>
      </c>
      <c r="I14" s="2">
        <v>-30.19</v>
      </c>
    </row>
    <row r="15" ht="14.25" customHeight="1">
      <c r="A15" s="2" t="s">
        <v>114</v>
      </c>
      <c r="B15" s="2" t="s">
        <v>115</v>
      </c>
      <c r="C15" s="2" t="s">
        <v>116</v>
      </c>
      <c r="D15" s="2" t="s">
        <v>26</v>
      </c>
      <c r="E15" s="2" t="s">
        <v>27</v>
      </c>
      <c r="F15" s="2" t="s">
        <v>117</v>
      </c>
      <c r="G15" s="2" t="s">
        <v>72</v>
      </c>
      <c r="H15" s="2" t="s">
        <v>196</v>
      </c>
      <c r="I15" s="2">
        <v>43.48</v>
      </c>
    </row>
    <row r="16" ht="14.25" customHeight="1">
      <c r="A16" s="2" t="s">
        <v>114</v>
      </c>
      <c r="B16" s="2" t="s">
        <v>115</v>
      </c>
      <c r="C16" s="2" t="s">
        <v>116</v>
      </c>
      <c r="G16" s="2" t="s">
        <v>77</v>
      </c>
      <c r="H16" s="2" t="s">
        <v>197</v>
      </c>
      <c r="I16" s="2">
        <v>-521.76</v>
      </c>
    </row>
    <row r="17" ht="14.25" customHeight="1">
      <c r="A17" s="2" t="s">
        <v>107</v>
      </c>
      <c r="B17" s="2" t="s">
        <v>108</v>
      </c>
      <c r="C17" s="2" t="s">
        <v>109</v>
      </c>
      <c r="D17" s="2" t="s">
        <v>56</v>
      </c>
      <c r="E17" s="2" t="s">
        <v>57</v>
      </c>
      <c r="F17" s="2" t="s">
        <v>88</v>
      </c>
      <c r="G17" s="2" t="s">
        <v>77</v>
      </c>
      <c r="H17" s="2" t="s">
        <v>196</v>
      </c>
      <c r="I17" s="2">
        <v>-13.98</v>
      </c>
    </row>
    <row r="18" ht="14.25" customHeight="1">
      <c r="A18" s="2" t="s">
        <v>74</v>
      </c>
      <c r="B18" s="2" t="s">
        <v>75</v>
      </c>
      <c r="C18" s="2" t="s">
        <v>76</v>
      </c>
      <c r="D18" s="2" t="s">
        <v>26</v>
      </c>
      <c r="E18" s="2" t="s">
        <v>27</v>
      </c>
      <c r="F18" s="2" t="s">
        <v>28</v>
      </c>
      <c r="G18" s="2" t="s">
        <v>77</v>
      </c>
      <c r="H18" s="2" t="s">
        <v>196</v>
      </c>
      <c r="I18" s="2">
        <v>-28.76</v>
      </c>
    </row>
    <row r="19" ht="14.25" customHeight="1">
      <c r="A19" s="2" t="s">
        <v>80</v>
      </c>
      <c r="B19" s="2" t="s">
        <v>81</v>
      </c>
      <c r="C19" s="2" t="s">
        <v>82</v>
      </c>
      <c r="D19" s="2" t="s">
        <v>26</v>
      </c>
      <c r="E19" s="2" t="s">
        <v>27</v>
      </c>
      <c r="F19" s="2" t="s">
        <v>28</v>
      </c>
      <c r="G19" s="2" t="s">
        <v>77</v>
      </c>
      <c r="H19" s="2" t="s">
        <v>196</v>
      </c>
      <c r="I19" s="2">
        <v>-30.19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198</v>
      </c>
      <c r="L1" s="1" t="s">
        <v>17</v>
      </c>
      <c r="M1" s="1" t="s">
        <v>18</v>
      </c>
      <c r="N1" s="1" t="s">
        <v>199</v>
      </c>
      <c r="O1" s="1" t="s">
        <v>200</v>
      </c>
      <c r="P1" s="1" t="s">
        <v>201</v>
      </c>
    </row>
    <row r="2" ht="14.25" customHeight="1">
      <c r="A2" s="2" t="s">
        <v>202</v>
      </c>
      <c r="B2" s="2" t="s">
        <v>203</v>
      </c>
      <c r="C2" s="2" t="s">
        <v>150</v>
      </c>
      <c r="D2" s="2" t="s">
        <v>151</v>
      </c>
      <c r="E2" s="2" t="s">
        <v>152</v>
      </c>
      <c r="F2" s="2" t="s">
        <v>56</v>
      </c>
      <c r="G2" s="2" t="s">
        <v>57</v>
      </c>
      <c r="H2" s="2" t="s">
        <v>153</v>
      </c>
      <c r="I2" s="2" t="s">
        <v>204</v>
      </c>
      <c r="J2" s="2" t="s">
        <v>205</v>
      </c>
      <c r="K2" s="2" t="s">
        <v>155</v>
      </c>
      <c r="L2" s="2" t="s">
        <v>37</v>
      </c>
      <c r="M2" s="2" t="s">
        <v>60</v>
      </c>
      <c r="N2" s="2" t="s">
        <v>44</v>
      </c>
      <c r="O2" s="2">
        <v>117.84</v>
      </c>
    </row>
    <row r="3" ht="14.25" customHeight="1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26</v>
      </c>
      <c r="G3" s="2" t="s">
        <v>27</v>
      </c>
      <c r="H3" s="2" t="s">
        <v>117</v>
      </c>
      <c r="I3" s="2" t="s">
        <v>89</v>
      </c>
      <c r="J3" s="2" t="s">
        <v>205</v>
      </c>
      <c r="K3" s="2" t="s">
        <v>120</v>
      </c>
      <c r="L3" s="2" t="s">
        <v>37</v>
      </c>
      <c r="M3" s="2" t="s">
        <v>121</v>
      </c>
      <c r="N3" s="2" t="s">
        <v>206</v>
      </c>
      <c r="O3" s="2">
        <v>521.76</v>
      </c>
      <c r="P3" s="2" t="s">
        <v>207</v>
      </c>
    </row>
    <row r="4" ht="14.25" customHeight="1">
      <c r="A4" s="2" t="s">
        <v>112</v>
      </c>
      <c r="B4" s="2" t="s">
        <v>113</v>
      </c>
      <c r="C4" s="2" t="s">
        <v>122</v>
      </c>
      <c r="D4" s="2" t="s">
        <v>123</v>
      </c>
      <c r="E4" s="2" t="s">
        <v>124</v>
      </c>
      <c r="F4" s="2" t="s">
        <v>26</v>
      </c>
      <c r="G4" s="2" t="s">
        <v>27</v>
      </c>
      <c r="H4" s="2" t="s">
        <v>117</v>
      </c>
      <c r="I4" s="2" t="s">
        <v>89</v>
      </c>
      <c r="J4" s="2" t="s">
        <v>205</v>
      </c>
      <c r="K4" s="2" t="s">
        <v>126</v>
      </c>
      <c r="L4" s="2" t="s">
        <v>37</v>
      </c>
      <c r="M4" s="2" t="s">
        <v>121</v>
      </c>
      <c r="N4" s="2" t="s">
        <v>206</v>
      </c>
      <c r="O4" s="2">
        <v>482.52</v>
      </c>
      <c r="P4" s="2" t="s">
        <v>207</v>
      </c>
    </row>
    <row r="5" ht="14.25" customHeight="1">
      <c r="A5" s="2" t="s">
        <v>112</v>
      </c>
      <c r="B5" s="2" t="s">
        <v>113</v>
      </c>
      <c r="C5" s="2" t="s">
        <v>127</v>
      </c>
      <c r="D5" s="2" t="s">
        <v>128</v>
      </c>
      <c r="E5" s="2" t="s">
        <v>129</v>
      </c>
      <c r="F5" s="2" t="s">
        <v>26</v>
      </c>
      <c r="G5" s="2" t="s">
        <v>27</v>
      </c>
      <c r="H5" s="2" t="s">
        <v>117</v>
      </c>
      <c r="I5" s="2" t="s">
        <v>29</v>
      </c>
      <c r="J5" s="2" t="s">
        <v>205</v>
      </c>
      <c r="K5" s="2" t="s">
        <v>131</v>
      </c>
      <c r="L5" s="2" t="s">
        <v>37</v>
      </c>
      <c r="M5" s="2" t="s">
        <v>121</v>
      </c>
      <c r="N5" s="2" t="s">
        <v>206</v>
      </c>
      <c r="O5" s="2">
        <v>534.84</v>
      </c>
      <c r="P5" s="2" t="s">
        <v>207</v>
      </c>
    </row>
    <row r="6" ht="14.25" customHeight="1">
      <c r="A6" s="2" t="s">
        <v>140</v>
      </c>
      <c r="B6" s="2" t="s">
        <v>141</v>
      </c>
      <c r="C6" s="2" t="s">
        <v>142</v>
      </c>
      <c r="D6" s="2" t="s">
        <v>143</v>
      </c>
      <c r="E6" s="2" t="s">
        <v>144</v>
      </c>
      <c r="F6" s="2" t="s">
        <v>56</v>
      </c>
      <c r="G6" s="2" t="s">
        <v>57</v>
      </c>
      <c r="H6" s="2" t="s">
        <v>88</v>
      </c>
      <c r="I6" s="2" t="s">
        <v>29</v>
      </c>
      <c r="J6" s="2" t="s">
        <v>205</v>
      </c>
      <c r="K6" s="2" t="s">
        <v>147</v>
      </c>
      <c r="L6" s="2" t="s">
        <v>37</v>
      </c>
      <c r="M6" s="2" t="s">
        <v>60</v>
      </c>
      <c r="N6" s="2" t="s">
        <v>208</v>
      </c>
      <c r="O6" s="2">
        <v>146.25</v>
      </c>
      <c r="P6" s="2" t="s">
        <v>207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9.29"/>
    <col customWidth="1" min="3" max="3" width="14.71"/>
    <col customWidth="1" min="4" max="26" width="8.71"/>
  </cols>
  <sheetData>
    <row r="1" ht="14.25" customHeight="1">
      <c r="A1" s="1" t="s">
        <v>201</v>
      </c>
      <c r="B1" s="1" t="s">
        <v>12</v>
      </c>
      <c r="C1" s="1" t="s">
        <v>209</v>
      </c>
    </row>
    <row r="2" ht="14.25" customHeight="1">
      <c r="A2" s="1" t="s">
        <v>210</v>
      </c>
      <c r="B2" s="2" t="s">
        <v>211</v>
      </c>
      <c r="C2" s="2">
        <v>330.0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2026-05-10T21:03:41Z</dcterms:created>
  <dc:creator>Admin</dc:creator>
</cp:coreProperties>
</file>