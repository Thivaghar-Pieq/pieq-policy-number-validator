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3-14-26\"/>
    </mc:Choice>
  </mc:AlternateContent>
  <xr:revisionPtr revIDLastSave="0" documentId="13_ncr:1_{A022ADCF-8ABD-4385-A560-8C2384C43BF6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" i="5"/>
  <c r="D23" i="5"/>
  <c r="D22" i="5"/>
  <c r="D21" i="5"/>
  <c r="D20" i="5"/>
  <c r="D19" i="5"/>
  <c r="D18" i="5"/>
  <c r="D17" i="5"/>
  <c r="D16" i="5"/>
  <c r="D15" i="5"/>
  <c r="D14" i="5"/>
  <c r="D13" i="5"/>
</calcChain>
</file>

<file path=xl/sharedStrings.xml><?xml version="1.0" encoding="utf-8"?>
<sst xmlns="http://schemas.openxmlformats.org/spreadsheetml/2006/main" count="788" uniqueCount="127">
  <si>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</si>
  <si>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</si>
  <si>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</si>
  <si>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</si>
  <si>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</si>
  <si>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</si>
  <si>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</si>
  <si>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</si>
  <si>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</si>
  <si>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</si>
  <si>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</si>
  <si>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</si>
  <si>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</si>
  <si>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</si>
  <si>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</si>
  <si>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</si>
  <si>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</si>
  <si>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</si>
  <si>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</si>
  <si>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</si>
  <si>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</si>
  <si>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</si>
  <si>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</si>
  <si>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Shapiro Robert null</t>
  </si>
  <si>
    <t>19491313</t>
  </si>
  <si>
    <t>8812322</t>
  </si>
  <si>
    <t>7565575</t>
  </si>
  <si>
    <t>H750092058</t>
  </si>
  <si>
    <t>H711037165</t>
  </si>
  <si>
    <t>H750075022</t>
  </si>
  <si>
    <t>H750095052</t>
  </si>
  <si>
    <t>H711024011</t>
  </si>
  <si>
    <t>H750070465</t>
  </si>
  <si>
    <t>H750095804</t>
  </si>
  <si>
    <t>H711124408</t>
  </si>
  <si>
    <t>H711124438</t>
  </si>
  <si>
    <t>H711067626</t>
  </si>
  <si>
    <t>H750077920</t>
  </si>
  <si>
    <t>Robert</t>
  </si>
  <si>
    <t>Kerry</t>
  </si>
  <si>
    <t>Lisa</t>
  </si>
  <si>
    <t>Michael</t>
  </si>
  <si>
    <t>Kimberly</t>
  </si>
  <si>
    <t>Maria</t>
  </si>
  <si>
    <t>Jenna</t>
  </si>
  <si>
    <t>Kelly</t>
  </si>
  <si>
    <t>James</t>
  </si>
  <si>
    <t>Leighty</t>
  </si>
  <si>
    <t>Morrison</t>
  </si>
  <si>
    <t>Brewster</t>
  </si>
  <si>
    <t>Mcclellan</t>
  </si>
  <si>
    <t>Shonebarger</t>
  </si>
  <si>
    <t>Medina</t>
  </si>
  <si>
    <t>Austin</t>
  </si>
  <si>
    <t>Mcmorrow</t>
  </si>
  <si>
    <t>Andre</t>
  </si>
  <si>
    <t>S06600001</t>
  </si>
  <si>
    <t>P15400002</t>
  </si>
  <si>
    <t>Medicare Supplement</t>
  </si>
  <si>
    <t>Dental</t>
  </si>
  <si>
    <t>OH</t>
  </si>
  <si>
    <t>IL</t>
  </si>
  <si>
    <t>2026-03-10</t>
  </si>
  <si>
    <t>2026-03-13</t>
  </si>
  <si>
    <t>2026-04-01</t>
  </si>
  <si>
    <t>2026-05-01</t>
  </si>
  <si>
    <t>2026-04-11</t>
  </si>
  <si>
    <t>2026-04-15</t>
  </si>
  <si>
    <t>65</t>
  </si>
  <si>
    <t>69</t>
  </si>
  <si>
    <t>64</t>
  </si>
  <si>
    <t>35</t>
  </si>
  <si>
    <t>59</t>
  </si>
  <si>
    <t>MONTHLY</t>
  </si>
  <si>
    <t>RCVP</t>
  </si>
  <si>
    <t>3</t>
  </si>
  <si>
    <t>4</t>
  </si>
  <si>
    <t>7</t>
  </si>
  <si>
    <t>9</t>
  </si>
  <si>
    <t>1</t>
  </si>
  <si>
    <t>5</t>
  </si>
  <si>
    <t>6</t>
  </si>
  <si>
    <t>143.78</t>
  </si>
  <si>
    <t>53.67</t>
  </si>
  <si>
    <t>149.24</t>
  </si>
  <si>
    <t>130.09</t>
  </si>
  <si>
    <t>62.17</t>
  </si>
  <si>
    <t>151.36</t>
  </si>
  <si>
    <t>56.50</t>
  </si>
  <si>
    <t>127.65</t>
  </si>
  <si>
    <t>162.10</t>
  </si>
  <si>
    <t>0.00</t>
  </si>
  <si>
    <t>120.26</t>
  </si>
  <si>
    <t>121.96</t>
  </si>
  <si>
    <t>100.00000</t>
  </si>
  <si>
    <t>21.00%</t>
  </si>
  <si>
    <t>25.00%</t>
  </si>
  <si>
    <t>20.80%</t>
  </si>
  <si>
    <t>Y</t>
  </si>
  <si>
    <t>N</t>
  </si>
  <si>
    <t>2.80%</t>
  </si>
  <si>
    <t>9.50%</t>
  </si>
  <si>
    <t>advancePaybackAmount</t>
  </si>
  <si>
    <t>H750098871</t>
  </si>
  <si>
    <t>H750075563</t>
  </si>
  <si>
    <t>Colleen</t>
  </si>
  <si>
    <t>Jayne</t>
  </si>
  <si>
    <t>Thompson</t>
  </si>
  <si>
    <t>Bressner</t>
  </si>
  <si>
    <t>2026-03-09</t>
  </si>
  <si>
    <t>2026-03-12</t>
  </si>
  <si>
    <t>APB-U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</si>
  <si>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</si>
  <si>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</si>
  <si>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</si>
  <si>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</si>
  <si>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</si>
  <si>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</si>
  <si>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</si>
  <si>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Main Line Benefits</t>
  </si>
  <si>
    <t>Shapiro Robert</t>
  </si>
  <si>
    <t>7565575old</t>
  </si>
  <si>
    <t>Open Enrollment - States Where Available</t>
  </si>
  <si>
    <t>Open Enrollment underwritten IL</t>
  </si>
  <si>
    <t>Standard Dental</t>
  </si>
  <si>
    <t>8812322AV9</t>
  </si>
  <si>
    <t>Physician Mutual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</si>
</sst>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10" fontId="0" fillId="0" borderId="0" xfId="0" applyNumberFormat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1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>
      <selection sqref="A1:XFD104857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24</v>
      </c>
      <c r="C2" t="s">
        <v>27</v>
      </c>
      <c r="D2" t="s">
        <v>38</v>
      </c>
      <c r="E2" t="s">
        <v>47</v>
      </c>
      <c r="F2" t="s">
        <v>56</v>
      </c>
      <c r="G2" t="s">
        <v>58</v>
      </c>
      <c r="H2" t="s">
        <v>60</v>
      </c>
      <c r="I2" t="s">
        <v>62</v>
      </c>
      <c r="J2" t="s">
        <v>64</v>
      </c>
      <c r="K2" t="s">
        <v>68</v>
      </c>
      <c r="L2" t="s">
        <v>73</v>
      </c>
      <c r="M2" t="s">
        <v>74</v>
      </c>
      <c r="N2" t="s">
        <v>75</v>
      </c>
      <c r="O2" t="s">
        <v>82</v>
      </c>
      <c r="P2" t="s">
        <v>91</v>
      </c>
      <c r="Q2" t="s">
        <v>82</v>
      </c>
      <c r="R2" t="s">
        <v>94</v>
      </c>
      <c r="S2" t="s">
        <v>95</v>
      </c>
      <c r="T2">
        <v>30.19</v>
      </c>
      <c r="U2" t="s">
        <v>98</v>
      </c>
    </row>
    <row r="3" spans="1:21" x14ac:dyDescent="0.25">
      <c r="A3" t="s">
        <v>21</v>
      </c>
      <c r="B3" t="s">
        <v>24</v>
      </c>
      <c r="C3" t="s">
        <v>28</v>
      </c>
      <c r="D3" t="s">
        <v>39</v>
      </c>
      <c r="E3" t="s">
        <v>48</v>
      </c>
      <c r="F3" t="s">
        <v>57</v>
      </c>
      <c r="G3" t="s">
        <v>59</v>
      </c>
      <c r="H3" t="s">
        <v>60</v>
      </c>
      <c r="I3" t="s">
        <v>63</v>
      </c>
      <c r="J3" t="s">
        <v>65</v>
      </c>
      <c r="K3" t="s">
        <v>69</v>
      </c>
      <c r="L3" t="s">
        <v>73</v>
      </c>
      <c r="M3" t="s">
        <v>74</v>
      </c>
      <c r="N3" t="s">
        <v>76</v>
      </c>
      <c r="O3" t="s">
        <v>83</v>
      </c>
      <c r="P3" t="s">
        <v>91</v>
      </c>
      <c r="Q3" t="s">
        <v>83</v>
      </c>
      <c r="R3" t="s">
        <v>94</v>
      </c>
      <c r="S3" t="s">
        <v>96</v>
      </c>
      <c r="T3">
        <v>13.42</v>
      </c>
      <c r="U3" t="s">
        <v>98</v>
      </c>
    </row>
    <row r="4" spans="1:21" x14ac:dyDescent="0.25">
      <c r="A4" t="s">
        <v>21</v>
      </c>
      <c r="B4" t="s">
        <v>24</v>
      </c>
      <c r="C4" t="s">
        <v>29</v>
      </c>
      <c r="D4" t="s">
        <v>39</v>
      </c>
      <c r="E4" t="s">
        <v>48</v>
      </c>
      <c r="F4" t="s">
        <v>56</v>
      </c>
      <c r="G4" t="s">
        <v>58</v>
      </c>
      <c r="H4" t="s">
        <v>60</v>
      </c>
      <c r="I4" t="s">
        <v>63</v>
      </c>
      <c r="J4" t="s">
        <v>65</v>
      </c>
      <c r="K4" t="s">
        <v>69</v>
      </c>
      <c r="L4" t="s">
        <v>73</v>
      </c>
      <c r="M4" t="s">
        <v>74</v>
      </c>
      <c r="N4" t="s">
        <v>77</v>
      </c>
      <c r="O4" t="s">
        <v>84</v>
      </c>
      <c r="P4" t="s">
        <v>91</v>
      </c>
      <c r="Q4" t="s">
        <v>92</v>
      </c>
      <c r="R4" t="s">
        <v>94</v>
      </c>
      <c r="S4" t="s">
        <v>95</v>
      </c>
      <c r="T4">
        <v>25.25</v>
      </c>
      <c r="U4" t="s">
        <v>98</v>
      </c>
    </row>
    <row r="5" spans="1:21" x14ac:dyDescent="0.25">
      <c r="A5" t="s">
        <v>21</v>
      </c>
      <c r="B5" t="s">
        <v>24</v>
      </c>
      <c r="C5" t="s">
        <v>30</v>
      </c>
      <c r="D5" t="s">
        <v>40</v>
      </c>
      <c r="E5" t="s">
        <v>49</v>
      </c>
      <c r="F5" t="s">
        <v>56</v>
      </c>
      <c r="G5" t="s">
        <v>58</v>
      </c>
      <c r="H5" t="s">
        <v>60</v>
      </c>
      <c r="I5" t="s">
        <v>63</v>
      </c>
      <c r="J5" t="s">
        <v>65</v>
      </c>
      <c r="K5" t="s">
        <v>68</v>
      </c>
      <c r="L5" t="s">
        <v>73</v>
      </c>
      <c r="M5" t="s">
        <v>74</v>
      </c>
      <c r="N5" t="s">
        <v>75</v>
      </c>
      <c r="O5" t="s">
        <v>85</v>
      </c>
      <c r="P5" t="s">
        <v>91</v>
      </c>
      <c r="Q5" t="s">
        <v>85</v>
      </c>
      <c r="R5" t="s">
        <v>94</v>
      </c>
      <c r="S5" t="s">
        <v>95</v>
      </c>
      <c r="T5">
        <v>27.32</v>
      </c>
      <c r="U5" t="s">
        <v>98</v>
      </c>
    </row>
    <row r="6" spans="1:21" x14ac:dyDescent="0.25">
      <c r="A6" t="s">
        <v>21</v>
      </c>
      <c r="B6" t="s">
        <v>24</v>
      </c>
      <c r="C6" t="s">
        <v>31</v>
      </c>
      <c r="D6" t="s">
        <v>41</v>
      </c>
      <c r="E6" t="s">
        <v>50</v>
      </c>
      <c r="F6" t="s">
        <v>57</v>
      </c>
      <c r="G6" t="s">
        <v>59</v>
      </c>
      <c r="H6" t="s">
        <v>60</v>
      </c>
      <c r="I6" t="s">
        <v>63</v>
      </c>
      <c r="J6" t="s">
        <v>65</v>
      </c>
      <c r="K6" t="s">
        <v>70</v>
      </c>
      <c r="L6" t="s">
        <v>73</v>
      </c>
      <c r="M6" t="s">
        <v>74</v>
      </c>
      <c r="N6" t="s">
        <v>78</v>
      </c>
      <c r="O6" t="s">
        <v>86</v>
      </c>
      <c r="P6" t="s">
        <v>91</v>
      </c>
      <c r="Q6" t="s">
        <v>86</v>
      </c>
      <c r="R6" t="s">
        <v>94</v>
      </c>
      <c r="S6" t="s">
        <v>96</v>
      </c>
      <c r="T6">
        <v>15.54</v>
      </c>
      <c r="U6" t="s">
        <v>99</v>
      </c>
    </row>
    <row r="7" spans="1:21" x14ac:dyDescent="0.25">
      <c r="A7" t="s">
        <v>21</v>
      </c>
      <c r="B7" t="s">
        <v>24</v>
      </c>
      <c r="C7" t="s">
        <v>32</v>
      </c>
      <c r="D7" t="s">
        <v>41</v>
      </c>
      <c r="E7" t="s">
        <v>50</v>
      </c>
      <c r="F7" t="s">
        <v>56</v>
      </c>
      <c r="G7" t="s">
        <v>58</v>
      </c>
      <c r="H7" t="s">
        <v>60</v>
      </c>
      <c r="I7" t="s">
        <v>63</v>
      </c>
      <c r="J7" t="s">
        <v>65</v>
      </c>
      <c r="K7" t="s">
        <v>68</v>
      </c>
      <c r="L7" t="s">
        <v>73</v>
      </c>
      <c r="M7" t="s">
        <v>74</v>
      </c>
      <c r="N7" t="s">
        <v>78</v>
      </c>
      <c r="O7" t="s">
        <v>87</v>
      </c>
      <c r="P7" t="s">
        <v>91</v>
      </c>
      <c r="Q7" t="s">
        <v>93</v>
      </c>
      <c r="R7" t="s">
        <v>94</v>
      </c>
      <c r="S7" t="s">
        <v>95</v>
      </c>
      <c r="T7">
        <v>25.61</v>
      </c>
      <c r="U7" t="s">
        <v>99</v>
      </c>
    </row>
    <row r="8" spans="1:21" x14ac:dyDescent="0.25">
      <c r="A8" t="s">
        <v>21</v>
      </c>
      <c r="B8" t="s">
        <v>24</v>
      </c>
      <c r="C8" t="s">
        <v>33</v>
      </c>
      <c r="D8" t="s">
        <v>42</v>
      </c>
      <c r="E8" t="s">
        <v>51</v>
      </c>
      <c r="F8" t="s">
        <v>56</v>
      </c>
      <c r="G8" t="s">
        <v>58</v>
      </c>
      <c r="H8" t="s">
        <v>60</v>
      </c>
      <c r="I8" t="s">
        <v>63</v>
      </c>
      <c r="J8" t="s">
        <v>65</v>
      </c>
      <c r="K8" t="s">
        <v>68</v>
      </c>
      <c r="L8" t="s">
        <v>73</v>
      </c>
      <c r="M8" t="s">
        <v>74</v>
      </c>
      <c r="N8" t="s">
        <v>75</v>
      </c>
      <c r="O8" t="s">
        <v>85</v>
      </c>
      <c r="P8" t="s">
        <v>91</v>
      </c>
      <c r="Q8" t="s">
        <v>85</v>
      </c>
      <c r="R8" t="s">
        <v>94</v>
      </c>
      <c r="S8" t="s">
        <v>95</v>
      </c>
      <c r="T8">
        <v>27.32</v>
      </c>
      <c r="U8" t="s">
        <v>98</v>
      </c>
    </row>
    <row r="9" spans="1:21" x14ac:dyDescent="0.25">
      <c r="A9" t="s">
        <v>22</v>
      </c>
      <c r="B9" t="s">
        <v>25</v>
      </c>
      <c r="C9" t="s">
        <v>34</v>
      </c>
      <c r="D9" t="s">
        <v>43</v>
      </c>
      <c r="E9" t="s">
        <v>52</v>
      </c>
      <c r="F9" t="s">
        <v>57</v>
      </c>
      <c r="G9" t="s">
        <v>59</v>
      </c>
      <c r="H9" t="s">
        <v>61</v>
      </c>
      <c r="I9" t="s">
        <v>62</v>
      </c>
      <c r="J9" t="s">
        <v>65</v>
      </c>
      <c r="K9" t="s">
        <v>70</v>
      </c>
      <c r="L9" t="s">
        <v>73</v>
      </c>
      <c r="M9" t="s">
        <v>74</v>
      </c>
      <c r="N9" t="s">
        <v>79</v>
      </c>
      <c r="O9" t="s">
        <v>88</v>
      </c>
      <c r="P9" t="s">
        <v>91</v>
      </c>
      <c r="Q9" t="s">
        <v>88</v>
      </c>
      <c r="R9" t="s">
        <v>94</v>
      </c>
      <c r="S9" t="s">
        <v>96</v>
      </c>
      <c r="T9">
        <v>14.13</v>
      </c>
      <c r="U9" t="s">
        <v>98</v>
      </c>
    </row>
    <row r="10" spans="1:21" x14ac:dyDescent="0.25">
      <c r="A10" t="s">
        <v>22</v>
      </c>
      <c r="B10" t="s">
        <v>25</v>
      </c>
      <c r="C10" t="s">
        <v>35</v>
      </c>
      <c r="D10" t="s">
        <v>44</v>
      </c>
      <c r="E10" t="s">
        <v>53</v>
      </c>
      <c r="F10" t="s">
        <v>57</v>
      </c>
      <c r="G10" t="s">
        <v>59</v>
      </c>
      <c r="H10" t="s">
        <v>61</v>
      </c>
      <c r="I10" t="s">
        <v>62</v>
      </c>
      <c r="J10" t="s">
        <v>66</v>
      </c>
      <c r="K10" t="s">
        <v>71</v>
      </c>
      <c r="L10" t="s">
        <v>73</v>
      </c>
      <c r="M10" t="s">
        <v>74</v>
      </c>
      <c r="N10" t="s">
        <v>79</v>
      </c>
      <c r="O10" t="s">
        <v>89</v>
      </c>
      <c r="P10" t="s">
        <v>91</v>
      </c>
      <c r="Q10" t="s">
        <v>89</v>
      </c>
      <c r="R10" t="s">
        <v>94</v>
      </c>
      <c r="S10" t="s">
        <v>96</v>
      </c>
      <c r="T10">
        <v>31.91</v>
      </c>
      <c r="U10" t="s">
        <v>98</v>
      </c>
    </row>
    <row r="11" spans="1:21" x14ac:dyDescent="0.25">
      <c r="A11" t="s">
        <v>22</v>
      </c>
      <c r="B11" t="s">
        <v>25</v>
      </c>
      <c r="C11" t="s">
        <v>36</v>
      </c>
      <c r="D11" t="s">
        <v>45</v>
      </c>
      <c r="E11" t="s">
        <v>54</v>
      </c>
      <c r="F11" t="s">
        <v>57</v>
      </c>
      <c r="G11" t="s">
        <v>59</v>
      </c>
      <c r="H11" t="s">
        <v>61</v>
      </c>
      <c r="I11" t="s">
        <v>63</v>
      </c>
      <c r="J11" t="s">
        <v>67</v>
      </c>
      <c r="K11" t="s">
        <v>72</v>
      </c>
      <c r="L11" t="s">
        <v>73</v>
      </c>
      <c r="M11" t="s">
        <v>74</v>
      </c>
      <c r="N11" t="s">
        <v>80</v>
      </c>
      <c r="O11" t="s">
        <v>88</v>
      </c>
      <c r="P11" t="s">
        <v>91</v>
      </c>
      <c r="Q11" t="s">
        <v>88</v>
      </c>
      <c r="R11" t="s">
        <v>94</v>
      </c>
      <c r="S11" t="s">
        <v>96</v>
      </c>
      <c r="T11">
        <v>14.13</v>
      </c>
      <c r="U11" t="s">
        <v>98</v>
      </c>
    </row>
    <row r="12" spans="1:21" x14ac:dyDescent="0.25">
      <c r="A12" t="s">
        <v>23</v>
      </c>
      <c r="B12" t="s">
        <v>26</v>
      </c>
      <c r="C12" t="s">
        <v>37</v>
      </c>
      <c r="D12" t="s">
        <v>46</v>
      </c>
      <c r="E12" t="s">
        <v>55</v>
      </c>
      <c r="F12" t="s">
        <v>56</v>
      </c>
      <c r="G12" t="s">
        <v>58</v>
      </c>
      <c r="H12" t="s">
        <v>61</v>
      </c>
      <c r="I12" t="s">
        <v>63</v>
      </c>
      <c r="J12" t="s">
        <v>65</v>
      </c>
      <c r="K12" t="s">
        <v>68</v>
      </c>
      <c r="L12" t="s">
        <v>73</v>
      </c>
      <c r="M12" t="s">
        <v>74</v>
      </c>
      <c r="N12" t="s">
        <v>81</v>
      </c>
      <c r="O12" t="s">
        <v>90</v>
      </c>
      <c r="P12" t="s">
        <v>91</v>
      </c>
      <c r="Q12" t="s">
        <v>90</v>
      </c>
      <c r="R12" t="s">
        <v>94</v>
      </c>
      <c r="S12" t="s">
        <v>97</v>
      </c>
      <c r="T12">
        <v>33.72</v>
      </c>
      <c r="U1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5164-7626-45BE-AF5B-4B487670051B}">
  <dimension ref="A1:W23"/>
  <sheetViews>
    <sheetView topLeftCell="B1" workbookViewId="0">
      <selection activeCell="O2" sqref="O2:O23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13.7109375" customWidth="1"/>
    <col min="5" max="5" width="22.5703125" bestFit="1" customWidth="1"/>
    <col min="6" max="6" width="22.140625" bestFit="1" customWidth="1"/>
    <col min="7" max="7" width="22.140625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bestFit="1" customWidth="1"/>
    <col min="12" max="12" width="13.28515625" bestFit="1" customWidth="1"/>
    <col min="13" max="13" width="17.5703125" bestFit="1" customWidth="1"/>
    <col min="14" max="14" width="15.7109375" bestFit="1" customWidth="1"/>
    <col min="15" max="15" width="19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 t="s">
        <v>16</v>
      </c>
      <c r="N1" s="1" t="s">
        <v>18</v>
      </c>
      <c r="O1" s="1" t="s">
        <v>19</v>
      </c>
    </row>
    <row r="2" spans="1:23" x14ac:dyDescent="0.25">
      <c r="A2" t="s">
        <v>120</v>
      </c>
      <c r="B2" s="3" t="s">
        <v>121</v>
      </c>
      <c r="C2" t="s">
        <v>37</v>
      </c>
      <c r="D2" t="s">
        <v>37</v>
      </c>
      <c r="E2" t="s">
        <v>46</v>
      </c>
      <c r="F2" t="s">
        <v>55</v>
      </c>
      <c r="G2" t="str">
        <f>CONCATENATE(E2," ",F2)</f>
        <v>James Andre</v>
      </c>
      <c r="H2" t="s">
        <v>58</v>
      </c>
      <c r="I2" t="s">
        <v>61</v>
      </c>
      <c r="J2" s="7">
        <v>45962</v>
      </c>
      <c r="K2" s="7">
        <v>46143</v>
      </c>
      <c r="L2" s="3">
        <v>6</v>
      </c>
      <c r="M2" s="3">
        <v>162.1</v>
      </c>
      <c r="N2" s="5">
        <v>0.20799999999999999</v>
      </c>
      <c r="O2">
        <v>33.72</v>
      </c>
      <c r="P2" t="s">
        <v>123</v>
      </c>
    </row>
    <row r="3" spans="1:23" x14ac:dyDescent="0.25">
      <c r="A3" t="s">
        <v>21</v>
      </c>
      <c r="B3" s="3">
        <v>19491313</v>
      </c>
      <c r="C3" t="s">
        <v>27</v>
      </c>
      <c r="D3" t="s">
        <v>27</v>
      </c>
      <c r="E3" t="s">
        <v>38</v>
      </c>
      <c r="F3" t="s">
        <v>47</v>
      </c>
      <c r="G3" t="str">
        <f t="shared" ref="G3:G23" si="0">CONCATENATE(E3," ",F3)</f>
        <v>Robert Leighty</v>
      </c>
      <c r="H3" t="s">
        <v>58</v>
      </c>
      <c r="I3" t="s">
        <v>60</v>
      </c>
      <c r="J3" s="7">
        <v>46023</v>
      </c>
      <c r="K3" s="7">
        <v>46113</v>
      </c>
      <c r="L3" s="3">
        <v>3</v>
      </c>
      <c r="M3" s="3">
        <v>143.78</v>
      </c>
      <c r="N3" s="5">
        <v>0.21</v>
      </c>
      <c r="O3">
        <v>30.19</v>
      </c>
      <c r="P3" t="s">
        <v>122</v>
      </c>
    </row>
    <row r="4" spans="1:23" x14ac:dyDescent="0.25">
      <c r="A4" t="s">
        <v>21</v>
      </c>
      <c r="B4" s="3">
        <v>19491313</v>
      </c>
      <c r="C4" t="s">
        <v>29</v>
      </c>
      <c r="D4" t="s">
        <v>29</v>
      </c>
      <c r="E4" t="s">
        <v>39</v>
      </c>
      <c r="F4" t="s">
        <v>48</v>
      </c>
      <c r="G4" t="str">
        <f t="shared" si="0"/>
        <v>Kerry Morrison</v>
      </c>
      <c r="H4" t="s">
        <v>58</v>
      </c>
      <c r="I4" t="s">
        <v>60</v>
      </c>
      <c r="J4" s="7">
        <v>45931</v>
      </c>
      <c r="K4" s="7">
        <v>46143</v>
      </c>
      <c r="L4" s="3">
        <v>7</v>
      </c>
      <c r="M4" s="3">
        <v>120.26</v>
      </c>
      <c r="N4" s="5">
        <v>0.21</v>
      </c>
      <c r="O4">
        <v>25.25</v>
      </c>
      <c r="P4" t="s">
        <v>122</v>
      </c>
    </row>
    <row r="5" spans="1:23" x14ac:dyDescent="0.25">
      <c r="A5" t="s">
        <v>21</v>
      </c>
      <c r="B5" s="3">
        <v>19491313</v>
      </c>
      <c r="C5" t="s">
        <v>30</v>
      </c>
      <c r="D5" t="s">
        <v>30</v>
      </c>
      <c r="E5" t="s">
        <v>40</v>
      </c>
      <c r="F5" t="s">
        <v>49</v>
      </c>
      <c r="G5" t="str">
        <f t="shared" si="0"/>
        <v>Lisa Brewster</v>
      </c>
      <c r="H5" t="s">
        <v>58</v>
      </c>
      <c r="I5" t="s">
        <v>60</v>
      </c>
      <c r="J5" s="7">
        <v>46054</v>
      </c>
      <c r="K5" s="7">
        <v>46143</v>
      </c>
      <c r="L5" s="3">
        <v>3</v>
      </c>
      <c r="M5" s="3">
        <v>130.09</v>
      </c>
      <c r="N5" s="5">
        <v>0.21</v>
      </c>
      <c r="O5">
        <v>27.32</v>
      </c>
      <c r="P5" t="s">
        <v>122</v>
      </c>
    </row>
    <row r="6" spans="1:23" x14ac:dyDescent="0.25">
      <c r="A6" t="s">
        <v>21</v>
      </c>
      <c r="B6" s="3">
        <v>19491313</v>
      </c>
      <c r="C6" t="s">
        <v>32</v>
      </c>
      <c r="D6" t="s">
        <v>32</v>
      </c>
      <c r="E6" t="s">
        <v>41</v>
      </c>
      <c r="F6" t="s">
        <v>50</v>
      </c>
      <c r="G6" t="str">
        <f t="shared" si="0"/>
        <v>Michael Mcclellan</v>
      </c>
      <c r="H6" t="s">
        <v>58</v>
      </c>
      <c r="I6" t="s">
        <v>60</v>
      </c>
      <c r="J6" s="7">
        <v>45870</v>
      </c>
      <c r="K6" s="7">
        <v>46143</v>
      </c>
      <c r="L6" s="3">
        <v>9</v>
      </c>
      <c r="M6" s="3">
        <v>121.96</v>
      </c>
      <c r="N6" s="5">
        <v>0.21</v>
      </c>
      <c r="O6">
        <v>25.61</v>
      </c>
      <c r="P6" t="s">
        <v>122</v>
      </c>
    </row>
    <row r="7" spans="1:23" x14ac:dyDescent="0.25">
      <c r="A7" t="s">
        <v>21</v>
      </c>
      <c r="B7" s="3">
        <v>19491313</v>
      </c>
      <c r="C7" t="s">
        <v>33</v>
      </c>
      <c r="D7" t="s">
        <v>33</v>
      </c>
      <c r="E7" t="s">
        <v>42</v>
      </c>
      <c r="F7" t="s">
        <v>51</v>
      </c>
      <c r="G7" t="str">
        <f t="shared" si="0"/>
        <v>Kimberly Shonebarger</v>
      </c>
      <c r="H7" t="s">
        <v>58</v>
      </c>
      <c r="I7" t="s">
        <v>60</v>
      </c>
      <c r="J7" s="7">
        <v>46054</v>
      </c>
      <c r="K7" s="7">
        <v>46143</v>
      </c>
      <c r="L7" s="3">
        <v>3</v>
      </c>
      <c r="M7" s="3">
        <v>130.09</v>
      </c>
      <c r="N7" s="5">
        <v>0.21</v>
      </c>
      <c r="O7">
        <v>27.32</v>
      </c>
      <c r="P7" t="s">
        <v>122</v>
      </c>
    </row>
    <row r="8" spans="1:23" x14ac:dyDescent="0.25">
      <c r="A8" t="s">
        <v>21</v>
      </c>
      <c r="B8" s="3">
        <v>19491313</v>
      </c>
      <c r="C8" t="s">
        <v>28</v>
      </c>
      <c r="D8" t="s">
        <v>28</v>
      </c>
      <c r="E8" t="s">
        <v>39</v>
      </c>
      <c r="F8" t="s">
        <v>48</v>
      </c>
      <c r="G8" t="str">
        <f t="shared" si="0"/>
        <v>Kerry Morrison</v>
      </c>
      <c r="H8" t="s">
        <v>59</v>
      </c>
      <c r="I8" t="s">
        <v>60</v>
      </c>
      <c r="J8" s="7">
        <v>46023</v>
      </c>
      <c r="K8" s="7">
        <v>46143</v>
      </c>
      <c r="L8" s="3">
        <v>4</v>
      </c>
      <c r="M8" s="3">
        <v>53.67</v>
      </c>
      <c r="N8" s="5">
        <v>0.25</v>
      </c>
      <c r="O8">
        <v>13.42</v>
      </c>
      <c r="P8" t="s">
        <v>124</v>
      </c>
    </row>
    <row r="9" spans="1:23" s="9" customFormat="1" x14ac:dyDescent="0.25">
      <c r="A9" t="s">
        <v>21</v>
      </c>
      <c r="B9" s="3">
        <v>19491313</v>
      </c>
      <c r="C9" t="s">
        <v>31</v>
      </c>
      <c r="D9" t="s">
        <v>31</v>
      </c>
      <c r="E9" t="s">
        <v>41</v>
      </c>
      <c r="F9" t="s">
        <v>50</v>
      </c>
      <c r="G9" t="str">
        <f t="shared" si="0"/>
        <v>Michael Mcclellan</v>
      </c>
      <c r="H9" t="s">
        <v>59</v>
      </c>
      <c r="I9" t="s">
        <v>60</v>
      </c>
      <c r="J9" s="7">
        <v>45870</v>
      </c>
      <c r="K9" s="7">
        <v>46143</v>
      </c>
      <c r="L9" s="3">
        <v>9</v>
      </c>
      <c r="M9" s="3">
        <v>62.17</v>
      </c>
      <c r="N9" s="5">
        <v>0.25</v>
      </c>
      <c r="O9">
        <v>15.54</v>
      </c>
      <c r="P9" t="s">
        <v>124</v>
      </c>
      <c r="Q9"/>
      <c r="R9"/>
      <c r="S9"/>
      <c r="T9"/>
      <c r="U9"/>
      <c r="V9"/>
      <c r="W9"/>
    </row>
    <row r="10" spans="1:23" s="9" customFormat="1" x14ac:dyDescent="0.25">
      <c r="A10" s="9" t="s">
        <v>22</v>
      </c>
      <c r="B10" s="10" t="s">
        <v>125</v>
      </c>
      <c r="C10" s="9" t="s">
        <v>34</v>
      </c>
      <c r="D10" s="9" t="s">
        <v>34</v>
      </c>
      <c r="E10" s="9" t="s">
        <v>43</v>
      </c>
      <c r="F10" s="9" t="s">
        <v>52</v>
      </c>
      <c r="G10" t="str">
        <f t="shared" si="0"/>
        <v>Maria Medina</v>
      </c>
      <c r="H10" s="9" t="s">
        <v>59</v>
      </c>
      <c r="I10" s="9" t="s">
        <v>61</v>
      </c>
      <c r="J10" s="11">
        <v>46113</v>
      </c>
      <c r="K10" s="11">
        <v>46143</v>
      </c>
      <c r="L10" s="10">
        <v>1</v>
      </c>
      <c r="M10" s="10">
        <v>56.5</v>
      </c>
      <c r="N10" s="12">
        <v>0.25</v>
      </c>
      <c r="O10" s="9">
        <v>14.13</v>
      </c>
      <c r="P10" s="9" t="s">
        <v>124</v>
      </c>
    </row>
    <row r="11" spans="1:23" x14ac:dyDescent="0.25">
      <c r="A11" s="9" t="s">
        <v>22</v>
      </c>
      <c r="B11" s="10" t="s">
        <v>125</v>
      </c>
      <c r="C11" s="9" t="s">
        <v>35</v>
      </c>
      <c r="D11" s="9" t="s">
        <v>35</v>
      </c>
      <c r="E11" s="9" t="s">
        <v>44</v>
      </c>
      <c r="F11" s="9" t="s">
        <v>53</v>
      </c>
      <c r="G11" t="str">
        <f t="shared" si="0"/>
        <v>Jenna Austin</v>
      </c>
      <c r="H11" s="9" t="s">
        <v>59</v>
      </c>
      <c r="I11" s="9" t="s">
        <v>61</v>
      </c>
      <c r="J11" s="11">
        <v>46092</v>
      </c>
      <c r="K11" s="11">
        <v>46123</v>
      </c>
      <c r="L11" s="10">
        <v>1</v>
      </c>
      <c r="M11" s="10">
        <v>127.65</v>
      </c>
      <c r="N11" s="12">
        <v>0.25</v>
      </c>
      <c r="O11" s="9">
        <v>31.91</v>
      </c>
      <c r="P11" s="9" t="s">
        <v>124</v>
      </c>
      <c r="Q11" s="9"/>
      <c r="R11" s="9"/>
      <c r="S11" s="9"/>
      <c r="T11" s="9"/>
      <c r="U11" s="9"/>
      <c r="V11" s="9"/>
      <c r="W11" s="9"/>
    </row>
    <row r="12" spans="1:23" x14ac:dyDescent="0.25">
      <c r="A12" t="s">
        <v>22</v>
      </c>
      <c r="B12" s="3">
        <v>8812322</v>
      </c>
      <c r="C12" t="s">
        <v>36</v>
      </c>
      <c r="D12" t="s">
        <v>36</v>
      </c>
      <c r="E12" t="s">
        <v>45</v>
      </c>
      <c r="F12" t="s">
        <v>54</v>
      </c>
      <c r="G12" t="str">
        <f t="shared" si="0"/>
        <v>Kelly Mcmorrow</v>
      </c>
      <c r="H12" t="s">
        <v>59</v>
      </c>
      <c r="I12" t="s">
        <v>61</v>
      </c>
      <c r="J12" s="7">
        <v>45976</v>
      </c>
      <c r="K12" s="7">
        <v>46127</v>
      </c>
      <c r="L12" s="3">
        <v>5</v>
      </c>
      <c r="M12" s="3">
        <v>56.5</v>
      </c>
      <c r="N12" s="5">
        <v>0.25</v>
      </c>
      <c r="O12">
        <v>14.13</v>
      </c>
      <c r="P12" t="s">
        <v>124</v>
      </c>
    </row>
    <row r="13" spans="1:23" s="2" customFormat="1" x14ac:dyDescent="0.25">
      <c r="A13" s="2" t="s">
        <v>119</v>
      </c>
      <c r="B13" s="4">
        <v>20411454</v>
      </c>
      <c r="C13" s="2" t="s">
        <v>27</v>
      </c>
      <c r="D13" s="2" t="str">
        <f>CONCATENATE(C13,"OVR")</f>
        <v>H750092058OVR</v>
      </c>
      <c r="E13" s="2" t="s">
        <v>38</v>
      </c>
      <c r="F13" s="2" t="s">
        <v>47</v>
      </c>
      <c r="G13" t="str">
        <f t="shared" si="0"/>
        <v>Robert Leighty</v>
      </c>
      <c r="H13" s="2" t="s">
        <v>58</v>
      </c>
      <c r="I13" s="2" t="s">
        <v>60</v>
      </c>
      <c r="J13" s="8">
        <v>46023</v>
      </c>
      <c r="K13" s="8">
        <v>46113</v>
      </c>
      <c r="L13" s="4">
        <v>3</v>
      </c>
      <c r="M13" s="2">
        <v>4.03</v>
      </c>
      <c r="N13" s="6">
        <v>2.8000000000000001E-2</v>
      </c>
      <c r="O13" s="2">
        <v>4.03</v>
      </c>
      <c r="P13" s="2" t="s">
        <v>126</v>
      </c>
    </row>
    <row r="14" spans="1:23" s="2" customFormat="1" x14ac:dyDescent="0.25">
      <c r="A14" s="2" t="s">
        <v>119</v>
      </c>
      <c r="B14" s="4">
        <v>20411454</v>
      </c>
      <c r="C14" s="2" t="s">
        <v>28</v>
      </c>
      <c r="D14" s="2" t="str">
        <f t="shared" ref="D14:D23" si="1">CONCATENATE(C14,"OVR")</f>
        <v>H711037165OVR</v>
      </c>
      <c r="E14" s="2" t="s">
        <v>39</v>
      </c>
      <c r="F14" s="2" t="s">
        <v>48</v>
      </c>
      <c r="G14" t="str">
        <f t="shared" si="0"/>
        <v>Kerry Morrison</v>
      </c>
      <c r="H14" s="2" t="s">
        <v>59</v>
      </c>
      <c r="I14" s="2" t="s">
        <v>60</v>
      </c>
      <c r="J14" s="8">
        <v>46023</v>
      </c>
      <c r="K14" s="8">
        <v>46143</v>
      </c>
      <c r="L14" s="4">
        <v>4</v>
      </c>
      <c r="M14" s="2">
        <v>5.0999999999999996</v>
      </c>
      <c r="N14" s="6">
        <v>9.5000000000000001E-2</v>
      </c>
      <c r="O14" s="2">
        <v>5.0999999999999996</v>
      </c>
      <c r="P14" s="2" t="s">
        <v>126</v>
      </c>
    </row>
    <row r="15" spans="1:23" s="2" customFormat="1" x14ac:dyDescent="0.25">
      <c r="A15" s="2" t="s">
        <v>119</v>
      </c>
      <c r="B15" s="4">
        <v>20411454</v>
      </c>
      <c r="C15" s="2" t="s">
        <v>29</v>
      </c>
      <c r="D15" s="2" t="str">
        <f t="shared" si="1"/>
        <v>H750075022OVR</v>
      </c>
      <c r="E15" s="2" t="s">
        <v>39</v>
      </c>
      <c r="F15" s="2" t="s">
        <v>48</v>
      </c>
      <c r="G15" t="str">
        <f t="shared" si="0"/>
        <v>Kerry Morrison</v>
      </c>
      <c r="H15" s="2" t="s">
        <v>58</v>
      </c>
      <c r="I15" s="2" t="s">
        <v>60</v>
      </c>
      <c r="J15" s="8">
        <v>45931</v>
      </c>
      <c r="K15" s="8">
        <v>46143</v>
      </c>
      <c r="L15" s="4">
        <v>7</v>
      </c>
      <c r="M15" s="2">
        <v>3.37</v>
      </c>
      <c r="N15" s="6">
        <v>2.8000000000000001E-2</v>
      </c>
      <c r="O15" s="2">
        <v>3.37</v>
      </c>
      <c r="P15" s="2" t="s">
        <v>126</v>
      </c>
    </row>
    <row r="16" spans="1:23" s="2" customFormat="1" x14ac:dyDescent="0.25">
      <c r="A16" s="2" t="s">
        <v>119</v>
      </c>
      <c r="B16" s="4">
        <v>20411454</v>
      </c>
      <c r="C16" s="2" t="s">
        <v>30</v>
      </c>
      <c r="D16" s="2" t="str">
        <f t="shared" si="1"/>
        <v>H750095052OVR</v>
      </c>
      <c r="E16" s="2" t="s">
        <v>40</v>
      </c>
      <c r="F16" s="2" t="s">
        <v>49</v>
      </c>
      <c r="G16" t="str">
        <f t="shared" si="0"/>
        <v>Lisa Brewster</v>
      </c>
      <c r="H16" s="2" t="s">
        <v>58</v>
      </c>
      <c r="I16" s="2" t="s">
        <v>60</v>
      </c>
      <c r="J16" s="8">
        <v>46054</v>
      </c>
      <c r="K16" s="8">
        <v>46143</v>
      </c>
      <c r="L16" s="4">
        <v>3</v>
      </c>
      <c r="M16" s="2">
        <v>3.64</v>
      </c>
      <c r="N16" s="6">
        <v>2.8000000000000001E-2</v>
      </c>
      <c r="O16" s="2">
        <v>3.64</v>
      </c>
      <c r="P16" s="2" t="s">
        <v>126</v>
      </c>
    </row>
    <row r="17" spans="1:16" s="2" customFormat="1" x14ac:dyDescent="0.25">
      <c r="A17" s="2" t="s">
        <v>119</v>
      </c>
      <c r="B17" s="4">
        <v>20411454</v>
      </c>
      <c r="C17" s="2" t="s">
        <v>31</v>
      </c>
      <c r="D17" s="2" t="str">
        <f t="shared" si="1"/>
        <v>H711024011OVR</v>
      </c>
      <c r="E17" s="2" t="s">
        <v>41</v>
      </c>
      <c r="F17" s="2" t="s">
        <v>50</v>
      </c>
      <c r="G17" t="str">
        <f t="shared" si="0"/>
        <v>Michael Mcclellan</v>
      </c>
      <c r="H17" s="2" t="s">
        <v>59</v>
      </c>
      <c r="I17" s="2" t="s">
        <v>60</v>
      </c>
      <c r="J17" s="8">
        <v>45870</v>
      </c>
      <c r="K17" s="8">
        <v>46143</v>
      </c>
      <c r="L17" s="4">
        <v>9</v>
      </c>
      <c r="M17" s="2">
        <v>5.91</v>
      </c>
      <c r="N17" s="6">
        <v>9.5000000000000001E-2</v>
      </c>
      <c r="O17" s="2">
        <v>5.91</v>
      </c>
      <c r="P17" s="2" t="s">
        <v>126</v>
      </c>
    </row>
    <row r="18" spans="1:16" s="2" customFormat="1" x14ac:dyDescent="0.25">
      <c r="A18" s="2" t="s">
        <v>119</v>
      </c>
      <c r="B18" s="4">
        <v>20411454</v>
      </c>
      <c r="C18" s="2" t="s">
        <v>32</v>
      </c>
      <c r="D18" s="2" t="str">
        <f t="shared" si="1"/>
        <v>H750070465OVR</v>
      </c>
      <c r="E18" s="2" t="s">
        <v>41</v>
      </c>
      <c r="F18" s="2" t="s">
        <v>50</v>
      </c>
      <c r="G18" t="str">
        <f t="shared" si="0"/>
        <v>Michael Mcclellan</v>
      </c>
      <c r="H18" s="2" t="s">
        <v>58</v>
      </c>
      <c r="I18" s="2" t="s">
        <v>60</v>
      </c>
      <c r="J18" s="8">
        <v>45870</v>
      </c>
      <c r="K18" s="8">
        <v>46143</v>
      </c>
      <c r="L18" s="4">
        <v>9</v>
      </c>
      <c r="M18" s="2">
        <v>3.41</v>
      </c>
      <c r="N18" s="6">
        <v>2.8000000000000001E-2</v>
      </c>
      <c r="O18" s="2">
        <v>3.41</v>
      </c>
      <c r="P18" s="2" t="s">
        <v>126</v>
      </c>
    </row>
    <row r="19" spans="1:16" s="2" customFormat="1" x14ac:dyDescent="0.25">
      <c r="A19" s="2" t="s">
        <v>119</v>
      </c>
      <c r="B19" s="4">
        <v>20411454</v>
      </c>
      <c r="C19" s="2" t="s">
        <v>33</v>
      </c>
      <c r="D19" s="2" t="str">
        <f t="shared" si="1"/>
        <v>H750095804OVR</v>
      </c>
      <c r="E19" s="2" t="s">
        <v>42</v>
      </c>
      <c r="F19" s="2" t="s">
        <v>51</v>
      </c>
      <c r="G19" t="str">
        <f t="shared" si="0"/>
        <v>Kimberly Shonebarger</v>
      </c>
      <c r="H19" s="2" t="s">
        <v>58</v>
      </c>
      <c r="I19" s="2" t="s">
        <v>60</v>
      </c>
      <c r="J19" s="8">
        <v>46054</v>
      </c>
      <c r="K19" s="8">
        <v>46143</v>
      </c>
      <c r="L19" s="4">
        <v>3</v>
      </c>
      <c r="M19" s="2">
        <v>3.64</v>
      </c>
      <c r="N19" s="6">
        <v>2.8000000000000001E-2</v>
      </c>
      <c r="O19" s="2">
        <v>3.64</v>
      </c>
      <c r="P19" s="2" t="s">
        <v>126</v>
      </c>
    </row>
    <row r="20" spans="1:16" s="2" customFormat="1" x14ac:dyDescent="0.25">
      <c r="A20" s="2" t="s">
        <v>119</v>
      </c>
      <c r="B20" s="4">
        <v>20411454</v>
      </c>
      <c r="C20" s="2" t="s">
        <v>34</v>
      </c>
      <c r="D20" s="2" t="str">
        <f t="shared" si="1"/>
        <v>H711124408OVR</v>
      </c>
      <c r="E20" s="2" t="s">
        <v>43</v>
      </c>
      <c r="F20" s="2" t="s">
        <v>52</v>
      </c>
      <c r="G20" t="str">
        <f t="shared" si="0"/>
        <v>Maria Medina</v>
      </c>
      <c r="H20" s="2" t="s">
        <v>59</v>
      </c>
      <c r="I20" s="2" t="s">
        <v>61</v>
      </c>
      <c r="J20" s="8">
        <v>46113</v>
      </c>
      <c r="K20" s="8">
        <v>46143</v>
      </c>
      <c r="L20" s="4">
        <v>1</v>
      </c>
      <c r="M20" s="2">
        <v>5.37</v>
      </c>
      <c r="N20" s="6">
        <v>9.5000000000000001E-2</v>
      </c>
      <c r="O20" s="2">
        <v>5.37</v>
      </c>
      <c r="P20" s="2" t="s">
        <v>126</v>
      </c>
    </row>
    <row r="21" spans="1:16" s="2" customFormat="1" x14ac:dyDescent="0.25">
      <c r="A21" s="2" t="s">
        <v>119</v>
      </c>
      <c r="B21" s="4">
        <v>20411454</v>
      </c>
      <c r="C21" s="2" t="s">
        <v>35</v>
      </c>
      <c r="D21" s="2" t="str">
        <f t="shared" si="1"/>
        <v>H711124438OVR</v>
      </c>
      <c r="E21" s="2" t="s">
        <v>44</v>
      </c>
      <c r="F21" s="2" t="s">
        <v>53</v>
      </c>
      <c r="G21" t="str">
        <f t="shared" si="0"/>
        <v>Jenna Austin</v>
      </c>
      <c r="H21" s="2" t="s">
        <v>59</v>
      </c>
      <c r="I21" s="2" t="s">
        <v>61</v>
      </c>
      <c r="J21" s="8">
        <v>46092</v>
      </c>
      <c r="K21" s="8">
        <v>46123</v>
      </c>
      <c r="L21" s="4">
        <v>1</v>
      </c>
      <c r="M21" s="2">
        <v>12.13</v>
      </c>
      <c r="N21" s="6">
        <v>9.5000000000000001E-2</v>
      </c>
      <c r="O21" s="2">
        <v>12.13</v>
      </c>
      <c r="P21" s="2" t="s">
        <v>126</v>
      </c>
    </row>
    <row r="22" spans="1:16" s="2" customFormat="1" x14ac:dyDescent="0.25">
      <c r="A22" s="2" t="s">
        <v>119</v>
      </c>
      <c r="B22" s="4">
        <v>20411454</v>
      </c>
      <c r="C22" s="2" t="s">
        <v>36</v>
      </c>
      <c r="D22" s="2" t="str">
        <f t="shared" si="1"/>
        <v>H711067626OVR</v>
      </c>
      <c r="E22" s="2" t="s">
        <v>45</v>
      </c>
      <c r="F22" s="2" t="s">
        <v>54</v>
      </c>
      <c r="G22" t="str">
        <f t="shared" si="0"/>
        <v>Kelly Mcmorrow</v>
      </c>
      <c r="H22" s="2" t="s">
        <v>59</v>
      </c>
      <c r="I22" s="2" t="s">
        <v>61</v>
      </c>
      <c r="J22" s="8">
        <v>45976</v>
      </c>
      <c r="K22" s="8">
        <v>46127</v>
      </c>
      <c r="L22" s="4">
        <v>5</v>
      </c>
      <c r="M22" s="2">
        <v>5.37</v>
      </c>
      <c r="N22" s="6">
        <v>9.5000000000000001E-2</v>
      </c>
      <c r="O22" s="2">
        <v>5.37</v>
      </c>
      <c r="P22" s="2" t="s">
        <v>126</v>
      </c>
    </row>
    <row r="23" spans="1:16" s="2" customFormat="1" x14ac:dyDescent="0.25">
      <c r="A23" s="2" t="s">
        <v>119</v>
      </c>
      <c r="B23" s="4">
        <v>20411454</v>
      </c>
      <c r="C23" s="2" t="s">
        <v>37</v>
      </c>
      <c r="D23" s="2" t="str">
        <f t="shared" si="1"/>
        <v>H750077920OVR</v>
      </c>
      <c r="E23" s="2" t="s">
        <v>46</v>
      </c>
      <c r="F23" s="2" t="s">
        <v>55</v>
      </c>
      <c r="G23" t="str">
        <f t="shared" si="0"/>
        <v>James Andre</v>
      </c>
      <c r="H23" s="2" t="s">
        <v>58</v>
      </c>
      <c r="I23" s="2" t="s">
        <v>61</v>
      </c>
      <c r="J23" s="8">
        <v>45962</v>
      </c>
      <c r="K23" s="8">
        <v>46143</v>
      </c>
      <c r="L23" s="4">
        <v>6</v>
      </c>
      <c r="M23" s="2">
        <v>4.54</v>
      </c>
      <c r="N23" s="6">
        <v>2.8000000000000001E-2</v>
      </c>
      <c r="O23" s="2">
        <v>4.54</v>
      </c>
      <c r="P23" s="2" t="s">
        <v>126</v>
      </c>
    </row>
  </sheetData>
  <sortState xmlns:xlrd2="http://schemas.microsoft.com/office/spreadsheetml/2017/richdata2" ref="A2:W12">
    <sortCondition ref="N2:N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>
      <selection activeCell="A2" sqref="A2:XFD1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24</v>
      </c>
      <c r="C2" t="s">
        <v>27</v>
      </c>
      <c r="D2" t="s">
        <v>38</v>
      </c>
      <c r="E2" t="s">
        <v>47</v>
      </c>
      <c r="F2" t="s">
        <v>56</v>
      </c>
      <c r="G2" t="s">
        <v>58</v>
      </c>
      <c r="H2" t="s">
        <v>60</v>
      </c>
      <c r="I2" t="s">
        <v>62</v>
      </c>
      <c r="J2" t="s">
        <v>64</v>
      </c>
      <c r="K2" t="s">
        <v>68</v>
      </c>
      <c r="L2" t="s">
        <v>73</v>
      </c>
      <c r="M2" t="s">
        <v>74</v>
      </c>
      <c r="N2" t="s">
        <v>75</v>
      </c>
      <c r="O2" t="s">
        <v>82</v>
      </c>
      <c r="P2" t="s">
        <v>91</v>
      </c>
      <c r="Q2" t="s">
        <v>82</v>
      </c>
      <c r="R2" t="s">
        <v>94</v>
      </c>
      <c r="S2" t="s">
        <v>100</v>
      </c>
      <c r="T2">
        <v>4.03</v>
      </c>
    </row>
    <row r="3" spans="1:20" x14ac:dyDescent="0.25">
      <c r="A3" t="s">
        <v>21</v>
      </c>
      <c r="B3" t="s">
        <v>24</v>
      </c>
      <c r="C3" t="s">
        <v>28</v>
      </c>
      <c r="D3" t="s">
        <v>39</v>
      </c>
      <c r="E3" t="s">
        <v>48</v>
      </c>
      <c r="F3" t="s">
        <v>57</v>
      </c>
      <c r="G3" t="s">
        <v>59</v>
      </c>
      <c r="H3" t="s">
        <v>60</v>
      </c>
      <c r="I3" t="s">
        <v>63</v>
      </c>
      <c r="J3" t="s">
        <v>65</v>
      </c>
      <c r="K3" t="s">
        <v>69</v>
      </c>
      <c r="L3" t="s">
        <v>73</v>
      </c>
      <c r="M3" t="s">
        <v>74</v>
      </c>
      <c r="N3" t="s">
        <v>76</v>
      </c>
      <c r="O3" t="s">
        <v>83</v>
      </c>
      <c r="P3" t="s">
        <v>91</v>
      </c>
      <c r="Q3" t="s">
        <v>83</v>
      </c>
      <c r="R3" t="s">
        <v>94</v>
      </c>
      <c r="S3" t="s">
        <v>101</v>
      </c>
      <c r="T3">
        <v>5.0999999999999996</v>
      </c>
    </row>
    <row r="4" spans="1:20" x14ac:dyDescent="0.25">
      <c r="A4" t="s">
        <v>21</v>
      </c>
      <c r="B4" t="s">
        <v>24</v>
      </c>
      <c r="C4" t="s">
        <v>29</v>
      </c>
      <c r="D4" t="s">
        <v>39</v>
      </c>
      <c r="E4" t="s">
        <v>48</v>
      </c>
      <c r="F4" t="s">
        <v>56</v>
      </c>
      <c r="G4" t="s">
        <v>58</v>
      </c>
      <c r="H4" t="s">
        <v>60</v>
      </c>
      <c r="I4" t="s">
        <v>63</v>
      </c>
      <c r="J4" t="s">
        <v>65</v>
      </c>
      <c r="K4" t="s">
        <v>69</v>
      </c>
      <c r="L4" t="s">
        <v>73</v>
      </c>
      <c r="M4" t="s">
        <v>74</v>
      </c>
      <c r="N4" t="s">
        <v>77</v>
      </c>
      <c r="O4" t="s">
        <v>84</v>
      </c>
      <c r="P4" t="s">
        <v>91</v>
      </c>
      <c r="Q4" t="s">
        <v>92</v>
      </c>
      <c r="R4" t="s">
        <v>94</v>
      </c>
      <c r="S4" t="s">
        <v>100</v>
      </c>
      <c r="T4">
        <v>3.37</v>
      </c>
    </row>
    <row r="5" spans="1:20" x14ac:dyDescent="0.25">
      <c r="A5" t="s">
        <v>21</v>
      </c>
      <c r="B5" t="s">
        <v>24</v>
      </c>
      <c r="C5" t="s">
        <v>30</v>
      </c>
      <c r="D5" t="s">
        <v>40</v>
      </c>
      <c r="E5" t="s">
        <v>49</v>
      </c>
      <c r="F5" t="s">
        <v>56</v>
      </c>
      <c r="G5" t="s">
        <v>58</v>
      </c>
      <c r="H5" t="s">
        <v>60</v>
      </c>
      <c r="I5" t="s">
        <v>63</v>
      </c>
      <c r="J5" t="s">
        <v>65</v>
      </c>
      <c r="K5" t="s">
        <v>68</v>
      </c>
      <c r="L5" t="s">
        <v>73</v>
      </c>
      <c r="M5" t="s">
        <v>74</v>
      </c>
      <c r="N5" t="s">
        <v>75</v>
      </c>
      <c r="O5" t="s">
        <v>85</v>
      </c>
      <c r="P5" t="s">
        <v>91</v>
      </c>
      <c r="Q5" t="s">
        <v>85</v>
      </c>
      <c r="R5" t="s">
        <v>94</v>
      </c>
      <c r="S5" t="s">
        <v>100</v>
      </c>
      <c r="T5">
        <v>3.64</v>
      </c>
    </row>
    <row r="6" spans="1:20" x14ac:dyDescent="0.25">
      <c r="A6" t="s">
        <v>21</v>
      </c>
      <c r="B6" t="s">
        <v>24</v>
      </c>
      <c r="C6" t="s">
        <v>31</v>
      </c>
      <c r="D6" t="s">
        <v>41</v>
      </c>
      <c r="E6" t="s">
        <v>50</v>
      </c>
      <c r="F6" t="s">
        <v>57</v>
      </c>
      <c r="G6" t="s">
        <v>59</v>
      </c>
      <c r="H6" t="s">
        <v>60</v>
      </c>
      <c r="I6" t="s">
        <v>63</v>
      </c>
      <c r="J6" t="s">
        <v>65</v>
      </c>
      <c r="K6" t="s">
        <v>70</v>
      </c>
      <c r="L6" t="s">
        <v>73</v>
      </c>
      <c r="M6" t="s">
        <v>74</v>
      </c>
      <c r="N6" t="s">
        <v>78</v>
      </c>
      <c r="O6" t="s">
        <v>86</v>
      </c>
      <c r="P6" t="s">
        <v>91</v>
      </c>
      <c r="Q6" t="s">
        <v>86</v>
      </c>
      <c r="R6" t="s">
        <v>94</v>
      </c>
      <c r="S6" t="s">
        <v>101</v>
      </c>
      <c r="T6">
        <v>5.91</v>
      </c>
    </row>
    <row r="7" spans="1:20" x14ac:dyDescent="0.25">
      <c r="A7" t="s">
        <v>21</v>
      </c>
      <c r="B7" t="s">
        <v>24</v>
      </c>
      <c r="C7" t="s">
        <v>32</v>
      </c>
      <c r="D7" t="s">
        <v>41</v>
      </c>
      <c r="E7" t="s">
        <v>50</v>
      </c>
      <c r="F7" t="s">
        <v>56</v>
      </c>
      <c r="G7" t="s">
        <v>58</v>
      </c>
      <c r="H7" t="s">
        <v>60</v>
      </c>
      <c r="I7" t="s">
        <v>63</v>
      </c>
      <c r="J7" t="s">
        <v>65</v>
      </c>
      <c r="K7" t="s">
        <v>68</v>
      </c>
      <c r="L7" t="s">
        <v>73</v>
      </c>
      <c r="M7" t="s">
        <v>74</v>
      </c>
      <c r="N7" t="s">
        <v>78</v>
      </c>
      <c r="O7" t="s">
        <v>87</v>
      </c>
      <c r="P7" t="s">
        <v>91</v>
      </c>
      <c r="Q7" t="s">
        <v>93</v>
      </c>
      <c r="R7" t="s">
        <v>94</v>
      </c>
      <c r="S7" t="s">
        <v>100</v>
      </c>
      <c r="T7">
        <v>3.41</v>
      </c>
    </row>
    <row r="8" spans="1:20" x14ac:dyDescent="0.25">
      <c r="A8" t="s">
        <v>21</v>
      </c>
      <c r="B8" t="s">
        <v>24</v>
      </c>
      <c r="C8" t="s">
        <v>33</v>
      </c>
      <c r="D8" t="s">
        <v>42</v>
      </c>
      <c r="E8" t="s">
        <v>51</v>
      </c>
      <c r="F8" t="s">
        <v>56</v>
      </c>
      <c r="G8" t="s">
        <v>58</v>
      </c>
      <c r="H8" t="s">
        <v>60</v>
      </c>
      <c r="I8" t="s">
        <v>63</v>
      </c>
      <c r="J8" t="s">
        <v>65</v>
      </c>
      <c r="K8" t="s">
        <v>68</v>
      </c>
      <c r="L8" t="s">
        <v>73</v>
      </c>
      <c r="M8" t="s">
        <v>74</v>
      </c>
      <c r="N8" t="s">
        <v>75</v>
      </c>
      <c r="O8" t="s">
        <v>85</v>
      </c>
      <c r="P8" t="s">
        <v>91</v>
      </c>
      <c r="Q8" t="s">
        <v>85</v>
      </c>
      <c r="R8" t="s">
        <v>94</v>
      </c>
      <c r="S8" t="s">
        <v>100</v>
      </c>
      <c r="T8">
        <v>3.64</v>
      </c>
    </row>
    <row r="9" spans="1:20" x14ac:dyDescent="0.25">
      <c r="A9" t="s">
        <v>22</v>
      </c>
      <c r="B9" t="s">
        <v>25</v>
      </c>
      <c r="C9" t="s">
        <v>34</v>
      </c>
      <c r="D9" t="s">
        <v>43</v>
      </c>
      <c r="E9" t="s">
        <v>52</v>
      </c>
      <c r="F9" t="s">
        <v>57</v>
      </c>
      <c r="G9" t="s">
        <v>59</v>
      </c>
      <c r="H9" t="s">
        <v>61</v>
      </c>
      <c r="I9" t="s">
        <v>62</v>
      </c>
      <c r="J9" t="s">
        <v>65</v>
      </c>
      <c r="K9" t="s">
        <v>70</v>
      </c>
      <c r="L9" t="s">
        <v>73</v>
      </c>
      <c r="M9" t="s">
        <v>74</v>
      </c>
      <c r="N9" t="s">
        <v>79</v>
      </c>
      <c r="O9" t="s">
        <v>88</v>
      </c>
      <c r="P9" t="s">
        <v>91</v>
      </c>
      <c r="Q9" t="s">
        <v>88</v>
      </c>
      <c r="R9" t="s">
        <v>94</v>
      </c>
      <c r="S9" t="s">
        <v>101</v>
      </c>
      <c r="T9">
        <v>5.37</v>
      </c>
    </row>
    <row r="10" spans="1:20" x14ac:dyDescent="0.25">
      <c r="A10" t="s">
        <v>22</v>
      </c>
      <c r="B10" t="s">
        <v>25</v>
      </c>
      <c r="C10" t="s">
        <v>35</v>
      </c>
      <c r="D10" t="s">
        <v>44</v>
      </c>
      <c r="E10" t="s">
        <v>53</v>
      </c>
      <c r="F10" t="s">
        <v>57</v>
      </c>
      <c r="G10" t="s">
        <v>59</v>
      </c>
      <c r="H10" t="s">
        <v>61</v>
      </c>
      <c r="I10" t="s">
        <v>62</v>
      </c>
      <c r="J10" t="s">
        <v>66</v>
      </c>
      <c r="K10" t="s">
        <v>71</v>
      </c>
      <c r="L10" t="s">
        <v>73</v>
      </c>
      <c r="M10" t="s">
        <v>74</v>
      </c>
      <c r="N10" t="s">
        <v>79</v>
      </c>
      <c r="O10" t="s">
        <v>89</v>
      </c>
      <c r="P10" t="s">
        <v>91</v>
      </c>
      <c r="Q10" t="s">
        <v>89</v>
      </c>
      <c r="R10" t="s">
        <v>94</v>
      </c>
      <c r="S10" t="s">
        <v>101</v>
      </c>
      <c r="T10">
        <v>12.13</v>
      </c>
    </row>
    <row r="11" spans="1:20" x14ac:dyDescent="0.25">
      <c r="A11" t="s">
        <v>22</v>
      </c>
      <c r="B11" t="s">
        <v>25</v>
      </c>
      <c r="C11" t="s">
        <v>36</v>
      </c>
      <c r="D11" t="s">
        <v>45</v>
      </c>
      <c r="E11" t="s">
        <v>54</v>
      </c>
      <c r="F11" t="s">
        <v>57</v>
      </c>
      <c r="G11" t="s">
        <v>59</v>
      </c>
      <c r="H11" t="s">
        <v>61</v>
      </c>
      <c r="I11" t="s">
        <v>63</v>
      </c>
      <c r="J11" t="s">
        <v>67</v>
      </c>
      <c r="K11" t="s">
        <v>72</v>
      </c>
      <c r="L11" t="s">
        <v>73</v>
      </c>
      <c r="M11" t="s">
        <v>74</v>
      </c>
      <c r="N11" t="s">
        <v>80</v>
      </c>
      <c r="O11" t="s">
        <v>88</v>
      </c>
      <c r="P11" t="s">
        <v>91</v>
      </c>
      <c r="Q11" t="s">
        <v>88</v>
      </c>
      <c r="R11" t="s">
        <v>94</v>
      </c>
      <c r="S11" t="s">
        <v>101</v>
      </c>
      <c r="T11">
        <v>5.37</v>
      </c>
    </row>
    <row r="12" spans="1:20" x14ac:dyDescent="0.25">
      <c r="A12" t="s">
        <v>23</v>
      </c>
      <c r="B12" t="s">
        <v>26</v>
      </c>
      <c r="C12" t="s">
        <v>37</v>
      </c>
      <c r="D12" t="s">
        <v>46</v>
      </c>
      <c r="E12" t="s">
        <v>55</v>
      </c>
      <c r="F12" t="s">
        <v>56</v>
      </c>
      <c r="G12" t="s">
        <v>58</v>
      </c>
      <c r="H12" t="s">
        <v>61</v>
      </c>
      <c r="I12" t="s">
        <v>63</v>
      </c>
      <c r="J12" t="s">
        <v>65</v>
      </c>
      <c r="K12" t="s">
        <v>68</v>
      </c>
      <c r="L12" t="s">
        <v>73</v>
      </c>
      <c r="M12" t="s">
        <v>74</v>
      </c>
      <c r="N12" t="s">
        <v>81</v>
      </c>
      <c r="O12" t="s">
        <v>90</v>
      </c>
      <c r="P12" t="s">
        <v>91</v>
      </c>
      <c r="Q12" t="s">
        <v>90</v>
      </c>
      <c r="R12" t="s">
        <v>94</v>
      </c>
      <c r="S12" t="s">
        <v>100</v>
      </c>
      <c r="T12">
        <v>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102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103</v>
      </c>
      <c r="B2" t="s">
        <v>105</v>
      </c>
      <c r="C2" t="s">
        <v>107</v>
      </c>
      <c r="D2" t="s">
        <v>109</v>
      </c>
      <c r="E2" t="s">
        <v>111</v>
      </c>
      <c r="F2">
        <v>-295.08</v>
      </c>
    </row>
    <row r="3" spans="1:9" x14ac:dyDescent="0.25">
      <c r="A3" t="s">
        <v>34</v>
      </c>
      <c r="B3" t="s">
        <v>43</v>
      </c>
      <c r="C3" t="s">
        <v>52</v>
      </c>
      <c r="D3" t="s">
        <v>62</v>
      </c>
      <c r="E3" t="s">
        <v>112</v>
      </c>
      <c r="F3">
        <v>-14.13</v>
      </c>
      <c r="G3" t="s">
        <v>57</v>
      </c>
      <c r="H3" t="s">
        <v>59</v>
      </c>
      <c r="I3" t="s">
        <v>61</v>
      </c>
    </row>
    <row r="4" spans="1:9" x14ac:dyDescent="0.25">
      <c r="A4" t="s">
        <v>35</v>
      </c>
      <c r="B4" t="s">
        <v>44</v>
      </c>
      <c r="C4" t="s">
        <v>53</v>
      </c>
      <c r="D4" t="s">
        <v>62</v>
      </c>
      <c r="E4" t="s">
        <v>112</v>
      </c>
      <c r="F4">
        <v>-31.91</v>
      </c>
      <c r="G4" t="s">
        <v>57</v>
      </c>
      <c r="H4" t="s">
        <v>59</v>
      </c>
      <c r="I4" t="s">
        <v>61</v>
      </c>
    </row>
    <row r="5" spans="1:9" x14ac:dyDescent="0.25">
      <c r="A5" t="s">
        <v>27</v>
      </c>
      <c r="B5" t="s">
        <v>38</v>
      </c>
      <c r="C5" t="s">
        <v>47</v>
      </c>
      <c r="D5" t="s">
        <v>62</v>
      </c>
      <c r="E5" t="s">
        <v>112</v>
      </c>
      <c r="F5">
        <v>-30.19</v>
      </c>
      <c r="G5" t="s">
        <v>56</v>
      </c>
      <c r="H5" t="s">
        <v>58</v>
      </c>
      <c r="I5" t="s">
        <v>60</v>
      </c>
    </row>
    <row r="6" spans="1:9" x14ac:dyDescent="0.25">
      <c r="A6" t="s">
        <v>104</v>
      </c>
      <c r="B6" t="s">
        <v>106</v>
      </c>
      <c r="C6" t="s">
        <v>108</v>
      </c>
      <c r="D6" t="s">
        <v>110</v>
      </c>
      <c r="E6" t="s">
        <v>111</v>
      </c>
      <c r="F6">
        <v>-171</v>
      </c>
    </row>
    <row r="7" spans="1:9" x14ac:dyDescent="0.25">
      <c r="A7" t="s">
        <v>28</v>
      </c>
      <c r="B7" t="s">
        <v>39</v>
      </c>
      <c r="C7" t="s">
        <v>48</v>
      </c>
      <c r="D7" t="s">
        <v>63</v>
      </c>
      <c r="E7" t="s">
        <v>112</v>
      </c>
      <c r="F7">
        <v>-13.42</v>
      </c>
      <c r="G7" t="s">
        <v>57</v>
      </c>
      <c r="H7" t="s">
        <v>59</v>
      </c>
      <c r="I7" t="s">
        <v>60</v>
      </c>
    </row>
    <row r="8" spans="1:9" x14ac:dyDescent="0.25">
      <c r="A8" t="s">
        <v>36</v>
      </c>
      <c r="B8" t="s">
        <v>45</v>
      </c>
      <c r="C8" t="s">
        <v>54</v>
      </c>
      <c r="D8" t="s">
        <v>63</v>
      </c>
      <c r="E8" t="s">
        <v>112</v>
      </c>
      <c r="F8">
        <v>-14.13</v>
      </c>
      <c r="G8" t="s">
        <v>57</v>
      </c>
      <c r="H8" t="s">
        <v>59</v>
      </c>
      <c r="I8" t="s">
        <v>61</v>
      </c>
    </row>
    <row r="9" spans="1:9" x14ac:dyDescent="0.25">
      <c r="A9" t="s">
        <v>29</v>
      </c>
      <c r="B9" t="s">
        <v>39</v>
      </c>
      <c r="C9" t="s">
        <v>48</v>
      </c>
      <c r="D9" t="s">
        <v>63</v>
      </c>
      <c r="E9" t="s">
        <v>112</v>
      </c>
      <c r="F9">
        <v>-25.25</v>
      </c>
      <c r="G9" t="s">
        <v>56</v>
      </c>
      <c r="H9" t="s">
        <v>58</v>
      </c>
      <c r="I9" t="s">
        <v>60</v>
      </c>
    </row>
    <row r="10" spans="1:9" x14ac:dyDescent="0.25">
      <c r="A10" t="s">
        <v>37</v>
      </c>
      <c r="B10" t="s">
        <v>46</v>
      </c>
      <c r="C10" t="s">
        <v>55</v>
      </c>
      <c r="D10" t="s">
        <v>63</v>
      </c>
      <c r="E10" t="s">
        <v>112</v>
      </c>
      <c r="F10">
        <v>-33.72</v>
      </c>
      <c r="G10" t="s">
        <v>56</v>
      </c>
      <c r="H10" t="s">
        <v>58</v>
      </c>
      <c r="I10" t="s">
        <v>61</v>
      </c>
    </row>
    <row r="11" spans="1:9" x14ac:dyDescent="0.25">
      <c r="A11" t="s">
        <v>30</v>
      </c>
      <c r="B11" t="s">
        <v>40</v>
      </c>
      <c r="C11" t="s">
        <v>49</v>
      </c>
      <c r="D11" t="s">
        <v>63</v>
      </c>
      <c r="E11" t="s">
        <v>112</v>
      </c>
      <c r="F11">
        <v>-27.32</v>
      </c>
      <c r="G11" t="s">
        <v>56</v>
      </c>
      <c r="H11" t="s">
        <v>58</v>
      </c>
      <c r="I11" t="s">
        <v>60</v>
      </c>
    </row>
    <row r="12" spans="1:9" x14ac:dyDescent="0.25">
      <c r="A12" t="s">
        <v>33</v>
      </c>
      <c r="B12" t="s">
        <v>42</v>
      </c>
      <c r="C12" t="s">
        <v>51</v>
      </c>
      <c r="D12" t="s">
        <v>63</v>
      </c>
      <c r="E12" t="s">
        <v>112</v>
      </c>
      <c r="F12">
        <v>-27.32</v>
      </c>
      <c r="G12" t="s">
        <v>56</v>
      </c>
      <c r="H12" t="s">
        <v>58</v>
      </c>
      <c r="I1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tabSelected="1" workbookViewId="0">
      <selection activeCell="O9" sqref="O9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113</v>
      </c>
      <c r="L1" s="1" t="s">
        <v>17</v>
      </c>
      <c r="M1" s="1" t="s">
        <v>18</v>
      </c>
      <c r="N1" s="1" t="s">
        <v>114</v>
      </c>
      <c r="O1" s="1" t="s">
        <v>115</v>
      </c>
      <c r="P1" s="1" t="s">
        <v>116</v>
      </c>
    </row>
    <row r="2" spans="1:16" x14ac:dyDescent="0.25">
      <c r="A2" t="s">
        <v>22</v>
      </c>
      <c r="B2" t="s">
        <v>25</v>
      </c>
      <c r="C2" t="s">
        <v>34</v>
      </c>
      <c r="D2" t="s">
        <v>43</v>
      </c>
      <c r="E2" t="s">
        <v>52</v>
      </c>
      <c r="F2" t="s">
        <v>57</v>
      </c>
      <c r="G2" t="s">
        <v>59</v>
      </c>
      <c r="H2" t="s">
        <v>61</v>
      </c>
      <c r="I2" t="s">
        <v>62</v>
      </c>
      <c r="J2" t="s">
        <v>117</v>
      </c>
      <c r="K2" t="s">
        <v>88</v>
      </c>
      <c r="L2" t="s">
        <v>94</v>
      </c>
      <c r="M2" t="s">
        <v>96</v>
      </c>
      <c r="N2" t="s">
        <v>78</v>
      </c>
      <c r="O2">
        <v>127.17</v>
      </c>
      <c r="P2" t="s">
        <v>118</v>
      </c>
    </row>
    <row r="3" spans="1:16" x14ac:dyDescent="0.25">
      <c r="A3" t="s">
        <v>22</v>
      </c>
      <c r="B3" t="s">
        <v>25</v>
      </c>
      <c r="C3" t="s">
        <v>35</v>
      </c>
      <c r="D3" t="s">
        <v>44</v>
      </c>
      <c r="E3" t="s">
        <v>53</v>
      </c>
      <c r="F3" t="s">
        <v>57</v>
      </c>
      <c r="G3" t="s">
        <v>59</v>
      </c>
      <c r="H3" t="s">
        <v>61</v>
      </c>
      <c r="I3" t="s">
        <v>62</v>
      </c>
      <c r="J3" t="s">
        <v>117</v>
      </c>
      <c r="K3" t="s">
        <v>89</v>
      </c>
      <c r="L3" t="s">
        <v>94</v>
      </c>
      <c r="M3" t="s">
        <v>96</v>
      </c>
      <c r="N3" t="s">
        <v>78</v>
      </c>
      <c r="O3">
        <v>287.19</v>
      </c>
      <c r="P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2026-03-15T21:03:14Z</dcterms:created>
  <dcterms:modified xsi:type="dcterms:W3CDTF">2026-03-16T15:56:26Z</dcterms:modified>
</cp:coreProperties>
</file>