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Physician_Mutual\2026\2026-07-11\"/>
    </mc:Choice>
  </mc:AlternateContent>
  <xr:revisionPtr revIDLastSave="0" documentId="13_ncr:1_{B6AF30FD-891C-4951-B895-DEBBD4524AE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rst Year Commission" sheetId="1" r:id="rId1"/>
    <sheet name="Sheet1" sheetId="6" r:id="rId2"/>
    <sheet name="First Year Overwrites" sheetId="2" r:id="rId3"/>
    <sheet name="Advance Paybacks" sheetId="3" r:id="rId4"/>
    <sheet name="Advances - Paid Advances" sheetId="4" r:id="rId5"/>
    <sheet name="Bonu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6" l="1"/>
  <c r="J36" i="6"/>
  <c r="C32" i="6"/>
  <c r="C31" i="6"/>
  <c r="C30" i="6"/>
  <c r="C27" i="6"/>
  <c r="C24" i="6"/>
  <c r="C23" i="6"/>
  <c r="C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17" i="6"/>
</calcChain>
</file>

<file path=xl/sharedStrings.xml><?xml version="1.0" encoding="utf-8"?>
<sst xmlns="http://schemas.openxmlformats.org/spreadsheetml/2006/main" count="1322" uniqueCount="197">
  <si>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</si>
  <si>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</si>
  <si>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</si>
  <si>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</si>
  <si>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</si>
  <si>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</si>
  <si>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</si>
  <si>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</si>
  <si>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</si>
  <si>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</si>
  <si>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</si>
  <si>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</si>
  <si>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</si>
  <si>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</si>
  <si>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</si>
  <si>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</si>
  <si>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</si>
  <si>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</si>
  <si>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</si>
  <si>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</si>
  <si>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</si>
  <si>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</si>
  <si>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Brandt Steven K</t>
  </si>
  <si>
    <t xml:space="preserve">Sherman Matthew </t>
  </si>
  <si>
    <t>Kucan Thomas null</t>
  </si>
  <si>
    <t xml:space="preserve">Deaton Pamela </t>
  </si>
  <si>
    <t>Petrungaro Andrea null</t>
  </si>
  <si>
    <t>Green Danna null</t>
  </si>
  <si>
    <t>18710070</t>
  </si>
  <si>
    <t>19491313</t>
  </si>
  <si>
    <t>8812322</t>
  </si>
  <si>
    <t>16202925</t>
  </si>
  <si>
    <t>8244481</t>
  </si>
  <si>
    <t>16912722</t>
  </si>
  <si>
    <t>16849453</t>
  </si>
  <si>
    <t>H750111737</t>
  </si>
  <si>
    <t>H750088570</t>
  </si>
  <si>
    <t>H750094989</t>
  </si>
  <si>
    <t>H750092058</t>
  </si>
  <si>
    <t>H750110067</t>
  </si>
  <si>
    <t>H750094552</t>
  </si>
  <si>
    <t>H711171739</t>
  </si>
  <si>
    <t>H711172054</t>
  </si>
  <si>
    <t>H711124438</t>
  </si>
  <si>
    <t>H711025485</t>
  </si>
  <si>
    <t>H711172112</t>
  </si>
  <si>
    <t>H711053462</t>
  </si>
  <si>
    <t>H750110947</t>
  </si>
  <si>
    <t>H750111182</t>
  </si>
  <si>
    <t>H750111202</t>
  </si>
  <si>
    <t>H750111516</t>
  </si>
  <si>
    <t>Dawne</t>
  </si>
  <si>
    <t>John</t>
  </si>
  <si>
    <t>James</t>
  </si>
  <si>
    <t>Robert</t>
  </si>
  <si>
    <t>Diane</t>
  </si>
  <si>
    <t>Kimberly</t>
  </si>
  <si>
    <t>Jacob</t>
  </si>
  <si>
    <t>Lori</t>
  </si>
  <si>
    <t>Jenna</t>
  </si>
  <si>
    <t>Shirley</t>
  </si>
  <si>
    <t>Daniel</t>
  </si>
  <si>
    <t>Allen</t>
  </si>
  <si>
    <t>Gregory</t>
  </si>
  <si>
    <t>Kenneth</t>
  </si>
  <si>
    <t>Ryan</t>
  </si>
  <si>
    <t>Blake</t>
  </si>
  <si>
    <t>Thompson</t>
  </si>
  <si>
    <t>Brandt</t>
  </si>
  <si>
    <t>Leighty</t>
  </si>
  <si>
    <t>Caoua</t>
  </si>
  <si>
    <t>Patterson</t>
  </si>
  <si>
    <t>Riva</t>
  </si>
  <si>
    <t>Harper</t>
  </si>
  <si>
    <t>Austin</t>
  </si>
  <si>
    <t>Perry</t>
  </si>
  <si>
    <t>Cottone</t>
  </si>
  <si>
    <t>Funamura</t>
  </si>
  <si>
    <t>Rowland</t>
  </si>
  <si>
    <t>Kern</t>
  </si>
  <si>
    <t>Piper</t>
  </si>
  <si>
    <t>Mehalechko</t>
  </si>
  <si>
    <t>S06600001</t>
  </si>
  <si>
    <t>P15400002</t>
  </si>
  <si>
    <t>Medicare Supplement</t>
  </si>
  <si>
    <t>Dental</t>
  </si>
  <si>
    <t>PA</t>
  </si>
  <si>
    <t>OH</t>
  </si>
  <si>
    <t>IL</t>
  </si>
  <si>
    <t>MD</t>
  </si>
  <si>
    <t>NC</t>
  </si>
  <si>
    <t>IN</t>
  </si>
  <si>
    <t>2026-07-10</t>
  </si>
  <si>
    <t>2026-07-06</t>
  </si>
  <si>
    <t>2026-07-07</t>
  </si>
  <si>
    <t>2026-07-09</t>
  </si>
  <si>
    <t>2026-07-08</t>
  </si>
  <si>
    <t>2026-09-01</t>
  </si>
  <si>
    <t>2026-08-01</t>
  </si>
  <si>
    <t>2026-08-10</t>
  </si>
  <si>
    <t>2026-08-11</t>
  </si>
  <si>
    <t>2026-07-01</t>
  </si>
  <si>
    <t>67</t>
  </si>
  <si>
    <t>65</t>
  </si>
  <si>
    <t>26</t>
  </si>
  <si>
    <t>62</t>
  </si>
  <si>
    <t>35</t>
  </si>
  <si>
    <t>58</t>
  </si>
  <si>
    <t>73</t>
  </si>
  <si>
    <t>78</t>
  </si>
  <si>
    <t>MONTHLY</t>
  </si>
  <si>
    <t>RCVP</t>
  </si>
  <si>
    <t>RCVP-R</t>
  </si>
  <si>
    <t>PRF</t>
  </si>
  <si>
    <t>1</t>
  </si>
  <si>
    <t>7</t>
  </si>
  <si>
    <t>6</t>
  </si>
  <si>
    <t>2</t>
  </si>
  <si>
    <t>5</t>
  </si>
  <si>
    <t>12</t>
  </si>
  <si>
    <t>9</t>
  </si>
  <si>
    <t>110.73</t>
  </si>
  <si>
    <t>143.78</t>
  </si>
  <si>
    <t>130.09</t>
  </si>
  <si>
    <t>136.94</t>
  </si>
  <si>
    <t>144.18</t>
  </si>
  <si>
    <t>73.93</t>
  </si>
  <si>
    <t>127.65</t>
  </si>
  <si>
    <t>-47.70</t>
  </si>
  <si>
    <t>91.55</t>
  </si>
  <si>
    <t>55.90</t>
  </si>
  <si>
    <t>-149.08</t>
  </si>
  <si>
    <t>250.09</t>
  </si>
  <si>
    <t>176.26</t>
  </si>
  <si>
    <t>196.59</t>
  </si>
  <si>
    <t>0.00</t>
  </si>
  <si>
    <t>100.00000</t>
  </si>
  <si>
    <t>21.00%</t>
  </si>
  <si>
    <t>25.00%</t>
  </si>
  <si>
    <t>23.20%</t>
  </si>
  <si>
    <t>Y</t>
  </si>
  <si>
    <t>N</t>
  </si>
  <si>
    <t>4.60%</t>
  </si>
  <si>
    <t>2.80%</t>
  </si>
  <si>
    <t>11.50%</t>
  </si>
  <si>
    <t>9.50%</t>
  </si>
  <si>
    <t>1.25%</t>
  </si>
  <si>
    <t>advancePaybackAmount</t>
  </si>
  <si>
    <t>APB-S</t>
  </si>
  <si>
    <t>APB-U</t>
  </si>
  <si>
    <t>advanceBasis</t>
  </si>
  <si>
    <t>monthsAdvanced</t>
  </si>
  <si>
    <t>paidAdvanceAmount</t>
  </si>
  <si>
    <t>description</t>
  </si>
  <si>
    <t>ISS-A</t>
  </si>
  <si>
    <t>Issue Advance Request</t>
  </si>
  <si>
    <t>amount</t>
  </si>
  <si>
    <t>MED SUPP BNS JUN 2026</t>
  </si>
  <si>
    <t>ISS-B</t>
  </si>
  <si>
    <t>Dawne L Blake</t>
  </si>
  <si>
    <t>John R Thompson</t>
  </si>
  <si>
    <t>James B Brandt</t>
  </si>
  <si>
    <t>Robert E Leighty</t>
  </si>
  <si>
    <t>Diane L Caoua</t>
  </si>
  <si>
    <t>Kimberly K Patterson</t>
  </si>
  <si>
    <t>Jacob Riva</t>
  </si>
  <si>
    <t>Lori Harper</t>
  </si>
  <si>
    <t>Jenna Austin</t>
  </si>
  <si>
    <t>Shirley Perry</t>
  </si>
  <si>
    <t>Daniel Cottone</t>
  </si>
  <si>
    <t>Allen Funamura</t>
  </si>
  <si>
    <t>Kenneth Kern</t>
  </si>
  <si>
    <t>Ryan Piper</t>
  </si>
  <si>
    <t>John Mehalechko</t>
  </si>
  <si>
    <t>Open Enrollment - States Where Available</t>
  </si>
  <si>
    <t>Standard Dental</t>
  </si>
  <si>
    <t>Physician Mutual OVR</t>
  </si>
  <si>
    <t>McCorkle Michelle</t>
  </si>
  <si>
    <t>Kucan Thomas</t>
  </si>
  <si>
    <t>Petrungaro Andrea</t>
  </si>
  <si>
    <t>Green Danna</t>
  </si>
  <si>
    <t>8812322AV9L3</t>
  </si>
  <si>
    <t>16202925AV9</t>
  </si>
  <si>
    <t>16912722AV9</t>
  </si>
  <si>
    <t>16849453AV9</t>
  </si>
  <si>
    <t>19491313OVR</t>
  </si>
  <si>
    <t>8812322OVR</t>
  </si>
  <si>
    <t>16202925OVR</t>
  </si>
  <si>
    <t>16912722OVR</t>
  </si>
  <si>
    <t>16849453OVR</t>
  </si>
  <si>
    <t>8812322AV9</t>
  </si>
  <si>
    <t>Rescinded</t>
  </si>
  <si>
    <t>RN</t>
  </si>
  <si>
    <t>AE</t>
  </si>
  <si>
    <t>NB</t>
  </si>
  <si>
    <t>AV</t>
  </si>
  <si>
    <t>Physician Mutual Medsupp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</si>
</sst>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 applyAlignment="1">
      <alignment horizontal="left"/>
    </xf>
    <xf numFmtId="0" fontId="0" fillId="2" borderId="0" xfId="0" applyNumberFormat="1" applyFill="1" applyAlignment="1">
      <alignment horizontal="left"/>
    </xf>
    <xf numFmtId="10" fontId="0" fillId="0" borderId="0" xfId="0" applyNumberFormat="1"/>
    <xf numFmtId="10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NumberFormat="1" applyFill="1" applyAlignment="1">
      <alignment horizontal="left"/>
    </xf>
    <xf numFmtId="14" fontId="0" fillId="3" borderId="0" xfId="0" applyNumberFormat="1" applyFill="1"/>
    <xf numFmtId="0" fontId="0" fillId="3" borderId="0" xfId="0" applyNumberFormat="1" applyFill="1"/>
    <xf numFmtId="10" fontId="0" fillId="3" borderId="0" xfId="0" applyNumberFormat="1" applyFill="1"/>
    <xf numFmtId="0" fontId="0" fillId="4" borderId="0" xfId="0" applyFill="1"/>
    <xf numFmtId="0" fontId="0" fillId="4" borderId="0" xfId="0" applyNumberFormat="1" applyFill="1" applyAlignment="1">
      <alignment horizontal="left"/>
    </xf>
    <xf numFmtId="14" fontId="0" fillId="4" borderId="0" xfId="0" applyNumberFormat="1" applyFill="1"/>
    <xf numFmtId="0" fontId="0" fillId="4" borderId="0" xfId="0" applyNumberFormat="1" applyFill="1"/>
    <xf numFmtId="10" fontId="0" fillId="4" borderId="0" xfId="0" applyNumberFormat="1" applyFill="1"/>
    <xf numFmtId="0" fontId="0" fillId="5" borderId="0" xfId="0" applyFill="1"/>
    <xf numFmtId="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4" fontId="0" fillId="5" borderId="0" xfId="0" applyNumberFormat="1" applyFill="1"/>
    <xf numFmtId="0" fontId="0" fillId="5" borderId="0" xfId="0" applyNumberFormat="1" applyFill="1"/>
    <xf numFmtId="10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workbookViewId="0">
      <selection activeCell="A2" sqref="A2:XFD17"/>
    </sheetView>
  </sheetViews>
  <sheetFormatPr defaultColWidth="9.28515625"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28</v>
      </c>
      <c r="C2" t="s">
        <v>35</v>
      </c>
      <c r="D2" t="s">
        <v>51</v>
      </c>
      <c r="E2" t="s">
        <v>66</v>
      </c>
      <c r="F2" t="s">
        <v>82</v>
      </c>
      <c r="G2" t="s">
        <v>84</v>
      </c>
      <c r="H2" t="s">
        <v>86</v>
      </c>
      <c r="I2" t="s">
        <v>92</v>
      </c>
      <c r="J2" t="s">
        <v>97</v>
      </c>
      <c r="K2" t="s">
        <v>102</v>
      </c>
      <c r="L2" t="s">
        <v>110</v>
      </c>
      <c r="M2" t="s">
        <v>111</v>
      </c>
      <c r="N2" t="s">
        <v>114</v>
      </c>
      <c r="O2" t="s">
        <v>121</v>
      </c>
      <c r="P2" t="s">
        <v>135</v>
      </c>
      <c r="Q2" t="s">
        <v>121</v>
      </c>
      <c r="R2" t="s">
        <v>136</v>
      </c>
      <c r="S2" t="s">
        <v>137</v>
      </c>
      <c r="T2">
        <v>23.25</v>
      </c>
      <c r="U2" t="s">
        <v>140</v>
      </c>
    </row>
    <row r="3" spans="1:21" x14ac:dyDescent="0.25">
      <c r="A3" t="s">
        <v>22</v>
      </c>
      <c r="B3" t="s">
        <v>29</v>
      </c>
      <c r="C3" t="s">
        <v>36</v>
      </c>
      <c r="D3" t="s">
        <v>52</v>
      </c>
      <c r="E3" t="s">
        <v>67</v>
      </c>
      <c r="F3" t="s">
        <v>82</v>
      </c>
      <c r="G3" t="s">
        <v>84</v>
      </c>
      <c r="H3" t="s">
        <v>87</v>
      </c>
      <c r="I3" t="s">
        <v>93</v>
      </c>
      <c r="J3" t="s">
        <v>98</v>
      </c>
      <c r="K3" t="s">
        <v>103</v>
      </c>
      <c r="L3" t="s">
        <v>110</v>
      </c>
      <c r="M3" t="s">
        <v>112</v>
      </c>
      <c r="N3" t="s">
        <v>115</v>
      </c>
      <c r="O3" t="s">
        <v>122</v>
      </c>
      <c r="P3" t="s">
        <v>135</v>
      </c>
      <c r="Q3" t="s">
        <v>122</v>
      </c>
      <c r="R3" t="s">
        <v>136</v>
      </c>
      <c r="S3" t="s">
        <v>137</v>
      </c>
      <c r="T3">
        <v>30.19</v>
      </c>
      <c r="U3" t="s">
        <v>140</v>
      </c>
    </row>
    <row r="4" spans="1:21" x14ac:dyDescent="0.25">
      <c r="A4" t="s">
        <v>22</v>
      </c>
      <c r="B4" t="s">
        <v>29</v>
      </c>
      <c r="C4" t="s">
        <v>37</v>
      </c>
      <c r="D4" t="s">
        <v>53</v>
      </c>
      <c r="E4" t="s">
        <v>68</v>
      </c>
      <c r="F4" t="s">
        <v>82</v>
      </c>
      <c r="G4" t="s">
        <v>84</v>
      </c>
      <c r="H4" t="s">
        <v>87</v>
      </c>
      <c r="I4" t="s">
        <v>94</v>
      </c>
      <c r="J4" t="s">
        <v>98</v>
      </c>
      <c r="K4" t="s">
        <v>103</v>
      </c>
      <c r="L4" t="s">
        <v>110</v>
      </c>
      <c r="M4" t="s">
        <v>111</v>
      </c>
      <c r="N4" t="s">
        <v>116</v>
      </c>
      <c r="O4" t="s">
        <v>122</v>
      </c>
      <c r="P4" t="s">
        <v>135</v>
      </c>
      <c r="Q4" t="s">
        <v>122</v>
      </c>
      <c r="R4" t="s">
        <v>136</v>
      </c>
      <c r="S4" t="s">
        <v>137</v>
      </c>
      <c r="T4">
        <v>30.19</v>
      </c>
      <c r="U4" t="s">
        <v>140</v>
      </c>
    </row>
    <row r="5" spans="1:21" x14ac:dyDescent="0.25">
      <c r="A5" t="s">
        <v>22</v>
      </c>
      <c r="B5" t="s">
        <v>29</v>
      </c>
      <c r="C5" t="s">
        <v>38</v>
      </c>
      <c r="D5" t="s">
        <v>54</v>
      </c>
      <c r="E5" t="s">
        <v>69</v>
      </c>
      <c r="F5" t="s">
        <v>82</v>
      </c>
      <c r="G5" t="s">
        <v>84</v>
      </c>
      <c r="H5" t="s">
        <v>87</v>
      </c>
      <c r="I5" t="s">
        <v>92</v>
      </c>
      <c r="J5" t="s">
        <v>98</v>
      </c>
      <c r="K5" t="s">
        <v>103</v>
      </c>
      <c r="L5" t="s">
        <v>110</v>
      </c>
      <c r="M5" t="s">
        <v>111</v>
      </c>
      <c r="N5" t="s">
        <v>115</v>
      </c>
      <c r="O5" t="s">
        <v>122</v>
      </c>
      <c r="P5" t="s">
        <v>135</v>
      </c>
      <c r="Q5" t="s">
        <v>122</v>
      </c>
      <c r="R5" t="s">
        <v>136</v>
      </c>
      <c r="S5" t="s">
        <v>137</v>
      </c>
      <c r="T5">
        <v>30.19</v>
      </c>
      <c r="U5" t="s">
        <v>140</v>
      </c>
    </row>
    <row r="6" spans="1:21" x14ac:dyDescent="0.25">
      <c r="A6" t="s">
        <v>22</v>
      </c>
      <c r="B6" t="s">
        <v>29</v>
      </c>
      <c r="C6" t="s">
        <v>39</v>
      </c>
      <c r="D6" t="s">
        <v>55</v>
      </c>
      <c r="E6" t="s">
        <v>70</v>
      </c>
      <c r="F6" t="s">
        <v>82</v>
      </c>
      <c r="G6" t="s">
        <v>84</v>
      </c>
      <c r="H6" t="s">
        <v>87</v>
      </c>
      <c r="I6" t="s">
        <v>92</v>
      </c>
      <c r="J6" t="s">
        <v>97</v>
      </c>
      <c r="K6" t="s">
        <v>103</v>
      </c>
      <c r="L6" t="s">
        <v>110</v>
      </c>
      <c r="M6" t="s">
        <v>111</v>
      </c>
      <c r="N6" t="s">
        <v>117</v>
      </c>
      <c r="O6" t="s">
        <v>123</v>
      </c>
      <c r="P6" t="s">
        <v>135</v>
      </c>
      <c r="Q6" t="s">
        <v>123</v>
      </c>
      <c r="R6" t="s">
        <v>136</v>
      </c>
      <c r="S6" t="s">
        <v>137</v>
      </c>
      <c r="T6">
        <v>27.32</v>
      </c>
      <c r="U6" t="s">
        <v>140</v>
      </c>
    </row>
    <row r="7" spans="1:21" x14ac:dyDescent="0.25">
      <c r="A7" t="s">
        <v>22</v>
      </c>
      <c r="B7" t="s">
        <v>29</v>
      </c>
      <c r="C7" t="s">
        <v>40</v>
      </c>
      <c r="D7" t="s">
        <v>56</v>
      </c>
      <c r="E7" t="s">
        <v>71</v>
      </c>
      <c r="F7" t="s">
        <v>82</v>
      </c>
      <c r="G7" t="s">
        <v>84</v>
      </c>
      <c r="H7" t="s">
        <v>87</v>
      </c>
      <c r="I7" t="s">
        <v>92</v>
      </c>
      <c r="J7" t="s">
        <v>98</v>
      </c>
      <c r="K7" t="s">
        <v>103</v>
      </c>
      <c r="L7" t="s">
        <v>110</v>
      </c>
      <c r="M7" t="s">
        <v>111</v>
      </c>
      <c r="N7" t="s">
        <v>118</v>
      </c>
      <c r="O7" t="s">
        <v>124</v>
      </c>
      <c r="P7" t="s">
        <v>135</v>
      </c>
      <c r="Q7" t="s">
        <v>124</v>
      </c>
      <c r="R7" t="s">
        <v>136</v>
      </c>
      <c r="S7" t="s">
        <v>137</v>
      </c>
      <c r="T7">
        <v>28.76</v>
      </c>
      <c r="U7" t="s">
        <v>140</v>
      </c>
    </row>
    <row r="8" spans="1:21" x14ac:dyDescent="0.25">
      <c r="A8" t="s">
        <v>23</v>
      </c>
      <c r="B8" t="s">
        <v>30</v>
      </c>
      <c r="C8" t="s">
        <v>41</v>
      </c>
      <c r="D8" t="s">
        <v>57</v>
      </c>
      <c r="E8" t="s">
        <v>72</v>
      </c>
      <c r="F8" t="s">
        <v>83</v>
      </c>
      <c r="G8" t="s">
        <v>85</v>
      </c>
      <c r="H8" t="s">
        <v>88</v>
      </c>
      <c r="I8" t="s">
        <v>95</v>
      </c>
      <c r="J8" t="s">
        <v>99</v>
      </c>
      <c r="K8" t="s">
        <v>104</v>
      </c>
      <c r="L8" t="s">
        <v>110</v>
      </c>
      <c r="M8" t="s">
        <v>111</v>
      </c>
      <c r="N8" t="s">
        <v>114</v>
      </c>
      <c r="O8" t="s">
        <v>125</v>
      </c>
      <c r="P8" t="s">
        <v>135</v>
      </c>
      <c r="Q8" t="s">
        <v>125</v>
      </c>
      <c r="R8" t="s">
        <v>136</v>
      </c>
      <c r="S8" t="s">
        <v>138</v>
      </c>
      <c r="T8">
        <v>36.049999999999997</v>
      </c>
      <c r="U8" t="s">
        <v>140</v>
      </c>
    </row>
    <row r="9" spans="1:21" x14ac:dyDescent="0.25">
      <c r="A9" t="s">
        <v>23</v>
      </c>
      <c r="B9" t="s">
        <v>30</v>
      </c>
      <c r="C9" t="s">
        <v>42</v>
      </c>
      <c r="D9" t="s">
        <v>58</v>
      </c>
      <c r="E9" t="s">
        <v>73</v>
      </c>
      <c r="F9" t="s">
        <v>83</v>
      </c>
      <c r="G9" t="s">
        <v>85</v>
      </c>
      <c r="H9" t="s">
        <v>88</v>
      </c>
      <c r="I9" t="s">
        <v>95</v>
      </c>
      <c r="J9" t="s">
        <v>97</v>
      </c>
      <c r="K9" t="s">
        <v>105</v>
      </c>
      <c r="L9" t="s">
        <v>110</v>
      </c>
      <c r="M9" t="s">
        <v>111</v>
      </c>
      <c r="N9" t="s">
        <v>114</v>
      </c>
      <c r="O9" t="s">
        <v>126</v>
      </c>
      <c r="P9" t="s">
        <v>135</v>
      </c>
      <c r="Q9" t="s">
        <v>126</v>
      </c>
      <c r="R9" t="s">
        <v>136</v>
      </c>
      <c r="S9" t="s">
        <v>138</v>
      </c>
      <c r="T9">
        <v>18.48</v>
      </c>
      <c r="U9" t="s">
        <v>140</v>
      </c>
    </row>
    <row r="10" spans="1:21" x14ac:dyDescent="0.25">
      <c r="A10" t="s">
        <v>23</v>
      </c>
      <c r="B10" t="s">
        <v>30</v>
      </c>
      <c r="C10" t="s">
        <v>43</v>
      </c>
      <c r="D10" t="s">
        <v>59</v>
      </c>
      <c r="E10" t="s">
        <v>74</v>
      </c>
      <c r="F10" t="s">
        <v>83</v>
      </c>
      <c r="G10" t="s">
        <v>85</v>
      </c>
      <c r="H10" t="s">
        <v>88</v>
      </c>
      <c r="I10" t="s">
        <v>92</v>
      </c>
      <c r="J10" t="s">
        <v>100</v>
      </c>
      <c r="K10" t="s">
        <v>106</v>
      </c>
      <c r="L10" t="s">
        <v>110</v>
      </c>
      <c r="M10" t="s">
        <v>111</v>
      </c>
      <c r="N10" t="s">
        <v>118</v>
      </c>
      <c r="O10" t="s">
        <v>127</v>
      </c>
      <c r="P10" t="s">
        <v>135</v>
      </c>
      <c r="Q10" t="s">
        <v>127</v>
      </c>
      <c r="R10" t="s">
        <v>136</v>
      </c>
      <c r="S10" t="s">
        <v>138</v>
      </c>
      <c r="T10">
        <v>31.91</v>
      </c>
      <c r="U10" t="s">
        <v>140</v>
      </c>
    </row>
    <row r="11" spans="1:21" x14ac:dyDescent="0.25">
      <c r="A11" t="s">
        <v>24</v>
      </c>
      <c r="B11" t="s">
        <v>31</v>
      </c>
      <c r="C11" t="s">
        <v>44</v>
      </c>
      <c r="D11" t="s">
        <v>60</v>
      </c>
      <c r="E11" t="s">
        <v>75</v>
      </c>
      <c r="F11" t="s">
        <v>83</v>
      </c>
      <c r="G11" t="s">
        <v>85</v>
      </c>
      <c r="H11" t="s">
        <v>89</v>
      </c>
      <c r="I11" t="s">
        <v>93</v>
      </c>
      <c r="J11" t="s">
        <v>101</v>
      </c>
      <c r="K11" t="s">
        <v>107</v>
      </c>
      <c r="L11" t="s">
        <v>110</v>
      </c>
      <c r="M11" t="s">
        <v>113</v>
      </c>
      <c r="N11" t="s">
        <v>119</v>
      </c>
      <c r="O11" t="s">
        <v>128</v>
      </c>
      <c r="P11" t="s">
        <v>135</v>
      </c>
      <c r="Q11" t="s">
        <v>128</v>
      </c>
      <c r="R11" t="s">
        <v>136</v>
      </c>
      <c r="S11" t="s">
        <v>138</v>
      </c>
      <c r="T11">
        <v>-11.93</v>
      </c>
      <c r="U11" t="s">
        <v>141</v>
      </c>
    </row>
    <row r="12" spans="1:21" x14ac:dyDescent="0.25">
      <c r="A12" t="s">
        <v>25</v>
      </c>
      <c r="B12" t="s">
        <v>32</v>
      </c>
      <c r="C12" t="s">
        <v>45</v>
      </c>
      <c r="D12" t="s">
        <v>61</v>
      </c>
      <c r="E12" t="s">
        <v>76</v>
      </c>
      <c r="F12" t="s">
        <v>83</v>
      </c>
      <c r="G12" t="s">
        <v>85</v>
      </c>
      <c r="H12" t="s">
        <v>88</v>
      </c>
      <c r="I12" t="s">
        <v>92</v>
      </c>
      <c r="J12" t="s">
        <v>97</v>
      </c>
      <c r="K12" t="s">
        <v>103</v>
      </c>
      <c r="L12" t="s">
        <v>110</v>
      </c>
      <c r="M12" t="s">
        <v>111</v>
      </c>
      <c r="N12" t="s">
        <v>114</v>
      </c>
      <c r="O12" t="s">
        <v>129</v>
      </c>
      <c r="P12" t="s">
        <v>135</v>
      </c>
      <c r="Q12" t="s">
        <v>129</v>
      </c>
      <c r="R12" t="s">
        <v>136</v>
      </c>
      <c r="S12" t="s">
        <v>138</v>
      </c>
      <c r="T12">
        <v>22.89</v>
      </c>
      <c r="U12" t="s">
        <v>140</v>
      </c>
    </row>
    <row r="13" spans="1:21" x14ac:dyDescent="0.25">
      <c r="A13" t="s">
        <v>26</v>
      </c>
      <c r="B13" t="s">
        <v>33</v>
      </c>
      <c r="C13" t="s">
        <v>46</v>
      </c>
      <c r="D13" t="s">
        <v>62</v>
      </c>
      <c r="E13" t="s">
        <v>77</v>
      </c>
      <c r="F13" t="s">
        <v>83</v>
      </c>
      <c r="G13" t="s">
        <v>85</v>
      </c>
      <c r="H13" t="s">
        <v>88</v>
      </c>
      <c r="I13" t="s">
        <v>96</v>
      </c>
      <c r="J13" t="s">
        <v>98</v>
      </c>
      <c r="K13" t="s">
        <v>108</v>
      </c>
      <c r="L13" t="s">
        <v>110</v>
      </c>
      <c r="M13" t="s">
        <v>112</v>
      </c>
      <c r="N13" t="s">
        <v>120</v>
      </c>
      <c r="O13" t="s">
        <v>130</v>
      </c>
      <c r="P13" t="s">
        <v>135</v>
      </c>
      <c r="Q13" t="s">
        <v>130</v>
      </c>
      <c r="R13" t="s">
        <v>136</v>
      </c>
      <c r="S13" t="s">
        <v>138</v>
      </c>
      <c r="T13">
        <v>13.98</v>
      </c>
      <c r="U13" t="s">
        <v>140</v>
      </c>
    </row>
    <row r="14" spans="1:21" x14ac:dyDescent="0.25">
      <c r="A14" t="s">
        <v>27</v>
      </c>
      <c r="B14" t="s">
        <v>34</v>
      </c>
      <c r="C14" t="s">
        <v>47</v>
      </c>
      <c r="D14" t="s">
        <v>63</v>
      </c>
      <c r="E14" t="s">
        <v>78</v>
      </c>
      <c r="F14" t="s">
        <v>82</v>
      </c>
      <c r="G14" t="s">
        <v>84</v>
      </c>
      <c r="H14" t="s">
        <v>90</v>
      </c>
      <c r="I14" t="s">
        <v>93</v>
      </c>
      <c r="J14" t="s">
        <v>101</v>
      </c>
      <c r="K14" t="s">
        <v>102</v>
      </c>
      <c r="L14" t="s">
        <v>110</v>
      </c>
      <c r="M14" t="s">
        <v>113</v>
      </c>
      <c r="N14" t="s">
        <v>114</v>
      </c>
      <c r="O14" t="s">
        <v>131</v>
      </c>
      <c r="P14" t="s">
        <v>135</v>
      </c>
      <c r="Q14" t="s">
        <v>131</v>
      </c>
      <c r="R14" t="s">
        <v>136</v>
      </c>
      <c r="S14" t="s">
        <v>137</v>
      </c>
      <c r="T14">
        <v>-31.31</v>
      </c>
      <c r="U14" t="s">
        <v>140</v>
      </c>
    </row>
    <row r="15" spans="1:21" x14ac:dyDescent="0.25">
      <c r="A15" t="s">
        <v>27</v>
      </c>
      <c r="B15" t="s">
        <v>34</v>
      </c>
      <c r="C15" t="s">
        <v>48</v>
      </c>
      <c r="D15" t="s">
        <v>64</v>
      </c>
      <c r="E15" t="s">
        <v>79</v>
      </c>
      <c r="F15" t="s">
        <v>82</v>
      </c>
      <c r="G15" t="s">
        <v>84</v>
      </c>
      <c r="H15" t="s">
        <v>91</v>
      </c>
      <c r="I15" t="s">
        <v>94</v>
      </c>
      <c r="J15" t="s">
        <v>97</v>
      </c>
      <c r="K15" t="s">
        <v>109</v>
      </c>
      <c r="L15" t="s">
        <v>110</v>
      </c>
      <c r="M15" t="s">
        <v>112</v>
      </c>
      <c r="N15" t="s">
        <v>114</v>
      </c>
      <c r="O15" t="s">
        <v>132</v>
      </c>
      <c r="P15" t="s">
        <v>135</v>
      </c>
      <c r="Q15" t="s">
        <v>132</v>
      </c>
      <c r="R15" t="s">
        <v>136</v>
      </c>
      <c r="S15" t="s">
        <v>139</v>
      </c>
      <c r="T15">
        <v>58.02</v>
      </c>
      <c r="U15" t="s">
        <v>140</v>
      </c>
    </row>
    <row r="16" spans="1:21" x14ac:dyDescent="0.25">
      <c r="A16" t="s">
        <v>27</v>
      </c>
      <c r="B16" t="s">
        <v>34</v>
      </c>
      <c r="C16" t="s">
        <v>49</v>
      </c>
      <c r="D16" t="s">
        <v>65</v>
      </c>
      <c r="E16" t="s">
        <v>80</v>
      </c>
      <c r="F16" t="s">
        <v>82</v>
      </c>
      <c r="G16" t="s">
        <v>84</v>
      </c>
      <c r="H16" t="s">
        <v>91</v>
      </c>
      <c r="I16" t="s">
        <v>94</v>
      </c>
      <c r="J16" t="s">
        <v>97</v>
      </c>
      <c r="K16" t="s">
        <v>103</v>
      </c>
      <c r="L16" t="s">
        <v>110</v>
      </c>
      <c r="M16" t="s">
        <v>111</v>
      </c>
      <c r="N16" t="s">
        <v>114</v>
      </c>
      <c r="O16" t="s">
        <v>133</v>
      </c>
      <c r="P16" t="s">
        <v>135</v>
      </c>
      <c r="Q16" t="s">
        <v>133</v>
      </c>
      <c r="R16" t="s">
        <v>136</v>
      </c>
      <c r="S16" t="s">
        <v>139</v>
      </c>
      <c r="T16">
        <v>40.89</v>
      </c>
      <c r="U16" t="s">
        <v>140</v>
      </c>
    </row>
    <row r="17" spans="1:21" x14ac:dyDescent="0.25">
      <c r="A17" t="s">
        <v>27</v>
      </c>
      <c r="B17" t="s">
        <v>34</v>
      </c>
      <c r="C17" t="s">
        <v>50</v>
      </c>
      <c r="D17" t="s">
        <v>52</v>
      </c>
      <c r="E17" t="s">
        <v>81</v>
      </c>
      <c r="F17" t="s">
        <v>82</v>
      </c>
      <c r="G17" t="s">
        <v>84</v>
      </c>
      <c r="H17" t="s">
        <v>91</v>
      </c>
      <c r="I17" t="s">
        <v>96</v>
      </c>
      <c r="J17" t="s">
        <v>97</v>
      </c>
      <c r="K17" t="s">
        <v>108</v>
      </c>
      <c r="L17" t="s">
        <v>110</v>
      </c>
      <c r="M17" t="s">
        <v>112</v>
      </c>
      <c r="N17" t="s">
        <v>114</v>
      </c>
      <c r="O17" t="s">
        <v>134</v>
      </c>
      <c r="P17" t="s">
        <v>135</v>
      </c>
      <c r="Q17" t="s">
        <v>134</v>
      </c>
      <c r="R17" t="s">
        <v>136</v>
      </c>
      <c r="S17" t="s">
        <v>139</v>
      </c>
      <c r="T17">
        <v>45.61</v>
      </c>
      <c r="U17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4F4E-7047-4B05-AF25-1AD1CA7B4D7C}">
  <dimension ref="A1:Z36"/>
  <sheetViews>
    <sheetView tabSelected="1" topLeftCell="C1" workbookViewId="0">
      <selection activeCell="G36" sqref="G36"/>
    </sheetView>
  </sheetViews>
  <sheetFormatPr defaultColWidth="9.28515625" defaultRowHeight="15" x14ac:dyDescent="0.25"/>
  <cols>
    <col min="1" max="1" width="24.5703125" bestFit="1" customWidth="1"/>
    <col min="2" max="5" width="13.7109375" customWidth="1"/>
    <col min="6" max="6" width="13.7109375" bestFit="1" customWidth="1"/>
    <col min="7" max="7" width="13.7109375" customWidth="1"/>
    <col min="8" max="8" width="12.28515625" customWidth="1"/>
    <col min="9" max="10" width="15" customWidth="1"/>
    <col min="11" max="11" width="20.85546875" bestFit="1" customWidth="1"/>
    <col min="12" max="12" width="5.42578125" bestFit="1" customWidth="1"/>
    <col min="13" max="13" width="15.140625" bestFit="1" customWidth="1"/>
    <col min="14" max="14" width="11.140625" bestFit="1" customWidth="1"/>
    <col min="15" max="15" width="9.7109375" bestFit="1" customWidth="1"/>
    <col min="16" max="16" width="12.28515625" customWidth="1"/>
    <col min="17" max="17" width="11" customWidth="1"/>
    <col min="18" max="18" width="9.28515625" customWidth="1"/>
    <col min="19" max="19" width="12.140625" customWidth="1"/>
    <col min="20" max="20" width="39.28515625" bestFit="1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 t="s">
        <v>3</v>
      </c>
      <c r="I1" s="1" t="s">
        <v>4</v>
      </c>
      <c r="J1" s="1"/>
      <c r="K1" s="1" t="s">
        <v>6</v>
      </c>
      <c r="L1" s="1" t="s">
        <v>7</v>
      </c>
      <c r="M1" s="1" t="s">
        <v>8</v>
      </c>
      <c r="N1" s="1" t="s">
        <v>9</v>
      </c>
      <c r="O1" s="1" t="s">
        <v>11</v>
      </c>
      <c r="P1" s="1" t="s">
        <v>14</v>
      </c>
      <c r="Q1" s="1" t="s">
        <v>16</v>
      </c>
      <c r="R1" s="1" t="s">
        <v>18</v>
      </c>
      <c r="S1" s="1" t="s">
        <v>19</v>
      </c>
    </row>
    <row r="2" spans="1:26" s="18" customFormat="1" x14ac:dyDescent="0.25">
      <c r="A2" s="18" t="s">
        <v>177</v>
      </c>
      <c r="B2" s="19">
        <v>18710070</v>
      </c>
      <c r="C2" s="19">
        <v>18710070</v>
      </c>
      <c r="D2" s="19" t="s">
        <v>192</v>
      </c>
      <c r="E2" s="19" t="s">
        <v>193</v>
      </c>
      <c r="F2" s="18" t="s">
        <v>35</v>
      </c>
      <c r="G2" s="18" t="s">
        <v>35</v>
      </c>
      <c r="H2" s="18" t="s">
        <v>51</v>
      </c>
      <c r="I2" s="18" t="s">
        <v>66</v>
      </c>
      <c r="J2" s="18" t="s">
        <v>159</v>
      </c>
      <c r="K2" s="18" t="s">
        <v>84</v>
      </c>
      <c r="L2" s="18" t="s">
        <v>86</v>
      </c>
      <c r="M2" s="20">
        <v>46235</v>
      </c>
      <c r="N2" s="20">
        <v>46266</v>
      </c>
      <c r="O2" s="18" t="s">
        <v>110</v>
      </c>
      <c r="P2" s="21">
        <v>110.73</v>
      </c>
      <c r="Q2" s="21">
        <v>110.73</v>
      </c>
      <c r="R2" s="22">
        <v>0.21</v>
      </c>
      <c r="S2" s="18">
        <v>23.25</v>
      </c>
      <c r="T2" s="18" t="s">
        <v>174</v>
      </c>
    </row>
    <row r="3" spans="1:26" x14ac:dyDescent="0.25">
      <c r="A3" t="s">
        <v>22</v>
      </c>
      <c r="B3" s="5">
        <v>19491313</v>
      </c>
      <c r="C3" s="11">
        <v>19491313</v>
      </c>
      <c r="D3" s="11" t="s">
        <v>192</v>
      </c>
      <c r="E3" s="11" t="s">
        <v>193</v>
      </c>
      <c r="F3" t="s">
        <v>36</v>
      </c>
      <c r="G3" t="s">
        <v>36</v>
      </c>
      <c r="H3" t="s">
        <v>52</v>
      </c>
      <c r="I3" t="s">
        <v>67</v>
      </c>
      <c r="J3" t="s">
        <v>160</v>
      </c>
      <c r="K3" t="s">
        <v>84</v>
      </c>
      <c r="L3" t="s">
        <v>87</v>
      </c>
      <c r="M3" s="9">
        <v>46023</v>
      </c>
      <c r="N3" s="9">
        <v>46235</v>
      </c>
      <c r="O3" t="s">
        <v>110</v>
      </c>
      <c r="P3" s="3">
        <v>143.78</v>
      </c>
      <c r="Q3" s="3">
        <v>143.78</v>
      </c>
      <c r="R3" s="7">
        <v>0.21</v>
      </c>
      <c r="S3">
        <v>30.19</v>
      </c>
      <c r="T3" t="s">
        <v>174</v>
      </c>
    </row>
    <row r="4" spans="1:26" x14ac:dyDescent="0.25">
      <c r="A4" t="s">
        <v>22</v>
      </c>
      <c r="B4" s="5">
        <v>19491313</v>
      </c>
      <c r="C4" s="11">
        <v>19491313</v>
      </c>
      <c r="D4" s="11" t="s">
        <v>192</v>
      </c>
      <c r="E4" s="11" t="s">
        <v>193</v>
      </c>
      <c r="F4" t="s">
        <v>37</v>
      </c>
      <c r="G4" t="s">
        <v>37</v>
      </c>
      <c r="H4" t="s">
        <v>53</v>
      </c>
      <c r="I4" t="s">
        <v>68</v>
      </c>
      <c r="J4" t="s">
        <v>161</v>
      </c>
      <c r="K4" t="s">
        <v>84</v>
      </c>
      <c r="L4" t="s">
        <v>87</v>
      </c>
      <c r="M4" s="9">
        <v>46054</v>
      </c>
      <c r="N4" s="9">
        <v>46235</v>
      </c>
      <c r="O4" t="s">
        <v>110</v>
      </c>
      <c r="P4" s="3">
        <v>143.78</v>
      </c>
      <c r="Q4" s="3">
        <v>143.78</v>
      </c>
      <c r="R4" s="7">
        <v>0.21</v>
      </c>
      <c r="S4">
        <v>30.19</v>
      </c>
      <c r="T4" t="s">
        <v>174</v>
      </c>
    </row>
    <row r="5" spans="1:26" x14ac:dyDescent="0.25">
      <c r="A5" t="s">
        <v>22</v>
      </c>
      <c r="B5" s="5">
        <v>19491313</v>
      </c>
      <c r="C5" s="11">
        <v>19491313</v>
      </c>
      <c r="D5" s="11" t="s">
        <v>192</v>
      </c>
      <c r="E5" s="11" t="s">
        <v>193</v>
      </c>
      <c r="F5" t="s">
        <v>38</v>
      </c>
      <c r="G5" t="s">
        <v>38</v>
      </c>
      <c r="H5" t="s">
        <v>54</v>
      </c>
      <c r="I5" t="s">
        <v>69</v>
      </c>
      <c r="J5" t="s">
        <v>162</v>
      </c>
      <c r="K5" t="s">
        <v>84</v>
      </c>
      <c r="L5" t="s">
        <v>87</v>
      </c>
      <c r="M5" s="9">
        <v>46023</v>
      </c>
      <c r="N5" s="9">
        <v>46235</v>
      </c>
      <c r="O5" t="s">
        <v>110</v>
      </c>
      <c r="P5" s="3">
        <v>143.78</v>
      </c>
      <c r="Q5" s="3">
        <v>143.78</v>
      </c>
      <c r="R5" s="7">
        <v>0.21</v>
      </c>
      <c r="S5">
        <v>30.19</v>
      </c>
      <c r="T5" t="s">
        <v>174</v>
      </c>
    </row>
    <row r="6" spans="1:26" x14ac:dyDescent="0.25">
      <c r="A6" t="s">
        <v>22</v>
      </c>
      <c r="B6" s="5">
        <v>19491313</v>
      </c>
      <c r="C6" s="11">
        <v>19491313</v>
      </c>
      <c r="D6" s="11" t="s">
        <v>192</v>
      </c>
      <c r="E6" s="11" t="s">
        <v>193</v>
      </c>
      <c r="F6" t="s">
        <v>39</v>
      </c>
      <c r="G6" t="s">
        <v>39</v>
      </c>
      <c r="H6" t="s">
        <v>55</v>
      </c>
      <c r="I6" t="s">
        <v>70</v>
      </c>
      <c r="J6" t="s">
        <v>163</v>
      </c>
      <c r="K6" t="s">
        <v>84</v>
      </c>
      <c r="L6" t="s">
        <v>87</v>
      </c>
      <c r="M6" s="9">
        <v>46204</v>
      </c>
      <c r="N6" s="9">
        <v>46266</v>
      </c>
      <c r="O6" t="s">
        <v>110</v>
      </c>
      <c r="P6" s="3">
        <v>130.09</v>
      </c>
      <c r="Q6" s="3">
        <v>130.09</v>
      </c>
      <c r="R6" s="7">
        <v>0.21</v>
      </c>
      <c r="S6">
        <v>27.32</v>
      </c>
      <c r="T6" t="s">
        <v>174</v>
      </c>
    </row>
    <row r="7" spans="1:26" x14ac:dyDescent="0.25">
      <c r="A7" t="s">
        <v>22</v>
      </c>
      <c r="B7" s="5">
        <v>19491313</v>
      </c>
      <c r="C7" s="11">
        <v>19491313</v>
      </c>
      <c r="D7" s="11" t="s">
        <v>192</v>
      </c>
      <c r="E7" s="11" t="s">
        <v>193</v>
      </c>
      <c r="F7" t="s">
        <v>40</v>
      </c>
      <c r="G7" t="s">
        <v>40</v>
      </c>
      <c r="H7" t="s">
        <v>56</v>
      </c>
      <c r="I7" t="s">
        <v>71</v>
      </c>
      <c r="J7" t="s">
        <v>164</v>
      </c>
      <c r="K7" t="s">
        <v>84</v>
      </c>
      <c r="L7" t="s">
        <v>87</v>
      </c>
      <c r="M7" s="9">
        <v>46082</v>
      </c>
      <c r="N7" s="9">
        <v>46235</v>
      </c>
      <c r="O7" t="s">
        <v>110</v>
      </c>
      <c r="P7" s="3">
        <v>136.94</v>
      </c>
      <c r="Q7" s="3">
        <v>136.94</v>
      </c>
      <c r="R7" s="7">
        <v>0.21</v>
      </c>
      <c r="S7">
        <v>28.76</v>
      </c>
      <c r="T7" t="s">
        <v>174</v>
      </c>
    </row>
    <row r="8" spans="1:26" s="13" customFormat="1" x14ac:dyDescent="0.25">
      <c r="A8" s="13" t="s">
        <v>180</v>
      </c>
      <c r="B8" s="14">
        <v>16849453</v>
      </c>
      <c r="C8" s="14" t="s">
        <v>184</v>
      </c>
      <c r="D8" s="14" t="s">
        <v>194</v>
      </c>
      <c r="E8" s="14" t="s">
        <v>195</v>
      </c>
      <c r="F8" s="13" t="s">
        <v>48</v>
      </c>
      <c r="G8" s="13" t="s">
        <v>48</v>
      </c>
      <c r="H8" s="13" t="s">
        <v>64</v>
      </c>
      <c r="I8" s="13" t="s">
        <v>79</v>
      </c>
      <c r="J8" s="13" t="s">
        <v>171</v>
      </c>
      <c r="K8" s="13" t="s">
        <v>84</v>
      </c>
      <c r="L8" s="13" t="s">
        <v>91</v>
      </c>
      <c r="M8" s="15">
        <v>46235</v>
      </c>
      <c r="N8" s="15">
        <v>46266</v>
      </c>
      <c r="O8" s="13" t="s">
        <v>110</v>
      </c>
      <c r="P8" s="16">
        <v>250.09</v>
      </c>
      <c r="Q8" s="16">
        <v>250.09</v>
      </c>
      <c r="R8" s="17">
        <v>0.23200000000000001</v>
      </c>
      <c r="S8" s="13">
        <v>58.02</v>
      </c>
      <c r="T8" s="13" t="s">
        <v>196</v>
      </c>
    </row>
    <row r="9" spans="1:26" s="13" customFormat="1" x14ac:dyDescent="0.25">
      <c r="A9" s="13" t="s">
        <v>180</v>
      </c>
      <c r="B9" s="14">
        <v>16849453</v>
      </c>
      <c r="C9" s="14" t="s">
        <v>184</v>
      </c>
      <c r="D9" s="14" t="s">
        <v>194</v>
      </c>
      <c r="E9" s="14" t="s">
        <v>195</v>
      </c>
      <c r="F9" s="13" t="s">
        <v>49</v>
      </c>
      <c r="G9" s="13" t="s">
        <v>49</v>
      </c>
      <c r="H9" s="13" t="s">
        <v>65</v>
      </c>
      <c r="I9" s="13" t="s">
        <v>80</v>
      </c>
      <c r="J9" s="13" t="s">
        <v>172</v>
      </c>
      <c r="K9" s="13" t="s">
        <v>84</v>
      </c>
      <c r="L9" s="13" t="s">
        <v>91</v>
      </c>
      <c r="M9" s="15">
        <v>46235</v>
      </c>
      <c r="N9" s="15">
        <v>46266</v>
      </c>
      <c r="O9" s="13" t="s">
        <v>110</v>
      </c>
      <c r="P9" s="16">
        <v>176.26</v>
      </c>
      <c r="Q9" s="16">
        <v>176.26</v>
      </c>
      <c r="R9" s="17">
        <v>0.23200000000000001</v>
      </c>
      <c r="S9" s="13">
        <v>40.89</v>
      </c>
      <c r="T9" s="13" t="s">
        <v>196</v>
      </c>
    </row>
    <row r="10" spans="1:26" x14ac:dyDescent="0.25">
      <c r="A10" s="13" t="s">
        <v>180</v>
      </c>
      <c r="B10" s="14">
        <v>16849453</v>
      </c>
      <c r="C10" s="14" t="s">
        <v>184</v>
      </c>
      <c r="D10" s="14" t="s">
        <v>194</v>
      </c>
      <c r="E10" s="14" t="s">
        <v>195</v>
      </c>
      <c r="F10" s="13" t="s">
        <v>50</v>
      </c>
      <c r="G10" s="13" t="s">
        <v>50</v>
      </c>
      <c r="H10" s="13" t="s">
        <v>52</v>
      </c>
      <c r="I10" s="13" t="s">
        <v>81</v>
      </c>
      <c r="J10" s="13" t="s">
        <v>173</v>
      </c>
      <c r="K10" s="13" t="s">
        <v>84</v>
      </c>
      <c r="L10" s="13" t="s">
        <v>91</v>
      </c>
      <c r="M10" s="15">
        <v>46235</v>
      </c>
      <c r="N10" s="15">
        <v>46266</v>
      </c>
      <c r="O10" s="13" t="s">
        <v>110</v>
      </c>
      <c r="P10" s="16">
        <v>196.59</v>
      </c>
      <c r="Q10" s="16">
        <v>196.59</v>
      </c>
      <c r="R10" s="17">
        <v>0.23200000000000001</v>
      </c>
      <c r="S10" s="13">
        <v>45.61</v>
      </c>
      <c r="T10" s="13" t="s">
        <v>196</v>
      </c>
      <c r="U10" s="13"/>
      <c r="V10" s="13"/>
      <c r="W10" s="13"/>
      <c r="X10" s="13"/>
      <c r="Y10" s="13"/>
      <c r="Z10" s="13"/>
    </row>
    <row r="11" spans="1:26" x14ac:dyDescent="0.25">
      <c r="A11" s="13" t="s">
        <v>23</v>
      </c>
      <c r="B11" s="14">
        <v>8812322</v>
      </c>
      <c r="C11" s="14" t="s">
        <v>190</v>
      </c>
      <c r="D11" s="14" t="s">
        <v>194</v>
      </c>
      <c r="E11" s="14" t="s">
        <v>195</v>
      </c>
      <c r="F11" s="13" t="s">
        <v>41</v>
      </c>
      <c r="G11" s="13" t="s">
        <v>41</v>
      </c>
      <c r="H11" s="13" t="s">
        <v>57</v>
      </c>
      <c r="I11" s="13" t="s">
        <v>72</v>
      </c>
      <c r="J11" s="13" t="s">
        <v>165</v>
      </c>
      <c r="K11" s="13" t="s">
        <v>85</v>
      </c>
      <c r="L11" s="13" t="s">
        <v>88</v>
      </c>
      <c r="M11" s="15">
        <v>46213</v>
      </c>
      <c r="N11" s="15">
        <v>46244</v>
      </c>
      <c r="O11" s="13" t="s">
        <v>110</v>
      </c>
      <c r="P11" s="16">
        <v>144.18</v>
      </c>
      <c r="Q11" s="16">
        <v>144.18</v>
      </c>
      <c r="R11" s="17">
        <v>0.25</v>
      </c>
      <c r="S11" s="13">
        <v>36.049999999999997</v>
      </c>
      <c r="T11" s="13" t="s">
        <v>175</v>
      </c>
      <c r="U11" s="13"/>
      <c r="V11" s="13"/>
      <c r="W11" s="13"/>
      <c r="X11" s="13"/>
      <c r="Y11" s="13"/>
      <c r="Z11" s="13"/>
    </row>
    <row r="12" spans="1:26" s="18" customFormat="1" x14ac:dyDescent="0.25">
      <c r="A12" s="13" t="s">
        <v>23</v>
      </c>
      <c r="B12" s="14">
        <v>8812322</v>
      </c>
      <c r="C12" s="14" t="s">
        <v>190</v>
      </c>
      <c r="D12" s="14" t="s">
        <v>194</v>
      </c>
      <c r="E12" s="14" t="s">
        <v>195</v>
      </c>
      <c r="F12" s="13" t="s">
        <v>42</v>
      </c>
      <c r="G12" s="13" t="s">
        <v>42</v>
      </c>
      <c r="H12" s="13" t="s">
        <v>58</v>
      </c>
      <c r="I12" s="13" t="s">
        <v>73</v>
      </c>
      <c r="J12" s="13" t="s">
        <v>166</v>
      </c>
      <c r="K12" s="13" t="s">
        <v>85</v>
      </c>
      <c r="L12" s="13" t="s">
        <v>88</v>
      </c>
      <c r="M12" s="15">
        <v>46235</v>
      </c>
      <c r="N12" s="15">
        <v>46266</v>
      </c>
      <c r="O12" s="13" t="s">
        <v>110</v>
      </c>
      <c r="P12" s="16">
        <v>73.930000000000007</v>
      </c>
      <c r="Q12" s="16">
        <v>73.930000000000007</v>
      </c>
      <c r="R12" s="17">
        <v>0.25</v>
      </c>
      <c r="S12" s="13">
        <v>18.48</v>
      </c>
      <c r="T12" s="13" t="s">
        <v>175</v>
      </c>
      <c r="U12" s="13"/>
      <c r="V12" s="13"/>
      <c r="W12" s="13"/>
      <c r="X12" s="13"/>
      <c r="Y12" s="13"/>
      <c r="Z12" s="13"/>
    </row>
    <row r="13" spans="1:26" x14ac:dyDescent="0.25">
      <c r="A13" t="s">
        <v>23</v>
      </c>
      <c r="B13" s="5">
        <v>8812322</v>
      </c>
      <c r="C13" s="11" t="s">
        <v>181</v>
      </c>
      <c r="D13" s="11" t="s">
        <v>192</v>
      </c>
      <c r="E13" s="11" t="s">
        <v>193</v>
      </c>
      <c r="F13" t="s">
        <v>43</v>
      </c>
      <c r="G13" t="s">
        <v>43</v>
      </c>
      <c r="H13" t="s">
        <v>59</v>
      </c>
      <c r="I13" t="s">
        <v>74</v>
      </c>
      <c r="J13" t="s">
        <v>167</v>
      </c>
      <c r="K13" t="s">
        <v>85</v>
      </c>
      <c r="L13" t="s">
        <v>88</v>
      </c>
      <c r="M13" s="9">
        <v>46092</v>
      </c>
      <c r="N13" s="9">
        <v>46245</v>
      </c>
      <c r="O13" t="s">
        <v>110</v>
      </c>
      <c r="P13" s="3">
        <v>127.65</v>
      </c>
      <c r="Q13" s="3">
        <v>127.65</v>
      </c>
      <c r="R13" s="7">
        <v>0.25</v>
      </c>
      <c r="S13">
        <v>31.91</v>
      </c>
      <c r="T13" t="s">
        <v>175</v>
      </c>
    </row>
    <row r="14" spans="1:26" s="13" customFormat="1" x14ac:dyDescent="0.25">
      <c r="A14" t="s">
        <v>178</v>
      </c>
      <c r="B14" s="5">
        <v>16202925</v>
      </c>
      <c r="C14" s="11" t="s">
        <v>182</v>
      </c>
      <c r="D14" s="11" t="s">
        <v>192</v>
      </c>
      <c r="E14" s="11" t="s">
        <v>193</v>
      </c>
      <c r="F14" t="s">
        <v>44</v>
      </c>
      <c r="G14" t="s">
        <v>44</v>
      </c>
      <c r="H14" t="s">
        <v>60</v>
      </c>
      <c r="I14" t="s">
        <v>75</v>
      </c>
      <c r="J14" t="s">
        <v>168</v>
      </c>
      <c r="K14" t="s">
        <v>85</v>
      </c>
      <c r="L14" t="s">
        <v>89</v>
      </c>
      <c r="M14" s="9">
        <v>45870</v>
      </c>
      <c r="N14" s="9">
        <v>46204</v>
      </c>
      <c r="O14" t="s">
        <v>110</v>
      </c>
      <c r="P14" s="3">
        <v>-47.7</v>
      </c>
      <c r="Q14" s="3">
        <v>-47.7</v>
      </c>
      <c r="R14" s="7">
        <v>0.25</v>
      </c>
      <c r="S14">
        <v>-11.93</v>
      </c>
      <c r="T14" t="s">
        <v>175</v>
      </c>
      <c r="U14"/>
      <c r="V14"/>
      <c r="W14"/>
      <c r="X14"/>
      <c r="Y14"/>
      <c r="Z14"/>
    </row>
    <row r="15" spans="1:26" s="13" customFormat="1" x14ac:dyDescent="0.25">
      <c r="A15" s="18" t="s">
        <v>25</v>
      </c>
      <c r="B15" s="19">
        <v>8244481</v>
      </c>
      <c r="C15" s="19">
        <v>8244481</v>
      </c>
      <c r="D15" s="19" t="s">
        <v>192</v>
      </c>
      <c r="E15" s="19" t="s">
        <v>193</v>
      </c>
      <c r="F15" s="18" t="s">
        <v>45</v>
      </c>
      <c r="G15" s="18" t="s">
        <v>45</v>
      </c>
      <c r="H15" s="18" t="s">
        <v>61</v>
      </c>
      <c r="I15" s="18" t="s">
        <v>76</v>
      </c>
      <c r="J15" s="18" t="s">
        <v>169</v>
      </c>
      <c r="K15" s="18" t="s">
        <v>85</v>
      </c>
      <c r="L15" s="18" t="s">
        <v>88</v>
      </c>
      <c r="M15" s="20">
        <v>46235</v>
      </c>
      <c r="N15" s="20">
        <v>46266</v>
      </c>
      <c r="O15" s="18" t="s">
        <v>110</v>
      </c>
      <c r="P15" s="21">
        <v>91.55</v>
      </c>
      <c r="Q15" s="21">
        <v>91.55</v>
      </c>
      <c r="R15" s="22">
        <v>0.25</v>
      </c>
      <c r="S15" s="18">
        <v>22.89</v>
      </c>
      <c r="T15" s="18" t="s">
        <v>175</v>
      </c>
      <c r="U15" s="18"/>
      <c r="V15" s="18"/>
      <c r="W15" s="18"/>
      <c r="X15" s="18"/>
      <c r="Y15" s="18"/>
      <c r="Z15" s="18"/>
    </row>
    <row r="16" spans="1:26" s="13" customFormat="1" x14ac:dyDescent="0.25">
      <c r="A16" t="s">
        <v>179</v>
      </c>
      <c r="B16" s="5">
        <v>16912722</v>
      </c>
      <c r="C16" s="11" t="s">
        <v>183</v>
      </c>
      <c r="D16" s="11" t="s">
        <v>192</v>
      </c>
      <c r="E16" s="11" t="s">
        <v>193</v>
      </c>
      <c r="F16" t="s">
        <v>46</v>
      </c>
      <c r="G16" t="s">
        <v>46</v>
      </c>
      <c r="H16" t="s">
        <v>62</v>
      </c>
      <c r="I16" t="s">
        <v>77</v>
      </c>
      <c r="J16" t="s">
        <v>170</v>
      </c>
      <c r="K16" t="s">
        <v>85</v>
      </c>
      <c r="L16" t="s">
        <v>88</v>
      </c>
      <c r="M16" s="9">
        <v>45962</v>
      </c>
      <c r="N16" s="9">
        <v>46235</v>
      </c>
      <c r="O16" t="s">
        <v>110</v>
      </c>
      <c r="P16" s="3">
        <v>55.9</v>
      </c>
      <c r="Q16" s="3">
        <v>55.9</v>
      </c>
      <c r="R16" s="7">
        <v>0.25</v>
      </c>
      <c r="S16">
        <v>13.98</v>
      </c>
      <c r="T16" t="s">
        <v>175</v>
      </c>
      <c r="U16"/>
      <c r="V16"/>
      <c r="W16"/>
      <c r="X16"/>
      <c r="Y16"/>
      <c r="Z16"/>
    </row>
    <row r="17" spans="1:20" s="2" customFormat="1" x14ac:dyDescent="0.25">
      <c r="A17" s="2" t="s">
        <v>177</v>
      </c>
      <c r="B17" s="6">
        <v>18710070</v>
      </c>
      <c r="C17" s="12" t="str">
        <f>CONCATENATE(B17,"OVR")</f>
        <v>18710070OVR</v>
      </c>
      <c r="D17" s="12" t="s">
        <v>192</v>
      </c>
      <c r="E17" s="12" t="s">
        <v>193</v>
      </c>
      <c r="F17" s="2" t="s">
        <v>35</v>
      </c>
      <c r="G17" s="2" t="str">
        <f>CONCATENATE(F17,"OVR")</f>
        <v>H750111737OVR</v>
      </c>
      <c r="H17" s="2" t="s">
        <v>51</v>
      </c>
      <c r="I17" s="2" t="s">
        <v>66</v>
      </c>
      <c r="J17" s="2" t="s">
        <v>159</v>
      </c>
      <c r="K17" s="2" t="s">
        <v>84</v>
      </c>
      <c r="L17" s="2" t="s">
        <v>86</v>
      </c>
      <c r="M17" s="10">
        <v>46235</v>
      </c>
      <c r="N17" s="10">
        <v>46266</v>
      </c>
      <c r="O17" s="2" t="s">
        <v>110</v>
      </c>
      <c r="P17" s="4">
        <v>110.73</v>
      </c>
      <c r="Q17" s="2">
        <v>5.09</v>
      </c>
      <c r="R17" s="8">
        <v>4.5999999999999999E-2</v>
      </c>
      <c r="S17" s="2">
        <v>5.09</v>
      </c>
      <c r="T17" s="2" t="s">
        <v>176</v>
      </c>
    </row>
    <row r="18" spans="1:20" s="2" customFormat="1" x14ac:dyDescent="0.25">
      <c r="A18" s="2" t="s">
        <v>22</v>
      </c>
      <c r="B18" s="6">
        <v>19491313</v>
      </c>
      <c r="C18" s="12" t="s">
        <v>185</v>
      </c>
      <c r="D18" s="12" t="s">
        <v>192</v>
      </c>
      <c r="E18" s="12" t="s">
        <v>193</v>
      </c>
      <c r="F18" s="2" t="s">
        <v>36</v>
      </c>
      <c r="G18" s="2" t="str">
        <f t="shared" ref="G18:G32" si="0">CONCATENATE(F18,"OVR")</f>
        <v>H750088570OVR</v>
      </c>
      <c r="H18" s="2" t="s">
        <v>52</v>
      </c>
      <c r="I18" s="2" t="s">
        <v>67</v>
      </c>
      <c r="J18" s="2" t="s">
        <v>160</v>
      </c>
      <c r="K18" s="2" t="s">
        <v>84</v>
      </c>
      <c r="L18" s="2" t="s">
        <v>87</v>
      </c>
      <c r="M18" s="10">
        <v>46023</v>
      </c>
      <c r="N18" s="10">
        <v>46235</v>
      </c>
      <c r="O18" s="2" t="s">
        <v>110</v>
      </c>
      <c r="P18" s="4">
        <v>143.78</v>
      </c>
      <c r="Q18" s="2">
        <v>4.03</v>
      </c>
      <c r="R18" s="8">
        <v>2.8000000000000001E-2</v>
      </c>
      <c r="S18" s="2">
        <v>4.03</v>
      </c>
      <c r="T18" s="2" t="s">
        <v>176</v>
      </c>
    </row>
    <row r="19" spans="1:20" s="2" customFormat="1" x14ac:dyDescent="0.25">
      <c r="A19" s="2" t="s">
        <v>22</v>
      </c>
      <c r="B19" s="6">
        <v>19491313</v>
      </c>
      <c r="C19" s="12" t="s">
        <v>185</v>
      </c>
      <c r="D19" s="12" t="s">
        <v>192</v>
      </c>
      <c r="E19" s="12" t="s">
        <v>193</v>
      </c>
      <c r="F19" s="2" t="s">
        <v>37</v>
      </c>
      <c r="G19" s="2" t="str">
        <f t="shared" si="0"/>
        <v>H750094989OVR</v>
      </c>
      <c r="H19" s="2" t="s">
        <v>53</v>
      </c>
      <c r="I19" s="2" t="s">
        <v>68</v>
      </c>
      <c r="J19" s="2" t="s">
        <v>161</v>
      </c>
      <c r="K19" s="2" t="s">
        <v>84</v>
      </c>
      <c r="L19" s="2" t="s">
        <v>87</v>
      </c>
      <c r="M19" s="10">
        <v>46054</v>
      </c>
      <c r="N19" s="10">
        <v>46235</v>
      </c>
      <c r="O19" s="2" t="s">
        <v>110</v>
      </c>
      <c r="P19" s="4">
        <v>143.78</v>
      </c>
      <c r="Q19" s="2">
        <v>4.03</v>
      </c>
      <c r="R19" s="8">
        <v>2.8000000000000001E-2</v>
      </c>
      <c r="S19" s="2">
        <v>4.03</v>
      </c>
      <c r="T19" s="2" t="s">
        <v>176</v>
      </c>
    </row>
    <row r="20" spans="1:20" s="2" customFormat="1" x14ac:dyDescent="0.25">
      <c r="A20" s="2" t="s">
        <v>22</v>
      </c>
      <c r="B20" s="6">
        <v>19491313</v>
      </c>
      <c r="C20" s="12" t="s">
        <v>185</v>
      </c>
      <c r="D20" s="12" t="s">
        <v>192</v>
      </c>
      <c r="E20" s="12" t="s">
        <v>193</v>
      </c>
      <c r="F20" s="2" t="s">
        <v>38</v>
      </c>
      <c r="G20" s="2" t="str">
        <f t="shared" si="0"/>
        <v>H750092058OVR</v>
      </c>
      <c r="H20" s="2" t="s">
        <v>54</v>
      </c>
      <c r="I20" s="2" t="s">
        <v>69</v>
      </c>
      <c r="J20" s="2" t="s">
        <v>162</v>
      </c>
      <c r="K20" s="2" t="s">
        <v>84</v>
      </c>
      <c r="L20" s="2" t="s">
        <v>87</v>
      </c>
      <c r="M20" s="10">
        <v>46023</v>
      </c>
      <c r="N20" s="10">
        <v>46235</v>
      </c>
      <c r="O20" s="2" t="s">
        <v>110</v>
      </c>
      <c r="P20" s="4">
        <v>143.78</v>
      </c>
      <c r="Q20" s="2">
        <v>4.03</v>
      </c>
      <c r="R20" s="8">
        <v>2.8000000000000001E-2</v>
      </c>
      <c r="S20" s="2">
        <v>4.03</v>
      </c>
      <c r="T20" s="2" t="s">
        <v>176</v>
      </c>
    </row>
    <row r="21" spans="1:20" s="2" customFormat="1" x14ac:dyDescent="0.25">
      <c r="A21" s="2" t="s">
        <v>22</v>
      </c>
      <c r="B21" s="6">
        <v>19491313</v>
      </c>
      <c r="C21" s="12" t="s">
        <v>185</v>
      </c>
      <c r="D21" s="12" t="s">
        <v>192</v>
      </c>
      <c r="E21" s="12" t="s">
        <v>193</v>
      </c>
      <c r="F21" s="2" t="s">
        <v>39</v>
      </c>
      <c r="G21" s="2" t="str">
        <f t="shared" si="0"/>
        <v>H750110067OVR</v>
      </c>
      <c r="H21" s="2" t="s">
        <v>55</v>
      </c>
      <c r="I21" s="2" t="s">
        <v>70</v>
      </c>
      <c r="J21" s="2" t="s">
        <v>163</v>
      </c>
      <c r="K21" s="2" t="s">
        <v>84</v>
      </c>
      <c r="L21" s="2" t="s">
        <v>87</v>
      </c>
      <c r="M21" s="10">
        <v>46204</v>
      </c>
      <c r="N21" s="10">
        <v>46266</v>
      </c>
      <c r="O21" s="2" t="s">
        <v>110</v>
      </c>
      <c r="P21" s="4">
        <v>130.09</v>
      </c>
      <c r="Q21" s="2">
        <v>5.98</v>
      </c>
      <c r="R21" s="8">
        <v>4.5999999999999999E-2</v>
      </c>
      <c r="S21" s="2">
        <v>5.98</v>
      </c>
      <c r="T21" s="2" t="s">
        <v>176</v>
      </c>
    </row>
    <row r="22" spans="1:20" s="2" customFormat="1" x14ac:dyDescent="0.25">
      <c r="A22" s="2" t="s">
        <v>22</v>
      </c>
      <c r="B22" s="6">
        <v>19491313</v>
      </c>
      <c r="C22" s="12" t="s">
        <v>185</v>
      </c>
      <c r="D22" s="12" t="s">
        <v>192</v>
      </c>
      <c r="E22" s="12" t="s">
        <v>193</v>
      </c>
      <c r="F22" s="2" t="s">
        <v>40</v>
      </c>
      <c r="G22" s="2" t="str">
        <f t="shared" si="0"/>
        <v>H750094552OVR</v>
      </c>
      <c r="H22" s="2" t="s">
        <v>56</v>
      </c>
      <c r="I22" s="2" t="s">
        <v>71</v>
      </c>
      <c r="J22" s="2" t="s">
        <v>164</v>
      </c>
      <c r="K22" s="2" t="s">
        <v>84</v>
      </c>
      <c r="L22" s="2" t="s">
        <v>87</v>
      </c>
      <c r="M22" s="10">
        <v>46082</v>
      </c>
      <c r="N22" s="10">
        <v>46235</v>
      </c>
      <c r="O22" s="2" t="s">
        <v>110</v>
      </c>
      <c r="P22" s="4">
        <v>136.94</v>
      </c>
      <c r="Q22" s="2">
        <v>3.83</v>
      </c>
      <c r="R22" s="8">
        <v>2.8000000000000001E-2</v>
      </c>
      <c r="S22" s="2">
        <v>3.83</v>
      </c>
      <c r="T22" s="2" t="s">
        <v>176</v>
      </c>
    </row>
    <row r="23" spans="1:20" s="2" customFormat="1" x14ac:dyDescent="0.25">
      <c r="A23" s="2" t="s">
        <v>23</v>
      </c>
      <c r="B23" s="6">
        <v>8812322</v>
      </c>
      <c r="C23" s="12" t="str">
        <f t="shared" ref="C23:C24" si="1">CONCATENATE(B23,"OVR")</f>
        <v>8812322OVR</v>
      </c>
      <c r="D23" s="12" t="s">
        <v>192</v>
      </c>
      <c r="E23" s="12" t="s">
        <v>193</v>
      </c>
      <c r="F23" s="2" t="s">
        <v>41</v>
      </c>
      <c r="G23" s="2" t="str">
        <f t="shared" si="0"/>
        <v>H711171739OVR</v>
      </c>
      <c r="H23" s="2" t="s">
        <v>57</v>
      </c>
      <c r="I23" s="2" t="s">
        <v>72</v>
      </c>
      <c r="J23" s="2" t="s">
        <v>165</v>
      </c>
      <c r="K23" s="2" t="s">
        <v>85</v>
      </c>
      <c r="L23" s="2" t="s">
        <v>88</v>
      </c>
      <c r="M23" s="10">
        <v>46213</v>
      </c>
      <c r="N23" s="10">
        <v>46244</v>
      </c>
      <c r="O23" s="2" t="s">
        <v>110</v>
      </c>
      <c r="P23" s="4">
        <v>144.18</v>
      </c>
      <c r="Q23" s="2">
        <v>16.579999999999998</v>
      </c>
      <c r="R23" s="8">
        <v>0.115</v>
      </c>
      <c r="S23" s="2">
        <v>16.579999999999998</v>
      </c>
      <c r="T23" s="2" t="s">
        <v>176</v>
      </c>
    </row>
    <row r="24" spans="1:20" s="2" customFormat="1" x14ac:dyDescent="0.25">
      <c r="A24" s="2" t="s">
        <v>23</v>
      </c>
      <c r="B24" s="6">
        <v>8812322</v>
      </c>
      <c r="C24" s="12" t="str">
        <f t="shared" si="1"/>
        <v>8812322OVR</v>
      </c>
      <c r="D24" s="12" t="s">
        <v>192</v>
      </c>
      <c r="E24" s="12" t="s">
        <v>193</v>
      </c>
      <c r="F24" s="2" t="s">
        <v>42</v>
      </c>
      <c r="G24" s="2" t="str">
        <f t="shared" si="0"/>
        <v>H711172054OVR</v>
      </c>
      <c r="H24" s="2" t="s">
        <v>58</v>
      </c>
      <c r="I24" s="2" t="s">
        <v>73</v>
      </c>
      <c r="J24" s="2" t="s">
        <v>166</v>
      </c>
      <c r="K24" s="2" t="s">
        <v>85</v>
      </c>
      <c r="L24" s="2" t="s">
        <v>88</v>
      </c>
      <c r="M24" s="10">
        <v>46235</v>
      </c>
      <c r="N24" s="10">
        <v>46266</v>
      </c>
      <c r="O24" s="2" t="s">
        <v>110</v>
      </c>
      <c r="P24" s="4">
        <v>73.930000000000007</v>
      </c>
      <c r="Q24" s="2">
        <v>8.5</v>
      </c>
      <c r="R24" s="8">
        <v>0.115</v>
      </c>
      <c r="S24" s="2">
        <v>8.5</v>
      </c>
      <c r="T24" s="2" t="s">
        <v>176</v>
      </c>
    </row>
    <row r="25" spans="1:20" s="2" customFormat="1" x14ac:dyDescent="0.25">
      <c r="A25" s="2" t="s">
        <v>23</v>
      </c>
      <c r="B25" s="6">
        <v>8812322</v>
      </c>
      <c r="C25" s="12" t="s">
        <v>186</v>
      </c>
      <c r="D25" s="12" t="s">
        <v>192</v>
      </c>
      <c r="E25" s="12" t="s">
        <v>193</v>
      </c>
      <c r="F25" s="2" t="s">
        <v>43</v>
      </c>
      <c r="G25" s="2" t="str">
        <f t="shared" si="0"/>
        <v>H711124438OVR</v>
      </c>
      <c r="H25" s="2" t="s">
        <v>59</v>
      </c>
      <c r="I25" s="2" t="s">
        <v>74</v>
      </c>
      <c r="J25" s="2" t="s">
        <v>167</v>
      </c>
      <c r="K25" s="2" t="s">
        <v>85</v>
      </c>
      <c r="L25" s="2" t="s">
        <v>88</v>
      </c>
      <c r="M25" s="10">
        <v>46092</v>
      </c>
      <c r="N25" s="10">
        <v>46245</v>
      </c>
      <c r="O25" s="2" t="s">
        <v>110</v>
      </c>
      <c r="P25" s="4">
        <v>127.65</v>
      </c>
      <c r="Q25" s="2">
        <v>12.13</v>
      </c>
      <c r="R25" s="8">
        <v>9.5000000000000001E-2</v>
      </c>
      <c r="S25" s="2">
        <v>12.13</v>
      </c>
      <c r="T25" s="2" t="s">
        <v>176</v>
      </c>
    </row>
    <row r="26" spans="1:20" s="2" customFormat="1" x14ac:dyDescent="0.25">
      <c r="A26" s="2" t="s">
        <v>178</v>
      </c>
      <c r="B26" s="6">
        <v>16202925</v>
      </c>
      <c r="C26" s="12" t="s">
        <v>187</v>
      </c>
      <c r="D26" s="12" t="s">
        <v>192</v>
      </c>
      <c r="E26" s="12" t="s">
        <v>193</v>
      </c>
      <c r="F26" s="2" t="s">
        <v>44</v>
      </c>
      <c r="G26" s="2" t="str">
        <f t="shared" si="0"/>
        <v>H711025485OVR</v>
      </c>
      <c r="H26" s="2" t="s">
        <v>60</v>
      </c>
      <c r="I26" s="2" t="s">
        <v>75</v>
      </c>
      <c r="J26" s="2" t="s">
        <v>168</v>
      </c>
      <c r="K26" s="2" t="s">
        <v>85</v>
      </c>
      <c r="L26" s="2" t="s">
        <v>89</v>
      </c>
      <c r="M26" s="10">
        <v>45870</v>
      </c>
      <c r="N26" s="10">
        <v>46204</v>
      </c>
      <c r="O26" s="2" t="s">
        <v>110</v>
      </c>
      <c r="P26" s="4">
        <v>-47.7</v>
      </c>
      <c r="Q26" s="2">
        <v>-4.53</v>
      </c>
      <c r="R26" s="8">
        <v>9.5000000000000001E-2</v>
      </c>
      <c r="S26" s="2">
        <v>-4.53</v>
      </c>
      <c r="T26" s="2" t="s">
        <v>176</v>
      </c>
    </row>
    <row r="27" spans="1:20" s="2" customFormat="1" x14ac:dyDescent="0.25">
      <c r="A27" s="2" t="s">
        <v>25</v>
      </c>
      <c r="B27" s="6">
        <v>8244481</v>
      </c>
      <c r="C27" s="12" t="str">
        <f>CONCATENATE(B27,"OVR")</f>
        <v>8244481OVR</v>
      </c>
      <c r="D27" s="12" t="s">
        <v>192</v>
      </c>
      <c r="E27" s="12" t="s">
        <v>193</v>
      </c>
      <c r="F27" s="2" t="s">
        <v>45</v>
      </c>
      <c r="G27" s="2" t="str">
        <f t="shared" si="0"/>
        <v>H711172112OVR</v>
      </c>
      <c r="H27" s="2" t="s">
        <v>61</v>
      </c>
      <c r="I27" s="2" t="s">
        <v>76</v>
      </c>
      <c r="J27" s="2" t="s">
        <v>169</v>
      </c>
      <c r="K27" s="2" t="s">
        <v>85</v>
      </c>
      <c r="L27" s="2" t="s">
        <v>88</v>
      </c>
      <c r="M27" s="10">
        <v>46235</v>
      </c>
      <c r="N27" s="10">
        <v>46266</v>
      </c>
      <c r="O27" s="2" t="s">
        <v>110</v>
      </c>
      <c r="P27" s="4">
        <v>91.55</v>
      </c>
      <c r="Q27" s="2">
        <v>10.53</v>
      </c>
      <c r="R27" s="8">
        <v>0.115</v>
      </c>
      <c r="S27" s="2">
        <v>10.53</v>
      </c>
      <c r="T27" s="2" t="s">
        <v>176</v>
      </c>
    </row>
    <row r="28" spans="1:20" s="2" customFormat="1" x14ac:dyDescent="0.25">
      <c r="A28" s="2" t="s">
        <v>179</v>
      </c>
      <c r="B28" s="6">
        <v>16912722</v>
      </c>
      <c r="C28" s="12" t="s">
        <v>188</v>
      </c>
      <c r="D28" s="12" t="s">
        <v>192</v>
      </c>
      <c r="E28" s="12" t="s">
        <v>193</v>
      </c>
      <c r="F28" s="2" t="s">
        <v>46</v>
      </c>
      <c r="G28" s="2" t="str">
        <f t="shared" si="0"/>
        <v>H711053462OVR</v>
      </c>
      <c r="H28" s="2" t="s">
        <v>62</v>
      </c>
      <c r="I28" s="2" t="s">
        <v>77</v>
      </c>
      <c r="J28" s="2" t="s">
        <v>170</v>
      </c>
      <c r="K28" s="2" t="s">
        <v>85</v>
      </c>
      <c r="L28" s="2" t="s">
        <v>88</v>
      </c>
      <c r="M28" s="10">
        <v>45962</v>
      </c>
      <c r="N28" s="10">
        <v>46235</v>
      </c>
      <c r="O28" s="2" t="s">
        <v>110</v>
      </c>
      <c r="P28" s="4">
        <v>55.9</v>
      </c>
      <c r="Q28" s="2">
        <v>5.31</v>
      </c>
      <c r="R28" s="8">
        <v>9.5000000000000001E-2</v>
      </c>
      <c r="S28" s="2">
        <v>5.31</v>
      </c>
      <c r="T28" s="2" t="s">
        <v>176</v>
      </c>
    </row>
    <row r="29" spans="1:20" s="2" customFormat="1" x14ac:dyDescent="0.25">
      <c r="A29" s="2" t="s">
        <v>180</v>
      </c>
      <c r="B29" s="6">
        <v>16849453</v>
      </c>
      <c r="C29" s="12" t="s">
        <v>189</v>
      </c>
      <c r="D29" s="12" t="s">
        <v>192</v>
      </c>
      <c r="E29" s="12" t="s">
        <v>193</v>
      </c>
      <c r="F29" s="2" t="s">
        <v>47</v>
      </c>
      <c r="G29" s="2" t="str">
        <f t="shared" si="0"/>
        <v>H750110947OVR</v>
      </c>
      <c r="H29" s="2" t="s">
        <v>63</v>
      </c>
      <c r="I29" s="2" t="s">
        <v>78</v>
      </c>
      <c r="J29" s="2" t="str">
        <f>CONCATENATE(H29," ",I29)</f>
        <v>Gregory Rowland</v>
      </c>
      <c r="K29" s="2" t="s">
        <v>84</v>
      </c>
      <c r="L29" s="2" t="s">
        <v>90</v>
      </c>
      <c r="M29" s="10">
        <v>46204</v>
      </c>
      <c r="N29" s="10">
        <v>46235</v>
      </c>
      <c r="O29" s="2" t="s">
        <v>110</v>
      </c>
      <c r="P29" s="4">
        <v>-149.08000000000001</v>
      </c>
      <c r="Q29" s="2">
        <v>-6.86</v>
      </c>
      <c r="R29" s="8">
        <v>4.5999999999999999E-2</v>
      </c>
      <c r="S29" s="2">
        <v>-6.86</v>
      </c>
      <c r="T29" s="2" t="s">
        <v>176</v>
      </c>
    </row>
    <row r="30" spans="1:20" s="2" customFormat="1" x14ac:dyDescent="0.25">
      <c r="A30" s="2" t="s">
        <v>180</v>
      </c>
      <c r="B30" s="6">
        <v>16849453</v>
      </c>
      <c r="C30" s="12" t="str">
        <f t="shared" ref="C30:C32" si="2">CONCATENATE(B30,"OVR")</f>
        <v>16849453OVR</v>
      </c>
      <c r="D30" s="12" t="s">
        <v>192</v>
      </c>
      <c r="E30" s="12" t="s">
        <v>193</v>
      </c>
      <c r="F30" s="2" t="s">
        <v>48</v>
      </c>
      <c r="G30" s="2" t="str">
        <f t="shared" si="0"/>
        <v>H750111182OVR</v>
      </c>
      <c r="H30" s="2" t="s">
        <v>64</v>
      </c>
      <c r="I30" s="2" t="s">
        <v>79</v>
      </c>
      <c r="J30" s="2" t="s">
        <v>171</v>
      </c>
      <c r="K30" s="2" t="s">
        <v>84</v>
      </c>
      <c r="L30" s="2" t="s">
        <v>91</v>
      </c>
      <c r="M30" s="10">
        <v>46235</v>
      </c>
      <c r="N30" s="10">
        <v>46266</v>
      </c>
      <c r="O30" s="2" t="s">
        <v>110</v>
      </c>
      <c r="P30" s="4">
        <v>250.09</v>
      </c>
      <c r="Q30" s="2">
        <v>3.13</v>
      </c>
      <c r="R30" s="8">
        <v>1.2500000000000001E-2</v>
      </c>
      <c r="S30" s="2">
        <v>3.13</v>
      </c>
      <c r="T30" s="2" t="s">
        <v>176</v>
      </c>
    </row>
    <row r="31" spans="1:20" s="2" customFormat="1" x14ac:dyDescent="0.25">
      <c r="A31" s="2" t="s">
        <v>180</v>
      </c>
      <c r="B31" s="6">
        <v>16849453</v>
      </c>
      <c r="C31" s="12" t="str">
        <f t="shared" si="2"/>
        <v>16849453OVR</v>
      </c>
      <c r="D31" s="12" t="s">
        <v>192</v>
      </c>
      <c r="E31" s="12" t="s">
        <v>193</v>
      </c>
      <c r="F31" s="2" t="s">
        <v>49</v>
      </c>
      <c r="G31" s="2" t="str">
        <f t="shared" si="0"/>
        <v>H750111202OVR</v>
      </c>
      <c r="H31" s="2" t="s">
        <v>65</v>
      </c>
      <c r="I31" s="2" t="s">
        <v>80</v>
      </c>
      <c r="J31" s="2" t="s">
        <v>172</v>
      </c>
      <c r="K31" s="2" t="s">
        <v>84</v>
      </c>
      <c r="L31" s="2" t="s">
        <v>91</v>
      </c>
      <c r="M31" s="10">
        <v>46235</v>
      </c>
      <c r="N31" s="10">
        <v>46266</v>
      </c>
      <c r="O31" s="2" t="s">
        <v>110</v>
      </c>
      <c r="P31" s="4">
        <v>176.26</v>
      </c>
      <c r="Q31" s="2">
        <v>8.11</v>
      </c>
      <c r="R31" s="8">
        <v>4.5999999999999999E-2</v>
      </c>
      <c r="S31" s="2">
        <v>8.11</v>
      </c>
      <c r="T31" s="2" t="s">
        <v>176</v>
      </c>
    </row>
    <row r="32" spans="1:20" s="2" customFormat="1" x14ac:dyDescent="0.25">
      <c r="A32" s="2" t="s">
        <v>180</v>
      </c>
      <c r="B32" s="6">
        <v>16849453</v>
      </c>
      <c r="C32" s="12" t="str">
        <f t="shared" si="2"/>
        <v>16849453OVR</v>
      </c>
      <c r="D32" s="12" t="s">
        <v>192</v>
      </c>
      <c r="E32" s="12" t="s">
        <v>193</v>
      </c>
      <c r="F32" s="2" t="s">
        <v>50</v>
      </c>
      <c r="G32" s="2" t="str">
        <f t="shared" si="0"/>
        <v>H750111516OVR</v>
      </c>
      <c r="H32" s="2" t="s">
        <v>52</v>
      </c>
      <c r="I32" s="2" t="s">
        <v>81</v>
      </c>
      <c r="J32" s="2" t="s">
        <v>173</v>
      </c>
      <c r="K32" s="2" t="s">
        <v>84</v>
      </c>
      <c r="L32" s="2" t="s">
        <v>91</v>
      </c>
      <c r="M32" s="10">
        <v>46235</v>
      </c>
      <c r="N32" s="10">
        <v>46266</v>
      </c>
      <c r="O32" s="2" t="s">
        <v>110</v>
      </c>
      <c r="P32" s="4">
        <v>196.59</v>
      </c>
      <c r="Q32" s="2">
        <v>2.46</v>
      </c>
      <c r="R32" s="8">
        <v>1.2500000000000001E-2</v>
      </c>
      <c r="S32" s="2">
        <v>2.46</v>
      </c>
      <c r="T32" s="2" t="s">
        <v>176</v>
      </c>
    </row>
    <row r="36" spans="1:21" s="23" customFormat="1" x14ac:dyDescent="0.25">
      <c r="A36" s="23" t="s">
        <v>180</v>
      </c>
      <c r="B36" s="24">
        <v>16849453</v>
      </c>
      <c r="C36" s="25" t="s">
        <v>184</v>
      </c>
      <c r="D36" s="25"/>
      <c r="E36" s="25"/>
      <c r="F36" s="23" t="s">
        <v>47</v>
      </c>
      <c r="G36" s="23" t="s">
        <v>47</v>
      </c>
      <c r="H36" s="23" t="s">
        <v>63</v>
      </c>
      <c r="I36" s="23" t="s">
        <v>78</v>
      </c>
      <c r="J36" s="23" t="str">
        <f>CONCATENATE(H36," ",I36)</f>
        <v>Gregory Rowland</v>
      </c>
      <c r="K36" s="23" t="s">
        <v>84</v>
      </c>
      <c r="L36" s="23" t="s">
        <v>90</v>
      </c>
      <c r="M36" s="26">
        <v>46204</v>
      </c>
      <c r="N36" s="26" t="e">
        <v>#N/A</v>
      </c>
      <c r="O36" s="23" t="s">
        <v>110</v>
      </c>
      <c r="P36" s="27">
        <v>-149.08000000000001</v>
      </c>
      <c r="Q36" s="27">
        <v>-149.08000000000001</v>
      </c>
      <c r="R36" s="28">
        <v>0.21</v>
      </c>
      <c r="S36" s="23">
        <v>-31.31</v>
      </c>
      <c r="T36" s="23" t="s">
        <v>174</v>
      </c>
      <c r="U36" s="23" t="s">
        <v>191</v>
      </c>
    </row>
  </sheetData>
  <sortState xmlns:xlrd2="http://schemas.microsoft.com/office/spreadsheetml/2017/richdata2" ref="A2:Z16">
    <sortCondition ref="R2:R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"/>
  <sheetViews>
    <sheetView workbookViewId="0">
      <selection activeCell="A2" sqref="A2:XFD17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28</v>
      </c>
      <c r="C2" t="s">
        <v>35</v>
      </c>
      <c r="D2" t="s">
        <v>51</v>
      </c>
      <c r="E2" t="s">
        <v>66</v>
      </c>
      <c r="F2" t="s">
        <v>82</v>
      </c>
      <c r="G2" t="s">
        <v>84</v>
      </c>
      <c r="H2" t="s">
        <v>86</v>
      </c>
      <c r="I2" t="s">
        <v>92</v>
      </c>
      <c r="J2" t="s">
        <v>97</v>
      </c>
      <c r="K2" t="s">
        <v>102</v>
      </c>
      <c r="L2" t="s">
        <v>110</v>
      </c>
      <c r="M2" t="s">
        <v>111</v>
      </c>
      <c r="N2" t="s">
        <v>114</v>
      </c>
      <c r="O2" t="s">
        <v>121</v>
      </c>
      <c r="P2" t="s">
        <v>135</v>
      </c>
      <c r="Q2" t="s">
        <v>121</v>
      </c>
      <c r="R2" t="s">
        <v>136</v>
      </c>
      <c r="S2" t="s">
        <v>142</v>
      </c>
      <c r="T2">
        <v>5.09</v>
      </c>
    </row>
    <row r="3" spans="1:20" x14ac:dyDescent="0.25">
      <c r="A3" t="s">
        <v>22</v>
      </c>
      <c r="B3" t="s">
        <v>29</v>
      </c>
      <c r="C3" t="s">
        <v>36</v>
      </c>
      <c r="D3" t="s">
        <v>52</v>
      </c>
      <c r="E3" t="s">
        <v>67</v>
      </c>
      <c r="F3" t="s">
        <v>82</v>
      </c>
      <c r="G3" t="s">
        <v>84</v>
      </c>
      <c r="H3" t="s">
        <v>87</v>
      </c>
      <c r="I3" t="s">
        <v>93</v>
      </c>
      <c r="J3" t="s">
        <v>98</v>
      </c>
      <c r="K3" t="s">
        <v>103</v>
      </c>
      <c r="L3" t="s">
        <v>110</v>
      </c>
      <c r="M3" t="s">
        <v>112</v>
      </c>
      <c r="N3" t="s">
        <v>115</v>
      </c>
      <c r="O3" t="s">
        <v>122</v>
      </c>
      <c r="P3" t="s">
        <v>135</v>
      </c>
      <c r="Q3" t="s">
        <v>122</v>
      </c>
      <c r="R3" t="s">
        <v>136</v>
      </c>
      <c r="S3" t="s">
        <v>143</v>
      </c>
      <c r="T3">
        <v>4.03</v>
      </c>
    </row>
    <row r="4" spans="1:20" x14ac:dyDescent="0.25">
      <c r="A4" t="s">
        <v>22</v>
      </c>
      <c r="B4" t="s">
        <v>29</v>
      </c>
      <c r="C4" t="s">
        <v>37</v>
      </c>
      <c r="D4" t="s">
        <v>53</v>
      </c>
      <c r="E4" t="s">
        <v>68</v>
      </c>
      <c r="F4" t="s">
        <v>82</v>
      </c>
      <c r="G4" t="s">
        <v>84</v>
      </c>
      <c r="H4" t="s">
        <v>87</v>
      </c>
      <c r="I4" t="s">
        <v>94</v>
      </c>
      <c r="J4" t="s">
        <v>98</v>
      </c>
      <c r="K4" t="s">
        <v>103</v>
      </c>
      <c r="L4" t="s">
        <v>110</v>
      </c>
      <c r="M4" t="s">
        <v>111</v>
      </c>
      <c r="N4" t="s">
        <v>116</v>
      </c>
      <c r="O4" t="s">
        <v>122</v>
      </c>
      <c r="P4" t="s">
        <v>135</v>
      </c>
      <c r="Q4" t="s">
        <v>122</v>
      </c>
      <c r="R4" t="s">
        <v>136</v>
      </c>
      <c r="S4" t="s">
        <v>143</v>
      </c>
      <c r="T4">
        <v>4.03</v>
      </c>
    </row>
    <row r="5" spans="1:20" x14ac:dyDescent="0.25">
      <c r="A5" t="s">
        <v>22</v>
      </c>
      <c r="B5" t="s">
        <v>29</v>
      </c>
      <c r="C5" t="s">
        <v>38</v>
      </c>
      <c r="D5" t="s">
        <v>54</v>
      </c>
      <c r="E5" t="s">
        <v>69</v>
      </c>
      <c r="F5" t="s">
        <v>82</v>
      </c>
      <c r="G5" t="s">
        <v>84</v>
      </c>
      <c r="H5" t="s">
        <v>87</v>
      </c>
      <c r="I5" t="s">
        <v>92</v>
      </c>
      <c r="J5" t="s">
        <v>98</v>
      </c>
      <c r="K5" t="s">
        <v>103</v>
      </c>
      <c r="L5" t="s">
        <v>110</v>
      </c>
      <c r="M5" t="s">
        <v>111</v>
      </c>
      <c r="N5" t="s">
        <v>115</v>
      </c>
      <c r="O5" t="s">
        <v>122</v>
      </c>
      <c r="P5" t="s">
        <v>135</v>
      </c>
      <c r="Q5" t="s">
        <v>122</v>
      </c>
      <c r="R5" t="s">
        <v>136</v>
      </c>
      <c r="S5" t="s">
        <v>143</v>
      </c>
      <c r="T5">
        <v>4.03</v>
      </c>
    </row>
    <row r="6" spans="1:20" x14ac:dyDescent="0.25">
      <c r="A6" t="s">
        <v>22</v>
      </c>
      <c r="B6" t="s">
        <v>29</v>
      </c>
      <c r="C6" t="s">
        <v>39</v>
      </c>
      <c r="D6" t="s">
        <v>55</v>
      </c>
      <c r="E6" t="s">
        <v>70</v>
      </c>
      <c r="F6" t="s">
        <v>82</v>
      </c>
      <c r="G6" t="s">
        <v>84</v>
      </c>
      <c r="H6" t="s">
        <v>87</v>
      </c>
      <c r="I6" t="s">
        <v>92</v>
      </c>
      <c r="J6" t="s">
        <v>97</v>
      </c>
      <c r="K6" t="s">
        <v>103</v>
      </c>
      <c r="L6" t="s">
        <v>110</v>
      </c>
      <c r="M6" t="s">
        <v>111</v>
      </c>
      <c r="N6" t="s">
        <v>117</v>
      </c>
      <c r="O6" t="s">
        <v>123</v>
      </c>
      <c r="P6" t="s">
        <v>135</v>
      </c>
      <c r="Q6" t="s">
        <v>123</v>
      </c>
      <c r="R6" t="s">
        <v>136</v>
      </c>
      <c r="S6" t="s">
        <v>142</v>
      </c>
      <c r="T6">
        <v>5.98</v>
      </c>
    </row>
    <row r="7" spans="1:20" x14ac:dyDescent="0.25">
      <c r="A7" t="s">
        <v>22</v>
      </c>
      <c r="B7" t="s">
        <v>29</v>
      </c>
      <c r="C7" t="s">
        <v>40</v>
      </c>
      <c r="D7" t="s">
        <v>56</v>
      </c>
      <c r="E7" t="s">
        <v>71</v>
      </c>
      <c r="F7" t="s">
        <v>82</v>
      </c>
      <c r="G7" t="s">
        <v>84</v>
      </c>
      <c r="H7" t="s">
        <v>87</v>
      </c>
      <c r="I7" t="s">
        <v>92</v>
      </c>
      <c r="J7" t="s">
        <v>98</v>
      </c>
      <c r="K7" t="s">
        <v>103</v>
      </c>
      <c r="L7" t="s">
        <v>110</v>
      </c>
      <c r="M7" t="s">
        <v>111</v>
      </c>
      <c r="N7" t="s">
        <v>118</v>
      </c>
      <c r="O7" t="s">
        <v>124</v>
      </c>
      <c r="P7" t="s">
        <v>135</v>
      </c>
      <c r="Q7" t="s">
        <v>124</v>
      </c>
      <c r="R7" t="s">
        <v>136</v>
      </c>
      <c r="S7" t="s">
        <v>143</v>
      </c>
      <c r="T7">
        <v>3.83</v>
      </c>
    </row>
    <row r="8" spans="1:20" x14ac:dyDescent="0.25">
      <c r="A8" t="s">
        <v>23</v>
      </c>
      <c r="B8" t="s">
        <v>30</v>
      </c>
      <c r="C8" t="s">
        <v>41</v>
      </c>
      <c r="D8" t="s">
        <v>57</v>
      </c>
      <c r="E8" t="s">
        <v>72</v>
      </c>
      <c r="F8" t="s">
        <v>83</v>
      </c>
      <c r="G8" t="s">
        <v>85</v>
      </c>
      <c r="H8" t="s">
        <v>88</v>
      </c>
      <c r="I8" t="s">
        <v>95</v>
      </c>
      <c r="J8" t="s">
        <v>99</v>
      </c>
      <c r="K8" t="s">
        <v>104</v>
      </c>
      <c r="L8" t="s">
        <v>110</v>
      </c>
      <c r="M8" t="s">
        <v>111</v>
      </c>
      <c r="N8" t="s">
        <v>114</v>
      </c>
      <c r="O8" t="s">
        <v>125</v>
      </c>
      <c r="P8" t="s">
        <v>135</v>
      </c>
      <c r="Q8" t="s">
        <v>125</v>
      </c>
      <c r="R8" t="s">
        <v>136</v>
      </c>
      <c r="S8" t="s">
        <v>144</v>
      </c>
      <c r="T8">
        <v>16.579999999999998</v>
      </c>
    </row>
    <row r="9" spans="1:20" x14ac:dyDescent="0.25">
      <c r="A9" t="s">
        <v>23</v>
      </c>
      <c r="B9" t="s">
        <v>30</v>
      </c>
      <c r="C9" t="s">
        <v>42</v>
      </c>
      <c r="D9" t="s">
        <v>58</v>
      </c>
      <c r="E9" t="s">
        <v>73</v>
      </c>
      <c r="F9" t="s">
        <v>83</v>
      </c>
      <c r="G9" t="s">
        <v>85</v>
      </c>
      <c r="H9" t="s">
        <v>88</v>
      </c>
      <c r="I9" t="s">
        <v>95</v>
      </c>
      <c r="J9" t="s">
        <v>97</v>
      </c>
      <c r="K9" t="s">
        <v>105</v>
      </c>
      <c r="L9" t="s">
        <v>110</v>
      </c>
      <c r="M9" t="s">
        <v>111</v>
      </c>
      <c r="N9" t="s">
        <v>114</v>
      </c>
      <c r="O9" t="s">
        <v>126</v>
      </c>
      <c r="P9" t="s">
        <v>135</v>
      </c>
      <c r="Q9" t="s">
        <v>126</v>
      </c>
      <c r="R9" t="s">
        <v>136</v>
      </c>
      <c r="S9" t="s">
        <v>144</v>
      </c>
      <c r="T9">
        <v>8.5</v>
      </c>
    </row>
    <row r="10" spans="1:20" x14ac:dyDescent="0.25">
      <c r="A10" t="s">
        <v>23</v>
      </c>
      <c r="B10" t="s">
        <v>30</v>
      </c>
      <c r="C10" t="s">
        <v>43</v>
      </c>
      <c r="D10" t="s">
        <v>59</v>
      </c>
      <c r="E10" t="s">
        <v>74</v>
      </c>
      <c r="F10" t="s">
        <v>83</v>
      </c>
      <c r="G10" t="s">
        <v>85</v>
      </c>
      <c r="H10" t="s">
        <v>88</v>
      </c>
      <c r="I10" t="s">
        <v>92</v>
      </c>
      <c r="J10" t="s">
        <v>100</v>
      </c>
      <c r="K10" t="s">
        <v>106</v>
      </c>
      <c r="L10" t="s">
        <v>110</v>
      </c>
      <c r="M10" t="s">
        <v>111</v>
      </c>
      <c r="N10" t="s">
        <v>118</v>
      </c>
      <c r="O10" t="s">
        <v>127</v>
      </c>
      <c r="P10" t="s">
        <v>135</v>
      </c>
      <c r="Q10" t="s">
        <v>127</v>
      </c>
      <c r="R10" t="s">
        <v>136</v>
      </c>
      <c r="S10" t="s">
        <v>145</v>
      </c>
      <c r="T10">
        <v>12.13</v>
      </c>
    </row>
    <row r="11" spans="1:20" x14ac:dyDescent="0.25">
      <c r="A11" t="s">
        <v>24</v>
      </c>
      <c r="B11" t="s">
        <v>31</v>
      </c>
      <c r="C11" t="s">
        <v>44</v>
      </c>
      <c r="D11" t="s">
        <v>60</v>
      </c>
      <c r="E11" t="s">
        <v>75</v>
      </c>
      <c r="F11" t="s">
        <v>83</v>
      </c>
      <c r="G11" t="s">
        <v>85</v>
      </c>
      <c r="H11" t="s">
        <v>89</v>
      </c>
      <c r="I11" t="s">
        <v>93</v>
      </c>
      <c r="J11" t="s">
        <v>101</v>
      </c>
      <c r="K11" t="s">
        <v>107</v>
      </c>
      <c r="L11" t="s">
        <v>110</v>
      </c>
      <c r="M11" t="s">
        <v>113</v>
      </c>
      <c r="N11" t="s">
        <v>119</v>
      </c>
      <c r="O11" t="s">
        <v>128</v>
      </c>
      <c r="P11" t="s">
        <v>135</v>
      </c>
      <c r="Q11" t="s">
        <v>128</v>
      </c>
      <c r="R11" t="s">
        <v>136</v>
      </c>
      <c r="S11" t="s">
        <v>145</v>
      </c>
      <c r="T11">
        <v>-4.53</v>
      </c>
    </row>
    <row r="12" spans="1:20" x14ac:dyDescent="0.25">
      <c r="A12" t="s">
        <v>25</v>
      </c>
      <c r="B12" t="s">
        <v>32</v>
      </c>
      <c r="C12" t="s">
        <v>45</v>
      </c>
      <c r="D12" t="s">
        <v>61</v>
      </c>
      <c r="E12" t="s">
        <v>76</v>
      </c>
      <c r="F12" t="s">
        <v>83</v>
      </c>
      <c r="G12" t="s">
        <v>85</v>
      </c>
      <c r="H12" t="s">
        <v>88</v>
      </c>
      <c r="I12" t="s">
        <v>92</v>
      </c>
      <c r="J12" t="s">
        <v>97</v>
      </c>
      <c r="K12" t="s">
        <v>103</v>
      </c>
      <c r="L12" t="s">
        <v>110</v>
      </c>
      <c r="M12" t="s">
        <v>111</v>
      </c>
      <c r="N12" t="s">
        <v>114</v>
      </c>
      <c r="O12" t="s">
        <v>129</v>
      </c>
      <c r="P12" t="s">
        <v>135</v>
      </c>
      <c r="Q12" t="s">
        <v>129</v>
      </c>
      <c r="R12" t="s">
        <v>136</v>
      </c>
      <c r="S12" t="s">
        <v>144</v>
      </c>
      <c r="T12">
        <v>10.53</v>
      </c>
    </row>
    <row r="13" spans="1:20" x14ac:dyDescent="0.25">
      <c r="A13" t="s">
        <v>26</v>
      </c>
      <c r="B13" t="s">
        <v>33</v>
      </c>
      <c r="C13" t="s">
        <v>46</v>
      </c>
      <c r="D13" t="s">
        <v>62</v>
      </c>
      <c r="E13" t="s">
        <v>77</v>
      </c>
      <c r="F13" t="s">
        <v>83</v>
      </c>
      <c r="G13" t="s">
        <v>85</v>
      </c>
      <c r="H13" t="s">
        <v>88</v>
      </c>
      <c r="I13" t="s">
        <v>96</v>
      </c>
      <c r="J13" t="s">
        <v>98</v>
      </c>
      <c r="K13" t="s">
        <v>108</v>
      </c>
      <c r="L13" t="s">
        <v>110</v>
      </c>
      <c r="M13" t="s">
        <v>112</v>
      </c>
      <c r="N13" t="s">
        <v>120</v>
      </c>
      <c r="O13" t="s">
        <v>130</v>
      </c>
      <c r="P13" t="s">
        <v>135</v>
      </c>
      <c r="Q13" t="s">
        <v>130</v>
      </c>
      <c r="R13" t="s">
        <v>136</v>
      </c>
      <c r="S13" t="s">
        <v>145</v>
      </c>
      <c r="T13">
        <v>5.31</v>
      </c>
    </row>
    <row r="14" spans="1:20" x14ac:dyDescent="0.25">
      <c r="A14" t="s">
        <v>27</v>
      </c>
      <c r="B14" t="s">
        <v>34</v>
      </c>
      <c r="C14" t="s">
        <v>47</v>
      </c>
      <c r="D14" t="s">
        <v>63</v>
      </c>
      <c r="E14" t="s">
        <v>78</v>
      </c>
      <c r="F14" t="s">
        <v>82</v>
      </c>
      <c r="G14" t="s">
        <v>84</v>
      </c>
      <c r="H14" t="s">
        <v>90</v>
      </c>
      <c r="I14" t="s">
        <v>93</v>
      </c>
      <c r="J14" t="s">
        <v>101</v>
      </c>
      <c r="K14" t="s">
        <v>102</v>
      </c>
      <c r="L14" t="s">
        <v>110</v>
      </c>
      <c r="M14" t="s">
        <v>113</v>
      </c>
      <c r="N14" t="s">
        <v>114</v>
      </c>
      <c r="O14" t="s">
        <v>131</v>
      </c>
      <c r="P14" t="s">
        <v>135</v>
      </c>
      <c r="Q14" t="s">
        <v>131</v>
      </c>
      <c r="R14" t="s">
        <v>136</v>
      </c>
      <c r="S14" t="s">
        <v>142</v>
      </c>
      <c r="T14">
        <v>-6.86</v>
      </c>
    </row>
    <row r="15" spans="1:20" x14ac:dyDescent="0.25">
      <c r="A15" t="s">
        <v>27</v>
      </c>
      <c r="B15" t="s">
        <v>34</v>
      </c>
      <c r="C15" t="s">
        <v>48</v>
      </c>
      <c r="D15" t="s">
        <v>64</v>
      </c>
      <c r="E15" t="s">
        <v>79</v>
      </c>
      <c r="F15" t="s">
        <v>82</v>
      </c>
      <c r="G15" t="s">
        <v>84</v>
      </c>
      <c r="H15" t="s">
        <v>91</v>
      </c>
      <c r="I15" t="s">
        <v>94</v>
      </c>
      <c r="J15" t="s">
        <v>97</v>
      </c>
      <c r="K15" t="s">
        <v>109</v>
      </c>
      <c r="L15" t="s">
        <v>110</v>
      </c>
      <c r="M15" t="s">
        <v>112</v>
      </c>
      <c r="N15" t="s">
        <v>114</v>
      </c>
      <c r="O15" t="s">
        <v>132</v>
      </c>
      <c r="P15" t="s">
        <v>135</v>
      </c>
      <c r="Q15" t="s">
        <v>132</v>
      </c>
      <c r="R15" t="s">
        <v>136</v>
      </c>
      <c r="S15" t="s">
        <v>146</v>
      </c>
      <c r="T15">
        <v>3.13</v>
      </c>
    </row>
    <row r="16" spans="1:20" x14ac:dyDescent="0.25">
      <c r="A16" t="s">
        <v>27</v>
      </c>
      <c r="B16" t="s">
        <v>34</v>
      </c>
      <c r="C16" t="s">
        <v>49</v>
      </c>
      <c r="D16" t="s">
        <v>65</v>
      </c>
      <c r="E16" t="s">
        <v>80</v>
      </c>
      <c r="F16" t="s">
        <v>82</v>
      </c>
      <c r="G16" t="s">
        <v>84</v>
      </c>
      <c r="H16" t="s">
        <v>91</v>
      </c>
      <c r="I16" t="s">
        <v>94</v>
      </c>
      <c r="J16" t="s">
        <v>97</v>
      </c>
      <c r="K16" t="s">
        <v>103</v>
      </c>
      <c r="L16" t="s">
        <v>110</v>
      </c>
      <c r="M16" t="s">
        <v>111</v>
      </c>
      <c r="N16" t="s">
        <v>114</v>
      </c>
      <c r="O16" t="s">
        <v>133</v>
      </c>
      <c r="P16" t="s">
        <v>135</v>
      </c>
      <c r="Q16" t="s">
        <v>133</v>
      </c>
      <c r="R16" t="s">
        <v>136</v>
      </c>
      <c r="S16" t="s">
        <v>142</v>
      </c>
      <c r="T16">
        <v>8.11</v>
      </c>
    </row>
    <row r="17" spans="1:20" x14ac:dyDescent="0.25">
      <c r="A17" t="s">
        <v>27</v>
      </c>
      <c r="B17" t="s">
        <v>34</v>
      </c>
      <c r="C17" t="s">
        <v>50</v>
      </c>
      <c r="D17" t="s">
        <v>52</v>
      </c>
      <c r="E17" t="s">
        <v>81</v>
      </c>
      <c r="F17" t="s">
        <v>82</v>
      </c>
      <c r="G17" t="s">
        <v>84</v>
      </c>
      <c r="H17" t="s">
        <v>91</v>
      </c>
      <c r="I17" t="s">
        <v>96</v>
      </c>
      <c r="J17" t="s">
        <v>97</v>
      </c>
      <c r="K17" t="s">
        <v>108</v>
      </c>
      <c r="L17" t="s">
        <v>110</v>
      </c>
      <c r="M17" t="s">
        <v>112</v>
      </c>
      <c r="N17" t="s">
        <v>114</v>
      </c>
      <c r="O17" t="s">
        <v>134</v>
      </c>
      <c r="P17" t="s">
        <v>135</v>
      </c>
      <c r="Q17" t="s">
        <v>134</v>
      </c>
      <c r="R17" t="s">
        <v>136</v>
      </c>
      <c r="S17" t="s">
        <v>146</v>
      </c>
      <c r="T17">
        <v>2.46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147</v>
      </c>
    </row>
    <row r="2" spans="1:9" x14ac:dyDescent="0.25">
      <c r="A2" t="s">
        <v>47</v>
      </c>
      <c r="B2" t="s">
        <v>63</v>
      </c>
      <c r="C2" t="s">
        <v>78</v>
      </c>
      <c r="D2" t="s">
        <v>82</v>
      </c>
      <c r="E2" t="s">
        <v>84</v>
      </c>
      <c r="F2" t="s">
        <v>90</v>
      </c>
      <c r="G2" t="s">
        <v>93</v>
      </c>
      <c r="H2" t="s">
        <v>148</v>
      </c>
      <c r="I2">
        <v>31.31</v>
      </c>
    </row>
    <row r="3" spans="1:9" x14ac:dyDescent="0.25">
      <c r="A3" t="s">
        <v>36</v>
      </c>
      <c r="B3" t="s">
        <v>52</v>
      </c>
      <c r="C3" t="s">
        <v>67</v>
      </c>
      <c r="D3" t="s">
        <v>82</v>
      </c>
      <c r="E3" t="s">
        <v>84</v>
      </c>
      <c r="F3" t="s">
        <v>87</v>
      </c>
      <c r="G3" t="s">
        <v>93</v>
      </c>
      <c r="H3" t="s">
        <v>148</v>
      </c>
      <c r="I3">
        <v>-30.19</v>
      </c>
    </row>
    <row r="4" spans="1:9" x14ac:dyDescent="0.25">
      <c r="A4" t="s">
        <v>47</v>
      </c>
      <c r="B4" t="s">
        <v>63</v>
      </c>
      <c r="C4" t="s">
        <v>78</v>
      </c>
      <c r="G4" t="s">
        <v>94</v>
      </c>
      <c r="H4" t="s">
        <v>149</v>
      </c>
      <c r="I4">
        <v>-375.72</v>
      </c>
    </row>
    <row r="5" spans="1:9" x14ac:dyDescent="0.25">
      <c r="A5" t="s">
        <v>48</v>
      </c>
      <c r="B5" t="s">
        <v>64</v>
      </c>
      <c r="C5" t="s">
        <v>79</v>
      </c>
      <c r="D5" t="s">
        <v>82</v>
      </c>
      <c r="E5" t="s">
        <v>84</v>
      </c>
      <c r="F5" t="s">
        <v>91</v>
      </c>
      <c r="G5" t="s">
        <v>94</v>
      </c>
      <c r="H5" t="s">
        <v>148</v>
      </c>
      <c r="I5">
        <v>-58.02</v>
      </c>
    </row>
    <row r="6" spans="1:9" x14ac:dyDescent="0.25">
      <c r="A6" t="s">
        <v>49</v>
      </c>
      <c r="B6" t="s">
        <v>65</v>
      </c>
      <c r="C6" t="s">
        <v>80</v>
      </c>
      <c r="D6" t="s">
        <v>82</v>
      </c>
      <c r="E6" t="s">
        <v>84</v>
      </c>
      <c r="F6" t="s">
        <v>91</v>
      </c>
      <c r="G6" t="s">
        <v>94</v>
      </c>
      <c r="H6" t="s">
        <v>148</v>
      </c>
      <c r="I6">
        <v>-40.89</v>
      </c>
    </row>
    <row r="7" spans="1:9" x14ac:dyDescent="0.25">
      <c r="A7" t="s">
        <v>37</v>
      </c>
      <c r="B7" t="s">
        <v>53</v>
      </c>
      <c r="C7" t="s">
        <v>68</v>
      </c>
      <c r="D7" t="s">
        <v>82</v>
      </c>
      <c r="E7" t="s">
        <v>84</v>
      </c>
      <c r="F7" t="s">
        <v>87</v>
      </c>
      <c r="G7" t="s">
        <v>94</v>
      </c>
      <c r="H7" t="s">
        <v>148</v>
      </c>
      <c r="I7">
        <v>-30.19</v>
      </c>
    </row>
    <row r="8" spans="1:9" x14ac:dyDescent="0.25">
      <c r="A8" t="s">
        <v>50</v>
      </c>
      <c r="B8" t="s">
        <v>52</v>
      </c>
      <c r="C8" t="s">
        <v>81</v>
      </c>
      <c r="D8" t="s">
        <v>82</v>
      </c>
      <c r="E8" t="s">
        <v>84</v>
      </c>
      <c r="F8" t="s">
        <v>91</v>
      </c>
      <c r="G8" t="s">
        <v>96</v>
      </c>
      <c r="H8" t="s">
        <v>148</v>
      </c>
      <c r="I8">
        <v>-45.61</v>
      </c>
    </row>
    <row r="9" spans="1:9" x14ac:dyDescent="0.25">
      <c r="A9" t="s">
        <v>46</v>
      </c>
      <c r="B9" t="s">
        <v>62</v>
      </c>
      <c r="C9" t="s">
        <v>77</v>
      </c>
      <c r="D9" t="s">
        <v>83</v>
      </c>
      <c r="E9" t="s">
        <v>85</v>
      </c>
      <c r="F9" t="s">
        <v>88</v>
      </c>
      <c r="G9" t="s">
        <v>96</v>
      </c>
      <c r="H9" t="s">
        <v>148</v>
      </c>
      <c r="I9">
        <v>-13.98</v>
      </c>
    </row>
    <row r="10" spans="1:9" x14ac:dyDescent="0.25">
      <c r="A10" t="s">
        <v>41</v>
      </c>
      <c r="B10" t="s">
        <v>57</v>
      </c>
      <c r="C10" t="s">
        <v>72</v>
      </c>
      <c r="D10" t="s">
        <v>83</v>
      </c>
      <c r="E10" t="s">
        <v>85</v>
      </c>
      <c r="F10" t="s">
        <v>88</v>
      </c>
      <c r="G10" t="s">
        <v>95</v>
      </c>
      <c r="H10" t="s">
        <v>148</v>
      </c>
      <c r="I10">
        <v>-36.049999999999997</v>
      </c>
    </row>
    <row r="11" spans="1:9" x14ac:dyDescent="0.25">
      <c r="A11" t="s">
        <v>42</v>
      </c>
      <c r="B11" t="s">
        <v>58</v>
      </c>
      <c r="C11" t="s">
        <v>73</v>
      </c>
      <c r="D11" t="s">
        <v>83</v>
      </c>
      <c r="E11" t="s">
        <v>85</v>
      </c>
      <c r="F11" t="s">
        <v>88</v>
      </c>
      <c r="G11" t="s">
        <v>95</v>
      </c>
      <c r="H11" t="s">
        <v>148</v>
      </c>
      <c r="I11">
        <v>-18.48</v>
      </c>
    </row>
    <row r="12" spans="1:9" x14ac:dyDescent="0.25">
      <c r="A12" t="s">
        <v>38</v>
      </c>
      <c r="B12" t="s">
        <v>54</v>
      </c>
      <c r="C12" t="s">
        <v>69</v>
      </c>
      <c r="D12" t="s">
        <v>82</v>
      </c>
      <c r="E12" t="s">
        <v>84</v>
      </c>
      <c r="F12" t="s">
        <v>87</v>
      </c>
      <c r="G12" t="s">
        <v>92</v>
      </c>
      <c r="H12" t="s">
        <v>148</v>
      </c>
      <c r="I12">
        <v>-30.19</v>
      </c>
    </row>
    <row r="13" spans="1:9" x14ac:dyDescent="0.25">
      <c r="A13" t="s">
        <v>39</v>
      </c>
      <c r="B13" t="s">
        <v>55</v>
      </c>
      <c r="C13" t="s">
        <v>70</v>
      </c>
      <c r="D13" t="s">
        <v>82</v>
      </c>
      <c r="E13" t="s">
        <v>84</v>
      </c>
      <c r="F13" t="s">
        <v>87</v>
      </c>
      <c r="G13" t="s">
        <v>92</v>
      </c>
      <c r="H13" t="s">
        <v>148</v>
      </c>
      <c r="I13">
        <v>-27.32</v>
      </c>
    </row>
    <row r="14" spans="1:9" x14ac:dyDescent="0.25">
      <c r="A14" t="s">
        <v>43</v>
      </c>
      <c r="B14" t="s">
        <v>59</v>
      </c>
      <c r="C14" t="s">
        <v>74</v>
      </c>
      <c r="D14" t="s">
        <v>83</v>
      </c>
      <c r="E14" t="s">
        <v>85</v>
      </c>
      <c r="F14" t="s">
        <v>88</v>
      </c>
      <c r="G14" t="s">
        <v>92</v>
      </c>
      <c r="H14" t="s">
        <v>148</v>
      </c>
      <c r="I14">
        <v>-31.91</v>
      </c>
    </row>
    <row r="15" spans="1:9" x14ac:dyDescent="0.25">
      <c r="A15" t="s">
        <v>40</v>
      </c>
      <c r="B15" t="s">
        <v>56</v>
      </c>
      <c r="C15" t="s">
        <v>71</v>
      </c>
      <c r="D15" t="s">
        <v>82</v>
      </c>
      <c r="E15" t="s">
        <v>84</v>
      </c>
      <c r="F15" t="s">
        <v>87</v>
      </c>
      <c r="G15" t="s">
        <v>92</v>
      </c>
      <c r="H15" t="s">
        <v>148</v>
      </c>
      <c r="I15">
        <v>-28.76</v>
      </c>
    </row>
    <row r="16" spans="1:9" x14ac:dyDescent="0.25">
      <c r="A16" t="s">
        <v>35</v>
      </c>
      <c r="B16" t="s">
        <v>51</v>
      </c>
      <c r="C16" t="s">
        <v>66</v>
      </c>
      <c r="D16" t="s">
        <v>82</v>
      </c>
      <c r="E16" t="s">
        <v>84</v>
      </c>
      <c r="F16" t="s">
        <v>86</v>
      </c>
      <c r="G16" t="s">
        <v>92</v>
      </c>
      <c r="H16" t="s">
        <v>148</v>
      </c>
      <c r="I16">
        <v>-23.25</v>
      </c>
    </row>
    <row r="17" spans="1:9" x14ac:dyDescent="0.25">
      <c r="A17" t="s">
        <v>45</v>
      </c>
      <c r="B17" t="s">
        <v>61</v>
      </c>
      <c r="C17" t="s">
        <v>76</v>
      </c>
      <c r="D17" t="s">
        <v>83</v>
      </c>
      <c r="E17" t="s">
        <v>85</v>
      </c>
      <c r="F17" t="s">
        <v>88</v>
      </c>
      <c r="G17" t="s">
        <v>92</v>
      </c>
      <c r="H17" t="s">
        <v>148</v>
      </c>
      <c r="I17">
        <v>-22.89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150</v>
      </c>
      <c r="L1" s="1" t="s">
        <v>17</v>
      </c>
      <c r="M1" s="1" t="s">
        <v>18</v>
      </c>
      <c r="N1" s="1" t="s">
        <v>151</v>
      </c>
      <c r="O1" s="1" t="s">
        <v>152</v>
      </c>
      <c r="P1" s="1" t="s">
        <v>153</v>
      </c>
    </row>
    <row r="2" spans="1:16" x14ac:dyDescent="0.25">
      <c r="A2" t="s">
        <v>21</v>
      </c>
      <c r="B2" t="s">
        <v>28</v>
      </c>
      <c r="C2" t="s">
        <v>35</v>
      </c>
      <c r="D2" t="s">
        <v>51</v>
      </c>
      <c r="E2" t="s">
        <v>66</v>
      </c>
      <c r="F2" t="s">
        <v>82</v>
      </c>
      <c r="G2" t="s">
        <v>84</v>
      </c>
      <c r="H2" t="s">
        <v>86</v>
      </c>
      <c r="I2" t="s">
        <v>92</v>
      </c>
      <c r="J2" t="s">
        <v>154</v>
      </c>
      <c r="K2" t="s">
        <v>121</v>
      </c>
      <c r="L2" t="s">
        <v>136</v>
      </c>
      <c r="M2" t="s">
        <v>137</v>
      </c>
      <c r="N2" t="s">
        <v>119</v>
      </c>
      <c r="O2">
        <v>279</v>
      </c>
      <c r="P2" t="s">
        <v>155</v>
      </c>
    </row>
    <row r="3" spans="1:16" x14ac:dyDescent="0.25">
      <c r="A3" t="s">
        <v>23</v>
      </c>
      <c r="B3" t="s">
        <v>30</v>
      </c>
      <c r="C3" t="s">
        <v>41</v>
      </c>
      <c r="D3" t="s">
        <v>57</v>
      </c>
      <c r="E3" t="s">
        <v>72</v>
      </c>
      <c r="F3" t="s">
        <v>83</v>
      </c>
      <c r="G3" t="s">
        <v>85</v>
      </c>
      <c r="H3" t="s">
        <v>88</v>
      </c>
      <c r="I3" t="s">
        <v>95</v>
      </c>
      <c r="J3" t="s">
        <v>154</v>
      </c>
      <c r="K3" t="s">
        <v>125</v>
      </c>
      <c r="L3" t="s">
        <v>136</v>
      </c>
      <c r="M3" t="s">
        <v>138</v>
      </c>
      <c r="N3" t="s">
        <v>120</v>
      </c>
      <c r="O3">
        <v>324.45</v>
      </c>
      <c r="P3" t="s">
        <v>155</v>
      </c>
    </row>
    <row r="4" spans="1:16" x14ac:dyDescent="0.25">
      <c r="A4" t="s">
        <v>23</v>
      </c>
      <c r="B4" t="s">
        <v>30</v>
      </c>
      <c r="C4" t="s">
        <v>42</v>
      </c>
      <c r="D4" t="s">
        <v>58</v>
      </c>
      <c r="E4" t="s">
        <v>73</v>
      </c>
      <c r="F4" t="s">
        <v>83</v>
      </c>
      <c r="G4" t="s">
        <v>85</v>
      </c>
      <c r="H4" t="s">
        <v>88</v>
      </c>
      <c r="I4" t="s">
        <v>95</v>
      </c>
      <c r="J4" t="s">
        <v>154</v>
      </c>
      <c r="K4" t="s">
        <v>126</v>
      </c>
      <c r="L4" t="s">
        <v>136</v>
      </c>
      <c r="M4" t="s">
        <v>138</v>
      </c>
      <c r="N4" t="s">
        <v>120</v>
      </c>
      <c r="O4">
        <v>166.32</v>
      </c>
      <c r="P4" t="s">
        <v>155</v>
      </c>
    </row>
    <row r="5" spans="1:16" x14ac:dyDescent="0.25">
      <c r="A5" t="s">
        <v>25</v>
      </c>
      <c r="B5" t="s">
        <v>32</v>
      </c>
      <c r="C5" t="s">
        <v>45</v>
      </c>
      <c r="D5" t="s">
        <v>61</v>
      </c>
      <c r="E5" t="s">
        <v>76</v>
      </c>
      <c r="F5" t="s">
        <v>83</v>
      </c>
      <c r="G5" t="s">
        <v>85</v>
      </c>
      <c r="H5" t="s">
        <v>88</v>
      </c>
      <c r="I5" t="s">
        <v>92</v>
      </c>
      <c r="J5" t="s">
        <v>154</v>
      </c>
      <c r="K5" t="s">
        <v>129</v>
      </c>
      <c r="L5" t="s">
        <v>136</v>
      </c>
      <c r="M5" t="s">
        <v>138</v>
      </c>
      <c r="N5" t="s">
        <v>120</v>
      </c>
      <c r="O5">
        <v>206.01</v>
      </c>
      <c r="P5" t="s">
        <v>155</v>
      </c>
    </row>
    <row r="6" spans="1:16" x14ac:dyDescent="0.25">
      <c r="A6" t="s">
        <v>27</v>
      </c>
      <c r="B6" t="s">
        <v>34</v>
      </c>
      <c r="C6" t="s">
        <v>48</v>
      </c>
      <c r="D6" t="s">
        <v>64</v>
      </c>
      <c r="E6" t="s">
        <v>79</v>
      </c>
      <c r="F6" t="s">
        <v>82</v>
      </c>
      <c r="G6" t="s">
        <v>84</v>
      </c>
      <c r="H6" t="s">
        <v>91</v>
      </c>
      <c r="I6" t="s">
        <v>94</v>
      </c>
      <c r="J6" t="s">
        <v>154</v>
      </c>
      <c r="K6" t="s">
        <v>132</v>
      </c>
      <c r="L6" t="s">
        <v>136</v>
      </c>
      <c r="M6" t="s">
        <v>139</v>
      </c>
      <c r="N6" t="s">
        <v>119</v>
      </c>
      <c r="O6">
        <v>696.24</v>
      </c>
      <c r="P6" t="s">
        <v>155</v>
      </c>
    </row>
    <row r="7" spans="1:16" x14ac:dyDescent="0.25">
      <c r="A7" t="s">
        <v>27</v>
      </c>
      <c r="B7" t="s">
        <v>34</v>
      </c>
      <c r="C7" t="s">
        <v>49</v>
      </c>
      <c r="D7" t="s">
        <v>65</v>
      </c>
      <c r="E7" t="s">
        <v>80</v>
      </c>
      <c r="F7" t="s">
        <v>82</v>
      </c>
      <c r="G7" t="s">
        <v>84</v>
      </c>
      <c r="H7" t="s">
        <v>91</v>
      </c>
      <c r="I7" t="s">
        <v>94</v>
      </c>
      <c r="J7" t="s">
        <v>154</v>
      </c>
      <c r="K7" t="s">
        <v>133</v>
      </c>
      <c r="L7" t="s">
        <v>136</v>
      </c>
      <c r="M7" t="s">
        <v>139</v>
      </c>
      <c r="N7" t="s">
        <v>119</v>
      </c>
      <c r="O7">
        <v>490.68</v>
      </c>
      <c r="P7" t="s">
        <v>155</v>
      </c>
    </row>
    <row r="8" spans="1:16" x14ac:dyDescent="0.25">
      <c r="A8" t="s">
        <v>27</v>
      </c>
      <c r="B8" t="s">
        <v>34</v>
      </c>
      <c r="C8" t="s">
        <v>50</v>
      </c>
      <c r="D8" t="s">
        <v>52</v>
      </c>
      <c r="E8" t="s">
        <v>81</v>
      </c>
      <c r="F8" t="s">
        <v>82</v>
      </c>
      <c r="G8" t="s">
        <v>84</v>
      </c>
      <c r="H8" t="s">
        <v>91</v>
      </c>
      <c r="I8" t="s">
        <v>96</v>
      </c>
      <c r="J8" t="s">
        <v>154</v>
      </c>
      <c r="K8" t="s">
        <v>134</v>
      </c>
      <c r="L8" t="s">
        <v>136</v>
      </c>
      <c r="M8" t="s">
        <v>139</v>
      </c>
      <c r="N8" t="s">
        <v>119</v>
      </c>
      <c r="O8">
        <v>547.32000000000005</v>
      </c>
      <c r="P8" t="s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B2" sqref="B2"/>
    </sheetView>
  </sheetViews>
  <sheetFormatPr defaultRowHeight="15" x14ac:dyDescent="0.25"/>
  <cols>
    <col min="1" max="1" width="23.140625" bestFit="1" customWidth="1"/>
    <col min="2" max="2" width="15.28515625" bestFit="1" customWidth="1"/>
  </cols>
  <sheetData>
    <row r="1" spans="1:3" x14ac:dyDescent="0.25">
      <c r="A1" s="1" t="s">
        <v>153</v>
      </c>
      <c r="B1" s="1" t="s">
        <v>12</v>
      </c>
      <c r="C1" s="1" t="s">
        <v>156</v>
      </c>
    </row>
    <row r="2" spans="1:3" x14ac:dyDescent="0.25">
      <c r="A2" s="1" t="s">
        <v>157</v>
      </c>
      <c r="B2" t="s">
        <v>158</v>
      </c>
      <c r="C2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Year Commission</vt:lpstr>
      <vt:lpstr>Sheet1</vt:lpstr>
      <vt:lpstr>First Year Overwrites</vt:lpstr>
      <vt:lpstr>Advance Paybacks</vt:lpstr>
      <vt:lpstr>Advances - Paid Advances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2026-07-12T21:03:53Z</dcterms:created>
  <dcterms:modified xsi:type="dcterms:W3CDTF">2026-07-13T20:16:51Z</dcterms:modified>
</cp:coreProperties>
</file>