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hysician Mutual\2026\2026-04-25\"/>
    </mc:Choice>
  </mc:AlternateContent>
  <xr:revisionPtr revIDLastSave="0" documentId="13_ncr:1_{7396EA4E-3308-4771-8D3C-5EEEB93CE2AF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First Year Commission" sheetId="1" r:id="rId1"/>
    <sheet name="Sheet1" sheetId="5" r:id="rId2"/>
    <sheet name="First Year Overwrites" sheetId="2" r:id="rId3"/>
    <sheet name="Advance Paybacks" sheetId="3" r:id="rId4"/>
    <sheet name="Advances - Paid Advances" sheetId="4" r:id="rId5"/>
  </sheets>
  <calcPr calcId="181029"/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2" i="5"/>
  <c r="D8" i="5"/>
  <c r="D9" i="5"/>
  <c r="D10" i="5"/>
  <c r="D11" i="5"/>
  <c r="D12" i="5"/>
  <c r="D13" i="5"/>
  <c r="D7" i="5"/>
</calcChain>
</file>

<file path=xl/sharedStrings.xml><?xml version="1.0" encoding="utf-8"?>
<sst xmlns="http://schemas.openxmlformats.org/spreadsheetml/2006/main" count="613" uniqueCount="128">
  <si>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</si>
  <si>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</si>
  <si>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</si>
  <si>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</si>
  <si>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</si>
  <si>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</si>
  <si>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</si>
  <si>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</si>
  <si>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</si>
  <si>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</si>
  <si>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</si>
  <si>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</si>
  <si>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</si>
  <si>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</si>
  <si>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</si>
  <si>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</si>
  <si>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</si>
  <si>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</si>
  <si>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</si>
  <si>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</si>
  <si>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</si>
  <si>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McCorkle Michelle null</t>
  </si>
  <si>
    <t>Inskipt Deborah null</t>
  </si>
  <si>
    <t>Green Danna null</t>
  </si>
  <si>
    <t xml:space="preserve">Berthelsen Heidi </t>
  </si>
  <si>
    <t>18710070</t>
  </si>
  <si>
    <t>17528908</t>
  </si>
  <si>
    <t>16849453</t>
  </si>
  <si>
    <t>19617796</t>
  </si>
  <si>
    <t>H711061009</t>
  </si>
  <si>
    <t>H711071682</t>
  </si>
  <si>
    <t>H750097916</t>
  </si>
  <si>
    <t>H711143898</t>
  </si>
  <si>
    <t>H750102845</t>
  </si>
  <si>
    <t>H750103231</t>
  </si>
  <si>
    <t>H711141587</t>
  </si>
  <si>
    <t>John</t>
  </si>
  <si>
    <t>Kathy</t>
  </si>
  <si>
    <t>Janet</t>
  </si>
  <si>
    <t>Kristen</t>
  </si>
  <si>
    <t>Mark</t>
  </si>
  <si>
    <t>Gary</t>
  </si>
  <si>
    <t>Debra</t>
  </si>
  <si>
    <t>Hanley</t>
  </si>
  <si>
    <t>Unis</t>
  </si>
  <si>
    <t>Goad</t>
  </si>
  <si>
    <t>Betzner</t>
  </si>
  <si>
    <t>Thompson</t>
  </si>
  <si>
    <t>Knotts</t>
  </si>
  <si>
    <t>Quillin</t>
  </si>
  <si>
    <t>C25400002</t>
  </si>
  <si>
    <t>S06600001</t>
  </si>
  <si>
    <t>P15400002</t>
  </si>
  <si>
    <t>Dental</t>
  </si>
  <si>
    <t>Medicare Supplement</t>
  </si>
  <si>
    <t>PA</t>
  </si>
  <si>
    <t>TX</t>
  </si>
  <si>
    <t>IN</t>
  </si>
  <si>
    <t>NE</t>
  </si>
  <si>
    <t>2026-04-24</t>
  </si>
  <si>
    <t>2026-04-23</t>
  </si>
  <si>
    <t>2026-04-20</t>
  </si>
  <si>
    <t>2026-04-21</t>
  </si>
  <si>
    <t>2026-04-22</t>
  </si>
  <si>
    <t>2026-06-01</t>
  </si>
  <si>
    <t>2026-05-22</t>
  </si>
  <si>
    <t>2026-05-01</t>
  </si>
  <si>
    <t>64</t>
  </si>
  <si>
    <t>66</t>
  </si>
  <si>
    <t>72</t>
  </si>
  <si>
    <t>32</t>
  </si>
  <si>
    <t>69</t>
  </si>
  <si>
    <t>74</t>
  </si>
  <si>
    <t>55</t>
  </si>
  <si>
    <t>MONTHLY</t>
  </si>
  <si>
    <t>RCVP</t>
  </si>
  <si>
    <t>RCVP-R</t>
  </si>
  <si>
    <t>PRF</t>
  </si>
  <si>
    <t>7</t>
  </si>
  <si>
    <t>6</t>
  </si>
  <si>
    <t>3</t>
  </si>
  <si>
    <t>1</t>
  </si>
  <si>
    <t>68.45</t>
  </si>
  <si>
    <t>56.50</t>
  </si>
  <si>
    <t>201.99</t>
  </si>
  <si>
    <t>226.95</t>
  </si>
  <si>
    <t>182.86</t>
  </si>
  <si>
    <t>212.03</t>
  </si>
  <si>
    <t>-55.90</t>
  </si>
  <si>
    <t>0.00</t>
  </si>
  <si>
    <t>100.00000</t>
  </si>
  <si>
    <t>0.00%</t>
  </si>
  <si>
    <t>25.00%</t>
  </si>
  <si>
    <t>19.10%</t>
  </si>
  <si>
    <t>23.20%</t>
  </si>
  <si>
    <t>N</t>
  </si>
  <si>
    <t>Y</t>
  </si>
  <si>
    <t>9.50%</t>
  </si>
  <si>
    <t>3.60%</t>
  </si>
  <si>
    <t>0.80%</t>
  </si>
  <si>
    <t>advancePaybackAmount</t>
  </si>
  <si>
    <t>APB-S</t>
  </si>
  <si>
    <t>APB-U</t>
  </si>
  <si>
    <t>advanceBasis</t>
  </si>
  <si>
    <t>monthsAdvanced</t>
  </si>
  <si>
    <t>paidAdvanceAmount</t>
  </si>
  <si>
    <t>description</t>
  </si>
  <si>
    <t>ISS-A</t>
  </si>
  <si>
    <t>9</t>
  </si>
  <si>
    <t>12</t>
  </si>
  <si>
    <t>Issue Advance Request</t>
  </si>
  <si>
    <t>Main Line Benefits</t>
  </si>
  <si>
    <t>Inskipt Deborah</t>
  </si>
  <si>
    <t>Green Danna</t>
  </si>
  <si>
    <t>Standard Dental</t>
  </si>
  <si>
    <t>Open Enrollment - TX</t>
  </si>
  <si>
    <t>Physician Mutual OVR</t>
  </si>
  <si>
    <t>17528908N</t>
  </si>
  <si>
    <t>16849453LAV9</t>
  </si>
  <si>
    <t>19617796AV9</t>
  </si>
  <si>
    <t>Physician Mutual Medsupp IN</t>
  </si>
  <si>
    <t>Rescinded</t>
  </si>
  <si>
    <t>16849453AV9</t>
  </si>
  <si>
    <t>NB</t>
  </si>
  <si>
    <t>AV</t>
  </si>
  <si>
    <t>RN</t>
  </si>
  <si>
    <t>AE</t>
  </si>
  <si>
    <t>AV1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</si>
</sst>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0" borderId="0" xfId="0" applyNumberFormat="1"/>
    <xf numFmtId="0" fontId="0" fillId="2" borderId="0" xfId="0" applyNumberFormat="1" applyFill="1"/>
    <xf numFmtId="0" fontId="0" fillId="0" borderId="0" xfId="0" applyNumberFormat="1" applyAlignment="1">
      <alignment horizontal="left"/>
    </xf>
    <xf numFmtId="0" fontId="0" fillId="2" borderId="0" xfId="0" applyNumberFormat="1" applyFill="1" applyAlignment="1">
      <alignment horizontal="left"/>
    </xf>
    <xf numFmtId="10" fontId="0" fillId="0" borderId="0" xfId="0" applyNumberFormat="1"/>
    <xf numFmtId="10" fontId="0" fillId="2" borderId="0" xfId="0" applyNumberFormat="1" applyFill="1"/>
    <xf numFmtId="0" fontId="0" fillId="3" borderId="0" xfId="0" applyFill="1"/>
    <xf numFmtId="0" fontId="0" fillId="3" borderId="0" xfId="0" applyNumberFormat="1" applyFill="1" applyAlignment="1">
      <alignment horizontal="left"/>
    </xf>
    <xf numFmtId="0" fontId="0" fillId="3" borderId="0" xfId="0" applyNumberFormat="1" applyFill="1"/>
    <xf numFmtId="10" fontId="0" fillId="3" borderId="0" xfId="0" applyNumberFormat="1" applyFill="1"/>
    <xf numFmtId="14" fontId="0" fillId="0" borderId="0" xfId="0" applyNumberFormat="1"/>
    <xf numFmtId="14" fontId="0" fillId="3" borderId="0" xfId="0" applyNumberFormat="1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workbookViewId="0">
      <selection activeCell="C2" sqref="C2:C8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25</v>
      </c>
      <c r="C2" t="s">
        <v>29</v>
      </c>
      <c r="D2" t="s">
        <v>36</v>
      </c>
      <c r="E2" t="s">
        <v>43</v>
      </c>
      <c r="F2" t="s">
        <v>50</v>
      </c>
      <c r="G2" t="s">
        <v>53</v>
      </c>
      <c r="H2" t="s">
        <v>55</v>
      </c>
      <c r="I2" t="s">
        <v>59</v>
      </c>
      <c r="J2" t="s">
        <v>64</v>
      </c>
      <c r="K2" t="s">
        <v>67</v>
      </c>
      <c r="L2" t="s">
        <v>74</v>
      </c>
      <c r="M2" t="s">
        <v>75</v>
      </c>
      <c r="N2" t="s">
        <v>78</v>
      </c>
      <c r="O2" t="s">
        <v>82</v>
      </c>
      <c r="P2" t="s">
        <v>89</v>
      </c>
      <c r="Q2" t="s">
        <v>82</v>
      </c>
      <c r="R2" t="s">
        <v>90</v>
      </c>
      <c r="S2" t="s">
        <v>91</v>
      </c>
      <c r="T2">
        <v>0</v>
      </c>
      <c r="U2" t="s">
        <v>95</v>
      </c>
    </row>
    <row r="3" spans="1:21" x14ac:dyDescent="0.25">
      <c r="A3" t="s">
        <v>22</v>
      </c>
      <c r="B3" t="s">
        <v>26</v>
      </c>
      <c r="C3" t="s">
        <v>30</v>
      </c>
      <c r="D3" t="s">
        <v>37</v>
      </c>
      <c r="E3" t="s">
        <v>44</v>
      </c>
      <c r="F3" t="s">
        <v>50</v>
      </c>
      <c r="G3" t="s">
        <v>53</v>
      </c>
      <c r="H3" t="s">
        <v>55</v>
      </c>
      <c r="I3" t="s">
        <v>60</v>
      </c>
      <c r="J3" t="s">
        <v>65</v>
      </c>
      <c r="K3" t="s">
        <v>68</v>
      </c>
      <c r="L3" t="s">
        <v>74</v>
      </c>
      <c r="M3" t="s">
        <v>75</v>
      </c>
      <c r="N3" t="s">
        <v>79</v>
      </c>
      <c r="O3" t="s">
        <v>83</v>
      </c>
      <c r="P3" t="s">
        <v>89</v>
      </c>
      <c r="Q3" t="s">
        <v>83</v>
      </c>
      <c r="R3" t="s">
        <v>90</v>
      </c>
      <c r="S3" t="s">
        <v>92</v>
      </c>
      <c r="T3">
        <v>14.13</v>
      </c>
      <c r="U3" t="s">
        <v>96</v>
      </c>
    </row>
    <row r="4" spans="1:21" x14ac:dyDescent="0.25">
      <c r="A4" t="s">
        <v>23</v>
      </c>
      <c r="B4" t="s">
        <v>27</v>
      </c>
      <c r="C4" t="s">
        <v>31</v>
      </c>
      <c r="D4" t="s">
        <v>38</v>
      </c>
      <c r="E4" t="s">
        <v>45</v>
      </c>
      <c r="F4" t="s">
        <v>51</v>
      </c>
      <c r="G4" t="s">
        <v>54</v>
      </c>
      <c r="H4" t="s">
        <v>56</v>
      </c>
      <c r="I4" t="s">
        <v>61</v>
      </c>
      <c r="J4" t="s">
        <v>64</v>
      </c>
      <c r="K4" t="s">
        <v>69</v>
      </c>
      <c r="L4" t="s">
        <v>74</v>
      </c>
      <c r="M4" t="s">
        <v>76</v>
      </c>
      <c r="N4" t="s">
        <v>80</v>
      </c>
      <c r="O4" t="s">
        <v>84</v>
      </c>
      <c r="P4" t="s">
        <v>89</v>
      </c>
      <c r="Q4" t="s">
        <v>84</v>
      </c>
      <c r="R4" t="s">
        <v>90</v>
      </c>
      <c r="S4" t="s">
        <v>93</v>
      </c>
      <c r="T4">
        <v>38.58</v>
      </c>
      <c r="U4" t="s">
        <v>96</v>
      </c>
    </row>
    <row r="5" spans="1:21" x14ac:dyDescent="0.25">
      <c r="A5" t="s">
        <v>23</v>
      </c>
      <c r="B5" t="s">
        <v>27</v>
      </c>
      <c r="C5" t="s">
        <v>32</v>
      </c>
      <c r="D5" t="s">
        <v>39</v>
      </c>
      <c r="E5" t="s">
        <v>46</v>
      </c>
      <c r="F5" t="s">
        <v>52</v>
      </c>
      <c r="G5" t="s">
        <v>53</v>
      </c>
      <c r="H5" t="s">
        <v>57</v>
      </c>
      <c r="I5" t="s">
        <v>62</v>
      </c>
      <c r="J5" t="s">
        <v>64</v>
      </c>
      <c r="K5" t="s">
        <v>70</v>
      </c>
      <c r="L5" t="s">
        <v>74</v>
      </c>
      <c r="M5" t="s">
        <v>75</v>
      </c>
      <c r="N5" t="s">
        <v>81</v>
      </c>
      <c r="O5" t="s">
        <v>85</v>
      </c>
      <c r="P5" t="s">
        <v>89</v>
      </c>
      <c r="Q5" t="s">
        <v>85</v>
      </c>
      <c r="R5" t="s">
        <v>90</v>
      </c>
      <c r="S5" t="s">
        <v>92</v>
      </c>
      <c r="T5">
        <v>56.74</v>
      </c>
      <c r="U5" t="s">
        <v>96</v>
      </c>
    </row>
    <row r="6" spans="1:21" x14ac:dyDescent="0.25">
      <c r="A6" t="s">
        <v>23</v>
      </c>
      <c r="B6" t="s">
        <v>27</v>
      </c>
      <c r="C6" t="s">
        <v>33</v>
      </c>
      <c r="D6" t="s">
        <v>40</v>
      </c>
      <c r="E6" t="s">
        <v>47</v>
      </c>
      <c r="F6" t="s">
        <v>51</v>
      </c>
      <c r="G6" t="s">
        <v>54</v>
      </c>
      <c r="H6" t="s">
        <v>57</v>
      </c>
      <c r="I6" t="s">
        <v>63</v>
      </c>
      <c r="J6" t="s">
        <v>64</v>
      </c>
      <c r="K6" t="s">
        <v>71</v>
      </c>
      <c r="L6" t="s">
        <v>74</v>
      </c>
      <c r="M6" t="s">
        <v>76</v>
      </c>
      <c r="N6" t="s">
        <v>81</v>
      </c>
      <c r="O6" t="s">
        <v>86</v>
      </c>
      <c r="P6" t="s">
        <v>89</v>
      </c>
      <c r="Q6" t="s">
        <v>86</v>
      </c>
      <c r="R6" t="s">
        <v>90</v>
      </c>
      <c r="S6" t="s">
        <v>94</v>
      </c>
      <c r="T6">
        <v>42.42</v>
      </c>
      <c r="U6" t="s">
        <v>96</v>
      </c>
    </row>
    <row r="7" spans="1:21" x14ac:dyDescent="0.25">
      <c r="A7" t="s">
        <v>23</v>
      </c>
      <c r="B7" t="s">
        <v>27</v>
      </c>
      <c r="C7" t="s">
        <v>34</v>
      </c>
      <c r="D7" t="s">
        <v>41</v>
      </c>
      <c r="E7" t="s">
        <v>48</v>
      </c>
      <c r="F7" t="s">
        <v>51</v>
      </c>
      <c r="G7" t="s">
        <v>54</v>
      </c>
      <c r="H7" t="s">
        <v>57</v>
      </c>
      <c r="I7" t="s">
        <v>60</v>
      </c>
      <c r="J7" t="s">
        <v>64</v>
      </c>
      <c r="K7" t="s">
        <v>72</v>
      </c>
      <c r="L7" t="s">
        <v>74</v>
      </c>
      <c r="M7" t="s">
        <v>76</v>
      </c>
      <c r="N7" t="s">
        <v>81</v>
      </c>
      <c r="O7" t="s">
        <v>87</v>
      </c>
      <c r="P7" t="s">
        <v>89</v>
      </c>
      <c r="Q7" t="s">
        <v>87</v>
      </c>
      <c r="R7" t="s">
        <v>90</v>
      </c>
      <c r="S7" t="s">
        <v>94</v>
      </c>
      <c r="T7">
        <v>49.19</v>
      </c>
      <c r="U7" t="s">
        <v>96</v>
      </c>
    </row>
    <row r="8" spans="1:21" x14ac:dyDescent="0.25">
      <c r="A8" t="s">
        <v>24</v>
      </c>
      <c r="B8" t="s">
        <v>28</v>
      </c>
      <c r="C8" t="s">
        <v>35</v>
      </c>
      <c r="D8" t="s">
        <v>42</v>
      </c>
      <c r="E8" t="s">
        <v>49</v>
      </c>
      <c r="F8" t="s">
        <v>52</v>
      </c>
      <c r="G8" t="s">
        <v>53</v>
      </c>
      <c r="H8" t="s">
        <v>58</v>
      </c>
      <c r="I8" t="s">
        <v>61</v>
      </c>
      <c r="J8" t="s">
        <v>66</v>
      </c>
      <c r="K8" t="s">
        <v>73</v>
      </c>
      <c r="L8" t="s">
        <v>74</v>
      </c>
      <c r="M8" t="s">
        <v>77</v>
      </c>
      <c r="N8" t="s">
        <v>81</v>
      </c>
      <c r="O8" t="s">
        <v>88</v>
      </c>
      <c r="P8" t="s">
        <v>89</v>
      </c>
      <c r="Q8" t="s">
        <v>88</v>
      </c>
      <c r="R8" t="s">
        <v>90</v>
      </c>
      <c r="S8" t="s">
        <v>92</v>
      </c>
      <c r="T8">
        <v>-13.98</v>
      </c>
      <c r="U8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FD3CB-7887-40F2-8711-66D3BEC50497}">
  <dimension ref="A1:V15"/>
  <sheetViews>
    <sheetView workbookViewId="0">
      <selection activeCell="Q2" sqref="Q2:Q13"/>
    </sheetView>
  </sheetViews>
  <sheetFormatPr defaultRowHeight="15" x14ac:dyDescent="0.25"/>
  <cols>
    <col min="1" max="1" width="24.5703125" bestFit="1" customWidth="1"/>
    <col min="3" max="3" width="13.7109375" bestFit="1" customWidth="1"/>
    <col min="4" max="4" width="15.28515625" bestFit="1" customWidth="1"/>
    <col min="11" max="11" width="15.140625" bestFit="1" customWidth="1"/>
    <col min="12" max="12" width="11.140625" bestFit="1" customWidth="1"/>
    <col min="19" max="19" width="20.5703125" bestFit="1" customWidth="1"/>
    <col min="20" max="20" width="14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/>
      <c r="E1" s="1" t="s">
        <v>3</v>
      </c>
      <c r="F1" s="1" t="s">
        <v>4</v>
      </c>
      <c r="G1" s="1"/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13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</row>
    <row r="2" spans="1:22" x14ac:dyDescent="0.25">
      <c r="A2" t="s">
        <v>112</v>
      </c>
      <c r="B2" s="5">
        <v>17528908</v>
      </c>
      <c r="C2" t="s">
        <v>30</v>
      </c>
      <c r="D2" t="s">
        <v>30</v>
      </c>
      <c r="E2" t="s">
        <v>37</v>
      </c>
      <c r="F2" t="s">
        <v>44</v>
      </c>
      <c r="G2" t="str">
        <f>CONCATENATE(E2," ",F2)</f>
        <v>Kathy Unis</v>
      </c>
      <c r="H2" t="s">
        <v>50</v>
      </c>
      <c r="I2" t="s">
        <v>53</v>
      </c>
      <c r="J2" t="s">
        <v>55</v>
      </c>
      <c r="K2" s="13">
        <v>45983</v>
      </c>
      <c r="L2" s="13">
        <v>46164</v>
      </c>
      <c r="M2" t="s">
        <v>79</v>
      </c>
      <c r="N2" s="3">
        <v>56.5</v>
      </c>
      <c r="O2" s="3">
        <v>100</v>
      </c>
      <c r="P2" s="7">
        <v>0.25</v>
      </c>
      <c r="Q2">
        <v>14.13</v>
      </c>
      <c r="R2" t="s">
        <v>96</v>
      </c>
      <c r="S2" t="s">
        <v>114</v>
      </c>
      <c r="T2" t="s">
        <v>117</v>
      </c>
      <c r="U2" t="s">
        <v>125</v>
      </c>
      <c r="V2" t="s">
        <v>126</v>
      </c>
    </row>
    <row r="3" spans="1:22" x14ac:dyDescent="0.25">
      <c r="A3" t="s">
        <v>113</v>
      </c>
      <c r="B3" s="5">
        <v>16849453</v>
      </c>
      <c r="C3" t="s">
        <v>31</v>
      </c>
      <c r="D3" t="s">
        <v>31</v>
      </c>
      <c r="E3" t="s">
        <v>38</v>
      </c>
      <c r="F3" t="s">
        <v>45</v>
      </c>
      <c r="G3" t="str">
        <f t="shared" ref="G3:G13" si="0">CONCATENATE(E3," ",F3)</f>
        <v>Janet Goad</v>
      </c>
      <c r="H3" t="s">
        <v>51</v>
      </c>
      <c r="I3" t="s">
        <v>54</v>
      </c>
      <c r="J3" t="s">
        <v>56</v>
      </c>
      <c r="K3" s="13">
        <v>46082</v>
      </c>
      <c r="L3" s="13">
        <v>46174</v>
      </c>
      <c r="M3" t="s">
        <v>80</v>
      </c>
      <c r="N3" s="3">
        <v>201.99</v>
      </c>
      <c r="O3" s="3">
        <v>100</v>
      </c>
      <c r="P3" s="7">
        <v>0.191</v>
      </c>
      <c r="Q3">
        <v>38.58</v>
      </c>
      <c r="R3" t="s">
        <v>96</v>
      </c>
      <c r="S3" t="s">
        <v>115</v>
      </c>
      <c r="T3" t="s">
        <v>118</v>
      </c>
      <c r="U3" t="s">
        <v>125</v>
      </c>
      <c r="V3" t="s">
        <v>127</v>
      </c>
    </row>
    <row r="4" spans="1:22" s="9" customFormat="1" x14ac:dyDescent="0.25">
      <c r="A4" s="9" t="s">
        <v>113</v>
      </c>
      <c r="B4" s="10">
        <v>16849453</v>
      </c>
      <c r="C4" s="9" t="s">
        <v>32</v>
      </c>
      <c r="D4" s="9" t="s">
        <v>32</v>
      </c>
      <c r="E4" s="9" t="s">
        <v>39</v>
      </c>
      <c r="F4" s="9" t="s">
        <v>46</v>
      </c>
      <c r="G4" t="str">
        <f t="shared" si="0"/>
        <v>Kristen Betzner</v>
      </c>
      <c r="H4" s="9" t="s">
        <v>52</v>
      </c>
      <c r="I4" s="9" t="s">
        <v>53</v>
      </c>
      <c r="J4" s="9" t="s">
        <v>57</v>
      </c>
      <c r="K4" s="14">
        <v>46143</v>
      </c>
      <c r="L4" s="14">
        <v>46174</v>
      </c>
      <c r="M4" s="9" t="s">
        <v>81</v>
      </c>
      <c r="N4" s="11">
        <v>226.95</v>
      </c>
      <c r="O4" s="11">
        <v>100</v>
      </c>
      <c r="P4" s="12">
        <v>0.25</v>
      </c>
      <c r="Q4" s="9">
        <v>56.74</v>
      </c>
      <c r="R4" s="9" t="s">
        <v>96</v>
      </c>
      <c r="S4" s="9" t="s">
        <v>114</v>
      </c>
      <c r="T4" s="9" t="s">
        <v>122</v>
      </c>
      <c r="U4" s="9" t="s">
        <v>123</v>
      </c>
      <c r="V4" s="9" t="s">
        <v>124</v>
      </c>
    </row>
    <row r="5" spans="1:22" s="9" customFormat="1" x14ac:dyDescent="0.25">
      <c r="A5" s="9" t="s">
        <v>113</v>
      </c>
      <c r="B5" s="10">
        <v>16849453</v>
      </c>
      <c r="C5" s="9" t="s">
        <v>33</v>
      </c>
      <c r="D5" s="9" t="s">
        <v>33</v>
      </c>
      <c r="E5" s="9" t="s">
        <v>40</v>
      </c>
      <c r="F5" s="9" t="s">
        <v>47</v>
      </c>
      <c r="G5" t="str">
        <f t="shared" si="0"/>
        <v>Mark Thompson</v>
      </c>
      <c r="H5" s="9" t="s">
        <v>51</v>
      </c>
      <c r="I5" s="9" t="s">
        <v>54</v>
      </c>
      <c r="J5" s="9" t="s">
        <v>57</v>
      </c>
      <c r="K5" s="14">
        <v>46143</v>
      </c>
      <c r="L5" s="14">
        <v>46174</v>
      </c>
      <c r="M5" s="9" t="s">
        <v>81</v>
      </c>
      <c r="N5" s="11">
        <v>182.86</v>
      </c>
      <c r="O5" s="11">
        <v>100</v>
      </c>
      <c r="P5" s="12">
        <v>0.23200000000000001</v>
      </c>
      <c r="Q5" s="9">
        <v>42.42</v>
      </c>
      <c r="R5" s="9" t="s">
        <v>96</v>
      </c>
      <c r="S5" s="9" t="s">
        <v>120</v>
      </c>
      <c r="T5" s="9" t="s">
        <v>122</v>
      </c>
      <c r="U5" s="9" t="s">
        <v>123</v>
      </c>
      <c r="V5" s="9" t="s">
        <v>124</v>
      </c>
    </row>
    <row r="6" spans="1:22" s="9" customFormat="1" x14ac:dyDescent="0.25">
      <c r="A6" s="9" t="s">
        <v>113</v>
      </c>
      <c r="B6" s="10">
        <v>16849453</v>
      </c>
      <c r="C6" s="9" t="s">
        <v>34</v>
      </c>
      <c r="D6" s="9" t="s">
        <v>34</v>
      </c>
      <c r="E6" s="9" t="s">
        <v>41</v>
      </c>
      <c r="F6" s="9" t="s">
        <v>48</v>
      </c>
      <c r="G6" t="str">
        <f t="shared" si="0"/>
        <v>Gary Knotts</v>
      </c>
      <c r="H6" s="9" t="s">
        <v>51</v>
      </c>
      <c r="I6" s="9" t="s">
        <v>54</v>
      </c>
      <c r="J6" s="9" t="s">
        <v>57</v>
      </c>
      <c r="K6" s="14">
        <v>46143</v>
      </c>
      <c r="L6" s="14">
        <v>46174</v>
      </c>
      <c r="M6" s="9" t="s">
        <v>81</v>
      </c>
      <c r="N6" s="11">
        <v>212.03</v>
      </c>
      <c r="O6" s="11">
        <v>100</v>
      </c>
      <c r="P6" s="12">
        <v>0.23200000000000001</v>
      </c>
      <c r="Q6" s="9">
        <v>49.19</v>
      </c>
      <c r="R6" s="9" t="s">
        <v>96</v>
      </c>
      <c r="S6" s="9" t="s">
        <v>120</v>
      </c>
      <c r="T6" s="9" t="s">
        <v>122</v>
      </c>
      <c r="U6" s="9" t="s">
        <v>123</v>
      </c>
      <c r="V6" s="9" t="s">
        <v>124</v>
      </c>
    </row>
    <row r="7" spans="1:22" s="2" customFormat="1" x14ac:dyDescent="0.25">
      <c r="A7" s="2" t="s">
        <v>111</v>
      </c>
      <c r="B7" s="6">
        <v>18710070</v>
      </c>
      <c r="C7" s="2" t="s">
        <v>29</v>
      </c>
      <c r="D7" s="2" t="str">
        <f>CONCATENATE(C7,"OVR")</f>
        <v>H711061009OVR</v>
      </c>
      <c r="E7" s="2" t="s">
        <v>36</v>
      </c>
      <c r="F7" s="2" t="s">
        <v>43</v>
      </c>
      <c r="G7" t="str">
        <f t="shared" si="0"/>
        <v>John Hanley</v>
      </c>
      <c r="H7" s="2" t="s">
        <v>50</v>
      </c>
      <c r="I7" s="2" t="s">
        <v>53</v>
      </c>
      <c r="J7" s="2" t="s">
        <v>55</v>
      </c>
      <c r="K7" s="15">
        <v>45962</v>
      </c>
      <c r="L7" s="15">
        <v>46174</v>
      </c>
      <c r="M7" s="2" t="s">
        <v>78</v>
      </c>
      <c r="N7" s="2">
        <v>6.5</v>
      </c>
      <c r="O7" s="4">
        <v>100</v>
      </c>
      <c r="P7" s="8">
        <v>9.5000000000000001E-2</v>
      </c>
      <c r="Q7" s="2">
        <v>6.5</v>
      </c>
      <c r="S7" s="2" t="s">
        <v>116</v>
      </c>
      <c r="T7" s="2">
        <v>20411454</v>
      </c>
      <c r="U7" s="2" t="s">
        <v>125</v>
      </c>
      <c r="V7" s="2" t="s">
        <v>126</v>
      </c>
    </row>
    <row r="8" spans="1:22" s="2" customFormat="1" x14ac:dyDescent="0.25">
      <c r="A8" s="2" t="s">
        <v>111</v>
      </c>
      <c r="B8" s="6">
        <v>17528908</v>
      </c>
      <c r="C8" s="2" t="s">
        <v>30</v>
      </c>
      <c r="D8" s="2" t="str">
        <f t="shared" ref="D8:D13" si="1">CONCATENATE(C8,"OVR")</f>
        <v>H711071682OVR</v>
      </c>
      <c r="E8" s="2" t="s">
        <v>37</v>
      </c>
      <c r="F8" s="2" t="s">
        <v>44</v>
      </c>
      <c r="G8" t="str">
        <f t="shared" si="0"/>
        <v>Kathy Unis</v>
      </c>
      <c r="H8" s="2" t="s">
        <v>50</v>
      </c>
      <c r="I8" s="2" t="s">
        <v>53</v>
      </c>
      <c r="J8" s="2" t="s">
        <v>55</v>
      </c>
      <c r="K8" s="15">
        <v>45983</v>
      </c>
      <c r="L8" s="15">
        <v>46164</v>
      </c>
      <c r="M8" s="2" t="s">
        <v>79</v>
      </c>
      <c r="N8" s="2">
        <v>5.37</v>
      </c>
      <c r="O8" s="4">
        <v>100</v>
      </c>
      <c r="P8" s="8">
        <v>9.5000000000000001E-2</v>
      </c>
      <c r="Q8" s="2">
        <v>5.37</v>
      </c>
      <c r="S8" s="2" t="s">
        <v>116</v>
      </c>
      <c r="T8" s="2">
        <v>20411454</v>
      </c>
      <c r="U8" s="2" t="s">
        <v>125</v>
      </c>
      <c r="V8" s="2" t="s">
        <v>126</v>
      </c>
    </row>
    <row r="9" spans="1:22" s="2" customFormat="1" x14ac:dyDescent="0.25">
      <c r="A9" s="2" t="s">
        <v>111</v>
      </c>
      <c r="B9" s="6">
        <v>16849453</v>
      </c>
      <c r="C9" s="2" t="s">
        <v>31</v>
      </c>
      <c r="D9" s="2" t="str">
        <f t="shared" si="1"/>
        <v>H750097916OVR</v>
      </c>
      <c r="E9" s="2" t="s">
        <v>38</v>
      </c>
      <c r="F9" s="2" t="s">
        <v>45</v>
      </c>
      <c r="G9" t="str">
        <f t="shared" si="0"/>
        <v>Janet Goad</v>
      </c>
      <c r="H9" s="2" t="s">
        <v>51</v>
      </c>
      <c r="I9" s="2" t="s">
        <v>54</v>
      </c>
      <c r="J9" s="2" t="s">
        <v>56</v>
      </c>
      <c r="K9" s="15">
        <v>46082</v>
      </c>
      <c r="L9" s="15">
        <v>46174</v>
      </c>
      <c r="M9" s="2" t="s">
        <v>80</v>
      </c>
      <c r="N9" s="2">
        <v>7.27</v>
      </c>
      <c r="O9" s="4">
        <v>100</v>
      </c>
      <c r="P9" s="8">
        <v>3.5999999999999997E-2</v>
      </c>
      <c r="Q9" s="2">
        <v>7.27</v>
      </c>
      <c r="S9" s="2" t="s">
        <v>116</v>
      </c>
      <c r="T9" s="2">
        <v>20411454</v>
      </c>
      <c r="U9" s="2" t="s">
        <v>125</v>
      </c>
      <c r="V9" s="2" t="s">
        <v>126</v>
      </c>
    </row>
    <row r="10" spans="1:22" s="2" customFormat="1" x14ac:dyDescent="0.25">
      <c r="A10" s="2" t="s">
        <v>111</v>
      </c>
      <c r="B10" s="6">
        <v>16849453</v>
      </c>
      <c r="C10" s="2" t="s">
        <v>32</v>
      </c>
      <c r="D10" s="2" t="str">
        <f t="shared" si="1"/>
        <v>H711143898OVR</v>
      </c>
      <c r="E10" s="2" t="s">
        <v>39</v>
      </c>
      <c r="F10" s="2" t="s">
        <v>46</v>
      </c>
      <c r="G10" t="str">
        <f t="shared" si="0"/>
        <v>Kristen Betzner</v>
      </c>
      <c r="H10" s="2" t="s">
        <v>52</v>
      </c>
      <c r="I10" s="2" t="s">
        <v>53</v>
      </c>
      <c r="J10" s="2" t="s">
        <v>57</v>
      </c>
      <c r="K10" s="15">
        <v>46143</v>
      </c>
      <c r="L10" s="15">
        <v>46174</v>
      </c>
      <c r="M10" s="2" t="s">
        <v>81</v>
      </c>
      <c r="N10" s="2">
        <v>21.56</v>
      </c>
      <c r="O10" s="4">
        <v>100</v>
      </c>
      <c r="P10" s="8">
        <v>9.5000000000000001E-2</v>
      </c>
      <c r="Q10" s="2">
        <v>21.56</v>
      </c>
      <c r="S10" s="2" t="s">
        <v>116</v>
      </c>
      <c r="T10" s="2">
        <v>20411454</v>
      </c>
      <c r="U10" s="2" t="s">
        <v>125</v>
      </c>
      <c r="V10" s="2" t="s">
        <v>126</v>
      </c>
    </row>
    <row r="11" spans="1:22" s="2" customFormat="1" x14ac:dyDescent="0.25">
      <c r="A11" s="2" t="s">
        <v>111</v>
      </c>
      <c r="B11" s="6">
        <v>16849453</v>
      </c>
      <c r="C11" s="2" t="s">
        <v>33</v>
      </c>
      <c r="D11" s="2" t="str">
        <f t="shared" si="1"/>
        <v>H750102845OVR</v>
      </c>
      <c r="E11" s="2" t="s">
        <v>40</v>
      </c>
      <c r="F11" s="2" t="s">
        <v>47</v>
      </c>
      <c r="G11" t="str">
        <f t="shared" si="0"/>
        <v>Mark Thompson</v>
      </c>
      <c r="H11" s="2" t="s">
        <v>51</v>
      </c>
      <c r="I11" s="2" t="s">
        <v>54</v>
      </c>
      <c r="J11" s="2" t="s">
        <v>57</v>
      </c>
      <c r="K11" s="15">
        <v>46143</v>
      </c>
      <c r="L11" s="15">
        <v>46174</v>
      </c>
      <c r="M11" s="2" t="s">
        <v>81</v>
      </c>
      <c r="N11" s="2">
        <v>1.46</v>
      </c>
      <c r="O11" s="4">
        <v>100</v>
      </c>
      <c r="P11" s="8">
        <v>8.0000000000000002E-3</v>
      </c>
      <c r="Q11" s="2">
        <v>1.46</v>
      </c>
      <c r="S11" s="2" t="s">
        <v>116</v>
      </c>
      <c r="T11" s="2">
        <v>20411454</v>
      </c>
      <c r="U11" s="2" t="s">
        <v>125</v>
      </c>
      <c r="V11" s="2" t="s">
        <v>126</v>
      </c>
    </row>
    <row r="12" spans="1:22" s="2" customFormat="1" x14ac:dyDescent="0.25">
      <c r="A12" s="2" t="s">
        <v>111</v>
      </c>
      <c r="B12" s="6">
        <v>16849453</v>
      </c>
      <c r="C12" s="2" t="s">
        <v>34</v>
      </c>
      <c r="D12" s="2" t="str">
        <f t="shared" si="1"/>
        <v>H750103231OVR</v>
      </c>
      <c r="E12" s="2" t="s">
        <v>41</v>
      </c>
      <c r="F12" s="2" t="s">
        <v>48</v>
      </c>
      <c r="G12" t="str">
        <f t="shared" si="0"/>
        <v>Gary Knotts</v>
      </c>
      <c r="H12" s="2" t="s">
        <v>51</v>
      </c>
      <c r="I12" s="2" t="s">
        <v>54</v>
      </c>
      <c r="J12" s="2" t="s">
        <v>57</v>
      </c>
      <c r="K12" s="15">
        <v>46143</v>
      </c>
      <c r="L12" s="15">
        <v>46174</v>
      </c>
      <c r="M12" s="2" t="s">
        <v>81</v>
      </c>
      <c r="N12" s="2">
        <v>1.7</v>
      </c>
      <c r="O12" s="4">
        <v>100</v>
      </c>
      <c r="P12" s="8">
        <v>8.0000000000000002E-3</v>
      </c>
      <c r="Q12" s="2">
        <v>1.7</v>
      </c>
      <c r="S12" s="2" t="s">
        <v>116</v>
      </c>
      <c r="T12" s="2">
        <v>20411454</v>
      </c>
      <c r="U12" s="2" t="s">
        <v>125</v>
      </c>
      <c r="V12" s="2" t="s">
        <v>126</v>
      </c>
    </row>
    <row r="13" spans="1:22" s="2" customFormat="1" x14ac:dyDescent="0.25">
      <c r="A13" s="2" t="s">
        <v>111</v>
      </c>
      <c r="B13" s="6">
        <v>19617796</v>
      </c>
      <c r="C13" s="2" t="s">
        <v>35</v>
      </c>
      <c r="D13" s="2" t="str">
        <f t="shared" si="1"/>
        <v>H711141587OVR</v>
      </c>
      <c r="E13" s="2" t="s">
        <v>42</v>
      </c>
      <c r="F13" s="2" t="s">
        <v>49</v>
      </c>
      <c r="G13" t="str">
        <f t="shared" si="0"/>
        <v>Debra Quillin</v>
      </c>
      <c r="H13" s="2" t="s">
        <v>52</v>
      </c>
      <c r="I13" s="2" t="s">
        <v>53</v>
      </c>
      <c r="J13" s="2" t="s">
        <v>58</v>
      </c>
      <c r="K13" s="15">
        <v>46143</v>
      </c>
      <c r="L13" s="15">
        <v>46174</v>
      </c>
      <c r="M13" s="2" t="s">
        <v>81</v>
      </c>
      <c r="N13" s="2">
        <v>-5.31</v>
      </c>
      <c r="O13" s="4">
        <v>100</v>
      </c>
      <c r="P13" s="8">
        <v>9.5000000000000001E-2</v>
      </c>
      <c r="Q13" s="2">
        <v>-5.31</v>
      </c>
      <c r="S13" s="2" t="s">
        <v>116</v>
      </c>
      <c r="T13" s="2">
        <v>20411454</v>
      </c>
      <c r="U13" s="2" t="s">
        <v>125</v>
      </c>
      <c r="V13" s="2" t="s">
        <v>126</v>
      </c>
    </row>
    <row r="15" spans="1:22" x14ac:dyDescent="0.25">
      <c r="A15" t="s">
        <v>24</v>
      </c>
      <c r="B15" s="5">
        <v>19617796</v>
      </c>
      <c r="C15" t="s">
        <v>35</v>
      </c>
      <c r="D15" t="s">
        <v>35</v>
      </c>
      <c r="E15" t="s">
        <v>42</v>
      </c>
      <c r="F15" t="s">
        <v>49</v>
      </c>
      <c r="H15" t="s">
        <v>52</v>
      </c>
      <c r="I15" t="s">
        <v>53</v>
      </c>
      <c r="J15" t="s">
        <v>58</v>
      </c>
      <c r="K15" s="13">
        <v>46143</v>
      </c>
      <c r="L15" s="13">
        <v>46174</v>
      </c>
      <c r="M15" t="s">
        <v>81</v>
      </c>
      <c r="N15" s="3">
        <v>-55.9</v>
      </c>
      <c r="O15" s="3">
        <v>100</v>
      </c>
      <c r="P15" s="7">
        <v>0.25</v>
      </c>
      <c r="Q15">
        <v>-13.98</v>
      </c>
      <c r="R15" t="s">
        <v>96</v>
      </c>
      <c r="S15" t="s">
        <v>114</v>
      </c>
      <c r="T15" t="s">
        <v>119</v>
      </c>
      <c r="U15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8"/>
  <sheetViews>
    <sheetView tabSelected="1" workbookViewId="0">
      <selection activeCell="D15" sqref="D15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21</v>
      </c>
      <c r="B2" t="s">
        <v>25</v>
      </c>
      <c r="C2" t="s">
        <v>29</v>
      </c>
      <c r="D2" t="s">
        <v>36</v>
      </c>
      <c r="E2" t="s">
        <v>43</v>
      </c>
      <c r="F2" t="s">
        <v>50</v>
      </c>
      <c r="G2" t="s">
        <v>53</v>
      </c>
      <c r="H2" t="s">
        <v>55</v>
      </c>
      <c r="I2" t="s">
        <v>59</v>
      </c>
      <c r="J2" t="s">
        <v>64</v>
      </c>
      <c r="K2" t="s">
        <v>67</v>
      </c>
      <c r="L2" t="s">
        <v>74</v>
      </c>
      <c r="M2" t="s">
        <v>75</v>
      </c>
      <c r="N2" t="s">
        <v>78</v>
      </c>
      <c r="O2" t="s">
        <v>82</v>
      </c>
      <c r="P2" t="s">
        <v>89</v>
      </c>
      <c r="Q2" t="s">
        <v>82</v>
      </c>
      <c r="R2" t="s">
        <v>90</v>
      </c>
      <c r="S2" t="s">
        <v>97</v>
      </c>
      <c r="T2">
        <v>6.5</v>
      </c>
    </row>
    <row r="3" spans="1:20" x14ac:dyDescent="0.25">
      <c r="A3" t="s">
        <v>22</v>
      </c>
      <c r="B3" t="s">
        <v>26</v>
      </c>
      <c r="C3" t="s">
        <v>30</v>
      </c>
      <c r="D3" t="s">
        <v>37</v>
      </c>
      <c r="E3" t="s">
        <v>44</v>
      </c>
      <c r="F3" t="s">
        <v>50</v>
      </c>
      <c r="G3" t="s">
        <v>53</v>
      </c>
      <c r="H3" t="s">
        <v>55</v>
      </c>
      <c r="I3" t="s">
        <v>60</v>
      </c>
      <c r="J3" t="s">
        <v>65</v>
      </c>
      <c r="K3" t="s">
        <v>68</v>
      </c>
      <c r="L3" t="s">
        <v>74</v>
      </c>
      <c r="M3" t="s">
        <v>75</v>
      </c>
      <c r="N3" t="s">
        <v>79</v>
      </c>
      <c r="O3" t="s">
        <v>83</v>
      </c>
      <c r="P3" t="s">
        <v>89</v>
      </c>
      <c r="Q3" t="s">
        <v>83</v>
      </c>
      <c r="R3" t="s">
        <v>90</v>
      </c>
      <c r="S3" t="s">
        <v>97</v>
      </c>
      <c r="T3">
        <v>5.37</v>
      </c>
    </row>
    <row r="4" spans="1:20" x14ac:dyDescent="0.25">
      <c r="A4" t="s">
        <v>23</v>
      </c>
      <c r="B4" t="s">
        <v>27</v>
      </c>
      <c r="C4" t="s">
        <v>31</v>
      </c>
      <c r="D4" t="s">
        <v>38</v>
      </c>
      <c r="E4" t="s">
        <v>45</v>
      </c>
      <c r="F4" t="s">
        <v>51</v>
      </c>
      <c r="G4" t="s">
        <v>54</v>
      </c>
      <c r="H4" t="s">
        <v>56</v>
      </c>
      <c r="I4" t="s">
        <v>61</v>
      </c>
      <c r="J4" t="s">
        <v>64</v>
      </c>
      <c r="K4" t="s">
        <v>69</v>
      </c>
      <c r="L4" t="s">
        <v>74</v>
      </c>
      <c r="M4" t="s">
        <v>76</v>
      </c>
      <c r="N4" t="s">
        <v>80</v>
      </c>
      <c r="O4" t="s">
        <v>84</v>
      </c>
      <c r="P4" t="s">
        <v>89</v>
      </c>
      <c r="Q4" t="s">
        <v>84</v>
      </c>
      <c r="R4" t="s">
        <v>90</v>
      </c>
      <c r="S4" t="s">
        <v>98</v>
      </c>
      <c r="T4">
        <v>7.27</v>
      </c>
    </row>
    <row r="5" spans="1:20" x14ac:dyDescent="0.25">
      <c r="A5" t="s">
        <v>23</v>
      </c>
      <c r="B5" t="s">
        <v>27</v>
      </c>
      <c r="C5" t="s">
        <v>32</v>
      </c>
      <c r="D5" t="s">
        <v>39</v>
      </c>
      <c r="E5" t="s">
        <v>46</v>
      </c>
      <c r="F5" t="s">
        <v>52</v>
      </c>
      <c r="G5" t="s">
        <v>53</v>
      </c>
      <c r="H5" t="s">
        <v>57</v>
      </c>
      <c r="I5" t="s">
        <v>62</v>
      </c>
      <c r="J5" t="s">
        <v>64</v>
      </c>
      <c r="K5" t="s">
        <v>70</v>
      </c>
      <c r="L5" t="s">
        <v>74</v>
      </c>
      <c r="M5" t="s">
        <v>75</v>
      </c>
      <c r="N5" t="s">
        <v>81</v>
      </c>
      <c r="O5" t="s">
        <v>85</v>
      </c>
      <c r="P5" t="s">
        <v>89</v>
      </c>
      <c r="Q5" t="s">
        <v>85</v>
      </c>
      <c r="R5" t="s">
        <v>90</v>
      </c>
      <c r="S5" t="s">
        <v>97</v>
      </c>
      <c r="T5">
        <v>21.56</v>
      </c>
    </row>
    <row r="6" spans="1:20" x14ac:dyDescent="0.25">
      <c r="A6" t="s">
        <v>23</v>
      </c>
      <c r="B6" t="s">
        <v>27</v>
      </c>
      <c r="C6" t="s">
        <v>33</v>
      </c>
      <c r="D6" t="s">
        <v>40</v>
      </c>
      <c r="E6" t="s">
        <v>47</v>
      </c>
      <c r="F6" t="s">
        <v>51</v>
      </c>
      <c r="G6" t="s">
        <v>54</v>
      </c>
      <c r="H6" t="s">
        <v>57</v>
      </c>
      <c r="I6" t="s">
        <v>63</v>
      </c>
      <c r="J6" t="s">
        <v>64</v>
      </c>
      <c r="K6" t="s">
        <v>71</v>
      </c>
      <c r="L6" t="s">
        <v>74</v>
      </c>
      <c r="M6" t="s">
        <v>76</v>
      </c>
      <c r="N6" t="s">
        <v>81</v>
      </c>
      <c r="O6" t="s">
        <v>86</v>
      </c>
      <c r="P6" t="s">
        <v>89</v>
      </c>
      <c r="Q6" t="s">
        <v>86</v>
      </c>
      <c r="R6" t="s">
        <v>90</v>
      </c>
      <c r="S6" t="s">
        <v>99</v>
      </c>
      <c r="T6">
        <v>1.46</v>
      </c>
    </row>
    <row r="7" spans="1:20" x14ac:dyDescent="0.25">
      <c r="A7" t="s">
        <v>23</v>
      </c>
      <c r="B7" t="s">
        <v>27</v>
      </c>
      <c r="C7" t="s">
        <v>34</v>
      </c>
      <c r="D7" t="s">
        <v>41</v>
      </c>
      <c r="E7" t="s">
        <v>48</v>
      </c>
      <c r="F7" t="s">
        <v>51</v>
      </c>
      <c r="G7" t="s">
        <v>54</v>
      </c>
      <c r="H7" t="s">
        <v>57</v>
      </c>
      <c r="I7" t="s">
        <v>60</v>
      </c>
      <c r="J7" t="s">
        <v>64</v>
      </c>
      <c r="K7" t="s">
        <v>72</v>
      </c>
      <c r="L7" t="s">
        <v>74</v>
      </c>
      <c r="M7" t="s">
        <v>76</v>
      </c>
      <c r="N7" t="s">
        <v>81</v>
      </c>
      <c r="O7" t="s">
        <v>87</v>
      </c>
      <c r="P7" t="s">
        <v>89</v>
      </c>
      <c r="Q7" t="s">
        <v>87</v>
      </c>
      <c r="R7" t="s">
        <v>90</v>
      </c>
      <c r="S7" t="s">
        <v>99</v>
      </c>
      <c r="T7">
        <v>1.7</v>
      </c>
    </row>
    <row r="8" spans="1:20" x14ac:dyDescent="0.25">
      <c r="A8" t="s">
        <v>24</v>
      </c>
      <c r="B8" t="s">
        <v>28</v>
      </c>
      <c r="C8" t="s">
        <v>35</v>
      </c>
      <c r="D8" t="s">
        <v>42</v>
      </c>
      <c r="E8" t="s">
        <v>49</v>
      </c>
      <c r="F8" t="s">
        <v>52</v>
      </c>
      <c r="G8" t="s">
        <v>53</v>
      </c>
      <c r="H8" t="s">
        <v>58</v>
      </c>
      <c r="I8" t="s">
        <v>61</v>
      </c>
      <c r="J8" t="s">
        <v>66</v>
      </c>
      <c r="K8" t="s">
        <v>73</v>
      </c>
      <c r="L8" t="s">
        <v>74</v>
      </c>
      <c r="M8" t="s">
        <v>77</v>
      </c>
      <c r="N8" t="s">
        <v>81</v>
      </c>
      <c r="O8" t="s">
        <v>88</v>
      </c>
      <c r="P8" t="s">
        <v>89</v>
      </c>
      <c r="Q8" t="s">
        <v>88</v>
      </c>
      <c r="R8" t="s">
        <v>90</v>
      </c>
      <c r="S8" t="s">
        <v>97</v>
      </c>
      <c r="T8">
        <v>-5.31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>
      <selection activeCell="B8" sqref="B8"/>
    </sheetView>
  </sheetViews>
  <sheetFormatPr defaultRowHeight="15" x14ac:dyDescent="0.25"/>
  <sheetData>
    <row r="1" spans="1:9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100</v>
      </c>
    </row>
    <row r="2" spans="1:9" x14ac:dyDescent="0.25">
      <c r="A2" t="s">
        <v>31</v>
      </c>
      <c r="B2" t="s">
        <v>38</v>
      </c>
      <c r="C2" t="s">
        <v>45</v>
      </c>
      <c r="D2" t="s">
        <v>51</v>
      </c>
      <c r="E2" t="s">
        <v>54</v>
      </c>
      <c r="F2" t="s">
        <v>56</v>
      </c>
      <c r="G2" t="s">
        <v>61</v>
      </c>
      <c r="H2" t="s">
        <v>101</v>
      </c>
      <c r="I2">
        <v>-38.58</v>
      </c>
    </row>
    <row r="3" spans="1:9" x14ac:dyDescent="0.25">
      <c r="A3" t="s">
        <v>35</v>
      </c>
      <c r="B3" t="s">
        <v>42</v>
      </c>
      <c r="C3" t="s">
        <v>49</v>
      </c>
      <c r="D3" t="s">
        <v>52</v>
      </c>
      <c r="E3" t="s">
        <v>53</v>
      </c>
      <c r="F3" t="s">
        <v>58</v>
      </c>
      <c r="G3" t="s">
        <v>61</v>
      </c>
      <c r="H3" t="s">
        <v>101</v>
      </c>
      <c r="I3">
        <v>13.98</v>
      </c>
    </row>
    <row r="4" spans="1:9" x14ac:dyDescent="0.25">
      <c r="A4" t="s">
        <v>35</v>
      </c>
      <c r="B4" t="s">
        <v>42</v>
      </c>
      <c r="C4" t="s">
        <v>49</v>
      </c>
      <c r="G4" t="s">
        <v>62</v>
      </c>
      <c r="H4" t="s">
        <v>102</v>
      </c>
      <c r="I4">
        <v>-125.82</v>
      </c>
    </row>
    <row r="5" spans="1:9" x14ac:dyDescent="0.25">
      <c r="A5" t="s">
        <v>32</v>
      </c>
      <c r="B5" t="s">
        <v>39</v>
      </c>
      <c r="C5" t="s">
        <v>46</v>
      </c>
      <c r="D5" t="s">
        <v>52</v>
      </c>
      <c r="E5" t="s">
        <v>53</v>
      </c>
      <c r="F5" t="s">
        <v>57</v>
      </c>
      <c r="G5" t="s">
        <v>62</v>
      </c>
      <c r="H5" t="s">
        <v>101</v>
      </c>
      <c r="I5">
        <v>-56.74</v>
      </c>
    </row>
    <row r="6" spans="1:9" x14ac:dyDescent="0.25">
      <c r="A6" t="s">
        <v>33</v>
      </c>
      <c r="B6" t="s">
        <v>40</v>
      </c>
      <c r="C6" t="s">
        <v>47</v>
      </c>
      <c r="D6" t="s">
        <v>51</v>
      </c>
      <c r="E6" t="s">
        <v>54</v>
      </c>
      <c r="F6" t="s">
        <v>57</v>
      </c>
      <c r="G6" t="s">
        <v>63</v>
      </c>
      <c r="H6" t="s">
        <v>101</v>
      </c>
      <c r="I6">
        <v>-42.42</v>
      </c>
    </row>
    <row r="7" spans="1:9" x14ac:dyDescent="0.25">
      <c r="A7" t="s">
        <v>30</v>
      </c>
      <c r="B7" t="s">
        <v>37</v>
      </c>
      <c r="C7" t="s">
        <v>44</v>
      </c>
      <c r="D7" t="s">
        <v>50</v>
      </c>
      <c r="E7" t="s">
        <v>53</v>
      </c>
      <c r="F7" t="s">
        <v>55</v>
      </c>
      <c r="G7" t="s">
        <v>60</v>
      </c>
      <c r="H7" t="s">
        <v>101</v>
      </c>
      <c r="I7">
        <v>-14.13</v>
      </c>
    </row>
    <row r="8" spans="1:9" x14ac:dyDescent="0.25">
      <c r="A8" t="s">
        <v>34</v>
      </c>
      <c r="B8" t="s">
        <v>41</v>
      </c>
      <c r="C8" t="s">
        <v>48</v>
      </c>
      <c r="D8" t="s">
        <v>51</v>
      </c>
      <c r="E8" t="s">
        <v>54</v>
      </c>
      <c r="F8" t="s">
        <v>57</v>
      </c>
      <c r="G8" t="s">
        <v>60</v>
      </c>
      <c r="H8" t="s">
        <v>101</v>
      </c>
      <c r="I8">
        <v>-49.19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"/>
  <sheetViews>
    <sheetView workbookViewId="0"/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103</v>
      </c>
      <c r="L1" s="1" t="s">
        <v>17</v>
      </c>
      <c r="M1" s="1" t="s">
        <v>18</v>
      </c>
      <c r="N1" s="1" t="s">
        <v>104</v>
      </c>
      <c r="O1" s="1" t="s">
        <v>105</v>
      </c>
      <c r="P1" s="1" t="s">
        <v>106</v>
      </c>
    </row>
    <row r="2" spans="1:16" x14ac:dyDescent="0.25">
      <c r="A2" t="s">
        <v>23</v>
      </c>
      <c r="B2" t="s">
        <v>27</v>
      </c>
      <c r="C2" t="s">
        <v>32</v>
      </c>
      <c r="D2" t="s">
        <v>39</v>
      </c>
      <c r="E2" t="s">
        <v>46</v>
      </c>
      <c r="F2" t="s">
        <v>52</v>
      </c>
      <c r="G2" t="s">
        <v>53</v>
      </c>
      <c r="H2" t="s">
        <v>57</v>
      </c>
      <c r="I2" t="s">
        <v>62</v>
      </c>
      <c r="J2" t="s">
        <v>107</v>
      </c>
      <c r="K2" t="s">
        <v>85</v>
      </c>
      <c r="L2" t="s">
        <v>90</v>
      </c>
      <c r="M2" t="s">
        <v>92</v>
      </c>
      <c r="N2" t="s">
        <v>108</v>
      </c>
      <c r="O2">
        <v>510.66</v>
      </c>
      <c r="P2" t="s">
        <v>110</v>
      </c>
    </row>
    <row r="3" spans="1:16" x14ac:dyDescent="0.25">
      <c r="A3" t="s">
        <v>23</v>
      </c>
      <c r="B3" t="s">
        <v>27</v>
      </c>
      <c r="C3" t="s">
        <v>33</v>
      </c>
      <c r="D3" t="s">
        <v>40</v>
      </c>
      <c r="E3" t="s">
        <v>47</v>
      </c>
      <c r="F3" t="s">
        <v>51</v>
      </c>
      <c r="G3" t="s">
        <v>54</v>
      </c>
      <c r="H3" t="s">
        <v>57</v>
      </c>
      <c r="I3" t="s">
        <v>63</v>
      </c>
      <c r="J3" t="s">
        <v>107</v>
      </c>
      <c r="K3" t="s">
        <v>86</v>
      </c>
      <c r="L3" t="s">
        <v>90</v>
      </c>
      <c r="M3" t="s">
        <v>94</v>
      </c>
      <c r="N3" t="s">
        <v>109</v>
      </c>
      <c r="O3">
        <v>509.04</v>
      </c>
      <c r="P3" t="s">
        <v>110</v>
      </c>
    </row>
    <row r="4" spans="1:16" x14ac:dyDescent="0.25">
      <c r="A4" t="s">
        <v>23</v>
      </c>
      <c r="B4" t="s">
        <v>27</v>
      </c>
      <c r="C4" t="s">
        <v>34</v>
      </c>
      <c r="D4" t="s">
        <v>41</v>
      </c>
      <c r="E4" t="s">
        <v>48</v>
      </c>
      <c r="F4" t="s">
        <v>51</v>
      </c>
      <c r="G4" t="s">
        <v>54</v>
      </c>
      <c r="H4" t="s">
        <v>57</v>
      </c>
      <c r="I4" t="s">
        <v>60</v>
      </c>
      <c r="J4" t="s">
        <v>107</v>
      </c>
      <c r="K4" t="s">
        <v>87</v>
      </c>
      <c r="L4" t="s">
        <v>90</v>
      </c>
      <c r="M4" t="s">
        <v>94</v>
      </c>
      <c r="N4" t="s">
        <v>109</v>
      </c>
      <c r="O4">
        <v>590.28</v>
      </c>
      <c r="P4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First Year Commission</vt:lpstr>
      <vt:lpstr>Sheet1</vt:lpstr>
      <vt:lpstr>First Year Overwrites</vt:lpstr>
      <vt:lpstr>Advance Paybacks</vt:lpstr>
      <vt:lpstr>Advances - Paid Advances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2026-04-26T17:02:11Z</dcterms:created>
  <dcterms:modified xsi:type="dcterms:W3CDTF">2026-04-27T20:27:25Z</dcterms:modified>
</cp:coreProperties>
</file>