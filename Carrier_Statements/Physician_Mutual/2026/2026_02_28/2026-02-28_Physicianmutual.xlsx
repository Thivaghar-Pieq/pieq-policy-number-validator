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2026\2-28-26\"/>
    </mc:Choice>
  </mc:AlternateContent>
  <xr:revisionPtr revIDLastSave="0" documentId="13_ncr:1_{F24846F8-A579-4D05-B6B4-0A28BFC7B8A4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First Year Commission" sheetId="1" r:id="rId1"/>
    <sheet name="Sheet1" sheetId="5" r:id="rId2"/>
    <sheet name="First Year Overwrites" sheetId="2" r:id="rId3"/>
    <sheet name="Advance Paybacks" sheetId="3" r:id="rId4"/>
    <sheet name="Advances - Paid Advances" sheetId="4" r:id="rId5"/>
  </sheets>
  <calcPr calcId="181029"/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2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48" i="5"/>
</calcChain>
</file>

<file path=xl/sharedStrings.xml><?xml version="1.0" encoding="utf-8"?>
<sst xmlns="http://schemas.openxmlformats.org/spreadsheetml/2006/main" count="3473" uniqueCount="310">
  <si>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</si>
  <si>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</si>
  <si>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</si>
  <si>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</si>
  <si>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</si>
  <si>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</si>
  <si>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</si>
  <si>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</si>
  <si>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</si>
  <si>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</si>
  <si>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</si>
  <si>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</si>
  <si>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</si>
  <si>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</si>
  <si>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</si>
  <si>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</si>
  <si>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</si>
  <si>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</si>
  <si>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</si>
  <si>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</si>
  <si>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</si>
  <si>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McCorkle Michelle null</t>
  </si>
  <si>
    <t>Inskipt Deborah null</t>
  </si>
  <si>
    <t xml:space="preserve">Kozacheck Anne Marie </t>
  </si>
  <si>
    <t>Brandt Steven K</t>
  </si>
  <si>
    <t xml:space="preserve">Sherman Matthew </t>
  </si>
  <si>
    <t>Kucan Thomas null</t>
  </si>
  <si>
    <t>Petrungaro Andrea null</t>
  </si>
  <si>
    <t>Green Danna null</t>
  </si>
  <si>
    <t>Schumann Barry null</t>
  </si>
  <si>
    <t xml:space="preserve">Dunavant Michael </t>
  </si>
  <si>
    <t>18710070</t>
  </si>
  <si>
    <t>17528908</t>
  </si>
  <si>
    <t>19278370</t>
  </si>
  <si>
    <t>19491313</t>
  </si>
  <si>
    <t>8812322</t>
  </si>
  <si>
    <t>16202925</t>
  </si>
  <si>
    <t>16912722</t>
  </si>
  <si>
    <t>16849453</t>
  </si>
  <si>
    <t>19586992</t>
  </si>
  <si>
    <t>18828278</t>
  </si>
  <si>
    <t>H711061009</t>
  </si>
  <si>
    <t>H711071682</t>
  </si>
  <si>
    <t>H711045193</t>
  </si>
  <si>
    <t>H711051038</t>
  </si>
  <si>
    <t>H750083231</t>
  </si>
  <si>
    <t>H750073175</t>
  </si>
  <si>
    <t>H750068245</t>
  </si>
  <si>
    <t>H750083517</t>
  </si>
  <si>
    <t>H750081328</t>
  </si>
  <si>
    <t>H750083520</t>
  </si>
  <si>
    <t>H750079901</t>
  </si>
  <si>
    <t>H750075381</t>
  </si>
  <si>
    <t>H711115473</t>
  </si>
  <si>
    <t>H711117482</t>
  </si>
  <si>
    <t>H711037504</t>
  </si>
  <si>
    <t>H711096008</t>
  </si>
  <si>
    <t>H750088408</t>
  </si>
  <si>
    <t>H750088412</t>
  </si>
  <si>
    <t>H711096465</t>
  </si>
  <si>
    <t>H750086700</t>
  </si>
  <si>
    <t>H711102067</t>
  </si>
  <si>
    <t>H711083511</t>
  </si>
  <si>
    <t>H711067996</t>
  </si>
  <si>
    <t>H711074532</t>
  </si>
  <si>
    <t>H711094874</t>
  </si>
  <si>
    <t>H711073391</t>
  </si>
  <si>
    <t>H711070502</t>
  </si>
  <si>
    <t>H711101358</t>
  </si>
  <si>
    <t>H711064367</t>
  </si>
  <si>
    <t>H711075141</t>
  </si>
  <si>
    <t>H711079647</t>
  </si>
  <si>
    <t>H711080848</t>
  </si>
  <si>
    <t>H750073946</t>
  </si>
  <si>
    <t>H711104082</t>
  </si>
  <si>
    <t>H711067280</t>
  </si>
  <si>
    <t>H711101209</t>
  </si>
  <si>
    <t>H750073872</t>
  </si>
  <si>
    <t>H711025485</t>
  </si>
  <si>
    <t>H711054000</t>
  </si>
  <si>
    <t>H750076900</t>
  </si>
  <si>
    <t>H750098156</t>
  </si>
  <si>
    <t>H750091114</t>
  </si>
  <si>
    <t>H750095010</t>
  </si>
  <si>
    <t>H711020958</t>
  </si>
  <si>
    <t>H750095201</t>
  </si>
  <si>
    <t>H750075298</t>
  </si>
  <si>
    <t>H750075563</t>
  </si>
  <si>
    <t>John</t>
  </si>
  <si>
    <t>Kathy</t>
  </si>
  <si>
    <t>Kenneth</t>
  </si>
  <si>
    <t>Sandra</t>
  </si>
  <si>
    <t>Michelle</t>
  </si>
  <si>
    <t>Lori</t>
  </si>
  <si>
    <t>Ralph</t>
  </si>
  <si>
    <t>Alan</t>
  </si>
  <si>
    <t>Mary Ann</t>
  </si>
  <si>
    <t>Paula</t>
  </si>
  <si>
    <t>Cheryl</t>
  </si>
  <si>
    <t>Ray</t>
  </si>
  <si>
    <t>Michael</t>
  </si>
  <si>
    <t>Trina</t>
  </si>
  <si>
    <t>Edward</t>
  </si>
  <si>
    <t>Jo</t>
  </si>
  <si>
    <t>Peggy</t>
  </si>
  <si>
    <t>Carrie</t>
  </si>
  <si>
    <t>Jennifer</t>
  </si>
  <si>
    <t>Delbert</t>
  </si>
  <si>
    <t>Brandon</t>
  </si>
  <si>
    <t>Misty</t>
  </si>
  <si>
    <t>Grant</t>
  </si>
  <si>
    <t>Daniel</t>
  </si>
  <si>
    <t>Ted</t>
  </si>
  <si>
    <t>Kalin</t>
  </si>
  <si>
    <t>Aaron</t>
  </si>
  <si>
    <t>Laura</t>
  </si>
  <si>
    <t>Hannah</t>
  </si>
  <si>
    <t>Harlin</t>
  </si>
  <si>
    <t>Joshua</t>
  </si>
  <si>
    <t>Patricia</t>
  </si>
  <si>
    <t>Nathan</t>
  </si>
  <si>
    <t>Shirley</t>
  </si>
  <si>
    <t>Anna</t>
  </si>
  <si>
    <t>Zaharoula</t>
  </si>
  <si>
    <t>Ronald</t>
  </si>
  <si>
    <t>Gerrod</t>
  </si>
  <si>
    <t>Carolyn</t>
  </si>
  <si>
    <t>Karen</t>
  </si>
  <si>
    <t>Jacqueline</t>
  </si>
  <si>
    <t>Jayne</t>
  </si>
  <si>
    <t>Hanley</t>
  </si>
  <si>
    <t>Unis</t>
  </si>
  <si>
    <t>Maniecki</t>
  </si>
  <si>
    <t>Pelzsharpe</t>
  </si>
  <si>
    <t>Zahler</t>
  </si>
  <si>
    <t>Friend</t>
  </si>
  <si>
    <t>Gropper</t>
  </si>
  <si>
    <t>Kercher</t>
  </si>
  <si>
    <t>Benik</t>
  </si>
  <si>
    <t>Sandridge</t>
  </si>
  <si>
    <t>Askin</t>
  </si>
  <si>
    <t>Kovach</t>
  </si>
  <si>
    <t>Gordon</t>
  </si>
  <si>
    <t>Kunkel</t>
  </si>
  <si>
    <t>Tappendorf</t>
  </si>
  <si>
    <t>Bailey</t>
  </si>
  <si>
    <t>Serres</t>
  </si>
  <si>
    <t>Tobias</t>
  </si>
  <si>
    <t>Wimberly</t>
  </si>
  <si>
    <t>Greene</t>
  </si>
  <si>
    <t>Newberry</t>
  </si>
  <si>
    <t>Hegstrom</t>
  </si>
  <si>
    <t>Smith</t>
  </si>
  <si>
    <t>Biddle</t>
  </si>
  <si>
    <t>Hildenbrand</t>
  </si>
  <si>
    <t>Morris</t>
  </si>
  <si>
    <t>Kocher</t>
  </si>
  <si>
    <t>Kincaid</t>
  </si>
  <si>
    <t>Crabtree</t>
  </si>
  <si>
    <t>Minton</t>
  </si>
  <si>
    <t>Hill</t>
  </si>
  <si>
    <t>Meyers</t>
  </si>
  <si>
    <t>Buckley</t>
  </si>
  <si>
    <t>Lake</t>
  </si>
  <si>
    <t>Perry</t>
  </si>
  <si>
    <t>Biebl</t>
  </si>
  <si>
    <t>Diamantakos</t>
  </si>
  <si>
    <t>Zhiss</t>
  </si>
  <si>
    <t>Lambrecht</t>
  </si>
  <si>
    <t>Duke</t>
  </si>
  <si>
    <t>Johns</t>
  </si>
  <si>
    <t>Green</t>
  </si>
  <si>
    <t>Bressner</t>
  </si>
  <si>
    <t>C25400002</t>
  </si>
  <si>
    <t>S06600001</t>
  </si>
  <si>
    <t>S06500001</t>
  </si>
  <si>
    <t>P15400002</t>
  </si>
  <si>
    <t>Dental</t>
  </si>
  <si>
    <t>Medicare Supplement</t>
  </si>
  <si>
    <t>PA</t>
  </si>
  <si>
    <t>OH</t>
  </si>
  <si>
    <t>IL</t>
  </si>
  <si>
    <t>MD</t>
  </si>
  <si>
    <t>IN</t>
  </si>
  <si>
    <t>2026-02-25</t>
  </si>
  <si>
    <t>2026-02-23</t>
  </si>
  <si>
    <t>2026-02-27</t>
  </si>
  <si>
    <t>2026-02-26</t>
  </si>
  <si>
    <t>2026-02-24</t>
  </si>
  <si>
    <t>2026-04-01</t>
  </si>
  <si>
    <t>2026-03-22</t>
  </si>
  <si>
    <t>2026-03-28</t>
  </si>
  <si>
    <t>2026-04-05</t>
  </si>
  <si>
    <t>2026-04-15</t>
  </si>
  <si>
    <t>2026-05-01</t>
  </si>
  <si>
    <t>64</t>
  </si>
  <si>
    <t>66</t>
  </si>
  <si>
    <t>55</t>
  </si>
  <si>
    <t>65</t>
  </si>
  <si>
    <t>86</t>
  </si>
  <si>
    <t>58</t>
  </si>
  <si>
    <t>50</t>
  </si>
  <si>
    <t>73</t>
  </si>
  <si>
    <t>78</t>
  </si>
  <si>
    <t>49</t>
  </si>
  <si>
    <t>62</t>
  </si>
  <si>
    <t>27</t>
  </si>
  <si>
    <t>51</t>
  </si>
  <si>
    <t>31</t>
  </si>
  <si>
    <t>57</t>
  </si>
  <si>
    <t>60</t>
  </si>
  <si>
    <t>53</t>
  </si>
  <si>
    <t>63</t>
  </si>
  <si>
    <t>26</t>
  </si>
  <si>
    <t>71</t>
  </si>
  <si>
    <t>33</t>
  </si>
  <si>
    <t>70</t>
  </si>
  <si>
    <t>79</t>
  </si>
  <si>
    <t>81</t>
  </si>
  <si>
    <t>69</t>
  </si>
  <si>
    <t>MONTHLY</t>
  </si>
  <si>
    <t>RCVP</t>
  </si>
  <si>
    <t>RCVP-R</t>
  </si>
  <si>
    <t>5</t>
  </si>
  <si>
    <t>4</t>
  </si>
  <si>
    <t>6</t>
  </si>
  <si>
    <t>3</t>
  </si>
  <si>
    <t>8</t>
  </si>
  <si>
    <t>1</t>
  </si>
  <si>
    <t>7</t>
  </si>
  <si>
    <t>2</t>
  </si>
  <si>
    <t>68.45</t>
  </si>
  <si>
    <t>56.50</t>
  </si>
  <si>
    <t>110.20</t>
  </si>
  <si>
    <t>130.09</t>
  </si>
  <si>
    <t>104.82</t>
  </si>
  <si>
    <t>354.28</t>
  </si>
  <si>
    <t>136.22</t>
  </si>
  <si>
    <t>117.08</t>
  </si>
  <si>
    <t>123.24</t>
  </si>
  <si>
    <t>115.86</t>
  </si>
  <si>
    <t>65.45</t>
  </si>
  <si>
    <t>127.65</t>
  </si>
  <si>
    <t>206.15</t>
  </si>
  <si>
    <t>189.62</t>
  </si>
  <si>
    <t>242.94</t>
  </si>
  <si>
    <t>113.00</t>
  </si>
  <si>
    <t>120.21</t>
  </si>
  <si>
    <t>55.90</t>
  </si>
  <si>
    <t>214.76</t>
  </si>
  <si>
    <t>182.62</t>
  </si>
  <si>
    <t>47.70</t>
  </si>
  <si>
    <t>173.60</t>
  </si>
  <si>
    <t>176.52</t>
  </si>
  <si>
    <t>333.95</t>
  </si>
  <si>
    <t>160.60</t>
  </si>
  <si>
    <t>238.23</t>
  </si>
  <si>
    <t>116.70</t>
  </si>
  <si>
    <t>137.01</t>
  </si>
  <si>
    <t>0.00</t>
  </si>
  <si>
    <t>243.62</t>
  </si>
  <si>
    <t>170.91</t>
  </si>
  <si>
    <t>149.69</t>
  </si>
  <si>
    <t>166.99</t>
  </si>
  <si>
    <t>100.00000</t>
  </si>
  <si>
    <t>0.00%</t>
  </si>
  <si>
    <t>25.00%</t>
  </si>
  <si>
    <t>21.00%</t>
  </si>
  <si>
    <t>2.00%</t>
  </si>
  <si>
    <t>1.00%</t>
  </si>
  <si>
    <t>20.80%</t>
  </si>
  <si>
    <t>23.20%</t>
  </si>
  <si>
    <t>N</t>
  </si>
  <si>
    <t>Y</t>
  </si>
  <si>
    <t>9.50%</t>
  </si>
  <si>
    <t>2.80%</t>
  </si>
  <si>
    <t>0.80%</t>
  </si>
  <si>
    <t>3.90%</t>
  </si>
  <si>
    <t>advancePaybackAmount</t>
  </si>
  <si>
    <t>APB-S</t>
  </si>
  <si>
    <t>advanceBasis</t>
  </si>
  <si>
    <t>monthsAdvanced</t>
  </si>
  <si>
    <t>paidAdvanceAmount</t>
  </si>
  <si>
    <t>description</t>
  </si>
  <si>
    <t>ISS-A</t>
  </si>
  <si>
    <t>9</t>
  </si>
  <si>
    <t>12</t>
  </si>
  <si>
    <t>Issue Advance Request</t>
  </si>
  <si>
    <t>Main Line Benefits</t>
  </si>
  <si>
    <t>Standard Dental</t>
  </si>
  <si>
    <t>Open Enrollment - States Where Available</t>
  </si>
  <si>
    <t>All Other Guarantee Issue, Underage, &amp; Issue Age 80+</t>
  </si>
  <si>
    <t>Promise Gaurantee (1)</t>
  </si>
  <si>
    <t>Open Enrollment underwritten IL</t>
  </si>
  <si>
    <t>Physician Mutual Medsupp IN</t>
  </si>
  <si>
    <t>Physician Mutual OVR</t>
  </si>
  <si>
    <t>8812322AV9</t>
  </si>
  <si>
    <t>16849453AV9</t>
  </si>
  <si>
    <t>Inskipt Deborah</t>
  </si>
  <si>
    <t>Kucan Thomas</t>
  </si>
  <si>
    <t>Petrungaro Andrea</t>
  </si>
  <si>
    <t>Green Danna</t>
  </si>
  <si>
    <t>Schumann Barry</t>
  </si>
  <si>
    <t>17528908N</t>
  </si>
  <si>
    <t>19278370old</t>
  </si>
  <si>
    <t>NB</t>
  </si>
  <si>
    <t>AV</t>
  </si>
  <si>
    <t>RN</t>
  </si>
  <si>
    <t>AV1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</si>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</sst>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NumberFormat="1" applyFill="1" applyAlignment="1">
      <alignment horizontal="left"/>
    </xf>
    <xf numFmtId="10" fontId="0" fillId="3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NumberFormat="1" applyFill="1" applyAlignment="1">
      <alignment horizontal="left"/>
    </xf>
    <xf numFmtId="10" fontId="0" fillId="2" borderId="0" xfId="0" applyNumberFormat="1" applyFill="1" applyAlignment="1">
      <alignment horizontal="left"/>
    </xf>
    <xf numFmtId="14" fontId="0" fillId="0" borderId="0" xfId="0" applyNumberFormat="1" applyAlignment="1">
      <alignment horizontal="left"/>
    </xf>
    <xf numFmtId="14" fontId="0" fillId="3" borderId="0" xfId="0" applyNumberFormat="1" applyFill="1" applyAlignment="1">
      <alignment horizontal="left"/>
    </xf>
    <xf numFmtId="14" fontId="0" fillId="2" borderId="0" xfId="0" applyNumberFormat="1" applyFill="1" applyAlignment="1">
      <alignment horizontal="left"/>
    </xf>
    <xf numFmtId="14" fontId="1" fillId="0" borderId="1" xfId="0" applyNumberFormat="1" applyFont="1" applyBorder="1" applyAlignment="1">
      <alignment horizontal="left" vertical="top"/>
    </xf>
    <xf numFmtId="0" fontId="0" fillId="0" borderId="0" xfId="0" applyFill="1" applyAlignment="1">
      <alignment horizontal="left"/>
    </xf>
    <xf numFmtId="14" fontId="0" fillId="0" borderId="0" xfId="0" applyNumberFormat="1" applyFill="1" applyAlignment="1">
      <alignment horizontal="left"/>
    </xf>
    <xf numFmtId="0" fontId="0" fillId="0" borderId="0" xfId="0" applyNumberFormat="1" applyFill="1" applyAlignment="1">
      <alignment horizontal="left"/>
    </xf>
    <xf numFmtId="10" fontId="0" fillId="0" borderId="0" xfId="0" applyNumberFormat="1" applyFill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"/>
  <sheetViews>
    <sheetView topLeftCell="A16" workbookViewId="0">
      <selection activeCell="C2" sqref="C2:C48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31</v>
      </c>
      <c r="C2" t="s">
        <v>41</v>
      </c>
      <c r="D2" t="s">
        <v>88</v>
      </c>
      <c r="E2" t="s">
        <v>130</v>
      </c>
      <c r="F2" t="s">
        <v>173</v>
      </c>
      <c r="G2" t="s">
        <v>177</v>
      </c>
      <c r="H2" t="s">
        <v>179</v>
      </c>
      <c r="I2" t="s">
        <v>184</v>
      </c>
      <c r="J2" t="s">
        <v>189</v>
      </c>
      <c r="K2" t="s">
        <v>195</v>
      </c>
      <c r="L2" t="s">
        <v>220</v>
      </c>
      <c r="M2" t="s">
        <v>221</v>
      </c>
      <c r="N2" t="s">
        <v>223</v>
      </c>
      <c r="O2" t="s">
        <v>231</v>
      </c>
      <c r="P2" t="s">
        <v>259</v>
      </c>
      <c r="Q2" t="s">
        <v>231</v>
      </c>
      <c r="R2" t="s">
        <v>264</v>
      </c>
      <c r="S2" t="s">
        <v>265</v>
      </c>
      <c r="T2">
        <v>0</v>
      </c>
      <c r="U2" t="s">
        <v>272</v>
      </c>
    </row>
    <row r="3" spans="1:21" x14ac:dyDescent="0.25">
      <c r="A3" t="s">
        <v>22</v>
      </c>
      <c r="B3" t="s">
        <v>32</v>
      </c>
      <c r="C3" t="s">
        <v>42</v>
      </c>
      <c r="D3" t="s">
        <v>89</v>
      </c>
      <c r="E3" t="s">
        <v>131</v>
      </c>
      <c r="F3" t="s">
        <v>173</v>
      </c>
      <c r="G3" t="s">
        <v>177</v>
      </c>
      <c r="H3" t="s">
        <v>179</v>
      </c>
      <c r="I3" t="s">
        <v>185</v>
      </c>
      <c r="J3" t="s">
        <v>190</v>
      </c>
      <c r="K3" t="s">
        <v>196</v>
      </c>
      <c r="L3" t="s">
        <v>220</v>
      </c>
      <c r="M3" t="s">
        <v>221</v>
      </c>
      <c r="N3" t="s">
        <v>224</v>
      </c>
      <c r="O3" t="s">
        <v>232</v>
      </c>
      <c r="P3" t="s">
        <v>259</v>
      </c>
      <c r="Q3" t="s">
        <v>232</v>
      </c>
      <c r="R3" t="s">
        <v>264</v>
      </c>
      <c r="S3" t="s">
        <v>266</v>
      </c>
      <c r="T3">
        <v>14.13</v>
      </c>
      <c r="U3" t="s">
        <v>273</v>
      </c>
    </row>
    <row r="4" spans="1:21" x14ac:dyDescent="0.25">
      <c r="A4" t="s">
        <v>22</v>
      </c>
      <c r="B4" t="s">
        <v>32</v>
      </c>
      <c r="C4" t="s">
        <v>43</v>
      </c>
      <c r="D4" t="s">
        <v>90</v>
      </c>
      <c r="E4" t="s">
        <v>132</v>
      </c>
      <c r="F4" t="s">
        <v>173</v>
      </c>
      <c r="G4" t="s">
        <v>177</v>
      </c>
      <c r="H4" t="s">
        <v>179</v>
      </c>
      <c r="I4" t="s">
        <v>186</v>
      </c>
      <c r="J4" t="s">
        <v>191</v>
      </c>
      <c r="K4" t="s">
        <v>197</v>
      </c>
      <c r="L4" t="s">
        <v>220</v>
      </c>
      <c r="M4" t="s">
        <v>221</v>
      </c>
      <c r="N4" t="s">
        <v>225</v>
      </c>
      <c r="O4" t="s">
        <v>233</v>
      </c>
      <c r="P4" t="s">
        <v>259</v>
      </c>
      <c r="Q4" t="s">
        <v>233</v>
      </c>
      <c r="R4" t="s">
        <v>264</v>
      </c>
      <c r="S4" t="s">
        <v>266</v>
      </c>
      <c r="T4">
        <v>27.55</v>
      </c>
      <c r="U4" t="s">
        <v>273</v>
      </c>
    </row>
    <row r="5" spans="1:21" x14ac:dyDescent="0.25">
      <c r="A5" t="s">
        <v>23</v>
      </c>
      <c r="B5" t="s">
        <v>33</v>
      </c>
      <c r="C5" t="s">
        <v>44</v>
      </c>
      <c r="D5" t="s">
        <v>91</v>
      </c>
      <c r="E5" t="s">
        <v>133</v>
      </c>
      <c r="F5" t="s">
        <v>173</v>
      </c>
      <c r="G5" t="s">
        <v>177</v>
      </c>
      <c r="H5" t="s">
        <v>179</v>
      </c>
      <c r="I5" t="s">
        <v>186</v>
      </c>
      <c r="J5" t="s">
        <v>189</v>
      </c>
      <c r="K5" t="s">
        <v>198</v>
      </c>
      <c r="L5" t="s">
        <v>220</v>
      </c>
      <c r="M5" t="s">
        <v>221</v>
      </c>
      <c r="N5" t="s">
        <v>223</v>
      </c>
      <c r="O5" t="s">
        <v>233</v>
      </c>
      <c r="P5" t="s">
        <v>259</v>
      </c>
      <c r="Q5" t="s">
        <v>233</v>
      </c>
      <c r="R5" t="s">
        <v>264</v>
      </c>
      <c r="S5" t="s">
        <v>266</v>
      </c>
      <c r="T5">
        <v>27.55</v>
      </c>
      <c r="U5" t="s">
        <v>273</v>
      </c>
    </row>
    <row r="6" spans="1:21" x14ac:dyDescent="0.25">
      <c r="A6" t="s">
        <v>24</v>
      </c>
      <c r="B6" t="s">
        <v>34</v>
      </c>
      <c r="C6" t="s">
        <v>45</v>
      </c>
      <c r="D6" t="s">
        <v>92</v>
      </c>
      <c r="E6" t="s">
        <v>134</v>
      </c>
      <c r="F6" t="s">
        <v>174</v>
      </c>
      <c r="G6" t="s">
        <v>178</v>
      </c>
      <c r="H6" t="s">
        <v>180</v>
      </c>
      <c r="I6" t="s">
        <v>186</v>
      </c>
      <c r="J6" t="s">
        <v>189</v>
      </c>
      <c r="K6" t="s">
        <v>198</v>
      </c>
      <c r="L6" t="s">
        <v>220</v>
      </c>
      <c r="M6" t="s">
        <v>221</v>
      </c>
      <c r="N6" t="s">
        <v>226</v>
      </c>
      <c r="O6" t="s">
        <v>234</v>
      </c>
      <c r="P6" t="s">
        <v>259</v>
      </c>
      <c r="Q6" t="s">
        <v>234</v>
      </c>
      <c r="R6" t="s">
        <v>264</v>
      </c>
      <c r="S6" t="s">
        <v>267</v>
      </c>
      <c r="T6">
        <v>27.32</v>
      </c>
      <c r="U6" t="s">
        <v>273</v>
      </c>
    </row>
    <row r="7" spans="1:21" x14ac:dyDescent="0.25">
      <c r="A7" t="s">
        <v>24</v>
      </c>
      <c r="B7" t="s">
        <v>34</v>
      </c>
      <c r="C7" t="s">
        <v>46</v>
      </c>
      <c r="D7" t="s">
        <v>93</v>
      </c>
      <c r="E7" t="s">
        <v>135</v>
      </c>
      <c r="F7" t="s">
        <v>174</v>
      </c>
      <c r="G7" t="s">
        <v>178</v>
      </c>
      <c r="H7" t="s">
        <v>180</v>
      </c>
      <c r="I7" t="s">
        <v>186</v>
      </c>
      <c r="J7" t="s">
        <v>189</v>
      </c>
      <c r="K7" t="s">
        <v>198</v>
      </c>
      <c r="L7" t="s">
        <v>220</v>
      </c>
      <c r="M7" t="s">
        <v>221</v>
      </c>
      <c r="N7" t="s">
        <v>223</v>
      </c>
      <c r="O7" t="s">
        <v>235</v>
      </c>
      <c r="P7" t="s">
        <v>259</v>
      </c>
      <c r="Q7" t="s">
        <v>235</v>
      </c>
      <c r="R7" t="s">
        <v>264</v>
      </c>
      <c r="S7" t="s">
        <v>267</v>
      </c>
      <c r="T7">
        <v>22.01</v>
      </c>
      <c r="U7" t="s">
        <v>273</v>
      </c>
    </row>
    <row r="8" spans="1:21" x14ac:dyDescent="0.25">
      <c r="A8" t="s">
        <v>24</v>
      </c>
      <c r="B8" t="s">
        <v>34</v>
      </c>
      <c r="C8" t="s">
        <v>47</v>
      </c>
      <c r="D8" t="s">
        <v>94</v>
      </c>
      <c r="E8" t="s">
        <v>136</v>
      </c>
      <c r="F8" t="s">
        <v>175</v>
      </c>
      <c r="G8" t="s">
        <v>178</v>
      </c>
      <c r="H8" t="s">
        <v>180</v>
      </c>
      <c r="I8" t="s">
        <v>186</v>
      </c>
      <c r="J8" t="s">
        <v>189</v>
      </c>
      <c r="K8" t="s">
        <v>199</v>
      </c>
      <c r="L8" t="s">
        <v>220</v>
      </c>
      <c r="M8" t="s">
        <v>222</v>
      </c>
      <c r="N8" t="s">
        <v>227</v>
      </c>
      <c r="O8" t="s">
        <v>236</v>
      </c>
      <c r="P8" t="s">
        <v>259</v>
      </c>
      <c r="Q8" t="s">
        <v>260</v>
      </c>
      <c r="R8" t="s">
        <v>264</v>
      </c>
      <c r="S8" t="s">
        <v>268</v>
      </c>
      <c r="T8">
        <v>4.87</v>
      </c>
      <c r="U8" t="s">
        <v>272</v>
      </c>
    </row>
    <row r="9" spans="1:21" x14ac:dyDescent="0.25">
      <c r="A9" t="s">
        <v>24</v>
      </c>
      <c r="B9" t="s">
        <v>34</v>
      </c>
      <c r="C9" t="s">
        <v>48</v>
      </c>
      <c r="D9" t="s">
        <v>95</v>
      </c>
      <c r="E9" t="s">
        <v>137</v>
      </c>
      <c r="F9" t="s">
        <v>174</v>
      </c>
      <c r="G9" t="s">
        <v>178</v>
      </c>
      <c r="H9" t="s">
        <v>180</v>
      </c>
      <c r="I9" t="s">
        <v>186</v>
      </c>
      <c r="J9" t="s">
        <v>189</v>
      </c>
      <c r="K9" t="s">
        <v>198</v>
      </c>
      <c r="L9" t="s">
        <v>220</v>
      </c>
      <c r="M9" t="s">
        <v>221</v>
      </c>
      <c r="N9" t="s">
        <v>223</v>
      </c>
      <c r="O9" t="s">
        <v>237</v>
      </c>
      <c r="P9" t="s">
        <v>259</v>
      </c>
      <c r="Q9" t="s">
        <v>237</v>
      </c>
      <c r="R9" t="s">
        <v>264</v>
      </c>
      <c r="S9" t="s">
        <v>267</v>
      </c>
      <c r="T9">
        <v>28.61</v>
      </c>
      <c r="U9" t="s">
        <v>273</v>
      </c>
    </row>
    <row r="10" spans="1:21" x14ac:dyDescent="0.25">
      <c r="A10" t="s">
        <v>24</v>
      </c>
      <c r="B10" t="s">
        <v>34</v>
      </c>
      <c r="C10" t="s">
        <v>49</v>
      </c>
      <c r="D10" t="s">
        <v>96</v>
      </c>
      <c r="E10" t="s">
        <v>138</v>
      </c>
      <c r="F10" t="s">
        <v>174</v>
      </c>
      <c r="G10" t="s">
        <v>178</v>
      </c>
      <c r="H10" t="s">
        <v>180</v>
      </c>
      <c r="I10" t="s">
        <v>186</v>
      </c>
      <c r="J10" t="s">
        <v>189</v>
      </c>
      <c r="K10" t="s">
        <v>198</v>
      </c>
      <c r="L10" t="s">
        <v>220</v>
      </c>
      <c r="M10" t="s">
        <v>222</v>
      </c>
      <c r="N10" t="s">
        <v>224</v>
      </c>
      <c r="O10" t="s">
        <v>238</v>
      </c>
      <c r="P10" t="s">
        <v>259</v>
      </c>
      <c r="Q10" t="s">
        <v>238</v>
      </c>
      <c r="R10" t="s">
        <v>264</v>
      </c>
      <c r="S10" t="s">
        <v>269</v>
      </c>
      <c r="T10">
        <v>1.17</v>
      </c>
      <c r="U10" t="s">
        <v>273</v>
      </c>
    </row>
    <row r="11" spans="1:21" x14ac:dyDescent="0.25">
      <c r="A11" t="s">
        <v>24</v>
      </c>
      <c r="B11" t="s">
        <v>34</v>
      </c>
      <c r="C11" t="s">
        <v>50</v>
      </c>
      <c r="D11" t="s">
        <v>97</v>
      </c>
      <c r="E11" t="s">
        <v>137</v>
      </c>
      <c r="F11" t="s">
        <v>174</v>
      </c>
      <c r="G11" t="s">
        <v>178</v>
      </c>
      <c r="H11" t="s">
        <v>180</v>
      </c>
      <c r="I11" t="s">
        <v>186</v>
      </c>
      <c r="J11" t="s">
        <v>189</v>
      </c>
      <c r="K11" t="s">
        <v>198</v>
      </c>
      <c r="L11" t="s">
        <v>220</v>
      </c>
      <c r="M11" t="s">
        <v>221</v>
      </c>
      <c r="N11" t="s">
        <v>223</v>
      </c>
      <c r="O11" t="s">
        <v>239</v>
      </c>
      <c r="P11" t="s">
        <v>259</v>
      </c>
      <c r="Q11" t="s">
        <v>239</v>
      </c>
      <c r="R11" t="s">
        <v>264</v>
      </c>
      <c r="S11" t="s">
        <v>267</v>
      </c>
      <c r="T11">
        <v>25.88</v>
      </c>
      <c r="U11" t="s">
        <v>273</v>
      </c>
    </row>
    <row r="12" spans="1:21" x14ac:dyDescent="0.25">
      <c r="A12" t="s">
        <v>24</v>
      </c>
      <c r="B12" t="s">
        <v>34</v>
      </c>
      <c r="C12" t="s">
        <v>51</v>
      </c>
      <c r="D12" t="s">
        <v>98</v>
      </c>
      <c r="E12" t="s">
        <v>139</v>
      </c>
      <c r="F12" t="s">
        <v>174</v>
      </c>
      <c r="G12" t="s">
        <v>178</v>
      </c>
      <c r="H12" t="s">
        <v>180</v>
      </c>
      <c r="I12" t="s">
        <v>186</v>
      </c>
      <c r="J12" t="s">
        <v>189</v>
      </c>
      <c r="K12" t="s">
        <v>198</v>
      </c>
      <c r="L12" t="s">
        <v>220</v>
      </c>
      <c r="M12" t="s">
        <v>221</v>
      </c>
      <c r="N12" t="s">
        <v>223</v>
      </c>
      <c r="O12" t="s">
        <v>238</v>
      </c>
      <c r="P12" t="s">
        <v>259</v>
      </c>
      <c r="Q12" t="s">
        <v>238</v>
      </c>
      <c r="R12" t="s">
        <v>264</v>
      </c>
      <c r="S12" t="s">
        <v>267</v>
      </c>
      <c r="T12">
        <v>24.59</v>
      </c>
      <c r="U12" t="s">
        <v>273</v>
      </c>
    </row>
    <row r="13" spans="1:21" x14ac:dyDescent="0.25">
      <c r="A13" t="s">
        <v>24</v>
      </c>
      <c r="B13" t="s">
        <v>34</v>
      </c>
      <c r="C13" t="s">
        <v>52</v>
      </c>
      <c r="D13" t="s">
        <v>99</v>
      </c>
      <c r="E13" t="s">
        <v>140</v>
      </c>
      <c r="F13" t="s">
        <v>174</v>
      </c>
      <c r="G13" t="s">
        <v>178</v>
      </c>
      <c r="H13" t="s">
        <v>180</v>
      </c>
      <c r="I13" t="s">
        <v>186</v>
      </c>
      <c r="J13" t="s">
        <v>189</v>
      </c>
      <c r="K13" t="s">
        <v>198</v>
      </c>
      <c r="L13" t="s">
        <v>220</v>
      </c>
      <c r="M13" t="s">
        <v>222</v>
      </c>
      <c r="N13" t="s">
        <v>225</v>
      </c>
      <c r="O13" t="s">
        <v>240</v>
      </c>
      <c r="P13" t="s">
        <v>259</v>
      </c>
      <c r="Q13" t="s">
        <v>240</v>
      </c>
      <c r="R13" t="s">
        <v>264</v>
      </c>
      <c r="S13" t="s">
        <v>267</v>
      </c>
      <c r="T13">
        <v>24.33</v>
      </c>
      <c r="U13" t="s">
        <v>273</v>
      </c>
    </row>
    <row r="14" spans="1:21" x14ac:dyDescent="0.25">
      <c r="A14" t="s">
        <v>25</v>
      </c>
      <c r="B14" t="s">
        <v>35</v>
      </c>
      <c r="C14" t="s">
        <v>53</v>
      </c>
      <c r="D14" t="s">
        <v>100</v>
      </c>
      <c r="E14" t="s">
        <v>141</v>
      </c>
      <c r="F14" t="s">
        <v>176</v>
      </c>
      <c r="G14" t="s">
        <v>177</v>
      </c>
      <c r="H14" t="s">
        <v>181</v>
      </c>
      <c r="I14" t="s">
        <v>185</v>
      </c>
      <c r="J14" t="s">
        <v>189</v>
      </c>
      <c r="K14" t="s">
        <v>198</v>
      </c>
      <c r="L14" t="s">
        <v>220</v>
      </c>
      <c r="M14" t="s">
        <v>221</v>
      </c>
      <c r="N14" t="s">
        <v>228</v>
      </c>
      <c r="O14" t="s">
        <v>232</v>
      </c>
      <c r="P14" t="s">
        <v>259</v>
      </c>
      <c r="Q14" t="s">
        <v>232</v>
      </c>
      <c r="R14" t="s">
        <v>264</v>
      </c>
      <c r="S14" t="s">
        <v>266</v>
      </c>
      <c r="T14">
        <v>14.13</v>
      </c>
      <c r="U14" t="s">
        <v>273</v>
      </c>
    </row>
    <row r="15" spans="1:21" x14ac:dyDescent="0.25">
      <c r="A15" t="s">
        <v>25</v>
      </c>
      <c r="B15" t="s">
        <v>35</v>
      </c>
      <c r="C15" t="s">
        <v>54</v>
      </c>
      <c r="D15" t="s">
        <v>101</v>
      </c>
      <c r="E15" t="s">
        <v>142</v>
      </c>
      <c r="F15" t="s">
        <v>176</v>
      </c>
      <c r="G15" t="s">
        <v>177</v>
      </c>
      <c r="H15" t="s">
        <v>181</v>
      </c>
      <c r="I15" t="s">
        <v>187</v>
      </c>
      <c r="J15" t="s">
        <v>189</v>
      </c>
      <c r="K15" t="s">
        <v>200</v>
      </c>
      <c r="L15" t="s">
        <v>220</v>
      </c>
      <c r="M15" t="s">
        <v>221</v>
      </c>
      <c r="N15" t="s">
        <v>228</v>
      </c>
      <c r="O15" t="s">
        <v>241</v>
      </c>
      <c r="P15" t="s">
        <v>259</v>
      </c>
      <c r="Q15" t="s">
        <v>241</v>
      </c>
      <c r="R15" t="s">
        <v>264</v>
      </c>
      <c r="S15" t="s">
        <v>266</v>
      </c>
      <c r="T15">
        <v>16.36</v>
      </c>
      <c r="U15" t="s">
        <v>273</v>
      </c>
    </row>
    <row r="16" spans="1:21" x14ac:dyDescent="0.25">
      <c r="A16" t="s">
        <v>25</v>
      </c>
      <c r="B16" t="s">
        <v>35</v>
      </c>
      <c r="C16" t="s">
        <v>55</v>
      </c>
      <c r="D16" t="s">
        <v>102</v>
      </c>
      <c r="E16" t="s">
        <v>143</v>
      </c>
      <c r="F16" t="s">
        <v>176</v>
      </c>
      <c r="G16" t="s">
        <v>177</v>
      </c>
      <c r="H16" t="s">
        <v>181</v>
      </c>
      <c r="I16" t="s">
        <v>186</v>
      </c>
      <c r="J16" t="s">
        <v>192</v>
      </c>
      <c r="K16" t="s">
        <v>196</v>
      </c>
      <c r="L16" t="s">
        <v>220</v>
      </c>
      <c r="M16" t="s">
        <v>221</v>
      </c>
      <c r="N16" t="s">
        <v>229</v>
      </c>
      <c r="O16" t="s">
        <v>242</v>
      </c>
      <c r="P16" t="s">
        <v>259</v>
      </c>
      <c r="Q16" t="s">
        <v>242</v>
      </c>
      <c r="R16" t="s">
        <v>264</v>
      </c>
      <c r="S16" t="s">
        <v>266</v>
      </c>
      <c r="T16">
        <v>31.91</v>
      </c>
      <c r="U16" t="s">
        <v>273</v>
      </c>
    </row>
    <row r="17" spans="1:21" x14ac:dyDescent="0.25">
      <c r="A17" t="s">
        <v>25</v>
      </c>
      <c r="B17" t="s">
        <v>35</v>
      </c>
      <c r="C17" t="s">
        <v>56</v>
      </c>
      <c r="D17" t="s">
        <v>103</v>
      </c>
      <c r="E17" t="s">
        <v>144</v>
      </c>
      <c r="F17" t="s">
        <v>176</v>
      </c>
      <c r="G17" t="s">
        <v>177</v>
      </c>
      <c r="H17" t="s">
        <v>181</v>
      </c>
      <c r="I17" t="s">
        <v>186</v>
      </c>
      <c r="J17" t="s">
        <v>189</v>
      </c>
      <c r="K17" t="s">
        <v>201</v>
      </c>
      <c r="L17" t="s">
        <v>220</v>
      </c>
      <c r="M17" t="s">
        <v>221</v>
      </c>
      <c r="N17" t="s">
        <v>230</v>
      </c>
      <c r="O17" t="s">
        <v>243</v>
      </c>
      <c r="P17" t="s">
        <v>259</v>
      </c>
      <c r="Q17" t="s">
        <v>243</v>
      </c>
      <c r="R17" t="s">
        <v>264</v>
      </c>
      <c r="S17" t="s">
        <v>266</v>
      </c>
      <c r="T17">
        <v>51.54</v>
      </c>
      <c r="U17" t="s">
        <v>273</v>
      </c>
    </row>
    <row r="18" spans="1:21" x14ac:dyDescent="0.25">
      <c r="A18" t="s">
        <v>25</v>
      </c>
      <c r="B18" t="s">
        <v>35</v>
      </c>
      <c r="C18" t="s">
        <v>57</v>
      </c>
      <c r="D18" t="s">
        <v>104</v>
      </c>
      <c r="E18" t="s">
        <v>145</v>
      </c>
      <c r="F18" t="s">
        <v>174</v>
      </c>
      <c r="G18" t="s">
        <v>178</v>
      </c>
      <c r="H18" t="s">
        <v>181</v>
      </c>
      <c r="I18" t="s">
        <v>186</v>
      </c>
      <c r="J18" t="s">
        <v>189</v>
      </c>
      <c r="K18" t="s">
        <v>202</v>
      </c>
      <c r="L18" t="s">
        <v>220</v>
      </c>
      <c r="M18" t="s">
        <v>222</v>
      </c>
      <c r="N18" t="s">
        <v>226</v>
      </c>
      <c r="O18" t="s">
        <v>244</v>
      </c>
      <c r="P18" t="s">
        <v>259</v>
      </c>
      <c r="Q18" t="s">
        <v>244</v>
      </c>
      <c r="R18" t="s">
        <v>264</v>
      </c>
      <c r="S18" t="s">
        <v>270</v>
      </c>
      <c r="T18">
        <v>39.44</v>
      </c>
      <c r="U18" t="s">
        <v>273</v>
      </c>
    </row>
    <row r="19" spans="1:21" x14ac:dyDescent="0.25">
      <c r="A19" t="s">
        <v>25</v>
      </c>
      <c r="B19" t="s">
        <v>35</v>
      </c>
      <c r="C19" t="s">
        <v>58</v>
      </c>
      <c r="D19" t="s">
        <v>100</v>
      </c>
      <c r="E19" t="s">
        <v>145</v>
      </c>
      <c r="F19" t="s">
        <v>174</v>
      </c>
      <c r="G19" t="s">
        <v>178</v>
      </c>
      <c r="H19" t="s">
        <v>181</v>
      </c>
      <c r="I19" t="s">
        <v>186</v>
      </c>
      <c r="J19" t="s">
        <v>189</v>
      </c>
      <c r="K19" t="s">
        <v>203</v>
      </c>
      <c r="L19" t="s">
        <v>220</v>
      </c>
      <c r="M19" t="s">
        <v>222</v>
      </c>
      <c r="N19" t="s">
        <v>226</v>
      </c>
      <c r="O19" t="s">
        <v>245</v>
      </c>
      <c r="P19" t="s">
        <v>259</v>
      </c>
      <c r="Q19" t="s">
        <v>245</v>
      </c>
      <c r="R19" t="s">
        <v>264</v>
      </c>
      <c r="S19" t="s">
        <v>270</v>
      </c>
      <c r="T19">
        <v>50.53</v>
      </c>
      <c r="U19" t="s">
        <v>273</v>
      </c>
    </row>
    <row r="20" spans="1:21" x14ac:dyDescent="0.25">
      <c r="A20" t="s">
        <v>25</v>
      </c>
      <c r="B20" t="s">
        <v>35</v>
      </c>
      <c r="C20" t="s">
        <v>59</v>
      </c>
      <c r="D20" t="s">
        <v>105</v>
      </c>
      <c r="E20" t="s">
        <v>146</v>
      </c>
      <c r="F20" t="s">
        <v>176</v>
      </c>
      <c r="G20" t="s">
        <v>177</v>
      </c>
      <c r="H20" t="s">
        <v>181</v>
      </c>
      <c r="I20" t="s">
        <v>186</v>
      </c>
      <c r="J20" t="s">
        <v>189</v>
      </c>
      <c r="K20" t="s">
        <v>204</v>
      </c>
      <c r="L20" t="s">
        <v>220</v>
      </c>
      <c r="M20" t="s">
        <v>221</v>
      </c>
      <c r="N20" t="s">
        <v>230</v>
      </c>
      <c r="O20" t="s">
        <v>246</v>
      </c>
      <c r="P20" t="s">
        <v>259</v>
      </c>
      <c r="Q20" t="s">
        <v>246</v>
      </c>
      <c r="R20" t="s">
        <v>264</v>
      </c>
      <c r="S20" t="s">
        <v>266</v>
      </c>
      <c r="T20">
        <v>28.25</v>
      </c>
      <c r="U20" t="s">
        <v>273</v>
      </c>
    </row>
    <row r="21" spans="1:21" x14ac:dyDescent="0.25">
      <c r="A21" t="s">
        <v>25</v>
      </c>
      <c r="B21" t="s">
        <v>35</v>
      </c>
      <c r="C21" t="s">
        <v>60</v>
      </c>
      <c r="D21" t="s">
        <v>106</v>
      </c>
      <c r="E21" t="s">
        <v>147</v>
      </c>
      <c r="F21" t="s">
        <v>174</v>
      </c>
      <c r="G21" t="s">
        <v>178</v>
      </c>
      <c r="H21" t="s">
        <v>181</v>
      </c>
      <c r="I21" t="s">
        <v>186</v>
      </c>
      <c r="J21" t="s">
        <v>189</v>
      </c>
      <c r="K21" t="s">
        <v>198</v>
      </c>
      <c r="L21" t="s">
        <v>220</v>
      </c>
      <c r="M21" t="s">
        <v>221</v>
      </c>
      <c r="N21" t="s">
        <v>224</v>
      </c>
      <c r="O21" t="s">
        <v>247</v>
      </c>
      <c r="P21" t="s">
        <v>259</v>
      </c>
      <c r="Q21" t="s">
        <v>247</v>
      </c>
      <c r="R21" t="s">
        <v>264</v>
      </c>
      <c r="S21" t="s">
        <v>270</v>
      </c>
      <c r="T21">
        <v>25</v>
      </c>
      <c r="U21" t="s">
        <v>273</v>
      </c>
    </row>
    <row r="22" spans="1:21" x14ac:dyDescent="0.25">
      <c r="A22" t="s">
        <v>25</v>
      </c>
      <c r="B22" t="s">
        <v>35</v>
      </c>
      <c r="C22" t="s">
        <v>61</v>
      </c>
      <c r="D22" t="s">
        <v>107</v>
      </c>
      <c r="E22" t="s">
        <v>148</v>
      </c>
      <c r="F22" t="s">
        <v>176</v>
      </c>
      <c r="G22" t="s">
        <v>177</v>
      </c>
      <c r="H22" t="s">
        <v>181</v>
      </c>
      <c r="I22" t="s">
        <v>186</v>
      </c>
      <c r="J22" t="s">
        <v>189</v>
      </c>
      <c r="K22" t="s">
        <v>205</v>
      </c>
      <c r="L22" t="s">
        <v>220</v>
      </c>
      <c r="M22" t="s">
        <v>221</v>
      </c>
      <c r="N22" t="s">
        <v>230</v>
      </c>
      <c r="O22" t="s">
        <v>242</v>
      </c>
      <c r="P22" t="s">
        <v>259</v>
      </c>
      <c r="Q22" t="s">
        <v>242</v>
      </c>
      <c r="R22" t="s">
        <v>264</v>
      </c>
      <c r="S22" t="s">
        <v>266</v>
      </c>
      <c r="T22">
        <v>31.91</v>
      </c>
      <c r="U22" t="s">
        <v>273</v>
      </c>
    </row>
    <row r="23" spans="1:21" x14ac:dyDescent="0.25">
      <c r="A23" t="s">
        <v>25</v>
      </c>
      <c r="B23" t="s">
        <v>35</v>
      </c>
      <c r="C23" t="s">
        <v>62</v>
      </c>
      <c r="D23" t="s">
        <v>108</v>
      </c>
      <c r="E23" t="s">
        <v>149</v>
      </c>
      <c r="F23" t="s">
        <v>176</v>
      </c>
      <c r="G23" t="s">
        <v>177</v>
      </c>
      <c r="H23" t="s">
        <v>181</v>
      </c>
      <c r="I23" t="s">
        <v>186</v>
      </c>
      <c r="J23" t="s">
        <v>189</v>
      </c>
      <c r="K23" t="s">
        <v>206</v>
      </c>
      <c r="L23" t="s">
        <v>220</v>
      </c>
      <c r="M23" t="s">
        <v>221</v>
      </c>
      <c r="N23" t="s">
        <v>226</v>
      </c>
      <c r="O23" t="s">
        <v>241</v>
      </c>
      <c r="P23" t="s">
        <v>259</v>
      </c>
      <c r="Q23" t="s">
        <v>241</v>
      </c>
      <c r="R23" t="s">
        <v>264</v>
      </c>
      <c r="S23" t="s">
        <v>266</v>
      </c>
      <c r="T23">
        <v>16.36</v>
      </c>
      <c r="U23" t="s">
        <v>273</v>
      </c>
    </row>
    <row r="24" spans="1:21" x14ac:dyDescent="0.25">
      <c r="A24" t="s">
        <v>25</v>
      </c>
      <c r="B24" t="s">
        <v>35</v>
      </c>
      <c r="C24" t="s">
        <v>63</v>
      </c>
      <c r="D24" t="s">
        <v>109</v>
      </c>
      <c r="E24" t="s">
        <v>150</v>
      </c>
      <c r="F24" t="s">
        <v>176</v>
      </c>
      <c r="G24" t="s">
        <v>177</v>
      </c>
      <c r="H24" t="s">
        <v>181</v>
      </c>
      <c r="I24" t="s">
        <v>186</v>
      </c>
      <c r="J24" t="s">
        <v>189</v>
      </c>
      <c r="K24" t="s">
        <v>207</v>
      </c>
      <c r="L24" t="s">
        <v>220</v>
      </c>
      <c r="M24" t="s">
        <v>221</v>
      </c>
      <c r="N24" t="s">
        <v>224</v>
      </c>
      <c r="O24" t="s">
        <v>232</v>
      </c>
      <c r="P24" t="s">
        <v>259</v>
      </c>
      <c r="Q24" t="s">
        <v>232</v>
      </c>
      <c r="R24" t="s">
        <v>264</v>
      </c>
      <c r="S24" t="s">
        <v>266</v>
      </c>
      <c r="T24">
        <v>14.13</v>
      </c>
      <c r="U24" t="s">
        <v>273</v>
      </c>
    </row>
    <row r="25" spans="1:21" x14ac:dyDescent="0.25">
      <c r="A25" t="s">
        <v>25</v>
      </c>
      <c r="B25" t="s">
        <v>35</v>
      </c>
      <c r="C25" t="s">
        <v>64</v>
      </c>
      <c r="D25" t="s">
        <v>110</v>
      </c>
      <c r="E25" t="s">
        <v>151</v>
      </c>
      <c r="F25" t="s">
        <v>176</v>
      </c>
      <c r="G25" t="s">
        <v>177</v>
      </c>
      <c r="H25" t="s">
        <v>181</v>
      </c>
      <c r="I25" t="s">
        <v>186</v>
      </c>
      <c r="J25" t="s">
        <v>189</v>
      </c>
      <c r="K25" t="s">
        <v>208</v>
      </c>
      <c r="L25" t="s">
        <v>220</v>
      </c>
      <c r="M25" t="s">
        <v>221</v>
      </c>
      <c r="N25" t="s">
        <v>226</v>
      </c>
      <c r="O25" t="s">
        <v>242</v>
      </c>
      <c r="P25" t="s">
        <v>259</v>
      </c>
      <c r="Q25" t="s">
        <v>242</v>
      </c>
      <c r="R25" t="s">
        <v>264</v>
      </c>
      <c r="S25" t="s">
        <v>266</v>
      </c>
      <c r="T25">
        <v>31.91</v>
      </c>
      <c r="U25" t="s">
        <v>273</v>
      </c>
    </row>
    <row r="26" spans="1:21" x14ac:dyDescent="0.25">
      <c r="A26" t="s">
        <v>25</v>
      </c>
      <c r="B26" t="s">
        <v>35</v>
      </c>
      <c r="C26" t="s">
        <v>65</v>
      </c>
      <c r="D26" t="s">
        <v>98</v>
      </c>
      <c r="E26" t="s">
        <v>152</v>
      </c>
      <c r="F26" t="s">
        <v>176</v>
      </c>
      <c r="G26" t="s">
        <v>177</v>
      </c>
      <c r="H26" t="s">
        <v>181</v>
      </c>
      <c r="I26" t="s">
        <v>186</v>
      </c>
      <c r="J26" t="s">
        <v>189</v>
      </c>
      <c r="K26" t="s">
        <v>205</v>
      </c>
      <c r="L26" t="s">
        <v>220</v>
      </c>
      <c r="M26" t="s">
        <v>221</v>
      </c>
      <c r="N26" t="s">
        <v>230</v>
      </c>
      <c r="O26" t="s">
        <v>241</v>
      </c>
      <c r="P26" t="s">
        <v>259</v>
      </c>
      <c r="Q26" t="s">
        <v>241</v>
      </c>
      <c r="R26" t="s">
        <v>264</v>
      </c>
      <c r="S26" t="s">
        <v>266</v>
      </c>
      <c r="T26">
        <v>16.36</v>
      </c>
      <c r="U26" t="s">
        <v>273</v>
      </c>
    </row>
    <row r="27" spans="1:21" x14ac:dyDescent="0.25">
      <c r="A27" t="s">
        <v>25</v>
      </c>
      <c r="B27" t="s">
        <v>35</v>
      </c>
      <c r="C27" t="s">
        <v>66</v>
      </c>
      <c r="D27" t="s">
        <v>106</v>
      </c>
      <c r="E27" t="s">
        <v>153</v>
      </c>
      <c r="F27" t="s">
        <v>176</v>
      </c>
      <c r="G27" t="s">
        <v>177</v>
      </c>
      <c r="H27" t="s">
        <v>181</v>
      </c>
      <c r="I27" t="s">
        <v>186</v>
      </c>
      <c r="J27" t="s">
        <v>189</v>
      </c>
      <c r="K27" t="s">
        <v>209</v>
      </c>
      <c r="L27" t="s">
        <v>220</v>
      </c>
      <c r="M27" t="s">
        <v>221</v>
      </c>
      <c r="N27" t="s">
        <v>226</v>
      </c>
      <c r="O27" t="s">
        <v>248</v>
      </c>
      <c r="P27" t="s">
        <v>259</v>
      </c>
      <c r="Q27" t="s">
        <v>248</v>
      </c>
      <c r="R27" t="s">
        <v>264</v>
      </c>
      <c r="S27" t="s">
        <v>266</v>
      </c>
      <c r="T27">
        <v>13.98</v>
      </c>
      <c r="U27" t="s">
        <v>273</v>
      </c>
    </row>
    <row r="28" spans="1:21" x14ac:dyDescent="0.25">
      <c r="A28" t="s">
        <v>25</v>
      </c>
      <c r="B28" t="s">
        <v>35</v>
      </c>
      <c r="C28" t="s">
        <v>67</v>
      </c>
      <c r="D28" t="s">
        <v>111</v>
      </c>
      <c r="E28" t="s">
        <v>154</v>
      </c>
      <c r="F28" t="s">
        <v>176</v>
      </c>
      <c r="G28" t="s">
        <v>177</v>
      </c>
      <c r="H28" t="s">
        <v>181</v>
      </c>
      <c r="I28" t="s">
        <v>186</v>
      </c>
      <c r="J28" t="s">
        <v>189</v>
      </c>
      <c r="K28" t="s">
        <v>205</v>
      </c>
      <c r="L28" t="s">
        <v>220</v>
      </c>
      <c r="M28" t="s">
        <v>221</v>
      </c>
      <c r="N28" t="s">
        <v>226</v>
      </c>
      <c r="O28" t="s">
        <v>242</v>
      </c>
      <c r="P28" t="s">
        <v>259</v>
      </c>
      <c r="Q28" t="s">
        <v>242</v>
      </c>
      <c r="R28" t="s">
        <v>264</v>
      </c>
      <c r="S28" t="s">
        <v>266</v>
      </c>
      <c r="T28">
        <v>31.91</v>
      </c>
      <c r="U28" t="s">
        <v>273</v>
      </c>
    </row>
    <row r="29" spans="1:21" x14ac:dyDescent="0.25">
      <c r="A29" t="s">
        <v>25</v>
      </c>
      <c r="B29" t="s">
        <v>35</v>
      </c>
      <c r="C29" t="s">
        <v>68</v>
      </c>
      <c r="D29" t="s">
        <v>112</v>
      </c>
      <c r="E29" t="s">
        <v>155</v>
      </c>
      <c r="F29" t="s">
        <v>176</v>
      </c>
      <c r="G29" t="s">
        <v>177</v>
      </c>
      <c r="H29" t="s">
        <v>181</v>
      </c>
      <c r="I29" t="s">
        <v>186</v>
      </c>
      <c r="J29" t="s">
        <v>189</v>
      </c>
      <c r="K29" t="s">
        <v>210</v>
      </c>
      <c r="L29" t="s">
        <v>220</v>
      </c>
      <c r="M29" t="s">
        <v>221</v>
      </c>
      <c r="N29" t="s">
        <v>230</v>
      </c>
      <c r="O29" t="s">
        <v>242</v>
      </c>
      <c r="P29" t="s">
        <v>259</v>
      </c>
      <c r="Q29" t="s">
        <v>242</v>
      </c>
      <c r="R29" t="s">
        <v>264</v>
      </c>
      <c r="S29" t="s">
        <v>266</v>
      </c>
      <c r="T29">
        <v>31.91</v>
      </c>
      <c r="U29" t="s">
        <v>273</v>
      </c>
    </row>
    <row r="30" spans="1:21" x14ac:dyDescent="0.25">
      <c r="A30" t="s">
        <v>25</v>
      </c>
      <c r="B30" t="s">
        <v>35</v>
      </c>
      <c r="C30" t="s">
        <v>69</v>
      </c>
      <c r="D30" t="s">
        <v>113</v>
      </c>
      <c r="E30" t="s">
        <v>156</v>
      </c>
      <c r="F30" t="s">
        <v>176</v>
      </c>
      <c r="G30" t="s">
        <v>177</v>
      </c>
      <c r="H30" t="s">
        <v>181</v>
      </c>
      <c r="I30" t="s">
        <v>186</v>
      </c>
      <c r="J30" t="s">
        <v>189</v>
      </c>
      <c r="K30" t="s">
        <v>207</v>
      </c>
      <c r="L30" t="s">
        <v>220</v>
      </c>
      <c r="M30" t="s">
        <v>221</v>
      </c>
      <c r="N30" t="s">
        <v>224</v>
      </c>
      <c r="O30" t="s">
        <v>232</v>
      </c>
      <c r="P30" t="s">
        <v>259</v>
      </c>
      <c r="Q30" t="s">
        <v>232</v>
      </c>
      <c r="R30" t="s">
        <v>264</v>
      </c>
      <c r="S30" t="s">
        <v>266</v>
      </c>
      <c r="T30">
        <v>14.13</v>
      </c>
      <c r="U30" t="s">
        <v>273</v>
      </c>
    </row>
    <row r="31" spans="1:21" x14ac:dyDescent="0.25">
      <c r="A31" t="s">
        <v>25</v>
      </c>
      <c r="B31" t="s">
        <v>35</v>
      </c>
      <c r="C31" t="s">
        <v>70</v>
      </c>
      <c r="D31" t="s">
        <v>114</v>
      </c>
      <c r="E31" t="s">
        <v>157</v>
      </c>
      <c r="F31" t="s">
        <v>176</v>
      </c>
      <c r="G31" t="s">
        <v>177</v>
      </c>
      <c r="H31" t="s">
        <v>181</v>
      </c>
      <c r="I31" t="s">
        <v>186</v>
      </c>
      <c r="J31" t="s">
        <v>189</v>
      </c>
      <c r="K31" t="s">
        <v>211</v>
      </c>
      <c r="L31" t="s">
        <v>220</v>
      </c>
      <c r="M31" t="s">
        <v>221</v>
      </c>
      <c r="N31" t="s">
        <v>226</v>
      </c>
      <c r="O31" t="s">
        <v>243</v>
      </c>
      <c r="P31" t="s">
        <v>259</v>
      </c>
      <c r="Q31" t="s">
        <v>243</v>
      </c>
      <c r="R31" t="s">
        <v>264</v>
      </c>
      <c r="S31" t="s">
        <v>266</v>
      </c>
      <c r="T31">
        <v>51.54</v>
      </c>
      <c r="U31" t="s">
        <v>273</v>
      </c>
    </row>
    <row r="32" spans="1:21" x14ac:dyDescent="0.25">
      <c r="A32" t="s">
        <v>25</v>
      </c>
      <c r="B32" t="s">
        <v>35</v>
      </c>
      <c r="C32" t="s">
        <v>71</v>
      </c>
      <c r="D32" t="s">
        <v>115</v>
      </c>
      <c r="E32" t="s">
        <v>158</v>
      </c>
      <c r="F32" t="s">
        <v>176</v>
      </c>
      <c r="G32" t="s">
        <v>177</v>
      </c>
      <c r="H32" t="s">
        <v>181</v>
      </c>
      <c r="I32" t="s">
        <v>186</v>
      </c>
      <c r="J32" t="s">
        <v>189</v>
      </c>
      <c r="K32" t="s">
        <v>212</v>
      </c>
      <c r="L32" t="s">
        <v>220</v>
      </c>
      <c r="M32" t="s">
        <v>222</v>
      </c>
      <c r="N32" t="s">
        <v>226</v>
      </c>
      <c r="O32" t="s">
        <v>242</v>
      </c>
      <c r="P32" t="s">
        <v>259</v>
      </c>
      <c r="Q32" t="s">
        <v>242</v>
      </c>
      <c r="R32" t="s">
        <v>264</v>
      </c>
      <c r="S32" t="s">
        <v>266</v>
      </c>
      <c r="T32">
        <v>31.91</v>
      </c>
      <c r="U32" t="s">
        <v>273</v>
      </c>
    </row>
    <row r="33" spans="1:21" x14ac:dyDescent="0.25">
      <c r="A33" t="s">
        <v>25</v>
      </c>
      <c r="B33" t="s">
        <v>35</v>
      </c>
      <c r="C33" t="s">
        <v>72</v>
      </c>
      <c r="D33" t="s">
        <v>116</v>
      </c>
      <c r="E33" t="s">
        <v>159</v>
      </c>
      <c r="F33" t="s">
        <v>176</v>
      </c>
      <c r="G33" t="s">
        <v>177</v>
      </c>
      <c r="H33" t="s">
        <v>181</v>
      </c>
      <c r="I33" t="s">
        <v>186</v>
      </c>
      <c r="J33" t="s">
        <v>189</v>
      </c>
      <c r="K33" t="s">
        <v>213</v>
      </c>
      <c r="L33" t="s">
        <v>220</v>
      </c>
      <c r="M33" t="s">
        <v>221</v>
      </c>
      <c r="N33" t="s">
        <v>226</v>
      </c>
      <c r="O33" t="s">
        <v>241</v>
      </c>
      <c r="P33" t="s">
        <v>259</v>
      </c>
      <c r="Q33" t="s">
        <v>241</v>
      </c>
      <c r="R33" t="s">
        <v>264</v>
      </c>
      <c r="S33" t="s">
        <v>266</v>
      </c>
      <c r="T33">
        <v>16.36</v>
      </c>
      <c r="U33" t="s">
        <v>273</v>
      </c>
    </row>
    <row r="34" spans="1:21" x14ac:dyDescent="0.25">
      <c r="A34" t="s">
        <v>25</v>
      </c>
      <c r="B34" t="s">
        <v>35</v>
      </c>
      <c r="C34" t="s">
        <v>73</v>
      </c>
      <c r="D34" t="s">
        <v>117</v>
      </c>
      <c r="E34" t="s">
        <v>160</v>
      </c>
      <c r="F34" t="s">
        <v>174</v>
      </c>
      <c r="G34" t="s">
        <v>178</v>
      </c>
      <c r="H34" t="s">
        <v>181</v>
      </c>
      <c r="I34" t="s">
        <v>186</v>
      </c>
      <c r="J34" t="s">
        <v>189</v>
      </c>
      <c r="K34" t="s">
        <v>214</v>
      </c>
      <c r="L34" t="s">
        <v>220</v>
      </c>
      <c r="M34" t="s">
        <v>222</v>
      </c>
      <c r="N34" t="s">
        <v>229</v>
      </c>
      <c r="O34" t="s">
        <v>249</v>
      </c>
      <c r="P34" t="s">
        <v>259</v>
      </c>
      <c r="Q34" t="s">
        <v>261</v>
      </c>
      <c r="R34" t="s">
        <v>264</v>
      </c>
      <c r="S34" t="s">
        <v>270</v>
      </c>
      <c r="T34">
        <v>35.549999999999997</v>
      </c>
      <c r="U34" t="s">
        <v>273</v>
      </c>
    </row>
    <row r="35" spans="1:21" x14ac:dyDescent="0.25">
      <c r="A35" t="s">
        <v>25</v>
      </c>
      <c r="B35" t="s">
        <v>35</v>
      </c>
      <c r="C35" t="s">
        <v>74</v>
      </c>
      <c r="D35" t="s">
        <v>118</v>
      </c>
      <c r="E35" t="s">
        <v>161</v>
      </c>
      <c r="F35" t="s">
        <v>176</v>
      </c>
      <c r="G35" t="s">
        <v>177</v>
      </c>
      <c r="H35" t="s">
        <v>181</v>
      </c>
      <c r="I35" t="s">
        <v>186</v>
      </c>
      <c r="J35" t="s">
        <v>189</v>
      </c>
      <c r="K35" t="s">
        <v>215</v>
      </c>
      <c r="L35" t="s">
        <v>220</v>
      </c>
      <c r="M35" t="s">
        <v>221</v>
      </c>
      <c r="N35" t="s">
        <v>230</v>
      </c>
      <c r="O35" t="s">
        <v>241</v>
      </c>
      <c r="P35" t="s">
        <v>259</v>
      </c>
      <c r="Q35" t="s">
        <v>241</v>
      </c>
      <c r="R35" t="s">
        <v>264</v>
      </c>
      <c r="S35" t="s">
        <v>266</v>
      </c>
      <c r="T35">
        <v>16.36</v>
      </c>
      <c r="U35" t="s">
        <v>273</v>
      </c>
    </row>
    <row r="36" spans="1:21" x14ac:dyDescent="0.25">
      <c r="A36" t="s">
        <v>25</v>
      </c>
      <c r="B36" t="s">
        <v>35</v>
      </c>
      <c r="C36" t="s">
        <v>75</v>
      </c>
      <c r="D36" t="s">
        <v>119</v>
      </c>
      <c r="E36" t="s">
        <v>162</v>
      </c>
      <c r="F36" t="s">
        <v>176</v>
      </c>
      <c r="G36" t="s">
        <v>177</v>
      </c>
      <c r="H36" t="s">
        <v>181</v>
      </c>
      <c r="I36" t="s">
        <v>186</v>
      </c>
      <c r="J36" t="s">
        <v>193</v>
      </c>
      <c r="K36" t="s">
        <v>212</v>
      </c>
      <c r="L36" t="s">
        <v>220</v>
      </c>
      <c r="M36" t="s">
        <v>221</v>
      </c>
      <c r="N36" t="s">
        <v>223</v>
      </c>
      <c r="O36" t="s">
        <v>241</v>
      </c>
      <c r="P36" t="s">
        <v>259</v>
      </c>
      <c r="Q36" t="s">
        <v>241</v>
      </c>
      <c r="R36" t="s">
        <v>264</v>
      </c>
      <c r="S36" t="s">
        <v>266</v>
      </c>
      <c r="T36">
        <v>16.36</v>
      </c>
      <c r="U36" t="s">
        <v>273</v>
      </c>
    </row>
    <row r="37" spans="1:21" x14ac:dyDescent="0.25">
      <c r="A37" t="s">
        <v>25</v>
      </c>
      <c r="B37" t="s">
        <v>35</v>
      </c>
      <c r="C37" t="s">
        <v>76</v>
      </c>
      <c r="D37" t="s">
        <v>120</v>
      </c>
      <c r="E37" t="s">
        <v>163</v>
      </c>
      <c r="F37" t="s">
        <v>176</v>
      </c>
      <c r="G37" t="s">
        <v>177</v>
      </c>
      <c r="H37" t="s">
        <v>181</v>
      </c>
      <c r="I37" t="s">
        <v>186</v>
      </c>
      <c r="J37" t="s">
        <v>189</v>
      </c>
      <c r="K37" t="s">
        <v>207</v>
      </c>
      <c r="L37" t="s">
        <v>220</v>
      </c>
      <c r="M37" t="s">
        <v>221</v>
      </c>
      <c r="N37" t="s">
        <v>230</v>
      </c>
      <c r="O37" t="s">
        <v>241</v>
      </c>
      <c r="P37" t="s">
        <v>259</v>
      </c>
      <c r="Q37" t="s">
        <v>241</v>
      </c>
      <c r="R37" t="s">
        <v>264</v>
      </c>
      <c r="S37" t="s">
        <v>266</v>
      </c>
      <c r="T37">
        <v>16.36</v>
      </c>
      <c r="U37" t="s">
        <v>273</v>
      </c>
    </row>
    <row r="38" spans="1:21" x14ac:dyDescent="0.25">
      <c r="A38" t="s">
        <v>25</v>
      </c>
      <c r="B38" t="s">
        <v>35</v>
      </c>
      <c r="C38" t="s">
        <v>77</v>
      </c>
      <c r="D38" t="s">
        <v>115</v>
      </c>
      <c r="E38" t="s">
        <v>160</v>
      </c>
      <c r="F38" t="s">
        <v>174</v>
      </c>
      <c r="G38" t="s">
        <v>178</v>
      </c>
      <c r="H38" t="s">
        <v>181</v>
      </c>
      <c r="I38" t="s">
        <v>186</v>
      </c>
      <c r="J38" t="s">
        <v>189</v>
      </c>
      <c r="K38" t="s">
        <v>216</v>
      </c>
      <c r="L38" t="s">
        <v>220</v>
      </c>
      <c r="M38" t="s">
        <v>222</v>
      </c>
      <c r="N38" t="s">
        <v>229</v>
      </c>
      <c r="O38" t="s">
        <v>250</v>
      </c>
      <c r="P38" t="s">
        <v>259</v>
      </c>
      <c r="Q38" t="s">
        <v>262</v>
      </c>
      <c r="R38" t="s">
        <v>264</v>
      </c>
      <c r="S38" t="s">
        <v>270</v>
      </c>
      <c r="T38">
        <v>31.14</v>
      </c>
      <c r="U38" t="s">
        <v>273</v>
      </c>
    </row>
    <row r="39" spans="1:21" x14ac:dyDescent="0.25">
      <c r="A39" t="s">
        <v>26</v>
      </c>
      <c r="B39" t="s">
        <v>36</v>
      </c>
      <c r="C39" t="s">
        <v>78</v>
      </c>
      <c r="D39" t="s">
        <v>121</v>
      </c>
      <c r="E39" t="s">
        <v>164</v>
      </c>
      <c r="F39" t="s">
        <v>176</v>
      </c>
      <c r="G39" t="s">
        <v>177</v>
      </c>
      <c r="H39" t="s">
        <v>182</v>
      </c>
      <c r="I39" t="s">
        <v>186</v>
      </c>
      <c r="J39" t="s">
        <v>189</v>
      </c>
      <c r="K39" t="s">
        <v>200</v>
      </c>
      <c r="L39" t="s">
        <v>220</v>
      </c>
      <c r="M39" t="s">
        <v>221</v>
      </c>
      <c r="N39" t="s">
        <v>227</v>
      </c>
      <c r="O39" t="s">
        <v>251</v>
      </c>
      <c r="P39" t="s">
        <v>259</v>
      </c>
      <c r="Q39" t="s">
        <v>251</v>
      </c>
      <c r="R39" t="s">
        <v>264</v>
      </c>
      <c r="S39" t="s">
        <v>266</v>
      </c>
      <c r="T39">
        <v>11.93</v>
      </c>
      <c r="U39" t="s">
        <v>272</v>
      </c>
    </row>
    <row r="40" spans="1:21" x14ac:dyDescent="0.25">
      <c r="A40" t="s">
        <v>26</v>
      </c>
      <c r="B40" t="s">
        <v>36</v>
      </c>
      <c r="C40" t="s">
        <v>79</v>
      </c>
      <c r="D40" t="s">
        <v>122</v>
      </c>
      <c r="E40" t="s">
        <v>165</v>
      </c>
      <c r="F40" t="s">
        <v>176</v>
      </c>
      <c r="G40" t="s">
        <v>177</v>
      </c>
      <c r="H40" t="s">
        <v>182</v>
      </c>
      <c r="I40" t="s">
        <v>186</v>
      </c>
      <c r="J40" t="s">
        <v>189</v>
      </c>
      <c r="K40" t="s">
        <v>198</v>
      </c>
      <c r="L40" t="s">
        <v>220</v>
      </c>
      <c r="M40" t="s">
        <v>221</v>
      </c>
      <c r="N40" t="s">
        <v>226</v>
      </c>
      <c r="O40" t="s">
        <v>232</v>
      </c>
      <c r="P40" t="s">
        <v>259</v>
      </c>
      <c r="Q40" t="s">
        <v>232</v>
      </c>
      <c r="R40" t="s">
        <v>264</v>
      </c>
      <c r="S40" t="s">
        <v>266</v>
      </c>
      <c r="T40">
        <v>14.13</v>
      </c>
      <c r="U40" t="s">
        <v>273</v>
      </c>
    </row>
    <row r="41" spans="1:21" x14ac:dyDescent="0.25">
      <c r="A41" t="s">
        <v>27</v>
      </c>
      <c r="B41" t="s">
        <v>37</v>
      </c>
      <c r="C41" t="s">
        <v>80</v>
      </c>
      <c r="D41" t="s">
        <v>123</v>
      </c>
      <c r="E41" t="s">
        <v>166</v>
      </c>
      <c r="F41" t="s">
        <v>174</v>
      </c>
      <c r="G41" t="s">
        <v>178</v>
      </c>
      <c r="H41" t="s">
        <v>181</v>
      </c>
      <c r="I41" t="s">
        <v>186</v>
      </c>
      <c r="J41" t="s">
        <v>189</v>
      </c>
      <c r="K41" t="s">
        <v>217</v>
      </c>
      <c r="L41" t="s">
        <v>220</v>
      </c>
      <c r="M41" t="s">
        <v>222</v>
      </c>
      <c r="N41" t="s">
        <v>225</v>
      </c>
      <c r="O41" t="s">
        <v>252</v>
      </c>
      <c r="P41" t="s">
        <v>259</v>
      </c>
      <c r="Q41" t="s">
        <v>252</v>
      </c>
      <c r="R41" t="s">
        <v>264</v>
      </c>
      <c r="S41" t="s">
        <v>270</v>
      </c>
      <c r="T41">
        <v>36.11</v>
      </c>
      <c r="U41" t="s">
        <v>273</v>
      </c>
    </row>
    <row r="42" spans="1:21" x14ac:dyDescent="0.25">
      <c r="A42" t="s">
        <v>28</v>
      </c>
      <c r="B42" t="s">
        <v>38</v>
      </c>
      <c r="C42" t="s">
        <v>81</v>
      </c>
      <c r="D42" t="s">
        <v>124</v>
      </c>
      <c r="E42" t="s">
        <v>167</v>
      </c>
      <c r="F42" t="s">
        <v>174</v>
      </c>
      <c r="G42" t="s">
        <v>178</v>
      </c>
      <c r="H42" t="s">
        <v>183</v>
      </c>
      <c r="I42" t="s">
        <v>188</v>
      </c>
      <c r="J42" t="s">
        <v>194</v>
      </c>
      <c r="K42" t="s">
        <v>198</v>
      </c>
      <c r="L42" t="s">
        <v>220</v>
      </c>
      <c r="M42" t="s">
        <v>221</v>
      </c>
      <c r="N42" t="s">
        <v>228</v>
      </c>
      <c r="O42" t="s">
        <v>253</v>
      </c>
      <c r="P42" t="s">
        <v>259</v>
      </c>
      <c r="Q42" t="s">
        <v>253</v>
      </c>
      <c r="R42" t="s">
        <v>264</v>
      </c>
      <c r="S42" t="s">
        <v>271</v>
      </c>
      <c r="T42">
        <v>40.950000000000003</v>
      </c>
      <c r="U42" t="s">
        <v>273</v>
      </c>
    </row>
    <row r="43" spans="1:21" x14ac:dyDescent="0.25">
      <c r="A43" t="s">
        <v>28</v>
      </c>
      <c r="B43" t="s">
        <v>38</v>
      </c>
      <c r="C43" t="s">
        <v>82</v>
      </c>
      <c r="D43" t="s">
        <v>125</v>
      </c>
      <c r="E43" t="s">
        <v>168</v>
      </c>
      <c r="F43" t="s">
        <v>174</v>
      </c>
      <c r="G43" t="s">
        <v>178</v>
      </c>
      <c r="H43" t="s">
        <v>183</v>
      </c>
      <c r="I43" t="s">
        <v>186</v>
      </c>
      <c r="J43" t="s">
        <v>189</v>
      </c>
      <c r="K43" t="s">
        <v>201</v>
      </c>
      <c r="L43" t="s">
        <v>220</v>
      </c>
      <c r="M43" t="s">
        <v>221</v>
      </c>
      <c r="N43" t="s">
        <v>226</v>
      </c>
      <c r="O43" t="s">
        <v>254</v>
      </c>
      <c r="P43" t="s">
        <v>259</v>
      </c>
      <c r="Q43" t="s">
        <v>263</v>
      </c>
      <c r="R43" t="s">
        <v>264</v>
      </c>
      <c r="S43" t="s">
        <v>271</v>
      </c>
      <c r="T43">
        <v>38.74</v>
      </c>
      <c r="U43" t="s">
        <v>273</v>
      </c>
    </row>
    <row r="44" spans="1:21" x14ac:dyDescent="0.25">
      <c r="A44" t="s">
        <v>28</v>
      </c>
      <c r="B44" t="s">
        <v>38</v>
      </c>
      <c r="C44" t="s">
        <v>83</v>
      </c>
      <c r="D44" t="s">
        <v>126</v>
      </c>
      <c r="E44" t="s">
        <v>167</v>
      </c>
      <c r="F44" t="s">
        <v>174</v>
      </c>
      <c r="G44" t="s">
        <v>178</v>
      </c>
      <c r="H44" t="s">
        <v>183</v>
      </c>
      <c r="I44" t="s">
        <v>186</v>
      </c>
      <c r="J44" t="s">
        <v>189</v>
      </c>
      <c r="K44" t="s">
        <v>198</v>
      </c>
      <c r="L44" t="s">
        <v>220</v>
      </c>
      <c r="M44" t="s">
        <v>221</v>
      </c>
      <c r="N44" t="s">
        <v>230</v>
      </c>
      <c r="O44" t="s">
        <v>255</v>
      </c>
      <c r="P44" t="s">
        <v>259</v>
      </c>
      <c r="Q44" t="s">
        <v>255</v>
      </c>
      <c r="R44" t="s">
        <v>264</v>
      </c>
      <c r="S44" t="s">
        <v>271</v>
      </c>
      <c r="T44">
        <v>37.26</v>
      </c>
      <c r="U44" t="s">
        <v>273</v>
      </c>
    </row>
    <row r="45" spans="1:21" x14ac:dyDescent="0.25">
      <c r="A45" t="s">
        <v>28</v>
      </c>
      <c r="B45" t="s">
        <v>38</v>
      </c>
      <c r="C45" t="s">
        <v>84</v>
      </c>
      <c r="D45" t="s">
        <v>127</v>
      </c>
      <c r="E45" t="s">
        <v>169</v>
      </c>
      <c r="F45" t="s">
        <v>176</v>
      </c>
      <c r="G45" t="s">
        <v>177</v>
      </c>
      <c r="H45" t="s">
        <v>183</v>
      </c>
      <c r="I45" t="s">
        <v>186</v>
      </c>
      <c r="J45" t="s">
        <v>189</v>
      </c>
      <c r="K45" t="s">
        <v>218</v>
      </c>
      <c r="L45" t="s">
        <v>220</v>
      </c>
      <c r="M45" t="s">
        <v>221</v>
      </c>
      <c r="N45" t="s">
        <v>227</v>
      </c>
      <c r="O45" t="s">
        <v>232</v>
      </c>
      <c r="P45" t="s">
        <v>259</v>
      </c>
      <c r="Q45" t="s">
        <v>232</v>
      </c>
      <c r="R45" t="s">
        <v>264</v>
      </c>
      <c r="S45" t="s">
        <v>266</v>
      </c>
      <c r="T45">
        <v>14.13</v>
      </c>
      <c r="U45" t="s">
        <v>272</v>
      </c>
    </row>
    <row r="46" spans="1:21" x14ac:dyDescent="0.25">
      <c r="A46" t="s">
        <v>28</v>
      </c>
      <c r="B46" t="s">
        <v>38</v>
      </c>
      <c r="C46" t="s">
        <v>85</v>
      </c>
      <c r="D46" t="s">
        <v>88</v>
      </c>
      <c r="E46" t="s">
        <v>170</v>
      </c>
      <c r="F46" t="s">
        <v>174</v>
      </c>
      <c r="G46" t="s">
        <v>178</v>
      </c>
      <c r="H46" t="s">
        <v>183</v>
      </c>
      <c r="I46" t="s">
        <v>186</v>
      </c>
      <c r="J46" t="s">
        <v>189</v>
      </c>
      <c r="K46" t="s">
        <v>219</v>
      </c>
      <c r="L46" t="s">
        <v>220</v>
      </c>
      <c r="M46" t="s">
        <v>222</v>
      </c>
      <c r="N46" t="s">
        <v>230</v>
      </c>
      <c r="O46" t="s">
        <v>256</v>
      </c>
      <c r="P46" t="s">
        <v>259</v>
      </c>
      <c r="Q46" t="s">
        <v>256</v>
      </c>
      <c r="R46" t="s">
        <v>264</v>
      </c>
      <c r="S46" t="s">
        <v>271</v>
      </c>
      <c r="T46">
        <v>55.27</v>
      </c>
      <c r="U46" t="s">
        <v>273</v>
      </c>
    </row>
    <row r="47" spans="1:21" x14ac:dyDescent="0.25">
      <c r="A47" t="s">
        <v>29</v>
      </c>
      <c r="B47" t="s">
        <v>39</v>
      </c>
      <c r="C47" t="s">
        <v>86</v>
      </c>
      <c r="D47" t="s">
        <v>128</v>
      </c>
      <c r="E47" t="s">
        <v>171</v>
      </c>
      <c r="F47" t="s">
        <v>174</v>
      </c>
      <c r="G47" t="s">
        <v>178</v>
      </c>
      <c r="H47" t="s">
        <v>181</v>
      </c>
      <c r="I47" t="s">
        <v>186</v>
      </c>
      <c r="J47" t="s">
        <v>189</v>
      </c>
      <c r="K47" t="s">
        <v>198</v>
      </c>
      <c r="L47" t="s">
        <v>220</v>
      </c>
      <c r="M47" t="s">
        <v>221</v>
      </c>
      <c r="N47" t="s">
        <v>223</v>
      </c>
      <c r="O47" t="s">
        <v>257</v>
      </c>
      <c r="P47" t="s">
        <v>259</v>
      </c>
      <c r="Q47" t="s">
        <v>257</v>
      </c>
      <c r="R47" t="s">
        <v>264</v>
      </c>
      <c r="S47" t="s">
        <v>270</v>
      </c>
      <c r="T47">
        <v>24.27</v>
      </c>
      <c r="U47" t="s">
        <v>273</v>
      </c>
    </row>
    <row r="48" spans="1:21" x14ac:dyDescent="0.25">
      <c r="A48" t="s">
        <v>30</v>
      </c>
      <c r="B48" t="s">
        <v>40</v>
      </c>
      <c r="C48" t="s">
        <v>87</v>
      </c>
      <c r="D48" t="s">
        <v>129</v>
      </c>
      <c r="E48" t="s">
        <v>172</v>
      </c>
      <c r="F48" t="s">
        <v>174</v>
      </c>
      <c r="G48" t="s">
        <v>178</v>
      </c>
      <c r="H48" t="s">
        <v>181</v>
      </c>
      <c r="I48" t="s">
        <v>186</v>
      </c>
      <c r="J48" t="s">
        <v>189</v>
      </c>
      <c r="K48" t="s">
        <v>219</v>
      </c>
      <c r="L48" t="s">
        <v>220</v>
      </c>
      <c r="M48" t="s">
        <v>222</v>
      </c>
      <c r="N48" t="s">
        <v>225</v>
      </c>
      <c r="O48" t="s">
        <v>258</v>
      </c>
      <c r="P48" t="s">
        <v>259</v>
      </c>
      <c r="Q48" t="s">
        <v>258</v>
      </c>
      <c r="R48" t="s">
        <v>264</v>
      </c>
      <c r="S48" t="s">
        <v>270</v>
      </c>
      <c r="T48">
        <v>28.5</v>
      </c>
      <c r="U48" t="s">
        <v>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9B791-D961-4340-8682-4EBA586CA21F}">
  <dimension ref="A1:AA94"/>
  <sheetViews>
    <sheetView tabSelected="1" topLeftCell="E55" workbookViewId="0">
      <selection activeCell="U2" sqref="U2:U94"/>
    </sheetView>
  </sheetViews>
  <sheetFormatPr defaultRowHeight="15" x14ac:dyDescent="0.25"/>
  <cols>
    <col min="1" max="1" width="24.5703125" style="3" bestFit="1" customWidth="1"/>
    <col min="2" max="2" width="23.28515625" style="3" bestFit="1" customWidth="1"/>
    <col min="3" max="3" width="9.140625" style="3"/>
    <col min="4" max="4" width="16.7109375" style="3" customWidth="1"/>
    <col min="5" max="6" width="9.140625" style="3"/>
    <col min="7" max="7" width="12" style="3" bestFit="1" customWidth="1"/>
    <col min="8" max="10" width="9.140625" style="3"/>
    <col min="11" max="11" width="15.140625" style="3" bestFit="1" customWidth="1"/>
    <col min="12" max="12" width="11.140625" style="12" bestFit="1" customWidth="1"/>
    <col min="13" max="16384" width="9.140625" style="3"/>
  </cols>
  <sheetData>
    <row r="1" spans="1:27" x14ac:dyDescent="0.25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2"/>
      <c r="H1" s="2" t="s">
        <v>5</v>
      </c>
      <c r="I1" s="2" t="s">
        <v>6</v>
      </c>
      <c r="J1" s="2" t="s">
        <v>7</v>
      </c>
      <c r="K1" s="2" t="s">
        <v>8</v>
      </c>
      <c r="L1" s="15" t="s">
        <v>9</v>
      </c>
      <c r="M1" s="2" t="s">
        <v>13</v>
      </c>
      <c r="N1" s="2"/>
      <c r="O1" s="2"/>
      <c r="P1" s="2" t="s">
        <v>11</v>
      </c>
      <c r="Q1" s="2" t="s">
        <v>12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7" x14ac:dyDescent="0.25">
      <c r="A2" s="6" t="s">
        <v>301</v>
      </c>
      <c r="B2" s="7" t="s">
        <v>297</v>
      </c>
      <c r="C2" s="6" t="s">
        <v>81</v>
      </c>
      <c r="D2" s="6" t="s">
        <v>81</v>
      </c>
      <c r="E2" s="6" t="s">
        <v>124</v>
      </c>
      <c r="F2" s="6" t="s">
        <v>167</v>
      </c>
      <c r="G2" s="6" t="str">
        <f>CONCATENATE(E2," ",F2)</f>
        <v>Ronald Zhiss</v>
      </c>
      <c r="H2" s="6" t="s">
        <v>174</v>
      </c>
      <c r="I2" s="6" t="s">
        <v>178</v>
      </c>
      <c r="J2" s="6" t="s">
        <v>183</v>
      </c>
      <c r="K2" s="13">
        <v>46113</v>
      </c>
      <c r="L2" s="13">
        <v>46143</v>
      </c>
      <c r="M2" s="7">
        <v>1</v>
      </c>
      <c r="N2" s="7" t="s">
        <v>305</v>
      </c>
      <c r="O2" s="7" t="s">
        <v>306</v>
      </c>
      <c r="P2" s="6" t="s">
        <v>220</v>
      </c>
      <c r="Q2" s="6" t="s">
        <v>221</v>
      </c>
      <c r="R2" s="7">
        <v>176.52</v>
      </c>
      <c r="S2" s="7">
        <v>100</v>
      </c>
      <c r="T2" s="8">
        <v>0.23200000000000001</v>
      </c>
      <c r="U2" s="6">
        <v>40.950000000000003</v>
      </c>
      <c r="V2" s="6" t="s">
        <v>294</v>
      </c>
      <c r="W2" s="6"/>
      <c r="X2" s="6"/>
    </row>
    <row r="3" spans="1:27" x14ac:dyDescent="0.25">
      <c r="A3" s="6" t="s">
        <v>25</v>
      </c>
      <c r="B3" s="7" t="s">
        <v>296</v>
      </c>
      <c r="C3" s="6" t="s">
        <v>53</v>
      </c>
      <c r="D3" s="6" t="s">
        <v>53</v>
      </c>
      <c r="E3" s="6" t="s">
        <v>100</v>
      </c>
      <c r="F3" s="6" t="s">
        <v>141</v>
      </c>
      <c r="G3" s="6" t="str">
        <f t="shared" ref="G3:G66" si="0">CONCATENATE(E3," ",F3)</f>
        <v>Michael Kovach</v>
      </c>
      <c r="H3" s="6" t="s">
        <v>176</v>
      </c>
      <c r="I3" s="6" t="s">
        <v>177</v>
      </c>
      <c r="J3" s="6" t="s">
        <v>181</v>
      </c>
      <c r="K3" s="13">
        <v>46082</v>
      </c>
      <c r="L3" s="13">
        <v>46113</v>
      </c>
      <c r="M3" s="7">
        <v>1</v>
      </c>
      <c r="N3" s="7" t="s">
        <v>305</v>
      </c>
      <c r="O3" s="7" t="s">
        <v>306</v>
      </c>
      <c r="P3" s="6" t="s">
        <v>220</v>
      </c>
      <c r="Q3" s="6" t="s">
        <v>221</v>
      </c>
      <c r="R3" s="7">
        <v>56.5</v>
      </c>
      <c r="S3" s="7">
        <v>100</v>
      </c>
      <c r="T3" s="8">
        <v>0.25</v>
      </c>
      <c r="U3" s="6">
        <v>14.13</v>
      </c>
      <c r="V3" s="6" t="s">
        <v>289</v>
      </c>
      <c r="W3" s="6"/>
      <c r="X3" s="6"/>
    </row>
    <row r="4" spans="1:27" s="9" customFormat="1" x14ac:dyDescent="0.25">
      <c r="A4" s="6" t="s">
        <v>25</v>
      </c>
      <c r="B4" s="7" t="s">
        <v>296</v>
      </c>
      <c r="C4" s="6" t="s">
        <v>54</v>
      </c>
      <c r="D4" s="6" t="s">
        <v>54</v>
      </c>
      <c r="E4" s="6" t="s">
        <v>101</v>
      </c>
      <c r="F4" s="6" t="s">
        <v>142</v>
      </c>
      <c r="G4" s="6" t="str">
        <f t="shared" si="0"/>
        <v>Trina Gordon</v>
      </c>
      <c r="H4" s="6" t="s">
        <v>176</v>
      </c>
      <c r="I4" s="6" t="s">
        <v>177</v>
      </c>
      <c r="J4" s="6" t="s">
        <v>181</v>
      </c>
      <c r="K4" s="13">
        <v>46082</v>
      </c>
      <c r="L4" s="13">
        <v>46113</v>
      </c>
      <c r="M4" s="7">
        <v>1</v>
      </c>
      <c r="N4" s="7" t="s">
        <v>305</v>
      </c>
      <c r="O4" s="7" t="s">
        <v>306</v>
      </c>
      <c r="P4" s="6" t="s">
        <v>220</v>
      </c>
      <c r="Q4" s="6" t="s">
        <v>221</v>
      </c>
      <c r="R4" s="7">
        <v>65.45</v>
      </c>
      <c r="S4" s="7">
        <v>100</v>
      </c>
      <c r="T4" s="8">
        <v>0.25</v>
      </c>
      <c r="U4" s="6">
        <v>16.36</v>
      </c>
      <c r="V4" s="6" t="s">
        <v>289</v>
      </c>
      <c r="W4" s="6"/>
      <c r="X4" s="6"/>
      <c r="Y4" s="3"/>
      <c r="Z4" s="3"/>
      <c r="AA4" s="3"/>
    </row>
    <row r="5" spans="1:27" x14ac:dyDescent="0.25">
      <c r="A5" s="9" t="s">
        <v>301</v>
      </c>
      <c r="B5" s="10">
        <v>16849453</v>
      </c>
      <c r="C5" s="9" t="s">
        <v>83</v>
      </c>
      <c r="D5" s="9" t="s">
        <v>83</v>
      </c>
      <c r="E5" s="9" t="s">
        <v>126</v>
      </c>
      <c r="F5" s="9" t="s">
        <v>167</v>
      </c>
      <c r="G5" s="6" t="str">
        <f t="shared" si="0"/>
        <v>Carolyn Zhiss</v>
      </c>
      <c r="H5" s="9" t="s">
        <v>174</v>
      </c>
      <c r="I5" s="9" t="s">
        <v>178</v>
      </c>
      <c r="J5" s="9" t="s">
        <v>183</v>
      </c>
      <c r="K5" s="14">
        <v>46054</v>
      </c>
      <c r="L5" s="14">
        <v>46113</v>
      </c>
      <c r="M5" s="10">
        <v>2</v>
      </c>
      <c r="N5" s="10" t="s">
        <v>307</v>
      </c>
      <c r="O5" s="10" t="s">
        <v>308</v>
      </c>
      <c r="P5" s="9" t="s">
        <v>220</v>
      </c>
      <c r="Q5" s="9" t="s">
        <v>221</v>
      </c>
      <c r="R5" s="10">
        <v>160.6</v>
      </c>
      <c r="S5" s="10">
        <v>100</v>
      </c>
      <c r="T5" s="11">
        <v>0.23200000000000001</v>
      </c>
      <c r="U5" s="9">
        <v>37.26</v>
      </c>
      <c r="V5" s="9" t="s">
        <v>294</v>
      </c>
      <c r="W5" s="9"/>
      <c r="X5" s="9"/>
      <c r="Y5" s="9"/>
      <c r="Z5" s="9"/>
      <c r="AA5" s="9"/>
    </row>
    <row r="6" spans="1:27" x14ac:dyDescent="0.25">
      <c r="A6" s="9" t="s">
        <v>301</v>
      </c>
      <c r="B6" s="10">
        <v>16849453</v>
      </c>
      <c r="C6" s="9" t="s">
        <v>85</v>
      </c>
      <c r="D6" s="9" t="s">
        <v>85</v>
      </c>
      <c r="E6" s="9" t="s">
        <v>88</v>
      </c>
      <c r="F6" s="9" t="s">
        <v>170</v>
      </c>
      <c r="G6" s="6" t="str">
        <f t="shared" si="0"/>
        <v>John Johns</v>
      </c>
      <c r="H6" s="9" t="s">
        <v>174</v>
      </c>
      <c r="I6" s="9" t="s">
        <v>178</v>
      </c>
      <c r="J6" s="9" t="s">
        <v>183</v>
      </c>
      <c r="K6" s="14">
        <v>46054</v>
      </c>
      <c r="L6" s="14">
        <v>46113</v>
      </c>
      <c r="M6" s="10">
        <v>2</v>
      </c>
      <c r="N6" s="10" t="s">
        <v>307</v>
      </c>
      <c r="O6" s="10" t="s">
        <v>308</v>
      </c>
      <c r="P6" s="9" t="s">
        <v>220</v>
      </c>
      <c r="Q6" s="9" t="s">
        <v>222</v>
      </c>
      <c r="R6" s="10">
        <v>238.23</v>
      </c>
      <c r="S6" s="10">
        <v>100</v>
      </c>
      <c r="T6" s="11">
        <v>0.23200000000000001</v>
      </c>
      <c r="U6" s="9">
        <v>55.27</v>
      </c>
      <c r="V6" s="9" t="s">
        <v>294</v>
      </c>
      <c r="W6" s="9"/>
      <c r="X6" s="9"/>
      <c r="Y6" s="9"/>
      <c r="Z6" s="9"/>
      <c r="AA6" s="9"/>
    </row>
    <row r="7" spans="1:27" x14ac:dyDescent="0.25">
      <c r="A7" s="9" t="s">
        <v>25</v>
      </c>
      <c r="B7" s="10">
        <v>8812322</v>
      </c>
      <c r="C7" s="9" t="s">
        <v>56</v>
      </c>
      <c r="D7" s="9" t="s">
        <v>56</v>
      </c>
      <c r="E7" s="9" t="s">
        <v>103</v>
      </c>
      <c r="F7" s="9" t="s">
        <v>144</v>
      </c>
      <c r="G7" s="6" t="str">
        <f t="shared" si="0"/>
        <v>Jo Tappendorf</v>
      </c>
      <c r="H7" s="9" t="s">
        <v>176</v>
      </c>
      <c r="I7" s="9" t="s">
        <v>177</v>
      </c>
      <c r="J7" s="9" t="s">
        <v>181</v>
      </c>
      <c r="K7" s="14">
        <v>46054</v>
      </c>
      <c r="L7" s="14">
        <v>46113</v>
      </c>
      <c r="M7" s="10">
        <v>2</v>
      </c>
      <c r="N7" s="10" t="s">
        <v>307</v>
      </c>
      <c r="O7" s="10" t="s">
        <v>308</v>
      </c>
      <c r="P7" s="9" t="s">
        <v>220</v>
      </c>
      <c r="Q7" s="9" t="s">
        <v>221</v>
      </c>
      <c r="R7" s="10">
        <v>206.15</v>
      </c>
      <c r="S7" s="10">
        <v>100</v>
      </c>
      <c r="T7" s="11">
        <v>0.25</v>
      </c>
      <c r="U7" s="9">
        <v>51.54</v>
      </c>
      <c r="V7" s="9" t="s">
        <v>289</v>
      </c>
      <c r="W7" s="9"/>
      <c r="X7" s="9"/>
      <c r="Y7" s="9"/>
      <c r="Z7" s="9"/>
      <c r="AA7" s="9"/>
    </row>
    <row r="8" spans="1:27" x14ac:dyDescent="0.25">
      <c r="A8" s="9" t="s">
        <v>25</v>
      </c>
      <c r="B8" s="10">
        <v>8812322</v>
      </c>
      <c r="C8" s="9" t="s">
        <v>59</v>
      </c>
      <c r="D8" s="9" t="s">
        <v>59</v>
      </c>
      <c r="E8" s="9" t="s">
        <v>105</v>
      </c>
      <c r="F8" s="9" t="s">
        <v>146</v>
      </c>
      <c r="G8" s="6" t="str">
        <f t="shared" si="0"/>
        <v>Carrie Serres</v>
      </c>
      <c r="H8" s="9" t="s">
        <v>176</v>
      </c>
      <c r="I8" s="9" t="s">
        <v>177</v>
      </c>
      <c r="J8" s="9" t="s">
        <v>181</v>
      </c>
      <c r="K8" s="14">
        <v>46054</v>
      </c>
      <c r="L8" s="14">
        <v>46113</v>
      </c>
      <c r="M8" s="10">
        <v>2</v>
      </c>
      <c r="N8" s="10" t="s">
        <v>307</v>
      </c>
      <c r="O8" s="10" t="s">
        <v>308</v>
      </c>
      <c r="P8" s="9" t="s">
        <v>220</v>
      </c>
      <c r="Q8" s="9" t="s">
        <v>221</v>
      </c>
      <c r="R8" s="10">
        <v>113</v>
      </c>
      <c r="S8" s="10">
        <v>100</v>
      </c>
      <c r="T8" s="11">
        <v>0.25</v>
      </c>
      <c r="U8" s="9">
        <v>28.25</v>
      </c>
      <c r="V8" s="9" t="s">
        <v>289</v>
      </c>
      <c r="W8" s="9"/>
      <c r="X8" s="9"/>
      <c r="Y8" s="9"/>
      <c r="Z8" s="9"/>
      <c r="AA8" s="9"/>
    </row>
    <row r="9" spans="1:27" x14ac:dyDescent="0.25">
      <c r="A9" s="9" t="s">
        <v>25</v>
      </c>
      <c r="B9" s="10">
        <v>8812322</v>
      </c>
      <c r="C9" s="9" t="s">
        <v>61</v>
      </c>
      <c r="D9" s="9" t="s">
        <v>61</v>
      </c>
      <c r="E9" s="9" t="s">
        <v>107</v>
      </c>
      <c r="F9" s="9" t="s">
        <v>148</v>
      </c>
      <c r="G9" s="6" t="str">
        <f t="shared" si="0"/>
        <v>Delbert Wimberly</v>
      </c>
      <c r="H9" s="9" t="s">
        <v>176</v>
      </c>
      <c r="I9" s="9" t="s">
        <v>177</v>
      </c>
      <c r="J9" s="9" t="s">
        <v>181</v>
      </c>
      <c r="K9" s="14">
        <v>46054</v>
      </c>
      <c r="L9" s="14">
        <v>46113</v>
      </c>
      <c r="M9" s="10">
        <v>2</v>
      </c>
      <c r="N9" s="10" t="s">
        <v>307</v>
      </c>
      <c r="O9" s="10" t="s">
        <v>308</v>
      </c>
      <c r="P9" s="9" t="s">
        <v>220</v>
      </c>
      <c r="Q9" s="9" t="s">
        <v>221</v>
      </c>
      <c r="R9" s="10">
        <v>127.65</v>
      </c>
      <c r="S9" s="10">
        <v>100</v>
      </c>
      <c r="T9" s="11">
        <v>0.25</v>
      </c>
      <c r="U9" s="9">
        <v>31.91</v>
      </c>
      <c r="V9" s="9" t="s">
        <v>289</v>
      </c>
      <c r="W9" s="9"/>
      <c r="X9" s="9"/>
      <c r="Y9" s="9"/>
      <c r="Z9" s="9"/>
      <c r="AA9" s="9"/>
    </row>
    <row r="10" spans="1:27" s="9" customFormat="1" x14ac:dyDescent="0.25">
      <c r="A10" s="9" t="s">
        <v>25</v>
      </c>
      <c r="B10" s="10">
        <v>8812322</v>
      </c>
      <c r="C10" s="9" t="s">
        <v>65</v>
      </c>
      <c r="D10" s="9" t="s">
        <v>65</v>
      </c>
      <c r="E10" s="9" t="s">
        <v>98</v>
      </c>
      <c r="F10" s="9" t="s">
        <v>152</v>
      </c>
      <c r="G10" s="6" t="str">
        <f t="shared" si="0"/>
        <v>Cheryl Smith</v>
      </c>
      <c r="H10" s="9" t="s">
        <v>176</v>
      </c>
      <c r="I10" s="9" t="s">
        <v>177</v>
      </c>
      <c r="J10" s="9" t="s">
        <v>181</v>
      </c>
      <c r="K10" s="14">
        <v>46054</v>
      </c>
      <c r="L10" s="14">
        <v>46113</v>
      </c>
      <c r="M10" s="10">
        <v>2</v>
      </c>
      <c r="N10" s="10" t="s">
        <v>307</v>
      </c>
      <c r="O10" s="10" t="s">
        <v>308</v>
      </c>
      <c r="P10" s="9" t="s">
        <v>220</v>
      </c>
      <c r="Q10" s="9" t="s">
        <v>221</v>
      </c>
      <c r="R10" s="10">
        <v>65.45</v>
      </c>
      <c r="S10" s="10">
        <v>100</v>
      </c>
      <c r="T10" s="11">
        <v>0.25</v>
      </c>
      <c r="U10" s="9">
        <v>16.36</v>
      </c>
      <c r="V10" s="9" t="s">
        <v>289</v>
      </c>
    </row>
    <row r="11" spans="1:27" x14ac:dyDescent="0.25">
      <c r="A11" s="9" t="s">
        <v>25</v>
      </c>
      <c r="B11" s="10">
        <v>8812322</v>
      </c>
      <c r="C11" s="9" t="s">
        <v>68</v>
      </c>
      <c r="D11" s="9" t="s">
        <v>68</v>
      </c>
      <c r="E11" s="9" t="s">
        <v>112</v>
      </c>
      <c r="F11" s="9" t="s">
        <v>155</v>
      </c>
      <c r="G11" s="6" t="str">
        <f t="shared" si="0"/>
        <v>Ted Morris</v>
      </c>
      <c r="H11" s="9" t="s">
        <v>176</v>
      </c>
      <c r="I11" s="9" t="s">
        <v>177</v>
      </c>
      <c r="J11" s="9" t="s">
        <v>181</v>
      </c>
      <c r="K11" s="14">
        <v>46054</v>
      </c>
      <c r="L11" s="14">
        <v>46113</v>
      </c>
      <c r="M11" s="10">
        <v>2</v>
      </c>
      <c r="N11" s="10" t="s">
        <v>307</v>
      </c>
      <c r="O11" s="10" t="s">
        <v>308</v>
      </c>
      <c r="P11" s="9" t="s">
        <v>220</v>
      </c>
      <c r="Q11" s="9" t="s">
        <v>221</v>
      </c>
      <c r="R11" s="10">
        <v>127.65</v>
      </c>
      <c r="S11" s="10">
        <v>100</v>
      </c>
      <c r="T11" s="11">
        <v>0.25</v>
      </c>
      <c r="U11" s="9">
        <v>31.91</v>
      </c>
      <c r="V11" s="9" t="s">
        <v>289</v>
      </c>
      <c r="W11" s="9"/>
      <c r="X11" s="9"/>
      <c r="Y11" s="9"/>
      <c r="Z11" s="9"/>
      <c r="AA11" s="9"/>
    </row>
    <row r="12" spans="1:27" s="9" customFormat="1" x14ac:dyDescent="0.25">
      <c r="A12" s="9" t="s">
        <v>25</v>
      </c>
      <c r="B12" s="10">
        <v>8812322</v>
      </c>
      <c r="C12" s="9" t="s">
        <v>74</v>
      </c>
      <c r="D12" s="9" t="s">
        <v>74</v>
      </c>
      <c r="E12" s="9" t="s">
        <v>118</v>
      </c>
      <c r="F12" s="9" t="s">
        <v>161</v>
      </c>
      <c r="G12" s="6" t="str">
        <f t="shared" si="0"/>
        <v>Joshua Meyers</v>
      </c>
      <c r="H12" s="9" t="s">
        <v>176</v>
      </c>
      <c r="I12" s="9" t="s">
        <v>177</v>
      </c>
      <c r="J12" s="9" t="s">
        <v>181</v>
      </c>
      <c r="K12" s="14">
        <v>46054</v>
      </c>
      <c r="L12" s="14">
        <v>46113</v>
      </c>
      <c r="M12" s="10">
        <v>2</v>
      </c>
      <c r="N12" s="10" t="s">
        <v>307</v>
      </c>
      <c r="O12" s="10" t="s">
        <v>308</v>
      </c>
      <c r="P12" s="9" t="s">
        <v>220</v>
      </c>
      <c r="Q12" s="9" t="s">
        <v>221</v>
      </c>
      <c r="R12" s="10">
        <v>65.45</v>
      </c>
      <c r="S12" s="10">
        <v>100</v>
      </c>
      <c r="T12" s="11">
        <v>0.25</v>
      </c>
      <c r="U12" s="9">
        <v>16.36</v>
      </c>
      <c r="V12" s="9" t="s">
        <v>289</v>
      </c>
    </row>
    <row r="13" spans="1:27" s="9" customFormat="1" x14ac:dyDescent="0.25">
      <c r="A13" s="9" t="s">
        <v>25</v>
      </c>
      <c r="B13" s="10">
        <v>8812322</v>
      </c>
      <c r="C13" s="9" t="s">
        <v>76</v>
      </c>
      <c r="D13" s="9" t="s">
        <v>76</v>
      </c>
      <c r="E13" s="9" t="s">
        <v>120</v>
      </c>
      <c r="F13" s="9" t="s">
        <v>163</v>
      </c>
      <c r="G13" s="6" t="str">
        <f t="shared" si="0"/>
        <v>Nathan Lake</v>
      </c>
      <c r="H13" s="9" t="s">
        <v>176</v>
      </c>
      <c r="I13" s="9" t="s">
        <v>177</v>
      </c>
      <c r="J13" s="9" t="s">
        <v>181</v>
      </c>
      <c r="K13" s="14">
        <v>46054</v>
      </c>
      <c r="L13" s="14">
        <v>46113</v>
      </c>
      <c r="M13" s="10">
        <v>2</v>
      </c>
      <c r="N13" s="10" t="s">
        <v>307</v>
      </c>
      <c r="O13" s="10" t="s">
        <v>308</v>
      </c>
      <c r="P13" s="9" t="s">
        <v>220</v>
      </c>
      <c r="Q13" s="9" t="s">
        <v>221</v>
      </c>
      <c r="R13" s="10">
        <v>65.45</v>
      </c>
      <c r="S13" s="10">
        <v>100</v>
      </c>
      <c r="T13" s="11">
        <v>0.25</v>
      </c>
      <c r="U13" s="9">
        <v>16.36</v>
      </c>
      <c r="V13" s="9" t="s">
        <v>289</v>
      </c>
    </row>
    <row r="14" spans="1:27" s="9" customFormat="1" x14ac:dyDescent="0.25">
      <c r="A14" s="9" t="s">
        <v>301</v>
      </c>
      <c r="B14" s="10">
        <v>16849453</v>
      </c>
      <c r="C14" s="9" t="s">
        <v>82</v>
      </c>
      <c r="D14" s="9" t="s">
        <v>82</v>
      </c>
      <c r="E14" s="9" t="s">
        <v>125</v>
      </c>
      <c r="F14" s="9" t="s">
        <v>168</v>
      </c>
      <c r="G14" s="6" t="str">
        <f t="shared" si="0"/>
        <v>Gerrod Lambrecht</v>
      </c>
      <c r="H14" s="9" t="s">
        <v>174</v>
      </c>
      <c r="I14" s="9" t="s">
        <v>178</v>
      </c>
      <c r="J14" s="9" t="s">
        <v>183</v>
      </c>
      <c r="K14" s="14">
        <v>46023</v>
      </c>
      <c r="L14" s="14">
        <v>46113</v>
      </c>
      <c r="M14" s="10">
        <v>3</v>
      </c>
      <c r="N14" s="10" t="s">
        <v>307</v>
      </c>
      <c r="O14" s="10" t="s">
        <v>308</v>
      </c>
      <c r="P14" s="9" t="s">
        <v>220</v>
      </c>
      <c r="Q14" s="9" t="s">
        <v>221</v>
      </c>
      <c r="R14" s="10">
        <v>166.99</v>
      </c>
      <c r="S14" s="10">
        <v>100</v>
      </c>
      <c r="T14" s="11">
        <v>0.23200000000000001</v>
      </c>
      <c r="U14" s="9">
        <v>38.74</v>
      </c>
      <c r="V14" s="9" t="s">
        <v>294</v>
      </c>
    </row>
    <row r="15" spans="1:27" s="9" customFormat="1" x14ac:dyDescent="0.25">
      <c r="A15" s="9" t="s">
        <v>299</v>
      </c>
      <c r="B15" s="10">
        <v>16202925</v>
      </c>
      <c r="C15" s="9" t="s">
        <v>79</v>
      </c>
      <c r="D15" s="9" t="s">
        <v>79</v>
      </c>
      <c r="E15" s="9" t="s">
        <v>122</v>
      </c>
      <c r="F15" s="9" t="s">
        <v>165</v>
      </c>
      <c r="G15" s="6" t="str">
        <f t="shared" si="0"/>
        <v>Anna Biebl</v>
      </c>
      <c r="H15" s="9" t="s">
        <v>176</v>
      </c>
      <c r="I15" s="9" t="s">
        <v>177</v>
      </c>
      <c r="J15" s="9" t="s">
        <v>182</v>
      </c>
      <c r="K15" s="14">
        <v>46023</v>
      </c>
      <c r="L15" s="14">
        <v>46113</v>
      </c>
      <c r="M15" s="10">
        <v>3</v>
      </c>
      <c r="N15" s="10" t="s">
        <v>307</v>
      </c>
      <c r="O15" s="10" t="s">
        <v>308</v>
      </c>
      <c r="P15" s="9" t="s">
        <v>220</v>
      </c>
      <c r="Q15" s="9" t="s">
        <v>221</v>
      </c>
      <c r="R15" s="10">
        <v>56.5</v>
      </c>
      <c r="S15" s="10">
        <v>100</v>
      </c>
      <c r="T15" s="11">
        <v>0.25</v>
      </c>
      <c r="U15" s="9">
        <v>14.13</v>
      </c>
      <c r="V15" s="9" t="s">
        <v>289</v>
      </c>
    </row>
    <row r="16" spans="1:27" x14ac:dyDescent="0.25">
      <c r="A16" s="9" t="s">
        <v>25</v>
      </c>
      <c r="B16" s="10">
        <v>8812322</v>
      </c>
      <c r="C16" s="9" t="s">
        <v>57</v>
      </c>
      <c r="D16" s="9" t="s">
        <v>57</v>
      </c>
      <c r="E16" s="9" t="s">
        <v>104</v>
      </c>
      <c r="F16" s="9" t="s">
        <v>145</v>
      </c>
      <c r="G16" s="6" t="str">
        <f t="shared" si="0"/>
        <v>Peggy Bailey</v>
      </c>
      <c r="H16" s="9" t="s">
        <v>174</v>
      </c>
      <c r="I16" s="9" t="s">
        <v>178</v>
      </c>
      <c r="J16" s="9" t="s">
        <v>181</v>
      </c>
      <c r="K16" s="14">
        <v>46023</v>
      </c>
      <c r="L16" s="14">
        <v>46113</v>
      </c>
      <c r="M16" s="10">
        <v>3</v>
      </c>
      <c r="N16" s="10" t="s">
        <v>307</v>
      </c>
      <c r="O16" s="10" t="s">
        <v>308</v>
      </c>
      <c r="P16" s="9" t="s">
        <v>220</v>
      </c>
      <c r="Q16" s="9" t="s">
        <v>222</v>
      </c>
      <c r="R16" s="10">
        <v>189.62</v>
      </c>
      <c r="S16" s="10">
        <v>100</v>
      </c>
      <c r="T16" s="11">
        <v>0.20799999999999999</v>
      </c>
      <c r="U16" s="9">
        <v>39.44</v>
      </c>
      <c r="V16" s="9" t="s">
        <v>293</v>
      </c>
      <c r="W16" s="9"/>
      <c r="X16" s="9"/>
      <c r="Y16" s="9"/>
      <c r="Z16" s="9"/>
      <c r="AA16" s="9"/>
    </row>
    <row r="17" spans="1:27" x14ac:dyDescent="0.25">
      <c r="A17" s="9" t="s">
        <v>25</v>
      </c>
      <c r="B17" s="10">
        <v>8812322</v>
      </c>
      <c r="C17" s="9" t="s">
        <v>58</v>
      </c>
      <c r="D17" s="9" t="s">
        <v>58</v>
      </c>
      <c r="E17" s="9" t="s">
        <v>100</v>
      </c>
      <c r="F17" s="9" t="s">
        <v>145</v>
      </c>
      <c r="G17" s="6" t="str">
        <f t="shared" si="0"/>
        <v>Michael Bailey</v>
      </c>
      <c r="H17" s="9" t="s">
        <v>174</v>
      </c>
      <c r="I17" s="9" t="s">
        <v>178</v>
      </c>
      <c r="J17" s="9" t="s">
        <v>181</v>
      </c>
      <c r="K17" s="14">
        <v>46023</v>
      </c>
      <c r="L17" s="14">
        <v>46113</v>
      </c>
      <c r="M17" s="10">
        <v>3</v>
      </c>
      <c r="N17" s="10" t="s">
        <v>307</v>
      </c>
      <c r="O17" s="10" t="s">
        <v>308</v>
      </c>
      <c r="P17" s="9" t="s">
        <v>220</v>
      </c>
      <c r="Q17" s="9" t="s">
        <v>222</v>
      </c>
      <c r="R17" s="10">
        <v>242.94</v>
      </c>
      <c r="S17" s="10">
        <v>100</v>
      </c>
      <c r="T17" s="11">
        <v>0.20799999999999999</v>
      </c>
      <c r="U17" s="9">
        <v>50.53</v>
      </c>
      <c r="V17" s="9" t="s">
        <v>293</v>
      </c>
      <c r="W17" s="9"/>
      <c r="X17" s="9"/>
      <c r="Y17" s="9"/>
      <c r="Z17" s="9"/>
      <c r="AA17" s="9"/>
    </row>
    <row r="18" spans="1:27" x14ac:dyDescent="0.25">
      <c r="A18" s="9" t="s">
        <v>25</v>
      </c>
      <c r="B18" s="10">
        <v>8812322</v>
      </c>
      <c r="C18" s="9" t="s">
        <v>62</v>
      </c>
      <c r="D18" s="9" t="s">
        <v>62</v>
      </c>
      <c r="E18" s="9" t="s">
        <v>108</v>
      </c>
      <c r="F18" s="9" t="s">
        <v>149</v>
      </c>
      <c r="G18" s="6" t="str">
        <f t="shared" si="0"/>
        <v>Brandon Greene</v>
      </c>
      <c r="H18" s="9" t="s">
        <v>176</v>
      </c>
      <c r="I18" s="9" t="s">
        <v>177</v>
      </c>
      <c r="J18" s="9" t="s">
        <v>181</v>
      </c>
      <c r="K18" s="14">
        <v>46023</v>
      </c>
      <c r="L18" s="14">
        <v>46113</v>
      </c>
      <c r="M18" s="10">
        <v>3</v>
      </c>
      <c r="N18" s="10" t="s">
        <v>307</v>
      </c>
      <c r="O18" s="10" t="s">
        <v>308</v>
      </c>
      <c r="P18" s="9" t="s">
        <v>220</v>
      </c>
      <c r="Q18" s="9" t="s">
        <v>221</v>
      </c>
      <c r="R18" s="10">
        <v>65.45</v>
      </c>
      <c r="S18" s="10">
        <v>100</v>
      </c>
      <c r="T18" s="11">
        <v>0.25</v>
      </c>
      <c r="U18" s="9">
        <v>16.36</v>
      </c>
      <c r="V18" s="9" t="s">
        <v>289</v>
      </c>
      <c r="W18" s="9"/>
      <c r="X18" s="9"/>
      <c r="Y18" s="9"/>
      <c r="Z18" s="9"/>
      <c r="AA18" s="9"/>
    </row>
    <row r="19" spans="1:27" s="9" customFormat="1" x14ac:dyDescent="0.25">
      <c r="A19" s="9" t="s">
        <v>25</v>
      </c>
      <c r="B19" s="10">
        <v>8812322</v>
      </c>
      <c r="C19" s="9" t="s">
        <v>64</v>
      </c>
      <c r="D19" s="9" t="s">
        <v>64</v>
      </c>
      <c r="E19" s="9" t="s">
        <v>110</v>
      </c>
      <c r="F19" s="9" t="s">
        <v>151</v>
      </c>
      <c r="G19" s="6" t="str">
        <f t="shared" si="0"/>
        <v>Grant Hegstrom</v>
      </c>
      <c r="H19" s="9" t="s">
        <v>176</v>
      </c>
      <c r="I19" s="9" t="s">
        <v>177</v>
      </c>
      <c r="J19" s="9" t="s">
        <v>181</v>
      </c>
      <c r="K19" s="14">
        <v>46023</v>
      </c>
      <c r="L19" s="14">
        <v>46113</v>
      </c>
      <c r="M19" s="10">
        <v>3</v>
      </c>
      <c r="N19" s="10" t="s">
        <v>307</v>
      </c>
      <c r="O19" s="10" t="s">
        <v>308</v>
      </c>
      <c r="P19" s="9" t="s">
        <v>220</v>
      </c>
      <c r="Q19" s="9" t="s">
        <v>221</v>
      </c>
      <c r="R19" s="10">
        <v>127.65</v>
      </c>
      <c r="S19" s="10">
        <v>100</v>
      </c>
      <c r="T19" s="11">
        <v>0.25</v>
      </c>
      <c r="U19" s="9">
        <v>31.91</v>
      </c>
      <c r="V19" s="9" t="s">
        <v>289</v>
      </c>
    </row>
    <row r="20" spans="1:27" s="9" customFormat="1" x14ac:dyDescent="0.25">
      <c r="A20" s="9" t="s">
        <v>25</v>
      </c>
      <c r="B20" s="10">
        <v>8812322</v>
      </c>
      <c r="C20" s="9" t="s">
        <v>66</v>
      </c>
      <c r="D20" s="9" t="s">
        <v>66</v>
      </c>
      <c r="E20" s="9" t="s">
        <v>106</v>
      </c>
      <c r="F20" s="9" t="s">
        <v>153</v>
      </c>
      <c r="G20" s="6" t="str">
        <f t="shared" si="0"/>
        <v>Jennifer Biddle</v>
      </c>
      <c r="H20" s="9" t="s">
        <v>176</v>
      </c>
      <c r="I20" s="9" t="s">
        <v>177</v>
      </c>
      <c r="J20" s="9" t="s">
        <v>181</v>
      </c>
      <c r="K20" s="14">
        <v>46023</v>
      </c>
      <c r="L20" s="14">
        <v>46113</v>
      </c>
      <c r="M20" s="10">
        <v>3</v>
      </c>
      <c r="N20" s="10" t="s">
        <v>307</v>
      </c>
      <c r="O20" s="10" t="s">
        <v>308</v>
      </c>
      <c r="P20" s="9" t="s">
        <v>220</v>
      </c>
      <c r="Q20" s="9" t="s">
        <v>221</v>
      </c>
      <c r="R20" s="10">
        <v>55.9</v>
      </c>
      <c r="S20" s="10">
        <v>100</v>
      </c>
      <c r="T20" s="11">
        <v>0.25</v>
      </c>
      <c r="U20" s="9">
        <v>13.98</v>
      </c>
      <c r="V20" s="9" t="s">
        <v>289</v>
      </c>
    </row>
    <row r="21" spans="1:27" s="9" customFormat="1" x14ac:dyDescent="0.25">
      <c r="A21" s="9" t="s">
        <v>25</v>
      </c>
      <c r="B21" s="10">
        <v>8812322</v>
      </c>
      <c r="C21" s="9" t="s">
        <v>67</v>
      </c>
      <c r="D21" s="9" t="s">
        <v>67</v>
      </c>
      <c r="E21" s="9" t="s">
        <v>111</v>
      </c>
      <c r="F21" s="9" t="s">
        <v>154</v>
      </c>
      <c r="G21" s="6" t="str">
        <f t="shared" si="0"/>
        <v>Daniel Hildenbrand</v>
      </c>
      <c r="H21" s="9" t="s">
        <v>176</v>
      </c>
      <c r="I21" s="9" t="s">
        <v>177</v>
      </c>
      <c r="J21" s="9" t="s">
        <v>181</v>
      </c>
      <c r="K21" s="14">
        <v>46023</v>
      </c>
      <c r="L21" s="14">
        <v>46113</v>
      </c>
      <c r="M21" s="10">
        <v>3</v>
      </c>
      <c r="N21" s="10" t="s">
        <v>307</v>
      </c>
      <c r="O21" s="10" t="s">
        <v>308</v>
      </c>
      <c r="P21" s="9" t="s">
        <v>220</v>
      </c>
      <c r="Q21" s="9" t="s">
        <v>221</v>
      </c>
      <c r="R21" s="10">
        <v>127.65</v>
      </c>
      <c r="S21" s="10">
        <v>100</v>
      </c>
      <c r="T21" s="11">
        <v>0.25</v>
      </c>
      <c r="U21" s="9">
        <v>31.91</v>
      </c>
      <c r="V21" s="9" t="s">
        <v>289</v>
      </c>
    </row>
    <row r="22" spans="1:27" s="9" customFormat="1" x14ac:dyDescent="0.25">
      <c r="A22" s="9" t="s">
        <v>25</v>
      </c>
      <c r="B22" s="10">
        <v>8812322</v>
      </c>
      <c r="C22" s="9" t="s">
        <v>70</v>
      </c>
      <c r="D22" s="9" t="s">
        <v>70</v>
      </c>
      <c r="E22" s="9" t="s">
        <v>114</v>
      </c>
      <c r="F22" s="9" t="s">
        <v>157</v>
      </c>
      <c r="G22" s="6" t="str">
        <f t="shared" si="0"/>
        <v>Aaron Kincaid</v>
      </c>
      <c r="H22" s="9" t="s">
        <v>176</v>
      </c>
      <c r="I22" s="9" t="s">
        <v>177</v>
      </c>
      <c r="J22" s="9" t="s">
        <v>181</v>
      </c>
      <c r="K22" s="14">
        <v>46023</v>
      </c>
      <c r="L22" s="14">
        <v>46113</v>
      </c>
      <c r="M22" s="10">
        <v>3</v>
      </c>
      <c r="N22" s="10" t="s">
        <v>307</v>
      </c>
      <c r="O22" s="10" t="s">
        <v>308</v>
      </c>
      <c r="P22" s="9" t="s">
        <v>220</v>
      </c>
      <c r="Q22" s="9" t="s">
        <v>221</v>
      </c>
      <c r="R22" s="10">
        <v>206.15</v>
      </c>
      <c r="S22" s="10">
        <v>100</v>
      </c>
      <c r="T22" s="11">
        <v>0.25</v>
      </c>
      <c r="U22" s="9">
        <v>51.54</v>
      </c>
      <c r="V22" s="9" t="s">
        <v>289</v>
      </c>
    </row>
    <row r="23" spans="1:27" x14ac:dyDescent="0.25">
      <c r="A23" s="9" t="s">
        <v>25</v>
      </c>
      <c r="B23" s="10">
        <v>8812322</v>
      </c>
      <c r="C23" s="9" t="s">
        <v>71</v>
      </c>
      <c r="D23" s="9" t="s">
        <v>71</v>
      </c>
      <c r="E23" s="9" t="s">
        <v>115</v>
      </c>
      <c r="F23" s="9" t="s">
        <v>158</v>
      </c>
      <c r="G23" s="6" t="str">
        <f t="shared" si="0"/>
        <v>Laura Crabtree</v>
      </c>
      <c r="H23" s="9" t="s">
        <v>176</v>
      </c>
      <c r="I23" s="9" t="s">
        <v>177</v>
      </c>
      <c r="J23" s="9" t="s">
        <v>181</v>
      </c>
      <c r="K23" s="14">
        <v>46023</v>
      </c>
      <c r="L23" s="14">
        <v>46113</v>
      </c>
      <c r="M23" s="10">
        <v>3</v>
      </c>
      <c r="N23" s="10" t="s">
        <v>307</v>
      </c>
      <c r="O23" s="10" t="s">
        <v>308</v>
      </c>
      <c r="P23" s="9" t="s">
        <v>220</v>
      </c>
      <c r="Q23" s="9" t="s">
        <v>222</v>
      </c>
      <c r="R23" s="10">
        <v>127.65</v>
      </c>
      <c r="S23" s="10">
        <v>100</v>
      </c>
      <c r="T23" s="11">
        <v>0.25</v>
      </c>
      <c r="U23" s="9">
        <v>31.91</v>
      </c>
      <c r="V23" s="9" t="s">
        <v>289</v>
      </c>
      <c r="W23" s="9"/>
      <c r="X23" s="9"/>
      <c r="Y23" s="9"/>
      <c r="Z23" s="9"/>
      <c r="AA23" s="9"/>
    </row>
    <row r="24" spans="1:27" x14ac:dyDescent="0.25">
      <c r="A24" s="9" t="s">
        <v>25</v>
      </c>
      <c r="B24" s="10">
        <v>8812322</v>
      </c>
      <c r="C24" s="9" t="s">
        <v>72</v>
      </c>
      <c r="D24" s="9" t="s">
        <v>72</v>
      </c>
      <c r="E24" s="9" t="s">
        <v>116</v>
      </c>
      <c r="F24" s="9" t="s">
        <v>159</v>
      </c>
      <c r="G24" s="6" t="str">
        <f t="shared" si="0"/>
        <v>Hannah Minton</v>
      </c>
      <c r="H24" s="9" t="s">
        <v>176</v>
      </c>
      <c r="I24" s="9" t="s">
        <v>177</v>
      </c>
      <c r="J24" s="9" t="s">
        <v>181</v>
      </c>
      <c r="K24" s="14">
        <v>46023</v>
      </c>
      <c r="L24" s="14">
        <v>46113</v>
      </c>
      <c r="M24" s="10">
        <v>3</v>
      </c>
      <c r="N24" s="10" t="s">
        <v>307</v>
      </c>
      <c r="O24" s="10" t="s">
        <v>308</v>
      </c>
      <c r="P24" s="9" t="s">
        <v>220</v>
      </c>
      <c r="Q24" s="9" t="s">
        <v>221</v>
      </c>
      <c r="R24" s="10">
        <v>65.45</v>
      </c>
      <c r="S24" s="10">
        <v>100</v>
      </c>
      <c r="T24" s="11">
        <v>0.25</v>
      </c>
      <c r="U24" s="9">
        <v>16.36</v>
      </c>
      <c r="V24" s="9" t="s">
        <v>289</v>
      </c>
      <c r="W24" s="9"/>
      <c r="X24" s="9"/>
      <c r="Y24" s="9"/>
      <c r="Z24" s="9"/>
      <c r="AA24" s="9"/>
    </row>
    <row r="25" spans="1:27" s="9" customFormat="1" x14ac:dyDescent="0.25">
      <c r="A25" s="9" t="s">
        <v>25</v>
      </c>
      <c r="B25" s="10">
        <v>8812322</v>
      </c>
      <c r="C25" s="9" t="s">
        <v>60</v>
      </c>
      <c r="D25" s="9" t="s">
        <v>60</v>
      </c>
      <c r="E25" s="9" t="s">
        <v>106</v>
      </c>
      <c r="F25" s="9" t="s">
        <v>147</v>
      </c>
      <c r="G25" s="6" t="str">
        <f t="shared" si="0"/>
        <v>Jennifer Tobias</v>
      </c>
      <c r="H25" s="9" t="s">
        <v>174</v>
      </c>
      <c r="I25" s="9" t="s">
        <v>178</v>
      </c>
      <c r="J25" s="9" t="s">
        <v>181</v>
      </c>
      <c r="K25" s="14">
        <v>45992</v>
      </c>
      <c r="L25" s="14">
        <v>46113</v>
      </c>
      <c r="M25" s="10">
        <v>4</v>
      </c>
      <c r="N25" s="10" t="s">
        <v>307</v>
      </c>
      <c r="O25" s="10" t="s">
        <v>308</v>
      </c>
      <c r="P25" s="9" t="s">
        <v>220</v>
      </c>
      <c r="Q25" s="9" t="s">
        <v>221</v>
      </c>
      <c r="R25" s="10">
        <v>120.21</v>
      </c>
      <c r="S25" s="10">
        <v>100</v>
      </c>
      <c r="T25" s="11">
        <v>0.20799999999999999</v>
      </c>
      <c r="U25" s="9">
        <v>25</v>
      </c>
      <c r="V25" s="9" t="s">
        <v>293</v>
      </c>
    </row>
    <row r="26" spans="1:27" s="9" customFormat="1" x14ac:dyDescent="0.25">
      <c r="A26" s="9" t="s">
        <v>25</v>
      </c>
      <c r="B26" s="10">
        <v>8812322</v>
      </c>
      <c r="C26" s="9" t="s">
        <v>63</v>
      </c>
      <c r="D26" s="9" t="s">
        <v>63</v>
      </c>
      <c r="E26" s="9" t="s">
        <v>109</v>
      </c>
      <c r="F26" s="9" t="s">
        <v>150</v>
      </c>
      <c r="G26" s="6" t="str">
        <f t="shared" si="0"/>
        <v>Misty Newberry</v>
      </c>
      <c r="H26" s="9" t="s">
        <v>176</v>
      </c>
      <c r="I26" s="9" t="s">
        <v>177</v>
      </c>
      <c r="J26" s="9" t="s">
        <v>181</v>
      </c>
      <c r="K26" s="14">
        <v>45992</v>
      </c>
      <c r="L26" s="14">
        <v>46113</v>
      </c>
      <c r="M26" s="10">
        <v>4</v>
      </c>
      <c r="N26" s="10" t="s">
        <v>307</v>
      </c>
      <c r="O26" s="10" t="s">
        <v>308</v>
      </c>
      <c r="P26" s="9" t="s">
        <v>220</v>
      </c>
      <c r="Q26" s="9" t="s">
        <v>221</v>
      </c>
      <c r="R26" s="10">
        <v>56.5</v>
      </c>
      <c r="S26" s="10">
        <v>100</v>
      </c>
      <c r="T26" s="11">
        <v>0.25</v>
      </c>
      <c r="U26" s="9">
        <v>14.13</v>
      </c>
      <c r="V26" s="9" t="s">
        <v>289</v>
      </c>
    </row>
    <row r="27" spans="1:27" s="9" customFormat="1" x14ac:dyDescent="0.25">
      <c r="A27" s="9" t="s">
        <v>25</v>
      </c>
      <c r="B27" s="10">
        <v>8812322</v>
      </c>
      <c r="C27" s="9" t="s">
        <v>69</v>
      </c>
      <c r="D27" s="9" t="s">
        <v>69</v>
      </c>
      <c r="E27" s="9" t="s">
        <v>113</v>
      </c>
      <c r="F27" s="9" t="s">
        <v>156</v>
      </c>
      <c r="G27" s="6" t="str">
        <f t="shared" si="0"/>
        <v>Kalin Kocher</v>
      </c>
      <c r="H27" s="9" t="s">
        <v>176</v>
      </c>
      <c r="I27" s="9" t="s">
        <v>177</v>
      </c>
      <c r="J27" s="9" t="s">
        <v>181</v>
      </c>
      <c r="K27" s="14">
        <v>45992</v>
      </c>
      <c r="L27" s="14">
        <v>46113</v>
      </c>
      <c r="M27" s="10">
        <v>4</v>
      </c>
      <c r="N27" s="10" t="s">
        <v>307</v>
      </c>
      <c r="O27" s="10" t="s">
        <v>308</v>
      </c>
      <c r="P27" s="9" t="s">
        <v>220</v>
      </c>
      <c r="Q27" s="9" t="s">
        <v>221</v>
      </c>
      <c r="R27" s="10">
        <v>56.5</v>
      </c>
      <c r="S27" s="10">
        <v>100</v>
      </c>
      <c r="T27" s="11">
        <v>0.25</v>
      </c>
      <c r="U27" s="9">
        <v>14.13</v>
      </c>
      <c r="V27" s="9" t="s">
        <v>289</v>
      </c>
    </row>
    <row r="28" spans="1:27" s="9" customFormat="1" x14ac:dyDescent="0.25">
      <c r="A28" s="9" t="s">
        <v>302</v>
      </c>
      <c r="B28" s="10">
        <v>19586992</v>
      </c>
      <c r="C28" s="9" t="s">
        <v>86</v>
      </c>
      <c r="D28" s="9" t="s">
        <v>86</v>
      </c>
      <c r="E28" s="9" t="s">
        <v>128</v>
      </c>
      <c r="F28" s="9" t="s">
        <v>171</v>
      </c>
      <c r="G28" s="6" t="str">
        <f t="shared" si="0"/>
        <v>Jacqueline Green</v>
      </c>
      <c r="H28" s="9" t="s">
        <v>174</v>
      </c>
      <c r="I28" s="9" t="s">
        <v>178</v>
      </c>
      <c r="J28" s="9" t="s">
        <v>181</v>
      </c>
      <c r="K28" s="14">
        <v>45962</v>
      </c>
      <c r="L28" s="14">
        <v>46113</v>
      </c>
      <c r="M28" s="10">
        <v>5</v>
      </c>
      <c r="N28" s="10" t="s">
        <v>307</v>
      </c>
      <c r="O28" s="10" t="s">
        <v>308</v>
      </c>
      <c r="P28" s="9" t="s">
        <v>220</v>
      </c>
      <c r="Q28" s="9" t="s">
        <v>221</v>
      </c>
      <c r="R28" s="10">
        <v>116.7</v>
      </c>
      <c r="S28" s="10">
        <v>100</v>
      </c>
      <c r="T28" s="11">
        <v>0.20799999999999999</v>
      </c>
      <c r="U28" s="9">
        <v>24.27</v>
      </c>
      <c r="V28" s="9" t="s">
        <v>293</v>
      </c>
    </row>
    <row r="29" spans="1:27" s="9" customFormat="1" x14ac:dyDescent="0.25">
      <c r="A29" s="9" t="s">
        <v>25</v>
      </c>
      <c r="B29" s="10">
        <v>8812322</v>
      </c>
      <c r="C29" s="9" t="s">
        <v>75</v>
      </c>
      <c r="D29" s="9" t="s">
        <v>75</v>
      </c>
      <c r="E29" s="9" t="s">
        <v>119</v>
      </c>
      <c r="F29" s="9" t="s">
        <v>162</v>
      </c>
      <c r="G29" s="6" t="str">
        <f t="shared" si="0"/>
        <v>Patricia Buckley</v>
      </c>
      <c r="H29" s="9" t="s">
        <v>176</v>
      </c>
      <c r="I29" s="9" t="s">
        <v>177</v>
      </c>
      <c r="J29" s="9" t="s">
        <v>181</v>
      </c>
      <c r="K29" s="14">
        <v>45976</v>
      </c>
      <c r="L29" s="14">
        <v>46127</v>
      </c>
      <c r="M29" s="10">
        <v>5</v>
      </c>
      <c r="N29" s="10" t="s">
        <v>307</v>
      </c>
      <c r="O29" s="10" t="s">
        <v>308</v>
      </c>
      <c r="P29" s="9" t="s">
        <v>220</v>
      </c>
      <c r="Q29" s="9" t="s">
        <v>221</v>
      </c>
      <c r="R29" s="10">
        <v>65.45</v>
      </c>
      <c r="S29" s="10">
        <v>100</v>
      </c>
      <c r="T29" s="11">
        <v>0.25</v>
      </c>
      <c r="U29" s="9">
        <v>16.36</v>
      </c>
      <c r="V29" s="9" t="s">
        <v>289</v>
      </c>
    </row>
    <row r="30" spans="1:27" s="9" customFormat="1" x14ac:dyDescent="0.25">
      <c r="A30" s="9" t="s">
        <v>30</v>
      </c>
      <c r="B30" s="10">
        <v>18828278</v>
      </c>
      <c r="C30" s="9" t="s">
        <v>87</v>
      </c>
      <c r="D30" s="9" t="s">
        <v>87</v>
      </c>
      <c r="E30" s="9" t="s">
        <v>129</v>
      </c>
      <c r="F30" s="9" t="s">
        <v>172</v>
      </c>
      <c r="G30" s="6" t="str">
        <f t="shared" si="0"/>
        <v>Jayne Bressner</v>
      </c>
      <c r="H30" s="9" t="s">
        <v>174</v>
      </c>
      <c r="I30" s="9" t="s">
        <v>178</v>
      </c>
      <c r="J30" s="9" t="s">
        <v>181</v>
      </c>
      <c r="K30" s="14">
        <v>45931</v>
      </c>
      <c r="L30" s="14">
        <v>46113</v>
      </c>
      <c r="M30" s="10">
        <v>6</v>
      </c>
      <c r="N30" s="10" t="s">
        <v>307</v>
      </c>
      <c r="O30" s="10" t="s">
        <v>308</v>
      </c>
      <c r="P30" s="9" t="s">
        <v>220</v>
      </c>
      <c r="Q30" s="9" t="s">
        <v>222</v>
      </c>
      <c r="R30" s="10">
        <v>137.01</v>
      </c>
      <c r="S30" s="10">
        <v>100</v>
      </c>
      <c r="T30" s="11">
        <v>0.20799999999999999</v>
      </c>
      <c r="U30" s="9">
        <v>28.5</v>
      </c>
      <c r="V30" s="9" t="s">
        <v>293</v>
      </c>
    </row>
    <row r="31" spans="1:27" s="9" customFormat="1" x14ac:dyDescent="0.25">
      <c r="A31" s="9" t="s">
        <v>300</v>
      </c>
      <c r="B31" s="10">
        <v>16912722</v>
      </c>
      <c r="C31" s="9" t="s">
        <v>80</v>
      </c>
      <c r="D31" s="9" t="s">
        <v>80</v>
      </c>
      <c r="E31" s="9" t="s">
        <v>123</v>
      </c>
      <c r="F31" s="9" t="s">
        <v>166</v>
      </c>
      <c r="G31" s="6" t="str">
        <f t="shared" si="0"/>
        <v>Zaharoula Diamantakos</v>
      </c>
      <c r="H31" s="9" t="s">
        <v>174</v>
      </c>
      <c r="I31" s="9" t="s">
        <v>178</v>
      </c>
      <c r="J31" s="9" t="s">
        <v>181</v>
      </c>
      <c r="K31" s="14">
        <v>45931</v>
      </c>
      <c r="L31" s="14">
        <v>46113</v>
      </c>
      <c r="M31" s="10">
        <v>6</v>
      </c>
      <c r="N31" s="10" t="s">
        <v>307</v>
      </c>
      <c r="O31" s="10" t="s">
        <v>308</v>
      </c>
      <c r="P31" s="9" t="s">
        <v>220</v>
      </c>
      <c r="Q31" s="9" t="s">
        <v>222</v>
      </c>
      <c r="R31" s="10">
        <v>173.6</v>
      </c>
      <c r="S31" s="10">
        <v>100</v>
      </c>
      <c r="T31" s="11">
        <v>0.20799999999999999</v>
      </c>
      <c r="U31" s="9">
        <v>36.11</v>
      </c>
      <c r="V31" s="9" t="s">
        <v>293</v>
      </c>
    </row>
    <row r="32" spans="1:27" s="9" customFormat="1" x14ac:dyDescent="0.25">
      <c r="A32" s="9" t="s">
        <v>25</v>
      </c>
      <c r="B32" s="10">
        <v>8812322</v>
      </c>
      <c r="C32" s="9" t="s">
        <v>55</v>
      </c>
      <c r="D32" s="9" t="s">
        <v>55</v>
      </c>
      <c r="E32" s="9" t="s">
        <v>102</v>
      </c>
      <c r="F32" s="9" t="s">
        <v>143</v>
      </c>
      <c r="G32" s="6" t="str">
        <f t="shared" si="0"/>
        <v>Edward Kunkel</v>
      </c>
      <c r="H32" s="9" t="s">
        <v>176</v>
      </c>
      <c r="I32" s="9" t="s">
        <v>177</v>
      </c>
      <c r="J32" s="9" t="s">
        <v>181</v>
      </c>
      <c r="K32" s="14">
        <v>45905</v>
      </c>
      <c r="L32" s="14">
        <v>46117</v>
      </c>
      <c r="M32" s="10">
        <v>7</v>
      </c>
      <c r="N32" s="10" t="s">
        <v>307</v>
      </c>
      <c r="O32" s="10" t="s">
        <v>308</v>
      </c>
      <c r="P32" s="9" t="s">
        <v>220</v>
      </c>
      <c r="Q32" s="9" t="s">
        <v>221</v>
      </c>
      <c r="R32" s="10">
        <v>127.65</v>
      </c>
      <c r="S32" s="10">
        <v>100</v>
      </c>
      <c r="T32" s="11">
        <v>0.25</v>
      </c>
      <c r="U32" s="9">
        <v>31.91</v>
      </c>
      <c r="V32" s="9" t="s">
        <v>289</v>
      </c>
    </row>
    <row r="33" spans="1:27" s="9" customFormat="1" x14ac:dyDescent="0.25">
      <c r="A33" s="9" t="s">
        <v>25</v>
      </c>
      <c r="B33" s="10">
        <v>8812322</v>
      </c>
      <c r="C33" s="9" t="s">
        <v>73</v>
      </c>
      <c r="D33" s="9" t="s">
        <v>73</v>
      </c>
      <c r="E33" s="9" t="s">
        <v>117</v>
      </c>
      <c r="F33" s="9" t="s">
        <v>160</v>
      </c>
      <c r="G33" s="6" t="str">
        <f t="shared" si="0"/>
        <v>Harlin Hill</v>
      </c>
      <c r="H33" s="9" t="s">
        <v>174</v>
      </c>
      <c r="I33" s="9" t="s">
        <v>178</v>
      </c>
      <c r="J33" s="9" t="s">
        <v>181</v>
      </c>
      <c r="K33" s="14">
        <v>45901</v>
      </c>
      <c r="L33" s="14">
        <v>46113</v>
      </c>
      <c r="M33" s="10">
        <v>7</v>
      </c>
      <c r="N33" s="10" t="s">
        <v>307</v>
      </c>
      <c r="O33" s="10" t="s">
        <v>308</v>
      </c>
      <c r="P33" s="9" t="s">
        <v>220</v>
      </c>
      <c r="Q33" s="9" t="s">
        <v>222</v>
      </c>
      <c r="R33" s="10">
        <v>170.91</v>
      </c>
      <c r="S33" s="10">
        <v>100</v>
      </c>
      <c r="T33" s="11">
        <v>0.20799999999999999</v>
      </c>
      <c r="U33" s="9">
        <v>35.549999999999997</v>
      </c>
      <c r="V33" s="9" t="s">
        <v>293</v>
      </c>
    </row>
    <row r="34" spans="1:27" s="9" customFormat="1" x14ac:dyDescent="0.25">
      <c r="A34" s="9" t="s">
        <v>25</v>
      </c>
      <c r="B34" s="10">
        <v>8812322</v>
      </c>
      <c r="C34" s="9" t="s">
        <v>77</v>
      </c>
      <c r="D34" s="9" t="s">
        <v>77</v>
      </c>
      <c r="E34" s="9" t="s">
        <v>115</v>
      </c>
      <c r="F34" s="9" t="s">
        <v>160</v>
      </c>
      <c r="G34" s="6" t="str">
        <f t="shared" si="0"/>
        <v>Laura Hill</v>
      </c>
      <c r="H34" s="9" t="s">
        <v>174</v>
      </c>
      <c r="I34" s="9" t="s">
        <v>178</v>
      </c>
      <c r="J34" s="9" t="s">
        <v>181</v>
      </c>
      <c r="K34" s="14">
        <v>45901</v>
      </c>
      <c r="L34" s="14">
        <v>46113</v>
      </c>
      <c r="M34" s="10">
        <v>7</v>
      </c>
      <c r="N34" s="10" t="s">
        <v>307</v>
      </c>
      <c r="O34" s="10" t="s">
        <v>308</v>
      </c>
      <c r="P34" s="9" t="s">
        <v>220</v>
      </c>
      <c r="Q34" s="9" t="s">
        <v>222</v>
      </c>
      <c r="R34" s="10">
        <v>149.69</v>
      </c>
      <c r="S34" s="10">
        <v>100</v>
      </c>
      <c r="T34" s="11">
        <v>0.20799999999999999</v>
      </c>
      <c r="U34" s="9">
        <v>31.14</v>
      </c>
      <c r="V34" s="9" t="s">
        <v>293</v>
      </c>
    </row>
    <row r="35" spans="1:27" s="9" customFormat="1" x14ac:dyDescent="0.25">
      <c r="A35" s="9" t="s">
        <v>24</v>
      </c>
      <c r="B35" s="10">
        <v>19491313</v>
      </c>
      <c r="C35" s="9" t="s">
        <v>47</v>
      </c>
      <c r="D35" s="9" t="s">
        <v>47</v>
      </c>
      <c r="E35" s="9" t="s">
        <v>94</v>
      </c>
      <c r="F35" s="9" t="s">
        <v>136</v>
      </c>
      <c r="G35" s="6" t="str">
        <f t="shared" si="0"/>
        <v>Ralph Gropper</v>
      </c>
      <c r="H35" s="9" t="s">
        <v>175</v>
      </c>
      <c r="I35" s="9" t="s">
        <v>178</v>
      </c>
      <c r="J35" s="9" t="s">
        <v>180</v>
      </c>
      <c r="K35" s="14">
        <v>45870</v>
      </c>
      <c r="L35" s="14">
        <v>46113</v>
      </c>
      <c r="M35" s="10">
        <v>8</v>
      </c>
      <c r="N35" s="10" t="s">
        <v>307</v>
      </c>
      <c r="O35" s="10" t="s">
        <v>308</v>
      </c>
      <c r="P35" s="9" t="s">
        <v>220</v>
      </c>
      <c r="Q35" s="9" t="s">
        <v>222</v>
      </c>
      <c r="R35" s="10">
        <v>243.62</v>
      </c>
      <c r="S35" s="10">
        <v>100</v>
      </c>
      <c r="T35" s="11">
        <v>0.02</v>
      </c>
      <c r="U35" s="9">
        <v>4.87</v>
      </c>
      <c r="V35" s="9" t="s">
        <v>291</v>
      </c>
    </row>
    <row r="36" spans="1:27" s="9" customFormat="1" x14ac:dyDescent="0.25">
      <c r="A36" s="9" t="s">
        <v>301</v>
      </c>
      <c r="B36" s="10">
        <v>16849453</v>
      </c>
      <c r="C36" s="9" t="s">
        <v>84</v>
      </c>
      <c r="D36" s="9" t="s">
        <v>84</v>
      </c>
      <c r="E36" s="9" t="s">
        <v>127</v>
      </c>
      <c r="F36" s="9" t="s">
        <v>169</v>
      </c>
      <c r="G36" s="6" t="str">
        <f t="shared" si="0"/>
        <v>Karen Duke</v>
      </c>
      <c r="H36" s="9" t="s">
        <v>176</v>
      </c>
      <c r="I36" s="9" t="s">
        <v>177</v>
      </c>
      <c r="J36" s="9" t="s">
        <v>183</v>
      </c>
      <c r="K36" s="14">
        <v>45870</v>
      </c>
      <c r="L36" s="14">
        <v>46113</v>
      </c>
      <c r="M36" s="10">
        <v>8</v>
      </c>
      <c r="N36" s="10" t="s">
        <v>307</v>
      </c>
      <c r="O36" s="10" t="s">
        <v>308</v>
      </c>
      <c r="P36" s="9" t="s">
        <v>220</v>
      </c>
      <c r="Q36" s="9" t="s">
        <v>221</v>
      </c>
      <c r="R36" s="10">
        <v>56.5</v>
      </c>
      <c r="S36" s="10">
        <v>100</v>
      </c>
      <c r="T36" s="11">
        <v>0.25</v>
      </c>
      <c r="U36" s="9">
        <v>14.13</v>
      </c>
      <c r="V36" s="9" t="s">
        <v>289</v>
      </c>
    </row>
    <row r="37" spans="1:27" s="9" customFormat="1" x14ac:dyDescent="0.25">
      <c r="A37" s="9" t="s">
        <v>299</v>
      </c>
      <c r="B37" s="10">
        <v>16202925</v>
      </c>
      <c r="C37" s="9" t="s">
        <v>78</v>
      </c>
      <c r="D37" s="9" t="s">
        <v>78</v>
      </c>
      <c r="E37" s="9" t="s">
        <v>121</v>
      </c>
      <c r="F37" s="9" t="s">
        <v>164</v>
      </c>
      <c r="G37" s="6" t="str">
        <f t="shared" si="0"/>
        <v>Shirley Perry</v>
      </c>
      <c r="H37" s="9" t="s">
        <v>176</v>
      </c>
      <c r="I37" s="9" t="s">
        <v>177</v>
      </c>
      <c r="J37" s="9" t="s">
        <v>182</v>
      </c>
      <c r="K37" s="14">
        <v>45870</v>
      </c>
      <c r="L37" s="14">
        <v>46113</v>
      </c>
      <c r="M37" s="10">
        <v>8</v>
      </c>
      <c r="N37" s="10" t="s">
        <v>307</v>
      </c>
      <c r="O37" s="10" t="s">
        <v>308</v>
      </c>
      <c r="P37" s="9" t="s">
        <v>220</v>
      </c>
      <c r="Q37" s="9" t="s">
        <v>221</v>
      </c>
      <c r="R37" s="10">
        <v>47.7</v>
      </c>
      <c r="S37" s="10">
        <v>100</v>
      </c>
      <c r="T37" s="11">
        <v>0.25</v>
      </c>
      <c r="U37" s="9">
        <v>11.93</v>
      </c>
      <c r="V37" s="9" t="s">
        <v>289</v>
      </c>
    </row>
    <row r="38" spans="1:27" s="9" customFormat="1" x14ac:dyDescent="0.25">
      <c r="A38" s="3" t="s">
        <v>24</v>
      </c>
      <c r="B38" s="4">
        <v>19491313</v>
      </c>
      <c r="C38" s="3" t="s">
        <v>45</v>
      </c>
      <c r="D38" s="3" t="s">
        <v>45</v>
      </c>
      <c r="E38" s="3" t="s">
        <v>92</v>
      </c>
      <c r="F38" s="3" t="s">
        <v>134</v>
      </c>
      <c r="G38" s="6" t="str">
        <f t="shared" si="0"/>
        <v>Michelle Zahler</v>
      </c>
      <c r="H38" s="3" t="s">
        <v>174</v>
      </c>
      <c r="I38" s="3" t="s">
        <v>178</v>
      </c>
      <c r="J38" s="3" t="s">
        <v>180</v>
      </c>
      <c r="K38" s="12">
        <v>46023</v>
      </c>
      <c r="L38" s="12">
        <v>46113</v>
      </c>
      <c r="M38" s="4">
        <v>3</v>
      </c>
      <c r="N38" s="4" t="s">
        <v>307</v>
      </c>
      <c r="O38" s="4" t="s">
        <v>309</v>
      </c>
      <c r="P38" s="3" t="s">
        <v>220</v>
      </c>
      <c r="Q38" s="3" t="s">
        <v>221</v>
      </c>
      <c r="R38" s="4">
        <v>130.09</v>
      </c>
      <c r="S38" s="4">
        <v>100</v>
      </c>
      <c r="T38" s="5">
        <v>0.21</v>
      </c>
      <c r="U38" s="3">
        <v>27.32</v>
      </c>
      <c r="V38" s="3" t="s">
        <v>290</v>
      </c>
      <c r="W38" s="3"/>
      <c r="X38" s="3"/>
      <c r="Y38" s="3"/>
      <c r="Z38" s="3"/>
      <c r="AA38" s="3"/>
    </row>
    <row r="39" spans="1:27" s="9" customFormat="1" x14ac:dyDescent="0.25">
      <c r="A39" s="3" t="s">
        <v>24</v>
      </c>
      <c r="B39" s="4">
        <v>19491313</v>
      </c>
      <c r="C39" s="3" t="s">
        <v>49</v>
      </c>
      <c r="D39" s="3" t="s">
        <v>49</v>
      </c>
      <c r="E39" s="3" t="s">
        <v>96</v>
      </c>
      <c r="F39" s="3" t="s">
        <v>138</v>
      </c>
      <c r="G39" s="6" t="str">
        <f t="shared" si="0"/>
        <v>Mary Ann Benik</v>
      </c>
      <c r="H39" s="3" t="s">
        <v>174</v>
      </c>
      <c r="I39" s="3" t="s">
        <v>178</v>
      </c>
      <c r="J39" s="3" t="s">
        <v>180</v>
      </c>
      <c r="K39" s="12">
        <v>45992</v>
      </c>
      <c r="L39" s="12">
        <v>46113</v>
      </c>
      <c r="M39" s="4">
        <v>4</v>
      </c>
      <c r="N39" s="4" t="s">
        <v>307</v>
      </c>
      <c r="O39" s="4" t="s">
        <v>309</v>
      </c>
      <c r="P39" s="3" t="s">
        <v>220</v>
      </c>
      <c r="Q39" s="3" t="s">
        <v>222</v>
      </c>
      <c r="R39" s="4">
        <v>117.08</v>
      </c>
      <c r="S39" s="4">
        <v>100</v>
      </c>
      <c r="T39" s="5">
        <v>0.01</v>
      </c>
      <c r="U39" s="3">
        <v>1.17</v>
      </c>
      <c r="V39" s="3" t="s">
        <v>292</v>
      </c>
      <c r="W39" s="3"/>
      <c r="X39" s="3"/>
      <c r="Y39" s="3"/>
      <c r="Z39" s="3"/>
      <c r="AA39" s="3"/>
    </row>
    <row r="40" spans="1:27" s="9" customFormat="1" x14ac:dyDescent="0.25">
      <c r="A40" s="3" t="s">
        <v>298</v>
      </c>
      <c r="B40" s="4" t="s">
        <v>303</v>
      </c>
      <c r="C40" s="3" t="s">
        <v>42</v>
      </c>
      <c r="D40" s="3" t="s">
        <v>42</v>
      </c>
      <c r="E40" s="3" t="s">
        <v>89</v>
      </c>
      <c r="F40" s="3" t="s">
        <v>131</v>
      </c>
      <c r="G40" s="6" t="str">
        <f t="shared" si="0"/>
        <v>Kathy Unis</v>
      </c>
      <c r="H40" s="3" t="s">
        <v>173</v>
      </c>
      <c r="I40" s="3" t="s">
        <v>177</v>
      </c>
      <c r="J40" s="3" t="s">
        <v>179</v>
      </c>
      <c r="K40" s="12">
        <v>45983</v>
      </c>
      <c r="L40" s="12">
        <v>46103</v>
      </c>
      <c r="M40" s="4">
        <v>4</v>
      </c>
      <c r="N40" s="4" t="s">
        <v>307</v>
      </c>
      <c r="O40" s="4" t="s">
        <v>309</v>
      </c>
      <c r="P40" s="3" t="s">
        <v>220</v>
      </c>
      <c r="Q40" s="3" t="s">
        <v>221</v>
      </c>
      <c r="R40" s="4">
        <v>56.5</v>
      </c>
      <c r="S40" s="4">
        <v>100</v>
      </c>
      <c r="T40" s="5">
        <v>0.25</v>
      </c>
      <c r="U40" s="3">
        <v>14.13</v>
      </c>
      <c r="V40" s="3" t="s">
        <v>289</v>
      </c>
      <c r="W40" s="3"/>
      <c r="X40" s="3"/>
      <c r="Y40" s="3"/>
      <c r="Z40" s="3"/>
      <c r="AA40" s="3"/>
    </row>
    <row r="41" spans="1:27" s="9" customFormat="1" x14ac:dyDescent="0.25">
      <c r="A41" s="3" t="s">
        <v>24</v>
      </c>
      <c r="B41" s="4">
        <v>19491313</v>
      </c>
      <c r="C41" s="3" t="s">
        <v>46</v>
      </c>
      <c r="D41" s="3" t="s">
        <v>46</v>
      </c>
      <c r="E41" s="3" t="s">
        <v>93</v>
      </c>
      <c r="F41" s="3" t="s">
        <v>135</v>
      </c>
      <c r="G41" s="6" t="str">
        <f t="shared" si="0"/>
        <v>Lori Friend</v>
      </c>
      <c r="H41" s="3" t="s">
        <v>174</v>
      </c>
      <c r="I41" s="3" t="s">
        <v>178</v>
      </c>
      <c r="J41" s="3" t="s">
        <v>180</v>
      </c>
      <c r="K41" s="12">
        <v>45962</v>
      </c>
      <c r="L41" s="12">
        <v>46113</v>
      </c>
      <c r="M41" s="4">
        <v>5</v>
      </c>
      <c r="N41" s="4" t="s">
        <v>307</v>
      </c>
      <c r="O41" s="4" t="s">
        <v>309</v>
      </c>
      <c r="P41" s="3" t="s">
        <v>220</v>
      </c>
      <c r="Q41" s="3" t="s">
        <v>221</v>
      </c>
      <c r="R41" s="4">
        <v>104.82</v>
      </c>
      <c r="S41" s="4">
        <v>100</v>
      </c>
      <c r="T41" s="5">
        <v>0.21</v>
      </c>
      <c r="U41" s="3">
        <v>22.01</v>
      </c>
      <c r="V41" s="3" t="s">
        <v>290</v>
      </c>
      <c r="W41" s="3"/>
      <c r="X41" s="3"/>
      <c r="Y41" s="3"/>
      <c r="Z41" s="3"/>
      <c r="AA41" s="3"/>
    </row>
    <row r="42" spans="1:27" s="9" customFormat="1" x14ac:dyDescent="0.25">
      <c r="A42" s="3" t="s">
        <v>24</v>
      </c>
      <c r="B42" s="4">
        <v>19491313</v>
      </c>
      <c r="C42" s="3" t="s">
        <v>48</v>
      </c>
      <c r="D42" s="3" t="s">
        <v>48</v>
      </c>
      <c r="E42" s="3" t="s">
        <v>95</v>
      </c>
      <c r="F42" s="3" t="s">
        <v>137</v>
      </c>
      <c r="G42" s="6" t="str">
        <f t="shared" si="0"/>
        <v>Alan Kercher</v>
      </c>
      <c r="H42" s="3" t="s">
        <v>174</v>
      </c>
      <c r="I42" s="3" t="s">
        <v>178</v>
      </c>
      <c r="J42" s="3" t="s">
        <v>180</v>
      </c>
      <c r="K42" s="12">
        <v>45962</v>
      </c>
      <c r="L42" s="12">
        <v>46113</v>
      </c>
      <c r="M42" s="4">
        <v>5</v>
      </c>
      <c r="N42" s="4" t="s">
        <v>307</v>
      </c>
      <c r="O42" s="4" t="s">
        <v>309</v>
      </c>
      <c r="P42" s="3" t="s">
        <v>220</v>
      </c>
      <c r="Q42" s="3" t="s">
        <v>221</v>
      </c>
      <c r="R42" s="4">
        <v>136.22</v>
      </c>
      <c r="S42" s="4">
        <v>100</v>
      </c>
      <c r="T42" s="5">
        <v>0.21</v>
      </c>
      <c r="U42" s="3">
        <v>28.61</v>
      </c>
      <c r="V42" s="3" t="s">
        <v>290</v>
      </c>
      <c r="W42" s="3"/>
      <c r="X42" s="3"/>
      <c r="Y42" s="3"/>
      <c r="Z42" s="3"/>
      <c r="AA42" s="3"/>
    </row>
    <row r="43" spans="1:27" s="9" customFormat="1" x14ac:dyDescent="0.25">
      <c r="A43" s="3" t="s">
        <v>24</v>
      </c>
      <c r="B43" s="4">
        <v>19491313</v>
      </c>
      <c r="C43" s="3" t="s">
        <v>50</v>
      </c>
      <c r="D43" s="3" t="s">
        <v>50</v>
      </c>
      <c r="E43" s="3" t="s">
        <v>97</v>
      </c>
      <c r="F43" s="3" t="s">
        <v>137</v>
      </c>
      <c r="G43" s="6" t="str">
        <f t="shared" si="0"/>
        <v>Paula Kercher</v>
      </c>
      <c r="H43" s="3" t="s">
        <v>174</v>
      </c>
      <c r="I43" s="3" t="s">
        <v>178</v>
      </c>
      <c r="J43" s="3" t="s">
        <v>180</v>
      </c>
      <c r="K43" s="12">
        <v>45962</v>
      </c>
      <c r="L43" s="12">
        <v>46113</v>
      </c>
      <c r="M43" s="4">
        <v>5</v>
      </c>
      <c r="N43" s="4" t="s">
        <v>307</v>
      </c>
      <c r="O43" s="4" t="s">
        <v>309</v>
      </c>
      <c r="P43" s="3" t="s">
        <v>220</v>
      </c>
      <c r="Q43" s="3" t="s">
        <v>221</v>
      </c>
      <c r="R43" s="4">
        <v>123.24</v>
      </c>
      <c r="S43" s="4">
        <v>100</v>
      </c>
      <c r="T43" s="5">
        <v>0.21</v>
      </c>
      <c r="U43" s="3">
        <v>25.88</v>
      </c>
      <c r="V43" s="3" t="s">
        <v>290</v>
      </c>
      <c r="W43" s="3"/>
      <c r="X43" s="3"/>
      <c r="Y43" s="3"/>
      <c r="Z43" s="3"/>
      <c r="AA43" s="3"/>
    </row>
    <row r="44" spans="1:27" s="9" customFormat="1" x14ac:dyDescent="0.25">
      <c r="A44" s="3" t="s">
        <v>24</v>
      </c>
      <c r="B44" s="4">
        <v>19491313</v>
      </c>
      <c r="C44" s="3" t="s">
        <v>51</v>
      </c>
      <c r="D44" s="3" t="s">
        <v>51</v>
      </c>
      <c r="E44" s="3" t="s">
        <v>98</v>
      </c>
      <c r="F44" s="3" t="s">
        <v>139</v>
      </c>
      <c r="G44" s="6" t="str">
        <f t="shared" si="0"/>
        <v>Cheryl Sandridge</v>
      </c>
      <c r="H44" s="3" t="s">
        <v>174</v>
      </c>
      <c r="I44" s="3" t="s">
        <v>178</v>
      </c>
      <c r="J44" s="3" t="s">
        <v>180</v>
      </c>
      <c r="K44" s="12">
        <v>45962</v>
      </c>
      <c r="L44" s="12">
        <v>46113</v>
      </c>
      <c r="M44" s="4">
        <v>5</v>
      </c>
      <c r="N44" s="4" t="s">
        <v>307</v>
      </c>
      <c r="O44" s="4" t="s">
        <v>309</v>
      </c>
      <c r="P44" s="3" t="s">
        <v>220</v>
      </c>
      <c r="Q44" s="3" t="s">
        <v>221</v>
      </c>
      <c r="R44" s="4">
        <v>117.08</v>
      </c>
      <c r="S44" s="4">
        <v>100</v>
      </c>
      <c r="T44" s="5">
        <v>0.21</v>
      </c>
      <c r="U44" s="3">
        <v>24.59</v>
      </c>
      <c r="V44" s="3" t="s">
        <v>290</v>
      </c>
      <c r="W44" s="3"/>
      <c r="X44" s="3"/>
      <c r="Y44" s="3"/>
      <c r="Z44" s="3"/>
      <c r="AA44" s="3"/>
    </row>
    <row r="45" spans="1:27" s="9" customFormat="1" x14ac:dyDescent="0.25">
      <c r="A45" s="3" t="s">
        <v>23</v>
      </c>
      <c r="B45" s="4" t="s">
        <v>304</v>
      </c>
      <c r="C45" s="3" t="s">
        <v>44</v>
      </c>
      <c r="D45" s="3" t="s">
        <v>44</v>
      </c>
      <c r="E45" s="3" t="s">
        <v>91</v>
      </c>
      <c r="F45" s="3" t="s">
        <v>133</v>
      </c>
      <c r="G45" s="6" t="str">
        <f t="shared" si="0"/>
        <v>Sandra Pelzsharpe</v>
      </c>
      <c r="H45" s="3" t="s">
        <v>173</v>
      </c>
      <c r="I45" s="3" t="s">
        <v>177</v>
      </c>
      <c r="J45" s="3" t="s">
        <v>179</v>
      </c>
      <c r="K45" s="12">
        <v>45962</v>
      </c>
      <c r="L45" s="12">
        <v>46113</v>
      </c>
      <c r="M45" s="4">
        <v>5</v>
      </c>
      <c r="N45" s="4" t="s">
        <v>307</v>
      </c>
      <c r="O45" s="4" t="s">
        <v>309</v>
      </c>
      <c r="P45" s="3" t="s">
        <v>220</v>
      </c>
      <c r="Q45" s="3" t="s">
        <v>221</v>
      </c>
      <c r="R45" s="4">
        <v>110.2</v>
      </c>
      <c r="S45" s="4">
        <v>100</v>
      </c>
      <c r="T45" s="5">
        <v>0.25</v>
      </c>
      <c r="U45" s="3">
        <v>27.55</v>
      </c>
      <c r="V45" s="3" t="s">
        <v>289</v>
      </c>
      <c r="W45" s="3"/>
      <c r="X45" s="3"/>
      <c r="Y45" s="3"/>
      <c r="Z45" s="3"/>
      <c r="AA45" s="3"/>
    </row>
    <row r="46" spans="1:27" s="9" customFormat="1" x14ac:dyDescent="0.25">
      <c r="A46" s="3" t="s">
        <v>24</v>
      </c>
      <c r="B46" s="4">
        <v>19491313</v>
      </c>
      <c r="C46" s="3" t="s">
        <v>52</v>
      </c>
      <c r="D46" s="3" t="s">
        <v>52</v>
      </c>
      <c r="E46" s="3" t="s">
        <v>99</v>
      </c>
      <c r="F46" s="3" t="s">
        <v>140</v>
      </c>
      <c r="G46" s="6" t="str">
        <f t="shared" si="0"/>
        <v>Ray Askin</v>
      </c>
      <c r="H46" s="3" t="s">
        <v>174</v>
      </c>
      <c r="I46" s="3" t="s">
        <v>178</v>
      </c>
      <c r="J46" s="3" t="s">
        <v>180</v>
      </c>
      <c r="K46" s="12">
        <v>45931</v>
      </c>
      <c r="L46" s="12">
        <v>46113</v>
      </c>
      <c r="M46" s="4">
        <v>6</v>
      </c>
      <c r="N46" s="4" t="s">
        <v>307</v>
      </c>
      <c r="O46" s="4" t="s">
        <v>309</v>
      </c>
      <c r="P46" s="3" t="s">
        <v>220</v>
      </c>
      <c r="Q46" s="3" t="s">
        <v>222</v>
      </c>
      <c r="R46" s="4">
        <v>115.86</v>
      </c>
      <c r="S46" s="4">
        <v>100</v>
      </c>
      <c r="T46" s="5">
        <v>0.21</v>
      </c>
      <c r="U46" s="3">
        <v>24.33</v>
      </c>
      <c r="V46" s="3" t="s">
        <v>290</v>
      </c>
      <c r="W46" s="3"/>
      <c r="X46" s="3"/>
      <c r="Y46" s="3"/>
      <c r="Z46" s="3"/>
      <c r="AA46" s="3"/>
    </row>
    <row r="47" spans="1:27" s="9" customFormat="1" x14ac:dyDescent="0.25">
      <c r="A47" s="3" t="s">
        <v>298</v>
      </c>
      <c r="B47" s="4" t="s">
        <v>303</v>
      </c>
      <c r="C47" s="3" t="s">
        <v>43</v>
      </c>
      <c r="D47" s="3" t="s">
        <v>43</v>
      </c>
      <c r="E47" s="3" t="s">
        <v>90</v>
      </c>
      <c r="F47" s="3" t="s">
        <v>132</v>
      </c>
      <c r="G47" s="6" t="str">
        <f t="shared" si="0"/>
        <v>Kenneth Maniecki</v>
      </c>
      <c r="H47" s="3" t="s">
        <v>173</v>
      </c>
      <c r="I47" s="3" t="s">
        <v>177</v>
      </c>
      <c r="J47" s="3" t="s">
        <v>179</v>
      </c>
      <c r="K47" s="12">
        <v>45928</v>
      </c>
      <c r="L47" s="12">
        <v>46109</v>
      </c>
      <c r="M47" s="4">
        <v>6</v>
      </c>
      <c r="N47" s="4" t="s">
        <v>307</v>
      </c>
      <c r="O47" s="4" t="s">
        <v>309</v>
      </c>
      <c r="P47" s="3" t="s">
        <v>220</v>
      </c>
      <c r="Q47" s="3" t="s">
        <v>221</v>
      </c>
      <c r="R47" s="4">
        <v>110.2</v>
      </c>
      <c r="S47" s="4">
        <v>100</v>
      </c>
      <c r="T47" s="5">
        <v>0.25</v>
      </c>
      <c r="U47" s="3">
        <v>27.55</v>
      </c>
      <c r="V47" s="3" t="s">
        <v>289</v>
      </c>
      <c r="W47" s="3"/>
      <c r="X47" s="3"/>
      <c r="Y47" s="3"/>
      <c r="Z47" s="3"/>
      <c r="AA47" s="3"/>
    </row>
    <row r="48" spans="1:27" s="16" customFormat="1" x14ac:dyDescent="0.25">
      <c r="A48" s="16" t="s">
        <v>288</v>
      </c>
      <c r="B48" s="16">
        <v>20411454</v>
      </c>
      <c r="C48" s="16" t="s">
        <v>41</v>
      </c>
      <c r="D48" s="16" t="str">
        <f>CONCATENATE(C48,"OVR")</f>
        <v>H711061009OVR</v>
      </c>
      <c r="E48" s="16" t="s">
        <v>88</v>
      </c>
      <c r="F48" s="16" t="s">
        <v>130</v>
      </c>
      <c r="G48" s="6" t="str">
        <f t="shared" si="0"/>
        <v>John Hanley</v>
      </c>
      <c r="H48" s="16" t="s">
        <v>173</v>
      </c>
      <c r="I48" s="16" t="s">
        <v>177</v>
      </c>
      <c r="J48" s="16" t="s">
        <v>179</v>
      </c>
      <c r="K48" s="17">
        <v>45962</v>
      </c>
      <c r="L48" s="17">
        <v>46113</v>
      </c>
      <c r="M48" s="18">
        <v>5</v>
      </c>
      <c r="N48" s="4" t="s">
        <v>307</v>
      </c>
      <c r="O48" s="4" t="s">
        <v>309</v>
      </c>
      <c r="P48" s="16" t="s">
        <v>220</v>
      </c>
      <c r="Q48" s="16" t="s">
        <v>221</v>
      </c>
      <c r="R48" s="16">
        <v>6.5</v>
      </c>
      <c r="S48" s="18">
        <v>100</v>
      </c>
      <c r="T48" s="19">
        <v>9.5000000000000001E-2</v>
      </c>
      <c r="U48" s="16">
        <v>6.5</v>
      </c>
      <c r="V48" s="16" t="s">
        <v>295</v>
      </c>
    </row>
    <row r="49" spans="1:22" s="16" customFormat="1" x14ac:dyDescent="0.25">
      <c r="A49" s="16" t="s">
        <v>288</v>
      </c>
      <c r="B49" s="16">
        <v>20411454</v>
      </c>
      <c r="C49" s="16" t="s">
        <v>42</v>
      </c>
      <c r="D49" s="16" t="str">
        <f t="shared" ref="D49:D94" si="1">CONCATENATE(C49,"OVR")</f>
        <v>H711071682OVR</v>
      </c>
      <c r="E49" s="16" t="s">
        <v>89</v>
      </c>
      <c r="F49" s="16" t="s">
        <v>131</v>
      </c>
      <c r="G49" s="6" t="str">
        <f t="shared" si="0"/>
        <v>Kathy Unis</v>
      </c>
      <c r="H49" s="16" t="s">
        <v>173</v>
      </c>
      <c r="I49" s="16" t="s">
        <v>177</v>
      </c>
      <c r="J49" s="16" t="s">
        <v>179</v>
      </c>
      <c r="K49" s="17">
        <v>45983</v>
      </c>
      <c r="L49" s="17">
        <v>46103</v>
      </c>
      <c r="M49" s="18">
        <v>4</v>
      </c>
      <c r="N49" s="4" t="s">
        <v>307</v>
      </c>
      <c r="O49" s="4" t="s">
        <v>309</v>
      </c>
      <c r="P49" s="16" t="s">
        <v>220</v>
      </c>
      <c r="Q49" s="16" t="s">
        <v>221</v>
      </c>
      <c r="R49" s="16">
        <v>5.37</v>
      </c>
      <c r="S49" s="18">
        <v>100</v>
      </c>
      <c r="T49" s="19">
        <v>9.5000000000000001E-2</v>
      </c>
      <c r="U49" s="16">
        <v>5.37</v>
      </c>
      <c r="V49" s="16" t="s">
        <v>295</v>
      </c>
    </row>
    <row r="50" spans="1:22" s="16" customFormat="1" x14ac:dyDescent="0.25">
      <c r="A50" s="16" t="s">
        <v>288</v>
      </c>
      <c r="B50" s="16">
        <v>20411454</v>
      </c>
      <c r="C50" s="16" t="s">
        <v>43</v>
      </c>
      <c r="D50" s="16" t="str">
        <f t="shared" si="1"/>
        <v>H711045193OVR</v>
      </c>
      <c r="E50" s="16" t="s">
        <v>90</v>
      </c>
      <c r="F50" s="16" t="s">
        <v>132</v>
      </c>
      <c r="G50" s="6" t="str">
        <f t="shared" si="0"/>
        <v>Kenneth Maniecki</v>
      </c>
      <c r="H50" s="16" t="s">
        <v>173</v>
      </c>
      <c r="I50" s="16" t="s">
        <v>177</v>
      </c>
      <c r="J50" s="16" t="s">
        <v>179</v>
      </c>
      <c r="K50" s="17">
        <v>45928</v>
      </c>
      <c r="L50" s="17">
        <v>46109</v>
      </c>
      <c r="M50" s="18">
        <v>6</v>
      </c>
      <c r="N50" s="4" t="s">
        <v>307</v>
      </c>
      <c r="O50" s="4" t="s">
        <v>309</v>
      </c>
      <c r="P50" s="16" t="s">
        <v>220</v>
      </c>
      <c r="Q50" s="16" t="s">
        <v>221</v>
      </c>
      <c r="R50" s="16">
        <v>10.47</v>
      </c>
      <c r="S50" s="18">
        <v>100</v>
      </c>
      <c r="T50" s="19">
        <v>9.5000000000000001E-2</v>
      </c>
      <c r="U50" s="16">
        <v>10.47</v>
      </c>
      <c r="V50" s="16" t="s">
        <v>295</v>
      </c>
    </row>
    <row r="51" spans="1:22" s="16" customFormat="1" x14ac:dyDescent="0.25">
      <c r="A51" s="16" t="s">
        <v>288</v>
      </c>
      <c r="B51" s="16">
        <v>20411454</v>
      </c>
      <c r="C51" s="16" t="s">
        <v>44</v>
      </c>
      <c r="D51" s="16" t="str">
        <f t="shared" si="1"/>
        <v>H711051038OVR</v>
      </c>
      <c r="E51" s="16" t="s">
        <v>91</v>
      </c>
      <c r="F51" s="16" t="s">
        <v>133</v>
      </c>
      <c r="G51" s="6" t="str">
        <f t="shared" si="0"/>
        <v>Sandra Pelzsharpe</v>
      </c>
      <c r="H51" s="16" t="s">
        <v>173</v>
      </c>
      <c r="I51" s="16" t="s">
        <v>177</v>
      </c>
      <c r="J51" s="16" t="s">
        <v>179</v>
      </c>
      <c r="K51" s="17">
        <v>45962</v>
      </c>
      <c r="L51" s="17">
        <v>46113</v>
      </c>
      <c r="M51" s="18">
        <v>5</v>
      </c>
      <c r="N51" s="4" t="s">
        <v>307</v>
      </c>
      <c r="O51" s="4" t="s">
        <v>309</v>
      </c>
      <c r="P51" s="16" t="s">
        <v>220</v>
      </c>
      <c r="Q51" s="16" t="s">
        <v>221</v>
      </c>
      <c r="R51" s="16">
        <v>10.47</v>
      </c>
      <c r="S51" s="18">
        <v>100</v>
      </c>
      <c r="T51" s="19">
        <v>9.5000000000000001E-2</v>
      </c>
      <c r="U51" s="16">
        <v>10.47</v>
      </c>
      <c r="V51" s="16" t="s">
        <v>295</v>
      </c>
    </row>
    <row r="52" spans="1:22" s="16" customFormat="1" x14ac:dyDescent="0.25">
      <c r="A52" s="16" t="s">
        <v>288</v>
      </c>
      <c r="B52" s="16">
        <v>20411454</v>
      </c>
      <c r="C52" s="16" t="s">
        <v>45</v>
      </c>
      <c r="D52" s="16" t="str">
        <f t="shared" si="1"/>
        <v>H750083231OVR</v>
      </c>
      <c r="E52" s="16" t="s">
        <v>92</v>
      </c>
      <c r="F52" s="16" t="s">
        <v>134</v>
      </c>
      <c r="G52" s="6" t="str">
        <f t="shared" si="0"/>
        <v>Michelle Zahler</v>
      </c>
      <c r="H52" s="16" t="s">
        <v>174</v>
      </c>
      <c r="I52" s="16" t="s">
        <v>178</v>
      </c>
      <c r="J52" s="16" t="s">
        <v>180</v>
      </c>
      <c r="K52" s="17">
        <v>46023</v>
      </c>
      <c r="L52" s="17">
        <v>46113</v>
      </c>
      <c r="M52" s="18">
        <v>3</v>
      </c>
      <c r="N52" s="4" t="s">
        <v>307</v>
      </c>
      <c r="O52" s="4" t="s">
        <v>309</v>
      </c>
      <c r="P52" s="16" t="s">
        <v>220</v>
      </c>
      <c r="Q52" s="16" t="s">
        <v>221</v>
      </c>
      <c r="R52" s="16">
        <v>3.64</v>
      </c>
      <c r="S52" s="18">
        <v>100</v>
      </c>
      <c r="T52" s="19">
        <v>2.8000000000000001E-2</v>
      </c>
      <c r="U52" s="16">
        <v>3.64</v>
      </c>
      <c r="V52" s="16" t="s">
        <v>295</v>
      </c>
    </row>
    <row r="53" spans="1:22" s="16" customFormat="1" x14ac:dyDescent="0.25">
      <c r="A53" s="16" t="s">
        <v>288</v>
      </c>
      <c r="B53" s="16">
        <v>20411454</v>
      </c>
      <c r="C53" s="16" t="s">
        <v>46</v>
      </c>
      <c r="D53" s="16" t="str">
        <f t="shared" si="1"/>
        <v>H750073175OVR</v>
      </c>
      <c r="E53" s="16" t="s">
        <v>93</v>
      </c>
      <c r="F53" s="16" t="s">
        <v>135</v>
      </c>
      <c r="G53" s="6" t="str">
        <f t="shared" si="0"/>
        <v>Lori Friend</v>
      </c>
      <c r="H53" s="16" t="s">
        <v>174</v>
      </c>
      <c r="I53" s="16" t="s">
        <v>178</v>
      </c>
      <c r="J53" s="16" t="s">
        <v>180</v>
      </c>
      <c r="K53" s="17">
        <v>45962</v>
      </c>
      <c r="L53" s="17">
        <v>46113</v>
      </c>
      <c r="M53" s="18">
        <v>5</v>
      </c>
      <c r="N53" s="4" t="s">
        <v>307</v>
      </c>
      <c r="O53" s="4" t="s">
        <v>309</v>
      </c>
      <c r="P53" s="16" t="s">
        <v>220</v>
      </c>
      <c r="Q53" s="16" t="s">
        <v>221</v>
      </c>
      <c r="R53" s="16">
        <v>2.93</v>
      </c>
      <c r="S53" s="18">
        <v>100</v>
      </c>
      <c r="T53" s="19">
        <v>2.8000000000000001E-2</v>
      </c>
      <c r="U53" s="16">
        <v>2.93</v>
      </c>
      <c r="V53" s="16" t="s">
        <v>295</v>
      </c>
    </row>
    <row r="54" spans="1:22" s="16" customFormat="1" x14ac:dyDescent="0.25">
      <c r="A54" s="16" t="s">
        <v>288</v>
      </c>
      <c r="B54" s="16">
        <v>20411454</v>
      </c>
      <c r="C54" s="16" t="s">
        <v>47</v>
      </c>
      <c r="D54" s="16" t="str">
        <f t="shared" si="1"/>
        <v>H750068245OVR</v>
      </c>
      <c r="E54" s="16" t="s">
        <v>94</v>
      </c>
      <c r="F54" s="16" t="s">
        <v>136</v>
      </c>
      <c r="G54" s="6" t="str">
        <f t="shared" si="0"/>
        <v>Ralph Gropper</v>
      </c>
      <c r="H54" s="16" t="s">
        <v>175</v>
      </c>
      <c r="I54" s="16" t="s">
        <v>178</v>
      </c>
      <c r="J54" s="16" t="s">
        <v>180</v>
      </c>
      <c r="K54" s="17">
        <v>45870</v>
      </c>
      <c r="L54" s="17">
        <v>46113</v>
      </c>
      <c r="M54" s="18">
        <v>8</v>
      </c>
      <c r="N54" s="4" t="s">
        <v>307</v>
      </c>
      <c r="O54" s="4" t="s">
        <v>309</v>
      </c>
      <c r="P54" s="16" t="s">
        <v>220</v>
      </c>
      <c r="Q54" s="16" t="s">
        <v>222</v>
      </c>
      <c r="R54" s="16">
        <v>1.95</v>
      </c>
      <c r="S54" s="18">
        <v>100</v>
      </c>
      <c r="T54" s="19">
        <v>8.0000000000000002E-3</v>
      </c>
      <c r="U54" s="16">
        <v>1.95</v>
      </c>
      <c r="V54" s="16" t="s">
        <v>295</v>
      </c>
    </row>
    <row r="55" spans="1:22" s="16" customFormat="1" x14ac:dyDescent="0.25">
      <c r="A55" s="16" t="s">
        <v>288</v>
      </c>
      <c r="B55" s="16">
        <v>20411454</v>
      </c>
      <c r="C55" s="16" t="s">
        <v>48</v>
      </c>
      <c r="D55" s="16" t="str">
        <f t="shared" si="1"/>
        <v>H750083517OVR</v>
      </c>
      <c r="E55" s="16" t="s">
        <v>95</v>
      </c>
      <c r="F55" s="16" t="s">
        <v>137</v>
      </c>
      <c r="G55" s="6" t="str">
        <f t="shared" si="0"/>
        <v>Alan Kercher</v>
      </c>
      <c r="H55" s="16" t="s">
        <v>174</v>
      </c>
      <c r="I55" s="16" t="s">
        <v>178</v>
      </c>
      <c r="J55" s="16" t="s">
        <v>180</v>
      </c>
      <c r="K55" s="17">
        <v>45962</v>
      </c>
      <c r="L55" s="17">
        <v>46113</v>
      </c>
      <c r="M55" s="18">
        <v>5</v>
      </c>
      <c r="N55" s="4" t="s">
        <v>307</v>
      </c>
      <c r="O55" s="4" t="s">
        <v>309</v>
      </c>
      <c r="P55" s="16" t="s">
        <v>220</v>
      </c>
      <c r="Q55" s="16" t="s">
        <v>221</v>
      </c>
      <c r="R55" s="16">
        <v>3.81</v>
      </c>
      <c r="S55" s="18">
        <v>100</v>
      </c>
      <c r="T55" s="19">
        <v>2.8000000000000001E-2</v>
      </c>
      <c r="U55" s="16">
        <v>3.81</v>
      </c>
      <c r="V55" s="16" t="s">
        <v>295</v>
      </c>
    </row>
    <row r="56" spans="1:22" s="16" customFormat="1" x14ac:dyDescent="0.25">
      <c r="A56" s="16" t="s">
        <v>288</v>
      </c>
      <c r="B56" s="16">
        <v>20411454</v>
      </c>
      <c r="C56" s="16" t="s">
        <v>49</v>
      </c>
      <c r="D56" s="16" t="str">
        <f t="shared" si="1"/>
        <v>H750081328OVR</v>
      </c>
      <c r="E56" s="16" t="s">
        <v>96</v>
      </c>
      <c r="F56" s="16" t="s">
        <v>138</v>
      </c>
      <c r="G56" s="6" t="str">
        <f t="shared" si="0"/>
        <v>Mary Ann Benik</v>
      </c>
      <c r="H56" s="16" t="s">
        <v>174</v>
      </c>
      <c r="I56" s="16" t="s">
        <v>178</v>
      </c>
      <c r="J56" s="16" t="s">
        <v>180</v>
      </c>
      <c r="K56" s="17">
        <v>45992</v>
      </c>
      <c r="L56" s="17">
        <v>46113</v>
      </c>
      <c r="M56" s="18">
        <v>4</v>
      </c>
      <c r="N56" s="4" t="s">
        <v>307</v>
      </c>
      <c r="O56" s="4" t="s">
        <v>309</v>
      </c>
      <c r="P56" s="16" t="s">
        <v>220</v>
      </c>
      <c r="Q56" s="16" t="s">
        <v>222</v>
      </c>
      <c r="R56" s="16">
        <v>0.94</v>
      </c>
      <c r="S56" s="18">
        <v>100</v>
      </c>
      <c r="T56" s="19">
        <v>8.0000000000000002E-3</v>
      </c>
      <c r="U56" s="16">
        <v>0.94</v>
      </c>
      <c r="V56" s="16" t="s">
        <v>295</v>
      </c>
    </row>
    <row r="57" spans="1:22" s="16" customFormat="1" x14ac:dyDescent="0.25">
      <c r="A57" s="16" t="s">
        <v>288</v>
      </c>
      <c r="B57" s="16">
        <v>20411454</v>
      </c>
      <c r="C57" s="16" t="s">
        <v>50</v>
      </c>
      <c r="D57" s="16" t="str">
        <f t="shared" si="1"/>
        <v>H750083520OVR</v>
      </c>
      <c r="E57" s="16" t="s">
        <v>97</v>
      </c>
      <c r="F57" s="16" t="s">
        <v>137</v>
      </c>
      <c r="G57" s="6" t="str">
        <f t="shared" si="0"/>
        <v>Paula Kercher</v>
      </c>
      <c r="H57" s="16" t="s">
        <v>174</v>
      </c>
      <c r="I57" s="16" t="s">
        <v>178</v>
      </c>
      <c r="J57" s="16" t="s">
        <v>180</v>
      </c>
      <c r="K57" s="17">
        <v>45962</v>
      </c>
      <c r="L57" s="17">
        <v>46113</v>
      </c>
      <c r="M57" s="18">
        <v>5</v>
      </c>
      <c r="N57" s="4" t="s">
        <v>307</v>
      </c>
      <c r="O57" s="4" t="s">
        <v>309</v>
      </c>
      <c r="P57" s="16" t="s">
        <v>220</v>
      </c>
      <c r="Q57" s="16" t="s">
        <v>221</v>
      </c>
      <c r="R57" s="16">
        <v>3.45</v>
      </c>
      <c r="S57" s="18">
        <v>100</v>
      </c>
      <c r="T57" s="19">
        <v>2.8000000000000001E-2</v>
      </c>
      <c r="U57" s="16">
        <v>3.45</v>
      </c>
      <c r="V57" s="16" t="s">
        <v>295</v>
      </c>
    </row>
    <row r="58" spans="1:22" s="16" customFormat="1" x14ac:dyDescent="0.25">
      <c r="A58" s="16" t="s">
        <v>288</v>
      </c>
      <c r="B58" s="16">
        <v>20411454</v>
      </c>
      <c r="C58" s="16" t="s">
        <v>51</v>
      </c>
      <c r="D58" s="16" t="str">
        <f t="shared" si="1"/>
        <v>H750079901OVR</v>
      </c>
      <c r="E58" s="16" t="s">
        <v>98</v>
      </c>
      <c r="F58" s="16" t="s">
        <v>139</v>
      </c>
      <c r="G58" s="6" t="str">
        <f t="shared" si="0"/>
        <v>Cheryl Sandridge</v>
      </c>
      <c r="H58" s="16" t="s">
        <v>174</v>
      </c>
      <c r="I58" s="16" t="s">
        <v>178</v>
      </c>
      <c r="J58" s="16" t="s">
        <v>180</v>
      </c>
      <c r="K58" s="17">
        <v>45962</v>
      </c>
      <c r="L58" s="17">
        <v>46113</v>
      </c>
      <c r="M58" s="18">
        <v>5</v>
      </c>
      <c r="N58" s="4" t="s">
        <v>307</v>
      </c>
      <c r="O58" s="4" t="s">
        <v>309</v>
      </c>
      <c r="P58" s="16" t="s">
        <v>220</v>
      </c>
      <c r="Q58" s="16" t="s">
        <v>221</v>
      </c>
      <c r="R58" s="16">
        <v>3.28</v>
      </c>
      <c r="S58" s="18">
        <v>100</v>
      </c>
      <c r="T58" s="19">
        <v>2.8000000000000001E-2</v>
      </c>
      <c r="U58" s="16">
        <v>3.28</v>
      </c>
      <c r="V58" s="16" t="s">
        <v>295</v>
      </c>
    </row>
    <row r="59" spans="1:22" s="16" customFormat="1" x14ac:dyDescent="0.25">
      <c r="A59" s="16" t="s">
        <v>288</v>
      </c>
      <c r="B59" s="16">
        <v>20411454</v>
      </c>
      <c r="C59" s="16" t="s">
        <v>52</v>
      </c>
      <c r="D59" s="16" t="str">
        <f t="shared" si="1"/>
        <v>H750075381OVR</v>
      </c>
      <c r="E59" s="16" t="s">
        <v>99</v>
      </c>
      <c r="F59" s="16" t="s">
        <v>140</v>
      </c>
      <c r="G59" s="6" t="str">
        <f t="shared" si="0"/>
        <v>Ray Askin</v>
      </c>
      <c r="H59" s="16" t="s">
        <v>174</v>
      </c>
      <c r="I59" s="16" t="s">
        <v>178</v>
      </c>
      <c r="J59" s="16" t="s">
        <v>180</v>
      </c>
      <c r="K59" s="17">
        <v>45931</v>
      </c>
      <c r="L59" s="17">
        <v>46113</v>
      </c>
      <c r="M59" s="18">
        <v>6</v>
      </c>
      <c r="N59" s="4" t="s">
        <v>307</v>
      </c>
      <c r="O59" s="4" t="s">
        <v>309</v>
      </c>
      <c r="P59" s="16" t="s">
        <v>220</v>
      </c>
      <c r="Q59" s="16" t="s">
        <v>222</v>
      </c>
      <c r="R59" s="16">
        <v>4.5199999999999996</v>
      </c>
      <c r="S59" s="18">
        <v>100</v>
      </c>
      <c r="T59" s="19">
        <v>3.9E-2</v>
      </c>
      <c r="U59" s="16">
        <v>4.5199999999999996</v>
      </c>
      <c r="V59" s="16" t="s">
        <v>295</v>
      </c>
    </row>
    <row r="60" spans="1:22" s="16" customFormat="1" x14ac:dyDescent="0.25">
      <c r="A60" s="16" t="s">
        <v>288</v>
      </c>
      <c r="B60" s="16">
        <v>20411454</v>
      </c>
      <c r="C60" s="16" t="s">
        <v>53</v>
      </c>
      <c r="D60" s="16" t="str">
        <f t="shared" si="1"/>
        <v>H711115473OVR</v>
      </c>
      <c r="E60" s="16" t="s">
        <v>100</v>
      </c>
      <c r="F60" s="16" t="s">
        <v>141</v>
      </c>
      <c r="G60" s="6" t="str">
        <f t="shared" si="0"/>
        <v>Michael Kovach</v>
      </c>
      <c r="H60" s="16" t="s">
        <v>176</v>
      </c>
      <c r="I60" s="16" t="s">
        <v>177</v>
      </c>
      <c r="J60" s="16" t="s">
        <v>181</v>
      </c>
      <c r="K60" s="17">
        <v>46082</v>
      </c>
      <c r="L60" s="17">
        <v>46113</v>
      </c>
      <c r="M60" s="18">
        <v>1</v>
      </c>
      <c r="N60" s="4" t="s">
        <v>307</v>
      </c>
      <c r="O60" s="4" t="s">
        <v>309</v>
      </c>
      <c r="P60" s="16" t="s">
        <v>220</v>
      </c>
      <c r="Q60" s="16" t="s">
        <v>221</v>
      </c>
      <c r="R60" s="16">
        <v>5.37</v>
      </c>
      <c r="S60" s="18">
        <v>100</v>
      </c>
      <c r="T60" s="19">
        <v>9.5000000000000001E-2</v>
      </c>
      <c r="U60" s="16">
        <v>5.37</v>
      </c>
      <c r="V60" s="16" t="s">
        <v>295</v>
      </c>
    </row>
    <row r="61" spans="1:22" s="16" customFormat="1" x14ac:dyDescent="0.25">
      <c r="A61" s="16" t="s">
        <v>288</v>
      </c>
      <c r="B61" s="16">
        <v>20411454</v>
      </c>
      <c r="C61" s="16" t="s">
        <v>54</v>
      </c>
      <c r="D61" s="16" t="str">
        <f t="shared" si="1"/>
        <v>H711117482OVR</v>
      </c>
      <c r="E61" s="16" t="s">
        <v>101</v>
      </c>
      <c r="F61" s="16" t="s">
        <v>142</v>
      </c>
      <c r="G61" s="6" t="str">
        <f t="shared" si="0"/>
        <v>Trina Gordon</v>
      </c>
      <c r="H61" s="16" t="s">
        <v>176</v>
      </c>
      <c r="I61" s="16" t="s">
        <v>177</v>
      </c>
      <c r="J61" s="16" t="s">
        <v>181</v>
      </c>
      <c r="K61" s="17">
        <v>46082</v>
      </c>
      <c r="L61" s="17">
        <v>46113</v>
      </c>
      <c r="M61" s="18">
        <v>1</v>
      </c>
      <c r="N61" s="4" t="s">
        <v>307</v>
      </c>
      <c r="O61" s="4" t="s">
        <v>309</v>
      </c>
      <c r="P61" s="16" t="s">
        <v>220</v>
      </c>
      <c r="Q61" s="16" t="s">
        <v>221</v>
      </c>
      <c r="R61" s="16">
        <v>6.22</v>
      </c>
      <c r="S61" s="18">
        <v>100</v>
      </c>
      <c r="T61" s="19">
        <v>9.5000000000000001E-2</v>
      </c>
      <c r="U61" s="16">
        <v>6.22</v>
      </c>
      <c r="V61" s="16" t="s">
        <v>295</v>
      </c>
    </row>
    <row r="62" spans="1:22" s="16" customFormat="1" x14ac:dyDescent="0.25">
      <c r="A62" s="16" t="s">
        <v>288</v>
      </c>
      <c r="B62" s="16">
        <v>20411454</v>
      </c>
      <c r="C62" s="16" t="s">
        <v>55</v>
      </c>
      <c r="D62" s="16" t="str">
        <f t="shared" si="1"/>
        <v>H711037504OVR</v>
      </c>
      <c r="E62" s="16" t="s">
        <v>102</v>
      </c>
      <c r="F62" s="16" t="s">
        <v>143</v>
      </c>
      <c r="G62" s="6" t="str">
        <f t="shared" si="0"/>
        <v>Edward Kunkel</v>
      </c>
      <c r="H62" s="16" t="s">
        <v>176</v>
      </c>
      <c r="I62" s="16" t="s">
        <v>177</v>
      </c>
      <c r="J62" s="16" t="s">
        <v>181</v>
      </c>
      <c r="K62" s="17">
        <v>45905</v>
      </c>
      <c r="L62" s="17">
        <v>46117</v>
      </c>
      <c r="M62" s="18">
        <v>7</v>
      </c>
      <c r="N62" s="4" t="s">
        <v>307</v>
      </c>
      <c r="O62" s="4" t="s">
        <v>309</v>
      </c>
      <c r="P62" s="16" t="s">
        <v>220</v>
      </c>
      <c r="Q62" s="16" t="s">
        <v>221</v>
      </c>
      <c r="R62" s="16">
        <v>12.13</v>
      </c>
      <c r="S62" s="18">
        <v>100</v>
      </c>
      <c r="T62" s="19">
        <v>9.5000000000000001E-2</v>
      </c>
      <c r="U62" s="16">
        <v>12.13</v>
      </c>
      <c r="V62" s="16" t="s">
        <v>295</v>
      </c>
    </row>
    <row r="63" spans="1:22" s="16" customFormat="1" x14ac:dyDescent="0.25">
      <c r="A63" s="16" t="s">
        <v>288</v>
      </c>
      <c r="B63" s="16">
        <v>20411454</v>
      </c>
      <c r="C63" s="16" t="s">
        <v>56</v>
      </c>
      <c r="D63" s="16" t="str">
        <f t="shared" si="1"/>
        <v>H711096008OVR</v>
      </c>
      <c r="E63" s="16" t="s">
        <v>103</v>
      </c>
      <c r="F63" s="16" t="s">
        <v>144</v>
      </c>
      <c r="G63" s="6" t="str">
        <f t="shared" si="0"/>
        <v>Jo Tappendorf</v>
      </c>
      <c r="H63" s="16" t="s">
        <v>176</v>
      </c>
      <c r="I63" s="16" t="s">
        <v>177</v>
      </c>
      <c r="J63" s="16" t="s">
        <v>181</v>
      </c>
      <c r="K63" s="17">
        <v>46054</v>
      </c>
      <c r="L63" s="17">
        <v>46113</v>
      </c>
      <c r="M63" s="18">
        <v>2</v>
      </c>
      <c r="N63" s="4" t="s">
        <v>307</v>
      </c>
      <c r="O63" s="4" t="s">
        <v>309</v>
      </c>
      <c r="P63" s="16" t="s">
        <v>220</v>
      </c>
      <c r="Q63" s="16" t="s">
        <v>221</v>
      </c>
      <c r="R63" s="16">
        <v>19.579999999999998</v>
      </c>
      <c r="S63" s="18">
        <v>100</v>
      </c>
      <c r="T63" s="19">
        <v>9.5000000000000001E-2</v>
      </c>
      <c r="U63" s="16">
        <v>19.579999999999998</v>
      </c>
      <c r="V63" s="16" t="s">
        <v>295</v>
      </c>
    </row>
    <row r="64" spans="1:22" s="16" customFormat="1" x14ac:dyDescent="0.25">
      <c r="A64" s="16" t="s">
        <v>288</v>
      </c>
      <c r="B64" s="16">
        <v>20411454</v>
      </c>
      <c r="C64" s="16" t="s">
        <v>57</v>
      </c>
      <c r="D64" s="16" t="str">
        <f t="shared" si="1"/>
        <v>H750088408OVR</v>
      </c>
      <c r="E64" s="16" t="s">
        <v>104</v>
      </c>
      <c r="F64" s="16" t="s">
        <v>145</v>
      </c>
      <c r="G64" s="6" t="str">
        <f t="shared" si="0"/>
        <v>Peggy Bailey</v>
      </c>
      <c r="H64" s="16" t="s">
        <v>174</v>
      </c>
      <c r="I64" s="16" t="s">
        <v>178</v>
      </c>
      <c r="J64" s="16" t="s">
        <v>181</v>
      </c>
      <c r="K64" s="17">
        <v>46023</v>
      </c>
      <c r="L64" s="17">
        <v>46113</v>
      </c>
      <c r="M64" s="18">
        <v>3</v>
      </c>
      <c r="N64" s="4" t="s">
        <v>307</v>
      </c>
      <c r="O64" s="4" t="s">
        <v>309</v>
      </c>
      <c r="P64" s="16" t="s">
        <v>220</v>
      </c>
      <c r="Q64" s="16" t="s">
        <v>222</v>
      </c>
      <c r="R64" s="16">
        <v>7.4</v>
      </c>
      <c r="S64" s="18">
        <v>100</v>
      </c>
      <c r="T64" s="19">
        <v>3.9E-2</v>
      </c>
      <c r="U64" s="16">
        <v>7.4</v>
      </c>
      <c r="V64" s="16" t="s">
        <v>295</v>
      </c>
    </row>
    <row r="65" spans="1:22" s="16" customFormat="1" x14ac:dyDescent="0.25">
      <c r="A65" s="16" t="s">
        <v>288</v>
      </c>
      <c r="B65" s="16">
        <v>20411454</v>
      </c>
      <c r="C65" s="16" t="s">
        <v>58</v>
      </c>
      <c r="D65" s="16" t="str">
        <f t="shared" si="1"/>
        <v>H750088412OVR</v>
      </c>
      <c r="E65" s="16" t="s">
        <v>100</v>
      </c>
      <c r="F65" s="16" t="s">
        <v>145</v>
      </c>
      <c r="G65" s="6" t="str">
        <f t="shared" si="0"/>
        <v>Michael Bailey</v>
      </c>
      <c r="H65" s="16" t="s">
        <v>174</v>
      </c>
      <c r="I65" s="16" t="s">
        <v>178</v>
      </c>
      <c r="J65" s="16" t="s">
        <v>181</v>
      </c>
      <c r="K65" s="17">
        <v>46023</v>
      </c>
      <c r="L65" s="17">
        <v>46113</v>
      </c>
      <c r="M65" s="18">
        <v>3</v>
      </c>
      <c r="N65" s="4" t="s">
        <v>307</v>
      </c>
      <c r="O65" s="4" t="s">
        <v>309</v>
      </c>
      <c r="P65" s="16" t="s">
        <v>220</v>
      </c>
      <c r="Q65" s="16" t="s">
        <v>222</v>
      </c>
      <c r="R65" s="16">
        <v>9.4700000000000006</v>
      </c>
      <c r="S65" s="18">
        <v>100</v>
      </c>
      <c r="T65" s="19">
        <v>3.9E-2</v>
      </c>
      <c r="U65" s="16">
        <v>9.4700000000000006</v>
      </c>
      <c r="V65" s="16" t="s">
        <v>295</v>
      </c>
    </row>
    <row r="66" spans="1:22" s="16" customFormat="1" x14ac:dyDescent="0.25">
      <c r="A66" s="16" t="s">
        <v>288</v>
      </c>
      <c r="B66" s="16">
        <v>20411454</v>
      </c>
      <c r="C66" s="16" t="s">
        <v>59</v>
      </c>
      <c r="D66" s="16" t="str">
        <f t="shared" si="1"/>
        <v>H711096465OVR</v>
      </c>
      <c r="E66" s="16" t="s">
        <v>105</v>
      </c>
      <c r="F66" s="16" t="s">
        <v>146</v>
      </c>
      <c r="G66" s="6" t="str">
        <f t="shared" si="0"/>
        <v>Carrie Serres</v>
      </c>
      <c r="H66" s="16" t="s">
        <v>176</v>
      </c>
      <c r="I66" s="16" t="s">
        <v>177</v>
      </c>
      <c r="J66" s="16" t="s">
        <v>181</v>
      </c>
      <c r="K66" s="17">
        <v>46054</v>
      </c>
      <c r="L66" s="17">
        <v>46113</v>
      </c>
      <c r="M66" s="18">
        <v>2</v>
      </c>
      <c r="N66" s="4" t="s">
        <v>307</v>
      </c>
      <c r="O66" s="4" t="s">
        <v>309</v>
      </c>
      <c r="P66" s="16" t="s">
        <v>220</v>
      </c>
      <c r="Q66" s="16" t="s">
        <v>221</v>
      </c>
      <c r="R66" s="16">
        <v>10.74</v>
      </c>
      <c r="S66" s="18">
        <v>100</v>
      </c>
      <c r="T66" s="19">
        <v>9.5000000000000001E-2</v>
      </c>
      <c r="U66" s="16">
        <v>10.74</v>
      </c>
      <c r="V66" s="16" t="s">
        <v>295</v>
      </c>
    </row>
    <row r="67" spans="1:22" s="16" customFormat="1" x14ac:dyDescent="0.25">
      <c r="A67" s="16" t="s">
        <v>288</v>
      </c>
      <c r="B67" s="16">
        <v>20411454</v>
      </c>
      <c r="C67" s="16" t="s">
        <v>60</v>
      </c>
      <c r="D67" s="16" t="str">
        <f t="shared" si="1"/>
        <v>H750086700OVR</v>
      </c>
      <c r="E67" s="16" t="s">
        <v>106</v>
      </c>
      <c r="F67" s="16" t="s">
        <v>147</v>
      </c>
      <c r="G67" s="6" t="str">
        <f t="shared" ref="G67:G94" si="2">CONCATENATE(E67," ",F67)</f>
        <v>Jennifer Tobias</v>
      </c>
      <c r="H67" s="16" t="s">
        <v>174</v>
      </c>
      <c r="I67" s="16" t="s">
        <v>178</v>
      </c>
      <c r="J67" s="16" t="s">
        <v>181</v>
      </c>
      <c r="K67" s="17">
        <v>45992</v>
      </c>
      <c r="L67" s="17">
        <v>46113</v>
      </c>
      <c r="M67" s="18">
        <v>4</v>
      </c>
      <c r="N67" s="4" t="s">
        <v>307</v>
      </c>
      <c r="O67" s="4" t="s">
        <v>309</v>
      </c>
      <c r="P67" s="16" t="s">
        <v>220</v>
      </c>
      <c r="Q67" s="16" t="s">
        <v>221</v>
      </c>
      <c r="R67" s="16">
        <v>3.37</v>
      </c>
      <c r="S67" s="18">
        <v>100</v>
      </c>
      <c r="T67" s="19">
        <v>2.8000000000000001E-2</v>
      </c>
      <c r="U67" s="16">
        <v>3.37</v>
      </c>
      <c r="V67" s="16" t="s">
        <v>295</v>
      </c>
    </row>
    <row r="68" spans="1:22" s="16" customFormat="1" x14ac:dyDescent="0.25">
      <c r="A68" s="16" t="s">
        <v>288</v>
      </c>
      <c r="B68" s="16">
        <v>20411454</v>
      </c>
      <c r="C68" s="16" t="s">
        <v>61</v>
      </c>
      <c r="D68" s="16" t="str">
        <f t="shared" si="1"/>
        <v>H711102067OVR</v>
      </c>
      <c r="E68" s="16" t="s">
        <v>107</v>
      </c>
      <c r="F68" s="16" t="s">
        <v>148</v>
      </c>
      <c r="G68" s="6" t="str">
        <f t="shared" si="2"/>
        <v>Delbert Wimberly</v>
      </c>
      <c r="H68" s="16" t="s">
        <v>176</v>
      </c>
      <c r="I68" s="16" t="s">
        <v>177</v>
      </c>
      <c r="J68" s="16" t="s">
        <v>181</v>
      </c>
      <c r="K68" s="17">
        <v>46054</v>
      </c>
      <c r="L68" s="17">
        <v>46113</v>
      </c>
      <c r="M68" s="18">
        <v>2</v>
      </c>
      <c r="N68" s="4" t="s">
        <v>307</v>
      </c>
      <c r="O68" s="4" t="s">
        <v>309</v>
      </c>
      <c r="P68" s="16" t="s">
        <v>220</v>
      </c>
      <c r="Q68" s="16" t="s">
        <v>221</v>
      </c>
      <c r="R68" s="16">
        <v>12.13</v>
      </c>
      <c r="S68" s="18">
        <v>100</v>
      </c>
      <c r="T68" s="19">
        <v>9.5000000000000001E-2</v>
      </c>
      <c r="U68" s="16">
        <v>12.13</v>
      </c>
      <c r="V68" s="16" t="s">
        <v>295</v>
      </c>
    </row>
    <row r="69" spans="1:22" s="16" customFormat="1" x14ac:dyDescent="0.25">
      <c r="A69" s="16" t="s">
        <v>288</v>
      </c>
      <c r="B69" s="16">
        <v>20411454</v>
      </c>
      <c r="C69" s="16" t="s">
        <v>62</v>
      </c>
      <c r="D69" s="16" t="str">
        <f t="shared" si="1"/>
        <v>H711083511OVR</v>
      </c>
      <c r="E69" s="16" t="s">
        <v>108</v>
      </c>
      <c r="F69" s="16" t="s">
        <v>149</v>
      </c>
      <c r="G69" s="6" t="str">
        <f t="shared" si="2"/>
        <v>Brandon Greene</v>
      </c>
      <c r="H69" s="16" t="s">
        <v>176</v>
      </c>
      <c r="I69" s="16" t="s">
        <v>177</v>
      </c>
      <c r="J69" s="16" t="s">
        <v>181</v>
      </c>
      <c r="K69" s="17">
        <v>46023</v>
      </c>
      <c r="L69" s="17">
        <v>46113</v>
      </c>
      <c r="M69" s="18">
        <v>3</v>
      </c>
      <c r="N69" s="4" t="s">
        <v>307</v>
      </c>
      <c r="O69" s="4" t="s">
        <v>309</v>
      </c>
      <c r="P69" s="16" t="s">
        <v>220</v>
      </c>
      <c r="Q69" s="16" t="s">
        <v>221</v>
      </c>
      <c r="R69" s="16">
        <v>6.22</v>
      </c>
      <c r="S69" s="18">
        <v>100</v>
      </c>
      <c r="T69" s="19">
        <v>9.5000000000000001E-2</v>
      </c>
      <c r="U69" s="16">
        <v>6.22</v>
      </c>
      <c r="V69" s="16" t="s">
        <v>295</v>
      </c>
    </row>
    <row r="70" spans="1:22" s="16" customFormat="1" x14ac:dyDescent="0.25">
      <c r="A70" s="16" t="s">
        <v>288</v>
      </c>
      <c r="B70" s="16">
        <v>20411454</v>
      </c>
      <c r="C70" s="16" t="s">
        <v>63</v>
      </c>
      <c r="D70" s="16" t="str">
        <f t="shared" si="1"/>
        <v>H711067996OVR</v>
      </c>
      <c r="E70" s="16" t="s">
        <v>109</v>
      </c>
      <c r="F70" s="16" t="s">
        <v>150</v>
      </c>
      <c r="G70" s="6" t="str">
        <f t="shared" si="2"/>
        <v>Misty Newberry</v>
      </c>
      <c r="H70" s="16" t="s">
        <v>176</v>
      </c>
      <c r="I70" s="16" t="s">
        <v>177</v>
      </c>
      <c r="J70" s="16" t="s">
        <v>181</v>
      </c>
      <c r="K70" s="17">
        <v>45992</v>
      </c>
      <c r="L70" s="17">
        <v>46113</v>
      </c>
      <c r="M70" s="18">
        <v>4</v>
      </c>
      <c r="N70" s="4" t="s">
        <v>307</v>
      </c>
      <c r="O70" s="4" t="s">
        <v>309</v>
      </c>
      <c r="P70" s="16" t="s">
        <v>220</v>
      </c>
      <c r="Q70" s="16" t="s">
        <v>221</v>
      </c>
      <c r="R70" s="16">
        <v>5.37</v>
      </c>
      <c r="S70" s="18">
        <v>100</v>
      </c>
      <c r="T70" s="19">
        <v>9.5000000000000001E-2</v>
      </c>
      <c r="U70" s="16">
        <v>5.37</v>
      </c>
      <c r="V70" s="16" t="s">
        <v>295</v>
      </c>
    </row>
    <row r="71" spans="1:22" s="16" customFormat="1" x14ac:dyDescent="0.25">
      <c r="A71" s="16" t="s">
        <v>288</v>
      </c>
      <c r="B71" s="16">
        <v>20411454</v>
      </c>
      <c r="C71" s="16" t="s">
        <v>64</v>
      </c>
      <c r="D71" s="16" t="str">
        <f t="shared" si="1"/>
        <v>H711074532OVR</v>
      </c>
      <c r="E71" s="16" t="s">
        <v>110</v>
      </c>
      <c r="F71" s="16" t="s">
        <v>151</v>
      </c>
      <c r="G71" s="6" t="str">
        <f t="shared" si="2"/>
        <v>Grant Hegstrom</v>
      </c>
      <c r="H71" s="16" t="s">
        <v>176</v>
      </c>
      <c r="I71" s="16" t="s">
        <v>177</v>
      </c>
      <c r="J71" s="16" t="s">
        <v>181</v>
      </c>
      <c r="K71" s="17">
        <v>46023</v>
      </c>
      <c r="L71" s="17">
        <v>46113</v>
      </c>
      <c r="M71" s="18">
        <v>3</v>
      </c>
      <c r="N71" s="4" t="s">
        <v>307</v>
      </c>
      <c r="O71" s="4" t="s">
        <v>309</v>
      </c>
      <c r="P71" s="16" t="s">
        <v>220</v>
      </c>
      <c r="Q71" s="16" t="s">
        <v>221</v>
      </c>
      <c r="R71" s="16">
        <v>12.13</v>
      </c>
      <c r="S71" s="18">
        <v>100</v>
      </c>
      <c r="T71" s="19">
        <v>9.5000000000000001E-2</v>
      </c>
      <c r="U71" s="16">
        <v>12.13</v>
      </c>
      <c r="V71" s="16" t="s">
        <v>295</v>
      </c>
    </row>
    <row r="72" spans="1:22" s="16" customFormat="1" x14ac:dyDescent="0.25">
      <c r="A72" s="16" t="s">
        <v>288</v>
      </c>
      <c r="B72" s="16">
        <v>20411454</v>
      </c>
      <c r="C72" s="16" t="s">
        <v>65</v>
      </c>
      <c r="D72" s="16" t="str">
        <f t="shared" si="1"/>
        <v>H711094874OVR</v>
      </c>
      <c r="E72" s="16" t="s">
        <v>98</v>
      </c>
      <c r="F72" s="16" t="s">
        <v>152</v>
      </c>
      <c r="G72" s="6" t="str">
        <f t="shared" si="2"/>
        <v>Cheryl Smith</v>
      </c>
      <c r="H72" s="16" t="s">
        <v>176</v>
      </c>
      <c r="I72" s="16" t="s">
        <v>177</v>
      </c>
      <c r="J72" s="16" t="s">
        <v>181</v>
      </c>
      <c r="K72" s="17">
        <v>46054</v>
      </c>
      <c r="L72" s="17">
        <v>46113</v>
      </c>
      <c r="M72" s="18">
        <v>2</v>
      </c>
      <c r="N72" s="4" t="s">
        <v>307</v>
      </c>
      <c r="O72" s="4" t="s">
        <v>309</v>
      </c>
      <c r="P72" s="16" t="s">
        <v>220</v>
      </c>
      <c r="Q72" s="16" t="s">
        <v>221</v>
      </c>
      <c r="R72" s="16">
        <v>6.22</v>
      </c>
      <c r="S72" s="18">
        <v>100</v>
      </c>
      <c r="T72" s="19">
        <v>9.5000000000000001E-2</v>
      </c>
      <c r="U72" s="16">
        <v>6.22</v>
      </c>
      <c r="V72" s="16" t="s">
        <v>295</v>
      </c>
    </row>
    <row r="73" spans="1:22" s="16" customFormat="1" x14ac:dyDescent="0.25">
      <c r="A73" s="16" t="s">
        <v>288</v>
      </c>
      <c r="B73" s="16">
        <v>20411454</v>
      </c>
      <c r="C73" s="16" t="s">
        <v>66</v>
      </c>
      <c r="D73" s="16" t="str">
        <f t="shared" si="1"/>
        <v>H711073391OVR</v>
      </c>
      <c r="E73" s="16" t="s">
        <v>106</v>
      </c>
      <c r="F73" s="16" t="s">
        <v>153</v>
      </c>
      <c r="G73" s="6" t="str">
        <f t="shared" si="2"/>
        <v>Jennifer Biddle</v>
      </c>
      <c r="H73" s="16" t="s">
        <v>176</v>
      </c>
      <c r="I73" s="16" t="s">
        <v>177</v>
      </c>
      <c r="J73" s="16" t="s">
        <v>181</v>
      </c>
      <c r="K73" s="17">
        <v>46023</v>
      </c>
      <c r="L73" s="17">
        <v>46113</v>
      </c>
      <c r="M73" s="18">
        <v>3</v>
      </c>
      <c r="N73" s="4" t="s">
        <v>307</v>
      </c>
      <c r="O73" s="4" t="s">
        <v>309</v>
      </c>
      <c r="P73" s="16" t="s">
        <v>220</v>
      </c>
      <c r="Q73" s="16" t="s">
        <v>221</v>
      </c>
      <c r="R73" s="16">
        <v>5.31</v>
      </c>
      <c r="S73" s="18">
        <v>100</v>
      </c>
      <c r="T73" s="19">
        <v>9.5000000000000001E-2</v>
      </c>
      <c r="U73" s="16">
        <v>5.31</v>
      </c>
      <c r="V73" s="16" t="s">
        <v>295</v>
      </c>
    </row>
    <row r="74" spans="1:22" s="16" customFormat="1" x14ac:dyDescent="0.25">
      <c r="A74" s="16" t="s">
        <v>288</v>
      </c>
      <c r="B74" s="16">
        <v>20411454</v>
      </c>
      <c r="C74" s="16" t="s">
        <v>67</v>
      </c>
      <c r="D74" s="16" t="str">
        <f t="shared" si="1"/>
        <v>H711070502OVR</v>
      </c>
      <c r="E74" s="16" t="s">
        <v>111</v>
      </c>
      <c r="F74" s="16" t="s">
        <v>154</v>
      </c>
      <c r="G74" s="6" t="str">
        <f t="shared" si="2"/>
        <v>Daniel Hildenbrand</v>
      </c>
      <c r="H74" s="16" t="s">
        <v>176</v>
      </c>
      <c r="I74" s="16" t="s">
        <v>177</v>
      </c>
      <c r="J74" s="16" t="s">
        <v>181</v>
      </c>
      <c r="K74" s="17">
        <v>46023</v>
      </c>
      <c r="L74" s="17">
        <v>46113</v>
      </c>
      <c r="M74" s="18">
        <v>3</v>
      </c>
      <c r="N74" s="4" t="s">
        <v>307</v>
      </c>
      <c r="O74" s="4" t="s">
        <v>309</v>
      </c>
      <c r="P74" s="16" t="s">
        <v>220</v>
      </c>
      <c r="Q74" s="16" t="s">
        <v>221</v>
      </c>
      <c r="R74" s="16">
        <v>12.13</v>
      </c>
      <c r="S74" s="18">
        <v>100</v>
      </c>
      <c r="T74" s="19">
        <v>9.5000000000000001E-2</v>
      </c>
      <c r="U74" s="16">
        <v>12.13</v>
      </c>
      <c r="V74" s="16" t="s">
        <v>295</v>
      </c>
    </row>
    <row r="75" spans="1:22" s="16" customFormat="1" x14ac:dyDescent="0.25">
      <c r="A75" s="16" t="s">
        <v>288</v>
      </c>
      <c r="B75" s="16">
        <v>20411454</v>
      </c>
      <c r="C75" s="16" t="s">
        <v>68</v>
      </c>
      <c r="D75" s="16" t="str">
        <f t="shared" si="1"/>
        <v>H711101358OVR</v>
      </c>
      <c r="E75" s="16" t="s">
        <v>112</v>
      </c>
      <c r="F75" s="16" t="s">
        <v>155</v>
      </c>
      <c r="G75" s="6" t="str">
        <f t="shared" si="2"/>
        <v>Ted Morris</v>
      </c>
      <c r="H75" s="16" t="s">
        <v>176</v>
      </c>
      <c r="I75" s="16" t="s">
        <v>177</v>
      </c>
      <c r="J75" s="16" t="s">
        <v>181</v>
      </c>
      <c r="K75" s="17">
        <v>46054</v>
      </c>
      <c r="L75" s="17">
        <v>46113</v>
      </c>
      <c r="M75" s="18">
        <v>2</v>
      </c>
      <c r="N75" s="4" t="s">
        <v>307</v>
      </c>
      <c r="O75" s="4" t="s">
        <v>309</v>
      </c>
      <c r="P75" s="16" t="s">
        <v>220</v>
      </c>
      <c r="Q75" s="16" t="s">
        <v>221</v>
      </c>
      <c r="R75" s="16">
        <v>12.13</v>
      </c>
      <c r="S75" s="18">
        <v>100</v>
      </c>
      <c r="T75" s="19">
        <v>9.5000000000000001E-2</v>
      </c>
      <c r="U75" s="16">
        <v>12.13</v>
      </c>
      <c r="V75" s="16" t="s">
        <v>295</v>
      </c>
    </row>
    <row r="76" spans="1:22" s="16" customFormat="1" x14ac:dyDescent="0.25">
      <c r="A76" s="16" t="s">
        <v>288</v>
      </c>
      <c r="B76" s="16">
        <v>20411454</v>
      </c>
      <c r="C76" s="16" t="s">
        <v>69</v>
      </c>
      <c r="D76" s="16" t="str">
        <f t="shared" si="1"/>
        <v>H711064367OVR</v>
      </c>
      <c r="E76" s="16" t="s">
        <v>113</v>
      </c>
      <c r="F76" s="16" t="s">
        <v>156</v>
      </c>
      <c r="G76" s="6" t="str">
        <f t="shared" si="2"/>
        <v>Kalin Kocher</v>
      </c>
      <c r="H76" s="16" t="s">
        <v>176</v>
      </c>
      <c r="I76" s="16" t="s">
        <v>177</v>
      </c>
      <c r="J76" s="16" t="s">
        <v>181</v>
      </c>
      <c r="K76" s="17">
        <v>45992</v>
      </c>
      <c r="L76" s="17">
        <v>46113</v>
      </c>
      <c r="M76" s="18">
        <v>4</v>
      </c>
      <c r="N76" s="4" t="s">
        <v>307</v>
      </c>
      <c r="O76" s="4" t="s">
        <v>309</v>
      </c>
      <c r="P76" s="16" t="s">
        <v>220</v>
      </c>
      <c r="Q76" s="16" t="s">
        <v>221</v>
      </c>
      <c r="R76" s="16">
        <v>5.37</v>
      </c>
      <c r="S76" s="18">
        <v>100</v>
      </c>
      <c r="T76" s="19">
        <v>9.5000000000000001E-2</v>
      </c>
      <c r="U76" s="16">
        <v>5.37</v>
      </c>
      <c r="V76" s="16" t="s">
        <v>295</v>
      </c>
    </row>
    <row r="77" spans="1:22" s="16" customFormat="1" x14ac:dyDescent="0.25">
      <c r="A77" s="16" t="s">
        <v>288</v>
      </c>
      <c r="B77" s="16">
        <v>20411454</v>
      </c>
      <c r="C77" s="16" t="s">
        <v>70</v>
      </c>
      <c r="D77" s="16" t="str">
        <f t="shared" si="1"/>
        <v>H711075141OVR</v>
      </c>
      <c r="E77" s="16" t="s">
        <v>114</v>
      </c>
      <c r="F77" s="16" t="s">
        <v>157</v>
      </c>
      <c r="G77" s="6" t="str">
        <f t="shared" si="2"/>
        <v>Aaron Kincaid</v>
      </c>
      <c r="H77" s="16" t="s">
        <v>176</v>
      </c>
      <c r="I77" s="16" t="s">
        <v>177</v>
      </c>
      <c r="J77" s="16" t="s">
        <v>181</v>
      </c>
      <c r="K77" s="17">
        <v>46023</v>
      </c>
      <c r="L77" s="17">
        <v>46113</v>
      </c>
      <c r="M77" s="18">
        <v>3</v>
      </c>
      <c r="N77" s="4" t="s">
        <v>307</v>
      </c>
      <c r="O77" s="4" t="s">
        <v>309</v>
      </c>
      <c r="P77" s="16" t="s">
        <v>220</v>
      </c>
      <c r="Q77" s="16" t="s">
        <v>221</v>
      </c>
      <c r="R77" s="16">
        <v>19.579999999999998</v>
      </c>
      <c r="S77" s="18">
        <v>100</v>
      </c>
      <c r="T77" s="19">
        <v>9.5000000000000001E-2</v>
      </c>
      <c r="U77" s="16">
        <v>19.579999999999998</v>
      </c>
      <c r="V77" s="16" t="s">
        <v>295</v>
      </c>
    </row>
    <row r="78" spans="1:22" s="16" customFormat="1" x14ac:dyDescent="0.25">
      <c r="A78" s="16" t="s">
        <v>288</v>
      </c>
      <c r="B78" s="16">
        <v>20411454</v>
      </c>
      <c r="C78" s="16" t="s">
        <v>71</v>
      </c>
      <c r="D78" s="16" t="str">
        <f t="shared" si="1"/>
        <v>H711079647OVR</v>
      </c>
      <c r="E78" s="16" t="s">
        <v>115</v>
      </c>
      <c r="F78" s="16" t="s">
        <v>158</v>
      </c>
      <c r="G78" s="6" t="str">
        <f t="shared" si="2"/>
        <v>Laura Crabtree</v>
      </c>
      <c r="H78" s="16" t="s">
        <v>176</v>
      </c>
      <c r="I78" s="16" t="s">
        <v>177</v>
      </c>
      <c r="J78" s="16" t="s">
        <v>181</v>
      </c>
      <c r="K78" s="17">
        <v>46023</v>
      </c>
      <c r="L78" s="17">
        <v>46113</v>
      </c>
      <c r="M78" s="18">
        <v>3</v>
      </c>
      <c r="N78" s="4" t="s">
        <v>307</v>
      </c>
      <c r="O78" s="4" t="s">
        <v>309</v>
      </c>
      <c r="P78" s="16" t="s">
        <v>220</v>
      </c>
      <c r="Q78" s="16" t="s">
        <v>222</v>
      </c>
      <c r="R78" s="16">
        <v>12.13</v>
      </c>
      <c r="S78" s="18">
        <v>100</v>
      </c>
      <c r="T78" s="19">
        <v>9.5000000000000001E-2</v>
      </c>
      <c r="U78" s="16">
        <v>12.13</v>
      </c>
      <c r="V78" s="16" t="s">
        <v>295</v>
      </c>
    </row>
    <row r="79" spans="1:22" s="16" customFormat="1" x14ac:dyDescent="0.25">
      <c r="A79" s="16" t="s">
        <v>288</v>
      </c>
      <c r="B79" s="16">
        <v>20411454</v>
      </c>
      <c r="C79" s="16" t="s">
        <v>72</v>
      </c>
      <c r="D79" s="16" t="str">
        <f t="shared" si="1"/>
        <v>H711080848OVR</v>
      </c>
      <c r="E79" s="16" t="s">
        <v>116</v>
      </c>
      <c r="F79" s="16" t="s">
        <v>159</v>
      </c>
      <c r="G79" s="6" t="str">
        <f t="shared" si="2"/>
        <v>Hannah Minton</v>
      </c>
      <c r="H79" s="16" t="s">
        <v>176</v>
      </c>
      <c r="I79" s="16" t="s">
        <v>177</v>
      </c>
      <c r="J79" s="16" t="s">
        <v>181</v>
      </c>
      <c r="K79" s="17">
        <v>46023</v>
      </c>
      <c r="L79" s="17">
        <v>46113</v>
      </c>
      <c r="M79" s="18">
        <v>3</v>
      </c>
      <c r="N79" s="4" t="s">
        <v>307</v>
      </c>
      <c r="O79" s="4" t="s">
        <v>309</v>
      </c>
      <c r="P79" s="16" t="s">
        <v>220</v>
      </c>
      <c r="Q79" s="16" t="s">
        <v>221</v>
      </c>
      <c r="R79" s="16">
        <v>6.22</v>
      </c>
      <c r="S79" s="18">
        <v>100</v>
      </c>
      <c r="T79" s="19">
        <v>9.5000000000000001E-2</v>
      </c>
      <c r="U79" s="16">
        <v>6.22</v>
      </c>
      <c r="V79" s="16" t="s">
        <v>295</v>
      </c>
    </row>
    <row r="80" spans="1:22" s="16" customFormat="1" x14ac:dyDescent="0.25">
      <c r="A80" s="16" t="s">
        <v>288</v>
      </c>
      <c r="B80" s="16">
        <v>20411454</v>
      </c>
      <c r="C80" s="16" t="s">
        <v>73</v>
      </c>
      <c r="D80" s="16" t="str">
        <f t="shared" si="1"/>
        <v>H750073946OVR</v>
      </c>
      <c r="E80" s="16" t="s">
        <v>117</v>
      </c>
      <c r="F80" s="16" t="s">
        <v>160</v>
      </c>
      <c r="G80" s="6" t="str">
        <f t="shared" si="2"/>
        <v>Harlin Hill</v>
      </c>
      <c r="H80" s="16" t="s">
        <v>174</v>
      </c>
      <c r="I80" s="16" t="s">
        <v>178</v>
      </c>
      <c r="J80" s="16" t="s">
        <v>181</v>
      </c>
      <c r="K80" s="17">
        <v>45901</v>
      </c>
      <c r="L80" s="17">
        <v>46113</v>
      </c>
      <c r="M80" s="18">
        <v>7</v>
      </c>
      <c r="N80" s="4" t="s">
        <v>307</v>
      </c>
      <c r="O80" s="4" t="s">
        <v>309</v>
      </c>
      <c r="P80" s="16" t="s">
        <v>220</v>
      </c>
      <c r="Q80" s="16" t="s">
        <v>222</v>
      </c>
      <c r="R80" s="16">
        <v>6.67</v>
      </c>
      <c r="S80" s="18">
        <v>100</v>
      </c>
      <c r="T80" s="19">
        <v>3.9E-2</v>
      </c>
      <c r="U80" s="16">
        <v>6.67</v>
      </c>
      <c r="V80" s="16" t="s">
        <v>295</v>
      </c>
    </row>
    <row r="81" spans="1:22" s="16" customFormat="1" x14ac:dyDescent="0.25">
      <c r="A81" s="16" t="s">
        <v>288</v>
      </c>
      <c r="B81" s="16">
        <v>20411454</v>
      </c>
      <c r="C81" s="16" t="s">
        <v>74</v>
      </c>
      <c r="D81" s="16" t="str">
        <f t="shared" si="1"/>
        <v>H711104082OVR</v>
      </c>
      <c r="E81" s="16" t="s">
        <v>118</v>
      </c>
      <c r="F81" s="16" t="s">
        <v>161</v>
      </c>
      <c r="G81" s="6" t="str">
        <f t="shared" si="2"/>
        <v>Joshua Meyers</v>
      </c>
      <c r="H81" s="16" t="s">
        <v>176</v>
      </c>
      <c r="I81" s="16" t="s">
        <v>177</v>
      </c>
      <c r="J81" s="16" t="s">
        <v>181</v>
      </c>
      <c r="K81" s="17">
        <v>46054</v>
      </c>
      <c r="L81" s="17">
        <v>46113</v>
      </c>
      <c r="M81" s="18">
        <v>2</v>
      </c>
      <c r="N81" s="4" t="s">
        <v>307</v>
      </c>
      <c r="O81" s="4" t="s">
        <v>309</v>
      </c>
      <c r="P81" s="16" t="s">
        <v>220</v>
      </c>
      <c r="Q81" s="16" t="s">
        <v>221</v>
      </c>
      <c r="R81" s="16">
        <v>6.22</v>
      </c>
      <c r="S81" s="18">
        <v>100</v>
      </c>
      <c r="T81" s="19">
        <v>9.5000000000000001E-2</v>
      </c>
      <c r="U81" s="16">
        <v>6.22</v>
      </c>
      <c r="V81" s="16" t="s">
        <v>295</v>
      </c>
    </row>
    <row r="82" spans="1:22" s="16" customFormat="1" x14ac:dyDescent="0.25">
      <c r="A82" s="16" t="s">
        <v>288</v>
      </c>
      <c r="B82" s="16">
        <v>20411454</v>
      </c>
      <c r="C82" s="16" t="s">
        <v>75</v>
      </c>
      <c r="D82" s="16" t="str">
        <f t="shared" si="1"/>
        <v>H711067280OVR</v>
      </c>
      <c r="E82" s="16" t="s">
        <v>119</v>
      </c>
      <c r="F82" s="16" t="s">
        <v>162</v>
      </c>
      <c r="G82" s="6" t="str">
        <f t="shared" si="2"/>
        <v>Patricia Buckley</v>
      </c>
      <c r="H82" s="16" t="s">
        <v>176</v>
      </c>
      <c r="I82" s="16" t="s">
        <v>177</v>
      </c>
      <c r="J82" s="16" t="s">
        <v>181</v>
      </c>
      <c r="K82" s="17">
        <v>45976</v>
      </c>
      <c r="L82" s="17">
        <v>46127</v>
      </c>
      <c r="M82" s="18">
        <v>5</v>
      </c>
      <c r="N82" s="4" t="s">
        <v>307</v>
      </c>
      <c r="O82" s="4" t="s">
        <v>309</v>
      </c>
      <c r="P82" s="16" t="s">
        <v>220</v>
      </c>
      <c r="Q82" s="16" t="s">
        <v>221</v>
      </c>
      <c r="R82" s="16">
        <v>6.22</v>
      </c>
      <c r="S82" s="18">
        <v>100</v>
      </c>
      <c r="T82" s="19">
        <v>9.5000000000000001E-2</v>
      </c>
      <c r="U82" s="16">
        <v>6.22</v>
      </c>
      <c r="V82" s="16" t="s">
        <v>295</v>
      </c>
    </row>
    <row r="83" spans="1:22" s="16" customFormat="1" x14ac:dyDescent="0.25">
      <c r="A83" s="16" t="s">
        <v>288</v>
      </c>
      <c r="B83" s="16">
        <v>20411454</v>
      </c>
      <c r="C83" s="16" t="s">
        <v>76</v>
      </c>
      <c r="D83" s="16" t="str">
        <f t="shared" si="1"/>
        <v>H711101209OVR</v>
      </c>
      <c r="E83" s="16" t="s">
        <v>120</v>
      </c>
      <c r="F83" s="16" t="s">
        <v>163</v>
      </c>
      <c r="G83" s="6" t="str">
        <f t="shared" si="2"/>
        <v>Nathan Lake</v>
      </c>
      <c r="H83" s="16" t="s">
        <v>176</v>
      </c>
      <c r="I83" s="16" t="s">
        <v>177</v>
      </c>
      <c r="J83" s="16" t="s">
        <v>181</v>
      </c>
      <c r="K83" s="17">
        <v>46054</v>
      </c>
      <c r="L83" s="17">
        <v>46113</v>
      </c>
      <c r="M83" s="18">
        <v>2</v>
      </c>
      <c r="N83" s="4" t="s">
        <v>307</v>
      </c>
      <c r="O83" s="4" t="s">
        <v>309</v>
      </c>
      <c r="P83" s="16" t="s">
        <v>220</v>
      </c>
      <c r="Q83" s="16" t="s">
        <v>221</v>
      </c>
      <c r="R83" s="16">
        <v>6.22</v>
      </c>
      <c r="S83" s="18">
        <v>100</v>
      </c>
      <c r="T83" s="19">
        <v>9.5000000000000001E-2</v>
      </c>
      <c r="U83" s="16">
        <v>6.22</v>
      </c>
      <c r="V83" s="16" t="s">
        <v>295</v>
      </c>
    </row>
    <row r="84" spans="1:22" s="16" customFormat="1" x14ac:dyDescent="0.25">
      <c r="A84" s="16" t="s">
        <v>288</v>
      </c>
      <c r="B84" s="16">
        <v>20411454</v>
      </c>
      <c r="C84" s="16" t="s">
        <v>77</v>
      </c>
      <c r="D84" s="16" t="str">
        <f t="shared" si="1"/>
        <v>H750073872OVR</v>
      </c>
      <c r="E84" s="16" t="s">
        <v>115</v>
      </c>
      <c r="F84" s="16" t="s">
        <v>160</v>
      </c>
      <c r="G84" s="6" t="str">
        <f t="shared" si="2"/>
        <v>Laura Hill</v>
      </c>
      <c r="H84" s="16" t="s">
        <v>174</v>
      </c>
      <c r="I84" s="16" t="s">
        <v>178</v>
      </c>
      <c r="J84" s="16" t="s">
        <v>181</v>
      </c>
      <c r="K84" s="17">
        <v>45901</v>
      </c>
      <c r="L84" s="17">
        <v>46113</v>
      </c>
      <c r="M84" s="18">
        <v>7</v>
      </c>
      <c r="N84" s="4" t="s">
        <v>307</v>
      </c>
      <c r="O84" s="4" t="s">
        <v>309</v>
      </c>
      <c r="P84" s="16" t="s">
        <v>220</v>
      </c>
      <c r="Q84" s="16" t="s">
        <v>222</v>
      </c>
      <c r="R84" s="16">
        <v>5.84</v>
      </c>
      <c r="S84" s="18">
        <v>100</v>
      </c>
      <c r="T84" s="19">
        <v>3.9E-2</v>
      </c>
      <c r="U84" s="16">
        <v>5.84</v>
      </c>
      <c r="V84" s="16" t="s">
        <v>295</v>
      </c>
    </row>
    <row r="85" spans="1:22" s="16" customFormat="1" x14ac:dyDescent="0.25">
      <c r="A85" s="16" t="s">
        <v>288</v>
      </c>
      <c r="B85" s="16">
        <v>20411454</v>
      </c>
      <c r="C85" s="16" t="s">
        <v>78</v>
      </c>
      <c r="D85" s="16" t="str">
        <f t="shared" si="1"/>
        <v>H711025485OVR</v>
      </c>
      <c r="E85" s="16" t="s">
        <v>121</v>
      </c>
      <c r="F85" s="16" t="s">
        <v>164</v>
      </c>
      <c r="G85" s="6" t="str">
        <f t="shared" si="2"/>
        <v>Shirley Perry</v>
      </c>
      <c r="H85" s="16" t="s">
        <v>176</v>
      </c>
      <c r="I85" s="16" t="s">
        <v>177</v>
      </c>
      <c r="J85" s="16" t="s">
        <v>182</v>
      </c>
      <c r="K85" s="17">
        <v>45870</v>
      </c>
      <c r="L85" s="17">
        <v>46113</v>
      </c>
      <c r="M85" s="18">
        <v>8</v>
      </c>
      <c r="N85" s="4" t="s">
        <v>307</v>
      </c>
      <c r="O85" s="4" t="s">
        <v>309</v>
      </c>
      <c r="P85" s="16" t="s">
        <v>220</v>
      </c>
      <c r="Q85" s="16" t="s">
        <v>221</v>
      </c>
      <c r="R85" s="16">
        <v>4.53</v>
      </c>
      <c r="S85" s="18">
        <v>100</v>
      </c>
      <c r="T85" s="19">
        <v>9.5000000000000001E-2</v>
      </c>
      <c r="U85" s="16">
        <v>4.53</v>
      </c>
      <c r="V85" s="16" t="s">
        <v>295</v>
      </c>
    </row>
    <row r="86" spans="1:22" s="16" customFormat="1" x14ac:dyDescent="0.25">
      <c r="A86" s="16" t="s">
        <v>288</v>
      </c>
      <c r="B86" s="16">
        <v>20411454</v>
      </c>
      <c r="C86" s="16" t="s">
        <v>79</v>
      </c>
      <c r="D86" s="16" t="str">
        <f t="shared" si="1"/>
        <v>H711054000OVR</v>
      </c>
      <c r="E86" s="16" t="s">
        <v>122</v>
      </c>
      <c r="F86" s="16" t="s">
        <v>165</v>
      </c>
      <c r="G86" s="6" t="str">
        <f t="shared" si="2"/>
        <v>Anna Biebl</v>
      </c>
      <c r="H86" s="16" t="s">
        <v>176</v>
      </c>
      <c r="I86" s="16" t="s">
        <v>177</v>
      </c>
      <c r="J86" s="16" t="s">
        <v>182</v>
      </c>
      <c r="K86" s="17">
        <v>46023</v>
      </c>
      <c r="L86" s="17">
        <v>46113</v>
      </c>
      <c r="M86" s="18">
        <v>3</v>
      </c>
      <c r="N86" s="4" t="s">
        <v>307</v>
      </c>
      <c r="O86" s="4" t="s">
        <v>309</v>
      </c>
      <c r="P86" s="16" t="s">
        <v>220</v>
      </c>
      <c r="Q86" s="16" t="s">
        <v>221</v>
      </c>
      <c r="R86" s="16">
        <v>5.37</v>
      </c>
      <c r="S86" s="18">
        <v>100</v>
      </c>
      <c r="T86" s="19">
        <v>9.5000000000000001E-2</v>
      </c>
      <c r="U86" s="16">
        <v>5.37</v>
      </c>
      <c r="V86" s="16" t="s">
        <v>295</v>
      </c>
    </row>
    <row r="87" spans="1:22" s="16" customFormat="1" x14ac:dyDescent="0.25">
      <c r="A87" s="16" t="s">
        <v>288</v>
      </c>
      <c r="B87" s="16">
        <v>20411454</v>
      </c>
      <c r="C87" s="16" t="s">
        <v>80</v>
      </c>
      <c r="D87" s="16" t="str">
        <f t="shared" si="1"/>
        <v>H750076900OVR</v>
      </c>
      <c r="E87" s="16" t="s">
        <v>123</v>
      </c>
      <c r="F87" s="16" t="s">
        <v>166</v>
      </c>
      <c r="G87" s="6" t="str">
        <f t="shared" si="2"/>
        <v>Zaharoula Diamantakos</v>
      </c>
      <c r="H87" s="16" t="s">
        <v>174</v>
      </c>
      <c r="I87" s="16" t="s">
        <v>178</v>
      </c>
      <c r="J87" s="16" t="s">
        <v>181</v>
      </c>
      <c r="K87" s="17">
        <v>45931</v>
      </c>
      <c r="L87" s="17">
        <v>46113</v>
      </c>
      <c r="M87" s="18">
        <v>6</v>
      </c>
      <c r="N87" s="4" t="s">
        <v>307</v>
      </c>
      <c r="O87" s="4" t="s">
        <v>309</v>
      </c>
      <c r="P87" s="16" t="s">
        <v>220</v>
      </c>
      <c r="Q87" s="16" t="s">
        <v>222</v>
      </c>
      <c r="R87" s="16">
        <v>6.77</v>
      </c>
      <c r="S87" s="18">
        <v>100</v>
      </c>
      <c r="T87" s="19">
        <v>3.9E-2</v>
      </c>
      <c r="U87" s="16">
        <v>6.77</v>
      </c>
      <c r="V87" s="16" t="s">
        <v>295</v>
      </c>
    </row>
    <row r="88" spans="1:22" s="16" customFormat="1" x14ac:dyDescent="0.25">
      <c r="A88" s="16" t="s">
        <v>288</v>
      </c>
      <c r="B88" s="16">
        <v>20411454</v>
      </c>
      <c r="C88" s="16" t="s">
        <v>81</v>
      </c>
      <c r="D88" s="16" t="str">
        <f t="shared" si="1"/>
        <v>H750098156OVR</v>
      </c>
      <c r="E88" s="16" t="s">
        <v>124</v>
      </c>
      <c r="F88" s="16" t="s">
        <v>167</v>
      </c>
      <c r="G88" s="6" t="str">
        <f t="shared" si="2"/>
        <v>Ronald Zhiss</v>
      </c>
      <c r="H88" s="16" t="s">
        <v>174</v>
      </c>
      <c r="I88" s="16" t="s">
        <v>178</v>
      </c>
      <c r="J88" s="16" t="s">
        <v>183</v>
      </c>
      <c r="K88" s="17">
        <v>46113</v>
      </c>
      <c r="L88" s="17">
        <v>46143</v>
      </c>
      <c r="M88" s="18">
        <v>1</v>
      </c>
      <c r="N88" s="4" t="s">
        <v>307</v>
      </c>
      <c r="O88" s="4" t="s">
        <v>309</v>
      </c>
      <c r="P88" s="16" t="s">
        <v>220</v>
      </c>
      <c r="Q88" s="16" t="s">
        <v>221</v>
      </c>
      <c r="R88" s="16">
        <v>4.9400000000000004</v>
      </c>
      <c r="S88" s="18">
        <v>100</v>
      </c>
      <c r="T88" s="19">
        <v>2.8000000000000001E-2</v>
      </c>
      <c r="U88" s="16">
        <v>4.9400000000000004</v>
      </c>
      <c r="V88" s="16" t="s">
        <v>295</v>
      </c>
    </row>
    <row r="89" spans="1:22" s="16" customFormat="1" x14ac:dyDescent="0.25">
      <c r="A89" s="16" t="s">
        <v>288</v>
      </c>
      <c r="B89" s="16">
        <v>20411454</v>
      </c>
      <c r="C89" s="16" t="s">
        <v>82</v>
      </c>
      <c r="D89" s="16" t="str">
        <f t="shared" si="1"/>
        <v>H750091114OVR</v>
      </c>
      <c r="E89" s="16" t="s">
        <v>125</v>
      </c>
      <c r="F89" s="16" t="s">
        <v>168</v>
      </c>
      <c r="G89" s="6" t="str">
        <f t="shared" si="2"/>
        <v>Gerrod Lambrecht</v>
      </c>
      <c r="H89" s="16" t="s">
        <v>174</v>
      </c>
      <c r="I89" s="16" t="s">
        <v>178</v>
      </c>
      <c r="J89" s="16" t="s">
        <v>183</v>
      </c>
      <c r="K89" s="17">
        <v>46023</v>
      </c>
      <c r="L89" s="17">
        <v>46113</v>
      </c>
      <c r="M89" s="18">
        <v>3</v>
      </c>
      <c r="N89" s="4" t="s">
        <v>307</v>
      </c>
      <c r="O89" s="4" t="s">
        <v>309</v>
      </c>
      <c r="P89" s="16" t="s">
        <v>220</v>
      </c>
      <c r="Q89" s="16" t="s">
        <v>221</v>
      </c>
      <c r="R89" s="16">
        <v>1.34</v>
      </c>
      <c r="S89" s="18">
        <v>100</v>
      </c>
      <c r="T89" s="19">
        <v>8.0000000000000002E-3</v>
      </c>
      <c r="U89" s="16">
        <v>1.34</v>
      </c>
      <c r="V89" s="16" t="s">
        <v>295</v>
      </c>
    </row>
    <row r="90" spans="1:22" s="16" customFormat="1" x14ac:dyDescent="0.25">
      <c r="A90" s="16" t="s">
        <v>288</v>
      </c>
      <c r="B90" s="16">
        <v>20411454</v>
      </c>
      <c r="C90" s="16" t="s">
        <v>83</v>
      </c>
      <c r="D90" s="16" t="str">
        <f t="shared" si="1"/>
        <v>H750095010OVR</v>
      </c>
      <c r="E90" s="16" t="s">
        <v>126</v>
      </c>
      <c r="F90" s="16" t="s">
        <v>167</v>
      </c>
      <c r="G90" s="6" t="str">
        <f t="shared" si="2"/>
        <v>Carolyn Zhiss</v>
      </c>
      <c r="H90" s="16" t="s">
        <v>174</v>
      </c>
      <c r="I90" s="16" t="s">
        <v>178</v>
      </c>
      <c r="J90" s="16" t="s">
        <v>183</v>
      </c>
      <c r="K90" s="17">
        <v>46054</v>
      </c>
      <c r="L90" s="17">
        <v>46113</v>
      </c>
      <c r="M90" s="18">
        <v>2</v>
      </c>
      <c r="N90" s="4" t="s">
        <v>307</v>
      </c>
      <c r="O90" s="4" t="s">
        <v>309</v>
      </c>
      <c r="P90" s="16" t="s">
        <v>220</v>
      </c>
      <c r="Q90" s="16" t="s">
        <v>221</v>
      </c>
      <c r="R90" s="16">
        <v>4.5</v>
      </c>
      <c r="S90" s="18">
        <v>100</v>
      </c>
      <c r="T90" s="19">
        <v>2.8000000000000001E-2</v>
      </c>
      <c r="U90" s="16">
        <v>4.5</v>
      </c>
      <c r="V90" s="16" t="s">
        <v>295</v>
      </c>
    </row>
    <row r="91" spans="1:22" s="16" customFormat="1" x14ac:dyDescent="0.25">
      <c r="A91" s="16" t="s">
        <v>288</v>
      </c>
      <c r="B91" s="16">
        <v>20411454</v>
      </c>
      <c r="C91" s="16" t="s">
        <v>84</v>
      </c>
      <c r="D91" s="16" t="str">
        <f t="shared" si="1"/>
        <v>H711020958OVR</v>
      </c>
      <c r="E91" s="16" t="s">
        <v>127</v>
      </c>
      <c r="F91" s="16" t="s">
        <v>169</v>
      </c>
      <c r="G91" s="6" t="str">
        <f t="shared" si="2"/>
        <v>Karen Duke</v>
      </c>
      <c r="H91" s="16" t="s">
        <v>176</v>
      </c>
      <c r="I91" s="16" t="s">
        <v>177</v>
      </c>
      <c r="J91" s="16" t="s">
        <v>183</v>
      </c>
      <c r="K91" s="17">
        <v>45870</v>
      </c>
      <c r="L91" s="17">
        <v>46113</v>
      </c>
      <c r="M91" s="18">
        <v>8</v>
      </c>
      <c r="N91" s="4" t="s">
        <v>307</v>
      </c>
      <c r="O91" s="4" t="s">
        <v>309</v>
      </c>
      <c r="P91" s="16" t="s">
        <v>220</v>
      </c>
      <c r="Q91" s="16" t="s">
        <v>221</v>
      </c>
      <c r="R91" s="16">
        <v>5.37</v>
      </c>
      <c r="S91" s="18">
        <v>100</v>
      </c>
      <c r="T91" s="19">
        <v>9.5000000000000001E-2</v>
      </c>
      <c r="U91" s="16">
        <v>5.37</v>
      </c>
      <c r="V91" s="16" t="s">
        <v>295</v>
      </c>
    </row>
    <row r="92" spans="1:22" s="16" customFormat="1" x14ac:dyDescent="0.25">
      <c r="A92" s="16" t="s">
        <v>288</v>
      </c>
      <c r="B92" s="16">
        <v>20411454</v>
      </c>
      <c r="C92" s="16" t="s">
        <v>85</v>
      </c>
      <c r="D92" s="16" t="str">
        <f t="shared" si="1"/>
        <v>H750095201OVR</v>
      </c>
      <c r="E92" s="16" t="s">
        <v>88</v>
      </c>
      <c r="F92" s="16" t="s">
        <v>170</v>
      </c>
      <c r="G92" s="6" t="str">
        <f t="shared" si="2"/>
        <v>John Johns</v>
      </c>
      <c r="H92" s="16" t="s">
        <v>174</v>
      </c>
      <c r="I92" s="16" t="s">
        <v>178</v>
      </c>
      <c r="J92" s="16" t="s">
        <v>183</v>
      </c>
      <c r="K92" s="17">
        <v>46054</v>
      </c>
      <c r="L92" s="17">
        <v>46113</v>
      </c>
      <c r="M92" s="18">
        <v>2</v>
      </c>
      <c r="N92" s="4" t="s">
        <v>307</v>
      </c>
      <c r="O92" s="4" t="s">
        <v>309</v>
      </c>
      <c r="P92" s="16" t="s">
        <v>220</v>
      </c>
      <c r="Q92" s="16" t="s">
        <v>222</v>
      </c>
      <c r="R92" s="16">
        <v>9.2899999999999991</v>
      </c>
      <c r="S92" s="18">
        <v>100</v>
      </c>
      <c r="T92" s="19">
        <v>3.9E-2</v>
      </c>
      <c r="U92" s="16">
        <v>9.2899999999999991</v>
      </c>
      <c r="V92" s="16" t="s">
        <v>295</v>
      </c>
    </row>
    <row r="93" spans="1:22" s="16" customFormat="1" x14ac:dyDescent="0.25">
      <c r="A93" s="16" t="s">
        <v>288</v>
      </c>
      <c r="B93" s="16">
        <v>20411454</v>
      </c>
      <c r="C93" s="16" t="s">
        <v>86</v>
      </c>
      <c r="D93" s="16" t="str">
        <f t="shared" si="1"/>
        <v>H750075298OVR</v>
      </c>
      <c r="E93" s="16" t="s">
        <v>128</v>
      </c>
      <c r="F93" s="16" t="s">
        <v>171</v>
      </c>
      <c r="G93" s="6" t="str">
        <f t="shared" si="2"/>
        <v>Jacqueline Green</v>
      </c>
      <c r="H93" s="16" t="s">
        <v>174</v>
      </c>
      <c r="I93" s="16" t="s">
        <v>178</v>
      </c>
      <c r="J93" s="16" t="s">
        <v>181</v>
      </c>
      <c r="K93" s="17">
        <v>45962</v>
      </c>
      <c r="L93" s="17">
        <v>46113</v>
      </c>
      <c r="M93" s="18">
        <v>5</v>
      </c>
      <c r="N93" s="4" t="s">
        <v>307</v>
      </c>
      <c r="O93" s="4" t="s">
        <v>309</v>
      </c>
      <c r="P93" s="16" t="s">
        <v>220</v>
      </c>
      <c r="Q93" s="16" t="s">
        <v>221</v>
      </c>
      <c r="R93" s="16">
        <v>3.27</v>
      </c>
      <c r="S93" s="18">
        <v>100</v>
      </c>
      <c r="T93" s="19">
        <v>2.8000000000000001E-2</v>
      </c>
      <c r="U93" s="16">
        <v>3.27</v>
      </c>
      <c r="V93" s="16" t="s">
        <v>295</v>
      </c>
    </row>
    <row r="94" spans="1:22" s="16" customFormat="1" x14ac:dyDescent="0.25">
      <c r="A94" s="16" t="s">
        <v>288</v>
      </c>
      <c r="B94" s="16">
        <v>20411454</v>
      </c>
      <c r="C94" s="16" t="s">
        <v>87</v>
      </c>
      <c r="D94" s="16" t="str">
        <f t="shared" si="1"/>
        <v>H750075563OVR</v>
      </c>
      <c r="E94" s="16" t="s">
        <v>129</v>
      </c>
      <c r="F94" s="16" t="s">
        <v>172</v>
      </c>
      <c r="G94" s="6" t="str">
        <f t="shared" si="2"/>
        <v>Jayne Bressner</v>
      </c>
      <c r="H94" s="16" t="s">
        <v>174</v>
      </c>
      <c r="I94" s="16" t="s">
        <v>178</v>
      </c>
      <c r="J94" s="16" t="s">
        <v>181</v>
      </c>
      <c r="K94" s="17">
        <v>45931</v>
      </c>
      <c r="L94" s="17">
        <v>46113</v>
      </c>
      <c r="M94" s="18">
        <v>6</v>
      </c>
      <c r="N94" s="4" t="s">
        <v>307</v>
      </c>
      <c r="O94" s="4" t="s">
        <v>309</v>
      </c>
      <c r="P94" s="16" t="s">
        <v>220</v>
      </c>
      <c r="Q94" s="16" t="s">
        <v>222</v>
      </c>
      <c r="R94" s="16">
        <v>5.34</v>
      </c>
      <c r="S94" s="18">
        <v>100</v>
      </c>
      <c r="T94" s="19">
        <v>3.9E-2</v>
      </c>
      <c r="U94" s="16">
        <v>5.34</v>
      </c>
      <c r="V94" s="16" t="s">
        <v>295</v>
      </c>
    </row>
  </sheetData>
  <sortState xmlns:xlrd2="http://schemas.microsoft.com/office/spreadsheetml/2017/richdata2" ref="A2:AA47">
    <sortCondition sortBy="cellColor" ref="A2:A47" dxfId="1"/>
    <sortCondition sortBy="cellColor" ref="A2:A47" dxfId="0"/>
    <sortCondition ref="M2:M4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8"/>
  <sheetViews>
    <sheetView workbookViewId="0">
      <selection activeCell="C2" sqref="C2:C48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 t="s">
        <v>31</v>
      </c>
      <c r="C2" t="s">
        <v>41</v>
      </c>
      <c r="D2" t="s">
        <v>88</v>
      </c>
      <c r="E2" t="s">
        <v>130</v>
      </c>
      <c r="F2" t="s">
        <v>173</v>
      </c>
      <c r="G2" t="s">
        <v>177</v>
      </c>
      <c r="H2" t="s">
        <v>179</v>
      </c>
      <c r="I2" t="s">
        <v>184</v>
      </c>
      <c r="J2" t="s">
        <v>189</v>
      </c>
      <c r="K2" t="s">
        <v>195</v>
      </c>
      <c r="L2" t="s">
        <v>220</v>
      </c>
      <c r="M2" t="s">
        <v>221</v>
      </c>
      <c r="N2" t="s">
        <v>223</v>
      </c>
      <c r="O2" t="s">
        <v>231</v>
      </c>
      <c r="P2" t="s">
        <v>259</v>
      </c>
      <c r="Q2" t="s">
        <v>231</v>
      </c>
      <c r="R2" t="s">
        <v>264</v>
      </c>
      <c r="S2" t="s">
        <v>274</v>
      </c>
      <c r="T2">
        <v>6.5</v>
      </c>
    </row>
    <row r="3" spans="1:20" x14ac:dyDescent="0.25">
      <c r="A3" t="s">
        <v>22</v>
      </c>
      <c r="B3" t="s">
        <v>32</v>
      </c>
      <c r="C3" t="s">
        <v>42</v>
      </c>
      <c r="D3" t="s">
        <v>89</v>
      </c>
      <c r="E3" t="s">
        <v>131</v>
      </c>
      <c r="F3" t="s">
        <v>173</v>
      </c>
      <c r="G3" t="s">
        <v>177</v>
      </c>
      <c r="H3" t="s">
        <v>179</v>
      </c>
      <c r="I3" t="s">
        <v>185</v>
      </c>
      <c r="J3" t="s">
        <v>190</v>
      </c>
      <c r="K3" t="s">
        <v>196</v>
      </c>
      <c r="L3" t="s">
        <v>220</v>
      </c>
      <c r="M3" t="s">
        <v>221</v>
      </c>
      <c r="N3" t="s">
        <v>224</v>
      </c>
      <c r="O3" t="s">
        <v>232</v>
      </c>
      <c r="P3" t="s">
        <v>259</v>
      </c>
      <c r="Q3" t="s">
        <v>232</v>
      </c>
      <c r="R3" t="s">
        <v>264</v>
      </c>
      <c r="S3" t="s">
        <v>274</v>
      </c>
      <c r="T3">
        <v>5.37</v>
      </c>
    </row>
    <row r="4" spans="1:20" x14ac:dyDescent="0.25">
      <c r="A4" t="s">
        <v>22</v>
      </c>
      <c r="B4" t="s">
        <v>32</v>
      </c>
      <c r="C4" t="s">
        <v>43</v>
      </c>
      <c r="D4" t="s">
        <v>90</v>
      </c>
      <c r="E4" t="s">
        <v>132</v>
      </c>
      <c r="F4" t="s">
        <v>173</v>
      </c>
      <c r="G4" t="s">
        <v>177</v>
      </c>
      <c r="H4" t="s">
        <v>179</v>
      </c>
      <c r="I4" t="s">
        <v>186</v>
      </c>
      <c r="J4" t="s">
        <v>191</v>
      </c>
      <c r="K4" t="s">
        <v>197</v>
      </c>
      <c r="L4" t="s">
        <v>220</v>
      </c>
      <c r="M4" t="s">
        <v>221</v>
      </c>
      <c r="N4" t="s">
        <v>225</v>
      </c>
      <c r="O4" t="s">
        <v>233</v>
      </c>
      <c r="P4" t="s">
        <v>259</v>
      </c>
      <c r="Q4" t="s">
        <v>233</v>
      </c>
      <c r="R4" t="s">
        <v>264</v>
      </c>
      <c r="S4" t="s">
        <v>274</v>
      </c>
      <c r="T4">
        <v>10.47</v>
      </c>
    </row>
    <row r="5" spans="1:20" x14ac:dyDescent="0.25">
      <c r="A5" t="s">
        <v>23</v>
      </c>
      <c r="B5" t="s">
        <v>33</v>
      </c>
      <c r="C5" t="s">
        <v>44</v>
      </c>
      <c r="D5" t="s">
        <v>91</v>
      </c>
      <c r="E5" t="s">
        <v>133</v>
      </c>
      <c r="F5" t="s">
        <v>173</v>
      </c>
      <c r="G5" t="s">
        <v>177</v>
      </c>
      <c r="H5" t="s">
        <v>179</v>
      </c>
      <c r="I5" t="s">
        <v>186</v>
      </c>
      <c r="J5" t="s">
        <v>189</v>
      </c>
      <c r="K5" t="s">
        <v>198</v>
      </c>
      <c r="L5" t="s">
        <v>220</v>
      </c>
      <c r="M5" t="s">
        <v>221</v>
      </c>
      <c r="N5" t="s">
        <v>223</v>
      </c>
      <c r="O5" t="s">
        <v>233</v>
      </c>
      <c r="P5" t="s">
        <v>259</v>
      </c>
      <c r="Q5" t="s">
        <v>233</v>
      </c>
      <c r="R5" t="s">
        <v>264</v>
      </c>
      <c r="S5" t="s">
        <v>274</v>
      </c>
      <c r="T5">
        <v>10.47</v>
      </c>
    </row>
    <row r="6" spans="1:20" x14ac:dyDescent="0.25">
      <c r="A6" t="s">
        <v>24</v>
      </c>
      <c r="B6" t="s">
        <v>34</v>
      </c>
      <c r="C6" t="s">
        <v>45</v>
      </c>
      <c r="D6" t="s">
        <v>92</v>
      </c>
      <c r="E6" t="s">
        <v>134</v>
      </c>
      <c r="F6" t="s">
        <v>174</v>
      </c>
      <c r="G6" t="s">
        <v>178</v>
      </c>
      <c r="H6" t="s">
        <v>180</v>
      </c>
      <c r="I6" t="s">
        <v>186</v>
      </c>
      <c r="J6" t="s">
        <v>189</v>
      </c>
      <c r="K6" t="s">
        <v>198</v>
      </c>
      <c r="L6" t="s">
        <v>220</v>
      </c>
      <c r="M6" t="s">
        <v>221</v>
      </c>
      <c r="N6" t="s">
        <v>226</v>
      </c>
      <c r="O6" t="s">
        <v>234</v>
      </c>
      <c r="P6" t="s">
        <v>259</v>
      </c>
      <c r="Q6" t="s">
        <v>234</v>
      </c>
      <c r="R6" t="s">
        <v>264</v>
      </c>
      <c r="S6" t="s">
        <v>275</v>
      </c>
      <c r="T6">
        <v>3.64</v>
      </c>
    </row>
    <row r="7" spans="1:20" x14ac:dyDescent="0.25">
      <c r="A7" t="s">
        <v>24</v>
      </c>
      <c r="B7" t="s">
        <v>34</v>
      </c>
      <c r="C7" t="s">
        <v>46</v>
      </c>
      <c r="D7" t="s">
        <v>93</v>
      </c>
      <c r="E7" t="s">
        <v>135</v>
      </c>
      <c r="F7" t="s">
        <v>174</v>
      </c>
      <c r="G7" t="s">
        <v>178</v>
      </c>
      <c r="H7" t="s">
        <v>180</v>
      </c>
      <c r="I7" t="s">
        <v>186</v>
      </c>
      <c r="J7" t="s">
        <v>189</v>
      </c>
      <c r="K7" t="s">
        <v>198</v>
      </c>
      <c r="L7" t="s">
        <v>220</v>
      </c>
      <c r="M7" t="s">
        <v>221</v>
      </c>
      <c r="N7" t="s">
        <v>223</v>
      </c>
      <c r="O7" t="s">
        <v>235</v>
      </c>
      <c r="P7" t="s">
        <v>259</v>
      </c>
      <c r="Q7" t="s">
        <v>235</v>
      </c>
      <c r="R7" t="s">
        <v>264</v>
      </c>
      <c r="S7" t="s">
        <v>275</v>
      </c>
      <c r="T7">
        <v>2.93</v>
      </c>
    </row>
    <row r="8" spans="1:20" x14ac:dyDescent="0.25">
      <c r="A8" t="s">
        <v>24</v>
      </c>
      <c r="B8" t="s">
        <v>34</v>
      </c>
      <c r="C8" t="s">
        <v>47</v>
      </c>
      <c r="D8" t="s">
        <v>94</v>
      </c>
      <c r="E8" t="s">
        <v>136</v>
      </c>
      <c r="F8" t="s">
        <v>175</v>
      </c>
      <c r="G8" t="s">
        <v>178</v>
      </c>
      <c r="H8" t="s">
        <v>180</v>
      </c>
      <c r="I8" t="s">
        <v>186</v>
      </c>
      <c r="J8" t="s">
        <v>189</v>
      </c>
      <c r="K8" t="s">
        <v>199</v>
      </c>
      <c r="L8" t="s">
        <v>220</v>
      </c>
      <c r="M8" t="s">
        <v>222</v>
      </c>
      <c r="N8" t="s">
        <v>227</v>
      </c>
      <c r="O8" t="s">
        <v>236</v>
      </c>
      <c r="P8" t="s">
        <v>259</v>
      </c>
      <c r="Q8" t="s">
        <v>260</v>
      </c>
      <c r="R8" t="s">
        <v>264</v>
      </c>
      <c r="S8" t="s">
        <v>276</v>
      </c>
      <c r="T8">
        <v>1.95</v>
      </c>
    </row>
    <row r="9" spans="1:20" x14ac:dyDescent="0.25">
      <c r="A9" t="s">
        <v>24</v>
      </c>
      <c r="B9" t="s">
        <v>34</v>
      </c>
      <c r="C9" t="s">
        <v>48</v>
      </c>
      <c r="D9" t="s">
        <v>95</v>
      </c>
      <c r="E9" t="s">
        <v>137</v>
      </c>
      <c r="F9" t="s">
        <v>174</v>
      </c>
      <c r="G9" t="s">
        <v>178</v>
      </c>
      <c r="H9" t="s">
        <v>180</v>
      </c>
      <c r="I9" t="s">
        <v>186</v>
      </c>
      <c r="J9" t="s">
        <v>189</v>
      </c>
      <c r="K9" t="s">
        <v>198</v>
      </c>
      <c r="L9" t="s">
        <v>220</v>
      </c>
      <c r="M9" t="s">
        <v>221</v>
      </c>
      <c r="N9" t="s">
        <v>223</v>
      </c>
      <c r="O9" t="s">
        <v>237</v>
      </c>
      <c r="P9" t="s">
        <v>259</v>
      </c>
      <c r="Q9" t="s">
        <v>237</v>
      </c>
      <c r="R9" t="s">
        <v>264</v>
      </c>
      <c r="S9" t="s">
        <v>275</v>
      </c>
      <c r="T9">
        <v>3.81</v>
      </c>
    </row>
    <row r="10" spans="1:20" x14ac:dyDescent="0.25">
      <c r="A10" t="s">
        <v>24</v>
      </c>
      <c r="B10" t="s">
        <v>34</v>
      </c>
      <c r="C10" t="s">
        <v>49</v>
      </c>
      <c r="D10" t="s">
        <v>96</v>
      </c>
      <c r="E10" t="s">
        <v>138</v>
      </c>
      <c r="F10" t="s">
        <v>174</v>
      </c>
      <c r="G10" t="s">
        <v>178</v>
      </c>
      <c r="H10" t="s">
        <v>180</v>
      </c>
      <c r="I10" t="s">
        <v>186</v>
      </c>
      <c r="J10" t="s">
        <v>189</v>
      </c>
      <c r="K10" t="s">
        <v>198</v>
      </c>
      <c r="L10" t="s">
        <v>220</v>
      </c>
      <c r="M10" t="s">
        <v>222</v>
      </c>
      <c r="N10" t="s">
        <v>224</v>
      </c>
      <c r="O10" t="s">
        <v>238</v>
      </c>
      <c r="P10" t="s">
        <v>259</v>
      </c>
      <c r="Q10" t="s">
        <v>238</v>
      </c>
      <c r="R10" t="s">
        <v>264</v>
      </c>
      <c r="S10" t="s">
        <v>276</v>
      </c>
      <c r="T10">
        <v>0.94</v>
      </c>
    </row>
    <row r="11" spans="1:20" x14ac:dyDescent="0.25">
      <c r="A11" t="s">
        <v>24</v>
      </c>
      <c r="B11" t="s">
        <v>34</v>
      </c>
      <c r="C11" t="s">
        <v>50</v>
      </c>
      <c r="D11" t="s">
        <v>97</v>
      </c>
      <c r="E11" t="s">
        <v>137</v>
      </c>
      <c r="F11" t="s">
        <v>174</v>
      </c>
      <c r="G11" t="s">
        <v>178</v>
      </c>
      <c r="H11" t="s">
        <v>180</v>
      </c>
      <c r="I11" t="s">
        <v>186</v>
      </c>
      <c r="J11" t="s">
        <v>189</v>
      </c>
      <c r="K11" t="s">
        <v>198</v>
      </c>
      <c r="L11" t="s">
        <v>220</v>
      </c>
      <c r="M11" t="s">
        <v>221</v>
      </c>
      <c r="N11" t="s">
        <v>223</v>
      </c>
      <c r="O11" t="s">
        <v>239</v>
      </c>
      <c r="P11" t="s">
        <v>259</v>
      </c>
      <c r="Q11" t="s">
        <v>239</v>
      </c>
      <c r="R11" t="s">
        <v>264</v>
      </c>
      <c r="S11" t="s">
        <v>275</v>
      </c>
      <c r="T11">
        <v>3.45</v>
      </c>
    </row>
    <row r="12" spans="1:20" x14ac:dyDescent="0.25">
      <c r="A12" t="s">
        <v>24</v>
      </c>
      <c r="B12" t="s">
        <v>34</v>
      </c>
      <c r="C12" t="s">
        <v>51</v>
      </c>
      <c r="D12" t="s">
        <v>98</v>
      </c>
      <c r="E12" t="s">
        <v>139</v>
      </c>
      <c r="F12" t="s">
        <v>174</v>
      </c>
      <c r="G12" t="s">
        <v>178</v>
      </c>
      <c r="H12" t="s">
        <v>180</v>
      </c>
      <c r="I12" t="s">
        <v>186</v>
      </c>
      <c r="J12" t="s">
        <v>189</v>
      </c>
      <c r="K12" t="s">
        <v>198</v>
      </c>
      <c r="L12" t="s">
        <v>220</v>
      </c>
      <c r="M12" t="s">
        <v>221</v>
      </c>
      <c r="N12" t="s">
        <v>223</v>
      </c>
      <c r="O12" t="s">
        <v>238</v>
      </c>
      <c r="P12" t="s">
        <v>259</v>
      </c>
      <c r="Q12" t="s">
        <v>238</v>
      </c>
      <c r="R12" t="s">
        <v>264</v>
      </c>
      <c r="S12" t="s">
        <v>275</v>
      </c>
      <c r="T12">
        <v>3.28</v>
      </c>
    </row>
    <row r="13" spans="1:20" x14ac:dyDescent="0.25">
      <c r="A13" t="s">
        <v>24</v>
      </c>
      <c r="B13" t="s">
        <v>34</v>
      </c>
      <c r="C13" t="s">
        <v>52</v>
      </c>
      <c r="D13" t="s">
        <v>99</v>
      </c>
      <c r="E13" t="s">
        <v>140</v>
      </c>
      <c r="F13" t="s">
        <v>174</v>
      </c>
      <c r="G13" t="s">
        <v>178</v>
      </c>
      <c r="H13" t="s">
        <v>180</v>
      </c>
      <c r="I13" t="s">
        <v>186</v>
      </c>
      <c r="J13" t="s">
        <v>189</v>
      </c>
      <c r="K13" t="s">
        <v>198</v>
      </c>
      <c r="L13" t="s">
        <v>220</v>
      </c>
      <c r="M13" t="s">
        <v>222</v>
      </c>
      <c r="N13" t="s">
        <v>225</v>
      </c>
      <c r="O13" t="s">
        <v>240</v>
      </c>
      <c r="P13" t="s">
        <v>259</v>
      </c>
      <c r="Q13" t="s">
        <v>240</v>
      </c>
      <c r="R13" t="s">
        <v>264</v>
      </c>
      <c r="S13" t="s">
        <v>277</v>
      </c>
      <c r="T13">
        <v>4.5199999999999996</v>
      </c>
    </row>
    <row r="14" spans="1:20" x14ac:dyDescent="0.25">
      <c r="A14" t="s">
        <v>25</v>
      </c>
      <c r="B14" t="s">
        <v>35</v>
      </c>
      <c r="C14" t="s">
        <v>53</v>
      </c>
      <c r="D14" t="s">
        <v>100</v>
      </c>
      <c r="E14" t="s">
        <v>141</v>
      </c>
      <c r="F14" t="s">
        <v>176</v>
      </c>
      <c r="G14" t="s">
        <v>177</v>
      </c>
      <c r="H14" t="s">
        <v>181</v>
      </c>
      <c r="I14" t="s">
        <v>185</v>
      </c>
      <c r="J14" t="s">
        <v>189</v>
      </c>
      <c r="K14" t="s">
        <v>198</v>
      </c>
      <c r="L14" t="s">
        <v>220</v>
      </c>
      <c r="M14" t="s">
        <v>221</v>
      </c>
      <c r="N14" t="s">
        <v>228</v>
      </c>
      <c r="O14" t="s">
        <v>232</v>
      </c>
      <c r="P14" t="s">
        <v>259</v>
      </c>
      <c r="Q14" t="s">
        <v>232</v>
      </c>
      <c r="R14" t="s">
        <v>264</v>
      </c>
      <c r="S14" t="s">
        <v>274</v>
      </c>
      <c r="T14">
        <v>5.37</v>
      </c>
    </row>
    <row r="15" spans="1:20" x14ac:dyDescent="0.25">
      <c r="A15" t="s">
        <v>25</v>
      </c>
      <c r="B15" t="s">
        <v>35</v>
      </c>
      <c r="C15" t="s">
        <v>54</v>
      </c>
      <c r="D15" t="s">
        <v>101</v>
      </c>
      <c r="E15" t="s">
        <v>142</v>
      </c>
      <c r="F15" t="s">
        <v>176</v>
      </c>
      <c r="G15" t="s">
        <v>177</v>
      </c>
      <c r="H15" t="s">
        <v>181</v>
      </c>
      <c r="I15" t="s">
        <v>187</v>
      </c>
      <c r="J15" t="s">
        <v>189</v>
      </c>
      <c r="K15" t="s">
        <v>200</v>
      </c>
      <c r="L15" t="s">
        <v>220</v>
      </c>
      <c r="M15" t="s">
        <v>221</v>
      </c>
      <c r="N15" t="s">
        <v>228</v>
      </c>
      <c r="O15" t="s">
        <v>241</v>
      </c>
      <c r="P15" t="s">
        <v>259</v>
      </c>
      <c r="Q15" t="s">
        <v>241</v>
      </c>
      <c r="R15" t="s">
        <v>264</v>
      </c>
      <c r="S15" t="s">
        <v>274</v>
      </c>
      <c r="T15">
        <v>6.22</v>
      </c>
    </row>
    <row r="16" spans="1:20" x14ac:dyDescent="0.25">
      <c r="A16" t="s">
        <v>25</v>
      </c>
      <c r="B16" t="s">
        <v>35</v>
      </c>
      <c r="C16" t="s">
        <v>55</v>
      </c>
      <c r="D16" t="s">
        <v>102</v>
      </c>
      <c r="E16" t="s">
        <v>143</v>
      </c>
      <c r="F16" t="s">
        <v>176</v>
      </c>
      <c r="G16" t="s">
        <v>177</v>
      </c>
      <c r="H16" t="s">
        <v>181</v>
      </c>
      <c r="I16" t="s">
        <v>186</v>
      </c>
      <c r="J16" t="s">
        <v>192</v>
      </c>
      <c r="K16" t="s">
        <v>196</v>
      </c>
      <c r="L16" t="s">
        <v>220</v>
      </c>
      <c r="M16" t="s">
        <v>221</v>
      </c>
      <c r="N16" t="s">
        <v>229</v>
      </c>
      <c r="O16" t="s">
        <v>242</v>
      </c>
      <c r="P16" t="s">
        <v>259</v>
      </c>
      <c r="Q16" t="s">
        <v>242</v>
      </c>
      <c r="R16" t="s">
        <v>264</v>
      </c>
      <c r="S16" t="s">
        <v>274</v>
      </c>
      <c r="T16">
        <v>12.13</v>
      </c>
    </row>
    <row r="17" spans="1:20" x14ac:dyDescent="0.25">
      <c r="A17" t="s">
        <v>25</v>
      </c>
      <c r="B17" t="s">
        <v>35</v>
      </c>
      <c r="C17" t="s">
        <v>56</v>
      </c>
      <c r="D17" t="s">
        <v>103</v>
      </c>
      <c r="E17" t="s">
        <v>144</v>
      </c>
      <c r="F17" t="s">
        <v>176</v>
      </c>
      <c r="G17" t="s">
        <v>177</v>
      </c>
      <c r="H17" t="s">
        <v>181</v>
      </c>
      <c r="I17" t="s">
        <v>186</v>
      </c>
      <c r="J17" t="s">
        <v>189</v>
      </c>
      <c r="K17" t="s">
        <v>201</v>
      </c>
      <c r="L17" t="s">
        <v>220</v>
      </c>
      <c r="M17" t="s">
        <v>221</v>
      </c>
      <c r="N17" t="s">
        <v>230</v>
      </c>
      <c r="O17" t="s">
        <v>243</v>
      </c>
      <c r="P17" t="s">
        <v>259</v>
      </c>
      <c r="Q17" t="s">
        <v>243</v>
      </c>
      <c r="R17" t="s">
        <v>264</v>
      </c>
      <c r="S17" t="s">
        <v>274</v>
      </c>
      <c r="T17">
        <v>19.579999999999998</v>
      </c>
    </row>
    <row r="18" spans="1:20" x14ac:dyDescent="0.25">
      <c r="A18" t="s">
        <v>25</v>
      </c>
      <c r="B18" t="s">
        <v>35</v>
      </c>
      <c r="C18" t="s">
        <v>57</v>
      </c>
      <c r="D18" t="s">
        <v>104</v>
      </c>
      <c r="E18" t="s">
        <v>145</v>
      </c>
      <c r="F18" t="s">
        <v>174</v>
      </c>
      <c r="G18" t="s">
        <v>178</v>
      </c>
      <c r="H18" t="s">
        <v>181</v>
      </c>
      <c r="I18" t="s">
        <v>186</v>
      </c>
      <c r="J18" t="s">
        <v>189</v>
      </c>
      <c r="K18" t="s">
        <v>202</v>
      </c>
      <c r="L18" t="s">
        <v>220</v>
      </c>
      <c r="M18" t="s">
        <v>222</v>
      </c>
      <c r="N18" t="s">
        <v>226</v>
      </c>
      <c r="O18" t="s">
        <v>244</v>
      </c>
      <c r="P18" t="s">
        <v>259</v>
      </c>
      <c r="Q18" t="s">
        <v>244</v>
      </c>
      <c r="R18" t="s">
        <v>264</v>
      </c>
      <c r="S18" t="s">
        <v>277</v>
      </c>
      <c r="T18">
        <v>7.4</v>
      </c>
    </row>
    <row r="19" spans="1:20" x14ac:dyDescent="0.25">
      <c r="A19" t="s">
        <v>25</v>
      </c>
      <c r="B19" t="s">
        <v>35</v>
      </c>
      <c r="C19" t="s">
        <v>58</v>
      </c>
      <c r="D19" t="s">
        <v>100</v>
      </c>
      <c r="E19" t="s">
        <v>145</v>
      </c>
      <c r="F19" t="s">
        <v>174</v>
      </c>
      <c r="G19" t="s">
        <v>178</v>
      </c>
      <c r="H19" t="s">
        <v>181</v>
      </c>
      <c r="I19" t="s">
        <v>186</v>
      </c>
      <c r="J19" t="s">
        <v>189</v>
      </c>
      <c r="K19" t="s">
        <v>203</v>
      </c>
      <c r="L19" t="s">
        <v>220</v>
      </c>
      <c r="M19" t="s">
        <v>222</v>
      </c>
      <c r="N19" t="s">
        <v>226</v>
      </c>
      <c r="O19" t="s">
        <v>245</v>
      </c>
      <c r="P19" t="s">
        <v>259</v>
      </c>
      <c r="Q19" t="s">
        <v>245</v>
      </c>
      <c r="R19" t="s">
        <v>264</v>
      </c>
      <c r="S19" t="s">
        <v>277</v>
      </c>
      <c r="T19">
        <v>9.4700000000000006</v>
      </c>
    </row>
    <row r="20" spans="1:20" x14ac:dyDescent="0.25">
      <c r="A20" t="s">
        <v>25</v>
      </c>
      <c r="B20" t="s">
        <v>35</v>
      </c>
      <c r="C20" t="s">
        <v>59</v>
      </c>
      <c r="D20" t="s">
        <v>105</v>
      </c>
      <c r="E20" t="s">
        <v>146</v>
      </c>
      <c r="F20" t="s">
        <v>176</v>
      </c>
      <c r="G20" t="s">
        <v>177</v>
      </c>
      <c r="H20" t="s">
        <v>181</v>
      </c>
      <c r="I20" t="s">
        <v>186</v>
      </c>
      <c r="J20" t="s">
        <v>189</v>
      </c>
      <c r="K20" t="s">
        <v>204</v>
      </c>
      <c r="L20" t="s">
        <v>220</v>
      </c>
      <c r="M20" t="s">
        <v>221</v>
      </c>
      <c r="N20" t="s">
        <v>230</v>
      </c>
      <c r="O20" t="s">
        <v>246</v>
      </c>
      <c r="P20" t="s">
        <v>259</v>
      </c>
      <c r="Q20" t="s">
        <v>246</v>
      </c>
      <c r="R20" t="s">
        <v>264</v>
      </c>
      <c r="S20" t="s">
        <v>274</v>
      </c>
      <c r="T20">
        <v>10.74</v>
      </c>
    </row>
    <row r="21" spans="1:20" x14ac:dyDescent="0.25">
      <c r="A21" t="s">
        <v>25</v>
      </c>
      <c r="B21" t="s">
        <v>35</v>
      </c>
      <c r="C21" t="s">
        <v>60</v>
      </c>
      <c r="D21" t="s">
        <v>106</v>
      </c>
      <c r="E21" t="s">
        <v>147</v>
      </c>
      <c r="F21" t="s">
        <v>174</v>
      </c>
      <c r="G21" t="s">
        <v>178</v>
      </c>
      <c r="H21" t="s">
        <v>181</v>
      </c>
      <c r="I21" t="s">
        <v>186</v>
      </c>
      <c r="J21" t="s">
        <v>189</v>
      </c>
      <c r="K21" t="s">
        <v>198</v>
      </c>
      <c r="L21" t="s">
        <v>220</v>
      </c>
      <c r="M21" t="s">
        <v>221</v>
      </c>
      <c r="N21" t="s">
        <v>224</v>
      </c>
      <c r="O21" t="s">
        <v>247</v>
      </c>
      <c r="P21" t="s">
        <v>259</v>
      </c>
      <c r="Q21" t="s">
        <v>247</v>
      </c>
      <c r="R21" t="s">
        <v>264</v>
      </c>
      <c r="S21" t="s">
        <v>275</v>
      </c>
      <c r="T21">
        <v>3.37</v>
      </c>
    </row>
    <row r="22" spans="1:20" x14ac:dyDescent="0.25">
      <c r="A22" t="s">
        <v>25</v>
      </c>
      <c r="B22" t="s">
        <v>35</v>
      </c>
      <c r="C22" t="s">
        <v>61</v>
      </c>
      <c r="D22" t="s">
        <v>107</v>
      </c>
      <c r="E22" t="s">
        <v>148</v>
      </c>
      <c r="F22" t="s">
        <v>176</v>
      </c>
      <c r="G22" t="s">
        <v>177</v>
      </c>
      <c r="H22" t="s">
        <v>181</v>
      </c>
      <c r="I22" t="s">
        <v>186</v>
      </c>
      <c r="J22" t="s">
        <v>189</v>
      </c>
      <c r="K22" t="s">
        <v>205</v>
      </c>
      <c r="L22" t="s">
        <v>220</v>
      </c>
      <c r="M22" t="s">
        <v>221</v>
      </c>
      <c r="N22" t="s">
        <v>230</v>
      </c>
      <c r="O22" t="s">
        <v>242</v>
      </c>
      <c r="P22" t="s">
        <v>259</v>
      </c>
      <c r="Q22" t="s">
        <v>242</v>
      </c>
      <c r="R22" t="s">
        <v>264</v>
      </c>
      <c r="S22" t="s">
        <v>274</v>
      </c>
      <c r="T22">
        <v>12.13</v>
      </c>
    </row>
    <row r="23" spans="1:20" x14ac:dyDescent="0.25">
      <c r="A23" t="s">
        <v>25</v>
      </c>
      <c r="B23" t="s">
        <v>35</v>
      </c>
      <c r="C23" t="s">
        <v>62</v>
      </c>
      <c r="D23" t="s">
        <v>108</v>
      </c>
      <c r="E23" t="s">
        <v>149</v>
      </c>
      <c r="F23" t="s">
        <v>176</v>
      </c>
      <c r="G23" t="s">
        <v>177</v>
      </c>
      <c r="H23" t="s">
        <v>181</v>
      </c>
      <c r="I23" t="s">
        <v>186</v>
      </c>
      <c r="J23" t="s">
        <v>189</v>
      </c>
      <c r="K23" t="s">
        <v>206</v>
      </c>
      <c r="L23" t="s">
        <v>220</v>
      </c>
      <c r="M23" t="s">
        <v>221</v>
      </c>
      <c r="N23" t="s">
        <v>226</v>
      </c>
      <c r="O23" t="s">
        <v>241</v>
      </c>
      <c r="P23" t="s">
        <v>259</v>
      </c>
      <c r="Q23" t="s">
        <v>241</v>
      </c>
      <c r="R23" t="s">
        <v>264</v>
      </c>
      <c r="S23" t="s">
        <v>274</v>
      </c>
      <c r="T23">
        <v>6.22</v>
      </c>
    </row>
    <row r="24" spans="1:20" x14ac:dyDescent="0.25">
      <c r="A24" t="s">
        <v>25</v>
      </c>
      <c r="B24" t="s">
        <v>35</v>
      </c>
      <c r="C24" t="s">
        <v>63</v>
      </c>
      <c r="D24" t="s">
        <v>109</v>
      </c>
      <c r="E24" t="s">
        <v>150</v>
      </c>
      <c r="F24" t="s">
        <v>176</v>
      </c>
      <c r="G24" t="s">
        <v>177</v>
      </c>
      <c r="H24" t="s">
        <v>181</v>
      </c>
      <c r="I24" t="s">
        <v>186</v>
      </c>
      <c r="J24" t="s">
        <v>189</v>
      </c>
      <c r="K24" t="s">
        <v>207</v>
      </c>
      <c r="L24" t="s">
        <v>220</v>
      </c>
      <c r="M24" t="s">
        <v>221</v>
      </c>
      <c r="N24" t="s">
        <v>224</v>
      </c>
      <c r="O24" t="s">
        <v>232</v>
      </c>
      <c r="P24" t="s">
        <v>259</v>
      </c>
      <c r="Q24" t="s">
        <v>232</v>
      </c>
      <c r="R24" t="s">
        <v>264</v>
      </c>
      <c r="S24" t="s">
        <v>274</v>
      </c>
      <c r="T24">
        <v>5.37</v>
      </c>
    </row>
    <row r="25" spans="1:20" x14ac:dyDescent="0.25">
      <c r="A25" t="s">
        <v>25</v>
      </c>
      <c r="B25" t="s">
        <v>35</v>
      </c>
      <c r="C25" t="s">
        <v>64</v>
      </c>
      <c r="D25" t="s">
        <v>110</v>
      </c>
      <c r="E25" t="s">
        <v>151</v>
      </c>
      <c r="F25" t="s">
        <v>176</v>
      </c>
      <c r="G25" t="s">
        <v>177</v>
      </c>
      <c r="H25" t="s">
        <v>181</v>
      </c>
      <c r="I25" t="s">
        <v>186</v>
      </c>
      <c r="J25" t="s">
        <v>189</v>
      </c>
      <c r="K25" t="s">
        <v>208</v>
      </c>
      <c r="L25" t="s">
        <v>220</v>
      </c>
      <c r="M25" t="s">
        <v>221</v>
      </c>
      <c r="N25" t="s">
        <v>226</v>
      </c>
      <c r="O25" t="s">
        <v>242</v>
      </c>
      <c r="P25" t="s">
        <v>259</v>
      </c>
      <c r="Q25" t="s">
        <v>242</v>
      </c>
      <c r="R25" t="s">
        <v>264</v>
      </c>
      <c r="S25" t="s">
        <v>274</v>
      </c>
      <c r="T25">
        <v>12.13</v>
      </c>
    </row>
    <row r="26" spans="1:20" x14ac:dyDescent="0.25">
      <c r="A26" t="s">
        <v>25</v>
      </c>
      <c r="B26" t="s">
        <v>35</v>
      </c>
      <c r="C26" t="s">
        <v>65</v>
      </c>
      <c r="D26" t="s">
        <v>98</v>
      </c>
      <c r="E26" t="s">
        <v>152</v>
      </c>
      <c r="F26" t="s">
        <v>176</v>
      </c>
      <c r="G26" t="s">
        <v>177</v>
      </c>
      <c r="H26" t="s">
        <v>181</v>
      </c>
      <c r="I26" t="s">
        <v>186</v>
      </c>
      <c r="J26" t="s">
        <v>189</v>
      </c>
      <c r="K26" t="s">
        <v>205</v>
      </c>
      <c r="L26" t="s">
        <v>220</v>
      </c>
      <c r="M26" t="s">
        <v>221</v>
      </c>
      <c r="N26" t="s">
        <v>230</v>
      </c>
      <c r="O26" t="s">
        <v>241</v>
      </c>
      <c r="P26" t="s">
        <v>259</v>
      </c>
      <c r="Q26" t="s">
        <v>241</v>
      </c>
      <c r="R26" t="s">
        <v>264</v>
      </c>
      <c r="S26" t="s">
        <v>274</v>
      </c>
      <c r="T26">
        <v>6.22</v>
      </c>
    </row>
    <row r="27" spans="1:20" x14ac:dyDescent="0.25">
      <c r="A27" t="s">
        <v>25</v>
      </c>
      <c r="B27" t="s">
        <v>35</v>
      </c>
      <c r="C27" t="s">
        <v>66</v>
      </c>
      <c r="D27" t="s">
        <v>106</v>
      </c>
      <c r="E27" t="s">
        <v>153</v>
      </c>
      <c r="F27" t="s">
        <v>176</v>
      </c>
      <c r="G27" t="s">
        <v>177</v>
      </c>
      <c r="H27" t="s">
        <v>181</v>
      </c>
      <c r="I27" t="s">
        <v>186</v>
      </c>
      <c r="J27" t="s">
        <v>189</v>
      </c>
      <c r="K27" t="s">
        <v>209</v>
      </c>
      <c r="L27" t="s">
        <v>220</v>
      </c>
      <c r="M27" t="s">
        <v>221</v>
      </c>
      <c r="N27" t="s">
        <v>226</v>
      </c>
      <c r="O27" t="s">
        <v>248</v>
      </c>
      <c r="P27" t="s">
        <v>259</v>
      </c>
      <c r="Q27" t="s">
        <v>248</v>
      </c>
      <c r="R27" t="s">
        <v>264</v>
      </c>
      <c r="S27" t="s">
        <v>274</v>
      </c>
      <c r="T27">
        <v>5.31</v>
      </c>
    </row>
    <row r="28" spans="1:20" x14ac:dyDescent="0.25">
      <c r="A28" t="s">
        <v>25</v>
      </c>
      <c r="B28" t="s">
        <v>35</v>
      </c>
      <c r="C28" t="s">
        <v>67</v>
      </c>
      <c r="D28" t="s">
        <v>111</v>
      </c>
      <c r="E28" t="s">
        <v>154</v>
      </c>
      <c r="F28" t="s">
        <v>176</v>
      </c>
      <c r="G28" t="s">
        <v>177</v>
      </c>
      <c r="H28" t="s">
        <v>181</v>
      </c>
      <c r="I28" t="s">
        <v>186</v>
      </c>
      <c r="J28" t="s">
        <v>189</v>
      </c>
      <c r="K28" t="s">
        <v>205</v>
      </c>
      <c r="L28" t="s">
        <v>220</v>
      </c>
      <c r="M28" t="s">
        <v>221</v>
      </c>
      <c r="N28" t="s">
        <v>226</v>
      </c>
      <c r="O28" t="s">
        <v>242</v>
      </c>
      <c r="P28" t="s">
        <v>259</v>
      </c>
      <c r="Q28" t="s">
        <v>242</v>
      </c>
      <c r="R28" t="s">
        <v>264</v>
      </c>
      <c r="S28" t="s">
        <v>274</v>
      </c>
      <c r="T28">
        <v>12.13</v>
      </c>
    </row>
    <row r="29" spans="1:20" x14ac:dyDescent="0.25">
      <c r="A29" t="s">
        <v>25</v>
      </c>
      <c r="B29" t="s">
        <v>35</v>
      </c>
      <c r="C29" t="s">
        <v>68</v>
      </c>
      <c r="D29" t="s">
        <v>112</v>
      </c>
      <c r="E29" t="s">
        <v>155</v>
      </c>
      <c r="F29" t="s">
        <v>176</v>
      </c>
      <c r="G29" t="s">
        <v>177</v>
      </c>
      <c r="H29" t="s">
        <v>181</v>
      </c>
      <c r="I29" t="s">
        <v>186</v>
      </c>
      <c r="J29" t="s">
        <v>189</v>
      </c>
      <c r="K29" t="s">
        <v>210</v>
      </c>
      <c r="L29" t="s">
        <v>220</v>
      </c>
      <c r="M29" t="s">
        <v>221</v>
      </c>
      <c r="N29" t="s">
        <v>230</v>
      </c>
      <c r="O29" t="s">
        <v>242</v>
      </c>
      <c r="P29" t="s">
        <v>259</v>
      </c>
      <c r="Q29" t="s">
        <v>242</v>
      </c>
      <c r="R29" t="s">
        <v>264</v>
      </c>
      <c r="S29" t="s">
        <v>274</v>
      </c>
      <c r="T29">
        <v>12.13</v>
      </c>
    </row>
    <row r="30" spans="1:20" x14ac:dyDescent="0.25">
      <c r="A30" t="s">
        <v>25</v>
      </c>
      <c r="B30" t="s">
        <v>35</v>
      </c>
      <c r="C30" t="s">
        <v>69</v>
      </c>
      <c r="D30" t="s">
        <v>113</v>
      </c>
      <c r="E30" t="s">
        <v>156</v>
      </c>
      <c r="F30" t="s">
        <v>176</v>
      </c>
      <c r="G30" t="s">
        <v>177</v>
      </c>
      <c r="H30" t="s">
        <v>181</v>
      </c>
      <c r="I30" t="s">
        <v>186</v>
      </c>
      <c r="J30" t="s">
        <v>189</v>
      </c>
      <c r="K30" t="s">
        <v>207</v>
      </c>
      <c r="L30" t="s">
        <v>220</v>
      </c>
      <c r="M30" t="s">
        <v>221</v>
      </c>
      <c r="N30" t="s">
        <v>224</v>
      </c>
      <c r="O30" t="s">
        <v>232</v>
      </c>
      <c r="P30" t="s">
        <v>259</v>
      </c>
      <c r="Q30" t="s">
        <v>232</v>
      </c>
      <c r="R30" t="s">
        <v>264</v>
      </c>
      <c r="S30" t="s">
        <v>274</v>
      </c>
      <c r="T30">
        <v>5.37</v>
      </c>
    </row>
    <row r="31" spans="1:20" x14ac:dyDescent="0.25">
      <c r="A31" t="s">
        <v>25</v>
      </c>
      <c r="B31" t="s">
        <v>35</v>
      </c>
      <c r="C31" t="s">
        <v>70</v>
      </c>
      <c r="D31" t="s">
        <v>114</v>
      </c>
      <c r="E31" t="s">
        <v>157</v>
      </c>
      <c r="F31" t="s">
        <v>176</v>
      </c>
      <c r="G31" t="s">
        <v>177</v>
      </c>
      <c r="H31" t="s">
        <v>181</v>
      </c>
      <c r="I31" t="s">
        <v>186</v>
      </c>
      <c r="J31" t="s">
        <v>189</v>
      </c>
      <c r="K31" t="s">
        <v>211</v>
      </c>
      <c r="L31" t="s">
        <v>220</v>
      </c>
      <c r="M31" t="s">
        <v>221</v>
      </c>
      <c r="N31" t="s">
        <v>226</v>
      </c>
      <c r="O31" t="s">
        <v>243</v>
      </c>
      <c r="P31" t="s">
        <v>259</v>
      </c>
      <c r="Q31" t="s">
        <v>243</v>
      </c>
      <c r="R31" t="s">
        <v>264</v>
      </c>
      <c r="S31" t="s">
        <v>274</v>
      </c>
      <c r="T31">
        <v>19.579999999999998</v>
      </c>
    </row>
    <row r="32" spans="1:20" x14ac:dyDescent="0.25">
      <c r="A32" t="s">
        <v>25</v>
      </c>
      <c r="B32" t="s">
        <v>35</v>
      </c>
      <c r="C32" t="s">
        <v>71</v>
      </c>
      <c r="D32" t="s">
        <v>115</v>
      </c>
      <c r="E32" t="s">
        <v>158</v>
      </c>
      <c r="F32" t="s">
        <v>176</v>
      </c>
      <c r="G32" t="s">
        <v>177</v>
      </c>
      <c r="H32" t="s">
        <v>181</v>
      </c>
      <c r="I32" t="s">
        <v>186</v>
      </c>
      <c r="J32" t="s">
        <v>189</v>
      </c>
      <c r="K32" t="s">
        <v>212</v>
      </c>
      <c r="L32" t="s">
        <v>220</v>
      </c>
      <c r="M32" t="s">
        <v>222</v>
      </c>
      <c r="N32" t="s">
        <v>226</v>
      </c>
      <c r="O32" t="s">
        <v>242</v>
      </c>
      <c r="P32" t="s">
        <v>259</v>
      </c>
      <c r="Q32" t="s">
        <v>242</v>
      </c>
      <c r="R32" t="s">
        <v>264</v>
      </c>
      <c r="S32" t="s">
        <v>274</v>
      </c>
      <c r="T32">
        <v>12.13</v>
      </c>
    </row>
    <row r="33" spans="1:20" x14ac:dyDescent="0.25">
      <c r="A33" t="s">
        <v>25</v>
      </c>
      <c r="B33" t="s">
        <v>35</v>
      </c>
      <c r="C33" t="s">
        <v>72</v>
      </c>
      <c r="D33" t="s">
        <v>116</v>
      </c>
      <c r="E33" t="s">
        <v>159</v>
      </c>
      <c r="F33" t="s">
        <v>176</v>
      </c>
      <c r="G33" t="s">
        <v>177</v>
      </c>
      <c r="H33" t="s">
        <v>181</v>
      </c>
      <c r="I33" t="s">
        <v>186</v>
      </c>
      <c r="J33" t="s">
        <v>189</v>
      </c>
      <c r="K33" t="s">
        <v>213</v>
      </c>
      <c r="L33" t="s">
        <v>220</v>
      </c>
      <c r="M33" t="s">
        <v>221</v>
      </c>
      <c r="N33" t="s">
        <v>226</v>
      </c>
      <c r="O33" t="s">
        <v>241</v>
      </c>
      <c r="P33" t="s">
        <v>259</v>
      </c>
      <c r="Q33" t="s">
        <v>241</v>
      </c>
      <c r="R33" t="s">
        <v>264</v>
      </c>
      <c r="S33" t="s">
        <v>274</v>
      </c>
      <c r="T33">
        <v>6.22</v>
      </c>
    </row>
    <row r="34" spans="1:20" x14ac:dyDescent="0.25">
      <c r="A34" t="s">
        <v>25</v>
      </c>
      <c r="B34" t="s">
        <v>35</v>
      </c>
      <c r="C34" t="s">
        <v>73</v>
      </c>
      <c r="D34" t="s">
        <v>117</v>
      </c>
      <c r="E34" t="s">
        <v>160</v>
      </c>
      <c r="F34" t="s">
        <v>174</v>
      </c>
      <c r="G34" t="s">
        <v>178</v>
      </c>
      <c r="H34" t="s">
        <v>181</v>
      </c>
      <c r="I34" t="s">
        <v>186</v>
      </c>
      <c r="J34" t="s">
        <v>189</v>
      </c>
      <c r="K34" t="s">
        <v>214</v>
      </c>
      <c r="L34" t="s">
        <v>220</v>
      </c>
      <c r="M34" t="s">
        <v>222</v>
      </c>
      <c r="N34" t="s">
        <v>229</v>
      </c>
      <c r="O34" t="s">
        <v>249</v>
      </c>
      <c r="P34" t="s">
        <v>259</v>
      </c>
      <c r="Q34" t="s">
        <v>261</v>
      </c>
      <c r="R34" t="s">
        <v>264</v>
      </c>
      <c r="S34" t="s">
        <v>277</v>
      </c>
      <c r="T34">
        <v>6.67</v>
      </c>
    </row>
    <row r="35" spans="1:20" x14ac:dyDescent="0.25">
      <c r="A35" t="s">
        <v>25</v>
      </c>
      <c r="B35" t="s">
        <v>35</v>
      </c>
      <c r="C35" t="s">
        <v>74</v>
      </c>
      <c r="D35" t="s">
        <v>118</v>
      </c>
      <c r="E35" t="s">
        <v>161</v>
      </c>
      <c r="F35" t="s">
        <v>176</v>
      </c>
      <c r="G35" t="s">
        <v>177</v>
      </c>
      <c r="H35" t="s">
        <v>181</v>
      </c>
      <c r="I35" t="s">
        <v>186</v>
      </c>
      <c r="J35" t="s">
        <v>189</v>
      </c>
      <c r="K35" t="s">
        <v>215</v>
      </c>
      <c r="L35" t="s">
        <v>220</v>
      </c>
      <c r="M35" t="s">
        <v>221</v>
      </c>
      <c r="N35" t="s">
        <v>230</v>
      </c>
      <c r="O35" t="s">
        <v>241</v>
      </c>
      <c r="P35" t="s">
        <v>259</v>
      </c>
      <c r="Q35" t="s">
        <v>241</v>
      </c>
      <c r="R35" t="s">
        <v>264</v>
      </c>
      <c r="S35" t="s">
        <v>274</v>
      </c>
      <c r="T35">
        <v>6.22</v>
      </c>
    </row>
    <row r="36" spans="1:20" x14ac:dyDescent="0.25">
      <c r="A36" t="s">
        <v>25</v>
      </c>
      <c r="B36" t="s">
        <v>35</v>
      </c>
      <c r="C36" t="s">
        <v>75</v>
      </c>
      <c r="D36" t="s">
        <v>119</v>
      </c>
      <c r="E36" t="s">
        <v>162</v>
      </c>
      <c r="F36" t="s">
        <v>176</v>
      </c>
      <c r="G36" t="s">
        <v>177</v>
      </c>
      <c r="H36" t="s">
        <v>181</v>
      </c>
      <c r="I36" t="s">
        <v>186</v>
      </c>
      <c r="J36" t="s">
        <v>193</v>
      </c>
      <c r="K36" t="s">
        <v>212</v>
      </c>
      <c r="L36" t="s">
        <v>220</v>
      </c>
      <c r="M36" t="s">
        <v>221</v>
      </c>
      <c r="N36" t="s">
        <v>223</v>
      </c>
      <c r="O36" t="s">
        <v>241</v>
      </c>
      <c r="P36" t="s">
        <v>259</v>
      </c>
      <c r="Q36" t="s">
        <v>241</v>
      </c>
      <c r="R36" t="s">
        <v>264</v>
      </c>
      <c r="S36" t="s">
        <v>274</v>
      </c>
      <c r="T36">
        <v>6.22</v>
      </c>
    </row>
    <row r="37" spans="1:20" x14ac:dyDescent="0.25">
      <c r="A37" t="s">
        <v>25</v>
      </c>
      <c r="B37" t="s">
        <v>35</v>
      </c>
      <c r="C37" t="s">
        <v>76</v>
      </c>
      <c r="D37" t="s">
        <v>120</v>
      </c>
      <c r="E37" t="s">
        <v>163</v>
      </c>
      <c r="F37" t="s">
        <v>176</v>
      </c>
      <c r="G37" t="s">
        <v>177</v>
      </c>
      <c r="H37" t="s">
        <v>181</v>
      </c>
      <c r="I37" t="s">
        <v>186</v>
      </c>
      <c r="J37" t="s">
        <v>189</v>
      </c>
      <c r="K37" t="s">
        <v>207</v>
      </c>
      <c r="L37" t="s">
        <v>220</v>
      </c>
      <c r="M37" t="s">
        <v>221</v>
      </c>
      <c r="N37" t="s">
        <v>230</v>
      </c>
      <c r="O37" t="s">
        <v>241</v>
      </c>
      <c r="P37" t="s">
        <v>259</v>
      </c>
      <c r="Q37" t="s">
        <v>241</v>
      </c>
      <c r="R37" t="s">
        <v>264</v>
      </c>
      <c r="S37" t="s">
        <v>274</v>
      </c>
      <c r="T37">
        <v>6.22</v>
      </c>
    </row>
    <row r="38" spans="1:20" x14ac:dyDescent="0.25">
      <c r="A38" t="s">
        <v>25</v>
      </c>
      <c r="B38" t="s">
        <v>35</v>
      </c>
      <c r="C38" t="s">
        <v>77</v>
      </c>
      <c r="D38" t="s">
        <v>115</v>
      </c>
      <c r="E38" t="s">
        <v>160</v>
      </c>
      <c r="F38" t="s">
        <v>174</v>
      </c>
      <c r="G38" t="s">
        <v>178</v>
      </c>
      <c r="H38" t="s">
        <v>181</v>
      </c>
      <c r="I38" t="s">
        <v>186</v>
      </c>
      <c r="J38" t="s">
        <v>189</v>
      </c>
      <c r="K38" t="s">
        <v>216</v>
      </c>
      <c r="L38" t="s">
        <v>220</v>
      </c>
      <c r="M38" t="s">
        <v>222</v>
      </c>
      <c r="N38" t="s">
        <v>229</v>
      </c>
      <c r="O38" t="s">
        <v>250</v>
      </c>
      <c r="P38" t="s">
        <v>259</v>
      </c>
      <c r="Q38" t="s">
        <v>262</v>
      </c>
      <c r="R38" t="s">
        <v>264</v>
      </c>
      <c r="S38" t="s">
        <v>277</v>
      </c>
      <c r="T38">
        <v>5.84</v>
      </c>
    </row>
    <row r="39" spans="1:20" x14ac:dyDescent="0.25">
      <c r="A39" t="s">
        <v>26</v>
      </c>
      <c r="B39" t="s">
        <v>36</v>
      </c>
      <c r="C39" t="s">
        <v>78</v>
      </c>
      <c r="D39" t="s">
        <v>121</v>
      </c>
      <c r="E39" t="s">
        <v>164</v>
      </c>
      <c r="F39" t="s">
        <v>176</v>
      </c>
      <c r="G39" t="s">
        <v>177</v>
      </c>
      <c r="H39" t="s">
        <v>182</v>
      </c>
      <c r="I39" t="s">
        <v>186</v>
      </c>
      <c r="J39" t="s">
        <v>189</v>
      </c>
      <c r="K39" t="s">
        <v>200</v>
      </c>
      <c r="L39" t="s">
        <v>220</v>
      </c>
      <c r="M39" t="s">
        <v>221</v>
      </c>
      <c r="N39" t="s">
        <v>227</v>
      </c>
      <c r="O39" t="s">
        <v>251</v>
      </c>
      <c r="P39" t="s">
        <v>259</v>
      </c>
      <c r="Q39" t="s">
        <v>251</v>
      </c>
      <c r="R39" t="s">
        <v>264</v>
      </c>
      <c r="S39" t="s">
        <v>274</v>
      </c>
      <c r="T39">
        <v>4.53</v>
      </c>
    </row>
    <row r="40" spans="1:20" x14ac:dyDescent="0.25">
      <c r="A40" t="s">
        <v>26</v>
      </c>
      <c r="B40" t="s">
        <v>36</v>
      </c>
      <c r="C40" t="s">
        <v>79</v>
      </c>
      <c r="D40" t="s">
        <v>122</v>
      </c>
      <c r="E40" t="s">
        <v>165</v>
      </c>
      <c r="F40" t="s">
        <v>176</v>
      </c>
      <c r="G40" t="s">
        <v>177</v>
      </c>
      <c r="H40" t="s">
        <v>182</v>
      </c>
      <c r="I40" t="s">
        <v>186</v>
      </c>
      <c r="J40" t="s">
        <v>189</v>
      </c>
      <c r="K40" t="s">
        <v>198</v>
      </c>
      <c r="L40" t="s">
        <v>220</v>
      </c>
      <c r="M40" t="s">
        <v>221</v>
      </c>
      <c r="N40" t="s">
        <v>226</v>
      </c>
      <c r="O40" t="s">
        <v>232</v>
      </c>
      <c r="P40" t="s">
        <v>259</v>
      </c>
      <c r="Q40" t="s">
        <v>232</v>
      </c>
      <c r="R40" t="s">
        <v>264</v>
      </c>
      <c r="S40" t="s">
        <v>274</v>
      </c>
      <c r="T40">
        <v>5.37</v>
      </c>
    </row>
    <row r="41" spans="1:20" x14ac:dyDescent="0.25">
      <c r="A41" t="s">
        <v>27</v>
      </c>
      <c r="B41" t="s">
        <v>37</v>
      </c>
      <c r="C41" t="s">
        <v>80</v>
      </c>
      <c r="D41" t="s">
        <v>123</v>
      </c>
      <c r="E41" t="s">
        <v>166</v>
      </c>
      <c r="F41" t="s">
        <v>174</v>
      </c>
      <c r="G41" t="s">
        <v>178</v>
      </c>
      <c r="H41" t="s">
        <v>181</v>
      </c>
      <c r="I41" t="s">
        <v>186</v>
      </c>
      <c r="J41" t="s">
        <v>189</v>
      </c>
      <c r="K41" t="s">
        <v>217</v>
      </c>
      <c r="L41" t="s">
        <v>220</v>
      </c>
      <c r="M41" t="s">
        <v>222</v>
      </c>
      <c r="N41" t="s">
        <v>225</v>
      </c>
      <c r="O41" t="s">
        <v>252</v>
      </c>
      <c r="P41" t="s">
        <v>259</v>
      </c>
      <c r="Q41" t="s">
        <v>252</v>
      </c>
      <c r="R41" t="s">
        <v>264</v>
      </c>
      <c r="S41" t="s">
        <v>277</v>
      </c>
      <c r="T41">
        <v>6.77</v>
      </c>
    </row>
    <row r="42" spans="1:20" x14ac:dyDescent="0.25">
      <c r="A42" t="s">
        <v>28</v>
      </c>
      <c r="B42" t="s">
        <v>38</v>
      </c>
      <c r="C42" t="s">
        <v>81</v>
      </c>
      <c r="D42" t="s">
        <v>124</v>
      </c>
      <c r="E42" t="s">
        <v>167</v>
      </c>
      <c r="F42" t="s">
        <v>174</v>
      </c>
      <c r="G42" t="s">
        <v>178</v>
      </c>
      <c r="H42" t="s">
        <v>183</v>
      </c>
      <c r="I42" t="s">
        <v>188</v>
      </c>
      <c r="J42" t="s">
        <v>194</v>
      </c>
      <c r="K42" t="s">
        <v>198</v>
      </c>
      <c r="L42" t="s">
        <v>220</v>
      </c>
      <c r="M42" t="s">
        <v>221</v>
      </c>
      <c r="N42" t="s">
        <v>228</v>
      </c>
      <c r="O42" t="s">
        <v>253</v>
      </c>
      <c r="P42" t="s">
        <v>259</v>
      </c>
      <c r="Q42" t="s">
        <v>253</v>
      </c>
      <c r="R42" t="s">
        <v>264</v>
      </c>
      <c r="S42" t="s">
        <v>275</v>
      </c>
      <c r="T42">
        <v>4.9400000000000004</v>
      </c>
    </row>
    <row r="43" spans="1:20" x14ac:dyDescent="0.25">
      <c r="A43" t="s">
        <v>28</v>
      </c>
      <c r="B43" t="s">
        <v>38</v>
      </c>
      <c r="C43" t="s">
        <v>82</v>
      </c>
      <c r="D43" t="s">
        <v>125</v>
      </c>
      <c r="E43" t="s">
        <v>168</v>
      </c>
      <c r="F43" t="s">
        <v>174</v>
      </c>
      <c r="G43" t="s">
        <v>178</v>
      </c>
      <c r="H43" t="s">
        <v>183</v>
      </c>
      <c r="I43" t="s">
        <v>186</v>
      </c>
      <c r="J43" t="s">
        <v>189</v>
      </c>
      <c r="K43" t="s">
        <v>201</v>
      </c>
      <c r="L43" t="s">
        <v>220</v>
      </c>
      <c r="M43" t="s">
        <v>221</v>
      </c>
      <c r="N43" t="s">
        <v>226</v>
      </c>
      <c r="O43" t="s">
        <v>254</v>
      </c>
      <c r="P43" t="s">
        <v>259</v>
      </c>
      <c r="Q43" t="s">
        <v>263</v>
      </c>
      <c r="R43" t="s">
        <v>264</v>
      </c>
      <c r="S43" t="s">
        <v>276</v>
      </c>
      <c r="T43">
        <v>1.34</v>
      </c>
    </row>
    <row r="44" spans="1:20" x14ac:dyDescent="0.25">
      <c r="A44" t="s">
        <v>28</v>
      </c>
      <c r="B44" t="s">
        <v>38</v>
      </c>
      <c r="C44" t="s">
        <v>83</v>
      </c>
      <c r="D44" t="s">
        <v>126</v>
      </c>
      <c r="E44" t="s">
        <v>167</v>
      </c>
      <c r="F44" t="s">
        <v>174</v>
      </c>
      <c r="G44" t="s">
        <v>178</v>
      </c>
      <c r="H44" t="s">
        <v>183</v>
      </c>
      <c r="I44" t="s">
        <v>186</v>
      </c>
      <c r="J44" t="s">
        <v>189</v>
      </c>
      <c r="K44" t="s">
        <v>198</v>
      </c>
      <c r="L44" t="s">
        <v>220</v>
      </c>
      <c r="M44" t="s">
        <v>221</v>
      </c>
      <c r="N44" t="s">
        <v>230</v>
      </c>
      <c r="O44" t="s">
        <v>255</v>
      </c>
      <c r="P44" t="s">
        <v>259</v>
      </c>
      <c r="Q44" t="s">
        <v>255</v>
      </c>
      <c r="R44" t="s">
        <v>264</v>
      </c>
      <c r="S44" t="s">
        <v>275</v>
      </c>
      <c r="T44">
        <v>4.5</v>
      </c>
    </row>
    <row r="45" spans="1:20" x14ac:dyDescent="0.25">
      <c r="A45" t="s">
        <v>28</v>
      </c>
      <c r="B45" t="s">
        <v>38</v>
      </c>
      <c r="C45" t="s">
        <v>84</v>
      </c>
      <c r="D45" t="s">
        <v>127</v>
      </c>
      <c r="E45" t="s">
        <v>169</v>
      </c>
      <c r="F45" t="s">
        <v>176</v>
      </c>
      <c r="G45" t="s">
        <v>177</v>
      </c>
      <c r="H45" t="s">
        <v>183</v>
      </c>
      <c r="I45" t="s">
        <v>186</v>
      </c>
      <c r="J45" t="s">
        <v>189</v>
      </c>
      <c r="K45" t="s">
        <v>218</v>
      </c>
      <c r="L45" t="s">
        <v>220</v>
      </c>
      <c r="M45" t="s">
        <v>221</v>
      </c>
      <c r="N45" t="s">
        <v>227</v>
      </c>
      <c r="O45" t="s">
        <v>232</v>
      </c>
      <c r="P45" t="s">
        <v>259</v>
      </c>
      <c r="Q45" t="s">
        <v>232</v>
      </c>
      <c r="R45" t="s">
        <v>264</v>
      </c>
      <c r="S45" t="s">
        <v>274</v>
      </c>
      <c r="T45">
        <v>5.37</v>
      </c>
    </row>
    <row r="46" spans="1:20" x14ac:dyDescent="0.25">
      <c r="A46" t="s">
        <v>28</v>
      </c>
      <c r="B46" t="s">
        <v>38</v>
      </c>
      <c r="C46" t="s">
        <v>85</v>
      </c>
      <c r="D46" t="s">
        <v>88</v>
      </c>
      <c r="E46" t="s">
        <v>170</v>
      </c>
      <c r="F46" t="s">
        <v>174</v>
      </c>
      <c r="G46" t="s">
        <v>178</v>
      </c>
      <c r="H46" t="s">
        <v>183</v>
      </c>
      <c r="I46" t="s">
        <v>186</v>
      </c>
      <c r="J46" t="s">
        <v>189</v>
      </c>
      <c r="K46" t="s">
        <v>219</v>
      </c>
      <c r="L46" t="s">
        <v>220</v>
      </c>
      <c r="M46" t="s">
        <v>222</v>
      </c>
      <c r="N46" t="s">
        <v>230</v>
      </c>
      <c r="O46" t="s">
        <v>256</v>
      </c>
      <c r="P46" t="s">
        <v>259</v>
      </c>
      <c r="Q46" t="s">
        <v>256</v>
      </c>
      <c r="R46" t="s">
        <v>264</v>
      </c>
      <c r="S46" t="s">
        <v>277</v>
      </c>
      <c r="T46">
        <v>9.2899999999999991</v>
      </c>
    </row>
    <row r="47" spans="1:20" x14ac:dyDescent="0.25">
      <c r="A47" t="s">
        <v>29</v>
      </c>
      <c r="B47" t="s">
        <v>39</v>
      </c>
      <c r="C47" t="s">
        <v>86</v>
      </c>
      <c r="D47" t="s">
        <v>128</v>
      </c>
      <c r="E47" t="s">
        <v>171</v>
      </c>
      <c r="F47" t="s">
        <v>174</v>
      </c>
      <c r="G47" t="s">
        <v>178</v>
      </c>
      <c r="H47" t="s">
        <v>181</v>
      </c>
      <c r="I47" t="s">
        <v>186</v>
      </c>
      <c r="J47" t="s">
        <v>189</v>
      </c>
      <c r="K47" t="s">
        <v>198</v>
      </c>
      <c r="L47" t="s">
        <v>220</v>
      </c>
      <c r="M47" t="s">
        <v>221</v>
      </c>
      <c r="N47" t="s">
        <v>223</v>
      </c>
      <c r="O47" t="s">
        <v>257</v>
      </c>
      <c r="P47" t="s">
        <v>259</v>
      </c>
      <c r="Q47" t="s">
        <v>257</v>
      </c>
      <c r="R47" t="s">
        <v>264</v>
      </c>
      <c r="S47" t="s">
        <v>275</v>
      </c>
      <c r="T47">
        <v>3.27</v>
      </c>
    </row>
    <row r="48" spans="1:20" x14ac:dyDescent="0.25">
      <c r="A48" t="s">
        <v>30</v>
      </c>
      <c r="B48" t="s">
        <v>40</v>
      </c>
      <c r="C48" t="s">
        <v>87</v>
      </c>
      <c r="D48" t="s">
        <v>129</v>
      </c>
      <c r="E48" t="s">
        <v>172</v>
      </c>
      <c r="F48" t="s">
        <v>174</v>
      </c>
      <c r="G48" t="s">
        <v>178</v>
      </c>
      <c r="H48" t="s">
        <v>181</v>
      </c>
      <c r="I48" t="s">
        <v>186</v>
      </c>
      <c r="J48" t="s">
        <v>189</v>
      </c>
      <c r="K48" t="s">
        <v>219</v>
      </c>
      <c r="L48" t="s">
        <v>220</v>
      </c>
      <c r="M48" t="s">
        <v>222</v>
      </c>
      <c r="N48" t="s">
        <v>225</v>
      </c>
      <c r="O48" t="s">
        <v>258</v>
      </c>
      <c r="P48" t="s">
        <v>259</v>
      </c>
      <c r="Q48" t="s">
        <v>258</v>
      </c>
      <c r="R48" t="s">
        <v>264</v>
      </c>
      <c r="S48" t="s">
        <v>277</v>
      </c>
      <c r="T48">
        <v>5.34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4"/>
  <sheetViews>
    <sheetView topLeftCell="A5" workbookViewId="0">
      <selection activeCell="A2" sqref="A2:A44"/>
    </sheetView>
  </sheetViews>
  <sheetFormatPr defaultRowHeight="15" x14ac:dyDescent="0.25"/>
  <cols>
    <col min="2" max="2" width="22.5703125" bestFit="1" customWidth="1"/>
    <col min="3" max="3" width="22.140625" bestFit="1" customWidth="1"/>
  </cols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278</v>
      </c>
    </row>
    <row r="2" spans="1:9" x14ac:dyDescent="0.25">
      <c r="A2" t="s">
        <v>42</v>
      </c>
      <c r="B2" t="s">
        <v>89</v>
      </c>
      <c r="C2" t="s">
        <v>131</v>
      </c>
      <c r="D2" t="s">
        <v>173</v>
      </c>
      <c r="E2" t="s">
        <v>177</v>
      </c>
      <c r="F2" t="s">
        <v>179</v>
      </c>
      <c r="G2" t="s">
        <v>185</v>
      </c>
      <c r="H2" t="s">
        <v>279</v>
      </c>
      <c r="I2">
        <v>-14.13</v>
      </c>
    </row>
    <row r="3" spans="1:9" x14ac:dyDescent="0.25">
      <c r="A3" t="s">
        <v>53</v>
      </c>
      <c r="B3" t="s">
        <v>100</v>
      </c>
      <c r="C3" t="s">
        <v>141</v>
      </c>
      <c r="D3" t="s">
        <v>176</v>
      </c>
      <c r="E3" t="s">
        <v>177</v>
      </c>
      <c r="F3" t="s">
        <v>181</v>
      </c>
      <c r="G3" t="s">
        <v>185</v>
      </c>
      <c r="H3" t="s">
        <v>279</v>
      </c>
      <c r="I3">
        <v>-14.13</v>
      </c>
    </row>
    <row r="4" spans="1:9" x14ac:dyDescent="0.25">
      <c r="A4" t="s">
        <v>81</v>
      </c>
      <c r="B4" t="s">
        <v>124</v>
      </c>
      <c r="C4" t="s">
        <v>167</v>
      </c>
      <c r="D4" t="s">
        <v>174</v>
      </c>
      <c r="E4" t="s">
        <v>178</v>
      </c>
      <c r="F4" t="s">
        <v>183</v>
      </c>
      <c r="G4" t="s">
        <v>188</v>
      </c>
      <c r="H4" t="s">
        <v>279</v>
      </c>
      <c r="I4">
        <v>-40.950000000000003</v>
      </c>
    </row>
    <row r="5" spans="1:9" x14ac:dyDescent="0.25">
      <c r="A5" t="s">
        <v>54</v>
      </c>
      <c r="B5" t="s">
        <v>101</v>
      </c>
      <c r="C5" t="s">
        <v>142</v>
      </c>
      <c r="D5" t="s">
        <v>176</v>
      </c>
      <c r="E5" t="s">
        <v>177</v>
      </c>
      <c r="F5" t="s">
        <v>181</v>
      </c>
      <c r="G5" t="s">
        <v>187</v>
      </c>
      <c r="H5" t="s">
        <v>279</v>
      </c>
      <c r="I5">
        <v>-16.36</v>
      </c>
    </row>
    <row r="6" spans="1:9" x14ac:dyDescent="0.25">
      <c r="A6" t="s">
        <v>55</v>
      </c>
      <c r="B6" t="s">
        <v>102</v>
      </c>
      <c r="C6" t="s">
        <v>143</v>
      </c>
      <c r="D6" t="s">
        <v>176</v>
      </c>
      <c r="E6" t="s">
        <v>177</v>
      </c>
      <c r="F6" t="s">
        <v>181</v>
      </c>
      <c r="G6" t="s">
        <v>186</v>
      </c>
      <c r="H6" t="s">
        <v>279</v>
      </c>
      <c r="I6">
        <v>-16.36</v>
      </c>
    </row>
    <row r="7" spans="1:9" x14ac:dyDescent="0.25">
      <c r="A7" t="s">
        <v>56</v>
      </c>
      <c r="B7" t="s">
        <v>103</v>
      </c>
      <c r="C7" t="s">
        <v>144</v>
      </c>
      <c r="D7" t="s">
        <v>176</v>
      </c>
      <c r="E7" t="s">
        <v>177</v>
      </c>
      <c r="F7" t="s">
        <v>181</v>
      </c>
      <c r="G7" t="s">
        <v>186</v>
      </c>
      <c r="H7" t="s">
        <v>279</v>
      </c>
      <c r="I7">
        <v>-51.54</v>
      </c>
    </row>
    <row r="8" spans="1:9" x14ac:dyDescent="0.25">
      <c r="A8" t="s">
        <v>57</v>
      </c>
      <c r="B8" t="s">
        <v>104</v>
      </c>
      <c r="C8" t="s">
        <v>145</v>
      </c>
      <c r="D8" t="s">
        <v>174</v>
      </c>
      <c r="E8" t="s">
        <v>178</v>
      </c>
      <c r="F8" t="s">
        <v>181</v>
      </c>
      <c r="G8" t="s">
        <v>186</v>
      </c>
      <c r="H8" t="s">
        <v>279</v>
      </c>
      <c r="I8">
        <v>-39.44</v>
      </c>
    </row>
    <row r="9" spans="1:9" x14ac:dyDescent="0.25">
      <c r="A9" t="s">
        <v>58</v>
      </c>
      <c r="B9" t="s">
        <v>100</v>
      </c>
      <c r="C9" t="s">
        <v>145</v>
      </c>
      <c r="D9" t="s">
        <v>174</v>
      </c>
      <c r="E9" t="s">
        <v>178</v>
      </c>
      <c r="F9" t="s">
        <v>181</v>
      </c>
      <c r="G9" t="s">
        <v>186</v>
      </c>
      <c r="H9" t="s">
        <v>279</v>
      </c>
      <c r="I9">
        <v>-50.53</v>
      </c>
    </row>
    <row r="10" spans="1:9" x14ac:dyDescent="0.25">
      <c r="A10" t="s">
        <v>59</v>
      </c>
      <c r="B10" t="s">
        <v>105</v>
      </c>
      <c r="C10" t="s">
        <v>146</v>
      </c>
      <c r="D10" t="s">
        <v>176</v>
      </c>
      <c r="E10" t="s">
        <v>177</v>
      </c>
      <c r="F10" t="s">
        <v>181</v>
      </c>
      <c r="G10" t="s">
        <v>186</v>
      </c>
      <c r="H10" t="s">
        <v>279</v>
      </c>
      <c r="I10">
        <v>-28.25</v>
      </c>
    </row>
    <row r="11" spans="1:9" x14ac:dyDescent="0.25">
      <c r="A11" t="s">
        <v>60</v>
      </c>
      <c r="B11" t="s">
        <v>106</v>
      </c>
      <c r="C11" t="s">
        <v>147</v>
      </c>
      <c r="D11" t="s">
        <v>174</v>
      </c>
      <c r="E11" t="s">
        <v>178</v>
      </c>
      <c r="F11" t="s">
        <v>181</v>
      </c>
      <c r="G11" t="s">
        <v>186</v>
      </c>
      <c r="H11" t="s">
        <v>279</v>
      </c>
      <c r="I11">
        <v>-25</v>
      </c>
    </row>
    <row r="12" spans="1:9" x14ac:dyDescent="0.25">
      <c r="A12" t="s">
        <v>61</v>
      </c>
      <c r="B12" t="s">
        <v>107</v>
      </c>
      <c r="C12" t="s">
        <v>148</v>
      </c>
      <c r="D12" t="s">
        <v>176</v>
      </c>
      <c r="E12" t="s">
        <v>177</v>
      </c>
      <c r="F12" t="s">
        <v>181</v>
      </c>
      <c r="G12" t="s">
        <v>186</v>
      </c>
      <c r="H12" t="s">
        <v>279</v>
      </c>
      <c r="I12">
        <v>-31.91</v>
      </c>
    </row>
    <row r="13" spans="1:9" x14ac:dyDescent="0.25">
      <c r="A13" t="s">
        <v>45</v>
      </c>
      <c r="B13" t="s">
        <v>92</v>
      </c>
      <c r="C13" t="s">
        <v>134</v>
      </c>
      <c r="D13" t="s">
        <v>174</v>
      </c>
      <c r="E13" t="s">
        <v>178</v>
      </c>
      <c r="F13" t="s">
        <v>180</v>
      </c>
      <c r="G13" t="s">
        <v>186</v>
      </c>
      <c r="H13" t="s">
        <v>279</v>
      </c>
      <c r="I13">
        <v>-27.32</v>
      </c>
    </row>
    <row r="14" spans="1:9" x14ac:dyDescent="0.25">
      <c r="A14" t="s">
        <v>46</v>
      </c>
      <c r="B14" t="s">
        <v>93</v>
      </c>
      <c r="C14" t="s">
        <v>135</v>
      </c>
      <c r="D14" t="s">
        <v>174</v>
      </c>
      <c r="E14" t="s">
        <v>178</v>
      </c>
      <c r="F14" t="s">
        <v>180</v>
      </c>
      <c r="G14" t="s">
        <v>186</v>
      </c>
      <c r="H14" t="s">
        <v>279</v>
      </c>
      <c r="I14">
        <v>-22.01</v>
      </c>
    </row>
    <row r="15" spans="1:9" x14ac:dyDescent="0.25">
      <c r="A15" t="s">
        <v>86</v>
      </c>
      <c r="B15" t="s">
        <v>128</v>
      </c>
      <c r="C15" t="s">
        <v>171</v>
      </c>
      <c r="D15" t="s">
        <v>174</v>
      </c>
      <c r="E15" t="s">
        <v>178</v>
      </c>
      <c r="F15" t="s">
        <v>181</v>
      </c>
      <c r="G15" t="s">
        <v>186</v>
      </c>
      <c r="H15" t="s">
        <v>279</v>
      </c>
      <c r="I15">
        <v>-24.27</v>
      </c>
    </row>
    <row r="16" spans="1:9" x14ac:dyDescent="0.25">
      <c r="A16" t="s">
        <v>79</v>
      </c>
      <c r="B16" t="s">
        <v>122</v>
      </c>
      <c r="C16" t="s">
        <v>165</v>
      </c>
      <c r="D16" t="s">
        <v>176</v>
      </c>
      <c r="E16" t="s">
        <v>177</v>
      </c>
      <c r="F16" t="s">
        <v>182</v>
      </c>
      <c r="G16" t="s">
        <v>186</v>
      </c>
      <c r="H16" t="s">
        <v>279</v>
      </c>
      <c r="I16">
        <v>-14.13</v>
      </c>
    </row>
    <row r="17" spans="1:9" x14ac:dyDescent="0.25">
      <c r="A17" t="s">
        <v>62</v>
      </c>
      <c r="B17" t="s">
        <v>108</v>
      </c>
      <c r="C17" t="s">
        <v>149</v>
      </c>
      <c r="D17" t="s">
        <v>176</v>
      </c>
      <c r="E17" t="s">
        <v>177</v>
      </c>
      <c r="F17" t="s">
        <v>181</v>
      </c>
      <c r="G17" t="s">
        <v>186</v>
      </c>
      <c r="H17" t="s">
        <v>279</v>
      </c>
      <c r="I17">
        <v>-16.36</v>
      </c>
    </row>
    <row r="18" spans="1:9" x14ac:dyDescent="0.25">
      <c r="A18" t="s">
        <v>48</v>
      </c>
      <c r="B18" t="s">
        <v>95</v>
      </c>
      <c r="C18" t="s">
        <v>137</v>
      </c>
      <c r="D18" t="s">
        <v>174</v>
      </c>
      <c r="E18" t="s">
        <v>178</v>
      </c>
      <c r="F18" t="s">
        <v>180</v>
      </c>
      <c r="G18" t="s">
        <v>186</v>
      </c>
      <c r="H18" t="s">
        <v>279</v>
      </c>
      <c r="I18">
        <v>-28.61</v>
      </c>
    </row>
    <row r="19" spans="1:9" x14ac:dyDescent="0.25">
      <c r="A19" t="s">
        <v>63</v>
      </c>
      <c r="B19" t="s">
        <v>109</v>
      </c>
      <c r="C19" t="s">
        <v>150</v>
      </c>
      <c r="D19" t="s">
        <v>176</v>
      </c>
      <c r="E19" t="s">
        <v>177</v>
      </c>
      <c r="F19" t="s">
        <v>181</v>
      </c>
      <c r="G19" t="s">
        <v>186</v>
      </c>
      <c r="H19" t="s">
        <v>279</v>
      </c>
      <c r="I19">
        <v>-14.13</v>
      </c>
    </row>
    <row r="20" spans="1:9" x14ac:dyDescent="0.25">
      <c r="A20" t="s">
        <v>64</v>
      </c>
      <c r="B20" t="s">
        <v>110</v>
      </c>
      <c r="C20" t="s">
        <v>151</v>
      </c>
      <c r="D20" t="s">
        <v>176</v>
      </c>
      <c r="E20" t="s">
        <v>177</v>
      </c>
      <c r="F20" t="s">
        <v>181</v>
      </c>
      <c r="G20" t="s">
        <v>186</v>
      </c>
      <c r="H20" t="s">
        <v>279</v>
      </c>
      <c r="I20">
        <v>-31.91</v>
      </c>
    </row>
    <row r="21" spans="1:9" x14ac:dyDescent="0.25">
      <c r="A21" t="s">
        <v>65</v>
      </c>
      <c r="B21" t="s">
        <v>98</v>
      </c>
      <c r="C21" t="s">
        <v>152</v>
      </c>
      <c r="D21" t="s">
        <v>176</v>
      </c>
      <c r="E21" t="s">
        <v>177</v>
      </c>
      <c r="F21" t="s">
        <v>181</v>
      </c>
      <c r="G21" t="s">
        <v>186</v>
      </c>
      <c r="H21" t="s">
        <v>279</v>
      </c>
      <c r="I21">
        <v>-16.36</v>
      </c>
    </row>
    <row r="22" spans="1:9" x14ac:dyDescent="0.25">
      <c r="A22" t="s">
        <v>66</v>
      </c>
      <c r="B22" t="s">
        <v>106</v>
      </c>
      <c r="C22" t="s">
        <v>153</v>
      </c>
      <c r="D22" t="s">
        <v>176</v>
      </c>
      <c r="E22" t="s">
        <v>177</v>
      </c>
      <c r="F22" t="s">
        <v>181</v>
      </c>
      <c r="G22" t="s">
        <v>186</v>
      </c>
      <c r="H22" t="s">
        <v>279</v>
      </c>
      <c r="I22">
        <v>-13.98</v>
      </c>
    </row>
    <row r="23" spans="1:9" x14ac:dyDescent="0.25">
      <c r="A23" t="s">
        <v>49</v>
      </c>
      <c r="B23" t="s">
        <v>96</v>
      </c>
      <c r="C23" t="s">
        <v>138</v>
      </c>
      <c r="D23" t="s">
        <v>174</v>
      </c>
      <c r="E23" t="s">
        <v>178</v>
      </c>
      <c r="F23" t="s">
        <v>180</v>
      </c>
      <c r="G23" t="s">
        <v>186</v>
      </c>
      <c r="H23" t="s">
        <v>279</v>
      </c>
      <c r="I23">
        <v>-1.17</v>
      </c>
    </row>
    <row r="24" spans="1:9" x14ac:dyDescent="0.25">
      <c r="A24" t="s">
        <v>43</v>
      </c>
      <c r="B24" t="s">
        <v>90</v>
      </c>
      <c r="C24" t="s">
        <v>132</v>
      </c>
      <c r="D24" t="s">
        <v>173</v>
      </c>
      <c r="E24" t="s">
        <v>177</v>
      </c>
      <c r="F24" t="s">
        <v>179</v>
      </c>
      <c r="G24" t="s">
        <v>186</v>
      </c>
      <c r="H24" t="s">
        <v>279</v>
      </c>
      <c r="I24">
        <v>-27.55</v>
      </c>
    </row>
    <row r="25" spans="1:9" x14ac:dyDescent="0.25">
      <c r="A25" t="s">
        <v>50</v>
      </c>
      <c r="B25" t="s">
        <v>97</v>
      </c>
      <c r="C25" t="s">
        <v>137</v>
      </c>
      <c r="D25" t="s">
        <v>174</v>
      </c>
      <c r="E25" t="s">
        <v>178</v>
      </c>
      <c r="F25" t="s">
        <v>180</v>
      </c>
      <c r="G25" t="s">
        <v>186</v>
      </c>
      <c r="H25" t="s">
        <v>279</v>
      </c>
      <c r="I25">
        <v>-25.88</v>
      </c>
    </row>
    <row r="26" spans="1:9" x14ac:dyDescent="0.25">
      <c r="A26" t="s">
        <v>67</v>
      </c>
      <c r="B26" t="s">
        <v>111</v>
      </c>
      <c r="C26" t="s">
        <v>154</v>
      </c>
      <c r="D26" t="s">
        <v>176</v>
      </c>
      <c r="E26" t="s">
        <v>177</v>
      </c>
      <c r="F26" t="s">
        <v>181</v>
      </c>
      <c r="G26" t="s">
        <v>186</v>
      </c>
      <c r="H26" t="s">
        <v>279</v>
      </c>
      <c r="I26">
        <v>-31.91</v>
      </c>
    </row>
    <row r="27" spans="1:9" x14ac:dyDescent="0.25">
      <c r="A27" t="s">
        <v>44</v>
      </c>
      <c r="B27" t="s">
        <v>91</v>
      </c>
      <c r="C27" t="s">
        <v>133</v>
      </c>
      <c r="D27" t="s">
        <v>173</v>
      </c>
      <c r="E27" t="s">
        <v>177</v>
      </c>
      <c r="F27" t="s">
        <v>179</v>
      </c>
      <c r="G27" t="s">
        <v>186</v>
      </c>
      <c r="H27" t="s">
        <v>279</v>
      </c>
      <c r="I27">
        <v>-27.55</v>
      </c>
    </row>
    <row r="28" spans="1:9" x14ac:dyDescent="0.25">
      <c r="A28" t="s">
        <v>51</v>
      </c>
      <c r="B28" t="s">
        <v>98</v>
      </c>
      <c r="C28" t="s">
        <v>139</v>
      </c>
      <c r="D28" t="s">
        <v>174</v>
      </c>
      <c r="E28" t="s">
        <v>178</v>
      </c>
      <c r="F28" t="s">
        <v>180</v>
      </c>
      <c r="G28" t="s">
        <v>186</v>
      </c>
      <c r="H28" t="s">
        <v>279</v>
      </c>
      <c r="I28">
        <v>-24.59</v>
      </c>
    </row>
    <row r="29" spans="1:9" x14ac:dyDescent="0.25">
      <c r="A29" t="s">
        <v>68</v>
      </c>
      <c r="B29" t="s">
        <v>112</v>
      </c>
      <c r="C29" t="s">
        <v>155</v>
      </c>
      <c r="D29" t="s">
        <v>176</v>
      </c>
      <c r="E29" t="s">
        <v>177</v>
      </c>
      <c r="F29" t="s">
        <v>181</v>
      </c>
      <c r="G29" t="s">
        <v>186</v>
      </c>
      <c r="H29" t="s">
        <v>279</v>
      </c>
      <c r="I29">
        <v>-31.91</v>
      </c>
    </row>
    <row r="30" spans="1:9" x14ac:dyDescent="0.25">
      <c r="A30" t="s">
        <v>69</v>
      </c>
      <c r="B30" t="s">
        <v>113</v>
      </c>
      <c r="C30" t="s">
        <v>156</v>
      </c>
      <c r="D30" t="s">
        <v>176</v>
      </c>
      <c r="E30" t="s">
        <v>177</v>
      </c>
      <c r="F30" t="s">
        <v>181</v>
      </c>
      <c r="G30" t="s">
        <v>186</v>
      </c>
      <c r="H30" t="s">
        <v>279</v>
      </c>
      <c r="I30">
        <v>-14.13</v>
      </c>
    </row>
    <row r="31" spans="1:9" x14ac:dyDescent="0.25">
      <c r="A31" t="s">
        <v>70</v>
      </c>
      <c r="B31" t="s">
        <v>114</v>
      </c>
      <c r="C31" t="s">
        <v>157</v>
      </c>
      <c r="D31" t="s">
        <v>176</v>
      </c>
      <c r="E31" t="s">
        <v>177</v>
      </c>
      <c r="F31" t="s">
        <v>181</v>
      </c>
      <c r="G31" t="s">
        <v>186</v>
      </c>
      <c r="H31" t="s">
        <v>279</v>
      </c>
      <c r="I31">
        <v>-51.54</v>
      </c>
    </row>
    <row r="32" spans="1:9" x14ac:dyDescent="0.25">
      <c r="A32" t="s">
        <v>71</v>
      </c>
      <c r="B32" t="s">
        <v>115</v>
      </c>
      <c r="C32" t="s">
        <v>158</v>
      </c>
      <c r="D32" t="s">
        <v>176</v>
      </c>
      <c r="E32" t="s">
        <v>177</v>
      </c>
      <c r="F32" t="s">
        <v>181</v>
      </c>
      <c r="G32" t="s">
        <v>186</v>
      </c>
      <c r="H32" t="s">
        <v>279</v>
      </c>
      <c r="I32">
        <v>-31.91</v>
      </c>
    </row>
    <row r="33" spans="1:9" x14ac:dyDescent="0.25">
      <c r="A33" t="s">
        <v>52</v>
      </c>
      <c r="B33" t="s">
        <v>99</v>
      </c>
      <c r="C33" t="s">
        <v>140</v>
      </c>
      <c r="D33" t="s">
        <v>174</v>
      </c>
      <c r="E33" t="s">
        <v>178</v>
      </c>
      <c r="F33" t="s">
        <v>180</v>
      </c>
      <c r="G33" t="s">
        <v>186</v>
      </c>
      <c r="H33" t="s">
        <v>279</v>
      </c>
      <c r="I33">
        <v>-24.33</v>
      </c>
    </row>
    <row r="34" spans="1:9" x14ac:dyDescent="0.25">
      <c r="A34" t="s">
        <v>72</v>
      </c>
      <c r="B34" t="s">
        <v>116</v>
      </c>
      <c r="C34" t="s">
        <v>159</v>
      </c>
      <c r="D34" t="s">
        <v>176</v>
      </c>
      <c r="E34" t="s">
        <v>177</v>
      </c>
      <c r="F34" t="s">
        <v>181</v>
      </c>
      <c r="G34" t="s">
        <v>186</v>
      </c>
      <c r="H34" t="s">
        <v>279</v>
      </c>
      <c r="I34">
        <v>-16.36</v>
      </c>
    </row>
    <row r="35" spans="1:9" x14ac:dyDescent="0.25">
      <c r="A35" t="s">
        <v>82</v>
      </c>
      <c r="B35" t="s">
        <v>125</v>
      </c>
      <c r="C35" t="s">
        <v>168</v>
      </c>
      <c r="D35" t="s">
        <v>174</v>
      </c>
      <c r="E35" t="s">
        <v>178</v>
      </c>
      <c r="F35" t="s">
        <v>183</v>
      </c>
      <c r="G35" t="s">
        <v>186</v>
      </c>
      <c r="H35" t="s">
        <v>279</v>
      </c>
      <c r="I35">
        <v>-38.74</v>
      </c>
    </row>
    <row r="36" spans="1:9" x14ac:dyDescent="0.25">
      <c r="A36" t="s">
        <v>83</v>
      </c>
      <c r="B36" t="s">
        <v>126</v>
      </c>
      <c r="C36" t="s">
        <v>167</v>
      </c>
      <c r="D36" t="s">
        <v>174</v>
      </c>
      <c r="E36" t="s">
        <v>178</v>
      </c>
      <c r="F36" t="s">
        <v>183</v>
      </c>
      <c r="G36" t="s">
        <v>186</v>
      </c>
      <c r="H36" t="s">
        <v>279</v>
      </c>
      <c r="I36">
        <v>-37.26</v>
      </c>
    </row>
    <row r="37" spans="1:9" x14ac:dyDescent="0.25">
      <c r="A37" t="s">
        <v>80</v>
      </c>
      <c r="B37" t="s">
        <v>123</v>
      </c>
      <c r="C37" t="s">
        <v>166</v>
      </c>
      <c r="D37" t="s">
        <v>174</v>
      </c>
      <c r="E37" t="s">
        <v>178</v>
      </c>
      <c r="F37" t="s">
        <v>181</v>
      </c>
      <c r="G37" t="s">
        <v>186</v>
      </c>
      <c r="H37" t="s">
        <v>279</v>
      </c>
      <c r="I37">
        <v>-36.11</v>
      </c>
    </row>
    <row r="38" spans="1:9" x14ac:dyDescent="0.25">
      <c r="A38" t="s">
        <v>73</v>
      </c>
      <c r="B38" t="s">
        <v>117</v>
      </c>
      <c r="C38" t="s">
        <v>160</v>
      </c>
      <c r="D38" t="s">
        <v>174</v>
      </c>
      <c r="E38" t="s">
        <v>178</v>
      </c>
      <c r="F38" t="s">
        <v>181</v>
      </c>
      <c r="G38" t="s">
        <v>186</v>
      </c>
      <c r="H38" t="s">
        <v>279</v>
      </c>
      <c r="I38">
        <v>-35.549999999999997</v>
      </c>
    </row>
    <row r="39" spans="1:9" x14ac:dyDescent="0.25">
      <c r="A39" t="s">
        <v>74</v>
      </c>
      <c r="B39" t="s">
        <v>118</v>
      </c>
      <c r="C39" t="s">
        <v>161</v>
      </c>
      <c r="D39" t="s">
        <v>176</v>
      </c>
      <c r="E39" t="s">
        <v>177</v>
      </c>
      <c r="F39" t="s">
        <v>181</v>
      </c>
      <c r="G39" t="s">
        <v>186</v>
      </c>
      <c r="H39" t="s">
        <v>279</v>
      </c>
      <c r="I39">
        <v>-16.36</v>
      </c>
    </row>
    <row r="40" spans="1:9" x14ac:dyDescent="0.25">
      <c r="A40" t="s">
        <v>75</v>
      </c>
      <c r="B40" t="s">
        <v>119</v>
      </c>
      <c r="C40" t="s">
        <v>162</v>
      </c>
      <c r="D40" t="s">
        <v>176</v>
      </c>
      <c r="E40" t="s">
        <v>177</v>
      </c>
      <c r="F40" t="s">
        <v>181</v>
      </c>
      <c r="G40" t="s">
        <v>186</v>
      </c>
      <c r="H40" t="s">
        <v>279</v>
      </c>
      <c r="I40">
        <v>-16.36</v>
      </c>
    </row>
    <row r="41" spans="1:9" x14ac:dyDescent="0.25">
      <c r="A41" t="s">
        <v>76</v>
      </c>
      <c r="B41" t="s">
        <v>120</v>
      </c>
      <c r="C41" t="s">
        <v>163</v>
      </c>
      <c r="D41" t="s">
        <v>176</v>
      </c>
      <c r="E41" t="s">
        <v>177</v>
      </c>
      <c r="F41" t="s">
        <v>181</v>
      </c>
      <c r="G41" t="s">
        <v>186</v>
      </c>
      <c r="H41" t="s">
        <v>279</v>
      </c>
      <c r="I41">
        <v>-16.36</v>
      </c>
    </row>
    <row r="42" spans="1:9" x14ac:dyDescent="0.25">
      <c r="A42" t="s">
        <v>87</v>
      </c>
      <c r="B42" t="s">
        <v>129</v>
      </c>
      <c r="C42" t="s">
        <v>172</v>
      </c>
      <c r="D42" t="s">
        <v>174</v>
      </c>
      <c r="E42" t="s">
        <v>178</v>
      </c>
      <c r="F42" t="s">
        <v>181</v>
      </c>
      <c r="G42" t="s">
        <v>186</v>
      </c>
      <c r="H42" t="s">
        <v>279</v>
      </c>
      <c r="I42">
        <v>-28.5</v>
      </c>
    </row>
    <row r="43" spans="1:9" x14ac:dyDescent="0.25">
      <c r="A43" t="s">
        <v>85</v>
      </c>
      <c r="B43" t="s">
        <v>88</v>
      </c>
      <c r="C43" t="s">
        <v>170</v>
      </c>
      <c r="D43" t="s">
        <v>174</v>
      </c>
      <c r="E43" t="s">
        <v>178</v>
      </c>
      <c r="F43" t="s">
        <v>183</v>
      </c>
      <c r="G43" t="s">
        <v>186</v>
      </c>
      <c r="H43" t="s">
        <v>279</v>
      </c>
      <c r="I43">
        <v>-55.27</v>
      </c>
    </row>
    <row r="44" spans="1:9" x14ac:dyDescent="0.25">
      <c r="A44" t="s">
        <v>77</v>
      </c>
      <c r="B44" t="s">
        <v>115</v>
      </c>
      <c r="C44" t="s">
        <v>160</v>
      </c>
      <c r="D44" t="s">
        <v>174</v>
      </c>
      <c r="E44" t="s">
        <v>178</v>
      </c>
      <c r="F44" t="s">
        <v>181</v>
      </c>
      <c r="G44" t="s">
        <v>186</v>
      </c>
      <c r="H44" t="s">
        <v>279</v>
      </c>
      <c r="I44">
        <v>-31.14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"/>
  <sheetViews>
    <sheetView workbookViewId="0">
      <selection activeCell="K14" sqref="K14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280</v>
      </c>
      <c r="L1" s="1" t="s">
        <v>17</v>
      </c>
      <c r="M1" s="1" t="s">
        <v>18</v>
      </c>
      <c r="N1" s="1" t="s">
        <v>281</v>
      </c>
      <c r="O1" s="1" t="s">
        <v>282</v>
      </c>
      <c r="P1" s="1" t="s">
        <v>283</v>
      </c>
    </row>
    <row r="2" spans="1:16" x14ac:dyDescent="0.25">
      <c r="A2" t="s">
        <v>25</v>
      </c>
      <c r="B2" t="s">
        <v>35</v>
      </c>
      <c r="C2" t="s">
        <v>53</v>
      </c>
      <c r="D2" t="s">
        <v>100</v>
      </c>
      <c r="E2" t="s">
        <v>141</v>
      </c>
      <c r="F2" t="s">
        <v>176</v>
      </c>
      <c r="G2" t="s">
        <v>177</v>
      </c>
      <c r="H2" t="s">
        <v>181</v>
      </c>
      <c r="I2" t="s">
        <v>185</v>
      </c>
      <c r="J2" t="s">
        <v>284</v>
      </c>
      <c r="K2" t="s">
        <v>232</v>
      </c>
      <c r="L2" t="s">
        <v>264</v>
      </c>
      <c r="M2" t="s">
        <v>266</v>
      </c>
      <c r="N2" t="s">
        <v>285</v>
      </c>
      <c r="O2">
        <v>127.17</v>
      </c>
      <c r="P2" t="s">
        <v>287</v>
      </c>
    </row>
    <row r="3" spans="1:16" x14ac:dyDescent="0.25">
      <c r="A3" t="s">
        <v>25</v>
      </c>
      <c r="B3" t="s">
        <v>35</v>
      </c>
      <c r="C3" t="s">
        <v>54</v>
      </c>
      <c r="D3" t="s">
        <v>101</v>
      </c>
      <c r="E3" t="s">
        <v>142</v>
      </c>
      <c r="F3" t="s">
        <v>176</v>
      </c>
      <c r="G3" t="s">
        <v>177</v>
      </c>
      <c r="H3" t="s">
        <v>181</v>
      </c>
      <c r="I3" t="s">
        <v>187</v>
      </c>
      <c r="J3" t="s">
        <v>284</v>
      </c>
      <c r="K3" t="s">
        <v>241</v>
      </c>
      <c r="L3" t="s">
        <v>264</v>
      </c>
      <c r="M3" t="s">
        <v>266</v>
      </c>
      <c r="N3" t="s">
        <v>285</v>
      </c>
      <c r="O3">
        <v>147.24</v>
      </c>
      <c r="P3" t="s">
        <v>287</v>
      </c>
    </row>
    <row r="4" spans="1:16" x14ac:dyDescent="0.25">
      <c r="A4" t="s">
        <v>28</v>
      </c>
      <c r="B4" t="s">
        <v>38</v>
      </c>
      <c r="C4" t="s">
        <v>81</v>
      </c>
      <c r="D4" t="s">
        <v>124</v>
      </c>
      <c r="E4" t="s">
        <v>167</v>
      </c>
      <c r="F4" t="s">
        <v>174</v>
      </c>
      <c r="G4" t="s">
        <v>178</v>
      </c>
      <c r="H4" t="s">
        <v>183</v>
      </c>
      <c r="I4" t="s">
        <v>188</v>
      </c>
      <c r="J4" t="s">
        <v>284</v>
      </c>
      <c r="K4" t="s">
        <v>253</v>
      </c>
      <c r="L4" t="s">
        <v>264</v>
      </c>
      <c r="M4" t="s">
        <v>271</v>
      </c>
      <c r="N4" t="s">
        <v>286</v>
      </c>
      <c r="O4">
        <v>491.4</v>
      </c>
      <c r="P4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First Year Commission</vt:lpstr>
      <vt:lpstr>Sheet1</vt:lpstr>
      <vt:lpstr>First Year Overwrites</vt:lpstr>
      <vt:lpstr>Advance Paybacks</vt:lpstr>
      <vt:lpstr>Advances - Paid Advances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2026-03-01T21:04:05Z</dcterms:created>
  <dcterms:modified xsi:type="dcterms:W3CDTF">2026-03-04T22:56:22Z</dcterms:modified>
</cp:coreProperties>
</file>