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01-01-2025\"/>
    </mc:Choice>
  </mc:AlternateContent>
  <xr:revisionPtr revIDLastSave="0" documentId="13_ncr:1_{DC0E7AD2-E2D5-41E3-BFC6-374CC497EA54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Table 1" sheetId="1" r:id="rId1"/>
    <sheet name="Sheet3" sheetId="4" r:id="rId2"/>
    <sheet name="Sheet6" sheetId="7" r:id="rId3"/>
    <sheet name="Sheet4" sheetId="5" r:id="rId4"/>
    <sheet name="Sheet5" sheetId="6" r:id="rId5"/>
  </sheets>
  <calcPr calcId="181029"/>
</workbook>
</file>

<file path=xl/calcChain.xml><?xml version="1.0" encoding="utf-8"?>
<calcChain xmlns="http://schemas.openxmlformats.org/spreadsheetml/2006/main">
  <c r="C8" i="6" l="1"/>
  <c r="C9" i="6"/>
  <c r="C10" i="6"/>
  <c r="C11" i="6"/>
  <c r="C12" i="6"/>
  <c r="C13" i="6"/>
  <c r="C14" i="6"/>
  <c r="C15" i="6"/>
  <c r="C134" i="6"/>
  <c r="C150" i="6"/>
  <c r="C16" i="6"/>
  <c r="C5" i="6"/>
  <c r="C17" i="6"/>
  <c r="C131" i="6"/>
  <c r="C18" i="6"/>
  <c r="C19" i="6"/>
  <c r="C20" i="6"/>
  <c r="C21" i="6"/>
  <c r="C22" i="6"/>
  <c r="C23" i="6"/>
  <c r="C24" i="6"/>
  <c r="C25" i="6"/>
  <c r="C26" i="6"/>
  <c r="C27" i="6"/>
  <c r="C2" i="6"/>
  <c r="C28" i="6"/>
  <c r="C29" i="6"/>
  <c r="C145" i="6"/>
  <c r="C146" i="6"/>
  <c r="C147" i="6"/>
  <c r="C30" i="6"/>
  <c r="C31" i="6"/>
  <c r="C32" i="6"/>
  <c r="C139" i="6"/>
  <c r="C33" i="6"/>
  <c r="C34" i="6"/>
  <c r="C140" i="6"/>
  <c r="C135" i="6"/>
  <c r="C138" i="6"/>
  <c r="C35" i="6"/>
  <c r="C132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148" i="6"/>
  <c r="C149" i="6"/>
  <c r="C49" i="6"/>
  <c r="C136" i="6"/>
  <c r="C141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142" i="6"/>
  <c r="C133" i="6"/>
  <c r="C80" i="6"/>
  <c r="C81" i="6"/>
  <c r="C82" i="6"/>
  <c r="C83" i="6"/>
  <c r="C6" i="6"/>
  <c r="C151" i="6"/>
  <c r="C84" i="6"/>
  <c r="C85" i="6"/>
  <c r="C86" i="6"/>
  <c r="C87" i="6"/>
  <c r="C143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44" i="6"/>
  <c r="C111" i="6"/>
  <c r="C112" i="6"/>
  <c r="C113" i="6"/>
  <c r="C114" i="6"/>
  <c r="C115" i="6"/>
  <c r="C116" i="6"/>
  <c r="C117" i="6"/>
  <c r="C118" i="6"/>
  <c r="C3" i="6"/>
  <c r="C4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7" i="6"/>
  <c r="C7" i="6"/>
</calcChain>
</file>

<file path=xl/sharedStrings.xml><?xml version="1.0" encoding="utf-8"?>
<sst xmlns="http://schemas.openxmlformats.org/spreadsheetml/2006/main" count="1751" uniqueCount="944">
  <si>
    <r>
      <rPr>
        <b/>
        <sz val="11"/>
        <rFont val="Arial"/>
        <family val="2"/>
      </rPr>
      <t>Per Subscriber Per Month:</t>
    </r>
  </si>
  <si>
    <r>
      <rPr>
        <sz val="8"/>
        <rFont val="Arial"/>
        <family val="2"/>
      </rPr>
      <t>Amount from</t>
    </r>
  </si>
  <si>
    <r>
      <rPr>
        <sz val="8"/>
        <rFont val="Arial"/>
        <family val="2"/>
      </rPr>
      <t>Renewal Month</t>
    </r>
  </si>
  <si>
    <r>
      <rPr>
        <sz val="8"/>
        <rFont val="Arial"/>
        <family val="2"/>
      </rPr>
      <t>Subscribers</t>
    </r>
  </si>
  <si>
    <r>
      <rPr>
        <sz val="8"/>
        <rFont val="Arial"/>
        <family val="2"/>
      </rPr>
      <t xml:space="preserve">PSPM
</t>
    </r>
    <r>
      <rPr>
        <sz val="8"/>
        <rFont val="Arial"/>
        <family val="2"/>
      </rPr>
      <t>Schedule</t>
    </r>
  </si>
  <si>
    <r>
      <rPr>
        <sz val="8"/>
        <rFont val="Arial"/>
        <family val="2"/>
      </rPr>
      <t xml:space="preserve">%Dues
</t>
    </r>
    <r>
      <rPr>
        <sz val="8"/>
        <rFont val="Arial"/>
        <family val="2"/>
      </rPr>
      <t xml:space="preserve">Premium        </t>
    </r>
    <r>
      <rPr>
        <vertAlign val="superscript"/>
        <sz val="8"/>
        <rFont val="Arial"/>
        <family val="2"/>
      </rPr>
      <t>Paid</t>
    </r>
  </si>
  <si>
    <r>
      <rPr>
        <sz val="8"/>
        <rFont val="Arial"/>
        <family val="2"/>
      </rPr>
      <t>Commission</t>
    </r>
  </si>
  <si>
    <r>
      <rPr>
        <b/>
        <i/>
        <sz val="10"/>
        <rFont val="Arial"/>
        <family val="2"/>
      </rPr>
      <t>Lee,Joel N (3026)</t>
    </r>
  </si>
  <si>
    <r>
      <rPr>
        <sz val="8"/>
        <rFont val="Arial"/>
        <family val="2"/>
      </rPr>
      <t xml:space="preserve">37249
</t>
    </r>
    <r>
      <rPr>
        <sz val="8"/>
        <rFont val="Arial"/>
        <family val="2"/>
      </rPr>
      <t xml:space="preserve">41379
</t>
    </r>
    <r>
      <rPr>
        <sz val="8"/>
        <rFont val="Arial"/>
        <family val="2"/>
      </rPr>
      <t>38910</t>
    </r>
  </si>
  <si>
    <r>
      <rPr>
        <sz val="9"/>
        <rFont val="Arial"/>
        <family val="2"/>
      </rPr>
      <t xml:space="preserve">Battery Tech Inc
</t>
    </r>
    <r>
      <rPr>
        <sz val="9"/>
        <rFont val="Arial"/>
        <family val="2"/>
      </rPr>
      <t xml:space="preserve">Cgfr Group Inc
</t>
    </r>
    <r>
      <rPr>
        <sz val="9"/>
        <rFont val="Arial"/>
        <family val="2"/>
      </rPr>
      <t>Johnson &amp; Hendrix LLC</t>
    </r>
  </si>
  <si>
    <r>
      <rPr>
        <sz val="8"/>
        <rFont val="Arial"/>
        <family val="2"/>
      </rPr>
      <t xml:space="preserve">Aug
</t>
    </r>
    <r>
      <rPr>
        <sz val="8"/>
        <rFont val="Arial"/>
        <family val="2"/>
      </rPr>
      <t xml:space="preserve">Feb
</t>
    </r>
    <r>
      <rPr>
        <sz val="8"/>
        <rFont val="Arial"/>
        <family val="2"/>
      </rPr>
      <t>Jan</t>
    </r>
  </si>
  <si>
    <r>
      <rPr>
        <sz val="8"/>
        <rFont val="Arial"/>
        <family val="2"/>
      </rPr>
      <t xml:space="preserve">7                                            </t>
    </r>
    <r>
      <rPr>
        <vertAlign val="superscript"/>
        <sz val="8"/>
        <rFont val="Arial"/>
        <family val="2"/>
      </rPr>
      <t>$8,514.22</t>
    </r>
  </si>
  <si>
    <r>
      <rPr>
        <sz val="8"/>
        <rFont val="Arial"/>
        <family val="2"/>
      </rPr>
      <t xml:space="preserve">Totals:             7                                              </t>
    </r>
    <r>
      <rPr>
        <vertAlign val="superscript"/>
        <sz val="8"/>
        <rFont val="Arial"/>
        <family val="2"/>
      </rPr>
      <t>$8,514.22                        $175.00</t>
    </r>
  </si>
  <si>
    <r>
      <rPr>
        <sz val="8"/>
        <rFont val="Arial"/>
        <family val="2"/>
      </rPr>
      <t>+ This is a Level Funded group.</t>
    </r>
  </si>
  <si>
    <r>
      <rPr>
        <b/>
        <sz val="11"/>
        <rFont val="Arial"/>
        <family val="2"/>
      </rPr>
      <t>KPIF:</t>
    </r>
  </si>
  <si>
    <r>
      <rPr>
        <b/>
        <sz val="9"/>
        <rFont val="Arial"/>
        <family val="2"/>
      </rPr>
      <t>Payment Received Date</t>
    </r>
  </si>
  <si>
    <r>
      <rPr>
        <b/>
        <sz val="9"/>
        <rFont val="Arial"/>
        <family val="2"/>
      </rPr>
      <t>Payment Received</t>
    </r>
  </si>
  <si>
    <r>
      <rPr>
        <b/>
        <sz val="9"/>
        <rFont val="Arial"/>
        <family val="2"/>
      </rPr>
      <t>% Dues Paid</t>
    </r>
  </si>
  <si>
    <r>
      <rPr>
        <b/>
        <sz val="9"/>
        <rFont val="Arial"/>
        <family val="2"/>
      </rPr>
      <t xml:space="preserve">Commission Last Paid
</t>
    </r>
    <r>
      <rPr>
        <b/>
        <vertAlign val="subscript"/>
        <sz val="9"/>
        <rFont val="Arial"/>
        <family val="2"/>
      </rPr>
      <t xml:space="preserve">Rate                                  </t>
    </r>
    <r>
      <rPr>
        <b/>
        <sz val="9"/>
        <rFont val="Arial"/>
        <family val="2"/>
      </rPr>
      <t>Total Commission</t>
    </r>
  </si>
  <si>
    <r>
      <rPr>
        <i/>
        <sz val="14"/>
        <rFont val="Arial"/>
        <family val="2"/>
      </rPr>
      <t>KPIF</t>
    </r>
  </si>
  <si>
    <r>
      <rPr>
        <b/>
        <i/>
        <sz val="9"/>
        <rFont val="Arial"/>
        <family val="2"/>
      </rPr>
      <t>Geske,Heather Marie (C6639)</t>
    </r>
  </si>
  <si>
    <r>
      <rPr>
        <b/>
        <sz val="8"/>
        <rFont val="Arial"/>
        <family val="2"/>
      </rPr>
      <t>Alejos,Carla,N</t>
    </r>
  </si>
  <si>
    <r>
      <rPr>
        <i/>
        <sz val="8"/>
        <rFont val="Arial"/>
        <family val="2"/>
      </rPr>
      <t>Alejos,Nerloune</t>
    </r>
  </si>
  <si>
    <r>
      <rPr>
        <b/>
        <sz val="8"/>
        <rFont val="Arial"/>
        <family val="2"/>
      </rPr>
      <t>Alexander,Gregory,A</t>
    </r>
  </si>
  <si>
    <r>
      <rPr>
        <b/>
        <sz val="8"/>
        <rFont val="Arial"/>
        <family val="2"/>
      </rPr>
      <t>^Bandt-Law,Mara</t>
    </r>
  </si>
  <si>
    <r>
      <rPr>
        <b/>
        <sz val="8"/>
        <rFont val="Arial"/>
        <family val="2"/>
      </rPr>
      <t>Brown,Bryn</t>
    </r>
  </si>
  <si>
    <r>
      <rPr>
        <i/>
        <sz val="8"/>
        <rFont val="Arial"/>
        <family val="2"/>
      </rPr>
      <t>Brown,Connor</t>
    </r>
  </si>
  <si>
    <r>
      <rPr>
        <i/>
        <sz val="8"/>
        <rFont val="Arial"/>
        <family val="2"/>
      </rPr>
      <t>Brown,Emmelyn</t>
    </r>
  </si>
  <si>
    <r>
      <rPr>
        <i/>
        <sz val="8"/>
        <rFont val="Arial"/>
        <family val="2"/>
      </rPr>
      <t>Brown,Jeremy</t>
    </r>
  </si>
  <si>
    <r>
      <rPr>
        <b/>
        <sz val="8"/>
        <rFont val="Arial"/>
        <family val="2"/>
      </rPr>
      <t>Burke,Sonja,M</t>
    </r>
  </si>
  <si>
    <r>
      <rPr>
        <b/>
        <sz val="8"/>
        <rFont val="Arial"/>
        <family val="2"/>
      </rPr>
      <t>Carroll,Robert,C</t>
    </r>
  </si>
  <si>
    <r>
      <rPr>
        <b/>
        <sz val="8"/>
        <rFont val="Arial"/>
        <family val="2"/>
      </rPr>
      <t>^Chanthapaseuth,Kayla,K</t>
    </r>
  </si>
  <si>
    <r>
      <rPr>
        <b/>
        <sz val="8"/>
        <rFont val="Arial"/>
        <family val="2"/>
      </rPr>
      <t>Chavez,Dray,N</t>
    </r>
  </si>
  <si>
    <r>
      <rPr>
        <b/>
        <sz val="8"/>
        <rFont val="Arial"/>
        <family val="2"/>
      </rPr>
      <t>Chavez,Maximus,A</t>
    </r>
  </si>
  <si>
    <r>
      <rPr>
        <i/>
        <sz val="8"/>
        <rFont val="Arial"/>
        <family val="2"/>
      </rPr>
      <t>Chavez,Jeffrey,J</t>
    </r>
  </si>
  <si>
    <r>
      <rPr>
        <b/>
        <sz val="8"/>
        <rFont val="Arial"/>
        <family val="2"/>
      </rPr>
      <t>Chinn,Robert,W</t>
    </r>
  </si>
  <si>
    <r>
      <rPr>
        <b/>
        <sz val="8"/>
        <rFont val="Arial"/>
        <family val="2"/>
      </rPr>
      <t>Christenson,Laura</t>
    </r>
  </si>
  <si>
    <r>
      <rPr>
        <b/>
        <sz val="8"/>
        <rFont val="Arial"/>
        <family val="2"/>
      </rPr>
      <t>Coleman,Nancy,A</t>
    </r>
  </si>
  <si>
    <r>
      <rPr>
        <b/>
        <sz val="8"/>
        <rFont val="Arial"/>
        <family val="2"/>
      </rPr>
      <t>Dermont,Jacob,D</t>
    </r>
  </si>
  <si>
    <r>
      <rPr>
        <b/>
        <sz val="8"/>
        <rFont val="Arial"/>
        <family val="2"/>
      </rPr>
      <t>Fisher,Tom,S</t>
    </r>
  </si>
  <si>
    <r>
      <rPr>
        <b/>
        <sz val="8"/>
        <rFont val="Arial"/>
        <family val="2"/>
      </rPr>
      <t>^Friedrichs,Lynda</t>
    </r>
  </si>
  <si>
    <r>
      <rPr>
        <b/>
        <sz val="8"/>
        <rFont val="Arial"/>
        <family val="2"/>
      </rPr>
      <t>Gorecki,Audra</t>
    </r>
  </si>
  <si>
    <r>
      <rPr>
        <b/>
        <sz val="8"/>
        <rFont val="Arial"/>
        <family val="2"/>
      </rPr>
      <t>Grigsby,John,p</t>
    </r>
  </si>
  <si>
    <r>
      <rPr>
        <b/>
        <sz val="8"/>
        <rFont val="Arial"/>
        <family val="2"/>
      </rPr>
      <t>^Grotting,Kari,L</t>
    </r>
  </si>
  <si>
    <r>
      <rPr>
        <b/>
        <sz val="8"/>
        <rFont val="Arial"/>
        <family val="2"/>
      </rPr>
      <t>^Haas,Keith</t>
    </r>
  </si>
  <si>
    <r>
      <rPr>
        <b/>
        <sz val="8"/>
        <rFont val="Arial"/>
        <family val="2"/>
      </rPr>
      <t>Haman,Gregory,P</t>
    </r>
  </si>
  <si>
    <r>
      <rPr>
        <b/>
        <sz val="8"/>
        <rFont val="Arial"/>
        <family val="2"/>
      </rPr>
      <t>Hardin,Grace</t>
    </r>
  </si>
  <si>
    <r>
      <rPr>
        <b/>
        <sz val="8"/>
        <rFont val="Arial"/>
        <family val="2"/>
      </rPr>
      <t>Houston,Valorie</t>
    </r>
  </si>
  <si>
    <r>
      <rPr>
        <i/>
        <sz val="8"/>
        <rFont val="Arial"/>
        <family val="2"/>
      </rPr>
      <t>Houston,Harvey</t>
    </r>
  </si>
  <si>
    <r>
      <rPr>
        <b/>
        <sz val="8"/>
        <rFont val="Arial"/>
        <family val="2"/>
      </rPr>
      <t>Hui,Louie</t>
    </r>
  </si>
  <si>
    <r>
      <rPr>
        <i/>
        <sz val="8"/>
        <rFont val="Arial"/>
        <family val="2"/>
      </rPr>
      <t>Hui,Carmen</t>
    </r>
  </si>
  <si>
    <r>
      <rPr>
        <b/>
        <sz val="8"/>
        <rFont val="Arial"/>
        <family val="2"/>
      </rPr>
      <t>Jensen,Donald</t>
    </r>
  </si>
  <si>
    <r>
      <rPr>
        <b/>
        <sz val="8"/>
        <rFont val="Arial"/>
        <family val="2"/>
      </rPr>
      <t>^Jespersen,Andrew,J</t>
    </r>
  </si>
  <si>
    <r>
      <rPr>
        <b/>
        <sz val="8"/>
        <rFont val="Arial"/>
        <family val="2"/>
      </rPr>
      <t>^Kucks,Janet,L</t>
    </r>
  </si>
  <si>
    <r>
      <rPr>
        <b/>
        <sz val="8"/>
        <rFont val="Arial"/>
        <family val="2"/>
      </rPr>
      <t>Nesmith,Cody,A</t>
    </r>
  </si>
  <si>
    <r>
      <rPr>
        <b/>
        <sz val="8"/>
        <rFont val="Arial"/>
        <family val="2"/>
      </rPr>
      <t>Nugent,Annelise</t>
    </r>
  </si>
  <si>
    <r>
      <rPr>
        <b/>
        <sz val="8"/>
        <rFont val="Arial"/>
        <family val="2"/>
      </rPr>
      <t>^Retaleato,Patricia</t>
    </r>
  </si>
  <si>
    <r>
      <rPr>
        <b/>
        <sz val="8"/>
        <rFont val="Arial"/>
        <family val="2"/>
      </rPr>
      <t>Reyna,Diego,A</t>
    </r>
  </si>
  <si>
    <r>
      <rPr>
        <b/>
        <sz val="8"/>
        <rFont val="Arial"/>
        <family val="2"/>
      </rPr>
      <t>Riebling,Stephen</t>
    </r>
  </si>
  <si>
    <r>
      <rPr>
        <b/>
        <sz val="8"/>
        <rFont val="Arial"/>
        <family val="2"/>
      </rPr>
      <t>Ruybal,Ramona</t>
    </r>
  </si>
  <si>
    <r>
      <rPr>
        <b/>
        <sz val="8"/>
        <rFont val="Arial"/>
        <family val="2"/>
      </rPr>
      <t>Sedley,Aaron,M</t>
    </r>
  </si>
  <si>
    <r>
      <rPr>
        <b/>
        <sz val="8"/>
        <rFont val="Arial"/>
        <family val="2"/>
      </rPr>
      <t>^Sinklier,Heidi,C</t>
    </r>
  </si>
  <si>
    <r>
      <rPr>
        <b/>
        <sz val="8"/>
        <rFont val="Arial"/>
        <family val="2"/>
      </rPr>
      <t>Sisman,Scott,H</t>
    </r>
  </si>
  <si>
    <r>
      <rPr>
        <b/>
        <sz val="8"/>
        <rFont val="Arial"/>
        <family val="2"/>
      </rPr>
      <t>Sutherland,Scott</t>
    </r>
  </si>
  <si>
    <r>
      <rPr>
        <b/>
        <sz val="8"/>
        <rFont val="Arial"/>
        <family val="2"/>
      </rPr>
      <t>^Thompson,Lourdez,J</t>
    </r>
  </si>
  <si>
    <r>
      <rPr>
        <b/>
        <sz val="8"/>
        <rFont val="Arial"/>
        <family val="2"/>
      </rPr>
      <t>Trujillo,John</t>
    </r>
  </si>
  <si>
    <r>
      <rPr>
        <b/>
        <sz val="8"/>
        <rFont val="Arial"/>
        <family val="2"/>
      </rPr>
      <t>Walter,Wendy</t>
    </r>
  </si>
  <si>
    <r>
      <rPr>
        <b/>
        <sz val="8"/>
        <rFont val="Arial"/>
        <family val="2"/>
      </rPr>
      <t>Walters,Elizabeth</t>
    </r>
  </si>
  <si>
    <r>
      <rPr>
        <i/>
        <sz val="8"/>
        <rFont val="Arial"/>
        <family val="2"/>
      </rPr>
      <t>Walters,Anthony</t>
    </r>
  </si>
  <si>
    <r>
      <rPr>
        <i/>
        <sz val="8"/>
        <rFont val="Arial"/>
        <family val="2"/>
      </rPr>
      <t>Walters,Emma</t>
    </r>
  </si>
  <si>
    <r>
      <rPr>
        <b/>
        <sz val="8"/>
        <rFont val="Arial"/>
        <family val="2"/>
      </rPr>
      <t>^White,Pamela</t>
    </r>
  </si>
  <si>
    <r>
      <rPr>
        <b/>
        <i/>
        <sz val="9"/>
        <rFont val="Arial"/>
        <family val="2"/>
      </rPr>
      <t>Geske,William Edward (C8036)</t>
    </r>
  </si>
  <si>
    <r>
      <rPr>
        <b/>
        <sz val="8"/>
        <rFont val="Arial"/>
        <family val="2"/>
      </rPr>
      <t>^Villano,Christina</t>
    </r>
  </si>
  <si>
    <r>
      <rPr>
        <i/>
        <sz val="8"/>
        <rFont val="Arial"/>
        <family val="2"/>
      </rPr>
      <t>^Kaffer,Christopher</t>
    </r>
  </si>
  <si>
    <r>
      <rPr>
        <i/>
        <sz val="8"/>
        <rFont val="Arial"/>
        <family val="2"/>
      </rPr>
      <t>^Kaffer,Lincoln</t>
    </r>
  </si>
  <si>
    <r>
      <rPr>
        <i/>
        <sz val="8"/>
        <rFont val="Arial"/>
        <family val="2"/>
      </rPr>
      <t>^Kaffer,Ryan</t>
    </r>
  </si>
  <si>
    <r>
      <rPr>
        <b/>
        <i/>
        <sz val="9"/>
        <rFont val="Arial"/>
        <family val="2"/>
      </rPr>
      <t>Lee,Joel N (C3026)</t>
    </r>
  </si>
  <si>
    <r>
      <rPr>
        <b/>
        <sz val="8"/>
        <rFont val="Arial"/>
        <family val="2"/>
      </rPr>
      <t>^Adjaho,Rudolph</t>
    </r>
  </si>
  <si>
    <r>
      <rPr>
        <b/>
        <sz val="8"/>
        <rFont val="Arial"/>
        <family val="2"/>
      </rPr>
      <t>Agrich,Lyudmila</t>
    </r>
  </si>
  <si>
    <r>
      <rPr>
        <b/>
        <sz val="8"/>
        <rFont val="Arial"/>
        <family val="2"/>
      </rPr>
      <t>Agrich,Sergy</t>
    </r>
  </si>
  <si>
    <r>
      <rPr>
        <b/>
        <sz val="8"/>
        <rFont val="Arial"/>
        <family val="2"/>
      </rPr>
      <t>Akridge,Korinne,L</t>
    </r>
  </si>
  <si>
    <r>
      <rPr>
        <b/>
        <sz val="8"/>
        <rFont val="Arial"/>
        <family val="2"/>
      </rPr>
      <t>^Alfonseca,Jonathan</t>
    </r>
  </si>
  <si>
    <r>
      <rPr>
        <i/>
        <sz val="8"/>
        <rFont val="Arial"/>
        <family val="2"/>
      </rPr>
      <t>^Alfonseca,Joaquin</t>
    </r>
  </si>
  <si>
    <r>
      <rPr>
        <i/>
        <sz val="8"/>
        <rFont val="Arial"/>
        <family val="2"/>
      </rPr>
      <t>^Alfonseca,Natalia</t>
    </r>
  </si>
  <si>
    <r>
      <rPr>
        <i/>
        <sz val="8"/>
        <rFont val="Arial"/>
        <family val="2"/>
      </rPr>
      <t>^Lopez Geminiano,Jazmin</t>
    </r>
  </si>
  <si>
    <r>
      <rPr>
        <b/>
        <sz val="8"/>
        <rFont val="Arial"/>
        <family val="2"/>
      </rPr>
      <t>Ameh,Shammah,E</t>
    </r>
  </si>
  <si>
    <r>
      <rPr>
        <b/>
        <sz val="8"/>
        <rFont val="Arial"/>
        <family val="2"/>
      </rPr>
      <t>Anderson,Stacey,R</t>
    </r>
  </si>
  <si>
    <r>
      <rPr>
        <i/>
        <sz val="8"/>
        <rFont val="Arial"/>
        <family val="2"/>
      </rPr>
      <t>Anderson,John,L</t>
    </r>
  </si>
  <si>
    <r>
      <rPr>
        <b/>
        <sz val="8"/>
        <rFont val="Arial"/>
        <family val="2"/>
      </rPr>
      <t>^Asantewaa Boafo,Francisca</t>
    </r>
  </si>
  <si>
    <r>
      <rPr>
        <b/>
        <sz val="8"/>
        <rFont val="Arial"/>
        <family val="2"/>
      </rPr>
      <t>Atta Senior Essel,Augustine</t>
    </r>
  </si>
  <si>
    <r>
      <rPr>
        <b/>
        <sz val="8"/>
        <rFont val="Arial"/>
        <family val="2"/>
      </rPr>
      <t>^Baca Hernandez,Beatriz</t>
    </r>
  </si>
  <si>
    <r>
      <rPr>
        <i/>
        <sz val="8"/>
        <rFont val="Arial"/>
        <family val="2"/>
      </rPr>
      <t>^Sarno,Eric</t>
    </r>
  </si>
  <si>
    <r>
      <rPr>
        <i/>
        <sz val="8"/>
        <rFont val="Arial"/>
        <family val="2"/>
      </rPr>
      <t>Sarno,Ezra</t>
    </r>
  </si>
  <si>
    <r>
      <rPr>
        <b/>
        <sz val="8"/>
        <rFont val="Arial"/>
        <family val="2"/>
      </rPr>
      <t>Bagala,Margaret</t>
    </r>
  </si>
  <si>
    <r>
      <rPr>
        <i/>
        <sz val="8"/>
        <rFont val="Arial"/>
        <family val="2"/>
      </rPr>
      <t>^Ntege,Aaron</t>
    </r>
  </si>
  <si>
    <r>
      <rPr>
        <i/>
        <sz val="8"/>
        <rFont val="Arial"/>
        <family val="2"/>
      </rPr>
      <t>^Ntege,Sara</t>
    </r>
  </si>
  <si>
    <r>
      <rPr>
        <i/>
        <sz val="8"/>
        <rFont val="Arial"/>
        <family val="2"/>
      </rPr>
      <t>Senoga,Twaha</t>
    </r>
  </si>
  <si>
    <r>
      <rPr>
        <b/>
        <sz val="8"/>
        <rFont val="Arial"/>
        <family val="2"/>
      </rPr>
      <t>^Beausang,Joshua,I</t>
    </r>
  </si>
  <si>
    <r>
      <rPr>
        <b/>
        <sz val="8"/>
        <rFont val="Arial"/>
        <family val="2"/>
      </rPr>
      <t>Bell,Carey,L</t>
    </r>
  </si>
  <si>
    <r>
      <rPr>
        <b/>
        <sz val="8"/>
        <rFont val="Arial"/>
        <family val="2"/>
      </rPr>
      <t>Bharani Kumar Kilambi,Srinivasa</t>
    </r>
  </si>
  <si>
    <r>
      <rPr>
        <b/>
        <sz val="8"/>
        <rFont val="Arial"/>
        <family val="2"/>
      </rPr>
      <t>Blankenship,Karen,F</t>
    </r>
  </si>
  <si>
    <r>
      <rPr>
        <b/>
        <sz val="8"/>
        <rFont val="Arial"/>
        <family val="2"/>
      </rPr>
      <t>Bourbonnie,Jaime</t>
    </r>
  </si>
  <si>
    <r>
      <rPr>
        <b/>
        <sz val="8"/>
        <rFont val="Arial"/>
        <family val="2"/>
      </rPr>
      <t>^Bray,Diana,G</t>
    </r>
  </si>
  <si>
    <r>
      <rPr>
        <i/>
        <sz val="8"/>
        <rFont val="Arial"/>
        <family val="2"/>
      </rPr>
      <t>^Bray,Leigh,J</t>
    </r>
  </si>
  <si>
    <r>
      <rPr>
        <b/>
        <sz val="8"/>
        <rFont val="Arial"/>
        <family val="2"/>
      </rPr>
      <t>Bray,Emma,R</t>
    </r>
  </si>
  <si>
    <r>
      <rPr>
        <b/>
        <sz val="8"/>
        <rFont val="Arial"/>
        <family val="2"/>
      </rPr>
      <t>^Brown,Darrick</t>
    </r>
  </si>
  <si>
    <r>
      <rPr>
        <b/>
        <sz val="8"/>
        <rFont val="Arial"/>
        <family val="2"/>
      </rPr>
      <t>Brown,Pamela,R</t>
    </r>
  </si>
  <si>
    <r>
      <rPr>
        <b/>
        <sz val="8"/>
        <rFont val="Arial"/>
        <family val="2"/>
      </rPr>
      <t>Brunkhardt,Lacey,A</t>
    </r>
  </si>
  <si>
    <r>
      <rPr>
        <b/>
        <sz val="8"/>
        <rFont val="Arial"/>
        <family val="2"/>
      </rPr>
      <t>^Bryant,Mark,A</t>
    </r>
  </si>
  <si>
    <r>
      <rPr>
        <b/>
        <sz val="8"/>
        <rFont val="Arial"/>
        <family val="2"/>
      </rPr>
      <t>^Bucci,Lisa</t>
    </r>
  </si>
  <si>
    <r>
      <rPr>
        <b/>
        <sz val="8"/>
        <rFont val="Arial"/>
        <family val="2"/>
      </rPr>
      <t>Buffington,Donna</t>
    </r>
  </si>
  <si>
    <r>
      <rPr>
        <i/>
        <sz val="8"/>
        <rFont val="Arial"/>
        <family val="2"/>
      </rPr>
      <t>Buffington,Avery</t>
    </r>
  </si>
  <si>
    <r>
      <rPr>
        <i/>
        <sz val="8"/>
        <rFont val="Arial"/>
        <family val="2"/>
      </rPr>
      <t>Buffington,Dean</t>
    </r>
  </si>
  <si>
    <r>
      <rPr>
        <b/>
        <sz val="8"/>
        <rFont val="Arial"/>
        <family val="2"/>
      </rPr>
      <t>^Burris,Brian,W</t>
    </r>
  </si>
  <si>
    <r>
      <rPr>
        <b/>
        <sz val="8"/>
        <rFont val="Arial"/>
        <family val="2"/>
      </rPr>
      <t>Butyn,Xiaoqian</t>
    </r>
  </si>
  <si>
    <r>
      <rPr>
        <b/>
        <sz val="8"/>
        <rFont val="Arial"/>
        <family val="2"/>
      </rPr>
      <t>^Cahill,Chance</t>
    </r>
  </si>
  <si>
    <r>
      <rPr>
        <b/>
        <sz val="8"/>
        <rFont val="Arial"/>
        <family val="2"/>
      </rPr>
      <t>CalleroPenny,Holly,M</t>
    </r>
  </si>
  <si>
    <r>
      <rPr>
        <i/>
        <sz val="8"/>
        <rFont val="Arial"/>
        <family val="2"/>
      </rPr>
      <t>Penny,Madison</t>
    </r>
  </si>
  <si>
    <r>
      <rPr>
        <b/>
        <sz val="8"/>
        <rFont val="Arial"/>
        <family val="2"/>
      </rPr>
      <t>Chen,Kevin</t>
    </r>
  </si>
  <si>
    <r>
      <rPr>
        <b/>
        <sz val="8"/>
        <rFont val="Arial"/>
        <family val="2"/>
      </rPr>
      <t>Chichester,Jeff</t>
    </r>
  </si>
  <si>
    <r>
      <rPr>
        <b/>
        <sz val="8"/>
        <rFont val="Arial"/>
        <family val="2"/>
      </rPr>
      <t>^Cohn,Corinne</t>
    </r>
  </si>
  <si>
    <r>
      <rPr>
        <b/>
        <sz val="8"/>
        <rFont val="Arial"/>
        <family val="2"/>
      </rPr>
      <t>Colorosa,Rachel</t>
    </r>
  </si>
  <si>
    <r>
      <rPr>
        <b/>
        <sz val="8"/>
        <rFont val="Arial"/>
        <family val="2"/>
      </rPr>
      <t>Costley,Joshua</t>
    </r>
  </si>
  <si>
    <r>
      <rPr>
        <b/>
        <sz val="8"/>
        <rFont val="Arial"/>
        <family val="2"/>
      </rPr>
      <t>^Cox,Jacob</t>
    </r>
  </si>
  <si>
    <r>
      <rPr>
        <b/>
        <sz val="8"/>
        <rFont val="Arial"/>
        <family val="2"/>
      </rPr>
      <t>Craft,Curtis</t>
    </r>
  </si>
  <si>
    <r>
      <rPr>
        <b/>
        <sz val="8"/>
        <rFont val="Arial"/>
        <family val="2"/>
      </rPr>
      <t>Craig,Angela,R</t>
    </r>
  </si>
  <si>
    <r>
      <rPr>
        <b/>
        <sz val="8"/>
        <rFont val="Arial"/>
        <family val="2"/>
      </rPr>
      <t xml:space="preserve">Daly,Jesse,M
</t>
    </r>
    <r>
      <rPr>
        <i/>
        <sz val="8"/>
        <rFont val="Arial"/>
        <family val="2"/>
      </rPr>
      <t>^Daly,Imagine</t>
    </r>
  </si>
  <si>
    <r>
      <rPr>
        <b/>
        <sz val="8"/>
        <rFont val="Arial"/>
        <family val="2"/>
      </rPr>
      <t>^Darnell,Janelle</t>
    </r>
  </si>
  <si>
    <r>
      <rPr>
        <b/>
        <sz val="8"/>
        <rFont val="Arial"/>
        <family val="2"/>
      </rPr>
      <t>^Dickens,Alexandria</t>
    </r>
  </si>
  <si>
    <r>
      <rPr>
        <b/>
        <sz val="8"/>
        <rFont val="Arial"/>
        <family val="2"/>
      </rPr>
      <t>^Duffy,Edward</t>
    </r>
  </si>
  <si>
    <r>
      <rPr>
        <b/>
        <sz val="8"/>
        <rFont val="Arial"/>
        <family val="2"/>
      </rPr>
      <t>^Dunkle,Camden</t>
    </r>
  </si>
  <si>
    <r>
      <rPr>
        <b/>
        <sz val="8"/>
        <rFont val="Arial"/>
        <family val="2"/>
      </rPr>
      <t>^Dunkle,Dylan,J</t>
    </r>
  </si>
  <si>
    <r>
      <rPr>
        <b/>
        <sz val="8"/>
        <rFont val="Arial"/>
        <family val="2"/>
      </rPr>
      <t>^Duschner,Scott,D</t>
    </r>
  </si>
  <si>
    <r>
      <rPr>
        <b/>
        <sz val="8"/>
        <rFont val="Arial"/>
        <family val="2"/>
      </rPr>
      <t>^Ehlers,Matthew,J</t>
    </r>
  </si>
  <si>
    <r>
      <rPr>
        <i/>
        <sz val="8"/>
        <rFont val="Arial"/>
        <family val="2"/>
      </rPr>
      <t>^Alsberg,Jenny</t>
    </r>
  </si>
  <si>
    <r>
      <rPr>
        <b/>
        <sz val="8"/>
        <rFont val="Arial"/>
        <family val="2"/>
      </rPr>
      <t>Enaasen,Eskil,H</t>
    </r>
  </si>
  <si>
    <r>
      <rPr>
        <b/>
        <sz val="8"/>
        <rFont val="Arial"/>
        <family val="2"/>
      </rPr>
      <t>Ewing,Justin</t>
    </r>
  </si>
  <si>
    <r>
      <rPr>
        <i/>
        <sz val="8"/>
        <rFont val="Arial"/>
        <family val="2"/>
      </rPr>
      <t>Ewing,Danielle</t>
    </r>
  </si>
  <si>
    <r>
      <rPr>
        <b/>
        <sz val="8"/>
        <rFont val="Arial"/>
        <family val="2"/>
      </rPr>
      <t>^Falenski,Heather,C</t>
    </r>
  </si>
  <si>
    <r>
      <rPr>
        <b/>
        <sz val="8"/>
        <rFont val="Arial"/>
        <family val="2"/>
      </rPr>
      <t>^Fehler,Dax</t>
    </r>
  </si>
  <si>
    <r>
      <rPr>
        <i/>
        <sz val="8"/>
        <rFont val="Arial"/>
        <family val="2"/>
      </rPr>
      <t>*^Fehler,Ayla</t>
    </r>
  </si>
  <si>
    <r>
      <rPr>
        <b/>
        <sz val="8"/>
        <rFont val="Arial"/>
        <family val="2"/>
      </rPr>
      <t>^Ferraiuolo,Cherelyn,A</t>
    </r>
  </si>
  <si>
    <r>
      <rPr>
        <b/>
        <sz val="8"/>
        <rFont val="Arial"/>
        <family val="2"/>
      </rPr>
      <t>Freeman,Lorraine</t>
    </r>
  </si>
  <si>
    <r>
      <rPr>
        <b/>
        <sz val="8"/>
        <rFont val="Arial"/>
        <family val="2"/>
      </rPr>
      <t>Friend,Michael</t>
    </r>
  </si>
  <si>
    <r>
      <rPr>
        <i/>
        <sz val="8"/>
        <rFont val="Arial"/>
        <family val="2"/>
      </rPr>
      <t>Friend,Alyssa</t>
    </r>
  </si>
  <si>
    <r>
      <rPr>
        <b/>
        <sz val="8"/>
        <rFont val="Arial"/>
        <family val="2"/>
      </rPr>
      <t>Friend,Ryan</t>
    </r>
  </si>
  <si>
    <r>
      <rPr>
        <i/>
        <sz val="8"/>
        <rFont val="Arial"/>
        <family val="2"/>
      </rPr>
      <t>Friend,Della</t>
    </r>
  </si>
  <si>
    <r>
      <rPr>
        <b/>
        <sz val="8"/>
        <rFont val="Arial"/>
        <family val="2"/>
      </rPr>
      <t>Gallagher,Elizabeth,M</t>
    </r>
  </si>
  <si>
    <r>
      <rPr>
        <b/>
        <sz val="8"/>
        <rFont val="Arial"/>
        <family val="2"/>
      </rPr>
      <t>Garcia,Sabrina,M</t>
    </r>
  </si>
  <si>
    <r>
      <rPr>
        <b/>
        <sz val="8"/>
        <rFont val="Arial"/>
        <family val="2"/>
      </rPr>
      <t>^Gooch,William</t>
    </r>
  </si>
  <si>
    <r>
      <rPr>
        <b/>
        <sz val="8"/>
        <rFont val="Arial"/>
        <family val="2"/>
      </rPr>
      <t>Gusakova,Svetlana</t>
    </r>
  </si>
  <si>
    <r>
      <rPr>
        <i/>
        <sz val="8"/>
        <rFont val="Arial"/>
        <family val="2"/>
      </rPr>
      <t>Gusakov,Gennady</t>
    </r>
  </si>
  <si>
    <r>
      <rPr>
        <b/>
        <sz val="8"/>
        <rFont val="Arial"/>
        <family val="2"/>
      </rPr>
      <t xml:space="preserve">^Haight,Elizabeth
</t>
    </r>
    <r>
      <rPr>
        <i/>
        <sz val="8"/>
        <rFont val="Arial"/>
        <family val="2"/>
      </rPr>
      <t>^Haight,Raymond</t>
    </r>
  </si>
  <si>
    <r>
      <rPr>
        <b/>
        <sz val="8"/>
        <rFont val="Arial"/>
        <family val="2"/>
      </rPr>
      <t>^Hall,Beth,J</t>
    </r>
  </si>
  <si>
    <r>
      <rPr>
        <b/>
        <sz val="8"/>
        <rFont val="Arial"/>
        <family val="2"/>
      </rPr>
      <t>^Hanson,Elizabeth</t>
    </r>
  </si>
  <si>
    <r>
      <rPr>
        <b/>
        <sz val="8"/>
        <rFont val="Arial"/>
        <family val="2"/>
      </rPr>
      <t>Hardy,Jann,M</t>
    </r>
  </si>
  <si>
    <r>
      <rPr>
        <b/>
        <sz val="8"/>
        <rFont val="Arial"/>
        <family val="2"/>
      </rPr>
      <t>Harsh,Jeffrey</t>
    </r>
  </si>
  <si>
    <r>
      <rPr>
        <b/>
        <sz val="8"/>
        <rFont val="Arial"/>
        <family val="2"/>
      </rPr>
      <t>Hearns,Augustus</t>
    </r>
  </si>
  <si>
    <r>
      <rPr>
        <b/>
        <sz val="8"/>
        <rFont val="Arial"/>
        <family val="2"/>
      </rPr>
      <t>Hemley,Jonathon</t>
    </r>
  </si>
  <si>
    <r>
      <rPr>
        <b/>
        <sz val="8"/>
        <rFont val="Arial"/>
        <family val="2"/>
      </rPr>
      <t>House,Sonya,L</t>
    </r>
  </si>
  <si>
    <r>
      <rPr>
        <b/>
        <sz val="8"/>
        <rFont val="Arial"/>
        <family val="2"/>
      </rPr>
      <t>Howard,Dennison</t>
    </r>
  </si>
  <si>
    <r>
      <rPr>
        <b/>
        <sz val="8"/>
        <rFont val="Arial"/>
        <family val="2"/>
      </rPr>
      <t>Howard,Elizabeth</t>
    </r>
  </si>
  <si>
    <r>
      <rPr>
        <i/>
        <sz val="8"/>
        <rFont val="Arial"/>
        <family val="2"/>
      </rPr>
      <t>Howard,Jeffrey</t>
    </r>
  </si>
  <si>
    <r>
      <rPr>
        <b/>
        <sz val="8"/>
        <rFont val="Arial"/>
        <family val="2"/>
      </rPr>
      <t>howell,Elizabeth,d</t>
    </r>
  </si>
  <si>
    <r>
      <rPr>
        <i/>
        <sz val="8"/>
        <rFont val="Arial"/>
        <family val="2"/>
      </rPr>
      <t>Howell,Brian,X</t>
    </r>
  </si>
  <si>
    <r>
      <rPr>
        <i/>
        <sz val="8"/>
        <rFont val="Arial"/>
        <family val="2"/>
      </rPr>
      <t>Howell,Pierce,X</t>
    </r>
  </si>
  <si>
    <r>
      <rPr>
        <b/>
        <sz val="8"/>
        <rFont val="Arial"/>
        <family val="2"/>
      </rPr>
      <t>Imamura,Kimberly</t>
    </r>
  </si>
  <si>
    <r>
      <rPr>
        <b/>
        <sz val="8"/>
        <rFont val="Arial"/>
        <family val="2"/>
      </rPr>
      <t>Jackson,Jannay,H</t>
    </r>
  </si>
  <si>
    <r>
      <rPr>
        <i/>
        <sz val="8"/>
        <rFont val="Arial"/>
        <family val="2"/>
      </rPr>
      <t>Jackson,Dylan,R</t>
    </r>
  </si>
  <si>
    <r>
      <rPr>
        <i/>
        <sz val="8"/>
        <rFont val="Arial"/>
        <family val="2"/>
      </rPr>
      <t>Jackson,Hanna</t>
    </r>
  </si>
  <si>
    <r>
      <rPr>
        <b/>
        <sz val="8"/>
        <rFont val="Arial"/>
        <family val="2"/>
      </rPr>
      <t>Jelinek,Jan,M</t>
    </r>
  </si>
  <si>
    <r>
      <rPr>
        <b/>
        <sz val="8"/>
        <rFont val="Arial"/>
        <family val="2"/>
      </rPr>
      <t>Jett,Jonathan</t>
    </r>
  </si>
  <si>
    <r>
      <rPr>
        <b/>
        <sz val="8"/>
        <rFont val="Arial"/>
        <family val="2"/>
      </rPr>
      <t>^Johnson,Geralynn</t>
    </r>
  </si>
  <si>
    <r>
      <rPr>
        <b/>
        <sz val="8"/>
        <rFont val="Arial"/>
        <family val="2"/>
      </rPr>
      <t>^Jordan,Howard,C</t>
    </r>
  </si>
  <si>
    <r>
      <rPr>
        <b/>
        <sz val="8"/>
        <rFont val="Arial"/>
        <family val="2"/>
      </rPr>
      <t>Kamagi,Juanita</t>
    </r>
  </si>
  <si>
    <r>
      <rPr>
        <b/>
        <sz val="8"/>
        <rFont val="Arial"/>
        <family val="2"/>
      </rPr>
      <t>^Kass,Matthew</t>
    </r>
  </si>
  <si>
    <r>
      <rPr>
        <b/>
        <sz val="8"/>
        <rFont val="Arial"/>
        <family val="2"/>
      </rPr>
      <t>Keel,Blaine,R</t>
    </r>
  </si>
  <si>
    <r>
      <rPr>
        <b/>
        <sz val="8"/>
        <rFont val="Arial"/>
        <family val="2"/>
      </rPr>
      <t>Khan,Nadim,S</t>
    </r>
  </si>
  <si>
    <r>
      <rPr>
        <b/>
        <sz val="8"/>
        <rFont val="Arial"/>
        <family val="2"/>
      </rPr>
      <t>Kritlow,Janet</t>
    </r>
  </si>
  <si>
    <r>
      <rPr>
        <b/>
        <sz val="8"/>
        <rFont val="Arial"/>
        <family val="2"/>
      </rPr>
      <t>Kulikova,Anna</t>
    </r>
  </si>
  <si>
    <r>
      <rPr>
        <b/>
        <sz val="8"/>
        <rFont val="Arial"/>
        <family val="2"/>
      </rPr>
      <t>LACEY,CYNTHIA</t>
    </r>
  </si>
  <si>
    <r>
      <rPr>
        <b/>
        <sz val="8"/>
        <rFont val="Arial"/>
        <family val="2"/>
      </rPr>
      <t>Lewis,Jeffrey,R</t>
    </r>
  </si>
  <si>
    <r>
      <rPr>
        <i/>
        <sz val="8"/>
        <rFont val="Arial"/>
        <family val="2"/>
      </rPr>
      <t>Lewis,Lillian</t>
    </r>
  </si>
  <si>
    <r>
      <rPr>
        <i/>
        <sz val="8"/>
        <rFont val="Arial"/>
        <family val="2"/>
      </rPr>
      <t>Lewis,Lisa</t>
    </r>
  </si>
  <si>
    <r>
      <rPr>
        <i/>
        <sz val="8"/>
        <rFont val="Arial"/>
        <family val="2"/>
      </rPr>
      <t>Lewis,Logan</t>
    </r>
  </si>
  <si>
    <r>
      <rPr>
        <b/>
        <sz val="8"/>
        <rFont val="Arial"/>
        <family val="2"/>
      </rPr>
      <t>^Logan,Mary,K</t>
    </r>
  </si>
  <si>
    <r>
      <rPr>
        <b/>
        <sz val="8"/>
        <rFont val="Arial"/>
        <family val="2"/>
      </rPr>
      <t>Luksch,Brenda</t>
    </r>
  </si>
  <si>
    <r>
      <rPr>
        <b/>
        <sz val="8"/>
        <rFont val="Arial"/>
        <family val="2"/>
      </rPr>
      <t>^Lund,Ghulam</t>
    </r>
  </si>
  <si>
    <r>
      <rPr>
        <i/>
        <sz val="8"/>
        <rFont val="Arial"/>
        <family val="2"/>
      </rPr>
      <t>^Baloch,Mahnoor</t>
    </r>
  </si>
  <si>
    <r>
      <rPr>
        <i/>
        <sz val="8"/>
        <rFont val="Arial"/>
        <family val="2"/>
      </rPr>
      <t>^Baloch,Miraal,K</t>
    </r>
  </si>
  <si>
    <r>
      <rPr>
        <i/>
        <sz val="8"/>
        <rFont val="Arial"/>
        <family val="2"/>
      </rPr>
      <t>^Baloch,Muhammad</t>
    </r>
  </si>
  <si>
    <r>
      <rPr>
        <i/>
        <sz val="8"/>
        <rFont val="Arial"/>
        <family val="2"/>
      </rPr>
      <t>^Khan,Malka</t>
    </r>
  </si>
  <si>
    <r>
      <rPr>
        <b/>
        <sz val="8"/>
        <rFont val="Arial"/>
        <family val="2"/>
      </rPr>
      <t>Madabhusi,Srinidhi</t>
    </r>
  </si>
  <si>
    <r>
      <rPr>
        <b/>
        <sz val="8"/>
        <rFont val="Arial"/>
        <family val="2"/>
      </rPr>
      <t>Martin,Sarah</t>
    </r>
  </si>
  <si>
    <r>
      <rPr>
        <i/>
        <sz val="8"/>
        <rFont val="Arial"/>
        <family val="2"/>
      </rPr>
      <t>Davies,Jeffrey</t>
    </r>
  </si>
  <si>
    <r>
      <rPr>
        <b/>
        <sz val="8"/>
        <rFont val="Arial"/>
        <family val="2"/>
      </rPr>
      <t>^Marugan,Josina</t>
    </r>
  </si>
  <si>
    <r>
      <rPr>
        <i/>
        <sz val="8"/>
        <rFont val="Arial"/>
        <family val="2"/>
      </rPr>
      <t>^Porotjo,Anthon</t>
    </r>
  </si>
  <si>
    <r>
      <rPr>
        <b/>
        <sz val="8"/>
        <rFont val="Arial"/>
        <family val="2"/>
      </rPr>
      <t>^McCann,Danielle,A</t>
    </r>
  </si>
  <si>
    <r>
      <rPr>
        <b/>
        <sz val="8"/>
        <rFont val="Arial"/>
        <family val="2"/>
      </rPr>
      <t>McCann,Terri</t>
    </r>
  </si>
  <si>
    <r>
      <rPr>
        <b/>
        <sz val="8"/>
        <rFont val="Arial"/>
        <family val="2"/>
      </rPr>
      <t>McCracken,Bryant,C</t>
    </r>
  </si>
  <si>
    <r>
      <rPr>
        <b/>
        <sz val="8"/>
        <rFont val="Arial"/>
        <family val="2"/>
      </rPr>
      <t>McKinzie,Kai</t>
    </r>
  </si>
  <si>
    <r>
      <rPr>
        <b/>
        <sz val="8"/>
        <rFont val="Arial"/>
        <family val="2"/>
      </rPr>
      <t>Messmer,Sheila</t>
    </r>
  </si>
  <si>
    <r>
      <rPr>
        <i/>
        <sz val="8"/>
        <rFont val="Arial"/>
        <family val="2"/>
      </rPr>
      <t>Messmer,Grace</t>
    </r>
  </si>
  <si>
    <r>
      <rPr>
        <b/>
        <sz val="8"/>
        <rFont val="Arial"/>
        <family val="2"/>
      </rPr>
      <t>^Mitchell,Michael,D</t>
    </r>
  </si>
  <si>
    <r>
      <rPr>
        <b/>
        <sz val="8"/>
        <rFont val="Arial"/>
        <family val="2"/>
      </rPr>
      <t>Moriarity,Kay</t>
    </r>
  </si>
  <si>
    <r>
      <rPr>
        <b/>
        <sz val="8"/>
        <rFont val="Arial"/>
        <family val="2"/>
      </rPr>
      <t>Murr,Carine</t>
    </r>
  </si>
  <si>
    <r>
      <rPr>
        <b/>
        <sz val="8"/>
        <rFont val="Arial"/>
        <family val="2"/>
      </rPr>
      <t>^Mwagale,Florence</t>
    </r>
  </si>
  <si>
    <r>
      <rPr>
        <b/>
        <sz val="8"/>
        <rFont val="Arial"/>
        <family val="2"/>
      </rPr>
      <t>Nachtsheim,Janene,G</t>
    </r>
  </si>
  <si>
    <r>
      <rPr>
        <i/>
        <sz val="8"/>
        <rFont val="Arial"/>
        <family val="2"/>
      </rPr>
      <t>Nachtsheim,Steve</t>
    </r>
  </si>
  <si>
    <r>
      <rPr>
        <b/>
        <sz val="8"/>
        <rFont val="Arial"/>
        <family val="2"/>
      </rPr>
      <t>Norton,Elizabeth</t>
    </r>
  </si>
  <si>
    <r>
      <rPr>
        <b/>
        <sz val="8"/>
        <rFont val="Arial"/>
        <family val="2"/>
      </rPr>
      <t>^Obermeyer,Gail</t>
    </r>
  </si>
  <si>
    <r>
      <rPr>
        <b/>
        <sz val="8"/>
        <rFont val="Arial"/>
        <family val="2"/>
      </rPr>
      <t>Oldfield,Gabrielle,L</t>
    </r>
  </si>
  <si>
    <r>
      <rPr>
        <i/>
        <sz val="8"/>
        <rFont val="Arial"/>
        <family val="2"/>
      </rPr>
      <t>Oldfield,Robert,A</t>
    </r>
  </si>
  <si>
    <r>
      <rPr>
        <b/>
        <sz val="8"/>
        <rFont val="Arial"/>
        <family val="2"/>
      </rPr>
      <t>Olds,Carole,E</t>
    </r>
  </si>
  <si>
    <r>
      <rPr>
        <b/>
        <sz val="8"/>
        <rFont val="Arial"/>
        <family val="2"/>
      </rPr>
      <t>Osler,Colleen,J</t>
    </r>
  </si>
  <si>
    <r>
      <rPr>
        <b/>
        <sz val="8"/>
        <rFont val="Arial"/>
        <family val="2"/>
      </rPr>
      <t>Palar,Albert,Y</t>
    </r>
  </si>
  <si>
    <r>
      <rPr>
        <i/>
        <sz val="8"/>
        <rFont val="Arial"/>
        <family val="2"/>
      </rPr>
      <t>Pioh,Ellen</t>
    </r>
  </si>
  <si>
    <r>
      <rPr>
        <b/>
        <sz val="8"/>
        <rFont val="Arial"/>
        <family val="2"/>
      </rPr>
      <t>Pangemanan,Angella,P</t>
    </r>
  </si>
  <si>
    <r>
      <rPr>
        <b/>
        <sz val="8"/>
        <rFont val="Arial"/>
        <family val="2"/>
      </rPr>
      <t>Pasqualetto,Katie</t>
    </r>
  </si>
  <si>
    <r>
      <rPr>
        <b/>
        <sz val="8"/>
        <rFont val="Arial"/>
        <family val="2"/>
      </rPr>
      <t>^Pavicich,Alex,N</t>
    </r>
  </si>
  <si>
    <r>
      <rPr>
        <b/>
        <sz val="8"/>
        <rFont val="Arial"/>
        <family val="2"/>
      </rPr>
      <t>^Perry,Anne,N</t>
    </r>
  </si>
  <si>
    <r>
      <rPr>
        <i/>
        <sz val="8"/>
        <rFont val="Arial"/>
        <family val="2"/>
      </rPr>
      <t>^Perry,Myles</t>
    </r>
  </si>
  <si>
    <r>
      <rPr>
        <b/>
        <sz val="8"/>
        <rFont val="Arial"/>
        <family val="2"/>
      </rPr>
      <t>Pokharel,Kishori</t>
    </r>
  </si>
  <si>
    <r>
      <rPr>
        <b/>
        <sz val="8"/>
        <rFont val="Arial"/>
        <family val="2"/>
      </rPr>
      <t>Pond,Laura</t>
    </r>
  </si>
  <si>
    <r>
      <rPr>
        <b/>
        <sz val="8"/>
        <rFont val="Arial"/>
        <family val="2"/>
      </rPr>
      <t>Prendergast,Michael</t>
    </r>
  </si>
  <si>
    <r>
      <rPr>
        <b/>
        <sz val="8"/>
        <rFont val="Arial"/>
        <family val="2"/>
      </rPr>
      <t>Putnam,Todd</t>
    </r>
  </si>
  <si>
    <r>
      <rPr>
        <i/>
        <sz val="8"/>
        <rFont val="Arial"/>
        <family val="2"/>
      </rPr>
      <t>Putnam,Dany,L</t>
    </r>
  </si>
  <si>
    <r>
      <rPr>
        <b/>
        <sz val="8"/>
        <rFont val="Arial"/>
        <family val="2"/>
      </rPr>
      <t>Qazi Azmi,Maria</t>
    </r>
  </si>
  <si>
    <r>
      <rPr>
        <b/>
        <sz val="8"/>
        <rFont val="Arial"/>
        <family val="2"/>
      </rPr>
      <t>Ramfar,Soulmaz</t>
    </r>
  </si>
  <si>
    <r>
      <rPr>
        <b/>
        <sz val="8"/>
        <rFont val="Arial"/>
        <family val="2"/>
      </rPr>
      <t>Ramirez,Mario</t>
    </r>
  </si>
  <si>
    <r>
      <rPr>
        <i/>
        <sz val="8"/>
        <rFont val="Arial"/>
        <family val="2"/>
      </rPr>
      <t>Ramirez,Cynthia</t>
    </r>
  </si>
  <si>
    <r>
      <rPr>
        <i/>
        <sz val="8"/>
        <rFont val="Arial"/>
        <family val="2"/>
      </rPr>
      <t>Ramirez,Roselia</t>
    </r>
  </si>
  <si>
    <r>
      <rPr>
        <b/>
        <sz val="8"/>
        <rFont val="Arial"/>
        <family val="2"/>
      </rPr>
      <t>Rassouli,Iradj</t>
    </r>
  </si>
  <si>
    <r>
      <rPr>
        <i/>
        <sz val="8"/>
        <rFont val="Arial"/>
        <family val="2"/>
      </rPr>
      <t>Khodadadi,Rahelh</t>
    </r>
  </si>
  <si>
    <r>
      <rPr>
        <b/>
        <sz val="8"/>
        <rFont val="Arial"/>
        <family val="2"/>
      </rPr>
      <t>Reddy</t>
    </r>
  </si>
  <si>
    <r>
      <rPr>
        <b/>
        <sz val="8"/>
        <rFont val="Arial"/>
        <family val="2"/>
      </rPr>
      <t>Nagalakunta,Moulindhar</t>
    </r>
  </si>
  <si>
    <r>
      <rPr>
        <b/>
        <sz val="8"/>
        <rFont val="Arial"/>
        <family val="2"/>
      </rPr>
      <t>Reilly,Tina</t>
    </r>
  </si>
  <si>
    <r>
      <rPr>
        <b/>
        <sz val="8"/>
        <rFont val="Arial"/>
        <family val="2"/>
      </rPr>
      <t>^Roark,Corey,M</t>
    </r>
  </si>
  <si>
    <r>
      <rPr>
        <i/>
        <sz val="8"/>
        <rFont val="Arial"/>
        <family val="2"/>
      </rPr>
      <t>^Roark,Blaike</t>
    </r>
  </si>
  <si>
    <r>
      <rPr>
        <i/>
        <sz val="8"/>
        <rFont val="Arial"/>
        <family val="2"/>
      </rPr>
      <t>^Roark,Cole</t>
    </r>
  </si>
  <si>
    <r>
      <rPr>
        <i/>
        <sz val="8"/>
        <rFont val="Arial"/>
        <family val="2"/>
      </rPr>
      <t>^Roark,Kinleigh</t>
    </r>
  </si>
  <si>
    <r>
      <rPr>
        <b/>
        <sz val="8"/>
        <rFont val="Arial"/>
        <family val="2"/>
      </rPr>
      <t>Sai Pavan Kumar Vedala,Venkata</t>
    </r>
  </si>
  <si>
    <r>
      <rPr>
        <b/>
        <sz val="8"/>
        <rFont val="Arial"/>
        <family val="2"/>
      </rPr>
      <t>Salazar,Brion</t>
    </r>
  </si>
  <si>
    <r>
      <rPr>
        <i/>
        <sz val="8"/>
        <rFont val="Arial"/>
        <family val="2"/>
      </rPr>
      <t>Salazar,Aspen</t>
    </r>
  </si>
  <si>
    <r>
      <rPr>
        <i/>
        <sz val="8"/>
        <rFont val="Arial"/>
        <family val="2"/>
      </rPr>
      <t>Salazar,Janie</t>
    </r>
  </si>
  <si>
    <r>
      <rPr>
        <i/>
        <sz val="8"/>
        <rFont val="Arial"/>
        <family val="2"/>
      </rPr>
      <t>Salazar,Lance</t>
    </r>
  </si>
  <si>
    <r>
      <rPr>
        <b/>
        <sz val="8"/>
        <rFont val="Arial"/>
        <family val="2"/>
      </rPr>
      <t>^Salganik,Boris</t>
    </r>
  </si>
  <si>
    <r>
      <rPr>
        <b/>
        <sz val="8"/>
        <rFont val="Arial"/>
        <family val="2"/>
      </rPr>
      <t>Sarfo,Emmanuel</t>
    </r>
  </si>
  <si>
    <r>
      <rPr>
        <b/>
        <sz val="8"/>
        <rFont val="Arial"/>
        <family val="2"/>
      </rPr>
      <t>Sastry Vemuri,Madhusudhana</t>
    </r>
  </si>
  <si>
    <r>
      <rPr>
        <i/>
        <sz val="8"/>
        <rFont val="Arial"/>
        <family val="2"/>
      </rPr>
      <t>Naga Vemuri,Purnima</t>
    </r>
  </si>
  <si>
    <r>
      <rPr>
        <i/>
        <sz val="8"/>
        <rFont val="Arial"/>
        <family val="2"/>
      </rPr>
      <t>Venkata Krishna Naga,Likhitha</t>
    </r>
  </si>
  <si>
    <r>
      <rPr>
        <i/>
        <sz val="8"/>
        <rFont val="Arial"/>
        <family val="2"/>
      </rPr>
      <t>Venkata Krishna Naga,Yasawini</t>
    </r>
  </si>
  <si>
    <r>
      <rPr>
        <b/>
        <sz val="8"/>
        <rFont val="Arial"/>
        <family val="2"/>
      </rPr>
      <t>Scott,Kathryn,M</t>
    </r>
  </si>
  <si>
    <r>
      <rPr>
        <b/>
        <sz val="8"/>
        <rFont val="Arial"/>
        <family val="2"/>
      </rPr>
      <t>Seep,Benjamin</t>
    </r>
  </si>
  <si>
    <r>
      <rPr>
        <i/>
        <sz val="8"/>
        <rFont val="Arial"/>
        <family val="2"/>
      </rPr>
      <t>Seep,Angela</t>
    </r>
  </si>
  <si>
    <r>
      <rPr>
        <i/>
        <sz val="8"/>
        <rFont val="Arial"/>
        <family val="2"/>
      </rPr>
      <t>Seep,Cameron</t>
    </r>
  </si>
  <si>
    <r>
      <rPr>
        <i/>
        <sz val="8"/>
        <rFont val="Arial"/>
        <family val="2"/>
      </rPr>
      <t>Seep,Denna</t>
    </r>
  </si>
  <si>
    <r>
      <rPr>
        <b/>
        <sz val="8"/>
        <rFont val="Arial"/>
        <family val="2"/>
      </rPr>
      <t>Selvage,Donnece,L</t>
    </r>
  </si>
  <si>
    <r>
      <rPr>
        <b/>
        <sz val="8"/>
        <rFont val="Arial"/>
        <family val="2"/>
      </rPr>
      <t>SHEPHERD,BRAD G</t>
    </r>
  </si>
  <si>
    <r>
      <rPr>
        <b/>
        <sz val="8"/>
        <rFont val="Arial"/>
        <family val="2"/>
      </rPr>
      <t>Sherman,Richard,W</t>
    </r>
  </si>
  <si>
    <r>
      <rPr>
        <b/>
        <sz val="8"/>
        <rFont val="Arial"/>
        <family val="2"/>
      </rPr>
      <t>Siao Suarez,Cristita</t>
    </r>
  </si>
  <si>
    <r>
      <rPr>
        <i/>
        <sz val="14"/>
        <rFont val="Arial"/>
        <family val="2"/>
      </rPr>
      <t xml:space="preserve">KPIF
</t>
    </r>
    <r>
      <rPr>
        <b/>
        <i/>
        <sz val="9"/>
        <rFont val="Arial"/>
        <family val="2"/>
      </rPr>
      <t>Lee,Joel N (C3026)</t>
    </r>
  </si>
  <si>
    <r>
      <rPr>
        <b/>
        <sz val="8"/>
        <rFont val="Arial"/>
        <family val="2"/>
      </rPr>
      <t>^Sibrel,Andrew,P</t>
    </r>
  </si>
  <si>
    <r>
      <rPr>
        <i/>
        <sz val="8"/>
        <rFont val="Arial"/>
        <family val="2"/>
      </rPr>
      <t xml:space="preserve">^Sibrel,Katherine,C
</t>
    </r>
    <r>
      <rPr>
        <i/>
        <sz val="8"/>
        <rFont val="Arial"/>
        <family val="2"/>
      </rPr>
      <t>^Sibrel,Zakary,T</t>
    </r>
  </si>
  <si>
    <r>
      <rPr>
        <b/>
        <sz val="8"/>
        <rFont val="Arial"/>
        <family val="2"/>
      </rPr>
      <t>Simons,James,E</t>
    </r>
  </si>
  <si>
    <r>
      <rPr>
        <b/>
        <sz val="8"/>
        <rFont val="Arial"/>
        <family val="2"/>
      </rPr>
      <t>Situ,Yuyuan</t>
    </r>
  </si>
  <si>
    <r>
      <rPr>
        <b/>
        <sz val="8"/>
        <rFont val="Arial"/>
        <family val="2"/>
      </rPr>
      <t>Smith,Audrey</t>
    </r>
  </si>
  <si>
    <r>
      <rPr>
        <i/>
        <sz val="8"/>
        <rFont val="Arial"/>
        <family val="2"/>
      </rPr>
      <t>Smith,Brandon</t>
    </r>
  </si>
  <si>
    <r>
      <rPr>
        <i/>
        <sz val="8"/>
        <rFont val="Arial"/>
        <family val="2"/>
      </rPr>
      <t>Smith,Stella</t>
    </r>
  </si>
  <si>
    <r>
      <rPr>
        <i/>
        <sz val="8"/>
        <rFont val="Arial"/>
        <family val="2"/>
      </rPr>
      <t>Smith,Zerah</t>
    </r>
  </si>
  <si>
    <r>
      <rPr>
        <b/>
        <sz val="8"/>
        <rFont val="Arial"/>
        <family val="2"/>
      </rPr>
      <t xml:space="preserve">^Smith,Joni,L
</t>
    </r>
    <r>
      <rPr>
        <i/>
        <sz val="8"/>
        <rFont val="Arial"/>
        <family val="2"/>
      </rPr>
      <t>^Smith,Michael,R</t>
    </r>
  </si>
  <si>
    <r>
      <rPr>
        <b/>
        <sz val="8"/>
        <rFont val="Arial"/>
        <family val="2"/>
      </rPr>
      <t>^Stepek,Tanya,F</t>
    </r>
  </si>
  <si>
    <r>
      <rPr>
        <b/>
        <sz val="8"/>
        <rFont val="Arial"/>
        <family val="2"/>
      </rPr>
      <t>Sumakul,Steven</t>
    </r>
  </si>
  <si>
    <r>
      <rPr>
        <i/>
        <sz val="8"/>
        <rFont val="Arial"/>
        <family val="2"/>
      </rPr>
      <t>Untu,Junita</t>
    </r>
  </si>
  <si>
    <r>
      <rPr>
        <b/>
        <sz val="8"/>
        <rFont val="Arial"/>
        <family val="2"/>
      </rPr>
      <t>Szeredy,Patricia,S</t>
    </r>
  </si>
  <si>
    <r>
      <rPr>
        <b/>
        <sz val="8"/>
        <rFont val="Arial"/>
        <family val="2"/>
      </rPr>
      <t>Tasci,Halei</t>
    </r>
  </si>
  <si>
    <r>
      <rPr>
        <b/>
        <sz val="8"/>
        <rFont val="Arial"/>
        <family val="2"/>
      </rPr>
      <t>^Tchokoumeni,Julienne</t>
    </r>
  </si>
  <si>
    <r>
      <rPr>
        <b/>
        <sz val="8"/>
        <rFont val="Arial"/>
        <family val="2"/>
      </rPr>
      <t>^Tengey,TimothyKwadzo</t>
    </r>
  </si>
  <si>
    <r>
      <rPr>
        <b/>
        <sz val="8"/>
        <rFont val="Arial"/>
        <family val="2"/>
      </rPr>
      <t>Tunazzin,Nafisa</t>
    </r>
  </si>
  <si>
    <r>
      <rPr>
        <b/>
        <sz val="8"/>
        <rFont val="Arial"/>
        <family val="2"/>
      </rPr>
      <t>Turner,Patrick</t>
    </r>
  </si>
  <si>
    <r>
      <rPr>
        <i/>
        <sz val="8"/>
        <rFont val="Arial"/>
        <family val="2"/>
      </rPr>
      <t>Turner,Amy,K</t>
    </r>
  </si>
  <si>
    <r>
      <rPr>
        <i/>
        <sz val="8"/>
        <rFont val="Arial"/>
        <family val="2"/>
      </rPr>
      <t>Turner,Annie,K</t>
    </r>
  </si>
  <si>
    <r>
      <rPr>
        <i/>
        <sz val="8"/>
        <rFont val="Arial"/>
        <family val="2"/>
      </rPr>
      <t>Turner,Thomas,R</t>
    </r>
  </si>
  <si>
    <r>
      <rPr>
        <b/>
        <sz val="8"/>
        <rFont val="Arial"/>
        <family val="2"/>
      </rPr>
      <t>Uhrman,Wayne</t>
    </r>
  </si>
  <si>
    <r>
      <rPr>
        <b/>
        <sz val="8"/>
        <rFont val="Arial"/>
        <family val="2"/>
      </rPr>
      <t>Van Der Bosch,Suzanne,N</t>
    </r>
  </si>
  <si>
    <r>
      <rPr>
        <i/>
        <sz val="8"/>
        <rFont val="Arial"/>
        <family val="2"/>
      </rPr>
      <t>Van Der Bosch,John</t>
    </r>
  </si>
  <si>
    <r>
      <rPr>
        <b/>
        <sz val="8"/>
        <rFont val="Arial"/>
        <family val="2"/>
      </rPr>
      <t>^Vaughan,William</t>
    </r>
  </si>
  <si>
    <r>
      <rPr>
        <i/>
        <sz val="8"/>
        <rFont val="Arial"/>
        <family val="2"/>
      </rPr>
      <t>^Vaughan,Jacob</t>
    </r>
  </si>
  <si>
    <r>
      <rPr>
        <i/>
        <sz val="8"/>
        <rFont val="Arial"/>
        <family val="2"/>
      </rPr>
      <t>^Vaughan,Jennifer</t>
    </r>
  </si>
  <si>
    <r>
      <rPr>
        <i/>
        <sz val="8"/>
        <rFont val="Arial"/>
        <family val="2"/>
      </rPr>
      <t>^Vaughan,Joseph</t>
    </r>
  </si>
  <si>
    <r>
      <rPr>
        <b/>
        <sz val="8"/>
        <rFont val="Arial"/>
        <family val="2"/>
      </rPr>
      <t>Waddill,Robert</t>
    </r>
  </si>
  <si>
    <r>
      <rPr>
        <b/>
        <sz val="8"/>
        <rFont val="Arial"/>
        <family val="2"/>
      </rPr>
      <t>^Wagner,Karen,D</t>
    </r>
  </si>
  <si>
    <r>
      <rPr>
        <b/>
        <sz val="8"/>
        <rFont val="Arial"/>
        <family val="2"/>
      </rPr>
      <t>Walker,Timothy,A</t>
    </r>
  </si>
  <si>
    <r>
      <rPr>
        <b/>
        <sz val="8"/>
        <rFont val="Arial"/>
        <family val="2"/>
      </rPr>
      <t>^Wenngren,Claire</t>
    </r>
  </si>
  <si>
    <r>
      <rPr>
        <b/>
        <sz val="8"/>
        <rFont val="Arial"/>
        <family val="2"/>
      </rPr>
      <t>^Zappolo,John,P</t>
    </r>
  </si>
  <si>
    <r>
      <rPr>
        <b/>
        <sz val="9"/>
        <rFont val="Arial"/>
        <family val="2"/>
      </rPr>
      <t>KPIF Members:</t>
    </r>
  </si>
  <si>
    <r>
      <rPr>
        <sz val="8"/>
        <rFont val="Arial"/>
        <family val="2"/>
      </rPr>
      <t>Subtotal</t>
    </r>
  </si>
  <si>
    <r>
      <rPr>
        <sz val="10"/>
        <rFont val="Times New Roman"/>
        <family val="1"/>
      </rPr>
      <t>^Active, direct (unbrokered) members who become brokered are ineligible for commission</t>
    </r>
  </si>
  <si>
    <r>
      <rPr>
        <sz val="16"/>
        <rFont val="Microsoft Sans Serif"/>
        <family val="2"/>
      </rPr>
      <t>Summary</t>
    </r>
  </si>
  <si>
    <r>
      <rPr>
        <sz val="9"/>
        <rFont val="Arial"/>
        <family val="2"/>
      </rPr>
      <t>Tota</t>
    </r>
  </si>
  <si>
    <r>
      <rPr>
        <sz val="12"/>
        <rFont val="Arial"/>
        <family val="2"/>
      </rPr>
      <t>Group</t>
    </r>
  </si>
  <si>
    <r>
      <rPr>
        <sz val="10"/>
        <rFont val="Arial"/>
        <family val="2"/>
      </rPr>
      <t xml:space="preserve">Per Subscriber Per Month:                                                                </t>
    </r>
    <r>
      <rPr>
        <vertAlign val="superscript"/>
        <sz val="9"/>
        <rFont val="Arial"/>
        <family val="2"/>
      </rPr>
      <t xml:space="preserve">$175.00
</t>
    </r>
    <r>
      <rPr>
        <sz val="10"/>
        <rFont val="Arial"/>
        <family val="2"/>
      </rPr>
      <t xml:space="preserve">Negotiated:   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Bonus Payments:                                                              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</si>
  <si>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KPIF</t>
    </r>
  </si>
  <si>
    <r>
      <rPr>
        <vertAlign val="subscript"/>
        <sz val="10"/>
        <rFont val="Arial"/>
        <family val="2"/>
      </rPr>
      <t xml:space="preserve">KPIF:                                                                                               </t>
    </r>
    <r>
      <rPr>
        <sz val="9"/>
        <rFont val="Arial"/>
        <family val="2"/>
      </rPr>
      <t xml:space="preserve">$3,294.00
</t>
    </r>
    <r>
      <rPr>
        <sz val="10"/>
        <rFont val="Arial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New Sales Incentive:                                                                            </t>
    </r>
    <r>
      <rPr>
        <vertAlign val="superscript"/>
        <sz val="9"/>
        <rFont val="Arial"/>
        <family val="2"/>
      </rPr>
      <t>$0.00</t>
    </r>
  </si>
  <si>
    <r>
      <rPr>
        <sz val="13"/>
        <rFont val="Arial"/>
        <family val="2"/>
      </rPr>
      <t>Total Commission Paid:</t>
    </r>
  </si>
  <si>
    <r>
      <rPr>
        <b/>
        <sz val="10"/>
        <rFont val="Arial"/>
        <family val="2"/>
      </rPr>
      <t>We appreciate your business and support of Kaiser Permanente</t>
    </r>
  </si>
  <si>
    <r>
      <rPr>
        <b/>
        <sz val="10"/>
        <rFont val="Arial"/>
        <family val="2"/>
      </rPr>
      <t>Check will be mailed under separate cover. For EFT accounts, check with your financial institution.</t>
    </r>
  </si>
  <si>
    <r>
      <rPr>
        <b/>
        <sz val="12"/>
        <rFont val="Microsoft Sans Serif"/>
        <family val="2"/>
      </rPr>
      <t>Grand Summary Of Compensation</t>
    </r>
  </si>
  <si>
    <r>
      <rPr>
        <sz val="10"/>
        <rFont val="Arial"/>
        <family val="2"/>
      </rPr>
      <t>Commission</t>
    </r>
  </si>
  <si>
    <r>
      <rPr>
        <sz val="10"/>
        <rFont val="Arial"/>
        <family val="2"/>
      </rPr>
      <t>Bonus Payments</t>
    </r>
  </si>
  <si>
    <r>
      <rPr>
        <b/>
        <sz val="12"/>
        <rFont val="Microsoft Sans Serif"/>
        <family val="2"/>
      </rPr>
      <t>Total Compensation:       $3,469.00</t>
    </r>
  </si>
  <si>
    <r>
      <t xml:space="preserve">Battery Tech Inc
</t>
    </r>
    <r>
      <rPr>
        <sz val="9"/>
        <rFont val="Arial"/>
        <family val="2"/>
      </rPr>
      <t xml:space="preserve">Cgfr Group Inc
</t>
    </r>
    <r>
      <rPr>
        <sz val="9"/>
        <rFont val="Arial"/>
        <family val="2"/>
      </rPr>
      <t>Johnson &amp; Hendrix LLC</t>
    </r>
  </si>
  <si>
    <r>
      <t xml:space="preserve">37249
</t>
    </r>
    <r>
      <rPr>
        <sz val="8"/>
        <rFont val="Arial"/>
        <family val="2"/>
      </rPr>
      <t xml:space="preserve">41379
</t>
    </r>
    <r>
      <rPr>
        <sz val="8"/>
        <rFont val="Arial"/>
        <family val="2"/>
      </rPr>
      <t>38910</t>
    </r>
  </si>
  <si>
    <t>Jan</t>
  </si>
  <si>
    <t>Geske,Heather</t>
  </si>
  <si>
    <t>Lee,Joel</t>
  </si>
  <si>
    <t>Payment Received Date</t>
  </si>
  <si>
    <t>Payment Received</t>
  </si>
  <si>
    <t>% Dues Paid</t>
  </si>
  <si>
    <t>Alejos,Carla,N</t>
  </si>
  <si>
    <t>Alejos,Nerloune</t>
  </si>
  <si>
    <t>Alexander,Gregory,A</t>
  </si>
  <si>
    <t>Brown,Bryn</t>
  </si>
  <si>
    <t>Brown,Connor</t>
  </si>
  <si>
    <t>Brown,Emmelyn</t>
  </si>
  <si>
    <t>Brown,Jeremy</t>
  </si>
  <si>
    <t>Carroll,Robert,C</t>
  </si>
  <si>
    <t>Chavez,Dray,N</t>
  </si>
  <si>
    <t>Chinn,Robert,W</t>
  </si>
  <si>
    <t>Coleman,Nancy,A</t>
  </si>
  <si>
    <t>Dermont,Jacob,D</t>
  </si>
  <si>
    <t>Fisher,Tom,S</t>
  </si>
  <si>
    <t>Gorecki,Audra</t>
  </si>
  <si>
    <t>Haman,Gregory,P</t>
  </si>
  <si>
    <t>Hardin,Grace</t>
  </si>
  <si>
    <t>Houston,Valorie</t>
  </si>
  <si>
    <t>Houston,Harvey</t>
  </si>
  <si>
    <t>Hui,Louie</t>
  </si>
  <si>
    <t>Hui,Carmen</t>
  </si>
  <si>
    <t>Jensen,Donald</t>
  </si>
  <si>
    <t>Nesmith,Cody,A</t>
  </si>
  <si>
    <t>Reyna,Diego,A</t>
  </si>
  <si>
    <t>Riebling,Stephen</t>
  </si>
  <si>
    <t>Ruybal,Ramona</t>
  </si>
  <si>
    <t>Sutherland,Scott</t>
  </si>
  <si>
    <t>Trujillo,John</t>
  </si>
  <si>
    <t>Walter,Wendy</t>
  </si>
  <si>
    <t>Walters,Elizabeth</t>
  </si>
  <si>
    <t>Walters,Anthony</t>
  </si>
  <si>
    <t>Walters,Emma</t>
  </si>
  <si>
    <t>Agrich,Lyudmila</t>
  </si>
  <si>
    <t>Agrich,Sergy</t>
  </si>
  <si>
    <t>Akridge,Korinne,L</t>
  </si>
  <si>
    <t>Ameh,Shammah,E</t>
  </si>
  <si>
    <t>Anderson,Stacey,R</t>
  </si>
  <si>
    <t>Anderson,John,L</t>
  </si>
  <si>
    <t>Atta Senior Essel,Augustine</t>
  </si>
  <si>
    <t>Sarno,Ezra</t>
  </si>
  <si>
    <t>Senoga,Twaha</t>
  </si>
  <si>
    <t>Bell,Carey,L</t>
  </si>
  <si>
    <t>Blankenship,Karen,F</t>
  </si>
  <si>
    <t>Bourbonnie,Jaime</t>
  </si>
  <si>
    <t>Bray,Emma,R</t>
  </si>
  <si>
    <t>Brown,Pamela,R</t>
  </si>
  <si>
    <t>Brunkhardt,Lacey,A</t>
  </si>
  <si>
    <t>Buffington,Donna</t>
  </si>
  <si>
    <t>Buffington,Avery</t>
  </si>
  <si>
    <t>Buffington,Dean</t>
  </si>
  <si>
    <t>Butyn,Xiaoqian</t>
  </si>
  <si>
    <t>CalleroPenny,Holly,M</t>
  </si>
  <si>
    <t>Penny,Madison</t>
  </si>
  <si>
    <t>Chen,Kevin</t>
  </si>
  <si>
    <t>Chichester,Jeff</t>
  </si>
  <si>
    <t>Colorosa,Rachel</t>
  </si>
  <si>
    <t>Costley,Joshua</t>
  </si>
  <si>
    <t>Craft,Curtis</t>
  </si>
  <si>
    <t>Craig,Angela,R</t>
  </si>
  <si>
    <t>Enaasen,Eskil,H</t>
  </si>
  <si>
    <t>Ewing,Justin</t>
  </si>
  <si>
    <t>Ewing,Danielle</t>
  </si>
  <si>
    <t>Freeman,Lorraine</t>
  </si>
  <si>
    <t>Friend,Michael</t>
  </si>
  <si>
    <t>Friend,Alyssa</t>
  </si>
  <si>
    <t>Friend,Ryan</t>
  </si>
  <si>
    <t>Friend,Della</t>
  </si>
  <si>
    <t>Gallagher,Elizabeth,M</t>
  </si>
  <si>
    <t>Garcia,Sabrina,M</t>
  </si>
  <si>
    <t>Gusakova,Svetlana</t>
  </si>
  <si>
    <t>Gusakov,Gennady</t>
  </si>
  <si>
    <t>Hardy,Jann,M</t>
  </si>
  <si>
    <t>Harsh,Jeffrey</t>
  </si>
  <si>
    <t>Hearns,Augustus</t>
  </si>
  <si>
    <t>Hemley,Jonathon</t>
  </si>
  <si>
    <t>House,Sonya,L</t>
  </si>
  <si>
    <t>Howard,Dennison</t>
  </si>
  <si>
    <t>Howard,Elizabeth</t>
  </si>
  <si>
    <t>Howard,Jeffrey</t>
  </si>
  <si>
    <t>howell,Elizabeth,d</t>
  </si>
  <si>
    <t>Howell,Brian,X</t>
  </si>
  <si>
    <t>Howell,Pierce,X</t>
  </si>
  <si>
    <t>Jackson,Jannay,H</t>
  </si>
  <si>
    <t>Jackson,Hanna</t>
  </si>
  <si>
    <t>Jelinek,Jan,M</t>
  </si>
  <si>
    <t>Jett,Jonathan</t>
  </si>
  <si>
    <t>Kamagi,Juanita</t>
  </si>
  <si>
    <t>Keel,Blaine,R</t>
  </si>
  <si>
    <t>Khan,Nadim,S</t>
  </si>
  <si>
    <t>Kritlow,Janet</t>
  </si>
  <si>
    <t>Kulikova,Anna</t>
  </si>
  <si>
    <t>LACEY,CYNTHIA</t>
  </si>
  <si>
    <t>Lewis,Jeffrey,R</t>
  </si>
  <si>
    <t>Lewis,Lillian</t>
  </si>
  <si>
    <t>Lewis,Lisa</t>
  </si>
  <si>
    <t>Lewis,Logan</t>
  </si>
  <si>
    <t>Luksch,Brenda</t>
  </si>
  <si>
    <t>Madabhusi,Srinidhi</t>
  </si>
  <si>
    <t>Martin,Sarah</t>
  </si>
  <si>
    <t>Davies,Jeffrey</t>
  </si>
  <si>
    <t>McCann,Terri</t>
  </si>
  <si>
    <t>McCracken,Bryant,C</t>
  </si>
  <si>
    <t>McKinzie,Kai</t>
  </si>
  <si>
    <t>Messmer,Sheila</t>
  </si>
  <si>
    <t>Messmer,Grace</t>
  </si>
  <si>
    <t>Moriarity,Kay</t>
  </si>
  <si>
    <t>Murr,Carine</t>
  </si>
  <si>
    <t>Nachtsheim,Janene,G</t>
  </si>
  <si>
    <t>Nachtsheim,Steve</t>
  </si>
  <si>
    <t>Oldfield,Gabrielle,L</t>
  </si>
  <si>
    <t>Oldfield,Robert,A</t>
  </si>
  <si>
    <t>Palar,Albert,Y</t>
  </si>
  <si>
    <t>Pioh,Ellen</t>
  </si>
  <si>
    <t>Pangemanan,Angella,P</t>
  </si>
  <si>
    <t>Pokharel,Kishori</t>
  </si>
  <si>
    <t>Prendergast,Michael</t>
  </si>
  <si>
    <t>Qazi Azmi,Maria</t>
  </si>
  <si>
    <t>Ramirez,Mario</t>
  </si>
  <si>
    <t>Ramirez,Cynthia</t>
  </si>
  <si>
    <t>Ramirez,Roselia</t>
  </si>
  <si>
    <t>Rassouli,Iradj</t>
  </si>
  <si>
    <t>Khodadadi,Rahelh</t>
  </si>
  <si>
    <t>Salazar,Brion</t>
  </si>
  <si>
    <t>Salazar,Aspen</t>
  </si>
  <si>
    <t>Salazar,Janie</t>
  </si>
  <si>
    <t>Salazar,Lance</t>
  </si>
  <si>
    <t>Sarfo,Emmanuel</t>
  </si>
  <si>
    <t>Sastry Vemuri,Madhusudhana</t>
  </si>
  <si>
    <t>Naga Vemuri,Purnima</t>
  </si>
  <si>
    <t>Seep,Benjamin</t>
  </si>
  <si>
    <t>Seep,Angela</t>
  </si>
  <si>
    <t>Seep,Cameron</t>
  </si>
  <si>
    <t>Seep,Denna</t>
  </si>
  <si>
    <t>Selvage,Donnece,L</t>
  </si>
  <si>
    <t>SHEPHERD,BRAD G</t>
  </si>
  <si>
    <t>Sherman,Richard,W</t>
  </si>
  <si>
    <t>Simons,James,E</t>
  </si>
  <si>
    <t>Smith,Audrey</t>
  </si>
  <si>
    <t>Smith,Brandon</t>
  </si>
  <si>
    <t>Smith,Stella</t>
  </si>
  <si>
    <t>Smith,Zerah</t>
  </si>
  <si>
    <t>Szeredy,Patricia,S</t>
  </si>
  <si>
    <t>Tasci,Halei</t>
  </si>
  <si>
    <t>Tunazzin,Nafisa</t>
  </si>
  <si>
    <t>Turner,Patrick</t>
  </si>
  <si>
    <t>Uhrman,Wayne</t>
  </si>
  <si>
    <t>Van Der Bosch,Suzanne,N</t>
  </si>
  <si>
    <t>Waddill,Robert</t>
  </si>
  <si>
    <r>
      <rPr>
        <i/>
        <sz val="10"/>
        <rFont val="Calibri"/>
        <family val="2"/>
        <scheme val="minor"/>
      </rPr>
      <t>Venkata Krishna Naga,Likhitha</t>
    </r>
  </si>
  <si>
    <r>
      <rPr>
        <i/>
        <sz val="10"/>
        <rFont val="Calibri"/>
        <family val="2"/>
        <scheme val="minor"/>
      </rPr>
      <t>Venkata Krishna Naga,Yasawini</t>
    </r>
  </si>
  <si>
    <r>
      <rPr>
        <sz val="10"/>
        <rFont val="Calibri"/>
        <family val="2"/>
        <scheme val="minor"/>
      </rPr>
      <t xml:space="preserve">Commission Last Paid
</t>
    </r>
    <r>
      <rPr>
        <vertAlign val="subscript"/>
        <sz val="10"/>
        <rFont val="Calibri"/>
        <family val="2"/>
        <scheme val="minor"/>
      </rPr>
      <t xml:space="preserve">Rate                                  </t>
    </r>
    <r>
      <rPr>
        <sz val="10"/>
        <rFont val="Calibri"/>
        <family val="2"/>
        <scheme val="minor"/>
      </rPr>
      <t>Total Commission</t>
    </r>
  </si>
  <si>
    <r>
      <rPr>
        <sz val="10"/>
        <rFont val="Calibri"/>
        <family val="2"/>
        <scheme val="minor"/>
      </rPr>
      <t xml:space="preserve">Daly,Jesse,M
</t>
    </r>
    <r>
      <rPr>
        <i/>
        <sz val="10"/>
        <rFont val="Calibri"/>
        <family val="2"/>
        <scheme val="minor"/>
      </rPr>
      <t>^Daly,Imagine</t>
    </r>
  </si>
  <si>
    <t>Alejos</t>
  </si>
  <si>
    <t>Carla</t>
  </si>
  <si>
    <t>Nerloune</t>
  </si>
  <si>
    <t>Alexander</t>
  </si>
  <si>
    <t>Gregory</t>
  </si>
  <si>
    <t>Brown</t>
  </si>
  <si>
    <t>Bryn</t>
  </si>
  <si>
    <t>Connor</t>
  </si>
  <si>
    <t>Emmelyn</t>
  </si>
  <si>
    <t>Jeremy</t>
  </si>
  <si>
    <t>Carroll</t>
  </si>
  <si>
    <t>Robert</t>
  </si>
  <si>
    <t>Chavez</t>
  </si>
  <si>
    <t>Dray</t>
  </si>
  <si>
    <t>Jeffrey</t>
  </si>
  <si>
    <t>Chinn</t>
  </si>
  <si>
    <t>Coleman</t>
  </si>
  <si>
    <t>Nancy</t>
  </si>
  <si>
    <t>Dermont</t>
  </si>
  <si>
    <t>Jacob</t>
  </si>
  <si>
    <t>Fisher</t>
  </si>
  <si>
    <t>Tom</t>
  </si>
  <si>
    <t>Gorecki</t>
  </si>
  <si>
    <t>Audra</t>
  </si>
  <si>
    <t>John</t>
  </si>
  <si>
    <t>Haman</t>
  </si>
  <si>
    <t>Hardin</t>
  </si>
  <si>
    <t>Grace</t>
  </si>
  <si>
    <t>Houston</t>
  </si>
  <si>
    <t>Valorie</t>
  </si>
  <si>
    <t>Harvey</t>
  </si>
  <si>
    <t>Hui</t>
  </si>
  <si>
    <t>Louie</t>
  </si>
  <si>
    <t>Carmen</t>
  </si>
  <si>
    <t>Jensen</t>
  </si>
  <si>
    <t>Donald</t>
  </si>
  <si>
    <t>Nesmith</t>
  </si>
  <si>
    <t>Cody</t>
  </si>
  <si>
    <t>Reyna</t>
  </si>
  <si>
    <t>Diego</t>
  </si>
  <si>
    <t>Riebling</t>
  </si>
  <si>
    <t>Stephen</t>
  </si>
  <si>
    <t>Ruybal</t>
  </si>
  <si>
    <t>Ramona</t>
  </si>
  <si>
    <t>Scott</t>
  </si>
  <si>
    <t>Sutherland</t>
  </si>
  <si>
    <t>Trujillo</t>
  </si>
  <si>
    <t>Walter</t>
  </si>
  <si>
    <t>Wendy</t>
  </si>
  <si>
    <t>Walters</t>
  </si>
  <si>
    <t>Elizabeth</t>
  </si>
  <si>
    <t>Anthony</t>
  </si>
  <si>
    <t>Emma</t>
  </si>
  <si>
    <t>Agrich</t>
  </si>
  <si>
    <t>Lyudmila</t>
  </si>
  <si>
    <t>Sergy</t>
  </si>
  <si>
    <t>Akridge</t>
  </si>
  <si>
    <t>Korinne</t>
  </si>
  <si>
    <t>Ameh</t>
  </si>
  <si>
    <t>Shammah</t>
  </si>
  <si>
    <t>Anderson</t>
  </si>
  <si>
    <t>Stacey</t>
  </si>
  <si>
    <t>Atta Senior Essel</t>
  </si>
  <si>
    <t>Augustine</t>
  </si>
  <si>
    <t>Sarno</t>
  </si>
  <si>
    <t>Ezra</t>
  </si>
  <si>
    <t>Senoga</t>
  </si>
  <si>
    <t>Twaha</t>
  </si>
  <si>
    <t>Bell</t>
  </si>
  <si>
    <t>Carey</t>
  </si>
  <si>
    <t>Blankenship</t>
  </si>
  <si>
    <t>Karen</t>
  </si>
  <si>
    <t>Bourbonnie</t>
  </si>
  <si>
    <t>Jaime</t>
  </si>
  <si>
    <t>Bray</t>
  </si>
  <si>
    <t>Pamela</t>
  </si>
  <si>
    <t>Brunkhardt</t>
  </si>
  <si>
    <t>Lacey</t>
  </si>
  <si>
    <t>Buffington</t>
  </si>
  <si>
    <t>Donna</t>
  </si>
  <si>
    <t>Avery</t>
  </si>
  <si>
    <t>Dean</t>
  </si>
  <si>
    <t>Butyn</t>
  </si>
  <si>
    <t>Xiaoqian</t>
  </si>
  <si>
    <t>CalleroPenny</t>
  </si>
  <si>
    <t>Holly</t>
  </si>
  <si>
    <t>Penny</t>
  </si>
  <si>
    <t>Madison</t>
  </si>
  <si>
    <t>Chen</t>
  </si>
  <si>
    <t>Kevin</t>
  </si>
  <si>
    <t>Chichester</t>
  </si>
  <si>
    <t>Jeff</t>
  </si>
  <si>
    <t>Colorosa</t>
  </si>
  <si>
    <t>Rachel</t>
  </si>
  <si>
    <t>Costley</t>
  </si>
  <si>
    <t>Joshua</t>
  </si>
  <si>
    <t>Craft</t>
  </si>
  <si>
    <t>Curtis</t>
  </si>
  <si>
    <t>Craig</t>
  </si>
  <si>
    <t>Angela</t>
  </si>
  <si>
    <t>Daly</t>
  </si>
  <si>
    <t>Jesse</t>
  </si>
  <si>
    <t>Enaasen</t>
  </si>
  <si>
    <t>Eskil</t>
  </si>
  <si>
    <t>Ewing</t>
  </si>
  <si>
    <t>Justin</t>
  </si>
  <si>
    <t>Danielle</t>
  </si>
  <si>
    <t>Freeman</t>
  </si>
  <si>
    <t>Lorraine</t>
  </si>
  <si>
    <t>Friend</t>
  </si>
  <si>
    <t>Michael</t>
  </si>
  <si>
    <t>Alyssa</t>
  </si>
  <si>
    <t>Ryan</t>
  </si>
  <si>
    <t>Della</t>
  </si>
  <si>
    <t>Gallagher</t>
  </si>
  <si>
    <t>Garcia</t>
  </si>
  <si>
    <t>Sabrina</t>
  </si>
  <si>
    <t>Gusakova</t>
  </si>
  <si>
    <t>Svetlana</t>
  </si>
  <si>
    <t>Gusakov</t>
  </si>
  <si>
    <t>Gennady</t>
  </si>
  <si>
    <t>Hardy</t>
  </si>
  <si>
    <t>Jann</t>
  </si>
  <si>
    <t>Harsh</t>
  </si>
  <si>
    <t>Hearns</t>
  </si>
  <si>
    <t>Augustus</t>
  </si>
  <si>
    <t>Hemley</t>
  </si>
  <si>
    <t>Jonathon</t>
  </si>
  <si>
    <t>House</t>
  </si>
  <si>
    <t>Sonya</t>
  </si>
  <si>
    <t>Howard</t>
  </si>
  <si>
    <t>Dennison</t>
  </si>
  <si>
    <t>howell</t>
  </si>
  <si>
    <t>Howell</t>
  </si>
  <si>
    <t>Brian</t>
  </si>
  <si>
    <t>Pierce</t>
  </si>
  <si>
    <t>Jackson</t>
  </si>
  <si>
    <t>Jannay</t>
  </si>
  <si>
    <t>Hanna</t>
  </si>
  <si>
    <t>Jelinek</t>
  </si>
  <si>
    <t>Jett</t>
  </si>
  <si>
    <t>Jonathan</t>
  </si>
  <si>
    <t>Kamagi</t>
  </si>
  <si>
    <t>Juanita</t>
  </si>
  <si>
    <t>Keel</t>
  </si>
  <si>
    <t>Blaine</t>
  </si>
  <si>
    <t>Khan</t>
  </si>
  <si>
    <t>Nadim</t>
  </si>
  <si>
    <t>Kritlow</t>
  </si>
  <si>
    <t>Janet</t>
  </si>
  <si>
    <t>Kulikova</t>
  </si>
  <si>
    <t>Anna</t>
  </si>
  <si>
    <t>LACEY</t>
  </si>
  <si>
    <t>CYNTHIA</t>
  </si>
  <si>
    <t>Lewis</t>
  </si>
  <si>
    <t>Lillian</t>
  </si>
  <si>
    <t>Lisa</t>
  </si>
  <si>
    <t>Logan</t>
  </si>
  <si>
    <t>Luksch</t>
  </si>
  <si>
    <t>Brenda</t>
  </si>
  <si>
    <t>Madabhusi</t>
  </si>
  <si>
    <t>Srinidhi</t>
  </si>
  <si>
    <t>Martin</t>
  </si>
  <si>
    <t>Sarah</t>
  </si>
  <si>
    <t>Davies</t>
  </si>
  <si>
    <t>McCann</t>
  </si>
  <si>
    <t>Terri</t>
  </si>
  <si>
    <t>McCracken</t>
  </si>
  <si>
    <t>Bryant</t>
  </si>
  <si>
    <t>McKinzie</t>
  </si>
  <si>
    <t>Kai</t>
  </si>
  <si>
    <t>Messmer</t>
  </si>
  <si>
    <t>Sheila</t>
  </si>
  <si>
    <t>Moriarity</t>
  </si>
  <si>
    <t>Kay</t>
  </si>
  <si>
    <t>Murr</t>
  </si>
  <si>
    <t>Carine</t>
  </si>
  <si>
    <t>Nachtsheim</t>
  </si>
  <si>
    <t>Janene</t>
  </si>
  <si>
    <t>Steve</t>
  </si>
  <si>
    <t>Oldfield</t>
  </si>
  <si>
    <t>Gabrielle</t>
  </si>
  <si>
    <t>Palar</t>
  </si>
  <si>
    <t>Albert</t>
  </si>
  <si>
    <t>Pioh</t>
  </si>
  <si>
    <t>Ellen</t>
  </si>
  <si>
    <t>Pangemanan</t>
  </si>
  <si>
    <t>Angella</t>
  </si>
  <si>
    <t>Pokharel</t>
  </si>
  <si>
    <t>Kishori</t>
  </si>
  <si>
    <t>Prendergast</t>
  </si>
  <si>
    <t>Qazi Azmi</t>
  </si>
  <si>
    <t>Maria</t>
  </si>
  <si>
    <t>Ramirez</t>
  </si>
  <si>
    <t>Mario</t>
  </si>
  <si>
    <t>Cynthia</t>
  </si>
  <si>
    <t>Roselia</t>
  </si>
  <si>
    <t>Rassouli</t>
  </si>
  <si>
    <t>Iradj</t>
  </si>
  <si>
    <t>Khodadadi</t>
  </si>
  <si>
    <t>Rahelh</t>
  </si>
  <si>
    <t>Salazar</t>
  </si>
  <si>
    <t>Brion</t>
  </si>
  <si>
    <t>Aspen</t>
  </si>
  <si>
    <t>Janie</t>
  </si>
  <si>
    <t>Lance</t>
  </si>
  <si>
    <t>Sarfo</t>
  </si>
  <si>
    <t>Emmanuel</t>
  </si>
  <si>
    <t>Sastry Vemuri</t>
  </si>
  <si>
    <t>Madhusudhana</t>
  </si>
  <si>
    <t>Naga Vemuri</t>
  </si>
  <si>
    <t>Purnima</t>
  </si>
  <si>
    <t>Venkata Krishna Naga</t>
  </si>
  <si>
    <t>Likhitha</t>
  </si>
  <si>
    <t>Yasawini</t>
  </si>
  <si>
    <t>Seep</t>
  </si>
  <si>
    <t>Benjamin</t>
  </si>
  <si>
    <t>Cameron</t>
  </si>
  <si>
    <t>Denna</t>
  </si>
  <si>
    <t>Selvage</t>
  </si>
  <si>
    <t>Donnece</t>
  </si>
  <si>
    <t>SHEPHERD</t>
  </si>
  <si>
    <t>BRAD G</t>
  </si>
  <si>
    <t>Sherman</t>
  </si>
  <si>
    <t>Richard</t>
  </si>
  <si>
    <t>Simons</t>
  </si>
  <si>
    <t>James</t>
  </si>
  <si>
    <t>Smith</t>
  </si>
  <si>
    <t>Audrey</t>
  </si>
  <si>
    <t>Brandon</t>
  </si>
  <si>
    <t>Stella</t>
  </si>
  <si>
    <t>Zerah</t>
  </si>
  <si>
    <t>Szeredy</t>
  </si>
  <si>
    <t>Patricia</t>
  </si>
  <si>
    <t>Tasci</t>
  </si>
  <si>
    <t>Halei</t>
  </si>
  <si>
    <t>Tunazzin</t>
  </si>
  <si>
    <t>Nafisa</t>
  </si>
  <si>
    <t>Turner</t>
  </si>
  <si>
    <t>Patrick</t>
  </si>
  <si>
    <t>Uhrman</t>
  </si>
  <si>
    <t>Wayne</t>
  </si>
  <si>
    <t>Van Der Bosch</t>
  </si>
  <si>
    <t>Suzanne</t>
  </si>
  <si>
    <t>Waddill</t>
  </si>
  <si>
    <t>1/1/2024</t>
  </si>
  <si>
    <t>2/1/2024</t>
  </si>
  <si>
    <t>6/1/2024</t>
  </si>
  <si>
    <t>1/1/2022</t>
  </si>
  <si>
    <t>10/1/2024</t>
  </si>
  <si>
    <t>1/1/2015</t>
  </si>
  <si>
    <t>5/1/2024</t>
  </si>
  <si>
    <t>4/1/2024</t>
  </si>
  <si>
    <t>3/1/2024</t>
  </si>
  <si>
    <t>2/1/2021</t>
  </si>
  <si>
    <t>9/1/2024</t>
  </si>
  <si>
    <t>1/1/2021</t>
  </si>
  <si>
    <t>Kaiser CO</t>
  </si>
  <si>
    <t>Last Name</t>
  </si>
  <si>
    <t>First Name</t>
  </si>
  <si>
    <t>Full Name</t>
  </si>
  <si>
    <t>Policy ID</t>
  </si>
  <si>
    <t>Eff Date</t>
  </si>
  <si>
    <t>Scott Sutherland</t>
  </si>
  <si>
    <t>Donnece Selvage</t>
  </si>
  <si>
    <t>BRAD G SHEPHERD</t>
  </si>
  <si>
    <t>Tom Fisher</t>
  </si>
  <si>
    <t>Brenda Luksch</t>
  </si>
  <si>
    <t>Carla Alejos</t>
  </si>
  <si>
    <t>Nerloune Alejos</t>
  </si>
  <si>
    <t>Gregory Alexander</t>
  </si>
  <si>
    <t>Bryn Brown</t>
  </si>
  <si>
    <t>Connor Brown</t>
  </si>
  <si>
    <t>Emmelyn Brown</t>
  </si>
  <si>
    <t>Jeremy Brown</t>
  </si>
  <si>
    <t>Robert Carroll</t>
  </si>
  <si>
    <t>Dray Chavez</t>
  </si>
  <si>
    <t>Jacob Dermont</t>
  </si>
  <si>
    <t>Audra Gorecki</t>
  </si>
  <si>
    <t>Grace Hardin</t>
  </si>
  <si>
    <t>Valorie Houston</t>
  </si>
  <si>
    <t>Harvey Houston</t>
  </si>
  <si>
    <t>Louie Hui</t>
  </si>
  <si>
    <t>Carmen Hui</t>
  </si>
  <si>
    <t>Donald Jensen</t>
  </si>
  <si>
    <t>Cody Nesmith</t>
  </si>
  <si>
    <t>Diego Reyna</t>
  </si>
  <si>
    <t>Stephen Riebling</t>
  </si>
  <si>
    <t>Ramona Ruybal</t>
  </si>
  <si>
    <t>John Trujillo</t>
  </si>
  <si>
    <t>Wendy Walter</t>
  </si>
  <si>
    <t>Lyudmila Agrich</t>
  </si>
  <si>
    <t>Sergy Agrich</t>
  </si>
  <si>
    <t>Korinne Akridge</t>
  </si>
  <si>
    <t>Stacey Anderson</t>
  </si>
  <si>
    <t>John Anderson</t>
  </si>
  <si>
    <t>Carey Bell</t>
  </si>
  <si>
    <t>Jaime Bourbonnie</t>
  </si>
  <si>
    <t>Emma Bray</t>
  </si>
  <si>
    <t>Pamela Brown</t>
  </si>
  <si>
    <t>Lacey Brunkhardt</t>
  </si>
  <si>
    <t>Donna Buffington</t>
  </si>
  <si>
    <t>Avery Buffington</t>
  </si>
  <si>
    <t>Dean Buffington</t>
  </si>
  <si>
    <t>Xiaoqian Butyn</t>
  </si>
  <si>
    <t>Holly CalleroPenny</t>
  </si>
  <si>
    <t>Madison Penny</t>
  </si>
  <si>
    <t>Kevin Chen</t>
  </si>
  <si>
    <t>Jeff Chichester</t>
  </si>
  <si>
    <t>Rachel Colorosa</t>
  </si>
  <si>
    <t>Angela Craig</t>
  </si>
  <si>
    <t>Justin Ewing</t>
  </si>
  <si>
    <t>Danielle Ewing</t>
  </si>
  <si>
    <t>Lorraine Freeman</t>
  </si>
  <si>
    <t>Michael Friend</t>
  </si>
  <si>
    <t>Alyssa Friend</t>
  </si>
  <si>
    <t>Ryan Friend</t>
  </si>
  <si>
    <t>Della Friend</t>
  </si>
  <si>
    <t>Elizabeth Gallagher</t>
  </si>
  <si>
    <t>Sabrina Garcia</t>
  </si>
  <si>
    <t>Svetlana Gusakova</t>
  </si>
  <si>
    <t>Gennady Gusakov</t>
  </si>
  <si>
    <t>Jann Hardy</t>
  </si>
  <si>
    <t>Jeffrey Harsh</t>
  </si>
  <si>
    <t>Augustus Hearns</t>
  </si>
  <si>
    <t>Jonathon Hemley</t>
  </si>
  <si>
    <t>Sonya House</t>
  </si>
  <si>
    <t>Dennison Howard</t>
  </si>
  <si>
    <t>Elizabeth Howard</t>
  </si>
  <si>
    <t>Jeffrey Howard</t>
  </si>
  <si>
    <t>Elizabeth howell</t>
  </si>
  <si>
    <t>Brian Howell</t>
  </si>
  <si>
    <t>Pierce Howell</t>
  </si>
  <si>
    <t>Jannay Jackson</t>
  </si>
  <si>
    <t>Hanna Jackson</t>
  </si>
  <si>
    <t>Jan Jelinek</t>
  </si>
  <si>
    <t>Jonathan Jett</t>
  </si>
  <si>
    <t>Juanita Kamagi</t>
  </si>
  <si>
    <t>Blaine Keel</t>
  </si>
  <si>
    <t>Nadim Khan</t>
  </si>
  <si>
    <t>Janet Kritlow</t>
  </si>
  <si>
    <t>Jeffrey Lewis</t>
  </si>
  <si>
    <t>Lillian Lewis</t>
  </si>
  <si>
    <t>Lisa Lewis</t>
  </si>
  <si>
    <t>Logan Lewis</t>
  </si>
  <si>
    <t>Sarah Martin</t>
  </si>
  <si>
    <t>Jeffrey Davies</t>
  </si>
  <si>
    <t>Terri McCann</t>
  </si>
  <si>
    <t>Bryant McCracken</t>
  </si>
  <si>
    <t>Sheila Messmer</t>
  </si>
  <si>
    <t>Grace Messmer</t>
  </si>
  <si>
    <t>Kay Moriarity</t>
  </si>
  <si>
    <t>Carine Murr</t>
  </si>
  <si>
    <t>Janene Nachtsheim</t>
  </si>
  <si>
    <t>Steve Nachtsheim</t>
  </si>
  <si>
    <t>Gabrielle Oldfield</t>
  </si>
  <si>
    <t>Robert Oldfield</t>
  </si>
  <si>
    <t>Albert Palar</t>
  </si>
  <si>
    <t>Ellen Pioh</t>
  </si>
  <si>
    <t>Angella Pangemanan</t>
  </si>
  <si>
    <t>Kishori Pokharel</t>
  </si>
  <si>
    <t>Michael Prendergast</t>
  </si>
  <si>
    <t>Maria Qazi Azmi</t>
  </si>
  <si>
    <t>Mario Ramirez</t>
  </si>
  <si>
    <t>Cynthia Ramirez</t>
  </si>
  <si>
    <t>Roselia Ramirez</t>
  </si>
  <si>
    <t>Iradj Rassouli</t>
  </si>
  <si>
    <t>Rahelh Khodadadi</t>
  </si>
  <si>
    <t>Brion Salazar</t>
  </si>
  <si>
    <t>Aspen Salazar</t>
  </si>
  <si>
    <t>Janie Salazar</t>
  </si>
  <si>
    <t>Lance Salazar</t>
  </si>
  <si>
    <t>Madhusudhana Sastry Vemuri</t>
  </si>
  <si>
    <t>Purnima Naga Vemuri</t>
  </si>
  <si>
    <t>Likhitha Venkata Krishna Naga</t>
  </si>
  <si>
    <t>Yasawini Venkata Krishna Naga</t>
  </si>
  <si>
    <t>Benjamin Seep</t>
  </si>
  <si>
    <t>Angela Seep</t>
  </si>
  <si>
    <t>Cameron Seep</t>
  </si>
  <si>
    <t>Denna Seep</t>
  </si>
  <si>
    <t>Richard Sherman</t>
  </si>
  <si>
    <t>James Simons</t>
  </si>
  <si>
    <t>Audrey Smith</t>
  </si>
  <si>
    <t>Brandon Smith</t>
  </si>
  <si>
    <t>Stella Smith</t>
  </si>
  <si>
    <t>Zerah Smith</t>
  </si>
  <si>
    <t>Patricia Szeredy</t>
  </si>
  <si>
    <t>Halei Tasci</t>
  </si>
  <si>
    <t>Nafisa Tunazzin</t>
  </si>
  <si>
    <t>Patrick Turner</t>
  </si>
  <si>
    <t>Wayne Uhrman</t>
  </si>
  <si>
    <t>Suzanne Van Der Bosch</t>
  </si>
  <si>
    <t>Gregory Haman</t>
  </si>
  <si>
    <t>Karen Blankenship</t>
  </si>
  <si>
    <t>CYNTHIA LACEY</t>
  </si>
  <si>
    <t>Robert Chinn</t>
  </si>
  <si>
    <t>Ezra Sarno</t>
  </si>
  <si>
    <t>Jesse Daly</t>
  </si>
  <si>
    <t>Robert Waddill</t>
  </si>
  <si>
    <t>Twaha Senoga</t>
  </si>
  <si>
    <t>Shammah Ameh</t>
  </si>
  <si>
    <t>Augustine Atta Senior Essel</t>
  </si>
  <si>
    <t>Eskil Enaasen</t>
  </si>
  <si>
    <t>Anna Kulikova</t>
  </si>
  <si>
    <t>Kai McKinzie</t>
  </si>
  <si>
    <t>Emmanuel Sarfo</t>
  </si>
  <si>
    <t>Elizabeth Walters</t>
  </si>
  <si>
    <t>Anthony Walters</t>
  </si>
  <si>
    <t>Emma Walters</t>
  </si>
  <si>
    <t>Joshua Costley</t>
  </si>
  <si>
    <t>Curtis Craft</t>
  </si>
  <si>
    <t>Nancy Coleman</t>
  </si>
  <si>
    <t>Srinidhi Madabhusi</t>
  </si>
  <si>
    <t>Sonja Burke</t>
  </si>
  <si>
    <t>Maximus Chavez</t>
  </si>
  <si>
    <t>Laura Christenson</t>
  </si>
  <si>
    <t>John Grigsby</t>
  </si>
  <si>
    <t>Annelise Nugent</t>
  </si>
  <si>
    <t>Aaron Sedley</t>
  </si>
  <si>
    <t>Scott Sisman</t>
  </si>
  <si>
    <t>Margaret Bagala</t>
  </si>
  <si>
    <t>Srinivasa Bharani Kumar Kilambi</t>
  </si>
  <si>
    <t>Kimberly Imamura</t>
  </si>
  <si>
    <t>Dylan Jackson</t>
  </si>
  <si>
    <t>Elizabeth Norton</t>
  </si>
  <si>
    <t>Carole Olds</t>
  </si>
  <si>
    <t>Colleen Osler</t>
  </si>
  <si>
    <t>Katie Pasqualetto</t>
  </si>
  <si>
    <t>Laura Pond</t>
  </si>
  <si>
    <t>Todd Putnam</t>
  </si>
  <si>
    <t>Soulmaz Ramfar</t>
  </si>
  <si>
    <t xml:space="preserve"> Reddy</t>
  </si>
  <si>
    <t>Tina Reilly</t>
  </si>
  <si>
    <t>Venkata Sai Pavan Kumar Vedala</t>
  </si>
  <si>
    <t>Kathryn Scott</t>
  </si>
  <si>
    <t>Cristita Siao Suarez</t>
  </si>
  <si>
    <t>Yuyuan Situ</t>
  </si>
  <si>
    <t>Steven Sumakul</t>
  </si>
  <si>
    <t>Junita Untu</t>
  </si>
  <si>
    <t>Amy Turner</t>
  </si>
  <si>
    <t>John Van Der Bosch</t>
  </si>
  <si>
    <t>Timothy Walker</t>
  </si>
  <si>
    <t>1/1/2025</t>
  </si>
  <si>
    <t>COL366</t>
  </si>
  <si>
    <t>COL367</t>
  </si>
  <si>
    <t>COL368</t>
  </si>
  <si>
    <t>COL369</t>
  </si>
  <si>
    <t>COL370</t>
  </si>
  <si>
    <t>COL371</t>
  </si>
  <si>
    <t>COL372</t>
  </si>
  <si>
    <t>COL373</t>
  </si>
  <si>
    <t>COL374</t>
  </si>
  <si>
    <t>COL375</t>
  </si>
  <si>
    <t>COL376</t>
  </si>
  <si>
    <t>COL377</t>
  </si>
  <si>
    <t>COL378</t>
  </si>
  <si>
    <t>COL379</t>
  </si>
  <si>
    <t>COL380</t>
  </si>
  <si>
    <t>COL381</t>
  </si>
  <si>
    <t>COL382</t>
  </si>
  <si>
    <t>COL383</t>
  </si>
  <si>
    <t>COL384</t>
  </si>
  <si>
    <t>COL385</t>
  </si>
  <si>
    <t>COL386</t>
  </si>
  <si>
    <t>COL387</t>
  </si>
  <si>
    <t>COL388</t>
  </si>
  <si>
    <t>COL389</t>
  </si>
  <si>
    <t>COL390</t>
  </si>
  <si>
    <t>COL391</t>
  </si>
  <si>
    <t>COL392</t>
  </si>
  <si>
    <t>COL393</t>
  </si>
  <si>
    <t>COL394</t>
  </si>
  <si>
    <t>[PMPM=2]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</si>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</sst>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m/dd/yyyy;@"/>
    <numFmt numFmtId="167" formatCode="0.00\ %"/>
  </numFmts>
  <fonts count="30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8"/>
      <color rgb="FF000000"/>
      <name val="Arial"/>
      <family val="2"/>
    </font>
    <font>
      <b/>
      <sz val="9"/>
      <name val="Arial"/>
      <family val="2"/>
    </font>
    <font>
      <i/>
      <sz val="14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Times New Roman"/>
      <family val="1"/>
    </font>
    <font>
      <sz val="16"/>
      <name val="Microsoft Sans Serif"/>
      <family val="2"/>
    </font>
    <font>
      <sz val="9"/>
      <name val="Arial"/>
      <family val="2"/>
    </font>
    <font>
      <sz val="12"/>
      <name val="Arial"/>
      <family val="2"/>
    </font>
    <font>
      <sz val="13"/>
      <color rgb="FF000000"/>
      <name val="Arial"/>
      <family val="2"/>
    </font>
    <font>
      <sz val="13"/>
      <name val="Arial"/>
      <family val="2"/>
    </font>
    <font>
      <b/>
      <sz val="10"/>
      <name val="Arial"/>
      <family val="2"/>
    </font>
    <font>
      <b/>
      <sz val="12"/>
      <name val="Microsoft Sans Serif"/>
      <family val="2"/>
    </font>
    <font>
      <sz val="10"/>
      <name val="Arial"/>
      <family val="2"/>
    </font>
    <font>
      <sz val="10"/>
      <color rgb="FF000000"/>
      <name val="Arial"/>
      <family val="2"/>
    </font>
    <font>
      <vertAlign val="superscript"/>
      <sz val="8"/>
      <name val="Arial"/>
      <family val="2"/>
    </font>
    <font>
      <b/>
      <vertAlign val="subscript"/>
      <sz val="9"/>
      <name val="Arial"/>
      <family val="2"/>
    </font>
    <font>
      <vertAlign val="superscript"/>
      <sz val="9"/>
      <name val="Arial"/>
      <family val="2"/>
    </font>
    <font>
      <vertAlign val="subscript"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left"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horizontal="left" vertical="top" wrapText="1"/>
    </xf>
    <xf numFmtId="166" fontId="25" fillId="0" borderId="0" xfId="0" applyNumberFormat="1" applyFont="1" applyAlignment="1">
      <alignment vertical="top" shrinkToFit="1"/>
    </xf>
    <xf numFmtId="164" fontId="25" fillId="0" borderId="0" xfId="0" applyNumberFormat="1" applyFont="1" applyAlignment="1">
      <alignment vertical="top" shrinkToFit="1"/>
    </xf>
    <xf numFmtId="167" fontId="25" fillId="0" borderId="0" xfId="0" applyNumberFormat="1" applyFont="1" applyAlignment="1">
      <alignment vertical="top" shrinkToFit="1"/>
    </xf>
    <xf numFmtId="0" fontId="26" fillId="0" borderId="0" xfId="0" applyFont="1" applyAlignment="1">
      <alignment vertical="top" wrapText="1"/>
    </xf>
    <xf numFmtId="165" fontId="25" fillId="0" borderId="0" xfId="0" applyNumberFormat="1" applyFont="1" applyAlignment="1">
      <alignment vertical="top" shrinkToFi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164" fontId="27" fillId="0" borderId="0" xfId="0" applyNumberFormat="1" applyFont="1" applyAlignment="1">
      <alignment vertical="top" wrapText="1"/>
    </xf>
    <xf numFmtId="164" fontId="26" fillId="0" borderId="0" xfId="0" applyNumberFormat="1" applyFont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6" fillId="0" borderId="9" xfId="0" applyFont="1" applyBorder="1" applyAlignment="1">
      <alignment horizontal="left" vertical="top" wrapText="1" indent="1"/>
    </xf>
    <xf numFmtId="0" fontId="16" fillId="0" borderId="10" xfId="0" applyFont="1" applyBorder="1" applyAlignment="1">
      <alignment horizontal="left" vertical="top" wrapText="1" indent="1"/>
    </xf>
    <xf numFmtId="0" fontId="16" fillId="0" borderId="11" xfId="0" applyFont="1" applyBorder="1" applyAlignment="1">
      <alignment horizontal="left" vertical="top" wrapText="1" indent="1"/>
    </xf>
    <xf numFmtId="0" fontId="17" fillId="0" borderId="0" xfId="0" applyFont="1" applyAlignment="1">
      <alignment horizontal="left" vertical="center" wrapText="1" indent="8"/>
    </xf>
    <xf numFmtId="0" fontId="0" fillId="0" borderId="0" xfId="0" applyAlignment="1">
      <alignment horizontal="left" vertical="center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165" fontId="19" fillId="0" borderId="9" xfId="0" applyNumberFormat="1" applyFont="1" applyBorder="1" applyAlignment="1">
      <alignment horizontal="left" vertical="top" indent="6" shrinkToFit="1"/>
    </xf>
    <xf numFmtId="165" fontId="19" fillId="0" borderId="10" xfId="0" applyNumberFormat="1" applyFont="1" applyBorder="1" applyAlignment="1">
      <alignment horizontal="left" vertical="top" indent="6" shrinkToFit="1"/>
    </xf>
    <xf numFmtId="165" fontId="19" fillId="0" borderId="11" xfId="0" applyNumberFormat="1" applyFont="1" applyBorder="1" applyAlignment="1">
      <alignment horizontal="left" vertical="top" indent="6" shrinkToFi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164" fontId="19" fillId="0" borderId="7" xfId="0" applyNumberFormat="1" applyFont="1" applyBorder="1" applyAlignment="1">
      <alignment horizontal="right" vertical="top" shrinkToFit="1"/>
    </xf>
    <xf numFmtId="164" fontId="19" fillId="0" borderId="6" xfId="0" applyNumberFormat="1" applyFont="1" applyBorder="1" applyAlignment="1">
      <alignment horizontal="right" vertical="top" shrinkToFit="1"/>
    </xf>
    <xf numFmtId="164" fontId="19" fillId="0" borderId="8" xfId="0" applyNumberFormat="1" applyFont="1" applyBorder="1" applyAlignment="1">
      <alignment horizontal="right" vertical="top" shrinkToFit="1"/>
    </xf>
    <xf numFmtId="164" fontId="19" fillId="0" borderId="3" xfId="0" applyNumberFormat="1" applyFont="1" applyBorder="1" applyAlignment="1">
      <alignment horizontal="right" vertical="top" shrinkToFit="1"/>
    </xf>
    <xf numFmtId="164" fontId="19" fillId="0" borderId="2" xfId="0" applyNumberFormat="1" applyFont="1" applyBorder="1" applyAlignment="1">
      <alignment horizontal="right" vertical="top" shrinkToFit="1"/>
    </xf>
    <xf numFmtId="164" fontId="19" fillId="0" borderId="1" xfId="0" applyNumberFormat="1" applyFont="1" applyBorder="1" applyAlignment="1">
      <alignment horizontal="right" vertical="top" shrinkToFit="1"/>
    </xf>
    <xf numFmtId="0" fontId="13" fillId="0" borderId="7" xfId="0" applyFont="1" applyBorder="1" applyAlignment="1">
      <alignment horizontal="left" vertical="top" wrapText="1" indent="2"/>
    </xf>
    <xf numFmtId="0" fontId="13" fillId="0" borderId="6" xfId="0" applyFont="1" applyBorder="1" applyAlignment="1">
      <alignment horizontal="left" vertical="top" wrapText="1" indent="2"/>
    </xf>
    <xf numFmtId="0" fontId="13" fillId="0" borderId="8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3" fillId="0" borderId="9" xfId="0" applyFont="1" applyBorder="1" applyAlignment="1">
      <alignment horizontal="left" vertical="top" wrapText="1" indent="2"/>
    </xf>
    <xf numFmtId="0" fontId="13" fillId="0" borderId="10" xfId="0" applyFont="1" applyBorder="1" applyAlignment="1">
      <alignment horizontal="left" vertical="top" wrapText="1" indent="2"/>
    </xf>
    <xf numFmtId="0" fontId="13" fillId="0" borderId="11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165" fontId="14" fillId="0" borderId="0" xfId="0" applyNumberFormat="1" applyFont="1" applyAlignment="1">
      <alignment horizontal="left" shrinkToFit="1"/>
    </xf>
    <xf numFmtId="0" fontId="15" fillId="0" borderId="0" xfId="0" applyFont="1" applyAlignment="1">
      <alignment horizontal="left" vertical="top" wrapText="1" indent="34"/>
    </xf>
    <xf numFmtId="0" fontId="5" fillId="0" borderId="0" xfId="0" applyFont="1" applyAlignment="1">
      <alignment horizontal="left" vertical="top" wrapText="1" indent="2"/>
    </xf>
    <xf numFmtId="1" fontId="4" fillId="0" borderId="6" xfId="0" applyNumberFormat="1" applyFont="1" applyBorder="1" applyAlignment="1">
      <alignment horizontal="left" vertical="top" shrinkToFit="1"/>
    </xf>
    <xf numFmtId="0" fontId="2" fillId="0" borderId="6" xfId="0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indent="3" shrinkToFit="1"/>
    </xf>
    <xf numFmtId="0" fontId="0" fillId="0" borderId="6" xfId="0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right" vertical="top" indent="2" shrinkToFi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wrapText="1" indent="1"/>
    </xf>
    <xf numFmtId="0" fontId="12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indent="1"/>
    </xf>
    <xf numFmtId="166" fontId="4" fillId="0" borderId="0" xfId="0" applyNumberFormat="1" applyFont="1" applyAlignment="1">
      <alignment horizontal="left" vertical="top" indent="2" shrinkToFit="1"/>
    </xf>
    <xf numFmtId="164" fontId="4" fillId="0" borderId="0" xfId="0" applyNumberFormat="1" applyFont="1" applyAlignment="1">
      <alignment horizontal="left" vertical="top" indent="5" shrinkToFit="1"/>
    </xf>
    <xf numFmtId="167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right" vertical="top" indent="1" shrinkToFit="1"/>
    </xf>
    <xf numFmtId="164" fontId="4" fillId="0" borderId="0" xfId="0" applyNumberFormat="1" applyFont="1" applyAlignment="1">
      <alignment horizontal="left" vertical="top" indent="4" shrinkToFit="1"/>
    </xf>
    <xf numFmtId="0" fontId="0" fillId="0" borderId="2" xfId="0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 vertical="top" indent="4" shrinkToFit="1"/>
    </xf>
    <xf numFmtId="164" fontId="4" fillId="0" borderId="2" xfId="0" applyNumberFormat="1" applyFont="1" applyBorder="1" applyAlignment="1">
      <alignment horizontal="right" vertical="top" indent="1" shrinkToFit="1"/>
    </xf>
    <xf numFmtId="0" fontId="9" fillId="0" borderId="0" xfId="0" applyFont="1" applyAlignment="1">
      <alignment horizontal="left" vertical="top" wrapText="1" indent="3"/>
    </xf>
    <xf numFmtId="164" fontId="4" fillId="0" borderId="0" xfId="0" applyNumberFormat="1" applyFont="1" applyAlignment="1">
      <alignment horizontal="left" vertical="top" indent="6" shrinkToFit="1"/>
    </xf>
    <xf numFmtId="166" fontId="4" fillId="0" borderId="0" xfId="0" applyNumberFormat="1" applyFont="1" applyAlignment="1">
      <alignment horizontal="left" vertical="top" indent="4" shrinkToFit="1"/>
    </xf>
    <xf numFmtId="167" fontId="4" fillId="0" borderId="0" xfId="0" applyNumberFormat="1" applyFont="1" applyAlignment="1">
      <alignment horizontal="left" vertical="top" indent="4" shrinkToFit="1"/>
    </xf>
    <xf numFmtId="164" fontId="4" fillId="0" borderId="0" xfId="0" applyNumberFormat="1" applyFont="1" applyAlignment="1">
      <alignment horizontal="right" vertical="top" indent="5" shrinkToFit="1"/>
    </xf>
    <xf numFmtId="167" fontId="4" fillId="0" borderId="0" xfId="0" applyNumberFormat="1" applyFont="1" applyAlignment="1">
      <alignment horizontal="left" vertical="top" indent="5" shrinkToFit="1"/>
    </xf>
    <xf numFmtId="0" fontId="5" fillId="0" borderId="0" xfId="0" applyFont="1" applyAlignment="1">
      <alignment horizontal="left" vertical="center" wrapText="1" indent="17"/>
    </xf>
    <xf numFmtId="0" fontId="5" fillId="0" borderId="0" xfId="0" applyFont="1" applyAlignment="1">
      <alignment horizontal="left" vertical="center" wrapText="1" indent="4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horizontal="left" vertical="top" wrapText="1" indent="4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shrinkToFit="1"/>
    </xf>
    <xf numFmtId="165" fontId="4" fillId="0" borderId="0" xfId="0" applyNumberFormat="1" applyFont="1" applyAlignment="1">
      <alignment horizontal="left" vertical="top" indent="3" shrinkToFit="1"/>
    </xf>
    <xf numFmtId="167" fontId="4" fillId="0" borderId="0" xfId="0" applyNumberFormat="1" applyFont="1" applyAlignment="1">
      <alignment horizontal="left" vertical="top" indent="2" shrinkToFit="1"/>
    </xf>
    <xf numFmtId="0" fontId="8" fillId="0" borderId="0" xfId="0" applyFont="1" applyAlignment="1">
      <alignment horizontal="left" vertical="center" wrapText="1" indent="1"/>
    </xf>
    <xf numFmtId="164" fontId="4" fillId="0" borderId="0" xfId="0" applyNumberFormat="1" applyFont="1" applyAlignment="1">
      <alignment horizontal="left" vertical="center" indent="4" shrinkToFit="1"/>
    </xf>
    <xf numFmtId="164" fontId="4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left" vertical="top" wrapText="1" indent="1"/>
    </xf>
    <xf numFmtId="164" fontId="4" fillId="0" borderId="0" xfId="0" applyNumberFormat="1" applyFont="1" applyAlignment="1">
      <alignment horizontal="right" vertical="center" indent="3" shrinkToFit="1"/>
    </xf>
    <xf numFmtId="0" fontId="0" fillId="0" borderId="0" xfId="0" applyAlignment="1">
      <alignment horizontal="left" vertical="top" wrapText="1" indent="3"/>
    </xf>
    <xf numFmtId="0" fontId="5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vertical="top" indent="5" shrinkToFit="1"/>
    </xf>
    <xf numFmtId="164" fontId="4" fillId="0" borderId="0" xfId="0" applyNumberFormat="1" applyFont="1" applyAlignment="1">
      <alignment horizontal="right" vertical="top" indent="2" shrinkToFit="1"/>
    </xf>
    <xf numFmtId="0" fontId="0" fillId="0" borderId="6" xfId="0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 indent="3"/>
    </xf>
    <xf numFmtId="164" fontId="4" fillId="0" borderId="0" xfId="0" applyNumberFormat="1" applyFont="1" applyAlignment="1">
      <alignment horizontal="right" vertical="center" indent="5" shrinkToFit="1"/>
    </xf>
    <xf numFmtId="164" fontId="4" fillId="0" borderId="0" xfId="0" applyNumberFormat="1" applyFont="1" applyAlignment="1">
      <alignment horizontal="right" vertical="center" indent="2" shrinkToFit="1"/>
    </xf>
    <xf numFmtId="165" fontId="4" fillId="0" borderId="0" xfId="0" applyNumberFormat="1" applyFont="1" applyAlignment="1">
      <alignment horizontal="left" vertical="top" indent="4" shrinkToFit="1"/>
    </xf>
    <xf numFmtId="0" fontId="7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vertical="top" indent="3" shrinkToFit="1"/>
    </xf>
    <xf numFmtId="166" fontId="4" fillId="0" borderId="0" xfId="0" applyNumberFormat="1" applyFont="1" applyAlignment="1">
      <alignment horizontal="center" vertical="top" shrinkToFit="1"/>
    </xf>
    <xf numFmtId="167" fontId="4" fillId="0" borderId="0" xfId="0" applyNumberFormat="1" applyFont="1" applyAlignment="1">
      <alignment horizontal="right" vertical="top" shrinkToFit="1"/>
    </xf>
    <xf numFmtId="1" fontId="4" fillId="0" borderId="2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center" vertical="top" shrinkToFit="1"/>
    </xf>
    <xf numFmtId="165" fontId="4" fillId="0" borderId="2" xfId="0" applyNumberFormat="1" applyFont="1" applyBorder="1" applyAlignment="1">
      <alignment horizontal="center" vertical="top" shrinkToFit="1"/>
    </xf>
    <xf numFmtId="9" fontId="4" fillId="0" borderId="2" xfId="0" applyNumberFormat="1" applyFont="1" applyBorder="1" applyAlignment="1">
      <alignment horizontal="center" vertical="top" shrinkToFit="1"/>
    </xf>
    <xf numFmtId="9" fontId="4" fillId="0" borderId="1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5"/>
    </xf>
    <xf numFmtId="0" fontId="0" fillId="0" borderId="4" xfId="0" applyBorder="1" applyAlignment="1">
      <alignment horizontal="left" vertical="top" wrapText="1" indent="5"/>
    </xf>
    <xf numFmtId="0" fontId="2" fillId="0" borderId="5" xfId="0" applyFont="1" applyBorder="1" applyAlignment="1">
      <alignment horizontal="left" wrapText="1" indent="4"/>
    </xf>
    <xf numFmtId="0" fontId="2" fillId="0" borderId="0" xfId="0" applyFont="1" applyAlignment="1">
      <alignment horizontal="left" wrapText="1" indent="4"/>
    </xf>
    <xf numFmtId="164" fontId="4" fillId="0" borderId="0" xfId="0" applyNumberFormat="1" applyFont="1" applyAlignment="1">
      <alignment horizontal="left" indent="4" shrinkToFit="1"/>
    </xf>
    <xf numFmtId="0" fontId="2" fillId="0" borderId="0" xfId="0" applyFont="1" applyAlignment="1">
      <alignment horizontal="left" vertical="top" wrapText="1" indent="29"/>
    </xf>
    <xf numFmtId="0" fontId="2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7"/>
    </xf>
    <xf numFmtId="0" fontId="5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2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shrinkToFit="1"/>
    </xf>
    <xf numFmtId="164" fontId="4" fillId="0" borderId="4" xfId="0" applyNumberFormat="1" applyFont="1" applyBorder="1" applyAlignment="1">
      <alignment horizontal="right" vertical="top" shrinkToFit="1"/>
    </xf>
    <xf numFmtId="165" fontId="4" fillId="0" borderId="5" xfId="0" applyNumberFormat="1" applyFont="1" applyBorder="1" applyAlignment="1">
      <alignment horizontal="center" vertical="top" shrinkToFit="1"/>
    </xf>
    <xf numFmtId="165" fontId="4" fillId="0" borderId="0" xfId="0" applyNumberFormat="1" applyFont="1" applyAlignment="1">
      <alignment horizontal="center" vertical="top" shrinkToFit="1"/>
    </xf>
    <xf numFmtId="9" fontId="4" fillId="0" borderId="0" xfId="0" applyNumberFormat="1" applyFont="1" applyAlignment="1">
      <alignment horizontal="center" vertical="top" shrinkToFit="1"/>
    </xf>
    <xf numFmtId="9" fontId="4" fillId="0" borderId="4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3"/>
    </xf>
    <xf numFmtId="164" fontId="27" fillId="2" borderId="0" xfId="0" applyNumberFormat="1" applyFont="1" applyFill="1" applyAlignment="1">
      <alignment vertical="top" wrapText="1"/>
    </xf>
    <xf numFmtId="0" fontId="26" fillId="2" borderId="0" xfId="0" applyFont="1" applyFill="1" applyAlignment="1">
      <alignment vertical="top" wrapText="1"/>
    </xf>
    <xf numFmtId="0" fontId="27" fillId="2" borderId="0" xfId="0" applyFont="1" applyFill="1" applyAlignment="1">
      <alignment vertical="top" wrapText="1"/>
    </xf>
    <xf numFmtId="0" fontId="0" fillId="2" borderId="0" xfId="0" applyFill="1" applyAlignment="1">
      <alignment horizontal="left" vertical="top"/>
    </xf>
    <xf numFmtId="166" fontId="25" fillId="2" borderId="0" xfId="0" applyNumberFormat="1" applyFont="1" applyFill="1" applyAlignment="1">
      <alignment vertical="top" shrinkToFit="1"/>
    </xf>
    <xf numFmtId="164" fontId="25" fillId="2" borderId="0" xfId="0" applyNumberFormat="1" applyFont="1" applyFill="1" applyAlignment="1">
      <alignment vertical="top" shrinkToFit="1"/>
    </xf>
    <xf numFmtId="167" fontId="25" fillId="2" borderId="0" xfId="0" applyNumberFormat="1" applyFont="1" applyFill="1" applyAlignment="1">
      <alignment vertical="top" shrinkToFit="1"/>
    </xf>
    <xf numFmtId="0" fontId="25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top"/>
    </xf>
    <xf numFmtId="164" fontId="26" fillId="2" borderId="0" xfId="0" applyNumberFormat="1" applyFont="1" applyFill="1" applyAlignment="1">
      <alignment vertical="top" wrapText="1"/>
    </xf>
    <xf numFmtId="0" fontId="25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7</xdr:row>
      <xdr:rowOff>12440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34925</xdr:colOff>
      <xdr:row>7</xdr:row>
      <xdr:rowOff>1589385</xdr:rowOff>
    </xdr:from>
    <xdr:ext cx="4286250" cy="387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286250" cy="38735"/>
        </a:xfrm>
        <a:custGeom>
          <a:avLst/>
          <a:gdLst/>
          <a:ahLst/>
          <a:cxnLst/>
          <a:rect l="0" t="0" r="0" b="0"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11</xdr:row>
      <xdr:rowOff>186537</xdr:rowOff>
    </xdr:from>
    <xdr:to>
      <xdr:col>3</xdr:col>
      <xdr:colOff>281787</xdr:colOff>
      <xdr:row>11</xdr:row>
      <xdr:rowOff>314807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19</xdr:row>
      <xdr:rowOff>2722873</xdr:rowOff>
    </xdr:from>
    <xdr:to>
      <xdr:col>3</xdr:col>
      <xdr:colOff>205841</xdr:colOff>
      <xdr:row>20</xdr:row>
      <xdr:rowOff>577843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43</xdr:row>
      <xdr:rowOff>2722872</xdr:rowOff>
    </xdr:from>
    <xdr:to>
      <xdr:col>3</xdr:col>
      <xdr:colOff>205841</xdr:colOff>
      <xdr:row>44</xdr:row>
      <xdr:rowOff>577842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67</xdr:row>
      <xdr:rowOff>2722873</xdr:rowOff>
    </xdr:from>
    <xdr:to>
      <xdr:col>3</xdr:col>
      <xdr:colOff>205841</xdr:colOff>
      <xdr:row>68</xdr:row>
      <xdr:rowOff>577843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90</xdr:row>
      <xdr:rowOff>2722872</xdr:rowOff>
    </xdr:from>
    <xdr:to>
      <xdr:col>3</xdr:col>
      <xdr:colOff>205841</xdr:colOff>
      <xdr:row>91</xdr:row>
      <xdr:rowOff>577842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113</xdr:row>
      <xdr:rowOff>2722872</xdr:rowOff>
    </xdr:from>
    <xdr:to>
      <xdr:col>3</xdr:col>
      <xdr:colOff>205841</xdr:colOff>
      <xdr:row>114</xdr:row>
      <xdr:rowOff>577842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137</xdr:row>
      <xdr:rowOff>2722873</xdr:rowOff>
    </xdr:from>
    <xdr:to>
      <xdr:col>3</xdr:col>
      <xdr:colOff>205841</xdr:colOff>
      <xdr:row>138</xdr:row>
      <xdr:rowOff>577843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160</xdr:row>
      <xdr:rowOff>2722873</xdr:rowOff>
    </xdr:from>
    <xdr:to>
      <xdr:col>3</xdr:col>
      <xdr:colOff>205841</xdr:colOff>
      <xdr:row>161</xdr:row>
      <xdr:rowOff>577843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183</xdr:row>
      <xdr:rowOff>2722873</xdr:rowOff>
    </xdr:from>
    <xdr:to>
      <xdr:col>3</xdr:col>
      <xdr:colOff>205841</xdr:colOff>
      <xdr:row>184</xdr:row>
      <xdr:rowOff>577843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207</xdr:row>
      <xdr:rowOff>2722873</xdr:rowOff>
    </xdr:from>
    <xdr:to>
      <xdr:col>3</xdr:col>
      <xdr:colOff>205841</xdr:colOff>
      <xdr:row>208</xdr:row>
      <xdr:rowOff>577843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231</xdr:row>
      <xdr:rowOff>2722873</xdr:rowOff>
    </xdr:from>
    <xdr:to>
      <xdr:col>3</xdr:col>
      <xdr:colOff>205841</xdr:colOff>
      <xdr:row>232</xdr:row>
      <xdr:rowOff>577843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255</xdr:row>
      <xdr:rowOff>2722875</xdr:rowOff>
    </xdr:from>
    <xdr:to>
      <xdr:col>3</xdr:col>
      <xdr:colOff>205841</xdr:colOff>
      <xdr:row>256</xdr:row>
      <xdr:rowOff>577845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279</xdr:row>
      <xdr:rowOff>2722872</xdr:rowOff>
    </xdr:from>
    <xdr:to>
      <xdr:col>3</xdr:col>
      <xdr:colOff>205841</xdr:colOff>
      <xdr:row>280</xdr:row>
      <xdr:rowOff>577842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6</xdr:col>
      <xdr:colOff>19050</xdr:colOff>
      <xdr:row>304</xdr:row>
      <xdr:rowOff>55994</xdr:rowOff>
    </xdr:from>
    <xdr:ext cx="5887085" cy="12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302</xdr:row>
      <xdr:rowOff>2729220</xdr:rowOff>
    </xdr:from>
    <xdr:to>
      <xdr:col>3</xdr:col>
      <xdr:colOff>205587</xdr:colOff>
      <xdr:row>303</xdr:row>
      <xdr:rowOff>590540</xdr:rowOff>
    </xdr:to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5</xdr:col>
      <xdr:colOff>109598</xdr:colOff>
      <xdr:row>342</xdr:row>
      <xdr:rowOff>375366</xdr:rowOff>
    </xdr:from>
    <xdr:ext cx="6029960" cy="29209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029960" cy="29209"/>
        </a:xfrm>
        <a:custGeom>
          <a:avLst/>
          <a:gdLst/>
          <a:ahLst/>
          <a:cxnLst/>
          <a:rect l="0" t="0" r="0" b="0"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323</xdr:row>
      <xdr:rowOff>2722870</xdr:rowOff>
    </xdr:from>
    <xdr:to>
      <xdr:col>3</xdr:col>
      <xdr:colOff>205841</xdr:colOff>
      <xdr:row>324</xdr:row>
      <xdr:rowOff>577840</xdr:rowOff>
    </xdr:to>
    <xdr:sp macro="" textlink="">
      <xdr:nvSpPr>
        <xdr:cNvPr id="20" name="Textbox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7</xdr:row>
      <xdr:rowOff>12440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B1471AC-3B4D-40E5-8028-7F0D559DC171}"/>
            </a:ext>
          </a:extLst>
        </xdr:cNvPr>
        <xdr:cNvSpPr/>
      </xdr:nvSpPr>
      <xdr:spPr>
        <a:xfrm>
          <a:off x="3048000" y="231749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34925</xdr:colOff>
      <xdr:row>7</xdr:row>
      <xdr:rowOff>1589385</xdr:rowOff>
    </xdr:from>
    <xdr:ext cx="4286250" cy="387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35E386C-EBE0-42AB-9617-EDB3DDE9146C}"/>
            </a:ext>
          </a:extLst>
        </xdr:cNvPr>
        <xdr:cNvSpPr/>
      </xdr:nvSpPr>
      <xdr:spPr>
        <a:xfrm>
          <a:off x="2178050" y="3894435"/>
          <a:ext cx="4286250" cy="38735"/>
        </a:xfrm>
        <a:custGeom>
          <a:avLst/>
          <a:gdLst/>
          <a:ahLst/>
          <a:cxnLst/>
          <a:rect l="0" t="0" r="0" b="0"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0"/>
  <sheetViews>
    <sheetView topLeftCell="A249" workbookViewId="0">
      <selection activeCell="A272" sqref="A272:G272"/>
    </sheetView>
  </sheetViews>
  <sheetFormatPr defaultRowHeight="12.75" x14ac:dyDescent="0.2"/>
  <cols>
    <col min="1" max="1" width="8" customWidth="1"/>
    <col min="2" max="2" width="1.1640625" customWidth="1"/>
    <col min="3" max="3" width="3.33203125" customWidth="1"/>
    <col min="4" max="4" width="5.83203125" customWidth="1"/>
    <col min="5" max="5" width="2.1640625" customWidth="1"/>
    <col min="6" max="6" width="3.33203125" customWidth="1"/>
    <col min="7" max="7" width="1.1640625" customWidth="1"/>
    <col min="8" max="8" width="2.1640625" customWidth="1"/>
    <col min="9" max="9" width="1.1640625" customWidth="1"/>
    <col min="10" max="10" width="6.83203125" customWidth="1"/>
    <col min="11" max="13" width="1.1640625" customWidth="1"/>
    <col min="14" max="14" width="3.33203125" customWidth="1"/>
    <col min="15" max="15" width="2.1640625" customWidth="1"/>
    <col min="16" max="16" width="3.33203125" customWidth="1"/>
    <col min="17" max="17" width="5.83203125" customWidth="1"/>
    <col min="18" max="18" width="2.1640625" customWidth="1"/>
    <col min="19" max="19" width="3.33203125" customWidth="1"/>
    <col min="20" max="20" width="4.6640625" customWidth="1"/>
    <col min="21" max="21" width="1.1640625" customWidth="1"/>
    <col min="22" max="22" width="2.1640625" customWidth="1"/>
    <col min="23" max="23" width="3.33203125" customWidth="1"/>
    <col min="24" max="24" width="8" customWidth="1"/>
    <col min="25" max="25" width="1.1640625" customWidth="1"/>
    <col min="26" max="26" width="4.6640625" customWidth="1"/>
    <col min="27" max="27" width="1.1640625" customWidth="1"/>
    <col min="28" max="29" width="3.33203125" customWidth="1"/>
    <col min="30" max="30" width="6.83203125" customWidth="1"/>
    <col min="31" max="31" width="1.1640625" customWidth="1"/>
    <col min="32" max="32" width="4.6640625" customWidth="1"/>
    <col min="33" max="33" width="2.1640625" customWidth="1"/>
    <col min="34" max="34" width="1.1640625" customWidth="1"/>
    <col min="35" max="35" width="4.6640625" customWidth="1"/>
    <col min="36" max="36" width="3.33203125" customWidth="1"/>
    <col min="37" max="37" width="11.5" customWidth="1"/>
    <col min="38" max="39" width="2.1640625" customWidth="1"/>
  </cols>
  <sheetData>
    <row r="1" spans="1:39" ht="15.75" customHeight="1" x14ac:dyDescent="0.2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</row>
    <row r="2" spans="1:39" ht="11.25" customHeight="1" x14ac:dyDescent="0.2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</row>
    <row r="3" spans="1:39" ht="25.5" customHeight="1" x14ac:dyDescent="0.2">
      <c r="A3" s="146" t="s">
        <v>2</v>
      </c>
      <c r="B3" s="147"/>
      <c r="C3" s="148" t="s">
        <v>3</v>
      </c>
      <c r="D3" s="149"/>
      <c r="E3" s="150"/>
      <c r="F3" s="151" t="s">
        <v>4</v>
      </c>
      <c r="G3" s="152"/>
      <c r="H3" s="152"/>
      <c r="I3" s="152"/>
      <c r="J3" s="153"/>
      <c r="K3" s="154" t="s">
        <v>5</v>
      </c>
      <c r="L3" s="155"/>
      <c r="M3" s="155"/>
      <c r="N3" s="155"/>
      <c r="O3" s="155"/>
      <c r="P3" s="155"/>
      <c r="Q3" s="155"/>
      <c r="R3" s="156"/>
      <c r="S3" s="148" t="s">
        <v>6</v>
      </c>
      <c r="T3" s="149"/>
      <c r="U3" s="149"/>
      <c r="V3" s="149"/>
      <c r="W3" s="149"/>
    </row>
    <row r="4" spans="1:39" ht="14.25" customHeight="1" x14ac:dyDescent="0.2">
      <c r="A4" s="157" t="s">
        <v>7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39" ht="24.75" customHeight="1" x14ac:dyDescent="0.2">
      <c r="A5" s="158">
        <v>1</v>
      </c>
      <c r="B5" s="159"/>
      <c r="C5" s="160">
        <v>25</v>
      </c>
      <c r="D5" s="102"/>
      <c r="E5" s="102"/>
      <c r="F5" s="161"/>
      <c r="G5" s="162">
        <v>1735</v>
      </c>
      <c r="H5" s="163"/>
      <c r="I5" s="163"/>
      <c r="J5" s="163"/>
      <c r="K5" s="163"/>
      <c r="L5" s="164">
        <v>1</v>
      </c>
      <c r="M5" s="164"/>
      <c r="N5" s="164"/>
      <c r="O5" s="165"/>
      <c r="P5" s="166">
        <v>25</v>
      </c>
      <c r="Q5" s="167"/>
      <c r="R5" s="167"/>
      <c r="S5" s="167"/>
    </row>
    <row r="6" spans="1:39" ht="38.25" customHeight="1" x14ac:dyDescent="0.2">
      <c r="A6" s="158">
        <v>2</v>
      </c>
      <c r="B6" s="159"/>
      <c r="C6" s="160">
        <v>25</v>
      </c>
      <c r="D6" s="102"/>
      <c r="E6" s="102"/>
      <c r="F6" s="161"/>
      <c r="G6" s="162">
        <v>2111.3200000000002</v>
      </c>
      <c r="H6" s="163"/>
      <c r="I6" s="163"/>
      <c r="J6" s="163"/>
      <c r="K6" s="163"/>
      <c r="L6" s="164">
        <v>1</v>
      </c>
      <c r="M6" s="164"/>
      <c r="N6" s="164"/>
      <c r="O6" s="165"/>
      <c r="P6" s="166">
        <v>50</v>
      </c>
      <c r="Q6" s="167"/>
      <c r="R6" s="167"/>
      <c r="S6" s="167"/>
    </row>
    <row r="7" spans="1:39" ht="51.75" customHeight="1" x14ac:dyDescent="0.2">
      <c r="A7" s="123">
        <v>4</v>
      </c>
      <c r="B7" s="124"/>
      <c r="C7" s="125">
        <v>25</v>
      </c>
      <c r="D7" s="126"/>
      <c r="E7" s="126"/>
      <c r="F7" s="127"/>
      <c r="G7" s="128">
        <v>4667.8999999999996</v>
      </c>
      <c r="H7" s="129"/>
      <c r="I7" s="129"/>
      <c r="J7" s="129"/>
      <c r="K7" s="129"/>
      <c r="L7" s="130">
        <v>1</v>
      </c>
      <c r="M7" s="130"/>
      <c r="N7" s="130"/>
      <c r="O7" s="131"/>
      <c r="P7" s="132">
        <v>100</v>
      </c>
      <c r="Q7" s="133"/>
      <c r="R7" s="133"/>
      <c r="S7" s="133"/>
    </row>
    <row r="8" spans="1:39" ht="146.25" customHeight="1" x14ac:dyDescent="0.2">
      <c r="A8" s="110" t="s">
        <v>8</v>
      </c>
      <c r="B8" s="110"/>
      <c r="C8" s="110"/>
      <c r="D8" s="62" t="s">
        <v>9</v>
      </c>
      <c r="E8" s="62"/>
      <c r="F8" s="62"/>
      <c r="G8" s="62"/>
      <c r="H8" s="62"/>
      <c r="I8" s="62"/>
      <c r="J8" s="62"/>
      <c r="K8" s="62"/>
      <c r="L8" s="62"/>
      <c r="M8" s="62"/>
      <c r="N8" s="134" t="s">
        <v>10</v>
      </c>
      <c r="O8" s="134"/>
      <c r="P8" s="134"/>
      <c r="Q8" s="135"/>
      <c r="R8" s="136" t="s">
        <v>11</v>
      </c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8">
        <v>175</v>
      </c>
      <c r="AG8" s="138"/>
      <c r="AH8" s="138"/>
      <c r="AI8" s="138"/>
      <c r="AJ8" s="138"/>
      <c r="AK8" s="138"/>
      <c r="AL8" s="138"/>
      <c r="AM8" s="138"/>
    </row>
    <row r="9" spans="1:39" ht="13.5" customHeight="1" x14ac:dyDescent="0.2">
      <c r="A9" s="139" t="s">
        <v>12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</row>
    <row r="10" spans="1:39" ht="11.25" customHeight="1" x14ac:dyDescent="0.2">
      <c r="A10" s="140" t="s">
        <v>13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</row>
    <row r="11" spans="1:39" ht="15.75" customHeight="1" x14ac:dyDescent="0.2">
      <c r="A11" s="141" t="s">
        <v>14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</row>
    <row r="12" spans="1:39" ht="29.25" customHeight="1" x14ac:dyDescent="0.2">
      <c r="A12" s="142" t="s">
        <v>15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71" t="s">
        <v>16</v>
      </c>
      <c r="R12" s="71"/>
      <c r="S12" s="71"/>
      <c r="T12" s="71"/>
      <c r="U12" s="71"/>
      <c r="V12" s="143" t="s">
        <v>17</v>
      </c>
      <c r="W12" s="143"/>
      <c r="X12" s="143"/>
      <c r="Y12" s="143"/>
      <c r="Z12" s="143"/>
      <c r="AA12" s="144" t="s">
        <v>18</v>
      </c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</row>
    <row r="13" spans="1:39" ht="22.7" customHeight="1" x14ac:dyDescent="0.2">
      <c r="A13" s="100" t="s">
        <v>19</v>
      </c>
      <c r="B13" s="100"/>
      <c r="C13" s="100"/>
      <c r="D13" s="100"/>
      <c r="E13" s="100"/>
      <c r="F13" s="100"/>
      <c r="G13" s="100"/>
      <c r="H13" s="100"/>
      <c r="I13" s="100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</row>
    <row r="14" spans="1:39" ht="22.7" customHeight="1" x14ac:dyDescent="0.2">
      <c r="A14" s="101" t="s">
        <v>20</v>
      </c>
      <c r="B14" s="101"/>
      <c r="C14" s="101"/>
      <c r="D14" s="101"/>
      <c r="E14" s="101"/>
      <c r="F14" s="101"/>
      <c r="G14" s="101"/>
      <c r="H14" s="101"/>
      <c r="I14" s="101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9" ht="22.5" customHeight="1" x14ac:dyDescent="0.2">
      <c r="A15" s="80" t="s">
        <v>21</v>
      </c>
      <c r="B15" s="80"/>
      <c r="C15" s="80"/>
      <c r="D15" s="80"/>
      <c r="E15" s="80"/>
      <c r="F15" s="80"/>
      <c r="G15" s="80"/>
      <c r="H15" s="80"/>
      <c r="I15" s="80"/>
      <c r="J15" s="121">
        <v>45665</v>
      </c>
      <c r="K15" s="121"/>
      <c r="L15" s="121"/>
      <c r="M15" s="121"/>
      <c r="N15" s="121"/>
      <c r="O15" s="121"/>
      <c r="P15" s="121"/>
      <c r="Q15" s="85">
        <v>254.46</v>
      </c>
      <c r="R15" s="85"/>
      <c r="S15" s="85"/>
      <c r="T15" s="85"/>
      <c r="U15" s="85"/>
      <c r="V15" s="122">
        <v>0.54600000000000004</v>
      </c>
      <c r="W15" s="122"/>
      <c r="X15" s="122"/>
      <c r="Y15" s="122"/>
      <c r="Z15" s="94">
        <v>18</v>
      </c>
      <c r="AA15" s="94"/>
      <c r="AB15" s="94"/>
      <c r="AC15" s="94"/>
      <c r="AD15" s="94"/>
      <c r="AE15" s="94"/>
      <c r="AF15" s="113">
        <v>18</v>
      </c>
      <c r="AG15" s="113"/>
      <c r="AH15" s="113"/>
      <c r="AI15" s="113"/>
      <c r="AJ15" s="113"/>
      <c r="AK15" s="113"/>
      <c r="AL15" s="113"/>
    </row>
    <row r="16" spans="1:39" ht="20.25" customHeight="1" x14ac:dyDescent="0.2">
      <c r="A16" s="90" t="s">
        <v>22</v>
      </c>
      <c r="B16" s="90"/>
      <c r="C16" s="90"/>
      <c r="D16" s="90"/>
      <c r="E16" s="90"/>
      <c r="F16" s="90"/>
      <c r="G16" s="90"/>
      <c r="H16" s="90"/>
      <c r="I16" s="9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113">
        <v>18</v>
      </c>
      <c r="AG16" s="113"/>
      <c r="AH16" s="113"/>
      <c r="AI16" s="113"/>
      <c r="AJ16" s="113"/>
      <c r="AK16" s="113"/>
      <c r="AL16" s="113"/>
    </row>
    <row r="17" spans="1:39" ht="21.75" customHeight="1" x14ac:dyDescent="0.2">
      <c r="A17" s="80" t="s">
        <v>23</v>
      </c>
      <c r="B17" s="80"/>
      <c r="C17" s="80"/>
      <c r="D17" s="80"/>
      <c r="E17" s="80"/>
      <c r="F17" s="80"/>
      <c r="G17" s="80"/>
      <c r="H17" s="80"/>
      <c r="I17" s="80"/>
      <c r="J17" s="121">
        <v>45665</v>
      </c>
      <c r="K17" s="121"/>
      <c r="L17" s="121"/>
      <c r="M17" s="121"/>
      <c r="N17" s="121"/>
      <c r="O17" s="121"/>
      <c r="P17" s="121"/>
      <c r="Q17" s="85">
        <v>1.55</v>
      </c>
      <c r="R17" s="85"/>
      <c r="S17" s="85"/>
      <c r="T17" s="85"/>
      <c r="U17" s="85"/>
      <c r="V17" s="122">
        <v>4.4000000000000003E-3</v>
      </c>
      <c r="W17" s="122"/>
      <c r="X17" s="122"/>
      <c r="Y17" s="122"/>
      <c r="Z17" s="94">
        <v>18</v>
      </c>
      <c r="AA17" s="94"/>
      <c r="AB17" s="94"/>
      <c r="AC17" s="94"/>
      <c r="AD17" s="94"/>
      <c r="AE17" s="94"/>
      <c r="AF17" s="113">
        <v>18</v>
      </c>
      <c r="AG17" s="113"/>
      <c r="AH17" s="113"/>
      <c r="AI17" s="113"/>
      <c r="AJ17" s="113"/>
      <c r="AK17" s="113"/>
      <c r="AL17" s="113"/>
    </row>
    <row r="18" spans="1:39" ht="20.25" customHeight="1" x14ac:dyDescent="0.2">
      <c r="A18" s="80" t="s">
        <v>24</v>
      </c>
      <c r="B18" s="80"/>
      <c r="C18" s="80"/>
      <c r="D18" s="80"/>
      <c r="E18" s="80"/>
      <c r="F18" s="80"/>
      <c r="G18" s="80"/>
      <c r="H18" s="80"/>
      <c r="I18" s="8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94">
        <v>0</v>
      </c>
      <c r="AA18" s="94"/>
      <c r="AB18" s="94"/>
      <c r="AC18" s="94"/>
      <c r="AD18" s="94"/>
      <c r="AE18" s="94"/>
      <c r="AF18" s="113">
        <v>0</v>
      </c>
      <c r="AG18" s="113"/>
      <c r="AH18" s="113"/>
      <c r="AI18" s="113"/>
      <c r="AJ18" s="113"/>
      <c r="AK18" s="113"/>
      <c r="AL18" s="113"/>
    </row>
    <row r="19" spans="1:39" ht="16.5" customHeight="1" x14ac:dyDescent="0.2">
      <c r="A19" s="80" t="s">
        <v>25</v>
      </c>
      <c r="B19" s="80"/>
      <c r="C19" s="80"/>
      <c r="D19" s="80"/>
      <c r="E19" s="80"/>
      <c r="F19" s="80"/>
      <c r="G19" s="80"/>
      <c r="H19" s="80"/>
      <c r="I19" s="80"/>
      <c r="J19" s="121">
        <v>45685</v>
      </c>
      <c r="K19" s="121"/>
      <c r="L19" s="121"/>
      <c r="M19" s="121"/>
      <c r="N19" s="121"/>
      <c r="O19" s="121"/>
      <c r="P19" s="121"/>
      <c r="Q19" s="85">
        <v>573.88</v>
      </c>
      <c r="R19" s="85"/>
      <c r="S19" s="85"/>
      <c r="T19" s="85"/>
      <c r="U19" s="85"/>
      <c r="V19" s="122">
        <v>0.7591</v>
      </c>
      <c r="W19" s="122"/>
      <c r="X19" s="122"/>
      <c r="Y19" s="122"/>
      <c r="Z19" s="94">
        <v>18</v>
      </c>
      <c r="AA19" s="94"/>
      <c r="AB19" s="94"/>
      <c r="AC19" s="94"/>
      <c r="AD19" s="94"/>
      <c r="AE19" s="94"/>
      <c r="AF19" s="113">
        <v>18</v>
      </c>
      <c r="AG19" s="113"/>
      <c r="AH19" s="113"/>
      <c r="AI19" s="113"/>
      <c r="AJ19" s="113"/>
      <c r="AK19" s="113"/>
      <c r="AL19" s="113"/>
    </row>
    <row r="20" spans="1:39" ht="220.5" customHeight="1" x14ac:dyDescent="0.25">
      <c r="A20" s="3" t="s">
        <v>14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1"/>
    </row>
    <row r="21" spans="1:39" ht="52.5" customHeight="1" x14ac:dyDescent="0.2">
      <c r="A21" s="96" t="s">
        <v>15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7" t="s">
        <v>16</v>
      </c>
      <c r="P21" s="97"/>
      <c r="Q21" s="97"/>
      <c r="R21" s="97"/>
      <c r="S21" s="97"/>
      <c r="T21" s="98" t="s">
        <v>17</v>
      </c>
      <c r="U21" s="98"/>
      <c r="V21" s="98"/>
      <c r="W21" s="98"/>
      <c r="X21" s="98"/>
      <c r="Y21" s="99" t="s">
        <v>18</v>
      </c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</row>
    <row r="22" spans="1:39" ht="23.1" customHeight="1" x14ac:dyDescent="0.2">
      <c r="A22" s="100" t="s">
        <v>19</v>
      </c>
      <c r="B22" s="100"/>
      <c r="C22" s="100"/>
      <c r="D22" s="100"/>
      <c r="E22" s="100"/>
      <c r="F22" s="100"/>
      <c r="G22" s="100"/>
      <c r="H22" s="100"/>
      <c r="I22" s="100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2"/>
    </row>
    <row r="23" spans="1:39" ht="23.1" customHeight="1" x14ac:dyDescent="0.2">
      <c r="A23" s="101" t="s">
        <v>20</v>
      </c>
      <c r="B23" s="101"/>
      <c r="C23" s="101"/>
      <c r="D23" s="101"/>
      <c r="E23" s="101"/>
      <c r="F23" s="101"/>
      <c r="G23" s="101"/>
      <c r="H23" s="101"/>
      <c r="I23" s="10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2"/>
    </row>
    <row r="24" spans="1:39" ht="21.95" customHeight="1" x14ac:dyDescent="0.2">
      <c r="A24" s="90" t="s">
        <v>26</v>
      </c>
      <c r="B24" s="90"/>
      <c r="C24" s="90"/>
      <c r="D24" s="90"/>
      <c r="E24" s="90"/>
      <c r="F24" s="90"/>
      <c r="G24" s="90"/>
      <c r="H24" s="90"/>
      <c r="I24" s="9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113">
        <v>18</v>
      </c>
      <c r="AG24" s="113"/>
      <c r="AH24" s="113"/>
      <c r="AI24" s="113"/>
      <c r="AJ24" s="113"/>
      <c r="AK24" s="113"/>
      <c r="AL24" s="113"/>
      <c r="AM24" s="2"/>
    </row>
    <row r="25" spans="1:39" ht="21" customHeight="1" x14ac:dyDescent="0.2">
      <c r="A25" s="90" t="s">
        <v>27</v>
      </c>
      <c r="B25" s="90"/>
      <c r="C25" s="90"/>
      <c r="D25" s="90"/>
      <c r="E25" s="90"/>
      <c r="F25" s="90"/>
      <c r="G25" s="90"/>
      <c r="H25" s="90"/>
      <c r="I25" s="9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113">
        <v>18</v>
      </c>
      <c r="AG25" s="113"/>
      <c r="AH25" s="113"/>
      <c r="AI25" s="113"/>
      <c r="AJ25" s="113"/>
      <c r="AK25" s="113"/>
      <c r="AL25" s="113"/>
      <c r="AM25" s="2"/>
    </row>
    <row r="26" spans="1:39" ht="21" customHeight="1" x14ac:dyDescent="0.2">
      <c r="A26" s="90" t="s">
        <v>28</v>
      </c>
      <c r="B26" s="90"/>
      <c r="C26" s="90"/>
      <c r="D26" s="90"/>
      <c r="E26" s="90"/>
      <c r="F26" s="90"/>
      <c r="G26" s="90"/>
      <c r="H26" s="90"/>
      <c r="I26" s="9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113">
        <v>18</v>
      </c>
      <c r="AG26" s="113"/>
      <c r="AH26" s="113"/>
      <c r="AI26" s="113"/>
      <c r="AJ26" s="113"/>
      <c r="AK26" s="113"/>
      <c r="AL26" s="113"/>
      <c r="AM26" s="2"/>
    </row>
    <row r="27" spans="1:39" ht="21.95" customHeight="1" x14ac:dyDescent="0.2">
      <c r="A27" s="80" t="s">
        <v>29</v>
      </c>
      <c r="B27" s="80"/>
      <c r="C27" s="80"/>
      <c r="D27" s="80"/>
      <c r="E27" s="80"/>
      <c r="F27" s="80"/>
      <c r="G27" s="80"/>
      <c r="H27" s="80"/>
      <c r="I27" s="80"/>
      <c r="J27" s="120">
        <v>45667</v>
      </c>
      <c r="K27" s="120"/>
      <c r="L27" s="120"/>
      <c r="M27" s="120"/>
      <c r="N27" s="120"/>
      <c r="O27" s="120"/>
      <c r="P27" s="120"/>
      <c r="Q27" s="86">
        <v>339.88</v>
      </c>
      <c r="R27" s="86"/>
      <c r="S27" s="86"/>
      <c r="T27" s="86"/>
      <c r="U27" s="86"/>
      <c r="V27" s="93">
        <v>2</v>
      </c>
      <c r="W27" s="93"/>
      <c r="X27" s="93"/>
      <c r="Y27" s="93"/>
      <c r="Z27" s="94">
        <v>18</v>
      </c>
      <c r="AA27" s="94"/>
      <c r="AB27" s="94"/>
      <c r="AC27" s="94"/>
      <c r="AD27" s="94"/>
      <c r="AE27" s="94"/>
      <c r="AF27" s="113">
        <v>18</v>
      </c>
      <c r="AG27" s="113"/>
      <c r="AH27" s="113"/>
      <c r="AI27" s="113"/>
      <c r="AJ27" s="113"/>
      <c r="AK27" s="113"/>
      <c r="AL27" s="113"/>
      <c r="AM27" s="2"/>
    </row>
    <row r="28" spans="1:39" ht="21" customHeight="1" x14ac:dyDescent="0.2">
      <c r="A28" s="80" t="s">
        <v>30</v>
      </c>
      <c r="B28" s="80"/>
      <c r="C28" s="80"/>
      <c r="D28" s="80"/>
      <c r="E28" s="80"/>
      <c r="F28" s="80"/>
      <c r="G28" s="80"/>
      <c r="H28" s="80"/>
      <c r="I28" s="80"/>
      <c r="J28" s="120">
        <v>45665</v>
      </c>
      <c r="K28" s="120"/>
      <c r="L28" s="120"/>
      <c r="M28" s="120"/>
      <c r="N28" s="120"/>
      <c r="O28" s="120"/>
      <c r="P28" s="120"/>
      <c r="Q28" s="82">
        <v>40.79</v>
      </c>
      <c r="R28" s="82"/>
      <c r="S28" s="82"/>
      <c r="T28" s="82"/>
      <c r="U28" s="82"/>
      <c r="V28" s="93">
        <v>0.1132</v>
      </c>
      <c r="W28" s="93"/>
      <c r="X28" s="93"/>
      <c r="Y28" s="93"/>
      <c r="Z28" s="94">
        <v>18</v>
      </c>
      <c r="AA28" s="94"/>
      <c r="AB28" s="94"/>
      <c r="AC28" s="94"/>
      <c r="AD28" s="94"/>
      <c r="AE28" s="94"/>
      <c r="AF28" s="113">
        <v>18</v>
      </c>
      <c r="AG28" s="113"/>
      <c r="AH28" s="113"/>
      <c r="AI28" s="113"/>
      <c r="AJ28" s="113"/>
      <c r="AK28" s="113"/>
      <c r="AL28" s="113"/>
      <c r="AM28" s="2"/>
    </row>
    <row r="29" spans="1:39" ht="20.100000000000001" customHeight="1" x14ac:dyDescent="0.2">
      <c r="A29" s="80" t="s">
        <v>31</v>
      </c>
      <c r="B29" s="80"/>
      <c r="C29" s="80"/>
      <c r="D29" s="80"/>
      <c r="E29" s="80"/>
      <c r="F29" s="80"/>
      <c r="G29" s="80"/>
      <c r="H29" s="80"/>
      <c r="I29" s="8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94">
        <v>0</v>
      </c>
      <c r="AA29" s="94"/>
      <c r="AB29" s="94"/>
      <c r="AC29" s="94"/>
      <c r="AD29" s="94"/>
      <c r="AE29" s="94"/>
      <c r="AF29" s="113">
        <v>0</v>
      </c>
      <c r="AG29" s="113"/>
      <c r="AH29" s="113"/>
      <c r="AI29" s="113"/>
      <c r="AJ29" s="113"/>
      <c r="AK29" s="113"/>
      <c r="AL29" s="113"/>
      <c r="AM29" s="2"/>
    </row>
    <row r="30" spans="1:39" ht="21.95" customHeight="1" x14ac:dyDescent="0.2">
      <c r="A30" s="80" t="s">
        <v>32</v>
      </c>
      <c r="B30" s="80"/>
      <c r="C30" s="80"/>
      <c r="D30" s="80"/>
      <c r="E30" s="80"/>
      <c r="F30" s="80"/>
      <c r="G30" s="80"/>
      <c r="H30" s="80"/>
      <c r="I30" s="80"/>
      <c r="J30" s="120">
        <v>45665</v>
      </c>
      <c r="K30" s="120"/>
      <c r="L30" s="120"/>
      <c r="M30" s="120"/>
      <c r="N30" s="120"/>
      <c r="O30" s="120"/>
      <c r="P30" s="120"/>
      <c r="Q30" s="86">
        <v>122.64</v>
      </c>
      <c r="R30" s="86"/>
      <c r="S30" s="86"/>
      <c r="T30" s="86"/>
      <c r="U30" s="86"/>
      <c r="V30" s="93">
        <v>0.68320000000000003</v>
      </c>
      <c r="W30" s="93"/>
      <c r="X30" s="93"/>
      <c r="Y30" s="93"/>
      <c r="Z30" s="94">
        <v>18</v>
      </c>
      <c r="AA30" s="94"/>
      <c r="AB30" s="94"/>
      <c r="AC30" s="94"/>
      <c r="AD30" s="94"/>
      <c r="AE30" s="94"/>
      <c r="AF30" s="113">
        <v>18</v>
      </c>
      <c r="AG30" s="113"/>
      <c r="AH30" s="113"/>
      <c r="AI30" s="113"/>
      <c r="AJ30" s="113"/>
      <c r="AK30" s="113"/>
      <c r="AL30" s="113"/>
      <c r="AM30" s="2"/>
    </row>
    <row r="31" spans="1:39" ht="21" customHeight="1" x14ac:dyDescent="0.2">
      <c r="A31" s="80" t="s">
        <v>33</v>
      </c>
      <c r="B31" s="80"/>
      <c r="C31" s="80"/>
      <c r="D31" s="80"/>
      <c r="E31" s="80"/>
      <c r="F31" s="80"/>
      <c r="G31" s="80"/>
      <c r="H31" s="80"/>
      <c r="I31" s="80"/>
      <c r="J31" s="120">
        <v>45686</v>
      </c>
      <c r="K31" s="120"/>
      <c r="L31" s="120"/>
      <c r="M31" s="120"/>
      <c r="N31" s="120"/>
      <c r="O31" s="120"/>
      <c r="P31" s="120"/>
      <c r="Q31" s="91">
        <v>4</v>
      </c>
      <c r="R31" s="91"/>
      <c r="S31" s="91"/>
      <c r="T31" s="91"/>
      <c r="U31" s="91"/>
      <c r="V31" s="95">
        <v>1.3100000000000001E-2</v>
      </c>
      <c r="W31" s="95"/>
      <c r="X31" s="95"/>
      <c r="Y31" s="95"/>
      <c r="Z31" s="94">
        <v>18</v>
      </c>
      <c r="AA31" s="94"/>
      <c r="AB31" s="94"/>
      <c r="AC31" s="94"/>
      <c r="AD31" s="94"/>
      <c r="AE31" s="94"/>
      <c r="AF31" s="113">
        <v>18</v>
      </c>
      <c r="AG31" s="113"/>
      <c r="AH31" s="113"/>
      <c r="AI31" s="113"/>
      <c r="AJ31" s="113"/>
      <c r="AK31" s="113"/>
      <c r="AL31" s="113"/>
      <c r="AM31" s="2"/>
    </row>
    <row r="32" spans="1:39" ht="20.100000000000001" customHeight="1" x14ac:dyDescent="0.2">
      <c r="A32" s="90" t="s">
        <v>34</v>
      </c>
      <c r="B32" s="90"/>
      <c r="C32" s="90"/>
      <c r="D32" s="90"/>
      <c r="E32" s="90"/>
      <c r="F32" s="90"/>
      <c r="G32" s="90"/>
      <c r="H32" s="90"/>
      <c r="I32" s="9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113">
        <v>18</v>
      </c>
      <c r="AG32" s="113"/>
      <c r="AH32" s="113"/>
      <c r="AI32" s="113"/>
      <c r="AJ32" s="113"/>
      <c r="AK32" s="113"/>
      <c r="AL32" s="113"/>
      <c r="AM32" s="2"/>
    </row>
    <row r="33" spans="1:39" ht="21.95" customHeight="1" x14ac:dyDescent="0.2">
      <c r="A33" s="80" t="s">
        <v>35</v>
      </c>
      <c r="B33" s="80"/>
      <c r="C33" s="80"/>
      <c r="D33" s="80"/>
      <c r="E33" s="80"/>
      <c r="F33" s="80"/>
      <c r="G33" s="80"/>
      <c r="H33" s="80"/>
      <c r="I33" s="80"/>
      <c r="J33" s="120">
        <v>45687</v>
      </c>
      <c r="K33" s="120"/>
      <c r="L33" s="120"/>
      <c r="M33" s="120"/>
      <c r="N33" s="120"/>
      <c r="O33" s="120"/>
      <c r="P33" s="120"/>
      <c r="Q33" s="86">
        <v>359.43</v>
      </c>
      <c r="R33" s="86"/>
      <c r="S33" s="86"/>
      <c r="T33" s="86"/>
      <c r="U33" s="86"/>
      <c r="V33" s="93">
        <v>0.89970000000000006</v>
      </c>
      <c r="W33" s="93"/>
      <c r="X33" s="93"/>
      <c r="Y33" s="93"/>
      <c r="Z33" s="94">
        <v>18</v>
      </c>
      <c r="AA33" s="94"/>
      <c r="AB33" s="94"/>
      <c r="AC33" s="94"/>
      <c r="AD33" s="94"/>
      <c r="AE33" s="94"/>
      <c r="AF33" s="113">
        <v>18</v>
      </c>
      <c r="AG33" s="113"/>
      <c r="AH33" s="113"/>
      <c r="AI33" s="113"/>
      <c r="AJ33" s="113"/>
      <c r="AK33" s="113"/>
      <c r="AL33" s="113"/>
      <c r="AM33" s="2"/>
    </row>
    <row r="34" spans="1:39" ht="21" customHeight="1" x14ac:dyDescent="0.2">
      <c r="A34" s="80" t="s">
        <v>36</v>
      </c>
      <c r="B34" s="80"/>
      <c r="C34" s="80"/>
      <c r="D34" s="80"/>
      <c r="E34" s="80"/>
      <c r="F34" s="80"/>
      <c r="G34" s="80"/>
      <c r="H34" s="80"/>
      <c r="I34" s="80"/>
      <c r="J34" s="120">
        <v>45649</v>
      </c>
      <c r="K34" s="120"/>
      <c r="L34" s="120"/>
      <c r="M34" s="120"/>
      <c r="N34" s="120"/>
      <c r="O34" s="120"/>
      <c r="P34" s="120"/>
      <c r="Q34" s="91">
        <v>0</v>
      </c>
      <c r="R34" s="91"/>
      <c r="S34" s="91"/>
      <c r="T34" s="91"/>
      <c r="U34" s="91"/>
      <c r="V34" s="93">
        <v>1</v>
      </c>
      <c r="W34" s="93"/>
      <c r="X34" s="93"/>
      <c r="Y34" s="93"/>
      <c r="Z34" s="94">
        <v>18</v>
      </c>
      <c r="AA34" s="94"/>
      <c r="AB34" s="94"/>
      <c r="AC34" s="94"/>
      <c r="AD34" s="94"/>
      <c r="AE34" s="94"/>
      <c r="AF34" s="113">
        <v>18</v>
      </c>
      <c r="AG34" s="113"/>
      <c r="AH34" s="113"/>
      <c r="AI34" s="113"/>
      <c r="AJ34" s="113"/>
      <c r="AK34" s="113"/>
      <c r="AL34" s="113"/>
      <c r="AM34" s="2"/>
    </row>
    <row r="35" spans="1:39" ht="21" customHeight="1" x14ac:dyDescent="0.2">
      <c r="A35" s="80" t="s">
        <v>37</v>
      </c>
      <c r="B35" s="80"/>
      <c r="C35" s="80"/>
      <c r="D35" s="80"/>
      <c r="E35" s="80"/>
      <c r="F35" s="80"/>
      <c r="G35" s="80"/>
      <c r="H35" s="80"/>
      <c r="I35" s="80"/>
      <c r="J35" s="120">
        <v>45688</v>
      </c>
      <c r="K35" s="120"/>
      <c r="L35" s="120"/>
      <c r="M35" s="120"/>
      <c r="N35" s="120"/>
      <c r="O35" s="120"/>
      <c r="P35" s="120"/>
      <c r="Q35" s="86">
        <v>537.94000000000005</v>
      </c>
      <c r="R35" s="86"/>
      <c r="S35" s="86"/>
      <c r="T35" s="86"/>
      <c r="U35" s="86"/>
      <c r="V35" s="93">
        <v>1.3819999999999999</v>
      </c>
      <c r="W35" s="93"/>
      <c r="X35" s="93"/>
      <c r="Y35" s="93"/>
      <c r="Z35" s="94">
        <v>18</v>
      </c>
      <c r="AA35" s="94"/>
      <c r="AB35" s="94"/>
      <c r="AC35" s="94"/>
      <c r="AD35" s="94"/>
      <c r="AE35" s="94"/>
      <c r="AF35" s="113">
        <v>18</v>
      </c>
      <c r="AG35" s="113"/>
      <c r="AH35" s="113"/>
      <c r="AI35" s="113"/>
      <c r="AJ35" s="113"/>
      <c r="AK35" s="113"/>
      <c r="AL35" s="113"/>
      <c r="AM35" s="2"/>
    </row>
    <row r="36" spans="1:39" ht="21" customHeight="1" x14ac:dyDescent="0.2">
      <c r="A36" s="80" t="s">
        <v>38</v>
      </c>
      <c r="B36" s="80"/>
      <c r="C36" s="80"/>
      <c r="D36" s="80"/>
      <c r="E36" s="80"/>
      <c r="F36" s="80"/>
      <c r="G36" s="80"/>
      <c r="H36" s="80"/>
      <c r="I36" s="80"/>
      <c r="J36" s="120">
        <v>45680</v>
      </c>
      <c r="K36" s="120"/>
      <c r="L36" s="120"/>
      <c r="M36" s="120"/>
      <c r="N36" s="120"/>
      <c r="O36" s="120"/>
      <c r="P36" s="120"/>
      <c r="Q36" s="86">
        <v>153.97999999999999</v>
      </c>
      <c r="R36" s="86"/>
      <c r="S36" s="86"/>
      <c r="T36" s="86"/>
      <c r="U36" s="86"/>
      <c r="V36" s="93">
        <v>0.83550000000000002</v>
      </c>
      <c r="W36" s="93"/>
      <c r="X36" s="93"/>
      <c r="Y36" s="93"/>
      <c r="Z36" s="94">
        <v>18</v>
      </c>
      <c r="AA36" s="94"/>
      <c r="AB36" s="94"/>
      <c r="AC36" s="94"/>
      <c r="AD36" s="94"/>
      <c r="AE36" s="94"/>
      <c r="AF36" s="113">
        <v>18</v>
      </c>
      <c r="AG36" s="113"/>
      <c r="AH36" s="113"/>
      <c r="AI36" s="113"/>
      <c r="AJ36" s="113"/>
      <c r="AK36" s="113"/>
      <c r="AL36" s="113"/>
      <c r="AM36" s="2"/>
    </row>
    <row r="37" spans="1:39" ht="21" customHeight="1" x14ac:dyDescent="0.2">
      <c r="A37" s="80" t="s">
        <v>39</v>
      </c>
      <c r="B37" s="80"/>
      <c r="C37" s="80"/>
      <c r="D37" s="80"/>
      <c r="E37" s="80"/>
      <c r="F37" s="80"/>
      <c r="G37" s="80"/>
      <c r="H37" s="80"/>
      <c r="I37" s="80"/>
      <c r="J37" s="120">
        <v>45665</v>
      </c>
      <c r="K37" s="120"/>
      <c r="L37" s="120"/>
      <c r="M37" s="120"/>
      <c r="N37" s="120"/>
      <c r="O37" s="120"/>
      <c r="P37" s="120"/>
      <c r="Q37" s="91">
        <v>0</v>
      </c>
      <c r="R37" s="91"/>
      <c r="S37" s="91"/>
      <c r="T37" s="91"/>
      <c r="U37" s="91"/>
      <c r="V37" s="95">
        <v>0</v>
      </c>
      <c r="W37" s="95"/>
      <c r="X37" s="95"/>
      <c r="Y37" s="95"/>
      <c r="Z37" s="94">
        <v>18</v>
      </c>
      <c r="AA37" s="94"/>
      <c r="AB37" s="94"/>
      <c r="AC37" s="94"/>
      <c r="AD37" s="94"/>
      <c r="AE37" s="94"/>
      <c r="AF37" s="113">
        <v>18</v>
      </c>
      <c r="AG37" s="113"/>
      <c r="AH37" s="113"/>
      <c r="AI37" s="113"/>
      <c r="AJ37" s="113"/>
      <c r="AK37" s="113"/>
      <c r="AL37" s="113"/>
      <c r="AM37" s="2"/>
    </row>
    <row r="38" spans="1:39" ht="20.100000000000001" customHeight="1" x14ac:dyDescent="0.2">
      <c r="A38" s="80" t="s">
        <v>40</v>
      </c>
      <c r="B38" s="80"/>
      <c r="C38" s="80"/>
      <c r="D38" s="80"/>
      <c r="E38" s="80"/>
      <c r="F38" s="80"/>
      <c r="G38" s="80"/>
      <c r="H38" s="80"/>
      <c r="I38" s="8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94">
        <v>0</v>
      </c>
      <c r="AA38" s="94"/>
      <c r="AB38" s="94"/>
      <c r="AC38" s="94"/>
      <c r="AD38" s="94"/>
      <c r="AE38" s="94"/>
      <c r="AF38" s="113">
        <v>0</v>
      </c>
      <c r="AG38" s="113"/>
      <c r="AH38" s="113"/>
      <c r="AI38" s="113"/>
      <c r="AJ38" s="113"/>
      <c r="AK38" s="113"/>
      <c r="AL38" s="113"/>
      <c r="AM38" s="2"/>
    </row>
    <row r="39" spans="1:39" ht="21.95" customHeight="1" x14ac:dyDescent="0.2">
      <c r="A39" s="80" t="s">
        <v>41</v>
      </c>
      <c r="B39" s="80"/>
      <c r="C39" s="80"/>
      <c r="D39" s="80"/>
      <c r="E39" s="80"/>
      <c r="F39" s="80"/>
      <c r="G39" s="80"/>
      <c r="H39" s="80"/>
      <c r="I39" s="80"/>
      <c r="J39" s="120">
        <v>45672</v>
      </c>
      <c r="K39" s="120"/>
      <c r="L39" s="120"/>
      <c r="M39" s="120"/>
      <c r="N39" s="120"/>
      <c r="O39" s="120"/>
      <c r="P39" s="120"/>
      <c r="Q39" s="91">
        <v>2</v>
      </c>
      <c r="R39" s="91"/>
      <c r="S39" s="91"/>
      <c r="T39" s="91"/>
      <c r="U39" s="91"/>
      <c r="V39" s="95">
        <v>7.7999999999999996E-3</v>
      </c>
      <c r="W39" s="95"/>
      <c r="X39" s="95"/>
      <c r="Y39" s="95"/>
      <c r="Z39" s="94">
        <v>18</v>
      </c>
      <c r="AA39" s="94"/>
      <c r="AB39" s="94"/>
      <c r="AC39" s="94"/>
      <c r="AD39" s="94"/>
      <c r="AE39" s="94"/>
      <c r="AF39" s="113">
        <v>18</v>
      </c>
      <c r="AG39" s="113"/>
      <c r="AH39" s="113"/>
      <c r="AI39" s="113"/>
      <c r="AJ39" s="113"/>
      <c r="AK39" s="113"/>
      <c r="AL39" s="113"/>
      <c r="AM39" s="2"/>
    </row>
    <row r="40" spans="1:39" ht="21" customHeight="1" x14ac:dyDescent="0.2">
      <c r="A40" s="80" t="s">
        <v>42</v>
      </c>
      <c r="B40" s="80"/>
      <c r="C40" s="80"/>
      <c r="D40" s="80"/>
      <c r="E40" s="80"/>
      <c r="F40" s="80"/>
      <c r="G40" s="80"/>
      <c r="H40" s="80"/>
      <c r="I40" s="80"/>
      <c r="J40" s="120">
        <v>45685</v>
      </c>
      <c r="K40" s="120"/>
      <c r="L40" s="120"/>
      <c r="M40" s="120"/>
      <c r="N40" s="120"/>
      <c r="O40" s="120"/>
      <c r="P40" s="120"/>
      <c r="Q40" s="86">
        <v>349.48</v>
      </c>
      <c r="R40" s="86"/>
      <c r="S40" s="86"/>
      <c r="T40" s="86"/>
      <c r="U40" s="86"/>
      <c r="V40" s="93">
        <v>1.901</v>
      </c>
      <c r="W40" s="93"/>
      <c r="X40" s="93"/>
      <c r="Y40" s="93"/>
      <c r="Z40" s="94">
        <v>18</v>
      </c>
      <c r="AA40" s="94"/>
      <c r="AB40" s="94"/>
      <c r="AC40" s="94"/>
      <c r="AD40" s="94"/>
      <c r="AE40" s="94"/>
      <c r="AF40" s="113">
        <v>18</v>
      </c>
      <c r="AG40" s="113"/>
      <c r="AH40" s="113"/>
      <c r="AI40" s="113"/>
      <c r="AJ40" s="113"/>
      <c r="AK40" s="113"/>
      <c r="AL40" s="113"/>
      <c r="AM40" s="2"/>
    </row>
    <row r="41" spans="1:39" ht="20.100000000000001" customHeight="1" x14ac:dyDescent="0.2">
      <c r="A41" s="80" t="s">
        <v>43</v>
      </c>
      <c r="B41" s="80"/>
      <c r="C41" s="80"/>
      <c r="D41" s="80"/>
      <c r="E41" s="80"/>
      <c r="F41" s="80"/>
      <c r="G41" s="80"/>
      <c r="H41" s="80"/>
      <c r="I41" s="8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94">
        <v>0</v>
      </c>
      <c r="AA41" s="94"/>
      <c r="AB41" s="94"/>
      <c r="AC41" s="94"/>
      <c r="AD41" s="94"/>
      <c r="AE41" s="94"/>
      <c r="AF41" s="113">
        <v>0</v>
      </c>
      <c r="AG41" s="113"/>
      <c r="AH41" s="113"/>
      <c r="AI41" s="113"/>
      <c r="AJ41" s="113"/>
      <c r="AK41" s="113"/>
      <c r="AL41" s="113"/>
      <c r="AM41" s="2"/>
    </row>
    <row r="42" spans="1:39" ht="21" customHeight="1" x14ac:dyDescent="0.2">
      <c r="A42" s="80" t="s">
        <v>44</v>
      </c>
      <c r="B42" s="80"/>
      <c r="C42" s="80"/>
      <c r="D42" s="80"/>
      <c r="E42" s="80"/>
      <c r="F42" s="80"/>
      <c r="G42" s="80"/>
      <c r="H42" s="80"/>
      <c r="I42" s="8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94">
        <v>0</v>
      </c>
      <c r="AA42" s="94"/>
      <c r="AB42" s="94"/>
      <c r="AC42" s="94"/>
      <c r="AD42" s="94"/>
      <c r="AE42" s="94"/>
      <c r="AF42" s="113">
        <v>0</v>
      </c>
      <c r="AG42" s="113"/>
      <c r="AH42" s="113"/>
      <c r="AI42" s="113"/>
      <c r="AJ42" s="113"/>
      <c r="AK42" s="113"/>
      <c r="AL42" s="113"/>
      <c r="AM42" s="2"/>
    </row>
    <row r="43" spans="1:39" ht="17.100000000000001" customHeight="1" x14ac:dyDescent="0.2">
      <c r="A43" s="80" t="s">
        <v>45</v>
      </c>
      <c r="B43" s="80"/>
      <c r="C43" s="80"/>
      <c r="D43" s="80"/>
      <c r="E43" s="80"/>
      <c r="F43" s="80"/>
      <c r="G43" s="80"/>
      <c r="H43" s="80"/>
      <c r="I43" s="80"/>
      <c r="J43" s="120">
        <v>45665</v>
      </c>
      <c r="K43" s="120"/>
      <c r="L43" s="120"/>
      <c r="M43" s="120"/>
      <c r="N43" s="120"/>
      <c r="O43" s="120"/>
      <c r="P43" s="120"/>
      <c r="Q43" s="86">
        <v>549.1</v>
      </c>
      <c r="R43" s="86"/>
      <c r="S43" s="86"/>
      <c r="T43" s="86"/>
      <c r="U43" s="86"/>
      <c r="V43" s="93">
        <v>1.4941</v>
      </c>
      <c r="W43" s="93"/>
      <c r="X43" s="93"/>
      <c r="Y43" s="93"/>
      <c r="Z43" s="94">
        <v>18</v>
      </c>
      <c r="AA43" s="94"/>
      <c r="AB43" s="94"/>
      <c r="AC43" s="94"/>
      <c r="AD43" s="94"/>
      <c r="AE43" s="94"/>
      <c r="AF43" s="113">
        <v>18</v>
      </c>
      <c r="AG43" s="113"/>
      <c r="AH43" s="113"/>
      <c r="AI43" s="113"/>
      <c r="AJ43" s="113"/>
      <c r="AK43" s="113"/>
      <c r="AL43" s="113"/>
      <c r="AM43" s="2"/>
    </row>
    <row r="44" spans="1:39" ht="220.5" customHeight="1" x14ac:dyDescent="0.25">
      <c r="A44" s="3" t="s">
        <v>14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1"/>
    </row>
    <row r="45" spans="1:39" ht="52.5" customHeight="1" x14ac:dyDescent="0.2">
      <c r="A45" s="96" t="s">
        <v>15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7" t="s">
        <v>16</v>
      </c>
      <c r="P45" s="97"/>
      <c r="Q45" s="97"/>
      <c r="R45" s="97"/>
      <c r="S45" s="97"/>
      <c r="T45" s="98" t="s">
        <v>17</v>
      </c>
      <c r="U45" s="98"/>
      <c r="V45" s="98"/>
      <c r="W45" s="98"/>
      <c r="X45" s="98"/>
      <c r="Y45" s="99" t="s">
        <v>18</v>
      </c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</row>
    <row r="46" spans="1:39" ht="23.1" customHeight="1" x14ac:dyDescent="0.2">
      <c r="A46" s="100" t="s">
        <v>19</v>
      </c>
      <c r="B46" s="100"/>
      <c r="C46" s="100"/>
      <c r="D46" s="100"/>
      <c r="E46" s="100"/>
      <c r="F46" s="100"/>
      <c r="G46" s="100"/>
      <c r="H46" s="100"/>
      <c r="I46" s="100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2"/>
    </row>
    <row r="47" spans="1:39" ht="23.1" customHeight="1" x14ac:dyDescent="0.2">
      <c r="A47" s="101" t="s">
        <v>20</v>
      </c>
      <c r="B47" s="101"/>
      <c r="C47" s="101"/>
      <c r="D47" s="101"/>
      <c r="E47" s="101"/>
      <c r="F47" s="101"/>
      <c r="G47" s="101"/>
      <c r="H47" s="101"/>
      <c r="I47" s="10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2"/>
    </row>
    <row r="48" spans="1:39" ht="23.1" customHeight="1" x14ac:dyDescent="0.2">
      <c r="A48" s="80" t="s">
        <v>46</v>
      </c>
      <c r="B48" s="80"/>
      <c r="C48" s="80"/>
      <c r="D48" s="80"/>
      <c r="E48" s="80"/>
      <c r="F48" s="80"/>
      <c r="G48" s="80"/>
      <c r="H48" s="80"/>
      <c r="I48" s="80"/>
      <c r="J48" s="120">
        <v>45659</v>
      </c>
      <c r="K48" s="120"/>
      <c r="L48" s="120"/>
      <c r="M48" s="120"/>
      <c r="N48" s="120"/>
      <c r="O48" s="120"/>
      <c r="P48" s="120"/>
      <c r="Q48" s="86">
        <v>344.26</v>
      </c>
      <c r="R48" s="86"/>
      <c r="S48" s="86"/>
      <c r="T48" s="86"/>
      <c r="U48" s="86"/>
      <c r="V48" s="93">
        <v>2</v>
      </c>
      <c r="W48" s="93"/>
      <c r="X48" s="93"/>
      <c r="Y48" s="93"/>
      <c r="Z48" s="94">
        <v>18</v>
      </c>
      <c r="AA48" s="94"/>
      <c r="AB48" s="94"/>
      <c r="AC48" s="94"/>
      <c r="AD48" s="94"/>
      <c r="AE48" s="94"/>
      <c r="AF48" s="113">
        <v>18</v>
      </c>
      <c r="AG48" s="113"/>
      <c r="AH48" s="113"/>
      <c r="AI48" s="113"/>
      <c r="AJ48" s="113"/>
      <c r="AK48" s="113"/>
      <c r="AL48" s="113"/>
      <c r="AM48" s="2"/>
    </row>
    <row r="49" spans="1:39" ht="21" customHeight="1" x14ac:dyDescent="0.2">
      <c r="A49" s="80" t="s">
        <v>47</v>
      </c>
      <c r="B49" s="80"/>
      <c r="C49" s="80"/>
      <c r="D49" s="80"/>
      <c r="E49" s="80"/>
      <c r="F49" s="80"/>
      <c r="G49" s="80"/>
      <c r="H49" s="80"/>
      <c r="I49" s="80"/>
      <c r="J49" s="120">
        <v>45665</v>
      </c>
      <c r="K49" s="120"/>
      <c r="L49" s="120"/>
      <c r="M49" s="120"/>
      <c r="N49" s="120"/>
      <c r="O49" s="120"/>
      <c r="P49" s="120"/>
      <c r="Q49" s="91">
        <v>0</v>
      </c>
      <c r="R49" s="91"/>
      <c r="S49" s="91"/>
      <c r="T49" s="91"/>
      <c r="U49" s="91"/>
      <c r="V49" s="95">
        <v>0</v>
      </c>
      <c r="W49" s="95"/>
      <c r="X49" s="95"/>
      <c r="Y49" s="95"/>
      <c r="Z49" s="94">
        <v>18</v>
      </c>
      <c r="AA49" s="94"/>
      <c r="AB49" s="94"/>
      <c r="AC49" s="94"/>
      <c r="AD49" s="94"/>
      <c r="AE49" s="94"/>
      <c r="AF49" s="113">
        <v>18</v>
      </c>
      <c r="AG49" s="113"/>
      <c r="AH49" s="113"/>
      <c r="AI49" s="113"/>
      <c r="AJ49" s="113"/>
      <c r="AK49" s="113"/>
      <c r="AL49" s="113"/>
      <c r="AM49" s="2"/>
    </row>
    <row r="50" spans="1:39" ht="20.100000000000001" customHeight="1" x14ac:dyDescent="0.2">
      <c r="A50" s="90" t="s">
        <v>48</v>
      </c>
      <c r="B50" s="90"/>
      <c r="C50" s="90"/>
      <c r="D50" s="90"/>
      <c r="E50" s="90"/>
      <c r="F50" s="90"/>
      <c r="G50" s="90"/>
      <c r="H50" s="90"/>
      <c r="I50" s="9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113">
        <v>18</v>
      </c>
      <c r="AG50" s="113"/>
      <c r="AH50" s="113"/>
      <c r="AI50" s="113"/>
      <c r="AJ50" s="113"/>
      <c r="AK50" s="113"/>
      <c r="AL50" s="113"/>
      <c r="AM50" s="2"/>
    </row>
    <row r="51" spans="1:39" ht="21.95" customHeight="1" x14ac:dyDescent="0.2">
      <c r="A51" s="80" t="s">
        <v>49</v>
      </c>
      <c r="B51" s="80"/>
      <c r="C51" s="80"/>
      <c r="D51" s="80"/>
      <c r="E51" s="80"/>
      <c r="F51" s="80"/>
      <c r="G51" s="80"/>
      <c r="H51" s="80"/>
      <c r="I51" s="80"/>
      <c r="J51" s="120">
        <v>45685</v>
      </c>
      <c r="K51" s="120"/>
      <c r="L51" s="120"/>
      <c r="M51" s="120"/>
      <c r="N51" s="120"/>
      <c r="O51" s="120"/>
      <c r="P51" s="120"/>
      <c r="Q51" s="91">
        <v>0</v>
      </c>
      <c r="R51" s="91"/>
      <c r="S51" s="91"/>
      <c r="T51" s="91"/>
      <c r="U51" s="91"/>
      <c r="V51" s="95">
        <v>0</v>
      </c>
      <c r="W51" s="95"/>
      <c r="X51" s="95"/>
      <c r="Y51" s="95"/>
      <c r="Z51" s="94">
        <v>18</v>
      </c>
      <c r="AA51" s="94"/>
      <c r="AB51" s="94"/>
      <c r="AC51" s="94"/>
      <c r="AD51" s="94"/>
      <c r="AE51" s="94"/>
      <c r="AF51" s="113">
        <v>18</v>
      </c>
      <c r="AG51" s="113"/>
      <c r="AH51" s="113"/>
      <c r="AI51" s="113"/>
      <c r="AJ51" s="113"/>
      <c r="AK51" s="113"/>
      <c r="AL51" s="113"/>
      <c r="AM51" s="2"/>
    </row>
    <row r="52" spans="1:39" ht="20.100000000000001" customHeight="1" x14ac:dyDescent="0.2">
      <c r="A52" s="90" t="s">
        <v>50</v>
      </c>
      <c r="B52" s="90"/>
      <c r="C52" s="90"/>
      <c r="D52" s="90"/>
      <c r="E52" s="90"/>
      <c r="F52" s="90"/>
      <c r="G52" s="90"/>
      <c r="H52" s="90"/>
      <c r="I52" s="9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113">
        <v>18</v>
      </c>
      <c r="AG52" s="113"/>
      <c r="AH52" s="113"/>
      <c r="AI52" s="113"/>
      <c r="AJ52" s="113"/>
      <c r="AK52" s="113"/>
      <c r="AL52" s="113"/>
      <c r="AM52" s="2"/>
    </row>
    <row r="53" spans="1:39" ht="21.95" customHeight="1" x14ac:dyDescent="0.2">
      <c r="A53" s="80" t="s">
        <v>51</v>
      </c>
      <c r="B53" s="80"/>
      <c r="C53" s="80"/>
      <c r="D53" s="80"/>
      <c r="E53" s="80"/>
      <c r="F53" s="80"/>
      <c r="G53" s="80"/>
      <c r="H53" s="80"/>
      <c r="I53" s="80"/>
      <c r="J53" s="120">
        <v>45688</v>
      </c>
      <c r="K53" s="120"/>
      <c r="L53" s="120"/>
      <c r="M53" s="120"/>
      <c r="N53" s="120"/>
      <c r="O53" s="120"/>
      <c r="P53" s="120"/>
      <c r="Q53" s="86">
        <v>220.78</v>
      </c>
      <c r="R53" s="86"/>
      <c r="S53" s="86"/>
      <c r="T53" s="86"/>
      <c r="U53" s="86"/>
      <c r="V53" s="93">
        <v>0.54320000000000002</v>
      </c>
      <c r="W53" s="93"/>
      <c r="X53" s="93"/>
      <c r="Y53" s="93"/>
      <c r="Z53" s="94">
        <v>18</v>
      </c>
      <c r="AA53" s="94"/>
      <c r="AB53" s="94"/>
      <c r="AC53" s="94"/>
      <c r="AD53" s="94"/>
      <c r="AE53" s="94"/>
      <c r="AF53" s="113">
        <v>18</v>
      </c>
      <c r="AG53" s="113"/>
      <c r="AH53" s="113"/>
      <c r="AI53" s="113"/>
      <c r="AJ53" s="113"/>
      <c r="AK53" s="113"/>
      <c r="AL53" s="113"/>
      <c r="AM53" s="2"/>
    </row>
    <row r="54" spans="1:39" ht="20.100000000000001" customHeight="1" x14ac:dyDescent="0.2">
      <c r="A54" s="80" t="s">
        <v>52</v>
      </c>
      <c r="B54" s="80"/>
      <c r="C54" s="80"/>
      <c r="D54" s="80"/>
      <c r="E54" s="80"/>
      <c r="F54" s="80"/>
      <c r="G54" s="80"/>
      <c r="H54" s="80"/>
      <c r="I54" s="8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94">
        <v>0</v>
      </c>
      <c r="AA54" s="94"/>
      <c r="AB54" s="94"/>
      <c r="AC54" s="94"/>
      <c r="AD54" s="94"/>
      <c r="AE54" s="94"/>
      <c r="AF54" s="113">
        <v>0</v>
      </c>
      <c r="AG54" s="113"/>
      <c r="AH54" s="113"/>
      <c r="AI54" s="113"/>
      <c r="AJ54" s="113"/>
      <c r="AK54" s="113"/>
      <c r="AL54" s="113"/>
      <c r="AM54" s="2"/>
    </row>
    <row r="55" spans="1:39" ht="21" customHeight="1" x14ac:dyDescent="0.2">
      <c r="A55" s="80" t="s">
        <v>53</v>
      </c>
      <c r="B55" s="80"/>
      <c r="C55" s="80"/>
      <c r="D55" s="80"/>
      <c r="E55" s="80"/>
      <c r="F55" s="80"/>
      <c r="G55" s="80"/>
      <c r="H55" s="80"/>
      <c r="I55" s="8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94">
        <v>0</v>
      </c>
      <c r="AA55" s="94"/>
      <c r="AB55" s="94"/>
      <c r="AC55" s="94"/>
      <c r="AD55" s="94"/>
      <c r="AE55" s="94"/>
      <c r="AF55" s="113">
        <v>0</v>
      </c>
      <c r="AG55" s="113"/>
      <c r="AH55" s="113"/>
      <c r="AI55" s="113"/>
      <c r="AJ55" s="113"/>
      <c r="AK55" s="113"/>
      <c r="AL55" s="113"/>
      <c r="AM55" s="2"/>
    </row>
    <row r="56" spans="1:39" ht="21.95" customHeight="1" x14ac:dyDescent="0.2">
      <c r="A56" s="80" t="s">
        <v>54</v>
      </c>
      <c r="B56" s="80"/>
      <c r="C56" s="80"/>
      <c r="D56" s="80"/>
      <c r="E56" s="80"/>
      <c r="F56" s="80"/>
      <c r="G56" s="80"/>
      <c r="H56" s="80"/>
      <c r="I56" s="80"/>
      <c r="J56" s="120">
        <v>45658</v>
      </c>
      <c r="K56" s="120"/>
      <c r="L56" s="120"/>
      <c r="M56" s="120"/>
      <c r="N56" s="120"/>
      <c r="O56" s="120"/>
      <c r="P56" s="120"/>
      <c r="Q56" s="91">
        <v>0</v>
      </c>
      <c r="R56" s="91"/>
      <c r="S56" s="91"/>
      <c r="T56" s="91"/>
      <c r="U56" s="91"/>
      <c r="V56" s="95">
        <v>0</v>
      </c>
      <c r="W56" s="95"/>
      <c r="X56" s="95"/>
      <c r="Y56" s="95"/>
      <c r="Z56" s="94">
        <v>18</v>
      </c>
      <c r="AA56" s="94"/>
      <c r="AB56" s="94"/>
      <c r="AC56" s="94"/>
      <c r="AD56" s="94"/>
      <c r="AE56" s="94"/>
      <c r="AF56" s="113">
        <v>18</v>
      </c>
      <c r="AG56" s="113"/>
      <c r="AH56" s="113"/>
      <c r="AI56" s="113"/>
      <c r="AJ56" s="113"/>
      <c r="AK56" s="113"/>
      <c r="AL56" s="113"/>
      <c r="AM56" s="2"/>
    </row>
    <row r="57" spans="1:39" ht="21" customHeight="1" x14ac:dyDescent="0.2">
      <c r="A57" s="80" t="s">
        <v>55</v>
      </c>
      <c r="B57" s="80"/>
      <c r="C57" s="80"/>
      <c r="D57" s="80"/>
      <c r="E57" s="80"/>
      <c r="F57" s="80"/>
      <c r="G57" s="80"/>
      <c r="H57" s="80"/>
      <c r="I57" s="80"/>
      <c r="J57" s="120">
        <v>45661</v>
      </c>
      <c r="K57" s="120"/>
      <c r="L57" s="120"/>
      <c r="M57" s="120"/>
      <c r="N57" s="120"/>
      <c r="O57" s="120"/>
      <c r="P57" s="120"/>
      <c r="Q57" s="86">
        <v>403.24</v>
      </c>
      <c r="R57" s="86"/>
      <c r="S57" s="86"/>
      <c r="T57" s="86"/>
      <c r="U57" s="86"/>
      <c r="V57" s="93">
        <v>1.5205</v>
      </c>
      <c r="W57" s="93"/>
      <c r="X57" s="93"/>
      <c r="Y57" s="93"/>
      <c r="Z57" s="94">
        <v>18</v>
      </c>
      <c r="AA57" s="94"/>
      <c r="AB57" s="94"/>
      <c r="AC57" s="94"/>
      <c r="AD57" s="94"/>
      <c r="AE57" s="94"/>
      <c r="AF57" s="113">
        <v>18</v>
      </c>
      <c r="AG57" s="113"/>
      <c r="AH57" s="113"/>
      <c r="AI57" s="113"/>
      <c r="AJ57" s="113"/>
      <c r="AK57" s="113"/>
      <c r="AL57" s="113"/>
      <c r="AM57" s="2"/>
    </row>
    <row r="58" spans="1:39" ht="20.100000000000001" customHeight="1" x14ac:dyDescent="0.2">
      <c r="A58" s="80" t="s">
        <v>56</v>
      </c>
      <c r="B58" s="80"/>
      <c r="C58" s="80"/>
      <c r="D58" s="80"/>
      <c r="E58" s="80"/>
      <c r="F58" s="80"/>
      <c r="G58" s="80"/>
      <c r="H58" s="80"/>
      <c r="I58" s="8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94">
        <v>0</v>
      </c>
      <c r="AA58" s="94"/>
      <c r="AB58" s="94"/>
      <c r="AC58" s="94"/>
      <c r="AD58" s="94"/>
      <c r="AE58" s="94"/>
      <c r="AF58" s="113">
        <v>0</v>
      </c>
      <c r="AG58" s="113"/>
      <c r="AH58" s="113"/>
      <c r="AI58" s="113"/>
      <c r="AJ58" s="113"/>
      <c r="AK58" s="113"/>
      <c r="AL58" s="113"/>
      <c r="AM58" s="2"/>
    </row>
    <row r="59" spans="1:39" ht="21.95" customHeight="1" x14ac:dyDescent="0.2">
      <c r="A59" s="80" t="s">
        <v>57</v>
      </c>
      <c r="B59" s="80"/>
      <c r="C59" s="80"/>
      <c r="D59" s="80"/>
      <c r="E59" s="80"/>
      <c r="F59" s="80"/>
      <c r="G59" s="80"/>
      <c r="H59" s="80"/>
      <c r="I59" s="80"/>
      <c r="J59" s="120">
        <v>45660</v>
      </c>
      <c r="K59" s="120"/>
      <c r="L59" s="120"/>
      <c r="M59" s="120"/>
      <c r="N59" s="120"/>
      <c r="O59" s="120"/>
      <c r="P59" s="120"/>
      <c r="Q59" s="86">
        <v>173.97</v>
      </c>
      <c r="R59" s="86"/>
      <c r="S59" s="86"/>
      <c r="T59" s="86"/>
      <c r="U59" s="86"/>
      <c r="V59" s="93">
        <v>2</v>
      </c>
      <c r="W59" s="93"/>
      <c r="X59" s="93"/>
      <c r="Y59" s="93"/>
      <c r="Z59" s="94">
        <v>18</v>
      </c>
      <c r="AA59" s="94"/>
      <c r="AB59" s="94"/>
      <c r="AC59" s="94"/>
      <c r="AD59" s="94"/>
      <c r="AE59" s="94"/>
      <c r="AF59" s="113">
        <v>18</v>
      </c>
      <c r="AG59" s="113"/>
      <c r="AH59" s="113"/>
      <c r="AI59" s="113"/>
      <c r="AJ59" s="113"/>
      <c r="AK59" s="113"/>
      <c r="AL59" s="113"/>
      <c r="AM59" s="2"/>
    </row>
    <row r="60" spans="1:39" ht="21" customHeight="1" x14ac:dyDescent="0.2">
      <c r="A60" s="80" t="s">
        <v>58</v>
      </c>
      <c r="B60" s="80"/>
      <c r="C60" s="80"/>
      <c r="D60" s="80"/>
      <c r="E60" s="80"/>
      <c r="F60" s="80"/>
      <c r="G60" s="80"/>
      <c r="H60" s="80"/>
      <c r="I60" s="80"/>
      <c r="J60" s="120">
        <v>45660</v>
      </c>
      <c r="K60" s="120"/>
      <c r="L60" s="120"/>
      <c r="M60" s="120"/>
      <c r="N60" s="120"/>
      <c r="O60" s="120"/>
      <c r="P60" s="120"/>
      <c r="Q60" s="86">
        <v>188.17</v>
      </c>
      <c r="R60" s="86"/>
      <c r="S60" s="86"/>
      <c r="T60" s="86"/>
      <c r="U60" s="86"/>
      <c r="V60" s="93">
        <v>0.61539999999999995</v>
      </c>
      <c r="W60" s="93"/>
      <c r="X60" s="93"/>
      <c r="Y60" s="93"/>
      <c r="Z60" s="94">
        <v>18</v>
      </c>
      <c r="AA60" s="94"/>
      <c r="AB60" s="94"/>
      <c r="AC60" s="94"/>
      <c r="AD60" s="94"/>
      <c r="AE60" s="94"/>
      <c r="AF60" s="113">
        <v>18</v>
      </c>
      <c r="AG60" s="113"/>
      <c r="AH60" s="113"/>
      <c r="AI60" s="113"/>
      <c r="AJ60" s="113"/>
      <c r="AK60" s="113"/>
      <c r="AL60" s="113"/>
      <c r="AM60" s="2"/>
    </row>
    <row r="61" spans="1:39" ht="21" customHeight="1" x14ac:dyDescent="0.2">
      <c r="A61" s="80" t="s">
        <v>59</v>
      </c>
      <c r="B61" s="80"/>
      <c r="C61" s="80"/>
      <c r="D61" s="80"/>
      <c r="E61" s="80"/>
      <c r="F61" s="80"/>
      <c r="G61" s="80"/>
      <c r="H61" s="80"/>
      <c r="I61" s="80"/>
      <c r="J61" s="120">
        <v>45681</v>
      </c>
      <c r="K61" s="120"/>
      <c r="L61" s="120"/>
      <c r="M61" s="120"/>
      <c r="N61" s="120"/>
      <c r="O61" s="120"/>
      <c r="P61" s="120"/>
      <c r="Q61" s="82">
        <v>94.54</v>
      </c>
      <c r="R61" s="82"/>
      <c r="S61" s="82"/>
      <c r="T61" s="82"/>
      <c r="U61" s="82"/>
      <c r="V61" s="93">
        <v>0.186</v>
      </c>
      <c r="W61" s="93"/>
      <c r="X61" s="93"/>
      <c r="Y61" s="93"/>
      <c r="Z61" s="94">
        <v>18</v>
      </c>
      <c r="AA61" s="94"/>
      <c r="AB61" s="94"/>
      <c r="AC61" s="94"/>
      <c r="AD61" s="94"/>
      <c r="AE61" s="94"/>
      <c r="AF61" s="113">
        <v>18</v>
      </c>
      <c r="AG61" s="113"/>
      <c r="AH61" s="113"/>
      <c r="AI61" s="113"/>
      <c r="AJ61" s="113"/>
      <c r="AK61" s="113"/>
      <c r="AL61" s="113"/>
      <c r="AM61" s="2"/>
    </row>
    <row r="62" spans="1:39" ht="21" customHeight="1" x14ac:dyDescent="0.2">
      <c r="A62" s="80" t="s">
        <v>60</v>
      </c>
      <c r="B62" s="80"/>
      <c r="C62" s="80"/>
      <c r="D62" s="80"/>
      <c r="E62" s="80"/>
      <c r="F62" s="80"/>
      <c r="G62" s="80"/>
      <c r="H62" s="80"/>
      <c r="I62" s="80"/>
      <c r="J62" s="120">
        <v>45674</v>
      </c>
      <c r="K62" s="120"/>
      <c r="L62" s="120"/>
      <c r="M62" s="120"/>
      <c r="N62" s="120"/>
      <c r="O62" s="120"/>
      <c r="P62" s="120"/>
      <c r="Q62" s="103">
        <v>1276.42</v>
      </c>
      <c r="R62" s="103"/>
      <c r="S62" s="103"/>
      <c r="T62" s="103"/>
      <c r="U62" s="103"/>
      <c r="V62" s="93">
        <v>4</v>
      </c>
      <c r="W62" s="93"/>
      <c r="X62" s="93"/>
      <c r="Y62" s="93"/>
      <c r="Z62" s="94">
        <v>18</v>
      </c>
      <c r="AA62" s="94"/>
      <c r="AB62" s="94"/>
      <c r="AC62" s="94"/>
      <c r="AD62" s="94"/>
      <c r="AE62" s="94"/>
      <c r="AF62" s="113">
        <v>18</v>
      </c>
      <c r="AG62" s="113"/>
      <c r="AH62" s="113"/>
      <c r="AI62" s="113"/>
      <c r="AJ62" s="113"/>
      <c r="AK62" s="113"/>
      <c r="AL62" s="113"/>
      <c r="AM62" s="2"/>
    </row>
    <row r="63" spans="1:39" ht="20.100000000000001" customHeight="1" x14ac:dyDescent="0.2">
      <c r="A63" s="80" t="s">
        <v>61</v>
      </c>
      <c r="B63" s="80"/>
      <c r="C63" s="80"/>
      <c r="D63" s="80"/>
      <c r="E63" s="80"/>
      <c r="F63" s="80"/>
      <c r="G63" s="80"/>
      <c r="H63" s="80"/>
      <c r="I63" s="8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94">
        <v>0</v>
      </c>
      <c r="AA63" s="94"/>
      <c r="AB63" s="94"/>
      <c r="AC63" s="94"/>
      <c r="AD63" s="94"/>
      <c r="AE63" s="94"/>
      <c r="AF63" s="113">
        <v>0</v>
      </c>
      <c r="AG63" s="113"/>
      <c r="AH63" s="113"/>
      <c r="AI63" s="113"/>
      <c r="AJ63" s="113"/>
      <c r="AK63" s="113"/>
      <c r="AL63" s="113"/>
      <c r="AM63" s="2"/>
    </row>
    <row r="64" spans="1:39" ht="21.95" customHeight="1" x14ac:dyDescent="0.2">
      <c r="A64" s="80" t="s">
        <v>62</v>
      </c>
      <c r="B64" s="80"/>
      <c r="C64" s="80"/>
      <c r="D64" s="80"/>
      <c r="E64" s="80"/>
      <c r="F64" s="80"/>
      <c r="G64" s="80"/>
      <c r="H64" s="80"/>
      <c r="I64" s="80"/>
      <c r="J64" s="120">
        <v>45685</v>
      </c>
      <c r="K64" s="120"/>
      <c r="L64" s="120"/>
      <c r="M64" s="120"/>
      <c r="N64" s="120"/>
      <c r="O64" s="120"/>
      <c r="P64" s="120"/>
      <c r="Q64" s="103">
        <v>1154.3599999999999</v>
      </c>
      <c r="R64" s="103"/>
      <c r="S64" s="103"/>
      <c r="T64" s="103"/>
      <c r="U64" s="103"/>
      <c r="V64" s="93">
        <v>3.0322</v>
      </c>
      <c r="W64" s="93"/>
      <c r="X64" s="93"/>
      <c r="Y64" s="93"/>
      <c r="Z64" s="94">
        <v>18</v>
      </c>
      <c r="AA64" s="94"/>
      <c r="AB64" s="94"/>
      <c r="AC64" s="94"/>
      <c r="AD64" s="94"/>
      <c r="AE64" s="94"/>
      <c r="AF64" s="113">
        <v>18</v>
      </c>
      <c r="AG64" s="113"/>
      <c r="AH64" s="113"/>
      <c r="AI64" s="113"/>
      <c r="AJ64" s="113"/>
      <c r="AK64" s="113"/>
      <c r="AL64" s="113"/>
      <c r="AM64" s="2"/>
    </row>
    <row r="65" spans="1:39" ht="21" customHeight="1" x14ac:dyDescent="0.2">
      <c r="A65" s="80" t="s">
        <v>63</v>
      </c>
      <c r="B65" s="80"/>
      <c r="C65" s="80"/>
      <c r="D65" s="80"/>
      <c r="E65" s="80"/>
      <c r="F65" s="80"/>
      <c r="G65" s="80"/>
      <c r="H65" s="80"/>
      <c r="I65" s="80"/>
      <c r="J65" s="120">
        <v>45665</v>
      </c>
      <c r="K65" s="120"/>
      <c r="L65" s="120"/>
      <c r="M65" s="120"/>
      <c r="N65" s="120"/>
      <c r="O65" s="120"/>
      <c r="P65" s="120"/>
      <c r="Q65" s="86">
        <v>251.53</v>
      </c>
      <c r="R65" s="86"/>
      <c r="S65" s="86"/>
      <c r="T65" s="86"/>
      <c r="U65" s="86"/>
      <c r="V65" s="93">
        <v>0.57879999999999998</v>
      </c>
      <c r="W65" s="93"/>
      <c r="X65" s="93"/>
      <c r="Y65" s="93"/>
      <c r="Z65" s="94">
        <v>18</v>
      </c>
      <c r="AA65" s="94"/>
      <c r="AB65" s="94"/>
      <c r="AC65" s="94"/>
      <c r="AD65" s="94"/>
      <c r="AE65" s="94"/>
      <c r="AF65" s="113">
        <v>18</v>
      </c>
      <c r="AG65" s="113"/>
      <c r="AH65" s="113"/>
      <c r="AI65" s="113"/>
      <c r="AJ65" s="113"/>
      <c r="AK65" s="113"/>
      <c r="AL65" s="113"/>
      <c r="AM65" s="2"/>
    </row>
    <row r="66" spans="1:39" ht="20.100000000000001" customHeight="1" x14ac:dyDescent="0.2">
      <c r="A66" s="80" t="s">
        <v>64</v>
      </c>
      <c r="B66" s="80"/>
      <c r="C66" s="80"/>
      <c r="D66" s="80"/>
      <c r="E66" s="80"/>
      <c r="F66" s="80"/>
      <c r="G66" s="80"/>
      <c r="H66" s="80"/>
      <c r="I66" s="8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94">
        <v>0</v>
      </c>
      <c r="AA66" s="94"/>
      <c r="AB66" s="94"/>
      <c r="AC66" s="94"/>
      <c r="AD66" s="94"/>
      <c r="AE66" s="94"/>
      <c r="AF66" s="113">
        <v>0</v>
      </c>
      <c r="AG66" s="113"/>
      <c r="AH66" s="113"/>
      <c r="AI66" s="113"/>
      <c r="AJ66" s="113"/>
      <c r="AK66" s="113"/>
      <c r="AL66" s="113"/>
      <c r="AM66" s="2"/>
    </row>
    <row r="67" spans="1:39" ht="17.100000000000001" customHeight="1" x14ac:dyDescent="0.2">
      <c r="A67" s="80" t="s">
        <v>65</v>
      </c>
      <c r="B67" s="80"/>
      <c r="C67" s="80"/>
      <c r="D67" s="80"/>
      <c r="E67" s="80"/>
      <c r="F67" s="80"/>
      <c r="G67" s="80"/>
      <c r="H67" s="80"/>
      <c r="I67" s="80"/>
      <c r="J67" s="120">
        <v>45665</v>
      </c>
      <c r="K67" s="120"/>
      <c r="L67" s="120"/>
      <c r="M67" s="120"/>
      <c r="N67" s="120"/>
      <c r="O67" s="120"/>
      <c r="P67" s="120"/>
      <c r="Q67" s="86">
        <v>280.74</v>
      </c>
      <c r="R67" s="86"/>
      <c r="S67" s="86"/>
      <c r="T67" s="86"/>
      <c r="U67" s="86"/>
      <c r="V67" s="93">
        <v>0.79590000000000005</v>
      </c>
      <c r="W67" s="93"/>
      <c r="X67" s="93"/>
      <c r="Y67" s="93"/>
      <c r="Z67" s="94">
        <v>18</v>
      </c>
      <c r="AA67" s="94"/>
      <c r="AB67" s="94"/>
      <c r="AC67" s="94"/>
      <c r="AD67" s="94"/>
      <c r="AE67" s="94"/>
      <c r="AF67" s="113">
        <v>18</v>
      </c>
      <c r="AG67" s="113"/>
      <c r="AH67" s="113"/>
      <c r="AI67" s="113"/>
      <c r="AJ67" s="113"/>
      <c r="AK67" s="113"/>
      <c r="AL67" s="113"/>
      <c r="AM67" s="2"/>
    </row>
    <row r="68" spans="1:39" ht="220.5" customHeight="1" x14ac:dyDescent="0.25">
      <c r="A68" s="3" t="s">
        <v>14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1"/>
      <c r="W68" s="62"/>
      <c r="X68" s="62"/>
      <c r="Y68" s="1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1"/>
      <c r="AM68" s="1"/>
    </row>
    <row r="69" spans="1:39" ht="52.5" customHeight="1" x14ac:dyDescent="0.2">
      <c r="A69" s="96" t="s">
        <v>15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7" t="s">
        <v>16</v>
      </c>
      <c r="P69" s="97"/>
      <c r="Q69" s="97"/>
      <c r="R69" s="97"/>
      <c r="S69" s="97"/>
      <c r="T69" s="98" t="s">
        <v>17</v>
      </c>
      <c r="U69" s="98"/>
      <c r="V69" s="98"/>
      <c r="W69" s="98"/>
      <c r="X69" s="98"/>
      <c r="Y69" s="99" t="s">
        <v>18</v>
      </c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</row>
    <row r="70" spans="1:39" ht="23.1" customHeight="1" x14ac:dyDescent="0.2">
      <c r="A70" s="100" t="s">
        <v>19</v>
      </c>
      <c r="B70" s="100"/>
      <c r="C70" s="100"/>
      <c r="D70" s="100"/>
      <c r="E70" s="100"/>
      <c r="F70" s="100"/>
      <c r="G70" s="100"/>
      <c r="H70" s="100"/>
      <c r="I70" s="100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2"/>
    </row>
    <row r="71" spans="1:39" ht="23.1" customHeight="1" x14ac:dyDescent="0.2">
      <c r="A71" s="101" t="s">
        <v>20</v>
      </c>
      <c r="B71" s="101"/>
      <c r="C71" s="101"/>
      <c r="D71" s="101"/>
      <c r="E71" s="101"/>
      <c r="F71" s="101"/>
      <c r="G71" s="101"/>
      <c r="H71" s="101"/>
      <c r="I71" s="10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2"/>
    </row>
    <row r="72" spans="1:39" ht="23.1" customHeight="1" x14ac:dyDescent="0.2">
      <c r="A72" s="80" t="s">
        <v>66</v>
      </c>
      <c r="B72" s="80"/>
      <c r="C72" s="80"/>
      <c r="D72" s="80"/>
      <c r="E72" s="80"/>
      <c r="F72" s="80"/>
      <c r="G72" s="80"/>
      <c r="H72" s="80"/>
      <c r="I72" s="80"/>
      <c r="J72" s="120">
        <v>45665</v>
      </c>
      <c r="K72" s="120"/>
      <c r="L72" s="120"/>
      <c r="M72" s="120"/>
      <c r="N72" s="120"/>
      <c r="O72" s="120"/>
      <c r="P72" s="120"/>
      <c r="Q72" s="82">
        <v>33.83</v>
      </c>
      <c r="R72" s="82"/>
      <c r="S72" s="82"/>
      <c r="T72" s="82"/>
      <c r="U72" s="82"/>
      <c r="V72" s="95">
        <v>8.0600000000000005E-2</v>
      </c>
      <c r="W72" s="95"/>
      <c r="X72" s="95"/>
      <c r="Y72" s="95"/>
      <c r="Z72" s="94">
        <v>18</v>
      </c>
      <c r="AA72" s="94"/>
      <c r="AB72" s="94"/>
      <c r="AC72" s="94"/>
      <c r="AD72" s="94"/>
      <c r="AE72" s="94"/>
      <c r="AF72" s="113">
        <v>18</v>
      </c>
      <c r="AG72" s="113"/>
      <c r="AH72" s="113"/>
      <c r="AI72" s="113"/>
      <c r="AJ72" s="113"/>
      <c r="AK72" s="113"/>
      <c r="AL72" s="113"/>
      <c r="AM72" s="2"/>
    </row>
    <row r="73" spans="1:39" ht="21" customHeight="1" x14ac:dyDescent="0.2">
      <c r="A73" s="80" t="s">
        <v>67</v>
      </c>
      <c r="B73" s="80"/>
      <c r="C73" s="80"/>
      <c r="D73" s="80"/>
      <c r="E73" s="80"/>
      <c r="F73" s="80"/>
      <c r="G73" s="80"/>
      <c r="H73" s="80"/>
      <c r="I73" s="80"/>
      <c r="J73" s="120">
        <v>45685</v>
      </c>
      <c r="K73" s="120"/>
      <c r="L73" s="120"/>
      <c r="M73" s="120"/>
      <c r="N73" s="120"/>
      <c r="O73" s="120"/>
      <c r="P73" s="120"/>
      <c r="Q73" s="103">
        <v>1364.3</v>
      </c>
      <c r="R73" s="103"/>
      <c r="S73" s="103"/>
      <c r="T73" s="103"/>
      <c r="U73" s="103"/>
      <c r="V73" s="93">
        <v>2</v>
      </c>
      <c r="W73" s="93"/>
      <c r="X73" s="93"/>
      <c r="Y73" s="93"/>
      <c r="Z73" s="94">
        <v>18</v>
      </c>
      <c r="AA73" s="94"/>
      <c r="AB73" s="94"/>
      <c r="AC73" s="94"/>
      <c r="AD73" s="94"/>
      <c r="AE73" s="94"/>
      <c r="AF73" s="113">
        <v>18</v>
      </c>
      <c r="AG73" s="113"/>
      <c r="AH73" s="113"/>
      <c r="AI73" s="113"/>
      <c r="AJ73" s="113"/>
      <c r="AK73" s="113"/>
      <c r="AL73" s="113"/>
      <c r="AM73" s="2"/>
    </row>
    <row r="74" spans="1:39" ht="20.100000000000001" customHeight="1" x14ac:dyDescent="0.2">
      <c r="A74" s="90" t="s">
        <v>68</v>
      </c>
      <c r="B74" s="90"/>
      <c r="C74" s="90"/>
      <c r="D74" s="90"/>
      <c r="E74" s="90"/>
      <c r="F74" s="90"/>
      <c r="G74" s="90"/>
      <c r="H74" s="90"/>
      <c r="I74" s="9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113">
        <v>18</v>
      </c>
      <c r="AG74" s="113"/>
      <c r="AH74" s="113"/>
      <c r="AI74" s="113"/>
      <c r="AJ74" s="113"/>
      <c r="AK74" s="113"/>
      <c r="AL74" s="113"/>
      <c r="AM74" s="2"/>
    </row>
    <row r="75" spans="1:39" ht="21" customHeight="1" x14ac:dyDescent="0.2">
      <c r="A75" s="90" t="s">
        <v>69</v>
      </c>
      <c r="B75" s="90"/>
      <c r="C75" s="90"/>
      <c r="D75" s="90"/>
      <c r="E75" s="90"/>
      <c r="F75" s="90"/>
      <c r="G75" s="90"/>
      <c r="H75" s="90"/>
      <c r="I75" s="9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113">
        <v>18</v>
      </c>
      <c r="AG75" s="113"/>
      <c r="AH75" s="113"/>
      <c r="AI75" s="113"/>
      <c r="AJ75" s="113"/>
      <c r="AK75" s="113"/>
      <c r="AL75" s="113"/>
      <c r="AM75" s="2"/>
    </row>
    <row r="76" spans="1:39" ht="15" customHeight="1" x14ac:dyDescent="0.2">
      <c r="A76" s="80" t="s">
        <v>70</v>
      </c>
      <c r="B76" s="80"/>
      <c r="C76" s="80"/>
      <c r="D76" s="80"/>
      <c r="E76" s="80"/>
      <c r="F76" s="80"/>
      <c r="G76" s="80"/>
      <c r="H76" s="80"/>
      <c r="I76" s="80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94">
        <v>0</v>
      </c>
      <c r="AA76" s="94"/>
      <c r="AB76" s="94"/>
      <c r="AC76" s="94"/>
      <c r="AD76" s="94"/>
      <c r="AE76" s="94"/>
      <c r="AF76" s="113">
        <v>0</v>
      </c>
      <c r="AG76" s="113"/>
      <c r="AH76" s="113"/>
      <c r="AI76" s="113"/>
      <c r="AJ76" s="113"/>
      <c r="AK76" s="113"/>
      <c r="AL76" s="113"/>
      <c r="AM76" s="4"/>
    </row>
    <row r="77" spans="1:39" ht="27.95" customHeight="1" x14ac:dyDescent="0.2">
      <c r="A77" s="119" t="s">
        <v>71</v>
      </c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2"/>
    </row>
    <row r="78" spans="1:39" ht="34.5" customHeight="1" x14ac:dyDescent="0.2">
      <c r="A78" s="80" t="s">
        <v>72</v>
      </c>
      <c r="B78" s="80"/>
      <c r="C78" s="80"/>
      <c r="D78" s="80"/>
      <c r="E78" s="80"/>
      <c r="F78" s="80"/>
      <c r="G78" s="80"/>
      <c r="H78" s="80"/>
      <c r="I78" s="80"/>
      <c r="J78" s="94">
        <v>0</v>
      </c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113">
        <v>0</v>
      </c>
      <c r="AG78" s="113"/>
      <c r="AH78" s="113"/>
      <c r="AI78" s="113"/>
      <c r="AJ78" s="113"/>
      <c r="AK78" s="113"/>
      <c r="AL78" s="113"/>
      <c r="AM78" s="1"/>
    </row>
    <row r="79" spans="1:39" ht="21" customHeight="1" x14ac:dyDescent="0.2">
      <c r="A79" s="90" t="s">
        <v>73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</row>
    <row r="80" spans="1:39" ht="21" customHeight="1" x14ac:dyDescent="0.2">
      <c r="A80" s="90" t="s">
        <v>74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</row>
    <row r="81" spans="1:39" ht="26.45" customHeight="1" x14ac:dyDescent="0.2">
      <c r="A81" s="90" t="s">
        <v>75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</row>
    <row r="82" spans="1:39" ht="17.100000000000001" customHeight="1" x14ac:dyDescent="0.2">
      <c r="A82" s="101" t="s">
        <v>76</v>
      </c>
      <c r="B82" s="101"/>
      <c r="C82" s="101"/>
      <c r="D82" s="101"/>
      <c r="E82" s="101"/>
      <c r="F82" s="101"/>
      <c r="G82" s="101"/>
      <c r="H82" s="101"/>
      <c r="I82" s="10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2"/>
      <c r="AM82" s="2"/>
    </row>
    <row r="83" spans="1:39" ht="21.95" customHeight="1" x14ac:dyDescent="0.2">
      <c r="A83" s="80" t="s">
        <v>77</v>
      </c>
      <c r="B83" s="80"/>
      <c r="C83" s="80"/>
      <c r="D83" s="80"/>
      <c r="E83" s="80"/>
      <c r="F83" s="80"/>
      <c r="G83" s="80"/>
      <c r="H83" s="80"/>
      <c r="I83" s="8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86">
        <v>0</v>
      </c>
      <c r="AA83" s="86"/>
      <c r="AB83" s="86"/>
      <c r="AC83" s="86"/>
      <c r="AD83" s="86"/>
      <c r="AE83" s="86"/>
      <c r="AF83" s="86"/>
      <c r="AG83" s="86"/>
      <c r="AH83" s="102">
        <v>0</v>
      </c>
      <c r="AI83" s="102"/>
      <c r="AJ83" s="102"/>
      <c r="AK83" s="102"/>
      <c r="AL83" s="2"/>
      <c r="AM83" s="2"/>
    </row>
    <row r="84" spans="1:39" ht="21.95" customHeight="1" x14ac:dyDescent="0.2">
      <c r="A84" s="80" t="s">
        <v>78</v>
      </c>
      <c r="B84" s="80"/>
      <c r="C84" s="80"/>
      <c r="D84" s="80"/>
      <c r="E84" s="80"/>
      <c r="F84" s="80"/>
      <c r="G84" s="80"/>
      <c r="H84" s="80"/>
      <c r="I84" s="80"/>
      <c r="J84" s="81">
        <v>45685</v>
      </c>
      <c r="K84" s="81"/>
      <c r="L84" s="81"/>
      <c r="M84" s="81"/>
      <c r="N84" s="81"/>
      <c r="O84" s="81"/>
      <c r="P84" s="81"/>
      <c r="Q84" s="91">
        <v>1.8</v>
      </c>
      <c r="R84" s="91"/>
      <c r="S84" s="91"/>
      <c r="T84" s="91"/>
      <c r="U84" s="91"/>
      <c r="V84" s="91"/>
      <c r="W84" s="83">
        <v>3.3E-3</v>
      </c>
      <c r="X84" s="83"/>
      <c r="Y84" s="83"/>
      <c r="Z84" s="84">
        <v>18</v>
      </c>
      <c r="AA84" s="84"/>
      <c r="AB84" s="84"/>
      <c r="AC84" s="84"/>
      <c r="AD84" s="84"/>
      <c r="AE84" s="84"/>
      <c r="AF84" s="84"/>
      <c r="AG84" s="84"/>
      <c r="AH84" s="102">
        <v>18</v>
      </c>
      <c r="AI84" s="102"/>
      <c r="AJ84" s="102"/>
      <c r="AK84" s="102"/>
      <c r="AL84" s="2"/>
      <c r="AM84" s="2"/>
    </row>
    <row r="85" spans="1:39" ht="21" customHeight="1" x14ac:dyDescent="0.2">
      <c r="A85" s="80" t="s">
        <v>79</v>
      </c>
      <c r="B85" s="80"/>
      <c r="C85" s="80"/>
      <c r="D85" s="80"/>
      <c r="E85" s="80"/>
      <c r="F85" s="80"/>
      <c r="G85" s="80"/>
      <c r="H85" s="80"/>
      <c r="I85" s="80"/>
      <c r="J85" s="81">
        <v>45681</v>
      </c>
      <c r="K85" s="81"/>
      <c r="L85" s="81"/>
      <c r="M85" s="81"/>
      <c r="N85" s="81"/>
      <c r="O85" s="81"/>
      <c r="P85" s="81"/>
      <c r="Q85" s="86">
        <v>575.37</v>
      </c>
      <c r="R85" s="86"/>
      <c r="S85" s="86"/>
      <c r="T85" s="86"/>
      <c r="U85" s="86"/>
      <c r="V85" s="86"/>
      <c r="W85" s="104">
        <v>1.0353000000000001</v>
      </c>
      <c r="X85" s="104"/>
      <c r="Y85" s="104"/>
      <c r="Z85" s="84">
        <v>18</v>
      </c>
      <c r="AA85" s="84"/>
      <c r="AB85" s="84"/>
      <c r="AC85" s="84"/>
      <c r="AD85" s="84"/>
      <c r="AE85" s="84"/>
      <c r="AF85" s="84"/>
      <c r="AG85" s="84"/>
      <c r="AH85" s="102">
        <v>18</v>
      </c>
      <c r="AI85" s="102"/>
      <c r="AJ85" s="102"/>
      <c r="AK85" s="102"/>
      <c r="AL85" s="2"/>
      <c r="AM85" s="2"/>
    </row>
    <row r="86" spans="1:39" ht="21" customHeight="1" x14ac:dyDescent="0.2">
      <c r="A86" s="80" t="s">
        <v>80</v>
      </c>
      <c r="B86" s="80"/>
      <c r="C86" s="80"/>
      <c r="D86" s="80"/>
      <c r="E86" s="80"/>
      <c r="F86" s="80"/>
      <c r="G86" s="80"/>
      <c r="H86" s="80"/>
      <c r="I86" s="80"/>
      <c r="J86" s="81">
        <v>45685</v>
      </c>
      <c r="K86" s="81"/>
      <c r="L86" s="81"/>
      <c r="M86" s="81"/>
      <c r="N86" s="81"/>
      <c r="O86" s="81"/>
      <c r="P86" s="81"/>
      <c r="Q86" s="86">
        <v>145.56</v>
      </c>
      <c r="R86" s="86"/>
      <c r="S86" s="86"/>
      <c r="T86" s="86"/>
      <c r="U86" s="86"/>
      <c r="V86" s="86"/>
      <c r="W86" s="83">
        <v>0.38850000000000001</v>
      </c>
      <c r="X86" s="83"/>
      <c r="Y86" s="83"/>
      <c r="Z86" s="84">
        <v>18</v>
      </c>
      <c r="AA86" s="84"/>
      <c r="AB86" s="84"/>
      <c r="AC86" s="84"/>
      <c r="AD86" s="84"/>
      <c r="AE86" s="84"/>
      <c r="AF86" s="84"/>
      <c r="AG86" s="84"/>
      <c r="AH86" s="102">
        <v>18</v>
      </c>
      <c r="AI86" s="102"/>
      <c r="AJ86" s="102"/>
      <c r="AK86" s="102"/>
      <c r="AL86" s="2"/>
      <c r="AM86" s="2"/>
    </row>
    <row r="87" spans="1:39" ht="20.100000000000001" customHeight="1" x14ac:dyDescent="0.2">
      <c r="A87" s="80" t="s">
        <v>81</v>
      </c>
      <c r="B87" s="80"/>
      <c r="C87" s="80"/>
      <c r="D87" s="80"/>
      <c r="E87" s="80"/>
      <c r="F87" s="80"/>
      <c r="G87" s="80"/>
      <c r="H87" s="80"/>
      <c r="I87" s="8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86">
        <v>0</v>
      </c>
      <c r="AA87" s="86"/>
      <c r="AB87" s="86"/>
      <c r="AC87" s="86"/>
      <c r="AD87" s="86"/>
      <c r="AE87" s="86"/>
      <c r="AF87" s="86"/>
      <c r="AG87" s="86"/>
      <c r="AH87" s="102">
        <v>0</v>
      </c>
      <c r="AI87" s="102"/>
      <c r="AJ87" s="102"/>
      <c r="AK87" s="102"/>
      <c r="AL87" s="2"/>
      <c r="AM87" s="2"/>
    </row>
    <row r="88" spans="1:39" ht="21" customHeight="1" x14ac:dyDescent="0.2">
      <c r="A88" s="90" t="s">
        <v>82</v>
      </c>
      <c r="B88" s="90"/>
      <c r="C88" s="90"/>
      <c r="D88" s="90"/>
      <c r="E88" s="90"/>
      <c r="F88" s="90"/>
      <c r="G88" s="90"/>
      <c r="H88" s="90"/>
      <c r="I88" s="90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2"/>
      <c r="AM88" s="2"/>
    </row>
    <row r="89" spans="1:39" ht="27.6" customHeight="1" x14ac:dyDescent="0.2">
      <c r="A89" s="90" t="s">
        <v>83</v>
      </c>
      <c r="B89" s="90"/>
      <c r="C89" s="90"/>
      <c r="D89" s="90"/>
      <c r="E89" s="90"/>
      <c r="F89" s="90"/>
      <c r="G89" s="90"/>
      <c r="H89" s="90"/>
      <c r="I89" s="9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2"/>
      <c r="AM89" s="2"/>
    </row>
    <row r="90" spans="1:39" ht="18" customHeight="1" x14ac:dyDescent="0.2">
      <c r="A90" s="110" t="s">
        <v>84</v>
      </c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</row>
    <row r="91" spans="1:39" ht="220.5" customHeight="1" x14ac:dyDescent="0.25">
      <c r="A91" s="3" t="s">
        <v>14</v>
      </c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1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1"/>
    </row>
    <row r="92" spans="1:39" ht="52.5" customHeight="1" x14ac:dyDescent="0.2">
      <c r="A92" s="96" t="s">
        <v>15</v>
      </c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7" t="s">
        <v>16</v>
      </c>
      <c r="P92" s="97"/>
      <c r="Q92" s="97"/>
      <c r="R92" s="97"/>
      <c r="S92" s="97"/>
      <c r="T92" s="98" t="s">
        <v>17</v>
      </c>
      <c r="U92" s="98"/>
      <c r="V92" s="98"/>
      <c r="W92" s="98"/>
      <c r="X92" s="98"/>
      <c r="Y92" s="99" t="s">
        <v>18</v>
      </c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</row>
    <row r="93" spans="1:39" ht="23.1" customHeight="1" x14ac:dyDescent="0.2">
      <c r="A93" s="100" t="s">
        <v>19</v>
      </c>
      <c r="B93" s="100"/>
      <c r="C93" s="100"/>
      <c r="D93" s="100"/>
      <c r="E93" s="100"/>
      <c r="F93" s="100"/>
      <c r="G93" s="100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2"/>
    </row>
    <row r="94" spans="1:39" ht="23.1" customHeight="1" x14ac:dyDescent="0.2">
      <c r="A94" s="101" t="s">
        <v>76</v>
      </c>
      <c r="B94" s="101"/>
      <c r="C94" s="101"/>
      <c r="D94" s="101"/>
      <c r="E94" s="101"/>
      <c r="F94" s="101"/>
      <c r="G94" s="101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2"/>
    </row>
    <row r="95" spans="1:39" ht="23.1" customHeight="1" x14ac:dyDescent="0.2">
      <c r="A95" s="80" t="s">
        <v>85</v>
      </c>
      <c r="B95" s="80"/>
      <c r="C95" s="80"/>
      <c r="D95" s="80"/>
      <c r="E95" s="80"/>
      <c r="F95" s="80"/>
      <c r="G95" s="80"/>
      <c r="H95" s="112">
        <v>45686</v>
      </c>
      <c r="I95" s="112"/>
      <c r="J95" s="112"/>
      <c r="K95" s="112"/>
      <c r="L95" s="112"/>
      <c r="M95" s="112"/>
      <c r="N95" s="112"/>
      <c r="O95" s="112"/>
      <c r="P95" s="112"/>
      <c r="Q95" s="91">
        <v>9.39</v>
      </c>
      <c r="R95" s="91"/>
      <c r="S95" s="91"/>
      <c r="T95" s="91"/>
      <c r="U95" s="91"/>
      <c r="V95" s="95">
        <v>5.2200000000000003E-2</v>
      </c>
      <c r="W95" s="95"/>
      <c r="X95" s="95"/>
      <c r="Y95" s="95"/>
      <c r="Z95" s="94">
        <v>18</v>
      </c>
      <c r="AA95" s="94"/>
      <c r="AB95" s="94"/>
      <c r="AC95" s="94"/>
      <c r="AD95" s="94"/>
      <c r="AE95" s="94"/>
      <c r="AF95" s="113">
        <v>18</v>
      </c>
      <c r="AG95" s="113"/>
      <c r="AH95" s="113"/>
      <c r="AI95" s="113"/>
      <c r="AJ95" s="113"/>
      <c r="AK95" s="113"/>
      <c r="AL95" s="113"/>
      <c r="AM95" s="2"/>
    </row>
    <row r="96" spans="1:39" ht="21" customHeight="1" x14ac:dyDescent="0.2">
      <c r="A96" s="80" t="s">
        <v>86</v>
      </c>
      <c r="B96" s="80"/>
      <c r="C96" s="80"/>
      <c r="D96" s="80"/>
      <c r="E96" s="80"/>
      <c r="F96" s="80"/>
      <c r="G96" s="80"/>
      <c r="H96" s="112">
        <v>45665</v>
      </c>
      <c r="I96" s="112"/>
      <c r="J96" s="112"/>
      <c r="K96" s="112"/>
      <c r="L96" s="112"/>
      <c r="M96" s="112"/>
      <c r="N96" s="112"/>
      <c r="O96" s="112"/>
      <c r="P96" s="112"/>
      <c r="Q96" s="91">
        <v>2.69</v>
      </c>
      <c r="R96" s="91"/>
      <c r="S96" s="91"/>
      <c r="T96" s="91"/>
      <c r="U96" s="91"/>
      <c r="V96" s="95">
        <v>4.5999999999999999E-3</v>
      </c>
      <c r="W96" s="95"/>
      <c r="X96" s="95"/>
      <c r="Y96" s="95"/>
      <c r="Z96" s="94">
        <v>18</v>
      </c>
      <c r="AA96" s="94"/>
      <c r="AB96" s="94"/>
      <c r="AC96" s="94"/>
      <c r="AD96" s="94"/>
      <c r="AE96" s="94"/>
      <c r="AF96" s="113">
        <v>18</v>
      </c>
      <c r="AG96" s="113"/>
      <c r="AH96" s="113"/>
      <c r="AI96" s="113"/>
      <c r="AJ96" s="113"/>
      <c r="AK96" s="113"/>
      <c r="AL96" s="113"/>
      <c r="AM96" s="2"/>
    </row>
    <row r="97" spans="1:39" ht="20.100000000000001" customHeight="1" x14ac:dyDescent="0.2">
      <c r="A97" s="90" t="s">
        <v>87</v>
      </c>
      <c r="B97" s="90"/>
      <c r="C97" s="90"/>
      <c r="D97" s="90"/>
      <c r="E97" s="90"/>
      <c r="F97" s="90"/>
      <c r="G97" s="90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113">
        <v>18</v>
      </c>
      <c r="AG97" s="113"/>
      <c r="AH97" s="113"/>
      <c r="AI97" s="113"/>
      <c r="AJ97" s="113"/>
      <c r="AK97" s="113"/>
      <c r="AL97" s="113"/>
      <c r="AM97" s="2"/>
    </row>
    <row r="98" spans="1:39" ht="29.1" customHeight="1" x14ac:dyDescent="0.2">
      <c r="A98" s="80" t="s">
        <v>88</v>
      </c>
      <c r="B98" s="80"/>
      <c r="C98" s="80"/>
      <c r="D98" s="80"/>
      <c r="E98" s="80"/>
      <c r="F98" s="80"/>
      <c r="G98" s="80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94">
        <v>0</v>
      </c>
      <c r="AA98" s="94"/>
      <c r="AB98" s="94"/>
      <c r="AC98" s="94"/>
      <c r="AD98" s="94"/>
      <c r="AE98" s="94"/>
      <c r="AF98" s="113">
        <v>0</v>
      </c>
      <c r="AG98" s="113"/>
      <c r="AH98" s="113"/>
      <c r="AI98" s="113"/>
      <c r="AJ98" s="113"/>
      <c r="AK98" s="113"/>
      <c r="AL98" s="113"/>
      <c r="AM98" s="2"/>
    </row>
    <row r="99" spans="1:39" ht="29.1" customHeight="1" x14ac:dyDescent="0.2">
      <c r="A99" s="80" t="s">
        <v>89</v>
      </c>
      <c r="B99" s="80"/>
      <c r="C99" s="80"/>
      <c r="D99" s="80"/>
      <c r="E99" s="80"/>
      <c r="F99" s="80"/>
      <c r="G99" s="80"/>
      <c r="H99" s="112">
        <v>45665</v>
      </c>
      <c r="I99" s="112"/>
      <c r="J99" s="112"/>
      <c r="K99" s="112"/>
      <c r="L99" s="112"/>
      <c r="M99" s="112"/>
      <c r="N99" s="112"/>
      <c r="O99" s="112"/>
      <c r="P99" s="112"/>
      <c r="Q99" s="82">
        <v>11.26</v>
      </c>
      <c r="R99" s="82"/>
      <c r="S99" s="82"/>
      <c r="T99" s="82"/>
      <c r="U99" s="82"/>
      <c r="V99" s="95">
        <v>5.21E-2</v>
      </c>
      <c r="W99" s="95"/>
      <c r="X99" s="95"/>
      <c r="Y99" s="95"/>
      <c r="Z99" s="94">
        <v>18</v>
      </c>
      <c r="AA99" s="94"/>
      <c r="AB99" s="94"/>
      <c r="AC99" s="94"/>
      <c r="AD99" s="94"/>
      <c r="AE99" s="94"/>
      <c r="AF99" s="113">
        <v>18</v>
      </c>
      <c r="AG99" s="113"/>
      <c r="AH99" s="113"/>
      <c r="AI99" s="113"/>
      <c r="AJ99" s="113"/>
      <c r="AK99" s="113"/>
      <c r="AL99" s="113"/>
      <c r="AM99" s="2"/>
    </row>
    <row r="100" spans="1:39" ht="20.100000000000001" customHeight="1" x14ac:dyDescent="0.2">
      <c r="A100" s="80" t="s">
        <v>90</v>
      </c>
      <c r="B100" s="80"/>
      <c r="C100" s="80"/>
      <c r="D100" s="80"/>
      <c r="E100" s="80"/>
      <c r="F100" s="80"/>
      <c r="G100" s="80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94">
        <v>0</v>
      </c>
      <c r="AA100" s="94"/>
      <c r="AB100" s="94"/>
      <c r="AC100" s="94"/>
      <c r="AD100" s="94"/>
      <c r="AE100" s="94"/>
      <c r="AF100" s="113">
        <v>0</v>
      </c>
      <c r="AG100" s="113"/>
      <c r="AH100" s="113"/>
      <c r="AI100" s="113"/>
      <c r="AJ100" s="113"/>
      <c r="AK100" s="113"/>
      <c r="AL100" s="113"/>
      <c r="AM100" s="2"/>
    </row>
    <row r="101" spans="1:39" ht="21" customHeight="1" x14ac:dyDescent="0.2">
      <c r="A101" s="90" t="s">
        <v>91</v>
      </c>
      <c r="B101" s="90"/>
      <c r="C101" s="90"/>
      <c r="D101" s="90"/>
      <c r="E101" s="90"/>
      <c r="F101" s="90"/>
      <c r="G101" s="90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2"/>
    </row>
    <row r="102" spans="1:39" ht="21" customHeight="1" x14ac:dyDescent="0.2">
      <c r="A102" s="90" t="s">
        <v>92</v>
      </c>
      <c r="B102" s="90"/>
      <c r="C102" s="90"/>
      <c r="D102" s="90"/>
      <c r="E102" s="90"/>
      <c r="F102" s="90"/>
      <c r="G102" s="90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113">
        <v>18</v>
      </c>
      <c r="AG102" s="113"/>
      <c r="AH102" s="113"/>
      <c r="AI102" s="113"/>
      <c r="AJ102" s="113"/>
      <c r="AK102" s="113"/>
      <c r="AL102" s="113"/>
      <c r="AM102" s="2"/>
    </row>
    <row r="103" spans="1:39" ht="21.95" customHeight="1" x14ac:dyDescent="0.2">
      <c r="A103" s="80" t="s">
        <v>93</v>
      </c>
      <c r="B103" s="80"/>
      <c r="C103" s="80"/>
      <c r="D103" s="80"/>
      <c r="E103" s="80"/>
      <c r="F103" s="80"/>
      <c r="G103" s="80"/>
      <c r="H103" s="112">
        <v>45658</v>
      </c>
      <c r="I103" s="112"/>
      <c r="J103" s="112"/>
      <c r="K103" s="112"/>
      <c r="L103" s="112"/>
      <c r="M103" s="112"/>
      <c r="N103" s="112"/>
      <c r="O103" s="112"/>
      <c r="P103" s="112"/>
      <c r="Q103" s="86">
        <v>244.17</v>
      </c>
      <c r="R103" s="86"/>
      <c r="S103" s="86"/>
      <c r="T103" s="86"/>
      <c r="U103" s="86"/>
      <c r="V103" s="93">
        <v>0.1237</v>
      </c>
      <c r="W103" s="93"/>
      <c r="X103" s="93"/>
      <c r="Y103" s="93"/>
      <c r="Z103" s="94">
        <v>18</v>
      </c>
      <c r="AA103" s="94"/>
      <c r="AB103" s="94"/>
      <c r="AC103" s="94"/>
      <c r="AD103" s="94"/>
      <c r="AE103" s="94"/>
      <c r="AF103" s="113">
        <v>18</v>
      </c>
      <c r="AG103" s="113"/>
      <c r="AH103" s="113"/>
      <c r="AI103" s="113"/>
      <c r="AJ103" s="113"/>
      <c r="AK103" s="113"/>
      <c r="AL103" s="113"/>
      <c r="AM103" s="2"/>
    </row>
    <row r="104" spans="1:39" ht="20.100000000000001" customHeight="1" x14ac:dyDescent="0.2">
      <c r="A104" s="90" t="s">
        <v>94</v>
      </c>
      <c r="B104" s="90"/>
      <c r="C104" s="90"/>
      <c r="D104" s="90"/>
      <c r="E104" s="90"/>
      <c r="F104" s="90"/>
      <c r="G104" s="90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2"/>
    </row>
    <row r="105" spans="1:39" ht="21" customHeight="1" x14ac:dyDescent="0.2">
      <c r="A105" s="90" t="s">
        <v>95</v>
      </c>
      <c r="B105" s="90"/>
      <c r="C105" s="90"/>
      <c r="D105" s="90"/>
      <c r="E105" s="90"/>
      <c r="F105" s="90"/>
      <c r="G105" s="90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2"/>
    </row>
    <row r="106" spans="1:39" ht="21" customHeight="1" x14ac:dyDescent="0.2">
      <c r="A106" s="90" t="s">
        <v>96</v>
      </c>
      <c r="B106" s="90"/>
      <c r="C106" s="90"/>
      <c r="D106" s="90"/>
      <c r="E106" s="90"/>
      <c r="F106" s="90"/>
      <c r="G106" s="90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113">
        <v>18</v>
      </c>
      <c r="AG106" s="113"/>
      <c r="AH106" s="113"/>
      <c r="AI106" s="113"/>
      <c r="AJ106" s="113"/>
      <c r="AK106" s="113"/>
      <c r="AL106" s="113"/>
      <c r="AM106" s="2"/>
    </row>
    <row r="107" spans="1:39" ht="21" customHeight="1" x14ac:dyDescent="0.2">
      <c r="A107" s="80" t="s">
        <v>97</v>
      </c>
      <c r="B107" s="80"/>
      <c r="C107" s="80"/>
      <c r="D107" s="80"/>
      <c r="E107" s="80"/>
      <c r="F107" s="80"/>
      <c r="G107" s="80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94">
        <v>0</v>
      </c>
      <c r="AA107" s="94"/>
      <c r="AB107" s="94"/>
      <c r="AC107" s="94"/>
      <c r="AD107" s="94"/>
      <c r="AE107" s="94"/>
      <c r="AF107" s="113">
        <v>0</v>
      </c>
      <c r="AG107" s="113"/>
      <c r="AH107" s="113"/>
      <c r="AI107" s="113"/>
      <c r="AJ107" s="113"/>
      <c r="AK107" s="113"/>
      <c r="AL107" s="113"/>
      <c r="AM107" s="2"/>
    </row>
    <row r="108" spans="1:39" ht="21.95" customHeight="1" x14ac:dyDescent="0.2">
      <c r="A108" s="80" t="s">
        <v>98</v>
      </c>
      <c r="B108" s="80"/>
      <c r="C108" s="80"/>
      <c r="D108" s="80"/>
      <c r="E108" s="80"/>
      <c r="F108" s="80"/>
      <c r="G108" s="80"/>
      <c r="H108" s="112">
        <v>45664</v>
      </c>
      <c r="I108" s="112"/>
      <c r="J108" s="112"/>
      <c r="K108" s="112"/>
      <c r="L108" s="112"/>
      <c r="M108" s="112"/>
      <c r="N108" s="112"/>
      <c r="O108" s="112"/>
      <c r="P108" s="112"/>
      <c r="Q108" s="86">
        <v>644.41</v>
      </c>
      <c r="R108" s="86"/>
      <c r="S108" s="86"/>
      <c r="T108" s="86"/>
      <c r="U108" s="86"/>
      <c r="V108" s="93">
        <v>3.8094000000000001</v>
      </c>
      <c r="W108" s="93"/>
      <c r="X108" s="93"/>
      <c r="Y108" s="93"/>
      <c r="Z108" s="94">
        <v>18</v>
      </c>
      <c r="AA108" s="94"/>
      <c r="AB108" s="94"/>
      <c r="AC108" s="94"/>
      <c r="AD108" s="94"/>
      <c r="AE108" s="94"/>
      <c r="AF108" s="113">
        <v>18</v>
      </c>
      <c r="AG108" s="113"/>
      <c r="AH108" s="113"/>
      <c r="AI108" s="113"/>
      <c r="AJ108" s="113"/>
      <c r="AK108" s="113"/>
      <c r="AL108" s="113"/>
      <c r="AM108" s="2"/>
    </row>
    <row r="109" spans="1:39" ht="27.95" customHeight="1" x14ac:dyDescent="0.2">
      <c r="A109" s="80" t="s">
        <v>99</v>
      </c>
      <c r="B109" s="80"/>
      <c r="C109" s="80"/>
      <c r="D109" s="80"/>
      <c r="E109" s="80"/>
      <c r="F109" s="80"/>
      <c r="G109" s="80"/>
      <c r="H109" s="112">
        <v>45665</v>
      </c>
      <c r="I109" s="112"/>
      <c r="J109" s="112"/>
      <c r="K109" s="112"/>
      <c r="L109" s="112"/>
      <c r="M109" s="112"/>
      <c r="N109" s="112"/>
      <c r="O109" s="112"/>
      <c r="P109" s="112"/>
      <c r="Q109" s="82">
        <v>12.81</v>
      </c>
      <c r="R109" s="82"/>
      <c r="S109" s="82"/>
      <c r="T109" s="82"/>
      <c r="U109" s="82"/>
      <c r="V109" s="95">
        <v>5.2200000000000003E-2</v>
      </c>
      <c r="W109" s="95"/>
      <c r="X109" s="95"/>
      <c r="Y109" s="95"/>
      <c r="Z109" s="94">
        <v>18</v>
      </c>
      <c r="AA109" s="94"/>
      <c r="AB109" s="94"/>
      <c r="AC109" s="94"/>
      <c r="AD109" s="94"/>
      <c r="AE109" s="94"/>
      <c r="AF109" s="113">
        <v>18</v>
      </c>
      <c r="AG109" s="113"/>
      <c r="AH109" s="113"/>
      <c r="AI109" s="113"/>
      <c r="AJ109" s="113"/>
      <c r="AK109" s="113"/>
      <c r="AL109" s="113"/>
      <c r="AM109" s="2"/>
    </row>
    <row r="110" spans="1:39" ht="21" customHeight="1" x14ac:dyDescent="0.2">
      <c r="A110" s="80" t="s">
        <v>100</v>
      </c>
      <c r="B110" s="80"/>
      <c r="C110" s="80"/>
      <c r="D110" s="80"/>
      <c r="E110" s="80"/>
      <c r="F110" s="80"/>
      <c r="G110" s="80"/>
      <c r="H110" s="112">
        <v>45686</v>
      </c>
      <c r="I110" s="112"/>
      <c r="J110" s="112"/>
      <c r="K110" s="112"/>
      <c r="L110" s="112"/>
      <c r="M110" s="112"/>
      <c r="N110" s="112"/>
      <c r="O110" s="112"/>
      <c r="P110" s="112"/>
      <c r="Q110" s="82">
        <v>41.21</v>
      </c>
      <c r="R110" s="82"/>
      <c r="S110" s="82"/>
      <c r="T110" s="82"/>
      <c r="U110" s="82"/>
      <c r="V110" s="95">
        <v>9.98E-2</v>
      </c>
      <c r="W110" s="95"/>
      <c r="X110" s="95"/>
      <c r="Y110" s="95"/>
      <c r="Z110" s="94">
        <v>18</v>
      </c>
      <c r="AA110" s="94"/>
      <c r="AB110" s="94"/>
      <c r="AC110" s="94"/>
      <c r="AD110" s="94"/>
      <c r="AE110" s="94"/>
      <c r="AF110" s="113">
        <v>18</v>
      </c>
      <c r="AG110" s="113"/>
      <c r="AH110" s="113"/>
      <c r="AI110" s="113"/>
      <c r="AJ110" s="113"/>
      <c r="AK110" s="113"/>
      <c r="AL110" s="113"/>
      <c r="AM110" s="2"/>
    </row>
    <row r="111" spans="1:39" ht="21" customHeight="1" x14ac:dyDescent="0.2">
      <c r="A111" s="80" t="s">
        <v>101</v>
      </c>
      <c r="B111" s="80"/>
      <c r="C111" s="80"/>
      <c r="D111" s="80"/>
      <c r="E111" s="80"/>
      <c r="F111" s="80"/>
      <c r="G111" s="80"/>
      <c r="H111" s="112">
        <v>45665</v>
      </c>
      <c r="I111" s="112"/>
      <c r="J111" s="112"/>
      <c r="K111" s="112"/>
      <c r="L111" s="112"/>
      <c r="M111" s="112"/>
      <c r="N111" s="112"/>
      <c r="O111" s="112"/>
      <c r="P111" s="112"/>
      <c r="Q111" s="91">
        <v>0</v>
      </c>
      <c r="R111" s="91"/>
      <c r="S111" s="91"/>
      <c r="T111" s="91"/>
      <c r="U111" s="91"/>
      <c r="V111" s="95">
        <v>0</v>
      </c>
      <c r="W111" s="95"/>
      <c r="X111" s="95"/>
      <c r="Y111" s="95"/>
      <c r="Z111" s="94">
        <v>18</v>
      </c>
      <c r="AA111" s="94"/>
      <c r="AB111" s="94"/>
      <c r="AC111" s="94"/>
      <c r="AD111" s="94"/>
      <c r="AE111" s="94"/>
      <c r="AF111" s="113">
        <v>18</v>
      </c>
      <c r="AG111" s="113"/>
      <c r="AH111" s="113"/>
      <c r="AI111" s="113"/>
      <c r="AJ111" s="113"/>
      <c r="AK111" s="113"/>
      <c r="AL111" s="113"/>
      <c r="AM111" s="2"/>
    </row>
    <row r="112" spans="1:39" ht="27.6" customHeight="1" x14ac:dyDescent="0.2">
      <c r="A112" s="80" t="s">
        <v>102</v>
      </c>
      <c r="B112" s="80"/>
      <c r="C112" s="80"/>
      <c r="D112" s="80"/>
      <c r="E112" s="80"/>
      <c r="F112" s="80"/>
      <c r="G112" s="80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94">
        <v>0</v>
      </c>
      <c r="AA112" s="94"/>
      <c r="AB112" s="94"/>
      <c r="AC112" s="94"/>
      <c r="AD112" s="94"/>
      <c r="AE112" s="94"/>
      <c r="AF112" s="113">
        <v>0</v>
      </c>
      <c r="AG112" s="113"/>
      <c r="AH112" s="113"/>
      <c r="AI112" s="113"/>
      <c r="AJ112" s="113"/>
      <c r="AK112" s="113"/>
      <c r="AL112" s="113"/>
      <c r="AM112" s="2"/>
    </row>
    <row r="113" spans="1:39" ht="11.25" customHeight="1" x14ac:dyDescent="0.2">
      <c r="A113" s="90" t="s">
        <v>103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</row>
    <row r="114" spans="1:39" ht="220.5" customHeight="1" x14ac:dyDescent="0.25">
      <c r="A114" s="3" t="s">
        <v>14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1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1"/>
    </row>
    <row r="115" spans="1:39" ht="52.5" customHeight="1" x14ac:dyDescent="0.2">
      <c r="A115" s="96" t="s">
        <v>15</v>
      </c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7" t="s">
        <v>16</v>
      </c>
      <c r="P115" s="97"/>
      <c r="Q115" s="97"/>
      <c r="R115" s="97"/>
      <c r="S115" s="97"/>
      <c r="T115" s="98" t="s">
        <v>17</v>
      </c>
      <c r="U115" s="98"/>
      <c r="V115" s="98"/>
      <c r="W115" s="98"/>
      <c r="X115" s="98"/>
      <c r="Y115" s="99" t="s">
        <v>18</v>
      </c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</row>
    <row r="116" spans="1:39" ht="23.1" customHeight="1" x14ac:dyDescent="0.2">
      <c r="A116" s="100" t="s">
        <v>19</v>
      </c>
      <c r="B116" s="100"/>
      <c r="C116" s="100"/>
      <c r="D116" s="100"/>
      <c r="E116" s="100"/>
      <c r="F116" s="100"/>
      <c r="G116" s="100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2"/>
    </row>
    <row r="117" spans="1:39" ht="23.1" customHeight="1" x14ac:dyDescent="0.2">
      <c r="A117" s="101" t="s">
        <v>76</v>
      </c>
      <c r="B117" s="101"/>
      <c r="C117" s="101"/>
      <c r="D117" s="101"/>
      <c r="E117" s="101"/>
      <c r="F117" s="101"/>
      <c r="G117" s="10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2"/>
    </row>
    <row r="118" spans="1:39" ht="23.1" customHeight="1" x14ac:dyDescent="0.2">
      <c r="A118" s="80" t="s">
        <v>104</v>
      </c>
      <c r="B118" s="80"/>
      <c r="C118" s="80"/>
      <c r="D118" s="80"/>
      <c r="E118" s="80"/>
      <c r="F118" s="80"/>
      <c r="G118" s="80"/>
      <c r="H118" s="112">
        <v>45677</v>
      </c>
      <c r="I118" s="112"/>
      <c r="J118" s="112"/>
      <c r="K118" s="112"/>
      <c r="L118" s="112"/>
      <c r="M118" s="112"/>
      <c r="N118" s="112"/>
      <c r="O118" s="112"/>
      <c r="P118" s="112"/>
      <c r="Q118" s="91">
        <v>0</v>
      </c>
      <c r="R118" s="91"/>
      <c r="S118" s="91"/>
      <c r="T118" s="91"/>
      <c r="U118" s="91"/>
      <c r="V118" s="93">
        <v>1</v>
      </c>
      <c r="W118" s="93"/>
      <c r="X118" s="93"/>
      <c r="Y118" s="93"/>
      <c r="Z118" s="94">
        <v>18</v>
      </c>
      <c r="AA118" s="94"/>
      <c r="AB118" s="94"/>
      <c r="AC118" s="94"/>
      <c r="AD118" s="94"/>
      <c r="AE118" s="94"/>
      <c r="AF118" s="113">
        <v>18</v>
      </c>
      <c r="AG118" s="113"/>
      <c r="AH118" s="113"/>
      <c r="AI118" s="113"/>
      <c r="AJ118" s="113"/>
      <c r="AK118" s="113"/>
      <c r="AL118" s="113"/>
      <c r="AM118" s="2"/>
    </row>
    <row r="119" spans="1:39" ht="20.100000000000001" customHeight="1" x14ac:dyDescent="0.2">
      <c r="A119" s="80" t="s">
        <v>105</v>
      </c>
      <c r="B119" s="80"/>
      <c r="C119" s="80"/>
      <c r="D119" s="80"/>
      <c r="E119" s="80"/>
      <c r="F119" s="80"/>
      <c r="G119" s="80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94">
        <v>0</v>
      </c>
      <c r="AA119" s="94"/>
      <c r="AB119" s="94"/>
      <c r="AC119" s="94"/>
      <c r="AD119" s="94"/>
      <c r="AE119" s="94"/>
      <c r="AF119" s="113">
        <v>0</v>
      </c>
      <c r="AG119" s="113"/>
      <c r="AH119" s="113"/>
      <c r="AI119" s="113"/>
      <c r="AJ119" s="113"/>
      <c r="AK119" s="113"/>
      <c r="AL119" s="113"/>
      <c r="AM119" s="2"/>
    </row>
    <row r="120" spans="1:39" ht="21.95" customHeight="1" x14ac:dyDescent="0.2">
      <c r="A120" s="80" t="s">
        <v>106</v>
      </c>
      <c r="B120" s="80"/>
      <c r="C120" s="80"/>
      <c r="D120" s="80"/>
      <c r="E120" s="80"/>
      <c r="F120" s="80"/>
      <c r="G120" s="80"/>
      <c r="H120" s="112">
        <v>45665</v>
      </c>
      <c r="I120" s="112"/>
      <c r="J120" s="112"/>
      <c r="K120" s="112"/>
      <c r="L120" s="112"/>
      <c r="M120" s="112"/>
      <c r="N120" s="112"/>
      <c r="O120" s="112"/>
      <c r="P120" s="112"/>
      <c r="Q120" s="91">
        <v>0</v>
      </c>
      <c r="R120" s="91"/>
      <c r="S120" s="91"/>
      <c r="T120" s="91"/>
      <c r="U120" s="91"/>
      <c r="V120" s="95">
        <v>0</v>
      </c>
      <c r="W120" s="95"/>
      <c r="X120" s="95"/>
      <c r="Y120" s="95"/>
      <c r="Z120" s="94">
        <v>18</v>
      </c>
      <c r="AA120" s="94"/>
      <c r="AB120" s="94"/>
      <c r="AC120" s="94"/>
      <c r="AD120" s="94"/>
      <c r="AE120" s="94"/>
      <c r="AF120" s="113">
        <v>18</v>
      </c>
      <c r="AG120" s="113"/>
      <c r="AH120" s="113"/>
      <c r="AI120" s="113"/>
      <c r="AJ120" s="113"/>
      <c r="AK120" s="113"/>
      <c r="AL120" s="113"/>
      <c r="AM120" s="2"/>
    </row>
    <row r="121" spans="1:39" ht="21" customHeight="1" x14ac:dyDescent="0.2">
      <c r="A121" s="80" t="s">
        <v>107</v>
      </c>
      <c r="B121" s="80"/>
      <c r="C121" s="80"/>
      <c r="D121" s="80"/>
      <c r="E121" s="80"/>
      <c r="F121" s="80"/>
      <c r="G121" s="80"/>
      <c r="H121" s="112">
        <v>45688</v>
      </c>
      <c r="I121" s="112"/>
      <c r="J121" s="112"/>
      <c r="K121" s="112"/>
      <c r="L121" s="112"/>
      <c r="M121" s="112"/>
      <c r="N121" s="112"/>
      <c r="O121" s="112"/>
      <c r="P121" s="112"/>
      <c r="Q121" s="86">
        <v>111.4</v>
      </c>
      <c r="R121" s="86"/>
      <c r="S121" s="86"/>
      <c r="T121" s="86"/>
      <c r="U121" s="86"/>
      <c r="V121" s="93">
        <v>0.49280000000000002</v>
      </c>
      <c r="W121" s="93"/>
      <c r="X121" s="93"/>
      <c r="Y121" s="93"/>
      <c r="Z121" s="94">
        <v>18</v>
      </c>
      <c r="AA121" s="94"/>
      <c r="AB121" s="94"/>
      <c r="AC121" s="94"/>
      <c r="AD121" s="94"/>
      <c r="AE121" s="94"/>
      <c r="AF121" s="113">
        <v>18</v>
      </c>
      <c r="AG121" s="113"/>
      <c r="AH121" s="113"/>
      <c r="AI121" s="113"/>
      <c r="AJ121" s="113"/>
      <c r="AK121" s="113"/>
      <c r="AL121" s="113"/>
      <c r="AM121" s="2"/>
    </row>
    <row r="122" spans="1:39" ht="20.100000000000001" customHeight="1" x14ac:dyDescent="0.2">
      <c r="A122" s="80" t="s">
        <v>108</v>
      </c>
      <c r="B122" s="80"/>
      <c r="C122" s="80"/>
      <c r="D122" s="80"/>
      <c r="E122" s="80"/>
      <c r="F122" s="80"/>
      <c r="G122" s="80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94">
        <v>0</v>
      </c>
      <c r="AA122" s="94"/>
      <c r="AB122" s="94"/>
      <c r="AC122" s="94"/>
      <c r="AD122" s="94"/>
      <c r="AE122" s="94"/>
      <c r="AF122" s="113">
        <v>0</v>
      </c>
      <c r="AG122" s="113"/>
      <c r="AH122" s="113"/>
      <c r="AI122" s="113"/>
      <c r="AJ122" s="113"/>
      <c r="AK122" s="113"/>
      <c r="AL122" s="113"/>
      <c r="AM122" s="2"/>
    </row>
    <row r="123" spans="1:39" ht="21" customHeight="1" x14ac:dyDescent="0.2">
      <c r="A123" s="80" t="s">
        <v>109</v>
      </c>
      <c r="B123" s="80"/>
      <c r="C123" s="80"/>
      <c r="D123" s="80"/>
      <c r="E123" s="80"/>
      <c r="F123" s="80"/>
      <c r="G123" s="80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94">
        <v>0</v>
      </c>
      <c r="AA123" s="94"/>
      <c r="AB123" s="94"/>
      <c r="AC123" s="94"/>
      <c r="AD123" s="94"/>
      <c r="AE123" s="94"/>
      <c r="AF123" s="113">
        <v>0</v>
      </c>
      <c r="AG123" s="113"/>
      <c r="AH123" s="113"/>
      <c r="AI123" s="113"/>
      <c r="AJ123" s="113"/>
      <c r="AK123" s="113"/>
      <c r="AL123" s="113"/>
      <c r="AM123" s="2"/>
    </row>
    <row r="124" spans="1:39" ht="21.95" customHeight="1" x14ac:dyDescent="0.2">
      <c r="A124" s="80" t="s">
        <v>110</v>
      </c>
      <c r="B124" s="80"/>
      <c r="C124" s="80"/>
      <c r="D124" s="80"/>
      <c r="E124" s="80"/>
      <c r="F124" s="80"/>
      <c r="G124" s="80"/>
      <c r="H124" s="112">
        <v>45685</v>
      </c>
      <c r="I124" s="112"/>
      <c r="J124" s="112"/>
      <c r="K124" s="112"/>
      <c r="L124" s="112"/>
      <c r="M124" s="112"/>
      <c r="N124" s="112"/>
      <c r="O124" s="112"/>
      <c r="P124" s="112"/>
      <c r="Q124" s="86">
        <v>171.27</v>
      </c>
      <c r="R124" s="86"/>
      <c r="S124" s="86"/>
      <c r="T124" s="86"/>
      <c r="U124" s="86"/>
      <c r="V124" s="93">
        <v>0.1958</v>
      </c>
      <c r="W124" s="93"/>
      <c r="X124" s="93"/>
      <c r="Y124" s="93"/>
      <c r="Z124" s="94">
        <v>18</v>
      </c>
      <c r="AA124" s="94"/>
      <c r="AB124" s="94"/>
      <c r="AC124" s="94"/>
      <c r="AD124" s="94"/>
      <c r="AE124" s="94"/>
      <c r="AF124" s="113">
        <v>18</v>
      </c>
      <c r="AG124" s="113"/>
      <c r="AH124" s="113"/>
      <c r="AI124" s="113"/>
      <c r="AJ124" s="113"/>
      <c r="AK124" s="113"/>
      <c r="AL124" s="113"/>
      <c r="AM124" s="2"/>
    </row>
    <row r="125" spans="1:39" ht="20.100000000000001" customHeight="1" x14ac:dyDescent="0.2">
      <c r="A125" s="90" t="s">
        <v>111</v>
      </c>
      <c r="B125" s="90"/>
      <c r="C125" s="90"/>
      <c r="D125" s="90"/>
      <c r="E125" s="90"/>
      <c r="F125" s="90"/>
      <c r="G125" s="90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113">
        <v>18</v>
      </c>
      <c r="AG125" s="113"/>
      <c r="AH125" s="113"/>
      <c r="AI125" s="113"/>
      <c r="AJ125" s="113"/>
      <c r="AK125" s="113"/>
      <c r="AL125" s="113"/>
      <c r="AM125" s="2"/>
    </row>
    <row r="126" spans="1:39" ht="21" customHeight="1" x14ac:dyDescent="0.2">
      <c r="A126" s="90" t="s">
        <v>112</v>
      </c>
      <c r="B126" s="90"/>
      <c r="C126" s="90"/>
      <c r="D126" s="90"/>
      <c r="E126" s="90"/>
      <c r="F126" s="90"/>
      <c r="G126" s="90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113">
        <v>18</v>
      </c>
      <c r="AG126" s="113"/>
      <c r="AH126" s="113"/>
      <c r="AI126" s="113"/>
      <c r="AJ126" s="113"/>
      <c r="AK126" s="113"/>
      <c r="AL126" s="113"/>
      <c r="AM126" s="2"/>
    </row>
    <row r="127" spans="1:39" ht="21" customHeight="1" x14ac:dyDescent="0.2">
      <c r="A127" s="80" t="s">
        <v>113</v>
      </c>
      <c r="B127" s="80"/>
      <c r="C127" s="80"/>
      <c r="D127" s="80"/>
      <c r="E127" s="80"/>
      <c r="F127" s="80"/>
      <c r="G127" s="80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94">
        <v>0</v>
      </c>
      <c r="AA127" s="94"/>
      <c r="AB127" s="94"/>
      <c r="AC127" s="94"/>
      <c r="AD127" s="94"/>
      <c r="AE127" s="94"/>
      <c r="AF127" s="113">
        <v>0</v>
      </c>
      <c r="AG127" s="113"/>
      <c r="AH127" s="113"/>
      <c r="AI127" s="113"/>
      <c r="AJ127" s="113"/>
      <c r="AK127" s="113"/>
      <c r="AL127" s="113"/>
      <c r="AM127" s="2"/>
    </row>
    <row r="128" spans="1:39" ht="21.95" customHeight="1" x14ac:dyDescent="0.2">
      <c r="A128" s="80" t="s">
        <v>114</v>
      </c>
      <c r="B128" s="80"/>
      <c r="C128" s="80"/>
      <c r="D128" s="80"/>
      <c r="E128" s="80"/>
      <c r="F128" s="80"/>
      <c r="G128" s="80"/>
      <c r="H128" s="112">
        <v>45672</v>
      </c>
      <c r="I128" s="112"/>
      <c r="J128" s="112"/>
      <c r="K128" s="112"/>
      <c r="L128" s="112"/>
      <c r="M128" s="112"/>
      <c r="N128" s="112"/>
      <c r="O128" s="112"/>
      <c r="P128" s="112"/>
      <c r="Q128" s="86">
        <v>110.44</v>
      </c>
      <c r="R128" s="86"/>
      <c r="S128" s="86"/>
      <c r="T128" s="86"/>
      <c r="U128" s="86"/>
      <c r="V128" s="93">
        <v>0.22040000000000001</v>
      </c>
      <c r="W128" s="93"/>
      <c r="X128" s="93"/>
      <c r="Y128" s="93"/>
      <c r="Z128" s="94">
        <v>18</v>
      </c>
      <c r="AA128" s="94"/>
      <c r="AB128" s="94"/>
      <c r="AC128" s="94"/>
      <c r="AD128" s="94"/>
      <c r="AE128" s="94"/>
      <c r="AF128" s="113">
        <v>18</v>
      </c>
      <c r="AG128" s="113"/>
      <c r="AH128" s="113"/>
      <c r="AI128" s="113"/>
      <c r="AJ128" s="113"/>
      <c r="AK128" s="113"/>
      <c r="AL128" s="113"/>
      <c r="AM128" s="2"/>
    </row>
    <row r="129" spans="1:39" ht="20.100000000000001" customHeight="1" x14ac:dyDescent="0.2">
      <c r="A129" s="80" t="s">
        <v>115</v>
      </c>
      <c r="B129" s="80"/>
      <c r="C129" s="80"/>
      <c r="D129" s="80"/>
      <c r="E129" s="80"/>
      <c r="F129" s="80"/>
      <c r="G129" s="80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94">
        <v>0</v>
      </c>
      <c r="AA129" s="94"/>
      <c r="AB129" s="94"/>
      <c r="AC129" s="94"/>
      <c r="AD129" s="94"/>
      <c r="AE129" s="94"/>
      <c r="AF129" s="113">
        <v>0</v>
      </c>
      <c r="AG129" s="113"/>
      <c r="AH129" s="113"/>
      <c r="AI129" s="113"/>
      <c r="AJ129" s="113"/>
      <c r="AK129" s="113"/>
      <c r="AL129" s="113"/>
      <c r="AM129" s="2"/>
    </row>
    <row r="130" spans="1:39" ht="21.95" customHeight="1" x14ac:dyDescent="0.2">
      <c r="A130" s="80" t="s">
        <v>116</v>
      </c>
      <c r="B130" s="80"/>
      <c r="C130" s="80"/>
      <c r="D130" s="80"/>
      <c r="E130" s="80"/>
      <c r="F130" s="80"/>
      <c r="G130" s="80"/>
      <c r="H130" s="112">
        <v>45665</v>
      </c>
      <c r="I130" s="112"/>
      <c r="J130" s="112"/>
      <c r="K130" s="112"/>
      <c r="L130" s="112"/>
      <c r="M130" s="112"/>
      <c r="N130" s="112"/>
      <c r="O130" s="112"/>
      <c r="P130" s="112"/>
      <c r="Q130" s="86">
        <v>111.92</v>
      </c>
      <c r="R130" s="86"/>
      <c r="S130" s="86"/>
      <c r="T130" s="86"/>
      <c r="U130" s="86"/>
      <c r="V130" s="93">
        <v>0.1613</v>
      </c>
      <c r="W130" s="93"/>
      <c r="X130" s="93"/>
      <c r="Y130" s="93"/>
      <c r="Z130" s="94">
        <v>18</v>
      </c>
      <c r="AA130" s="94"/>
      <c r="AB130" s="94"/>
      <c r="AC130" s="94"/>
      <c r="AD130" s="94"/>
      <c r="AE130" s="94"/>
      <c r="AF130" s="113">
        <v>18</v>
      </c>
      <c r="AG130" s="113"/>
      <c r="AH130" s="113"/>
      <c r="AI130" s="113"/>
      <c r="AJ130" s="113"/>
      <c r="AK130" s="113"/>
      <c r="AL130" s="113"/>
      <c r="AM130" s="2"/>
    </row>
    <row r="131" spans="1:39" ht="20.100000000000001" customHeight="1" x14ac:dyDescent="0.2">
      <c r="A131" s="90" t="s">
        <v>117</v>
      </c>
      <c r="B131" s="90"/>
      <c r="C131" s="90"/>
      <c r="D131" s="90"/>
      <c r="E131" s="90"/>
      <c r="F131" s="90"/>
      <c r="G131" s="90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113">
        <v>18</v>
      </c>
      <c r="AG131" s="113"/>
      <c r="AH131" s="113"/>
      <c r="AI131" s="113"/>
      <c r="AJ131" s="113"/>
      <c r="AK131" s="113"/>
      <c r="AL131" s="113"/>
      <c r="AM131" s="2"/>
    </row>
    <row r="132" spans="1:39" ht="21.95" customHeight="1" x14ac:dyDescent="0.2">
      <c r="A132" s="80" t="s">
        <v>118</v>
      </c>
      <c r="B132" s="80"/>
      <c r="C132" s="80"/>
      <c r="D132" s="80"/>
      <c r="E132" s="80"/>
      <c r="F132" s="80"/>
      <c r="G132" s="80"/>
      <c r="H132" s="112">
        <v>45665</v>
      </c>
      <c r="I132" s="112"/>
      <c r="J132" s="112"/>
      <c r="K132" s="112"/>
      <c r="L132" s="112"/>
      <c r="M132" s="112"/>
      <c r="N132" s="112"/>
      <c r="O132" s="112"/>
      <c r="P132" s="112"/>
      <c r="Q132" s="91">
        <v>0</v>
      </c>
      <c r="R132" s="91"/>
      <c r="S132" s="91"/>
      <c r="T132" s="91"/>
      <c r="U132" s="91"/>
      <c r="V132" s="95">
        <v>0</v>
      </c>
      <c r="W132" s="95"/>
      <c r="X132" s="95"/>
      <c r="Y132" s="95"/>
      <c r="Z132" s="94">
        <v>18</v>
      </c>
      <c r="AA132" s="94"/>
      <c r="AB132" s="94"/>
      <c r="AC132" s="94"/>
      <c r="AD132" s="94"/>
      <c r="AE132" s="94"/>
      <c r="AF132" s="113">
        <v>18</v>
      </c>
      <c r="AG132" s="113"/>
      <c r="AH132" s="113"/>
      <c r="AI132" s="113"/>
      <c r="AJ132" s="113"/>
      <c r="AK132" s="113"/>
      <c r="AL132" s="113"/>
      <c r="AM132" s="2"/>
    </row>
    <row r="133" spans="1:39" ht="21" customHeight="1" x14ac:dyDescent="0.2">
      <c r="A133" s="80" t="s">
        <v>119</v>
      </c>
      <c r="B133" s="80"/>
      <c r="C133" s="80"/>
      <c r="D133" s="80"/>
      <c r="E133" s="80"/>
      <c r="F133" s="80"/>
      <c r="G133" s="80"/>
      <c r="H133" s="112">
        <v>45685</v>
      </c>
      <c r="I133" s="112"/>
      <c r="J133" s="112"/>
      <c r="K133" s="112"/>
      <c r="L133" s="112"/>
      <c r="M133" s="112"/>
      <c r="N133" s="112"/>
      <c r="O133" s="112"/>
      <c r="P133" s="112"/>
      <c r="Q133" s="86">
        <v>499.41</v>
      </c>
      <c r="R133" s="86"/>
      <c r="S133" s="86"/>
      <c r="T133" s="86"/>
      <c r="U133" s="86"/>
      <c r="V133" s="93">
        <v>2</v>
      </c>
      <c r="W133" s="93"/>
      <c r="X133" s="93"/>
      <c r="Y133" s="93"/>
      <c r="Z133" s="94">
        <v>18</v>
      </c>
      <c r="AA133" s="94"/>
      <c r="AB133" s="94"/>
      <c r="AC133" s="94"/>
      <c r="AD133" s="94"/>
      <c r="AE133" s="94"/>
      <c r="AF133" s="113">
        <v>18</v>
      </c>
      <c r="AG133" s="113"/>
      <c r="AH133" s="113"/>
      <c r="AI133" s="113"/>
      <c r="AJ133" s="113"/>
      <c r="AK133" s="113"/>
      <c r="AL133" s="113"/>
      <c r="AM133" s="2"/>
    </row>
    <row r="134" spans="1:39" ht="20.100000000000001" customHeight="1" x14ac:dyDescent="0.2">
      <c r="A134" s="80" t="s">
        <v>120</v>
      </c>
      <c r="B134" s="80"/>
      <c r="C134" s="80"/>
      <c r="D134" s="80"/>
      <c r="E134" s="80"/>
      <c r="F134" s="80"/>
      <c r="G134" s="80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94">
        <v>0</v>
      </c>
      <c r="AA134" s="94"/>
      <c r="AB134" s="94"/>
      <c r="AC134" s="94"/>
      <c r="AD134" s="94"/>
      <c r="AE134" s="94"/>
      <c r="AF134" s="113">
        <v>0</v>
      </c>
      <c r="AG134" s="113"/>
      <c r="AH134" s="113"/>
      <c r="AI134" s="113"/>
      <c r="AJ134" s="113"/>
      <c r="AK134" s="113"/>
      <c r="AL134" s="113"/>
      <c r="AM134" s="2"/>
    </row>
    <row r="135" spans="1:39" ht="21.95" customHeight="1" x14ac:dyDescent="0.2">
      <c r="A135" s="80" t="s">
        <v>121</v>
      </c>
      <c r="B135" s="80"/>
      <c r="C135" s="80"/>
      <c r="D135" s="80"/>
      <c r="E135" s="80"/>
      <c r="F135" s="80"/>
      <c r="G135" s="80"/>
      <c r="H135" s="112">
        <v>45685</v>
      </c>
      <c r="I135" s="112"/>
      <c r="J135" s="112"/>
      <c r="K135" s="112"/>
      <c r="L135" s="112"/>
      <c r="M135" s="112"/>
      <c r="N135" s="112"/>
      <c r="O135" s="112"/>
      <c r="P135" s="112"/>
      <c r="Q135" s="86">
        <v>423.65</v>
      </c>
      <c r="R135" s="86"/>
      <c r="S135" s="86"/>
      <c r="T135" s="86"/>
      <c r="U135" s="86"/>
      <c r="V135" s="93">
        <v>2</v>
      </c>
      <c r="W135" s="93"/>
      <c r="X135" s="93"/>
      <c r="Y135" s="93"/>
      <c r="Z135" s="94">
        <v>18</v>
      </c>
      <c r="AA135" s="94"/>
      <c r="AB135" s="94"/>
      <c r="AC135" s="94"/>
      <c r="AD135" s="94"/>
      <c r="AE135" s="94"/>
      <c r="AF135" s="113">
        <v>18</v>
      </c>
      <c r="AG135" s="113"/>
      <c r="AH135" s="113"/>
      <c r="AI135" s="113"/>
      <c r="AJ135" s="113"/>
      <c r="AK135" s="113"/>
      <c r="AL135" s="113"/>
      <c r="AM135" s="2"/>
    </row>
    <row r="136" spans="1:39" ht="21" customHeight="1" x14ac:dyDescent="0.2">
      <c r="A136" s="80" t="s">
        <v>122</v>
      </c>
      <c r="B136" s="80"/>
      <c r="C136" s="80"/>
      <c r="D136" s="80"/>
      <c r="E136" s="80"/>
      <c r="F136" s="80"/>
      <c r="G136" s="80"/>
      <c r="H136" s="112">
        <v>45665</v>
      </c>
      <c r="I136" s="112"/>
      <c r="J136" s="112"/>
      <c r="K136" s="112"/>
      <c r="L136" s="112"/>
      <c r="M136" s="112"/>
      <c r="N136" s="112"/>
      <c r="O136" s="112"/>
      <c r="P136" s="112"/>
      <c r="Q136" s="86">
        <v>185.26</v>
      </c>
      <c r="R136" s="86"/>
      <c r="S136" s="86"/>
      <c r="T136" s="86"/>
      <c r="U136" s="86"/>
      <c r="V136" s="93">
        <v>1.0677000000000001</v>
      </c>
      <c r="W136" s="93"/>
      <c r="X136" s="93"/>
      <c r="Y136" s="93"/>
      <c r="Z136" s="94">
        <v>18</v>
      </c>
      <c r="AA136" s="94"/>
      <c r="AB136" s="94"/>
      <c r="AC136" s="94"/>
      <c r="AD136" s="94"/>
      <c r="AE136" s="94"/>
      <c r="AF136" s="113">
        <v>18</v>
      </c>
      <c r="AG136" s="113"/>
      <c r="AH136" s="113"/>
      <c r="AI136" s="113"/>
      <c r="AJ136" s="113"/>
      <c r="AK136" s="113"/>
      <c r="AL136" s="113"/>
      <c r="AM136" s="2"/>
    </row>
    <row r="137" spans="1:39" ht="14.45" customHeight="1" x14ac:dyDescent="0.2">
      <c r="A137" s="80" t="s">
        <v>123</v>
      </c>
      <c r="B137" s="80"/>
      <c r="C137" s="80"/>
      <c r="D137" s="80"/>
      <c r="E137" s="80"/>
      <c r="F137" s="80"/>
      <c r="G137" s="80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94">
        <v>0</v>
      </c>
      <c r="AA137" s="94"/>
      <c r="AB137" s="94"/>
      <c r="AC137" s="94"/>
      <c r="AD137" s="94"/>
      <c r="AE137" s="94"/>
      <c r="AF137" s="113">
        <v>0</v>
      </c>
      <c r="AG137" s="113"/>
      <c r="AH137" s="113"/>
      <c r="AI137" s="113"/>
      <c r="AJ137" s="113"/>
      <c r="AK137" s="113"/>
      <c r="AL137" s="113"/>
      <c r="AM137" s="4"/>
    </row>
    <row r="138" spans="1:39" ht="220.5" customHeight="1" x14ac:dyDescent="0.25">
      <c r="A138" s="3" t="s">
        <v>14</v>
      </c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1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1"/>
    </row>
    <row r="139" spans="1:39" ht="52.5" customHeight="1" x14ac:dyDescent="0.2">
      <c r="A139" s="96" t="s">
        <v>15</v>
      </c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7" t="s">
        <v>16</v>
      </c>
      <c r="P139" s="97"/>
      <c r="Q139" s="97"/>
      <c r="R139" s="97"/>
      <c r="S139" s="97"/>
      <c r="T139" s="98" t="s">
        <v>17</v>
      </c>
      <c r="U139" s="98"/>
      <c r="V139" s="98"/>
      <c r="W139" s="98"/>
      <c r="X139" s="98"/>
      <c r="Y139" s="99" t="s">
        <v>18</v>
      </c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</row>
    <row r="140" spans="1:39" ht="23.1" customHeight="1" x14ac:dyDescent="0.2">
      <c r="A140" s="100" t="s">
        <v>19</v>
      </c>
      <c r="B140" s="100"/>
      <c r="C140" s="100"/>
      <c r="D140" s="100"/>
      <c r="E140" s="100"/>
      <c r="F140" s="100"/>
      <c r="G140" s="100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2"/>
    </row>
    <row r="141" spans="1:39" ht="23.1" customHeight="1" x14ac:dyDescent="0.2">
      <c r="A141" s="101" t="s">
        <v>76</v>
      </c>
      <c r="B141" s="101"/>
      <c r="C141" s="101"/>
      <c r="D141" s="101"/>
      <c r="E141" s="101"/>
      <c r="F141" s="101"/>
      <c r="G141" s="10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2"/>
    </row>
    <row r="142" spans="1:39" ht="23.1" customHeight="1" x14ac:dyDescent="0.2">
      <c r="A142" s="80" t="s">
        <v>124</v>
      </c>
      <c r="B142" s="80"/>
      <c r="C142" s="80"/>
      <c r="D142" s="80"/>
      <c r="E142" s="80"/>
      <c r="F142" s="80"/>
      <c r="G142" s="80"/>
      <c r="H142" s="112">
        <v>45665</v>
      </c>
      <c r="I142" s="112"/>
      <c r="J142" s="112"/>
      <c r="K142" s="112"/>
      <c r="L142" s="112"/>
      <c r="M142" s="112"/>
      <c r="N142" s="112"/>
      <c r="O142" s="112"/>
      <c r="P142" s="112"/>
      <c r="Q142" s="91">
        <v>0</v>
      </c>
      <c r="R142" s="91"/>
      <c r="S142" s="91"/>
      <c r="T142" s="91"/>
      <c r="U142" s="91"/>
      <c r="V142" s="95">
        <v>0</v>
      </c>
      <c r="W142" s="95"/>
      <c r="X142" s="95"/>
      <c r="Y142" s="95"/>
      <c r="Z142" s="94">
        <v>18</v>
      </c>
      <c r="AA142" s="94"/>
      <c r="AB142" s="94"/>
      <c r="AC142" s="94"/>
      <c r="AD142" s="94"/>
      <c r="AE142" s="94"/>
      <c r="AF142" s="113">
        <v>18</v>
      </c>
      <c r="AG142" s="113"/>
      <c r="AH142" s="113"/>
      <c r="AI142" s="113"/>
      <c r="AJ142" s="113"/>
      <c r="AK142" s="113"/>
      <c r="AL142" s="113"/>
      <c r="AM142" s="2"/>
    </row>
    <row r="143" spans="1:39" ht="21" customHeight="1" x14ac:dyDescent="0.2">
      <c r="A143" s="80" t="s">
        <v>125</v>
      </c>
      <c r="B143" s="80"/>
      <c r="C143" s="80"/>
      <c r="D143" s="80"/>
      <c r="E143" s="80"/>
      <c r="F143" s="80"/>
      <c r="G143" s="80"/>
      <c r="H143" s="112">
        <v>45687</v>
      </c>
      <c r="I143" s="112"/>
      <c r="J143" s="112"/>
      <c r="K143" s="112"/>
      <c r="L143" s="112"/>
      <c r="M143" s="112"/>
      <c r="N143" s="112"/>
      <c r="O143" s="112"/>
      <c r="P143" s="112"/>
      <c r="Q143" s="86">
        <v>445.3</v>
      </c>
      <c r="R143" s="86"/>
      <c r="S143" s="86"/>
      <c r="T143" s="86"/>
      <c r="U143" s="86"/>
      <c r="V143" s="93">
        <v>1.3498000000000001</v>
      </c>
      <c r="W143" s="93"/>
      <c r="X143" s="93"/>
      <c r="Y143" s="93"/>
      <c r="Z143" s="94">
        <v>18</v>
      </c>
      <c r="AA143" s="94"/>
      <c r="AB143" s="94"/>
      <c r="AC143" s="94"/>
      <c r="AD143" s="94"/>
      <c r="AE143" s="94"/>
      <c r="AF143" s="113">
        <v>18</v>
      </c>
      <c r="AG143" s="113"/>
      <c r="AH143" s="113"/>
      <c r="AI143" s="113"/>
      <c r="AJ143" s="113"/>
      <c r="AK143" s="113"/>
      <c r="AL143" s="113"/>
      <c r="AM143" s="2"/>
    </row>
    <row r="144" spans="1:39" ht="41.1" customHeight="1" x14ac:dyDescent="0.2">
      <c r="A144" s="108" t="s">
        <v>126</v>
      </c>
      <c r="B144" s="108"/>
      <c r="C144" s="108"/>
      <c r="D144" s="108"/>
      <c r="E144" s="108"/>
      <c r="F144" s="108"/>
      <c r="G144" s="108"/>
      <c r="H144" s="112">
        <v>45658</v>
      </c>
      <c r="I144" s="112"/>
      <c r="J144" s="112"/>
      <c r="K144" s="112"/>
      <c r="L144" s="112"/>
      <c r="M144" s="112"/>
      <c r="N144" s="112"/>
      <c r="O144" s="112"/>
      <c r="P144" s="112"/>
      <c r="Q144" s="91">
        <v>0</v>
      </c>
      <c r="R144" s="91"/>
      <c r="S144" s="91"/>
      <c r="T144" s="91"/>
      <c r="U144" s="91"/>
      <c r="V144" s="95">
        <v>0</v>
      </c>
      <c r="W144" s="95"/>
      <c r="X144" s="95"/>
      <c r="Y144" s="95"/>
      <c r="Z144" s="94">
        <v>18</v>
      </c>
      <c r="AA144" s="94"/>
      <c r="AB144" s="94"/>
      <c r="AC144" s="94"/>
      <c r="AD144" s="94"/>
      <c r="AE144" s="94"/>
      <c r="AF144" s="113">
        <v>18</v>
      </c>
      <c r="AG144" s="113"/>
      <c r="AH144" s="113"/>
      <c r="AI144" s="113"/>
      <c r="AJ144" s="113"/>
      <c r="AK144" s="113"/>
      <c r="AL144" s="113"/>
      <c r="AM144" s="1"/>
    </row>
    <row r="145" spans="1:39" ht="21" customHeight="1" x14ac:dyDescent="0.2">
      <c r="A145" s="80" t="s">
        <v>127</v>
      </c>
      <c r="B145" s="80"/>
      <c r="C145" s="80"/>
      <c r="D145" s="80"/>
      <c r="E145" s="80"/>
      <c r="F145" s="80"/>
      <c r="G145" s="80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94">
        <v>0</v>
      </c>
      <c r="AA145" s="94"/>
      <c r="AB145" s="94"/>
      <c r="AC145" s="94"/>
      <c r="AD145" s="94"/>
      <c r="AE145" s="94"/>
      <c r="AF145" s="113">
        <v>0</v>
      </c>
      <c r="AG145" s="113"/>
      <c r="AH145" s="113"/>
      <c r="AI145" s="113"/>
      <c r="AJ145" s="113"/>
      <c r="AK145" s="113"/>
      <c r="AL145" s="113"/>
      <c r="AM145" s="2"/>
    </row>
    <row r="146" spans="1:39" ht="21" customHeight="1" x14ac:dyDescent="0.2">
      <c r="A146" s="80" t="s">
        <v>128</v>
      </c>
      <c r="B146" s="80"/>
      <c r="C146" s="80"/>
      <c r="D146" s="80"/>
      <c r="E146" s="80"/>
      <c r="F146" s="80"/>
      <c r="G146" s="80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94">
        <v>0</v>
      </c>
      <c r="AA146" s="94"/>
      <c r="AB146" s="94"/>
      <c r="AC146" s="94"/>
      <c r="AD146" s="94"/>
      <c r="AE146" s="94"/>
      <c r="AF146" s="113">
        <v>0</v>
      </c>
      <c r="AG146" s="113"/>
      <c r="AH146" s="113"/>
      <c r="AI146" s="113"/>
      <c r="AJ146" s="113"/>
      <c r="AK146" s="113"/>
      <c r="AL146" s="113"/>
      <c r="AM146" s="2"/>
    </row>
    <row r="147" spans="1:39" ht="21" customHeight="1" x14ac:dyDescent="0.2">
      <c r="A147" s="80" t="s">
        <v>129</v>
      </c>
      <c r="B147" s="80"/>
      <c r="C147" s="80"/>
      <c r="D147" s="80"/>
      <c r="E147" s="80"/>
      <c r="F147" s="80"/>
      <c r="G147" s="80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94">
        <v>0</v>
      </c>
      <c r="AA147" s="94"/>
      <c r="AB147" s="94"/>
      <c r="AC147" s="94"/>
      <c r="AD147" s="94"/>
      <c r="AE147" s="94"/>
      <c r="AF147" s="113">
        <v>0</v>
      </c>
      <c r="AG147" s="113"/>
      <c r="AH147" s="113"/>
      <c r="AI147" s="113"/>
      <c r="AJ147" s="113"/>
      <c r="AK147" s="113"/>
      <c r="AL147" s="113"/>
      <c r="AM147" s="2"/>
    </row>
    <row r="148" spans="1:39" ht="21" customHeight="1" x14ac:dyDescent="0.2">
      <c r="A148" s="80" t="s">
        <v>130</v>
      </c>
      <c r="B148" s="80"/>
      <c r="C148" s="80"/>
      <c r="D148" s="80"/>
      <c r="E148" s="80"/>
      <c r="F148" s="80"/>
      <c r="G148" s="80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94">
        <v>0</v>
      </c>
      <c r="AA148" s="94"/>
      <c r="AB148" s="94"/>
      <c r="AC148" s="94"/>
      <c r="AD148" s="94"/>
      <c r="AE148" s="94"/>
      <c r="AF148" s="113">
        <v>0</v>
      </c>
      <c r="AG148" s="113"/>
      <c r="AH148" s="113"/>
      <c r="AI148" s="113"/>
      <c r="AJ148" s="113"/>
      <c r="AK148" s="113"/>
      <c r="AL148" s="113"/>
      <c r="AM148" s="2"/>
    </row>
    <row r="149" spans="1:39" ht="21" customHeight="1" x14ac:dyDescent="0.2">
      <c r="A149" s="80" t="s">
        <v>131</v>
      </c>
      <c r="B149" s="80"/>
      <c r="C149" s="80"/>
      <c r="D149" s="80"/>
      <c r="E149" s="80"/>
      <c r="F149" s="80"/>
      <c r="G149" s="80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94">
        <v>0</v>
      </c>
      <c r="AA149" s="94"/>
      <c r="AB149" s="94"/>
      <c r="AC149" s="94"/>
      <c r="AD149" s="94"/>
      <c r="AE149" s="94"/>
      <c r="AF149" s="113">
        <v>0</v>
      </c>
      <c r="AG149" s="113"/>
      <c r="AH149" s="113"/>
      <c r="AI149" s="113"/>
      <c r="AJ149" s="113"/>
      <c r="AK149" s="113"/>
      <c r="AL149" s="113"/>
      <c r="AM149" s="2"/>
    </row>
    <row r="150" spans="1:39" ht="21" customHeight="1" x14ac:dyDescent="0.2">
      <c r="A150" s="80" t="s">
        <v>132</v>
      </c>
      <c r="B150" s="80"/>
      <c r="C150" s="80"/>
      <c r="D150" s="80"/>
      <c r="E150" s="80"/>
      <c r="F150" s="80"/>
      <c r="G150" s="80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94">
        <v>0</v>
      </c>
      <c r="AA150" s="94"/>
      <c r="AB150" s="94"/>
      <c r="AC150" s="94"/>
      <c r="AD150" s="94"/>
      <c r="AE150" s="94"/>
      <c r="AF150" s="113">
        <v>0</v>
      </c>
      <c r="AG150" s="113"/>
      <c r="AH150" s="113"/>
      <c r="AI150" s="113"/>
      <c r="AJ150" s="113"/>
      <c r="AK150" s="113"/>
      <c r="AL150" s="113"/>
      <c r="AM150" s="2"/>
    </row>
    <row r="151" spans="1:39" ht="21" customHeight="1" x14ac:dyDescent="0.2">
      <c r="A151" s="80" t="s">
        <v>133</v>
      </c>
      <c r="B151" s="80"/>
      <c r="C151" s="80"/>
      <c r="D151" s="80"/>
      <c r="E151" s="80"/>
      <c r="F151" s="80"/>
      <c r="G151" s="80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94">
        <v>0</v>
      </c>
      <c r="AA151" s="94"/>
      <c r="AB151" s="94"/>
      <c r="AC151" s="94"/>
      <c r="AD151" s="94"/>
      <c r="AE151" s="94"/>
      <c r="AF151" s="113">
        <v>0</v>
      </c>
      <c r="AG151" s="113"/>
      <c r="AH151" s="113"/>
      <c r="AI151" s="113"/>
      <c r="AJ151" s="113"/>
      <c r="AK151" s="113"/>
      <c r="AL151" s="113"/>
      <c r="AM151" s="2"/>
    </row>
    <row r="152" spans="1:39" ht="21" customHeight="1" x14ac:dyDescent="0.2">
      <c r="A152" s="90" t="s">
        <v>134</v>
      </c>
      <c r="B152" s="90"/>
      <c r="C152" s="90"/>
      <c r="D152" s="90"/>
      <c r="E152" s="90"/>
      <c r="F152" s="90"/>
      <c r="G152" s="90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2"/>
    </row>
    <row r="153" spans="1:39" ht="21.95" customHeight="1" x14ac:dyDescent="0.2">
      <c r="A153" s="80" t="s">
        <v>135</v>
      </c>
      <c r="B153" s="80"/>
      <c r="C153" s="80"/>
      <c r="D153" s="80"/>
      <c r="E153" s="80"/>
      <c r="F153" s="80"/>
      <c r="G153" s="80"/>
      <c r="H153" s="112">
        <v>45665</v>
      </c>
      <c r="I153" s="112"/>
      <c r="J153" s="112"/>
      <c r="K153" s="112"/>
      <c r="L153" s="112"/>
      <c r="M153" s="112"/>
      <c r="N153" s="112"/>
      <c r="O153" s="112"/>
      <c r="P153" s="112"/>
      <c r="Q153" s="91">
        <v>9.39</v>
      </c>
      <c r="R153" s="91"/>
      <c r="S153" s="91"/>
      <c r="T153" s="91"/>
      <c r="U153" s="91"/>
      <c r="V153" s="95">
        <v>5.2200000000000003E-2</v>
      </c>
      <c r="W153" s="95"/>
      <c r="X153" s="95"/>
      <c r="Y153" s="95"/>
      <c r="Z153" s="94">
        <v>18</v>
      </c>
      <c r="AA153" s="94"/>
      <c r="AB153" s="94"/>
      <c r="AC153" s="94"/>
      <c r="AD153" s="94"/>
      <c r="AE153" s="94"/>
      <c r="AF153" s="113">
        <v>18</v>
      </c>
      <c r="AG153" s="113"/>
      <c r="AH153" s="113"/>
      <c r="AI153" s="113"/>
      <c r="AJ153" s="113"/>
      <c r="AK153" s="113"/>
      <c r="AL153" s="113"/>
      <c r="AM153" s="2"/>
    </row>
    <row r="154" spans="1:39" ht="21" customHeight="1" x14ac:dyDescent="0.2">
      <c r="A154" s="80" t="s">
        <v>136</v>
      </c>
      <c r="B154" s="80"/>
      <c r="C154" s="80"/>
      <c r="D154" s="80"/>
      <c r="E154" s="80"/>
      <c r="F154" s="80"/>
      <c r="G154" s="80"/>
      <c r="H154" s="112">
        <v>45685</v>
      </c>
      <c r="I154" s="112"/>
      <c r="J154" s="112"/>
      <c r="K154" s="112"/>
      <c r="L154" s="112"/>
      <c r="M154" s="112"/>
      <c r="N154" s="112"/>
      <c r="O154" s="112"/>
      <c r="P154" s="112"/>
      <c r="Q154" s="86">
        <v>246.18</v>
      </c>
      <c r="R154" s="86"/>
      <c r="S154" s="86"/>
      <c r="T154" s="86"/>
      <c r="U154" s="86"/>
      <c r="V154" s="93">
        <v>0.49209999999999998</v>
      </c>
      <c r="W154" s="93"/>
      <c r="X154" s="93"/>
      <c r="Y154" s="93"/>
      <c r="Z154" s="94">
        <v>18</v>
      </c>
      <c r="AA154" s="94"/>
      <c r="AB154" s="94"/>
      <c r="AC154" s="94"/>
      <c r="AD154" s="94"/>
      <c r="AE154" s="94"/>
      <c r="AF154" s="113">
        <v>18</v>
      </c>
      <c r="AG154" s="113"/>
      <c r="AH154" s="113"/>
      <c r="AI154" s="113"/>
      <c r="AJ154" s="113"/>
      <c r="AK154" s="113"/>
      <c r="AL154" s="113"/>
      <c r="AM154" s="2"/>
    </row>
    <row r="155" spans="1:39" ht="20.100000000000001" customHeight="1" x14ac:dyDescent="0.2">
      <c r="A155" s="90" t="s">
        <v>137</v>
      </c>
      <c r="B155" s="90"/>
      <c r="C155" s="90"/>
      <c r="D155" s="90"/>
      <c r="E155" s="90"/>
      <c r="F155" s="90"/>
      <c r="G155" s="90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113">
        <v>18</v>
      </c>
      <c r="AG155" s="113"/>
      <c r="AH155" s="113"/>
      <c r="AI155" s="113"/>
      <c r="AJ155" s="113"/>
      <c r="AK155" s="113"/>
      <c r="AL155" s="113"/>
      <c r="AM155" s="2"/>
    </row>
    <row r="156" spans="1:39" ht="21" customHeight="1" x14ac:dyDescent="0.2">
      <c r="A156" s="80" t="s">
        <v>138</v>
      </c>
      <c r="B156" s="80"/>
      <c r="C156" s="80"/>
      <c r="D156" s="80"/>
      <c r="E156" s="80"/>
      <c r="F156" s="80"/>
      <c r="G156" s="80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94">
        <v>0</v>
      </c>
      <c r="AA156" s="94"/>
      <c r="AB156" s="94"/>
      <c r="AC156" s="94"/>
      <c r="AD156" s="94"/>
      <c r="AE156" s="94"/>
      <c r="AF156" s="113">
        <v>0</v>
      </c>
      <c r="AG156" s="113"/>
      <c r="AH156" s="113"/>
      <c r="AI156" s="113"/>
      <c r="AJ156" s="113"/>
      <c r="AK156" s="113"/>
      <c r="AL156" s="113"/>
      <c r="AM156" s="2"/>
    </row>
    <row r="157" spans="1:39" ht="21" customHeight="1" x14ac:dyDescent="0.2">
      <c r="A157" s="80" t="s">
        <v>139</v>
      </c>
      <c r="B157" s="80"/>
      <c r="C157" s="80"/>
      <c r="D157" s="80"/>
      <c r="E157" s="80"/>
      <c r="F157" s="80"/>
      <c r="G157" s="80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94">
        <v>0</v>
      </c>
      <c r="AA157" s="94"/>
      <c r="AB157" s="94"/>
      <c r="AC157" s="94"/>
      <c r="AD157" s="94"/>
      <c r="AE157" s="94"/>
      <c r="AF157" s="113">
        <v>0</v>
      </c>
      <c r="AG157" s="113"/>
      <c r="AH157" s="113"/>
      <c r="AI157" s="113"/>
      <c r="AJ157" s="113"/>
      <c r="AK157" s="113"/>
      <c r="AL157" s="113"/>
      <c r="AM157" s="2"/>
    </row>
    <row r="158" spans="1:39" ht="21" customHeight="1" x14ac:dyDescent="0.2">
      <c r="A158" s="90" t="s">
        <v>140</v>
      </c>
      <c r="B158" s="90"/>
      <c r="C158" s="90"/>
      <c r="D158" s="90"/>
      <c r="E158" s="90"/>
      <c r="F158" s="90"/>
      <c r="G158" s="90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113">
        <v>0</v>
      </c>
      <c r="AG158" s="113"/>
      <c r="AH158" s="113"/>
      <c r="AI158" s="113"/>
      <c r="AJ158" s="113"/>
      <c r="AK158" s="113"/>
      <c r="AL158" s="113"/>
      <c r="AM158" s="2"/>
    </row>
    <row r="159" spans="1:39" ht="21" customHeight="1" x14ac:dyDescent="0.2">
      <c r="A159" s="80" t="s">
        <v>141</v>
      </c>
      <c r="B159" s="80"/>
      <c r="C159" s="80"/>
      <c r="D159" s="80"/>
      <c r="E159" s="80"/>
      <c r="F159" s="80"/>
      <c r="G159" s="80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94">
        <v>0</v>
      </c>
      <c r="AA159" s="94"/>
      <c r="AB159" s="94"/>
      <c r="AC159" s="94"/>
      <c r="AD159" s="94"/>
      <c r="AE159" s="94"/>
      <c r="AF159" s="113">
        <v>0</v>
      </c>
      <c r="AG159" s="113"/>
      <c r="AH159" s="113"/>
      <c r="AI159" s="113"/>
      <c r="AJ159" s="113"/>
      <c r="AK159" s="113"/>
      <c r="AL159" s="113"/>
      <c r="AM159" s="2"/>
    </row>
    <row r="160" spans="1:39" ht="17.100000000000001" customHeight="1" x14ac:dyDescent="0.2">
      <c r="A160" s="80" t="s">
        <v>142</v>
      </c>
      <c r="B160" s="80"/>
      <c r="C160" s="80"/>
      <c r="D160" s="80"/>
      <c r="E160" s="80"/>
      <c r="F160" s="80"/>
      <c r="G160" s="80"/>
      <c r="H160" s="112">
        <v>45672</v>
      </c>
      <c r="I160" s="112"/>
      <c r="J160" s="112"/>
      <c r="K160" s="112"/>
      <c r="L160" s="112"/>
      <c r="M160" s="112"/>
      <c r="N160" s="112"/>
      <c r="O160" s="112"/>
      <c r="P160" s="112"/>
      <c r="Q160" s="82">
        <v>25.04</v>
      </c>
      <c r="R160" s="82"/>
      <c r="S160" s="82"/>
      <c r="T160" s="82"/>
      <c r="U160" s="82"/>
      <c r="V160" s="93">
        <v>0.1116</v>
      </c>
      <c r="W160" s="93"/>
      <c r="X160" s="93"/>
      <c r="Y160" s="93"/>
      <c r="Z160" s="94">
        <v>18</v>
      </c>
      <c r="AA160" s="94"/>
      <c r="AB160" s="94"/>
      <c r="AC160" s="94"/>
      <c r="AD160" s="94"/>
      <c r="AE160" s="94"/>
      <c r="AF160" s="113">
        <v>18</v>
      </c>
      <c r="AG160" s="113"/>
      <c r="AH160" s="113"/>
      <c r="AI160" s="113"/>
      <c r="AJ160" s="113"/>
      <c r="AK160" s="113"/>
      <c r="AL160" s="113"/>
      <c r="AM160" s="2"/>
    </row>
    <row r="161" spans="1:39" ht="220.5" customHeight="1" x14ac:dyDescent="0.25">
      <c r="A161" s="3" t="s">
        <v>14</v>
      </c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1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1"/>
    </row>
    <row r="162" spans="1:39" ht="52.5" customHeight="1" x14ac:dyDescent="0.2">
      <c r="A162" s="96" t="s">
        <v>15</v>
      </c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7" t="s">
        <v>16</v>
      </c>
      <c r="P162" s="97"/>
      <c r="Q162" s="97"/>
      <c r="R162" s="97"/>
      <c r="S162" s="97"/>
      <c r="T162" s="98" t="s">
        <v>17</v>
      </c>
      <c r="U162" s="98"/>
      <c r="V162" s="98"/>
      <c r="W162" s="98"/>
      <c r="X162" s="98"/>
      <c r="Y162" s="99" t="s">
        <v>18</v>
      </c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</row>
    <row r="163" spans="1:39" ht="23.1" customHeight="1" x14ac:dyDescent="0.2">
      <c r="A163" s="100" t="s">
        <v>19</v>
      </c>
      <c r="B163" s="100"/>
      <c r="C163" s="100"/>
      <c r="D163" s="100"/>
      <c r="E163" s="100"/>
      <c r="F163" s="100"/>
      <c r="G163" s="100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2"/>
    </row>
    <row r="164" spans="1:39" ht="23.1" customHeight="1" x14ac:dyDescent="0.2">
      <c r="A164" s="101" t="s">
        <v>76</v>
      </c>
      <c r="B164" s="101"/>
      <c r="C164" s="101"/>
      <c r="D164" s="101"/>
      <c r="E164" s="101"/>
      <c r="F164" s="101"/>
      <c r="G164" s="10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2"/>
    </row>
    <row r="165" spans="1:39" ht="23.1" customHeight="1" x14ac:dyDescent="0.2">
      <c r="A165" s="80" t="s">
        <v>143</v>
      </c>
      <c r="B165" s="80"/>
      <c r="C165" s="80"/>
      <c r="D165" s="80"/>
      <c r="E165" s="80"/>
      <c r="F165" s="80"/>
      <c r="G165" s="80"/>
      <c r="H165" s="112">
        <v>45665</v>
      </c>
      <c r="I165" s="112"/>
      <c r="J165" s="112"/>
      <c r="K165" s="112"/>
      <c r="L165" s="112"/>
      <c r="M165" s="112"/>
      <c r="N165" s="112"/>
      <c r="O165" s="112"/>
      <c r="P165" s="112"/>
      <c r="Q165" s="86">
        <v>225.06</v>
      </c>
      <c r="R165" s="86"/>
      <c r="S165" s="86"/>
      <c r="T165" s="86"/>
      <c r="U165" s="86"/>
      <c r="V165" s="93">
        <v>0.77910000000000001</v>
      </c>
      <c r="W165" s="93"/>
      <c r="X165" s="93"/>
      <c r="Y165" s="93"/>
      <c r="Z165" s="94">
        <v>18</v>
      </c>
      <c r="AA165" s="94"/>
      <c r="AB165" s="94"/>
      <c r="AC165" s="94"/>
      <c r="AD165" s="94"/>
      <c r="AE165" s="94"/>
      <c r="AF165" s="113">
        <v>18</v>
      </c>
      <c r="AG165" s="113"/>
      <c r="AH165" s="113"/>
      <c r="AI165" s="113"/>
      <c r="AJ165" s="113"/>
      <c r="AK165" s="113"/>
      <c r="AL165" s="113"/>
      <c r="AM165" s="2"/>
    </row>
    <row r="166" spans="1:39" ht="20.100000000000001" customHeight="1" x14ac:dyDescent="0.2">
      <c r="A166" s="90" t="s">
        <v>144</v>
      </c>
      <c r="B166" s="90"/>
      <c r="C166" s="90"/>
      <c r="D166" s="90"/>
      <c r="E166" s="90"/>
      <c r="F166" s="90"/>
      <c r="G166" s="90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113">
        <v>18</v>
      </c>
      <c r="AG166" s="113"/>
      <c r="AH166" s="113"/>
      <c r="AI166" s="113"/>
      <c r="AJ166" s="113"/>
      <c r="AK166" s="113"/>
      <c r="AL166" s="113"/>
      <c r="AM166" s="2"/>
    </row>
    <row r="167" spans="1:39" ht="21.95" customHeight="1" x14ac:dyDescent="0.2">
      <c r="A167" s="80" t="s">
        <v>145</v>
      </c>
      <c r="B167" s="80"/>
      <c r="C167" s="80"/>
      <c r="D167" s="80"/>
      <c r="E167" s="80"/>
      <c r="F167" s="80"/>
      <c r="G167" s="80"/>
      <c r="H167" s="112">
        <v>45658</v>
      </c>
      <c r="I167" s="112"/>
      <c r="J167" s="112"/>
      <c r="K167" s="112"/>
      <c r="L167" s="112"/>
      <c r="M167" s="112"/>
      <c r="N167" s="112"/>
      <c r="O167" s="112"/>
      <c r="P167" s="112"/>
      <c r="Q167" s="118">
        <v>1611.2</v>
      </c>
      <c r="R167" s="118"/>
      <c r="S167" s="118"/>
      <c r="T167" s="118"/>
      <c r="U167" s="118"/>
      <c r="V167" s="93">
        <v>2</v>
      </c>
      <c r="W167" s="93"/>
      <c r="X167" s="93"/>
      <c r="Y167" s="93"/>
      <c r="Z167" s="94">
        <v>18</v>
      </c>
      <c r="AA167" s="94"/>
      <c r="AB167" s="94"/>
      <c r="AC167" s="94"/>
      <c r="AD167" s="94"/>
      <c r="AE167" s="94"/>
      <c r="AF167" s="113">
        <v>18</v>
      </c>
      <c r="AG167" s="113"/>
      <c r="AH167" s="113"/>
      <c r="AI167" s="113"/>
      <c r="AJ167" s="113"/>
      <c r="AK167" s="113"/>
      <c r="AL167" s="113"/>
      <c r="AM167" s="2"/>
    </row>
    <row r="168" spans="1:39" ht="20.100000000000001" customHeight="1" x14ac:dyDescent="0.2">
      <c r="A168" s="90" t="s">
        <v>146</v>
      </c>
      <c r="B168" s="90"/>
      <c r="C168" s="90"/>
      <c r="D168" s="90"/>
      <c r="E168" s="90"/>
      <c r="F168" s="90"/>
      <c r="G168" s="90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113">
        <v>18</v>
      </c>
      <c r="AG168" s="113"/>
      <c r="AH168" s="113"/>
      <c r="AI168" s="113"/>
      <c r="AJ168" s="113"/>
      <c r="AK168" s="113"/>
      <c r="AL168" s="113"/>
      <c r="AM168" s="2"/>
    </row>
    <row r="169" spans="1:39" ht="21.95" customHeight="1" x14ac:dyDescent="0.2">
      <c r="A169" s="80" t="s">
        <v>147</v>
      </c>
      <c r="B169" s="80"/>
      <c r="C169" s="80"/>
      <c r="D169" s="80"/>
      <c r="E169" s="80"/>
      <c r="F169" s="80"/>
      <c r="G169" s="80"/>
      <c r="H169" s="112">
        <v>45665</v>
      </c>
      <c r="I169" s="112"/>
      <c r="J169" s="112"/>
      <c r="K169" s="112"/>
      <c r="L169" s="112"/>
      <c r="M169" s="112"/>
      <c r="N169" s="112"/>
      <c r="O169" s="112"/>
      <c r="P169" s="112"/>
      <c r="Q169" s="91">
        <v>1.64</v>
      </c>
      <c r="R169" s="91"/>
      <c r="S169" s="91"/>
      <c r="T169" s="91"/>
      <c r="U169" s="91"/>
      <c r="V169" s="95">
        <v>3.2000000000000002E-3</v>
      </c>
      <c r="W169" s="95"/>
      <c r="X169" s="95"/>
      <c r="Y169" s="95"/>
      <c r="Z169" s="94">
        <v>18</v>
      </c>
      <c r="AA169" s="94"/>
      <c r="AB169" s="94"/>
      <c r="AC169" s="94"/>
      <c r="AD169" s="94"/>
      <c r="AE169" s="94"/>
      <c r="AF169" s="113">
        <v>18</v>
      </c>
      <c r="AG169" s="113"/>
      <c r="AH169" s="113"/>
      <c r="AI169" s="113"/>
      <c r="AJ169" s="113"/>
      <c r="AK169" s="113"/>
      <c r="AL169" s="113"/>
      <c r="AM169" s="2"/>
    </row>
    <row r="170" spans="1:39" ht="21" customHeight="1" x14ac:dyDescent="0.2">
      <c r="A170" s="80" t="s">
        <v>148</v>
      </c>
      <c r="B170" s="80"/>
      <c r="C170" s="80"/>
      <c r="D170" s="80"/>
      <c r="E170" s="80"/>
      <c r="F170" s="80"/>
      <c r="G170" s="80"/>
      <c r="H170" s="112">
        <v>45665</v>
      </c>
      <c r="I170" s="112"/>
      <c r="J170" s="112"/>
      <c r="K170" s="112"/>
      <c r="L170" s="112"/>
      <c r="M170" s="112"/>
      <c r="N170" s="112"/>
      <c r="O170" s="112"/>
      <c r="P170" s="112"/>
      <c r="Q170" s="86">
        <v>129.44999999999999</v>
      </c>
      <c r="R170" s="86"/>
      <c r="S170" s="86"/>
      <c r="T170" s="86"/>
      <c r="U170" s="86"/>
      <c r="V170" s="93">
        <v>0.29830000000000001</v>
      </c>
      <c r="W170" s="93"/>
      <c r="X170" s="93"/>
      <c r="Y170" s="93"/>
      <c r="Z170" s="94">
        <v>18</v>
      </c>
      <c r="AA170" s="94"/>
      <c r="AB170" s="94"/>
      <c r="AC170" s="94"/>
      <c r="AD170" s="94"/>
      <c r="AE170" s="94"/>
      <c r="AF170" s="113">
        <v>18</v>
      </c>
      <c r="AG170" s="113"/>
      <c r="AH170" s="113"/>
      <c r="AI170" s="113"/>
      <c r="AJ170" s="113"/>
      <c r="AK170" s="113"/>
      <c r="AL170" s="113"/>
      <c r="AM170" s="2"/>
    </row>
    <row r="171" spans="1:39" ht="20.100000000000001" customHeight="1" x14ac:dyDescent="0.2">
      <c r="A171" s="80" t="s">
        <v>149</v>
      </c>
      <c r="B171" s="80"/>
      <c r="C171" s="80"/>
      <c r="D171" s="80"/>
      <c r="E171" s="80"/>
      <c r="F171" s="80"/>
      <c r="G171" s="80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94">
        <v>0</v>
      </c>
      <c r="AA171" s="94"/>
      <c r="AB171" s="94"/>
      <c r="AC171" s="94"/>
      <c r="AD171" s="94"/>
      <c r="AE171" s="94"/>
      <c r="AF171" s="113">
        <v>0</v>
      </c>
      <c r="AG171" s="113"/>
      <c r="AH171" s="113"/>
      <c r="AI171" s="113"/>
      <c r="AJ171" s="113"/>
      <c r="AK171" s="113"/>
      <c r="AL171" s="113"/>
      <c r="AM171" s="2"/>
    </row>
    <row r="172" spans="1:39" ht="21.95" customHeight="1" x14ac:dyDescent="0.2">
      <c r="A172" s="80" t="s">
        <v>150</v>
      </c>
      <c r="B172" s="80"/>
      <c r="C172" s="80"/>
      <c r="D172" s="80"/>
      <c r="E172" s="80"/>
      <c r="F172" s="80"/>
      <c r="G172" s="80"/>
      <c r="H172" s="112">
        <v>45664</v>
      </c>
      <c r="I172" s="112"/>
      <c r="J172" s="112"/>
      <c r="K172" s="112"/>
      <c r="L172" s="112"/>
      <c r="M172" s="112"/>
      <c r="N172" s="112"/>
      <c r="O172" s="112"/>
      <c r="P172" s="112"/>
      <c r="Q172" s="86">
        <v>192.96</v>
      </c>
      <c r="R172" s="86"/>
      <c r="S172" s="86"/>
      <c r="T172" s="86"/>
      <c r="U172" s="86"/>
      <c r="V172" s="93">
        <v>0.1719</v>
      </c>
      <c r="W172" s="93"/>
      <c r="X172" s="93"/>
      <c r="Y172" s="93"/>
      <c r="Z172" s="94">
        <v>18</v>
      </c>
      <c r="AA172" s="94"/>
      <c r="AB172" s="94"/>
      <c r="AC172" s="94"/>
      <c r="AD172" s="94"/>
      <c r="AE172" s="94"/>
      <c r="AF172" s="113">
        <v>18</v>
      </c>
      <c r="AG172" s="113"/>
      <c r="AH172" s="113"/>
      <c r="AI172" s="113"/>
      <c r="AJ172" s="113"/>
      <c r="AK172" s="113"/>
      <c r="AL172" s="113"/>
      <c r="AM172" s="2"/>
    </row>
    <row r="173" spans="1:39" ht="20.100000000000001" customHeight="1" x14ac:dyDescent="0.2">
      <c r="A173" s="90" t="s">
        <v>151</v>
      </c>
      <c r="B173" s="90"/>
      <c r="C173" s="90"/>
      <c r="D173" s="90"/>
      <c r="E173" s="90"/>
      <c r="F173" s="90"/>
      <c r="G173" s="90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113">
        <v>18</v>
      </c>
      <c r="AG173" s="113"/>
      <c r="AH173" s="113"/>
      <c r="AI173" s="113"/>
      <c r="AJ173" s="113"/>
      <c r="AK173" s="113"/>
      <c r="AL173" s="113"/>
      <c r="AM173" s="2"/>
    </row>
    <row r="174" spans="1:39" ht="36" customHeight="1" x14ac:dyDescent="0.2">
      <c r="A174" s="108" t="s">
        <v>152</v>
      </c>
      <c r="B174" s="108"/>
      <c r="C174" s="108"/>
      <c r="D174" s="108"/>
      <c r="E174" s="108"/>
      <c r="F174" s="108"/>
      <c r="G174" s="108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94">
        <v>0</v>
      </c>
      <c r="AA174" s="94"/>
      <c r="AB174" s="94"/>
      <c r="AC174" s="94"/>
      <c r="AD174" s="94"/>
      <c r="AE174" s="94"/>
      <c r="AF174" s="113">
        <v>0</v>
      </c>
      <c r="AG174" s="113"/>
      <c r="AH174" s="113"/>
      <c r="AI174" s="113"/>
      <c r="AJ174" s="113"/>
      <c r="AK174" s="113"/>
      <c r="AL174" s="113"/>
      <c r="AM174" s="1"/>
    </row>
    <row r="175" spans="1:39" ht="27" customHeight="1" x14ac:dyDescent="0.2">
      <c r="A175" s="105" t="s">
        <v>153</v>
      </c>
      <c r="B175" s="105"/>
      <c r="C175" s="105"/>
      <c r="D175" s="105"/>
      <c r="E175" s="105"/>
      <c r="F175" s="105"/>
      <c r="G175" s="105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116">
        <v>0</v>
      </c>
      <c r="AA175" s="116"/>
      <c r="AB175" s="116"/>
      <c r="AC175" s="116"/>
      <c r="AD175" s="116"/>
      <c r="AE175" s="116"/>
      <c r="AF175" s="117">
        <v>0</v>
      </c>
      <c r="AG175" s="117"/>
      <c r="AH175" s="117"/>
      <c r="AI175" s="117"/>
      <c r="AJ175" s="117"/>
      <c r="AK175" s="117"/>
      <c r="AL175" s="117"/>
      <c r="AM175" s="2"/>
    </row>
    <row r="176" spans="1:39" ht="21" customHeight="1" x14ac:dyDescent="0.2">
      <c r="A176" s="80" t="s">
        <v>154</v>
      </c>
      <c r="B176" s="80"/>
      <c r="C176" s="80"/>
      <c r="D176" s="80"/>
      <c r="E176" s="80"/>
      <c r="F176" s="80"/>
      <c r="G176" s="80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94">
        <v>0</v>
      </c>
      <c r="AA176" s="94"/>
      <c r="AB176" s="94"/>
      <c r="AC176" s="94"/>
      <c r="AD176" s="94"/>
      <c r="AE176" s="94"/>
      <c r="AF176" s="113">
        <v>0</v>
      </c>
      <c r="AG176" s="113"/>
      <c r="AH176" s="113"/>
      <c r="AI176" s="113"/>
      <c r="AJ176" s="113"/>
      <c r="AK176" s="113"/>
      <c r="AL176" s="113"/>
      <c r="AM176" s="2"/>
    </row>
    <row r="177" spans="1:39" ht="21.95" customHeight="1" x14ac:dyDescent="0.2">
      <c r="A177" s="80" t="s">
        <v>155</v>
      </c>
      <c r="B177" s="80"/>
      <c r="C177" s="80"/>
      <c r="D177" s="80"/>
      <c r="E177" s="80"/>
      <c r="F177" s="80"/>
      <c r="G177" s="80"/>
      <c r="H177" s="112">
        <v>45665</v>
      </c>
      <c r="I177" s="112"/>
      <c r="J177" s="112"/>
      <c r="K177" s="112"/>
      <c r="L177" s="112"/>
      <c r="M177" s="112"/>
      <c r="N177" s="112"/>
      <c r="O177" s="112"/>
      <c r="P177" s="112"/>
      <c r="Q177" s="91">
        <v>0</v>
      </c>
      <c r="R177" s="91"/>
      <c r="S177" s="91"/>
      <c r="T177" s="91"/>
      <c r="U177" s="91"/>
      <c r="V177" s="95">
        <v>0</v>
      </c>
      <c r="W177" s="95"/>
      <c r="X177" s="95"/>
      <c r="Y177" s="95"/>
      <c r="Z177" s="94">
        <v>18</v>
      </c>
      <c r="AA177" s="94"/>
      <c r="AB177" s="94"/>
      <c r="AC177" s="94"/>
      <c r="AD177" s="94"/>
      <c r="AE177" s="94"/>
      <c r="AF177" s="113">
        <v>18</v>
      </c>
      <c r="AG177" s="113"/>
      <c r="AH177" s="113"/>
      <c r="AI177" s="113"/>
      <c r="AJ177" s="113"/>
      <c r="AK177" s="113"/>
      <c r="AL177" s="113"/>
      <c r="AM177" s="2"/>
    </row>
    <row r="178" spans="1:39" ht="21" customHeight="1" x14ac:dyDescent="0.2">
      <c r="A178" s="80" t="s">
        <v>156</v>
      </c>
      <c r="B178" s="80"/>
      <c r="C178" s="80"/>
      <c r="D178" s="80"/>
      <c r="E178" s="80"/>
      <c r="F178" s="80"/>
      <c r="G178" s="80"/>
      <c r="H178" s="112">
        <v>45685</v>
      </c>
      <c r="I178" s="112"/>
      <c r="J178" s="112"/>
      <c r="K178" s="112"/>
      <c r="L178" s="112"/>
      <c r="M178" s="112"/>
      <c r="N178" s="112"/>
      <c r="O178" s="112"/>
      <c r="P178" s="112"/>
      <c r="Q178" s="86">
        <v>488.7</v>
      </c>
      <c r="R178" s="86"/>
      <c r="S178" s="86"/>
      <c r="T178" s="86"/>
      <c r="U178" s="86"/>
      <c r="V178" s="93">
        <v>1.3159000000000001</v>
      </c>
      <c r="W178" s="93"/>
      <c r="X178" s="93"/>
      <c r="Y178" s="93"/>
      <c r="Z178" s="94">
        <v>18</v>
      </c>
      <c r="AA178" s="94"/>
      <c r="AB178" s="94"/>
      <c r="AC178" s="94"/>
      <c r="AD178" s="94"/>
      <c r="AE178" s="94"/>
      <c r="AF178" s="113">
        <v>18</v>
      </c>
      <c r="AG178" s="113"/>
      <c r="AH178" s="113"/>
      <c r="AI178" s="113"/>
      <c r="AJ178" s="113"/>
      <c r="AK178" s="113"/>
      <c r="AL178" s="113"/>
      <c r="AM178" s="2"/>
    </row>
    <row r="179" spans="1:39" ht="21" customHeight="1" x14ac:dyDescent="0.2">
      <c r="A179" s="80" t="s">
        <v>157</v>
      </c>
      <c r="B179" s="80"/>
      <c r="C179" s="80"/>
      <c r="D179" s="80"/>
      <c r="E179" s="80"/>
      <c r="F179" s="80"/>
      <c r="G179" s="80"/>
      <c r="H179" s="112">
        <v>45687</v>
      </c>
      <c r="I179" s="112"/>
      <c r="J179" s="112"/>
      <c r="K179" s="112"/>
      <c r="L179" s="112"/>
      <c r="M179" s="112"/>
      <c r="N179" s="112"/>
      <c r="O179" s="112"/>
      <c r="P179" s="112"/>
      <c r="Q179" s="86">
        <v>283.23</v>
      </c>
      <c r="R179" s="86"/>
      <c r="S179" s="86"/>
      <c r="T179" s="86"/>
      <c r="U179" s="86"/>
      <c r="V179" s="93">
        <v>0.69679999999999997</v>
      </c>
      <c r="W179" s="93"/>
      <c r="X179" s="93"/>
      <c r="Y179" s="93"/>
      <c r="Z179" s="94">
        <v>18</v>
      </c>
      <c r="AA179" s="94"/>
      <c r="AB179" s="94"/>
      <c r="AC179" s="94"/>
      <c r="AD179" s="94"/>
      <c r="AE179" s="94"/>
      <c r="AF179" s="113">
        <v>18</v>
      </c>
      <c r="AG179" s="113"/>
      <c r="AH179" s="113"/>
      <c r="AI179" s="113"/>
      <c r="AJ179" s="113"/>
      <c r="AK179" s="113"/>
      <c r="AL179" s="113"/>
      <c r="AM179" s="2"/>
    </row>
    <row r="180" spans="1:39" ht="21" customHeight="1" x14ac:dyDescent="0.2">
      <c r="A180" s="80" t="s">
        <v>158</v>
      </c>
      <c r="B180" s="80"/>
      <c r="C180" s="80"/>
      <c r="D180" s="80"/>
      <c r="E180" s="80"/>
      <c r="F180" s="80"/>
      <c r="G180" s="80"/>
      <c r="H180" s="112">
        <v>45665</v>
      </c>
      <c r="I180" s="112"/>
      <c r="J180" s="112"/>
      <c r="K180" s="112"/>
      <c r="L180" s="112"/>
      <c r="M180" s="112"/>
      <c r="N180" s="112"/>
      <c r="O180" s="112"/>
      <c r="P180" s="112"/>
      <c r="Q180" s="86">
        <v>170.95</v>
      </c>
      <c r="R180" s="86"/>
      <c r="S180" s="86"/>
      <c r="T180" s="86"/>
      <c r="U180" s="86"/>
      <c r="V180" s="93">
        <v>0.48149999999999998</v>
      </c>
      <c r="W180" s="93"/>
      <c r="X180" s="93"/>
      <c r="Y180" s="93"/>
      <c r="Z180" s="94">
        <v>18</v>
      </c>
      <c r="AA180" s="94"/>
      <c r="AB180" s="94"/>
      <c r="AC180" s="94"/>
      <c r="AD180" s="94"/>
      <c r="AE180" s="94"/>
      <c r="AF180" s="113">
        <v>18</v>
      </c>
      <c r="AG180" s="113"/>
      <c r="AH180" s="113"/>
      <c r="AI180" s="113"/>
      <c r="AJ180" s="113"/>
      <c r="AK180" s="113"/>
      <c r="AL180" s="113"/>
      <c r="AM180" s="2"/>
    </row>
    <row r="181" spans="1:39" ht="21" customHeight="1" x14ac:dyDescent="0.2">
      <c r="A181" s="80" t="s">
        <v>159</v>
      </c>
      <c r="B181" s="80"/>
      <c r="C181" s="80"/>
      <c r="D181" s="80"/>
      <c r="E181" s="80"/>
      <c r="F181" s="80"/>
      <c r="G181" s="80"/>
      <c r="H181" s="112">
        <v>45687</v>
      </c>
      <c r="I181" s="112"/>
      <c r="J181" s="112"/>
      <c r="K181" s="112"/>
      <c r="L181" s="112"/>
      <c r="M181" s="112"/>
      <c r="N181" s="112"/>
      <c r="O181" s="112"/>
      <c r="P181" s="112"/>
      <c r="Q181" s="86">
        <v>512.78</v>
      </c>
      <c r="R181" s="86"/>
      <c r="S181" s="86"/>
      <c r="T181" s="86"/>
      <c r="U181" s="86"/>
      <c r="V181" s="93">
        <v>1.1898</v>
      </c>
      <c r="W181" s="93"/>
      <c r="X181" s="93"/>
      <c r="Y181" s="93"/>
      <c r="Z181" s="94">
        <v>18</v>
      </c>
      <c r="AA181" s="94"/>
      <c r="AB181" s="94"/>
      <c r="AC181" s="94"/>
      <c r="AD181" s="94"/>
      <c r="AE181" s="94"/>
      <c r="AF181" s="113">
        <v>18</v>
      </c>
      <c r="AG181" s="113"/>
      <c r="AH181" s="113"/>
      <c r="AI181" s="113"/>
      <c r="AJ181" s="113"/>
      <c r="AK181" s="113"/>
      <c r="AL181" s="113"/>
      <c r="AM181" s="2"/>
    </row>
    <row r="182" spans="1:39" ht="21" customHeight="1" x14ac:dyDescent="0.2">
      <c r="A182" s="80" t="s">
        <v>160</v>
      </c>
      <c r="B182" s="80"/>
      <c r="C182" s="80"/>
      <c r="D182" s="80"/>
      <c r="E182" s="80"/>
      <c r="F182" s="80"/>
      <c r="G182" s="80"/>
      <c r="H182" s="112">
        <v>45665</v>
      </c>
      <c r="I182" s="112"/>
      <c r="J182" s="112"/>
      <c r="K182" s="112"/>
      <c r="L182" s="112"/>
      <c r="M182" s="112"/>
      <c r="N182" s="112"/>
      <c r="O182" s="112"/>
      <c r="P182" s="112"/>
      <c r="Q182" s="82">
        <v>27.63</v>
      </c>
      <c r="R182" s="82"/>
      <c r="S182" s="82"/>
      <c r="T182" s="82"/>
      <c r="U182" s="82"/>
      <c r="V182" s="93">
        <v>0.12909999999999999</v>
      </c>
      <c r="W182" s="93"/>
      <c r="X182" s="93"/>
      <c r="Y182" s="93"/>
      <c r="Z182" s="94">
        <v>18</v>
      </c>
      <c r="AA182" s="94"/>
      <c r="AB182" s="94"/>
      <c r="AC182" s="94"/>
      <c r="AD182" s="94"/>
      <c r="AE182" s="94"/>
      <c r="AF182" s="113">
        <v>18</v>
      </c>
      <c r="AG182" s="113"/>
      <c r="AH182" s="113"/>
      <c r="AI182" s="113"/>
      <c r="AJ182" s="113"/>
      <c r="AK182" s="113"/>
      <c r="AL182" s="113"/>
      <c r="AM182" s="2"/>
    </row>
    <row r="183" spans="1:39" ht="15.95" customHeight="1" x14ac:dyDescent="0.2">
      <c r="A183" s="80" t="s">
        <v>161</v>
      </c>
      <c r="B183" s="80"/>
      <c r="C183" s="80"/>
      <c r="D183" s="80"/>
      <c r="E183" s="80"/>
      <c r="F183" s="80"/>
      <c r="G183" s="80"/>
      <c r="H183" s="112">
        <v>45685</v>
      </c>
      <c r="I183" s="112"/>
      <c r="J183" s="112"/>
      <c r="K183" s="112"/>
      <c r="L183" s="112"/>
      <c r="M183" s="112"/>
      <c r="N183" s="112"/>
      <c r="O183" s="112"/>
      <c r="P183" s="112"/>
      <c r="Q183" s="103">
        <v>1103.3900000000001</v>
      </c>
      <c r="R183" s="103"/>
      <c r="S183" s="103"/>
      <c r="T183" s="103"/>
      <c r="U183" s="103"/>
      <c r="V183" s="93">
        <v>1.1126</v>
      </c>
      <c r="W183" s="93"/>
      <c r="X183" s="93"/>
      <c r="Y183" s="93"/>
      <c r="Z183" s="94">
        <v>18</v>
      </c>
      <c r="AA183" s="94"/>
      <c r="AB183" s="94"/>
      <c r="AC183" s="94"/>
      <c r="AD183" s="94"/>
      <c r="AE183" s="94"/>
      <c r="AF183" s="113">
        <v>18</v>
      </c>
      <c r="AG183" s="113"/>
      <c r="AH183" s="113"/>
      <c r="AI183" s="113"/>
      <c r="AJ183" s="113"/>
      <c r="AK183" s="113"/>
      <c r="AL183" s="113"/>
      <c r="AM183" s="4"/>
    </row>
    <row r="184" spans="1:39" ht="220.5" customHeight="1" x14ac:dyDescent="0.25">
      <c r="A184" s="3" t="s">
        <v>14</v>
      </c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1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1"/>
    </row>
    <row r="185" spans="1:39" ht="52.5" customHeight="1" x14ac:dyDescent="0.2">
      <c r="A185" s="96" t="s">
        <v>15</v>
      </c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7" t="s">
        <v>16</v>
      </c>
      <c r="P185" s="97"/>
      <c r="Q185" s="97"/>
      <c r="R185" s="97"/>
      <c r="S185" s="97"/>
      <c r="T185" s="98" t="s">
        <v>17</v>
      </c>
      <c r="U185" s="98"/>
      <c r="V185" s="98"/>
      <c r="W185" s="98"/>
      <c r="X185" s="98"/>
      <c r="Y185" s="99" t="s">
        <v>18</v>
      </c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</row>
    <row r="186" spans="1:39" ht="23.1" customHeight="1" x14ac:dyDescent="0.2">
      <c r="A186" s="100" t="s">
        <v>19</v>
      </c>
      <c r="B186" s="100"/>
      <c r="C186" s="100"/>
      <c r="D186" s="100"/>
      <c r="E186" s="100"/>
      <c r="F186" s="100"/>
      <c r="G186" s="100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2"/>
    </row>
    <row r="187" spans="1:39" ht="23.1" customHeight="1" x14ac:dyDescent="0.2">
      <c r="A187" s="101" t="s">
        <v>76</v>
      </c>
      <c r="B187" s="101"/>
      <c r="C187" s="101"/>
      <c r="D187" s="101"/>
      <c r="E187" s="101"/>
      <c r="F187" s="101"/>
      <c r="G187" s="10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2"/>
    </row>
    <row r="188" spans="1:39" ht="21.95" customHeight="1" x14ac:dyDescent="0.2">
      <c r="A188" s="90" t="s">
        <v>162</v>
      </c>
      <c r="B188" s="90"/>
      <c r="C188" s="90"/>
      <c r="D188" s="90"/>
      <c r="E188" s="90"/>
      <c r="F188" s="90"/>
      <c r="G188" s="90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113">
        <v>18</v>
      </c>
      <c r="AG188" s="113"/>
      <c r="AH188" s="113"/>
      <c r="AI188" s="113"/>
      <c r="AJ188" s="113"/>
      <c r="AK188" s="113"/>
      <c r="AL188" s="113"/>
      <c r="AM188" s="2"/>
    </row>
    <row r="189" spans="1:39" ht="21.95" customHeight="1" x14ac:dyDescent="0.2">
      <c r="A189" s="80" t="s">
        <v>163</v>
      </c>
      <c r="B189" s="80"/>
      <c r="C189" s="80"/>
      <c r="D189" s="80"/>
      <c r="E189" s="80"/>
      <c r="F189" s="80"/>
      <c r="G189" s="80"/>
      <c r="H189" s="112">
        <v>45665</v>
      </c>
      <c r="I189" s="112"/>
      <c r="J189" s="112"/>
      <c r="K189" s="112"/>
      <c r="L189" s="112"/>
      <c r="M189" s="112"/>
      <c r="N189" s="112"/>
      <c r="O189" s="112"/>
      <c r="P189" s="112"/>
      <c r="Q189" s="86">
        <v>500.98</v>
      </c>
      <c r="R189" s="86"/>
      <c r="S189" s="86"/>
      <c r="T189" s="86"/>
      <c r="U189" s="86"/>
      <c r="V189" s="93">
        <v>0.67349999999999999</v>
      </c>
      <c r="W189" s="93"/>
      <c r="X189" s="93"/>
      <c r="Y189" s="93"/>
      <c r="Z189" s="94">
        <v>18</v>
      </c>
      <c r="AA189" s="94"/>
      <c r="AB189" s="94"/>
      <c r="AC189" s="94"/>
      <c r="AD189" s="94"/>
      <c r="AE189" s="94"/>
      <c r="AF189" s="113">
        <v>18</v>
      </c>
      <c r="AG189" s="113"/>
      <c r="AH189" s="113"/>
      <c r="AI189" s="113"/>
      <c r="AJ189" s="113"/>
      <c r="AK189" s="113"/>
      <c r="AL189" s="113"/>
      <c r="AM189" s="2"/>
    </row>
    <row r="190" spans="1:39" ht="20.100000000000001" customHeight="1" x14ac:dyDescent="0.2">
      <c r="A190" s="90" t="s">
        <v>164</v>
      </c>
      <c r="B190" s="90"/>
      <c r="C190" s="90"/>
      <c r="D190" s="90"/>
      <c r="E190" s="90"/>
      <c r="F190" s="90"/>
      <c r="G190" s="90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113">
        <v>18</v>
      </c>
      <c r="AG190" s="113"/>
      <c r="AH190" s="113"/>
      <c r="AI190" s="113"/>
      <c r="AJ190" s="113"/>
      <c r="AK190" s="113"/>
      <c r="AL190" s="113"/>
      <c r="AM190" s="2"/>
    </row>
    <row r="191" spans="1:39" ht="21" customHeight="1" x14ac:dyDescent="0.2">
      <c r="A191" s="90" t="s">
        <v>165</v>
      </c>
      <c r="B191" s="90"/>
      <c r="C191" s="90"/>
      <c r="D191" s="90"/>
      <c r="E191" s="90"/>
      <c r="F191" s="90"/>
      <c r="G191" s="90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113">
        <v>18</v>
      </c>
      <c r="AG191" s="113"/>
      <c r="AH191" s="113"/>
      <c r="AI191" s="113"/>
      <c r="AJ191" s="113"/>
      <c r="AK191" s="113"/>
      <c r="AL191" s="113"/>
      <c r="AM191" s="2"/>
    </row>
    <row r="192" spans="1:39" ht="21.95" customHeight="1" x14ac:dyDescent="0.2">
      <c r="A192" s="80" t="s">
        <v>166</v>
      </c>
      <c r="B192" s="80"/>
      <c r="C192" s="80"/>
      <c r="D192" s="80"/>
      <c r="E192" s="80"/>
      <c r="F192" s="80"/>
      <c r="G192" s="80"/>
      <c r="H192" s="112">
        <v>45665</v>
      </c>
      <c r="I192" s="112"/>
      <c r="J192" s="112"/>
      <c r="K192" s="112"/>
      <c r="L192" s="112"/>
      <c r="M192" s="112"/>
      <c r="N192" s="112"/>
      <c r="O192" s="112"/>
      <c r="P192" s="112"/>
      <c r="Q192" s="91">
        <v>0</v>
      </c>
      <c r="R192" s="91"/>
      <c r="S192" s="91"/>
      <c r="T192" s="91"/>
      <c r="U192" s="91"/>
      <c r="V192" s="95">
        <v>0</v>
      </c>
      <c r="W192" s="95"/>
      <c r="X192" s="95"/>
      <c r="Y192" s="95"/>
      <c r="Z192" s="94">
        <v>18</v>
      </c>
      <c r="AA192" s="94"/>
      <c r="AB192" s="94"/>
      <c r="AC192" s="94"/>
      <c r="AD192" s="94"/>
      <c r="AE192" s="94"/>
      <c r="AF192" s="113">
        <v>18</v>
      </c>
      <c r="AG192" s="113"/>
      <c r="AH192" s="113"/>
      <c r="AI192" s="113"/>
      <c r="AJ192" s="113"/>
      <c r="AK192" s="113"/>
      <c r="AL192" s="113"/>
      <c r="AM192" s="2"/>
    </row>
    <row r="193" spans="1:39" ht="21" customHeight="1" x14ac:dyDescent="0.2">
      <c r="A193" s="80" t="s">
        <v>167</v>
      </c>
      <c r="B193" s="80"/>
      <c r="C193" s="80"/>
      <c r="D193" s="80"/>
      <c r="E193" s="80"/>
      <c r="F193" s="80"/>
      <c r="G193" s="80"/>
      <c r="H193" s="112">
        <v>45665</v>
      </c>
      <c r="I193" s="112"/>
      <c r="J193" s="112"/>
      <c r="K193" s="112"/>
      <c r="L193" s="112"/>
      <c r="M193" s="112"/>
      <c r="N193" s="112"/>
      <c r="O193" s="112"/>
      <c r="P193" s="112"/>
      <c r="Q193" s="86">
        <v>117.26</v>
      </c>
      <c r="R193" s="86"/>
      <c r="S193" s="86"/>
      <c r="T193" s="86"/>
      <c r="U193" s="86"/>
      <c r="V193" s="93">
        <v>0.1678</v>
      </c>
      <c r="W193" s="93"/>
      <c r="X193" s="93"/>
      <c r="Y193" s="93"/>
      <c r="Z193" s="94">
        <v>18</v>
      </c>
      <c r="AA193" s="94"/>
      <c r="AB193" s="94"/>
      <c r="AC193" s="94"/>
      <c r="AD193" s="94"/>
      <c r="AE193" s="94"/>
      <c r="AF193" s="113">
        <v>18</v>
      </c>
      <c r="AG193" s="113"/>
      <c r="AH193" s="113"/>
      <c r="AI193" s="113"/>
      <c r="AJ193" s="113"/>
      <c r="AK193" s="113"/>
      <c r="AL193" s="113"/>
      <c r="AM193" s="2"/>
    </row>
    <row r="194" spans="1:39" ht="20.100000000000001" customHeight="1" x14ac:dyDescent="0.2">
      <c r="A194" s="90" t="s">
        <v>168</v>
      </c>
      <c r="B194" s="90"/>
      <c r="C194" s="90"/>
      <c r="D194" s="90"/>
      <c r="E194" s="90"/>
      <c r="F194" s="90"/>
      <c r="G194" s="90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113">
        <v>18</v>
      </c>
      <c r="AG194" s="113"/>
      <c r="AH194" s="113"/>
      <c r="AI194" s="113"/>
      <c r="AJ194" s="113"/>
      <c r="AK194" s="113"/>
      <c r="AL194" s="113"/>
      <c r="AM194" s="2"/>
    </row>
    <row r="195" spans="1:39" ht="21" customHeight="1" x14ac:dyDescent="0.2">
      <c r="A195" s="90" t="s">
        <v>169</v>
      </c>
      <c r="B195" s="90"/>
      <c r="C195" s="90"/>
      <c r="D195" s="90"/>
      <c r="E195" s="90"/>
      <c r="F195" s="90"/>
      <c r="G195" s="90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113">
        <v>18</v>
      </c>
      <c r="AG195" s="113"/>
      <c r="AH195" s="113"/>
      <c r="AI195" s="113"/>
      <c r="AJ195" s="113"/>
      <c r="AK195" s="113"/>
      <c r="AL195" s="113"/>
      <c r="AM195" s="2"/>
    </row>
    <row r="196" spans="1:39" ht="21.95" customHeight="1" x14ac:dyDescent="0.2">
      <c r="A196" s="80" t="s">
        <v>170</v>
      </c>
      <c r="B196" s="80"/>
      <c r="C196" s="80"/>
      <c r="D196" s="80"/>
      <c r="E196" s="80"/>
      <c r="F196" s="80"/>
      <c r="G196" s="80"/>
      <c r="H196" s="112">
        <v>45685</v>
      </c>
      <c r="I196" s="112"/>
      <c r="J196" s="112"/>
      <c r="K196" s="112"/>
      <c r="L196" s="112"/>
      <c r="M196" s="112"/>
      <c r="N196" s="112"/>
      <c r="O196" s="112"/>
      <c r="P196" s="112"/>
      <c r="Q196" s="91">
        <v>1.62</v>
      </c>
      <c r="R196" s="91"/>
      <c r="S196" s="91"/>
      <c r="T196" s="91"/>
      <c r="U196" s="91"/>
      <c r="V196" s="95">
        <v>4.4999999999999997E-3</v>
      </c>
      <c r="W196" s="95"/>
      <c r="X196" s="95"/>
      <c r="Y196" s="95"/>
      <c r="Z196" s="94">
        <v>18</v>
      </c>
      <c r="AA196" s="94"/>
      <c r="AB196" s="94"/>
      <c r="AC196" s="94"/>
      <c r="AD196" s="94"/>
      <c r="AE196" s="94"/>
      <c r="AF196" s="113">
        <v>18</v>
      </c>
      <c r="AG196" s="113"/>
      <c r="AH196" s="113"/>
      <c r="AI196" s="113"/>
      <c r="AJ196" s="113"/>
      <c r="AK196" s="113"/>
      <c r="AL196" s="113"/>
      <c r="AM196" s="2"/>
    </row>
    <row r="197" spans="1:39" ht="21" customHeight="1" x14ac:dyDescent="0.2">
      <c r="A197" s="80" t="s">
        <v>171</v>
      </c>
      <c r="B197" s="80"/>
      <c r="C197" s="80"/>
      <c r="D197" s="80"/>
      <c r="E197" s="80"/>
      <c r="F197" s="80"/>
      <c r="G197" s="80"/>
      <c r="H197" s="112">
        <v>45670</v>
      </c>
      <c r="I197" s="112"/>
      <c r="J197" s="112"/>
      <c r="K197" s="112"/>
      <c r="L197" s="112"/>
      <c r="M197" s="112"/>
      <c r="N197" s="112"/>
      <c r="O197" s="112"/>
      <c r="P197" s="112"/>
      <c r="Q197" s="86">
        <v>327.52</v>
      </c>
      <c r="R197" s="86"/>
      <c r="S197" s="86"/>
      <c r="T197" s="86"/>
      <c r="U197" s="86"/>
      <c r="V197" s="93">
        <v>2</v>
      </c>
      <c r="W197" s="93"/>
      <c r="X197" s="93"/>
      <c r="Y197" s="93"/>
      <c r="Z197" s="94">
        <v>18</v>
      </c>
      <c r="AA197" s="94"/>
      <c r="AB197" s="94"/>
      <c r="AC197" s="94"/>
      <c r="AD197" s="94"/>
      <c r="AE197" s="94"/>
      <c r="AF197" s="113">
        <v>18</v>
      </c>
      <c r="AG197" s="113"/>
      <c r="AH197" s="113"/>
      <c r="AI197" s="113"/>
      <c r="AJ197" s="113"/>
      <c r="AK197" s="113"/>
      <c r="AL197" s="113"/>
      <c r="AM197" s="2"/>
    </row>
    <row r="198" spans="1:39" ht="20.100000000000001" customHeight="1" x14ac:dyDescent="0.2">
      <c r="A198" s="80" t="s">
        <v>172</v>
      </c>
      <c r="B198" s="80"/>
      <c r="C198" s="80"/>
      <c r="D198" s="80"/>
      <c r="E198" s="80"/>
      <c r="F198" s="80"/>
      <c r="G198" s="80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94">
        <v>0</v>
      </c>
      <c r="AA198" s="94"/>
      <c r="AB198" s="94"/>
      <c r="AC198" s="94"/>
      <c r="AD198" s="94"/>
      <c r="AE198" s="94"/>
      <c r="AF198" s="113">
        <v>0</v>
      </c>
      <c r="AG198" s="113"/>
      <c r="AH198" s="113"/>
      <c r="AI198" s="113"/>
      <c r="AJ198" s="113"/>
      <c r="AK198" s="113"/>
      <c r="AL198" s="113"/>
      <c r="AM198" s="2"/>
    </row>
    <row r="199" spans="1:39" ht="21" customHeight="1" x14ac:dyDescent="0.2">
      <c r="A199" s="80" t="s">
        <v>173</v>
      </c>
      <c r="B199" s="80"/>
      <c r="C199" s="80"/>
      <c r="D199" s="80"/>
      <c r="E199" s="80"/>
      <c r="F199" s="80"/>
      <c r="G199" s="80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94">
        <v>0</v>
      </c>
      <c r="AA199" s="94"/>
      <c r="AB199" s="94"/>
      <c r="AC199" s="94"/>
      <c r="AD199" s="94"/>
      <c r="AE199" s="94"/>
      <c r="AF199" s="113">
        <v>0</v>
      </c>
      <c r="AG199" s="113"/>
      <c r="AH199" s="113"/>
      <c r="AI199" s="113"/>
      <c r="AJ199" s="113"/>
      <c r="AK199" s="113"/>
      <c r="AL199" s="113"/>
      <c r="AM199" s="2"/>
    </row>
    <row r="200" spans="1:39" ht="21.95" customHeight="1" x14ac:dyDescent="0.2">
      <c r="A200" s="80" t="s">
        <v>174</v>
      </c>
      <c r="B200" s="80"/>
      <c r="C200" s="80"/>
      <c r="D200" s="80"/>
      <c r="E200" s="80"/>
      <c r="F200" s="80"/>
      <c r="G200" s="80"/>
      <c r="H200" s="112">
        <v>45687</v>
      </c>
      <c r="I200" s="112"/>
      <c r="J200" s="112"/>
      <c r="K200" s="112"/>
      <c r="L200" s="112"/>
      <c r="M200" s="112"/>
      <c r="N200" s="112"/>
      <c r="O200" s="112"/>
      <c r="P200" s="112"/>
      <c r="Q200" s="82">
        <v>53.89</v>
      </c>
      <c r="R200" s="82"/>
      <c r="S200" s="82"/>
      <c r="T200" s="82"/>
      <c r="U200" s="82"/>
      <c r="V200" s="93">
        <v>0.125</v>
      </c>
      <c r="W200" s="93"/>
      <c r="X200" s="93"/>
      <c r="Y200" s="93"/>
      <c r="Z200" s="94">
        <v>18</v>
      </c>
      <c r="AA200" s="94"/>
      <c r="AB200" s="94"/>
      <c r="AC200" s="94"/>
      <c r="AD200" s="94"/>
      <c r="AE200" s="94"/>
      <c r="AF200" s="113">
        <v>18</v>
      </c>
      <c r="AG200" s="113"/>
      <c r="AH200" s="113"/>
      <c r="AI200" s="113"/>
      <c r="AJ200" s="113"/>
      <c r="AK200" s="113"/>
      <c r="AL200" s="113"/>
      <c r="AM200" s="2"/>
    </row>
    <row r="201" spans="1:39" ht="20.100000000000001" customHeight="1" x14ac:dyDescent="0.2">
      <c r="A201" s="80" t="s">
        <v>175</v>
      </c>
      <c r="B201" s="80"/>
      <c r="C201" s="80"/>
      <c r="D201" s="80"/>
      <c r="E201" s="80"/>
      <c r="F201" s="80"/>
      <c r="G201" s="80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94">
        <v>0</v>
      </c>
      <c r="AA201" s="94"/>
      <c r="AB201" s="94"/>
      <c r="AC201" s="94"/>
      <c r="AD201" s="94"/>
      <c r="AE201" s="94"/>
      <c r="AF201" s="113">
        <v>0</v>
      </c>
      <c r="AG201" s="113"/>
      <c r="AH201" s="113"/>
      <c r="AI201" s="113"/>
      <c r="AJ201" s="113"/>
      <c r="AK201" s="113"/>
      <c r="AL201" s="113"/>
      <c r="AM201" s="2"/>
    </row>
    <row r="202" spans="1:39" ht="21.95" customHeight="1" x14ac:dyDescent="0.2">
      <c r="A202" s="80" t="s">
        <v>176</v>
      </c>
      <c r="B202" s="80"/>
      <c r="C202" s="80"/>
      <c r="D202" s="80"/>
      <c r="E202" s="80"/>
      <c r="F202" s="80"/>
      <c r="G202" s="80"/>
      <c r="H202" s="112">
        <v>45685</v>
      </c>
      <c r="I202" s="112"/>
      <c r="J202" s="112"/>
      <c r="K202" s="112"/>
      <c r="L202" s="112"/>
      <c r="M202" s="112"/>
      <c r="N202" s="112"/>
      <c r="O202" s="112"/>
      <c r="P202" s="112"/>
      <c r="Q202" s="103">
        <v>1026.54</v>
      </c>
      <c r="R202" s="103"/>
      <c r="S202" s="103"/>
      <c r="T202" s="103"/>
      <c r="U202" s="103"/>
      <c r="V202" s="93">
        <v>2</v>
      </c>
      <c r="W202" s="93"/>
      <c r="X202" s="93"/>
      <c r="Y202" s="93"/>
      <c r="Z202" s="94">
        <v>18</v>
      </c>
      <c r="AA202" s="94"/>
      <c r="AB202" s="94"/>
      <c r="AC202" s="94"/>
      <c r="AD202" s="94"/>
      <c r="AE202" s="94"/>
      <c r="AF202" s="113">
        <v>18</v>
      </c>
      <c r="AG202" s="113"/>
      <c r="AH202" s="113"/>
      <c r="AI202" s="113"/>
      <c r="AJ202" s="113"/>
      <c r="AK202" s="113"/>
      <c r="AL202" s="113"/>
      <c r="AM202" s="2"/>
    </row>
    <row r="203" spans="1:39" ht="21" customHeight="1" x14ac:dyDescent="0.2">
      <c r="A203" s="80" t="s">
        <v>177</v>
      </c>
      <c r="B203" s="80"/>
      <c r="C203" s="80"/>
      <c r="D203" s="80"/>
      <c r="E203" s="80"/>
      <c r="F203" s="80"/>
      <c r="G203" s="80"/>
      <c r="H203" s="112">
        <v>45672</v>
      </c>
      <c r="I203" s="112"/>
      <c r="J203" s="112"/>
      <c r="K203" s="112"/>
      <c r="L203" s="112"/>
      <c r="M203" s="112"/>
      <c r="N203" s="112"/>
      <c r="O203" s="112"/>
      <c r="P203" s="112"/>
      <c r="Q203" s="91">
        <v>0</v>
      </c>
      <c r="R203" s="91"/>
      <c r="S203" s="91"/>
      <c r="T203" s="91"/>
      <c r="U203" s="91"/>
      <c r="V203" s="95">
        <v>0</v>
      </c>
      <c r="W203" s="95"/>
      <c r="X203" s="95"/>
      <c r="Y203" s="95"/>
      <c r="Z203" s="94">
        <v>18</v>
      </c>
      <c r="AA203" s="94"/>
      <c r="AB203" s="94"/>
      <c r="AC203" s="94"/>
      <c r="AD203" s="94"/>
      <c r="AE203" s="94"/>
      <c r="AF203" s="113">
        <v>18</v>
      </c>
      <c r="AG203" s="113"/>
      <c r="AH203" s="113"/>
      <c r="AI203" s="113"/>
      <c r="AJ203" s="113"/>
      <c r="AK203" s="113"/>
      <c r="AL203" s="113"/>
      <c r="AM203" s="2"/>
    </row>
    <row r="204" spans="1:39" ht="21" customHeight="1" x14ac:dyDescent="0.2">
      <c r="A204" s="80" t="s">
        <v>178</v>
      </c>
      <c r="B204" s="80"/>
      <c r="C204" s="80"/>
      <c r="D204" s="80"/>
      <c r="E204" s="80"/>
      <c r="F204" s="80"/>
      <c r="G204" s="80"/>
      <c r="H204" s="112">
        <v>45665</v>
      </c>
      <c r="I204" s="112"/>
      <c r="J204" s="112"/>
      <c r="K204" s="112"/>
      <c r="L204" s="112"/>
      <c r="M204" s="112"/>
      <c r="N204" s="112"/>
      <c r="O204" s="112"/>
      <c r="P204" s="112"/>
      <c r="Q204" s="91">
        <v>1.91</v>
      </c>
      <c r="R204" s="91"/>
      <c r="S204" s="91"/>
      <c r="T204" s="91"/>
      <c r="U204" s="91"/>
      <c r="V204" s="95">
        <v>4.4999999999999997E-3</v>
      </c>
      <c r="W204" s="95"/>
      <c r="X204" s="95"/>
      <c r="Y204" s="95"/>
      <c r="Z204" s="94">
        <v>18</v>
      </c>
      <c r="AA204" s="94"/>
      <c r="AB204" s="94"/>
      <c r="AC204" s="94"/>
      <c r="AD204" s="94"/>
      <c r="AE204" s="94"/>
      <c r="AF204" s="113">
        <v>18</v>
      </c>
      <c r="AG204" s="113"/>
      <c r="AH204" s="113"/>
      <c r="AI204" s="113"/>
      <c r="AJ204" s="113"/>
      <c r="AK204" s="113"/>
      <c r="AL204" s="113"/>
      <c r="AM204" s="2"/>
    </row>
    <row r="205" spans="1:39" ht="21" customHeight="1" x14ac:dyDescent="0.2">
      <c r="A205" s="80" t="s">
        <v>179</v>
      </c>
      <c r="B205" s="80"/>
      <c r="C205" s="80"/>
      <c r="D205" s="80"/>
      <c r="E205" s="80"/>
      <c r="F205" s="80"/>
      <c r="G205" s="80"/>
      <c r="H205" s="112">
        <v>45672</v>
      </c>
      <c r="I205" s="112"/>
      <c r="J205" s="112"/>
      <c r="K205" s="112"/>
      <c r="L205" s="112"/>
      <c r="M205" s="112"/>
      <c r="N205" s="112"/>
      <c r="O205" s="112"/>
      <c r="P205" s="112"/>
      <c r="Q205" s="91">
        <v>9.16</v>
      </c>
      <c r="R205" s="91"/>
      <c r="S205" s="91"/>
      <c r="T205" s="91"/>
      <c r="U205" s="91"/>
      <c r="V205" s="95">
        <v>5.21E-2</v>
      </c>
      <c r="W205" s="95"/>
      <c r="X205" s="95"/>
      <c r="Y205" s="95"/>
      <c r="Z205" s="94">
        <v>18</v>
      </c>
      <c r="AA205" s="94"/>
      <c r="AB205" s="94"/>
      <c r="AC205" s="94"/>
      <c r="AD205" s="94"/>
      <c r="AE205" s="94"/>
      <c r="AF205" s="113">
        <v>18</v>
      </c>
      <c r="AG205" s="113"/>
      <c r="AH205" s="113"/>
      <c r="AI205" s="113"/>
      <c r="AJ205" s="113"/>
      <c r="AK205" s="113"/>
      <c r="AL205" s="113"/>
      <c r="AM205" s="2"/>
    </row>
    <row r="206" spans="1:39" ht="21" customHeight="1" x14ac:dyDescent="0.2">
      <c r="A206" s="80" t="s">
        <v>180</v>
      </c>
      <c r="B206" s="80"/>
      <c r="C206" s="80"/>
      <c r="D206" s="80"/>
      <c r="E206" s="80"/>
      <c r="F206" s="80"/>
      <c r="G206" s="80"/>
      <c r="H206" s="112">
        <v>45665</v>
      </c>
      <c r="I206" s="112"/>
      <c r="J206" s="112"/>
      <c r="K206" s="112"/>
      <c r="L206" s="112"/>
      <c r="M206" s="112"/>
      <c r="N206" s="112"/>
      <c r="O206" s="112"/>
      <c r="P206" s="112"/>
      <c r="Q206" s="86">
        <v>822.32</v>
      </c>
      <c r="R206" s="86"/>
      <c r="S206" s="86"/>
      <c r="T206" s="86"/>
      <c r="U206" s="86"/>
      <c r="V206" s="93">
        <v>2</v>
      </c>
      <c r="W206" s="93"/>
      <c r="X206" s="93"/>
      <c r="Y206" s="93"/>
      <c r="Z206" s="94">
        <v>18</v>
      </c>
      <c r="AA206" s="94"/>
      <c r="AB206" s="94"/>
      <c r="AC206" s="94"/>
      <c r="AD206" s="94"/>
      <c r="AE206" s="94"/>
      <c r="AF206" s="113">
        <v>18</v>
      </c>
      <c r="AG206" s="113"/>
      <c r="AH206" s="113"/>
      <c r="AI206" s="113"/>
      <c r="AJ206" s="113"/>
      <c r="AK206" s="113"/>
      <c r="AL206" s="113"/>
      <c r="AM206" s="2"/>
    </row>
    <row r="207" spans="1:39" ht="15.95" customHeight="1" x14ac:dyDescent="0.2">
      <c r="A207" s="80" t="s">
        <v>181</v>
      </c>
      <c r="B207" s="80"/>
      <c r="C207" s="80"/>
      <c r="D207" s="80"/>
      <c r="E207" s="80"/>
      <c r="F207" s="80"/>
      <c r="G207" s="80"/>
      <c r="H207" s="112">
        <v>45659</v>
      </c>
      <c r="I207" s="112"/>
      <c r="J207" s="112"/>
      <c r="K207" s="112"/>
      <c r="L207" s="112"/>
      <c r="M207" s="112"/>
      <c r="N207" s="112"/>
      <c r="O207" s="112"/>
      <c r="P207" s="112"/>
      <c r="Q207" s="103">
        <v>1250.0999999999999</v>
      </c>
      <c r="R207" s="103"/>
      <c r="S207" s="103"/>
      <c r="T207" s="103"/>
      <c r="U207" s="103"/>
      <c r="V207" s="93">
        <v>1.4355</v>
      </c>
      <c r="W207" s="93"/>
      <c r="X207" s="93"/>
      <c r="Y207" s="93"/>
      <c r="Z207" s="94">
        <v>18</v>
      </c>
      <c r="AA207" s="94"/>
      <c r="AB207" s="94"/>
      <c r="AC207" s="94"/>
      <c r="AD207" s="94"/>
      <c r="AE207" s="94"/>
      <c r="AF207" s="113">
        <v>18</v>
      </c>
      <c r="AG207" s="113"/>
      <c r="AH207" s="113"/>
      <c r="AI207" s="113"/>
      <c r="AJ207" s="113"/>
      <c r="AK207" s="113"/>
      <c r="AL207" s="113"/>
      <c r="AM207" s="4"/>
    </row>
    <row r="208" spans="1:39" ht="220.5" customHeight="1" x14ac:dyDescent="0.25">
      <c r="A208" s="3" t="s">
        <v>14</v>
      </c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1"/>
      <c r="W208" s="62"/>
      <c r="X208" s="62"/>
      <c r="Y208" s="1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1"/>
      <c r="AM208" s="1"/>
    </row>
    <row r="209" spans="1:39" ht="52.5" customHeight="1" x14ac:dyDescent="0.2">
      <c r="A209" s="96" t="s">
        <v>15</v>
      </c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7" t="s">
        <v>16</v>
      </c>
      <c r="P209" s="97"/>
      <c r="Q209" s="97"/>
      <c r="R209" s="97"/>
      <c r="S209" s="97"/>
      <c r="T209" s="98" t="s">
        <v>17</v>
      </c>
      <c r="U209" s="98"/>
      <c r="V209" s="98"/>
      <c r="W209" s="98"/>
      <c r="X209" s="98"/>
      <c r="Y209" s="99" t="s">
        <v>18</v>
      </c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</row>
    <row r="210" spans="1:39" ht="23.1" customHeight="1" x14ac:dyDescent="0.2">
      <c r="A210" s="100" t="s">
        <v>19</v>
      </c>
      <c r="B210" s="100"/>
      <c r="C210" s="100"/>
      <c r="D210" s="100"/>
      <c r="E210" s="100"/>
      <c r="F210" s="100"/>
      <c r="G210" s="100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2"/>
    </row>
    <row r="211" spans="1:39" ht="23.1" customHeight="1" x14ac:dyDescent="0.2">
      <c r="A211" s="101" t="s">
        <v>76</v>
      </c>
      <c r="B211" s="101"/>
      <c r="C211" s="101"/>
      <c r="D211" s="101"/>
      <c r="E211" s="101"/>
      <c r="F211" s="101"/>
      <c r="G211" s="101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2"/>
    </row>
    <row r="212" spans="1:39" ht="21.95" customHeight="1" x14ac:dyDescent="0.2">
      <c r="A212" s="90" t="s">
        <v>182</v>
      </c>
      <c r="B212" s="90"/>
      <c r="C212" s="90"/>
      <c r="D212" s="90"/>
      <c r="E212" s="90"/>
      <c r="F212" s="90"/>
      <c r="G212" s="90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113">
        <v>18</v>
      </c>
      <c r="AG212" s="113"/>
      <c r="AH212" s="113"/>
      <c r="AI212" s="113"/>
      <c r="AJ212" s="113"/>
      <c r="AK212" s="113"/>
      <c r="AL212" s="113"/>
      <c r="AM212" s="2"/>
    </row>
    <row r="213" spans="1:39" ht="21" customHeight="1" x14ac:dyDescent="0.2">
      <c r="A213" s="90" t="s">
        <v>183</v>
      </c>
      <c r="B213" s="90"/>
      <c r="C213" s="90"/>
      <c r="D213" s="90"/>
      <c r="E213" s="90"/>
      <c r="F213" s="90"/>
      <c r="G213" s="90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113">
        <v>18</v>
      </c>
      <c r="AG213" s="113"/>
      <c r="AH213" s="113"/>
      <c r="AI213" s="113"/>
      <c r="AJ213" s="113"/>
      <c r="AK213" s="113"/>
      <c r="AL213" s="113"/>
      <c r="AM213" s="2"/>
    </row>
    <row r="214" spans="1:39" ht="21" customHeight="1" x14ac:dyDescent="0.2">
      <c r="A214" s="90" t="s">
        <v>184</v>
      </c>
      <c r="B214" s="90"/>
      <c r="C214" s="90"/>
      <c r="D214" s="90"/>
      <c r="E214" s="90"/>
      <c r="F214" s="90"/>
      <c r="G214" s="90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113">
        <v>18</v>
      </c>
      <c r="AG214" s="113"/>
      <c r="AH214" s="113"/>
      <c r="AI214" s="113"/>
      <c r="AJ214" s="113"/>
      <c r="AK214" s="113"/>
      <c r="AL214" s="113"/>
      <c r="AM214" s="2"/>
    </row>
    <row r="215" spans="1:39" ht="21" customHeight="1" x14ac:dyDescent="0.2">
      <c r="A215" s="80" t="s">
        <v>185</v>
      </c>
      <c r="B215" s="80"/>
      <c r="C215" s="80"/>
      <c r="D215" s="80"/>
      <c r="E215" s="80"/>
      <c r="F215" s="80"/>
      <c r="G215" s="80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94">
        <v>0</v>
      </c>
      <c r="AA215" s="94"/>
      <c r="AB215" s="94"/>
      <c r="AC215" s="94"/>
      <c r="AD215" s="94"/>
      <c r="AE215" s="94"/>
      <c r="AF215" s="113">
        <v>0</v>
      </c>
      <c r="AG215" s="113"/>
      <c r="AH215" s="113"/>
      <c r="AI215" s="113"/>
      <c r="AJ215" s="113"/>
      <c r="AK215" s="113"/>
      <c r="AL215" s="113"/>
      <c r="AM215" s="2"/>
    </row>
    <row r="216" spans="1:39" ht="21.95" customHeight="1" x14ac:dyDescent="0.2">
      <c r="A216" s="80" t="s">
        <v>186</v>
      </c>
      <c r="B216" s="80"/>
      <c r="C216" s="80"/>
      <c r="D216" s="80"/>
      <c r="E216" s="80"/>
      <c r="F216" s="80"/>
      <c r="G216" s="80"/>
      <c r="H216" s="112">
        <v>45665</v>
      </c>
      <c r="I216" s="112"/>
      <c r="J216" s="112"/>
      <c r="K216" s="112"/>
      <c r="L216" s="112"/>
      <c r="M216" s="112"/>
      <c r="N216" s="112"/>
      <c r="O216" s="112"/>
      <c r="P216" s="112"/>
      <c r="Q216" s="86">
        <v>138.74</v>
      </c>
      <c r="R216" s="86"/>
      <c r="S216" s="86"/>
      <c r="T216" s="86"/>
      <c r="U216" s="86"/>
      <c r="V216" s="93">
        <v>0.34129999999999999</v>
      </c>
      <c r="W216" s="93"/>
      <c r="X216" s="93"/>
      <c r="Y216" s="93"/>
      <c r="Z216" s="94">
        <v>18</v>
      </c>
      <c r="AA216" s="94"/>
      <c r="AB216" s="94"/>
      <c r="AC216" s="94"/>
      <c r="AD216" s="94"/>
      <c r="AE216" s="94"/>
      <c r="AF216" s="113">
        <v>18</v>
      </c>
      <c r="AG216" s="113"/>
      <c r="AH216" s="113"/>
      <c r="AI216" s="113"/>
      <c r="AJ216" s="113"/>
      <c r="AK216" s="113"/>
      <c r="AL216" s="113"/>
      <c r="AM216" s="2"/>
    </row>
    <row r="217" spans="1:39" ht="26.45" customHeight="1" x14ac:dyDescent="0.2">
      <c r="A217" s="80" t="s">
        <v>187</v>
      </c>
      <c r="B217" s="80"/>
      <c r="C217" s="80"/>
      <c r="D217" s="80"/>
      <c r="E217" s="80"/>
      <c r="F217" s="80"/>
      <c r="G217" s="80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94">
        <v>0</v>
      </c>
      <c r="AA217" s="94"/>
      <c r="AB217" s="94"/>
      <c r="AC217" s="94"/>
      <c r="AD217" s="94"/>
      <c r="AE217" s="94"/>
      <c r="AF217" s="113">
        <v>0</v>
      </c>
      <c r="AG217" s="113"/>
      <c r="AH217" s="113"/>
      <c r="AI217" s="113"/>
      <c r="AJ217" s="113"/>
      <c r="AK217" s="113"/>
      <c r="AL217" s="113"/>
      <c r="AM217" s="2"/>
    </row>
    <row r="218" spans="1:39" ht="21" customHeight="1" x14ac:dyDescent="0.2">
      <c r="A218" s="90" t="s">
        <v>188</v>
      </c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</row>
    <row r="219" spans="1:39" ht="21" customHeight="1" x14ac:dyDescent="0.2">
      <c r="A219" s="90" t="s">
        <v>189</v>
      </c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</row>
    <row r="220" spans="1:39" ht="20.45" customHeight="1" x14ac:dyDescent="0.2">
      <c r="A220" s="90" t="s">
        <v>190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</row>
    <row r="221" spans="1:39" ht="15" customHeight="1" x14ac:dyDescent="0.2">
      <c r="A221" s="90" t="s">
        <v>191</v>
      </c>
      <c r="B221" s="90"/>
      <c r="C221" s="90"/>
      <c r="D221" s="90"/>
      <c r="E221" s="90"/>
      <c r="F221" s="90"/>
      <c r="G221" s="90"/>
      <c r="H221" s="90"/>
      <c r="I221" s="90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4"/>
      <c r="AM221" s="4"/>
    </row>
    <row r="222" spans="1:39" ht="21.95" customHeight="1" x14ac:dyDescent="0.2">
      <c r="A222" s="80" t="s">
        <v>192</v>
      </c>
      <c r="B222" s="80"/>
      <c r="C222" s="80"/>
      <c r="D222" s="80"/>
      <c r="E222" s="80"/>
      <c r="F222" s="80"/>
      <c r="G222" s="80"/>
      <c r="H222" s="80"/>
      <c r="I222" s="80"/>
      <c r="J222" s="81">
        <v>45672</v>
      </c>
      <c r="K222" s="81"/>
      <c r="L222" s="81"/>
      <c r="M222" s="81"/>
      <c r="N222" s="81"/>
      <c r="O222" s="81"/>
      <c r="P222" s="81"/>
      <c r="Q222" s="86">
        <v>152.59</v>
      </c>
      <c r="R222" s="86"/>
      <c r="S222" s="86"/>
      <c r="T222" s="86"/>
      <c r="U222" s="86"/>
      <c r="V222" s="86"/>
      <c r="W222" s="104">
        <v>1.014</v>
      </c>
      <c r="X222" s="104"/>
      <c r="Y222" s="104"/>
      <c r="Z222" s="84">
        <v>18</v>
      </c>
      <c r="AA222" s="84"/>
      <c r="AB222" s="84"/>
      <c r="AC222" s="84"/>
      <c r="AD222" s="84"/>
      <c r="AE222" s="84"/>
      <c r="AF222" s="84"/>
      <c r="AG222" s="84"/>
      <c r="AH222" s="102">
        <v>18</v>
      </c>
      <c r="AI222" s="102"/>
      <c r="AJ222" s="102"/>
      <c r="AK222" s="102"/>
      <c r="AL222" s="2"/>
      <c r="AM222" s="2"/>
    </row>
    <row r="223" spans="1:39" ht="21" customHeight="1" x14ac:dyDescent="0.2">
      <c r="A223" s="80" t="s">
        <v>193</v>
      </c>
      <c r="B223" s="80"/>
      <c r="C223" s="80"/>
      <c r="D223" s="80"/>
      <c r="E223" s="80"/>
      <c r="F223" s="80"/>
      <c r="G223" s="80"/>
      <c r="H223" s="80"/>
      <c r="I223" s="80"/>
      <c r="J223" s="81">
        <v>45665</v>
      </c>
      <c r="K223" s="81"/>
      <c r="L223" s="81"/>
      <c r="M223" s="81"/>
      <c r="N223" s="81"/>
      <c r="O223" s="81"/>
      <c r="P223" s="81"/>
      <c r="Q223" s="91">
        <v>0</v>
      </c>
      <c r="R223" s="91"/>
      <c r="S223" s="91"/>
      <c r="T223" s="91"/>
      <c r="U223" s="91"/>
      <c r="V223" s="91"/>
      <c r="W223" s="83">
        <v>0</v>
      </c>
      <c r="X223" s="83"/>
      <c r="Y223" s="83"/>
      <c r="Z223" s="84">
        <v>18</v>
      </c>
      <c r="AA223" s="84"/>
      <c r="AB223" s="84"/>
      <c r="AC223" s="84"/>
      <c r="AD223" s="84"/>
      <c r="AE223" s="84"/>
      <c r="AF223" s="84"/>
      <c r="AG223" s="84"/>
      <c r="AH223" s="102">
        <v>18</v>
      </c>
      <c r="AI223" s="102"/>
      <c r="AJ223" s="102"/>
      <c r="AK223" s="102"/>
      <c r="AL223" s="2"/>
      <c r="AM223" s="2"/>
    </row>
    <row r="224" spans="1:39" ht="20.100000000000001" customHeight="1" x14ac:dyDescent="0.2">
      <c r="A224" s="90" t="s">
        <v>194</v>
      </c>
      <c r="B224" s="90"/>
      <c r="C224" s="90"/>
      <c r="D224" s="90"/>
      <c r="E224" s="90"/>
      <c r="F224" s="90"/>
      <c r="G224" s="90"/>
      <c r="H224" s="90"/>
      <c r="I224" s="90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102">
        <v>18</v>
      </c>
      <c r="AI224" s="102"/>
      <c r="AJ224" s="102"/>
      <c r="AK224" s="102"/>
      <c r="AL224" s="2"/>
      <c r="AM224" s="2"/>
    </row>
    <row r="225" spans="1:39" ht="21" customHeight="1" x14ac:dyDescent="0.2">
      <c r="A225" s="80" t="s">
        <v>195</v>
      </c>
      <c r="B225" s="80"/>
      <c r="C225" s="80"/>
      <c r="D225" s="80"/>
      <c r="E225" s="80"/>
      <c r="F225" s="80"/>
      <c r="G225" s="80"/>
      <c r="H225" s="80"/>
      <c r="I225" s="80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86">
        <v>0</v>
      </c>
      <c r="AA225" s="86"/>
      <c r="AB225" s="86"/>
      <c r="AC225" s="86"/>
      <c r="AD225" s="86"/>
      <c r="AE225" s="86"/>
      <c r="AF225" s="86"/>
      <c r="AG225" s="86"/>
      <c r="AH225" s="102">
        <v>0</v>
      </c>
      <c r="AI225" s="102"/>
      <c r="AJ225" s="102"/>
      <c r="AK225" s="102"/>
      <c r="AL225" s="2"/>
      <c r="AM225" s="2"/>
    </row>
    <row r="226" spans="1:39" ht="21" customHeight="1" x14ac:dyDescent="0.2">
      <c r="A226" s="90" t="s">
        <v>196</v>
      </c>
      <c r="B226" s="90"/>
      <c r="C226" s="90"/>
      <c r="D226" s="90"/>
      <c r="E226" s="90"/>
      <c r="F226" s="90"/>
      <c r="G226" s="90"/>
      <c r="H226" s="90"/>
      <c r="I226" s="90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2"/>
      <c r="AM226" s="2"/>
    </row>
    <row r="227" spans="1:39" ht="21" customHeight="1" x14ac:dyDescent="0.2">
      <c r="A227" s="80" t="s">
        <v>197</v>
      </c>
      <c r="B227" s="80"/>
      <c r="C227" s="80"/>
      <c r="D227" s="80"/>
      <c r="E227" s="80"/>
      <c r="F227" s="80"/>
      <c r="G227" s="80"/>
      <c r="H227" s="80"/>
      <c r="I227" s="80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86">
        <v>0</v>
      </c>
      <c r="AA227" s="86"/>
      <c r="AB227" s="86"/>
      <c r="AC227" s="86"/>
      <c r="AD227" s="86"/>
      <c r="AE227" s="86"/>
      <c r="AF227" s="86"/>
      <c r="AG227" s="86"/>
      <c r="AH227" s="102">
        <v>0</v>
      </c>
      <c r="AI227" s="102"/>
      <c r="AJ227" s="102"/>
      <c r="AK227" s="102"/>
      <c r="AL227" s="2"/>
      <c r="AM227" s="2"/>
    </row>
    <row r="228" spans="1:39" ht="21.95" customHeight="1" x14ac:dyDescent="0.2">
      <c r="A228" s="80" t="s">
        <v>198</v>
      </c>
      <c r="B228" s="80"/>
      <c r="C228" s="80"/>
      <c r="D228" s="80"/>
      <c r="E228" s="80"/>
      <c r="F228" s="80"/>
      <c r="G228" s="80"/>
      <c r="H228" s="80"/>
      <c r="I228" s="80"/>
      <c r="J228" s="81">
        <v>45688</v>
      </c>
      <c r="K228" s="81"/>
      <c r="L228" s="81"/>
      <c r="M228" s="81"/>
      <c r="N228" s="81"/>
      <c r="O228" s="81"/>
      <c r="P228" s="81"/>
      <c r="Q228" s="82">
        <v>33.270000000000003</v>
      </c>
      <c r="R228" s="82"/>
      <c r="S228" s="82"/>
      <c r="T228" s="82"/>
      <c r="U228" s="82"/>
      <c r="V228" s="82"/>
      <c r="W228" s="83">
        <v>7.2999999999999995E-2</v>
      </c>
      <c r="X228" s="83"/>
      <c r="Y228" s="83"/>
      <c r="Z228" s="84">
        <v>18</v>
      </c>
      <c r="AA228" s="84"/>
      <c r="AB228" s="84"/>
      <c r="AC228" s="84"/>
      <c r="AD228" s="84"/>
      <c r="AE228" s="84"/>
      <c r="AF228" s="84"/>
      <c r="AG228" s="84"/>
      <c r="AH228" s="102">
        <v>18</v>
      </c>
      <c r="AI228" s="102"/>
      <c r="AJ228" s="102"/>
      <c r="AK228" s="102"/>
      <c r="AL228" s="2"/>
      <c r="AM228" s="2"/>
    </row>
    <row r="229" spans="1:39" ht="21" customHeight="1" x14ac:dyDescent="0.2">
      <c r="A229" s="80" t="s">
        <v>199</v>
      </c>
      <c r="B229" s="80"/>
      <c r="C229" s="80"/>
      <c r="D229" s="80"/>
      <c r="E229" s="80"/>
      <c r="F229" s="80"/>
      <c r="G229" s="80"/>
      <c r="H229" s="80"/>
      <c r="I229" s="80"/>
      <c r="J229" s="81">
        <v>45659</v>
      </c>
      <c r="K229" s="81"/>
      <c r="L229" s="81"/>
      <c r="M229" s="81"/>
      <c r="N229" s="81"/>
      <c r="O229" s="81"/>
      <c r="P229" s="81"/>
      <c r="Q229" s="91">
        <v>0</v>
      </c>
      <c r="R229" s="91"/>
      <c r="S229" s="91"/>
      <c r="T229" s="91"/>
      <c r="U229" s="91"/>
      <c r="V229" s="91"/>
      <c r="W229" s="83">
        <v>0</v>
      </c>
      <c r="X229" s="83"/>
      <c r="Y229" s="83"/>
      <c r="Z229" s="84">
        <v>18</v>
      </c>
      <c r="AA229" s="84"/>
      <c r="AB229" s="84"/>
      <c r="AC229" s="84"/>
      <c r="AD229" s="84"/>
      <c r="AE229" s="84"/>
      <c r="AF229" s="84"/>
      <c r="AG229" s="84"/>
      <c r="AH229" s="102">
        <v>18</v>
      </c>
      <c r="AI229" s="102"/>
      <c r="AJ229" s="102"/>
      <c r="AK229" s="102"/>
      <c r="AL229" s="2"/>
      <c r="AM229" s="2"/>
    </row>
    <row r="230" spans="1:39" ht="21" customHeight="1" x14ac:dyDescent="0.2">
      <c r="A230" s="80" t="s">
        <v>200</v>
      </c>
      <c r="B230" s="80"/>
      <c r="C230" s="80"/>
      <c r="D230" s="80"/>
      <c r="E230" s="80"/>
      <c r="F230" s="80"/>
      <c r="G230" s="80"/>
      <c r="H230" s="80"/>
      <c r="I230" s="80"/>
      <c r="J230" s="81">
        <v>45674</v>
      </c>
      <c r="K230" s="81"/>
      <c r="L230" s="81"/>
      <c r="M230" s="81"/>
      <c r="N230" s="81"/>
      <c r="O230" s="81"/>
      <c r="P230" s="81"/>
      <c r="Q230" s="82">
        <v>48.64</v>
      </c>
      <c r="R230" s="82"/>
      <c r="S230" s="82"/>
      <c r="T230" s="82"/>
      <c r="U230" s="82"/>
      <c r="V230" s="82"/>
      <c r="W230" s="83">
        <v>0.29449999999999998</v>
      </c>
      <c r="X230" s="83"/>
      <c r="Y230" s="83"/>
      <c r="Z230" s="84">
        <v>18</v>
      </c>
      <c r="AA230" s="84"/>
      <c r="AB230" s="84"/>
      <c r="AC230" s="84"/>
      <c r="AD230" s="84"/>
      <c r="AE230" s="84"/>
      <c r="AF230" s="84"/>
      <c r="AG230" s="84"/>
      <c r="AH230" s="102">
        <v>18</v>
      </c>
      <c r="AI230" s="102"/>
      <c r="AJ230" s="102"/>
      <c r="AK230" s="102"/>
      <c r="AL230" s="2"/>
      <c r="AM230" s="2"/>
    </row>
    <row r="231" spans="1:39" ht="15.95" customHeight="1" x14ac:dyDescent="0.2">
      <c r="A231" s="80" t="s">
        <v>201</v>
      </c>
      <c r="B231" s="80"/>
      <c r="C231" s="80"/>
      <c r="D231" s="80"/>
      <c r="E231" s="80"/>
      <c r="F231" s="80"/>
      <c r="G231" s="80"/>
      <c r="H231" s="80"/>
      <c r="I231" s="80"/>
      <c r="J231" s="81">
        <v>45658</v>
      </c>
      <c r="K231" s="81"/>
      <c r="L231" s="81"/>
      <c r="M231" s="81"/>
      <c r="N231" s="81"/>
      <c r="O231" s="81"/>
      <c r="P231" s="81"/>
      <c r="Q231" s="91">
        <v>0</v>
      </c>
      <c r="R231" s="91"/>
      <c r="S231" s="91"/>
      <c r="T231" s="91"/>
      <c r="U231" s="91"/>
      <c r="V231" s="91"/>
      <c r="W231" s="83">
        <v>0</v>
      </c>
      <c r="X231" s="83"/>
      <c r="Y231" s="83"/>
      <c r="Z231" s="84">
        <v>18</v>
      </c>
      <c r="AA231" s="84"/>
      <c r="AB231" s="84"/>
      <c r="AC231" s="84"/>
      <c r="AD231" s="84"/>
      <c r="AE231" s="84"/>
      <c r="AF231" s="84"/>
      <c r="AG231" s="84"/>
      <c r="AH231" s="102">
        <v>18</v>
      </c>
      <c r="AI231" s="102"/>
      <c r="AJ231" s="102"/>
      <c r="AK231" s="102"/>
      <c r="AL231" s="4"/>
      <c r="AM231" s="4"/>
    </row>
    <row r="232" spans="1:39" ht="220.5" customHeight="1" x14ac:dyDescent="0.25">
      <c r="A232" s="3" t="s">
        <v>14</v>
      </c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1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1"/>
    </row>
    <row r="233" spans="1:39" ht="52.5" customHeight="1" x14ac:dyDescent="0.2">
      <c r="A233" s="96" t="s">
        <v>15</v>
      </c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7" t="s">
        <v>16</v>
      </c>
      <c r="P233" s="97"/>
      <c r="Q233" s="97"/>
      <c r="R233" s="97"/>
      <c r="S233" s="97"/>
      <c r="T233" s="98" t="s">
        <v>17</v>
      </c>
      <c r="U233" s="98"/>
      <c r="V233" s="98"/>
      <c r="W233" s="98"/>
      <c r="X233" s="98"/>
      <c r="Y233" s="99" t="s">
        <v>18</v>
      </c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</row>
    <row r="234" spans="1:39" ht="23.1" customHeight="1" x14ac:dyDescent="0.2">
      <c r="A234" s="100" t="s">
        <v>19</v>
      </c>
      <c r="B234" s="100"/>
      <c r="C234" s="100"/>
      <c r="D234" s="100"/>
      <c r="E234" s="100"/>
      <c r="F234" s="100"/>
      <c r="G234" s="100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2"/>
    </row>
    <row r="235" spans="1:39" ht="23.1" customHeight="1" x14ac:dyDescent="0.2">
      <c r="A235" s="101" t="s">
        <v>76</v>
      </c>
      <c r="B235" s="101"/>
      <c r="C235" s="101"/>
      <c r="D235" s="101"/>
      <c r="E235" s="101"/>
      <c r="F235" s="101"/>
      <c r="G235" s="10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2"/>
    </row>
    <row r="236" spans="1:39" ht="21.95" customHeight="1" x14ac:dyDescent="0.2">
      <c r="A236" s="90" t="s">
        <v>202</v>
      </c>
      <c r="B236" s="90"/>
      <c r="C236" s="90"/>
      <c r="D236" s="90"/>
      <c r="E236" s="90"/>
      <c r="F236" s="90"/>
      <c r="G236" s="90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113">
        <v>18</v>
      </c>
      <c r="AG236" s="113"/>
      <c r="AH236" s="113"/>
      <c r="AI236" s="113"/>
      <c r="AJ236" s="113"/>
      <c r="AK236" s="113"/>
      <c r="AL236" s="113"/>
      <c r="AM236" s="2"/>
    </row>
    <row r="237" spans="1:39" ht="21" customHeight="1" x14ac:dyDescent="0.2">
      <c r="A237" s="80" t="s">
        <v>203</v>
      </c>
      <c r="B237" s="80"/>
      <c r="C237" s="80"/>
      <c r="D237" s="80"/>
      <c r="E237" s="80"/>
      <c r="F237" s="80"/>
      <c r="G237" s="80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94">
        <v>0</v>
      </c>
      <c r="AA237" s="94"/>
      <c r="AB237" s="94"/>
      <c r="AC237" s="94"/>
      <c r="AD237" s="94"/>
      <c r="AE237" s="94"/>
      <c r="AF237" s="113">
        <v>0</v>
      </c>
      <c r="AG237" s="113"/>
      <c r="AH237" s="113"/>
      <c r="AI237" s="113"/>
      <c r="AJ237" s="113"/>
      <c r="AK237" s="113"/>
      <c r="AL237" s="113"/>
      <c r="AM237" s="2"/>
    </row>
    <row r="238" spans="1:39" ht="21.95" customHeight="1" x14ac:dyDescent="0.2">
      <c r="A238" s="80" t="s">
        <v>204</v>
      </c>
      <c r="B238" s="80"/>
      <c r="C238" s="80"/>
      <c r="D238" s="80"/>
      <c r="E238" s="80"/>
      <c r="F238" s="80"/>
      <c r="G238" s="80"/>
      <c r="H238" s="112">
        <v>45665</v>
      </c>
      <c r="I238" s="112"/>
      <c r="J238" s="112"/>
      <c r="K238" s="112"/>
      <c r="L238" s="112"/>
      <c r="M238" s="112"/>
      <c r="N238" s="112"/>
      <c r="O238" s="112"/>
      <c r="P238" s="112"/>
      <c r="Q238" s="86">
        <v>142.69999999999999</v>
      </c>
      <c r="R238" s="86"/>
      <c r="S238" s="86"/>
      <c r="T238" s="86"/>
      <c r="U238" s="86"/>
      <c r="V238" s="93">
        <v>0.31409999999999999</v>
      </c>
      <c r="W238" s="93"/>
      <c r="X238" s="93"/>
      <c r="Y238" s="93"/>
      <c r="Z238" s="94">
        <v>18</v>
      </c>
      <c r="AA238" s="94"/>
      <c r="AB238" s="94"/>
      <c r="AC238" s="94"/>
      <c r="AD238" s="94"/>
      <c r="AE238" s="94"/>
      <c r="AF238" s="113">
        <v>18</v>
      </c>
      <c r="AG238" s="113"/>
      <c r="AH238" s="113"/>
      <c r="AI238" s="113"/>
      <c r="AJ238" s="113"/>
      <c r="AK238" s="113"/>
      <c r="AL238" s="113"/>
      <c r="AM238" s="2"/>
    </row>
    <row r="239" spans="1:39" ht="21" customHeight="1" x14ac:dyDescent="0.2">
      <c r="A239" s="80" t="s">
        <v>205</v>
      </c>
      <c r="B239" s="80"/>
      <c r="C239" s="80"/>
      <c r="D239" s="80"/>
      <c r="E239" s="80"/>
      <c r="F239" s="80"/>
      <c r="G239" s="80"/>
      <c r="H239" s="112">
        <v>45688</v>
      </c>
      <c r="I239" s="112"/>
      <c r="J239" s="112"/>
      <c r="K239" s="112"/>
      <c r="L239" s="112"/>
      <c r="M239" s="112"/>
      <c r="N239" s="112"/>
      <c r="O239" s="112"/>
      <c r="P239" s="112"/>
      <c r="Q239" s="86">
        <v>325.19</v>
      </c>
      <c r="R239" s="86"/>
      <c r="S239" s="86"/>
      <c r="T239" s="86"/>
      <c r="U239" s="86"/>
      <c r="V239" s="93">
        <v>0.7833</v>
      </c>
      <c r="W239" s="93"/>
      <c r="X239" s="93"/>
      <c r="Y239" s="93"/>
      <c r="Z239" s="94">
        <v>18</v>
      </c>
      <c r="AA239" s="94"/>
      <c r="AB239" s="94"/>
      <c r="AC239" s="94"/>
      <c r="AD239" s="94"/>
      <c r="AE239" s="94"/>
      <c r="AF239" s="113">
        <v>18</v>
      </c>
      <c r="AG239" s="113"/>
      <c r="AH239" s="113"/>
      <c r="AI239" s="113"/>
      <c r="AJ239" s="113"/>
      <c r="AK239" s="113"/>
      <c r="AL239" s="113"/>
      <c r="AM239" s="2"/>
    </row>
    <row r="240" spans="1:39" ht="20.100000000000001" customHeight="1" x14ac:dyDescent="0.2">
      <c r="A240" s="80" t="s">
        <v>206</v>
      </c>
      <c r="B240" s="80"/>
      <c r="C240" s="80"/>
      <c r="D240" s="80"/>
      <c r="E240" s="80"/>
      <c r="F240" s="80"/>
      <c r="G240" s="80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94">
        <v>0</v>
      </c>
      <c r="AA240" s="94"/>
      <c r="AB240" s="94"/>
      <c r="AC240" s="94"/>
      <c r="AD240" s="94"/>
      <c r="AE240" s="94"/>
      <c r="AF240" s="113">
        <v>0</v>
      </c>
      <c r="AG240" s="113"/>
      <c r="AH240" s="113"/>
      <c r="AI240" s="113"/>
      <c r="AJ240" s="113"/>
      <c r="AK240" s="113"/>
      <c r="AL240" s="113"/>
      <c r="AM240" s="2"/>
    </row>
    <row r="241" spans="1:39" ht="21.95" customHeight="1" x14ac:dyDescent="0.2">
      <c r="A241" s="80" t="s">
        <v>207</v>
      </c>
      <c r="B241" s="80"/>
      <c r="C241" s="80"/>
      <c r="D241" s="80"/>
      <c r="E241" s="80"/>
      <c r="F241" s="80"/>
      <c r="G241" s="80"/>
      <c r="H241" s="112">
        <v>45665</v>
      </c>
      <c r="I241" s="112"/>
      <c r="J241" s="112"/>
      <c r="K241" s="112"/>
      <c r="L241" s="112"/>
      <c r="M241" s="112"/>
      <c r="N241" s="112"/>
      <c r="O241" s="112"/>
      <c r="P241" s="112"/>
      <c r="Q241" s="103">
        <v>1296.52</v>
      </c>
      <c r="R241" s="103"/>
      <c r="S241" s="103"/>
      <c r="T241" s="103"/>
      <c r="U241" s="103"/>
      <c r="V241" s="93">
        <v>2</v>
      </c>
      <c r="W241" s="93"/>
      <c r="X241" s="93"/>
      <c r="Y241" s="93"/>
      <c r="Z241" s="94">
        <v>18</v>
      </c>
      <c r="AA241" s="94"/>
      <c r="AB241" s="94"/>
      <c r="AC241" s="94"/>
      <c r="AD241" s="94"/>
      <c r="AE241" s="94"/>
      <c r="AF241" s="113">
        <v>18</v>
      </c>
      <c r="AG241" s="113"/>
      <c r="AH241" s="113"/>
      <c r="AI241" s="113"/>
      <c r="AJ241" s="113"/>
      <c r="AK241" s="113"/>
      <c r="AL241" s="113"/>
      <c r="AM241" s="2"/>
    </row>
    <row r="242" spans="1:39" ht="20.100000000000001" customHeight="1" x14ac:dyDescent="0.2">
      <c r="A242" s="90" t="s">
        <v>208</v>
      </c>
      <c r="B242" s="90"/>
      <c r="C242" s="90"/>
      <c r="D242" s="90"/>
      <c r="E242" s="90"/>
      <c r="F242" s="90"/>
      <c r="G242" s="90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113">
        <v>18</v>
      </c>
      <c r="AG242" s="113"/>
      <c r="AH242" s="113"/>
      <c r="AI242" s="113"/>
      <c r="AJ242" s="113"/>
      <c r="AK242" s="113"/>
      <c r="AL242" s="113"/>
      <c r="AM242" s="2"/>
    </row>
    <row r="243" spans="1:39" ht="21.95" customHeight="1" x14ac:dyDescent="0.2">
      <c r="A243" s="80" t="s">
        <v>209</v>
      </c>
      <c r="B243" s="80"/>
      <c r="C243" s="80"/>
      <c r="D243" s="80"/>
      <c r="E243" s="80"/>
      <c r="F243" s="80"/>
      <c r="G243" s="80"/>
      <c r="H243" s="112">
        <v>45665</v>
      </c>
      <c r="I243" s="112"/>
      <c r="J243" s="112"/>
      <c r="K243" s="112"/>
      <c r="L243" s="112"/>
      <c r="M243" s="112"/>
      <c r="N243" s="112"/>
      <c r="O243" s="112"/>
      <c r="P243" s="112"/>
      <c r="Q243" s="91">
        <v>0</v>
      </c>
      <c r="R243" s="91"/>
      <c r="S243" s="91"/>
      <c r="T243" s="91"/>
      <c r="U243" s="91"/>
      <c r="V243" s="95">
        <v>0</v>
      </c>
      <c r="W243" s="95"/>
      <c r="X243" s="95"/>
      <c r="Y243" s="95"/>
      <c r="Z243" s="94">
        <v>18</v>
      </c>
      <c r="AA243" s="94"/>
      <c r="AB243" s="94"/>
      <c r="AC243" s="94"/>
      <c r="AD243" s="94"/>
      <c r="AE243" s="94"/>
      <c r="AF243" s="113">
        <v>18</v>
      </c>
      <c r="AG243" s="113"/>
      <c r="AH243" s="113"/>
      <c r="AI243" s="113"/>
      <c r="AJ243" s="113"/>
      <c r="AK243" s="113"/>
      <c r="AL243" s="113"/>
      <c r="AM243" s="2"/>
    </row>
    <row r="244" spans="1:39" ht="20.100000000000001" customHeight="1" x14ac:dyDescent="0.2">
      <c r="A244" s="80" t="s">
        <v>210</v>
      </c>
      <c r="B244" s="80"/>
      <c r="C244" s="80"/>
      <c r="D244" s="80"/>
      <c r="E244" s="80"/>
      <c r="F244" s="80"/>
      <c r="G244" s="80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94">
        <v>0</v>
      </c>
      <c r="AA244" s="94"/>
      <c r="AB244" s="94"/>
      <c r="AC244" s="94"/>
      <c r="AD244" s="94"/>
      <c r="AE244" s="94"/>
      <c r="AF244" s="113">
        <v>0</v>
      </c>
      <c r="AG244" s="113"/>
      <c r="AH244" s="113"/>
      <c r="AI244" s="113"/>
      <c r="AJ244" s="113"/>
      <c r="AK244" s="113"/>
      <c r="AL244" s="113"/>
      <c r="AM244" s="2"/>
    </row>
    <row r="245" spans="1:39" ht="21.95" customHeight="1" x14ac:dyDescent="0.2">
      <c r="A245" s="80" t="s">
        <v>211</v>
      </c>
      <c r="B245" s="80"/>
      <c r="C245" s="80"/>
      <c r="D245" s="80"/>
      <c r="E245" s="80"/>
      <c r="F245" s="80"/>
      <c r="G245" s="80"/>
      <c r="H245" s="112">
        <v>45665</v>
      </c>
      <c r="I245" s="112"/>
      <c r="J245" s="112"/>
      <c r="K245" s="112"/>
      <c r="L245" s="112"/>
      <c r="M245" s="112"/>
      <c r="N245" s="112"/>
      <c r="O245" s="112"/>
      <c r="P245" s="112"/>
      <c r="Q245" s="91">
        <v>0</v>
      </c>
      <c r="R245" s="91"/>
      <c r="S245" s="91"/>
      <c r="T245" s="91"/>
      <c r="U245" s="91"/>
      <c r="V245" s="95">
        <v>0</v>
      </c>
      <c r="W245" s="95"/>
      <c r="X245" s="95"/>
      <c r="Y245" s="95"/>
      <c r="Z245" s="94">
        <v>18</v>
      </c>
      <c r="AA245" s="94"/>
      <c r="AB245" s="94"/>
      <c r="AC245" s="94"/>
      <c r="AD245" s="94"/>
      <c r="AE245" s="94"/>
      <c r="AF245" s="113">
        <v>18</v>
      </c>
      <c r="AG245" s="113"/>
      <c r="AH245" s="113"/>
      <c r="AI245" s="113"/>
      <c r="AJ245" s="113"/>
      <c r="AK245" s="113"/>
      <c r="AL245" s="113"/>
      <c r="AM245" s="2"/>
    </row>
    <row r="246" spans="1:39" ht="20.100000000000001" customHeight="1" x14ac:dyDescent="0.2">
      <c r="A246" s="90" t="s">
        <v>212</v>
      </c>
      <c r="B246" s="90"/>
      <c r="C246" s="90"/>
      <c r="D246" s="90"/>
      <c r="E246" s="90"/>
      <c r="F246" s="90"/>
      <c r="G246" s="90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113">
        <v>18</v>
      </c>
      <c r="AG246" s="113"/>
      <c r="AH246" s="113"/>
      <c r="AI246" s="113"/>
      <c r="AJ246" s="113"/>
      <c r="AK246" s="113"/>
      <c r="AL246" s="113"/>
      <c r="AM246" s="2"/>
    </row>
    <row r="247" spans="1:39" ht="21.95" customHeight="1" x14ac:dyDescent="0.2">
      <c r="A247" s="80" t="s">
        <v>213</v>
      </c>
      <c r="B247" s="80"/>
      <c r="C247" s="80"/>
      <c r="D247" s="80"/>
      <c r="E247" s="80"/>
      <c r="F247" s="80"/>
      <c r="G247" s="80"/>
      <c r="H247" s="112">
        <v>45685</v>
      </c>
      <c r="I247" s="112"/>
      <c r="J247" s="112"/>
      <c r="K247" s="112"/>
      <c r="L247" s="112"/>
      <c r="M247" s="112"/>
      <c r="N247" s="112"/>
      <c r="O247" s="112"/>
      <c r="P247" s="112"/>
      <c r="Q247" s="86">
        <v>268.39999999999998</v>
      </c>
      <c r="R247" s="86"/>
      <c r="S247" s="86"/>
      <c r="T247" s="86"/>
      <c r="U247" s="86"/>
      <c r="V247" s="93">
        <v>0.51259999999999994</v>
      </c>
      <c r="W247" s="93"/>
      <c r="X247" s="93"/>
      <c r="Y247" s="93"/>
      <c r="Z247" s="94">
        <v>18</v>
      </c>
      <c r="AA247" s="94"/>
      <c r="AB247" s="94"/>
      <c r="AC247" s="94"/>
      <c r="AD247" s="94"/>
      <c r="AE247" s="94"/>
      <c r="AF247" s="113">
        <v>18</v>
      </c>
      <c r="AG247" s="113"/>
      <c r="AH247" s="113"/>
      <c r="AI247" s="113"/>
      <c r="AJ247" s="113"/>
      <c r="AK247" s="113"/>
      <c r="AL247" s="113"/>
      <c r="AM247" s="2"/>
    </row>
    <row r="248" spans="1:39" ht="21" customHeight="1" x14ac:dyDescent="0.2">
      <c r="A248" s="80" t="s">
        <v>214</v>
      </c>
      <c r="B248" s="80"/>
      <c r="C248" s="80"/>
      <c r="D248" s="80"/>
      <c r="E248" s="80"/>
      <c r="F248" s="80"/>
      <c r="G248" s="80"/>
      <c r="H248" s="112">
        <v>45685</v>
      </c>
      <c r="I248" s="112"/>
      <c r="J248" s="112"/>
      <c r="K248" s="112"/>
      <c r="L248" s="112"/>
      <c r="M248" s="112"/>
      <c r="N248" s="112"/>
      <c r="O248" s="112"/>
      <c r="P248" s="112"/>
      <c r="Q248" s="82">
        <v>44.98</v>
      </c>
      <c r="R248" s="82"/>
      <c r="S248" s="82"/>
      <c r="T248" s="82"/>
      <c r="U248" s="82"/>
      <c r="V248" s="93">
        <v>0.25629999999999997</v>
      </c>
      <c r="W248" s="93"/>
      <c r="X248" s="93"/>
      <c r="Y248" s="93"/>
      <c r="Z248" s="94">
        <v>18</v>
      </c>
      <c r="AA248" s="94"/>
      <c r="AB248" s="94"/>
      <c r="AC248" s="94"/>
      <c r="AD248" s="94"/>
      <c r="AE248" s="94"/>
      <c r="AF248" s="113">
        <v>18</v>
      </c>
      <c r="AG248" s="113"/>
      <c r="AH248" s="113"/>
      <c r="AI248" s="113"/>
      <c r="AJ248" s="113"/>
      <c r="AK248" s="113"/>
      <c r="AL248" s="113"/>
      <c r="AM248" s="2"/>
    </row>
    <row r="249" spans="1:39" ht="21" customHeight="1" x14ac:dyDescent="0.2">
      <c r="A249" s="80" t="s">
        <v>215</v>
      </c>
      <c r="B249" s="80"/>
      <c r="C249" s="80"/>
      <c r="D249" s="80"/>
      <c r="E249" s="80"/>
      <c r="F249" s="80"/>
      <c r="G249" s="80"/>
      <c r="H249" s="112">
        <v>45680</v>
      </c>
      <c r="I249" s="112"/>
      <c r="J249" s="112"/>
      <c r="K249" s="112"/>
      <c r="L249" s="112"/>
      <c r="M249" s="112"/>
      <c r="N249" s="112"/>
      <c r="O249" s="112"/>
      <c r="P249" s="112"/>
      <c r="Q249" s="86">
        <v>119.16</v>
      </c>
      <c r="R249" s="86"/>
      <c r="S249" s="86"/>
      <c r="T249" s="86"/>
      <c r="U249" s="86"/>
      <c r="V249" s="93">
        <v>0.1351</v>
      </c>
      <c r="W249" s="93"/>
      <c r="X249" s="93"/>
      <c r="Y249" s="93"/>
      <c r="Z249" s="94">
        <v>18</v>
      </c>
      <c r="AA249" s="94"/>
      <c r="AB249" s="94"/>
      <c r="AC249" s="94"/>
      <c r="AD249" s="94"/>
      <c r="AE249" s="94"/>
      <c r="AF249" s="113">
        <v>18</v>
      </c>
      <c r="AG249" s="113"/>
      <c r="AH249" s="113"/>
      <c r="AI249" s="113"/>
      <c r="AJ249" s="113"/>
      <c r="AK249" s="113"/>
      <c r="AL249" s="113"/>
      <c r="AM249" s="2"/>
    </row>
    <row r="250" spans="1:39" ht="20.100000000000001" customHeight="1" x14ac:dyDescent="0.2">
      <c r="A250" s="90" t="s">
        <v>216</v>
      </c>
      <c r="B250" s="90"/>
      <c r="C250" s="90"/>
      <c r="D250" s="90"/>
      <c r="E250" s="90"/>
      <c r="F250" s="90"/>
      <c r="G250" s="90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113">
        <v>18</v>
      </c>
      <c r="AG250" s="113"/>
      <c r="AH250" s="113"/>
      <c r="AI250" s="113"/>
      <c r="AJ250" s="113"/>
      <c r="AK250" s="113"/>
      <c r="AL250" s="113"/>
      <c r="AM250" s="2"/>
    </row>
    <row r="251" spans="1:39" ht="21.95" customHeight="1" x14ac:dyDescent="0.2">
      <c r="A251" s="80" t="s">
        <v>217</v>
      </c>
      <c r="B251" s="80"/>
      <c r="C251" s="80"/>
      <c r="D251" s="80"/>
      <c r="E251" s="80"/>
      <c r="F251" s="80"/>
      <c r="G251" s="80"/>
      <c r="H251" s="112">
        <v>45687</v>
      </c>
      <c r="I251" s="112"/>
      <c r="J251" s="112"/>
      <c r="K251" s="112"/>
      <c r="L251" s="112"/>
      <c r="M251" s="112"/>
      <c r="N251" s="112"/>
      <c r="O251" s="112"/>
      <c r="P251" s="112"/>
      <c r="Q251" s="91">
        <v>9.16</v>
      </c>
      <c r="R251" s="91"/>
      <c r="S251" s="91"/>
      <c r="T251" s="91"/>
      <c r="U251" s="91"/>
      <c r="V251" s="95">
        <v>5.21E-2</v>
      </c>
      <c r="W251" s="95"/>
      <c r="X251" s="95"/>
      <c r="Y251" s="95"/>
      <c r="Z251" s="94">
        <v>18</v>
      </c>
      <c r="AA251" s="94"/>
      <c r="AB251" s="94"/>
      <c r="AC251" s="94"/>
      <c r="AD251" s="94"/>
      <c r="AE251" s="94"/>
      <c r="AF251" s="113">
        <v>18</v>
      </c>
      <c r="AG251" s="113"/>
      <c r="AH251" s="113"/>
      <c r="AI251" s="113"/>
      <c r="AJ251" s="113"/>
      <c r="AK251" s="113"/>
      <c r="AL251" s="113"/>
      <c r="AM251" s="2"/>
    </row>
    <row r="252" spans="1:39" ht="21" customHeight="1" x14ac:dyDescent="0.2">
      <c r="A252" s="80" t="s">
        <v>218</v>
      </c>
      <c r="B252" s="80"/>
      <c r="C252" s="80"/>
      <c r="D252" s="80"/>
      <c r="E252" s="80"/>
      <c r="F252" s="80"/>
      <c r="G252" s="80"/>
      <c r="H252" s="112">
        <v>45658</v>
      </c>
      <c r="I252" s="112"/>
      <c r="J252" s="112"/>
      <c r="K252" s="112"/>
      <c r="L252" s="112"/>
      <c r="M252" s="112"/>
      <c r="N252" s="112"/>
      <c r="O252" s="112"/>
      <c r="P252" s="112"/>
      <c r="Q252" s="86">
        <v>343.94</v>
      </c>
      <c r="R252" s="86"/>
      <c r="S252" s="86"/>
      <c r="T252" s="86"/>
      <c r="U252" s="86"/>
      <c r="V252" s="93">
        <v>2</v>
      </c>
      <c r="W252" s="93"/>
      <c r="X252" s="93"/>
      <c r="Y252" s="93"/>
      <c r="Z252" s="94">
        <v>18</v>
      </c>
      <c r="AA252" s="94"/>
      <c r="AB252" s="94"/>
      <c r="AC252" s="94"/>
      <c r="AD252" s="94"/>
      <c r="AE252" s="94"/>
      <c r="AF252" s="113">
        <v>18</v>
      </c>
      <c r="AG252" s="113"/>
      <c r="AH252" s="113"/>
      <c r="AI252" s="113"/>
      <c r="AJ252" s="113"/>
      <c r="AK252" s="113"/>
      <c r="AL252" s="113"/>
      <c r="AM252" s="2"/>
    </row>
    <row r="253" spans="1:39" ht="20.100000000000001" customHeight="1" x14ac:dyDescent="0.2">
      <c r="A253" s="80" t="s">
        <v>219</v>
      </c>
      <c r="B253" s="80"/>
      <c r="C253" s="80"/>
      <c r="D253" s="80"/>
      <c r="E253" s="80"/>
      <c r="F253" s="80"/>
      <c r="G253" s="80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94">
        <v>0</v>
      </c>
      <c r="AA253" s="94"/>
      <c r="AB253" s="94"/>
      <c r="AC253" s="94"/>
      <c r="AD253" s="94"/>
      <c r="AE253" s="94"/>
      <c r="AF253" s="113">
        <v>0</v>
      </c>
      <c r="AG253" s="113"/>
      <c r="AH253" s="113"/>
      <c r="AI253" s="113"/>
      <c r="AJ253" s="113"/>
      <c r="AK253" s="113"/>
      <c r="AL253" s="113"/>
      <c r="AM253" s="2"/>
    </row>
    <row r="254" spans="1:39" ht="21" customHeight="1" x14ac:dyDescent="0.2">
      <c r="A254" s="80" t="s">
        <v>220</v>
      </c>
      <c r="B254" s="80"/>
      <c r="C254" s="80"/>
      <c r="D254" s="80"/>
      <c r="E254" s="80"/>
      <c r="F254" s="80"/>
      <c r="G254" s="80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94">
        <v>0</v>
      </c>
      <c r="AA254" s="94"/>
      <c r="AB254" s="94"/>
      <c r="AC254" s="94"/>
      <c r="AD254" s="94"/>
      <c r="AE254" s="94"/>
      <c r="AF254" s="113">
        <v>0</v>
      </c>
      <c r="AG254" s="113"/>
      <c r="AH254" s="113"/>
      <c r="AI254" s="113"/>
      <c r="AJ254" s="113"/>
      <c r="AK254" s="113"/>
      <c r="AL254" s="113"/>
      <c r="AM254" s="2"/>
    </row>
    <row r="255" spans="1:39" ht="15.6" customHeight="1" x14ac:dyDescent="0.2">
      <c r="A255" s="90" t="s">
        <v>221</v>
      </c>
      <c r="B255" s="90"/>
      <c r="C255" s="90"/>
      <c r="D255" s="90"/>
      <c r="E255" s="90"/>
      <c r="F255" s="90"/>
      <c r="G255" s="90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4"/>
    </row>
    <row r="256" spans="1:39" ht="220.5" customHeight="1" x14ac:dyDescent="0.25">
      <c r="A256" s="3" t="s">
        <v>14</v>
      </c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1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1"/>
    </row>
    <row r="257" spans="1:39" ht="52.5" customHeight="1" x14ac:dyDescent="0.2">
      <c r="A257" s="96" t="s">
        <v>15</v>
      </c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7" t="s">
        <v>16</v>
      </c>
      <c r="P257" s="97"/>
      <c r="Q257" s="97"/>
      <c r="R257" s="97"/>
      <c r="S257" s="97"/>
      <c r="T257" s="98" t="s">
        <v>17</v>
      </c>
      <c r="U257" s="98"/>
      <c r="V257" s="98"/>
      <c r="W257" s="98"/>
      <c r="X257" s="98"/>
      <c r="Y257" s="99" t="s">
        <v>18</v>
      </c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</row>
    <row r="258" spans="1:39" ht="23.1" customHeight="1" x14ac:dyDescent="0.2">
      <c r="A258" s="100" t="s">
        <v>19</v>
      </c>
      <c r="B258" s="100"/>
      <c r="C258" s="100"/>
      <c r="D258" s="100"/>
      <c r="E258" s="100"/>
      <c r="F258" s="100"/>
      <c r="G258" s="100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2"/>
    </row>
    <row r="259" spans="1:39" ht="23.1" customHeight="1" x14ac:dyDescent="0.2">
      <c r="A259" s="101" t="s">
        <v>76</v>
      </c>
      <c r="B259" s="101"/>
      <c r="C259" s="101"/>
      <c r="D259" s="101"/>
      <c r="E259" s="101"/>
      <c r="F259" s="101"/>
      <c r="G259" s="10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2"/>
    </row>
    <row r="260" spans="1:39" ht="23.1" customHeight="1" x14ac:dyDescent="0.2">
      <c r="A260" s="80" t="s">
        <v>222</v>
      </c>
      <c r="B260" s="80"/>
      <c r="C260" s="80"/>
      <c r="D260" s="80"/>
      <c r="E260" s="80"/>
      <c r="F260" s="80"/>
      <c r="G260" s="80"/>
      <c r="H260" s="112">
        <v>45665</v>
      </c>
      <c r="I260" s="112"/>
      <c r="J260" s="112"/>
      <c r="K260" s="112"/>
      <c r="L260" s="112"/>
      <c r="M260" s="112"/>
      <c r="N260" s="112"/>
      <c r="O260" s="112"/>
      <c r="P260" s="112"/>
      <c r="Q260" s="82">
        <v>35.840000000000003</v>
      </c>
      <c r="R260" s="82"/>
      <c r="S260" s="82"/>
      <c r="T260" s="82"/>
      <c r="U260" s="82"/>
      <c r="V260" s="95">
        <v>6.7500000000000004E-2</v>
      </c>
      <c r="W260" s="95"/>
      <c r="X260" s="95"/>
      <c r="Y260" s="95"/>
      <c r="Z260" s="94">
        <v>18</v>
      </c>
      <c r="AA260" s="94"/>
      <c r="AB260" s="94"/>
      <c r="AC260" s="94"/>
      <c r="AD260" s="94"/>
      <c r="AE260" s="94"/>
      <c r="AF260" s="113">
        <v>18</v>
      </c>
      <c r="AG260" s="113"/>
      <c r="AH260" s="113"/>
      <c r="AI260" s="113"/>
      <c r="AJ260" s="113"/>
      <c r="AK260" s="113"/>
      <c r="AL260" s="113"/>
      <c r="AM260" s="2"/>
    </row>
    <row r="261" spans="1:39" ht="21" customHeight="1" x14ac:dyDescent="0.2">
      <c r="A261" s="80" t="s">
        <v>223</v>
      </c>
      <c r="B261" s="80"/>
      <c r="C261" s="80"/>
      <c r="D261" s="80"/>
      <c r="E261" s="80"/>
      <c r="F261" s="80"/>
      <c r="G261" s="80"/>
      <c r="H261" s="112">
        <v>45454</v>
      </c>
      <c r="I261" s="112"/>
      <c r="J261" s="112"/>
      <c r="K261" s="112"/>
      <c r="L261" s="112"/>
      <c r="M261" s="112"/>
      <c r="N261" s="112"/>
      <c r="O261" s="112"/>
      <c r="P261" s="112"/>
      <c r="Q261" s="91">
        <v>0</v>
      </c>
      <c r="R261" s="91"/>
      <c r="S261" s="91"/>
      <c r="T261" s="91"/>
      <c r="U261" s="91"/>
      <c r="V261" s="31"/>
      <c r="W261" s="31"/>
      <c r="X261" s="31"/>
      <c r="Y261" s="31"/>
      <c r="Z261" s="94">
        <v>18</v>
      </c>
      <c r="AA261" s="94"/>
      <c r="AB261" s="94"/>
      <c r="AC261" s="94"/>
      <c r="AD261" s="94"/>
      <c r="AE261" s="94"/>
      <c r="AF261" s="113">
        <v>18</v>
      </c>
      <c r="AG261" s="113"/>
      <c r="AH261" s="113"/>
      <c r="AI261" s="113"/>
      <c r="AJ261" s="113"/>
      <c r="AK261" s="113"/>
      <c r="AL261" s="113"/>
      <c r="AM261" s="2"/>
    </row>
    <row r="262" spans="1:39" ht="21" customHeight="1" x14ac:dyDescent="0.2">
      <c r="A262" s="80" t="s">
        <v>224</v>
      </c>
      <c r="B262" s="80"/>
      <c r="C262" s="80"/>
      <c r="D262" s="80"/>
      <c r="E262" s="80"/>
      <c r="F262" s="80"/>
      <c r="G262" s="80"/>
      <c r="H262" s="112">
        <v>45658</v>
      </c>
      <c r="I262" s="112"/>
      <c r="J262" s="112"/>
      <c r="K262" s="112"/>
      <c r="L262" s="112"/>
      <c r="M262" s="112"/>
      <c r="N262" s="112"/>
      <c r="O262" s="112"/>
      <c r="P262" s="112"/>
      <c r="Q262" s="86">
        <v>705.29</v>
      </c>
      <c r="R262" s="86"/>
      <c r="S262" s="86"/>
      <c r="T262" s="86"/>
      <c r="U262" s="86"/>
      <c r="V262" s="93">
        <v>2</v>
      </c>
      <c r="W262" s="93"/>
      <c r="X262" s="93"/>
      <c r="Y262" s="93"/>
      <c r="Z262" s="94">
        <v>18</v>
      </c>
      <c r="AA262" s="94"/>
      <c r="AB262" s="94"/>
      <c r="AC262" s="94"/>
      <c r="AD262" s="94"/>
      <c r="AE262" s="94"/>
      <c r="AF262" s="113">
        <v>18</v>
      </c>
      <c r="AG262" s="113"/>
      <c r="AH262" s="113"/>
      <c r="AI262" s="113"/>
      <c r="AJ262" s="113"/>
      <c r="AK262" s="113"/>
      <c r="AL262" s="113"/>
      <c r="AM262" s="2"/>
    </row>
    <row r="263" spans="1:39" ht="21" customHeight="1" x14ac:dyDescent="0.2">
      <c r="A263" s="80" t="s">
        <v>225</v>
      </c>
      <c r="B263" s="80"/>
      <c r="C263" s="80"/>
      <c r="D263" s="80"/>
      <c r="E263" s="80"/>
      <c r="F263" s="80"/>
      <c r="G263" s="80"/>
      <c r="H263" s="112">
        <v>45685</v>
      </c>
      <c r="I263" s="112"/>
      <c r="J263" s="112"/>
      <c r="K263" s="112"/>
      <c r="L263" s="112"/>
      <c r="M263" s="112"/>
      <c r="N263" s="112"/>
      <c r="O263" s="112"/>
      <c r="P263" s="112"/>
      <c r="Q263" s="86">
        <v>302.45</v>
      </c>
      <c r="R263" s="86"/>
      <c r="S263" s="86"/>
      <c r="T263" s="86"/>
      <c r="U263" s="86"/>
      <c r="V263" s="93">
        <v>0.2969</v>
      </c>
      <c r="W263" s="93"/>
      <c r="X263" s="93"/>
      <c r="Y263" s="93"/>
      <c r="Z263" s="94">
        <v>18</v>
      </c>
      <c r="AA263" s="94"/>
      <c r="AB263" s="94"/>
      <c r="AC263" s="94"/>
      <c r="AD263" s="94"/>
      <c r="AE263" s="94"/>
      <c r="AF263" s="113">
        <v>18</v>
      </c>
      <c r="AG263" s="113"/>
      <c r="AH263" s="113"/>
      <c r="AI263" s="113"/>
      <c r="AJ263" s="113"/>
      <c r="AK263" s="113"/>
      <c r="AL263" s="113"/>
      <c r="AM263" s="2"/>
    </row>
    <row r="264" spans="1:39" ht="20.100000000000001" customHeight="1" x14ac:dyDescent="0.2">
      <c r="A264" s="90" t="s">
        <v>226</v>
      </c>
      <c r="B264" s="90"/>
      <c r="C264" s="90"/>
      <c r="D264" s="90"/>
      <c r="E264" s="90"/>
      <c r="F264" s="90"/>
      <c r="G264" s="90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113">
        <v>18</v>
      </c>
      <c r="AG264" s="113"/>
      <c r="AH264" s="113"/>
      <c r="AI264" s="113"/>
      <c r="AJ264" s="113"/>
      <c r="AK264" s="113"/>
      <c r="AL264" s="113"/>
      <c r="AM264" s="2"/>
    </row>
    <row r="265" spans="1:39" ht="21.95" customHeight="1" x14ac:dyDescent="0.2">
      <c r="A265" s="80" t="s">
        <v>227</v>
      </c>
      <c r="B265" s="80"/>
      <c r="C265" s="80"/>
      <c r="D265" s="80"/>
      <c r="E265" s="80"/>
      <c r="F265" s="80"/>
      <c r="G265" s="80"/>
      <c r="H265" s="112">
        <v>45665</v>
      </c>
      <c r="I265" s="112"/>
      <c r="J265" s="112"/>
      <c r="K265" s="112"/>
      <c r="L265" s="112"/>
      <c r="M265" s="112"/>
      <c r="N265" s="112"/>
      <c r="O265" s="112"/>
      <c r="P265" s="112"/>
      <c r="Q265" s="91">
        <v>0</v>
      </c>
      <c r="R265" s="91"/>
      <c r="S265" s="91"/>
      <c r="T265" s="91"/>
      <c r="U265" s="91"/>
      <c r="V265" s="95">
        <v>0</v>
      </c>
      <c r="W265" s="95"/>
      <c r="X265" s="95"/>
      <c r="Y265" s="95"/>
      <c r="Z265" s="94">
        <v>18</v>
      </c>
      <c r="AA265" s="94"/>
      <c r="AB265" s="94"/>
      <c r="AC265" s="94"/>
      <c r="AD265" s="94"/>
      <c r="AE265" s="94"/>
      <c r="AF265" s="113">
        <v>18</v>
      </c>
      <c r="AG265" s="113"/>
      <c r="AH265" s="113"/>
      <c r="AI265" s="113"/>
      <c r="AJ265" s="113"/>
      <c r="AK265" s="113"/>
      <c r="AL265" s="113"/>
      <c r="AM265" s="2"/>
    </row>
    <row r="266" spans="1:39" ht="21" customHeight="1" x14ac:dyDescent="0.2">
      <c r="A266" s="80" t="s">
        <v>228</v>
      </c>
      <c r="B266" s="80"/>
      <c r="C266" s="80"/>
      <c r="D266" s="80"/>
      <c r="E266" s="80"/>
      <c r="F266" s="80"/>
      <c r="G266" s="80"/>
      <c r="H266" s="112">
        <v>45663</v>
      </c>
      <c r="I266" s="112"/>
      <c r="J266" s="112"/>
      <c r="K266" s="112"/>
      <c r="L266" s="112"/>
      <c r="M266" s="112"/>
      <c r="N266" s="112"/>
      <c r="O266" s="112"/>
      <c r="P266" s="112"/>
      <c r="Q266" s="82">
        <v>46.94</v>
      </c>
      <c r="R266" s="82"/>
      <c r="S266" s="82"/>
      <c r="T266" s="82"/>
      <c r="U266" s="82"/>
      <c r="V266" s="93">
        <v>0.22159999999999999</v>
      </c>
      <c r="W266" s="93"/>
      <c r="X266" s="93"/>
      <c r="Y266" s="93"/>
      <c r="Z266" s="94">
        <v>18</v>
      </c>
      <c r="AA266" s="94"/>
      <c r="AB266" s="94"/>
      <c r="AC266" s="94"/>
      <c r="AD266" s="94"/>
      <c r="AE266" s="94"/>
      <c r="AF266" s="113">
        <v>18</v>
      </c>
      <c r="AG266" s="113"/>
      <c r="AH266" s="113"/>
      <c r="AI266" s="113"/>
      <c r="AJ266" s="113"/>
      <c r="AK266" s="113"/>
      <c r="AL266" s="113"/>
      <c r="AM266" s="2"/>
    </row>
    <row r="267" spans="1:39" ht="21" customHeight="1" x14ac:dyDescent="0.2">
      <c r="A267" s="80" t="s">
        <v>229</v>
      </c>
      <c r="B267" s="80"/>
      <c r="C267" s="80"/>
      <c r="D267" s="80"/>
      <c r="E267" s="80"/>
      <c r="F267" s="80"/>
      <c r="G267" s="80"/>
      <c r="H267" s="112">
        <v>45665</v>
      </c>
      <c r="I267" s="112"/>
      <c r="J267" s="112"/>
      <c r="K267" s="112"/>
      <c r="L267" s="112"/>
      <c r="M267" s="112"/>
      <c r="N267" s="112"/>
      <c r="O267" s="112"/>
      <c r="P267" s="112"/>
      <c r="Q267" s="91">
        <v>0</v>
      </c>
      <c r="R267" s="91"/>
      <c r="S267" s="91"/>
      <c r="T267" s="91"/>
      <c r="U267" s="91"/>
      <c r="V267" s="95">
        <v>0</v>
      </c>
      <c r="W267" s="95"/>
      <c r="X267" s="95"/>
      <c r="Y267" s="95"/>
      <c r="Z267" s="94">
        <v>18</v>
      </c>
      <c r="AA267" s="94"/>
      <c r="AB267" s="94"/>
      <c r="AC267" s="94"/>
      <c r="AD267" s="94"/>
      <c r="AE267" s="94"/>
      <c r="AF267" s="113">
        <v>18</v>
      </c>
      <c r="AG267" s="113"/>
      <c r="AH267" s="113"/>
      <c r="AI267" s="113"/>
      <c r="AJ267" s="113"/>
      <c r="AK267" s="113"/>
      <c r="AL267" s="113"/>
      <c r="AM267" s="2"/>
    </row>
    <row r="268" spans="1:39" ht="20.100000000000001" customHeight="1" x14ac:dyDescent="0.2">
      <c r="A268" s="90" t="s">
        <v>230</v>
      </c>
      <c r="B268" s="90"/>
      <c r="C268" s="90"/>
      <c r="D268" s="90"/>
      <c r="E268" s="90"/>
      <c r="F268" s="90"/>
      <c r="G268" s="90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113">
        <v>18</v>
      </c>
      <c r="AG268" s="113"/>
      <c r="AH268" s="113"/>
      <c r="AI268" s="113"/>
      <c r="AJ268" s="113"/>
      <c r="AK268" s="113"/>
      <c r="AL268" s="113"/>
      <c r="AM268" s="2"/>
    </row>
    <row r="269" spans="1:39" ht="21" customHeight="1" x14ac:dyDescent="0.2">
      <c r="A269" s="90" t="s">
        <v>231</v>
      </c>
      <c r="B269" s="90"/>
      <c r="C269" s="90"/>
      <c r="D269" s="90"/>
      <c r="E269" s="90"/>
      <c r="F269" s="90"/>
      <c r="G269" s="90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113">
        <v>18</v>
      </c>
      <c r="AG269" s="113"/>
      <c r="AH269" s="113"/>
      <c r="AI269" s="113"/>
      <c r="AJ269" s="113"/>
      <c r="AK269" s="113"/>
      <c r="AL269" s="113"/>
      <c r="AM269" s="2"/>
    </row>
    <row r="270" spans="1:39" ht="21.95" customHeight="1" x14ac:dyDescent="0.2">
      <c r="A270" s="80" t="s">
        <v>232</v>
      </c>
      <c r="B270" s="80"/>
      <c r="C270" s="80"/>
      <c r="D270" s="80"/>
      <c r="E270" s="80"/>
      <c r="F270" s="80"/>
      <c r="G270" s="80"/>
      <c r="H270" s="112">
        <v>45665</v>
      </c>
      <c r="I270" s="112"/>
      <c r="J270" s="112"/>
      <c r="K270" s="112"/>
      <c r="L270" s="112"/>
      <c r="M270" s="112"/>
      <c r="N270" s="112"/>
      <c r="O270" s="112"/>
      <c r="P270" s="112"/>
      <c r="Q270" s="82">
        <v>71.680000000000007</v>
      </c>
      <c r="R270" s="82"/>
      <c r="S270" s="82"/>
      <c r="T270" s="82"/>
      <c r="U270" s="82"/>
      <c r="V270" s="95">
        <v>6.7500000000000004E-2</v>
      </c>
      <c r="W270" s="95"/>
      <c r="X270" s="95"/>
      <c r="Y270" s="95"/>
      <c r="Z270" s="94">
        <v>18</v>
      </c>
      <c r="AA270" s="94"/>
      <c r="AB270" s="94"/>
      <c r="AC270" s="94"/>
      <c r="AD270" s="94"/>
      <c r="AE270" s="94"/>
      <c r="AF270" s="113">
        <v>18</v>
      </c>
      <c r="AG270" s="113"/>
      <c r="AH270" s="113"/>
      <c r="AI270" s="113"/>
      <c r="AJ270" s="113"/>
      <c r="AK270" s="113"/>
      <c r="AL270" s="113"/>
      <c r="AM270" s="2"/>
    </row>
    <row r="271" spans="1:39" ht="20.100000000000001" customHeight="1" x14ac:dyDescent="0.2">
      <c r="A271" s="90" t="s">
        <v>233</v>
      </c>
      <c r="B271" s="90"/>
      <c r="C271" s="90"/>
      <c r="D271" s="90"/>
      <c r="E271" s="90"/>
      <c r="F271" s="90"/>
      <c r="G271" s="90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113">
        <v>18</v>
      </c>
      <c r="AG271" s="113"/>
      <c r="AH271" s="113"/>
      <c r="AI271" s="113"/>
      <c r="AJ271" s="113"/>
      <c r="AK271" s="113"/>
      <c r="AL271" s="113"/>
      <c r="AM271" s="2"/>
    </row>
    <row r="272" spans="1:39" ht="15.95" customHeight="1" x14ac:dyDescent="0.2">
      <c r="A272" s="80" t="s">
        <v>234</v>
      </c>
      <c r="B272" s="80"/>
      <c r="C272" s="80"/>
      <c r="D272" s="80"/>
      <c r="E272" s="80"/>
      <c r="F272" s="80"/>
      <c r="G272" s="80"/>
      <c r="H272" s="112">
        <v>45688</v>
      </c>
      <c r="I272" s="112"/>
      <c r="J272" s="112"/>
      <c r="K272" s="112"/>
      <c r="L272" s="112"/>
      <c r="M272" s="112"/>
      <c r="N272" s="112"/>
      <c r="O272" s="112"/>
      <c r="P272" s="112"/>
      <c r="Q272" s="82">
        <v>13.38</v>
      </c>
      <c r="R272" s="82"/>
      <c r="S272" s="82"/>
      <c r="T272" s="82"/>
      <c r="U272" s="82"/>
      <c r="V272" s="95">
        <v>6.7500000000000004E-2</v>
      </c>
      <c r="W272" s="95"/>
      <c r="X272" s="95"/>
      <c r="Y272" s="95"/>
      <c r="Z272" s="94">
        <v>18</v>
      </c>
      <c r="AA272" s="94"/>
      <c r="AB272" s="94"/>
      <c r="AC272" s="94"/>
      <c r="AD272" s="94"/>
      <c r="AE272" s="94"/>
      <c r="AF272" s="113">
        <v>18</v>
      </c>
      <c r="AG272" s="113"/>
      <c r="AH272" s="113"/>
      <c r="AI272" s="113"/>
      <c r="AJ272" s="113"/>
      <c r="AK272" s="113"/>
      <c r="AL272" s="113"/>
      <c r="AM272" s="4"/>
    </row>
    <row r="273" spans="1:39" ht="12.95" customHeight="1" x14ac:dyDescent="0.2">
      <c r="A273" s="80" t="s">
        <v>235</v>
      </c>
      <c r="B273" s="80"/>
      <c r="C273" s="80"/>
      <c r="D273" s="80"/>
      <c r="E273" s="80"/>
      <c r="F273" s="80"/>
      <c r="G273" s="80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4"/>
    </row>
    <row r="274" spans="1:39" ht="21" customHeight="1" x14ac:dyDescent="0.2">
      <c r="A274" s="80" t="s">
        <v>236</v>
      </c>
      <c r="B274" s="80"/>
      <c r="C274" s="80"/>
      <c r="D274" s="80"/>
      <c r="E274" s="80"/>
      <c r="F274" s="80"/>
      <c r="G274" s="80"/>
      <c r="H274" s="112">
        <v>45685</v>
      </c>
      <c r="I274" s="112"/>
      <c r="J274" s="112"/>
      <c r="K274" s="112"/>
      <c r="L274" s="112"/>
      <c r="M274" s="112"/>
      <c r="N274" s="112"/>
      <c r="O274" s="112"/>
      <c r="P274" s="112"/>
      <c r="Q274" s="86">
        <v>830.56</v>
      </c>
      <c r="R274" s="86"/>
      <c r="S274" s="86"/>
      <c r="T274" s="86"/>
      <c r="U274" s="86"/>
      <c r="V274" s="93">
        <v>2</v>
      </c>
      <c r="W274" s="93"/>
      <c r="X274" s="93"/>
      <c r="Y274" s="93"/>
      <c r="Z274" s="94">
        <v>18</v>
      </c>
      <c r="AA274" s="94"/>
      <c r="AB274" s="94"/>
      <c r="AC274" s="94"/>
      <c r="AD274" s="94"/>
      <c r="AE274" s="94"/>
      <c r="AF274" s="113">
        <v>18</v>
      </c>
      <c r="AG274" s="113"/>
      <c r="AH274" s="113"/>
      <c r="AI274" s="113"/>
      <c r="AJ274" s="113"/>
      <c r="AK274" s="113"/>
      <c r="AL274" s="113"/>
      <c r="AM274" s="2"/>
    </row>
    <row r="275" spans="1:39" ht="21" customHeight="1" x14ac:dyDescent="0.2">
      <c r="A275" s="80" t="s">
        <v>237</v>
      </c>
      <c r="B275" s="80"/>
      <c r="C275" s="80"/>
      <c r="D275" s="80"/>
      <c r="E275" s="80"/>
      <c r="F275" s="80"/>
      <c r="G275" s="80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94">
        <v>0</v>
      </c>
      <c r="AA275" s="94"/>
      <c r="AB275" s="94"/>
      <c r="AC275" s="94"/>
      <c r="AD275" s="94"/>
      <c r="AE275" s="94"/>
      <c r="AF275" s="113">
        <v>0</v>
      </c>
      <c r="AG275" s="113"/>
      <c r="AH275" s="113"/>
      <c r="AI275" s="113"/>
      <c r="AJ275" s="113"/>
      <c r="AK275" s="113"/>
      <c r="AL275" s="113"/>
      <c r="AM275" s="2"/>
    </row>
    <row r="276" spans="1:39" ht="14.1" customHeight="1" x14ac:dyDescent="0.2">
      <c r="A276" s="90" t="s">
        <v>238</v>
      </c>
      <c r="B276" s="90"/>
      <c r="C276" s="90"/>
      <c r="D276" s="90"/>
      <c r="E276" s="90"/>
      <c r="F276" s="90"/>
      <c r="G276" s="90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4"/>
    </row>
    <row r="277" spans="1:39" ht="22.5" customHeight="1" x14ac:dyDescent="0.2">
      <c r="A277" s="115" t="s">
        <v>239</v>
      </c>
      <c r="B277" s="115"/>
      <c r="C277" s="115"/>
      <c r="D277" s="115"/>
      <c r="E277" s="115"/>
      <c r="F277" s="115"/>
      <c r="G277" s="115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2"/>
    </row>
    <row r="278" spans="1:39" ht="27" customHeight="1" x14ac:dyDescent="0.2">
      <c r="A278" s="115" t="s">
        <v>240</v>
      </c>
      <c r="B278" s="115"/>
      <c r="C278" s="115"/>
      <c r="D278" s="115"/>
      <c r="E278" s="115"/>
      <c r="F278" s="115"/>
      <c r="G278" s="115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2"/>
    </row>
    <row r="279" spans="1:39" ht="24" customHeight="1" x14ac:dyDescent="0.2">
      <c r="A279" s="80" t="s">
        <v>241</v>
      </c>
      <c r="B279" s="80"/>
      <c r="C279" s="80"/>
      <c r="D279" s="80"/>
      <c r="E279" s="80"/>
      <c r="F279" s="80"/>
      <c r="G279" s="80"/>
      <c r="H279" s="112">
        <v>45665</v>
      </c>
      <c r="I279" s="112"/>
      <c r="J279" s="112"/>
      <c r="K279" s="112"/>
      <c r="L279" s="112"/>
      <c r="M279" s="112"/>
      <c r="N279" s="112"/>
      <c r="O279" s="112"/>
      <c r="P279" s="112"/>
      <c r="Q279" s="82">
        <v>30.6</v>
      </c>
      <c r="R279" s="82"/>
      <c r="S279" s="82"/>
      <c r="T279" s="82"/>
      <c r="U279" s="82"/>
      <c r="V279" s="93">
        <v>0.16039999999999999</v>
      </c>
      <c r="W279" s="93"/>
      <c r="X279" s="93"/>
      <c r="Y279" s="93"/>
      <c r="Z279" s="94">
        <v>18</v>
      </c>
      <c r="AA279" s="94"/>
      <c r="AB279" s="94"/>
      <c r="AC279" s="94"/>
      <c r="AD279" s="94"/>
      <c r="AE279" s="94"/>
      <c r="AF279" s="113">
        <v>18</v>
      </c>
      <c r="AG279" s="113"/>
      <c r="AH279" s="113"/>
      <c r="AI279" s="113"/>
      <c r="AJ279" s="113"/>
      <c r="AK279" s="113"/>
      <c r="AL279" s="113"/>
      <c r="AM279" s="2"/>
    </row>
    <row r="280" spans="1:39" ht="220.5" customHeight="1" x14ac:dyDescent="0.25">
      <c r="A280" s="3" t="s">
        <v>14</v>
      </c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1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1"/>
    </row>
    <row r="281" spans="1:39" ht="52.5" customHeight="1" x14ac:dyDescent="0.2">
      <c r="A281" s="96" t="s">
        <v>15</v>
      </c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7" t="s">
        <v>16</v>
      </c>
      <c r="P281" s="97"/>
      <c r="Q281" s="97"/>
      <c r="R281" s="97"/>
      <c r="S281" s="97"/>
      <c r="T281" s="98" t="s">
        <v>17</v>
      </c>
      <c r="U281" s="98"/>
      <c r="V281" s="98"/>
      <c r="W281" s="98"/>
      <c r="X281" s="98"/>
      <c r="Y281" s="99" t="s">
        <v>18</v>
      </c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</row>
    <row r="282" spans="1:39" ht="23.1" customHeight="1" x14ac:dyDescent="0.2">
      <c r="A282" s="100" t="s">
        <v>19</v>
      </c>
      <c r="B282" s="100"/>
      <c r="C282" s="100"/>
      <c r="D282" s="100"/>
      <c r="E282" s="100"/>
      <c r="F282" s="100"/>
      <c r="G282" s="100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2"/>
    </row>
    <row r="283" spans="1:39" ht="23.1" customHeight="1" x14ac:dyDescent="0.2">
      <c r="A283" s="101" t="s">
        <v>76</v>
      </c>
      <c r="B283" s="101"/>
      <c r="C283" s="101"/>
      <c r="D283" s="101"/>
      <c r="E283" s="101"/>
      <c r="F283" s="101"/>
      <c r="G283" s="10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2"/>
    </row>
    <row r="284" spans="1:39" ht="23.1" customHeight="1" x14ac:dyDescent="0.2">
      <c r="A284" s="80" t="s">
        <v>242</v>
      </c>
      <c r="B284" s="80"/>
      <c r="C284" s="80"/>
      <c r="D284" s="80"/>
      <c r="E284" s="80"/>
      <c r="F284" s="80"/>
      <c r="G284" s="80"/>
      <c r="H284" s="112">
        <v>45688</v>
      </c>
      <c r="I284" s="112"/>
      <c r="J284" s="112"/>
      <c r="K284" s="112"/>
      <c r="L284" s="112"/>
      <c r="M284" s="112"/>
      <c r="N284" s="112"/>
      <c r="O284" s="112"/>
      <c r="P284" s="112"/>
      <c r="Q284" s="86">
        <v>572</v>
      </c>
      <c r="R284" s="86"/>
      <c r="S284" s="86"/>
      <c r="T284" s="86"/>
      <c r="U284" s="86"/>
      <c r="V284" s="93">
        <v>0.60799999999999998</v>
      </c>
      <c r="W284" s="93"/>
      <c r="X284" s="93"/>
      <c r="Y284" s="93"/>
      <c r="Z284" s="94">
        <v>18</v>
      </c>
      <c r="AA284" s="94"/>
      <c r="AB284" s="94"/>
      <c r="AC284" s="94"/>
      <c r="AD284" s="94"/>
      <c r="AE284" s="94"/>
      <c r="AF284" s="113">
        <v>18</v>
      </c>
      <c r="AG284" s="113"/>
      <c r="AH284" s="113"/>
      <c r="AI284" s="113"/>
      <c r="AJ284" s="113"/>
      <c r="AK284" s="113"/>
      <c r="AL284" s="113"/>
      <c r="AM284" s="2"/>
    </row>
    <row r="285" spans="1:39" ht="20.100000000000001" customHeight="1" x14ac:dyDescent="0.2">
      <c r="A285" s="90" t="s">
        <v>243</v>
      </c>
      <c r="B285" s="90"/>
      <c r="C285" s="90"/>
      <c r="D285" s="90"/>
      <c r="E285" s="90"/>
      <c r="F285" s="90"/>
      <c r="G285" s="90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113">
        <v>18</v>
      </c>
      <c r="AG285" s="113"/>
      <c r="AH285" s="113"/>
      <c r="AI285" s="113"/>
      <c r="AJ285" s="113"/>
      <c r="AK285" s="113"/>
      <c r="AL285" s="113"/>
      <c r="AM285" s="2"/>
    </row>
    <row r="286" spans="1:39" ht="21" customHeight="1" x14ac:dyDescent="0.2">
      <c r="A286" s="90" t="s">
        <v>244</v>
      </c>
      <c r="B286" s="90"/>
      <c r="C286" s="90"/>
      <c r="D286" s="90"/>
      <c r="E286" s="90"/>
      <c r="F286" s="90"/>
      <c r="G286" s="90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113">
        <v>18</v>
      </c>
      <c r="AG286" s="113"/>
      <c r="AH286" s="113"/>
      <c r="AI286" s="113"/>
      <c r="AJ286" s="113"/>
      <c r="AK286" s="113"/>
      <c r="AL286" s="113"/>
      <c r="AM286" s="2"/>
    </row>
    <row r="287" spans="1:39" ht="21" customHeight="1" x14ac:dyDescent="0.2">
      <c r="A287" s="90" t="s">
        <v>245</v>
      </c>
      <c r="B287" s="90"/>
      <c r="C287" s="90"/>
      <c r="D287" s="90"/>
      <c r="E287" s="90"/>
      <c r="F287" s="90"/>
      <c r="G287" s="90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113">
        <v>18</v>
      </c>
      <c r="AG287" s="113"/>
      <c r="AH287" s="113"/>
      <c r="AI287" s="113"/>
      <c r="AJ287" s="113"/>
      <c r="AK287" s="113"/>
      <c r="AL287" s="113"/>
      <c r="AM287" s="2"/>
    </row>
    <row r="288" spans="1:39" ht="21" customHeight="1" x14ac:dyDescent="0.2">
      <c r="A288" s="80" t="s">
        <v>246</v>
      </c>
      <c r="B288" s="80"/>
      <c r="C288" s="80"/>
      <c r="D288" s="80"/>
      <c r="E288" s="80"/>
      <c r="F288" s="80"/>
      <c r="G288" s="80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94">
        <v>0</v>
      </c>
      <c r="AA288" s="94"/>
      <c r="AB288" s="94"/>
      <c r="AC288" s="94"/>
      <c r="AD288" s="94"/>
      <c r="AE288" s="94"/>
      <c r="AF288" s="113">
        <v>0</v>
      </c>
      <c r="AG288" s="113"/>
      <c r="AH288" s="113"/>
      <c r="AI288" s="113"/>
      <c r="AJ288" s="113"/>
      <c r="AK288" s="113"/>
      <c r="AL288" s="113"/>
      <c r="AM288" s="2"/>
    </row>
    <row r="289" spans="1:39" ht="21.95" customHeight="1" x14ac:dyDescent="0.2">
      <c r="A289" s="80" t="s">
        <v>247</v>
      </c>
      <c r="B289" s="80"/>
      <c r="C289" s="80"/>
      <c r="D289" s="80"/>
      <c r="E289" s="80"/>
      <c r="F289" s="80"/>
      <c r="G289" s="80"/>
      <c r="H289" s="112">
        <v>45665</v>
      </c>
      <c r="I289" s="112"/>
      <c r="J289" s="112"/>
      <c r="K289" s="112"/>
      <c r="L289" s="112"/>
      <c r="M289" s="112"/>
      <c r="N289" s="112"/>
      <c r="O289" s="112"/>
      <c r="P289" s="112"/>
      <c r="Q289" s="82">
        <v>10.4</v>
      </c>
      <c r="R289" s="82"/>
      <c r="S289" s="82"/>
      <c r="T289" s="82"/>
      <c r="U289" s="82"/>
      <c r="V289" s="95">
        <v>5.2200000000000003E-2</v>
      </c>
      <c r="W289" s="95"/>
      <c r="X289" s="95"/>
      <c r="Y289" s="95"/>
      <c r="Z289" s="94">
        <v>18</v>
      </c>
      <c r="AA289" s="94"/>
      <c r="AB289" s="94"/>
      <c r="AC289" s="94"/>
      <c r="AD289" s="94"/>
      <c r="AE289" s="94"/>
      <c r="AF289" s="113">
        <v>18</v>
      </c>
      <c r="AG289" s="113"/>
      <c r="AH289" s="113"/>
      <c r="AI289" s="113"/>
      <c r="AJ289" s="113"/>
      <c r="AK289" s="113"/>
      <c r="AL289" s="113"/>
      <c r="AM289" s="2"/>
    </row>
    <row r="290" spans="1:39" ht="27.95" customHeight="1" x14ac:dyDescent="0.2">
      <c r="A290" s="80" t="s">
        <v>248</v>
      </c>
      <c r="B290" s="80"/>
      <c r="C290" s="80"/>
      <c r="D290" s="80"/>
      <c r="E290" s="80"/>
      <c r="F290" s="80"/>
      <c r="G290" s="80"/>
      <c r="H290" s="112">
        <v>45672</v>
      </c>
      <c r="I290" s="112"/>
      <c r="J290" s="112"/>
      <c r="K290" s="112"/>
      <c r="L290" s="112"/>
      <c r="M290" s="112"/>
      <c r="N290" s="112"/>
      <c r="O290" s="112"/>
      <c r="P290" s="112"/>
      <c r="Q290" s="86">
        <v>265.19</v>
      </c>
      <c r="R290" s="86"/>
      <c r="S290" s="86"/>
      <c r="T290" s="86"/>
      <c r="U290" s="86"/>
      <c r="V290" s="93">
        <v>0.28620000000000001</v>
      </c>
      <c r="W290" s="93"/>
      <c r="X290" s="93"/>
      <c r="Y290" s="93"/>
      <c r="Z290" s="94">
        <v>18</v>
      </c>
      <c r="AA290" s="94"/>
      <c r="AB290" s="94"/>
      <c r="AC290" s="94"/>
      <c r="AD290" s="94"/>
      <c r="AE290" s="94"/>
      <c r="AF290" s="113">
        <v>18</v>
      </c>
      <c r="AG290" s="113"/>
      <c r="AH290" s="113"/>
      <c r="AI290" s="113"/>
      <c r="AJ290" s="113"/>
      <c r="AK290" s="113"/>
      <c r="AL290" s="113"/>
      <c r="AM290" s="2"/>
    </row>
    <row r="291" spans="1:39" ht="20.100000000000001" customHeight="1" x14ac:dyDescent="0.2">
      <c r="A291" s="90" t="s">
        <v>249</v>
      </c>
      <c r="B291" s="90"/>
      <c r="C291" s="90"/>
      <c r="D291" s="90"/>
      <c r="E291" s="90"/>
      <c r="F291" s="90"/>
      <c r="G291" s="90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113">
        <v>18</v>
      </c>
      <c r="AG291" s="113"/>
      <c r="AH291" s="113"/>
      <c r="AI291" s="113"/>
      <c r="AJ291" s="113"/>
      <c r="AK291" s="113"/>
      <c r="AL291" s="113"/>
      <c r="AM291" s="2"/>
    </row>
    <row r="292" spans="1:39" ht="30" customHeight="1" x14ac:dyDescent="0.2">
      <c r="A292" s="110" t="s">
        <v>250</v>
      </c>
      <c r="B292" s="110"/>
      <c r="C292" s="110"/>
      <c r="D292" s="110"/>
      <c r="E292" s="110"/>
      <c r="F292" s="110"/>
      <c r="G292" s="110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113">
        <v>18</v>
      </c>
      <c r="AG292" s="113"/>
      <c r="AH292" s="113"/>
      <c r="AI292" s="113"/>
      <c r="AJ292" s="113"/>
      <c r="AK292" s="113"/>
      <c r="AL292" s="113"/>
      <c r="AM292" s="2"/>
    </row>
    <row r="293" spans="1:39" ht="27.95" customHeight="1" x14ac:dyDescent="0.2">
      <c r="A293" s="110" t="s">
        <v>251</v>
      </c>
      <c r="B293" s="110"/>
      <c r="C293" s="110"/>
      <c r="D293" s="110"/>
      <c r="E293" s="110"/>
      <c r="F293" s="110"/>
      <c r="G293" s="110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113">
        <v>18</v>
      </c>
      <c r="AG293" s="113"/>
      <c r="AH293" s="113"/>
      <c r="AI293" s="113"/>
      <c r="AJ293" s="113"/>
      <c r="AK293" s="113"/>
      <c r="AL293" s="113"/>
      <c r="AM293" s="2"/>
    </row>
    <row r="294" spans="1:39" ht="21" customHeight="1" x14ac:dyDescent="0.2">
      <c r="A294" s="80" t="s">
        <v>252</v>
      </c>
      <c r="B294" s="80"/>
      <c r="C294" s="80"/>
      <c r="D294" s="80"/>
      <c r="E294" s="80"/>
      <c r="F294" s="80"/>
      <c r="G294" s="80"/>
      <c r="H294" s="112">
        <v>45685</v>
      </c>
      <c r="I294" s="112"/>
      <c r="J294" s="112"/>
      <c r="K294" s="112"/>
      <c r="L294" s="112"/>
      <c r="M294" s="112"/>
      <c r="N294" s="112"/>
      <c r="O294" s="112"/>
      <c r="P294" s="112"/>
      <c r="Q294" s="82">
        <v>66.400000000000006</v>
      </c>
      <c r="R294" s="82"/>
      <c r="S294" s="82"/>
      <c r="T294" s="82"/>
      <c r="U294" s="82"/>
      <c r="V294" s="93">
        <v>0.18049999999999999</v>
      </c>
      <c r="W294" s="93"/>
      <c r="X294" s="93"/>
      <c r="Y294" s="93"/>
      <c r="Z294" s="94">
        <v>18</v>
      </c>
      <c r="AA294" s="94"/>
      <c r="AB294" s="94"/>
      <c r="AC294" s="94"/>
      <c r="AD294" s="94"/>
      <c r="AE294" s="94"/>
      <c r="AF294" s="113">
        <v>18</v>
      </c>
      <c r="AG294" s="113"/>
      <c r="AH294" s="113"/>
      <c r="AI294" s="113"/>
      <c r="AJ294" s="113"/>
      <c r="AK294" s="113"/>
      <c r="AL294" s="113"/>
      <c r="AM294" s="2"/>
    </row>
    <row r="295" spans="1:39" ht="21" customHeight="1" x14ac:dyDescent="0.2">
      <c r="A295" s="80" t="s">
        <v>253</v>
      </c>
      <c r="B295" s="80"/>
      <c r="C295" s="80"/>
      <c r="D295" s="80"/>
      <c r="E295" s="80"/>
      <c r="F295" s="80"/>
      <c r="G295" s="80"/>
      <c r="H295" s="112">
        <v>45685</v>
      </c>
      <c r="I295" s="112"/>
      <c r="J295" s="112"/>
      <c r="K295" s="112"/>
      <c r="L295" s="112"/>
      <c r="M295" s="112"/>
      <c r="N295" s="112"/>
      <c r="O295" s="112"/>
      <c r="P295" s="112"/>
      <c r="Q295" s="86">
        <v>875.2</v>
      </c>
      <c r="R295" s="86"/>
      <c r="S295" s="86"/>
      <c r="T295" s="86"/>
      <c r="U295" s="86"/>
      <c r="V295" s="93">
        <v>1.2257</v>
      </c>
      <c r="W295" s="93"/>
      <c r="X295" s="93"/>
      <c r="Y295" s="93"/>
      <c r="Z295" s="94">
        <v>18</v>
      </c>
      <c r="AA295" s="94"/>
      <c r="AB295" s="94"/>
      <c r="AC295" s="94"/>
      <c r="AD295" s="94"/>
      <c r="AE295" s="94"/>
      <c r="AF295" s="113">
        <v>18</v>
      </c>
      <c r="AG295" s="113"/>
      <c r="AH295" s="113"/>
      <c r="AI295" s="113"/>
      <c r="AJ295" s="113"/>
      <c r="AK295" s="113"/>
      <c r="AL295" s="113"/>
      <c r="AM295" s="2"/>
    </row>
    <row r="296" spans="1:39" ht="21" customHeight="1" x14ac:dyDescent="0.2">
      <c r="A296" s="90" t="s">
        <v>254</v>
      </c>
      <c r="B296" s="90"/>
      <c r="C296" s="90"/>
      <c r="D296" s="90"/>
      <c r="E296" s="90"/>
      <c r="F296" s="90"/>
      <c r="G296" s="90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113">
        <v>18</v>
      </c>
      <c r="AG296" s="113"/>
      <c r="AH296" s="113"/>
      <c r="AI296" s="113"/>
      <c r="AJ296" s="113"/>
      <c r="AK296" s="113"/>
      <c r="AL296" s="113"/>
      <c r="AM296" s="2"/>
    </row>
    <row r="297" spans="1:39" ht="21" customHeight="1" x14ac:dyDescent="0.2">
      <c r="A297" s="90" t="s">
        <v>255</v>
      </c>
      <c r="B297" s="90"/>
      <c r="C297" s="90"/>
      <c r="D297" s="90"/>
      <c r="E297" s="90"/>
      <c r="F297" s="90"/>
      <c r="G297" s="90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113">
        <v>18</v>
      </c>
      <c r="AG297" s="113"/>
      <c r="AH297" s="113"/>
      <c r="AI297" s="113"/>
      <c r="AJ297" s="113"/>
      <c r="AK297" s="113"/>
      <c r="AL297" s="113"/>
      <c r="AM297" s="2"/>
    </row>
    <row r="298" spans="1:39" ht="21" customHeight="1" x14ac:dyDescent="0.2">
      <c r="A298" s="90" t="s">
        <v>256</v>
      </c>
      <c r="B298" s="90"/>
      <c r="C298" s="90"/>
      <c r="D298" s="90"/>
      <c r="E298" s="90"/>
      <c r="F298" s="90"/>
      <c r="G298" s="90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113">
        <v>18</v>
      </c>
      <c r="AG298" s="113"/>
      <c r="AH298" s="113"/>
      <c r="AI298" s="113"/>
      <c r="AJ298" s="113"/>
      <c r="AK298" s="113"/>
      <c r="AL298" s="113"/>
      <c r="AM298" s="2"/>
    </row>
    <row r="299" spans="1:39" ht="21" customHeight="1" x14ac:dyDescent="0.2">
      <c r="A299" s="80" t="s">
        <v>257</v>
      </c>
      <c r="B299" s="80"/>
      <c r="C299" s="80"/>
      <c r="D299" s="80"/>
      <c r="E299" s="80"/>
      <c r="F299" s="80"/>
      <c r="G299" s="80"/>
      <c r="H299" s="112">
        <v>45681</v>
      </c>
      <c r="I299" s="112"/>
      <c r="J299" s="112"/>
      <c r="K299" s="112"/>
      <c r="L299" s="112"/>
      <c r="M299" s="112"/>
      <c r="N299" s="112"/>
      <c r="O299" s="112"/>
      <c r="P299" s="112"/>
      <c r="Q299" s="86">
        <v>742.72</v>
      </c>
      <c r="R299" s="86"/>
      <c r="S299" s="86"/>
      <c r="T299" s="86"/>
      <c r="U299" s="86"/>
      <c r="V299" s="93">
        <v>2</v>
      </c>
      <c r="W299" s="93"/>
      <c r="X299" s="93"/>
      <c r="Y299" s="93"/>
      <c r="Z299" s="94">
        <v>18</v>
      </c>
      <c r="AA299" s="94"/>
      <c r="AB299" s="94"/>
      <c r="AC299" s="94"/>
      <c r="AD299" s="94"/>
      <c r="AE299" s="94"/>
      <c r="AF299" s="113">
        <v>18</v>
      </c>
      <c r="AG299" s="113"/>
      <c r="AH299" s="113"/>
      <c r="AI299" s="113"/>
      <c r="AJ299" s="113"/>
      <c r="AK299" s="113"/>
      <c r="AL299" s="113"/>
      <c r="AM299" s="2"/>
    </row>
    <row r="300" spans="1:39" ht="21" customHeight="1" x14ac:dyDescent="0.2">
      <c r="A300" s="80" t="s">
        <v>258</v>
      </c>
      <c r="B300" s="80"/>
      <c r="C300" s="80"/>
      <c r="D300" s="80"/>
      <c r="E300" s="80"/>
      <c r="F300" s="80"/>
      <c r="G300" s="80"/>
      <c r="H300" s="112">
        <v>45665</v>
      </c>
      <c r="I300" s="112"/>
      <c r="J300" s="112"/>
      <c r="K300" s="112"/>
      <c r="L300" s="112"/>
      <c r="M300" s="112"/>
      <c r="N300" s="112"/>
      <c r="O300" s="112"/>
      <c r="P300" s="112"/>
      <c r="Q300" s="86">
        <v>772.16</v>
      </c>
      <c r="R300" s="86"/>
      <c r="S300" s="86"/>
      <c r="T300" s="86"/>
      <c r="U300" s="86"/>
      <c r="V300" s="93">
        <v>2</v>
      </c>
      <c r="W300" s="93"/>
      <c r="X300" s="93"/>
      <c r="Y300" s="93"/>
      <c r="Z300" s="94">
        <v>18</v>
      </c>
      <c r="AA300" s="94"/>
      <c r="AB300" s="94"/>
      <c r="AC300" s="94"/>
      <c r="AD300" s="94"/>
      <c r="AE300" s="94"/>
      <c r="AF300" s="113">
        <v>18</v>
      </c>
      <c r="AG300" s="113"/>
      <c r="AH300" s="113"/>
      <c r="AI300" s="113"/>
      <c r="AJ300" s="113"/>
      <c r="AK300" s="113"/>
      <c r="AL300" s="113"/>
      <c r="AM300" s="2"/>
    </row>
    <row r="301" spans="1:39" ht="21" customHeight="1" x14ac:dyDescent="0.2">
      <c r="A301" s="80" t="s">
        <v>259</v>
      </c>
      <c r="B301" s="80"/>
      <c r="C301" s="80"/>
      <c r="D301" s="80"/>
      <c r="E301" s="80"/>
      <c r="F301" s="80"/>
      <c r="G301" s="80"/>
      <c r="H301" s="112">
        <v>45688</v>
      </c>
      <c r="I301" s="112"/>
      <c r="J301" s="112"/>
      <c r="K301" s="112"/>
      <c r="L301" s="112"/>
      <c r="M301" s="112"/>
      <c r="N301" s="112"/>
      <c r="O301" s="112"/>
      <c r="P301" s="112"/>
      <c r="Q301" s="86">
        <v>167.28</v>
      </c>
      <c r="R301" s="86"/>
      <c r="S301" s="86"/>
      <c r="T301" s="86"/>
      <c r="U301" s="86"/>
      <c r="V301" s="93">
        <v>0.3291</v>
      </c>
      <c r="W301" s="93"/>
      <c r="X301" s="93"/>
      <c r="Y301" s="93"/>
      <c r="Z301" s="94">
        <v>18</v>
      </c>
      <c r="AA301" s="94"/>
      <c r="AB301" s="94"/>
      <c r="AC301" s="94"/>
      <c r="AD301" s="94"/>
      <c r="AE301" s="94"/>
      <c r="AF301" s="113">
        <v>18</v>
      </c>
      <c r="AG301" s="113"/>
      <c r="AH301" s="113"/>
      <c r="AI301" s="113"/>
      <c r="AJ301" s="113"/>
      <c r="AK301" s="113"/>
      <c r="AL301" s="113"/>
      <c r="AM301" s="2"/>
    </row>
    <row r="302" spans="1:39" ht="16.5" customHeight="1" x14ac:dyDescent="0.2">
      <c r="A302" s="80" t="s">
        <v>260</v>
      </c>
      <c r="B302" s="80"/>
      <c r="C302" s="80"/>
      <c r="D302" s="80"/>
      <c r="E302" s="80"/>
      <c r="F302" s="80"/>
      <c r="G302" s="80"/>
      <c r="H302" s="112">
        <v>45665</v>
      </c>
      <c r="I302" s="112"/>
      <c r="J302" s="112"/>
      <c r="K302" s="112"/>
      <c r="L302" s="112"/>
      <c r="M302" s="112"/>
      <c r="N302" s="112"/>
      <c r="O302" s="112"/>
      <c r="P302" s="112"/>
      <c r="Q302" s="82">
        <v>13.74</v>
      </c>
      <c r="R302" s="82"/>
      <c r="S302" s="82"/>
      <c r="T302" s="82"/>
      <c r="U302" s="82"/>
      <c r="V302" s="95">
        <v>5.21E-2</v>
      </c>
      <c r="W302" s="95"/>
      <c r="X302" s="95"/>
      <c r="Y302" s="95"/>
      <c r="Z302" s="94">
        <v>18</v>
      </c>
      <c r="AA302" s="94"/>
      <c r="AB302" s="94"/>
      <c r="AC302" s="94"/>
      <c r="AD302" s="94"/>
      <c r="AE302" s="94"/>
      <c r="AF302" s="113">
        <v>18</v>
      </c>
      <c r="AG302" s="113"/>
      <c r="AH302" s="113"/>
      <c r="AI302" s="113"/>
      <c r="AJ302" s="113"/>
      <c r="AK302" s="113"/>
      <c r="AL302" s="113"/>
      <c r="AM302" s="4"/>
    </row>
    <row r="303" spans="1:39" ht="220.5" customHeight="1" x14ac:dyDescent="0.25">
      <c r="A303" s="3" t="s">
        <v>14</v>
      </c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1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</row>
    <row r="304" spans="1:39" ht="51" customHeight="1" x14ac:dyDescent="0.2">
      <c r="A304" s="1"/>
      <c r="B304" s="62"/>
      <c r="C304" s="62"/>
      <c r="D304" s="62"/>
      <c r="E304" s="62"/>
      <c r="F304" s="62"/>
      <c r="G304" s="62"/>
      <c r="H304" s="62"/>
      <c r="I304" s="62"/>
      <c r="J304" s="111" t="s">
        <v>15</v>
      </c>
      <c r="K304" s="111"/>
      <c r="L304" s="111"/>
      <c r="M304" s="111"/>
      <c r="N304" s="111"/>
      <c r="O304" s="97" t="s">
        <v>16</v>
      </c>
      <c r="P304" s="97"/>
      <c r="Q304" s="97"/>
      <c r="R304" s="97"/>
      <c r="S304" s="97"/>
      <c r="T304" s="98" t="s">
        <v>17</v>
      </c>
      <c r="U304" s="98"/>
      <c r="V304" s="98"/>
      <c r="W304" s="98"/>
      <c r="X304" s="98"/>
      <c r="Y304" s="99" t="s">
        <v>18</v>
      </c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</row>
    <row r="305" spans="1:39" ht="42.6" customHeight="1" x14ac:dyDescent="0.2">
      <c r="A305" s="62" t="s">
        <v>261</v>
      </c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1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</row>
    <row r="306" spans="1:39" ht="23.1" customHeight="1" x14ac:dyDescent="0.2">
      <c r="A306" s="105" t="s">
        <v>262</v>
      </c>
      <c r="B306" s="105"/>
      <c r="C306" s="105"/>
      <c r="D306" s="105"/>
      <c r="E306" s="107">
        <v>0</v>
      </c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9">
        <v>0</v>
      </c>
      <c r="AE306" s="109"/>
      <c r="AF306" s="109"/>
      <c r="AG306" s="109"/>
      <c r="AH306" s="109"/>
      <c r="AI306" s="109"/>
      <c r="AJ306" s="109"/>
      <c r="AK306" s="109"/>
      <c r="AL306" s="109"/>
      <c r="AM306" s="109"/>
    </row>
    <row r="307" spans="1:39" ht="53.45" customHeight="1" x14ac:dyDescent="0.2">
      <c r="A307" s="110" t="s">
        <v>263</v>
      </c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</row>
    <row r="308" spans="1:39" ht="15.95" customHeight="1" x14ac:dyDescent="0.2">
      <c r="A308" s="80" t="s">
        <v>264</v>
      </c>
      <c r="B308" s="80"/>
      <c r="C308" s="80"/>
      <c r="D308" s="80"/>
      <c r="E308" s="80"/>
      <c r="F308" s="80"/>
      <c r="G308" s="80"/>
      <c r="H308" s="80"/>
      <c r="I308" s="80"/>
      <c r="J308" s="81">
        <v>45685</v>
      </c>
      <c r="K308" s="81"/>
      <c r="L308" s="81"/>
      <c r="M308" s="81"/>
      <c r="N308" s="81"/>
      <c r="O308" s="81"/>
      <c r="P308" s="81"/>
      <c r="Q308" s="103">
        <v>1641.86</v>
      </c>
      <c r="R308" s="103"/>
      <c r="S308" s="103"/>
      <c r="T308" s="103"/>
      <c r="U308" s="103"/>
      <c r="V308" s="103"/>
      <c r="W308" s="104">
        <v>4</v>
      </c>
      <c r="X308" s="104"/>
      <c r="Y308" s="104"/>
      <c r="Z308" s="84">
        <v>18</v>
      </c>
      <c r="AA308" s="84"/>
      <c r="AB308" s="84"/>
      <c r="AC308" s="84"/>
      <c r="AD308" s="84"/>
      <c r="AE308" s="84"/>
      <c r="AF308" s="84"/>
      <c r="AG308" s="84"/>
      <c r="AH308" s="102">
        <v>18</v>
      </c>
      <c r="AI308" s="102"/>
      <c r="AJ308" s="102"/>
      <c r="AK308" s="102"/>
      <c r="AL308" s="26"/>
      <c r="AM308" s="26"/>
    </row>
    <row r="309" spans="1:39" ht="21" customHeight="1" x14ac:dyDescent="0.2">
      <c r="A309" s="80" t="s">
        <v>265</v>
      </c>
      <c r="B309" s="80"/>
      <c r="C309" s="80"/>
      <c r="D309" s="80"/>
      <c r="E309" s="80"/>
      <c r="F309" s="80"/>
      <c r="G309" s="80"/>
      <c r="H309" s="80"/>
      <c r="I309" s="80"/>
      <c r="J309" s="81">
        <v>45686</v>
      </c>
      <c r="K309" s="81"/>
      <c r="L309" s="81"/>
      <c r="M309" s="81"/>
      <c r="N309" s="81"/>
      <c r="O309" s="81"/>
      <c r="P309" s="81"/>
      <c r="Q309" s="82">
        <v>35.840000000000003</v>
      </c>
      <c r="R309" s="82"/>
      <c r="S309" s="82"/>
      <c r="T309" s="82"/>
      <c r="U309" s="82"/>
      <c r="V309" s="82"/>
      <c r="W309" s="83">
        <v>6.7500000000000004E-2</v>
      </c>
      <c r="X309" s="83"/>
      <c r="Y309" s="83"/>
      <c r="Z309" s="84">
        <v>18</v>
      </c>
      <c r="AA309" s="84"/>
      <c r="AB309" s="84"/>
      <c r="AC309" s="84"/>
      <c r="AD309" s="84"/>
      <c r="AE309" s="84"/>
      <c r="AF309" s="84"/>
      <c r="AG309" s="84"/>
      <c r="AH309" s="102">
        <v>18</v>
      </c>
      <c r="AI309" s="102"/>
      <c r="AJ309" s="102"/>
      <c r="AK309" s="102"/>
      <c r="AL309" s="31"/>
      <c r="AM309" s="31"/>
    </row>
    <row r="310" spans="1:39" ht="21" customHeight="1" x14ac:dyDescent="0.2">
      <c r="A310" s="80" t="s">
        <v>266</v>
      </c>
      <c r="B310" s="80"/>
      <c r="C310" s="80"/>
      <c r="D310" s="80"/>
      <c r="E310" s="80"/>
      <c r="F310" s="80"/>
      <c r="G310" s="80"/>
      <c r="H310" s="80"/>
      <c r="I310" s="80"/>
      <c r="J310" s="81">
        <v>45685</v>
      </c>
      <c r="K310" s="81"/>
      <c r="L310" s="81"/>
      <c r="M310" s="81"/>
      <c r="N310" s="81"/>
      <c r="O310" s="81"/>
      <c r="P310" s="81"/>
      <c r="Q310" s="103">
        <v>1225.2</v>
      </c>
      <c r="R310" s="103"/>
      <c r="S310" s="103"/>
      <c r="T310" s="103"/>
      <c r="U310" s="103"/>
      <c r="V310" s="103"/>
      <c r="W310" s="104">
        <v>1.6640999999999999</v>
      </c>
      <c r="X310" s="104"/>
      <c r="Y310" s="104"/>
      <c r="Z310" s="84">
        <v>18</v>
      </c>
      <c r="AA310" s="84"/>
      <c r="AB310" s="84"/>
      <c r="AC310" s="84"/>
      <c r="AD310" s="84"/>
      <c r="AE310" s="84"/>
      <c r="AF310" s="84"/>
      <c r="AG310" s="84"/>
      <c r="AH310" s="102">
        <v>18</v>
      </c>
      <c r="AI310" s="102"/>
      <c r="AJ310" s="102"/>
      <c r="AK310" s="102"/>
      <c r="AL310" s="31"/>
      <c r="AM310" s="31"/>
    </row>
    <row r="311" spans="1:39" ht="20.100000000000001" customHeight="1" x14ac:dyDescent="0.2">
      <c r="A311" s="90" t="s">
        <v>267</v>
      </c>
      <c r="B311" s="90"/>
      <c r="C311" s="90"/>
      <c r="D311" s="90"/>
      <c r="E311" s="90"/>
      <c r="F311" s="90"/>
      <c r="G311" s="90"/>
      <c r="H311" s="90"/>
      <c r="I311" s="90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102">
        <v>18</v>
      </c>
      <c r="AI311" s="102"/>
      <c r="AJ311" s="102"/>
      <c r="AK311" s="102"/>
      <c r="AL311" s="31"/>
      <c r="AM311" s="31"/>
    </row>
    <row r="312" spans="1:39" ht="21" customHeight="1" x14ac:dyDescent="0.2">
      <c r="A312" s="90" t="s">
        <v>268</v>
      </c>
      <c r="B312" s="90"/>
      <c r="C312" s="90"/>
      <c r="D312" s="90"/>
      <c r="E312" s="90"/>
      <c r="F312" s="90"/>
      <c r="G312" s="90"/>
      <c r="H312" s="90"/>
      <c r="I312" s="90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102">
        <v>18</v>
      </c>
      <c r="AI312" s="102"/>
      <c r="AJ312" s="102"/>
      <c r="AK312" s="102"/>
      <c r="AL312" s="31"/>
      <c r="AM312" s="31"/>
    </row>
    <row r="313" spans="1:39" ht="21" customHeight="1" x14ac:dyDescent="0.2">
      <c r="A313" s="90" t="s">
        <v>269</v>
      </c>
      <c r="B313" s="90"/>
      <c r="C313" s="90"/>
      <c r="D313" s="90"/>
      <c r="E313" s="90"/>
      <c r="F313" s="90"/>
      <c r="G313" s="90"/>
      <c r="H313" s="90"/>
      <c r="I313" s="90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102">
        <v>18</v>
      </c>
      <c r="AI313" s="102"/>
      <c r="AJ313" s="102"/>
      <c r="AK313" s="102"/>
      <c r="AL313" s="31"/>
      <c r="AM313" s="31"/>
    </row>
    <row r="314" spans="1:39" ht="36" customHeight="1" x14ac:dyDescent="0.2">
      <c r="A314" s="108" t="s">
        <v>270</v>
      </c>
      <c r="B314" s="108"/>
      <c r="C314" s="108"/>
      <c r="D314" s="108"/>
      <c r="E314" s="108"/>
      <c r="F314" s="108"/>
      <c r="G314" s="108"/>
      <c r="H314" s="108"/>
      <c r="I314" s="108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86">
        <v>0</v>
      </c>
      <c r="AA314" s="86"/>
      <c r="AB314" s="86"/>
      <c r="AC314" s="86"/>
      <c r="AD314" s="86"/>
      <c r="AE314" s="86"/>
      <c r="AF314" s="86"/>
      <c r="AG314" s="86"/>
      <c r="AH314" s="102">
        <v>0</v>
      </c>
      <c r="AI314" s="102"/>
      <c r="AJ314" s="102"/>
      <c r="AK314" s="102"/>
      <c r="AL314" s="62"/>
      <c r="AM314" s="62"/>
    </row>
    <row r="315" spans="1:39" ht="27" customHeight="1" x14ac:dyDescent="0.2">
      <c r="A315" s="105" t="s">
        <v>271</v>
      </c>
      <c r="B315" s="105"/>
      <c r="C315" s="105"/>
      <c r="D315" s="105"/>
      <c r="E315" s="105"/>
      <c r="F315" s="105"/>
      <c r="G315" s="105"/>
      <c r="H315" s="105"/>
      <c r="I315" s="105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106">
        <v>0</v>
      </c>
      <c r="AA315" s="106"/>
      <c r="AB315" s="106"/>
      <c r="AC315" s="106"/>
      <c r="AD315" s="106"/>
      <c r="AE315" s="106"/>
      <c r="AF315" s="106"/>
      <c r="AG315" s="106"/>
      <c r="AH315" s="107">
        <v>0</v>
      </c>
      <c r="AI315" s="107"/>
      <c r="AJ315" s="107"/>
      <c r="AK315" s="107"/>
      <c r="AL315" s="31"/>
      <c r="AM315" s="31"/>
    </row>
    <row r="316" spans="1:39" ht="21.95" customHeight="1" x14ac:dyDescent="0.2">
      <c r="A316" s="80" t="s">
        <v>272</v>
      </c>
      <c r="B316" s="80"/>
      <c r="C316" s="80"/>
      <c r="D316" s="80"/>
      <c r="E316" s="80"/>
      <c r="F316" s="80"/>
      <c r="G316" s="80"/>
      <c r="H316" s="80"/>
      <c r="I316" s="80"/>
      <c r="J316" s="81">
        <v>45665</v>
      </c>
      <c r="K316" s="81"/>
      <c r="L316" s="81"/>
      <c r="M316" s="81"/>
      <c r="N316" s="81"/>
      <c r="O316" s="81"/>
      <c r="P316" s="81"/>
      <c r="Q316" s="82">
        <v>34.43</v>
      </c>
      <c r="R316" s="82"/>
      <c r="S316" s="82"/>
      <c r="T316" s="82"/>
      <c r="U316" s="82"/>
      <c r="V316" s="82"/>
      <c r="W316" s="83">
        <v>6.7500000000000004E-2</v>
      </c>
      <c r="X316" s="83"/>
      <c r="Y316" s="83"/>
      <c r="Z316" s="84">
        <v>18</v>
      </c>
      <c r="AA316" s="84"/>
      <c r="AB316" s="84"/>
      <c r="AC316" s="84"/>
      <c r="AD316" s="84"/>
      <c r="AE316" s="84"/>
      <c r="AF316" s="84"/>
      <c r="AG316" s="84"/>
      <c r="AH316" s="102">
        <v>18</v>
      </c>
      <c r="AI316" s="102"/>
      <c r="AJ316" s="102"/>
      <c r="AK316" s="102"/>
      <c r="AL316" s="31"/>
      <c r="AM316" s="31"/>
    </row>
    <row r="317" spans="1:39" ht="20.100000000000001" customHeight="1" x14ac:dyDescent="0.2">
      <c r="A317" s="90" t="s">
        <v>273</v>
      </c>
      <c r="B317" s="90"/>
      <c r="C317" s="90"/>
      <c r="D317" s="90"/>
      <c r="E317" s="90"/>
      <c r="F317" s="90"/>
      <c r="G317" s="90"/>
      <c r="H317" s="90"/>
      <c r="I317" s="90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102">
        <v>18</v>
      </c>
      <c r="AI317" s="102"/>
      <c r="AJ317" s="102"/>
      <c r="AK317" s="102"/>
      <c r="AL317" s="31"/>
      <c r="AM317" s="31"/>
    </row>
    <row r="318" spans="1:39" ht="21.95" customHeight="1" x14ac:dyDescent="0.2">
      <c r="A318" s="80" t="s">
        <v>274</v>
      </c>
      <c r="B318" s="80"/>
      <c r="C318" s="80"/>
      <c r="D318" s="80"/>
      <c r="E318" s="80"/>
      <c r="F318" s="80"/>
      <c r="G318" s="80"/>
      <c r="H318" s="80"/>
      <c r="I318" s="80"/>
      <c r="J318" s="81">
        <v>45685</v>
      </c>
      <c r="K318" s="81"/>
      <c r="L318" s="81"/>
      <c r="M318" s="81"/>
      <c r="N318" s="81"/>
      <c r="O318" s="81"/>
      <c r="P318" s="81"/>
      <c r="Q318" s="86">
        <v>282.60000000000002</v>
      </c>
      <c r="R318" s="86"/>
      <c r="S318" s="86"/>
      <c r="T318" s="86"/>
      <c r="U318" s="86"/>
      <c r="V318" s="86"/>
      <c r="W318" s="83">
        <v>0.7349</v>
      </c>
      <c r="X318" s="83"/>
      <c r="Y318" s="83"/>
      <c r="Z318" s="84">
        <v>18</v>
      </c>
      <c r="AA318" s="84"/>
      <c r="AB318" s="84"/>
      <c r="AC318" s="84"/>
      <c r="AD318" s="84"/>
      <c r="AE318" s="84"/>
      <c r="AF318" s="84"/>
      <c r="AG318" s="84"/>
      <c r="AH318" s="102">
        <v>18</v>
      </c>
      <c r="AI318" s="102"/>
      <c r="AJ318" s="102"/>
      <c r="AK318" s="102"/>
      <c r="AL318" s="31"/>
      <c r="AM318" s="31"/>
    </row>
    <row r="319" spans="1:39" ht="21" customHeight="1" x14ac:dyDescent="0.2">
      <c r="A319" s="80" t="s">
        <v>275</v>
      </c>
      <c r="B319" s="80"/>
      <c r="C319" s="80"/>
      <c r="D319" s="80"/>
      <c r="E319" s="80"/>
      <c r="F319" s="80"/>
      <c r="G319" s="80"/>
      <c r="H319" s="80"/>
      <c r="I319" s="80"/>
      <c r="J319" s="81">
        <v>45665</v>
      </c>
      <c r="K319" s="81"/>
      <c r="L319" s="81"/>
      <c r="M319" s="81"/>
      <c r="N319" s="81"/>
      <c r="O319" s="81"/>
      <c r="P319" s="81"/>
      <c r="Q319" s="86">
        <v>143.76</v>
      </c>
      <c r="R319" s="86"/>
      <c r="S319" s="86"/>
      <c r="T319" s="86"/>
      <c r="U319" s="86"/>
      <c r="V319" s="86"/>
      <c r="W319" s="83">
        <v>0.29149999999999998</v>
      </c>
      <c r="X319" s="83"/>
      <c r="Y319" s="83"/>
      <c r="Z319" s="84">
        <v>18</v>
      </c>
      <c r="AA319" s="84"/>
      <c r="AB319" s="84"/>
      <c r="AC319" s="84"/>
      <c r="AD319" s="84"/>
      <c r="AE319" s="84"/>
      <c r="AF319" s="84"/>
      <c r="AG319" s="84"/>
      <c r="AH319" s="102">
        <v>18</v>
      </c>
      <c r="AI319" s="102"/>
      <c r="AJ319" s="102"/>
      <c r="AK319" s="102"/>
      <c r="AL319" s="31"/>
      <c r="AM319" s="31"/>
    </row>
    <row r="320" spans="1:39" ht="20.100000000000001" customHeight="1" x14ac:dyDescent="0.2">
      <c r="A320" s="80" t="s">
        <v>276</v>
      </c>
      <c r="B320" s="80"/>
      <c r="C320" s="80"/>
      <c r="D320" s="80"/>
      <c r="E320" s="80"/>
      <c r="F320" s="80"/>
      <c r="G320" s="80"/>
      <c r="H320" s="80"/>
      <c r="I320" s="80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86">
        <v>0</v>
      </c>
      <c r="AA320" s="86"/>
      <c r="AB320" s="86"/>
      <c r="AC320" s="86"/>
      <c r="AD320" s="86"/>
      <c r="AE320" s="86"/>
      <c r="AF320" s="86"/>
      <c r="AG320" s="86"/>
      <c r="AH320" s="102">
        <v>0</v>
      </c>
      <c r="AI320" s="102"/>
      <c r="AJ320" s="102"/>
      <c r="AK320" s="102"/>
      <c r="AL320" s="31"/>
      <c r="AM320" s="31"/>
    </row>
    <row r="321" spans="1:39" ht="21" customHeight="1" x14ac:dyDescent="0.2">
      <c r="A321" s="80" t="s">
        <v>277</v>
      </c>
      <c r="B321" s="80"/>
      <c r="C321" s="80"/>
      <c r="D321" s="80"/>
      <c r="E321" s="80"/>
      <c r="F321" s="80"/>
      <c r="G321" s="80"/>
      <c r="H321" s="80"/>
      <c r="I321" s="80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86">
        <v>0</v>
      </c>
      <c r="AA321" s="86"/>
      <c r="AB321" s="86"/>
      <c r="AC321" s="86"/>
      <c r="AD321" s="86"/>
      <c r="AE321" s="86"/>
      <c r="AF321" s="86"/>
      <c r="AG321" s="86"/>
      <c r="AH321" s="102">
        <v>0</v>
      </c>
      <c r="AI321" s="102"/>
      <c r="AJ321" s="102"/>
      <c r="AK321" s="102"/>
      <c r="AL321" s="31"/>
      <c r="AM321" s="31"/>
    </row>
    <row r="322" spans="1:39" ht="21.95" customHeight="1" x14ac:dyDescent="0.2">
      <c r="A322" s="80" t="s">
        <v>278</v>
      </c>
      <c r="B322" s="80"/>
      <c r="C322" s="80"/>
      <c r="D322" s="80"/>
      <c r="E322" s="80"/>
      <c r="F322" s="80"/>
      <c r="G322" s="80"/>
      <c r="H322" s="80"/>
      <c r="I322" s="80"/>
      <c r="J322" s="81">
        <v>45681</v>
      </c>
      <c r="K322" s="81"/>
      <c r="L322" s="81"/>
      <c r="M322" s="81"/>
      <c r="N322" s="81"/>
      <c r="O322" s="81"/>
      <c r="P322" s="81"/>
      <c r="Q322" s="82">
        <v>13</v>
      </c>
      <c r="R322" s="82"/>
      <c r="S322" s="82"/>
      <c r="T322" s="82"/>
      <c r="U322" s="82"/>
      <c r="V322" s="82"/>
      <c r="W322" s="83">
        <v>6.7599999999999993E-2</v>
      </c>
      <c r="X322" s="83"/>
      <c r="Y322" s="83"/>
      <c r="Z322" s="84">
        <v>18</v>
      </c>
      <c r="AA322" s="84"/>
      <c r="AB322" s="84"/>
      <c r="AC322" s="84"/>
      <c r="AD322" s="84"/>
      <c r="AE322" s="84"/>
      <c r="AF322" s="84"/>
      <c r="AG322" s="84"/>
      <c r="AH322" s="102">
        <v>18</v>
      </c>
      <c r="AI322" s="102"/>
      <c r="AJ322" s="102"/>
      <c r="AK322" s="102"/>
      <c r="AL322" s="31"/>
      <c r="AM322" s="31"/>
    </row>
    <row r="323" spans="1:39" ht="15.95" customHeight="1" x14ac:dyDescent="0.2">
      <c r="A323" s="80" t="s">
        <v>279</v>
      </c>
      <c r="B323" s="80"/>
      <c r="C323" s="80"/>
      <c r="D323" s="80"/>
      <c r="E323" s="80"/>
      <c r="F323" s="80"/>
      <c r="G323" s="80"/>
      <c r="H323" s="80"/>
      <c r="I323" s="80"/>
      <c r="J323" s="81">
        <v>45685</v>
      </c>
      <c r="K323" s="81"/>
      <c r="L323" s="81"/>
      <c r="M323" s="81"/>
      <c r="N323" s="81"/>
      <c r="O323" s="81"/>
      <c r="P323" s="81"/>
      <c r="Q323" s="103">
        <v>1264</v>
      </c>
      <c r="R323" s="103"/>
      <c r="S323" s="103"/>
      <c r="T323" s="103"/>
      <c r="U323" s="103"/>
      <c r="V323" s="103"/>
      <c r="W323" s="104">
        <v>2</v>
      </c>
      <c r="X323" s="104"/>
      <c r="Y323" s="104"/>
      <c r="Z323" s="84">
        <v>18</v>
      </c>
      <c r="AA323" s="84"/>
      <c r="AB323" s="84"/>
      <c r="AC323" s="84"/>
      <c r="AD323" s="84"/>
      <c r="AE323" s="84"/>
      <c r="AF323" s="84"/>
      <c r="AG323" s="84"/>
      <c r="AH323" s="102">
        <v>18</v>
      </c>
      <c r="AI323" s="102"/>
      <c r="AJ323" s="102"/>
      <c r="AK323" s="102"/>
      <c r="AL323" s="26"/>
      <c r="AM323" s="26"/>
    </row>
    <row r="324" spans="1:39" ht="220.5" customHeight="1" x14ac:dyDescent="0.25">
      <c r="A324" s="3" t="s">
        <v>14</v>
      </c>
      <c r="B324" s="62"/>
      <c r="C324" s="62"/>
      <c r="D324" s="62"/>
      <c r="E324" s="62"/>
      <c r="F324" s="62"/>
      <c r="G324" s="62"/>
      <c r="H324" s="62"/>
      <c r="I324" s="1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1"/>
      <c r="W324" s="62"/>
      <c r="X324" s="62"/>
      <c r="Y324" s="1"/>
      <c r="Z324" s="62"/>
      <c r="AA324" s="62"/>
      <c r="AB324" s="62"/>
      <c r="AC324" s="62"/>
      <c r="AD324" s="62"/>
      <c r="AE324" s="62"/>
      <c r="AF324" s="1"/>
      <c r="AG324" s="62"/>
      <c r="AH324" s="62"/>
      <c r="AI324" s="62"/>
      <c r="AJ324" s="62"/>
      <c r="AK324" s="62"/>
      <c r="AL324" s="62"/>
      <c r="AM324" s="1"/>
    </row>
    <row r="325" spans="1:39" ht="52.5" customHeight="1" x14ac:dyDescent="0.2">
      <c r="A325" s="96" t="s">
        <v>15</v>
      </c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7" t="s">
        <v>16</v>
      </c>
      <c r="P325" s="97"/>
      <c r="Q325" s="97"/>
      <c r="R325" s="97"/>
      <c r="S325" s="97"/>
      <c r="T325" s="98" t="s">
        <v>17</v>
      </c>
      <c r="U325" s="98"/>
      <c r="V325" s="98"/>
      <c r="W325" s="98"/>
      <c r="X325" s="98"/>
      <c r="Y325" s="99" t="s">
        <v>18</v>
      </c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</row>
    <row r="326" spans="1:39" ht="23.1" customHeight="1" x14ac:dyDescent="0.2">
      <c r="A326" s="100" t="s">
        <v>19</v>
      </c>
      <c r="B326" s="100"/>
      <c r="C326" s="100"/>
      <c r="D326" s="100"/>
      <c r="E326" s="100"/>
      <c r="F326" s="100"/>
      <c r="G326" s="100"/>
      <c r="H326" s="100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2"/>
    </row>
    <row r="327" spans="1:39" ht="23.1" customHeight="1" x14ac:dyDescent="0.2">
      <c r="A327" s="101" t="s">
        <v>76</v>
      </c>
      <c r="B327" s="101"/>
      <c r="C327" s="101"/>
      <c r="D327" s="101"/>
      <c r="E327" s="101"/>
      <c r="F327" s="101"/>
      <c r="G327" s="101"/>
      <c r="H327" s="101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2"/>
    </row>
    <row r="328" spans="1:39" ht="21.95" customHeight="1" x14ac:dyDescent="0.2">
      <c r="A328" s="90" t="s">
        <v>280</v>
      </c>
      <c r="B328" s="90"/>
      <c r="C328" s="90"/>
      <c r="D328" s="90"/>
      <c r="E328" s="90"/>
      <c r="F328" s="90"/>
      <c r="G328" s="90"/>
      <c r="H328" s="90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85">
        <v>18</v>
      </c>
      <c r="AG328" s="85"/>
      <c r="AH328" s="85"/>
      <c r="AI328" s="85"/>
      <c r="AJ328" s="85"/>
      <c r="AK328" s="85"/>
      <c r="AL328" s="85"/>
      <c r="AM328" s="2"/>
    </row>
    <row r="329" spans="1:39" ht="21" customHeight="1" x14ac:dyDescent="0.2">
      <c r="A329" s="90" t="s">
        <v>281</v>
      </c>
      <c r="B329" s="90"/>
      <c r="C329" s="90"/>
      <c r="D329" s="90"/>
      <c r="E329" s="90"/>
      <c r="F329" s="90"/>
      <c r="G329" s="90"/>
      <c r="H329" s="90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85">
        <v>18</v>
      </c>
      <c r="AG329" s="85"/>
      <c r="AH329" s="85"/>
      <c r="AI329" s="85"/>
      <c r="AJ329" s="85"/>
      <c r="AK329" s="85"/>
      <c r="AL329" s="85"/>
      <c r="AM329" s="2"/>
    </row>
    <row r="330" spans="1:39" ht="21" customHeight="1" x14ac:dyDescent="0.2">
      <c r="A330" s="90" t="s">
        <v>282</v>
      </c>
      <c r="B330" s="90"/>
      <c r="C330" s="90"/>
      <c r="D330" s="90"/>
      <c r="E330" s="90"/>
      <c r="F330" s="90"/>
      <c r="G330" s="90"/>
      <c r="H330" s="90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85">
        <v>18</v>
      </c>
      <c r="AG330" s="85"/>
      <c r="AH330" s="85"/>
      <c r="AI330" s="85"/>
      <c r="AJ330" s="85"/>
      <c r="AK330" s="85"/>
      <c r="AL330" s="85"/>
      <c r="AM330" s="2"/>
    </row>
    <row r="331" spans="1:39" ht="21.95" customHeight="1" x14ac:dyDescent="0.2">
      <c r="A331" s="80" t="s">
        <v>283</v>
      </c>
      <c r="B331" s="80"/>
      <c r="C331" s="80"/>
      <c r="D331" s="80"/>
      <c r="E331" s="80"/>
      <c r="F331" s="80"/>
      <c r="G331" s="80"/>
      <c r="H331" s="80"/>
      <c r="I331" s="92">
        <v>45665</v>
      </c>
      <c r="J331" s="92"/>
      <c r="K331" s="92"/>
      <c r="L331" s="92"/>
      <c r="M331" s="92"/>
      <c r="N331" s="92"/>
      <c r="O331" s="92"/>
      <c r="P331" s="92"/>
      <c r="Q331" s="91">
        <v>0</v>
      </c>
      <c r="R331" s="91"/>
      <c r="S331" s="91"/>
      <c r="T331" s="91"/>
      <c r="U331" s="91"/>
      <c r="V331" s="95">
        <v>0</v>
      </c>
      <c r="W331" s="95"/>
      <c r="X331" s="95"/>
      <c r="Y331" s="95"/>
      <c r="Z331" s="94">
        <v>18</v>
      </c>
      <c r="AA331" s="94"/>
      <c r="AB331" s="94"/>
      <c r="AC331" s="94"/>
      <c r="AD331" s="94"/>
      <c r="AE331" s="94"/>
      <c r="AF331" s="85">
        <v>18</v>
      </c>
      <c r="AG331" s="85"/>
      <c r="AH331" s="85"/>
      <c r="AI331" s="85"/>
      <c r="AJ331" s="85"/>
      <c r="AK331" s="85"/>
      <c r="AL331" s="85"/>
      <c r="AM331" s="2"/>
    </row>
    <row r="332" spans="1:39" ht="21" customHeight="1" x14ac:dyDescent="0.2">
      <c r="A332" s="80" t="s">
        <v>284</v>
      </c>
      <c r="B332" s="80"/>
      <c r="C332" s="80"/>
      <c r="D332" s="80"/>
      <c r="E332" s="80"/>
      <c r="F332" s="80"/>
      <c r="G332" s="80"/>
      <c r="H332" s="80"/>
      <c r="I332" s="92">
        <v>45687</v>
      </c>
      <c r="J332" s="92"/>
      <c r="K332" s="92"/>
      <c r="L332" s="92"/>
      <c r="M332" s="92"/>
      <c r="N332" s="92"/>
      <c r="O332" s="92"/>
      <c r="P332" s="92"/>
      <c r="Q332" s="86">
        <v>249.47</v>
      </c>
      <c r="R332" s="86"/>
      <c r="S332" s="86"/>
      <c r="T332" s="86"/>
      <c r="U332" s="86"/>
      <c r="V332" s="93">
        <v>0.24560000000000001</v>
      </c>
      <c r="W332" s="93"/>
      <c r="X332" s="93"/>
      <c r="Y332" s="93"/>
      <c r="Z332" s="94">
        <v>18</v>
      </c>
      <c r="AA332" s="94"/>
      <c r="AB332" s="94"/>
      <c r="AC332" s="94"/>
      <c r="AD332" s="94"/>
      <c r="AE332" s="94"/>
      <c r="AF332" s="85">
        <v>18</v>
      </c>
      <c r="AG332" s="85"/>
      <c r="AH332" s="85"/>
      <c r="AI332" s="85"/>
      <c r="AJ332" s="85"/>
      <c r="AK332" s="85"/>
      <c r="AL332" s="85"/>
      <c r="AM332" s="2"/>
    </row>
    <row r="333" spans="1:39" ht="20.100000000000001" customHeight="1" x14ac:dyDescent="0.2">
      <c r="A333" s="90" t="s">
        <v>285</v>
      </c>
      <c r="B333" s="90"/>
      <c r="C333" s="90"/>
      <c r="D333" s="90"/>
      <c r="E333" s="90"/>
      <c r="F333" s="90"/>
      <c r="G333" s="90"/>
      <c r="H333" s="90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85">
        <v>18</v>
      </c>
      <c r="AG333" s="85"/>
      <c r="AH333" s="85"/>
      <c r="AI333" s="85"/>
      <c r="AJ333" s="85"/>
      <c r="AK333" s="85"/>
      <c r="AL333" s="85"/>
      <c r="AM333" s="2"/>
    </row>
    <row r="334" spans="1:39" ht="21" customHeight="1" x14ac:dyDescent="0.2">
      <c r="A334" s="80" t="s">
        <v>286</v>
      </c>
      <c r="B334" s="80"/>
      <c r="C334" s="80"/>
      <c r="D334" s="80"/>
      <c r="E334" s="80"/>
      <c r="F334" s="80"/>
      <c r="G334" s="80"/>
      <c r="H334" s="80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94">
        <v>0</v>
      </c>
      <c r="AA334" s="94"/>
      <c r="AB334" s="94"/>
      <c r="AC334" s="94"/>
      <c r="AD334" s="94"/>
      <c r="AE334" s="94"/>
      <c r="AF334" s="85">
        <v>0</v>
      </c>
      <c r="AG334" s="85"/>
      <c r="AH334" s="85"/>
      <c r="AI334" s="85"/>
      <c r="AJ334" s="85"/>
      <c r="AK334" s="85"/>
      <c r="AL334" s="85"/>
      <c r="AM334" s="2"/>
    </row>
    <row r="335" spans="1:39" ht="27.6" customHeight="1" x14ac:dyDescent="0.2">
      <c r="A335" s="90" t="s">
        <v>287</v>
      </c>
      <c r="B335" s="90"/>
      <c r="C335" s="90"/>
      <c r="D335" s="90"/>
      <c r="E335" s="90"/>
      <c r="F335" s="90"/>
      <c r="G335" s="90"/>
      <c r="H335" s="90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2"/>
    </row>
    <row r="336" spans="1:39" ht="21" customHeight="1" x14ac:dyDescent="0.2">
      <c r="A336" s="90" t="s">
        <v>288</v>
      </c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</row>
    <row r="337" spans="1:39" ht="20.45" customHeight="1" x14ac:dyDescent="0.2">
      <c r="A337" s="90" t="s">
        <v>289</v>
      </c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</row>
    <row r="338" spans="1:39" ht="15.95" customHeight="1" x14ac:dyDescent="0.2">
      <c r="A338" s="80" t="s">
        <v>290</v>
      </c>
      <c r="B338" s="80"/>
      <c r="C338" s="80"/>
      <c r="D338" s="80"/>
      <c r="E338" s="80"/>
      <c r="F338" s="26"/>
      <c r="G338" s="26"/>
      <c r="H338" s="26"/>
      <c r="I338" s="26"/>
      <c r="J338" s="81">
        <v>45665</v>
      </c>
      <c r="K338" s="81"/>
      <c r="L338" s="81"/>
      <c r="M338" s="81"/>
      <c r="N338" s="81"/>
      <c r="O338" s="81"/>
      <c r="P338" s="81"/>
      <c r="Q338" s="91">
        <v>0</v>
      </c>
      <c r="R338" s="91"/>
      <c r="S338" s="91"/>
      <c r="T338" s="91"/>
      <c r="U338" s="91"/>
      <c r="V338" s="91"/>
      <c r="W338" s="83">
        <v>0</v>
      </c>
      <c r="X338" s="83"/>
      <c r="Y338" s="83"/>
      <c r="Z338" s="84">
        <v>18</v>
      </c>
      <c r="AA338" s="84"/>
      <c r="AB338" s="84"/>
      <c r="AC338" s="84"/>
      <c r="AD338" s="84"/>
      <c r="AE338" s="84"/>
      <c r="AF338" s="84"/>
      <c r="AG338" s="85">
        <v>18</v>
      </c>
      <c r="AH338" s="85"/>
      <c r="AI338" s="85"/>
      <c r="AJ338" s="85"/>
      <c r="AK338" s="85"/>
      <c r="AL338" s="85"/>
      <c r="AM338" s="4"/>
    </row>
    <row r="339" spans="1:39" ht="20.100000000000001" customHeight="1" x14ac:dyDescent="0.2">
      <c r="A339" s="80" t="s">
        <v>291</v>
      </c>
      <c r="B339" s="80"/>
      <c r="C339" s="80"/>
      <c r="D339" s="80"/>
      <c r="E339" s="80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86">
        <v>0</v>
      </c>
      <c r="AA339" s="86"/>
      <c r="AB339" s="86"/>
      <c r="AC339" s="86"/>
      <c r="AD339" s="86"/>
      <c r="AE339" s="86"/>
      <c r="AF339" s="86"/>
      <c r="AG339" s="85">
        <v>0</v>
      </c>
      <c r="AH339" s="85"/>
      <c r="AI339" s="85"/>
      <c r="AJ339" s="85"/>
      <c r="AK339" s="85"/>
      <c r="AL339" s="85"/>
      <c r="AM339" s="2"/>
    </row>
    <row r="340" spans="1:39" ht="21.95" customHeight="1" x14ac:dyDescent="0.2">
      <c r="A340" s="80" t="s">
        <v>292</v>
      </c>
      <c r="B340" s="80"/>
      <c r="C340" s="80"/>
      <c r="D340" s="80"/>
      <c r="E340" s="80"/>
      <c r="F340" s="31"/>
      <c r="G340" s="31"/>
      <c r="H340" s="31"/>
      <c r="I340" s="31"/>
      <c r="J340" s="81">
        <v>45665</v>
      </c>
      <c r="K340" s="81"/>
      <c r="L340" s="81"/>
      <c r="M340" s="81"/>
      <c r="N340" s="81"/>
      <c r="O340" s="81"/>
      <c r="P340" s="81"/>
      <c r="Q340" s="82">
        <v>79.599999999999994</v>
      </c>
      <c r="R340" s="82"/>
      <c r="S340" s="82"/>
      <c r="T340" s="82"/>
      <c r="U340" s="82"/>
      <c r="V340" s="82"/>
      <c r="W340" s="83">
        <v>0.17419999999999999</v>
      </c>
      <c r="X340" s="83"/>
      <c r="Y340" s="83"/>
      <c r="Z340" s="84">
        <v>18</v>
      </c>
      <c r="AA340" s="84"/>
      <c r="AB340" s="84"/>
      <c r="AC340" s="84"/>
      <c r="AD340" s="84"/>
      <c r="AE340" s="84"/>
      <c r="AF340" s="84"/>
      <c r="AG340" s="85">
        <v>18</v>
      </c>
      <c r="AH340" s="85"/>
      <c r="AI340" s="85"/>
      <c r="AJ340" s="85"/>
      <c r="AK340" s="85"/>
      <c r="AL340" s="85"/>
      <c r="AM340" s="2"/>
    </row>
    <row r="341" spans="1:39" ht="20.100000000000001" customHeight="1" x14ac:dyDescent="0.2">
      <c r="A341" s="80" t="s">
        <v>293</v>
      </c>
      <c r="B341" s="80"/>
      <c r="C341" s="80"/>
      <c r="D341" s="80"/>
      <c r="E341" s="80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86">
        <v>0</v>
      </c>
      <c r="AA341" s="86"/>
      <c r="AB341" s="86"/>
      <c r="AC341" s="86"/>
      <c r="AD341" s="86"/>
      <c r="AE341" s="86"/>
      <c r="AF341" s="86"/>
      <c r="AG341" s="85">
        <v>0</v>
      </c>
      <c r="AH341" s="85"/>
      <c r="AI341" s="85"/>
      <c r="AJ341" s="85"/>
      <c r="AK341" s="85"/>
      <c r="AL341" s="85"/>
      <c r="AM341" s="2"/>
    </row>
    <row r="342" spans="1:39" ht="33" customHeight="1" x14ac:dyDescent="0.2">
      <c r="A342" s="80" t="s">
        <v>294</v>
      </c>
      <c r="B342" s="80"/>
      <c r="C342" s="80"/>
      <c r="D342" s="80"/>
      <c r="E342" s="80"/>
      <c r="F342" s="31"/>
      <c r="G342" s="31"/>
      <c r="H342" s="31"/>
      <c r="I342" s="31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8">
        <v>0</v>
      </c>
      <c r="AA342" s="88"/>
      <c r="AB342" s="88"/>
      <c r="AC342" s="88"/>
      <c r="AD342" s="88"/>
      <c r="AE342" s="88"/>
      <c r="AF342" s="88"/>
      <c r="AG342" s="89">
        <v>0</v>
      </c>
      <c r="AH342" s="89"/>
      <c r="AI342" s="89"/>
      <c r="AJ342" s="89"/>
      <c r="AK342" s="89"/>
      <c r="AL342" s="89"/>
      <c r="AM342" s="2"/>
    </row>
    <row r="343" spans="1:39" ht="84.6" customHeight="1" x14ac:dyDescent="0.2">
      <c r="A343" s="71" t="s">
        <v>295</v>
      </c>
      <c r="B343" s="71"/>
      <c r="C343" s="71"/>
      <c r="D343" s="71"/>
      <c r="E343" s="71"/>
      <c r="F343" s="72">
        <v>274</v>
      </c>
      <c r="G343" s="72"/>
      <c r="H343" s="72"/>
      <c r="I343" s="72"/>
      <c r="J343" s="73" t="s">
        <v>296</v>
      </c>
      <c r="K343" s="73"/>
      <c r="L343" s="73"/>
      <c r="M343" s="73"/>
      <c r="N343" s="73"/>
      <c r="O343" s="73"/>
      <c r="P343" s="73"/>
      <c r="Q343" s="74">
        <v>52049.55</v>
      </c>
      <c r="R343" s="74"/>
      <c r="S343" s="74"/>
      <c r="T343" s="74"/>
      <c r="U343" s="74"/>
      <c r="V343" s="74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6">
        <v>3294</v>
      </c>
      <c r="AH343" s="76"/>
      <c r="AI343" s="76"/>
      <c r="AJ343" s="76"/>
      <c r="AK343" s="76"/>
      <c r="AL343" s="76"/>
      <c r="AM343" s="1"/>
    </row>
    <row r="344" spans="1:39" ht="14.25" customHeight="1" x14ac:dyDescent="0.2">
      <c r="A344" s="77" t="s">
        <v>297</v>
      </c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</row>
    <row r="345" spans="1:39" ht="249.95" customHeight="1" x14ac:dyDescent="0.2">
      <c r="A345" s="78" t="s">
        <v>298</v>
      </c>
      <c r="B345" s="78"/>
      <c r="C345" s="78"/>
      <c r="D345" s="78"/>
      <c r="E345" s="1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1"/>
      <c r="AC345" s="62"/>
      <c r="AD345" s="62"/>
      <c r="AE345" s="62"/>
      <c r="AF345" s="62"/>
      <c r="AG345" s="62"/>
      <c r="AH345" s="62"/>
      <c r="AI345" s="1"/>
      <c r="AJ345" s="1"/>
      <c r="AK345" s="62"/>
      <c r="AL345" s="62"/>
    </row>
    <row r="346" spans="1:39" ht="12.75" customHeight="1" x14ac:dyDescent="0.2">
      <c r="A346" s="78"/>
      <c r="B346" s="78"/>
      <c r="C346" s="78"/>
      <c r="D346" s="78"/>
      <c r="E346" s="2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2"/>
      <c r="AC346" s="31"/>
      <c r="AD346" s="31"/>
      <c r="AE346" s="31"/>
      <c r="AF346" s="31"/>
      <c r="AG346" s="31"/>
      <c r="AH346" s="31"/>
      <c r="AI346" s="79" t="s">
        <v>299</v>
      </c>
      <c r="AJ346" s="79"/>
      <c r="AK346" s="79"/>
      <c r="AL346" s="79"/>
    </row>
    <row r="347" spans="1:39" ht="5.25" customHeight="1" x14ac:dyDescent="0.2">
      <c r="A347" s="78"/>
      <c r="B347" s="78"/>
      <c r="C347" s="78"/>
      <c r="D347" s="78"/>
      <c r="E347" s="4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4"/>
      <c r="AC347" s="26"/>
      <c r="AD347" s="26"/>
      <c r="AE347" s="26"/>
      <c r="AF347" s="26"/>
      <c r="AG347" s="26"/>
      <c r="AH347" s="26"/>
      <c r="AI347" s="4"/>
      <c r="AJ347" s="4"/>
      <c r="AK347" s="26"/>
      <c r="AL347" s="26"/>
    </row>
    <row r="348" spans="1:39" ht="17.45" customHeight="1" x14ac:dyDescent="0.2">
      <c r="A348" s="78"/>
      <c r="B348" s="78"/>
      <c r="C348" s="78"/>
      <c r="D348" s="78"/>
      <c r="E348" s="4"/>
      <c r="F348" s="50" t="s">
        <v>300</v>
      </c>
      <c r="G348" s="51"/>
      <c r="H348" s="51"/>
      <c r="I348" s="51"/>
      <c r="J348" s="52"/>
      <c r="K348" s="56" t="s">
        <v>301</v>
      </c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8"/>
      <c r="AK348" s="26"/>
      <c r="AL348" s="26"/>
    </row>
    <row r="349" spans="1:39" ht="39.950000000000003" customHeight="1" x14ac:dyDescent="0.2">
      <c r="A349" s="31"/>
      <c r="B349" s="31"/>
      <c r="C349" s="31"/>
      <c r="D349" s="31"/>
      <c r="E349" s="2"/>
      <c r="F349" s="53"/>
      <c r="G349" s="54"/>
      <c r="H349" s="54"/>
      <c r="I349" s="54"/>
      <c r="J349" s="55"/>
      <c r="K349" s="59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1"/>
      <c r="AK349" s="31"/>
      <c r="AL349" s="31"/>
    </row>
    <row r="350" spans="1:39" ht="46.7" customHeight="1" x14ac:dyDescent="0.2">
      <c r="A350" s="62"/>
      <c r="B350" s="62"/>
      <c r="C350" s="62"/>
      <c r="D350" s="62"/>
      <c r="E350" s="1"/>
      <c r="F350" s="63" t="s">
        <v>302</v>
      </c>
      <c r="G350" s="64"/>
      <c r="H350" s="64"/>
      <c r="I350" s="64"/>
      <c r="J350" s="65"/>
      <c r="K350" s="66" t="s">
        <v>303</v>
      </c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8"/>
      <c r="AK350" s="62"/>
      <c r="AL350" s="62"/>
    </row>
    <row r="351" spans="1:39" ht="38.450000000000003" customHeight="1" x14ac:dyDescent="0.2">
      <c r="A351" s="31"/>
      <c r="B351" s="31"/>
      <c r="C351" s="31"/>
      <c r="D351" s="31"/>
      <c r="E351" s="2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2"/>
      <c r="AC351" s="31"/>
      <c r="AD351" s="31"/>
      <c r="AE351" s="69">
        <v>3469</v>
      </c>
      <c r="AF351" s="69"/>
      <c r="AG351" s="69"/>
      <c r="AH351" s="69"/>
      <c r="AI351" s="69"/>
      <c r="AJ351" s="69"/>
      <c r="AK351" s="69"/>
      <c r="AL351" s="69"/>
    </row>
    <row r="352" spans="1:39" ht="12.6" customHeight="1" x14ac:dyDescent="0.2">
      <c r="A352" s="70" t="s">
        <v>304</v>
      </c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26"/>
      <c r="AD352" s="26"/>
      <c r="AE352" s="69"/>
      <c r="AF352" s="69"/>
      <c r="AG352" s="69"/>
      <c r="AH352" s="69"/>
      <c r="AI352" s="69"/>
      <c r="AJ352" s="69"/>
      <c r="AK352" s="69"/>
      <c r="AL352" s="69"/>
    </row>
    <row r="353" spans="1:38" ht="105.95" customHeight="1" x14ac:dyDescent="0.2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62"/>
      <c r="AD353" s="62"/>
      <c r="AE353" s="62"/>
      <c r="AF353" s="62"/>
      <c r="AG353" s="62"/>
      <c r="AH353" s="62"/>
      <c r="AI353" s="1"/>
      <c r="AJ353" s="1"/>
      <c r="AK353" s="62"/>
      <c r="AL353" s="62"/>
    </row>
    <row r="354" spans="1:38" ht="18" customHeight="1" x14ac:dyDescent="0.2">
      <c r="A354" s="23" t="s">
        <v>305</v>
      </c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5"/>
      <c r="AJ354" s="4"/>
      <c r="AK354" s="26"/>
      <c r="AL354" s="26"/>
    </row>
    <row r="355" spans="1:38" ht="18.600000000000001" customHeight="1" x14ac:dyDescent="0.2">
      <c r="A355" s="27" t="s">
        <v>306</v>
      </c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9"/>
      <c r="AJ355" s="4"/>
      <c r="AK355" s="26"/>
      <c r="AL355" s="26"/>
    </row>
    <row r="356" spans="1:38" ht="23.85" customHeight="1" x14ac:dyDescent="0.2">
      <c r="A356" s="30" t="s">
        <v>307</v>
      </c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2"/>
      <c r="AC356" s="31"/>
      <c r="AD356" s="31"/>
      <c r="AE356" s="31"/>
      <c r="AF356" s="31"/>
      <c r="AG356" s="31"/>
      <c r="AH356" s="31"/>
      <c r="AI356" s="2"/>
      <c r="AJ356" s="2"/>
      <c r="AK356" s="31"/>
      <c r="AL356" s="31"/>
    </row>
    <row r="357" spans="1:38" ht="17.45" customHeight="1" x14ac:dyDescent="0.2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26"/>
      <c r="N357" s="26"/>
      <c r="O357" s="32" t="s">
        <v>308</v>
      </c>
      <c r="P357" s="33"/>
      <c r="Q357" s="33"/>
      <c r="R357" s="33"/>
      <c r="S357" s="33"/>
      <c r="T357" s="34"/>
      <c r="U357" s="35">
        <v>3469</v>
      </c>
      <c r="V357" s="36"/>
      <c r="W357" s="36"/>
      <c r="X357" s="36"/>
      <c r="Y357" s="36"/>
      <c r="Z357" s="36"/>
      <c r="AA357" s="37"/>
      <c r="AB357" s="4"/>
      <c r="AC357" s="26"/>
      <c r="AD357" s="26"/>
      <c r="AE357" s="26"/>
      <c r="AF357" s="26"/>
      <c r="AG357" s="26"/>
      <c r="AH357" s="26"/>
      <c r="AI357" s="4"/>
      <c r="AJ357" s="4"/>
      <c r="AK357" s="26"/>
      <c r="AL357" s="26"/>
    </row>
    <row r="358" spans="1:38" ht="8.25" customHeight="1" x14ac:dyDescent="0.2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26"/>
      <c r="N358" s="26"/>
      <c r="O358" s="38" t="s">
        <v>309</v>
      </c>
      <c r="P358" s="39"/>
      <c r="Q358" s="39"/>
      <c r="R358" s="39"/>
      <c r="S358" s="39"/>
      <c r="T358" s="40"/>
      <c r="U358" s="44">
        <v>0</v>
      </c>
      <c r="V358" s="45"/>
      <c r="W358" s="45"/>
      <c r="X358" s="45"/>
      <c r="Y358" s="45"/>
      <c r="Z358" s="45"/>
      <c r="AA358" s="46"/>
      <c r="AB358" s="4"/>
      <c r="AC358" s="26"/>
      <c r="AD358" s="26"/>
      <c r="AE358" s="26"/>
      <c r="AF358" s="26"/>
      <c r="AG358" s="26"/>
      <c r="AH358" s="26"/>
      <c r="AI358" s="4"/>
      <c r="AJ358" s="4"/>
      <c r="AK358" s="26"/>
      <c r="AL358" s="26"/>
    </row>
    <row r="359" spans="1:38" ht="10.35" customHeight="1" x14ac:dyDescent="0.2">
      <c r="A359" s="26"/>
      <c r="B359" s="26"/>
      <c r="C359" s="26"/>
      <c r="D359" s="26"/>
      <c r="E359" s="4"/>
      <c r="F359" s="26"/>
      <c r="G359" s="26"/>
      <c r="H359" s="26"/>
      <c r="I359" s="26"/>
      <c r="J359" s="26"/>
      <c r="K359" s="26"/>
      <c r="L359" s="26"/>
      <c r="M359" s="26"/>
      <c r="N359" s="26"/>
      <c r="O359" s="41"/>
      <c r="P359" s="42"/>
      <c r="Q359" s="42"/>
      <c r="R359" s="42"/>
      <c r="S359" s="42"/>
      <c r="T359" s="43"/>
      <c r="U359" s="47"/>
      <c r="V359" s="48"/>
      <c r="W359" s="48"/>
      <c r="X359" s="48"/>
      <c r="Y359" s="48"/>
      <c r="Z359" s="48"/>
      <c r="AA359" s="49"/>
      <c r="AB359" s="4"/>
      <c r="AC359" s="26"/>
      <c r="AD359" s="26"/>
      <c r="AE359" s="26"/>
      <c r="AF359" s="26"/>
      <c r="AG359" s="26"/>
      <c r="AH359" s="26"/>
      <c r="AI359" s="4"/>
      <c r="AJ359" s="4"/>
      <c r="AK359" s="26"/>
      <c r="AL359" s="26"/>
    </row>
    <row r="360" spans="1:38" ht="23.45" customHeight="1" x14ac:dyDescent="0.2">
      <c r="A360" s="22" t="s">
        <v>310</v>
      </c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</row>
  </sheetData>
  <mergeCells count="2026">
    <mergeCell ref="A1:AM1"/>
    <mergeCell ref="A2:AM2"/>
    <mergeCell ref="A3:B3"/>
    <mergeCell ref="C3:E3"/>
    <mergeCell ref="F3:J3"/>
    <mergeCell ref="K3:R3"/>
    <mergeCell ref="S3:W3"/>
    <mergeCell ref="A4:AM4"/>
    <mergeCell ref="A5:B5"/>
    <mergeCell ref="C5:F5"/>
    <mergeCell ref="G5:K5"/>
    <mergeCell ref="L5:O5"/>
    <mergeCell ref="P5:S5"/>
    <mergeCell ref="A6:B6"/>
    <mergeCell ref="C6:F6"/>
    <mergeCell ref="G6:K6"/>
    <mergeCell ref="L6:O6"/>
    <mergeCell ref="P6:S6"/>
    <mergeCell ref="A7:B7"/>
    <mergeCell ref="C7:F7"/>
    <mergeCell ref="G7:K7"/>
    <mergeCell ref="L7:O7"/>
    <mergeCell ref="P7:S7"/>
    <mergeCell ref="A8:C8"/>
    <mergeCell ref="D8:M8"/>
    <mergeCell ref="N8:Q8"/>
    <mergeCell ref="R8:AE8"/>
    <mergeCell ref="AF8:AM8"/>
    <mergeCell ref="A9:AM9"/>
    <mergeCell ref="A10:AM10"/>
    <mergeCell ref="A11:AM11"/>
    <mergeCell ref="A12:P12"/>
    <mergeCell ref="Q12:U12"/>
    <mergeCell ref="V12:Z12"/>
    <mergeCell ref="AA12:AM12"/>
    <mergeCell ref="A13:I13"/>
    <mergeCell ref="J13:AL14"/>
    <mergeCell ref="A14:I14"/>
    <mergeCell ref="A15:I15"/>
    <mergeCell ref="J15:P15"/>
    <mergeCell ref="Q15:U15"/>
    <mergeCell ref="V15:Y15"/>
    <mergeCell ref="Z15:AE15"/>
    <mergeCell ref="AF15:AL15"/>
    <mergeCell ref="A16:I16"/>
    <mergeCell ref="J16:P16"/>
    <mergeCell ref="Q16:U16"/>
    <mergeCell ref="V16:Y16"/>
    <mergeCell ref="Z16:AE16"/>
    <mergeCell ref="AF16:AL16"/>
    <mergeCell ref="A17:I17"/>
    <mergeCell ref="J17:P17"/>
    <mergeCell ref="Q17:U17"/>
    <mergeCell ref="V17:Y17"/>
    <mergeCell ref="Z17:AE17"/>
    <mergeCell ref="AF17:AL17"/>
    <mergeCell ref="A18:I18"/>
    <mergeCell ref="J18:P18"/>
    <mergeCell ref="Q18:U18"/>
    <mergeCell ref="V18:Y18"/>
    <mergeCell ref="Z18:AE18"/>
    <mergeCell ref="AF18:AL18"/>
    <mergeCell ref="A19:I19"/>
    <mergeCell ref="J19:P19"/>
    <mergeCell ref="Q19:U19"/>
    <mergeCell ref="V19:Y19"/>
    <mergeCell ref="Z19:AE19"/>
    <mergeCell ref="AF19:AL19"/>
    <mergeCell ref="B20:I20"/>
    <mergeCell ref="J20:N20"/>
    <mergeCell ref="O20:P20"/>
    <mergeCell ref="Q20:S20"/>
    <mergeCell ref="T20:U20"/>
    <mergeCell ref="V20:X20"/>
    <mergeCell ref="Z20:AE20"/>
    <mergeCell ref="AF20:AL20"/>
    <mergeCell ref="A21:N21"/>
    <mergeCell ref="O21:S21"/>
    <mergeCell ref="T21:X21"/>
    <mergeCell ref="Y21:AM21"/>
    <mergeCell ref="A22:I22"/>
    <mergeCell ref="J22:P22"/>
    <mergeCell ref="Q22:U22"/>
    <mergeCell ref="V22:Y22"/>
    <mergeCell ref="Z22:AE22"/>
    <mergeCell ref="AF22:AL22"/>
    <mergeCell ref="A23:I23"/>
    <mergeCell ref="J23:P23"/>
    <mergeCell ref="Q23:U23"/>
    <mergeCell ref="V23:Y23"/>
    <mergeCell ref="Z23:AE23"/>
    <mergeCell ref="AF23:AL23"/>
    <mergeCell ref="A24:I24"/>
    <mergeCell ref="J24:P24"/>
    <mergeCell ref="Q24:U24"/>
    <mergeCell ref="V24:Y24"/>
    <mergeCell ref="Z24:AE24"/>
    <mergeCell ref="AF24:AL24"/>
    <mergeCell ref="A25:I25"/>
    <mergeCell ref="J25:P25"/>
    <mergeCell ref="Q25:U25"/>
    <mergeCell ref="V25:Y25"/>
    <mergeCell ref="Z25:AE25"/>
    <mergeCell ref="AF25:AL25"/>
    <mergeCell ref="A26:I26"/>
    <mergeCell ref="J26:P26"/>
    <mergeCell ref="Q26:U26"/>
    <mergeCell ref="V26:Y26"/>
    <mergeCell ref="Z26:AE26"/>
    <mergeCell ref="AF26:AL26"/>
    <mergeCell ref="A27:I27"/>
    <mergeCell ref="J27:P27"/>
    <mergeCell ref="Q27:U27"/>
    <mergeCell ref="V27:Y27"/>
    <mergeCell ref="Z27:AE27"/>
    <mergeCell ref="AF27:AL27"/>
    <mergeCell ref="A28:I28"/>
    <mergeCell ref="J28:P28"/>
    <mergeCell ref="Q28:U28"/>
    <mergeCell ref="V28:Y28"/>
    <mergeCell ref="Z28:AE28"/>
    <mergeCell ref="AF28:AL28"/>
    <mergeCell ref="A29:I29"/>
    <mergeCell ref="J29:P29"/>
    <mergeCell ref="Q29:U29"/>
    <mergeCell ref="V29:Y29"/>
    <mergeCell ref="Z29:AE29"/>
    <mergeCell ref="AF29:AL29"/>
    <mergeCell ref="A30:I30"/>
    <mergeCell ref="J30:P30"/>
    <mergeCell ref="Q30:U30"/>
    <mergeCell ref="V30:Y30"/>
    <mergeCell ref="Z30:AE30"/>
    <mergeCell ref="AF30:AL30"/>
    <mergeCell ref="A31:I31"/>
    <mergeCell ref="J31:P31"/>
    <mergeCell ref="Q31:U31"/>
    <mergeCell ref="V31:Y31"/>
    <mergeCell ref="Z31:AE31"/>
    <mergeCell ref="AF31:AL31"/>
    <mergeCell ref="A32:I32"/>
    <mergeCell ref="J32:P32"/>
    <mergeCell ref="Q32:U32"/>
    <mergeCell ref="V32:Y32"/>
    <mergeCell ref="Z32:AE32"/>
    <mergeCell ref="AF32:AL32"/>
    <mergeCell ref="A33:I33"/>
    <mergeCell ref="J33:P33"/>
    <mergeCell ref="Q33:U33"/>
    <mergeCell ref="V33:Y33"/>
    <mergeCell ref="Z33:AE33"/>
    <mergeCell ref="AF33:AL33"/>
    <mergeCell ref="A34:I34"/>
    <mergeCell ref="J34:P34"/>
    <mergeCell ref="Q34:U34"/>
    <mergeCell ref="V34:Y34"/>
    <mergeCell ref="Z34:AE34"/>
    <mergeCell ref="AF34:AL34"/>
    <mergeCell ref="A35:I35"/>
    <mergeCell ref="J35:P35"/>
    <mergeCell ref="Q35:U35"/>
    <mergeCell ref="V35:Y35"/>
    <mergeCell ref="Z35:AE35"/>
    <mergeCell ref="AF35:AL35"/>
    <mergeCell ref="A36:I36"/>
    <mergeCell ref="J36:P36"/>
    <mergeCell ref="Q36:U36"/>
    <mergeCell ref="V36:Y36"/>
    <mergeCell ref="Z36:AE36"/>
    <mergeCell ref="AF36:AL36"/>
    <mergeCell ref="A37:I37"/>
    <mergeCell ref="J37:P37"/>
    <mergeCell ref="Q37:U37"/>
    <mergeCell ref="V37:Y37"/>
    <mergeCell ref="Z37:AE37"/>
    <mergeCell ref="AF37:AL37"/>
    <mergeCell ref="A38:I38"/>
    <mergeCell ref="J38:P38"/>
    <mergeCell ref="Q38:U38"/>
    <mergeCell ref="V38:Y38"/>
    <mergeCell ref="Z38:AE38"/>
    <mergeCell ref="AF38:AL38"/>
    <mergeCell ref="A39:I39"/>
    <mergeCell ref="J39:P39"/>
    <mergeCell ref="Q39:U39"/>
    <mergeCell ref="V39:Y39"/>
    <mergeCell ref="Z39:AE39"/>
    <mergeCell ref="AF39:AL39"/>
    <mergeCell ref="A40:I40"/>
    <mergeCell ref="J40:P40"/>
    <mergeCell ref="Q40:U40"/>
    <mergeCell ref="V40:Y40"/>
    <mergeCell ref="Z40:AE40"/>
    <mergeCell ref="AF40:AL40"/>
    <mergeCell ref="A41:I41"/>
    <mergeCell ref="J41:P41"/>
    <mergeCell ref="Q41:U41"/>
    <mergeCell ref="V41:Y41"/>
    <mergeCell ref="Z41:AE41"/>
    <mergeCell ref="AF41:AL41"/>
    <mergeCell ref="A42:I42"/>
    <mergeCell ref="J42:P42"/>
    <mergeCell ref="Q42:U42"/>
    <mergeCell ref="V42:Y42"/>
    <mergeCell ref="Z42:AE42"/>
    <mergeCell ref="AF42:AL42"/>
    <mergeCell ref="A43:I43"/>
    <mergeCell ref="J43:P43"/>
    <mergeCell ref="Q43:U43"/>
    <mergeCell ref="V43:Y43"/>
    <mergeCell ref="Z43:AE43"/>
    <mergeCell ref="AF43:AL43"/>
    <mergeCell ref="B44:I44"/>
    <mergeCell ref="J44:N44"/>
    <mergeCell ref="O44:P44"/>
    <mergeCell ref="Q44:S44"/>
    <mergeCell ref="T44:U44"/>
    <mergeCell ref="V44:X44"/>
    <mergeCell ref="Z44:AE44"/>
    <mergeCell ref="AF44:AL44"/>
    <mergeCell ref="A45:N45"/>
    <mergeCell ref="O45:S45"/>
    <mergeCell ref="T45:X45"/>
    <mergeCell ref="Y45:AM45"/>
    <mergeCell ref="A46:I46"/>
    <mergeCell ref="J46:P46"/>
    <mergeCell ref="Q46:U46"/>
    <mergeCell ref="V46:Y46"/>
    <mergeCell ref="Z46:AE46"/>
    <mergeCell ref="AF46:AL46"/>
    <mergeCell ref="A47:I47"/>
    <mergeCell ref="J47:P47"/>
    <mergeCell ref="Q47:U47"/>
    <mergeCell ref="V47:Y47"/>
    <mergeCell ref="Z47:AE47"/>
    <mergeCell ref="AF47:AL47"/>
    <mergeCell ref="A48:I48"/>
    <mergeCell ref="J48:P48"/>
    <mergeCell ref="Q48:U48"/>
    <mergeCell ref="V48:Y48"/>
    <mergeCell ref="Z48:AE48"/>
    <mergeCell ref="AF48:AL48"/>
    <mergeCell ref="A49:I49"/>
    <mergeCell ref="J49:P49"/>
    <mergeCell ref="Q49:U49"/>
    <mergeCell ref="V49:Y49"/>
    <mergeCell ref="Z49:AE49"/>
    <mergeCell ref="AF49:AL49"/>
    <mergeCell ref="A50:I50"/>
    <mergeCell ref="J50:P50"/>
    <mergeCell ref="Q50:U50"/>
    <mergeCell ref="V50:Y50"/>
    <mergeCell ref="Z50:AE50"/>
    <mergeCell ref="AF50:AL50"/>
    <mergeCell ref="A51:I51"/>
    <mergeCell ref="J51:P51"/>
    <mergeCell ref="Q51:U51"/>
    <mergeCell ref="V51:Y51"/>
    <mergeCell ref="Z51:AE51"/>
    <mergeCell ref="AF51:AL51"/>
    <mergeCell ref="A52:I52"/>
    <mergeCell ref="J52:P52"/>
    <mergeCell ref="Q52:U52"/>
    <mergeCell ref="V52:Y52"/>
    <mergeCell ref="Z52:AE52"/>
    <mergeCell ref="AF52:AL52"/>
    <mergeCell ref="A53:I53"/>
    <mergeCell ref="J53:P53"/>
    <mergeCell ref="Q53:U53"/>
    <mergeCell ref="V53:Y53"/>
    <mergeCell ref="Z53:AE53"/>
    <mergeCell ref="AF53:AL53"/>
    <mergeCell ref="A54:I54"/>
    <mergeCell ref="J54:P54"/>
    <mergeCell ref="Q54:U54"/>
    <mergeCell ref="V54:Y54"/>
    <mergeCell ref="Z54:AE54"/>
    <mergeCell ref="AF54:AL54"/>
    <mergeCell ref="A55:I55"/>
    <mergeCell ref="J55:P55"/>
    <mergeCell ref="Q55:U55"/>
    <mergeCell ref="V55:Y55"/>
    <mergeCell ref="Z55:AE55"/>
    <mergeCell ref="AF55:AL55"/>
    <mergeCell ref="A56:I56"/>
    <mergeCell ref="J56:P56"/>
    <mergeCell ref="Q56:U56"/>
    <mergeCell ref="V56:Y56"/>
    <mergeCell ref="Z56:AE56"/>
    <mergeCell ref="AF56:AL56"/>
    <mergeCell ref="A57:I57"/>
    <mergeCell ref="J57:P57"/>
    <mergeCell ref="Q57:U57"/>
    <mergeCell ref="V57:Y57"/>
    <mergeCell ref="Z57:AE57"/>
    <mergeCell ref="AF57:AL57"/>
    <mergeCell ref="A58:I58"/>
    <mergeCell ref="J58:P58"/>
    <mergeCell ref="Q58:U58"/>
    <mergeCell ref="V58:Y58"/>
    <mergeCell ref="Z58:AE58"/>
    <mergeCell ref="AF58:AL58"/>
    <mergeCell ref="A59:I59"/>
    <mergeCell ref="J59:P59"/>
    <mergeCell ref="Q59:U59"/>
    <mergeCell ref="V59:Y59"/>
    <mergeCell ref="Z59:AE59"/>
    <mergeCell ref="AF59:AL59"/>
    <mergeCell ref="A60:I60"/>
    <mergeCell ref="J60:P60"/>
    <mergeCell ref="Q60:U60"/>
    <mergeCell ref="V60:Y60"/>
    <mergeCell ref="Z60:AE60"/>
    <mergeCell ref="AF60:AL60"/>
    <mergeCell ref="A61:I61"/>
    <mergeCell ref="J61:P61"/>
    <mergeCell ref="Q61:U61"/>
    <mergeCell ref="V61:Y61"/>
    <mergeCell ref="Z61:AE61"/>
    <mergeCell ref="AF61:AL61"/>
    <mergeCell ref="A62:I62"/>
    <mergeCell ref="J62:P62"/>
    <mergeCell ref="Q62:U62"/>
    <mergeCell ref="V62:Y62"/>
    <mergeCell ref="Z62:AE62"/>
    <mergeCell ref="AF62:AL62"/>
    <mergeCell ref="A63:I63"/>
    <mergeCell ref="J63:P63"/>
    <mergeCell ref="Q63:U63"/>
    <mergeCell ref="V63:Y63"/>
    <mergeCell ref="Z63:AE63"/>
    <mergeCell ref="AF63:AL63"/>
    <mergeCell ref="A64:I64"/>
    <mergeCell ref="J64:P64"/>
    <mergeCell ref="Q64:U64"/>
    <mergeCell ref="V64:Y64"/>
    <mergeCell ref="Z64:AE64"/>
    <mergeCell ref="AF64:AL64"/>
    <mergeCell ref="A65:I65"/>
    <mergeCell ref="J65:P65"/>
    <mergeCell ref="Q65:U65"/>
    <mergeCell ref="V65:Y65"/>
    <mergeCell ref="Z65:AE65"/>
    <mergeCell ref="AF65:AL65"/>
    <mergeCell ref="A66:I66"/>
    <mergeCell ref="J66:P66"/>
    <mergeCell ref="Q66:U66"/>
    <mergeCell ref="V66:Y66"/>
    <mergeCell ref="Z66:AE66"/>
    <mergeCell ref="AF66:AL66"/>
    <mergeCell ref="A67:I67"/>
    <mergeCell ref="J67:P67"/>
    <mergeCell ref="Q67:U67"/>
    <mergeCell ref="V67:Y67"/>
    <mergeCell ref="Z67:AE67"/>
    <mergeCell ref="AF67:AL67"/>
    <mergeCell ref="B68:I68"/>
    <mergeCell ref="J68:N68"/>
    <mergeCell ref="O68:P68"/>
    <mergeCell ref="Q68:S68"/>
    <mergeCell ref="T68:U68"/>
    <mergeCell ref="W68:X68"/>
    <mergeCell ref="Z68:AE68"/>
    <mergeCell ref="AF68:AG68"/>
    <mergeCell ref="AH68:AK68"/>
    <mergeCell ref="A69:N69"/>
    <mergeCell ref="O69:S69"/>
    <mergeCell ref="T69:X69"/>
    <mergeCell ref="Y69:AM69"/>
    <mergeCell ref="A70:I70"/>
    <mergeCell ref="J70:P70"/>
    <mergeCell ref="Q70:U70"/>
    <mergeCell ref="V70:Y70"/>
    <mergeCell ref="Z70:AE70"/>
    <mergeCell ref="AF70:AL70"/>
    <mergeCell ref="A71:I71"/>
    <mergeCell ref="J71:P71"/>
    <mergeCell ref="Q71:U71"/>
    <mergeCell ref="V71:Y71"/>
    <mergeCell ref="Z71:AE71"/>
    <mergeCell ref="AF71:AL71"/>
    <mergeCell ref="A72:I72"/>
    <mergeCell ref="J72:P72"/>
    <mergeCell ref="Q72:U72"/>
    <mergeCell ref="V72:Y72"/>
    <mergeCell ref="Z72:AE72"/>
    <mergeCell ref="AF72:AL72"/>
    <mergeCell ref="A73:I73"/>
    <mergeCell ref="J73:P73"/>
    <mergeCell ref="Q73:U73"/>
    <mergeCell ref="V73:Y73"/>
    <mergeCell ref="Z73:AE73"/>
    <mergeCell ref="AF73:AL73"/>
    <mergeCell ref="A74:I74"/>
    <mergeCell ref="J74:P74"/>
    <mergeCell ref="Q74:U74"/>
    <mergeCell ref="V74:Y74"/>
    <mergeCell ref="Z74:AE74"/>
    <mergeCell ref="AF74:AL74"/>
    <mergeCell ref="A75:I75"/>
    <mergeCell ref="J75:P75"/>
    <mergeCell ref="Q75:U75"/>
    <mergeCell ref="V75:Y75"/>
    <mergeCell ref="Z75:AE75"/>
    <mergeCell ref="AF75:AL75"/>
    <mergeCell ref="A76:I76"/>
    <mergeCell ref="J76:P76"/>
    <mergeCell ref="Q76:U76"/>
    <mergeCell ref="V76:Y76"/>
    <mergeCell ref="Z76:AE76"/>
    <mergeCell ref="AF76:AL76"/>
    <mergeCell ref="A77:AL77"/>
    <mergeCell ref="A78:I78"/>
    <mergeCell ref="J78:AE78"/>
    <mergeCell ref="AF78:AL78"/>
    <mergeCell ref="A79:AM79"/>
    <mergeCell ref="A80:AM80"/>
    <mergeCell ref="A81:AM81"/>
    <mergeCell ref="A82:I82"/>
    <mergeCell ref="J82:AK82"/>
    <mergeCell ref="A83:I83"/>
    <mergeCell ref="J83:P83"/>
    <mergeCell ref="Q83:V83"/>
    <mergeCell ref="W83:Y83"/>
    <mergeCell ref="Z83:AG83"/>
    <mergeCell ref="AH83:AK83"/>
    <mergeCell ref="A84:I84"/>
    <mergeCell ref="J84:P84"/>
    <mergeCell ref="Q84:V84"/>
    <mergeCell ref="W84:Y84"/>
    <mergeCell ref="Z84:AG84"/>
    <mergeCell ref="AH84:AK84"/>
    <mergeCell ref="A85:I85"/>
    <mergeCell ref="J85:P85"/>
    <mergeCell ref="Q85:V85"/>
    <mergeCell ref="W85:Y85"/>
    <mergeCell ref="Z85:AG85"/>
    <mergeCell ref="AH85:AK85"/>
    <mergeCell ref="A86:I86"/>
    <mergeCell ref="J86:P86"/>
    <mergeCell ref="Q86:V86"/>
    <mergeCell ref="W86:Y86"/>
    <mergeCell ref="Z86:AG86"/>
    <mergeCell ref="AH86:AK86"/>
    <mergeCell ref="A87:I87"/>
    <mergeCell ref="J87:P87"/>
    <mergeCell ref="Q87:V87"/>
    <mergeCell ref="W87:Y87"/>
    <mergeCell ref="Z87:AG87"/>
    <mergeCell ref="AH87:AK87"/>
    <mergeCell ref="A88:I88"/>
    <mergeCell ref="J88:P88"/>
    <mergeCell ref="Q88:V88"/>
    <mergeCell ref="W88:Y88"/>
    <mergeCell ref="Z88:AG88"/>
    <mergeCell ref="AH88:AK88"/>
    <mergeCell ref="A89:I89"/>
    <mergeCell ref="J89:P89"/>
    <mergeCell ref="Q89:V89"/>
    <mergeCell ref="W89:Y89"/>
    <mergeCell ref="Z89:AG89"/>
    <mergeCell ref="AH89:AK89"/>
    <mergeCell ref="A90:AM90"/>
    <mergeCell ref="B91:G91"/>
    <mergeCell ref="H91:N91"/>
    <mergeCell ref="O91:P91"/>
    <mergeCell ref="Q91:S91"/>
    <mergeCell ref="T91:U91"/>
    <mergeCell ref="V91:X91"/>
    <mergeCell ref="Z91:AE91"/>
    <mergeCell ref="AF91:AL91"/>
    <mergeCell ref="A92:N92"/>
    <mergeCell ref="O92:S92"/>
    <mergeCell ref="T92:X92"/>
    <mergeCell ref="Y92:AM92"/>
    <mergeCell ref="A93:G93"/>
    <mergeCell ref="H93:AL94"/>
    <mergeCell ref="A94:G94"/>
    <mergeCell ref="A95:G95"/>
    <mergeCell ref="H95:P95"/>
    <mergeCell ref="Q95:U95"/>
    <mergeCell ref="V95:Y95"/>
    <mergeCell ref="Z95:AE95"/>
    <mergeCell ref="AF95:AL95"/>
    <mergeCell ref="A96:G96"/>
    <mergeCell ref="H96:P96"/>
    <mergeCell ref="Q96:U96"/>
    <mergeCell ref="V96:Y96"/>
    <mergeCell ref="Z96:AE96"/>
    <mergeCell ref="AF96:AL96"/>
    <mergeCell ref="A97:G97"/>
    <mergeCell ref="H97:P97"/>
    <mergeCell ref="Q97:U97"/>
    <mergeCell ref="V97:Y97"/>
    <mergeCell ref="Z97:AE97"/>
    <mergeCell ref="AF97:AL97"/>
    <mergeCell ref="A98:G98"/>
    <mergeCell ref="H98:P98"/>
    <mergeCell ref="Q98:U98"/>
    <mergeCell ref="V98:Y98"/>
    <mergeCell ref="Z98:AE98"/>
    <mergeCell ref="AF98:AL98"/>
    <mergeCell ref="A99:G99"/>
    <mergeCell ref="H99:P99"/>
    <mergeCell ref="Q99:U99"/>
    <mergeCell ref="V99:Y99"/>
    <mergeCell ref="Z99:AE99"/>
    <mergeCell ref="AF99:AL99"/>
    <mergeCell ref="A100:G100"/>
    <mergeCell ref="H100:P100"/>
    <mergeCell ref="Q100:U100"/>
    <mergeCell ref="V100:Y100"/>
    <mergeCell ref="Z100:AE100"/>
    <mergeCell ref="AF100:AL100"/>
    <mergeCell ref="A101:G101"/>
    <mergeCell ref="H101:P101"/>
    <mergeCell ref="Q101:U101"/>
    <mergeCell ref="V101:Y101"/>
    <mergeCell ref="Z101:AE101"/>
    <mergeCell ref="AF101:AL101"/>
    <mergeCell ref="A102:G102"/>
    <mergeCell ref="H102:P102"/>
    <mergeCell ref="Q102:U102"/>
    <mergeCell ref="V102:Y102"/>
    <mergeCell ref="Z102:AE102"/>
    <mergeCell ref="AF102:AL102"/>
    <mergeCell ref="A103:G103"/>
    <mergeCell ref="H103:P103"/>
    <mergeCell ref="Q103:U103"/>
    <mergeCell ref="V103:Y103"/>
    <mergeCell ref="Z103:AE103"/>
    <mergeCell ref="AF103:AL103"/>
    <mergeCell ref="A104:G104"/>
    <mergeCell ref="H104:P104"/>
    <mergeCell ref="Q104:U104"/>
    <mergeCell ref="V104:Y104"/>
    <mergeCell ref="Z104:AE104"/>
    <mergeCell ref="AF104:AL104"/>
    <mergeCell ref="A105:G105"/>
    <mergeCell ref="H105:P105"/>
    <mergeCell ref="Q105:U105"/>
    <mergeCell ref="V105:Y105"/>
    <mergeCell ref="Z105:AE105"/>
    <mergeCell ref="AF105:AL105"/>
    <mergeCell ref="A106:G106"/>
    <mergeCell ref="H106:P106"/>
    <mergeCell ref="Q106:U106"/>
    <mergeCell ref="V106:Y106"/>
    <mergeCell ref="Z106:AE106"/>
    <mergeCell ref="AF106:AL106"/>
    <mergeCell ref="A107:G107"/>
    <mergeCell ref="H107:P107"/>
    <mergeCell ref="Q107:U107"/>
    <mergeCell ref="V107:Y107"/>
    <mergeCell ref="Z107:AE107"/>
    <mergeCell ref="AF107:AL107"/>
    <mergeCell ref="A108:G108"/>
    <mergeCell ref="H108:P108"/>
    <mergeCell ref="Q108:U108"/>
    <mergeCell ref="V108:Y108"/>
    <mergeCell ref="Z108:AE108"/>
    <mergeCell ref="AF108:AL108"/>
    <mergeCell ref="A109:G109"/>
    <mergeCell ref="H109:P109"/>
    <mergeCell ref="Q109:U109"/>
    <mergeCell ref="V109:Y109"/>
    <mergeCell ref="Z109:AE109"/>
    <mergeCell ref="AF109:AL109"/>
    <mergeCell ref="A110:G110"/>
    <mergeCell ref="H110:P110"/>
    <mergeCell ref="Q110:U110"/>
    <mergeCell ref="V110:Y110"/>
    <mergeCell ref="Z110:AE110"/>
    <mergeCell ref="AF110:AL110"/>
    <mergeCell ref="A111:G111"/>
    <mergeCell ref="H111:P111"/>
    <mergeCell ref="Q111:U111"/>
    <mergeCell ref="V111:Y111"/>
    <mergeCell ref="Z111:AE111"/>
    <mergeCell ref="AF111:AL111"/>
    <mergeCell ref="A112:G112"/>
    <mergeCell ref="H112:P112"/>
    <mergeCell ref="Q112:U112"/>
    <mergeCell ref="V112:Y112"/>
    <mergeCell ref="Z112:AE112"/>
    <mergeCell ref="AF112:AL112"/>
    <mergeCell ref="A113:AM113"/>
    <mergeCell ref="B114:G114"/>
    <mergeCell ref="H114:N114"/>
    <mergeCell ref="O114:P114"/>
    <mergeCell ref="Q114:S114"/>
    <mergeCell ref="T114:U114"/>
    <mergeCell ref="V114:X114"/>
    <mergeCell ref="Z114:AE114"/>
    <mergeCell ref="AF114:AL114"/>
    <mergeCell ref="A115:N115"/>
    <mergeCell ref="O115:S115"/>
    <mergeCell ref="T115:X115"/>
    <mergeCell ref="Y115:AM115"/>
    <mergeCell ref="A116:G116"/>
    <mergeCell ref="H116:P116"/>
    <mergeCell ref="Q116:U116"/>
    <mergeCell ref="V116:Y116"/>
    <mergeCell ref="Z116:AE116"/>
    <mergeCell ref="AF116:AL116"/>
    <mergeCell ref="A117:G117"/>
    <mergeCell ref="H117:P117"/>
    <mergeCell ref="Q117:U117"/>
    <mergeCell ref="V117:Y117"/>
    <mergeCell ref="Z117:AE117"/>
    <mergeCell ref="AF117:AL117"/>
    <mergeCell ref="A118:G118"/>
    <mergeCell ref="H118:P118"/>
    <mergeCell ref="Q118:U118"/>
    <mergeCell ref="V118:Y118"/>
    <mergeCell ref="Z118:AE118"/>
    <mergeCell ref="AF118:AL118"/>
    <mergeCell ref="A119:G119"/>
    <mergeCell ref="H119:P119"/>
    <mergeCell ref="Q119:U119"/>
    <mergeCell ref="V119:Y119"/>
    <mergeCell ref="Z119:AE119"/>
    <mergeCell ref="AF119:AL119"/>
    <mergeCell ref="A120:G120"/>
    <mergeCell ref="H120:P120"/>
    <mergeCell ref="Q120:U120"/>
    <mergeCell ref="V120:Y120"/>
    <mergeCell ref="Z120:AE120"/>
    <mergeCell ref="AF120:AL120"/>
    <mergeCell ref="A121:G121"/>
    <mergeCell ref="H121:P121"/>
    <mergeCell ref="Q121:U121"/>
    <mergeCell ref="V121:Y121"/>
    <mergeCell ref="Z121:AE121"/>
    <mergeCell ref="AF121:AL121"/>
    <mergeCell ref="A122:G122"/>
    <mergeCell ref="H122:P122"/>
    <mergeCell ref="Q122:U122"/>
    <mergeCell ref="V122:Y122"/>
    <mergeCell ref="Z122:AE122"/>
    <mergeCell ref="AF122:AL122"/>
    <mergeCell ref="A123:G123"/>
    <mergeCell ref="H123:P123"/>
    <mergeCell ref="Q123:U123"/>
    <mergeCell ref="V123:Y123"/>
    <mergeCell ref="Z123:AE123"/>
    <mergeCell ref="AF123:AL123"/>
    <mergeCell ref="A124:G124"/>
    <mergeCell ref="H124:P124"/>
    <mergeCell ref="Q124:U124"/>
    <mergeCell ref="V124:Y124"/>
    <mergeCell ref="Z124:AE124"/>
    <mergeCell ref="AF124:AL124"/>
    <mergeCell ref="A125:G125"/>
    <mergeCell ref="H125:P125"/>
    <mergeCell ref="Q125:U125"/>
    <mergeCell ref="V125:Y125"/>
    <mergeCell ref="Z125:AE125"/>
    <mergeCell ref="AF125:AL125"/>
    <mergeCell ref="A126:G126"/>
    <mergeCell ref="H126:P126"/>
    <mergeCell ref="Q126:U126"/>
    <mergeCell ref="V126:Y126"/>
    <mergeCell ref="Z126:AE126"/>
    <mergeCell ref="AF126:AL126"/>
    <mergeCell ref="A127:G127"/>
    <mergeCell ref="H127:P127"/>
    <mergeCell ref="Q127:U127"/>
    <mergeCell ref="V127:Y127"/>
    <mergeCell ref="Z127:AE127"/>
    <mergeCell ref="AF127:AL127"/>
    <mergeCell ref="A128:G128"/>
    <mergeCell ref="H128:P128"/>
    <mergeCell ref="Q128:U128"/>
    <mergeCell ref="V128:Y128"/>
    <mergeCell ref="Z128:AE128"/>
    <mergeCell ref="AF128:AL128"/>
    <mergeCell ref="A129:G129"/>
    <mergeCell ref="H129:P129"/>
    <mergeCell ref="Q129:U129"/>
    <mergeCell ref="V129:Y129"/>
    <mergeCell ref="Z129:AE129"/>
    <mergeCell ref="AF129:AL129"/>
    <mergeCell ref="A130:G130"/>
    <mergeCell ref="H130:P130"/>
    <mergeCell ref="Q130:U130"/>
    <mergeCell ref="V130:Y130"/>
    <mergeCell ref="Z130:AE130"/>
    <mergeCell ref="AF130:AL130"/>
    <mergeCell ref="A131:G131"/>
    <mergeCell ref="H131:P131"/>
    <mergeCell ref="Q131:U131"/>
    <mergeCell ref="V131:Y131"/>
    <mergeCell ref="Z131:AE131"/>
    <mergeCell ref="AF131:AL131"/>
    <mergeCell ref="A132:G132"/>
    <mergeCell ref="H132:P132"/>
    <mergeCell ref="Q132:U132"/>
    <mergeCell ref="V132:Y132"/>
    <mergeCell ref="Z132:AE132"/>
    <mergeCell ref="AF132:AL132"/>
    <mergeCell ref="A133:G133"/>
    <mergeCell ref="H133:P133"/>
    <mergeCell ref="Q133:U133"/>
    <mergeCell ref="V133:Y133"/>
    <mergeCell ref="Z133:AE133"/>
    <mergeCell ref="AF133:AL133"/>
    <mergeCell ref="A134:G134"/>
    <mergeCell ref="H134:P134"/>
    <mergeCell ref="Q134:U134"/>
    <mergeCell ref="V134:Y134"/>
    <mergeCell ref="Z134:AE134"/>
    <mergeCell ref="AF134:AL134"/>
    <mergeCell ref="A135:G135"/>
    <mergeCell ref="H135:P135"/>
    <mergeCell ref="Q135:U135"/>
    <mergeCell ref="V135:Y135"/>
    <mergeCell ref="Z135:AE135"/>
    <mergeCell ref="AF135:AL135"/>
    <mergeCell ref="A136:G136"/>
    <mergeCell ref="H136:P136"/>
    <mergeCell ref="Q136:U136"/>
    <mergeCell ref="V136:Y136"/>
    <mergeCell ref="Z136:AE136"/>
    <mergeCell ref="AF136:AL136"/>
    <mergeCell ref="A137:G137"/>
    <mergeCell ref="H137:P137"/>
    <mergeCell ref="Q137:U137"/>
    <mergeCell ref="V137:Y137"/>
    <mergeCell ref="Z137:AE137"/>
    <mergeCell ref="AF137:AL137"/>
    <mergeCell ref="B138:G138"/>
    <mergeCell ref="H138:N138"/>
    <mergeCell ref="O138:P138"/>
    <mergeCell ref="Q138:S138"/>
    <mergeCell ref="T138:U138"/>
    <mergeCell ref="V138:X138"/>
    <mergeCell ref="Z138:AE138"/>
    <mergeCell ref="AF138:AL138"/>
    <mergeCell ref="A139:N139"/>
    <mergeCell ref="O139:S139"/>
    <mergeCell ref="T139:X139"/>
    <mergeCell ref="Y139:AM139"/>
    <mergeCell ref="A140:G140"/>
    <mergeCell ref="H140:P140"/>
    <mergeCell ref="Q140:U140"/>
    <mergeCell ref="V140:Y140"/>
    <mergeCell ref="Z140:AE140"/>
    <mergeCell ref="AF140:AL140"/>
    <mergeCell ref="A141:G141"/>
    <mergeCell ref="H141:P141"/>
    <mergeCell ref="Q141:U141"/>
    <mergeCell ref="V141:Y141"/>
    <mergeCell ref="Z141:AE141"/>
    <mergeCell ref="AF141:AL141"/>
    <mergeCell ref="A142:G142"/>
    <mergeCell ref="H142:P142"/>
    <mergeCell ref="Q142:U142"/>
    <mergeCell ref="V142:Y142"/>
    <mergeCell ref="Z142:AE142"/>
    <mergeCell ref="AF142:AL142"/>
    <mergeCell ref="A143:G143"/>
    <mergeCell ref="H143:P143"/>
    <mergeCell ref="Q143:U143"/>
    <mergeCell ref="V143:Y143"/>
    <mergeCell ref="Z143:AE143"/>
    <mergeCell ref="AF143:AL143"/>
    <mergeCell ref="A144:G144"/>
    <mergeCell ref="H144:P144"/>
    <mergeCell ref="Q144:U144"/>
    <mergeCell ref="V144:Y144"/>
    <mergeCell ref="Z144:AE144"/>
    <mergeCell ref="AF144:AL144"/>
    <mergeCell ref="A145:G145"/>
    <mergeCell ref="H145:P145"/>
    <mergeCell ref="Q145:U145"/>
    <mergeCell ref="V145:Y145"/>
    <mergeCell ref="Z145:AE145"/>
    <mergeCell ref="AF145:AL145"/>
    <mergeCell ref="A146:G146"/>
    <mergeCell ref="H146:P146"/>
    <mergeCell ref="Q146:U146"/>
    <mergeCell ref="V146:Y146"/>
    <mergeCell ref="Z146:AE146"/>
    <mergeCell ref="AF146:AL146"/>
    <mergeCell ref="A147:G147"/>
    <mergeCell ref="H147:P147"/>
    <mergeCell ref="Q147:U147"/>
    <mergeCell ref="V147:Y147"/>
    <mergeCell ref="Z147:AE147"/>
    <mergeCell ref="AF147:AL147"/>
    <mergeCell ref="A148:G148"/>
    <mergeCell ref="H148:P148"/>
    <mergeCell ref="Q148:U148"/>
    <mergeCell ref="V148:Y148"/>
    <mergeCell ref="Z148:AE148"/>
    <mergeCell ref="AF148:AL148"/>
    <mergeCell ref="A149:G149"/>
    <mergeCell ref="H149:P149"/>
    <mergeCell ref="Q149:U149"/>
    <mergeCell ref="V149:Y149"/>
    <mergeCell ref="Z149:AE149"/>
    <mergeCell ref="AF149:AL149"/>
    <mergeCell ref="A150:G150"/>
    <mergeCell ref="H150:P150"/>
    <mergeCell ref="Q150:U150"/>
    <mergeCell ref="V150:Y150"/>
    <mergeCell ref="Z150:AE150"/>
    <mergeCell ref="AF150:AL150"/>
    <mergeCell ref="A151:G151"/>
    <mergeCell ref="H151:P151"/>
    <mergeCell ref="Q151:U151"/>
    <mergeCell ref="V151:Y151"/>
    <mergeCell ref="Z151:AE151"/>
    <mergeCell ref="AF151:AL151"/>
    <mergeCell ref="A152:G152"/>
    <mergeCell ref="H152:P152"/>
    <mergeCell ref="Q152:U152"/>
    <mergeCell ref="V152:Y152"/>
    <mergeCell ref="Z152:AE152"/>
    <mergeCell ref="AF152:AL152"/>
    <mergeCell ref="A153:G153"/>
    <mergeCell ref="H153:P153"/>
    <mergeCell ref="Q153:U153"/>
    <mergeCell ref="V153:Y153"/>
    <mergeCell ref="Z153:AE153"/>
    <mergeCell ref="AF153:AL153"/>
    <mergeCell ref="A154:G154"/>
    <mergeCell ref="H154:P154"/>
    <mergeCell ref="Q154:U154"/>
    <mergeCell ref="V154:Y154"/>
    <mergeCell ref="Z154:AE154"/>
    <mergeCell ref="AF154:AL154"/>
    <mergeCell ref="A155:G155"/>
    <mergeCell ref="H155:P155"/>
    <mergeCell ref="Q155:U155"/>
    <mergeCell ref="V155:Y155"/>
    <mergeCell ref="Z155:AE155"/>
    <mergeCell ref="AF155:AL155"/>
    <mergeCell ref="A156:G156"/>
    <mergeCell ref="H156:P156"/>
    <mergeCell ref="Q156:U156"/>
    <mergeCell ref="V156:Y156"/>
    <mergeCell ref="Z156:AE156"/>
    <mergeCell ref="AF156:AL156"/>
    <mergeCell ref="A157:G157"/>
    <mergeCell ref="H157:P157"/>
    <mergeCell ref="Q157:U157"/>
    <mergeCell ref="V157:Y157"/>
    <mergeCell ref="Z157:AE157"/>
    <mergeCell ref="AF157:AL157"/>
    <mergeCell ref="A158:G158"/>
    <mergeCell ref="H158:P158"/>
    <mergeCell ref="Q158:U158"/>
    <mergeCell ref="V158:Y158"/>
    <mergeCell ref="Z158:AE158"/>
    <mergeCell ref="AF158:AL158"/>
    <mergeCell ref="A159:G159"/>
    <mergeCell ref="H159:P159"/>
    <mergeCell ref="Q159:U159"/>
    <mergeCell ref="V159:Y159"/>
    <mergeCell ref="Z159:AE159"/>
    <mergeCell ref="AF159:AL159"/>
    <mergeCell ref="A160:G160"/>
    <mergeCell ref="H160:P160"/>
    <mergeCell ref="Q160:U160"/>
    <mergeCell ref="V160:Y160"/>
    <mergeCell ref="Z160:AE160"/>
    <mergeCell ref="AF160:AL160"/>
    <mergeCell ref="B161:G161"/>
    <mergeCell ref="H161:N161"/>
    <mergeCell ref="O161:P161"/>
    <mergeCell ref="Q161:S161"/>
    <mergeCell ref="T161:U161"/>
    <mergeCell ref="V161:X161"/>
    <mergeCell ref="Z161:AE161"/>
    <mergeCell ref="AF161:AL161"/>
    <mergeCell ref="A162:N162"/>
    <mergeCell ref="O162:S162"/>
    <mergeCell ref="T162:X162"/>
    <mergeCell ref="Y162:AM162"/>
    <mergeCell ref="A163:G163"/>
    <mergeCell ref="H163:P163"/>
    <mergeCell ref="Q163:U163"/>
    <mergeCell ref="V163:Y163"/>
    <mergeCell ref="Z163:AE163"/>
    <mergeCell ref="AF163:AL163"/>
    <mergeCell ref="A164:G164"/>
    <mergeCell ref="H164:P164"/>
    <mergeCell ref="Q164:U164"/>
    <mergeCell ref="V164:Y164"/>
    <mergeCell ref="Z164:AE164"/>
    <mergeCell ref="AF164:AL164"/>
    <mergeCell ref="A165:G165"/>
    <mergeCell ref="H165:P165"/>
    <mergeCell ref="Q165:U165"/>
    <mergeCell ref="V165:Y165"/>
    <mergeCell ref="Z165:AE165"/>
    <mergeCell ref="AF165:AL165"/>
    <mergeCell ref="A166:G166"/>
    <mergeCell ref="H166:P166"/>
    <mergeCell ref="Q166:U166"/>
    <mergeCell ref="V166:Y166"/>
    <mergeCell ref="Z166:AE166"/>
    <mergeCell ref="AF166:AL166"/>
    <mergeCell ref="A167:G167"/>
    <mergeCell ref="H167:P167"/>
    <mergeCell ref="Q167:U167"/>
    <mergeCell ref="V167:Y167"/>
    <mergeCell ref="Z167:AE167"/>
    <mergeCell ref="AF167:AL167"/>
    <mergeCell ref="A168:G168"/>
    <mergeCell ref="H168:P168"/>
    <mergeCell ref="Q168:U168"/>
    <mergeCell ref="V168:Y168"/>
    <mergeCell ref="Z168:AE168"/>
    <mergeCell ref="AF168:AL168"/>
    <mergeCell ref="A169:G169"/>
    <mergeCell ref="H169:P169"/>
    <mergeCell ref="Q169:U169"/>
    <mergeCell ref="V169:Y169"/>
    <mergeCell ref="Z169:AE169"/>
    <mergeCell ref="AF169:AL169"/>
    <mergeCell ref="A170:G170"/>
    <mergeCell ref="H170:P170"/>
    <mergeCell ref="Q170:U170"/>
    <mergeCell ref="V170:Y170"/>
    <mergeCell ref="Z170:AE170"/>
    <mergeCell ref="AF170:AL170"/>
    <mergeCell ref="A171:G171"/>
    <mergeCell ref="H171:P171"/>
    <mergeCell ref="Q171:U171"/>
    <mergeCell ref="V171:Y171"/>
    <mergeCell ref="Z171:AE171"/>
    <mergeCell ref="AF171:AL171"/>
    <mergeCell ref="A172:G172"/>
    <mergeCell ref="H172:P172"/>
    <mergeCell ref="Q172:U172"/>
    <mergeCell ref="V172:Y172"/>
    <mergeCell ref="Z172:AE172"/>
    <mergeCell ref="AF172:AL172"/>
    <mergeCell ref="A173:G173"/>
    <mergeCell ref="H173:P173"/>
    <mergeCell ref="Q173:U173"/>
    <mergeCell ref="V173:Y173"/>
    <mergeCell ref="Z173:AE173"/>
    <mergeCell ref="AF173:AL173"/>
    <mergeCell ref="A174:G174"/>
    <mergeCell ref="H174:P174"/>
    <mergeCell ref="Q174:U174"/>
    <mergeCell ref="V174:Y174"/>
    <mergeCell ref="Z174:AE174"/>
    <mergeCell ref="AF174:AL174"/>
    <mergeCell ref="A175:G175"/>
    <mergeCell ref="H175:P175"/>
    <mergeCell ref="Q175:U175"/>
    <mergeCell ref="V175:Y175"/>
    <mergeCell ref="Z175:AE175"/>
    <mergeCell ref="AF175:AL175"/>
    <mergeCell ref="A176:G176"/>
    <mergeCell ref="H176:P176"/>
    <mergeCell ref="Q176:U176"/>
    <mergeCell ref="V176:Y176"/>
    <mergeCell ref="Z176:AE176"/>
    <mergeCell ref="AF176:AL176"/>
    <mergeCell ref="A177:G177"/>
    <mergeCell ref="H177:P177"/>
    <mergeCell ref="Q177:U177"/>
    <mergeCell ref="V177:Y177"/>
    <mergeCell ref="Z177:AE177"/>
    <mergeCell ref="AF177:AL177"/>
    <mergeCell ref="A178:G178"/>
    <mergeCell ref="H178:P178"/>
    <mergeCell ref="Q178:U178"/>
    <mergeCell ref="V178:Y178"/>
    <mergeCell ref="Z178:AE178"/>
    <mergeCell ref="AF178:AL178"/>
    <mergeCell ref="A179:G179"/>
    <mergeCell ref="H179:P179"/>
    <mergeCell ref="Q179:U179"/>
    <mergeCell ref="V179:Y179"/>
    <mergeCell ref="Z179:AE179"/>
    <mergeCell ref="AF179:AL179"/>
    <mergeCell ref="A180:G180"/>
    <mergeCell ref="H180:P180"/>
    <mergeCell ref="Q180:U180"/>
    <mergeCell ref="V180:Y180"/>
    <mergeCell ref="Z180:AE180"/>
    <mergeCell ref="AF180:AL180"/>
    <mergeCell ref="A181:G181"/>
    <mergeCell ref="H181:P181"/>
    <mergeCell ref="Q181:U181"/>
    <mergeCell ref="V181:Y181"/>
    <mergeCell ref="Z181:AE181"/>
    <mergeCell ref="AF181:AL181"/>
    <mergeCell ref="A182:G182"/>
    <mergeCell ref="H182:P182"/>
    <mergeCell ref="Q182:U182"/>
    <mergeCell ref="V182:Y182"/>
    <mergeCell ref="Z182:AE182"/>
    <mergeCell ref="AF182:AL182"/>
    <mergeCell ref="A183:G183"/>
    <mergeCell ref="H183:P183"/>
    <mergeCell ref="Q183:U183"/>
    <mergeCell ref="V183:Y183"/>
    <mergeCell ref="Z183:AE183"/>
    <mergeCell ref="AF183:AL183"/>
    <mergeCell ref="B184:G184"/>
    <mergeCell ref="H184:N184"/>
    <mergeCell ref="O184:P184"/>
    <mergeCell ref="Q184:S184"/>
    <mergeCell ref="T184:U184"/>
    <mergeCell ref="V184:X184"/>
    <mergeCell ref="Z184:AE184"/>
    <mergeCell ref="AF184:AL184"/>
    <mergeCell ref="A185:N185"/>
    <mergeCell ref="O185:S185"/>
    <mergeCell ref="T185:X185"/>
    <mergeCell ref="Y185:AM185"/>
    <mergeCell ref="A186:G186"/>
    <mergeCell ref="H186:P186"/>
    <mergeCell ref="Q186:U186"/>
    <mergeCell ref="V186:Y186"/>
    <mergeCell ref="Z186:AE186"/>
    <mergeCell ref="AF186:AL186"/>
    <mergeCell ref="A187:G187"/>
    <mergeCell ref="H187:P187"/>
    <mergeCell ref="Q187:U187"/>
    <mergeCell ref="V187:Y187"/>
    <mergeCell ref="Z187:AE187"/>
    <mergeCell ref="AF187:AL187"/>
    <mergeCell ref="A188:G188"/>
    <mergeCell ref="H188:P188"/>
    <mergeCell ref="Q188:U188"/>
    <mergeCell ref="V188:Y188"/>
    <mergeCell ref="Z188:AE188"/>
    <mergeCell ref="AF188:AL188"/>
    <mergeCell ref="A189:G189"/>
    <mergeCell ref="H189:P189"/>
    <mergeCell ref="Q189:U189"/>
    <mergeCell ref="V189:Y189"/>
    <mergeCell ref="Z189:AE189"/>
    <mergeCell ref="AF189:AL189"/>
    <mergeCell ref="A190:G190"/>
    <mergeCell ref="H190:P190"/>
    <mergeCell ref="Q190:U190"/>
    <mergeCell ref="V190:Y190"/>
    <mergeCell ref="Z190:AE190"/>
    <mergeCell ref="AF190:AL190"/>
    <mergeCell ref="A191:G191"/>
    <mergeCell ref="H191:P191"/>
    <mergeCell ref="Q191:U191"/>
    <mergeCell ref="V191:Y191"/>
    <mergeCell ref="Z191:AE191"/>
    <mergeCell ref="AF191:AL191"/>
    <mergeCell ref="A192:G192"/>
    <mergeCell ref="H192:P192"/>
    <mergeCell ref="Q192:U192"/>
    <mergeCell ref="V192:Y192"/>
    <mergeCell ref="Z192:AE192"/>
    <mergeCell ref="AF192:AL192"/>
    <mergeCell ref="A193:G193"/>
    <mergeCell ref="H193:P193"/>
    <mergeCell ref="Q193:U193"/>
    <mergeCell ref="V193:Y193"/>
    <mergeCell ref="Z193:AE193"/>
    <mergeCell ref="AF193:AL193"/>
    <mergeCell ref="A194:G194"/>
    <mergeCell ref="H194:P194"/>
    <mergeCell ref="Q194:U194"/>
    <mergeCell ref="V194:Y194"/>
    <mergeCell ref="Z194:AE194"/>
    <mergeCell ref="AF194:AL194"/>
    <mergeCell ref="A195:G195"/>
    <mergeCell ref="H195:P195"/>
    <mergeCell ref="Q195:U195"/>
    <mergeCell ref="V195:Y195"/>
    <mergeCell ref="Z195:AE195"/>
    <mergeCell ref="AF195:AL195"/>
    <mergeCell ref="A196:G196"/>
    <mergeCell ref="H196:P196"/>
    <mergeCell ref="Q196:U196"/>
    <mergeCell ref="V196:Y196"/>
    <mergeCell ref="Z196:AE196"/>
    <mergeCell ref="AF196:AL196"/>
    <mergeCell ref="A197:G197"/>
    <mergeCell ref="H197:P197"/>
    <mergeCell ref="Q197:U197"/>
    <mergeCell ref="V197:Y197"/>
    <mergeCell ref="Z197:AE197"/>
    <mergeCell ref="AF197:AL197"/>
    <mergeCell ref="A198:G198"/>
    <mergeCell ref="H198:P198"/>
    <mergeCell ref="Q198:U198"/>
    <mergeCell ref="V198:Y198"/>
    <mergeCell ref="Z198:AE198"/>
    <mergeCell ref="AF198:AL198"/>
    <mergeCell ref="A199:G199"/>
    <mergeCell ref="H199:P199"/>
    <mergeCell ref="Q199:U199"/>
    <mergeCell ref="V199:Y199"/>
    <mergeCell ref="Z199:AE199"/>
    <mergeCell ref="AF199:AL199"/>
    <mergeCell ref="A200:G200"/>
    <mergeCell ref="H200:P200"/>
    <mergeCell ref="Q200:U200"/>
    <mergeCell ref="V200:Y200"/>
    <mergeCell ref="Z200:AE200"/>
    <mergeCell ref="AF200:AL200"/>
    <mergeCell ref="A201:G201"/>
    <mergeCell ref="H201:P201"/>
    <mergeCell ref="Q201:U201"/>
    <mergeCell ref="V201:Y201"/>
    <mergeCell ref="Z201:AE201"/>
    <mergeCell ref="AF201:AL201"/>
    <mergeCell ref="A202:G202"/>
    <mergeCell ref="H202:P202"/>
    <mergeCell ref="Q202:U202"/>
    <mergeCell ref="V202:Y202"/>
    <mergeCell ref="Z202:AE202"/>
    <mergeCell ref="AF202:AL202"/>
    <mergeCell ref="A203:G203"/>
    <mergeCell ref="H203:P203"/>
    <mergeCell ref="Q203:U203"/>
    <mergeCell ref="V203:Y203"/>
    <mergeCell ref="Z203:AE203"/>
    <mergeCell ref="AF203:AL203"/>
    <mergeCell ref="A204:G204"/>
    <mergeCell ref="H204:P204"/>
    <mergeCell ref="Q204:U204"/>
    <mergeCell ref="V204:Y204"/>
    <mergeCell ref="Z204:AE204"/>
    <mergeCell ref="AF204:AL204"/>
    <mergeCell ref="A205:G205"/>
    <mergeCell ref="H205:P205"/>
    <mergeCell ref="Q205:U205"/>
    <mergeCell ref="V205:Y205"/>
    <mergeCell ref="Z205:AE205"/>
    <mergeCell ref="AF205:AL205"/>
    <mergeCell ref="A206:G206"/>
    <mergeCell ref="H206:P206"/>
    <mergeCell ref="Q206:U206"/>
    <mergeCell ref="V206:Y206"/>
    <mergeCell ref="Z206:AE206"/>
    <mergeCell ref="AF206:AL206"/>
    <mergeCell ref="A207:G207"/>
    <mergeCell ref="H207:P207"/>
    <mergeCell ref="Q207:U207"/>
    <mergeCell ref="V207:Y207"/>
    <mergeCell ref="Z207:AE207"/>
    <mergeCell ref="AF207:AL207"/>
    <mergeCell ref="B208:G208"/>
    <mergeCell ref="H208:I208"/>
    <mergeCell ref="J208:N208"/>
    <mergeCell ref="O208:P208"/>
    <mergeCell ref="Q208:S208"/>
    <mergeCell ref="T208:U208"/>
    <mergeCell ref="W208:X208"/>
    <mergeCell ref="Z208:AE208"/>
    <mergeCell ref="AF208:AG208"/>
    <mergeCell ref="AH208:AK208"/>
    <mergeCell ref="A209:N209"/>
    <mergeCell ref="O209:S209"/>
    <mergeCell ref="T209:X209"/>
    <mergeCell ref="Y209:AM209"/>
    <mergeCell ref="A210:G210"/>
    <mergeCell ref="H210:AL211"/>
    <mergeCell ref="A211:G211"/>
    <mergeCell ref="A212:G212"/>
    <mergeCell ref="H212:P212"/>
    <mergeCell ref="Q212:U212"/>
    <mergeCell ref="V212:Y212"/>
    <mergeCell ref="Z212:AE212"/>
    <mergeCell ref="AF212:AL212"/>
    <mergeCell ref="A213:G213"/>
    <mergeCell ref="H213:P213"/>
    <mergeCell ref="Q213:U213"/>
    <mergeCell ref="V213:Y213"/>
    <mergeCell ref="Z213:AE213"/>
    <mergeCell ref="AF213:AL213"/>
    <mergeCell ref="A214:G214"/>
    <mergeCell ref="H214:P214"/>
    <mergeCell ref="Q214:U214"/>
    <mergeCell ref="V214:Y214"/>
    <mergeCell ref="Z214:AE214"/>
    <mergeCell ref="AF214:AL214"/>
    <mergeCell ref="A215:G215"/>
    <mergeCell ref="H215:P215"/>
    <mergeCell ref="Q215:U215"/>
    <mergeCell ref="V215:Y215"/>
    <mergeCell ref="Z215:AE215"/>
    <mergeCell ref="AF215:AL215"/>
    <mergeCell ref="A216:G216"/>
    <mergeCell ref="H216:P216"/>
    <mergeCell ref="Q216:U216"/>
    <mergeCell ref="V216:Y216"/>
    <mergeCell ref="Z216:AE216"/>
    <mergeCell ref="AF216:AL216"/>
    <mergeCell ref="A217:G217"/>
    <mergeCell ref="H217:P217"/>
    <mergeCell ref="Q217:U217"/>
    <mergeCell ref="V217:Y217"/>
    <mergeCell ref="Z217:AE217"/>
    <mergeCell ref="AF217:AL217"/>
    <mergeCell ref="A218:AM218"/>
    <mergeCell ref="A219:AM219"/>
    <mergeCell ref="A220:AM220"/>
    <mergeCell ref="A221:I221"/>
    <mergeCell ref="J221:AK221"/>
    <mergeCell ref="A222:I222"/>
    <mergeCell ref="J222:P222"/>
    <mergeCell ref="Q222:V222"/>
    <mergeCell ref="W222:Y222"/>
    <mergeCell ref="Z222:AG222"/>
    <mergeCell ref="AH222:AK222"/>
    <mergeCell ref="A223:I223"/>
    <mergeCell ref="J223:P223"/>
    <mergeCell ref="Q223:V223"/>
    <mergeCell ref="W223:Y223"/>
    <mergeCell ref="Z223:AG223"/>
    <mergeCell ref="AH223:AK223"/>
    <mergeCell ref="A224:I224"/>
    <mergeCell ref="J224:P224"/>
    <mergeCell ref="Q224:V224"/>
    <mergeCell ref="W224:Y224"/>
    <mergeCell ref="Z224:AG224"/>
    <mergeCell ref="AH224:AK224"/>
    <mergeCell ref="A225:I225"/>
    <mergeCell ref="J225:P225"/>
    <mergeCell ref="Q225:V225"/>
    <mergeCell ref="W225:Y225"/>
    <mergeCell ref="Z225:AG225"/>
    <mergeCell ref="AH225:AK225"/>
    <mergeCell ref="A226:I226"/>
    <mergeCell ref="J226:P226"/>
    <mergeCell ref="Q226:V226"/>
    <mergeCell ref="W226:Y226"/>
    <mergeCell ref="Z226:AG226"/>
    <mergeCell ref="AH226:AK226"/>
    <mergeCell ref="A227:I227"/>
    <mergeCell ref="J227:P227"/>
    <mergeCell ref="Q227:V227"/>
    <mergeCell ref="W227:Y227"/>
    <mergeCell ref="Z227:AG227"/>
    <mergeCell ref="AH227:AK227"/>
    <mergeCell ref="A228:I228"/>
    <mergeCell ref="J228:P228"/>
    <mergeCell ref="Q228:V228"/>
    <mergeCell ref="W228:Y228"/>
    <mergeCell ref="Z228:AG228"/>
    <mergeCell ref="AH228:AK228"/>
    <mergeCell ref="A229:I229"/>
    <mergeCell ref="J229:P229"/>
    <mergeCell ref="Q229:V229"/>
    <mergeCell ref="W229:Y229"/>
    <mergeCell ref="Z229:AG229"/>
    <mergeCell ref="AH229:AK229"/>
    <mergeCell ref="A230:I230"/>
    <mergeCell ref="J230:P230"/>
    <mergeCell ref="Q230:V230"/>
    <mergeCell ref="W230:Y230"/>
    <mergeCell ref="Z230:AG230"/>
    <mergeCell ref="AH230:AK230"/>
    <mergeCell ref="A231:I231"/>
    <mergeCell ref="J231:P231"/>
    <mergeCell ref="Q231:V231"/>
    <mergeCell ref="W231:Y231"/>
    <mergeCell ref="Z231:AG231"/>
    <mergeCell ref="AH231:AK231"/>
    <mergeCell ref="B232:G232"/>
    <mergeCell ref="H232:N232"/>
    <mergeCell ref="O232:P232"/>
    <mergeCell ref="Q232:S232"/>
    <mergeCell ref="T232:U232"/>
    <mergeCell ref="V232:X232"/>
    <mergeCell ref="Z232:AE232"/>
    <mergeCell ref="AF232:AL232"/>
    <mergeCell ref="A233:N233"/>
    <mergeCell ref="O233:S233"/>
    <mergeCell ref="T233:X233"/>
    <mergeCell ref="Y233:AM233"/>
    <mergeCell ref="A234:G234"/>
    <mergeCell ref="H234:P234"/>
    <mergeCell ref="Q234:U234"/>
    <mergeCell ref="V234:Y234"/>
    <mergeCell ref="Z234:AE234"/>
    <mergeCell ref="AF234:AL234"/>
    <mergeCell ref="A235:G235"/>
    <mergeCell ref="H235:P235"/>
    <mergeCell ref="Q235:U235"/>
    <mergeCell ref="V235:Y235"/>
    <mergeCell ref="Z235:AE235"/>
    <mergeCell ref="AF235:AL235"/>
    <mergeCell ref="A236:G236"/>
    <mergeCell ref="H236:P236"/>
    <mergeCell ref="Q236:U236"/>
    <mergeCell ref="V236:Y236"/>
    <mergeCell ref="Z236:AE236"/>
    <mergeCell ref="AF236:AL236"/>
    <mergeCell ref="A237:G237"/>
    <mergeCell ref="H237:P237"/>
    <mergeCell ref="Q237:U237"/>
    <mergeCell ref="V237:Y237"/>
    <mergeCell ref="Z237:AE237"/>
    <mergeCell ref="AF237:AL237"/>
    <mergeCell ref="A238:G238"/>
    <mergeCell ref="H238:P238"/>
    <mergeCell ref="Q238:U238"/>
    <mergeCell ref="V238:Y238"/>
    <mergeCell ref="Z238:AE238"/>
    <mergeCell ref="AF238:AL238"/>
    <mergeCell ref="A239:G239"/>
    <mergeCell ref="H239:P239"/>
    <mergeCell ref="Q239:U239"/>
    <mergeCell ref="V239:Y239"/>
    <mergeCell ref="Z239:AE239"/>
    <mergeCell ref="AF239:AL239"/>
    <mergeCell ref="A240:G240"/>
    <mergeCell ref="H240:P240"/>
    <mergeCell ref="Q240:U240"/>
    <mergeCell ref="V240:Y240"/>
    <mergeCell ref="Z240:AE240"/>
    <mergeCell ref="AF240:AL240"/>
    <mergeCell ref="A241:G241"/>
    <mergeCell ref="H241:P241"/>
    <mergeCell ref="Q241:U241"/>
    <mergeCell ref="V241:Y241"/>
    <mergeCell ref="Z241:AE241"/>
    <mergeCell ref="AF241:AL241"/>
    <mergeCell ref="A242:G242"/>
    <mergeCell ref="H242:P242"/>
    <mergeCell ref="Q242:U242"/>
    <mergeCell ref="V242:Y242"/>
    <mergeCell ref="Z242:AE242"/>
    <mergeCell ref="AF242:AL242"/>
    <mergeCell ref="A243:G243"/>
    <mergeCell ref="H243:P243"/>
    <mergeCell ref="Q243:U243"/>
    <mergeCell ref="V243:Y243"/>
    <mergeCell ref="Z243:AE243"/>
    <mergeCell ref="AF243:AL243"/>
    <mergeCell ref="A244:G244"/>
    <mergeCell ref="H244:P244"/>
    <mergeCell ref="Q244:U244"/>
    <mergeCell ref="V244:Y244"/>
    <mergeCell ref="Z244:AE244"/>
    <mergeCell ref="AF244:AL244"/>
    <mergeCell ref="A245:G245"/>
    <mergeCell ref="H245:P245"/>
    <mergeCell ref="Q245:U245"/>
    <mergeCell ref="V245:Y245"/>
    <mergeCell ref="Z245:AE245"/>
    <mergeCell ref="AF245:AL245"/>
    <mergeCell ref="A246:G246"/>
    <mergeCell ref="H246:P246"/>
    <mergeCell ref="Q246:U246"/>
    <mergeCell ref="V246:Y246"/>
    <mergeCell ref="Z246:AE246"/>
    <mergeCell ref="AF246:AL246"/>
    <mergeCell ref="A247:G247"/>
    <mergeCell ref="H247:P247"/>
    <mergeCell ref="Q247:U247"/>
    <mergeCell ref="V247:Y247"/>
    <mergeCell ref="Z247:AE247"/>
    <mergeCell ref="AF247:AL247"/>
    <mergeCell ref="A248:G248"/>
    <mergeCell ref="H248:P248"/>
    <mergeCell ref="Q248:U248"/>
    <mergeCell ref="V248:Y248"/>
    <mergeCell ref="Z248:AE248"/>
    <mergeCell ref="AF248:AL248"/>
    <mergeCell ref="A249:G249"/>
    <mergeCell ref="H249:P249"/>
    <mergeCell ref="Q249:U249"/>
    <mergeCell ref="V249:Y249"/>
    <mergeCell ref="Z249:AE249"/>
    <mergeCell ref="AF249:AL249"/>
    <mergeCell ref="A250:G250"/>
    <mergeCell ref="H250:P250"/>
    <mergeCell ref="Q250:U250"/>
    <mergeCell ref="V250:Y250"/>
    <mergeCell ref="Z250:AE250"/>
    <mergeCell ref="AF250:AL250"/>
    <mergeCell ref="A251:G251"/>
    <mergeCell ref="H251:P251"/>
    <mergeCell ref="Q251:U251"/>
    <mergeCell ref="V251:Y251"/>
    <mergeCell ref="Z251:AE251"/>
    <mergeCell ref="AF251:AL251"/>
    <mergeCell ref="A252:G252"/>
    <mergeCell ref="H252:P252"/>
    <mergeCell ref="Q252:U252"/>
    <mergeCell ref="V252:Y252"/>
    <mergeCell ref="Z252:AE252"/>
    <mergeCell ref="AF252:AL252"/>
    <mergeCell ref="A253:G253"/>
    <mergeCell ref="H253:P253"/>
    <mergeCell ref="Q253:U253"/>
    <mergeCell ref="V253:Y253"/>
    <mergeCell ref="Z253:AE253"/>
    <mergeCell ref="AF253:AL253"/>
    <mergeCell ref="A254:G254"/>
    <mergeCell ref="H254:P254"/>
    <mergeCell ref="Q254:U254"/>
    <mergeCell ref="V254:Y254"/>
    <mergeCell ref="Z254:AE254"/>
    <mergeCell ref="AF254:AL254"/>
    <mergeCell ref="A255:G255"/>
    <mergeCell ref="H255:P255"/>
    <mergeCell ref="Q255:U255"/>
    <mergeCell ref="V255:Y255"/>
    <mergeCell ref="Z255:AE255"/>
    <mergeCell ref="AF255:AL255"/>
    <mergeCell ref="B256:G256"/>
    <mergeCell ref="H256:N256"/>
    <mergeCell ref="O256:P256"/>
    <mergeCell ref="Q256:S256"/>
    <mergeCell ref="T256:U256"/>
    <mergeCell ref="V256:X256"/>
    <mergeCell ref="Z256:AE256"/>
    <mergeCell ref="AF256:AL256"/>
    <mergeCell ref="A257:N257"/>
    <mergeCell ref="O257:S257"/>
    <mergeCell ref="T257:X257"/>
    <mergeCell ref="Y257:AM257"/>
    <mergeCell ref="A258:G258"/>
    <mergeCell ref="H258:P258"/>
    <mergeCell ref="Q258:U258"/>
    <mergeCell ref="V258:Y258"/>
    <mergeCell ref="Z258:AE258"/>
    <mergeCell ref="AF258:AL258"/>
    <mergeCell ref="A259:G259"/>
    <mergeCell ref="H259:P259"/>
    <mergeCell ref="Q259:U259"/>
    <mergeCell ref="V259:Y259"/>
    <mergeCell ref="Z259:AE259"/>
    <mergeCell ref="AF259:AL259"/>
    <mergeCell ref="A260:G260"/>
    <mergeCell ref="H260:P260"/>
    <mergeCell ref="Q260:U260"/>
    <mergeCell ref="V260:Y260"/>
    <mergeCell ref="Z260:AE260"/>
    <mergeCell ref="AF260:AL260"/>
    <mergeCell ref="A261:G261"/>
    <mergeCell ref="H261:P261"/>
    <mergeCell ref="Q261:U261"/>
    <mergeCell ref="V261:Y261"/>
    <mergeCell ref="Z261:AE261"/>
    <mergeCell ref="AF261:AL261"/>
    <mergeCell ref="A262:G262"/>
    <mergeCell ref="H262:P262"/>
    <mergeCell ref="Q262:U262"/>
    <mergeCell ref="V262:Y262"/>
    <mergeCell ref="Z262:AE262"/>
    <mergeCell ref="AF262:AL262"/>
    <mergeCell ref="A263:G263"/>
    <mergeCell ref="H263:P263"/>
    <mergeCell ref="Q263:U263"/>
    <mergeCell ref="V263:Y263"/>
    <mergeCell ref="Z263:AE263"/>
    <mergeCell ref="AF263:AL263"/>
    <mergeCell ref="A264:G264"/>
    <mergeCell ref="H264:P264"/>
    <mergeCell ref="Q264:U264"/>
    <mergeCell ref="V264:Y264"/>
    <mergeCell ref="Z264:AE264"/>
    <mergeCell ref="AF264:AL264"/>
    <mergeCell ref="A265:G265"/>
    <mergeCell ref="H265:P265"/>
    <mergeCell ref="Q265:U265"/>
    <mergeCell ref="V265:Y265"/>
    <mergeCell ref="Z265:AE265"/>
    <mergeCell ref="AF265:AL265"/>
    <mergeCell ref="A266:G266"/>
    <mergeCell ref="H266:P266"/>
    <mergeCell ref="Q266:U266"/>
    <mergeCell ref="V266:Y266"/>
    <mergeCell ref="Z266:AE266"/>
    <mergeCell ref="AF266:AL266"/>
    <mergeCell ref="A267:G267"/>
    <mergeCell ref="H267:P267"/>
    <mergeCell ref="Q267:U267"/>
    <mergeCell ref="V267:Y267"/>
    <mergeCell ref="Z267:AE267"/>
    <mergeCell ref="AF267:AL267"/>
    <mergeCell ref="A268:G268"/>
    <mergeCell ref="H268:P268"/>
    <mergeCell ref="Q268:U268"/>
    <mergeCell ref="V268:Y268"/>
    <mergeCell ref="Z268:AE268"/>
    <mergeCell ref="AF268:AL268"/>
    <mergeCell ref="A269:G269"/>
    <mergeCell ref="H269:P269"/>
    <mergeCell ref="Q269:U269"/>
    <mergeCell ref="V269:Y269"/>
    <mergeCell ref="Z269:AE269"/>
    <mergeCell ref="AF269:AL269"/>
    <mergeCell ref="A270:G270"/>
    <mergeCell ref="H270:P270"/>
    <mergeCell ref="Q270:U270"/>
    <mergeCell ref="V270:Y270"/>
    <mergeCell ref="Z270:AE270"/>
    <mergeCell ref="AF270:AL270"/>
    <mergeCell ref="A271:G271"/>
    <mergeCell ref="H271:P271"/>
    <mergeCell ref="Q271:U271"/>
    <mergeCell ref="V271:Y271"/>
    <mergeCell ref="Z271:AE271"/>
    <mergeCell ref="AF271:AL271"/>
    <mergeCell ref="A272:G272"/>
    <mergeCell ref="H272:P272"/>
    <mergeCell ref="Q272:U272"/>
    <mergeCell ref="V272:Y272"/>
    <mergeCell ref="Z272:AE272"/>
    <mergeCell ref="AF272:AL272"/>
    <mergeCell ref="A273:G273"/>
    <mergeCell ref="H273:P273"/>
    <mergeCell ref="Q273:U273"/>
    <mergeCell ref="V273:Y273"/>
    <mergeCell ref="Z273:AE273"/>
    <mergeCell ref="AF273:AL273"/>
    <mergeCell ref="A274:G274"/>
    <mergeCell ref="H274:P274"/>
    <mergeCell ref="Q274:U274"/>
    <mergeCell ref="V274:Y274"/>
    <mergeCell ref="Z274:AE274"/>
    <mergeCell ref="AF274:AL274"/>
    <mergeCell ref="A275:G275"/>
    <mergeCell ref="H275:P275"/>
    <mergeCell ref="Q275:U275"/>
    <mergeCell ref="V275:Y275"/>
    <mergeCell ref="Z275:AE275"/>
    <mergeCell ref="AF275:AL275"/>
    <mergeCell ref="A276:G276"/>
    <mergeCell ref="H276:P276"/>
    <mergeCell ref="Q276:U276"/>
    <mergeCell ref="V276:Y276"/>
    <mergeCell ref="Z276:AE276"/>
    <mergeCell ref="AF276:AL276"/>
    <mergeCell ref="A277:G277"/>
    <mergeCell ref="H277:P277"/>
    <mergeCell ref="Q277:U277"/>
    <mergeCell ref="V277:Y277"/>
    <mergeCell ref="Z277:AE277"/>
    <mergeCell ref="AF277:AL277"/>
    <mergeCell ref="A278:G278"/>
    <mergeCell ref="H278:P278"/>
    <mergeCell ref="Q278:U278"/>
    <mergeCell ref="V278:Y278"/>
    <mergeCell ref="Z278:AE278"/>
    <mergeCell ref="AF278:AL278"/>
    <mergeCell ref="A279:G279"/>
    <mergeCell ref="H279:P279"/>
    <mergeCell ref="Q279:U279"/>
    <mergeCell ref="V279:Y279"/>
    <mergeCell ref="Z279:AE279"/>
    <mergeCell ref="AF279:AL279"/>
    <mergeCell ref="B280:G280"/>
    <mergeCell ref="H280:N280"/>
    <mergeCell ref="O280:P280"/>
    <mergeCell ref="Q280:S280"/>
    <mergeCell ref="T280:U280"/>
    <mergeCell ref="V280:X280"/>
    <mergeCell ref="Z280:AE280"/>
    <mergeCell ref="AF280:AL280"/>
    <mergeCell ref="A281:N281"/>
    <mergeCell ref="O281:S281"/>
    <mergeCell ref="T281:X281"/>
    <mergeCell ref="Y281:AM281"/>
    <mergeCell ref="A282:G282"/>
    <mergeCell ref="H282:P282"/>
    <mergeCell ref="Q282:U282"/>
    <mergeCell ref="V282:Y282"/>
    <mergeCell ref="Z282:AE282"/>
    <mergeCell ref="AF282:AL282"/>
    <mergeCell ref="A283:G283"/>
    <mergeCell ref="H283:P283"/>
    <mergeCell ref="Q283:U283"/>
    <mergeCell ref="V283:Y283"/>
    <mergeCell ref="Z283:AE283"/>
    <mergeCell ref="AF283:AL283"/>
    <mergeCell ref="A284:G284"/>
    <mergeCell ref="H284:P284"/>
    <mergeCell ref="Q284:U284"/>
    <mergeCell ref="V284:Y284"/>
    <mergeCell ref="Z284:AE284"/>
    <mergeCell ref="AF284:AL284"/>
    <mergeCell ref="A285:G285"/>
    <mergeCell ref="H285:P285"/>
    <mergeCell ref="Q285:U285"/>
    <mergeCell ref="V285:Y285"/>
    <mergeCell ref="Z285:AE285"/>
    <mergeCell ref="AF285:AL285"/>
    <mergeCell ref="A286:G286"/>
    <mergeCell ref="H286:P286"/>
    <mergeCell ref="Q286:U286"/>
    <mergeCell ref="V286:Y286"/>
    <mergeCell ref="Z286:AE286"/>
    <mergeCell ref="AF286:AL286"/>
    <mergeCell ref="A287:G287"/>
    <mergeCell ref="H287:P287"/>
    <mergeCell ref="Q287:U287"/>
    <mergeCell ref="V287:Y287"/>
    <mergeCell ref="Z287:AE287"/>
    <mergeCell ref="AF287:AL287"/>
    <mergeCell ref="A288:G288"/>
    <mergeCell ref="H288:P288"/>
    <mergeCell ref="Q288:U288"/>
    <mergeCell ref="V288:Y288"/>
    <mergeCell ref="Z288:AE288"/>
    <mergeCell ref="AF288:AL288"/>
    <mergeCell ref="A289:G289"/>
    <mergeCell ref="H289:P289"/>
    <mergeCell ref="Q289:U289"/>
    <mergeCell ref="V289:Y289"/>
    <mergeCell ref="Z289:AE289"/>
    <mergeCell ref="AF289:AL289"/>
    <mergeCell ref="A290:G290"/>
    <mergeCell ref="H290:P290"/>
    <mergeCell ref="Q290:U290"/>
    <mergeCell ref="V290:Y290"/>
    <mergeCell ref="Z290:AE290"/>
    <mergeCell ref="AF290:AL290"/>
    <mergeCell ref="A291:G291"/>
    <mergeCell ref="H291:P291"/>
    <mergeCell ref="Q291:U291"/>
    <mergeCell ref="V291:Y291"/>
    <mergeCell ref="Z291:AE291"/>
    <mergeCell ref="AF291:AL291"/>
    <mergeCell ref="A292:G292"/>
    <mergeCell ref="H292:P292"/>
    <mergeCell ref="Q292:U292"/>
    <mergeCell ref="V292:Y292"/>
    <mergeCell ref="Z292:AE292"/>
    <mergeCell ref="AF292:AL292"/>
    <mergeCell ref="A293:G293"/>
    <mergeCell ref="H293:P293"/>
    <mergeCell ref="Q293:U293"/>
    <mergeCell ref="V293:Y293"/>
    <mergeCell ref="Z293:AE293"/>
    <mergeCell ref="AF293:AL293"/>
    <mergeCell ref="A294:G294"/>
    <mergeCell ref="H294:P294"/>
    <mergeCell ref="Q294:U294"/>
    <mergeCell ref="V294:Y294"/>
    <mergeCell ref="Z294:AE294"/>
    <mergeCell ref="AF294:AL294"/>
    <mergeCell ref="A295:G295"/>
    <mergeCell ref="H295:P295"/>
    <mergeCell ref="Q295:U295"/>
    <mergeCell ref="V295:Y295"/>
    <mergeCell ref="Z295:AE295"/>
    <mergeCell ref="AF295:AL295"/>
    <mergeCell ref="A296:G296"/>
    <mergeCell ref="H296:P296"/>
    <mergeCell ref="Q296:U296"/>
    <mergeCell ref="V296:Y296"/>
    <mergeCell ref="Z296:AE296"/>
    <mergeCell ref="AF296:AL296"/>
    <mergeCell ref="A297:G297"/>
    <mergeCell ref="H297:P297"/>
    <mergeCell ref="Q297:U297"/>
    <mergeCell ref="V297:Y297"/>
    <mergeCell ref="Z297:AE297"/>
    <mergeCell ref="AF297:AL297"/>
    <mergeCell ref="A298:G298"/>
    <mergeCell ref="H298:P298"/>
    <mergeCell ref="Q298:U298"/>
    <mergeCell ref="V298:Y298"/>
    <mergeCell ref="Z298:AE298"/>
    <mergeCell ref="AF298:AL298"/>
    <mergeCell ref="A299:G299"/>
    <mergeCell ref="H299:P299"/>
    <mergeCell ref="Q299:U299"/>
    <mergeCell ref="V299:Y299"/>
    <mergeCell ref="Z299:AE299"/>
    <mergeCell ref="AF299:AL299"/>
    <mergeCell ref="A300:G300"/>
    <mergeCell ref="H300:P300"/>
    <mergeCell ref="Q300:U300"/>
    <mergeCell ref="V300:Y300"/>
    <mergeCell ref="Z300:AE300"/>
    <mergeCell ref="AF300:AL300"/>
    <mergeCell ref="A301:G301"/>
    <mergeCell ref="H301:P301"/>
    <mergeCell ref="Q301:U301"/>
    <mergeCell ref="V301:Y301"/>
    <mergeCell ref="Z301:AE301"/>
    <mergeCell ref="AF301:AL301"/>
    <mergeCell ref="A302:G302"/>
    <mergeCell ref="H302:P302"/>
    <mergeCell ref="Q302:U302"/>
    <mergeCell ref="V302:Y302"/>
    <mergeCell ref="Z302:AE302"/>
    <mergeCell ref="AF302:AL302"/>
    <mergeCell ref="B303:D303"/>
    <mergeCell ref="E303:I303"/>
    <mergeCell ref="J303:N303"/>
    <mergeCell ref="O303:P303"/>
    <mergeCell ref="Q303:S303"/>
    <mergeCell ref="T303:V303"/>
    <mergeCell ref="W303:X303"/>
    <mergeCell ref="Z303:AC303"/>
    <mergeCell ref="AD303:AG303"/>
    <mergeCell ref="AH303:AK303"/>
    <mergeCell ref="AL303:AM303"/>
    <mergeCell ref="B304:D304"/>
    <mergeCell ref="E304:I304"/>
    <mergeCell ref="J304:N304"/>
    <mergeCell ref="O304:S304"/>
    <mergeCell ref="T304:X304"/>
    <mergeCell ref="Y304:AM304"/>
    <mergeCell ref="A305:D305"/>
    <mergeCell ref="E305:I305"/>
    <mergeCell ref="J305:N305"/>
    <mergeCell ref="O305:P305"/>
    <mergeCell ref="Q305:S305"/>
    <mergeCell ref="T305:V305"/>
    <mergeCell ref="W305:X305"/>
    <mergeCell ref="Z305:AC305"/>
    <mergeCell ref="AD305:AG305"/>
    <mergeCell ref="AH305:AK305"/>
    <mergeCell ref="AL305:AM305"/>
    <mergeCell ref="A306:D306"/>
    <mergeCell ref="E306:AC306"/>
    <mergeCell ref="AD306:AM306"/>
    <mergeCell ref="A307:AM307"/>
    <mergeCell ref="A308:I308"/>
    <mergeCell ref="J308:P308"/>
    <mergeCell ref="Q308:V308"/>
    <mergeCell ref="W308:Y308"/>
    <mergeCell ref="Z308:AG308"/>
    <mergeCell ref="AH308:AK308"/>
    <mergeCell ref="AL308:AM308"/>
    <mergeCell ref="A309:I309"/>
    <mergeCell ref="J309:P309"/>
    <mergeCell ref="Q309:V309"/>
    <mergeCell ref="W309:Y309"/>
    <mergeCell ref="Z309:AG309"/>
    <mergeCell ref="AH309:AK309"/>
    <mergeCell ref="AL309:AM309"/>
    <mergeCell ref="A310:I310"/>
    <mergeCell ref="J310:P310"/>
    <mergeCell ref="Q310:V310"/>
    <mergeCell ref="W310:Y310"/>
    <mergeCell ref="Z310:AG310"/>
    <mergeCell ref="AH310:AK310"/>
    <mergeCell ref="AL310:AM310"/>
    <mergeCell ref="A311:I311"/>
    <mergeCell ref="J311:P311"/>
    <mergeCell ref="Q311:V311"/>
    <mergeCell ref="W311:Y311"/>
    <mergeCell ref="Z311:AG311"/>
    <mergeCell ref="AH311:AK311"/>
    <mergeCell ref="AL311:AM311"/>
    <mergeCell ref="A312:I312"/>
    <mergeCell ref="J312:P312"/>
    <mergeCell ref="Q312:V312"/>
    <mergeCell ref="W312:Y312"/>
    <mergeCell ref="Z312:AG312"/>
    <mergeCell ref="AH312:AK312"/>
    <mergeCell ref="AL312:AM312"/>
    <mergeCell ref="A313:I313"/>
    <mergeCell ref="J313:P313"/>
    <mergeCell ref="Q313:V313"/>
    <mergeCell ref="W313:Y313"/>
    <mergeCell ref="Z313:AG313"/>
    <mergeCell ref="AH313:AK313"/>
    <mergeCell ref="AL313:AM313"/>
    <mergeCell ref="A314:I314"/>
    <mergeCell ref="J314:P314"/>
    <mergeCell ref="Q314:V314"/>
    <mergeCell ref="W314:Y314"/>
    <mergeCell ref="Z314:AG314"/>
    <mergeCell ref="AH314:AK314"/>
    <mergeCell ref="AL314:AM314"/>
    <mergeCell ref="A315:I315"/>
    <mergeCell ref="J315:P315"/>
    <mergeCell ref="Q315:V315"/>
    <mergeCell ref="W315:Y315"/>
    <mergeCell ref="Z315:AG315"/>
    <mergeCell ref="AH315:AK315"/>
    <mergeCell ref="AL315:AM315"/>
    <mergeCell ref="A316:I316"/>
    <mergeCell ref="J316:P316"/>
    <mergeCell ref="Q316:V316"/>
    <mergeCell ref="W316:Y316"/>
    <mergeCell ref="Z316:AG316"/>
    <mergeCell ref="AH316:AK316"/>
    <mergeCell ref="AL316:AM316"/>
    <mergeCell ref="A317:I317"/>
    <mergeCell ref="J317:P317"/>
    <mergeCell ref="Q317:V317"/>
    <mergeCell ref="W317:Y317"/>
    <mergeCell ref="Z317:AG317"/>
    <mergeCell ref="AH317:AK317"/>
    <mergeCell ref="AL317:AM317"/>
    <mergeCell ref="A318:I318"/>
    <mergeCell ref="J318:P318"/>
    <mergeCell ref="Q318:V318"/>
    <mergeCell ref="W318:Y318"/>
    <mergeCell ref="Z318:AG318"/>
    <mergeCell ref="AH318:AK318"/>
    <mergeCell ref="AL318:AM318"/>
    <mergeCell ref="A319:I319"/>
    <mergeCell ref="J319:P319"/>
    <mergeCell ref="Q319:V319"/>
    <mergeCell ref="W319:Y319"/>
    <mergeCell ref="Z319:AG319"/>
    <mergeCell ref="AH319:AK319"/>
    <mergeCell ref="AL319:AM319"/>
    <mergeCell ref="A320:I320"/>
    <mergeCell ref="J320:P320"/>
    <mergeCell ref="Q320:V320"/>
    <mergeCell ref="W320:Y320"/>
    <mergeCell ref="Z320:AG320"/>
    <mergeCell ref="AH320:AK320"/>
    <mergeCell ref="AL320:AM320"/>
    <mergeCell ref="A321:I321"/>
    <mergeCell ref="J321:P321"/>
    <mergeCell ref="Q321:V321"/>
    <mergeCell ref="W321:Y321"/>
    <mergeCell ref="Z321:AG321"/>
    <mergeCell ref="AH321:AK321"/>
    <mergeCell ref="AL321:AM321"/>
    <mergeCell ref="A322:I322"/>
    <mergeCell ref="J322:P322"/>
    <mergeCell ref="Q322:V322"/>
    <mergeCell ref="W322:Y322"/>
    <mergeCell ref="Z322:AG322"/>
    <mergeCell ref="AH322:AK322"/>
    <mergeCell ref="AL322:AM322"/>
    <mergeCell ref="A323:I323"/>
    <mergeCell ref="J323:P323"/>
    <mergeCell ref="Q323:V323"/>
    <mergeCell ref="W323:Y323"/>
    <mergeCell ref="Z323:AG323"/>
    <mergeCell ref="AH323:AK323"/>
    <mergeCell ref="AL323:AM323"/>
    <mergeCell ref="B324:E324"/>
    <mergeCell ref="F324:H324"/>
    <mergeCell ref="J324:N324"/>
    <mergeCell ref="O324:P324"/>
    <mergeCell ref="Q324:S324"/>
    <mergeCell ref="T324:U324"/>
    <mergeCell ref="W324:X324"/>
    <mergeCell ref="Z324:AE324"/>
    <mergeCell ref="AG324:AL324"/>
    <mergeCell ref="A325:N325"/>
    <mergeCell ref="O325:S325"/>
    <mergeCell ref="T325:X325"/>
    <mergeCell ref="Y325:AM325"/>
    <mergeCell ref="A326:H326"/>
    <mergeCell ref="I326:AL327"/>
    <mergeCell ref="A327:H327"/>
    <mergeCell ref="A328:H328"/>
    <mergeCell ref="I328:P328"/>
    <mergeCell ref="Q328:U328"/>
    <mergeCell ref="V328:Y328"/>
    <mergeCell ref="Z328:AE328"/>
    <mergeCell ref="AF328:AL328"/>
    <mergeCell ref="A329:H329"/>
    <mergeCell ref="I329:P329"/>
    <mergeCell ref="Q329:U329"/>
    <mergeCell ref="V329:Y329"/>
    <mergeCell ref="Z329:AE329"/>
    <mergeCell ref="AF329:AL329"/>
    <mergeCell ref="A330:H330"/>
    <mergeCell ref="I330:P330"/>
    <mergeCell ref="Q330:U330"/>
    <mergeCell ref="V330:Y330"/>
    <mergeCell ref="Z330:AE330"/>
    <mergeCell ref="AF330:AL330"/>
    <mergeCell ref="A331:H331"/>
    <mergeCell ref="I331:P331"/>
    <mergeCell ref="Q331:U331"/>
    <mergeCell ref="V331:Y331"/>
    <mergeCell ref="Z331:AE331"/>
    <mergeCell ref="AF331:AL331"/>
    <mergeCell ref="A332:H332"/>
    <mergeCell ref="I332:P332"/>
    <mergeCell ref="Q332:U332"/>
    <mergeCell ref="V332:Y332"/>
    <mergeCell ref="Z332:AE332"/>
    <mergeCell ref="AF332:AL332"/>
    <mergeCell ref="A333:H333"/>
    <mergeCell ref="I333:P333"/>
    <mergeCell ref="Q333:U333"/>
    <mergeCell ref="V333:Y333"/>
    <mergeCell ref="Z333:AE333"/>
    <mergeCell ref="AF333:AL333"/>
    <mergeCell ref="A334:H334"/>
    <mergeCell ref="I334:P334"/>
    <mergeCell ref="Q334:U334"/>
    <mergeCell ref="V334:Y334"/>
    <mergeCell ref="Z334:AE334"/>
    <mergeCell ref="AF334:AL334"/>
    <mergeCell ref="A335:H335"/>
    <mergeCell ref="I335:P335"/>
    <mergeCell ref="Q335:U335"/>
    <mergeCell ref="V335:Y335"/>
    <mergeCell ref="Z335:AE335"/>
    <mergeCell ref="AF335:AL335"/>
    <mergeCell ref="A336:AM336"/>
    <mergeCell ref="A337:AM337"/>
    <mergeCell ref="A338:E338"/>
    <mergeCell ref="F338:I338"/>
    <mergeCell ref="J338:P338"/>
    <mergeCell ref="Q338:V338"/>
    <mergeCell ref="W338:Y338"/>
    <mergeCell ref="Z338:AF338"/>
    <mergeCell ref="AG338:AL338"/>
    <mergeCell ref="A339:E339"/>
    <mergeCell ref="F339:I339"/>
    <mergeCell ref="J339:P339"/>
    <mergeCell ref="Q339:V339"/>
    <mergeCell ref="W339:Y339"/>
    <mergeCell ref="Z339:AF339"/>
    <mergeCell ref="AG339:AL339"/>
    <mergeCell ref="A340:E340"/>
    <mergeCell ref="F340:I340"/>
    <mergeCell ref="J340:P340"/>
    <mergeCell ref="Q340:V340"/>
    <mergeCell ref="W340:Y340"/>
    <mergeCell ref="Z340:AF340"/>
    <mergeCell ref="AG340:AL340"/>
    <mergeCell ref="A341:E341"/>
    <mergeCell ref="F341:I341"/>
    <mergeCell ref="J341:P341"/>
    <mergeCell ref="Q341:V341"/>
    <mergeCell ref="W341:Y341"/>
    <mergeCell ref="Z341:AF341"/>
    <mergeCell ref="AG341:AL341"/>
    <mergeCell ref="A342:E342"/>
    <mergeCell ref="F342:I342"/>
    <mergeCell ref="J342:P342"/>
    <mergeCell ref="Q342:V342"/>
    <mergeCell ref="W342:Y342"/>
    <mergeCell ref="Z342:AF342"/>
    <mergeCell ref="AG342:AL342"/>
    <mergeCell ref="A343:E343"/>
    <mergeCell ref="F343:I343"/>
    <mergeCell ref="J343:P343"/>
    <mergeCell ref="Q343:V343"/>
    <mergeCell ref="W343:Y343"/>
    <mergeCell ref="Z343:AF343"/>
    <mergeCell ref="AG343:AL343"/>
    <mergeCell ref="A344:AM344"/>
    <mergeCell ref="A345:D348"/>
    <mergeCell ref="F345:J345"/>
    <mergeCell ref="K345:L345"/>
    <mergeCell ref="M345:N345"/>
    <mergeCell ref="O345:T345"/>
    <mergeCell ref="U345:AA345"/>
    <mergeCell ref="AC345:AD345"/>
    <mergeCell ref="AE345:AH345"/>
    <mergeCell ref="AK345:AL345"/>
    <mergeCell ref="F346:J346"/>
    <mergeCell ref="K346:L346"/>
    <mergeCell ref="M346:N346"/>
    <mergeCell ref="O346:T346"/>
    <mergeCell ref="U346:AA346"/>
    <mergeCell ref="AC346:AD346"/>
    <mergeCell ref="AE346:AH346"/>
    <mergeCell ref="AI346:AL346"/>
    <mergeCell ref="F347:J347"/>
    <mergeCell ref="K347:L347"/>
    <mergeCell ref="M347:N347"/>
    <mergeCell ref="O347:T347"/>
    <mergeCell ref="U347:AA347"/>
    <mergeCell ref="AC347:AD347"/>
    <mergeCell ref="AE347:AH347"/>
    <mergeCell ref="AK347:AL347"/>
    <mergeCell ref="F348:J349"/>
    <mergeCell ref="K348:AJ349"/>
    <mergeCell ref="AK348:AL348"/>
    <mergeCell ref="A349:D349"/>
    <mergeCell ref="AK349:AL349"/>
    <mergeCell ref="A350:D350"/>
    <mergeCell ref="F350:J350"/>
    <mergeCell ref="K350:AJ350"/>
    <mergeCell ref="AK350:AL350"/>
    <mergeCell ref="A351:D351"/>
    <mergeCell ref="F351:J351"/>
    <mergeCell ref="K351:L351"/>
    <mergeCell ref="M351:N351"/>
    <mergeCell ref="O351:T351"/>
    <mergeCell ref="U351:AA351"/>
    <mergeCell ref="AC351:AD351"/>
    <mergeCell ref="AE351:AL352"/>
    <mergeCell ref="A352:AB353"/>
    <mergeCell ref="AC352:AD352"/>
    <mergeCell ref="AC353:AD353"/>
    <mergeCell ref="AE353:AH353"/>
    <mergeCell ref="AK353:AL353"/>
    <mergeCell ref="A360:AL360"/>
    <mergeCell ref="A354:AI354"/>
    <mergeCell ref="AK354:AL354"/>
    <mergeCell ref="A355:AI355"/>
    <mergeCell ref="AK355:AL355"/>
    <mergeCell ref="A356:L358"/>
    <mergeCell ref="M356:N356"/>
    <mergeCell ref="O356:T356"/>
    <mergeCell ref="U356:AA356"/>
    <mergeCell ref="AC356:AD356"/>
    <mergeCell ref="AE356:AH356"/>
    <mergeCell ref="AK356:AL356"/>
    <mergeCell ref="M357:N357"/>
    <mergeCell ref="O357:T357"/>
    <mergeCell ref="U357:AA357"/>
    <mergeCell ref="AC357:AD357"/>
    <mergeCell ref="AE357:AH357"/>
    <mergeCell ref="AK357:AL357"/>
    <mergeCell ref="M358:N358"/>
    <mergeCell ref="O358:T359"/>
    <mergeCell ref="U358:AA359"/>
    <mergeCell ref="AC358:AD358"/>
    <mergeCell ref="AE358:AH358"/>
    <mergeCell ref="AK358:AL358"/>
    <mergeCell ref="A359:D359"/>
    <mergeCell ref="F359:J359"/>
    <mergeCell ref="K359:L359"/>
    <mergeCell ref="M359:N359"/>
    <mergeCell ref="AC359:AD359"/>
    <mergeCell ref="AE359:AH359"/>
    <mergeCell ref="AK359:AL3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7D57-CBD8-4A66-A388-11CA5F4ED768}">
  <dimension ref="A1:AM9"/>
  <sheetViews>
    <sheetView workbookViewId="0">
      <selection activeCell="D8" sqref="D8:M8"/>
    </sheetView>
  </sheetViews>
  <sheetFormatPr defaultRowHeight="12.75" x14ac:dyDescent="0.2"/>
  <cols>
    <col min="1" max="1" width="8" customWidth="1"/>
    <col min="2" max="2" width="1.1640625" customWidth="1"/>
    <col min="3" max="3" width="3.33203125" customWidth="1"/>
    <col min="4" max="4" width="5.83203125" customWidth="1"/>
    <col min="5" max="5" width="2.1640625" customWidth="1"/>
    <col min="6" max="6" width="3.33203125" customWidth="1"/>
    <col min="7" max="7" width="1.1640625" customWidth="1"/>
    <col min="8" max="8" width="2.1640625" customWidth="1"/>
    <col min="9" max="9" width="1.1640625" customWidth="1"/>
    <col min="10" max="10" width="6.83203125" customWidth="1"/>
    <col min="11" max="13" width="1.1640625" customWidth="1"/>
    <col min="14" max="14" width="3.33203125" customWidth="1"/>
    <col min="15" max="15" width="2.1640625" customWidth="1"/>
    <col min="16" max="16" width="3.33203125" customWidth="1"/>
    <col min="17" max="17" width="5.83203125" customWidth="1"/>
    <col min="18" max="18" width="2.1640625" customWidth="1"/>
    <col min="19" max="19" width="3.33203125" customWidth="1"/>
    <col min="20" max="20" width="4.6640625" customWidth="1"/>
    <col min="21" max="21" width="1.1640625" customWidth="1"/>
    <col min="22" max="22" width="2.1640625" customWidth="1"/>
    <col min="23" max="23" width="3.33203125" customWidth="1"/>
    <col min="24" max="24" width="8" customWidth="1"/>
    <col min="25" max="25" width="1.1640625" customWidth="1"/>
    <col min="26" max="26" width="4.6640625" customWidth="1"/>
    <col min="27" max="27" width="1.1640625" customWidth="1"/>
    <col min="28" max="29" width="3.33203125" customWidth="1"/>
    <col min="30" max="30" width="6.83203125" customWidth="1"/>
    <col min="31" max="31" width="1.1640625" customWidth="1"/>
    <col min="32" max="32" width="4.6640625" customWidth="1"/>
    <col min="33" max="33" width="2.1640625" customWidth="1"/>
    <col min="34" max="34" width="1.1640625" customWidth="1"/>
    <col min="35" max="35" width="4.6640625" customWidth="1"/>
    <col min="36" max="36" width="3.33203125" customWidth="1"/>
    <col min="37" max="37" width="11.5" customWidth="1"/>
    <col min="38" max="39" width="2.1640625" customWidth="1"/>
  </cols>
  <sheetData>
    <row r="1" spans="1:39" ht="15.75" customHeight="1" x14ac:dyDescent="0.2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</row>
    <row r="2" spans="1:39" ht="11.25" customHeight="1" x14ac:dyDescent="0.2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</row>
    <row r="3" spans="1:39" ht="25.5" customHeight="1" x14ac:dyDescent="0.2">
      <c r="A3" s="146" t="s">
        <v>2</v>
      </c>
      <c r="B3" s="147"/>
      <c r="C3" s="148" t="s">
        <v>3</v>
      </c>
      <c r="D3" s="149"/>
      <c r="E3" s="150"/>
      <c r="F3" s="151" t="s">
        <v>4</v>
      </c>
      <c r="G3" s="152"/>
      <c r="H3" s="152"/>
      <c r="I3" s="152"/>
      <c r="J3" s="153"/>
      <c r="K3" s="154" t="s">
        <v>5</v>
      </c>
      <c r="L3" s="155"/>
      <c r="M3" s="155"/>
      <c r="N3" s="155"/>
      <c r="O3" s="155"/>
      <c r="P3" s="155"/>
      <c r="Q3" s="155"/>
      <c r="R3" s="156"/>
      <c r="S3" s="148" t="s">
        <v>6</v>
      </c>
      <c r="T3" s="149"/>
      <c r="U3" s="149"/>
      <c r="V3" s="149"/>
      <c r="W3" s="149"/>
    </row>
    <row r="4" spans="1:39" ht="14.25" customHeight="1" x14ac:dyDescent="0.2">
      <c r="A4" s="157" t="s">
        <v>7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39" ht="24.75" customHeight="1" x14ac:dyDescent="0.2">
      <c r="A5" s="158">
        <v>1</v>
      </c>
      <c r="B5" s="159"/>
      <c r="C5" s="160">
        <v>25</v>
      </c>
      <c r="D5" s="102"/>
      <c r="E5" s="102"/>
      <c r="F5" s="161"/>
      <c r="G5" s="162">
        <v>1735</v>
      </c>
      <c r="H5" s="163"/>
      <c r="I5" s="163"/>
      <c r="J5" s="163"/>
      <c r="K5" s="163"/>
      <c r="L5" s="164">
        <v>1</v>
      </c>
      <c r="M5" s="164"/>
      <c r="N5" s="164"/>
      <c r="O5" s="165"/>
      <c r="P5" s="166">
        <v>25</v>
      </c>
      <c r="Q5" s="167"/>
      <c r="R5" s="167"/>
      <c r="S5" s="167"/>
    </row>
    <row r="6" spans="1:39" ht="38.25" customHeight="1" x14ac:dyDescent="0.2">
      <c r="A6" s="158">
        <v>2</v>
      </c>
      <c r="B6" s="159"/>
      <c r="C6" s="160">
        <v>25</v>
      </c>
      <c r="D6" s="102"/>
      <c r="E6" s="102"/>
      <c r="F6" s="161"/>
      <c r="G6" s="162">
        <v>2111.3200000000002</v>
      </c>
      <c r="H6" s="163"/>
      <c r="I6" s="163"/>
      <c r="J6" s="163"/>
      <c r="K6" s="163"/>
      <c r="L6" s="164">
        <v>1</v>
      </c>
      <c r="M6" s="164"/>
      <c r="N6" s="164"/>
      <c r="O6" s="165"/>
      <c r="P6" s="166">
        <v>50</v>
      </c>
      <c r="Q6" s="167"/>
      <c r="R6" s="167"/>
      <c r="S6" s="167"/>
    </row>
    <row r="7" spans="1:39" ht="51.75" customHeight="1" x14ac:dyDescent="0.2">
      <c r="A7" s="123">
        <v>4</v>
      </c>
      <c r="B7" s="124"/>
      <c r="C7" s="125">
        <v>25</v>
      </c>
      <c r="D7" s="126"/>
      <c r="E7" s="126"/>
      <c r="F7" s="127"/>
      <c r="G7" s="128">
        <v>4667.8999999999996</v>
      </c>
      <c r="H7" s="129"/>
      <c r="I7" s="129"/>
      <c r="J7" s="129"/>
      <c r="K7" s="129"/>
      <c r="L7" s="130">
        <v>1</v>
      </c>
      <c r="M7" s="130"/>
      <c r="N7" s="130"/>
      <c r="O7" s="131"/>
      <c r="P7" s="132">
        <v>100</v>
      </c>
      <c r="Q7" s="133"/>
      <c r="R7" s="133"/>
      <c r="S7" s="133"/>
    </row>
    <row r="8" spans="1:39" ht="146.25" customHeight="1" x14ac:dyDescent="0.2">
      <c r="A8" s="168" t="s">
        <v>312</v>
      </c>
      <c r="B8" s="110"/>
      <c r="C8" s="110"/>
      <c r="D8" s="79" t="s">
        <v>311</v>
      </c>
      <c r="E8" s="62"/>
      <c r="F8" s="62"/>
      <c r="G8" s="62"/>
      <c r="H8" s="62"/>
      <c r="I8" s="62"/>
      <c r="J8" s="62"/>
      <c r="K8" s="62"/>
      <c r="L8" s="62"/>
      <c r="M8" s="62"/>
      <c r="N8" s="134" t="s">
        <v>10</v>
      </c>
      <c r="O8" s="134"/>
      <c r="P8" s="134"/>
      <c r="Q8" s="135"/>
      <c r="R8" s="136" t="s">
        <v>11</v>
      </c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8">
        <v>175</v>
      </c>
      <c r="AG8" s="138"/>
      <c r="AH8" s="138"/>
      <c r="AI8" s="138"/>
      <c r="AJ8" s="138"/>
      <c r="AK8" s="138"/>
      <c r="AL8" s="138"/>
      <c r="AM8" s="138"/>
    </row>
    <row r="9" spans="1:39" ht="13.5" customHeight="1" x14ac:dyDescent="0.2">
      <c r="A9" s="139" t="s">
        <v>12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</row>
  </sheetData>
  <mergeCells count="29">
    <mergeCell ref="A1:AM1"/>
    <mergeCell ref="A2:AM2"/>
    <mergeCell ref="A3:B3"/>
    <mergeCell ref="C3:E3"/>
    <mergeCell ref="F3:J3"/>
    <mergeCell ref="K3:R3"/>
    <mergeCell ref="S3:W3"/>
    <mergeCell ref="A4:AM4"/>
    <mergeCell ref="A5:B5"/>
    <mergeCell ref="C5:F5"/>
    <mergeCell ref="G5:K5"/>
    <mergeCell ref="L5:O5"/>
    <mergeCell ref="P5:S5"/>
    <mergeCell ref="A9:AM9"/>
    <mergeCell ref="A6:B6"/>
    <mergeCell ref="C6:F6"/>
    <mergeCell ref="G6:K6"/>
    <mergeCell ref="L6:O6"/>
    <mergeCell ref="P6:S6"/>
    <mergeCell ref="A7:B7"/>
    <mergeCell ref="C7:F7"/>
    <mergeCell ref="G7:K7"/>
    <mergeCell ref="L7:O7"/>
    <mergeCell ref="P7:S7"/>
    <mergeCell ref="A8:C8"/>
    <mergeCell ref="D8:M8"/>
    <mergeCell ref="N8:Q8"/>
    <mergeCell ref="R8:AE8"/>
    <mergeCell ref="AF8:A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E52F-EB8D-49FD-86B2-5FAF80B91FE3}">
  <dimension ref="A1:R30"/>
  <sheetViews>
    <sheetView tabSelected="1" workbookViewId="0">
      <selection activeCell="L2" sqref="L2:L28"/>
    </sheetView>
  </sheetViews>
  <sheetFormatPr defaultRowHeight="12.75" x14ac:dyDescent="0.2"/>
  <cols>
    <col min="1" max="1" width="32.6640625" bestFit="1" customWidth="1"/>
    <col min="3" max="3" width="10.5" bestFit="1" customWidth="1"/>
    <col min="16" max="16" width="12" bestFit="1" customWidth="1"/>
  </cols>
  <sheetData>
    <row r="1" spans="1:18" s="6" customFormat="1" ht="15" customHeight="1" x14ac:dyDescent="0.2">
      <c r="A1" s="17" t="s">
        <v>316</v>
      </c>
      <c r="B1" s="17"/>
      <c r="C1" s="17"/>
      <c r="D1" s="17"/>
      <c r="E1" s="17"/>
      <c r="F1" s="17"/>
      <c r="G1" s="17" t="s">
        <v>317</v>
      </c>
      <c r="H1" s="18" t="s">
        <v>318</v>
      </c>
      <c r="I1" s="18"/>
      <c r="J1" s="5" t="s">
        <v>468</v>
      </c>
      <c r="K1" s="5"/>
      <c r="L1" s="5"/>
      <c r="M1" s="5"/>
      <c r="N1" s="5"/>
      <c r="O1" s="5"/>
      <c r="P1" s="5"/>
      <c r="Q1" s="5"/>
      <c r="R1" s="5"/>
    </row>
    <row r="2" spans="1:18" s="6" customFormat="1" ht="15" customHeight="1" x14ac:dyDescent="0.2">
      <c r="A2" s="20" t="s">
        <v>883</v>
      </c>
      <c r="B2" s="15" t="s">
        <v>314</v>
      </c>
      <c r="C2" s="17">
        <v>16865615</v>
      </c>
      <c r="D2" t="s">
        <v>912</v>
      </c>
      <c r="E2" t="s">
        <v>913</v>
      </c>
      <c r="F2" s="12">
        <v>45667</v>
      </c>
      <c r="G2" s="13">
        <v>339.88</v>
      </c>
      <c r="H2" s="14">
        <v>2</v>
      </c>
      <c r="I2" s="13">
        <v>18</v>
      </c>
      <c r="J2" s="13"/>
      <c r="K2" s="13">
        <v>18</v>
      </c>
      <c r="L2" s="13"/>
      <c r="M2" s="13"/>
      <c r="N2" s="17"/>
      <c r="O2" s="13"/>
      <c r="P2" s="13"/>
      <c r="Q2" s="13"/>
      <c r="R2" s="8"/>
    </row>
    <row r="3" spans="1:18" s="177" customFormat="1" ht="15" customHeight="1" x14ac:dyDescent="0.2">
      <c r="A3" s="169" t="s">
        <v>884</v>
      </c>
      <c r="B3" s="170" t="s">
        <v>314</v>
      </c>
      <c r="C3" s="171">
        <v>16865615</v>
      </c>
      <c r="D3" s="172" t="s">
        <v>912</v>
      </c>
      <c r="E3" t="s">
        <v>914</v>
      </c>
      <c r="F3" s="173">
        <v>45686</v>
      </c>
      <c r="G3" s="174">
        <v>4</v>
      </c>
      <c r="H3" s="175">
        <v>1.3100000000000001E-2</v>
      </c>
      <c r="I3" s="174">
        <v>18</v>
      </c>
      <c r="J3" s="174"/>
      <c r="K3" s="174">
        <v>36</v>
      </c>
      <c r="L3" s="174" t="s">
        <v>942</v>
      </c>
      <c r="M3" s="174"/>
      <c r="N3" s="171"/>
      <c r="O3" s="174"/>
      <c r="P3" s="174"/>
      <c r="Q3" s="174"/>
      <c r="R3" s="176"/>
    </row>
    <row r="4" spans="1:18" s="6" customFormat="1" ht="15" customHeight="1" x14ac:dyDescent="0.2">
      <c r="A4" s="20" t="s">
        <v>885</v>
      </c>
      <c r="B4" s="15" t="s">
        <v>314</v>
      </c>
      <c r="C4" s="17">
        <v>16865615</v>
      </c>
      <c r="D4" t="s">
        <v>912</v>
      </c>
      <c r="E4" t="s">
        <v>915</v>
      </c>
      <c r="F4" s="12">
        <v>45649</v>
      </c>
      <c r="G4" s="13">
        <v>0</v>
      </c>
      <c r="H4" s="14">
        <v>1</v>
      </c>
      <c r="I4" s="13">
        <v>18</v>
      </c>
      <c r="J4" s="13"/>
      <c r="K4" s="13">
        <v>18</v>
      </c>
      <c r="L4" s="13"/>
      <c r="M4" s="13"/>
      <c r="N4" s="17"/>
      <c r="O4" s="13"/>
      <c r="P4" s="13"/>
      <c r="Q4" s="13"/>
      <c r="R4" s="8"/>
    </row>
    <row r="5" spans="1:18" s="6" customFormat="1" ht="15" customHeight="1" x14ac:dyDescent="0.2">
      <c r="A5" s="20" t="s">
        <v>886</v>
      </c>
      <c r="B5" s="15" t="s">
        <v>314</v>
      </c>
      <c r="C5" s="17">
        <v>16865615</v>
      </c>
      <c r="D5" t="s">
        <v>912</v>
      </c>
      <c r="E5" t="s">
        <v>916</v>
      </c>
      <c r="F5" s="12">
        <v>45685</v>
      </c>
      <c r="G5" s="13">
        <v>349.48</v>
      </c>
      <c r="H5" s="14">
        <v>1.901</v>
      </c>
      <c r="I5" s="13">
        <v>18</v>
      </c>
      <c r="J5" s="13"/>
      <c r="K5" s="13">
        <v>18</v>
      </c>
      <c r="L5" s="13"/>
      <c r="M5" s="13"/>
      <c r="N5" s="17"/>
      <c r="O5" s="13"/>
      <c r="P5" s="13"/>
      <c r="Q5" s="13"/>
      <c r="R5" s="8"/>
    </row>
    <row r="6" spans="1:18" s="6" customFormat="1" ht="15" customHeight="1" x14ac:dyDescent="0.2">
      <c r="A6" s="20" t="s">
        <v>887</v>
      </c>
      <c r="B6" s="15" t="s">
        <v>314</v>
      </c>
      <c r="C6" s="17">
        <v>16865615</v>
      </c>
      <c r="D6" t="s">
        <v>912</v>
      </c>
      <c r="E6" t="s">
        <v>917</v>
      </c>
      <c r="F6" s="12">
        <v>45661</v>
      </c>
      <c r="G6" s="13">
        <v>403.24</v>
      </c>
      <c r="H6" s="14">
        <v>1.5205</v>
      </c>
      <c r="I6" s="13">
        <v>18</v>
      </c>
      <c r="J6" s="13"/>
      <c r="K6" s="13">
        <v>18</v>
      </c>
      <c r="L6" s="13"/>
      <c r="M6" s="13"/>
      <c r="N6" s="17"/>
      <c r="O6" s="13"/>
      <c r="P6" s="13"/>
      <c r="Q6" s="13"/>
      <c r="R6" s="8"/>
    </row>
    <row r="7" spans="1:18" s="6" customFormat="1" ht="15" customHeight="1" x14ac:dyDescent="0.2">
      <c r="A7" s="20" t="s">
        <v>888</v>
      </c>
      <c r="B7" s="15" t="s">
        <v>314</v>
      </c>
      <c r="C7" s="17">
        <v>16865615</v>
      </c>
      <c r="D7" t="s">
        <v>912</v>
      </c>
      <c r="E7" t="s">
        <v>918</v>
      </c>
      <c r="F7" s="12">
        <v>45674</v>
      </c>
      <c r="G7" s="16">
        <v>1276.42</v>
      </c>
      <c r="H7" s="14">
        <v>4</v>
      </c>
      <c r="I7" s="13">
        <v>18</v>
      </c>
      <c r="J7" s="13"/>
      <c r="K7" s="13">
        <v>18</v>
      </c>
      <c r="L7" s="13"/>
      <c r="M7" s="13"/>
      <c r="N7" s="17"/>
      <c r="O7" s="13"/>
      <c r="P7" s="13"/>
      <c r="Q7" s="13"/>
      <c r="R7" s="8"/>
    </row>
    <row r="8" spans="1:18" s="6" customFormat="1" ht="15" customHeight="1" x14ac:dyDescent="0.2">
      <c r="A8" s="20" t="s">
        <v>889</v>
      </c>
      <c r="B8" s="15" t="s">
        <v>314</v>
      </c>
      <c r="C8" s="17">
        <v>16865615</v>
      </c>
      <c r="D8" t="s">
        <v>912</v>
      </c>
      <c r="E8" t="s">
        <v>919</v>
      </c>
      <c r="F8" s="12">
        <v>45685</v>
      </c>
      <c r="G8" s="16">
        <v>1154.3599999999999</v>
      </c>
      <c r="H8" s="14">
        <v>3.0322</v>
      </c>
      <c r="I8" s="13">
        <v>18</v>
      </c>
      <c r="J8" s="13"/>
      <c r="K8" s="13">
        <v>18</v>
      </c>
      <c r="L8" s="13"/>
      <c r="M8" s="13"/>
      <c r="N8" s="17"/>
      <c r="O8" s="13"/>
      <c r="P8" s="13"/>
      <c r="Q8" s="13"/>
      <c r="R8" s="8"/>
    </row>
    <row r="9" spans="1:18" s="6" customFormat="1" ht="15" customHeight="1" x14ac:dyDescent="0.2">
      <c r="A9" s="20" t="s">
        <v>890</v>
      </c>
      <c r="B9" s="15" t="s">
        <v>315</v>
      </c>
      <c r="C9" s="17">
        <v>6634327</v>
      </c>
      <c r="D9" t="s">
        <v>912</v>
      </c>
      <c r="E9" t="s">
        <v>920</v>
      </c>
      <c r="F9" s="12"/>
      <c r="G9" s="13">
        <v>244.17</v>
      </c>
      <c r="H9" s="14">
        <v>0.1237</v>
      </c>
      <c r="I9" s="13">
        <v>18</v>
      </c>
      <c r="J9" s="13"/>
      <c r="K9" s="13">
        <v>18</v>
      </c>
      <c r="L9" s="13"/>
      <c r="M9" s="13"/>
      <c r="N9" s="17"/>
      <c r="O9" s="13"/>
      <c r="P9" s="13"/>
      <c r="Q9" s="13"/>
      <c r="R9" s="8"/>
    </row>
    <row r="10" spans="1:18" s="6" customFormat="1" ht="15" customHeight="1" x14ac:dyDescent="0.2">
      <c r="A10" s="20" t="s">
        <v>891</v>
      </c>
      <c r="B10" s="15" t="s">
        <v>315</v>
      </c>
      <c r="C10" s="17">
        <v>6634327</v>
      </c>
      <c r="D10" t="s">
        <v>912</v>
      </c>
      <c r="E10" t="s">
        <v>921</v>
      </c>
      <c r="F10" s="12"/>
      <c r="G10" s="13">
        <v>12.81</v>
      </c>
      <c r="H10" s="14">
        <v>5.2200000000000003E-2</v>
      </c>
      <c r="I10" s="13">
        <v>18</v>
      </c>
      <c r="J10" s="13"/>
      <c r="K10" s="13">
        <v>18</v>
      </c>
      <c r="L10" s="13"/>
      <c r="M10" s="13"/>
      <c r="N10" s="17"/>
      <c r="O10" s="13"/>
      <c r="P10" s="13"/>
      <c r="Q10" s="13"/>
      <c r="R10" s="8"/>
    </row>
    <row r="11" spans="1:18" s="6" customFormat="1" ht="15" customHeight="1" x14ac:dyDescent="0.2">
      <c r="A11" s="20" t="s">
        <v>892</v>
      </c>
      <c r="B11" s="15" t="s">
        <v>315</v>
      </c>
      <c r="C11" s="17">
        <v>6634327</v>
      </c>
      <c r="D11" t="s">
        <v>912</v>
      </c>
      <c r="E11" t="s">
        <v>922</v>
      </c>
      <c r="F11" s="12"/>
      <c r="G11" s="13">
        <v>0</v>
      </c>
      <c r="H11" s="14">
        <v>0</v>
      </c>
      <c r="I11" s="13">
        <v>18</v>
      </c>
      <c r="J11" s="13"/>
      <c r="K11" s="13">
        <v>18</v>
      </c>
      <c r="L11" s="13"/>
      <c r="M11" s="13"/>
      <c r="N11" s="17"/>
      <c r="O11" s="13"/>
      <c r="P11" s="13"/>
      <c r="Q11" s="13"/>
      <c r="R11" s="8"/>
    </row>
    <row r="12" spans="1:18" s="6" customFormat="1" ht="15" customHeight="1" x14ac:dyDescent="0.2">
      <c r="A12" s="21" t="s">
        <v>893</v>
      </c>
      <c r="B12" s="15" t="s">
        <v>315</v>
      </c>
      <c r="C12" s="17">
        <v>6634327</v>
      </c>
      <c r="D12" t="s">
        <v>912</v>
      </c>
      <c r="E12" t="s">
        <v>923</v>
      </c>
      <c r="F12" s="7"/>
      <c r="G12" s="7"/>
      <c r="H12" s="7"/>
      <c r="I12" s="7"/>
      <c r="J12" s="7"/>
      <c r="K12" s="13">
        <v>18</v>
      </c>
      <c r="L12" s="13"/>
      <c r="M12" s="13"/>
      <c r="N12" s="15"/>
      <c r="O12" s="13"/>
      <c r="P12" s="13"/>
      <c r="Q12" s="13"/>
      <c r="R12" s="8"/>
    </row>
    <row r="13" spans="1:18" s="6" customFormat="1" ht="15" customHeight="1" x14ac:dyDescent="0.2">
      <c r="A13" s="20" t="s">
        <v>894</v>
      </c>
      <c r="B13" s="15" t="s">
        <v>315</v>
      </c>
      <c r="C13" s="17">
        <v>6634327</v>
      </c>
      <c r="D13" t="s">
        <v>912</v>
      </c>
      <c r="E13" t="s">
        <v>924</v>
      </c>
      <c r="F13" s="12"/>
      <c r="G13" s="13">
        <v>0</v>
      </c>
      <c r="H13" s="14">
        <v>0</v>
      </c>
      <c r="I13" s="13">
        <v>18</v>
      </c>
      <c r="J13" s="13"/>
      <c r="K13" s="13">
        <v>18</v>
      </c>
      <c r="L13" s="13"/>
      <c r="M13" s="13"/>
      <c r="N13" s="17"/>
      <c r="O13" s="13"/>
      <c r="P13" s="13"/>
      <c r="Q13" s="13"/>
      <c r="R13" s="8"/>
    </row>
    <row r="14" spans="1:18" s="6" customFormat="1" ht="15" customHeight="1" x14ac:dyDescent="0.2">
      <c r="A14" s="20" t="s">
        <v>895</v>
      </c>
      <c r="B14" s="15" t="s">
        <v>315</v>
      </c>
      <c r="C14" s="17">
        <v>6634327</v>
      </c>
      <c r="D14" t="s">
        <v>912</v>
      </c>
      <c r="E14" t="s">
        <v>925</v>
      </c>
      <c r="F14" s="12"/>
      <c r="G14" s="13">
        <v>268.39999999999998</v>
      </c>
      <c r="H14" s="14">
        <v>0.51259999999999994</v>
      </c>
      <c r="I14" s="13">
        <v>18</v>
      </c>
      <c r="J14" s="13"/>
      <c r="K14" s="13">
        <v>18</v>
      </c>
      <c r="L14" s="13"/>
      <c r="M14" s="13"/>
      <c r="N14" s="17"/>
      <c r="O14" s="13"/>
      <c r="P14" s="13"/>
      <c r="Q14" s="13"/>
      <c r="R14" s="8"/>
    </row>
    <row r="15" spans="1:18" s="6" customFormat="1" ht="15" customHeight="1" x14ac:dyDescent="0.2">
      <c r="A15" s="20" t="s">
        <v>896</v>
      </c>
      <c r="B15" s="15" t="s">
        <v>315</v>
      </c>
      <c r="C15" s="17">
        <v>6634327</v>
      </c>
      <c r="D15" t="s">
        <v>912</v>
      </c>
      <c r="E15" t="s">
        <v>926</v>
      </c>
      <c r="F15" s="12"/>
      <c r="G15" s="13">
        <v>44.98</v>
      </c>
      <c r="H15" s="14">
        <v>0.25629999999999997</v>
      </c>
      <c r="I15" s="13">
        <v>18</v>
      </c>
      <c r="J15" s="13"/>
      <c r="K15" s="13">
        <v>18</v>
      </c>
      <c r="L15" s="13"/>
      <c r="M15" s="13"/>
      <c r="N15" s="17"/>
      <c r="O15" s="13"/>
      <c r="P15" s="13"/>
      <c r="Q15" s="13"/>
      <c r="R15" s="8"/>
    </row>
    <row r="16" spans="1:18" s="6" customFormat="1" ht="15" customHeight="1" x14ac:dyDescent="0.2">
      <c r="A16" s="20" t="s">
        <v>897</v>
      </c>
      <c r="B16" s="15" t="s">
        <v>315</v>
      </c>
      <c r="C16" s="17">
        <v>6634327</v>
      </c>
      <c r="D16" t="s">
        <v>912</v>
      </c>
      <c r="E16" t="s">
        <v>927</v>
      </c>
      <c r="F16" s="12"/>
      <c r="G16" s="13">
        <v>343.94</v>
      </c>
      <c r="H16" s="14">
        <v>2</v>
      </c>
      <c r="I16" s="13">
        <v>18</v>
      </c>
      <c r="J16" s="13"/>
      <c r="K16" s="13">
        <v>18</v>
      </c>
      <c r="L16" s="13"/>
      <c r="M16" s="13"/>
      <c r="N16" s="17"/>
      <c r="O16" s="13"/>
      <c r="P16" s="13"/>
      <c r="Q16" s="13"/>
      <c r="R16" s="8"/>
    </row>
    <row r="17" spans="1:18" s="6" customFormat="1" ht="15" customHeight="1" x14ac:dyDescent="0.2">
      <c r="A17" s="20" t="s">
        <v>898</v>
      </c>
      <c r="B17" s="15" t="s">
        <v>315</v>
      </c>
      <c r="C17" s="17">
        <v>6634327</v>
      </c>
      <c r="D17" t="s">
        <v>912</v>
      </c>
      <c r="E17" t="s">
        <v>928</v>
      </c>
      <c r="F17" s="12"/>
      <c r="G17" s="13">
        <v>0</v>
      </c>
      <c r="H17" s="7"/>
      <c r="I17" s="13">
        <v>18</v>
      </c>
      <c r="J17" s="13"/>
      <c r="K17" s="13">
        <v>18</v>
      </c>
      <c r="L17" s="13"/>
      <c r="M17" s="13"/>
      <c r="N17" s="17"/>
      <c r="O17" s="13"/>
      <c r="P17" s="13"/>
      <c r="Q17" s="13"/>
      <c r="R17" s="8"/>
    </row>
    <row r="18" spans="1:18" s="177" customFormat="1" ht="15" customHeight="1" x14ac:dyDescent="0.2">
      <c r="A18" s="169" t="s">
        <v>899</v>
      </c>
      <c r="B18" s="170" t="s">
        <v>315</v>
      </c>
      <c r="C18" s="171">
        <v>6634327</v>
      </c>
      <c r="D18" s="172" t="s">
        <v>912</v>
      </c>
      <c r="E18" t="s">
        <v>929</v>
      </c>
      <c r="F18" s="173"/>
      <c r="G18" s="174">
        <v>302.45</v>
      </c>
      <c r="H18" s="175">
        <v>0.2969</v>
      </c>
      <c r="I18" s="174">
        <v>18</v>
      </c>
      <c r="J18" s="174"/>
      <c r="K18" s="174">
        <v>36</v>
      </c>
      <c r="L18" s="174" t="s">
        <v>942</v>
      </c>
      <c r="M18" s="174"/>
      <c r="N18" s="171"/>
      <c r="O18" s="174"/>
      <c r="P18" s="174"/>
      <c r="Q18" s="174"/>
      <c r="R18" s="176"/>
    </row>
    <row r="19" spans="1:18" s="6" customFormat="1" ht="15" customHeight="1" x14ac:dyDescent="0.2">
      <c r="A19" s="20" t="s">
        <v>900</v>
      </c>
      <c r="B19" s="15" t="s">
        <v>315</v>
      </c>
      <c r="C19" s="17">
        <v>6634327</v>
      </c>
      <c r="D19" t="s">
        <v>912</v>
      </c>
      <c r="E19" t="s">
        <v>930</v>
      </c>
      <c r="F19" s="12"/>
      <c r="G19" s="13">
        <v>46.94</v>
      </c>
      <c r="H19" s="14">
        <v>0.22159999999999999</v>
      </c>
      <c r="I19" s="13">
        <v>18</v>
      </c>
      <c r="J19" s="13"/>
      <c r="K19" s="13">
        <v>18</v>
      </c>
      <c r="L19" s="13"/>
      <c r="M19" s="13"/>
      <c r="N19" s="17"/>
      <c r="O19" s="13"/>
      <c r="P19" s="13"/>
      <c r="Q19" s="13"/>
      <c r="R19" s="8"/>
    </row>
    <row r="20" spans="1:18" s="6" customFormat="1" ht="15" customHeight="1" x14ac:dyDescent="0.2">
      <c r="A20" s="20" t="s">
        <v>901</v>
      </c>
      <c r="B20" s="15" t="s">
        <v>315</v>
      </c>
      <c r="C20" s="17">
        <v>6634327</v>
      </c>
      <c r="D20" t="e">
        <v>#N/A</v>
      </c>
      <c r="E20" t="s">
        <v>931</v>
      </c>
      <c r="F20" s="12"/>
      <c r="G20" s="13">
        <v>13.38</v>
      </c>
      <c r="H20" s="14">
        <v>6.7500000000000004E-2</v>
      </c>
      <c r="I20" s="13">
        <v>18</v>
      </c>
      <c r="J20" s="13"/>
      <c r="K20" s="13">
        <v>18</v>
      </c>
      <c r="L20" s="13"/>
      <c r="M20" s="13"/>
      <c r="N20" s="17"/>
      <c r="O20" s="13"/>
      <c r="P20" s="13"/>
      <c r="Q20" s="13"/>
      <c r="R20" s="10"/>
    </row>
    <row r="21" spans="1:18" s="6" customFormat="1" ht="15" customHeight="1" x14ac:dyDescent="0.2">
      <c r="A21" s="20" t="s">
        <v>902</v>
      </c>
      <c r="B21" s="15" t="s">
        <v>315</v>
      </c>
      <c r="C21" s="17">
        <v>6634327</v>
      </c>
      <c r="D21" t="s">
        <v>912</v>
      </c>
      <c r="E21" t="s">
        <v>932</v>
      </c>
      <c r="F21" s="12"/>
      <c r="G21" s="13">
        <v>830.56</v>
      </c>
      <c r="H21" s="14">
        <v>2</v>
      </c>
      <c r="I21" s="13">
        <v>18</v>
      </c>
      <c r="J21" s="13"/>
      <c r="K21" s="13">
        <v>18</v>
      </c>
      <c r="L21" s="13"/>
      <c r="M21" s="13"/>
      <c r="N21" s="17"/>
      <c r="O21" s="13"/>
      <c r="P21" s="13"/>
      <c r="Q21" s="13"/>
      <c r="R21" s="8"/>
    </row>
    <row r="22" spans="1:18" s="6" customFormat="1" ht="15" customHeight="1" x14ac:dyDescent="0.2">
      <c r="A22" s="20" t="s">
        <v>903</v>
      </c>
      <c r="B22" s="15" t="s">
        <v>315</v>
      </c>
      <c r="C22" s="17">
        <v>6634327</v>
      </c>
      <c r="D22" t="s">
        <v>912</v>
      </c>
      <c r="E22" t="s">
        <v>933</v>
      </c>
      <c r="F22" s="12"/>
      <c r="G22" s="13">
        <v>30.6</v>
      </c>
      <c r="H22" s="14">
        <v>0.16039999999999999</v>
      </c>
      <c r="I22" s="13">
        <v>18</v>
      </c>
      <c r="J22" s="13"/>
      <c r="K22" s="13">
        <v>18</v>
      </c>
      <c r="L22" s="13"/>
      <c r="M22" s="13"/>
      <c r="N22" s="17"/>
      <c r="O22" s="13"/>
      <c r="P22" s="13"/>
      <c r="Q22" s="13"/>
      <c r="R22" s="8"/>
    </row>
    <row r="23" spans="1:18" s="6" customFormat="1" ht="15" customHeight="1" x14ac:dyDescent="0.2">
      <c r="A23" s="20" t="s">
        <v>904</v>
      </c>
      <c r="B23" s="15" t="s">
        <v>315</v>
      </c>
      <c r="C23" s="17">
        <v>6634327</v>
      </c>
      <c r="D23" t="s">
        <v>912</v>
      </c>
      <c r="E23" t="s">
        <v>934</v>
      </c>
      <c r="F23" s="12"/>
      <c r="G23" s="13">
        <v>66.400000000000006</v>
      </c>
      <c r="H23" s="14">
        <v>0.18049999999999999</v>
      </c>
      <c r="I23" s="13">
        <v>18</v>
      </c>
      <c r="J23" s="13"/>
      <c r="K23" s="13">
        <v>18</v>
      </c>
      <c r="L23" s="13"/>
      <c r="M23" s="13"/>
      <c r="N23" s="17"/>
      <c r="O23" s="13"/>
      <c r="P23" s="13"/>
      <c r="Q23" s="13"/>
      <c r="R23" s="8"/>
    </row>
    <row r="24" spans="1:18" s="6" customFormat="1" ht="15" customHeight="1" x14ac:dyDescent="0.2">
      <c r="A24" s="20" t="s">
        <v>905</v>
      </c>
      <c r="B24" s="15" t="s">
        <v>315</v>
      </c>
      <c r="C24" s="17">
        <v>6634327</v>
      </c>
      <c r="D24" t="s">
        <v>912</v>
      </c>
      <c r="E24" t="s">
        <v>935</v>
      </c>
      <c r="F24" s="12"/>
      <c r="G24" s="13">
        <v>13.74</v>
      </c>
      <c r="H24" s="14">
        <v>5.21E-2</v>
      </c>
      <c r="I24" s="13">
        <v>18</v>
      </c>
      <c r="J24" s="13"/>
      <c r="K24" s="13">
        <v>18</v>
      </c>
      <c r="L24" s="13"/>
      <c r="M24" s="13"/>
      <c r="N24" s="17"/>
      <c r="O24" s="13"/>
      <c r="P24" s="13"/>
      <c r="Q24" s="13"/>
      <c r="R24" s="10"/>
    </row>
    <row r="25" spans="1:18" s="6" customFormat="1" ht="15" customHeight="1" x14ac:dyDescent="0.2">
      <c r="A25" s="20" t="s">
        <v>906</v>
      </c>
      <c r="B25" s="15" t="s">
        <v>315</v>
      </c>
      <c r="C25" s="17">
        <v>6634327</v>
      </c>
      <c r="D25" t="s">
        <v>912</v>
      </c>
      <c r="E25" t="s">
        <v>936</v>
      </c>
      <c r="F25" s="12">
        <v>45686</v>
      </c>
      <c r="G25" s="13">
        <v>35.840000000000003</v>
      </c>
      <c r="H25" s="13"/>
      <c r="I25" s="13">
        <v>18</v>
      </c>
      <c r="J25" s="13"/>
      <c r="K25" s="13">
        <v>18</v>
      </c>
      <c r="L25" s="13"/>
      <c r="N25" s="17"/>
      <c r="O25" s="13"/>
      <c r="P25" s="13"/>
      <c r="Q25" s="7"/>
      <c r="R25" s="7"/>
    </row>
    <row r="26" spans="1:18" s="6" customFormat="1" ht="15" customHeight="1" x14ac:dyDescent="0.2">
      <c r="A26" s="20" t="s">
        <v>907</v>
      </c>
      <c r="B26" s="15" t="s">
        <v>315</v>
      </c>
      <c r="C26" s="17">
        <v>6634327</v>
      </c>
      <c r="D26" t="s">
        <v>912</v>
      </c>
      <c r="E26" t="s">
        <v>937</v>
      </c>
      <c r="F26" s="12">
        <v>45665</v>
      </c>
      <c r="G26" s="13">
        <v>34.43</v>
      </c>
      <c r="H26" s="13"/>
      <c r="I26" s="13">
        <v>18</v>
      </c>
      <c r="J26" s="13"/>
      <c r="K26" s="13">
        <v>18</v>
      </c>
      <c r="L26" s="13"/>
      <c r="N26" s="17"/>
      <c r="O26" s="13"/>
      <c r="P26" s="13"/>
      <c r="Q26" s="7"/>
      <c r="R26" s="7"/>
    </row>
    <row r="27" spans="1:18" s="6" customFormat="1" ht="15" customHeight="1" x14ac:dyDescent="0.2">
      <c r="A27" s="21" t="s">
        <v>908</v>
      </c>
      <c r="B27" s="15" t="s">
        <v>315</v>
      </c>
      <c r="C27" s="17">
        <v>6634327</v>
      </c>
      <c r="D27" t="s">
        <v>912</v>
      </c>
      <c r="E27" t="s">
        <v>938</v>
      </c>
      <c r="F27" s="7"/>
      <c r="G27" s="7"/>
      <c r="H27" s="7"/>
      <c r="I27" s="7"/>
      <c r="J27" s="7"/>
      <c r="K27" s="13">
        <v>18</v>
      </c>
      <c r="L27" s="7"/>
      <c r="N27" s="15"/>
      <c r="O27" s="13"/>
      <c r="P27" s="13"/>
      <c r="Q27" s="7"/>
      <c r="R27" s="7"/>
    </row>
    <row r="28" spans="1:18" s="177" customFormat="1" ht="15" customHeight="1" x14ac:dyDescent="0.2">
      <c r="A28" s="178" t="s">
        <v>909</v>
      </c>
      <c r="B28" s="170" t="s">
        <v>315</v>
      </c>
      <c r="C28" s="171">
        <v>6634327</v>
      </c>
      <c r="D28" s="172" t="s">
        <v>912</v>
      </c>
      <c r="E28" t="s">
        <v>939</v>
      </c>
      <c r="F28" s="179"/>
      <c r="G28" s="179"/>
      <c r="H28" s="179"/>
      <c r="I28" s="179"/>
      <c r="J28" s="179"/>
      <c r="K28" s="174">
        <v>54</v>
      </c>
      <c r="L28" s="174" t="s">
        <v>943</v>
      </c>
      <c r="M28" s="174"/>
      <c r="N28" s="170"/>
      <c r="O28" s="174"/>
      <c r="P28" s="174"/>
      <c r="Q28" s="174"/>
      <c r="R28" s="176"/>
    </row>
    <row r="29" spans="1:18" s="6" customFormat="1" ht="15" customHeight="1" x14ac:dyDescent="0.2">
      <c r="A29" s="21" t="s">
        <v>910</v>
      </c>
      <c r="B29" s="15" t="s">
        <v>315</v>
      </c>
      <c r="C29" s="17">
        <v>6634327</v>
      </c>
      <c r="D29" t="s">
        <v>912</v>
      </c>
      <c r="E29" t="s">
        <v>940</v>
      </c>
      <c r="F29" s="7"/>
      <c r="G29" s="7"/>
      <c r="H29" s="7"/>
      <c r="I29" s="7"/>
      <c r="J29" s="7"/>
      <c r="K29" s="13">
        <v>18</v>
      </c>
      <c r="L29" s="13"/>
      <c r="M29" s="13"/>
      <c r="N29" s="15"/>
      <c r="O29" s="13"/>
      <c r="P29" s="13"/>
      <c r="Q29" s="13"/>
      <c r="R29" s="8"/>
    </row>
    <row r="30" spans="1:18" s="6" customFormat="1" ht="15" customHeight="1" x14ac:dyDescent="0.2">
      <c r="A30" s="20" t="s">
        <v>911</v>
      </c>
      <c r="B30" s="15" t="s">
        <v>315</v>
      </c>
      <c r="C30" s="17">
        <v>6634327</v>
      </c>
      <c r="D30" t="s">
        <v>912</v>
      </c>
      <c r="E30" t="s">
        <v>941</v>
      </c>
      <c r="F30" s="12">
        <v>45665</v>
      </c>
      <c r="G30" s="13">
        <v>79.599999999999994</v>
      </c>
      <c r="H30" s="13"/>
      <c r="I30" s="13">
        <v>18</v>
      </c>
      <c r="J30" s="13"/>
      <c r="K30" s="13">
        <v>18</v>
      </c>
      <c r="M30" s="13"/>
      <c r="N30" s="17"/>
      <c r="O30" s="13"/>
      <c r="P30" s="13"/>
      <c r="Q30" s="13"/>
      <c r="R30" s="8"/>
    </row>
  </sheetData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1024-285A-43E7-8910-F001D13E0E95}">
  <dimension ref="A1:S163"/>
  <sheetViews>
    <sheetView topLeftCell="A22" workbookViewId="0">
      <selection activeCell="L2" sqref="L2:L151"/>
    </sheetView>
  </sheetViews>
  <sheetFormatPr defaultColWidth="19" defaultRowHeight="15" customHeight="1" x14ac:dyDescent="0.2"/>
  <cols>
    <col min="1" max="16384" width="19" style="6"/>
  </cols>
  <sheetData>
    <row r="1" spans="1:19" ht="15" customHeight="1" x14ac:dyDescent="0.2">
      <c r="A1" s="17" t="s">
        <v>316</v>
      </c>
      <c r="B1" s="17"/>
      <c r="C1" s="17"/>
      <c r="D1" s="17"/>
      <c r="E1" s="17"/>
      <c r="F1" s="17"/>
      <c r="G1" s="17"/>
      <c r="H1" s="17" t="s">
        <v>317</v>
      </c>
      <c r="I1" s="18" t="s">
        <v>318</v>
      </c>
      <c r="J1" s="18"/>
      <c r="K1" s="5" t="s">
        <v>468</v>
      </c>
      <c r="L1" s="5"/>
      <c r="M1" s="5"/>
      <c r="N1" s="5"/>
      <c r="O1" s="5"/>
      <c r="P1" s="5"/>
      <c r="Q1" s="5"/>
      <c r="R1" s="5"/>
      <c r="S1" s="5"/>
    </row>
    <row r="2" spans="1:19" ht="15" customHeight="1" x14ac:dyDescent="0.2">
      <c r="A2" s="17" t="s">
        <v>344</v>
      </c>
      <c r="B2" s="17" t="s">
        <v>733</v>
      </c>
      <c r="C2" s="15" t="s">
        <v>314</v>
      </c>
      <c r="D2" s="17">
        <v>16865615</v>
      </c>
      <c r="E2">
        <v>429404880</v>
      </c>
      <c r="F2" t="s">
        <v>720</v>
      </c>
      <c r="G2" s="12">
        <v>45665</v>
      </c>
      <c r="H2" s="13">
        <v>251.53</v>
      </c>
      <c r="I2" s="14">
        <v>0.57879999999999998</v>
      </c>
      <c r="J2" s="13">
        <v>18</v>
      </c>
      <c r="K2" s="13"/>
      <c r="L2" s="13">
        <v>18</v>
      </c>
      <c r="M2" s="13" t="s">
        <v>727</v>
      </c>
      <c r="N2" s="13"/>
      <c r="O2" s="13"/>
      <c r="P2" s="13"/>
      <c r="Q2" s="13"/>
      <c r="R2" s="13"/>
      <c r="S2" s="8"/>
    </row>
    <row r="3" spans="1:19" ht="15" customHeight="1" x14ac:dyDescent="0.2">
      <c r="A3" s="17" t="s">
        <v>451</v>
      </c>
      <c r="B3" s="17" t="s">
        <v>734</v>
      </c>
      <c r="C3" s="15" t="s">
        <v>315</v>
      </c>
      <c r="D3" s="17">
        <v>6634327</v>
      </c>
      <c r="E3">
        <v>428764509</v>
      </c>
      <c r="F3" t="s">
        <v>726</v>
      </c>
      <c r="G3" s="12"/>
      <c r="H3" s="13">
        <v>742.72</v>
      </c>
      <c r="I3" s="14">
        <v>2</v>
      </c>
      <c r="J3" s="13">
        <v>18</v>
      </c>
      <c r="K3" s="13"/>
      <c r="L3" s="13">
        <v>18</v>
      </c>
      <c r="M3" s="13" t="s">
        <v>727</v>
      </c>
      <c r="N3" s="13"/>
      <c r="O3" s="13"/>
      <c r="P3" s="13"/>
      <c r="Q3" s="13"/>
      <c r="R3" s="13"/>
      <c r="S3" s="8"/>
    </row>
    <row r="4" spans="1:19" ht="15" customHeight="1" x14ac:dyDescent="0.2">
      <c r="A4" s="17" t="s">
        <v>452</v>
      </c>
      <c r="B4" s="17" t="s">
        <v>735</v>
      </c>
      <c r="C4" s="15" t="s">
        <v>315</v>
      </c>
      <c r="D4" s="17">
        <v>6634327</v>
      </c>
      <c r="E4">
        <v>423716568</v>
      </c>
      <c r="F4" t="s">
        <v>726</v>
      </c>
      <c r="G4" s="12"/>
      <c r="H4" s="13">
        <v>772.16</v>
      </c>
      <c r="I4" s="14">
        <v>2</v>
      </c>
      <c r="J4" s="13">
        <v>18</v>
      </c>
      <c r="K4" s="13"/>
      <c r="L4" s="13">
        <v>18</v>
      </c>
      <c r="M4" s="13" t="s">
        <v>727</v>
      </c>
      <c r="N4" s="13"/>
      <c r="O4" s="13"/>
      <c r="P4" s="13"/>
      <c r="Q4" s="13"/>
      <c r="R4" s="13"/>
      <c r="S4" s="8"/>
    </row>
    <row r="5" spans="1:19" ht="15" customHeight="1" x14ac:dyDescent="0.2">
      <c r="A5" s="17" t="s">
        <v>331</v>
      </c>
      <c r="B5" s="17" t="s">
        <v>736</v>
      </c>
      <c r="C5" s="15" t="s">
        <v>314</v>
      </c>
      <c r="D5" s="17">
        <v>16865615</v>
      </c>
      <c r="E5">
        <v>425779753</v>
      </c>
      <c r="F5" t="s">
        <v>718</v>
      </c>
      <c r="G5" s="12">
        <v>45665</v>
      </c>
      <c r="H5" s="13">
        <v>0</v>
      </c>
      <c r="I5" s="14">
        <v>0</v>
      </c>
      <c r="J5" s="13">
        <v>18</v>
      </c>
      <c r="K5" s="13"/>
      <c r="L5" s="13">
        <v>18</v>
      </c>
      <c r="M5" s="13" t="s">
        <v>727</v>
      </c>
      <c r="N5" s="13"/>
      <c r="O5" s="13"/>
      <c r="P5" s="13"/>
      <c r="Q5" s="13"/>
      <c r="R5" s="13"/>
      <c r="S5" s="8"/>
    </row>
    <row r="6" spans="1:19" ht="15" customHeight="1" x14ac:dyDescent="0.2">
      <c r="A6" s="17" t="s">
        <v>414</v>
      </c>
      <c r="B6" s="17" t="s">
        <v>737</v>
      </c>
      <c r="C6" s="15" t="s">
        <v>315</v>
      </c>
      <c r="D6" s="17">
        <v>6634327</v>
      </c>
      <c r="E6">
        <v>16504935</v>
      </c>
      <c r="F6" t="s">
        <v>718</v>
      </c>
      <c r="G6" s="12"/>
      <c r="H6" s="13">
        <v>138.74</v>
      </c>
      <c r="I6" s="14">
        <v>0.34129999999999999</v>
      </c>
      <c r="J6" s="13">
        <v>18</v>
      </c>
      <c r="K6" s="13"/>
      <c r="L6" s="13">
        <v>18</v>
      </c>
      <c r="M6" s="13" t="s">
        <v>727</v>
      </c>
      <c r="N6" s="13"/>
      <c r="O6" s="13"/>
      <c r="P6" s="13"/>
      <c r="Q6" s="13"/>
      <c r="R6" s="13"/>
      <c r="S6" s="8"/>
    </row>
    <row r="7" spans="1:19" ht="15" customHeight="1" x14ac:dyDescent="0.2">
      <c r="A7" s="17" t="s">
        <v>319</v>
      </c>
      <c r="B7" s="17" t="s">
        <v>738</v>
      </c>
      <c r="C7" s="15" t="s">
        <v>314</v>
      </c>
      <c r="D7" s="17">
        <v>16865615</v>
      </c>
      <c r="E7">
        <v>412383467</v>
      </c>
      <c r="F7" t="s">
        <v>715</v>
      </c>
      <c r="G7" s="12">
        <v>45665</v>
      </c>
      <c r="H7" s="13">
        <v>254.46</v>
      </c>
      <c r="I7" s="14">
        <v>0.54600000000000004</v>
      </c>
      <c r="J7" s="13">
        <v>18</v>
      </c>
      <c r="K7" s="13"/>
      <c r="L7" s="13">
        <v>18</v>
      </c>
      <c r="M7" s="13" t="s">
        <v>727</v>
      </c>
      <c r="N7" s="13"/>
      <c r="O7" s="13"/>
      <c r="P7" s="13"/>
      <c r="Q7" s="13"/>
      <c r="R7" s="13"/>
    </row>
    <row r="8" spans="1:19" ht="15" customHeight="1" x14ac:dyDescent="0.2">
      <c r="A8" s="15" t="s">
        <v>320</v>
      </c>
      <c r="B8" s="15" t="s">
        <v>739</v>
      </c>
      <c r="C8" s="15" t="s">
        <v>314</v>
      </c>
      <c r="D8" s="17">
        <v>16865615</v>
      </c>
      <c r="E8">
        <v>412383467</v>
      </c>
      <c r="F8" t="s">
        <v>715</v>
      </c>
      <c r="G8" s="7"/>
      <c r="H8" s="7"/>
      <c r="I8" s="7"/>
      <c r="J8" s="7"/>
      <c r="K8" s="7"/>
      <c r="L8" s="13">
        <v>18</v>
      </c>
      <c r="M8" s="13" t="s">
        <v>727</v>
      </c>
      <c r="N8" s="13"/>
      <c r="O8" s="13"/>
      <c r="P8" s="13"/>
      <c r="Q8" s="13"/>
      <c r="R8" s="13"/>
    </row>
    <row r="9" spans="1:19" ht="15" customHeight="1" x14ac:dyDescent="0.2">
      <c r="A9" s="17" t="s">
        <v>321</v>
      </c>
      <c r="B9" s="17" t="s">
        <v>740</v>
      </c>
      <c r="C9" s="15" t="s">
        <v>314</v>
      </c>
      <c r="D9" s="17">
        <v>16865615</v>
      </c>
      <c r="E9">
        <v>425590346</v>
      </c>
      <c r="F9" t="s">
        <v>715</v>
      </c>
      <c r="G9" s="12">
        <v>45665</v>
      </c>
      <c r="H9" s="13">
        <v>1.55</v>
      </c>
      <c r="I9" s="14">
        <v>4.4000000000000003E-3</v>
      </c>
      <c r="J9" s="13">
        <v>18</v>
      </c>
      <c r="K9" s="13"/>
      <c r="L9" s="13">
        <v>18</v>
      </c>
      <c r="M9" s="13" t="s">
        <v>727</v>
      </c>
      <c r="N9" s="13"/>
      <c r="O9" s="13"/>
      <c r="P9" s="13"/>
      <c r="Q9" s="13"/>
      <c r="R9" s="13"/>
    </row>
    <row r="10" spans="1:19" ht="15" customHeight="1" x14ac:dyDescent="0.2">
      <c r="A10" s="17" t="s">
        <v>322</v>
      </c>
      <c r="B10" s="17" t="s">
        <v>741</v>
      </c>
      <c r="C10" s="15" t="s">
        <v>314</v>
      </c>
      <c r="D10" s="17">
        <v>16865615</v>
      </c>
      <c r="E10">
        <v>433267663</v>
      </c>
      <c r="F10" t="s">
        <v>715</v>
      </c>
      <c r="G10" s="12">
        <v>45685</v>
      </c>
      <c r="H10" s="13">
        <v>573.88</v>
      </c>
      <c r="I10" s="14">
        <v>0.7591</v>
      </c>
      <c r="J10" s="13">
        <v>18</v>
      </c>
      <c r="K10" s="13"/>
      <c r="L10" s="13">
        <v>18</v>
      </c>
      <c r="M10" s="13" t="s">
        <v>727</v>
      </c>
      <c r="N10" s="13"/>
      <c r="O10" s="13"/>
      <c r="P10" s="13"/>
      <c r="Q10" s="13"/>
      <c r="R10" s="13"/>
    </row>
    <row r="11" spans="1:19" ht="15" customHeight="1" x14ac:dyDescent="0.2">
      <c r="A11" s="15" t="s">
        <v>323</v>
      </c>
      <c r="B11" s="15" t="s">
        <v>742</v>
      </c>
      <c r="C11" s="15" t="s">
        <v>314</v>
      </c>
      <c r="D11" s="17">
        <v>16865615</v>
      </c>
      <c r="E11">
        <v>433267663</v>
      </c>
      <c r="F11" t="s">
        <v>715</v>
      </c>
      <c r="G11" s="7"/>
      <c r="H11" s="7"/>
      <c r="I11" s="7"/>
      <c r="J11" s="7"/>
      <c r="K11" s="7"/>
      <c r="L11" s="13">
        <v>18</v>
      </c>
      <c r="M11" s="13" t="s">
        <v>727</v>
      </c>
      <c r="N11" s="13"/>
      <c r="O11" s="13"/>
      <c r="P11" s="13"/>
      <c r="Q11" s="13"/>
      <c r="R11" s="13"/>
      <c r="S11" s="8"/>
    </row>
    <row r="12" spans="1:19" ht="15" customHeight="1" x14ac:dyDescent="0.2">
      <c r="A12" s="15" t="s">
        <v>324</v>
      </c>
      <c r="B12" s="15" t="s">
        <v>743</v>
      </c>
      <c r="C12" s="15" t="s">
        <v>314</v>
      </c>
      <c r="D12" s="17">
        <v>16865615</v>
      </c>
      <c r="E12">
        <v>433267663</v>
      </c>
      <c r="F12" t="s">
        <v>715</v>
      </c>
      <c r="G12" s="7"/>
      <c r="H12" s="7"/>
      <c r="I12" s="7"/>
      <c r="J12" s="7"/>
      <c r="K12" s="7"/>
      <c r="L12" s="13">
        <v>18</v>
      </c>
      <c r="M12" s="13" t="s">
        <v>727</v>
      </c>
      <c r="N12" s="13"/>
      <c r="O12" s="13"/>
      <c r="P12" s="13"/>
      <c r="Q12" s="13"/>
      <c r="R12" s="13"/>
      <c r="S12" s="8"/>
    </row>
    <row r="13" spans="1:19" ht="15" customHeight="1" x14ac:dyDescent="0.2">
      <c r="A13" s="15" t="s">
        <v>325</v>
      </c>
      <c r="B13" s="15" t="s">
        <v>744</v>
      </c>
      <c r="C13" s="15" t="s">
        <v>314</v>
      </c>
      <c r="D13" s="17">
        <v>16865615</v>
      </c>
      <c r="E13">
        <v>433267663</v>
      </c>
      <c r="F13" t="s">
        <v>715</v>
      </c>
      <c r="G13" s="7"/>
      <c r="H13" s="7"/>
      <c r="I13" s="7"/>
      <c r="J13" s="7"/>
      <c r="K13" s="7"/>
      <c r="L13" s="13">
        <v>18</v>
      </c>
      <c r="M13" s="13" t="s">
        <v>727</v>
      </c>
      <c r="N13" s="13"/>
      <c r="O13" s="13"/>
      <c r="P13" s="13"/>
      <c r="Q13" s="13"/>
      <c r="R13" s="13"/>
      <c r="S13" s="8"/>
    </row>
    <row r="14" spans="1:19" ht="15" customHeight="1" x14ac:dyDescent="0.2">
      <c r="A14" s="17" t="s">
        <v>326</v>
      </c>
      <c r="B14" s="17" t="s">
        <v>745</v>
      </c>
      <c r="C14" s="15" t="s">
        <v>314</v>
      </c>
      <c r="D14" s="17">
        <v>16865615</v>
      </c>
      <c r="E14">
        <v>426833132</v>
      </c>
      <c r="F14" t="s">
        <v>715</v>
      </c>
      <c r="G14" s="12">
        <v>45665</v>
      </c>
      <c r="H14" s="13">
        <v>40.79</v>
      </c>
      <c r="I14" s="14">
        <v>0.1132</v>
      </c>
      <c r="J14" s="13">
        <v>18</v>
      </c>
      <c r="K14" s="13"/>
      <c r="L14" s="13">
        <v>18</v>
      </c>
      <c r="M14" s="13" t="s">
        <v>727</v>
      </c>
      <c r="N14" s="13"/>
      <c r="O14" s="13"/>
      <c r="P14" s="13"/>
      <c r="Q14" s="13"/>
      <c r="R14" s="13"/>
      <c r="S14" s="8"/>
    </row>
    <row r="15" spans="1:19" ht="15" customHeight="1" x14ac:dyDescent="0.2">
      <c r="A15" s="17" t="s">
        <v>327</v>
      </c>
      <c r="B15" s="17" t="s">
        <v>746</v>
      </c>
      <c r="C15" s="15" t="s">
        <v>314</v>
      </c>
      <c r="D15" s="17">
        <v>16865615</v>
      </c>
      <c r="E15">
        <v>413177589</v>
      </c>
      <c r="F15" t="s">
        <v>715</v>
      </c>
      <c r="G15" s="12">
        <v>45665</v>
      </c>
      <c r="H15" s="13">
        <v>122.64</v>
      </c>
      <c r="I15" s="14">
        <v>0.68320000000000003</v>
      </c>
      <c r="J15" s="13">
        <v>18</v>
      </c>
      <c r="K15" s="13"/>
      <c r="L15" s="13">
        <v>18</v>
      </c>
      <c r="M15" s="13" t="s">
        <v>727</v>
      </c>
      <c r="N15" s="13"/>
      <c r="O15" s="13"/>
      <c r="P15" s="13"/>
      <c r="Q15" s="13"/>
      <c r="R15" s="13"/>
      <c r="S15" s="8"/>
    </row>
    <row r="16" spans="1:19" ht="15" customHeight="1" x14ac:dyDescent="0.2">
      <c r="A16" s="17" t="s">
        <v>330</v>
      </c>
      <c r="B16" s="17" t="s">
        <v>747</v>
      </c>
      <c r="C16" s="15" t="s">
        <v>314</v>
      </c>
      <c r="D16" s="17">
        <v>16865615</v>
      </c>
      <c r="E16">
        <v>896018937</v>
      </c>
      <c r="F16" t="s">
        <v>715</v>
      </c>
      <c r="G16" s="12">
        <v>45680</v>
      </c>
      <c r="H16" s="13">
        <v>153.97999999999999</v>
      </c>
      <c r="I16" s="14">
        <v>0.83550000000000002</v>
      </c>
      <c r="J16" s="13">
        <v>18</v>
      </c>
      <c r="K16" s="13"/>
      <c r="L16" s="13">
        <v>18</v>
      </c>
      <c r="M16" s="13" t="s">
        <v>727</v>
      </c>
      <c r="N16" s="13"/>
      <c r="O16" s="13"/>
      <c r="P16" s="13"/>
      <c r="Q16" s="13"/>
      <c r="R16" s="13"/>
      <c r="S16" s="8"/>
    </row>
    <row r="17" spans="1:19" ht="15" customHeight="1" x14ac:dyDescent="0.2">
      <c r="A17" s="17" t="s">
        <v>332</v>
      </c>
      <c r="B17" s="17" t="s">
        <v>748</v>
      </c>
      <c r="C17" s="15" t="s">
        <v>314</v>
      </c>
      <c r="D17" s="17">
        <v>16865615</v>
      </c>
      <c r="E17">
        <v>439303578</v>
      </c>
      <c r="F17" t="s">
        <v>715</v>
      </c>
      <c r="G17" s="12">
        <v>45672</v>
      </c>
      <c r="H17" s="13">
        <v>2</v>
      </c>
      <c r="I17" s="14">
        <v>7.7999999999999996E-3</v>
      </c>
      <c r="J17" s="13">
        <v>18</v>
      </c>
      <c r="K17" s="13"/>
      <c r="L17" s="13">
        <v>18</v>
      </c>
      <c r="M17" s="13" t="s">
        <v>727</v>
      </c>
      <c r="N17" s="13"/>
      <c r="O17" s="13"/>
      <c r="P17" s="13"/>
      <c r="Q17" s="13"/>
      <c r="R17" s="13"/>
      <c r="S17" s="8"/>
    </row>
    <row r="18" spans="1:19" ht="15" customHeight="1" x14ac:dyDescent="0.2">
      <c r="A18" s="17" t="s">
        <v>334</v>
      </c>
      <c r="B18" s="17" t="s">
        <v>749</v>
      </c>
      <c r="C18" s="15" t="s">
        <v>314</v>
      </c>
      <c r="D18" s="17">
        <v>16865615</v>
      </c>
      <c r="E18">
        <v>426214221</v>
      </c>
      <c r="F18" t="s">
        <v>715</v>
      </c>
      <c r="G18" s="12">
        <v>45659</v>
      </c>
      <c r="H18" s="13">
        <v>344.26</v>
      </c>
      <c r="I18" s="14">
        <v>2</v>
      </c>
      <c r="J18" s="13">
        <v>18</v>
      </c>
      <c r="K18" s="13"/>
      <c r="L18" s="13">
        <v>18</v>
      </c>
      <c r="M18" s="13" t="s">
        <v>727</v>
      </c>
      <c r="N18" s="13"/>
      <c r="O18" s="13"/>
      <c r="P18" s="13"/>
      <c r="Q18" s="13"/>
      <c r="R18" s="13"/>
      <c r="S18" s="8"/>
    </row>
    <row r="19" spans="1:19" ht="15" customHeight="1" x14ac:dyDescent="0.2">
      <c r="A19" s="17" t="s">
        <v>335</v>
      </c>
      <c r="B19" s="17" t="s">
        <v>750</v>
      </c>
      <c r="C19" s="15" t="s">
        <v>314</v>
      </c>
      <c r="D19" s="17">
        <v>16865615</v>
      </c>
      <c r="E19">
        <v>6310486</v>
      </c>
      <c r="F19" t="s">
        <v>715</v>
      </c>
      <c r="G19" s="12">
        <v>45665</v>
      </c>
      <c r="H19" s="13">
        <v>0</v>
      </c>
      <c r="I19" s="14">
        <v>0</v>
      </c>
      <c r="J19" s="13">
        <v>18</v>
      </c>
      <c r="K19" s="13"/>
      <c r="L19" s="13">
        <v>18</v>
      </c>
      <c r="M19" s="13" t="s">
        <v>727</v>
      </c>
      <c r="N19" s="13"/>
      <c r="O19" s="13"/>
      <c r="P19" s="13"/>
      <c r="Q19" s="13"/>
      <c r="R19" s="13"/>
      <c r="S19" s="8"/>
    </row>
    <row r="20" spans="1:19" ht="15" customHeight="1" x14ac:dyDescent="0.2">
      <c r="A20" s="15" t="s">
        <v>336</v>
      </c>
      <c r="B20" s="15" t="s">
        <v>751</v>
      </c>
      <c r="C20" s="15" t="s">
        <v>314</v>
      </c>
      <c r="D20" s="17">
        <v>16865615</v>
      </c>
      <c r="E20">
        <v>6310486</v>
      </c>
      <c r="F20" t="s">
        <v>715</v>
      </c>
      <c r="G20" s="7"/>
      <c r="H20" s="7"/>
      <c r="I20" s="7"/>
      <c r="J20" s="7"/>
      <c r="K20" s="7"/>
      <c r="L20" s="13">
        <v>18</v>
      </c>
      <c r="M20" s="13" t="s">
        <v>727</v>
      </c>
      <c r="N20" s="13"/>
      <c r="O20" s="13"/>
      <c r="P20" s="13"/>
      <c r="Q20" s="13"/>
      <c r="R20" s="13"/>
      <c r="S20" s="8"/>
    </row>
    <row r="21" spans="1:19" ht="15" customHeight="1" x14ac:dyDescent="0.2">
      <c r="A21" s="17" t="s">
        <v>337</v>
      </c>
      <c r="B21" s="17" t="s">
        <v>752</v>
      </c>
      <c r="C21" s="15" t="s">
        <v>314</v>
      </c>
      <c r="D21" s="17">
        <v>16865615</v>
      </c>
      <c r="E21">
        <v>439181459</v>
      </c>
      <c r="F21" t="s">
        <v>715</v>
      </c>
      <c r="G21" s="12">
        <v>45685</v>
      </c>
      <c r="H21" s="13">
        <v>0</v>
      </c>
      <c r="I21" s="14">
        <v>0</v>
      </c>
      <c r="J21" s="13">
        <v>18</v>
      </c>
      <c r="K21" s="13"/>
      <c r="L21" s="13">
        <v>18</v>
      </c>
      <c r="M21" s="13" t="s">
        <v>727</v>
      </c>
      <c r="N21" s="13"/>
      <c r="O21" s="13"/>
      <c r="P21" s="13"/>
      <c r="Q21" s="13"/>
      <c r="R21" s="13"/>
      <c r="S21" s="8"/>
    </row>
    <row r="22" spans="1:19" ht="15" customHeight="1" x14ac:dyDescent="0.2">
      <c r="A22" s="15" t="s">
        <v>338</v>
      </c>
      <c r="B22" s="15" t="s">
        <v>753</v>
      </c>
      <c r="C22" s="15" t="s">
        <v>314</v>
      </c>
      <c r="D22" s="17">
        <v>16865615</v>
      </c>
      <c r="E22">
        <v>439181459</v>
      </c>
      <c r="F22" t="s">
        <v>715</v>
      </c>
      <c r="G22" s="7"/>
      <c r="H22" s="7"/>
      <c r="I22" s="7"/>
      <c r="J22" s="7"/>
      <c r="K22" s="7"/>
      <c r="L22" s="13">
        <v>18</v>
      </c>
      <c r="M22" s="13" t="s">
        <v>727</v>
      </c>
      <c r="N22" s="13"/>
      <c r="O22" s="13"/>
      <c r="P22" s="13"/>
      <c r="Q22" s="13"/>
      <c r="R22" s="13"/>
      <c r="S22" s="8"/>
    </row>
    <row r="23" spans="1:19" ht="15" customHeight="1" x14ac:dyDescent="0.2">
      <c r="A23" s="17" t="s">
        <v>339</v>
      </c>
      <c r="B23" s="17" t="s">
        <v>754</v>
      </c>
      <c r="C23" s="15" t="s">
        <v>314</v>
      </c>
      <c r="D23" s="17">
        <v>16865615</v>
      </c>
      <c r="E23">
        <v>435286222</v>
      </c>
      <c r="F23" t="s">
        <v>715</v>
      </c>
      <c r="G23" s="12">
        <v>45688</v>
      </c>
      <c r="H23" s="13">
        <v>220.78</v>
      </c>
      <c r="I23" s="14">
        <v>0.54320000000000002</v>
      </c>
      <c r="J23" s="13">
        <v>18</v>
      </c>
      <c r="K23" s="13"/>
      <c r="L23" s="13">
        <v>18</v>
      </c>
      <c r="M23" s="13" t="s">
        <v>727</v>
      </c>
      <c r="N23" s="13"/>
      <c r="O23" s="13"/>
      <c r="P23" s="13"/>
      <c r="Q23" s="13"/>
      <c r="R23" s="13"/>
      <c r="S23" s="8"/>
    </row>
    <row r="24" spans="1:19" ht="15" customHeight="1" x14ac:dyDescent="0.2">
      <c r="A24" s="17" t="s">
        <v>340</v>
      </c>
      <c r="B24" s="17" t="s">
        <v>755</v>
      </c>
      <c r="C24" s="15" t="s">
        <v>314</v>
      </c>
      <c r="D24" s="17">
        <v>16865615</v>
      </c>
      <c r="E24">
        <v>37765666</v>
      </c>
      <c r="F24" t="s">
        <v>715</v>
      </c>
      <c r="G24" s="12">
        <v>45658</v>
      </c>
      <c r="H24" s="13">
        <v>0</v>
      </c>
      <c r="I24" s="14">
        <v>0</v>
      </c>
      <c r="J24" s="13">
        <v>18</v>
      </c>
      <c r="K24" s="13"/>
      <c r="L24" s="13">
        <v>18</v>
      </c>
      <c r="M24" s="13" t="s">
        <v>727</v>
      </c>
      <c r="N24" s="13"/>
      <c r="O24" s="13"/>
      <c r="P24" s="13"/>
      <c r="Q24" s="13"/>
      <c r="R24" s="13"/>
      <c r="S24" s="8"/>
    </row>
    <row r="25" spans="1:19" ht="15" customHeight="1" x14ac:dyDescent="0.2">
      <c r="A25" s="17" t="s">
        <v>341</v>
      </c>
      <c r="B25" s="17" t="s">
        <v>756</v>
      </c>
      <c r="C25" s="15" t="s">
        <v>314</v>
      </c>
      <c r="D25" s="17">
        <v>16865615</v>
      </c>
      <c r="E25">
        <v>430271398</v>
      </c>
      <c r="F25" t="s">
        <v>715</v>
      </c>
      <c r="G25" s="12">
        <v>45660</v>
      </c>
      <c r="H25" s="13">
        <v>173.97</v>
      </c>
      <c r="I25" s="14">
        <v>2</v>
      </c>
      <c r="J25" s="13">
        <v>18</v>
      </c>
      <c r="K25" s="13"/>
      <c r="L25" s="13">
        <v>18</v>
      </c>
      <c r="M25" s="13" t="s">
        <v>727</v>
      </c>
      <c r="N25" s="13"/>
      <c r="O25" s="13"/>
      <c r="P25" s="13"/>
      <c r="Q25" s="13"/>
      <c r="R25" s="13"/>
      <c r="S25" s="8"/>
    </row>
    <row r="26" spans="1:19" ht="15" customHeight="1" x14ac:dyDescent="0.2">
      <c r="A26" s="17" t="s">
        <v>342</v>
      </c>
      <c r="B26" s="17" t="s">
        <v>757</v>
      </c>
      <c r="C26" s="15" t="s">
        <v>314</v>
      </c>
      <c r="D26" s="17">
        <v>16865615</v>
      </c>
      <c r="E26">
        <v>419109446</v>
      </c>
      <c r="F26" t="s">
        <v>715</v>
      </c>
      <c r="G26" s="12">
        <v>45660</v>
      </c>
      <c r="H26" s="13">
        <v>188.17</v>
      </c>
      <c r="I26" s="14">
        <v>0.61539999999999995</v>
      </c>
      <c r="J26" s="13">
        <v>18</v>
      </c>
      <c r="K26" s="13"/>
      <c r="L26" s="13">
        <v>18</v>
      </c>
      <c r="M26" s="13" t="s">
        <v>727</v>
      </c>
      <c r="N26" s="13"/>
      <c r="O26" s="13"/>
      <c r="P26" s="13"/>
      <c r="Q26" s="13"/>
      <c r="R26" s="13"/>
      <c r="S26" s="8"/>
    </row>
    <row r="27" spans="1:19" ht="15" customHeight="1" x14ac:dyDescent="0.2">
      <c r="A27" s="17" t="s">
        <v>343</v>
      </c>
      <c r="B27" s="17" t="s">
        <v>758</v>
      </c>
      <c r="C27" s="15" t="s">
        <v>314</v>
      </c>
      <c r="D27" s="17">
        <v>16865615</v>
      </c>
      <c r="E27">
        <v>426451590</v>
      </c>
      <c r="F27" t="s">
        <v>715</v>
      </c>
      <c r="G27" s="12">
        <v>45681</v>
      </c>
      <c r="H27" s="13">
        <v>94.54</v>
      </c>
      <c r="I27" s="14">
        <v>0.186</v>
      </c>
      <c r="J27" s="13">
        <v>18</v>
      </c>
      <c r="K27" s="13"/>
      <c r="L27" s="13">
        <v>18</v>
      </c>
      <c r="M27" s="13" t="s">
        <v>727</v>
      </c>
      <c r="N27" s="13"/>
      <c r="O27" s="13"/>
      <c r="P27" s="13"/>
      <c r="Q27" s="13"/>
      <c r="R27" s="13"/>
      <c r="S27" s="8"/>
    </row>
    <row r="28" spans="1:19" ht="15" customHeight="1" x14ac:dyDescent="0.2">
      <c r="A28" s="17" t="s">
        <v>345</v>
      </c>
      <c r="B28" s="17" t="s">
        <v>759</v>
      </c>
      <c r="C28" s="15" t="s">
        <v>314</v>
      </c>
      <c r="D28" s="17">
        <v>16865615</v>
      </c>
      <c r="E28">
        <v>415901429</v>
      </c>
      <c r="F28" t="s">
        <v>715</v>
      </c>
      <c r="G28" s="12">
        <v>45665</v>
      </c>
      <c r="H28" s="13">
        <v>280.74</v>
      </c>
      <c r="I28" s="14">
        <v>0.79590000000000005</v>
      </c>
      <c r="J28" s="13">
        <v>18</v>
      </c>
      <c r="K28" s="13"/>
      <c r="L28" s="13">
        <v>18</v>
      </c>
      <c r="M28" s="13" t="s">
        <v>727</v>
      </c>
      <c r="N28" s="13"/>
      <c r="O28" s="13"/>
      <c r="P28" s="13"/>
      <c r="Q28" s="13"/>
      <c r="R28" s="13"/>
      <c r="S28" s="8"/>
    </row>
    <row r="29" spans="1:19" ht="15" customHeight="1" x14ac:dyDescent="0.2">
      <c r="A29" s="17" t="s">
        <v>346</v>
      </c>
      <c r="B29" s="17" t="s">
        <v>760</v>
      </c>
      <c r="C29" s="15" t="s">
        <v>314</v>
      </c>
      <c r="D29" s="17">
        <v>16865615</v>
      </c>
      <c r="E29">
        <v>422935533</v>
      </c>
      <c r="F29" t="s">
        <v>715</v>
      </c>
      <c r="G29" s="12">
        <v>45665</v>
      </c>
      <c r="H29" s="13">
        <v>33.83</v>
      </c>
      <c r="I29" s="14">
        <v>8.0600000000000005E-2</v>
      </c>
      <c r="J29" s="13">
        <v>18</v>
      </c>
      <c r="K29" s="13"/>
      <c r="L29" s="13">
        <v>18</v>
      </c>
      <c r="M29" s="13" t="s">
        <v>727</v>
      </c>
      <c r="N29" s="13"/>
      <c r="O29" s="13"/>
      <c r="P29" s="13"/>
      <c r="Q29" s="13"/>
      <c r="R29" s="13"/>
      <c r="S29" s="8"/>
    </row>
    <row r="30" spans="1:19" ht="15" customHeight="1" x14ac:dyDescent="0.2">
      <c r="A30" s="17" t="s">
        <v>350</v>
      </c>
      <c r="B30" s="17" t="s">
        <v>761</v>
      </c>
      <c r="C30" s="15" t="s">
        <v>315</v>
      </c>
      <c r="D30" s="17">
        <v>6634327</v>
      </c>
      <c r="E30">
        <v>426980547</v>
      </c>
      <c r="F30" t="s">
        <v>715</v>
      </c>
      <c r="G30" s="12">
        <v>45685</v>
      </c>
      <c r="H30" s="13">
        <v>1.8</v>
      </c>
      <c r="I30" s="13"/>
      <c r="J30" s="13">
        <v>18</v>
      </c>
      <c r="K30" s="13"/>
      <c r="L30" s="13">
        <v>18</v>
      </c>
      <c r="M30" s="13" t="s">
        <v>727</v>
      </c>
      <c r="O30" s="13"/>
      <c r="P30" s="13"/>
      <c r="Q30" s="13"/>
      <c r="R30" s="8"/>
      <c r="S30" s="8"/>
    </row>
    <row r="31" spans="1:19" ht="15" customHeight="1" x14ac:dyDescent="0.2">
      <c r="A31" s="17" t="s">
        <v>351</v>
      </c>
      <c r="B31" s="17" t="s">
        <v>762</v>
      </c>
      <c r="C31" s="15" t="s">
        <v>315</v>
      </c>
      <c r="D31" s="17">
        <v>6634327</v>
      </c>
      <c r="E31">
        <v>420984100</v>
      </c>
      <c r="F31" t="s">
        <v>715</v>
      </c>
      <c r="G31" s="12">
        <v>45681</v>
      </c>
      <c r="H31" s="13">
        <v>575.37</v>
      </c>
      <c r="I31" s="13"/>
      <c r="J31" s="13">
        <v>18</v>
      </c>
      <c r="K31" s="13"/>
      <c r="L31" s="13">
        <v>18</v>
      </c>
      <c r="M31" s="13" t="s">
        <v>727</v>
      </c>
      <c r="O31" s="13"/>
      <c r="P31" s="13"/>
      <c r="Q31" s="13"/>
      <c r="R31" s="8"/>
      <c r="S31" s="8"/>
    </row>
    <row r="32" spans="1:19" ht="15" customHeight="1" x14ac:dyDescent="0.2">
      <c r="A32" s="17" t="s">
        <v>352</v>
      </c>
      <c r="B32" s="17" t="s">
        <v>763</v>
      </c>
      <c r="C32" s="15" t="s">
        <v>315</v>
      </c>
      <c r="D32" s="17">
        <v>6634327</v>
      </c>
      <c r="E32">
        <v>901733709</v>
      </c>
      <c r="F32" t="s">
        <v>715</v>
      </c>
      <c r="G32" s="12">
        <v>45685</v>
      </c>
      <c r="H32" s="13">
        <v>145.56</v>
      </c>
      <c r="I32" s="13"/>
      <c r="J32" s="13">
        <v>18</v>
      </c>
      <c r="K32" s="13"/>
      <c r="L32" s="13">
        <v>18</v>
      </c>
      <c r="M32" s="13" t="s">
        <v>727</v>
      </c>
      <c r="O32" s="13"/>
      <c r="P32" s="13"/>
      <c r="Q32" s="13"/>
      <c r="R32" s="8"/>
      <c r="S32" s="8"/>
    </row>
    <row r="33" spans="1:19" ht="15" customHeight="1" x14ac:dyDescent="0.2">
      <c r="A33" s="17" t="s">
        <v>354</v>
      </c>
      <c r="B33" s="17" t="s">
        <v>764</v>
      </c>
      <c r="C33" s="15" t="s">
        <v>315</v>
      </c>
      <c r="D33" s="17">
        <v>6634327</v>
      </c>
      <c r="E33">
        <v>429597789</v>
      </c>
      <c r="F33" t="s">
        <v>715</v>
      </c>
      <c r="G33" s="12"/>
      <c r="H33" s="13">
        <v>2.69</v>
      </c>
      <c r="I33" s="14">
        <v>4.5999999999999999E-3</v>
      </c>
      <c r="J33" s="13">
        <v>18</v>
      </c>
      <c r="K33" s="13"/>
      <c r="L33" s="13">
        <v>18</v>
      </c>
      <c r="M33" s="13" t="s">
        <v>727</v>
      </c>
      <c r="N33" s="13"/>
      <c r="O33" s="13"/>
      <c r="P33" s="13"/>
      <c r="Q33" s="13"/>
      <c r="R33" s="13"/>
      <c r="S33" s="8"/>
    </row>
    <row r="34" spans="1:19" ht="15" customHeight="1" x14ac:dyDescent="0.2">
      <c r="A34" s="15" t="s">
        <v>355</v>
      </c>
      <c r="B34" s="15" t="s">
        <v>765</v>
      </c>
      <c r="C34" s="15" t="s">
        <v>315</v>
      </c>
      <c r="D34" s="17">
        <v>6634327</v>
      </c>
      <c r="E34">
        <v>429597789</v>
      </c>
      <c r="F34" t="s">
        <v>715</v>
      </c>
      <c r="G34" s="7"/>
      <c r="H34" s="7"/>
      <c r="I34" s="7"/>
      <c r="J34" s="7"/>
      <c r="K34" s="7"/>
      <c r="L34" s="13">
        <v>18</v>
      </c>
      <c r="M34" s="13" t="s">
        <v>727</v>
      </c>
      <c r="N34" s="13"/>
      <c r="O34" s="13"/>
      <c r="P34" s="13"/>
      <c r="Q34" s="13"/>
      <c r="R34" s="13"/>
      <c r="S34" s="8"/>
    </row>
    <row r="35" spans="1:19" ht="15" customHeight="1" x14ac:dyDescent="0.2">
      <c r="A35" s="17" t="s">
        <v>359</v>
      </c>
      <c r="B35" s="17" t="s">
        <v>766</v>
      </c>
      <c r="C35" s="15" t="s">
        <v>315</v>
      </c>
      <c r="D35" s="17">
        <v>6634327</v>
      </c>
      <c r="E35">
        <v>424950344</v>
      </c>
      <c r="F35" t="s">
        <v>715</v>
      </c>
      <c r="G35" s="12"/>
      <c r="H35" s="13">
        <v>644.41</v>
      </c>
      <c r="I35" s="14">
        <v>3.8094000000000001</v>
      </c>
      <c r="J35" s="13">
        <v>18</v>
      </c>
      <c r="K35" s="13"/>
      <c r="L35" s="13">
        <v>18</v>
      </c>
      <c r="M35" s="13" t="s">
        <v>727</v>
      </c>
      <c r="N35" s="13"/>
      <c r="O35" s="13"/>
      <c r="P35" s="13"/>
      <c r="Q35" s="13"/>
      <c r="R35" s="13"/>
      <c r="S35" s="8"/>
    </row>
    <row r="36" spans="1:19" ht="15" customHeight="1" x14ac:dyDescent="0.2">
      <c r="A36" s="17" t="s">
        <v>361</v>
      </c>
      <c r="B36" s="17" t="s">
        <v>767</v>
      </c>
      <c r="C36" s="15" t="s">
        <v>315</v>
      </c>
      <c r="D36" s="17">
        <v>6634327</v>
      </c>
      <c r="E36">
        <v>901207977</v>
      </c>
      <c r="F36" t="s">
        <v>715</v>
      </c>
      <c r="G36" s="12"/>
      <c r="H36" s="13">
        <v>0</v>
      </c>
      <c r="I36" s="14">
        <v>0</v>
      </c>
      <c r="J36" s="13">
        <v>18</v>
      </c>
      <c r="K36" s="13"/>
      <c r="L36" s="13">
        <v>18</v>
      </c>
      <c r="M36" s="13" t="s">
        <v>727</v>
      </c>
      <c r="N36" s="13"/>
      <c r="O36" s="13"/>
      <c r="P36" s="13"/>
      <c r="Q36" s="13"/>
      <c r="R36" s="13"/>
      <c r="S36" s="8"/>
    </row>
    <row r="37" spans="1:19" ht="15" customHeight="1" x14ac:dyDescent="0.2">
      <c r="A37" s="17" t="s">
        <v>362</v>
      </c>
      <c r="B37" s="17" t="s">
        <v>768</v>
      </c>
      <c r="C37" s="15" t="s">
        <v>315</v>
      </c>
      <c r="D37" s="17">
        <v>6634327</v>
      </c>
      <c r="E37">
        <v>900938867</v>
      </c>
      <c r="F37" t="s">
        <v>715</v>
      </c>
      <c r="G37" s="12"/>
      <c r="H37" s="13">
        <v>0</v>
      </c>
      <c r="I37" s="14">
        <v>1</v>
      </c>
      <c r="J37" s="13">
        <v>18</v>
      </c>
      <c r="K37" s="13"/>
      <c r="L37" s="13">
        <v>18</v>
      </c>
      <c r="M37" s="13" t="s">
        <v>727</v>
      </c>
      <c r="N37" s="13"/>
      <c r="O37" s="13"/>
      <c r="P37" s="13"/>
      <c r="Q37" s="13"/>
      <c r="R37" s="13"/>
      <c r="S37" s="8"/>
    </row>
    <row r="38" spans="1:19" ht="15" customHeight="1" x14ac:dyDescent="0.2">
      <c r="A38" s="17" t="s">
        <v>363</v>
      </c>
      <c r="B38" s="17" t="s">
        <v>769</v>
      </c>
      <c r="C38" s="15" t="s">
        <v>315</v>
      </c>
      <c r="D38" s="17">
        <v>6634327</v>
      </c>
      <c r="E38">
        <v>423892986</v>
      </c>
      <c r="F38" t="s">
        <v>715</v>
      </c>
      <c r="G38" s="12"/>
      <c r="H38" s="13">
        <v>0</v>
      </c>
      <c r="I38" s="14">
        <v>0</v>
      </c>
      <c r="J38" s="13">
        <v>18</v>
      </c>
      <c r="K38" s="13"/>
      <c r="L38" s="13">
        <v>18</v>
      </c>
      <c r="M38" s="13" t="s">
        <v>727</v>
      </c>
      <c r="N38" s="13"/>
      <c r="O38" s="13"/>
      <c r="P38" s="13"/>
      <c r="Q38" s="13"/>
      <c r="R38" s="13"/>
      <c r="S38" s="8"/>
    </row>
    <row r="39" spans="1:19" ht="15" customHeight="1" x14ac:dyDescent="0.2">
      <c r="A39" s="17" t="s">
        <v>364</v>
      </c>
      <c r="B39" s="17" t="s">
        <v>770</v>
      </c>
      <c r="C39" s="15" t="s">
        <v>315</v>
      </c>
      <c r="D39" s="17">
        <v>6634327</v>
      </c>
      <c r="E39">
        <v>38549380</v>
      </c>
      <c r="F39" t="s">
        <v>715</v>
      </c>
      <c r="G39" s="12"/>
      <c r="H39" s="13">
        <v>111.4</v>
      </c>
      <c r="I39" s="14">
        <v>0.49280000000000002</v>
      </c>
      <c r="J39" s="13">
        <v>18</v>
      </c>
      <c r="K39" s="13"/>
      <c r="L39" s="13">
        <v>18</v>
      </c>
      <c r="M39" s="13" t="s">
        <v>727</v>
      </c>
      <c r="N39" s="13"/>
      <c r="O39" s="13"/>
      <c r="P39" s="13"/>
      <c r="Q39" s="13"/>
      <c r="R39" s="13"/>
      <c r="S39" s="8"/>
    </row>
    <row r="40" spans="1:19" ht="15" customHeight="1" x14ac:dyDescent="0.2">
      <c r="A40" s="17" t="s">
        <v>365</v>
      </c>
      <c r="B40" s="17" t="s">
        <v>771</v>
      </c>
      <c r="C40" s="15" t="s">
        <v>315</v>
      </c>
      <c r="D40" s="17">
        <v>6634327</v>
      </c>
      <c r="E40">
        <v>415541253</v>
      </c>
      <c r="F40" t="s">
        <v>715</v>
      </c>
      <c r="G40" s="12"/>
      <c r="H40" s="13">
        <v>171.27</v>
      </c>
      <c r="I40" s="14">
        <v>0.1958</v>
      </c>
      <c r="J40" s="13">
        <v>18</v>
      </c>
      <c r="K40" s="13"/>
      <c r="L40" s="13">
        <v>18</v>
      </c>
      <c r="M40" s="13" t="s">
        <v>727</v>
      </c>
      <c r="N40" s="13"/>
      <c r="O40" s="13"/>
      <c r="P40" s="13"/>
      <c r="Q40" s="13"/>
      <c r="R40" s="13"/>
      <c r="S40" s="8"/>
    </row>
    <row r="41" spans="1:19" ht="15" customHeight="1" x14ac:dyDescent="0.2">
      <c r="A41" s="15" t="s">
        <v>366</v>
      </c>
      <c r="B41" s="15" t="s">
        <v>772</v>
      </c>
      <c r="C41" s="15" t="s">
        <v>315</v>
      </c>
      <c r="D41" s="17">
        <v>6634327</v>
      </c>
      <c r="E41">
        <v>415541253</v>
      </c>
      <c r="F41" t="s">
        <v>715</v>
      </c>
      <c r="G41" s="7"/>
      <c r="H41" s="7"/>
      <c r="I41" s="7"/>
      <c r="J41" s="7"/>
      <c r="K41" s="7"/>
      <c r="L41" s="13">
        <v>18</v>
      </c>
      <c r="M41" s="13" t="s">
        <v>727</v>
      </c>
      <c r="N41" s="13"/>
      <c r="O41" s="13"/>
      <c r="P41" s="13"/>
      <c r="Q41" s="13"/>
      <c r="R41" s="13"/>
      <c r="S41" s="8"/>
    </row>
    <row r="42" spans="1:19" ht="15" customHeight="1" x14ac:dyDescent="0.2">
      <c r="A42" s="15" t="s">
        <v>367</v>
      </c>
      <c r="B42" s="15" t="s">
        <v>773</v>
      </c>
      <c r="C42" s="15" t="s">
        <v>315</v>
      </c>
      <c r="D42" s="17">
        <v>6634327</v>
      </c>
      <c r="E42">
        <v>415541253</v>
      </c>
      <c r="F42" t="s">
        <v>715</v>
      </c>
      <c r="G42" s="7"/>
      <c r="H42" s="7"/>
      <c r="I42" s="7"/>
      <c r="J42" s="7"/>
      <c r="K42" s="7"/>
      <c r="L42" s="13">
        <v>18</v>
      </c>
      <c r="M42" s="13" t="s">
        <v>727</v>
      </c>
      <c r="N42" s="13"/>
      <c r="O42" s="13"/>
      <c r="P42" s="13"/>
      <c r="Q42" s="13"/>
      <c r="R42" s="13"/>
      <c r="S42" s="8"/>
    </row>
    <row r="43" spans="1:19" ht="15" customHeight="1" x14ac:dyDescent="0.2">
      <c r="A43" s="17" t="s">
        <v>368</v>
      </c>
      <c r="B43" s="17" t="s">
        <v>774</v>
      </c>
      <c r="C43" s="15" t="s">
        <v>315</v>
      </c>
      <c r="D43" s="17">
        <v>6634327</v>
      </c>
      <c r="E43">
        <v>901300310</v>
      </c>
      <c r="F43" t="s">
        <v>715</v>
      </c>
      <c r="G43" s="12"/>
      <c r="H43" s="13">
        <v>110.44</v>
      </c>
      <c r="I43" s="14">
        <v>0.22040000000000001</v>
      </c>
      <c r="J43" s="13">
        <v>18</v>
      </c>
      <c r="K43" s="13"/>
      <c r="L43" s="13">
        <v>18</v>
      </c>
      <c r="M43" s="13" t="s">
        <v>727</v>
      </c>
      <c r="N43" s="13"/>
      <c r="O43" s="13"/>
      <c r="P43" s="13"/>
      <c r="Q43" s="13"/>
      <c r="R43" s="13"/>
      <c r="S43" s="8"/>
    </row>
    <row r="44" spans="1:19" ht="15" customHeight="1" x14ac:dyDescent="0.2">
      <c r="A44" s="17" t="s">
        <v>369</v>
      </c>
      <c r="B44" s="17" t="s">
        <v>775</v>
      </c>
      <c r="C44" s="15" t="s">
        <v>315</v>
      </c>
      <c r="D44" s="17">
        <v>6634327</v>
      </c>
      <c r="E44">
        <v>427047076</v>
      </c>
      <c r="F44" t="s">
        <v>715</v>
      </c>
      <c r="G44" s="12"/>
      <c r="H44" s="13">
        <v>111.92</v>
      </c>
      <c r="I44" s="14">
        <v>0.1613</v>
      </c>
      <c r="J44" s="13">
        <v>18</v>
      </c>
      <c r="K44" s="13"/>
      <c r="L44" s="13">
        <v>18</v>
      </c>
      <c r="M44" s="13" t="s">
        <v>727</v>
      </c>
      <c r="N44" s="13"/>
      <c r="O44" s="13"/>
      <c r="P44" s="13"/>
      <c r="Q44" s="13"/>
      <c r="R44" s="13"/>
      <c r="S44" s="8"/>
    </row>
    <row r="45" spans="1:19" ht="15" customHeight="1" x14ac:dyDescent="0.2">
      <c r="A45" s="15" t="s">
        <v>370</v>
      </c>
      <c r="B45" s="15" t="s">
        <v>776</v>
      </c>
      <c r="C45" s="15" t="s">
        <v>315</v>
      </c>
      <c r="D45" s="17">
        <v>6634327</v>
      </c>
      <c r="E45">
        <v>427047076</v>
      </c>
      <c r="F45" t="s">
        <v>715</v>
      </c>
      <c r="G45" s="7"/>
      <c r="H45" s="7"/>
      <c r="I45" s="7"/>
      <c r="J45" s="7"/>
      <c r="K45" s="7"/>
      <c r="L45" s="13">
        <v>18</v>
      </c>
      <c r="M45" s="13" t="s">
        <v>727</v>
      </c>
      <c r="N45" s="13"/>
      <c r="O45" s="13"/>
      <c r="P45" s="13"/>
      <c r="Q45" s="13"/>
      <c r="R45" s="13"/>
      <c r="S45" s="8"/>
    </row>
    <row r="46" spans="1:19" ht="15" customHeight="1" x14ac:dyDescent="0.2">
      <c r="A46" s="17" t="s">
        <v>371</v>
      </c>
      <c r="B46" s="17" t="s">
        <v>777</v>
      </c>
      <c r="C46" s="15" t="s">
        <v>315</v>
      </c>
      <c r="D46" s="17">
        <v>6634327</v>
      </c>
      <c r="E46">
        <v>410763562</v>
      </c>
      <c r="F46" t="s">
        <v>715</v>
      </c>
      <c r="G46" s="12"/>
      <c r="H46" s="13">
        <v>0</v>
      </c>
      <c r="I46" s="14">
        <v>0</v>
      </c>
      <c r="J46" s="13">
        <v>18</v>
      </c>
      <c r="K46" s="13"/>
      <c r="L46" s="13">
        <v>18</v>
      </c>
      <c r="M46" s="13" t="s">
        <v>727</v>
      </c>
      <c r="N46" s="13"/>
      <c r="O46" s="13"/>
      <c r="P46" s="13"/>
      <c r="Q46" s="13"/>
      <c r="R46" s="13"/>
      <c r="S46" s="8"/>
    </row>
    <row r="47" spans="1:19" ht="15" customHeight="1" x14ac:dyDescent="0.2">
      <c r="A47" s="17" t="s">
        <v>372</v>
      </c>
      <c r="B47" s="17" t="s">
        <v>778</v>
      </c>
      <c r="C47" s="15" t="s">
        <v>315</v>
      </c>
      <c r="D47" s="17">
        <v>6634327</v>
      </c>
      <c r="E47">
        <v>419276807</v>
      </c>
      <c r="F47" t="s">
        <v>715</v>
      </c>
      <c r="G47" s="12"/>
      <c r="H47" s="13">
        <v>499.41</v>
      </c>
      <c r="I47" s="14">
        <v>2</v>
      </c>
      <c r="J47" s="13">
        <v>18</v>
      </c>
      <c r="K47" s="13"/>
      <c r="L47" s="13">
        <v>18</v>
      </c>
      <c r="M47" s="13" t="s">
        <v>727</v>
      </c>
      <c r="N47" s="13"/>
      <c r="O47" s="13"/>
      <c r="P47" s="13"/>
      <c r="Q47" s="13"/>
      <c r="R47" s="13"/>
      <c r="S47" s="8"/>
    </row>
    <row r="48" spans="1:19" ht="15" customHeight="1" x14ac:dyDescent="0.2">
      <c r="A48" s="17" t="s">
        <v>373</v>
      </c>
      <c r="B48" s="17" t="s">
        <v>779</v>
      </c>
      <c r="C48" s="15" t="s">
        <v>315</v>
      </c>
      <c r="D48" s="17">
        <v>6634327</v>
      </c>
      <c r="E48">
        <v>434216376</v>
      </c>
      <c r="F48" t="s">
        <v>715</v>
      </c>
      <c r="G48" s="12"/>
      <c r="H48" s="13">
        <v>423.65</v>
      </c>
      <c r="I48" s="14">
        <v>2</v>
      </c>
      <c r="J48" s="13">
        <v>18</v>
      </c>
      <c r="K48" s="13"/>
      <c r="L48" s="13">
        <v>18</v>
      </c>
      <c r="M48" s="13" t="s">
        <v>727</v>
      </c>
      <c r="N48" s="13"/>
      <c r="O48" s="13"/>
      <c r="P48" s="13"/>
      <c r="Q48" s="13"/>
      <c r="R48" s="13"/>
      <c r="S48" s="8"/>
    </row>
    <row r="49" spans="1:19" ht="15" customHeight="1" x14ac:dyDescent="0.2">
      <c r="A49" s="17" t="s">
        <v>376</v>
      </c>
      <c r="B49" s="17" t="s">
        <v>780</v>
      </c>
      <c r="C49" s="15" t="s">
        <v>315</v>
      </c>
      <c r="D49" s="17">
        <v>6634327</v>
      </c>
      <c r="E49">
        <v>418121627</v>
      </c>
      <c r="F49" t="s">
        <v>715</v>
      </c>
      <c r="G49" s="12"/>
      <c r="H49" s="13">
        <v>445.3</v>
      </c>
      <c r="I49" s="14">
        <v>1.3498000000000001</v>
      </c>
      <c r="J49" s="13">
        <v>18</v>
      </c>
      <c r="K49" s="13"/>
      <c r="L49" s="13">
        <v>18</v>
      </c>
      <c r="M49" s="13" t="s">
        <v>727</v>
      </c>
      <c r="N49" s="13"/>
      <c r="O49" s="13"/>
      <c r="P49" s="13"/>
      <c r="Q49" s="13"/>
      <c r="R49" s="13"/>
      <c r="S49" s="8"/>
    </row>
    <row r="50" spans="1:19" ht="15" customHeight="1" x14ac:dyDescent="0.2">
      <c r="A50" s="17" t="s">
        <v>378</v>
      </c>
      <c r="B50" s="17" t="s">
        <v>781</v>
      </c>
      <c r="C50" s="15" t="s">
        <v>315</v>
      </c>
      <c r="D50" s="17">
        <v>6634327</v>
      </c>
      <c r="E50">
        <v>425707474</v>
      </c>
      <c r="F50" t="s">
        <v>715</v>
      </c>
      <c r="G50" s="12"/>
      <c r="H50" s="13">
        <v>246.18</v>
      </c>
      <c r="I50" s="14">
        <v>0.49209999999999998</v>
      </c>
      <c r="J50" s="13">
        <v>18</v>
      </c>
      <c r="K50" s="13"/>
      <c r="L50" s="13">
        <v>18</v>
      </c>
      <c r="M50" s="13" t="s">
        <v>727</v>
      </c>
      <c r="N50" s="13"/>
      <c r="O50" s="13"/>
      <c r="P50" s="13"/>
      <c r="Q50" s="13"/>
      <c r="R50" s="13"/>
      <c r="S50" s="8"/>
    </row>
    <row r="51" spans="1:19" ht="15" customHeight="1" x14ac:dyDescent="0.2">
      <c r="A51" s="15" t="s">
        <v>379</v>
      </c>
      <c r="B51" s="15" t="s">
        <v>782</v>
      </c>
      <c r="C51" s="15" t="s">
        <v>315</v>
      </c>
      <c r="D51" s="17">
        <v>6634327</v>
      </c>
      <c r="E51">
        <v>425707474</v>
      </c>
      <c r="F51" t="s">
        <v>715</v>
      </c>
      <c r="G51" s="7"/>
      <c r="H51" s="7"/>
      <c r="I51" s="7"/>
      <c r="J51" s="7"/>
      <c r="K51" s="7"/>
      <c r="L51" s="13">
        <v>18</v>
      </c>
      <c r="M51" s="13" t="s">
        <v>727</v>
      </c>
      <c r="N51" s="13"/>
      <c r="O51" s="13"/>
      <c r="P51" s="13"/>
      <c r="Q51" s="13"/>
      <c r="R51" s="13"/>
      <c r="S51" s="8"/>
    </row>
    <row r="52" spans="1:19" ht="15" customHeight="1" x14ac:dyDescent="0.2">
      <c r="A52" s="17" t="s">
        <v>380</v>
      </c>
      <c r="B52" s="17" t="s">
        <v>783</v>
      </c>
      <c r="C52" s="15" t="s">
        <v>315</v>
      </c>
      <c r="D52" s="17">
        <v>6634327</v>
      </c>
      <c r="E52">
        <v>416050800</v>
      </c>
      <c r="F52" t="s">
        <v>715</v>
      </c>
      <c r="G52" s="12"/>
      <c r="H52" s="13">
        <v>25.04</v>
      </c>
      <c r="I52" s="14">
        <v>0.1116</v>
      </c>
      <c r="J52" s="13">
        <v>18</v>
      </c>
      <c r="K52" s="13"/>
      <c r="L52" s="13">
        <v>18</v>
      </c>
      <c r="M52" s="13" t="s">
        <v>727</v>
      </c>
      <c r="N52" s="13"/>
      <c r="O52" s="13"/>
      <c r="P52" s="13"/>
      <c r="Q52" s="13"/>
      <c r="R52" s="13"/>
      <c r="S52" s="8"/>
    </row>
    <row r="53" spans="1:19" ht="15" customHeight="1" x14ac:dyDescent="0.2">
      <c r="A53" s="17" t="s">
        <v>381</v>
      </c>
      <c r="B53" s="17" t="s">
        <v>784</v>
      </c>
      <c r="C53" s="15" t="s">
        <v>315</v>
      </c>
      <c r="D53" s="17">
        <v>6634327</v>
      </c>
      <c r="E53">
        <v>434214198</v>
      </c>
      <c r="F53" t="s">
        <v>715</v>
      </c>
      <c r="G53" s="12"/>
      <c r="H53" s="13">
        <v>225.06</v>
      </c>
      <c r="I53" s="14">
        <v>0.77910000000000001</v>
      </c>
      <c r="J53" s="13">
        <v>18</v>
      </c>
      <c r="K53" s="13"/>
      <c r="L53" s="13">
        <v>18</v>
      </c>
      <c r="M53" s="13" t="s">
        <v>727</v>
      </c>
      <c r="N53" s="13"/>
      <c r="O53" s="13"/>
      <c r="P53" s="13"/>
      <c r="Q53" s="13"/>
      <c r="R53" s="13"/>
      <c r="S53" s="8"/>
    </row>
    <row r="54" spans="1:19" ht="15" customHeight="1" x14ac:dyDescent="0.2">
      <c r="A54" s="15" t="s">
        <v>382</v>
      </c>
      <c r="B54" s="15" t="s">
        <v>785</v>
      </c>
      <c r="C54" s="15" t="s">
        <v>315</v>
      </c>
      <c r="D54" s="17">
        <v>6634327</v>
      </c>
      <c r="E54">
        <v>434214198</v>
      </c>
      <c r="F54" t="s">
        <v>715</v>
      </c>
      <c r="G54" s="7"/>
      <c r="H54" s="7"/>
      <c r="I54" s="7"/>
      <c r="J54" s="7"/>
      <c r="K54" s="7"/>
      <c r="L54" s="13">
        <v>18</v>
      </c>
      <c r="M54" s="13" t="s">
        <v>727</v>
      </c>
      <c r="N54" s="13"/>
      <c r="O54" s="13"/>
      <c r="P54" s="13"/>
      <c r="Q54" s="13"/>
      <c r="R54" s="13"/>
      <c r="S54" s="8"/>
    </row>
    <row r="55" spans="1:19" ht="15" customHeight="1" x14ac:dyDescent="0.2">
      <c r="A55" s="17" t="s">
        <v>383</v>
      </c>
      <c r="B55" s="17" t="s">
        <v>786</v>
      </c>
      <c r="C55" s="15" t="s">
        <v>315</v>
      </c>
      <c r="D55" s="17">
        <v>6634327</v>
      </c>
      <c r="E55">
        <v>412416118</v>
      </c>
      <c r="F55" t="s">
        <v>715</v>
      </c>
      <c r="G55" s="12"/>
      <c r="H55" s="16">
        <v>1611.2</v>
      </c>
      <c r="I55" s="14">
        <v>2</v>
      </c>
      <c r="J55" s="13">
        <v>18</v>
      </c>
      <c r="K55" s="13"/>
      <c r="L55" s="13">
        <v>18</v>
      </c>
      <c r="M55" s="13" t="s">
        <v>727</v>
      </c>
      <c r="N55" s="13"/>
      <c r="O55" s="13"/>
      <c r="P55" s="13"/>
      <c r="Q55" s="13"/>
      <c r="R55" s="13"/>
      <c r="S55" s="8"/>
    </row>
    <row r="56" spans="1:19" ht="15" customHeight="1" x14ac:dyDescent="0.2">
      <c r="A56" s="15" t="s">
        <v>384</v>
      </c>
      <c r="B56" s="15" t="s">
        <v>787</v>
      </c>
      <c r="C56" s="15" t="s">
        <v>315</v>
      </c>
      <c r="D56" s="17">
        <v>6634327</v>
      </c>
      <c r="E56">
        <v>412416118</v>
      </c>
      <c r="F56" t="s">
        <v>715</v>
      </c>
      <c r="G56" s="7"/>
      <c r="H56" s="7"/>
      <c r="I56" s="7"/>
      <c r="J56" s="7"/>
      <c r="K56" s="7"/>
      <c r="L56" s="13">
        <v>18</v>
      </c>
      <c r="M56" s="13" t="s">
        <v>727</v>
      </c>
      <c r="N56" s="13"/>
      <c r="O56" s="13"/>
      <c r="P56" s="13"/>
      <c r="Q56" s="13"/>
      <c r="R56" s="13"/>
      <c r="S56" s="8"/>
    </row>
    <row r="57" spans="1:19" ht="15" customHeight="1" x14ac:dyDescent="0.2">
      <c r="A57" s="17" t="s">
        <v>385</v>
      </c>
      <c r="B57" s="17" t="s">
        <v>788</v>
      </c>
      <c r="C57" s="15" t="s">
        <v>315</v>
      </c>
      <c r="D57" s="17">
        <v>6634327</v>
      </c>
      <c r="E57">
        <v>423385752</v>
      </c>
      <c r="F57" t="s">
        <v>715</v>
      </c>
      <c r="G57" s="12"/>
      <c r="H57" s="13">
        <v>1.64</v>
      </c>
      <c r="I57" s="14">
        <v>3.2000000000000002E-3</v>
      </c>
      <c r="J57" s="13">
        <v>18</v>
      </c>
      <c r="K57" s="13"/>
      <c r="L57" s="13">
        <v>18</v>
      </c>
      <c r="M57" s="13" t="s">
        <v>727</v>
      </c>
      <c r="N57" s="13"/>
      <c r="O57" s="13"/>
      <c r="P57" s="13"/>
      <c r="Q57" s="13"/>
      <c r="R57" s="13"/>
      <c r="S57" s="8"/>
    </row>
    <row r="58" spans="1:19" ht="15" customHeight="1" x14ac:dyDescent="0.2">
      <c r="A58" s="17" t="s">
        <v>386</v>
      </c>
      <c r="B58" s="17" t="s">
        <v>789</v>
      </c>
      <c r="C58" s="15" t="s">
        <v>315</v>
      </c>
      <c r="D58" s="17">
        <v>6634327</v>
      </c>
      <c r="E58">
        <v>417901174</v>
      </c>
      <c r="F58" t="s">
        <v>715</v>
      </c>
      <c r="G58" s="12"/>
      <c r="H58" s="13">
        <v>129.44999999999999</v>
      </c>
      <c r="I58" s="14">
        <v>0.29830000000000001</v>
      </c>
      <c r="J58" s="13">
        <v>18</v>
      </c>
      <c r="K58" s="13"/>
      <c r="L58" s="13">
        <v>18</v>
      </c>
      <c r="M58" s="13" t="s">
        <v>727</v>
      </c>
      <c r="N58" s="13"/>
      <c r="O58" s="13"/>
      <c r="P58" s="13"/>
      <c r="Q58" s="13"/>
      <c r="R58" s="13"/>
      <c r="S58" s="8"/>
    </row>
    <row r="59" spans="1:19" ht="15" customHeight="1" x14ac:dyDescent="0.2">
      <c r="A59" s="17" t="s">
        <v>387</v>
      </c>
      <c r="B59" s="17" t="s">
        <v>790</v>
      </c>
      <c r="C59" s="15" t="s">
        <v>315</v>
      </c>
      <c r="D59" s="17">
        <v>6634327</v>
      </c>
      <c r="E59">
        <v>421591927</v>
      </c>
      <c r="F59" t="s">
        <v>715</v>
      </c>
      <c r="G59" s="12"/>
      <c r="H59" s="13">
        <v>192.96</v>
      </c>
      <c r="I59" s="14">
        <v>0.1719</v>
      </c>
      <c r="J59" s="13">
        <v>18</v>
      </c>
      <c r="K59" s="13"/>
      <c r="L59" s="13">
        <v>18</v>
      </c>
      <c r="M59" s="13" t="s">
        <v>727</v>
      </c>
      <c r="N59" s="13"/>
      <c r="O59" s="13"/>
      <c r="P59" s="13"/>
      <c r="Q59" s="13"/>
      <c r="R59" s="13"/>
      <c r="S59" s="8"/>
    </row>
    <row r="60" spans="1:19" ht="15" customHeight="1" x14ac:dyDescent="0.2">
      <c r="A60" s="15" t="s">
        <v>388</v>
      </c>
      <c r="B60" s="15" t="s">
        <v>791</v>
      </c>
      <c r="C60" s="15" t="s">
        <v>315</v>
      </c>
      <c r="D60" s="17">
        <v>6634327</v>
      </c>
      <c r="E60">
        <v>421591927</v>
      </c>
      <c r="F60" t="s">
        <v>715</v>
      </c>
      <c r="G60" s="7"/>
      <c r="H60" s="7"/>
      <c r="I60" s="7"/>
      <c r="J60" s="7"/>
      <c r="K60" s="7"/>
      <c r="L60" s="13">
        <v>18</v>
      </c>
      <c r="M60" s="13" t="s">
        <v>727</v>
      </c>
      <c r="N60" s="13"/>
      <c r="O60" s="13"/>
      <c r="P60" s="13"/>
      <c r="Q60" s="13"/>
      <c r="R60" s="13"/>
      <c r="S60" s="8"/>
    </row>
    <row r="61" spans="1:19" ht="15" customHeight="1" x14ac:dyDescent="0.2">
      <c r="A61" s="17" t="s">
        <v>389</v>
      </c>
      <c r="B61" s="17" t="s">
        <v>792</v>
      </c>
      <c r="C61" s="15" t="s">
        <v>315</v>
      </c>
      <c r="D61" s="17">
        <v>6634327</v>
      </c>
      <c r="E61">
        <v>412287300</v>
      </c>
      <c r="F61" t="s">
        <v>715</v>
      </c>
      <c r="G61" s="12"/>
      <c r="H61" s="13">
        <v>0</v>
      </c>
      <c r="I61" s="14">
        <v>0</v>
      </c>
      <c r="J61" s="13">
        <v>18</v>
      </c>
      <c r="K61" s="13"/>
      <c r="L61" s="13">
        <v>18</v>
      </c>
      <c r="M61" s="13" t="s">
        <v>727</v>
      </c>
      <c r="N61" s="13"/>
      <c r="O61" s="13"/>
      <c r="P61" s="13"/>
      <c r="Q61" s="13"/>
      <c r="R61" s="13"/>
      <c r="S61" s="8"/>
    </row>
    <row r="62" spans="1:19" ht="15" customHeight="1" x14ac:dyDescent="0.2">
      <c r="A62" s="17" t="s">
        <v>390</v>
      </c>
      <c r="B62" s="17" t="s">
        <v>793</v>
      </c>
      <c r="C62" s="15" t="s">
        <v>315</v>
      </c>
      <c r="D62" s="17">
        <v>6634327</v>
      </c>
      <c r="E62">
        <v>423779928</v>
      </c>
      <c r="F62" t="s">
        <v>715</v>
      </c>
      <c r="G62" s="12"/>
      <c r="H62" s="13">
        <v>488.7</v>
      </c>
      <c r="I62" s="14">
        <v>1.3159000000000001</v>
      </c>
      <c r="J62" s="13">
        <v>18</v>
      </c>
      <c r="K62" s="13"/>
      <c r="L62" s="13">
        <v>18</v>
      </c>
      <c r="M62" s="13" t="s">
        <v>727</v>
      </c>
      <c r="N62" s="13"/>
      <c r="O62" s="13"/>
      <c r="P62" s="13"/>
      <c r="Q62" s="13"/>
      <c r="R62" s="13"/>
      <c r="S62" s="8"/>
    </row>
    <row r="63" spans="1:19" ht="15" customHeight="1" x14ac:dyDescent="0.2">
      <c r="A63" s="17" t="s">
        <v>391</v>
      </c>
      <c r="B63" s="17" t="s">
        <v>794</v>
      </c>
      <c r="C63" s="15" t="s">
        <v>315</v>
      </c>
      <c r="D63" s="17">
        <v>6634327</v>
      </c>
      <c r="E63">
        <v>424615984</v>
      </c>
      <c r="F63" t="s">
        <v>715</v>
      </c>
      <c r="G63" s="12"/>
      <c r="H63" s="13">
        <v>283.23</v>
      </c>
      <c r="I63" s="14">
        <v>0.69679999999999997</v>
      </c>
      <c r="J63" s="13">
        <v>18</v>
      </c>
      <c r="K63" s="13"/>
      <c r="L63" s="13">
        <v>18</v>
      </c>
      <c r="M63" s="13" t="s">
        <v>727</v>
      </c>
      <c r="N63" s="13"/>
      <c r="O63" s="13"/>
      <c r="P63" s="13"/>
      <c r="Q63" s="13"/>
      <c r="R63" s="13"/>
      <c r="S63" s="8"/>
    </row>
    <row r="64" spans="1:19" ht="15" customHeight="1" x14ac:dyDescent="0.2">
      <c r="A64" s="17" t="s">
        <v>392</v>
      </c>
      <c r="B64" s="17" t="s">
        <v>795</v>
      </c>
      <c r="C64" s="15" t="s">
        <v>315</v>
      </c>
      <c r="D64" s="17">
        <v>6634327</v>
      </c>
      <c r="E64">
        <v>426986950</v>
      </c>
      <c r="F64" t="s">
        <v>715</v>
      </c>
      <c r="G64" s="12"/>
      <c r="H64" s="13">
        <v>170.95</v>
      </c>
      <c r="I64" s="14">
        <v>0.48149999999999998</v>
      </c>
      <c r="J64" s="13">
        <v>18</v>
      </c>
      <c r="K64" s="13"/>
      <c r="L64" s="13">
        <v>18</v>
      </c>
      <c r="M64" s="13" t="s">
        <v>727</v>
      </c>
      <c r="N64" s="13"/>
      <c r="O64" s="13"/>
      <c r="P64" s="13"/>
      <c r="Q64" s="13"/>
      <c r="R64" s="13"/>
      <c r="S64" s="8"/>
    </row>
    <row r="65" spans="1:19" ht="15" customHeight="1" x14ac:dyDescent="0.2">
      <c r="A65" s="17" t="s">
        <v>393</v>
      </c>
      <c r="B65" s="17" t="s">
        <v>796</v>
      </c>
      <c r="C65" s="15" t="s">
        <v>315</v>
      </c>
      <c r="D65" s="17">
        <v>6634327</v>
      </c>
      <c r="E65">
        <v>424576869</v>
      </c>
      <c r="F65" t="s">
        <v>715</v>
      </c>
      <c r="G65" s="12"/>
      <c r="H65" s="13">
        <v>512.78</v>
      </c>
      <c r="I65" s="14">
        <v>1.1898</v>
      </c>
      <c r="J65" s="13">
        <v>18</v>
      </c>
      <c r="K65" s="13"/>
      <c r="L65" s="13">
        <v>18</v>
      </c>
      <c r="M65" s="13" t="s">
        <v>727</v>
      </c>
      <c r="N65" s="13"/>
      <c r="O65" s="13"/>
      <c r="P65" s="13"/>
      <c r="Q65" s="13"/>
      <c r="R65" s="13"/>
      <c r="S65" s="8"/>
    </row>
    <row r="66" spans="1:19" ht="15" customHeight="1" x14ac:dyDescent="0.2">
      <c r="A66" s="17" t="s">
        <v>394</v>
      </c>
      <c r="B66" s="17" t="s">
        <v>797</v>
      </c>
      <c r="C66" s="15" t="s">
        <v>315</v>
      </c>
      <c r="D66" s="17">
        <v>6634327</v>
      </c>
      <c r="E66">
        <v>437229971</v>
      </c>
      <c r="F66" t="s">
        <v>715</v>
      </c>
      <c r="G66" s="12"/>
      <c r="H66" s="13">
        <v>27.63</v>
      </c>
      <c r="I66" s="14">
        <v>0.12909999999999999</v>
      </c>
      <c r="J66" s="13">
        <v>18</v>
      </c>
      <c r="K66" s="13"/>
      <c r="L66" s="13">
        <v>18</v>
      </c>
      <c r="M66" s="13" t="s">
        <v>727</v>
      </c>
      <c r="N66" s="13"/>
      <c r="O66" s="13"/>
      <c r="P66" s="13"/>
      <c r="Q66" s="13"/>
      <c r="R66" s="13"/>
      <c r="S66" s="8"/>
    </row>
    <row r="67" spans="1:19" ht="15" customHeight="1" x14ac:dyDescent="0.2">
      <c r="A67" s="17" t="s">
        <v>395</v>
      </c>
      <c r="B67" s="17" t="s">
        <v>798</v>
      </c>
      <c r="C67" s="15" t="s">
        <v>315</v>
      </c>
      <c r="D67" s="17">
        <v>6634327</v>
      </c>
      <c r="E67">
        <v>429783847</v>
      </c>
      <c r="F67" t="s">
        <v>715</v>
      </c>
      <c r="G67" s="12"/>
      <c r="H67" s="16">
        <v>1103.3900000000001</v>
      </c>
      <c r="I67" s="14">
        <v>1.1126</v>
      </c>
      <c r="J67" s="13">
        <v>18</v>
      </c>
      <c r="K67" s="13"/>
      <c r="L67" s="13">
        <v>18</v>
      </c>
      <c r="M67" s="13" t="s">
        <v>727</v>
      </c>
      <c r="N67" s="13"/>
      <c r="O67" s="13"/>
      <c r="P67" s="13"/>
      <c r="Q67" s="13"/>
      <c r="R67" s="13"/>
      <c r="S67" s="10"/>
    </row>
    <row r="68" spans="1:19" ht="15" customHeight="1" x14ac:dyDescent="0.2">
      <c r="A68" s="15" t="s">
        <v>396</v>
      </c>
      <c r="B68" s="15" t="s">
        <v>799</v>
      </c>
      <c r="C68" s="15" t="s">
        <v>315</v>
      </c>
      <c r="D68" s="17">
        <v>6634327</v>
      </c>
      <c r="E68">
        <v>429783847</v>
      </c>
      <c r="F68" t="s">
        <v>715</v>
      </c>
      <c r="G68" s="7"/>
      <c r="H68" s="7"/>
      <c r="I68" s="7"/>
      <c r="J68" s="7"/>
      <c r="K68" s="7"/>
      <c r="L68" s="13">
        <v>18</v>
      </c>
      <c r="M68" s="13" t="s">
        <v>727</v>
      </c>
      <c r="N68" s="13"/>
      <c r="O68" s="13"/>
      <c r="P68" s="13"/>
      <c r="Q68" s="13"/>
      <c r="R68" s="13"/>
      <c r="S68" s="8"/>
    </row>
    <row r="69" spans="1:19" ht="15" customHeight="1" x14ac:dyDescent="0.2">
      <c r="A69" s="17" t="s">
        <v>397</v>
      </c>
      <c r="B69" s="17" t="s">
        <v>800</v>
      </c>
      <c r="C69" s="15" t="s">
        <v>315</v>
      </c>
      <c r="D69" s="17">
        <v>6634327</v>
      </c>
      <c r="E69">
        <v>420401758</v>
      </c>
      <c r="F69" t="s">
        <v>715</v>
      </c>
      <c r="G69" s="12"/>
      <c r="H69" s="13">
        <v>500.98</v>
      </c>
      <c r="I69" s="14">
        <v>0.67349999999999999</v>
      </c>
      <c r="J69" s="13">
        <v>18</v>
      </c>
      <c r="K69" s="13"/>
      <c r="L69" s="13">
        <v>18</v>
      </c>
      <c r="M69" s="13" t="s">
        <v>727</v>
      </c>
      <c r="N69" s="13"/>
      <c r="O69" s="13"/>
      <c r="P69" s="13"/>
      <c r="Q69" s="13"/>
      <c r="R69" s="13"/>
      <c r="S69" s="8"/>
    </row>
    <row r="70" spans="1:19" ht="15" customHeight="1" x14ac:dyDescent="0.2">
      <c r="A70" s="15" t="s">
        <v>398</v>
      </c>
      <c r="B70" s="15" t="s">
        <v>801</v>
      </c>
      <c r="C70" s="15" t="s">
        <v>315</v>
      </c>
      <c r="D70" s="17">
        <v>6634327</v>
      </c>
      <c r="E70">
        <v>420401758</v>
      </c>
      <c r="F70" t="s">
        <v>715</v>
      </c>
      <c r="G70" s="7"/>
      <c r="H70" s="7"/>
      <c r="I70" s="7"/>
      <c r="J70" s="7"/>
      <c r="K70" s="7"/>
      <c r="L70" s="13">
        <v>18</v>
      </c>
      <c r="M70" s="13" t="s">
        <v>727</v>
      </c>
      <c r="N70" s="13"/>
      <c r="O70" s="13"/>
      <c r="P70" s="13"/>
      <c r="Q70" s="13"/>
      <c r="R70" s="13"/>
      <c r="S70" s="8"/>
    </row>
    <row r="71" spans="1:19" ht="15" customHeight="1" x14ac:dyDescent="0.2">
      <c r="A71" s="15" t="s">
        <v>399</v>
      </c>
      <c r="B71" s="15" t="s">
        <v>802</v>
      </c>
      <c r="C71" s="15" t="s">
        <v>315</v>
      </c>
      <c r="D71" s="17">
        <v>6634327</v>
      </c>
      <c r="E71">
        <v>420401758</v>
      </c>
      <c r="F71" t="s">
        <v>715</v>
      </c>
      <c r="G71" s="7"/>
      <c r="H71" s="7"/>
      <c r="I71" s="7"/>
      <c r="J71" s="7"/>
      <c r="K71" s="7"/>
      <c r="L71" s="13">
        <v>18</v>
      </c>
      <c r="M71" s="13" t="s">
        <v>727</v>
      </c>
      <c r="N71" s="13"/>
      <c r="O71" s="13"/>
      <c r="P71" s="13"/>
      <c r="Q71" s="13"/>
      <c r="R71" s="13"/>
      <c r="S71" s="8"/>
    </row>
    <row r="72" spans="1:19" ht="15" customHeight="1" x14ac:dyDescent="0.2">
      <c r="A72" s="17" t="s">
        <v>400</v>
      </c>
      <c r="B72" s="17" t="s">
        <v>803</v>
      </c>
      <c r="C72" s="15" t="s">
        <v>315</v>
      </c>
      <c r="D72" s="17">
        <v>6634327</v>
      </c>
      <c r="E72">
        <v>39325600</v>
      </c>
      <c r="F72" t="s">
        <v>715</v>
      </c>
      <c r="G72" s="12"/>
      <c r="H72" s="13">
        <v>117.26</v>
      </c>
      <c r="I72" s="14">
        <v>0.1678</v>
      </c>
      <c r="J72" s="13">
        <v>18</v>
      </c>
      <c r="K72" s="13"/>
      <c r="L72" s="13">
        <v>18</v>
      </c>
      <c r="M72" s="13" t="s">
        <v>727</v>
      </c>
      <c r="N72" s="13"/>
      <c r="O72" s="13"/>
      <c r="P72" s="13"/>
      <c r="Q72" s="13"/>
      <c r="R72" s="13"/>
      <c r="S72" s="8"/>
    </row>
    <row r="73" spans="1:19" ht="15" customHeight="1" x14ac:dyDescent="0.2">
      <c r="A73" s="15" t="s">
        <v>401</v>
      </c>
      <c r="B73" s="15" t="s">
        <v>804</v>
      </c>
      <c r="C73" s="15" t="s">
        <v>315</v>
      </c>
      <c r="D73" s="17">
        <v>6634327</v>
      </c>
      <c r="E73">
        <v>39325600</v>
      </c>
      <c r="F73" t="s">
        <v>715</v>
      </c>
      <c r="G73" s="7"/>
      <c r="H73" s="7"/>
      <c r="I73" s="7"/>
      <c r="J73" s="7"/>
      <c r="K73" s="7"/>
      <c r="L73" s="13">
        <v>18</v>
      </c>
      <c r="M73" s="13" t="s">
        <v>727</v>
      </c>
      <c r="N73" s="13"/>
      <c r="O73" s="13"/>
      <c r="P73" s="13"/>
      <c r="Q73" s="13"/>
      <c r="R73" s="13"/>
      <c r="S73" s="8"/>
    </row>
    <row r="74" spans="1:19" ht="15" customHeight="1" x14ac:dyDescent="0.2">
      <c r="A74" s="17" t="s">
        <v>402</v>
      </c>
      <c r="B74" s="17" t="s">
        <v>805</v>
      </c>
      <c r="C74" s="15" t="s">
        <v>315</v>
      </c>
      <c r="D74" s="17">
        <v>6634327</v>
      </c>
      <c r="E74">
        <v>9215176</v>
      </c>
      <c r="F74" t="s">
        <v>715</v>
      </c>
      <c r="G74" s="12"/>
      <c r="H74" s="13">
        <v>1.62</v>
      </c>
      <c r="I74" s="14">
        <v>4.4999999999999997E-3</v>
      </c>
      <c r="J74" s="13">
        <v>18</v>
      </c>
      <c r="K74" s="13"/>
      <c r="L74" s="13">
        <v>18</v>
      </c>
      <c r="M74" s="13" t="s">
        <v>727</v>
      </c>
      <c r="N74" s="13"/>
      <c r="O74" s="13"/>
      <c r="P74" s="13"/>
      <c r="Q74" s="13"/>
      <c r="R74" s="13"/>
      <c r="S74" s="8"/>
    </row>
    <row r="75" spans="1:19" ht="15" customHeight="1" x14ac:dyDescent="0.2">
      <c r="A75" s="17" t="s">
        <v>403</v>
      </c>
      <c r="B75" s="17" t="s">
        <v>806</v>
      </c>
      <c r="C75" s="15" t="s">
        <v>315</v>
      </c>
      <c r="D75" s="17">
        <v>6634327</v>
      </c>
      <c r="E75">
        <v>426465912</v>
      </c>
      <c r="F75" t="s">
        <v>715</v>
      </c>
      <c r="G75" s="12"/>
      <c r="H75" s="13">
        <v>327.52</v>
      </c>
      <c r="I75" s="14">
        <v>2</v>
      </c>
      <c r="J75" s="13">
        <v>18</v>
      </c>
      <c r="K75" s="13"/>
      <c r="L75" s="13">
        <v>18</v>
      </c>
      <c r="M75" s="13" t="s">
        <v>727</v>
      </c>
      <c r="N75" s="13"/>
      <c r="O75" s="13"/>
      <c r="P75" s="13"/>
      <c r="Q75" s="13"/>
      <c r="R75" s="13"/>
      <c r="S75" s="8"/>
    </row>
    <row r="76" spans="1:19" ht="15" customHeight="1" x14ac:dyDescent="0.2">
      <c r="A76" s="17" t="s">
        <v>404</v>
      </c>
      <c r="B76" s="17" t="s">
        <v>807</v>
      </c>
      <c r="C76" s="15" t="s">
        <v>315</v>
      </c>
      <c r="D76" s="17">
        <v>6634327</v>
      </c>
      <c r="E76">
        <v>901744406</v>
      </c>
      <c r="F76" t="s">
        <v>715</v>
      </c>
      <c r="G76" s="12"/>
      <c r="H76" s="13">
        <v>53.89</v>
      </c>
      <c r="I76" s="14">
        <v>0.125</v>
      </c>
      <c r="J76" s="13">
        <v>18</v>
      </c>
      <c r="K76" s="13"/>
      <c r="L76" s="13">
        <v>18</v>
      </c>
      <c r="M76" s="13" t="s">
        <v>727</v>
      </c>
      <c r="N76" s="13"/>
      <c r="O76" s="13"/>
      <c r="P76" s="13"/>
      <c r="Q76" s="13"/>
      <c r="R76" s="13"/>
      <c r="S76" s="8"/>
    </row>
    <row r="77" spans="1:19" ht="15" customHeight="1" x14ac:dyDescent="0.2">
      <c r="A77" s="17" t="s">
        <v>405</v>
      </c>
      <c r="B77" s="17" t="s">
        <v>808</v>
      </c>
      <c r="C77" s="15" t="s">
        <v>315</v>
      </c>
      <c r="D77" s="17">
        <v>6634327</v>
      </c>
      <c r="E77">
        <v>422950024</v>
      </c>
      <c r="F77" t="s">
        <v>715</v>
      </c>
      <c r="G77" s="12"/>
      <c r="H77" s="16">
        <v>1026.54</v>
      </c>
      <c r="I77" s="14">
        <v>2</v>
      </c>
      <c r="J77" s="13">
        <v>18</v>
      </c>
      <c r="K77" s="13"/>
      <c r="L77" s="13">
        <v>18</v>
      </c>
      <c r="M77" s="13" t="s">
        <v>727</v>
      </c>
      <c r="N77" s="13"/>
      <c r="O77" s="13"/>
      <c r="P77" s="13"/>
      <c r="Q77" s="13"/>
      <c r="R77" s="13"/>
      <c r="S77" s="8"/>
    </row>
    <row r="78" spans="1:19" ht="15" customHeight="1" x14ac:dyDescent="0.2">
      <c r="A78" s="17" t="s">
        <v>406</v>
      </c>
      <c r="B78" s="17" t="s">
        <v>809</v>
      </c>
      <c r="C78" s="15" t="s">
        <v>315</v>
      </c>
      <c r="D78" s="17">
        <v>6634327</v>
      </c>
      <c r="E78">
        <v>426567500</v>
      </c>
      <c r="F78" t="s">
        <v>715</v>
      </c>
      <c r="G78" s="12"/>
      <c r="H78" s="13">
        <v>0</v>
      </c>
      <c r="I78" s="14">
        <v>0</v>
      </c>
      <c r="J78" s="13">
        <v>18</v>
      </c>
      <c r="K78" s="13"/>
      <c r="L78" s="13">
        <v>18</v>
      </c>
      <c r="M78" s="13" t="s">
        <v>727</v>
      </c>
      <c r="N78" s="13"/>
      <c r="O78" s="13"/>
      <c r="P78" s="13"/>
      <c r="Q78" s="13"/>
      <c r="R78" s="13"/>
      <c r="S78" s="8"/>
    </row>
    <row r="79" spans="1:19" ht="15" customHeight="1" x14ac:dyDescent="0.2">
      <c r="A79" s="17" t="s">
        <v>407</v>
      </c>
      <c r="B79" s="17" t="s">
        <v>810</v>
      </c>
      <c r="C79" s="15" t="s">
        <v>315</v>
      </c>
      <c r="D79" s="17">
        <v>6634327</v>
      </c>
      <c r="E79">
        <v>413515976</v>
      </c>
      <c r="F79" t="s">
        <v>715</v>
      </c>
      <c r="G79" s="12"/>
      <c r="H79" s="13">
        <v>1.91</v>
      </c>
      <c r="I79" s="14">
        <v>4.4999999999999997E-3</v>
      </c>
      <c r="J79" s="13">
        <v>18</v>
      </c>
      <c r="K79" s="13"/>
      <c r="L79" s="13">
        <v>18</v>
      </c>
      <c r="M79" s="13" t="s">
        <v>727</v>
      </c>
      <c r="N79" s="13"/>
      <c r="O79" s="13"/>
      <c r="P79" s="13"/>
      <c r="Q79" s="13"/>
      <c r="R79" s="13"/>
      <c r="S79" s="8"/>
    </row>
    <row r="80" spans="1:19" ht="15" customHeight="1" x14ac:dyDescent="0.2">
      <c r="A80" s="17" t="s">
        <v>410</v>
      </c>
      <c r="B80" s="17" t="s">
        <v>811</v>
      </c>
      <c r="C80" s="15" t="s">
        <v>315</v>
      </c>
      <c r="D80" s="17">
        <v>6634327</v>
      </c>
      <c r="E80">
        <v>428782631</v>
      </c>
      <c r="F80" t="s">
        <v>715</v>
      </c>
      <c r="G80" s="12"/>
      <c r="H80" s="16">
        <v>1250.0999999999999</v>
      </c>
      <c r="I80" s="14">
        <v>1.4355</v>
      </c>
      <c r="J80" s="13">
        <v>18</v>
      </c>
      <c r="K80" s="13"/>
      <c r="L80" s="13">
        <v>18</v>
      </c>
      <c r="M80" s="13" t="s">
        <v>727</v>
      </c>
      <c r="N80" s="13"/>
      <c r="O80" s="13"/>
      <c r="P80" s="13"/>
      <c r="Q80" s="13"/>
      <c r="R80" s="13"/>
      <c r="S80" s="10"/>
    </row>
    <row r="81" spans="1:19" ht="15" customHeight="1" x14ac:dyDescent="0.2">
      <c r="A81" s="15" t="s">
        <v>411</v>
      </c>
      <c r="B81" s="15" t="s">
        <v>812</v>
      </c>
      <c r="C81" s="15" t="s">
        <v>315</v>
      </c>
      <c r="D81" s="17">
        <v>6634327</v>
      </c>
      <c r="E81">
        <v>428782631</v>
      </c>
      <c r="F81" t="s">
        <v>715</v>
      </c>
      <c r="G81" s="7"/>
      <c r="H81" s="7"/>
      <c r="I81" s="7"/>
      <c r="J81" s="7"/>
      <c r="K81" s="7"/>
      <c r="L81" s="13">
        <v>18</v>
      </c>
      <c r="M81" s="13" t="s">
        <v>727</v>
      </c>
      <c r="N81" s="13"/>
      <c r="O81" s="13"/>
      <c r="P81" s="13"/>
      <c r="Q81" s="13"/>
      <c r="R81" s="13"/>
      <c r="S81" s="8"/>
    </row>
    <row r="82" spans="1:19" ht="15" customHeight="1" x14ac:dyDescent="0.2">
      <c r="A82" s="15" t="s">
        <v>412</v>
      </c>
      <c r="B82" s="15" t="s">
        <v>813</v>
      </c>
      <c r="C82" s="15" t="s">
        <v>315</v>
      </c>
      <c r="D82" s="17">
        <v>6634327</v>
      </c>
      <c r="E82">
        <v>428782631</v>
      </c>
      <c r="F82" t="s">
        <v>715</v>
      </c>
      <c r="G82" s="7"/>
      <c r="H82" s="7"/>
      <c r="I82" s="7"/>
      <c r="J82" s="7"/>
      <c r="K82" s="7"/>
      <c r="L82" s="13">
        <v>18</v>
      </c>
      <c r="M82" s="13" t="s">
        <v>727</v>
      </c>
      <c r="N82" s="13"/>
      <c r="O82" s="13"/>
      <c r="P82" s="13"/>
      <c r="Q82" s="13"/>
      <c r="R82" s="13"/>
      <c r="S82" s="8"/>
    </row>
    <row r="83" spans="1:19" ht="15" customHeight="1" x14ac:dyDescent="0.2">
      <c r="A83" s="15" t="s">
        <v>413</v>
      </c>
      <c r="B83" s="15" t="s">
        <v>814</v>
      </c>
      <c r="C83" s="15" t="s">
        <v>315</v>
      </c>
      <c r="D83" s="17">
        <v>6634327</v>
      </c>
      <c r="E83">
        <v>428782631</v>
      </c>
      <c r="F83" t="s">
        <v>715</v>
      </c>
      <c r="G83" s="7"/>
      <c r="H83" s="7"/>
      <c r="I83" s="7"/>
      <c r="J83" s="7"/>
      <c r="K83" s="7"/>
      <c r="L83" s="13">
        <v>18</v>
      </c>
      <c r="M83" s="13" t="s">
        <v>727</v>
      </c>
      <c r="N83" s="13"/>
      <c r="O83" s="13"/>
      <c r="P83" s="13"/>
      <c r="Q83" s="13"/>
      <c r="R83" s="13"/>
      <c r="S83" s="8"/>
    </row>
    <row r="84" spans="1:19" ht="15" customHeight="1" x14ac:dyDescent="0.2">
      <c r="A84" s="17" t="s">
        <v>416</v>
      </c>
      <c r="B84" s="17" t="s">
        <v>815</v>
      </c>
      <c r="C84" s="15" t="s">
        <v>315</v>
      </c>
      <c r="D84" s="17">
        <v>6634327</v>
      </c>
      <c r="E84">
        <v>436270126</v>
      </c>
      <c r="F84" t="s">
        <v>715</v>
      </c>
      <c r="G84" s="12">
        <v>45665</v>
      </c>
      <c r="H84" s="13">
        <v>0</v>
      </c>
      <c r="I84" s="13"/>
      <c r="J84" s="13">
        <v>18</v>
      </c>
      <c r="K84" s="13"/>
      <c r="L84" s="13">
        <v>18</v>
      </c>
      <c r="M84" s="13" t="s">
        <v>727</v>
      </c>
      <c r="O84" s="13"/>
      <c r="P84" s="13"/>
      <c r="Q84" s="13"/>
      <c r="R84" s="8"/>
      <c r="S84" s="8"/>
    </row>
    <row r="85" spans="1:19" ht="15" customHeight="1" x14ac:dyDescent="0.2">
      <c r="A85" s="15" t="s">
        <v>417</v>
      </c>
      <c r="B85" s="15" t="s">
        <v>816</v>
      </c>
      <c r="C85" s="15" t="s">
        <v>315</v>
      </c>
      <c r="D85" s="17">
        <v>6634327</v>
      </c>
      <c r="E85">
        <v>436270126</v>
      </c>
      <c r="F85" t="s">
        <v>715</v>
      </c>
      <c r="G85" s="7"/>
      <c r="H85" s="7"/>
      <c r="I85" s="7"/>
      <c r="J85" s="7"/>
      <c r="K85" s="7"/>
      <c r="L85" s="13">
        <v>18</v>
      </c>
      <c r="M85" s="13" t="s">
        <v>727</v>
      </c>
      <c r="O85" s="13"/>
      <c r="P85" s="13"/>
      <c r="Q85" s="13"/>
      <c r="R85" s="8"/>
      <c r="S85" s="8"/>
    </row>
    <row r="86" spans="1:19" ht="15" customHeight="1" x14ac:dyDescent="0.2">
      <c r="A86" s="17" t="s">
        <v>418</v>
      </c>
      <c r="B86" s="17" t="s">
        <v>817</v>
      </c>
      <c r="C86" s="15" t="s">
        <v>315</v>
      </c>
      <c r="D86" s="17">
        <v>6634327</v>
      </c>
      <c r="E86">
        <v>428593838</v>
      </c>
      <c r="F86" t="s">
        <v>715</v>
      </c>
      <c r="G86" s="12">
        <v>45688</v>
      </c>
      <c r="H86" s="13">
        <v>33.270000000000003</v>
      </c>
      <c r="I86" s="13"/>
      <c r="J86" s="13">
        <v>18</v>
      </c>
      <c r="K86" s="13"/>
      <c r="L86" s="13">
        <v>18</v>
      </c>
      <c r="M86" s="13" t="s">
        <v>727</v>
      </c>
      <c r="O86" s="13"/>
      <c r="P86" s="13"/>
      <c r="Q86" s="13"/>
      <c r="R86" s="8"/>
      <c r="S86" s="8"/>
    </row>
    <row r="87" spans="1:19" ht="15" customHeight="1" x14ac:dyDescent="0.2">
      <c r="A87" s="17" t="s">
        <v>419</v>
      </c>
      <c r="B87" s="17" t="s">
        <v>818</v>
      </c>
      <c r="C87" s="15" t="s">
        <v>315</v>
      </c>
      <c r="D87" s="17">
        <v>6634327</v>
      </c>
      <c r="E87">
        <v>416966415</v>
      </c>
      <c r="F87" t="s">
        <v>715</v>
      </c>
      <c r="G87" s="12">
        <v>45659</v>
      </c>
      <c r="H87" s="13">
        <v>0</v>
      </c>
      <c r="I87" s="13"/>
      <c r="J87" s="13">
        <v>18</v>
      </c>
      <c r="K87" s="13"/>
      <c r="L87" s="13">
        <v>18</v>
      </c>
      <c r="M87" s="13" t="s">
        <v>727</v>
      </c>
      <c r="O87" s="13"/>
      <c r="P87" s="13"/>
      <c r="Q87" s="13"/>
      <c r="R87" s="8"/>
      <c r="S87" s="8"/>
    </row>
    <row r="88" spans="1:19" ht="15" customHeight="1" x14ac:dyDescent="0.2">
      <c r="A88" s="17" t="s">
        <v>421</v>
      </c>
      <c r="B88" s="17" t="s">
        <v>819</v>
      </c>
      <c r="C88" s="15" t="s">
        <v>315</v>
      </c>
      <c r="D88" s="17">
        <v>6634327</v>
      </c>
      <c r="E88">
        <v>412834592</v>
      </c>
      <c r="F88" t="s">
        <v>715</v>
      </c>
      <c r="G88" s="12">
        <v>45658</v>
      </c>
      <c r="H88" s="13">
        <v>0</v>
      </c>
      <c r="I88" s="13"/>
      <c r="J88" s="13">
        <v>18</v>
      </c>
      <c r="K88" s="13"/>
      <c r="L88" s="13">
        <v>18</v>
      </c>
      <c r="M88" s="13" t="s">
        <v>727</v>
      </c>
      <c r="O88" s="13"/>
      <c r="P88" s="13"/>
      <c r="Q88" s="13"/>
      <c r="R88" s="10"/>
      <c r="S88" s="10"/>
    </row>
    <row r="89" spans="1:19" ht="15" customHeight="1" x14ac:dyDescent="0.2">
      <c r="A89" s="15" t="s">
        <v>422</v>
      </c>
      <c r="B89" s="15" t="s">
        <v>820</v>
      </c>
      <c r="C89" s="15" t="s">
        <v>315</v>
      </c>
      <c r="D89" s="17">
        <v>6634327</v>
      </c>
      <c r="E89">
        <v>412834592</v>
      </c>
      <c r="F89" t="s">
        <v>715</v>
      </c>
      <c r="G89" s="7"/>
      <c r="H89" s="7"/>
      <c r="I89" s="7"/>
      <c r="J89" s="7"/>
      <c r="K89" s="7"/>
      <c r="L89" s="13">
        <v>18</v>
      </c>
      <c r="M89" s="13" t="s">
        <v>727</v>
      </c>
      <c r="N89" s="13"/>
      <c r="O89" s="13"/>
      <c r="P89" s="13"/>
      <c r="Q89" s="13"/>
      <c r="R89" s="13"/>
      <c r="S89" s="8"/>
    </row>
    <row r="90" spans="1:19" ht="15" customHeight="1" x14ac:dyDescent="0.2">
      <c r="A90" s="17" t="s">
        <v>423</v>
      </c>
      <c r="B90" s="17" t="s">
        <v>821</v>
      </c>
      <c r="C90" s="15" t="s">
        <v>315</v>
      </c>
      <c r="D90" s="17">
        <v>6634327</v>
      </c>
      <c r="E90">
        <v>415118730</v>
      </c>
      <c r="F90" t="s">
        <v>715</v>
      </c>
      <c r="G90" s="12"/>
      <c r="H90" s="13">
        <v>142.69999999999999</v>
      </c>
      <c r="I90" s="14">
        <v>0.31409999999999999</v>
      </c>
      <c r="J90" s="13">
        <v>18</v>
      </c>
      <c r="K90" s="13"/>
      <c r="L90" s="13">
        <v>18</v>
      </c>
      <c r="M90" s="13" t="s">
        <v>727</v>
      </c>
      <c r="N90" s="13"/>
      <c r="O90" s="13"/>
      <c r="P90" s="13"/>
      <c r="Q90" s="13"/>
      <c r="R90" s="13"/>
      <c r="S90" s="8"/>
    </row>
    <row r="91" spans="1:19" ht="15" customHeight="1" x14ac:dyDescent="0.2">
      <c r="A91" s="17" t="s">
        <v>424</v>
      </c>
      <c r="B91" s="17" t="s">
        <v>822</v>
      </c>
      <c r="C91" s="15" t="s">
        <v>315</v>
      </c>
      <c r="D91" s="17">
        <v>6634327</v>
      </c>
      <c r="E91">
        <v>424614531</v>
      </c>
      <c r="F91" t="s">
        <v>715</v>
      </c>
      <c r="G91" s="12"/>
      <c r="H91" s="13">
        <v>325.19</v>
      </c>
      <c r="I91" s="14">
        <v>0.7833</v>
      </c>
      <c r="J91" s="13">
        <v>18</v>
      </c>
      <c r="K91" s="13"/>
      <c r="L91" s="13">
        <v>18</v>
      </c>
      <c r="M91" s="13" t="s">
        <v>727</v>
      </c>
      <c r="N91" s="13"/>
      <c r="O91" s="13"/>
      <c r="P91" s="13"/>
      <c r="Q91" s="13"/>
      <c r="R91" s="13"/>
      <c r="S91" s="8"/>
    </row>
    <row r="92" spans="1:19" ht="15" customHeight="1" x14ac:dyDescent="0.2">
      <c r="A92" s="17" t="s">
        <v>425</v>
      </c>
      <c r="B92" s="17" t="s">
        <v>823</v>
      </c>
      <c r="C92" s="15" t="s">
        <v>315</v>
      </c>
      <c r="D92" s="17">
        <v>6634327</v>
      </c>
      <c r="E92">
        <v>18719954</v>
      </c>
      <c r="F92" t="s">
        <v>715</v>
      </c>
      <c r="G92" s="12"/>
      <c r="H92" s="16">
        <v>1296.52</v>
      </c>
      <c r="I92" s="14">
        <v>2</v>
      </c>
      <c r="J92" s="13">
        <v>18</v>
      </c>
      <c r="K92" s="13"/>
      <c r="L92" s="13">
        <v>18</v>
      </c>
      <c r="M92" s="13" t="s">
        <v>727</v>
      </c>
      <c r="N92" s="13"/>
      <c r="O92" s="13"/>
      <c r="P92" s="13"/>
      <c r="Q92" s="13"/>
      <c r="R92" s="13"/>
      <c r="S92" s="8"/>
    </row>
    <row r="93" spans="1:19" ht="15" customHeight="1" x14ac:dyDescent="0.2">
      <c r="A93" s="15" t="s">
        <v>426</v>
      </c>
      <c r="B93" s="15" t="s">
        <v>824</v>
      </c>
      <c r="C93" s="15" t="s">
        <v>315</v>
      </c>
      <c r="D93" s="17">
        <v>6634327</v>
      </c>
      <c r="E93">
        <v>18719954</v>
      </c>
      <c r="F93" t="s">
        <v>715</v>
      </c>
      <c r="G93" s="7"/>
      <c r="H93" s="7"/>
      <c r="I93" s="7"/>
      <c r="J93" s="7"/>
      <c r="K93" s="7"/>
      <c r="L93" s="13">
        <v>18</v>
      </c>
      <c r="M93" s="13" t="s">
        <v>727</v>
      </c>
      <c r="N93" s="13"/>
      <c r="O93" s="13"/>
      <c r="P93" s="13"/>
      <c r="Q93" s="13"/>
      <c r="R93" s="13"/>
      <c r="S93" s="8"/>
    </row>
    <row r="94" spans="1:19" ht="15" customHeight="1" x14ac:dyDescent="0.2">
      <c r="A94" s="17" t="s">
        <v>427</v>
      </c>
      <c r="B94" s="17" t="s">
        <v>825</v>
      </c>
      <c r="C94" s="15" t="s">
        <v>315</v>
      </c>
      <c r="D94" s="17">
        <v>6634327</v>
      </c>
      <c r="E94">
        <v>424151578</v>
      </c>
      <c r="F94" t="s">
        <v>715</v>
      </c>
      <c r="G94" s="12"/>
      <c r="H94" s="13">
        <v>0</v>
      </c>
      <c r="I94" s="14">
        <v>0</v>
      </c>
      <c r="J94" s="13">
        <v>18</v>
      </c>
      <c r="K94" s="13"/>
      <c r="L94" s="13">
        <v>18</v>
      </c>
      <c r="M94" s="13" t="s">
        <v>727</v>
      </c>
      <c r="N94" s="13"/>
      <c r="O94" s="13"/>
      <c r="P94" s="13"/>
      <c r="Q94" s="13"/>
      <c r="R94" s="13"/>
      <c r="S94" s="8"/>
    </row>
    <row r="95" spans="1:19" ht="15" customHeight="1" x14ac:dyDescent="0.2">
      <c r="A95" s="15" t="s">
        <v>428</v>
      </c>
      <c r="B95" s="15" t="s">
        <v>826</v>
      </c>
      <c r="C95" s="15" t="s">
        <v>315</v>
      </c>
      <c r="D95" s="17">
        <v>6634327</v>
      </c>
      <c r="E95">
        <v>424151578</v>
      </c>
      <c r="F95" t="s">
        <v>715</v>
      </c>
      <c r="G95" s="7"/>
      <c r="H95" s="7"/>
      <c r="I95" s="7"/>
      <c r="J95" s="7"/>
      <c r="K95" s="7"/>
      <c r="L95" s="13">
        <v>18</v>
      </c>
      <c r="M95" s="13" t="s">
        <v>727</v>
      </c>
      <c r="N95" s="13"/>
      <c r="O95" s="13"/>
      <c r="P95" s="13"/>
      <c r="Q95" s="13"/>
      <c r="R95" s="13"/>
      <c r="S95" s="8"/>
    </row>
    <row r="96" spans="1:19" ht="15" customHeight="1" x14ac:dyDescent="0.2">
      <c r="A96" s="17" t="s">
        <v>429</v>
      </c>
      <c r="B96" s="17" t="s">
        <v>827</v>
      </c>
      <c r="C96" s="15" t="s">
        <v>315</v>
      </c>
      <c r="D96" s="17">
        <v>6634327</v>
      </c>
      <c r="E96">
        <v>424781737</v>
      </c>
      <c r="F96" t="s">
        <v>715</v>
      </c>
      <c r="G96" s="12"/>
      <c r="H96" s="13">
        <v>119.16</v>
      </c>
      <c r="I96" s="14">
        <v>0.1351</v>
      </c>
      <c r="J96" s="13">
        <v>18</v>
      </c>
      <c r="K96" s="13"/>
      <c r="L96" s="13">
        <v>18</v>
      </c>
      <c r="M96" s="13" t="s">
        <v>727</v>
      </c>
      <c r="N96" s="13"/>
      <c r="O96" s="13"/>
      <c r="P96" s="13"/>
      <c r="Q96" s="13"/>
      <c r="R96" s="13"/>
      <c r="S96" s="8"/>
    </row>
    <row r="97" spans="1:19" ht="15" customHeight="1" x14ac:dyDescent="0.2">
      <c r="A97" s="15" t="s">
        <v>430</v>
      </c>
      <c r="B97" s="15" t="s">
        <v>828</v>
      </c>
      <c r="C97" s="15" t="s">
        <v>315</v>
      </c>
      <c r="D97" s="17">
        <v>6634327</v>
      </c>
      <c r="E97">
        <v>424781737</v>
      </c>
      <c r="F97" t="s">
        <v>715</v>
      </c>
      <c r="G97" s="7"/>
      <c r="H97" s="7"/>
      <c r="I97" s="7"/>
      <c r="J97" s="7"/>
      <c r="K97" s="7"/>
      <c r="L97" s="13">
        <v>18</v>
      </c>
      <c r="M97" s="13" t="s">
        <v>727</v>
      </c>
      <c r="N97" s="13"/>
      <c r="O97" s="13"/>
      <c r="P97" s="13"/>
      <c r="Q97" s="13"/>
      <c r="R97" s="13"/>
      <c r="S97" s="8"/>
    </row>
    <row r="98" spans="1:19" ht="15" customHeight="1" x14ac:dyDescent="0.2">
      <c r="A98" s="17" t="s">
        <v>431</v>
      </c>
      <c r="B98" s="17" t="s">
        <v>829</v>
      </c>
      <c r="C98" s="15" t="s">
        <v>315</v>
      </c>
      <c r="D98" s="17">
        <v>6634327</v>
      </c>
      <c r="E98">
        <v>432255095</v>
      </c>
      <c r="F98" t="s">
        <v>715</v>
      </c>
      <c r="G98" s="12"/>
      <c r="H98" s="13">
        <v>9.16</v>
      </c>
      <c r="I98" s="14">
        <v>5.21E-2</v>
      </c>
      <c r="J98" s="13">
        <v>18</v>
      </c>
      <c r="K98" s="13"/>
      <c r="L98" s="13">
        <v>18</v>
      </c>
      <c r="M98" s="13" t="s">
        <v>727</v>
      </c>
      <c r="N98" s="13"/>
      <c r="O98" s="13"/>
      <c r="P98" s="13"/>
      <c r="Q98" s="13"/>
      <c r="R98" s="13"/>
      <c r="S98" s="8"/>
    </row>
    <row r="99" spans="1:19" ht="15" customHeight="1" x14ac:dyDescent="0.2">
      <c r="A99" s="17" t="s">
        <v>432</v>
      </c>
      <c r="B99" s="17" t="s">
        <v>830</v>
      </c>
      <c r="C99" s="15" t="s">
        <v>315</v>
      </c>
      <c r="D99" s="17">
        <v>6634327</v>
      </c>
      <c r="E99">
        <v>437196640</v>
      </c>
      <c r="F99" t="s">
        <v>715</v>
      </c>
      <c r="G99" s="12"/>
      <c r="H99" s="13">
        <v>35.840000000000003</v>
      </c>
      <c r="I99" s="14">
        <v>6.7500000000000004E-2</v>
      </c>
      <c r="J99" s="13">
        <v>18</v>
      </c>
      <c r="K99" s="13"/>
      <c r="L99" s="13">
        <v>18</v>
      </c>
      <c r="M99" s="13" t="s">
        <v>727</v>
      </c>
      <c r="N99" s="13"/>
      <c r="O99" s="13"/>
      <c r="P99" s="13"/>
      <c r="Q99" s="13"/>
      <c r="R99" s="13"/>
      <c r="S99" s="8"/>
    </row>
    <row r="100" spans="1:19" ht="15" customHeight="1" x14ac:dyDescent="0.2">
      <c r="A100" s="17" t="s">
        <v>433</v>
      </c>
      <c r="B100" s="17" t="s">
        <v>831</v>
      </c>
      <c r="C100" s="15" t="s">
        <v>315</v>
      </c>
      <c r="D100" s="17">
        <v>6634327</v>
      </c>
      <c r="E100">
        <v>428590934</v>
      </c>
      <c r="F100" t="s">
        <v>715</v>
      </c>
      <c r="G100" s="12"/>
      <c r="H100" s="13">
        <v>705.29</v>
      </c>
      <c r="I100" s="14">
        <v>2</v>
      </c>
      <c r="J100" s="13">
        <v>18</v>
      </c>
      <c r="K100" s="13"/>
      <c r="L100" s="13">
        <v>18</v>
      </c>
      <c r="M100" s="13" t="s">
        <v>727</v>
      </c>
      <c r="N100" s="13"/>
      <c r="O100" s="13"/>
      <c r="P100" s="13"/>
      <c r="Q100" s="13"/>
      <c r="R100" s="13"/>
      <c r="S100" s="8"/>
    </row>
    <row r="101" spans="1:19" ht="15" customHeight="1" x14ac:dyDescent="0.2">
      <c r="A101" s="17" t="s">
        <v>434</v>
      </c>
      <c r="B101" s="17" t="s">
        <v>832</v>
      </c>
      <c r="C101" s="15" t="s">
        <v>315</v>
      </c>
      <c r="D101" s="17">
        <v>6634327</v>
      </c>
      <c r="E101">
        <v>432273264</v>
      </c>
      <c r="F101" t="s">
        <v>715</v>
      </c>
      <c r="G101" s="12"/>
      <c r="H101" s="13">
        <v>0</v>
      </c>
      <c r="I101" s="14">
        <v>0</v>
      </c>
      <c r="J101" s="13">
        <v>18</v>
      </c>
      <c r="K101" s="13"/>
      <c r="L101" s="13">
        <v>18</v>
      </c>
      <c r="M101" s="13" t="s">
        <v>727</v>
      </c>
      <c r="N101" s="13"/>
      <c r="O101" s="13"/>
      <c r="P101" s="13"/>
      <c r="Q101" s="13"/>
      <c r="R101" s="13"/>
      <c r="S101" s="8"/>
    </row>
    <row r="102" spans="1:19" ht="15" customHeight="1" x14ac:dyDescent="0.2">
      <c r="A102" s="17" t="s">
        <v>435</v>
      </c>
      <c r="B102" s="17" t="s">
        <v>833</v>
      </c>
      <c r="C102" s="15" t="s">
        <v>315</v>
      </c>
      <c r="D102" s="17">
        <v>6634327</v>
      </c>
      <c r="E102">
        <v>655023</v>
      </c>
      <c r="F102" t="s">
        <v>715</v>
      </c>
      <c r="G102" s="12"/>
      <c r="H102" s="13">
        <v>0</v>
      </c>
      <c r="I102" s="14">
        <v>0</v>
      </c>
      <c r="J102" s="13">
        <v>18</v>
      </c>
      <c r="K102" s="13"/>
      <c r="L102" s="13">
        <v>18</v>
      </c>
      <c r="M102" s="13" t="s">
        <v>727</v>
      </c>
      <c r="N102" s="13"/>
      <c r="O102" s="13"/>
      <c r="P102" s="13"/>
      <c r="Q102" s="13"/>
      <c r="R102" s="13"/>
      <c r="S102" s="8"/>
    </row>
    <row r="103" spans="1:19" ht="15" customHeight="1" x14ac:dyDescent="0.2">
      <c r="A103" s="15" t="s">
        <v>436</v>
      </c>
      <c r="B103" s="15" t="s">
        <v>834</v>
      </c>
      <c r="C103" s="15" t="s">
        <v>315</v>
      </c>
      <c r="D103" s="17">
        <v>6634327</v>
      </c>
      <c r="E103">
        <v>655023</v>
      </c>
      <c r="F103" t="s">
        <v>715</v>
      </c>
      <c r="G103" s="7"/>
      <c r="H103" s="7"/>
      <c r="I103" s="7"/>
      <c r="J103" s="7"/>
      <c r="K103" s="7"/>
      <c r="L103" s="13">
        <v>18</v>
      </c>
      <c r="M103" s="13" t="s">
        <v>727</v>
      </c>
      <c r="N103" s="13"/>
      <c r="O103" s="13"/>
      <c r="P103" s="13"/>
      <c r="Q103" s="13"/>
      <c r="R103" s="13"/>
      <c r="S103" s="8"/>
    </row>
    <row r="104" spans="1:19" ht="15" customHeight="1" x14ac:dyDescent="0.2">
      <c r="A104" s="15" t="s">
        <v>437</v>
      </c>
      <c r="B104" s="15" t="s">
        <v>835</v>
      </c>
      <c r="C104" s="15" t="s">
        <v>315</v>
      </c>
      <c r="D104" s="17">
        <v>6634327</v>
      </c>
      <c r="E104">
        <v>655023</v>
      </c>
      <c r="F104" t="s">
        <v>715</v>
      </c>
      <c r="G104" s="7"/>
      <c r="H104" s="7"/>
      <c r="I104" s="7"/>
      <c r="J104" s="7"/>
      <c r="K104" s="7"/>
      <c r="L104" s="13">
        <v>18</v>
      </c>
      <c r="M104" s="13" t="s">
        <v>727</v>
      </c>
      <c r="N104" s="13"/>
      <c r="O104" s="13"/>
      <c r="P104" s="13"/>
      <c r="Q104" s="13"/>
      <c r="R104" s="13"/>
      <c r="S104" s="8"/>
    </row>
    <row r="105" spans="1:19" ht="15" customHeight="1" x14ac:dyDescent="0.2">
      <c r="A105" s="17" t="s">
        <v>438</v>
      </c>
      <c r="B105" s="17" t="s">
        <v>836</v>
      </c>
      <c r="C105" s="15" t="s">
        <v>315</v>
      </c>
      <c r="D105" s="17">
        <v>6634327</v>
      </c>
      <c r="E105">
        <v>427621851</v>
      </c>
      <c r="F105" t="s">
        <v>715</v>
      </c>
      <c r="G105" s="12"/>
      <c r="H105" s="13">
        <v>71.680000000000007</v>
      </c>
      <c r="I105" s="14">
        <v>6.7500000000000004E-2</v>
      </c>
      <c r="J105" s="13">
        <v>18</v>
      </c>
      <c r="K105" s="13"/>
      <c r="L105" s="13">
        <v>18</v>
      </c>
      <c r="M105" s="13" t="s">
        <v>727</v>
      </c>
      <c r="N105" s="13"/>
      <c r="O105" s="13"/>
      <c r="P105" s="13"/>
      <c r="Q105" s="13"/>
      <c r="R105" s="13"/>
      <c r="S105" s="8"/>
    </row>
    <row r="106" spans="1:19" ht="15" customHeight="1" x14ac:dyDescent="0.2">
      <c r="A106" s="15" t="s">
        <v>439</v>
      </c>
      <c r="B106" s="15" t="s">
        <v>837</v>
      </c>
      <c r="C106" s="15" t="s">
        <v>315</v>
      </c>
      <c r="D106" s="17">
        <v>6634327</v>
      </c>
      <c r="E106">
        <v>427621851</v>
      </c>
      <c r="F106" t="s">
        <v>715</v>
      </c>
      <c r="G106" s="7"/>
      <c r="H106" s="7"/>
      <c r="I106" s="7"/>
      <c r="J106" s="7"/>
      <c r="K106" s="7"/>
      <c r="L106" s="13">
        <v>18</v>
      </c>
      <c r="M106" s="13" t="s">
        <v>727</v>
      </c>
      <c r="N106" s="13"/>
      <c r="O106" s="13"/>
      <c r="P106" s="13"/>
      <c r="Q106" s="13"/>
      <c r="R106" s="13"/>
      <c r="S106" s="8"/>
    </row>
    <row r="107" spans="1:19" ht="15" customHeight="1" x14ac:dyDescent="0.2">
      <c r="A107" s="17" t="s">
        <v>440</v>
      </c>
      <c r="B107" s="17" t="s">
        <v>838</v>
      </c>
      <c r="C107" s="15" t="s">
        <v>315</v>
      </c>
      <c r="D107" s="17">
        <v>6634327</v>
      </c>
      <c r="E107">
        <v>424301653</v>
      </c>
      <c r="F107" t="s">
        <v>715</v>
      </c>
      <c r="G107" s="12"/>
      <c r="H107" s="13">
        <v>572</v>
      </c>
      <c r="I107" s="14">
        <v>0.60799999999999998</v>
      </c>
      <c r="J107" s="13">
        <v>18</v>
      </c>
      <c r="K107" s="13"/>
      <c r="L107" s="13">
        <v>18</v>
      </c>
      <c r="M107" s="13" t="s">
        <v>727</v>
      </c>
      <c r="N107" s="13"/>
      <c r="O107" s="13"/>
      <c r="P107" s="13"/>
      <c r="Q107" s="13"/>
      <c r="R107" s="13"/>
      <c r="S107" s="8"/>
    </row>
    <row r="108" spans="1:19" ht="15" customHeight="1" x14ac:dyDescent="0.2">
      <c r="A108" s="15" t="s">
        <v>441</v>
      </c>
      <c r="B108" s="15" t="s">
        <v>839</v>
      </c>
      <c r="C108" s="15" t="s">
        <v>315</v>
      </c>
      <c r="D108" s="17">
        <v>6634327</v>
      </c>
      <c r="E108">
        <v>424301653</v>
      </c>
      <c r="F108" t="s">
        <v>715</v>
      </c>
      <c r="G108" s="7"/>
      <c r="H108" s="7"/>
      <c r="I108" s="7"/>
      <c r="J108" s="7"/>
      <c r="K108" s="7"/>
      <c r="L108" s="13">
        <v>18</v>
      </c>
      <c r="M108" s="13" t="s">
        <v>727</v>
      </c>
      <c r="N108" s="13"/>
      <c r="O108" s="13"/>
      <c r="P108" s="13"/>
      <c r="Q108" s="13"/>
      <c r="R108" s="13"/>
      <c r="S108" s="8"/>
    </row>
    <row r="109" spans="1:19" ht="15" customHeight="1" x14ac:dyDescent="0.2">
      <c r="A109" s="15" t="s">
        <v>442</v>
      </c>
      <c r="B109" s="15" t="s">
        <v>840</v>
      </c>
      <c r="C109" s="15" t="s">
        <v>315</v>
      </c>
      <c r="D109" s="17">
        <v>6634327</v>
      </c>
      <c r="E109">
        <v>424301653</v>
      </c>
      <c r="F109" t="s">
        <v>715</v>
      </c>
      <c r="G109" s="7"/>
      <c r="H109" s="7"/>
      <c r="I109" s="7"/>
      <c r="J109" s="7"/>
      <c r="K109" s="7"/>
      <c r="L109" s="13">
        <v>18</v>
      </c>
      <c r="M109" s="13" t="s">
        <v>727</v>
      </c>
      <c r="N109" s="13"/>
      <c r="O109" s="13"/>
      <c r="P109" s="13"/>
      <c r="Q109" s="13"/>
      <c r="R109" s="13"/>
      <c r="S109" s="8"/>
    </row>
    <row r="110" spans="1:19" ht="15" customHeight="1" x14ac:dyDescent="0.2">
      <c r="A110" s="15" t="s">
        <v>443</v>
      </c>
      <c r="B110" s="15" t="s">
        <v>841</v>
      </c>
      <c r="C110" s="15" t="s">
        <v>315</v>
      </c>
      <c r="D110" s="17">
        <v>6634327</v>
      </c>
      <c r="E110">
        <v>424301653</v>
      </c>
      <c r="F110" t="s">
        <v>715</v>
      </c>
      <c r="G110" s="7"/>
      <c r="H110" s="7"/>
      <c r="I110" s="7"/>
      <c r="J110" s="7"/>
      <c r="K110" s="7"/>
      <c r="L110" s="13">
        <v>18</v>
      </c>
      <c r="M110" s="13" t="s">
        <v>727</v>
      </c>
      <c r="N110" s="13"/>
      <c r="O110" s="13"/>
      <c r="P110" s="13"/>
      <c r="Q110" s="13"/>
      <c r="R110" s="13"/>
      <c r="S110" s="8"/>
    </row>
    <row r="111" spans="1:19" ht="15" customHeight="1" x14ac:dyDescent="0.2">
      <c r="A111" s="17" t="s">
        <v>445</v>
      </c>
      <c r="B111" s="17" t="s">
        <v>842</v>
      </c>
      <c r="C111" s="15" t="s">
        <v>315</v>
      </c>
      <c r="D111" s="17">
        <v>6634327</v>
      </c>
      <c r="E111">
        <v>433257225</v>
      </c>
      <c r="F111" t="s">
        <v>715</v>
      </c>
      <c r="G111" s="12"/>
      <c r="H111" s="13">
        <v>265.19</v>
      </c>
      <c r="I111" s="14">
        <v>0.28620000000000001</v>
      </c>
      <c r="J111" s="13">
        <v>18</v>
      </c>
      <c r="K111" s="13"/>
      <c r="L111" s="13">
        <v>18</v>
      </c>
      <c r="M111" s="13" t="s">
        <v>727</v>
      </c>
      <c r="N111" s="13"/>
      <c r="O111" s="13"/>
      <c r="P111" s="13"/>
      <c r="Q111" s="13"/>
      <c r="R111" s="13"/>
      <c r="S111" s="8"/>
    </row>
    <row r="112" spans="1:19" ht="15" customHeight="1" x14ac:dyDescent="0.2">
      <c r="A112" s="15" t="s">
        <v>446</v>
      </c>
      <c r="B112" s="15" t="s">
        <v>843</v>
      </c>
      <c r="C112" s="15" t="s">
        <v>315</v>
      </c>
      <c r="D112" s="17">
        <v>6634327</v>
      </c>
      <c r="E112">
        <v>433257225</v>
      </c>
      <c r="F112" t="s">
        <v>715</v>
      </c>
      <c r="G112" s="7"/>
      <c r="H112" s="7"/>
      <c r="I112" s="7"/>
      <c r="J112" s="7"/>
      <c r="K112" s="7"/>
      <c r="L112" s="13">
        <v>18</v>
      </c>
      <c r="M112" s="13" t="s">
        <v>727</v>
      </c>
      <c r="N112" s="13"/>
      <c r="O112" s="13"/>
      <c r="P112" s="13"/>
      <c r="Q112" s="13"/>
      <c r="R112" s="13"/>
      <c r="S112" s="8"/>
    </row>
    <row r="113" spans="1:19" ht="15" customHeight="1" x14ac:dyDescent="0.2">
      <c r="A113" s="5" t="s">
        <v>466</v>
      </c>
      <c r="B113" s="5" t="s">
        <v>844</v>
      </c>
      <c r="C113" s="15" t="s">
        <v>315</v>
      </c>
      <c r="D113" s="17">
        <v>6634327</v>
      </c>
      <c r="E113">
        <v>433257225</v>
      </c>
      <c r="F113" t="s">
        <v>715</v>
      </c>
      <c r="G113" s="7"/>
      <c r="H113" s="7"/>
      <c r="I113" s="7"/>
      <c r="J113" s="7"/>
      <c r="K113" s="7"/>
      <c r="L113" s="13">
        <v>18</v>
      </c>
      <c r="M113" s="13" t="s">
        <v>727</v>
      </c>
      <c r="N113" s="13"/>
      <c r="O113" s="13"/>
      <c r="P113" s="13"/>
      <c r="Q113" s="13"/>
      <c r="R113" s="13"/>
      <c r="S113" s="8"/>
    </row>
    <row r="114" spans="1:19" ht="15" customHeight="1" x14ac:dyDescent="0.2">
      <c r="A114" s="5" t="s">
        <v>467</v>
      </c>
      <c r="B114" s="5" t="s">
        <v>845</v>
      </c>
      <c r="C114" s="15" t="s">
        <v>315</v>
      </c>
      <c r="D114" s="17">
        <v>6634327</v>
      </c>
      <c r="E114">
        <v>433257225</v>
      </c>
      <c r="F114" t="s">
        <v>715</v>
      </c>
      <c r="G114" s="7"/>
      <c r="H114" s="7"/>
      <c r="I114" s="7"/>
      <c r="J114" s="7"/>
      <c r="K114" s="7"/>
      <c r="L114" s="13">
        <v>18</v>
      </c>
      <c r="M114" s="13" t="s">
        <v>727</v>
      </c>
      <c r="N114" s="13"/>
      <c r="O114" s="13"/>
      <c r="P114" s="13"/>
      <c r="Q114" s="13"/>
      <c r="R114" s="13"/>
      <c r="S114" s="8"/>
    </row>
    <row r="115" spans="1:19" ht="15" customHeight="1" x14ac:dyDescent="0.2">
      <c r="A115" s="17" t="s">
        <v>447</v>
      </c>
      <c r="B115" s="17" t="s">
        <v>846</v>
      </c>
      <c r="C115" s="15" t="s">
        <v>315</v>
      </c>
      <c r="D115" s="17">
        <v>6634327</v>
      </c>
      <c r="E115">
        <v>424154157</v>
      </c>
      <c r="F115" t="s">
        <v>715</v>
      </c>
      <c r="G115" s="12"/>
      <c r="H115" s="13">
        <v>875.2</v>
      </c>
      <c r="I115" s="14">
        <v>1.2257</v>
      </c>
      <c r="J115" s="13">
        <v>18</v>
      </c>
      <c r="K115" s="13"/>
      <c r="L115" s="13">
        <v>18</v>
      </c>
      <c r="M115" s="13" t="s">
        <v>727</v>
      </c>
      <c r="N115" s="13"/>
      <c r="O115" s="13"/>
      <c r="P115" s="13"/>
      <c r="Q115" s="13"/>
      <c r="R115" s="13"/>
      <c r="S115" s="8"/>
    </row>
    <row r="116" spans="1:19" ht="15" customHeight="1" x14ac:dyDescent="0.2">
      <c r="A116" s="15" t="s">
        <v>448</v>
      </c>
      <c r="B116" s="15" t="s">
        <v>847</v>
      </c>
      <c r="C116" s="15" t="s">
        <v>315</v>
      </c>
      <c r="D116" s="17">
        <v>6634327</v>
      </c>
      <c r="E116">
        <v>424154157</v>
      </c>
      <c r="F116" t="s">
        <v>715</v>
      </c>
      <c r="G116" s="7"/>
      <c r="H116" s="7"/>
      <c r="I116" s="7"/>
      <c r="J116" s="7"/>
      <c r="K116" s="7"/>
      <c r="L116" s="13">
        <v>18</v>
      </c>
      <c r="M116" s="13" t="s">
        <v>727</v>
      </c>
      <c r="N116" s="13"/>
      <c r="O116" s="13"/>
      <c r="P116" s="13"/>
      <c r="Q116" s="13"/>
      <c r="R116" s="13"/>
      <c r="S116" s="8"/>
    </row>
    <row r="117" spans="1:19" ht="15" customHeight="1" x14ac:dyDescent="0.2">
      <c r="A117" s="15" t="s">
        <v>449</v>
      </c>
      <c r="B117" s="15" t="s">
        <v>848</v>
      </c>
      <c r="C117" s="15" t="s">
        <v>315</v>
      </c>
      <c r="D117" s="17">
        <v>6634327</v>
      </c>
      <c r="E117">
        <v>424154157</v>
      </c>
      <c r="F117" t="s">
        <v>715</v>
      </c>
      <c r="G117" s="7"/>
      <c r="H117" s="7"/>
      <c r="I117" s="7"/>
      <c r="J117" s="7"/>
      <c r="K117" s="7"/>
      <c r="L117" s="13">
        <v>18</v>
      </c>
      <c r="M117" s="13" t="s">
        <v>727</v>
      </c>
      <c r="N117" s="13"/>
      <c r="O117" s="13"/>
      <c r="P117" s="13"/>
      <c r="Q117" s="13"/>
      <c r="R117" s="13"/>
      <c r="S117" s="8"/>
    </row>
    <row r="118" spans="1:19" ht="15" customHeight="1" x14ac:dyDescent="0.2">
      <c r="A118" s="15" t="s">
        <v>450</v>
      </c>
      <c r="B118" s="15" t="s">
        <v>849</v>
      </c>
      <c r="C118" s="15" t="s">
        <v>315</v>
      </c>
      <c r="D118" s="17">
        <v>6634327</v>
      </c>
      <c r="E118">
        <v>424154157</v>
      </c>
      <c r="F118" t="s">
        <v>715</v>
      </c>
      <c r="G118" s="7"/>
      <c r="H118" s="7"/>
      <c r="I118" s="7"/>
      <c r="J118" s="7"/>
      <c r="K118" s="7"/>
      <c r="L118" s="13">
        <v>18</v>
      </c>
      <c r="M118" s="13" t="s">
        <v>727</v>
      </c>
      <c r="N118" s="13"/>
      <c r="O118" s="13"/>
      <c r="P118" s="13"/>
      <c r="Q118" s="13"/>
      <c r="R118" s="13"/>
      <c r="S118" s="8"/>
    </row>
    <row r="119" spans="1:19" ht="15" customHeight="1" x14ac:dyDescent="0.2">
      <c r="A119" s="17" t="s">
        <v>453</v>
      </c>
      <c r="B119" s="17" t="s">
        <v>850</v>
      </c>
      <c r="C119" s="15" t="s">
        <v>315</v>
      </c>
      <c r="D119" s="17">
        <v>6634327</v>
      </c>
      <c r="E119">
        <v>430216887</v>
      </c>
      <c r="F119" t="s">
        <v>715</v>
      </c>
      <c r="G119" s="12"/>
      <c r="H119" s="13">
        <v>167.28</v>
      </c>
      <c r="I119" s="14">
        <v>0.3291</v>
      </c>
      <c r="J119" s="13">
        <v>18</v>
      </c>
      <c r="K119" s="13"/>
      <c r="L119" s="13">
        <v>18</v>
      </c>
      <c r="M119" s="13" t="s">
        <v>727</v>
      </c>
      <c r="N119" s="13"/>
      <c r="O119" s="13"/>
      <c r="P119" s="13"/>
      <c r="Q119" s="13"/>
      <c r="R119" s="13"/>
      <c r="S119" s="8"/>
    </row>
    <row r="120" spans="1:19" ht="15" customHeight="1" x14ac:dyDescent="0.2">
      <c r="A120" s="17" t="s">
        <v>454</v>
      </c>
      <c r="B120" s="17" t="s">
        <v>851</v>
      </c>
      <c r="C120" s="15" t="s">
        <v>315</v>
      </c>
      <c r="D120" s="17">
        <v>6634327</v>
      </c>
      <c r="E120">
        <v>421595416</v>
      </c>
      <c r="F120" t="s">
        <v>715</v>
      </c>
      <c r="G120" s="12">
        <v>45685</v>
      </c>
      <c r="H120" s="16">
        <v>1641.86</v>
      </c>
      <c r="I120" s="16"/>
      <c r="J120" s="13">
        <v>18</v>
      </c>
      <c r="K120" s="13"/>
      <c r="L120" s="13">
        <v>18</v>
      </c>
      <c r="M120" s="13" t="s">
        <v>727</v>
      </c>
      <c r="O120" s="13"/>
      <c r="P120" s="13"/>
      <c r="Q120" s="13"/>
      <c r="R120" s="9"/>
      <c r="S120" s="9"/>
    </row>
    <row r="121" spans="1:19" ht="15" customHeight="1" x14ac:dyDescent="0.2">
      <c r="A121" s="17" t="s">
        <v>455</v>
      </c>
      <c r="B121" s="17" t="s">
        <v>852</v>
      </c>
      <c r="C121" s="15" t="s">
        <v>315</v>
      </c>
      <c r="D121" s="17">
        <v>6634327</v>
      </c>
      <c r="E121">
        <v>417840487</v>
      </c>
      <c r="F121" t="s">
        <v>715</v>
      </c>
      <c r="G121" s="12">
        <v>45685</v>
      </c>
      <c r="H121" s="16">
        <v>1225.2</v>
      </c>
      <c r="I121" s="16"/>
      <c r="J121" s="13">
        <v>18</v>
      </c>
      <c r="K121" s="13"/>
      <c r="L121" s="13">
        <v>18</v>
      </c>
      <c r="M121" s="13" t="s">
        <v>727</v>
      </c>
      <c r="O121" s="13"/>
      <c r="P121" s="13"/>
      <c r="Q121" s="13"/>
      <c r="R121" s="7"/>
      <c r="S121" s="7"/>
    </row>
    <row r="122" spans="1:19" ht="15" customHeight="1" x14ac:dyDescent="0.2">
      <c r="A122" s="15" t="s">
        <v>456</v>
      </c>
      <c r="B122" s="15" t="s">
        <v>853</v>
      </c>
      <c r="C122" s="15" t="s">
        <v>315</v>
      </c>
      <c r="D122" s="17">
        <v>6634327</v>
      </c>
      <c r="E122">
        <v>417840487</v>
      </c>
      <c r="F122" t="s">
        <v>715</v>
      </c>
      <c r="G122" s="7"/>
      <c r="H122" s="7"/>
      <c r="I122" s="7"/>
      <c r="J122" s="7"/>
      <c r="K122" s="7"/>
      <c r="L122" s="13">
        <v>18</v>
      </c>
      <c r="M122" s="13" t="s">
        <v>727</v>
      </c>
      <c r="O122" s="13"/>
      <c r="P122" s="13"/>
      <c r="Q122" s="13"/>
      <c r="R122" s="7"/>
      <c r="S122" s="7"/>
    </row>
    <row r="123" spans="1:19" ht="15" customHeight="1" x14ac:dyDescent="0.2">
      <c r="A123" s="15" t="s">
        <v>457</v>
      </c>
      <c r="B123" s="15" t="s">
        <v>854</v>
      </c>
      <c r="C123" s="15" t="s">
        <v>315</v>
      </c>
      <c r="D123" s="17">
        <v>6634327</v>
      </c>
      <c r="E123">
        <v>417840487</v>
      </c>
      <c r="F123" t="s">
        <v>715</v>
      </c>
      <c r="G123" s="7"/>
      <c r="H123" s="7"/>
      <c r="I123" s="7"/>
      <c r="J123" s="7"/>
      <c r="K123" s="7"/>
      <c r="L123" s="13">
        <v>18</v>
      </c>
      <c r="M123" s="13" t="s">
        <v>727</v>
      </c>
      <c r="O123" s="13"/>
      <c r="P123" s="13"/>
      <c r="Q123" s="13"/>
      <c r="R123" s="7"/>
      <c r="S123" s="7"/>
    </row>
    <row r="124" spans="1:19" ht="15" customHeight="1" x14ac:dyDescent="0.2">
      <c r="A124" s="15" t="s">
        <v>458</v>
      </c>
      <c r="B124" s="15" t="s">
        <v>855</v>
      </c>
      <c r="C124" s="15" t="s">
        <v>315</v>
      </c>
      <c r="D124" s="17">
        <v>6634327</v>
      </c>
      <c r="E124">
        <v>417840487</v>
      </c>
      <c r="F124" t="s">
        <v>715</v>
      </c>
      <c r="G124" s="7"/>
      <c r="H124" s="7"/>
      <c r="I124" s="7"/>
      <c r="J124" s="7"/>
      <c r="K124" s="7"/>
      <c r="L124" s="13">
        <v>18</v>
      </c>
      <c r="M124" s="13" t="s">
        <v>727</v>
      </c>
      <c r="O124" s="13"/>
      <c r="P124" s="13"/>
      <c r="Q124" s="13"/>
      <c r="R124" s="7"/>
      <c r="S124" s="7"/>
    </row>
    <row r="125" spans="1:19" ht="15" customHeight="1" x14ac:dyDescent="0.2">
      <c r="A125" s="17" t="s">
        <v>459</v>
      </c>
      <c r="B125" s="17" t="s">
        <v>856</v>
      </c>
      <c r="C125" s="15" t="s">
        <v>315</v>
      </c>
      <c r="D125" s="17">
        <v>6634327</v>
      </c>
      <c r="E125">
        <v>423710552</v>
      </c>
      <c r="F125" t="s">
        <v>715</v>
      </c>
      <c r="G125" s="12">
        <v>45685</v>
      </c>
      <c r="H125" s="13">
        <v>282.60000000000002</v>
      </c>
      <c r="I125" s="13"/>
      <c r="J125" s="13">
        <v>18</v>
      </c>
      <c r="K125" s="13"/>
      <c r="L125" s="13">
        <v>18</v>
      </c>
      <c r="M125" s="13" t="s">
        <v>727</v>
      </c>
      <c r="O125" s="13"/>
      <c r="P125" s="13"/>
      <c r="Q125" s="13"/>
      <c r="R125" s="7"/>
      <c r="S125" s="7"/>
    </row>
    <row r="126" spans="1:19" ht="15" customHeight="1" x14ac:dyDescent="0.2">
      <c r="A126" s="17" t="s">
        <v>460</v>
      </c>
      <c r="B126" s="17" t="s">
        <v>857</v>
      </c>
      <c r="C126" s="15" t="s">
        <v>315</v>
      </c>
      <c r="D126" s="17">
        <v>6634327</v>
      </c>
      <c r="E126">
        <v>433267272</v>
      </c>
      <c r="F126" t="s">
        <v>715</v>
      </c>
      <c r="G126" s="12">
        <v>45665</v>
      </c>
      <c r="H126" s="13">
        <v>143.76</v>
      </c>
      <c r="I126" s="13"/>
      <c r="J126" s="13">
        <v>18</v>
      </c>
      <c r="K126" s="13"/>
      <c r="L126" s="13">
        <v>18</v>
      </c>
      <c r="M126" s="13" t="s">
        <v>727</v>
      </c>
      <c r="O126" s="13"/>
      <c r="P126" s="13"/>
      <c r="Q126" s="13"/>
      <c r="R126" s="7"/>
      <c r="S126" s="7"/>
    </row>
    <row r="127" spans="1:19" ht="15" customHeight="1" x14ac:dyDescent="0.2">
      <c r="A127" s="17" t="s">
        <v>461</v>
      </c>
      <c r="B127" s="17" t="s">
        <v>858</v>
      </c>
      <c r="C127" s="15" t="s">
        <v>315</v>
      </c>
      <c r="D127" s="17">
        <v>6634327</v>
      </c>
      <c r="E127">
        <v>433273268</v>
      </c>
      <c r="F127" t="s">
        <v>715</v>
      </c>
      <c r="G127" s="12">
        <v>45681</v>
      </c>
      <c r="H127" s="13">
        <v>13</v>
      </c>
      <c r="I127" s="13"/>
      <c r="J127" s="13">
        <v>18</v>
      </c>
      <c r="K127" s="13"/>
      <c r="L127" s="13">
        <v>18</v>
      </c>
      <c r="M127" s="13" t="s">
        <v>727</v>
      </c>
      <c r="O127" s="13"/>
      <c r="P127" s="13"/>
      <c r="Q127" s="13"/>
      <c r="R127" s="7"/>
      <c r="S127" s="7"/>
    </row>
    <row r="128" spans="1:19" ht="15" customHeight="1" x14ac:dyDescent="0.2">
      <c r="A128" s="17" t="s">
        <v>462</v>
      </c>
      <c r="B128" s="17" t="s">
        <v>859</v>
      </c>
      <c r="C128" s="15" t="s">
        <v>315</v>
      </c>
      <c r="D128" s="17">
        <v>6634327</v>
      </c>
      <c r="E128">
        <v>432267338</v>
      </c>
      <c r="F128" t="s">
        <v>715</v>
      </c>
      <c r="G128" s="12">
        <v>45685</v>
      </c>
      <c r="H128" s="16">
        <v>1264</v>
      </c>
      <c r="I128" s="16"/>
      <c r="J128" s="13">
        <v>18</v>
      </c>
      <c r="K128" s="13"/>
      <c r="L128" s="13">
        <v>18</v>
      </c>
      <c r="M128" s="13" t="s">
        <v>727</v>
      </c>
      <c r="O128" s="13"/>
      <c r="P128" s="13"/>
      <c r="Q128" s="13"/>
      <c r="R128" s="9"/>
      <c r="S128" s="9"/>
    </row>
    <row r="129" spans="1:19" ht="15" customHeight="1" x14ac:dyDescent="0.2">
      <c r="A129" s="17" t="s">
        <v>463</v>
      </c>
      <c r="B129" s="17" t="s">
        <v>860</v>
      </c>
      <c r="C129" s="15" t="s">
        <v>315</v>
      </c>
      <c r="D129" s="17">
        <v>6634327</v>
      </c>
      <c r="E129">
        <v>424775996</v>
      </c>
      <c r="F129" t="s">
        <v>715</v>
      </c>
      <c r="G129" s="12"/>
      <c r="H129" s="13">
        <v>0</v>
      </c>
      <c r="I129" s="14">
        <v>0</v>
      </c>
      <c r="J129" s="13">
        <v>18</v>
      </c>
      <c r="K129" s="13"/>
      <c r="L129" s="13">
        <v>18</v>
      </c>
      <c r="M129" s="13" t="s">
        <v>727</v>
      </c>
      <c r="N129" s="13"/>
      <c r="O129" s="13"/>
      <c r="P129" s="13"/>
      <c r="Q129" s="13"/>
      <c r="R129" s="13"/>
      <c r="S129" s="8"/>
    </row>
    <row r="130" spans="1:19" ht="15" customHeight="1" x14ac:dyDescent="0.2">
      <c r="A130" s="17" t="s">
        <v>464</v>
      </c>
      <c r="B130" s="17" t="s">
        <v>861</v>
      </c>
      <c r="C130" s="15" t="s">
        <v>315</v>
      </c>
      <c r="D130" s="17">
        <v>6634327</v>
      </c>
      <c r="E130">
        <v>422915479</v>
      </c>
      <c r="F130" t="s">
        <v>715</v>
      </c>
      <c r="G130" s="12"/>
      <c r="H130" s="13">
        <v>249.47</v>
      </c>
      <c r="I130" s="14">
        <v>0.24560000000000001</v>
      </c>
      <c r="J130" s="13">
        <v>18</v>
      </c>
      <c r="K130" s="13"/>
      <c r="L130" s="13">
        <v>18</v>
      </c>
      <c r="M130" s="13" t="s">
        <v>727</v>
      </c>
      <c r="N130" s="13"/>
      <c r="O130" s="13"/>
      <c r="P130" s="13"/>
      <c r="Q130" s="13"/>
      <c r="R130" s="13"/>
      <c r="S130" s="8"/>
    </row>
    <row r="131" spans="1:19" ht="15" customHeight="1" x14ac:dyDescent="0.2">
      <c r="A131" s="17" t="s">
        <v>333</v>
      </c>
      <c r="B131" s="17" t="s">
        <v>862</v>
      </c>
      <c r="C131" s="15" t="s">
        <v>314</v>
      </c>
      <c r="D131" s="17">
        <v>16865615</v>
      </c>
      <c r="E131">
        <v>438238258</v>
      </c>
      <c r="F131" t="s">
        <v>719</v>
      </c>
      <c r="G131" s="12">
        <v>45665</v>
      </c>
      <c r="H131" s="13">
        <v>549.1</v>
      </c>
      <c r="I131" s="14">
        <v>1.4941</v>
      </c>
      <c r="J131" s="13">
        <v>18</v>
      </c>
      <c r="K131" s="13"/>
      <c r="L131" s="13">
        <v>18</v>
      </c>
      <c r="M131" s="13" t="s">
        <v>727</v>
      </c>
      <c r="N131" s="13"/>
      <c r="O131" s="13"/>
      <c r="P131" s="13"/>
      <c r="Q131" s="13"/>
      <c r="R131" s="13"/>
      <c r="S131" s="8"/>
    </row>
    <row r="132" spans="1:19" ht="15" customHeight="1" x14ac:dyDescent="0.2">
      <c r="A132" s="17" t="s">
        <v>360</v>
      </c>
      <c r="B132" s="17" t="s">
        <v>863</v>
      </c>
      <c r="C132" s="15" t="s">
        <v>315</v>
      </c>
      <c r="D132" s="17">
        <v>6634327</v>
      </c>
      <c r="E132">
        <v>902613240</v>
      </c>
      <c r="F132" t="s">
        <v>719</v>
      </c>
      <c r="G132" s="12"/>
      <c r="H132" s="13">
        <v>41.21</v>
      </c>
      <c r="I132" s="14">
        <v>9.98E-2</v>
      </c>
      <c r="J132" s="13">
        <v>18</v>
      </c>
      <c r="K132" s="13"/>
      <c r="L132" s="13">
        <v>18</v>
      </c>
      <c r="M132" s="13" t="s">
        <v>727</v>
      </c>
      <c r="N132" s="13"/>
      <c r="O132" s="13"/>
      <c r="P132" s="13"/>
      <c r="Q132" s="13"/>
      <c r="R132" s="13"/>
      <c r="S132" s="8"/>
    </row>
    <row r="133" spans="1:19" ht="15" customHeight="1" x14ac:dyDescent="0.2">
      <c r="A133" s="17" t="s">
        <v>409</v>
      </c>
      <c r="B133" s="17" t="s">
        <v>864</v>
      </c>
      <c r="C133" s="15" t="s">
        <v>315</v>
      </c>
      <c r="D133" s="17">
        <v>6634327</v>
      </c>
      <c r="E133">
        <v>420236711</v>
      </c>
      <c r="F133" t="s">
        <v>724</v>
      </c>
      <c r="G133" s="12"/>
      <c r="H133" s="13">
        <v>822.32</v>
      </c>
      <c r="I133" s="14">
        <v>2</v>
      </c>
      <c r="J133" s="13">
        <v>18</v>
      </c>
      <c r="K133" s="13"/>
      <c r="L133" s="13">
        <v>18</v>
      </c>
      <c r="M133" s="13" t="s">
        <v>727</v>
      </c>
      <c r="N133" s="13"/>
      <c r="O133" s="13"/>
      <c r="P133" s="13"/>
      <c r="Q133" s="13"/>
      <c r="R133" s="13"/>
      <c r="S133" s="8"/>
    </row>
    <row r="134" spans="1:19" ht="15" customHeight="1" x14ac:dyDescent="0.2">
      <c r="A134" s="17" t="s">
        <v>328</v>
      </c>
      <c r="B134" s="17" t="s">
        <v>865</v>
      </c>
      <c r="C134" s="15" t="s">
        <v>314</v>
      </c>
      <c r="D134" s="17">
        <v>16865615</v>
      </c>
      <c r="E134">
        <v>437318199</v>
      </c>
      <c r="F134" t="s">
        <v>716</v>
      </c>
      <c r="G134" s="12">
        <v>45687</v>
      </c>
      <c r="H134" s="13">
        <v>359.43</v>
      </c>
      <c r="I134" s="14">
        <v>0.89970000000000006</v>
      </c>
      <c r="J134" s="13">
        <v>18</v>
      </c>
      <c r="K134" s="13"/>
      <c r="L134" s="13">
        <v>18</v>
      </c>
      <c r="M134" s="13" t="s">
        <v>727</v>
      </c>
      <c r="N134" s="13"/>
      <c r="O134" s="13"/>
      <c r="P134" s="13"/>
      <c r="Q134" s="13"/>
      <c r="R134" s="13"/>
      <c r="S134" s="8"/>
    </row>
    <row r="135" spans="1:19" ht="15" customHeight="1" x14ac:dyDescent="0.2">
      <c r="A135" s="15" t="s">
        <v>357</v>
      </c>
      <c r="B135" s="15" t="s">
        <v>866</v>
      </c>
      <c r="C135" s="15" t="s">
        <v>315</v>
      </c>
      <c r="D135" s="17">
        <v>6634327</v>
      </c>
      <c r="E135">
        <v>439235320</v>
      </c>
      <c r="F135" t="s">
        <v>716</v>
      </c>
      <c r="G135" s="7"/>
      <c r="H135" s="7"/>
      <c r="I135" s="7"/>
      <c r="J135" s="7"/>
      <c r="K135" s="7"/>
      <c r="L135" s="13">
        <v>18</v>
      </c>
      <c r="M135" s="13" t="s">
        <v>727</v>
      </c>
      <c r="N135" s="13"/>
      <c r="O135" s="13"/>
      <c r="P135" s="13"/>
      <c r="Q135" s="13"/>
      <c r="R135" s="13"/>
      <c r="S135" s="8"/>
    </row>
    <row r="136" spans="1:19" ht="15" customHeight="1" x14ac:dyDescent="0.2">
      <c r="A136" s="5" t="s">
        <v>469</v>
      </c>
      <c r="B136" s="5" t="s">
        <v>867</v>
      </c>
      <c r="C136" s="15" t="s">
        <v>315</v>
      </c>
      <c r="D136" s="17">
        <v>6634327</v>
      </c>
      <c r="E136">
        <v>433214434</v>
      </c>
      <c r="F136" t="s">
        <v>716</v>
      </c>
      <c r="G136" s="12"/>
      <c r="H136" s="13">
        <v>0</v>
      </c>
      <c r="I136" s="14">
        <v>0</v>
      </c>
      <c r="J136" s="13">
        <v>18</v>
      </c>
      <c r="K136" s="13"/>
      <c r="L136" s="13">
        <v>18</v>
      </c>
      <c r="M136" s="13" t="s">
        <v>727</v>
      </c>
      <c r="N136" s="13"/>
      <c r="O136" s="13"/>
      <c r="P136" s="13"/>
      <c r="Q136" s="13"/>
      <c r="R136" s="13"/>
      <c r="S136" s="11"/>
    </row>
    <row r="137" spans="1:19" ht="15" customHeight="1" x14ac:dyDescent="0.2">
      <c r="A137" s="17" t="s">
        <v>465</v>
      </c>
      <c r="B137" s="17" t="s">
        <v>868</v>
      </c>
      <c r="C137" s="15" t="s">
        <v>315</v>
      </c>
      <c r="D137" s="17">
        <v>6634327</v>
      </c>
      <c r="E137">
        <v>7210033</v>
      </c>
      <c r="F137" t="s">
        <v>716</v>
      </c>
      <c r="G137" s="12">
        <v>45665</v>
      </c>
      <c r="H137" s="13">
        <v>0</v>
      </c>
      <c r="I137" s="13"/>
      <c r="J137" s="13">
        <v>18</v>
      </c>
      <c r="K137" s="13"/>
      <c r="L137" s="13">
        <v>18</v>
      </c>
      <c r="M137" s="13" t="s">
        <v>727</v>
      </c>
      <c r="N137" s="13"/>
      <c r="O137" s="13"/>
      <c r="P137" s="13"/>
      <c r="Q137" s="13"/>
      <c r="R137" s="13"/>
      <c r="S137" s="10"/>
    </row>
    <row r="138" spans="1:19" ht="15" customHeight="1" x14ac:dyDescent="0.2">
      <c r="A138" s="15" t="s">
        <v>358</v>
      </c>
      <c r="B138" s="15" t="s">
        <v>869</v>
      </c>
      <c r="C138" s="15" t="s">
        <v>315</v>
      </c>
      <c r="D138" s="17">
        <v>6634327</v>
      </c>
      <c r="E138">
        <v>420165233</v>
      </c>
      <c r="F138" t="s">
        <v>723</v>
      </c>
      <c r="G138" s="7"/>
      <c r="H138" s="7"/>
      <c r="I138" s="7"/>
      <c r="J138" s="7"/>
      <c r="K138" s="7"/>
      <c r="L138" s="13">
        <v>18</v>
      </c>
      <c r="M138" s="13" t="s">
        <v>727</v>
      </c>
      <c r="N138" s="13"/>
      <c r="O138" s="13"/>
      <c r="P138" s="13"/>
      <c r="Q138" s="13"/>
      <c r="R138" s="13"/>
      <c r="S138" s="8"/>
    </row>
    <row r="139" spans="1:19" ht="15" customHeight="1" x14ac:dyDescent="0.2">
      <c r="A139" s="17" t="s">
        <v>353</v>
      </c>
      <c r="B139" s="17" t="s">
        <v>870</v>
      </c>
      <c r="C139" s="15" t="s">
        <v>315</v>
      </c>
      <c r="D139" s="17">
        <v>6634327</v>
      </c>
      <c r="E139">
        <v>437327354</v>
      </c>
      <c r="F139" t="s">
        <v>722</v>
      </c>
      <c r="G139" s="12"/>
      <c r="H139" s="13">
        <v>9.39</v>
      </c>
      <c r="I139" s="14">
        <v>5.2200000000000003E-2</v>
      </c>
      <c r="J139" s="13">
        <v>18</v>
      </c>
      <c r="K139" s="13"/>
      <c r="L139" s="13">
        <v>18</v>
      </c>
      <c r="M139" s="13" t="s">
        <v>727</v>
      </c>
      <c r="N139" s="13"/>
      <c r="O139" s="13"/>
      <c r="P139" s="13"/>
      <c r="Q139" s="13"/>
      <c r="R139" s="13"/>
      <c r="S139" s="8"/>
    </row>
    <row r="140" spans="1:19" ht="15" customHeight="1" x14ac:dyDescent="0.2">
      <c r="A140" s="17" t="s">
        <v>356</v>
      </c>
      <c r="B140" s="17" t="s">
        <v>871</v>
      </c>
      <c r="C140" s="15" t="s">
        <v>315</v>
      </c>
      <c r="D140" s="17">
        <v>6634327</v>
      </c>
      <c r="E140">
        <v>436328504</v>
      </c>
      <c r="F140" t="s">
        <v>722</v>
      </c>
      <c r="G140" s="12"/>
      <c r="H140" s="13">
        <v>11.26</v>
      </c>
      <c r="I140" s="14">
        <v>5.21E-2</v>
      </c>
      <c r="J140" s="13">
        <v>18</v>
      </c>
      <c r="K140" s="13"/>
      <c r="L140" s="13">
        <v>18</v>
      </c>
      <c r="M140" s="13" t="s">
        <v>727</v>
      </c>
      <c r="N140" s="13"/>
      <c r="O140" s="13"/>
      <c r="P140" s="13"/>
      <c r="Q140" s="13"/>
      <c r="R140" s="13"/>
      <c r="S140" s="8"/>
    </row>
    <row r="141" spans="1:19" ht="15" customHeight="1" x14ac:dyDescent="0.2">
      <c r="A141" s="17" t="s">
        <v>377</v>
      </c>
      <c r="B141" s="17" t="s">
        <v>872</v>
      </c>
      <c r="C141" s="15" t="s">
        <v>315</v>
      </c>
      <c r="D141" s="17">
        <v>6634327</v>
      </c>
      <c r="E141">
        <v>436327359</v>
      </c>
      <c r="F141" t="s">
        <v>722</v>
      </c>
      <c r="G141" s="12"/>
      <c r="H141" s="13">
        <v>9.39</v>
      </c>
      <c r="I141" s="14">
        <v>5.2200000000000003E-2</v>
      </c>
      <c r="J141" s="13">
        <v>18</v>
      </c>
      <c r="K141" s="13"/>
      <c r="L141" s="13">
        <v>18</v>
      </c>
      <c r="M141" s="13" t="s">
        <v>727</v>
      </c>
      <c r="N141" s="13"/>
      <c r="O141" s="13"/>
      <c r="P141" s="13"/>
      <c r="Q141" s="13"/>
      <c r="R141" s="13"/>
      <c r="S141" s="8"/>
    </row>
    <row r="142" spans="1:19" ht="15" customHeight="1" x14ac:dyDescent="0.2">
      <c r="A142" s="17" t="s">
        <v>408</v>
      </c>
      <c r="B142" s="17" t="s">
        <v>873</v>
      </c>
      <c r="C142" s="15" t="s">
        <v>315</v>
      </c>
      <c r="D142" s="17">
        <v>6634327</v>
      </c>
      <c r="E142">
        <v>431326277</v>
      </c>
      <c r="F142" t="s">
        <v>722</v>
      </c>
      <c r="G142" s="12"/>
      <c r="H142" s="13">
        <v>9.16</v>
      </c>
      <c r="I142" s="14">
        <v>5.21E-2</v>
      </c>
      <c r="J142" s="13">
        <v>18</v>
      </c>
      <c r="K142" s="13"/>
      <c r="L142" s="13">
        <v>18</v>
      </c>
      <c r="M142" s="13" t="s">
        <v>727</v>
      </c>
      <c r="N142" s="13"/>
      <c r="O142" s="13"/>
      <c r="P142" s="13"/>
      <c r="Q142" s="13"/>
      <c r="R142" s="13"/>
      <c r="S142" s="8"/>
    </row>
    <row r="143" spans="1:19" ht="15" customHeight="1" x14ac:dyDescent="0.2">
      <c r="A143" s="17" t="s">
        <v>420</v>
      </c>
      <c r="B143" s="17" t="s">
        <v>874</v>
      </c>
      <c r="C143" s="15" t="s">
        <v>315</v>
      </c>
      <c r="D143" s="17">
        <v>6634327</v>
      </c>
      <c r="E143">
        <v>431329025</v>
      </c>
      <c r="F143" t="s">
        <v>722</v>
      </c>
      <c r="G143" s="12">
        <v>45674</v>
      </c>
      <c r="H143" s="13">
        <v>48.64</v>
      </c>
      <c r="I143" s="13"/>
      <c r="J143" s="13">
        <v>18</v>
      </c>
      <c r="K143" s="13"/>
      <c r="L143" s="13">
        <v>18</v>
      </c>
      <c r="M143" s="13" t="s">
        <v>727</v>
      </c>
      <c r="O143" s="13"/>
      <c r="P143" s="13"/>
      <c r="Q143" s="13"/>
      <c r="R143" s="8"/>
      <c r="S143" s="8"/>
    </row>
    <row r="144" spans="1:19" ht="15" customHeight="1" x14ac:dyDescent="0.2">
      <c r="A144" s="17" t="s">
        <v>444</v>
      </c>
      <c r="B144" s="17" t="s">
        <v>875</v>
      </c>
      <c r="C144" s="15" t="s">
        <v>315</v>
      </c>
      <c r="D144" s="17">
        <v>6634327</v>
      </c>
      <c r="E144">
        <v>433325559</v>
      </c>
      <c r="F144" t="s">
        <v>722</v>
      </c>
      <c r="G144" s="12"/>
      <c r="H144" s="13">
        <v>10.4</v>
      </c>
      <c r="I144" s="14">
        <v>5.2200000000000003E-2</v>
      </c>
      <c r="J144" s="13">
        <v>18</v>
      </c>
      <c r="K144" s="13"/>
      <c r="L144" s="13">
        <v>18</v>
      </c>
      <c r="M144" s="13" t="s">
        <v>727</v>
      </c>
      <c r="N144" s="13"/>
      <c r="O144" s="13"/>
      <c r="P144" s="13"/>
      <c r="Q144" s="13"/>
      <c r="R144" s="13"/>
      <c r="S144" s="8"/>
    </row>
    <row r="145" spans="1:19" ht="15" customHeight="1" x14ac:dyDescent="0.2">
      <c r="A145" s="17" t="s">
        <v>347</v>
      </c>
      <c r="B145" s="17" t="s">
        <v>876</v>
      </c>
      <c r="C145" s="15" t="s">
        <v>314</v>
      </c>
      <c r="D145" s="17">
        <v>16865615</v>
      </c>
      <c r="E145">
        <v>437333350</v>
      </c>
      <c r="F145" t="s">
        <v>721</v>
      </c>
      <c r="G145" s="12">
        <v>45685</v>
      </c>
      <c r="H145" s="16">
        <v>1364.3</v>
      </c>
      <c r="I145" s="14">
        <v>2</v>
      </c>
      <c r="J145" s="13">
        <v>18</v>
      </c>
      <c r="K145" s="13"/>
      <c r="L145" s="13">
        <v>18</v>
      </c>
      <c r="M145" s="13" t="s">
        <v>727</v>
      </c>
      <c r="N145" s="13"/>
      <c r="O145" s="13"/>
      <c r="P145" s="13"/>
      <c r="Q145" s="13"/>
      <c r="R145" s="13"/>
      <c r="S145" s="8"/>
    </row>
    <row r="146" spans="1:19" ht="15" customHeight="1" x14ac:dyDescent="0.2">
      <c r="A146" s="15" t="s">
        <v>348</v>
      </c>
      <c r="B146" s="15" t="s">
        <v>877</v>
      </c>
      <c r="C146" s="15" t="s">
        <v>314</v>
      </c>
      <c r="D146" s="17">
        <v>16865615</v>
      </c>
      <c r="E146">
        <v>437333350</v>
      </c>
      <c r="F146" t="s">
        <v>721</v>
      </c>
      <c r="G146" s="7"/>
      <c r="H146" s="7"/>
      <c r="I146" s="7"/>
      <c r="J146" s="7"/>
      <c r="K146" s="7"/>
      <c r="L146" s="13">
        <v>18</v>
      </c>
      <c r="M146" s="13" t="s">
        <v>727</v>
      </c>
      <c r="N146" s="13"/>
      <c r="O146" s="13"/>
      <c r="P146" s="13"/>
      <c r="Q146" s="13"/>
      <c r="R146" s="13"/>
      <c r="S146" s="8"/>
    </row>
    <row r="147" spans="1:19" ht="15" customHeight="1" x14ac:dyDescent="0.2">
      <c r="A147" s="15" t="s">
        <v>349</v>
      </c>
      <c r="B147" s="15" t="s">
        <v>878</v>
      </c>
      <c r="C147" s="15" t="s">
        <v>314</v>
      </c>
      <c r="D147" s="17">
        <v>16865615</v>
      </c>
      <c r="E147">
        <v>437333350</v>
      </c>
      <c r="F147" t="s">
        <v>721</v>
      </c>
      <c r="G147" s="7"/>
      <c r="H147" s="7"/>
      <c r="I147" s="7"/>
      <c r="J147" s="7"/>
      <c r="K147" s="7"/>
      <c r="L147" s="13">
        <v>18</v>
      </c>
      <c r="M147" s="13" t="s">
        <v>727</v>
      </c>
      <c r="N147" s="13"/>
      <c r="O147" s="13"/>
      <c r="P147" s="13"/>
      <c r="Q147" s="13"/>
      <c r="R147" s="13"/>
      <c r="S147" s="8"/>
    </row>
    <row r="148" spans="1:19" ht="15" customHeight="1" x14ac:dyDescent="0.2">
      <c r="A148" s="17" t="s">
        <v>374</v>
      </c>
      <c r="B148" s="17" t="s">
        <v>879</v>
      </c>
      <c r="C148" s="15" t="s">
        <v>315</v>
      </c>
      <c r="D148" s="17">
        <v>6634327</v>
      </c>
      <c r="E148">
        <v>431331194</v>
      </c>
      <c r="F148" t="s">
        <v>721</v>
      </c>
      <c r="G148" s="12"/>
      <c r="H148" s="13">
        <v>185.26</v>
      </c>
      <c r="I148" s="14">
        <v>1.0677000000000001</v>
      </c>
      <c r="J148" s="13">
        <v>18</v>
      </c>
      <c r="K148" s="13"/>
      <c r="L148" s="13">
        <v>18</v>
      </c>
      <c r="M148" s="13" t="s">
        <v>727</v>
      </c>
      <c r="N148" s="13"/>
      <c r="O148" s="13"/>
      <c r="P148" s="13"/>
      <c r="Q148" s="13"/>
      <c r="R148" s="13"/>
      <c r="S148" s="8"/>
    </row>
    <row r="149" spans="1:19" ht="15" customHeight="1" x14ac:dyDescent="0.2">
      <c r="A149" s="17" t="s">
        <v>375</v>
      </c>
      <c r="B149" s="17" t="s">
        <v>880</v>
      </c>
      <c r="C149" s="15" t="s">
        <v>315</v>
      </c>
      <c r="D149" s="17">
        <v>6634327</v>
      </c>
      <c r="E149">
        <v>417796861</v>
      </c>
      <c r="F149" t="s">
        <v>721</v>
      </c>
      <c r="G149" s="12"/>
      <c r="H149" s="13">
        <v>0</v>
      </c>
      <c r="I149" s="14">
        <v>0</v>
      </c>
      <c r="J149" s="13">
        <v>18</v>
      </c>
      <c r="K149" s="13"/>
      <c r="L149" s="13">
        <v>18</v>
      </c>
      <c r="M149" s="13" t="s">
        <v>727</v>
      </c>
      <c r="N149" s="13"/>
      <c r="O149" s="13"/>
      <c r="P149" s="13"/>
      <c r="Q149" s="13"/>
      <c r="R149" s="13"/>
      <c r="S149" s="8"/>
    </row>
    <row r="150" spans="1:19" ht="15" customHeight="1" x14ac:dyDescent="0.2">
      <c r="A150" s="17" t="s">
        <v>329</v>
      </c>
      <c r="B150" s="17" t="s">
        <v>881</v>
      </c>
      <c r="C150" s="15" t="s">
        <v>314</v>
      </c>
      <c r="D150" s="17">
        <v>16865615</v>
      </c>
      <c r="E150">
        <v>419682359</v>
      </c>
      <c r="F150" t="s">
        <v>717</v>
      </c>
      <c r="G150" s="12">
        <v>45688</v>
      </c>
      <c r="H150" s="13">
        <v>537.94000000000005</v>
      </c>
      <c r="I150" s="14">
        <v>1.3819999999999999</v>
      </c>
      <c r="J150" s="13">
        <v>18</v>
      </c>
      <c r="K150" s="13"/>
      <c r="L150" s="13">
        <v>18</v>
      </c>
      <c r="M150" s="13" t="s">
        <v>727</v>
      </c>
      <c r="N150" s="13"/>
      <c r="O150" s="13"/>
      <c r="P150" s="13"/>
      <c r="Q150" s="13"/>
      <c r="R150" s="13"/>
      <c r="S150" s="8"/>
    </row>
    <row r="151" spans="1:19" ht="15" customHeight="1" x14ac:dyDescent="0.2">
      <c r="A151" s="17" t="s">
        <v>415</v>
      </c>
      <c r="B151" s="17" t="s">
        <v>882</v>
      </c>
      <c r="C151" s="15" t="s">
        <v>315</v>
      </c>
      <c r="D151" s="17">
        <v>6634327</v>
      </c>
      <c r="E151">
        <v>500003823</v>
      </c>
      <c r="F151" t="s">
        <v>725</v>
      </c>
      <c r="G151" s="12">
        <v>45672</v>
      </c>
      <c r="H151" s="13">
        <v>152.59</v>
      </c>
      <c r="I151" s="13"/>
      <c r="J151" s="13">
        <v>18</v>
      </c>
      <c r="K151" s="13"/>
      <c r="L151" s="13">
        <v>18</v>
      </c>
      <c r="M151" s="13" t="s">
        <v>727</v>
      </c>
      <c r="O151" s="13"/>
      <c r="P151" s="13"/>
      <c r="Q151" s="13"/>
      <c r="R151" s="8"/>
      <c r="S151" s="8"/>
    </row>
    <row r="163" spans="3:3" ht="15" customHeight="1" x14ac:dyDescent="0.2">
      <c r="C163" s="6">
        <v>1</v>
      </c>
    </row>
  </sheetData>
  <sortState xmlns:xlrd2="http://schemas.microsoft.com/office/spreadsheetml/2017/richdata2" ref="A2:AP184">
    <sortCondition ref="F2:F18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3AD6-6935-497C-B9FD-982F0CE6C0CC}">
  <dimension ref="A1:E151"/>
  <sheetViews>
    <sheetView topLeftCell="A132" workbookViewId="0">
      <selection activeCell="C2" sqref="C2:C151"/>
    </sheetView>
  </sheetViews>
  <sheetFormatPr defaultRowHeight="15" customHeight="1" x14ac:dyDescent="0.2"/>
  <cols>
    <col min="1" max="1" width="46" customWidth="1"/>
    <col min="3" max="3" width="22.33203125" customWidth="1"/>
    <col min="4" max="4" width="10.1640625" bestFit="1" customWidth="1"/>
    <col min="5" max="5" width="9.5" bestFit="1" customWidth="1"/>
  </cols>
  <sheetData>
    <row r="1" spans="1:5" ht="15" customHeight="1" x14ac:dyDescent="0.2">
      <c r="A1" s="19" t="s">
        <v>728</v>
      </c>
      <c r="B1" s="19" t="s">
        <v>729</v>
      </c>
      <c r="C1" s="19" t="s">
        <v>730</v>
      </c>
      <c r="D1" s="19" t="s">
        <v>731</v>
      </c>
      <c r="E1" s="19" t="s">
        <v>732</v>
      </c>
    </row>
    <row r="2" spans="1:5" ht="15" customHeight="1" x14ac:dyDescent="0.2">
      <c r="A2" s="17" t="s">
        <v>515</v>
      </c>
      <c r="B2" t="s">
        <v>514</v>
      </c>
      <c r="C2" t="str">
        <f t="shared" ref="C2:C33" si="0">CONCATENATE(B2, " ", A2)</f>
        <v>Scott Sutherland</v>
      </c>
      <c r="D2">
        <v>429404880</v>
      </c>
      <c r="E2" t="s">
        <v>720</v>
      </c>
    </row>
    <row r="3" spans="1:5" ht="15" customHeight="1" x14ac:dyDescent="0.2">
      <c r="A3" s="17" t="s">
        <v>689</v>
      </c>
      <c r="B3" t="s">
        <v>690</v>
      </c>
      <c r="C3" t="str">
        <f t="shared" si="0"/>
        <v>Donnece Selvage</v>
      </c>
      <c r="D3">
        <v>428764509</v>
      </c>
      <c r="E3" t="s">
        <v>726</v>
      </c>
    </row>
    <row r="4" spans="1:5" ht="15" customHeight="1" x14ac:dyDescent="0.2">
      <c r="A4" s="17" t="s">
        <v>691</v>
      </c>
      <c r="B4" t="s">
        <v>692</v>
      </c>
      <c r="C4" t="str">
        <f t="shared" si="0"/>
        <v>BRAD G SHEPHERD</v>
      </c>
      <c r="D4">
        <v>423716568</v>
      </c>
      <c r="E4" t="s">
        <v>726</v>
      </c>
    </row>
    <row r="5" spans="1:5" ht="15" customHeight="1" x14ac:dyDescent="0.2">
      <c r="A5" s="17" t="s">
        <v>490</v>
      </c>
      <c r="B5" t="s">
        <v>491</v>
      </c>
      <c r="C5" t="str">
        <f t="shared" si="0"/>
        <v>Tom Fisher</v>
      </c>
      <c r="D5">
        <v>425779753</v>
      </c>
      <c r="E5" t="s">
        <v>718</v>
      </c>
    </row>
    <row r="6" spans="1:5" ht="15" customHeight="1" x14ac:dyDescent="0.2">
      <c r="A6" s="17" t="s">
        <v>628</v>
      </c>
      <c r="B6" t="s">
        <v>629</v>
      </c>
      <c r="C6" t="str">
        <f t="shared" si="0"/>
        <v>Brenda Luksch</v>
      </c>
      <c r="D6">
        <v>16504935</v>
      </c>
      <c r="E6" t="s">
        <v>718</v>
      </c>
    </row>
    <row r="7" spans="1:5" ht="15" customHeight="1" x14ac:dyDescent="0.2">
      <c r="A7" s="17" t="s">
        <v>470</v>
      </c>
      <c r="B7" t="s">
        <v>471</v>
      </c>
      <c r="C7" t="str">
        <f t="shared" si="0"/>
        <v>Carla Alejos</v>
      </c>
      <c r="D7">
        <v>412383467</v>
      </c>
      <c r="E7" t="s">
        <v>715</v>
      </c>
    </row>
    <row r="8" spans="1:5" ht="15" customHeight="1" x14ac:dyDescent="0.2">
      <c r="A8" s="15" t="s">
        <v>470</v>
      </c>
      <c r="B8" t="s">
        <v>472</v>
      </c>
      <c r="C8" t="str">
        <f t="shared" si="0"/>
        <v>Nerloune Alejos</v>
      </c>
      <c r="D8">
        <v>412383467</v>
      </c>
      <c r="E8" t="s">
        <v>715</v>
      </c>
    </row>
    <row r="9" spans="1:5" ht="15" customHeight="1" x14ac:dyDescent="0.2">
      <c r="A9" s="17" t="s">
        <v>473</v>
      </c>
      <c r="B9" t="s">
        <v>474</v>
      </c>
      <c r="C9" t="str">
        <f t="shared" si="0"/>
        <v>Gregory Alexander</v>
      </c>
      <c r="D9">
        <v>425590346</v>
      </c>
      <c r="E9" t="s">
        <v>715</v>
      </c>
    </row>
    <row r="10" spans="1:5" ht="15" customHeight="1" x14ac:dyDescent="0.2">
      <c r="A10" s="17" t="s">
        <v>475</v>
      </c>
      <c r="B10" t="s">
        <v>476</v>
      </c>
      <c r="C10" t="str">
        <f t="shared" si="0"/>
        <v>Bryn Brown</v>
      </c>
      <c r="D10">
        <v>433267663</v>
      </c>
      <c r="E10" t="s">
        <v>715</v>
      </c>
    </row>
    <row r="11" spans="1:5" ht="15" customHeight="1" x14ac:dyDescent="0.2">
      <c r="A11" s="15" t="s">
        <v>475</v>
      </c>
      <c r="B11" t="s">
        <v>477</v>
      </c>
      <c r="C11" t="str">
        <f t="shared" si="0"/>
        <v>Connor Brown</v>
      </c>
      <c r="D11">
        <v>433267663</v>
      </c>
      <c r="E11" t="s">
        <v>715</v>
      </c>
    </row>
    <row r="12" spans="1:5" ht="15" customHeight="1" x14ac:dyDescent="0.2">
      <c r="A12" s="15" t="s">
        <v>475</v>
      </c>
      <c r="B12" t="s">
        <v>478</v>
      </c>
      <c r="C12" t="str">
        <f t="shared" si="0"/>
        <v>Emmelyn Brown</v>
      </c>
      <c r="D12">
        <v>433267663</v>
      </c>
      <c r="E12" t="s">
        <v>715</v>
      </c>
    </row>
    <row r="13" spans="1:5" ht="15" customHeight="1" x14ac:dyDescent="0.2">
      <c r="A13" s="15" t="s">
        <v>475</v>
      </c>
      <c r="B13" t="s">
        <v>479</v>
      </c>
      <c r="C13" t="str">
        <f t="shared" si="0"/>
        <v>Jeremy Brown</v>
      </c>
      <c r="D13">
        <v>433267663</v>
      </c>
      <c r="E13" t="s">
        <v>715</v>
      </c>
    </row>
    <row r="14" spans="1:5" ht="15" customHeight="1" x14ac:dyDescent="0.2">
      <c r="A14" s="17" t="s">
        <v>480</v>
      </c>
      <c r="B14" t="s">
        <v>481</v>
      </c>
      <c r="C14" t="str">
        <f t="shared" si="0"/>
        <v>Robert Carroll</v>
      </c>
      <c r="D14">
        <v>426833132</v>
      </c>
      <c r="E14" t="s">
        <v>715</v>
      </c>
    </row>
    <row r="15" spans="1:5" ht="15" customHeight="1" x14ac:dyDescent="0.2">
      <c r="A15" s="17" t="s">
        <v>482</v>
      </c>
      <c r="B15" t="s">
        <v>483</v>
      </c>
      <c r="C15" t="str">
        <f t="shared" si="0"/>
        <v>Dray Chavez</v>
      </c>
      <c r="D15">
        <v>413177589</v>
      </c>
      <c r="E15" t="s">
        <v>715</v>
      </c>
    </row>
    <row r="16" spans="1:5" ht="15" customHeight="1" x14ac:dyDescent="0.2">
      <c r="A16" s="17" t="s">
        <v>488</v>
      </c>
      <c r="B16" t="s">
        <v>489</v>
      </c>
      <c r="C16" t="str">
        <f t="shared" si="0"/>
        <v>Jacob Dermont</v>
      </c>
      <c r="D16">
        <v>896018937</v>
      </c>
      <c r="E16" t="s">
        <v>715</v>
      </c>
    </row>
    <row r="17" spans="1:5" ht="15" customHeight="1" x14ac:dyDescent="0.2">
      <c r="A17" s="17" t="s">
        <v>492</v>
      </c>
      <c r="B17" t="s">
        <v>493</v>
      </c>
      <c r="C17" t="str">
        <f t="shared" si="0"/>
        <v>Audra Gorecki</v>
      </c>
      <c r="D17">
        <v>439303578</v>
      </c>
      <c r="E17" t="s">
        <v>715</v>
      </c>
    </row>
    <row r="18" spans="1:5" ht="15" customHeight="1" x14ac:dyDescent="0.2">
      <c r="A18" s="17" t="s">
        <v>496</v>
      </c>
      <c r="B18" t="s">
        <v>497</v>
      </c>
      <c r="C18" t="str">
        <f t="shared" si="0"/>
        <v>Grace Hardin</v>
      </c>
      <c r="D18">
        <v>426214221</v>
      </c>
      <c r="E18" t="s">
        <v>715</v>
      </c>
    </row>
    <row r="19" spans="1:5" ht="15" customHeight="1" x14ac:dyDescent="0.2">
      <c r="A19" s="17" t="s">
        <v>498</v>
      </c>
      <c r="B19" t="s">
        <v>499</v>
      </c>
      <c r="C19" t="str">
        <f t="shared" si="0"/>
        <v>Valorie Houston</v>
      </c>
      <c r="D19">
        <v>6310486</v>
      </c>
      <c r="E19" t="s">
        <v>715</v>
      </c>
    </row>
    <row r="20" spans="1:5" ht="15" customHeight="1" x14ac:dyDescent="0.2">
      <c r="A20" s="15" t="s">
        <v>498</v>
      </c>
      <c r="B20" t="s">
        <v>500</v>
      </c>
      <c r="C20" t="str">
        <f t="shared" si="0"/>
        <v>Harvey Houston</v>
      </c>
      <c r="D20">
        <v>6310486</v>
      </c>
      <c r="E20" t="s">
        <v>715</v>
      </c>
    </row>
    <row r="21" spans="1:5" ht="15" customHeight="1" x14ac:dyDescent="0.2">
      <c r="A21" s="17" t="s">
        <v>501</v>
      </c>
      <c r="B21" t="s">
        <v>502</v>
      </c>
      <c r="C21" t="str">
        <f t="shared" si="0"/>
        <v>Louie Hui</v>
      </c>
      <c r="D21">
        <v>439181459</v>
      </c>
      <c r="E21" t="s">
        <v>715</v>
      </c>
    </row>
    <row r="22" spans="1:5" ht="15" customHeight="1" x14ac:dyDescent="0.2">
      <c r="A22" s="15" t="s">
        <v>501</v>
      </c>
      <c r="B22" t="s">
        <v>503</v>
      </c>
      <c r="C22" t="str">
        <f t="shared" si="0"/>
        <v>Carmen Hui</v>
      </c>
      <c r="D22">
        <v>439181459</v>
      </c>
      <c r="E22" t="s">
        <v>715</v>
      </c>
    </row>
    <row r="23" spans="1:5" ht="15" customHeight="1" x14ac:dyDescent="0.2">
      <c r="A23" s="17" t="s">
        <v>504</v>
      </c>
      <c r="B23" t="s">
        <v>505</v>
      </c>
      <c r="C23" t="str">
        <f t="shared" si="0"/>
        <v>Donald Jensen</v>
      </c>
      <c r="D23">
        <v>435286222</v>
      </c>
      <c r="E23" t="s">
        <v>715</v>
      </c>
    </row>
    <row r="24" spans="1:5" ht="15" customHeight="1" x14ac:dyDescent="0.2">
      <c r="A24" s="17" t="s">
        <v>506</v>
      </c>
      <c r="B24" t="s">
        <v>507</v>
      </c>
      <c r="C24" t="str">
        <f t="shared" si="0"/>
        <v>Cody Nesmith</v>
      </c>
      <c r="D24">
        <v>37765666</v>
      </c>
      <c r="E24" t="s">
        <v>715</v>
      </c>
    </row>
    <row r="25" spans="1:5" ht="15" customHeight="1" x14ac:dyDescent="0.2">
      <c r="A25" s="17" t="s">
        <v>508</v>
      </c>
      <c r="B25" t="s">
        <v>509</v>
      </c>
      <c r="C25" t="str">
        <f t="shared" si="0"/>
        <v>Diego Reyna</v>
      </c>
      <c r="D25">
        <v>430271398</v>
      </c>
      <c r="E25" t="s">
        <v>715</v>
      </c>
    </row>
    <row r="26" spans="1:5" ht="15" customHeight="1" x14ac:dyDescent="0.2">
      <c r="A26" s="17" t="s">
        <v>510</v>
      </c>
      <c r="B26" t="s">
        <v>511</v>
      </c>
      <c r="C26" t="str">
        <f t="shared" si="0"/>
        <v>Stephen Riebling</v>
      </c>
      <c r="D26">
        <v>419109446</v>
      </c>
      <c r="E26" t="s">
        <v>715</v>
      </c>
    </row>
    <row r="27" spans="1:5" ht="15" customHeight="1" x14ac:dyDescent="0.2">
      <c r="A27" s="17" t="s">
        <v>512</v>
      </c>
      <c r="B27" t="s">
        <v>513</v>
      </c>
      <c r="C27" t="str">
        <f t="shared" si="0"/>
        <v>Ramona Ruybal</v>
      </c>
      <c r="D27">
        <v>426451590</v>
      </c>
      <c r="E27" t="s">
        <v>715</v>
      </c>
    </row>
    <row r="28" spans="1:5" ht="15" customHeight="1" x14ac:dyDescent="0.2">
      <c r="A28" s="17" t="s">
        <v>516</v>
      </c>
      <c r="B28" t="s">
        <v>494</v>
      </c>
      <c r="C28" t="str">
        <f t="shared" si="0"/>
        <v>John Trujillo</v>
      </c>
      <c r="D28">
        <v>415901429</v>
      </c>
      <c r="E28" t="s">
        <v>715</v>
      </c>
    </row>
    <row r="29" spans="1:5" ht="15" customHeight="1" x14ac:dyDescent="0.2">
      <c r="A29" s="17" t="s">
        <v>517</v>
      </c>
      <c r="B29" t="s">
        <v>518</v>
      </c>
      <c r="C29" t="str">
        <f t="shared" si="0"/>
        <v>Wendy Walter</v>
      </c>
      <c r="D29">
        <v>422935533</v>
      </c>
      <c r="E29" t="s">
        <v>715</v>
      </c>
    </row>
    <row r="30" spans="1:5" ht="15" customHeight="1" x14ac:dyDescent="0.2">
      <c r="A30" s="17" t="s">
        <v>523</v>
      </c>
      <c r="B30" t="s">
        <v>524</v>
      </c>
      <c r="C30" t="str">
        <f t="shared" si="0"/>
        <v>Lyudmila Agrich</v>
      </c>
      <c r="D30">
        <v>426980547</v>
      </c>
      <c r="E30" t="s">
        <v>715</v>
      </c>
    </row>
    <row r="31" spans="1:5" ht="15" customHeight="1" x14ac:dyDescent="0.2">
      <c r="A31" s="17" t="s">
        <v>523</v>
      </c>
      <c r="B31" t="s">
        <v>525</v>
      </c>
      <c r="C31" t="str">
        <f t="shared" si="0"/>
        <v>Sergy Agrich</v>
      </c>
      <c r="D31">
        <v>420984100</v>
      </c>
      <c r="E31" t="s">
        <v>715</v>
      </c>
    </row>
    <row r="32" spans="1:5" ht="15" customHeight="1" x14ac:dyDescent="0.2">
      <c r="A32" s="17" t="s">
        <v>526</v>
      </c>
      <c r="B32" t="s">
        <v>527</v>
      </c>
      <c r="C32" t="str">
        <f t="shared" si="0"/>
        <v>Korinne Akridge</v>
      </c>
      <c r="D32">
        <v>901733709</v>
      </c>
      <c r="E32" t="s">
        <v>715</v>
      </c>
    </row>
    <row r="33" spans="1:5" ht="15" customHeight="1" x14ac:dyDescent="0.2">
      <c r="A33" s="17" t="s">
        <v>530</v>
      </c>
      <c r="B33" t="s">
        <v>531</v>
      </c>
      <c r="C33" t="str">
        <f t="shared" si="0"/>
        <v>Stacey Anderson</v>
      </c>
      <c r="D33">
        <v>429597789</v>
      </c>
      <c r="E33" t="s">
        <v>715</v>
      </c>
    </row>
    <row r="34" spans="1:5" ht="15" customHeight="1" x14ac:dyDescent="0.2">
      <c r="A34" s="15" t="s">
        <v>530</v>
      </c>
      <c r="B34" t="s">
        <v>494</v>
      </c>
      <c r="C34" t="str">
        <f t="shared" ref="C34:C65" si="1">CONCATENATE(B34, " ", A34)</f>
        <v>John Anderson</v>
      </c>
      <c r="D34">
        <v>429597789</v>
      </c>
      <c r="E34" t="s">
        <v>715</v>
      </c>
    </row>
    <row r="35" spans="1:5" ht="15" customHeight="1" x14ac:dyDescent="0.2">
      <c r="A35" s="17" t="s">
        <v>538</v>
      </c>
      <c r="B35" t="s">
        <v>539</v>
      </c>
      <c r="C35" t="str">
        <f t="shared" si="1"/>
        <v>Carey Bell</v>
      </c>
      <c r="D35">
        <v>424950344</v>
      </c>
      <c r="E35" t="s">
        <v>715</v>
      </c>
    </row>
    <row r="36" spans="1:5" ht="15" customHeight="1" x14ac:dyDescent="0.2">
      <c r="A36" s="17" t="s">
        <v>542</v>
      </c>
      <c r="B36" t="s">
        <v>543</v>
      </c>
      <c r="C36" t="str">
        <f t="shared" si="1"/>
        <v>Jaime Bourbonnie</v>
      </c>
      <c r="D36">
        <v>901207977</v>
      </c>
      <c r="E36" t="s">
        <v>715</v>
      </c>
    </row>
    <row r="37" spans="1:5" ht="15" customHeight="1" x14ac:dyDescent="0.2">
      <c r="A37" s="17" t="s">
        <v>544</v>
      </c>
      <c r="B37" t="s">
        <v>522</v>
      </c>
      <c r="C37" t="str">
        <f t="shared" si="1"/>
        <v>Emma Bray</v>
      </c>
      <c r="D37">
        <v>900938867</v>
      </c>
      <c r="E37" t="s">
        <v>715</v>
      </c>
    </row>
    <row r="38" spans="1:5" ht="15" customHeight="1" x14ac:dyDescent="0.2">
      <c r="A38" s="17" t="s">
        <v>475</v>
      </c>
      <c r="B38" t="s">
        <v>545</v>
      </c>
      <c r="C38" t="str">
        <f t="shared" si="1"/>
        <v>Pamela Brown</v>
      </c>
      <c r="D38">
        <v>423892986</v>
      </c>
      <c r="E38" t="s">
        <v>715</v>
      </c>
    </row>
    <row r="39" spans="1:5" ht="15" customHeight="1" x14ac:dyDescent="0.2">
      <c r="A39" s="17" t="s">
        <v>546</v>
      </c>
      <c r="B39" t="s">
        <v>547</v>
      </c>
      <c r="C39" t="str">
        <f t="shared" si="1"/>
        <v>Lacey Brunkhardt</v>
      </c>
      <c r="D39">
        <v>38549380</v>
      </c>
      <c r="E39" t="s">
        <v>715</v>
      </c>
    </row>
    <row r="40" spans="1:5" ht="15" customHeight="1" x14ac:dyDescent="0.2">
      <c r="A40" s="17" t="s">
        <v>548</v>
      </c>
      <c r="B40" t="s">
        <v>549</v>
      </c>
      <c r="C40" t="str">
        <f t="shared" si="1"/>
        <v>Donna Buffington</v>
      </c>
      <c r="D40">
        <v>415541253</v>
      </c>
      <c r="E40" t="s">
        <v>715</v>
      </c>
    </row>
    <row r="41" spans="1:5" ht="15" customHeight="1" x14ac:dyDescent="0.2">
      <c r="A41" s="15" t="s">
        <v>548</v>
      </c>
      <c r="B41" t="s">
        <v>550</v>
      </c>
      <c r="C41" t="str">
        <f t="shared" si="1"/>
        <v>Avery Buffington</v>
      </c>
      <c r="D41">
        <v>415541253</v>
      </c>
      <c r="E41" t="s">
        <v>715</v>
      </c>
    </row>
    <row r="42" spans="1:5" ht="15" customHeight="1" x14ac:dyDescent="0.2">
      <c r="A42" s="15" t="s">
        <v>548</v>
      </c>
      <c r="B42" t="s">
        <v>551</v>
      </c>
      <c r="C42" t="str">
        <f t="shared" si="1"/>
        <v>Dean Buffington</v>
      </c>
      <c r="D42">
        <v>415541253</v>
      </c>
      <c r="E42" t="s">
        <v>715</v>
      </c>
    </row>
    <row r="43" spans="1:5" ht="15" customHeight="1" x14ac:dyDescent="0.2">
      <c r="A43" s="17" t="s">
        <v>552</v>
      </c>
      <c r="B43" t="s">
        <v>553</v>
      </c>
      <c r="C43" t="str">
        <f t="shared" si="1"/>
        <v>Xiaoqian Butyn</v>
      </c>
      <c r="D43">
        <v>901300310</v>
      </c>
      <c r="E43" t="s">
        <v>715</v>
      </c>
    </row>
    <row r="44" spans="1:5" ht="15" customHeight="1" x14ac:dyDescent="0.2">
      <c r="A44" s="17" t="s">
        <v>554</v>
      </c>
      <c r="B44" t="s">
        <v>555</v>
      </c>
      <c r="C44" t="str">
        <f t="shared" si="1"/>
        <v>Holly CalleroPenny</v>
      </c>
      <c r="D44">
        <v>427047076</v>
      </c>
      <c r="E44" t="s">
        <v>715</v>
      </c>
    </row>
    <row r="45" spans="1:5" ht="15" customHeight="1" x14ac:dyDescent="0.2">
      <c r="A45" s="15" t="s">
        <v>556</v>
      </c>
      <c r="B45" t="s">
        <v>557</v>
      </c>
      <c r="C45" t="str">
        <f t="shared" si="1"/>
        <v>Madison Penny</v>
      </c>
      <c r="D45">
        <v>427047076</v>
      </c>
      <c r="E45" t="s">
        <v>715</v>
      </c>
    </row>
    <row r="46" spans="1:5" ht="15" customHeight="1" x14ac:dyDescent="0.2">
      <c r="A46" s="17" t="s">
        <v>558</v>
      </c>
      <c r="B46" t="s">
        <v>559</v>
      </c>
      <c r="C46" t="str">
        <f t="shared" si="1"/>
        <v>Kevin Chen</v>
      </c>
      <c r="D46">
        <v>410763562</v>
      </c>
      <c r="E46" t="s">
        <v>715</v>
      </c>
    </row>
    <row r="47" spans="1:5" ht="15" customHeight="1" x14ac:dyDescent="0.2">
      <c r="A47" s="17" t="s">
        <v>560</v>
      </c>
      <c r="B47" t="s">
        <v>561</v>
      </c>
      <c r="C47" t="str">
        <f t="shared" si="1"/>
        <v>Jeff Chichester</v>
      </c>
      <c r="D47">
        <v>419276807</v>
      </c>
      <c r="E47" t="s">
        <v>715</v>
      </c>
    </row>
    <row r="48" spans="1:5" ht="15" customHeight="1" x14ac:dyDescent="0.2">
      <c r="A48" s="17" t="s">
        <v>562</v>
      </c>
      <c r="B48" t="s">
        <v>563</v>
      </c>
      <c r="C48" t="str">
        <f t="shared" si="1"/>
        <v>Rachel Colorosa</v>
      </c>
      <c r="D48">
        <v>434216376</v>
      </c>
      <c r="E48" t="s">
        <v>715</v>
      </c>
    </row>
    <row r="49" spans="1:5" ht="15" customHeight="1" x14ac:dyDescent="0.2">
      <c r="A49" s="17" t="s">
        <v>568</v>
      </c>
      <c r="B49" t="s">
        <v>569</v>
      </c>
      <c r="C49" t="str">
        <f t="shared" si="1"/>
        <v>Angela Craig</v>
      </c>
      <c r="D49">
        <v>418121627</v>
      </c>
      <c r="E49" t="s">
        <v>715</v>
      </c>
    </row>
    <row r="50" spans="1:5" ht="15" customHeight="1" x14ac:dyDescent="0.2">
      <c r="A50" s="17" t="s">
        <v>574</v>
      </c>
      <c r="B50" t="s">
        <v>575</v>
      </c>
      <c r="C50" t="str">
        <f t="shared" si="1"/>
        <v>Justin Ewing</v>
      </c>
      <c r="D50">
        <v>425707474</v>
      </c>
      <c r="E50" t="s">
        <v>715</v>
      </c>
    </row>
    <row r="51" spans="1:5" ht="15" customHeight="1" x14ac:dyDescent="0.2">
      <c r="A51" s="15" t="s">
        <v>574</v>
      </c>
      <c r="B51" t="s">
        <v>576</v>
      </c>
      <c r="C51" t="str">
        <f t="shared" si="1"/>
        <v>Danielle Ewing</v>
      </c>
      <c r="D51">
        <v>425707474</v>
      </c>
      <c r="E51" t="s">
        <v>715</v>
      </c>
    </row>
    <row r="52" spans="1:5" ht="15" customHeight="1" x14ac:dyDescent="0.2">
      <c r="A52" s="17" t="s">
        <v>577</v>
      </c>
      <c r="B52" t="s">
        <v>578</v>
      </c>
      <c r="C52" t="str">
        <f t="shared" si="1"/>
        <v>Lorraine Freeman</v>
      </c>
      <c r="D52">
        <v>416050800</v>
      </c>
      <c r="E52" t="s">
        <v>715</v>
      </c>
    </row>
    <row r="53" spans="1:5" ht="15" customHeight="1" x14ac:dyDescent="0.2">
      <c r="A53" s="17" t="s">
        <v>579</v>
      </c>
      <c r="B53" t="s">
        <v>580</v>
      </c>
      <c r="C53" t="str">
        <f t="shared" si="1"/>
        <v>Michael Friend</v>
      </c>
      <c r="D53">
        <v>434214198</v>
      </c>
      <c r="E53" t="s">
        <v>715</v>
      </c>
    </row>
    <row r="54" spans="1:5" ht="15" customHeight="1" x14ac:dyDescent="0.2">
      <c r="A54" s="15" t="s">
        <v>579</v>
      </c>
      <c r="B54" t="s">
        <v>581</v>
      </c>
      <c r="C54" t="str">
        <f t="shared" si="1"/>
        <v>Alyssa Friend</v>
      </c>
      <c r="D54">
        <v>434214198</v>
      </c>
      <c r="E54" t="s">
        <v>715</v>
      </c>
    </row>
    <row r="55" spans="1:5" ht="15" customHeight="1" x14ac:dyDescent="0.2">
      <c r="A55" s="17" t="s">
        <v>579</v>
      </c>
      <c r="B55" t="s">
        <v>582</v>
      </c>
      <c r="C55" t="str">
        <f t="shared" si="1"/>
        <v>Ryan Friend</v>
      </c>
      <c r="D55">
        <v>412416118</v>
      </c>
      <c r="E55" t="s">
        <v>715</v>
      </c>
    </row>
    <row r="56" spans="1:5" ht="15" customHeight="1" x14ac:dyDescent="0.2">
      <c r="A56" s="15" t="s">
        <v>579</v>
      </c>
      <c r="B56" t="s">
        <v>583</v>
      </c>
      <c r="C56" t="str">
        <f t="shared" si="1"/>
        <v>Della Friend</v>
      </c>
      <c r="D56">
        <v>412416118</v>
      </c>
      <c r="E56" t="s">
        <v>715</v>
      </c>
    </row>
    <row r="57" spans="1:5" ht="15" customHeight="1" x14ac:dyDescent="0.2">
      <c r="A57" s="17" t="s">
        <v>584</v>
      </c>
      <c r="B57" t="s">
        <v>520</v>
      </c>
      <c r="C57" t="str">
        <f t="shared" si="1"/>
        <v>Elizabeth Gallagher</v>
      </c>
      <c r="D57">
        <v>423385752</v>
      </c>
      <c r="E57" t="s">
        <v>715</v>
      </c>
    </row>
    <row r="58" spans="1:5" ht="15" customHeight="1" x14ac:dyDescent="0.2">
      <c r="A58" s="17" t="s">
        <v>585</v>
      </c>
      <c r="B58" t="s">
        <v>586</v>
      </c>
      <c r="C58" t="str">
        <f t="shared" si="1"/>
        <v>Sabrina Garcia</v>
      </c>
      <c r="D58">
        <v>417901174</v>
      </c>
      <c r="E58" t="s">
        <v>715</v>
      </c>
    </row>
    <row r="59" spans="1:5" ht="15" customHeight="1" x14ac:dyDescent="0.2">
      <c r="A59" s="17" t="s">
        <v>587</v>
      </c>
      <c r="B59" t="s">
        <v>588</v>
      </c>
      <c r="C59" t="str">
        <f t="shared" si="1"/>
        <v>Svetlana Gusakova</v>
      </c>
      <c r="D59">
        <v>421591927</v>
      </c>
      <c r="E59" t="s">
        <v>715</v>
      </c>
    </row>
    <row r="60" spans="1:5" ht="15" customHeight="1" x14ac:dyDescent="0.2">
      <c r="A60" s="15" t="s">
        <v>589</v>
      </c>
      <c r="B60" t="s">
        <v>590</v>
      </c>
      <c r="C60" t="str">
        <f t="shared" si="1"/>
        <v>Gennady Gusakov</v>
      </c>
      <c r="D60">
        <v>421591927</v>
      </c>
      <c r="E60" t="s">
        <v>715</v>
      </c>
    </row>
    <row r="61" spans="1:5" ht="15" customHeight="1" x14ac:dyDescent="0.2">
      <c r="A61" s="17" t="s">
        <v>591</v>
      </c>
      <c r="B61" t="s">
        <v>592</v>
      </c>
      <c r="C61" t="str">
        <f t="shared" si="1"/>
        <v>Jann Hardy</v>
      </c>
      <c r="D61">
        <v>412287300</v>
      </c>
      <c r="E61" t="s">
        <v>715</v>
      </c>
    </row>
    <row r="62" spans="1:5" ht="15" customHeight="1" x14ac:dyDescent="0.2">
      <c r="A62" s="17" t="s">
        <v>593</v>
      </c>
      <c r="B62" t="s">
        <v>484</v>
      </c>
      <c r="C62" t="str">
        <f t="shared" si="1"/>
        <v>Jeffrey Harsh</v>
      </c>
      <c r="D62">
        <v>423779928</v>
      </c>
      <c r="E62" t="s">
        <v>715</v>
      </c>
    </row>
    <row r="63" spans="1:5" ht="15" customHeight="1" x14ac:dyDescent="0.2">
      <c r="A63" s="17" t="s">
        <v>594</v>
      </c>
      <c r="B63" t="s">
        <v>595</v>
      </c>
      <c r="C63" t="str">
        <f t="shared" si="1"/>
        <v>Augustus Hearns</v>
      </c>
      <c r="D63">
        <v>424615984</v>
      </c>
      <c r="E63" t="s">
        <v>715</v>
      </c>
    </row>
    <row r="64" spans="1:5" ht="15" customHeight="1" x14ac:dyDescent="0.2">
      <c r="A64" s="17" t="s">
        <v>596</v>
      </c>
      <c r="B64" t="s">
        <v>597</v>
      </c>
      <c r="C64" t="str">
        <f t="shared" si="1"/>
        <v>Jonathon Hemley</v>
      </c>
      <c r="D64">
        <v>426986950</v>
      </c>
      <c r="E64" t="s">
        <v>715</v>
      </c>
    </row>
    <row r="65" spans="1:5" ht="15" customHeight="1" x14ac:dyDescent="0.2">
      <c r="A65" s="17" t="s">
        <v>598</v>
      </c>
      <c r="B65" t="s">
        <v>599</v>
      </c>
      <c r="C65" t="str">
        <f t="shared" si="1"/>
        <v>Sonya House</v>
      </c>
      <c r="D65">
        <v>424576869</v>
      </c>
      <c r="E65" t="s">
        <v>715</v>
      </c>
    </row>
    <row r="66" spans="1:5" ht="15" customHeight="1" x14ac:dyDescent="0.2">
      <c r="A66" s="17" t="s">
        <v>600</v>
      </c>
      <c r="B66" t="s">
        <v>601</v>
      </c>
      <c r="C66" t="str">
        <f t="shared" ref="C66:C97" si="2">CONCATENATE(B66, " ", A66)</f>
        <v>Dennison Howard</v>
      </c>
      <c r="D66">
        <v>437229971</v>
      </c>
      <c r="E66" t="s">
        <v>715</v>
      </c>
    </row>
    <row r="67" spans="1:5" ht="15" customHeight="1" x14ac:dyDescent="0.2">
      <c r="A67" s="17" t="s">
        <v>600</v>
      </c>
      <c r="B67" t="s">
        <v>520</v>
      </c>
      <c r="C67" t="str">
        <f t="shared" si="2"/>
        <v>Elizabeth Howard</v>
      </c>
      <c r="D67">
        <v>429783847</v>
      </c>
      <c r="E67" t="s">
        <v>715</v>
      </c>
    </row>
    <row r="68" spans="1:5" ht="15" customHeight="1" x14ac:dyDescent="0.2">
      <c r="A68" s="15" t="s">
        <v>600</v>
      </c>
      <c r="B68" t="s">
        <v>484</v>
      </c>
      <c r="C68" t="str">
        <f t="shared" si="2"/>
        <v>Jeffrey Howard</v>
      </c>
      <c r="D68">
        <v>429783847</v>
      </c>
      <c r="E68" t="s">
        <v>715</v>
      </c>
    </row>
    <row r="69" spans="1:5" ht="15" customHeight="1" x14ac:dyDescent="0.2">
      <c r="A69" s="17" t="s">
        <v>602</v>
      </c>
      <c r="B69" t="s">
        <v>520</v>
      </c>
      <c r="C69" t="str">
        <f t="shared" si="2"/>
        <v>Elizabeth howell</v>
      </c>
      <c r="D69">
        <v>420401758</v>
      </c>
      <c r="E69" t="s">
        <v>715</v>
      </c>
    </row>
    <row r="70" spans="1:5" ht="15" customHeight="1" x14ac:dyDescent="0.2">
      <c r="A70" s="15" t="s">
        <v>603</v>
      </c>
      <c r="B70" t="s">
        <v>604</v>
      </c>
      <c r="C70" t="str">
        <f t="shared" si="2"/>
        <v>Brian Howell</v>
      </c>
      <c r="D70">
        <v>420401758</v>
      </c>
      <c r="E70" t="s">
        <v>715</v>
      </c>
    </row>
    <row r="71" spans="1:5" ht="15" customHeight="1" x14ac:dyDescent="0.2">
      <c r="A71" s="15" t="s">
        <v>603</v>
      </c>
      <c r="B71" t="s">
        <v>605</v>
      </c>
      <c r="C71" t="str">
        <f t="shared" si="2"/>
        <v>Pierce Howell</v>
      </c>
      <c r="D71">
        <v>420401758</v>
      </c>
      <c r="E71" t="s">
        <v>715</v>
      </c>
    </row>
    <row r="72" spans="1:5" ht="15" customHeight="1" x14ac:dyDescent="0.2">
      <c r="A72" s="17" t="s">
        <v>606</v>
      </c>
      <c r="B72" t="s">
        <v>607</v>
      </c>
      <c r="C72" t="str">
        <f t="shared" si="2"/>
        <v>Jannay Jackson</v>
      </c>
      <c r="D72">
        <v>39325600</v>
      </c>
      <c r="E72" t="s">
        <v>715</v>
      </c>
    </row>
    <row r="73" spans="1:5" ht="15" customHeight="1" x14ac:dyDescent="0.2">
      <c r="A73" s="15" t="s">
        <v>606</v>
      </c>
      <c r="B73" t="s">
        <v>608</v>
      </c>
      <c r="C73" t="str">
        <f t="shared" si="2"/>
        <v>Hanna Jackson</v>
      </c>
      <c r="D73">
        <v>39325600</v>
      </c>
      <c r="E73" t="s">
        <v>715</v>
      </c>
    </row>
    <row r="74" spans="1:5" ht="15" customHeight="1" x14ac:dyDescent="0.2">
      <c r="A74" s="17" t="s">
        <v>609</v>
      </c>
      <c r="B74" t="s">
        <v>313</v>
      </c>
      <c r="C74" t="str">
        <f t="shared" si="2"/>
        <v>Jan Jelinek</v>
      </c>
      <c r="D74">
        <v>9215176</v>
      </c>
      <c r="E74" t="s">
        <v>715</v>
      </c>
    </row>
    <row r="75" spans="1:5" ht="15" customHeight="1" x14ac:dyDescent="0.2">
      <c r="A75" s="17" t="s">
        <v>610</v>
      </c>
      <c r="B75" t="s">
        <v>611</v>
      </c>
      <c r="C75" t="str">
        <f t="shared" si="2"/>
        <v>Jonathan Jett</v>
      </c>
      <c r="D75">
        <v>426465912</v>
      </c>
      <c r="E75" t="s">
        <v>715</v>
      </c>
    </row>
    <row r="76" spans="1:5" ht="15" customHeight="1" x14ac:dyDescent="0.2">
      <c r="A76" s="17" t="s">
        <v>612</v>
      </c>
      <c r="B76" t="s">
        <v>613</v>
      </c>
      <c r="C76" t="str">
        <f t="shared" si="2"/>
        <v>Juanita Kamagi</v>
      </c>
      <c r="D76">
        <v>901744406</v>
      </c>
      <c r="E76" t="s">
        <v>715</v>
      </c>
    </row>
    <row r="77" spans="1:5" ht="15" customHeight="1" x14ac:dyDescent="0.2">
      <c r="A77" s="17" t="s">
        <v>614</v>
      </c>
      <c r="B77" t="s">
        <v>615</v>
      </c>
      <c r="C77" t="str">
        <f t="shared" si="2"/>
        <v>Blaine Keel</v>
      </c>
      <c r="D77">
        <v>422950024</v>
      </c>
      <c r="E77" t="s">
        <v>715</v>
      </c>
    </row>
    <row r="78" spans="1:5" ht="15" customHeight="1" x14ac:dyDescent="0.2">
      <c r="A78" s="17" t="s">
        <v>616</v>
      </c>
      <c r="B78" t="s">
        <v>617</v>
      </c>
      <c r="C78" t="str">
        <f t="shared" si="2"/>
        <v>Nadim Khan</v>
      </c>
      <c r="D78">
        <v>426567500</v>
      </c>
      <c r="E78" t="s">
        <v>715</v>
      </c>
    </row>
    <row r="79" spans="1:5" ht="15" customHeight="1" x14ac:dyDescent="0.2">
      <c r="A79" s="17" t="s">
        <v>618</v>
      </c>
      <c r="B79" t="s">
        <v>619</v>
      </c>
      <c r="C79" t="str">
        <f t="shared" si="2"/>
        <v>Janet Kritlow</v>
      </c>
      <c r="D79">
        <v>413515976</v>
      </c>
      <c r="E79" t="s">
        <v>715</v>
      </c>
    </row>
    <row r="80" spans="1:5" ht="15" customHeight="1" x14ac:dyDescent="0.2">
      <c r="A80" s="17" t="s">
        <v>624</v>
      </c>
      <c r="B80" t="s">
        <v>484</v>
      </c>
      <c r="C80" t="str">
        <f t="shared" si="2"/>
        <v>Jeffrey Lewis</v>
      </c>
      <c r="D80">
        <v>428782631</v>
      </c>
      <c r="E80" t="s">
        <v>715</v>
      </c>
    </row>
    <row r="81" spans="1:5" ht="15" customHeight="1" x14ac:dyDescent="0.2">
      <c r="A81" s="15" t="s">
        <v>624</v>
      </c>
      <c r="B81" t="s">
        <v>625</v>
      </c>
      <c r="C81" t="str">
        <f t="shared" si="2"/>
        <v>Lillian Lewis</v>
      </c>
      <c r="D81">
        <v>428782631</v>
      </c>
      <c r="E81" t="s">
        <v>715</v>
      </c>
    </row>
    <row r="82" spans="1:5" ht="15" customHeight="1" x14ac:dyDescent="0.2">
      <c r="A82" s="15" t="s">
        <v>624</v>
      </c>
      <c r="B82" t="s">
        <v>626</v>
      </c>
      <c r="C82" t="str">
        <f t="shared" si="2"/>
        <v>Lisa Lewis</v>
      </c>
      <c r="D82">
        <v>428782631</v>
      </c>
      <c r="E82" t="s">
        <v>715</v>
      </c>
    </row>
    <row r="83" spans="1:5" ht="15" customHeight="1" x14ac:dyDescent="0.2">
      <c r="A83" s="15" t="s">
        <v>624</v>
      </c>
      <c r="B83" t="s">
        <v>627</v>
      </c>
      <c r="C83" t="str">
        <f t="shared" si="2"/>
        <v>Logan Lewis</v>
      </c>
      <c r="D83">
        <v>428782631</v>
      </c>
      <c r="E83" t="s">
        <v>715</v>
      </c>
    </row>
    <row r="84" spans="1:5" ht="15" customHeight="1" x14ac:dyDescent="0.2">
      <c r="A84" s="17" t="s">
        <v>632</v>
      </c>
      <c r="B84" t="s">
        <v>633</v>
      </c>
      <c r="C84" t="str">
        <f t="shared" si="2"/>
        <v>Sarah Martin</v>
      </c>
      <c r="D84">
        <v>436270126</v>
      </c>
      <c r="E84" t="s">
        <v>715</v>
      </c>
    </row>
    <row r="85" spans="1:5" ht="15" customHeight="1" x14ac:dyDescent="0.2">
      <c r="A85" s="15" t="s">
        <v>634</v>
      </c>
      <c r="B85" t="s">
        <v>484</v>
      </c>
      <c r="C85" t="str">
        <f t="shared" si="2"/>
        <v>Jeffrey Davies</v>
      </c>
      <c r="D85">
        <v>436270126</v>
      </c>
      <c r="E85" t="s">
        <v>715</v>
      </c>
    </row>
    <row r="86" spans="1:5" ht="15" customHeight="1" x14ac:dyDescent="0.2">
      <c r="A86" s="17" t="s">
        <v>635</v>
      </c>
      <c r="B86" t="s">
        <v>636</v>
      </c>
      <c r="C86" t="str">
        <f t="shared" si="2"/>
        <v>Terri McCann</v>
      </c>
      <c r="D86">
        <v>428593838</v>
      </c>
      <c r="E86" t="s">
        <v>715</v>
      </c>
    </row>
    <row r="87" spans="1:5" ht="15" customHeight="1" x14ac:dyDescent="0.2">
      <c r="A87" s="17" t="s">
        <v>637</v>
      </c>
      <c r="B87" t="s">
        <v>638</v>
      </c>
      <c r="C87" t="str">
        <f t="shared" si="2"/>
        <v>Bryant McCracken</v>
      </c>
      <c r="D87">
        <v>416966415</v>
      </c>
      <c r="E87" t="s">
        <v>715</v>
      </c>
    </row>
    <row r="88" spans="1:5" ht="15" customHeight="1" x14ac:dyDescent="0.2">
      <c r="A88" s="17" t="s">
        <v>641</v>
      </c>
      <c r="B88" t="s">
        <v>642</v>
      </c>
      <c r="C88" t="str">
        <f t="shared" si="2"/>
        <v>Sheila Messmer</v>
      </c>
      <c r="D88">
        <v>412834592</v>
      </c>
      <c r="E88" t="s">
        <v>715</v>
      </c>
    </row>
    <row r="89" spans="1:5" ht="15" customHeight="1" x14ac:dyDescent="0.2">
      <c r="A89" s="15" t="s">
        <v>641</v>
      </c>
      <c r="B89" t="s">
        <v>497</v>
      </c>
      <c r="C89" t="str">
        <f t="shared" si="2"/>
        <v>Grace Messmer</v>
      </c>
      <c r="D89">
        <v>412834592</v>
      </c>
      <c r="E89" t="s">
        <v>715</v>
      </c>
    </row>
    <row r="90" spans="1:5" ht="15" customHeight="1" x14ac:dyDescent="0.2">
      <c r="A90" s="17" t="s">
        <v>643</v>
      </c>
      <c r="B90" t="s">
        <v>644</v>
      </c>
      <c r="C90" t="str">
        <f t="shared" si="2"/>
        <v>Kay Moriarity</v>
      </c>
      <c r="D90">
        <v>415118730</v>
      </c>
      <c r="E90" t="s">
        <v>715</v>
      </c>
    </row>
    <row r="91" spans="1:5" ht="15" customHeight="1" x14ac:dyDescent="0.2">
      <c r="A91" s="17" t="s">
        <v>645</v>
      </c>
      <c r="B91" t="s">
        <v>646</v>
      </c>
      <c r="C91" t="str">
        <f t="shared" si="2"/>
        <v>Carine Murr</v>
      </c>
      <c r="D91">
        <v>424614531</v>
      </c>
      <c r="E91" t="s">
        <v>715</v>
      </c>
    </row>
    <row r="92" spans="1:5" ht="15" customHeight="1" x14ac:dyDescent="0.2">
      <c r="A92" s="17" t="s">
        <v>647</v>
      </c>
      <c r="B92" t="s">
        <v>648</v>
      </c>
      <c r="C92" t="str">
        <f t="shared" si="2"/>
        <v>Janene Nachtsheim</v>
      </c>
      <c r="D92">
        <v>18719954</v>
      </c>
      <c r="E92" t="s">
        <v>715</v>
      </c>
    </row>
    <row r="93" spans="1:5" ht="15" customHeight="1" x14ac:dyDescent="0.2">
      <c r="A93" s="15" t="s">
        <v>647</v>
      </c>
      <c r="B93" t="s">
        <v>649</v>
      </c>
      <c r="C93" t="str">
        <f t="shared" si="2"/>
        <v>Steve Nachtsheim</v>
      </c>
      <c r="D93">
        <v>18719954</v>
      </c>
      <c r="E93" t="s">
        <v>715</v>
      </c>
    </row>
    <row r="94" spans="1:5" ht="15" customHeight="1" x14ac:dyDescent="0.2">
      <c r="A94" s="17" t="s">
        <v>650</v>
      </c>
      <c r="B94" t="s">
        <v>651</v>
      </c>
      <c r="C94" t="str">
        <f t="shared" si="2"/>
        <v>Gabrielle Oldfield</v>
      </c>
      <c r="D94">
        <v>424151578</v>
      </c>
      <c r="E94" t="s">
        <v>715</v>
      </c>
    </row>
    <row r="95" spans="1:5" ht="15" customHeight="1" x14ac:dyDescent="0.2">
      <c r="A95" s="15" t="s">
        <v>650</v>
      </c>
      <c r="B95" t="s">
        <v>481</v>
      </c>
      <c r="C95" t="str">
        <f t="shared" si="2"/>
        <v>Robert Oldfield</v>
      </c>
      <c r="D95">
        <v>424151578</v>
      </c>
      <c r="E95" t="s">
        <v>715</v>
      </c>
    </row>
    <row r="96" spans="1:5" ht="15" customHeight="1" x14ac:dyDescent="0.2">
      <c r="A96" s="17" t="s">
        <v>652</v>
      </c>
      <c r="B96" t="s">
        <v>653</v>
      </c>
      <c r="C96" t="str">
        <f t="shared" si="2"/>
        <v>Albert Palar</v>
      </c>
      <c r="D96">
        <v>424781737</v>
      </c>
      <c r="E96" t="s">
        <v>715</v>
      </c>
    </row>
    <row r="97" spans="1:5" ht="15" customHeight="1" x14ac:dyDescent="0.2">
      <c r="A97" s="15" t="s">
        <v>654</v>
      </c>
      <c r="B97" t="s">
        <v>655</v>
      </c>
      <c r="C97" t="str">
        <f t="shared" si="2"/>
        <v>Ellen Pioh</v>
      </c>
      <c r="D97">
        <v>424781737</v>
      </c>
      <c r="E97" t="s">
        <v>715</v>
      </c>
    </row>
    <row r="98" spans="1:5" ht="15" customHeight="1" x14ac:dyDescent="0.2">
      <c r="A98" s="17" t="s">
        <v>656</v>
      </c>
      <c r="B98" t="s">
        <v>657</v>
      </c>
      <c r="C98" t="str">
        <f t="shared" ref="C98:C129" si="3">CONCATENATE(B98, " ", A98)</f>
        <v>Angella Pangemanan</v>
      </c>
      <c r="D98">
        <v>432255095</v>
      </c>
      <c r="E98" t="s">
        <v>715</v>
      </c>
    </row>
    <row r="99" spans="1:5" ht="15" customHeight="1" x14ac:dyDescent="0.2">
      <c r="A99" s="17" t="s">
        <v>658</v>
      </c>
      <c r="B99" t="s">
        <v>659</v>
      </c>
      <c r="C99" t="str">
        <f t="shared" si="3"/>
        <v>Kishori Pokharel</v>
      </c>
      <c r="D99">
        <v>437196640</v>
      </c>
      <c r="E99" t="s">
        <v>715</v>
      </c>
    </row>
    <row r="100" spans="1:5" ht="15" customHeight="1" x14ac:dyDescent="0.2">
      <c r="A100" s="17" t="s">
        <v>660</v>
      </c>
      <c r="B100" t="s">
        <v>580</v>
      </c>
      <c r="C100" t="str">
        <f t="shared" si="3"/>
        <v>Michael Prendergast</v>
      </c>
      <c r="D100">
        <v>428590934</v>
      </c>
      <c r="E100" t="s">
        <v>715</v>
      </c>
    </row>
    <row r="101" spans="1:5" ht="15" customHeight="1" x14ac:dyDescent="0.2">
      <c r="A101" s="17" t="s">
        <v>661</v>
      </c>
      <c r="B101" t="s">
        <v>662</v>
      </c>
      <c r="C101" t="str">
        <f t="shared" si="3"/>
        <v>Maria Qazi Azmi</v>
      </c>
      <c r="D101">
        <v>432273264</v>
      </c>
      <c r="E101" t="s">
        <v>715</v>
      </c>
    </row>
    <row r="102" spans="1:5" ht="15" customHeight="1" x14ac:dyDescent="0.2">
      <c r="A102" s="17" t="s">
        <v>663</v>
      </c>
      <c r="B102" t="s">
        <v>664</v>
      </c>
      <c r="C102" t="str">
        <f t="shared" si="3"/>
        <v>Mario Ramirez</v>
      </c>
      <c r="D102">
        <v>655023</v>
      </c>
      <c r="E102" t="s">
        <v>715</v>
      </c>
    </row>
    <row r="103" spans="1:5" ht="15" customHeight="1" x14ac:dyDescent="0.2">
      <c r="A103" s="15" t="s">
        <v>663</v>
      </c>
      <c r="B103" t="s">
        <v>665</v>
      </c>
      <c r="C103" t="str">
        <f t="shared" si="3"/>
        <v>Cynthia Ramirez</v>
      </c>
      <c r="D103">
        <v>655023</v>
      </c>
      <c r="E103" t="s">
        <v>715</v>
      </c>
    </row>
    <row r="104" spans="1:5" ht="15" customHeight="1" x14ac:dyDescent="0.2">
      <c r="A104" s="15" t="s">
        <v>663</v>
      </c>
      <c r="B104" t="s">
        <v>666</v>
      </c>
      <c r="C104" t="str">
        <f t="shared" si="3"/>
        <v>Roselia Ramirez</v>
      </c>
      <c r="D104">
        <v>655023</v>
      </c>
      <c r="E104" t="s">
        <v>715</v>
      </c>
    </row>
    <row r="105" spans="1:5" ht="15" customHeight="1" x14ac:dyDescent="0.2">
      <c r="A105" s="17" t="s">
        <v>667</v>
      </c>
      <c r="B105" t="s">
        <v>668</v>
      </c>
      <c r="C105" t="str">
        <f t="shared" si="3"/>
        <v>Iradj Rassouli</v>
      </c>
      <c r="D105">
        <v>427621851</v>
      </c>
      <c r="E105" t="s">
        <v>715</v>
      </c>
    </row>
    <row r="106" spans="1:5" ht="15" customHeight="1" x14ac:dyDescent="0.2">
      <c r="A106" s="15" t="s">
        <v>669</v>
      </c>
      <c r="B106" t="s">
        <v>670</v>
      </c>
      <c r="C106" t="str">
        <f t="shared" si="3"/>
        <v>Rahelh Khodadadi</v>
      </c>
      <c r="D106">
        <v>427621851</v>
      </c>
      <c r="E106" t="s">
        <v>715</v>
      </c>
    </row>
    <row r="107" spans="1:5" ht="15" customHeight="1" x14ac:dyDescent="0.2">
      <c r="A107" s="17" t="s">
        <v>671</v>
      </c>
      <c r="B107" t="s">
        <v>672</v>
      </c>
      <c r="C107" t="str">
        <f t="shared" si="3"/>
        <v>Brion Salazar</v>
      </c>
      <c r="D107">
        <v>424301653</v>
      </c>
      <c r="E107" t="s">
        <v>715</v>
      </c>
    </row>
    <row r="108" spans="1:5" ht="15" customHeight="1" x14ac:dyDescent="0.2">
      <c r="A108" s="15" t="s">
        <v>671</v>
      </c>
      <c r="B108" t="s">
        <v>673</v>
      </c>
      <c r="C108" t="str">
        <f t="shared" si="3"/>
        <v>Aspen Salazar</v>
      </c>
      <c r="D108">
        <v>424301653</v>
      </c>
      <c r="E108" t="s">
        <v>715</v>
      </c>
    </row>
    <row r="109" spans="1:5" ht="15" customHeight="1" x14ac:dyDescent="0.2">
      <c r="A109" s="15" t="s">
        <v>671</v>
      </c>
      <c r="B109" t="s">
        <v>674</v>
      </c>
      <c r="C109" t="str">
        <f t="shared" si="3"/>
        <v>Janie Salazar</v>
      </c>
      <c r="D109">
        <v>424301653</v>
      </c>
      <c r="E109" t="s">
        <v>715</v>
      </c>
    </row>
    <row r="110" spans="1:5" ht="15" customHeight="1" x14ac:dyDescent="0.2">
      <c r="A110" s="15" t="s">
        <v>671</v>
      </c>
      <c r="B110" t="s">
        <v>675</v>
      </c>
      <c r="C110" t="str">
        <f t="shared" si="3"/>
        <v>Lance Salazar</v>
      </c>
      <c r="D110">
        <v>424301653</v>
      </c>
      <c r="E110" t="s">
        <v>715</v>
      </c>
    </row>
    <row r="111" spans="1:5" ht="15" customHeight="1" x14ac:dyDescent="0.2">
      <c r="A111" s="17" t="s">
        <v>678</v>
      </c>
      <c r="B111" t="s">
        <v>679</v>
      </c>
      <c r="C111" t="str">
        <f t="shared" si="3"/>
        <v>Madhusudhana Sastry Vemuri</v>
      </c>
      <c r="D111">
        <v>433257225</v>
      </c>
      <c r="E111" t="s">
        <v>715</v>
      </c>
    </row>
    <row r="112" spans="1:5" ht="15" customHeight="1" x14ac:dyDescent="0.2">
      <c r="A112" s="15" t="s">
        <v>680</v>
      </c>
      <c r="B112" t="s">
        <v>681</v>
      </c>
      <c r="C112" t="str">
        <f t="shared" si="3"/>
        <v>Purnima Naga Vemuri</v>
      </c>
      <c r="D112">
        <v>433257225</v>
      </c>
      <c r="E112" t="s">
        <v>715</v>
      </c>
    </row>
    <row r="113" spans="1:5" ht="15" customHeight="1" x14ac:dyDescent="0.2">
      <c r="A113" s="5" t="s">
        <v>682</v>
      </c>
      <c r="B113" t="s">
        <v>683</v>
      </c>
      <c r="C113" t="str">
        <f t="shared" si="3"/>
        <v>Likhitha Venkata Krishna Naga</v>
      </c>
      <c r="D113">
        <v>433257225</v>
      </c>
      <c r="E113" t="s">
        <v>715</v>
      </c>
    </row>
    <row r="114" spans="1:5" ht="15" customHeight="1" x14ac:dyDescent="0.2">
      <c r="A114" s="5" t="s">
        <v>682</v>
      </c>
      <c r="B114" t="s">
        <v>684</v>
      </c>
      <c r="C114" t="str">
        <f t="shared" si="3"/>
        <v>Yasawini Venkata Krishna Naga</v>
      </c>
      <c r="D114">
        <v>433257225</v>
      </c>
      <c r="E114" t="s">
        <v>715</v>
      </c>
    </row>
    <row r="115" spans="1:5" ht="15" customHeight="1" x14ac:dyDescent="0.2">
      <c r="A115" s="17" t="s">
        <v>685</v>
      </c>
      <c r="B115" t="s">
        <v>686</v>
      </c>
      <c r="C115" t="str">
        <f t="shared" si="3"/>
        <v>Benjamin Seep</v>
      </c>
      <c r="D115">
        <v>424154157</v>
      </c>
      <c r="E115" t="s">
        <v>715</v>
      </c>
    </row>
    <row r="116" spans="1:5" ht="15" customHeight="1" x14ac:dyDescent="0.2">
      <c r="A116" s="15" t="s">
        <v>685</v>
      </c>
      <c r="B116" t="s">
        <v>569</v>
      </c>
      <c r="C116" t="str">
        <f t="shared" si="3"/>
        <v>Angela Seep</v>
      </c>
      <c r="D116">
        <v>424154157</v>
      </c>
      <c r="E116" t="s">
        <v>715</v>
      </c>
    </row>
    <row r="117" spans="1:5" ht="15" customHeight="1" x14ac:dyDescent="0.2">
      <c r="A117" s="15" t="s">
        <v>685</v>
      </c>
      <c r="B117" t="s">
        <v>687</v>
      </c>
      <c r="C117" t="str">
        <f t="shared" si="3"/>
        <v>Cameron Seep</v>
      </c>
      <c r="D117">
        <v>424154157</v>
      </c>
      <c r="E117" t="s">
        <v>715</v>
      </c>
    </row>
    <row r="118" spans="1:5" ht="15" customHeight="1" x14ac:dyDescent="0.2">
      <c r="A118" s="15" t="s">
        <v>685</v>
      </c>
      <c r="B118" t="s">
        <v>688</v>
      </c>
      <c r="C118" t="str">
        <f t="shared" si="3"/>
        <v>Denna Seep</v>
      </c>
      <c r="D118">
        <v>424154157</v>
      </c>
      <c r="E118" t="s">
        <v>715</v>
      </c>
    </row>
    <row r="119" spans="1:5" ht="15" customHeight="1" x14ac:dyDescent="0.2">
      <c r="A119" s="17" t="s">
        <v>693</v>
      </c>
      <c r="B119" t="s">
        <v>694</v>
      </c>
      <c r="C119" t="str">
        <f t="shared" si="3"/>
        <v>Richard Sherman</v>
      </c>
      <c r="D119">
        <v>430216887</v>
      </c>
      <c r="E119" t="s">
        <v>715</v>
      </c>
    </row>
    <row r="120" spans="1:5" ht="15" customHeight="1" x14ac:dyDescent="0.2">
      <c r="A120" s="17" t="s">
        <v>695</v>
      </c>
      <c r="B120" t="s">
        <v>696</v>
      </c>
      <c r="C120" t="str">
        <f t="shared" si="3"/>
        <v>James Simons</v>
      </c>
      <c r="D120">
        <v>421595416</v>
      </c>
      <c r="E120" t="s">
        <v>715</v>
      </c>
    </row>
    <row r="121" spans="1:5" ht="15" customHeight="1" x14ac:dyDescent="0.2">
      <c r="A121" s="17" t="s">
        <v>697</v>
      </c>
      <c r="B121" t="s">
        <v>698</v>
      </c>
      <c r="C121" t="str">
        <f t="shared" si="3"/>
        <v>Audrey Smith</v>
      </c>
      <c r="D121">
        <v>417840487</v>
      </c>
      <c r="E121" t="s">
        <v>715</v>
      </c>
    </row>
    <row r="122" spans="1:5" ht="15" customHeight="1" x14ac:dyDescent="0.2">
      <c r="A122" s="15" t="s">
        <v>697</v>
      </c>
      <c r="B122" t="s">
        <v>699</v>
      </c>
      <c r="C122" t="str">
        <f t="shared" si="3"/>
        <v>Brandon Smith</v>
      </c>
      <c r="D122">
        <v>417840487</v>
      </c>
      <c r="E122" t="s">
        <v>715</v>
      </c>
    </row>
    <row r="123" spans="1:5" ht="15" customHeight="1" x14ac:dyDescent="0.2">
      <c r="A123" s="15" t="s">
        <v>697</v>
      </c>
      <c r="B123" t="s">
        <v>700</v>
      </c>
      <c r="C123" t="str">
        <f t="shared" si="3"/>
        <v>Stella Smith</v>
      </c>
      <c r="D123">
        <v>417840487</v>
      </c>
      <c r="E123" t="s">
        <v>715</v>
      </c>
    </row>
    <row r="124" spans="1:5" ht="15" customHeight="1" x14ac:dyDescent="0.2">
      <c r="A124" s="15" t="s">
        <v>697</v>
      </c>
      <c r="B124" t="s">
        <v>701</v>
      </c>
      <c r="C124" t="str">
        <f t="shared" si="3"/>
        <v>Zerah Smith</v>
      </c>
      <c r="D124">
        <v>417840487</v>
      </c>
      <c r="E124" t="s">
        <v>715</v>
      </c>
    </row>
    <row r="125" spans="1:5" ht="15" customHeight="1" x14ac:dyDescent="0.2">
      <c r="A125" s="17" t="s">
        <v>702</v>
      </c>
      <c r="B125" t="s">
        <v>703</v>
      </c>
      <c r="C125" t="str">
        <f t="shared" si="3"/>
        <v>Patricia Szeredy</v>
      </c>
      <c r="D125">
        <v>423710552</v>
      </c>
      <c r="E125" t="s">
        <v>715</v>
      </c>
    </row>
    <row r="126" spans="1:5" ht="15" customHeight="1" x14ac:dyDescent="0.2">
      <c r="A126" s="17" t="s">
        <v>704</v>
      </c>
      <c r="B126" t="s">
        <v>705</v>
      </c>
      <c r="C126" t="str">
        <f t="shared" si="3"/>
        <v>Halei Tasci</v>
      </c>
      <c r="D126">
        <v>433267272</v>
      </c>
      <c r="E126" t="s">
        <v>715</v>
      </c>
    </row>
    <row r="127" spans="1:5" ht="15" customHeight="1" x14ac:dyDescent="0.2">
      <c r="A127" s="17" t="s">
        <v>706</v>
      </c>
      <c r="B127" t="s">
        <v>707</v>
      </c>
      <c r="C127" t="str">
        <f t="shared" si="3"/>
        <v>Nafisa Tunazzin</v>
      </c>
      <c r="D127">
        <v>433273268</v>
      </c>
      <c r="E127" t="s">
        <v>715</v>
      </c>
    </row>
    <row r="128" spans="1:5" ht="15" customHeight="1" x14ac:dyDescent="0.2">
      <c r="A128" s="17" t="s">
        <v>708</v>
      </c>
      <c r="B128" t="s">
        <v>709</v>
      </c>
      <c r="C128" t="str">
        <f t="shared" si="3"/>
        <v>Patrick Turner</v>
      </c>
      <c r="D128">
        <v>432267338</v>
      </c>
      <c r="E128" t="s">
        <v>715</v>
      </c>
    </row>
    <row r="129" spans="1:5" ht="15" customHeight="1" x14ac:dyDescent="0.2">
      <c r="A129" s="17" t="s">
        <v>710</v>
      </c>
      <c r="B129" t="s">
        <v>711</v>
      </c>
      <c r="C129" t="str">
        <f t="shared" si="3"/>
        <v>Wayne Uhrman</v>
      </c>
      <c r="D129">
        <v>424775996</v>
      </c>
      <c r="E129" t="s">
        <v>715</v>
      </c>
    </row>
    <row r="130" spans="1:5" ht="15" customHeight="1" x14ac:dyDescent="0.2">
      <c r="A130" s="17" t="s">
        <v>712</v>
      </c>
      <c r="B130" t="s">
        <v>713</v>
      </c>
      <c r="C130" t="str">
        <f t="shared" ref="C130:C161" si="4">CONCATENATE(B130, " ", A130)</f>
        <v>Suzanne Van Der Bosch</v>
      </c>
      <c r="D130">
        <v>422915479</v>
      </c>
      <c r="E130" t="s">
        <v>715</v>
      </c>
    </row>
    <row r="131" spans="1:5" ht="15" customHeight="1" x14ac:dyDescent="0.2">
      <c r="A131" s="17" t="s">
        <v>495</v>
      </c>
      <c r="B131" t="s">
        <v>474</v>
      </c>
      <c r="C131" t="str">
        <f t="shared" si="4"/>
        <v>Gregory Haman</v>
      </c>
      <c r="D131">
        <v>438238258</v>
      </c>
      <c r="E131" t="s">
        <v>719</v>
      </c>
    </row>
    <row r="132" spans="1:5" ht="15" customHeight="1" x14ac:dyDescent="0.2">
      <c r="A132" s="17" t="s">
        <v>540</v>
      </c>
      <c r="B132" t="s">
        <v>541</v>
      </c>
      <c r="C132" t="str">
        <f t="shared" si="4"/>
        <v>Karen Blankenship</v>
      </c>
      <c r="D132">
        <v>902613240</v>
      </c>
      <c r="E132" t="s">
        <v>719</v>
      </c>
    </row>
    <row r="133" spans="1:5" ht="15" customHeight="1" x14ac:dyDescent="0.2">
      <c r="A133" s="17" t="s">
        <v>622</v>
      </c>
      <c r="B133" t="s">
        <v>623</v>
      </c>
      <c r="C133" t="str">
        <f t="shared" si="4"/>
        <v>CYNTHIA LACEY</v>
      </c>
      <c r="D133">
        <v>420236711</v>
      </c>
      <c r="E133" t="s">
        <v>724</v>
      </c>
    </row>
    <row r="134" spans="1:5" ht="15" customHeight="1" x14ac:dyDescent="0.2">
      <c r="A134" s="17" t="s">
        <v>485</v>
      </c>
      <c r="B134" t="s">
        <v>481</v>
      </c>
      <c r="C134" t="str">
        <f t="shared" si="4"/>
        <v>Robert Chinn</v>
      </c>
      <c r="D134">
        <v>437318199</v>
      </c>
      <c r="E134" t="s">
        <v>716</v>
      </c>
    </row>
    <row r="135" spans="1:5" ht="15" customHeight="1" x14ac:dyDescent="0.2">
      <c r="A135" s="15" t="s">
        <v>534</v>
      </c>
      <c r="B135" t="s">
        <v>535</v>
      </c>
      <c r="C135" t="str">
        <f t="shared" si="4"/>
        <v>Ezra Sarno</v>
      </c>
      <c r="D135">
        <v>439235320</v>
      </c>
      <c r="E135" t="s">
        <v>716</v>
      </c>
    </row>
    <row r="136" spans="1:5" ht="15" customHeight="1" x14ac:dyDescent="0.2">
      <c r="A136" s="5" t="s">
        <v>570</v>
      </c>
      <c r="B136" t="s">
        <v>571</v>
      </c>
      <c r="C136" t="str">
        <f t="shared" si="4"/>
        <v>Jesse Daly</v>
      </c>
      <c r="D136">
        <v>433214434</v>
      </c>
      <c r="E136" t="s">
        <v>716</v>
      </c>
    </row>
    <row r="137" spans="1:5" ht="15" customHeight="1" x14ac:dyDescent="0.2">
      <c r="A137" s="17" t="s">
        <v>714</v>
      </c>
      <c r="B137" t="s">
        <v>481</v>
      </c>
      <c r="C137" t="str">
        <f t="shared" si="4"/>
        <v>Robert Waddill</v>
      </c>
      <c r="D137">
        <v>7210033</v>
      </c>
      <c r="E137" t="s">
        <v>716</v>
      </c>
    </row>
    <row r="138" spans="1:5" ht="15" customHeight="1" x14ac:dyDescent="0.2">
      <c r="A138" s="15" t="s">
        <v>536</v>
      </c>
      <c r="B138" t="s">
        <v>537</v>
      </c>
      <c r="C138" t="str">
        <f t="shared" si="4"/>
        <v>Twaha Senoga</v>
      </c>
      <c r="D138">
        <v>420165233</v>
      </c>
      <c r="E138" t="s">
        <v>723</v>
      </c>
    </row>
    <row r="139" spans="1:5" ht="15" customHeight="1" x14ac:dyDescent="0.2">
      <c r="A139" s="17" t="s">
        <v>528</v>
      </c>
      <c r="B139" t="s">
        <v>529</v>
      </c>
      <c r="C139" t="str">
        <f t="shared" si="4"/>
        <v>Shammah Ameh</v>
      </c>
      <c r="D139">
        <v>437327354</v>
      </c>
      <c r="E139" t="s">
        <v>722</v>
      </c>
    </row>
    <row r="140" spans="1:5" ht="15" customHeight="1" x14ac:dyDescent="0.2">
      <c r="A140" s="17" t="s">
        <v>532</v>
      </c>
      <c r="B140" t="s">
        <v>533</v>
      </c>
      <c r="C140" t="str">
        <f t="shared" si="4"/>
        <v>Augustine Atta Senior Essel</v>
      </c>
      <c r="D140">
        <v>436328504</v>
      </c>
      <c r="E140" t="s">
        <v>722</v>
      </c>
    </row>
    <row r="141" spans="1:5" ht="15" customHeight="1" x14ac:dyDescent="0.2">
      <c r="A141" s="17" t="s">
        <v>572</v>
      </c>
      <c r="B141" t="s">
        <v>573</v>
      </c>
      <c r="C141" t="str">
        <f t="shared" si="4"/>
        <v>Eskil Enaasen</v>
      </c>
      <c r="D141">
        <v>436327359</v>
      </c>
      <c r="E141" t="s">
        <v>722</v>
      </c>
    </row>
    <row r="142" spans="1:5" ht="15" customHeight="1" x14ac:dyDescent="0.2">
      <c r="A142" s="17" t="s">
        <v>620</v>
      </c>
      <c r="B142" t="s">
        <v>621</v>
      </c>
      <c r="C142" t="str">
        <f t="shared" si="4"/>
        <v>Anna Kulikova</v>
      </c>
      <c r="D142">
        <v>431326277</v>
      </c>
      <c r="E142" t="s">
        <v>722</v>
      </c>
    </row>
    <row r="143" spans="1:5" ht="15" customHeight="1" x14ac:dyDescent="0.2">
      <c r="A143" s="17" t="s">
        <v>639</v>
      </c>
      <c r="B143" t="s">
        <v>640</v>
      </c>
      <c r="C143" t="str">
        <f t="shared" si="4"/>
        <v>Kai McKinzie</v>
      </c>
      <c r="D143">
        <v>431329025</v>
      </c>
      <c r="E143" t="s">
        <v>722</v>
      </c>
    </row>
    <row r="144" spans="1:5" ht="15" customHeight="1" x14ac:dyDescent="0.2">
      <c r="A144" s="17" t="s">
        <v>676</v>
      </c>
      <c r="B144" t="s">
        <v>677</v>
      </c>
      <c r="C144" t="str">
        <f t="shared" si="4"/>
        <v>Emmanuel Sarfo</v>
      </c>
      <c r="D144">
        <v>433325559</v>
      </c>
      <c r="E144" t="s">
        <v>722</v>
      </c>
    </row>
    <row r="145" spans="1:5" ht="15" customHeight="1" x14ac:dyDescent="0.2">
      <c r="A145" s="17" t="s">
        <v>519</v>
      </c>
      <c r="B145" t="s">
        <v>520</v>
      </c>
      <c r="C145" t="str">
        <f t="shared" si="4"/>
        <v>Elizabeth Walters</v>
      </c>
      <c r="D145">
        <v>437333350</v>
      </c>
      <c r="E145" t="s">
        <v>721</v>
      </c>
    </row>
    <row r="146" spans="1:5" ht="15" customHeight="1" x14ac:dyDescent="0.2">
      <c r="A146" s="15" t="s">
        <v>519</v>
      </c>
      <c r="B146" t="s">
        <v>521</v>
      </c>
      <c r="C146" t="str">
        <f t="shared" si="4"/>
        <v>Anthony Walters</v>
      </c>
      <c r="D146">
        <v>437333350</v>
      </c>
      <c r="E146" t="s">
        <v>721</v>
      </c>
    </row>
    <row r="147" spans="1:5" ht="15" customHeight="1" x14ac:dyDescent="0.2">
      <c r="A147" s="15" t="s">
        <v>519</v>
      </c>
      <c r="B147" t="s">
        <v>522</v>
      </c>
      <c r="C147" t="str">
        <f t="shared" si="4"/>
        <v>Emma Walters</v>
      </c>
      <c r="D147">
        <v>437333350</v>
      </c>
      <c r="E147" t="s">
        <v>721</v>
      </c>
    </row>
    <row r="148" spans="1:5" ht="15" customHeight="1" x14ac:dyDescent="0.2">
      <c r="A148" s="17" t="s">
        <v>564</v>
      </c>
      <c r="B148" t="s">
        <v>565</v>
      </c>
      <c r="C148" t="str">
        <f t="shared" si="4"/>
        <v>Joshua Costley</v>
      </c>
      <c r="D148">
        <v>431331194</v>
      </c>
      <c r="E148" t="s">
        <v>721</v>
      </c>
    </row>
    <row r="149" spans="1:5" ht="15" customHeight="1" x14ac:dyDescent="0.2">
      <c r="A149" s="17" t="s">
        <v>566</v>
      </c>
      <c r="B149" t="s">
        <v>567</v>
      </c>
      <c r="C149" t="str">
        <f t="shared" si="4"/>
        <v>Curtis Craft</v>
      </c>
      <c r="D149">
        <v>417796861</v>
      </c>
      <c r="E149" t="s">
        <v>721</v>
      </c>
    </row>
    <row r="150" spans="1:5" ht="15" customHeight="1" x14ac:dyDescent="0.2">
      <c r="A150" s="17" t="s">
        <v>486</v>
      </c>
      <c r="B150" t="s">
        <v>487</v>
      </c>
      <c r="C150" t="str">
        <f t="shared" si="4"/>
        <v>Nancy Coleman</v>
      </c>
      <c r="D150">
        <v>419682359</v>
      </c>
      <c r="E150" t="s">
        <v>717</v>
      </c>
    </row>
    <row r="151" spans="1:5" ht="15" customHeight="1" x14ac:dyDescent="0.2">
      <c r="A151" s="17" t="s">
        <v>630</v>
      </c>
      <c r="B151" t="s">
        <v>631</v>
      </c>
      <c r="C151" t="str">
        <f t="shared" si="4"/>
        <v>Srinidhi Madabhusi</v>
      </c>
      <c r="D151">
        <v>500003823</v>
      </c>
      <c r="E151" t="s">
        <v>725</v>
      </c>
    </row>
  </sheetData>
  <sortState xmlns:xlrd2="http://schemas.microsoft.com/office/spreadsheetml/2017/richdata2" ref="A2:E153">
    <sortCondition ref="E2:E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Sheet3</vt:lpstr>
      <vt:lpstr>Sheet6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cp:lastModifiedBy>Cabel, Denisse Raeka</cp:lastModifiedBy>
  <dcterms:created xsi:type="dcterms:W3CDTF">2025-02-24T20:17:29Z</dcterms:created>
  <dcterms:modified xsi:type="dcterms:W3CDTF">2025-02-26T13:27:33Z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2025-02-18T00:00:00Z</vt:filetime>
  </property>
</Properties>
</file>