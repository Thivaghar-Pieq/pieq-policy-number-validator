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/>
  <xr:revisionPtr revIDLastSave="0" documentId="13_ncr:1_{9E9ABD1E-A00D-4E35-82C6-97A9CB1FF9CB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J14" i="2" l="1"/>
  <c r="J13" i="2"/>
  <c r="J12" i="2"/>
  <c r="J11" i="2"/>
  <c r="J3" i="2"/>
  <c r="O5" i="2"/>
</calcChain>
</file>

<file path=xl/sharedStrings.xml><?xml version="1.0" encoding="utf-8"?>
<sst xmlns="http://schemas.openxmlformats.org/spreadsheetml/2006/main" count="298" uniqueCount="45">
  <si>
    <t>Post Date</t>
  </si>
  <si>
    <t>Pay Out Date</t>
  </si>
  <si>
    <t>Pay Type</t>
  </si>
  <si>
    <t>For</t>
  </si>
  <si>
    <t>Agency</t>
  </si>
  <si>
    <t>Agent</t>
  </si>
  <si>
    <t>Agent Pay</t>
  </si>
  <si>
    <t>Carrier</t>
  </si>
  <si>
    <t>Carrier Policy ID</t>
  </si>
  <si>
    <t>Plan Type</t>
  </si>
  <si>
    <t>Policy Holder</t>
  </si>
  <si>
    <t>Effective Date</t>
  </si>
  <si>
    <t>Term Date</t>
  </si>
  <si>
    <t>Notes</t>
  </si>
  <si>
    <t>2025-06-09</t>
  </si>
  <si>
    <t/>
  </si>
  <si>
    <t>Agency Marketing Fee</t>
  </si>
  <si>
    <t>MLB</t>
  </si>
  <si>
    <t>Foley, Carol</t>
  </si>
  <si>
    <t>Ibc</t>
  </si>
  <si>
    <t>MAPD</t>
  </si>
  <si>
    <t>Balcer, Eileen</t>
  </si>
  <si>
    <t>2025-06-01</t>
  </si>
  <si>
    <t>Balcer, James</t>
  </si>
  <si>
    <t>Richter, Peter</t>
  </si>
  <si>
    <t>Kessler, Elizabeth</t>
  </si>
  <si>
    <t>2025-06-02</t>
  </si>
  <si>
    <t>Kozacheck, Anne Marie</t>
  </si>
  <si>
    <t>Mcconlogue, Barbara</t>
  </si>
  <si>
    <t>2025-05-01</t>
  </si>
  <si>
    <t>2025-05-31</t>
  </si>
  <si>
    <t>Kosinski, Nancy</t>
  </si>
  <si>
    <t>Hoffmann, Jason</t>
  </si>
  <si>
    <t>Smith, Lynn</t>
  </si>
  <si>
    <t>Peace, Michael</t>
  </si>
  <si>
    <t>IBC MAPD OVR 2025</t>
  </si>
  <si>
    <t>IBC MAPD 2025*</t>
  </si>
  <si>
    <t>IBC MAPD 2025</t>
  </si>
  <si>
    <t>[%/$=353][prorate=8/12]</t>
  </si>
  <si>
    <t>[%/$=353][prorate=5/12]</t>
  </si>
  <si>
    <t>[%/$=353][prorate=12/12]</t>
  </si>
  <si>
    <t>IBC 2025 CT, DC, PA</t>
  </si>
  <si>
    <t>[%/$=353][prorate=7/12]</t>
  </si>
  <si>
    <t>[%/$=705]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</si>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</sst>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14" fontId="0" fillId="0" borderId="0" xfId="0" applyNumberFormat="1" applyFill="1"/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workbookViewId="0">
      <selection sqref="A1:XFD1048576"/>
    </sheetView>
  </sheetViews>
  <sheetFormatPr defaultRowHeight="15" x14ac:dyDescent="0.25"/>
  <cols>
    <col min="1" max="1" width="10.42578125" bestFit="1" customWidth="1"/>
    <col min="2" max="2" width="12.42578125" bestFit="1" customWidth="1"/>
    <col min="6" max="6" width="13.28515625" bestFit="1" customWidth="1"/>
    <col min="9" max="9" width="15.140625" bestFit="1" customWidth="1"/>
    <col min="11" max="11" width="16.7109375" bestFit="1" customWidth="1"/>
    <col min="12" max="12" width="13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150</v>
      </c>
      <c r="H2" t="s">
        <v>19</v>
      </c>
      <c r="I2">
        <v>51040586</v>
      </c>
      <c r="J2" t="s">
        <v>20</v>
      </c>
      <c r="K2" t="s">
        <v>21</v>
      </c>
      <c r="L2" t="s">
        <v>22</v>
      </c>
      <c r="M2" t="s">
        <v>15</v>
      </c>
      <c r="N2" t="s">
        <v>15</v>
      </c>
    </row>
    <row r="3" spans="1:14" x14ac:dyDescent="0.25">
      <c r="A3" t="s">
        <v>14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150</v>
      </c>
      <c r="H3" t="s">
        <v>19</v>
      </c>
      <c r="I3">
        <v>51040579</v>
      </c>
      <c r="J3" t="s">
        <v>20</v>
      </c>
      <c r="K3" t="s">
        <v>23</v>
      </c>
      <c r="L3" t="s">
        <v>22</v>
      </c>
      <c r="M3" t="s">
        <v>15</v>
      </c>
      <c r="N3" t="s">
        <v>15</v>
      </c>
    </row>
    <row r="4" spans="1:14" x14ac:dyDescent="0.25">
      <c r="A4" t="s">
        <v>14</v>
      </c>
      <c r="B4" t="s">
        <v>14</v>
      </c>
      <c r="C4" t="s">
        <v>15</v>
      </c>
      <c r="D4" t="s">
        <v>16</v>
      </c>
      <c r="E4" t="s">
        <v>17</v>
      </c>
      <c r="F4" t="s">
        <v>24</v>
      </c>
      <c r="G4">
        <v>150</v>
      </c>
      <c r="H4" t="s">
        <v>19</v>
      </c>
      <c r="I4">
        <v>51040600</v>
      </c>
      <c r="J4" t="s">
        <v>20</v>
      </c>
      <c r="K4" t="s">
        <v>25</v>
      </c>
      <c r="L4" t="s">
        <v>22</v>
      </c>
      <c r="M4" t="s">
        <v>15</v>
      </c>
      <c r="N4" t="s">
        <v>15</v>
      </c>
    </row>
    <row r="5" spans="1:14" x14ac:dyDescent="0.25">
      <c r="A5" t="s">
        <v>14</v>
      </c>
      <c r="B5" t="s">
        <v>14</v>
      </c>
      <c r="C5" t="s">
        <v>15</v>
      </c>
      <c r="D5" t="s">
        <v>6</v>
      </c>
      <c r="E5" t="s">
        <v>17</v>
      </c>
      <c r="F5" t="s">
        <v>18</v>
      </c>
      <c r="G5">
        <v>205.92</v>
      </c>
      <c r="H5" t="s">
        <v>19</v>
      </c>
      <c r="I5">
        <v>51040586</v>
      </c>
      <c r="J5" t="s">
        <v>20</v>
      </c>
      <c r="K5" t="s">
        <v>21</v>
      </c>
      <c r="L5" t="s">
        <v>22</v>
      </c>
      <c r="M5" t="s">
        <v>15</v>
      </c>
      <c r="N5" t="s">
        <v>15</v>
      </c>
    </row>
    <row r="6" spans="1:14" x14ac:dyDescent="0.25">
      <c r="A6" t="s">
        <v>14</v>
      </c>
      <c r="B6" t="s">
        <v>14</v>
      </c>
      <c r="C6" t="s">
        <v>15</v>
      </c>
      <c r="D6" t="s">
        <v>6</v>
      </c>
      <c r="E6" t="s">
        <v>17</v>
      </c>
      <c r="F6" t="s">
        <v>18</v>
      </c>
      <c r="G6">
        <v>205.92</v>
      </c>
      <c r="H6" t="s">
        <v>19</v>
      </c>
      <c r="I6">
        <v>51040579</v>
      </c>
      <c r="J6" t="s">
        <v>20</v>
      </c>
      <c r="K6" t="s">
        <v>23</v>
      </c>
      <c r="L6" t="s">
        <v>22</v>
      </c>
      <c r="M6" t="s">
        <v>15</v>
      </c>
      <c r="N6" t="s">
        <v>15</v>
      </c>
    </row>
    <row r="7" spans="1:14" x14ac:dyDescent="0.25">
      <c r="A7" t="s">
        <v>14</v>
      </c>
      <c r="B7" t="s">
        <v>14</v>
      </c>
      <c r="C7" t="s">
        <v>15</v>
      </c>
      <c r="D7" t="s">
        <v>6</v>
      </c>
      <c r="E7" t="s">
        <v>17</v>
      </c>
      <c r="F7" t="s">
        <v>24</v>
      </c>
      <c r="G7">
        <v>205.92</v>
      </c>
      <c r="H7" t="s">
        <v>19</v>
      </c>
      <c r="I7">
        <v>51040600</v>
      </c>
      <c r="J7" t="s">
        <v>20</v>
      </c>
      <c r="K7" t="s">
        <v>25</v>
      </c>
      <c r="L7" t="s">
        <v>22</v>
      </c>
      <c r="M7" t="s">
        <v>15</v>
      </c>
      <c r="N7" t="s">
        <v>15</v>
      </c>
    </row>
    <row r="9" spans="1:14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K9" t="s">
        <v>10</v>
      </c>
      <c r="L9" t="s">
        <v>11</v>
      </c>
      <c r="M9" t="s">
        <v>12</v>
      </c>
      <c r="N9" t="s">
        <v>13</v>
      </c>
    </row>
    <row r="10" spans="1:14" x14ac:dyDescent="0.25">
      <c r="A10" t="s">
        <v>26</v>
      </c>
      <c r="B10" t="s">
        <v>26</v>
      </c>
      <c r="C10" t="s">
        <v>15</v>
      </c>
      <c r="D10" t="s">
        <v>6</v>
      </c>
      <c r="E10" t="s">
        <v>17</v>
      </c>
      <c r="F10" t="s">
        <v>27</v>
      </c>
      <c r="G10">
        <v>-235.33</v>
      </c>
      <c r="H10" t="s">
        <v>19</v>
      </c>
      <c r="I10">
        <v>51039519</v>
      </c>
      <c r="J10" t="s">
        <v>20</v>
      </c>
      <c r="K10" t="s">
        <v>28</v>
      </c>
      <c r="L10" t="s">
        <v>29</v>
      </c>
      <c r="M10" t="s">
        <v>30</v>
      </c>
      <c r="N10" t="s">
        <v>15</v>
      </c>
    </row>
    <row r="11" spans="1:14" x14ac:dyDescent="0.25">
      <c r="A11" t="s">
        <v>26</v>
      </c>
      <c r="B11" t="s">
        <v>26</v>
      </c>
      <c r="C11" t="s">
        <v>15</v>
      </c>
      <c r="D11" t="s">
        <v>16</v>
      </c>
      <c r="E11" t="s">
        <v>17</v>
      </c>
      <c r="F11" t="s">
        <v>18</v>
      </c>
      <c r="G11">
        <v>150</v>
      </c>
      <c r="H11" t="s">
        <v>19</v>
      </c>
      <c r="I11">
        <v>51040362</v>
      </c>
      <c r="J11" t="s">
        <v>20</v>
      </c>
      <c r="K11" t="s">
        <v>31</v>
      </c>
      <c r="L11" t="s">
        <v>22</v>
      </c>
      <c r="M11" t="s">
        <v>15</v>
      </c>
      <c r="N11" t="s">
        <v>15</v>
      </c>
    </row>
    <row r="12" spans="1:14" x14ac:dyDescent="0.25">
      <c r="A12" t="s">
        <v>26</v>
      </c>
      <c r="B12" t="s">
        <v>26</v>
      </c>
      <c r="C12" t="s">
        <v>15</v>
      </c>
      <c r="D12" t="s">
        <v>6</v>
      </c>
      <c r="E12" t="s">
        <v>17</v>
      </c>
      <c r="F12" t="s">
        <v>18</v>
      </c>
      <c r="G12">
        <v>205.92</v>
      </c>
      <c r="H12" t="s">
        <v>19</v>
      </c>
      <c r="I12">
        <v>51040362</v>
      </c>
      <c r="J12" t="s">
        <v>20</v>
      </c>
      <c r="K12" t="s">
        <v>31</v>
      </c>
      <c r="L12" t="s">
        <v>22</v>
      </c>
      <c r="M12" t="s">
        <v>15</v>
      </c>
      <c r="N12" t="s">
        <v>15</v>
      </c>
    </row>
    <row r="13" spans="1:14" x14ac:dyDescent="0.25">
      <c r="A13" t="s">
        <v>26</v>
      </c>
      <c r="B13" t="s">
        <v>26</v>
      </c>
      <c r="C13" t="s">
        <v>15</v>
      </c>
      <c r="D13" t="s">
        <v>6</v>
      </c>
      <c r="E13" t="s">
        <v>17</v>
      </c>
      <c r="F13" t="s">
        <v>32</v>
      </c>
      <c r="G13">
        <v>469.67</v>
      </c>
      <c r="H13" t="s">
        <v>19</v>
      </c>
      <c r="I13">
        <v>51040079</v>
      </c>
      <c r="J13" t="s">
        <v>20</v>
      </c>
      <c r="K13" t="s">
        <v>33</v>
      </c>
      <c r="L13" t="s">
        <v>29</v>
      </c>
      <c r="M13" t="s">
        <v>15</v>
      </c>
      <c r="N13" t="s">
        <v>15</v>
      </c>
    </row>
    <row r="14" spans="1:14" x14ac:dyDescent="0.25">
      <c r="A14" t="s">
        <v>26</v>
      </c>
      <c r="B14" t="s">
        <v>26</v>
      </c>
      <c r="C14" t="s">
        <v>15</v>
      </c>
      <c r="D14" t="s">
        <v>6</v>
      </c>
      <c r="E14" t="s">
        <v>17</v>
      </c>
      <c r="F14" t="s">
        <v>24</v>
      </c>
      <c r="G14">
        <v>499.08</v>
      </c>
      <c r="H14" t="s">
        <v>19</v>
      </c>
      <c r="I14">
        <v>51039720</v>
      </c>
      <c r="J14" t="s">
        <v>20</v>
      </c>
      <c r="K14" t="s">
        <v>34</v>
      </c>
      <c r="L14" t="s">
        <v>22</v>
      </c>
      <c r="M14" t="s">
        <v>15</v>
      </c>
      <c r="N14" t="s">
        <v>15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16800-BDC9-4C8D-BEC4-3F12AA938CE3}">
  <dimension ref="A1:P14"/>
  <sheetViews>
    <sheetView tabSelected="1" workbookViewId="0">
      <selection activeCell="P2" sqref="P2:P14"/>
    </sheetView>
  </sheetViews>
  <sheetFormatPr defaultRowHeight="15" x14ac:dyDescent="0.25"/>
  <cols>
    <col min="1" max="1" width="10.42578125" style="1" bestFit="1" customWidth="1"/>
    <col min="2" max="2" width="12.42578125" style="1" bestFit="1" customWidth="1"/>
    <col min="3" max="5" width="9.140625" style="1"/>
    <col min="6" max="6" width="13.28515625" style="1" bestFit="1" customWidth="1"/>
    <col min="7" max="8" width="9.140625" style="1"/>
    <col min="9" max="9" width="15.140625" style="1" bestFit="1" customWidth="1"/>
    <col min="10" max="10" width="15.140625" style="3" customWidth="1"/>
    <col min="11" max="11" width="9.140625" style="1"/>
    <col min="12" max="12" width="16.7109375" style="1" bestFit="1" customWidth="1"/>
    <col min="13" max="13" width="13.5703125" style="2" bestFit="1" customWidth="1"/>
    <col min="14" max="14" width="18.7109375" style="1" bestFit="1" customWidth="1"/>
    <col min="15" max="16384" width="9.140625" style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" t="s">
        <v>9</v>
      </c>
      <c r="L1" s="1" t="s">
        <v>10</v>
      </c>
      <c r="M1" s="2" t="s">
        <v>11</v>
      </c>
    </row>
    <row r="2" spans="1:16" x14ac:dyDescent="0.25">
      <c r="A2" s="1" t="s">
        <v>26</v>
      </c>
      <c r="B2" s="1" t="s">
        <v>26</v>
      </c>
      <c r="C2" s="1" t="s">
        <v>15</v>
      </c>
      <c r="D2" s="1" t="s">
        <v>6</v>
      </c>
      <c r="E2" s="1">
        <v>15278437</v>
      </c>
      <c r="F2" s="1" t="s">
        <v>32</v>
      </c>
      <c r="G2" s="1">
        <v>469.67</v>
      </c>
      <c r="H2" s="1" t="s">
        <v>19</v>
      </c>
      <c r="I2" s="1">
        <v>51040079</v>
      </c>
      <c r="J2" s="3">
        <v>51040079</v>
      </c>
      <c r="K2" s="1" t="s">
        <v>20</v>
      </c>
      <c r="L2" s="1" t="s">
        <v>33</v>
      </c>
      <c r="M2" s="2">
        <v>45778</v>
      </c>
      <c r="N2" s="1" t="s">
        <v>37</v>
      </c>
      <c r="O2" s="1">
        <v>-235.33</v>
      </c>
      <c r="P2" s="1" t="s">
        <v>38</v>
      </c>
    </row>
    <row r="3" spans="1:16" x14ac:dyDescent="0.25">
      <c r="A3" s="1" t="s">
        <v>26</v>
      </c>
      <c r="B3" s="1" t="s">
        <v>26</v>
      </c>
      <c r="C3" s="1" t="s">
        <v>15</v>
      </c>
      <c r="D3" s="1" t="s">
        <v>6</v>
      </c>
      <c r="E3" s="1">
        <v>15278437</v>
      </c>
      <c r="F3" s="1" t="s">
        <v>32</v>
      </c>
      <c r="G3" s="1">
        <v>469.67</v>
      </c>
      <c r="H3" s="1" t="s">
        <v>19</v>
      </c>
      <c r="I3" s="1">
        <v>51040079</v>
      </c>
      <c r="J3" s="3" t="str">
        <f>CONCATENATE(I3,1)</f>
        <v>510400791</v>
      </c>
      <c r="K3" s="1" t="s">
        <v>20</v>
      </c>
      <c r="L3" s="1" t="s">
        <v>33</v>
      </c>
      <c r="M3" s="2">
        <v>45778</v>
      </c>
      <c r="N3" s="1" t="s">
        <v>37</v>
      </c>
      <c r="O3" s="1">
        <v>705</v>
      </c>
      <c r="P3" s="1" t="s">
        <v>43</v>
      </c>
    </row>
    <row r="4" spans="1:16" x14ac:dyDescent="0.25">
      <c r="A4" s="1" t="s">
        <v>26</v>
      </c>
      <c r="B4" s="1" t="s">
        <v>26</v>
      </c>
      <c r="C4" s="1" t="s">
        <v>15</v>
      </c>
      <c r="D4" s="1" t="s">
        <v>6</v>
      </c>
      <c r="E4" s="1">
        <v>16509456</v>
      </c>
      <c r="F4" s="1" t="s">
        <v>24</v>
      </c>
      <c r="G4" s="1">
        <v>499.08</v>
      </c>
      <c r="H4" s="1" t="s">
        <v>19</v>
      </c>
      <c r="I4" s="1">
        <v>51039720</v>
      </c>
      <c r="J4" s="3">
        <v>51039720</v>
      </c>
      <c r="K4" s="1" t="s">
        <v>20</v>
      </c>
      <c r="L4" s="1" t="s">
        <v>34</v>
      </c>
      <c r="M4" s="2">
        <v>45809</v>
      </c>
      <c r="N4" s="1" t="s">
        <v>41</v>
      </c>
      <c r="O4" s="1">
        <v>352</v>
      </c>
      <c r="P4" s="1" t="s">
        <v>40</v>
      </c>
    </row>
    <row r="5" spans="1:16" x14ac:dyDescent="0.25">
      <c r="A5" s="1" t="s">
        <v>26</v>
      </c>
      <c r="B5" s="1" t="s">
        <v>26</v>
      </c>
      <c r="C5" s="1" t="s">
        <v>15</v>
      </c>
      <c r="D5" s="1" t="s">
        <v>6</v>
      </c>
      <c r="E5" s="1">
        <v>16509456</v>
      </c>
      <c r="F5" s="1" t="s">
        <v>24</v>
      </c>
      <c r="G5" s="1">
        <v>499.08</v>
      </c>
      <c r="H5" s="1" t="s">
        <v>19</v>
      </c>
      <c r="I5" s="1">
        <v>51039720</v>
      </c>
      <c r="J5" s="3">
        <v>51039720</v>
      </c>
      <c r="K5" s="1" t="s">
        <v>20</v>
      </c>
      <c r="L5" s="1" t="s">
        <v>34</v>
      </c>
      <c r="M5" s="2">
        <v>45809</v>
      </c>
      <c r="N5" s="1" t="s">
        <v>41</v>
      </c>
      <c r="O5" s="1">
        <f>499.08-352</f>
        <v>147.07999999999998</v>
      </c>
      <c r="P5" s="1" t="s">
        <v>39</v>
      </c>
    </row>
    <row r="6" spans="1:16" x14ac:dyDescent="0.25">
      <c r="A6" s="1" t="s">
        <v>14</v>
      </c>
      <c r="B6" s="1" t="s">
        <v>14</v>
      </c>
      <c r="C6" s="1" t="s">
        <v>15</v>
      </c>
      <c r="D6" s="1" t="s">
        <v>6</v>
      </c>
      <c r="E6" s="1">
        <v>17425766</v>
      </c>
      <c r="F6" s="1" t="s">
        <v>18</v>
      </c>
      <c r="G6" s="1">
        <v>205.92</v>
      </c>
      <c r="H6" s="1" t="s">
        <v>19</v>
      </c>
      <c r="I6" s="1">
        <v>51040586</v>
      </c>
      <c r="J6" s="3">
        <v>51040586</v>
      </c>
      <c r="K6" s="1" t="s">
        <v>20</v>
      </c>
      <c r="L6" s="1" t="s">
        <v>21</v>
      </c>
      <c r="M6" s="2">
        <v>45809</v>
      </c>
      <c r="N6" s="1" t="s">
        <v>36</v>
      </c>
      <c r="O6" s="1">
        <v>205.92</v>
      </c>
      <c r="P6" s="1" t="s">
        <v>42</v>
      </c>
    </row>
    <row r="7" spans="1:16" x14ac:dyDescent="0.25">
      <c r="A7" s="1" t="s">
        <v>14</v>
      </c>
      <c r="B7" s="1" t="s">
        <v>14</v>
      </c>
      <c r="C7" s="1" t="s">
        <v>15</v>
      </c>
      <c r="D7" s="1" t="s">
        <v>6</v>
      </c>
      <c r="E7" s="1">
        <v>17425766</v>
      </c>
      <c r="F7" s="1" t="s">
        <v>18</v>
      </c>
      <c r="G7" s="1">
        <v>205.92</v>
      </c>
      <c r="H7" s="1" t="s">
        <v>19</v>
      </c>
      <c r="I7" s="1">
        <v>51040579</v>
      </c>
      <c r="J7" s="3">
        <v>51040579</v>
      </c>
      <c r="K7" s="1" t="s">
        <v>20</v>
      </c>
      <c r="L7" s="1" t="s">
        <v>23</v>
      </c>
      <c r="M7" s="2">
        <v>45809</v>
      </c>
      <c r="N7" s="1" t="s">
        <v>36</v>
      </c>
      <c r="O7" s="1">
        <v>205.92</v>
      </c>
      <c r="P7" s="1" t="s">
        <v>42</v>
      </c>
    </row>
    <row r="8" spans="1:16" x14ac:dyDescent="0.25">
      <c r="A8" s="1" t="s">
        <v>14</v>
      </c>
      <c r="B8" s="1" t="s">
        <v>14</v>
      </c>
      <c r="C8" s="1" t="s">
        <v>15</v>
      </c>
      <c r="D8" s="1" t="s">
        <v>6</v>
      </c>
      <c r="E8" s="1">
        <v>16509456</v>
      </c>
      <c r="F8" s="1" t="s">
        <v>24</v>
      </c>
      <c r="G8" s="1">
        <v>205.92</v>
      </c>
      <c r="H8" s="1" t="s">
        <v>19</v>
      </c>
      <c r="I8" s="1">
        <v>51040600</v>
      </c>
      <c r="J8" s="3">
        <v>51040600</v>
      </c>
      <c r="K8" s="1" t="s">
        <v>20</v>
      </c>
      <c r="L8" s="1" t="s">
        <v>25</v>
      </c>
      <c r="M8" s="2">
        <v>45809</v>
      </c>
      <c r="N8" s="1" t="s">
        <v>36</v>
      </c>
      <c r="O8" s="1">
        <v>205.92</v>
      </c>
      <c r="P8" s="1" t="s">
        <v>42</v>
      </c>
    </row>
    <row r="9" spans="1:16" x14ac:dyDescent="0.25">
      <c r="A9" s="1" t="s">
        <v>26</v>
      </c>
      <c r="B9" s="1" t="s">
        <v>26</v>
      </c>
      <c r="C9" s="1" t="s">
        <v>15</v>
      </c>
      <c r="D9" s="1" t="s">
        <v>6</v>
      </c>
      <c r="E9" s="1">
        <v>19278370</v>
      </c>
      <c r="F9" s="1" t="s">
        <v>27</v>
      </c>
      <c r="G9" s="1">
        <v>-235.33</v>
      </c>
      <c r="H9" s="1" t="s">
        <v>19</v>
      </c>
      <c r="I9" s="1">
        <v>51039519</v>
      </c>
      <c r="J9" s="3">
        <v>51039519</v>
      </c>
      <c r="K9" s="1" t="s">
        <v>20</v>
      </c>
      <c r="L9" s="1" t="s">
        <v>28</v>
      </c>
      <c r="M9" s="2">
        <v>45778</v>
      </c>
      <c r="N9" s="1" t="s">
        <v>36</v>
      </c>
      <c r="O9" s="1">
        <v>-235.33</v>
      </c>
      <c r="P9" s="1" t="s">
        <v>38</v>
      </c>
    </row>
    <row r="10" spans="1:16" x14ac:dyDescent="0.25">
      <c r="A10" s="1" t="s">
        <v>26</v>
      </c>
      <c r="B10" s="1" t="s">
        <v>26</v>
      </c>
      <c r="C10" s="1" t="s">
        <v>15</v>
      </c>
      <c r="D10" s="1" t="s">
        <v>6</v>
      </c>
      <c r="E10" s="1">
        <v>17425766</v>
      </c>
      <c r="F10" s="1" t="s">
        <v>18</v>
      </c>
      <c r="G10" s="1">
        <v>205.92</v>
      </c>
      <c r="H10" s="1" t="s">
        <v>19</v>
      </c>
      <c r="I10" s="1">
        <v>51040362</v>
      </c>
      <c r="J10" s="3">
        <v>51040362</v>
      </c>
      <c r="K10" s="1" t="s">
        <v>20</v>
      </c>
      <c r="L10" s="1" t="s">
        <v>31</v>
      </c>
      <c r="M10" s="2">
        <v>45809</v>
      </c>
      <c r="N10" s="1" t="s">
        <v>36</v>
      </c>
      <c r="O10" s="1">
        <v>205.92</v>
      </c>
      <c r="P10" s="1" t="s">
        <v>42</v>
      </c>
    </row>
    <row r="11" spans="1:16" x14ac:dyDescent="0.25">
      <c r="A11" s="1" t="s">
        <v>14</v>
      </c>
      <c r="B11" s="1" t="s">
        <v>14</v>
      </c>
      <c r="C11" s="1" t="s">
        <v>15</v>
      </c>
      <c r="D11" s="1" t="s">
        <v>16</v>
      </c>
      <c r="E11" s="1">
        <v>20411454</v>
      </c>
      <c r="F11" s="1" t="s">
        <v>44</v>
      </c>
      <c r="G11" s="1">
        <v>150</v>
      </c>
      <c r="H11" s="1" t="s">
        <v>19</v>
      </c>
      <c r="I11" s="1">
        <v>51040586</v>
      </c>
      <c r="J11" s="3" t="str">
        <f>CONCATENATE(I11,0)</f>
        <v>510405860</v>
      </c>
      <c r="K11" s="1" t="s">
        <v>20</v>
      </c>
      <c r="L11" s="1" t="s">
        <v>21</v>
      </c>
      <c r="M11" s="2">
        <v>45809</v>
      </c>
      <c r="N11" s="1" t="s">
        <v>35</v>
      </c>
      <c r="O11" s="1">
        <v>150</v>
      </c>
    </row>
    <row r="12" spans="1:16" x14ac:dyDescent="0.25">
      <c r="A12" s="1" t="s">
        <v>14</v>
      </c>
      <c r="B12" s="1" t="s">
        <v>14</v>
      </c>
      <c r="C12" s="1" t="s">
        <v>15</v>
      </c>
      <c r="D12" s="1" t="s">
        <v>16</v>
      </c>
      <c r="E12" s="1">
        <v>20411454</v>
      </c>
      <c r="F12" s="1" t="s">
        <v>44</v>
      </c>
      <c r="G12" s="1">
        <v>150</v>
      </c>
      <c r="H12" s="1" t="s">
        <v>19</v>
      </c>
      <c r="I12" s="1">
        <v>51040579</v>
      </c>
      <c r="J12" s="3" t="str">
        <f t="shared" ref="J12:J14" si="0">CONCATENATE(I12,0)</f>
        <v>510405790</v>
      </c>
      <c r="K12" s="1" t="s">
        <v>20</v>
      </c>
      <c r="L12" s="1" t="s">
        <v>23</v>
      </c>
      <c r="M12" s="2">
        <v>45809</v>
      </c>
      <c r="N12" s="1" t="s">
        <v>35</v>
      </c>
      <c r="O12" s="1">
        <v>150</v>
      </c>
    </row>
    <row r="13" spans="1:16" x14ac:dyDescent="0.25">
      <c r="A13" s="1" t="s">
        <v>14</v>
      </c>
      <c r="B13" s="1" t="s">
        <v>14</v>
      </c>
      <c r="C13" s="1" t="s">
        <v>15</v>
      </c>
      <c r="D13" s="1" t="s">
        <v>16</v>
      </c>
      <c r="E13" s="1">
        <v>20411454</v>
      </c>
      <c r="F13" s="1" t="s">
        <v>44</v>
      </c>
      <c r="G13" s="1">
        <v>150</v>
      </c>
      <c r="H13" s="1" t="s">
        <v>19</v>
      </c>
      <c r="I13" s="1">
        <v>51040600</v>
      </c>
      <c r="J13" s="3" t="str">
        <f t="shared" si="0"/>
        <v>510406000</v>
      </c>
      <c r="K13" s="1" t="s">
        <v>20</v>
      </c>
      <c r="L13" s="1" t="s">
        <v>25</v>
      </c>
      <c r="M13" s="2">
        <v>45809</v>
      </c>
      <c r="N13" s="1" t="s">
        <v>35</v>
      </c>
      <c r="O13" s="1">
        <v>150</v>
      </c>
    </row>
    <row r="14" spans="1:16" x14ac:dyDescent="0.25">
      <c r="A14" s="1" t="s">
        <v>26</v>
      </c>
      <c r="B14" s="1" t="s">
        <v>26</v>
      </c>
      <c r="C14" s="1" t="s">
        <v>15</v>
      </c>
      <c r="D14" s="1" t="s">
        <v>16</v>
      </c>
      <c r="E14" s="1">
        <v>20411454</v>
      </c>
      <c r="F14" s="1" t="s">
        <v>44</v>
      </c>
      <c r="G14" s="1">
        <v>150</v>
      </c>
      <c r="H14" s="1" t="s">
        <v>19</v>
      </c>
      <c r="I14" s="1">
        <v>51040362</v>
      </c>
      <c r="J14" s="3" t="str">
        <f t="shared" si="0"/>
        <v>510403620</v>
      </c>
      <c r="K14" s="1" t="s">
        <v>20</v>
      </c>
      <c r="L14" s="1" t="s">
        <v>31</v>
      </c>
      <c r="M14" s="2">
        <v>45809</v>
      </c>
      <c r="N14" s="1" t="s">
        <v>35</v>
      </c>
      <c r="O14" s="1">
        <v>150</v>
      </c>
    </row>
  </sheetData>
  <sortState xmlns:xlrd2="http://schemas.microsoft.com/office/spreadsheetml/2017/richdata2" ref="A2:O14">
    <sortCondition ref="N2:N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2025-06-11T15:42:32Z</dcterms:created>
  <dcterms:modified xsi:type="dcterms:W3CDTF">2025-06-16T20:33:07Z</dcterms:modified>
  <cp:category/>
</cp:coreProperties>
</file>