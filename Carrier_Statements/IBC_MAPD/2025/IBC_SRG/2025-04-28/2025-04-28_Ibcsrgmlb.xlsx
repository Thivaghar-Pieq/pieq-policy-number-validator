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SRG\IBC SRG 4-28-25\"/>
    </mc:Choice>
  </mc:AlternateContent>
  <xr:revisionPtr revIDLastSave="0" documentId="13_ncr:1_{58821697-A7A4-48EF-A2FA-97B4CEBD0FC5}" xr6:coauthVersionLast="47" xr6:coauthVersionMax="47" xr10:uidLastSave="{00000000-0000-0000-0000-000000000000}"/>
  <bookViews>
    <workbookView xWindow="-57720" yWindow="-45" windowWidth="29040" windowHeight="15720" activeTab="1" xr2:uid="{B7F5B5C0-D3D1-4D74-B642-15EB9482CD16}"/>
  </bookViews>
  <sheets>
    <sheet name="Sheet1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11" i="2"/>
  <c r="B12" i="2"/>
  <c r="B13" i="2"/>
  <c r="B14" i="2"/>
  <c r="B15" i="2"/>
  <c r="B9" i="2"/>
  <c r="M15" i="2"/>
  <c r="E15" i="2"/>
  <c r="M14" i="2"/>
  <c r="E14" i="2"/>
  <c r="M13" i="2"/>
  <c r="E13" i="2"/>
  <c r="M12" i="2"/>
  <c r="E12" i="2"/>
  <c r="M11" i="2"/>
  <c r="E11" i="2"/>
  <c r="M10" i="2"/>
  <c r="E10" i="2"/>
  <c r="M9" i="2"/>
  <c r="E9" i="2"/>
  <c r="M3" i="2"/>
  <c r="M4" i="2"/>
  <c r="M5" i="2"/>
  <c r="M6" i="2"/>
  <c r="M7" i="2"/>
  <c r="M8" i="2"/>
  <c r="M2" i="2"/>
  <c r="E3" i="2"/>
  <c r="E4" i="2"/>
  <c r="E5" i="2"/>
  <c r="E6" i="2"/>
  <c r="E7" i="2"/>
  <c r="E8" i="2"/>
  <c r="E2" i="2"/>
  <c r="K13" i="1"/>
</calcChain>
</file>

<file path=xl/sharedStrings.xml><?xml version="1.0" encoding="utf-8"?>
<sst xmlns="http://schemas.openxmlformats.org/spreadsheetml/2006/main" count="212" uniqueCount="55">
  <si>
    <t>IBC</t>
  </si>
  <si>
    <t>MLB</t>
  </si>
  <si>
    <t>Kozacheck</t>
  </si>
  <si>
    <t>Anne Marie</t>
  </si>
  <si>
    <t>PA</t>
  </si>
  <si>
    <t>ANN</t>
  </si>
  <si>
    <t>KELLY</t>
  </si>
  <si>
    <t>3JF4V82VH09</t>
  </si>
  <si>
    <t>EVA</t>
  </si>
  <si>
    <t>SAKERS</t>
  </si>
  <si>
    <t>9K48AE4KA53</t>
  </si>
  <si>
    <t>Hoffmann</t>
  </si>
  <si>
    <t>Jason</t>
  </si>
  <si>
    <t>CHRISTOPHER</t>
  </si>
  <si>
    <t>MCCLAVE</t>
  </si>
  <si>
    <t>9EQ7QW3VD33</t>
  </si>
  <si>
    <t>STEVEN</t>
  </si>
  <si>
    <t>GRENZ</t>
  </si>
  <si>
    <t>9UX6TP1PA76</t>
  </si>
  <si>
    <t>Richter</t>
  </si>
  <si>
    <t>Peter</t>
  </si>
  <si>
    <t>LYNN</t>
  </si>
  <si>
    <t>SCHAAF</t>
  </si>
  <si>
    <t>7DU2PQ9WM03</t>
  </si>
  <si>
    <t>MICHAEL</t>
  </si>
  <si>
    <t>FULLER</t>
  </si>
  <si>
    <t>6H66T12MW62</t>
  </si>
  <si>
    <t>DIANE</t>
  </si>
  <si>
    <t>5MC3RR5JF04</t>
  </si>
  <si>
    <t>Notes</t>
  </si>
  <si>
    <t>Stmt Carrier</t>
  </si>
  <si>
    <t>Carrier</t>
  </si>
  <si>
    <t>AR_Date</t>
  </si>
  <si>
    <t>A AGENCY RAW HEADER</t>
  </si>
  <si>
    <t>BROKER LAST NAME</t>
  </si>
  <si>
    <t>BROKER FIRST NAME</t>
  </si>
  <si>
    <t>NPN</t>
  </si>
  <si>
    <t>CYCLE YEAR</t>
  </si>
  <si>
    <t>SRG_TOTAL OUT</t>
  </si>
  <si>
    <t>AGENT PAY</t>
  </si>
  <si>
    <t>AGENCY MKT FEE</t>
  </si>
  <si>
    <t>AGENCY SERVICE FEE</t>
  </si>
  <si>
    <t>DISENROLLMENT DATE</t>
  </si>
  <si>
    <t>Enrollment Date</t>
  </si>
  <si>
    <t>State</t>
  </si>
  <si>
    <t>CUSTOMER FIRST NAME</t>
  </si>
  <si>
    <t>CUSTOMER LAST NAME</t>
  </si>
  <si>
    <t>HIC_NUM</t>
  </si>
  <si>
    <t>C_ID/ECI_ID</t>
  </si>
  <si>
    <t>IBC MAPD 2025</t>
  </si>
  <si>
    <t>IBC MAPD 2025*</t>
  </si>
  <si>
    <t>[%/$=353][prorate=10/12]</t>
  </si>
  <si>
    <t>[%/$=353][prorate=8/12]</t>
  </si>
  <si>
    <t>[%/$=353][prorate=9/12]</t>
  </si>
  <si>
    <t>[%/$=705]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</si>
</sst>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B2BC-6958-406B-ACD5-4F8B7D0B1AFC}">
  <dimension ref="A1:T13"/>
  <sheetViews>
    <sheetView topLeftCell="E1" workbookViewId="0">
      <selection activeCell="K2" sqref="K2:K8"/>
    </sheetView>
  </sheetViews>
  <sheetFormatPr defaultRowHeight="15" x14ac:dyDescent="0.25"/>
  <cols>
    <col min="17" max="17" width="9.7109375" bestFit="1" customWidth="1"/>
  </cols>
  <sheetData>
    <row r="1" spans="1:20" ht="39" x14ac:dyDescent="0.25">
      <c r="A1" s="3" t="s">
        <v>48</v>
      </c>
      <c r="B1" s="3" t="s">
        <v>47</v>
      </c>
      <c r="C1" s="3" t="s">
        <v>46</v>
      </c>
      <c r="D1" s="3" t="s">
        <v>45</v>
      </c>
      <c r="E1" s="3" t="s">
        <v>44</v>
      </c>
      <c r="F1" s="3" t="s">
        <v>43</v>
      </c>
      <c r="G1" s="3" t="s">
        <v>42</v>
      </c>
      <c r="H1" s="4" t="s">
        <v>41</v>
      </c>
      <c r="I1" s="4" t="s">
        <v>40</v>
      </c>
      <c r="J1" s="4" t="s">
        <v>39</v>
      </c>
      <c r="K1" s="4" t="s">
        <v>38</v>
      </c>
      <c r="L1" s="3" t="s">
        <v>37</v>
      </c>
      <c r="M1" s="3" t="s">
        <v>36</v>
      </c>
      <c r="N1" s="3" t="s">
        <v>35</v>
      </c>
      <c r="O1" s="3" t="s">
        <v>34</v>
      </c>
      <c r="P1" s="3" t="s">
        <v>33</v>
      </c>
      <c r="Q1" s="3" t="s">
        <v>32</v>
      </c>
      <c r="R1" s="3" t="s">
        <v>31</v>
      </c>
      <c r="S1" s="3" t="s">
        <v>30</v>
      </c>
      <c r="T1" s="3" t="s">
        <v>29</v>
      </c>
    </row>
    <row r="2" spans="1:20" x14ac:dyDescent="0.25">
      <c r="A2">
        <v>51038926</v>
      </c>
      <c r="B2" t="s">
        <v>28</v>
      </c>
      <c r="C2" t="s">
        <v>17</v>
      </c>
      <c r="D2" t="s">
        <v>27</v>
      </c>
      <c r="E2" t="s">
        <v>4</v>
      </c>
      <c r="F2" s="1">
        <v>45717</v>
      </c>
      <c r="G2" s="1"/>
      <c r="H2" s="2"/>
      <c r="I2" s="2"/>
      <c r="J2" s="2">
        <v>410.83</v>
      </c>
      <c r="K2" s="2">
        <v>410.83</v>
      </c>
      <c r="M2">
        <v>15278437</v>
      </c>
      <c r="N2" t="s">
        <v>12</v>
      </c>
      <c r="O2" t="s">
        <v>11</v>
      </c>
      <c r="P2" t="s">
        <v>1</v>
      </c>
      <c r="Q2" s="1">
        <v>45770</v>
      </c>
      <c r="R2" t="s">
        <v>0</v>
      </c>
      <c r="S2" t="s">
        <v>0</v>
      </c>
    </row>
    <row r="3" spans="1:20" x14ac:dyDescent="0.25">
      <c r="A3">
        <v>51038860</v>
      </c>
      <c r="B3" t="s">
        <v>26</v>
      </c>
      <c r="C3" t="s">
        <v>25</v>
      </c>
      <c r="D3" t="s">
        <v>24</v>
      </c>
      <c r="E3" t="s">
        <v>4</v>
      </c>
      <c r="F3" s="1">
        <v>45778</v>
      </c>
      <c r="G3" s="1"/>
      <c r="H3" s="2"/>
      <c r="I3" s="2"/>
      <c r="J3" s="2">
        <v>469.67</v>
      </c>
      <c r="K3" s="2">
        <v>469.67</v>
      </c>
      <c r="M3">
        <v>19278370</v>
      </c>
      <c r="N3" t="s">
        <v>3</v>
      </c>
      <c r="O3" t="s">
        <v>2</v>
      </c>
      <c r="P3" t="s">
        <v>1</v>
      </c>
      <c r="Q3" s="1">
        <v>45770</v>
      </c>
      <c r="R3" t="s">
        <v>0</v>
      </c>
      <c r="S3" t="s">
        <v>0</v>
      </c>
    </row>
    <row r="4" spans="1:20" x14ac:dyDescent="0.25">
      <c r="A4">
        <v>51038553</v>
      </c>
      <c r="B4" t="s">
        <v>23</v>
      </c>
      <c r="C4" t="s">
        <v>22</v>
      </c>
      <c r="D4" t="s">
        <v>21</v>
      </c>
      <c r="E4" t="s">
        <v>4</v>
      </c>
      <c r="F4" s="1">
        <v>45778</v>
      </c>
      <c r="G4" s="1"/>
      <c r="H4" s="2"/>
      <c r="I4" s="2"/>
      <c r="J4" s="2">
        <v>469.67</v>
      </c>
      <c r="K4" s="2">
        <v>469.67</v>
      </c>
      <c r="M4">
        <v>16509456</v>
      </c>
      <c r="N4" t="s">
        <v>20</v>
      </c>
      <c r="O4" t="s">
        <v>19</v>
      </c>
      <c r="P4" t="s">
        <v>1</v>
      </c>
      <c r="Q4" s="1">
        <v>45770</v>
      </c>
      <c r="R4" t="s">
        <v>0</v>
      </c>
      <c r="S4" t="s">
        <v>0</v>
      </c>
    </row>
    <row r="5" spans="1:20" x14ac:dyDescent="0.25">
      <c r="A5">
        <v>51038933</v>
      </c>
      <c r="B5" t="s">
        <v>18</v>
      </c>
      <c r="C5" t="s">
        <v>17</v>
      </c>
      <c r="D5" t="s">
        <v>16</v>
      </c>
      <c r="E5" t="s">
        <v>4</v>
      </c>
      <c r="F5" s="1">
        <v>45717</v>
      </c>
      <c r="G5" s="1"/>
      <c r="H5" s="2"/>
      <c r="I5" s="2"/>
      <c r="J5" s="2">
        <v>410.83</v>
      </c>
      <c r="K5" s="2">
        <v>410.83</v>
      </c>
      <c r="M5">
        <v>15278437</v>
      </c>
      <c r="N5" t="s">
        <v>12</v>
      </c>
      <c r="O5" t="s">
        <v>11</v>
      </c>
      <c r="P5" t="s">
        <v>1</v>
      </c>
      <c r="Q5" s="1">
        <v>45770</v>
      </c>
      <c r="R5" t="s">
        <v>0</v>
      </c>
      <c r="S5" t="s">
        <v>0</v>
      </c>
    </row>
    <row r="6" spans="1:20" x14ac:dyDescent="0.25">
      <c r="A6">
        <v>51037946</v>
      </c>
      <c r="B6" t="s">
        <v>15</v>
      </c>
      <c r="C6" t="s">
        <v>14</v>
      </c>
      <c r="D6" t="s">
        <v>13</v>
      </c>
      <c r="E6" t="s">
        <v>4</v>
      </c>
      <c r="F6" s="1">
        <v>45748</v>
      </c>
      <c r="G6" s="1"/>
      <c r="H6" s="2"/>
      <c r="I6" s="2"/>
      <c r="J6" s="2">
        <v>440.25</v>
      </c>
      <c r="K6" s="2">
        <v>440.25</v>
      </c>
      <c r="M6">
        <v>15278437</v>
      </c>
      <c r="N6" t="s">
        <v>12</v>
      </c>
      <c r="O6" t="s">
        <v>11</v>
      </c>
      <c r="P6" t="s">
        <v>1</v>
      </c>
      <c r="Q6" s="1">
        <v>45770</v>
      </c>
      <c r="R6" t="s">
        <v>0</v>
      </c>
      <c r="S6" t="s">
        <v>0</v>
      </c>
    </row>
    <row r="7" spans="1:20" x14ac:dyDescent="0.25">
      <c r="A7">
        <v>50029905</v>
      </c>
      <c r="B7" t="s">
        <v>10</v>
      </c>
      <c r="C7" t="s">
        <v>9</v>
      </c>
      <c r="D7" t="s">
        <v>8</v>
      </c>
      <c r="E7" t="s">
        <v>4</v>
      </c>
      <c r="F7" s="1">
        <v>45748</v>
      </c>
      <c r="G7" s="1"/>
      <c r="H7" s="2"/>
      <c r="I7" s="2"/>
      <c r="J7" s="2">
        <v>440.25</v>
      </c>
      <c r="K7" s="2">
        <v>440.25</v>
      </c>
      <c r="M7">
        <v>19278370</v>
      </c>
      <c r="N7" t="s">
        <v>3</v>
      </c>
      <c r="O7" t="s">
        <v>2</v>
      </c>
      <c r="P7" t="s">
        <v>1</v>
      </c>
      <c r="Q7" s="1">
        <v>45770</v>
      </c>
      <c r="R7" t="s">
        <v>0</v>
      </c>
      <c r="S7" t="s">
        <v>0</v>
      </c>
    </row>
    <row r="8" spans="1:20" x14ac:dyDescent="0.25">
      <c r="A8">
        <v>51038138</v>
      </c>
      <c r="B8" t="s">
        <v>7</v>
      </c>
      <c r="C8" t="s">
        <v>6</v>
      </c>
      <c r="D8" t="s">
        <v>5</v>
      </c>
      <c r="E8" t="s">
        <v>4</v>
      </c>
      <c r="F8" s="1">
        <v>45778</v>
      </c>
      <c r="G8" s="1"/>
      <c r="H8" s="2"/>
      <c r="I8" s="2"/>
      <c r="J8" s="2">
        <v>469.67</v>
      </c>
      <c r="K8" s="2">
        <v>469.67</v>
      </c>
      <c r="M8">
        <v>19278370</v>
      </c>
      <c r="N8" t="s">
        <v>3</v>
      </c>
      <c r="O8" t="s">
        <v>2</v>
      </c>
      <c r="P8" t="s">
        <v>1</v>
      </c>
      <c r="Q8" s="1">
        <v>45770</v>
      </c>
      <c r="R8" t="s">
        <v>0</v>
      </c>
      <c r="S8" t="s">
        <v>0</v>
      </c>
    </row>
    <row r="13" spans="1:20" x14ac:dyDescent="0.25">
      <c r="K13" s="2">
        <f>SUM(K2:K12)</f>
        <v>3111.17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1C63-AC3D-4DDF-8437-AB3206C83210}">
  <dimension ref="A1:P15"/>
  <sheetViews>
    <sheetView tabSelected="1" workbookViewId="0">
      <selection activeCell="B6" sqref="B6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23.140625" bestFit="1" customWidth="1"/>
    <col min="4" max="4" width="23.7109375" bestFit="1" customWidth="1"/>
    <col min="5" max="5" width="22.42578125" bestFit="1" customWidth="1"/>
    <col min="6" max="6" width="5.7109375" bestFit="1" customWidth="1"/>
    <col min="7" max="7" width="15.7109375" bestFit="1" customWidth="1"/>
    <col min="8" max="8" width="7.28515625" bestFit="1" customWidth="1"/>
    <col min="9" max="10" width="9" bestFit="1" customWidth="1"/>
    <col min="11" max="11" width="20.85546875" bestFit="1" customWidth="1"/>
    <col min="12" max="12" width="20.28515625" bestFit="1" customWidth="1"/>
    <col min="13" max="13" width="21.140625" bestFit="1" customWidth="1"/>
    <col min="14" max="14" width="15.28515625" bestFit="1" customWidth="1"/>
    <col min="15" max="15" width="7.7109375" bestFit="1" customWidth="1"/>
    <col min="16" max="16" width="24.140625" bestFit="1" customWidth="1"/>
  </cols>
  <sheetData>
    <row r="1" spans="1:16" ht="26.25" x14ac:dyDescent="0.25">
      <c r="A1" s="3" t="s">
        <v>47</v>
      </c>
      <c r="B1" s="3"/>
      <c r="C1" s="3" t="s">
        <v>46</v>
      </c>
      <c r="D1" s="3" t="s">
        <v>45</v>
      </c>
      <c r="E1" s="3"/>
      <c r="F1" s="3" t="s">
        <v>44</v>
      </c>
      <c r="G1" s="3" t="s">
        <v>43</v>
      </c>
      <c r="H1" s="4" t="s">
        <v>39</v>
      </c>
      <c r="I1" s="4" t="s">
        <v>38</v>
      </c>
      <c r="J1" s="3" t="s">
        <v>36</v>
      </c>
      <c r="K1" s="3" t="s">
        <v>35</v>
      </c>
      <c r="L1" s="3" t="s">
        <v>34</v>
      </c>
    </row>
    <row r="2" spans="1:16" x14ac:dyDescent="0.25">
      <c r="A2" t="s">
        <v>28</v>
      </c>
      <c r="B2" t="s">
        <v>28</v>
      </c>
      <c r="C2" t="s">
        <v>17</v>
      </c>
      <c r="D2" t="s">
        <v>27</v>
      </c>
      <c r="E2" t="str">
        <f>CONCATENATE(D2, " ",C2)</f>
        <v>DIANE GRENZ</v>
      </c>
      <c r="F2" t="s">
        <v>4</v>
      </c>
      <c r="G2" s="1">
        <v>45717</v>
      </c>
      <c r="H2" s="2">
        <v>410.83</v>
      </c>
      <c r="I2" s="2">
        <v>410.83</v>
      </c>
      <c r="J2">
        <v>15278437</v>
      </c>
      <c r="K2" t="s">
        <v>12</v>
      </c>
      <c r="L2" t="s">
        <v>11</v>
      </c>
      <c r="M2" t="str">
        <f>CONCATENATE(K2, " ",L2)</f>
        <v>Jason Hoffmann</v>
      </c>
      <c r="N2" t="s">
        <v>50</v>
      </c>
      <c r="O2">
        <v>-294.17</v>
      </c>
      <c r="P2" t="s">
        <v>51</v>
      </c>
    </row>
    <row r="3" spans="1:16" x14ac:dyDescent="0.25">
      <c r="A3" t="s">
        <v>26</v>
      </c>
      <c r="B3" t="s">
        <v>26</v>
      </c>
      <c r="C3" t="s">
        <v>25</v>
      </c>
      <c r="D3" t="s">
        <v>24</v>
      </c>
      <c r="E3" t="str">
        <f t="shared" ref="E3:E8" si="0">CONCATENATE(D3, " ",C3)</f>
        <v>MICHAEL FULLER</v>
      </c>
      <c r="F3" t="s">
        <v>4</v>
      </c>
      <c r="G3" s="1">
        <v>45778</v>
      </c>
      <c r="H3" s="2">
        <v>469.67</v>
      </c>
      <c r="I3" s="2">
        <v>469.67</v>
      </c>
      <c r="J3">
        <v>19278370</v>
      </c>
      <c r="K3" t="s">
        <v>3</v>
      </c>
      <c r="L3" t="s">
        <v>2</v>
      </c>
      <c r="M3" t="str">
        <f t="shared" ref="M3:M8" si="1">CONCATENATE(K3, " ",L3)</f>
        <v>Anne Marie Kozacheck</v>
      </c>
      <c r="N3" t="s">
        <v>50</v>
      </c>
      <c r="O3">
        <v>-235.33</v>
      </c>
      <c r="P3" t="s">
        <v>52</v>
      </c>
    </row>
    <row r="4" spans="1:16" x14ac:dyDescent="0.25">
      <c r="A4" t="s">
        <v>23</v>
      </c>
      <c r="B4" t="s">
        <v>23</v>
      </c>
      <c r="C4" t="s">
        <v>22</v>
      </c>
      <c r="D4" t="s">
        <v>21</v>
      </c>
      <c r="E4" t="str">
        <f t="shared" si="0"/>
        <v>LYNN SCHAAF</v>
      </c>
      <c r="F4" t="s">
        <v>4</v>
      </c>
      <c r="G4" s="1">
        <v>45778</v>
      </c>
      <c r="H4" s="2">
        <v>469.67</v>
      </c>
      <c r="I4" s="2">
        <v>469.67</v>
      </c>
      <c r="J4">
        <v>16509456</v>
      </c>
      <c r="K4" t="s">
        <v>20</v>
      </c>
      <c r="L4" t="s">
        <v>19</v>
      </c>
      <c r="M4" t="str">
        <f t="shared" si="1"/>
        <v>Peter Richter</v>
      </c>
      <c r="N4" t="s">
        <v>50</v>
      </c>
      <c r="O4">
        <v>-235.33</v>
      </c>
      <c r="P4" t="s">
        <v>52</v>
      </c>
    </row>
    <row r="5" spans="1:16" x14ac:dyDescent="0.25">
      <c r="A5" t="s">
        <v>18</v>
      </c>
      <c r="B5" t="s">
        <v>18</v>
      </c>
      <c r="C5" t="s">
        <v>17</v>
      </c>
      <c r="D5" t="s">
        <v>16</v>
      </c>
      <c r="E5" t="str">
        <f t="shared" si="0"/>
        <v>STEVEN GRENZ</v>
      </c>
      <c r="F5" t="s">
        <v>4</v>
      </c>
      <c r="G5" s="1">
        <v>45717</v>
      </c>
      <c r="H5" s="2">
        <v>410.83</v>
      </c>
      <c r="I5" s="2">
        <v>410.83</v>
      </c>
      <c r="J5">
        <v>15278437</v>
      </c>
      <c r="K5" t="s">
        <v>12</v>
      </c>
      <c r="L5" t="s">
        <v>11</v>
      </c>
      <c r="M5" t="str">
        <f t="shared" si="1"/>
        <v>Jason Hoffmann</v>
      </c>
      <c r="N5" t="s">
        <v>50</v>
      </c>
      <c r="O5">
        <v>-294.17</v>
      </c>
      <c r="P5" t="s">
        <v>51</v>
      </c>
    </row>
    <row r="6" spans="1:16" x14ac:dyDescent="0.25">
      <c r="A6" t="s">
        <v>15</v>
      </c>
      <c r="B6" t="s">
        <v>15</v>
      </c>
      <c r="C6" t="s">
        <v>14</v>
      </c>
      <c r="D6" t="s">
        <v>13</v>
      </c>
      <c r="E6" t="str">
        <f t="shared" si="0"/>
        <v>CHRISTOPHER MCCLAVE</v>
      </c>
      <c r="F6" t="s">
        <v>4</v>
      </c>
      <c r="G6" s="1">
        <v>45748</v>
      </c>
      <c r="H6" s="2">
        <v>440.25</v>
      </c>
      <c r="I6" s="2">
        <v>440.25</v>
      </c>
      <c r="J6">
        <v>15278437</v>
      </c>
      <c r="K6" t="s">
        <v>12</v>
      </c>
      <c r="L6" t="s">
        <v>11</v>
      </c>
      <c r="M6" t="str">
        <f t="shared" si="1"/>
        <v>Jason Hoffmann</v>
      </c>
      <c r="N6" t="s">
        <v>50</v>
      </c>
      <c r="O6">
        <v>-264.75</v>
      </c>
      <c r="P6" t="s">
        <v>53</v>
      </c>
    </row>
    <row r="7" spans="1:16" x14ac:dyDescent="0.25">
      <c r="A7" t="s">
        <v>10</v>
      </c>
      <c r="B7" t="s">
        <v>10</v>
      </c>
      <c r="C7" t="s">
        <v>9</v>
      </c>
      <c r="D7" t="s">
        <v>8</v>
      </c>
      <c r="E7" t="str">
        <f t="shared" si="0"/>
        <v>EVA SAKERS</v>
      </c>
      <c r="F7" t="s">
        <v>4</v>
      </c>
      <c r="G7" s="1">
        <v>45748</v>
      </c>
      <c r="H7" s="2">
        <v>440.25</v>
      </c>
      <c r="I7" s="2">
        <v>440.25</v>
      </c>
      <c r="J7">
        <v>19278370</v>
      </c>
      <c r="K7" t="s">
        <v>3</v>
      </c>
      <c r="L7" t="s">
        <v>2</v>
      </c>
      <c r="M7" t="str">
        <f t="shared" si="1"/>
        <v>Anne Marie Kozacheck</v>
      </c>
      <c r="N7" t="s">
        <v>50</v>
      </c>
      <c r="O7">
        <v>-264.75</v>
      </c>
      <c r="P7" t="s">
        <v>53</v>
      </c>
    </row>
    <row r="8" spans="1:16" x14ac:dyDescent="0.25">
      <c r="A8" t="s">
        <v>7</v>
      </c>
      <c r="B8" t="s">
        <v>7</v>
      </c>
      <c r="C8" t="s">
        <v>6</v>
      </c>
      <c r="D8" t="s">
        <v>5</v>
      </c>
      <c r="E8" t="str">
        <f t="shared" si="0"/>
        <v>ANN KELLY</v>
      </c>
      <c r="F8" t="s">
        <v>4</v>
      </c>
      <c r="G8" s="1">
        <v>45778</v>
      </c>
      <c r="H8" s="2">
        <v>469.67</v>
      </c>
      <c r="I8" s="2">
        <v>469.67</v>
      </c>
      <c r="J8">
        <v>19278370</v>
      </c>
      <c r="K8" t="s">
        <v>3</v>
      </c>
      <c r="L8" t="s">
        <v>2</v>
      </c>
      <c r="M8" t="str">
        <f t="shared" si="1"/>
        <v>Anne Marie Kozacheck</v>
      </c>
      <c r="N8" t="s">
        <v>50</v>
      </c>
      <c r="O8">
        <v>-235.33</v>
      </c>
      <c r="P8" t="s">
        <v>52</v>
      </c>
    </row>
    <row r="9" spans="1:16" x14ac:dyDescent="0.25">
      <c r="A9" t="s">
        <v>28</v>
      </c>
      <c r="B9" t="str">
        <f>CONCATENATE(A9,1)</f>
        <v>5MC3RR5JF041</v>
      </c>
      <c r="C9" t="s">
        <v>17</v>
      </c>
      <c r="D9" t="s">
        <v>27</v>
      </c>
      <c r="E9" t="str">
        <f>CONCATENATE(D9, " ",C9)</f>
        <v>DIANE GRENZ</v>
      </c>
      <c r="F9" t="s">
        <v>4</v>
      </c>
      <c r="G9" s="1">
        <v>45717</v>
      </c>
      <c r="H9" s="2">
        <v>410.83</v>
      </c>
      <c r="I9" s="2">
        <v>410.83</v>
      </c>
      <c r="J9">
        <v>15278437</v>
      </c>
      <c r="K9" t="s">
        <v>12</v>
      </c>
      <c r="L9" t="s">
        <v>11</v>
      </c>
      <c r="M9" t="str">
        <f>CONCATENATE(K9, " ",L9)</f>
        <v>Jason Hoffmann</v>
      </c>
      <c r="N9" t="s">
        <v>49</v>
      </c>
      <c r="O9" s="5">
        <v>705</v>
      </c>
      <c r="P9" t="s">
        <v>54</v>
      </c>
    </row>
    <row r="10" spans="1:16" x14ac:dyDescent="0.25">
      <c r="A10" t="s">
        <v>26</v>
      </c>
      <c r="B10" t="str">
        <f t="shared" ref="B10:B15" si="2">CONCATENATE(A10,1)</f>
        <v>6H66T12MW621</v>
      </c>
      <c r="C10" t="s">
        <v>25</v>
      </c>
      <c r="D10" t="s">
        <v>24</v>
      </c>
      <c r="E10" t="str">
        <f t="shared" ref="E10:E15" si="3">CONCATENATE(D10, " ",C10)</f>
        <v>MICHAEL FULLER</v>
      </c>
      <c r="F10" t="s">
        <v>4</v>
      </c>
      <c r="G10" s="1">
        <v>45778</v>
      </c>
      <c r="H10" s="2">
        <v>469.67</v>
      </c>
      <c r="I10" s="2">
        <v>469.67</v>
      </c>
      <c r="J10">
        <v>19278370</v>
      </c>
      <c r="K10" t="s">
        <v>3</v>
      </c>
      <c r="L10" t="s">
        <v>2</v>
      </c>
      <c r="M10" t="str">
        <f t="shared" ref="M10:M15" si="4">CONCATENATE(K10, " ",L10)</f>
        <v>Anne Marie Kozacheck</v>
      </c>
      <c r="N10" t="s">
        <v>49</v>
      </c>
      <c r="O10" s="5">
        <v>705</v>
      </c>
      <c r="P10" t="s">
        <v>54</v>
      </c>
    </row>
    <row r="11" spans="1:16" x14ac:dyDescent="0.25">
      <c r="A11" t="s">
        <v>23</v>
      </c>
      <c r="B11" t="str">
        <f t="shared" si="2"/>
        <v>7DU2PQ9WM031</v>
      </c>
      <c r="C11" t="s">
        <v>22</v>
      </c>
      <c r="D11" t="s">
        <v>21</v>
      </c>
      <c r="E11" t="str">
        <f t="shared" si="3"/>
        <v>LYNN SCHAAF</v>
      </c>
      <c r="F11" t="s">
        <v>4</v>
      </c>
      <c r="G11" s="1">
        <v>45778</v>
      </c>
      <c r="H11" s="2">
        <v>469.67</v>
      </c>
      <c r="I11" s="2">
        <v>469.67</v>
      </c>
      <c r="J11">
        <v>16509456</v>
      </c>
      <c r="K11" t="s">
        <v>20</v>
      </c>
      <c r="L11" t="s">
        <v>19</v>
      </c>
      <c r="M11" t="str">
        <f t="shared" si="4"/>
        <v>Peter Richter</v>
      </c>
      <c r="N11" t="s">
        <v>49</v>
      </c>
      <c r="O11" s="5">
        <v>705</v>
      </c>
      <c r="P11" t="s">
        <v>54</v>
      </c>
    </row>
    <row r="12" spans="1:16" x14ac:dyDescent="0.25">
      <c r="A12" t="s">
        <v>18</v>
      </c>
      <c r="B12" t="str">
        <f t="shared" si="2"/>
        <v>9UX6TP1PA761</v>
      </c>
      <c r="C12" t="s">
        <v>17</v>
      </c>
      <c r="D12" t="s">
        <v>16</v>
      </c>
      <c r="E12" t="str">
        <f t="shared" si="3"/>
        <v>STEVEN GRENZ</v>
      </c>
      <c r="F12" t="s">
        <v>4</v>
      </c>
      <c r="G12" s="1">
        <v>45717</v>
      </c>
      <c r="H12" s="2">
        <v>410.83</v>
      </c>
      <c r="I12" s="2">
        <v>410.83</v>
      </c>
      <c r="J12">
        <v>15278437</v>
      </c>
      <c r="K12" t="s">
        <v>12</v>
      </c>
      <c r="L12" t="s">
        <v>11</v>
      </c>
      <c r="M12" t="str">
        <f t="shared" si="4"/>
        <v>Jason Hoffmann</v>
      </c>
      <c r="N12" t="s">
        <v>49</v>
      </c>
      <c r="O12" s="5">
        <v>705</v>
      </c>
      <c r="P12" t="s">
        <v>54</v>
      </c>
    </row>
    <row r="13" spans="1:16" x14ac:dyDescent="0.25">
      <c r="A13" t="s">
        <v>15</v>
      </c>
      <c r="B13" t="str">
        <f t="shared" si="2"/>
        <v>9EQ7QW3VD331</v>
      </c>
      <c r="C13" t="s">
        <v>14</v>
      </c>
      <c r="D13" t="s">
        <v>13</v>
      </c>
      <c r="E13" t="str">
        <f t="shared" si="3"/>
        <v>CHRISTOPHER MCCLAVE</v>
      </c>
      <c r="F13" t="s">
        <v>4</v>
      </c>
      <c r="G13" s="1">
        <v>45748</v>
      </c>
      <c r="H13" s="2">
        <v>440.25</v>
      </c>
      <c r="I13" s="2">
        <v>440.25</v>
      </c>
      <c r="J13">
        <v>15278437</v>
      </c>
      <c r="K13" t="s">
        <v>12</v>
      </c>
      <c r="L13" t="s">
        <v>11</v>
      </c>
      <c r="M13" t="str">
        <f t="shared" si="4"/>
        <v>Jason Hoffmann</v>
      </c>
      <c r="N13" t="s">
        <v>49</v>
      </c>
      <c r="O13" s="5">
        <v>705</v>
      </c>
      <c r="P13" t="s">
        <v>54</v>
      </c>
    </row>
    <row r="14" spans="1:16" x14ac:dyDescent="0.25">
      <c r="A14" t="s">
        <v>10</v>
      </c>
      <c r="B14" t="str">
        <f t="shared" si="2"/>
        <v>9K48AE4KA531</v>
      </c>
      <c r="C14" t="s">
        <v>9</v>
      </c>
      <c r="D14" t="s">
        <v>8</v>
      </c>
      <c r="E14" t="str">
        <f t="shared" si="3"/>
        <v>EVA SAKERS</v>
      </c>
      <c r="F14" t="s">
        <v>4</v>
      </c>
      <c r="G14" s="1">
        <v>45748</v>
      </c>
      <c r="H14" s="2">
        <v>440.25</v>
      </c>
      <c r="I14" s="2">
        <v>440.25</v>
      </c>
      <c r="J14">
        <v>19278370</v>
      </c>
      <c r="K14" t="s">
        <v>3</v>
      </c>
      <c r="L14" t="s">
        <v>2</v>
      </c>
      <c r="M14" t="str">
        <f t="shared" si="4"/>
        <v>Anne Marie Kozacheck</v>
      </c>
      <c r="N14" t="s">
        <v>49</v>
      </c>
      <c r="O14" s="5">
        <v>705</v>
      </c>
      <c r="P14" t="s">
        <v>54</v>
      </c>
    </row>
    <row r="15" spans="1:16" x14ac:dyDescent="0.25">
      <c r="A15" t="s">
        <v>7</v>
      </c>
      <c r="B15" t="str">
        <f t="shared" si="2"/>
        <v>3JF4V82VH091</v>
      </c>
      <c r="C15" t="s">
        <v>6</v>
      </c>
      <c r="D15" t="s">
        <v>5</v>
      </c>
      <c r="E15" t="str">
        <f t="shared" si="3"/>
        <v>ANN KELLY</v>
      </c>
      <c r="F15" t="s">
        <v>4</v>
      </c>
      <c r="G15" s="1">
        <v>45778</v>
      </c>
      <c r="H15" s="2">
        <v>469.67</v>
      </c>
      <c r="I15" s="2">
        <v>469.67</v>
      </c>
      <c r="J15">
        <v>19278370</v>
      </c>
      <c r="K15" t="s">
        <v>3</v>
      </c>
      <c r="L15" t="s">
        <v>2</v>
      </c>
      <c r="M15" t="str">
        <f t="shared" si="4"/>
        <v>Anne Marie Kozacheck</v>
      </c>
      <c r="N15" t="s">
        <v>49</v>
      </c>
      <c r="O15" s="5">
        <v>705</v>
      </c>
      <c r="P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Sheet11</vt:lpstr>
      <vt:lpstr>Sheet1</vt:lpstr>
    </vt:vector>
  </TitlesOfParts>
  <Company>Independent Administrative Services,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Lingxi</dc:creator>
  <cp:lastModifiedBy>Janki Patel</cp:lastModifiedBy>
  <dcterms:created xsi:type="dcterms:W3CDTF">2025-04-24T00:38:54Z</dcterms:created>
  <dcterms:modified xsi:type="dcterms:W3CDTF">2025-04-30T00:40:59Z</dcterms:modified>
</cp:coreProperties>
</file>