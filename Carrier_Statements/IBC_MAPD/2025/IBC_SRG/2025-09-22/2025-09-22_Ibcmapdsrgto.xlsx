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5B573F1-1BB1-4D77-8199-0E0873E8887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17" i="2" l="1"/>
  <c r="J4" i="2"/>
  <c r="J10" i="2"/>
  <c r="J8" i="2"/>
  <c r="J6" i="2"/>
  <c r="J15" i="2"/>
  <c r="J12" i="2"/>
  <c r="J11" i="2"/>
</calcChain>
</file>

<file path=xl/sharedStrings.xml><?xml version="1.0" encoding="utf-8"?>
<sst xmlns="http://schemas.openxmlformats.org/spreadsheetml/2006/main" count="360" uniqueCount="54">
  <si>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</si>
  <si>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</si>
  <si>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</si>
  <si>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</si>
  <si>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</si>
  <si>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</si>
  <si>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</si>
  <si>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</si>
  <si>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</si>
  <si>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</si>
  <si>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</si>
  <si>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</si>
  <si>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</si>
  <si>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</si>
  <si>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2025-09-29</t>
  </si>
  <si>
    <t/>
  </si>
  <si>
    <t>Agent Pay</t>
  </si>
  <si>
    <t>MLB</t>
  </si>
  <si>
    <t>Foley, Carol</t>
  </si>
  <si>
    <t>Ibc</t>
  </si>
  <si>
    <t>MAPD</t>
  </si>
  <si>
    <t>Masci, Elena</t>
  </si>
  <si>
    <t>2025-10-01</t>
  </si>
  <si>
    <t>Richter, Peter</t>
  </si>
  <si>
    <t>Troffo, Frank</t>
  </si>
  <si>
    <t>Agency Marketing Fee</t>
  </si>
  <si>
    <t>Schwab, David</t>
  </si>
  <si>
    <t>2025-08-01</t>
  </si>
  <si>
    <t>Kozacheck, Anne Marie</t>
  </si>
  <si>
    <t>Kolb, Daniel</t>
  </si>
  <si>
    <t>2025-09-01</t>
  </si>
  <si>
    <t>Shuler, Patricia</t>
  </si>
  <si>
    <t>Thompson, Gregory</t>
  </si>
  <si>
    <t>Rupert, Catherine</t>
  </si>
  <si>
    <t>Jones, Mark</t>
  </si>
  <si>
    <t>2025-11-01</t>
  </si>
  <si>
    <t>2025-09-22</t>
  </si>
  <si>
    <t>Agency Service Fee</t>
  </si>
  <si>
    <t>Clover</t>
  </si>
  <si>
    <t>CP2140165</t>
  </si>
  <si>
    <t>Trask, Valeta</t>
  </si>
  <si>
    <t>2024-10-01</t>
  </si>
  <si>
    <t>Sterner, Murray</t>
  </si>
  <si>
    <t>CP2178852</t>
  </si>
  <si>
    <t>Samuels, Pamela</t>
  </si>
  <si>
    <t>IBC MAPD OVR 2025</t>
  </si>
  <si>
    <t>IBC MAPD 2025*</t>
  </si>
  <si>
    <t>IBC MAPD 2025</t>
  </si>
  <si>
    <t>[%/$=353][prorate=4/12]</t>
  </si>
  <si>
    <t>[%/$=353][prorate=3/12]</t>
  </si>
  <si>
    <t>[%/$=353][prorate=5/12]</t>
  </si>
  <si>
    <t>[%/$=353][prorate=2/12]</t>
  </si>
  <si>
    <t>[%/$=705]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</si>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</sst>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I15" sqref="I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88.25</v>
      </c>
      <c r="H2" t="s">
        <v>19</v>
      </c>
      <c r="I2">
        <v>50004521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>
        <v>88.25</v>
      </c>
      <c r="H3" t="s">
        <v>19</v>
      </c>
      <c r="I3">
        <v>51043568</v>
      </c>
      <c r="J3" t="s">
        <v>20</v>
      </c>
      <c r="K3" t="s">
        <v>24</v>
      </c>
      <c r="L3" t="s">
        <v>22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25</v>
      </c>
      <c r="E4" t="s">
        <v>17</v>
      </c>
      <c r="F4" t="s">
        <v>18</v>
      </c>
      <c r="G4">
        <v>150</v>
      </c>
      <c r="H4" t="s">
        <v>19</v>
      </c>
      <c r="I4">
        <v>50004521</v>
      </c>
      <c r="J4" t="s">
        <v>20</v>
      </c>
      <c r="K4" t="s">
        <v>21</v>
      </c>
      <c r="L4" t="s">
        <v>22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25</v>
      </c>
      <c r="E5" t="s">
        <v>17</v>
      </c>
      <c r="F5" t="s">
        <v>23</v>
      </c>
      <c r="G5">
        <v>150</v>
      </c>
      <c r="H5" t="s">
        <v>19</v>
      </c>
      <c r="I5">
        <v>51043568</v>
      </c>
      <c r="J5" t="s">
        <v>20</v>
      </c>
      <c r="K5" t="s">
        <v>24</v>
      </c>
      <c r="L5" t="s">
        <v>22</v>
      </c>
      <c r="M5" t="s">
        <v>15</v>
      </c>
      <c r="N5" t="s">
        <v>15</v>
      </c>
    </row>
    <row r="6" spans="1:14" x14ac:dyDescent="0.25">
      <c r="A6" t="s">
        <v>14</v>
      </c>
      <c r="B6" t="s">
        <v>14</v>
      </c>
      <c r="C6" t="s">
        <v>15</v>
      </c>
      <c r="D6" t="s">
        <v>16</v>
      </c>
      <c r="E6" t="s">
        <v>17</v>
      </c>
      <c r="F6" t="s">
        <v>23</v>
      </c>
      <c r="G6">
        <v>557.91999999999996</v>
      </c>
      <c r="H6" t="s">
        <v>19</v>
      </c>
      <c r="I6">
        <v>51042757</v>
      </c>
      <c r="J6" t="s">
        <v>20</v>
      </c>
      <c r="K6" t="s">
        <v>26</v>
      </c>
      <c r="L6" t="s">
        <v>27</v>
      </c>
      <c r="M6" t="s">
        <v>15</v>
      </c>
      <c r="N6" t="s">
        <v>15</v>
      </c>
    </row>
    <row r="7" spans="1:14" x14ac:dyDescent="0.25">
      <c r="A7" t="s">
        <v>14</v>
      </c>
      <c r="B7" t="s">
        <v>14</v>
      </c>
      <c r="C7" t="s">
        <v>15</v>
      </c>
      <c r="D7" t="s">
        <v>16</v>
      </c>
      <c r="E7" t="s">
        <v>17</v>
      </c>
      <c r="F7" t="s">
        <v>28</v>
      </c>
      <c r="G7">
        <v>587.33000000000004</v>
      </c>
      <c r="H7" t="s">
        <v>19</v>
      </c>
      <c r="I7">
        <v>51043170</v>
      </c>
      <c r="J7" t="s">
        <v>20</v>
      </c>
      <c r="K7" t="s">
        <v>29</v>
      </c>
      <c r="L7" t="s">
        <v>30</v>
      </c>
      <c r="M7" t="s">
        <v>15</v>
      </c>
      <c r="N7" t="s">
        <v>15</v>
      </c>
    </row>
    <row r="8" spans="1:14" x14ac:dyDescent="0.25">
      <c r="A8" t="s">
        <v>14</v>
      </c>
      <c r="B8" t="s">
        <v>14</v>
      </c>
      <c r="C8" t="s">
        <v>15</v>
      </c>
      <c r="D8" t="s">
        <v>16</v>
      </c>
      <c r="E8" t="s">
        <v>17</v>
      </c>
      <c r="F8" t="s">
        <v>28</v>
      </c>
      <c r="G8">
        <v>587.33000000000004</v>
      </c>
      <c r="H8" t="s">
        <v>19</v>
      </c>
      <c r="I8">
        <v>51042974</v>
      </c>
      <c r="J8" t="s">
        <v>20</v>
      </c>
      <c r="K8" t="s">
        <v>31</v>
      </c>
      <c r="L8" t="s">
        <v>30</v>
      </c>
      <c r="M8" t="s">
        <v>15</v>
      </c>
      <c r="N8" t="s">
        <v>15</v>
      </c>
    </row>
    <row r="9" spans="1:14" x14ac:dyDescent="0.25">
      <c r="A9" t="s">
        <v>14</v>
      </c>
      <c r="B9" t="s">
        <v>14</v>
      </c>
      <c r="C9" t="s">
        <v>15</v>
      </c>
      <c r="D9" t="s">
        <v>16</v>
      </c>
      <c r="E9" t="s">
        <v>17</v>
      </c>
      <c r="F9" t="s">
        <v>28</v>
      </c>
      <c r="G9">
        <v>587.33000000000004</v>
      </c>
      <c r="H9" t="s">
        <v>19</v>
      </c>
      <c r="I9">
        <v>51043203</v>
      </c>
      <c r="J9" t="s">
        <v>20</v>
      </c>
      <c r="K9" t="s">
        <v>32</v>
      </c>
      <c r="L9" t="s">
        <v>30</v>
      </c>
      <c r="M9" t="s">
        <v>15</v>
      </c>
      <c r="N9" t="s">
        <v>15</v>
      </c>
    </row>
    <row r="10" spans="1:14" x14ac:dyDescent="0.25">
      <c r="A10" t="s">
        <v>14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>
        <v>616.75</v>
      </c>
      <c r="H10" t="s">
        <v>19</v>
      </c>
      <c r="I10">
        <v>51042831</v>
      </c>
      <c r="J10" t="s">
        <v>20</v>
      </c>
      <c r="K10" t="s">
        <v>33</v>
      </c>
      <c r="L10" t="s">
        <v>22</v>
      </c>
      <c r="M10" t="s">
        <v>15</v>
      </c>
      <c r="N10" t="s">
        <v>15</v>
      </c>
    </row>
    <row r="11" spans="1:14" x14ac:dyDescent="0.25">
      <c r="A11" t="s">
        <v>14</v>
      </c>
      <c r="B11" t="s">
        <v>14</v>
      </c>
      <c r="C11" t="s">
        <v>15</v>
      </c>
      <c r="D11" t="s">
        <v>16</v>
      </c>
      <c r="E11" t="s">
        <v>17</v>
      </c>
      <c r="F11" t="s">
        <v>23</v>
      </c>
      <c r="G11">
        <v>646.16999999999996</v>
      </c>
      <c r="H11" t="s">
        <v>19</v>
      </c>
      <c r="I11">
        <v>51043111</v>
      </c>
      <c r="J11" t="s">
        <v>20</v>
      </c>
      <c r="K11" t="s">
        <v>34</v>
      </c>
      <c r="L11" t="s">
        <v>35</v>
      </c>
      <c r="M11" t="s">
        <v>15</v>
      </c>
      <c r="N11" t="s">
        <v>15</v>
      </c>
    </row>
    <row r="13" spans="1:14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</row>
    <row r="14" spans="1:14" x14ac:dyDescent="0.25">
      <c r="A14" t="s">
        <v>36</v>
      </c>
      <c r="B14" t="s">
        <v>36</v>
      </c>
      <c r="C14" t="s">
        <v>15</v>
      </c>
      <c r="D14" t="s">
        <v>37</v>
      </c>
      <c r="E14" t="s">
        <v>17</v>
      </c>
      <c r="F14" t="s">
        <v>18</v>
      </c>
      <c r="G14">
        <v>2.1</v>
      </c>
      <c r="H14" t="s">
        <v>38</v>
      </c>
      <c r="I14" t="s">
        <v>39</v>
      </c>
      <c r="J14" t="s">
        <v>20</v>
      </c>
      <c r="K14" t="s">
        <v>40</v>
      </c>
      <c r="L14" t="s">
        <v>41</v>
      </c>
      <c r="M14" t="s">
        <v>15</v>
      </c>
      <c r="N14" t="s">
        <v>15</v>
      </c>
    </row>
    <row r="15" spans="1:14" x14ac:dyDescent="0.25">
      <c r="A15" t="s">
        <v>36</v>
      </c>
      <c r="B15" t="s">
        <v>36</v>
      </c>
      <c r="C15" t="s">
        <v>15</v>
      </c>
      <c r="D15" t="s">
        <v>37</v>
      </c>
      <c r="E15" t="s">
        <v>17</v>
      </c>
      <c r="F15" t="s">
        <v>42</v>
      </c>
      <c r="G15">
        <v>50</v>
      </c>
      <c r="H15" t="s">
        <v>38</v>
      </c>
      <c r="I15" t="s">
        <v>43</v>
      </c>
      <c r="J15" t="s">
        <v>20</v>
      </c>
      <c r="K15" t="s">
        <v>44</v>
      </c>
      <c r="L15" t="s">
        <v>30</v>
      </c>
      <c r="M15" t="s">
        <v>15</v>
      </c>
      <c r="N15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1B3D-9124-45E6-82F5-6DBBD5C6BEC3}">
  <dimension ref="A1:T19"/>
  <sheetViews>
    <sheetView workbookViewId="0">
      <selection activeCell="G1" sqref="G1:G1048576"/>
    </sheetView>
  </sheetViews>
  <sheetFormatPr defaultRowHeight="15" x14ac:dyDescent="0.25"/>
  <cols>
    <col min="1" max="1" width="10.42578125" style="1" bestFit="1" customWidth="1"/>
    <col min="2" max="2" width="12.42578125" style="1" bestFit="1" customWidth="1"/>
    <col min="3" max="3" width="9.140625" style="1"/>
    <col min="4" max="4" width="20.85546875" style="1" bestFit="1" customWidth="1"/>
    <col min="5" max="5" width="16.5703125" style="1" customWidth="1"/>
    <col min="6" max="6" width="21.85546875" style="1" bestFit="1" customWidth="1"/>
    <col min="7" max="7" width="8.140625" style="1" bestFit="1" customWidth="1"/>
    <col min="8" max="8" width="9.140625" style="1"/>
    <col min="9" max="9" width="15.140625" style="1" bestFit="1" customWidth="1"/>
    <col min="10" max="10" width="15.140625" style="1" customWidth="1"/>
    <col min="11" max="11" width="9.140625" style="1"/>
    <col min="12" max="12" width="18.5703125" style="1" bestFit="1" customWidth="1"/>
    <col min="13" max="13" width="13.5703125" style="1" bestFit="1" customWidth="1"/>
    <col min="14" max="14" width="9.7109375" style="1" bestFit="1" customWidth="1"/>
    <col min="15" max="15" width="18.7109375" style="1" bestFit="1" customWidth="1"/>
    <col min="16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</row>
    <row r="2" spans="1:20" x14ac:dyDescent="0.25">
      <c r="A2" s="1" t="s">
        <v>14</v>
      </c>
      <c r="B2" s="1" t="s">
        <v>14</v>
      </c>
      <c r="C2" s="1" t="s">
        <v>15</v>
      </c>
      <c r="D2" s="1" t="s">
        <v>16</v>
      </c>
      <c r="E2" s="1">
        <v>17425766</v>
      </c>
      <c r="F2" s="1" t="s">
        <v>18</v>
      </c>
      <c r="G2" s="1">
        <v>88.25</v>
      </c>
      <c r="H2" s="1" t="s">
        <v>19</v>
      </c>
      <c r="I2" s="1">
        <v>50004521</v>
      </c>
      <c r="J2" s="1">
        <v>50004521</v>
      </c>
      <c r="K2" s="1" t="s">
        <v>20</v>
      </c>
      <c r="L2" s="1" t="s">
        <v>21</v>
      </c>
      <c r="M2" s="2" t="s">
        <v>22</v>
      </c>
      <c r="N2" s="2">
        <v>45931</v>
      </c>
      <c r="O2" s="1" t="s">
        <v>46</v>
      </c>
      <c r="P2" s="7" t="s">
        <v>49</v>
      </c>
    </row>
    <row r="3" spans="1:20" x14ac:dyDescent="0.25">
      <c r="A3" s="7" t="s">
        <v>14</v>
      </c>
      <c r="B3" s="7" t="s">
        <v>14</v>
      </c>
      <c r="C3" s="7" t="s">
        <v>15</v>
      </c>
      <c r="D3" s="7" t="s">
        <v>16</v>
      </c>
      <c r="E3" s="7">
        <v>17425766</v>
      </c>
      <c r="F3" s="7" t="s">
        <v>18</v>
      </c>
      <c r="G3" s="7">
        <v>-88.25</v>
      </c>
      <c r="H3" s="7" t="s">
        <v>19</v>
      </c>
      <c r="I3" s="7">
        <v>51042831</v>
      </c>
      <c r="J3" s="7">
        <v>51042831</v>
      </c>
      <c r="K3" s="7" t="s">
        <v>20</v>
      </c>
      <c r="L3" s="7" t="s">
        <v>33</v>
      </c>
      <c r="M3" s="8" t="s">
        <v>22</v>
      </c>
      <c r="N3" s="8">
        <v>45931</v>
      </c>
      <c r="O3" s="7" t="s">
        <v>46</v>
      </c>
      <c r="P3" s="7" t="s">
        <v>49</v>
      </c>
      <c r="Q3" s="7"/>
      <c r="R3" s="7"/>
      <c r="S3" s="7"/>
      <c r="T3" s="7"/>
    </row>
    <row r="4" spans="1:20" s="3" customFormat="1" x14ac:dyDescent="0.25">
      <c r="A4" s="5" t="s">
        <v>14</v>
      </c>
      <c r="B4" s="5" t="s">
        <v>14</v>
      </c>
      <c r="C4" s="5" t="s">
        <v>15</v>
      </c>
      <c r="D4" s="5" t="s">
        <v>16</v>
      </c>
      <c r="E4" s="5">
        <v>17425766</v>
      </c>
      <c r="F4" s="5" t="s">
        <v>18</v>
      </c>
      <c r="G4" s="5">
        <v>705</v>
      </c>
      <c r="H4" s="5" t="s">
        <v>19</v>
      </c>
      <c r="I4" s="5">
        <v>51042831</v>
      </c>
      <c r="J4" s="5" t="str">
        <f>CONCATENATE(I4,1)</f>
        <v>510428311</v>
      </c>
      <c r="K4" s="5" t="s">
        <v>20</v>
      </c>
      <c r="L4" s="5" t="s">
        <v>33</v>
      </c>
      <c r="M4" s="6" t="s">
        <v>22</v>
      </c>
      <c r="N4" s="6">
        <v>45931</v>
      </c>
      <c r="O4" s="5" t="s">
        <v>47</v>
      </c>
      <c r="P4" s="5" t="s">
        <v>52</v>
      </c>
      <c r="Q4" s="5"/>
      <c r="R4" s="5"/>
      <c r="S4" s="5"/>
      <c r="T4" s="5"/>
    </row>
    <row r="5" spans="1:20" s="3" customFormat="1" x14ac:dyDescent="0.25">
      <c r="A5" s="7" t="s">
        <v>14</v>
      </c>
      <c r="B5" s="7" t="s">
        <v>14</v>
      </c>
      <c r="C5" s="7" t="s">
        <v>15</v>
      </c>
      <c r="D5" s="7" t="s">
        <v>16</v>
      </c>
      <c r="E5" s="7">
        <v>19278370</v>
      </c>
      <c r="F5" s="7" t="s">
        <v>28</v>
      </c>
      <c r="G5" s="7">
        <v>-117.67</v>
      </c>
      <c r="H5" s="7" t="s">
        <v>19</v>
      </c>
      <c r="I5" s="7">
        <v>51043170</v>
      </c>
      <c r="J5" s="7">
        <v>51043170</v>
      </c>
      <c r="K5" s="7" t="s">
        <v>20</v>
      </c>
      <c r="L5" s="7" t="s">
        <v>29</v>
      </c>
      <c r="M5" s="8" t="s">
        <v>30</v>
      </c>
      <c r="N5" s="8">
        <v>45901</v>
      </c>
      <c r="O5" s="7" t="s">
        <v>46</v>
      </c>
      <c r="P5" s="7" t="s">
        <v>48</v>
      </c>
      <c r="Q5" s="7"/>
      <c r="R5" s="7"/>
      <c r="S5" s="7"/>
      <c r="T5" s="7"/>
    </row>
    <row r="6" spans="1:20" s="7" customFormat="1" x14ac:dyDescent="0.25">
      <c r="A6" s="5" t="s">
        <v>14</v>
      </c>
      <c r="B6" s="5" t="s">
        <v>14</v>
      </c>
      <c r="C6" s="5" t="s">
        <v>15</v>
      </c>
      <c r="D6" s="5" t="s">
        <v>16</v>
      </c>
      <c r="E6" s="5">
        <v>19278370</v>
      </c>
      <c r="F6" s="5" t="s">
        <v>28</v>
      </c>
      <c r="G6" s="5">
        <v>705</v>
      </c>
      <c r="H6" s="5" t="s">
        <v>19</v>
      </c>
      <c r="I6" s="5">
        <v>51043170</v>
      </c>
      <c r="J6" s="5" t="str">
        <f>CONCATENATE(I6,1)</f>
        <v>510431701</v>
      </c>
      <c r="K6" s="5" t="s">
        <v>20</v>
      </c>
      <c r="L6" s="5" t="s">
        <v>29</v>
      </c>
      <c r="M6" s="6" t="s">
        <v>30</v>
      </c>
      <c r="N6" s="6">
        <v>45901</v>
      </c>
      <c r="O6" s="5" t="s">
        <v>47</v>
      </c>
      <c r="P6" s="5" t="s">
        <v>52</v>
      </c>
      <c r="Q6" s="5"/>
      <c r="R6" s="5"/>
      <c r="S6" s="5"/>
      <c r="T6" s="5"/>
    </row>
    <row r="7" spans="1:20" s="5" customFormat="1" x14ac:dyDescent="0.25">
      <c r="A7" s="7" t="s">
        <v>14</v>
      </c>
      <c r="B7" s="7" t="s">
        <v>14</v>
      </c>
      <c r="C7" s="7" t="s">
        <v>15</v>
      </c>
      <c r="D7" s="7" t="s">
        <v>16</v>
      </c>
      <c r="E7" s="7">
        <v>19278370</v>
      </c>
      <c r="F7" s="7" t="s">
        <v>28</v>
      </c>
      <c r="G7" s="7">
        <v>-117.67</v>
      </c>
      <c r="H7" s="7" t="s">
        <v>19</v>
      </c>
      <c r="I7" s="7">
        <v>51042974</v>
      </c>
      <c r="J7" s="7">
        <v>51042974</v>
      </c>
      <c r="K7" s="7" t="s">
        <v>20</v>
      </c>
      <c r="L7" s="7" t="s">
        <v>31</v>
      </c>
      <c r="M7" s="8" t="s">
        <v>30</v>
      </c>
      <c r="N7" s="8">
        <v>45901</v>
      </c>
      <c r="O7" s="7" t="s">
        <v>46</v>
      </c>
      <c r="P7" s="7" t="s">
        <v>48</v>
      </c>
      <c r="Q7" s="7"/>
      <c r="R7" s="7"/>
      <c r="S7" s="7"/>
      <c r="T7" s="7"/>
    </row>
    <row r="8" spans="1:20" s="7" customFormat="1" x14ac:dyDescent="0.25">
      <c r="A8" s="5" t="s">
        <v>14</v>
      </c>
      <c r="B8" s="5" t="s">
        <v>14</v>
      </c>
      <c r="C8" s="5" t="s">
        <v>15</v>
      </c>
      <c r="D8" s="5" t="s">
        <v>16</v>
      </c>
      <c r="E8" s="5">
        <v>19278370</v>
      </c>
      <c r="F8" s="5" t="s">
        <v>28</v>
      </c>
      <c r="G8" s="5">
        <v>705</v>
      </c>
      <c r="H8" s="5" t="s">
        <v>19</v>
      </c>
      <c r="I8" s="5">
        <v>51042974</v>
      </c>
      <c r="J8" s="5" t="str">
        <f>CONCATENATE(I8,1)</f>
        <v>510429741</v>
      </c>
      <c r="K8" s="5" t="s">
        <v>20</v>
      </c>
      <c r="L8" s="5" t="s">
        <v>31</v>
      </c>
      <c r="M8" s="6" t="s">
        <v>30</v>
      </c>
      <c r="N8" s="6">
        <v>45901</v>
      </c>
      <c r="O8" s="5" t="s">
        <v>47</v>
      </c>
      <c r="P8" s="5" t="s">
        <v>52</v>
      </c>
      <c r="Q8" s="5"/>
      <c r="R8" s="5"/>
      <c r="S8" s="5"/>
      <c r="T8" s="5"/>
    </row>
    <row r="9" spans="1:20" s="5" customFormat="1" x14ac:dyDescent="0.25">
      <c r="A9" s="7" t="s">
        <v>14</v>
      </c>
      <c r="B9" s="7" t="s">
        <v>14</v>
      </c>
      <c r="C9" s="7" t="s">
        <v>15</v>
      </c>
      <c r="D9" s="7" t="s">
        <v>16</v>
      </c>
      <c r="E9" s="7">
        <v>19278370</v>
      </c>
      <c r="F9" s="7" t="s">
        <v>28</v>
      </c>
      <c r="G9" s="7">
        <v>-117.67</v>
      </c>
      <c r="H9" s="7" t="s">
        <v>19</v>
      </c>
      <c r="I9" s="7">
        <v>51043203</v>
      </c>
      <c r="J9" s="7">
        <v>51043203</v>
      </c>
      <c r="K9" s="7" t="s">
        <v>20</v>
      </c>
      <c r="L9" s="7" t="s">
        <v>32</v>
      </c>
      <c r="M9" s="8" t="s">
        <v>30</v>
      </c>
      <c r="N9" s="8">
        <v>45901</v>
      </c>
      <c r="O9" s="7" t="s">
        <v>46</v>
      </c>
      <c r="P9" s="7" t="s">
        <v>48</v>
      </c>
      <c r="Q9" s="7"/>
      <c r="R9" s="7"/>
      <c r="S9" s="7"/>
      <c r="T9" s="7"/>
    </row>
    <row r="10" spans="1:20" s="7" customFormat="1" x14ac:dyDescent="0.25">
      <c r="A10" s="5" t="s">
        <v>14</v>
      </c>
      <c r="B10" s="5" t="s">
        <v>14</v>
      </c>
      <c r="C10" s="5" t="s">
        <v>15</v>
      </c>
      <c r="D10" s="5" t="s">
        <v>16</v>
      </c>
      <c r="E10" s="5">
        <v>19278370</v>
      </c>
      <c r="F10" s="5" t="s">
        <v>28</v>
      </c>
      <c r="G10" s="5">
        <v>705</v>
      </c>
      <c r="H10" s="5" t="s">
        <v>19</v>
      </c>
      <c r="I10" s="5">
        <v>51043203</v>
      </c>
      <c r="J10" s="5" t="str">
        <f>CONCATENATE(I10,1)</f>
        <v>510432031</v>
      </c>
      <c r="K10" s="5" t="s">
        <v>20</v>
      </c>
      <c r="L10" s="5" t="s">
        <v>32</v>
      </c>
      <c r="M10" s="6" t="s">
        <v>30</v>
      </c>
      <c r="N10" s="6">
        <v>45901</v>
      </c>
      <c r="O10" s="5" t="s">
        <v>47</v>
      </c>
      <c r="P10" s="5" t="s">
        <v>52</v>
      </c>
      <c r="Q10" s="5"/>
      <c r="R10" s="5"/>
      <c r="S10" s="5"/>
      <c r="T10" s="5"/>
    </row>
    <row r="11" spans="1:20" s="5" customFormat="1" x14ac:dyDescent="0.25">
      <c r="A11" s="3" t="s">
        <v>14</v>
      </c>
      <c r="B11" s="3" t="s">
        <v>14</v>
      </c>
      <c r="C11" s="3" t="s">
        <v>15</v>
      </c>
      <c r="D11" s="3" t="s">
        <v>25</v>
      </c>
      <c r="E11" s="3">
        <v>20411454</v>
      </c>
      <c r="F11" s="3" t="s">
        <v>53</v>
      </c>
      <c r="G11" s="3">
        <v>150</v>
      </c>
      <c r="H11" s="3" t="s">
        <v>19</v>
      </c>
      <c r="I11" s="3">
        <v>50004521</v>
      </c>
      <c r="J11" s="3" t="str">
        <f>CONCATENATE(I11, "OVR")</f>
        <v>50004521OVR</v>
      </c>
      <c r="K11" s="3" t="s">
        <v>20</v>
      </c>
      <c r="L11" s="3" t="s">
        <v>21</v>
      </c>
      <c r="M11" s="4" t="s">
        <v>22</v>
      </c>
      <c r="N11" s="4">
        <v>45931</v>
      </c>
      <c r="O11" s="3" t="s">
        <v>45</v>
      </c>
      <c r="P11" s="3"/>
      <c r="Q11" s="3"/>
      <c r="R11" s="3"/>
      <c r="S11" s="3"/>
      <c r="T11" s="3"/>
    </row>
    <row r="12" spans="1:20" s="7" customFormat="1" x14ac:dyDescent="0.25">
      <c r="A12" s="3" t="s">
        <v>14</v>
      </c>
      <c r="B12" s="3" t="s">
        <v>14</v>
      </c>
      <c r="C12" s="3" t="s">
        <v>15</v>
      </c>
      <c r="D12" s="3" t="s">
        <v>25</v>
      </c>
      <c r="E12" s="3">
        <v>20411454</v>
      </c>
      <c r="F12" s="3" t="s">
        <v>53</v>
      </c>
      <c r="G12" s="3">
        <v>150</v>
      </c>
      <c r="H12" s="3" t="s">
        <v>19</v>
      </c>
      <c r="I12" s="3">
        <v>51043568</v>
      </c>
      <c r="J12" s="3" t="str">
        <f>CONCATENATE(I12, "OVR")</f>
        <v>51043568OVR</v>
      </c>
      <c r="K12" s="3" t="s">
        <v>20</v>
      </c>
      <c r="L12" s="3" t="s">
        <v>24</v>
      </c>
      <c r="M12" s="4" t="s">
        <v>22</v>
      </c>
      <c r="N12" s="4">
        <v>45931</v>
      </c>
      <c r="O12" s="3" t="s">
        <v>45</v>
      </c>
      <c r="P12" s="3"/>
      <c r="Q12" s="3"/>
      <c r="R12" s="3"/>
      <c r="S12" s="3"/>
      <c r="T12" s="3"/>
    </row>
    <row r="13" spans="1:20" s="5" customFormat="1" x14ac:dyDescent="0.25">
      <c r="A13" s="1" t="s">
        <v>14</v>
      </c>
      <c r="B13" s="1" t="s">
        <v>14</v>
      </c>
      <c r="C13" s="1" t="s">
        <v>15</v>
      </c>
      <c r="D13" s="1" t="s">
        <v>16</v>
      </c>
      <c r="E13" s="1">
        <v>16509456</v>
      </c>
      <c r="F13" s="1" t="s">
        <v>23</v>
      </c>
      <c r="G13" s="1">
        <v>88.25</v>
      </c>
      <c r="H13" s="1" t="s">
        <v>19</v>
      </c>
      <c r="I13" s="1">
        <v>51043568</v>
      </c>
      <c r="J13" s="1">
        <v>51043568</v>
      </c>
      <c r="K13" s="1" t="s">
        <v>20</v>
      </c>
      <c r="L13" s="1" t="s">
        <v>24</v>
      </c>
      <c r="M13" s="2" t="s">
        <v>22</v>
      </c>
      <c r="N13" s="2">
        <v>45931</v>
      </c>
      <c r="O13" s="1" t="s">
        <v>46</v>
      </c>
      <c r="P13" s="7" t="s">
        <v>49</v>
      </c>
      <c r="Q13" s="1"/>
      <c r="R13" s="1"/>
      <c r="S13" s="1"/>
      <c r="T13" s="1"/>
    </row>
    <row r="14" spans="1:20" s="7" customFormat="1" x14ac:dyDescent="0.25">
      <c r="A14" s="7" t="s">
        <v>14</v>
      </c>
      <c r="B14" s="7" t="s">
        <v>14</v>
      </c>
      <c r="C14" s="7" t="s">
        <v>15</v>
      </c>
      <c r="D14" s="7" t="s">
        <v>16</v>
      </c>
      <c r="E14" s="7">
        <v>16509456</v>
      </c>
      <c r="F14" s="7" t="s">
        <v>23</v>
      </c>
      <c r="G14" s="7">
        <v>-147.08000000000001</v>
      </c>
      <c r="H14" s="7" t="s">
        <v>19</v>
      </c>
      <c r="I14" s="7">
        <v>51042757</v>
      </c>
      <c r="J14" s="7">
        <v>51042757</v>
      </c>
      <c r="K14" s="7" t="s">
        <v>20</v>
      </c>
      <c r="L14" s="7" t="s">
        <v>26</v>
      </c>
      <c r="M14" s="8" t="s">
        <v>27</v>
      </c>
      <c r="N14" s="8">
        <v>45870</v>
      </c>
      <c r="O14" s="7" t="s">
        <v>46</v>
      </c>
      <c r="P14" s="7" t="s">
        <v>50</v>
      </c>
    </row>
    <row r="15" spans="1:20" s="5" customFormat="1" x14ac:dyDescent="0.25">
      <c r="A15" s="5" t="s">
        <v>14</v>
      </c>
      <c r="B15" s="5" t="s">
        <v>14</v>
      </c>
      <c r="C15" s="5" t="s">
        <v>15</v>
      </c>
      <c r="D15" s="5" t="s">
        <v>16</v>
      </c>
      <c r="E15" s="5">
        <v>16509456</v>
      </c>
      <c r="F15" s="5" t="s">
        <v>23</v>
      </c>
      <c r="G15" s="5">
        <v>705</v>
      </c>
      <c r="H15" s="5" t="s">
        <v>19</v>
      </c>
      <c r="I15" s="5">
        <v>51042757</v>
      </c>
      <c r="J15" s="5" t="str">
        <f>CONCATENATE(I15,1)</f>
        <v>510427571</v>
      </c>
      <c r="K15" s="5" t="s">
        <v>20</v>
      </c>
      <c r="L15" s="5" t="s">
        <v>26</v>
      </c>
      <c r="M15" s="6" t="s">
        <v>27</v>
      </c>
      <c r="N15" s="6">
        <v>45870</v>
      </c>
      <c r="O15" s="5" t="s">
        <v>47</v>
      </c>
      <c r="P15" s="5" t="s">
        <v>52</v>
      </c>
    </row>
    <row r="16" spans="1:20" s="7" customFormat="1" x14ac:dyDescent="0.25">
      <c r="A16" s="7" t="s">
        <v>14</v>
      </c>
      <c r="B16" s="7" t="s">
        <v>14</v>
      </c>
      <c r="C16" s="7" t="s">
        <v>15</v>
      </c>
      <c r="D16" s="7" t="s">
        <v>16</v>
      </c>
      <c r="E16" s="7">
        <v>16509456</v>
      </c>
      <c r="F16" s="7" t="s">
        <v>23</v>
      </c>
      <c r="G16" s="7">
        <v>-58.83</v>
      </c>
      <c r="H16" s="7" t="s">
        <v>19</v>
      </c>
      <c r="I16" s="7">
        <v>51043111</v>
      </c>
      <c r="J16" s="7">
        <v>51043111</v>
      </c>
      <c r="K16" s="7" t="s">
        <v>20</v>
      </c>
      <c r="L16" s="7" t="s">
        <v>34</v>
      </c>
      <c r="M16" s="8" t="s">
        <v>35</v>
      </c>
      <c r="N16" s="8">
        <v>45962</v>
      </c>
      <c r="O16" s="7" t="s">
        <v>46</v>
      </c>
      <c r="P16" s="7" t="s">
        <v>51</v>
      </c>
    </row>
    <row r="17" spans="1:16" s="5" customFormat="1" x14ac:dyDescent="0.25">
      <c r="A17" s="5" t="s">
        <v>14</v>
      </c>
      <c r="B17" s="5" t="s">
        <v>14</v>
      </c>
      <c r="C17" s="5" t="s">
        <v>15</v>
      </c>
      <c r="D17" s="5" t="s">
        <v>16</v>
      </c>
      <c r="E17" s="5">
        <v>16509456</v>
      </c>
      <c r="F17" s="5" t="s">
        <v>23</v>
      </c>
      <c r="G17" s="5">
        <v>705</v>
      </c>
      <c r="H17" s="5" t="s">
        <v>19</v>
      </c>
      <c r="I17" s="5">
        <v>51043111</v>
      </c>
      <c r="J17" s="5" t="str">
        <f>CONCATENATE(I17,1)</f>
        <v>510431111</v>
      </c>
      <c r="K17" s="5" t="s">
        <v>20</v>
      </c>
      <c r="L17" s="5" t="s">
        <v>34</v>
      </c>
      <c r="M17" s="6" t="s">
        <v>35</v>
      </c>
      <c r="N17" s="6">
        <v>45962</v>
      </c>
      <c r="O17" s="5" t="s">
        <v>47</v>
      </c>
      <c r="P17" s="5" t="s">
        <v>52</v>
      </c>
    </row>
    <row r="18" spans="1:16" x14ac:dyDescent="0.25">
      <c r="M18" s="2"/>
      <c r="N18" s="2"/>
    </row>
    <row r="19" spans="1:16" x14ac:dyDescent="0.25">
      <c r="M19" s="2"/>
      <c r="N19" s="2"/>
    </row>
  </sheetData>
  <sortState xmlns:xlrd2="http://schemas.microsoft.com/office/spreadsheetml/2017/richdata2" ref="A2:T17">
    <sortCondition ref="F2:F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2025-10-02T18:11:43Z</dcterms:created>
  <dcterms:modified xsi:type="dcterms:W3CDTF">2025-10-04T20:06:20Z</dcterms:modified>
  <cp:category/>
</cp:coreProperties>
</file>