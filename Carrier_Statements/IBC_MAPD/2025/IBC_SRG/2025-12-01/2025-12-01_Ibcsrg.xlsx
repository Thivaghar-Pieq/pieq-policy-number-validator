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BB1E6A7-3B32-4CBE-A219-0EF8FF009880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L16" i="2" l="1"/>
  <c r="L24" i="2"/>
  <c r="L27" i="2"/>
  <c r="L10" i="2"/>
  <c r="L14" i="2"/>
  <c r="L22" i="2"/>
  <c r="L21" i="2"/>
  <c r="L20" i="2"/>
  <c r="L13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<sst xmlns="http://schemas.openxmlformats.org/spreadsheetml/2006/main" count="585" uniqueCount="71">
  <si>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</si>
  <si>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</si>
  <si>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</si>
  <si>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</si>
  <si>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</si>
  <si>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</si>
  <si>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</si>
  <si>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</si>
  <si>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</si>
  <si>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</si>
  <si>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</si>
  <si>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</si>
  <si>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</si>
  <si>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</si>
  <si>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</si>
  <si>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</si>
  <si>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2025-12-01</t>
  </si>
  <si>
    <t/>
  </si>
  <si>
    <t>Agent Pay</t>
  </si>
  <si>
    <t>MLB</t>
  </si>
  <si>
    <t>Hoffmann, Jason</t>
  </si>
  <si>
    <t>Ibc</t>
  </si>
  <si>
    <t>7U15AF7UP71</t>
  </si>
  <si>
    <t>MAPD</t>
  </si>
  <si>
    <t>Engle, Robert</t>
  </si>
  <si>
    <t>2025-12-31</t>
  </si>
  <si>
    <t>Agency Marketing Fee</t>
  </si>
  <si>
    <t>8PJ1JK6UY25</t>
  </si>
  <si>
    <t>Hemmer Jr, Lewis</t>
  </si>
  <si>
    <t>2026-01-01</t>
  </si>
  <si>
    <t>8NW7J86HK54</t>
  </si>
  <si>
    <t>Prescott, Douglas</t>
  </si>
  <si>
    <t>Kozacheck, Anne Marie</t>
  </si>
  <si>
    <t>3PF7CC4AH49</t>
  </si>
  <si>
    <t>Udinski, John</t>
  </si>
  <si>
    <t>5VG7KA4UM73</t>
  </si>
  <si>
    <t>Venutolo, Albert</t>
  </si>
  <si>
    <t>7KQ7F13CJ47</t>
  </si>
  <si>
    <t>Venutolo, Margaret</t>
  </si>
  <si>
    <t>Roccia, Mark</t>
  </si>
  <si>
    <t>9J82CN6GP28</t>
  </si>
  <si>
    <t>Cunningham, Ann</t>
  </si>
  <si>
    <t>2025-10-01</t>
  </si>
  <si>
    <t>8EH0RE8GJ12</t>
  </si>
  <si>
    <t>Fowler, Roseann</t>
  </si>
  <si>
    <t>2025-11-01</t>
  </si>
  <si>
    <t>Richter, Peter</t>
  </si>
  <si>
    <t>2F26JV4TE83</t>
  </si>
  <si>
    <t>Grogan, Catherine</t>
  </si>
  <si>
    <t>2HJ8FC0AQ40</t>
  </si>
  <si>
    <t>Lawson, Conchita</t>
  </si>
  <si>
    <t>8GU9AP2CT00</t>
  </si>
  <si>
    <t>Lawson, Nile</t>
  </si>
  <si>
    <t>5V24VC0KF65</t>
  </si>
  <si>
    <t>Rider Snelson, Tracey</t>
  </si>
  <si>
    <t>2XF7CM9XU48</t>
  </si>
  <si>
    <t>Czajka, Karen</t>
  </si>
  <si>
    <t>4U55PU3XP84</t>
  </si>
  <si>
    <t>Lin, Ishen</t>
  </si>
  <si>
    <t>1NW2QE9JM95</t>
  </si>
  <si>
    <t>Meehan, Kelly</t>
  </si>
  <si>
    <t>1HX5T75TA67</t>
  </si>
  <si>
    <t>Miller Jr, Edward</t>
  </si>
  <si>
    <t>IBC MAPD OVR 2025</t>
  </si>
  <si>
    <t>IBC MAPD 2025*</t>
  </si>
  <si>
    <t>[%/$=353][prorate=2/12]</t>
  </si>
  <si>
    <t>[%/$=353][prorate=1/12]</t>
  </si>
  <si>
    <t>[%/$=705]</t>
  </si>
  <si>
    <t>IBC MAPD 2025</t>
  </si>
  <si>
    <t>[%/$=353][prorate=4/12]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</si>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</sst>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workbookViewId="0">
      <selection activeCell="G1" sqref="G1:G1048576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4.28515625" bestFit="1" customWidth="1"/>
    <col min="12" max="12" width="9.5703125" bestFit="1" customWidth="1"/>
    <col min="13" max="13" width="20.140625" bestFit="1" customWidth="1"/>
    <col min="14" max="14" width="13.5703125" bestFit="1" customWidth="1"/>
    <col min="15" max="15" width="10.425781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29.42</v>
      </c>
      <c r="H2">
        <v>17086692</v>
      </c>
      <c r="I2" t="s">
        <v>21</v>
      </c>
      <c r="J2">
        <v>51046503</v>
      </c>
      <c r="K2" t="s">
        <v>22</v>
      </c>
      <c r="L2" t="s">
        <v>23</v>
      </c>
      <c r="M2" t="s">
        <v>24</v>
      </c>
      <c r="N2" t="s">
        <v>16</v>
      </c>
      <c r="O2" t="s">
        <v>25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26</v>
      </c>
      <c r="E3" t="s">
        <v>19</v>
      </c>
      <c r="F3" t="s">
        <v>20</v>
      </c>
      <c r="G3">
        <v>60</v>
      </c>
      <c r="H3">
        <v>17086692</v>
      </c>
      <c r="I3" t="s">
        <v>21</v>
      </c>
      <c r="J3">
        <v>50129045</v>
      </c>
      <c r="K3" t="s">
        <v>27</v>
      </c>
      <c r="L3" t="s">
        <v>23</v>
      </c>
      <c r="M3" t="s">
        <v>28</v>
      </c>
      <c r="N3" t="s">
        <v>29</v>
      </c>
      <c r="O3" t="s">
        <v>17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26</v>
      </c>
      <c r="E4" t="s">
        <v>19</v>
      </c>
      <c r="F4" t="s">
        <v>20</v>
      </c>
      <c r="G4">
        <v>60</v>
      </c>
      <c r="H4">
        <v>17086692</v>
      </c>
      <c r="I4" t="s">
        <v>21</v>
      </c>
      <c r="J4">
        <v>50018692</v>
      </c>
      <c r="K4" t="s">
        <v>30</v>
      </c>
      <c r="L4" t="s">
        <v>23</v>
      </c>
      <c r="M4" t="s">
        <v>31</v>
      </c>
      <c r="N4" t="s">
        <v>29</v>
      </c>
      <c r="O4" t="s">
        <v>17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26</v>
      </c>
      <c r="E5" t="s">
        <v>19</v>
      </c>
      <c r="F5" t="s">
        <v>32</v>
      </c>
      <c r="G5">
        <v>60</v>
      </c>
      <c r="H5">
        <v>17086692</v>
      </c>
      <c r="I5" t="s">
        <v>21</v>
      </c>
      <c r="J5">
        <v>51034937</v>
      </c>
      <c r="K5" t="s">
        <v>33</v>
      </c>
      <c r="L5" t="s">
        <v>23</v>
      </c>
      <c r="M5" t="s">
        <v>34</v>
      </c>
      <c r="N5" t="s">
        <v>29</v>
      </c>
      <c r="O5" t="s">
        <v>17</v>
      </c>
      <c r="P5" t="s">
        <v>17</v>
      </c>
    </row>
    <row r="6" spans="1:16" x14ac:dyDescent="0.25">
      <c r="A6" t="s">
        <v>16</v>
      </c>
      <c r="B6" t="s">
        <v>16</v>
      </c>
      <c r="C6" t="s">
        <v>17</v>
      </c>
      <c r="D6" t="s">
        <v>26</v>
      </c>
      <c r="E6" t="s">
        <v>19</v>
      </c>
      <c r="F6" t="s">
        <v>32</v>
      </c>
      <c r="G6">
        <v>100</v>
      </c>
      <c r="H6">
        <v>17086692</v>
      </c>
      <c r="I6" t="s">
        <v>21</v>
      </c>
      <c r="J6">
        <v>51046544</v>
      </c>
      <c r="K6" t="s">
        <v>35</v>
      </c>
      <c r="L6" t="s">
        <v>23</v>
      </c>
      <c r="M6" t="s">
        <v>36</v>
      </c>
      <c r="N6" t="s">
        <v>29</v>
      </c>
      <c r="O6" t="s">
        <v>17</v>
      </c>
      <c r="P6" t="s">
        <v>17</v>
      </c>
    </row>
    <row r="7" spans="1:16" x14ac:dyDescent="0.25">
      <c r="A7" t="s">
        <v>16</v>
      </c>
      <c r="B7" t="s">
        <v>16</v>
      </c>
      <c r="C7" t="s">
        <v>17</v>
      </c>
      <c r="D7" t="s">
        <v>26</v>
      </c>
      <c r="E7" t="s">
        <v>19</v>
      </c>
      <c r="F7" t="s">
        <v>32</v>
      </c>
      <c r="G7">
        <v>100</v>
      </c>
      <c r="H7">
        <v>17086692</v>
      </c>
      <c r="I7" t="s">
        <v>21</v>
      </c>
      <c r="J7">
        <v>51046547</v>
      </c>
      <c r="K7" t="s">
        <v>37</v>
      </c>
      <c r="L7" t="s">
        <v>23</v>
      </c>
      <c r="M7" t="s">
        <v>38</v>
      </c>
      <c r="N7" t="s">
        <v>29</v>
      </c>
      <c r="O7" t="s">
        <v>17</v>
      </c>
      <c r="P7" t="s">
        <v>17</v>
      </c>
    </row>
    <row r="8" spans="1:16" x14ac:dyDescent="0.25">
      <c r="A8" t="s">
        <v>16</v>
      </c>
      <c r="B8" t="s">
        <v>16</v>
      </c>
      <c r="C8" t="s">
        <v>17</v>
      </c>
      <c r="D8" t="s">
        <v>18</v>
      </c>
      <c r="E8" t="s">
        <v>19</v>
      </c>
      <c r="F8" t="s">
        <v>39</v>
      </c>
      <c r="G8">
        <v>119.72</v>
      </c>
      <c r="H8">
        <v>17086692</v>
      </c>
      <c r="I8" t="s">
        <v>21</v>
      </c>
      <c r="J8">
        <v>61094220</v>
      </c>
      <c r="K8" t="s">
        <v>40</v>
      </c>
      <c r="L8" t="s">
        <v>23</v>
      </c>
      <c r="M8" t="s">
        <v>41</v>
      </c>
      <c r="N8" t="s">
        <v>42</v>
      </c>
      <c r="O8" t="s">
        <v>25</v>
      </c>
      <c r="P8" t="s">
        <v>17</v>
      </c>
    </row>
    <row r="9" spans="1:16" x14ac:dyDescent="0.25">
      <c r="A9" t="s">
        <v>16</v>
      </c>
      <c r="B9" t="s">
        <v>16</v>
      </c>
      <c r="C9" t="s">
        <v>17</v>
      </c>
      <c r="D9" t="s">
        <v>26</v>
      </c>
      <c r="E9" t="s">
        <v>19</v>
      </c>
      <c r="F9" t="s">
        <v>20</v>
      </c>
      <c r="G9">
        <v>150</v>
      </c>
      <c r="H9">
        <v>17086692</v>
      </c>
      <c r="I9" t="s">
        <v>21</v>
      </c>
      <c r="J9">
        <v>51046503</v>
      </c>
      <c r="K9" t="s">
        <v>22</v>
      </c>
      <c r="L9" t="s">
        <v>23</v>
      </c>
      <c r="M9" t="s">
        <v>24</v>
      </c>
      <c r="N9" t="s">
        <v>16</v>
      </c>
      <c r="O9" t="s">
        <v>25</v>
      </c>
      <c r="P9" t="s">
        <v>17</v>
      </c>
    </row>
    <row r="10" spans="1:16" x14ac:dyDescent="0.25">
      <c r="A10" t="s">
        <v>16</v>
      </c>
      <c r="B10" t="s">
        <v>16</v>
      </c>
      <c r="C10" t="s">
        <v>17</v>
      </c>
      <c r="D10" t="s">
        <v>18</v>
      </c>
      <c r="E10" t="s">
        <v>19</v>
      </c>
      <c r="F10" t="s">
        <v>32</v>
      </c>
      <c r="G10">
        <v>646.16999999999996</v>
      </c>
      <c r="H10">
        <v>17086692</v>
      </c>
      <c r="I10" t="s">
        <v>21</v>
      </c>
      <c r="J10">
        <v>51045632</v>
      </c>
      <c r="K10" t="s">
        <v>43</v>
      </c>
      <c r="L10" t="s">
        <v>23</v>
      </c>
      <c r="M10" t="s">
        <v>44</v>
      </c>
      <c r="N10" t="s">
        <v>45</v>
      </c>
      <c r="O10" t="s">
        <v>25</v>
      </c>
      <c r="P10" t="s">
        <v>17</v>
      </c>
    </row>
    <row r="11" spans="1:16" x14ac:dyDescent="0.25">
      <c r="A11" t="s">
        <v>16</v>
      </c>
      <c r="B11" t="s">
        <v>16</v>
      </c>
      <c r="C11" t="s">
        <v>17</v>
      </c>
      <c r="D11" t="s">
        <v>18</v>
      </c>
      <c r="E11" t="s">
        <v>19</v>
      </c>
      <c r="F11" t="s">
        <v>46</v>
      </c>
      <c r="G11">
        <v>646.16999999999996</v>
      </c>
      <c r="H11">
        <v>17086692</v>
      </c>
      <c r="I11" t="s">
        <v>21</v>
      </c>
      <c r="J11">
        <v>51044864</v>
      </c>
      <c r="K11" t="s">
        <v>47</v>
      </c>
      <c r="L11" t="s">
        <v>23</v>
      </c>
      <c r="M11" t="s">
        <v>48</v>
      </c>
      <c r="N11" t="s">
        <v>45</v>
      </c>
      <c r="O11" t="s">
        <v>25</v>
      </c>
      <c r="P11" t="s">
        <v>17</v>
      </c>
    </row>
    <row r="12" spans="1:16" x14ac:dyDescent="0.25">
      <c r="A12" t="s">
        <v>16</v>
      </c>
      <c r="B12" t="s">
        <v>16</v>
      </c>
      <c r="C12" t="s">
        <v>17</v>
      </c>
      <c r="D12" t="s">
        <v>18</v>
      </c>
      <c r="E12" t="s">
        <v>19</v>
      </c>
      <c r="F12" t="s">
        <v>46</v>
      </c>
      <c r="G12">
        <v>646.16999999999996</v>
      </c>
      <c r="H12">
        <v>17086692</v>
      </c>
      <c r="I12" t="s">
        <v>21</v>
      </c>
      <c r="J12">
        <v>51044290</v>
      </c>
      <c r="K12" t="s">
        <v>49</v>
      </c>
      <c r="L12" t="s">
        <v>23</v>
      </c>
      <c r="M12" t="s">
        <v>50</v>
      </c>
      <c r="N12" t="s">
        <v>45</v>
      </c>
      <c r="O12" t="s">
        <v>17</v>
      </c>
      <c r="P12" t="s">
        <v>17</v>
      </c>
    </row>
    <row r="13" spans="1:16" x14ac:dyDescent="0.25">
      <c r="A13" t="s">
        <v>16</v>
      </c>
      <c r="B13" t="s">
        <v>16</v>
      </c>
      <c r="C13" t="s">
        <v>17</v>
      </c>
      <c r="D13" t="s">
        <v>18</v>
      </c>
      <c r="E13" t="s">
        <v>19</v>
      </c>
      <c r="F13" t="s">
        <v>46</v>
      </c>
      <c r="G13">
        <v>646.16999999999996</v>
      </c>
      <c r="H13">
        <v>17086692</v>
      </c>
      <c r="I13" t="s">
        <v>21</v>
      </c>
      <c r="J13">
        <v>51044307</v>
      </c>
      <c r="K13" t="s">
        <v>51</v>
      </c>
      <c r="L13" t="s">
        <v>23</v>
      </c>
      <c r="M13" t="s">
        <v>52</v>
      </c>
      <c r="N13" t="s">
        <v>45</v>
      </c>
      <c r="O13" t="s">
        <v>17</v>
      </c>
      <c r="P13" t="s">
        <v>17</v>
      </c>
    </row>
    <row r="14" spans="1:16" x14ac:dyDescent="0.25">
      <c r="A14" t="s">
        <v>16</v>
      </c>
      <c r="B14" t="s">
        <v>16</v>
      </c>
      <c r="C14" t="s">
        <v>17</v>
      </c>
      <c r="D14" t="s">
        <v>18</v>
      </c>
      <c r="E14" t="s">
        <v>19</v>
      </c>
      <c r="F14" t="s">
        <v>32</v>
      </c>
      <c r="G14">
        <v>646.16999999999996</v>
      </c>
      <c r="H14">
        <v>17086692</v>
      </c>
      <c r="I14" t="s">
        <v>21</v>
      </c>
      <c r="J14">
        <v>51044362</v>
      </c>
      <c r="K14" t="s">
        <v>53</v>
      </c>
      <c r="L14" t="s">
        <v>23</v>
      </c>
      <c r="M14" t="s">
        <v>54</v>
      </c>
      <c r="N14" t="s">
        <v>45</v>
      </c>
      <c r="O14" t="s">
        <v>25</v>
      </c>
      <c r="P14" t="s">
        <v>17</v>
      </c>
    </row>
    <row r="15" spans="1:16" x14ac:dyDescent="0.25">
      <c r="A15" t="s">
        <v>16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675.58</v>
      </c>
      <c r="H15">
        <v>17086692</v>
      </c>
      <c r="I15" t="s">
        <v>21</v>
      </c>
      <c r="J15">
        <v>51044314</v>
      </c>
      <c r="K15" t="s">
        <v>55</v>
      </c>
      <c r="L15" t="s">
        <v>23</v>
      </c>
      <c r="M15" t="s">
        <v>56</v>
      </c>
      <c r="N15" t="s">
        <v>16</v>
      </c>
      <c r="O15" t="s">
        <v>25</v>
      </c>
      <c r="P15" t="s">
        <v>17</v>
      </c>
    </row>
    <row r="16" spans="1:16" x14ac:dyDescent="0.25">
      <c r="A16" t="s">
        <v>16</v>
      </c>
      <c r="B16" t="s">
        <v>16</v>
      </c>
      <c r="C16" t="s">
        <v>17</v>
      </c>
      <c r="D16" t="s">
        <v>18</v>
      </c>
      <c r="E16" t="s">
        <v>19</v>
      </c>
      <c r="F16" t="s">
        <v>39</v>
      </c>
      <c r="G16">
        <v>675.58</v>
      </c>
      <c r="H16">
        <v>17086692</v>
      </c>
      <c r="I16" t="s">
        <v>21</v>
      </c>
      <c r="J16">
        <v>51045900</v>
      </c>
      <c r="K16" t="s">
        <v>57</v>
      </c>
      <c r="L16" t="s">
        <v>23</v>
      </c>
      <c r="M16" t="s">
        <v>58</v>
      </c>
      <c r="N16" t="s">
        <v>16</v>
      </c>
      <c r="O16" t="s">
        <v>25</v>
      </c>
      <c r="P16" t="s">
        <v>17</v>
      </c>
    </row>
    <row r="17" spans="1:16" x14ac:dyDescent="0.25">
      <c r="A17" t="s">
        <v>16</v>
      </c>
      <c r="B17" t="s">
        <v>16</v>
      </c>
      <c r="C17" t="s">
        <v>17</v>
      </c>
      <c r="D17" t="s">
        <v>18</v>
      </c>
      <c r="E17" t="s">
        <v>19</v>
      </c>
      <c r="F17" t="s">
        <v>46</v>
      </c>
      <c r="G17">
        <v>675.58</v>
      </c>
      <c r="H17">
        <v>17086692</v>
      </c>
      <c r="I17" t="s">
        <v>21</v>
      </c>
      <c r="J17">
        <v>51045906</v>
      </c>
      <c r="K17" t="s">
        <v>59</v>
      </c>
      <c r="L17" t="s">
        <v>23</v>
      </c>
      <c r="M17" t="s">
        <v>60</v>
      </c>
      <c r="N17" t="s">
        <v>16</v>
      </c>
      <c r="O17" t="s">
        <v>25</v>
      </c>
      <c r="P17" t="s">
        <v>17</v>
      </c>
    </row>
    <row r="18" spans="1:16" x14ac:dyDescent="0.25">
      <c r="A18" t="s">
        <v>16</v>
      </c>
      <c r="B18" t="s">
        <v>16</v>
      </c>
      <c r="C18" t="s">
        <v>17</v>
      </c>
      <c r="D18" t="s">
        <v>18</v>
      </c>
      <c r="E18" t="s">
        <v>19</v>
      </c>
      <c r="F18" t="s">
        <v>32</v>
      </c>
      <c r="G18">
        <v>675.58</v>
      </c>
      <c r="H18">
        <v>17086692</v>
      </c>
      <c r="I18" t="s">
        <v>21</v>
      </c>
      <c r="J18">
        <v>51045893</v>
      </c>
      <c r="K18" t="s">
        <v>61</v>
      </c>
      <c r="L18" t="s">
        <v>23</v>
      </c>
      <c r="M18" t="s">
        <v>62</v>
      </c>
      <c r="N18" t="s">
        <v>16</v>
      </c>
      <c r="O18" t="s">
        <v>25</v>
      </c>
      <c r="P18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E435-8DE1-4AAB-A53C-44ACA197B35A}">
  <dimension ref="A1:S27"/>
  <sheetViews>
    <sheetView tabSelected="1" workbookViewId="0">
      <selection activeCell="S2" sqref="S2:S27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8.140625" customWidth="1"/>
    <col min="9" max="9" width="10.7109375" bestFit="1" customWidth="1"/>
    <col min="10" max="10" width="7" bestFit="1" customWidth="1"/>
    <col min="11" max="11" width="15.140625" bestFit="1" customWidth="1"/>
    <col min="12" max="12" width="15.140625" customWidth="1"/>
    <col min="13" max="13" width="14.28515625" bestFit="1" customWidth="1"/>
    <col min="14" max="14" width="9.5703125" bestFit="1" customWidth="1"/>
    <col min="15" max="15" width="20.140625" bestFit="1" customWidth="1"/>
    <col min="16" max="16" width="13.5703125" bestFit="1" customWidth="1"/>
    <col min="17" max="17" width="10.42578125" bestFit="1" customWidth="1"/>
    <col min="18" max="18" width="18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9" s="1" customFormat="1" x14ac:dyDescent="0.25">
      <c r="A2" s="1" t="s">
        <v>16</v>
      </c>
      <c r="B2" s="1" t="s">
        <v>16</v>
      </c>
      <c r="C2" s="1" t="s">
        <v>17</v>
      </c>
      <c r="D2" s="1" t="s">
        <v>26</v>
      </c>
      <c r="E2" s="1" t="s">
        <v>19</v>
      </c>
      <c r="F2" s="1" t="s">
        <v>70</v>
      </c>
      <c r="G2" s="1">
        <v>60</v>
      </c>
      <c r="H2" s="1">
        <v>60</v>
      </c>
      <c r="I2" s="1">
        <v>20411454</v>
      </c>
      <c r="J2" s="1" t="s">
        <v>21</v>
      </c>
      <c r="K2" s="1">
        <v>50129045</v>
      </c>
      <c r="L2" s="1" t="str">
        <f>CONCATENATE(K2,"OVR")</f>
        <v>50129045OVR</v>
      </c>
      <c r="M2" s="1" t="s">
        <v>27</v>
      </c>
      <c r="N2" s="1" t="s">
        <v>23</v>
      </c>
      <c r="O2" s="1" t="s">
        <v>28</v>
      </c>
      <c r="P2" s="2">
        <v>46023</v>
      </c>
      <c r="Q2" s="1" t="s">
        <v>17</v>
      </c>
      <c r="R2" s="1" t="s">
        <v>63</v>
      </c>
    </row>
    <row r="3" spans="1:19" s="1" customFormat="1" x14ac:dyDescent="0.25">
      <c r="A3" s="1" t="s">
        <v>16</v>
      </c>
      <c r="B3" s="1" t="s">
        <v>16</v>
      </c>
      <c r="C3" s="1" t="s">
        <v>17</v>
      </c>
      <c r="D3" s="1" t="s">
        <v>26</v>
      </c>
      <c r="E3" s="1" t="s">
        <v>19</v>
      </c>
      <c r="F3" s="1" t="s">
        <v>70</v>
      </c>
      <c r="G3" s="1">
        <v>60</v>
      </c>
      <c r="H3" s="1">
        <v>60</v>
      </c>
      <c r="I3" s="1">
        <v>20411454</v>
      </c>
      <c r="J3" s="1" t="s">
        <v>21</v>
      </c>
      <c r="K3" s="1">
        <v>50018692</v>
      </c>
      <c r="L3" s="1" t="str">
        <f t="shared" ref="L3:L7" si="0">CONCATENATE(K3,"OVR")</f>
        <v>50018692OVR</v>
      </c>
      <c r="M3" s="1" t="s">
        <v>30</v>
      </c>
      <c r="N3" s="1" t="s">
        <v>23</v>
      </c>
      <c r="O3" s="1" t="s">
        <v>31</v>
      </c>
      <c r="P3" s="2">
        <v>46023</v>
      </c>
      <c r="Q3" s="1" t="s">
        <v>17</v>
      </c>
      <c r="R3" s="1" t="s">
        <v>63</v>
      </c>
    </row>
    <row r="4" spans="1:19" s="1" customFormat="1" x14ac:dyDescent="0.25">
      <c r="A4" s="1" t="s">
        <v>16</v>
      </c>
      <c r="B4" s="1" t="s">
        <v>16</v>
      </c>
      <c r="C4" s="1" t="s">
        <v>17</v>
      </c>
      <c r="D4" s="1" t="s">
        <v>26</v>
      </c>
      <c r="E4" s="1" t="s">
        <v>19</v>
      </c>
      <c r="F4" s="1" t="s">
        <v>70</v>
      </c>
      <c r="G4" s="1">
        <v>60</v>
      </c>
      <c r="H4" s="1">
        <v>60</v>
      </c>
      <c r="I4" s="1">
        <v>20411454</v>
      </c>
      <c r="J4" s="1" t="s">
        <v>21</v>
      </c>
      <c r="K4" s="1">
        <v>51034937</v>
      </c>
      <c r="L4" s="1" t="str">
        <f t="shared" si="0"/>
        <v>51034937OVR</v>
      </c>
      <c r="M4" s="1" t="s">
        <v>33</v>
      </c>
      <c r="N4" s="1" t="s">
        <v>23</v>
      </c>
      <c r="O4" s="1" t="s">
        <v>34</v>
      </c>
      <c r="P4" s="2">
        <v>46023</v>
      </c>
      <c r="Q4" s="1" t="s">
        <v>17</v>
      </c>
      <c r="R4" s="1" t="s">
        <v>63</v>
      </c>
    </row>
    <row r="5" spans="1:19" s="1" customFormat="1" x14ac:dyDescent="0.25">
      <c r="A5" s="1" t="s">
        <v>16</v>
      </c>
      <c r="B5" s="1" t="s">
        <v>16</v>
      </c>
      <c r="C5" s="1" t="s">
        <v>17</v>
      </c>
      <c r="D5" s="1" t="s">
        <v>26</v>
      </c>
      <c r="E5" s="1" t="s">
        <v>19</v>
      </c>
      <c r="F5" s="1" t="s">
        <v>70</v>
      </c>
      <c r="G5" s="1">
        <v>100</v>
      </c>
      <c r="H5" s="1">
        <v>100</v>
      </c>
      <c r="I5" s="1">
        <v>20411454</v>
      </c>
      <c r="J5" s="1" t="s">
        <v>21</v>
      </c>
      <c r="K5" s="1">
        <v>51046544</v>
      </c>
      <c r="L5" s="1" t="str">
        <f t="shared" si="0"/>
        <v>51046544OVR</v>
      </c>
      <c r="M5" s="1" t="s">
        <v>35</v>
      </c>
      <c r="N5" s="1" t="s">
        <v>23</v>
      </c>
      <c r="O5" s="1" t="s">
        <v>36</v>
      </c>
      <c r="P5" s="2">
        <v>46023</v>
      </c>
      <c r="Q5" s="1" t="s">
        <v>17</v>
      </c>
      <c r="R5" s="1" t="s">
        <v>63</v>
      </c>
    </row>
    <row r="6" spans="1:19" s="1" customFormat="1" x14ac:dyDescent="0.25">
      <c r="A6" s="1" t="s">
        <v>16</v>
      </c>
      <c r="B6" s="1" t="s">
        <v>16</v>
      </c>
      <c r="C6" s="1" t="s">
        <v>17</v>
      </c>
      <c r="D6" s="1" t="s">
        <v>26</v>
      </c>
      <c r="E6" s="1" t="s">
        <v>19</v>
      </c>
      <c r="F6" s="1" t="s">
        <v>70</v>
      </c>
      <c r="G6" s="1">
        <v>100</v>
      </c>
      <c r="H6" s="1">
        <v>100</v>
      </c>
      <c r="I6" s="1">
        <v>20411454</v>
      </c>
      <c r="J6" s="1" t="s">
        <v>21</v>
      </c>
      <c r="K6" s="1">
        <v>51046547</v>
      </c>
      <c r="L6" s="1" t="str">
        <f t="shared" si="0"/>
        <v>51046547OVR</v>
      </c>
      <c r="M6" s="1" t="s">
        <v>37</v>
      </c>
      <c r="N6" s="1" t="s">
        <v>23</v>
      </c>
      <c r="O6" s="1" t="s">
        <v>38</v>
      </c>
      <c r="P6" s="2">
        <v>46023</v>
      </c>
      <c r="Q6" s="1" t="s">
        <v>17</v>
      </c>
      <c r="R6" s="1" t="s">
        <v>63</v>
      </c>
    </row>
    <row r="7" spans="1:19" s="1" customFormat="1" x14ac:dyDescent="0.25">
      <c r="A7" s="1" t="s">
        <v>16</v>
      </c>
      <c r="B7" s="1" t="s">
        <v>16</v>
      </c>
      <c r="C7" s="1" t="s">
        <v>17</v>
      </c>
      <c r="D7" s="1" t="s">
        <v>26</v>
      </c>
      <c r="E7" s="1" t="s">
        <v>19</v>
      </c>
      <c r="F7" s="1" t="s">
        <v>70</v>
      </c>
      <c r="G7" s="1">
        <v>150</v>
      </c>
      <c r="H7" s="1">
        <v>150</v>
      </c>
      <c r="I7" s="1">
        <v>20411454</v>
      </c>
      <c r="J7" s="1" t="s">
        <v>21</v>
      </c>
      <c r="K7" s="1">
        <v>51046503</v>
      </c>
      <c r="L7" s="1" t="str">
        <f t="shared" si="0"/>
        <v>51046503OVR</v>
      </c>
      <c r="M7" s="1" t="s">
        <v>22</v>
      </c>
      <c r="N7" s="1" t="s">
        <v>23</v>
      </c>
      <c r="O7" s="1" t="s">
        <v>24</v>
      </c>
      <c r="P7" s="2">
        <v>45992</v>
      </c>
      <c r="Q7" s="1" t="s">
        <v>25</v>
      </c>
      <c r="R7" s="1" t="s">
        <v>63</v>
      </c>
    </row>
    <row r="8" spans="1:19" x14ac:dyDescent="0.25">
      <c r="A8" t="s">
        <v>16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29.42</v>
      </c>
      <c r="H8">
        <v>29.42</v>
      </c>
      <c r="I8">
        <v>15278437</v>
      </c>
      <c r="J8" t="s">
        <v>21</v>
      </c>
      <c r="K8">
        <v>51046503</v>
      </c>
      <c r="L8">
        <v>51046503</v>
      </c>
      <c r="M8" t="s">
        <v>22</v>
      </c>
      <c r="N8" t="s">
        <v>23</v>
      </c>
      <c r="O8" t="s">
        <v>24</v>
      </c>
      <c r="P8" s="3">
        <v>45992</v>
      </c>
      <c r="Q8" t="s">
        <v>25</v>
      </c>
      <c r="R8" t="s">
        <v>64</v>
      </c>
      <c r="S8" t="s">
        <v>66</v>
      </c>
    </row>
    <row r="9" spans="1:19" x14ac:dyDescent="0.25">
      <c r="A9" s="4" t="s">
        <v>16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  <c r="G9" s="4">
        <v>675.58</v>
      </c>
      <c r="H9" s="4">
        <v>-29.42</v>
      </c>
      <c r="I9">
        <v>15278437</v>
      </c>
      <c r="J9" s="4" t="s">
        <v>21</v>
      </c>
      <c r="K9" s="4">
        <v>51044314</v>
      </c>
      <c r="L9" s="4">
        <v>51044314</v>
      </c>
      <c r="M9" s="4" t="s">
        <v>55</v>
      </c>
      <c r="N9" s="4" t="s">
        <v>23</v>
      </c>
      <c r="O9" s="4" t="s">
        <v>56</v>
      </c>
      <c r="P9" s="5">
        <v>45992</v>
      </c>
      <c r="Q9" s="4" t="s">
        <v>25</v>
      </c>
      <c r="R9" s="4" t="s">
        <v>64</v>
      </c>
      <c r="S9" s="4" t="s">
        <v>66</v>
      </c>
    </row>
    <row r="10" spans="1:19" s="4" customFormat="1" x14ac:dyDescent="0.25">
      <c r="A10" s="4" t="s">
        <v>16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>
        <v>675.58</v>
      </c>
      <c r="H10" s="4">
        <v>705</v>
      </c>
      <c r="I10">
        <v>15278437</v>
      </c>
      <c r="J10" s="4" t="s">
        <v>21</v>
      </c>
      <c r="K10" s="4">
        <v>51044314</v>
      </c>
      <c r="L10" s="4" t="str">
        <f>CONCATENATE(K10,1)</f>
        <v>510443141</v>
      </c>
      <c r="M10" s="4" t="s">
        <v>55</v>
      </c>
      <c r="N10" s="4" t="s">
        <v>23</v>
      </c>
      <c r="O10" s="4" t="s">
        <v>56</v>
      </c>
      <c r="P10" s="5">
        <v>45992</v>
      </c>
      <c r="Q10" s="4" t="s">
        <v>25</v>
      </c>
      <c r="R10" s="4" t="s">
        <v>68</v>
      </c>
      <c r="S10" s="4" t="s">
        <v>67</v>
      </c>
    </row>
    <row r="11" spans="1:19" s="4" customFormat="1" x14ac:dyDescent="0.25">
      <c r="A11" s="4" t="s">
        <v>16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32</v>
      </c>
      <c r="G11" s="4">
        <v>646.16999999999996</v>
      </c>
      <c r="H11" s="4">
        <v>-58.83</v>
      </c>
      <c r="I11" s="4">
        <v>19278370</v>
      </c>
      <c r="J11" s="4" t="s">
        <v>21</v>
      </c>
      <c r="K11" s="4">
        <v>51045632</v>
      </c>
      <c r="L11" s="4">
        <v>51045632</v>
      </c>
      <c r="M11" s="4" t="s">
        <v>43</v>
      </c>
      <c r="N11" s="4" t="s">
        <v>23</v>
      </c>
      <c r="O11" s="4" t="s">
        <v>44</v>
      </c>
      <c r="P11" s="5">
        <v>45962</v>
      </c>
      <c r="Q11" s="4" t="s">
        <v>25</v>
      </c>
      <c r="R11" s="4" t="s">
        <v>64</v>
      </c>
      <c r="S11" s="4" t="s">
        <v>65</v>
      </c>
    </row>
    <row r="12" spans="1:19" s="4" customFormat="1" x14ac:dyDescent="0.25">
      <c r="A12" s="4" t="s">
        <v>16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32</v>
      </c>
      <c r="G12" s="4">
        <v>646.16999999999996</v>
      </c>
      <c r="H12" s="4">
        <v>-58.83</v>
      </c>
      <c r="I12" s="4">
        <v>19278370</v>
      </c>
      <c r="J12" s="4" t="s">
        <v>21</v>
      </c>
      <c r="K12" s="4">
        <v>51044362</v>
      </c>
      <c r="L12" s="4">
        <v>51044362</v>
      </c>
      <c r="M12" s="4" t="s">
        <v>53</v>
      </c>
      <c r="N12" s="4" t="s">
        <v>23</v>
      </c>
      <c r="O12" s="4" t="s">
        <v>54</v>
      </c>
      <c r="P12" s="5">
        <v>45962</v>
      </c>
      <c r="Q12" s="4" t="s">
        <v>25</v>
      </c>
      <c r="R12" s="4" t="s">
        <v>64</v>
      </c>
      <c r="S12" s="4" t="s">
        <v>65</v>
      </c>
    </row>
    <row r="13" spans="1:19" s="4" customFormat="1" x14ac:dyDescent="0.25">
      <c r="A13" s="4" t="s">
        <v>16</v>
      </c>
      <c r="B13" s="4" t="s">
        <v>16</v>
      </c>
      <c r="C13" s="4" t="s">
        <v>17</v>
      </c>
      <c r="D13" s="4" t="s">
        <v>18</v>
      </c>
      <c r="E13" s="4" t="s">
        <v>19</v>
      </c>
      <c r="F13" s="4" t="s">
        <v>32</v>
      </c>
      <c r="G13" s="4">
        <v>646.16999999999996</v>
      </c>
      <c r="H13" s="4">
        <v>705</v>
      </c>
      <c r="I13" s="4">
        <v>19278370</v>
      </c>
      <c r="J13" s="4" t="s">
        <v>21</v>
      </c>
      <c r="K13" s="4">
        <v>51045632</v>
      </c>
      <c r="L13" s="4" t="str">
        <f>CONCATENATE(K13,1)</f>
        <v>510456321</v>
      </c>
      <c r="M13" s="4" t="s">
        <v>43</v>
      </c>
      <c r="N13" s="4" t="s">
        <v>23</v>
      </c>
      <c r="O13" s="4" t="s">
        <v>44</v>
      </c>
      <c r="P13" s="5">
        <v>45962</v>
      </c>
      <c r="Q13" s="4" t="s">
        <v>25</v>
      </c>
      <c r="R13" s="4" t="s">
        <v>68</v>
      </c>
      <c r="S13" s="4" t="s">
        <v>67</v>
      </c>
    </row>
    <row r="14" spans="1:19" s="4" customFormat="1" x14ac:dyDescent="0.25">
      <c r="A14" s="4" t="s">
        <v>16</v>
      </c>
      <c r="B14" s="4" t="s">
        <v>16</v>
      </c>
      <c r="C14" s="4" t="s">
        <v>17</v>
      </c>
      <c r="D14" s="4" t="s">
        <v>18</v>
      </c>
      <c r="E14" s="4" t="s">
        <v>19</v>
      </c>
      <c r="F14" s="4" t="s">
        <v>32</v>
      </c>
      <c r="G14" s="4">
        <v>646.16999999999996</v>
      </c>
      <c r="H14" s="4">
        <v>705</v>
      </c>
      <c r="I14" s="4">
        <v>19278370</v>
      </c>
      <c r="J14" s="4" t="s">
        <v>21</v>
      </c>
      <c r="K14" s="4">
        <v>51044362</v>
      </c>
      <c r="L14" s="4" t="str">
        <f>CONCATENATE(K14,1)</f>
        <v>510443621</v>
      </c>
      <c r="M14" s="4" t="s">
        <v>53</v>
      </c>
      <c r="N14" s="4" t="s">
        <v>23</v>
      </c>
      <c r="O14" s="4" t="s">
        <v>54</v>
      </c>
      <c r="P14" s="5">
        <v>45962</v>
      </c>
      <c r="Q14" s="4" t="s">
        <v>25</v>
      </c>
      <c r="R14" s="4" t="s">
        <v>68</v>
      </c>
      <c r="S14" s="4" t="s">
        <v>67</v>
      </c>
    </row>
    <row r="15" spans="1:19" s="4" customFormat="1" x14ac:dyDescent="0.25">
      <c r="A15" s="4" t="s">
        <v>16</v>
      </c>
      <c r="B15" s="4" t="s">
        <v>16</v>
      </c>
      <c r="C15" s="4" t="s">
        <v>17</v>
      </c>
      <c r="D15" s="4" t="s">
        <v>18</v>
      </c>
      <c r="E15" s="4" t="s">
        <v>19</v>
      </c>
      <c r="F15" s="4" t="s">
        <v>32</v>
      </c>
      <c r="G15" s="4">
        <v>675.58</v>
      </c>
      <c r="H15" s="4">
        <v>-29.42</v>
      </c>
      <c r="I15" s="4">
        <v>19278370</v>
      </c>
      <c r="J15" s="4" t="s">
        <v>21</v>
      </c>
      <c r="K15" s="4">
        <v>51045893</v>
      </c>
      <c r="L15" s="4">
        <v>51045893</v>
      </c>
      <c r="M15" s="4" t="s">
        <v>61</v>
      </c>
      <c r="N15" s="4" t="s">
        <v>23</v>
      </c>
      <c r="O15" s="4" t="s">
        <v>62</v>
      </c>
      <c r="P15" s="5">
        <v>45992</v>
      </c>
      <c r="Q15" s="4" t="s">
        <v>25</v>
      </c>
      <c r="R15" s="4" t="s">
        <v>64</v>
      </c>
      <c r="S15" s="4" t="s">
        <v>66</v>
      </c>
    </row>
    <row r="16" spans="1:19" s="4" customFormat="1" x14ac:dyDescent="0.25">
      <c r="A16" s="4" t="s">
        <v>16</v>
      </c>
      <c r="B16" s="4" t="s">
        <v>16</v>
      </c>
      <c r="C16" s="4" t="s">
        <v>17</v>
      </c>
      <c r="D16" s="4" t="s">
        <v>18</v>
      </c>
      <c r="E16" s="4" t="s">
        <v>19</v>
      </c>
      <c r="F16" s="4" t="s">
        <v>32</v>
      </c>
      <c r="G16" s="4">
        <v>675.58</v>
      </c>
      <c r="H16" s="4">
        <v>705</v>
      </c>
      <c r="I16" s="4">
        <v>19278370</v>
      </c>
      <c r="J16" s="4" t="s">
        <v>21</v>
      </c>
      <c r="K16" s="4">
        <v>51045893</v>
      </c>
      <c r="L16" s="4" t="str">
        <f>CONCATENATE(K16,1)</f>
        <v>510458931</v>
      </c>
      <c r="M16" s="4" t="s">
        <v>61</v>
      </c>
      <c r="N16" s="4" t="s">
        <v>23</v>
      </c>
      <c r="O16" s="4" t="s">
        <v>62</v>
      </c>
      <c r="P16" s="5">
        <v>45992</v>
      </c>
      <c r="Q16" s="4" t="s">
        <v>25</v>
      </c>
      <c r="R16" s="4" t="s">
        <v>68</v>
      </c>
      <c r="S16" s="4" t="s">
        <v>67</v>
      </c>
    </row>
    <row r="17" spans="1:19" s="4" customFormat="1" x14ac:dyDescent="0.25">
      <c r="A17" s="4" t="s">
        <v>16</v>
      </c>
      <c r="B17" s="4" t="s">
        <v>16</v>
      </c>
      <c r="C17" s="4" t="s">
        <v>17</v>
      </c>
      <c r="D17" s="4" t="s">
        <v>18</v>
      </c>
      <c r="E17" s="4" t="s">
        <v>19</v>
      </c>
      <c r="F17" s="4" t="s">
        <v>46</v>
      </c>
      <c r="G17" s="4">
        <v>646.16999999999996</v>
      </c>
      <c r="H17" s="4">
        <v>-58.83</v>
      </c>
      <c r="I17" s="4">
        <v>16509456</v>
      </c>
      <c r="J17" s="4" t="s">
        <v>21</v>
      </c>
      <c r="K17" s="4">
        <v>51044864</v>
      </c>
      <c r="L17" s="4">
        <v>51044864</v>
      </c>
      <c r="M17" s="4" t="s">
        <v>47</v>
      </c>
      <c r="N17" s="4" t="s">
        <v>23</v>
      </c>
      <c r="O17" s="4" t="s">
        <v>48</v>
      </c>
      <c r="P17" s="5">
        <v>45962</v>
      </c>
      <c r="Q17" s="4" t="s">
        <v>25</v>
      </c>
      <c r="R17" s="4" t="s">
        <v>64</v>
      </c>
      <c r="S17" s="4" t="s">
        <v>65</v>
      </c>
    </row>
    <row r="18" spans="1:19" s="4" customFormat="1" x14ac:dyDescent="0.25">
      <c r="A18" s="4" t="s">
        <v>16</v>
      </c>
      <c r="B18" s="4" t="s">
        <v>16</v>
      </c>
      <c r="C18" s="4" t="s">
        <v>17</v>
      </c>
      <c r="D18" s="4" t="s">
        <v>18</v>
      </c>
      <c r="E18" s="4" t="s">
        <v>19</v>
      </c>
      <c r="F18" s="4" t="s">
        <v>46</v>
      </c>
      <c r="G18" s="4">
        <v>646.16999999999996</v>
      </c>
      <c r="H18" s="4">
        <v>-58.83</v>
      </c>
      <c r="I18" s="4">
        <v>16509456</v>
      </c>
      <c r="J18" s="4" t="s">
        <v>21</v>
      </c>
      <c r="K18" s="4">
        <v>51044290</v>
      </c>
      <c r="L18" s="4">
        <v>51044290</v>
      </c>
      <c r="M18" s="4" t="s">
        <v>49</v>
      </c>
      <c r="N18" s="4" t="s">
        <v>23</v>
      </c>
      <c r="O18" s="4" t="s">
        <v>50</v>
      </c>
      <c r="P18" s="5">
        <v>45962</v>
      </c>
      <c r="Q18" s="4" t="s">
        <v>17</v>
      </c>
      <c r="R18" s="4" t="s">
        <v>64</v>
      </c>
      <c r="S18" s="4" t="s">
        <v>65</v>
      </c>
    </row>
    <row r="19" spans="1:19" s="4" customFormat="1" x14ac:dyDescent="0.25">
      <c r="A19" s="4" t="s">
        <v>16</v>
      </c>
      <c r="B19" s="4" t="s">
        <v>16</v>
      </c>
      <c r="C19" s="4" t="s">
        <v>17</v>
      </c>
      <c r="D19" s="4" t="s">
        <v>18</v>
      </c>
      <c r="E19" s="4" t="s">
        <v>19</v>
      </c>
      <c r="F19" s="4" t="s">
        <v>46</v>
      </c>
      <c r="G19" s="4">
        <v>646.16999999999996</v>
      </c>
      <c r="H19" s="4">
        <v>-58.83</v>
      </c>
      <c r="I19" s="4">
        <v>16509456</v>
      </c>
      <c r="J19" s="4" t="s">
        <v>21</v>
      </c>
      <c r="K19" s="4">
        <v>51044307</v>
      </c>
      <c r="L19" s="4">
        <v>51044307</v>
      </c>
      <c r="M19" s="4" t="s">
        <v>51</v>
      </c>
      <c r="N19" s="4" t="s">
        <v>23</v>
      </c>
      <c r="O19" s="4" t="s">
        <v>52</v>
      </c>
      <c r="P19" s="5">
        <v>45962</v>
      </c>
      <c r="Q19" s="4" t="s">
        <v>17</v>
      </c>
      <c r="R19" s="4" t="s">
        <v>64</v>
      </c>
      <c r="S19" s="4" t="s">
        <v>65</v>
      </c>
    </row>
    <row r="20" spans="1:19" s="4" customFormat="1" x14ac:dyDescent="0.25">
      <c r="A20" s="4" t="s">
        <v>16</v>
      </c>
      <c r="B20" s="4" t="s">
        <v>16</v>
      </c>
      <c r="C20" s="4" t="s">
        <v>17</v>
      </c>
      <c r="D20" s="4" t="s">
        <v>18</v>
      </c>
      <c r="E20" s="4" t="s">
        <v>19</v>
      </c>
      <c r="F20" s="4" t="s">
        <v>46</v>
      </c>
      <c r="G20" s="4">
        <v>646.16999999999996</v>
      </c>
      <c r="H20" s="4">
        <v>705</v>
      </c>
      <c r="I20" s="4">
        <v>16509456</v>
      </c>
      <c r="J20" s="4" t="s">
        <v>21</v>
      </c>
      <c r="K20" s="4">
        <v>51044864</v>
      </c>
      <c r="L20" s="4" t="str">
        <f>CONCATENATE(K20,1)</f>
        <v>510448641</v>
      </c>
      <c r="M20" s="4" t="s">
        <v>47</v>
      </c>
      <c r="N20" s="4" t="s">
        <v>23</v>
      </c>
      <c r="O20" s="4" t="s">
        <v>48</v>
      </c>
      <c r="P20" s="5">
        <v>45962</v>
      </c>
      <c r="Q20" s="4" t="s">
        <v>25</v>
      </c>
      <c r="R20" s="4" t="s">
        <v>68</v>
      </c>
      <c r="S20" s="4" t="s">
        <v>67</v>
      </c>
    </row>
    <row r="21" spans="1:19" s="4" customFormat="1" x14ac:dyDescent="0.25">
      <c r="A21" s="4" t="s">
        <v>16</v>
      </c>
      <c r="B21" s="4" t="s">
        <v>16</v>
      </c>
      <c r="C21" s="4" t="s">
        <v>17</v>
      </c>
      <c r="D21" s="4" t="s">
        <v>18</v>
      </c>
      <c r="E21" s="4" t="s">
        <v>19</v>
      </c>
      <c r="F21" s="4" t="s">
        <v>46</v>
      </c>
      <c r="G21" s="4">
        <v>646.16999999999996</v>
      </c>
      <c r="H21" s="4">
        <v>705</v>
      </c>
      <c r="I21" s="4">
        <v>16509456</v>
      </c>
      <c r="J21" s="4" t="s">
        <v>21</v>
      </c>
      <c r="K21" s="4">
        <v>51044290</v>
      </c>
      <c r="L21" s="4" t="str">
        <f>CONCATENATE(K21,1)</f>
        <v>510442901</v>
      </c>
      <c r="M21" s="4" t="s">
        <v>49</v>
      </c>
      <c r="N21" s="4" t="s">
        <v>23</v>
      </c>
      <c r="O21" s="4" t="s">
        <v>50</v>
      </c>
      <c r="P21" s="5">
        <v>45962</v>
      </c>
      <c r="Q21" s="4" t="s">
        <v>17</v>
      </c>
      <c r="R21" s="4" t="s">
        <v>68</v>
      </c>
      <c r="S21" s="4" t="s">
        <v>67</v>
      </c>
    </row>
    <row r="22" spans="1:19" s="4" customFormat="1" x14ac:dyDescent="0.25">
      <c r="A22" s="4" t="s">
        <v>16</v>
      </c>
      <c r="B22" s="4" t="s">
        <v>16</v>
      </c>
      <c r="C22" s="4" t="s">
        <v>17</v>
      </c>
      <c r="D22" s="4" t="s">
        <v>18</v>
      </c>
      <c r="E22" s="4" t="s">
        <v>19</v>
      </c>
      <c r="F22" s="4" t="s">
        <v>46</v>
      </c>
      <c r="G22" s="4">
        <v>646.16999999999996</v>
      </c>
      <c r="H22" s="4">
        <v>705</v>
      </c>
      <c r="I22" s="4">
        <v>16509456</v>
      </c>
      <c r="J22" s="4" t="s">
        <v>21</v>
      </c>
      <c r="K22" s="4">
        <v>51044307</v>
      </c>
      <c r="L22" s="4" t="str">
        <f>CONCATENATE(K22,1)</f>
        <v>510443071</v>
      </c>
      <c r="M22" s="4" t="s">
        <v>51</v>
      </c>
      <c r="N22" s="4" t="s">
        <v>23</v>
      </c>
      <c r="O22" s="4" t="s">
        <v>52</v>
      </c>
      <c r="P22" s="5">
        <v>45962</v>
      </c>
      <c r="Q22" s="4" t="s">
        <v>17</v>
      </c>
      <c r="R22" s="4" t="s">
        <v>68</v>
      </c>
      <c r="S22" s="4" t="s">
        <v>67</v>
      </c>
    </row>
    <row r="23" spans="1:19" s="4" customFormat="1" x14ac:dyDescent="0.25">
      <c r="A23" s="4" t="s">
        <v>16</v>
      </c>
      <c r="B23" s="4" t="s">
        <v>16</v>
      </c>
      <c r="C23" s="4" t="s">
        <v>17</v>
      </c>
      <c r="D23" s="4" t="s">
        <v>18</v>
      </c>
      <c r="E23" s="4" t="s">
        <v>19</v>
      </c>
      <c r="F23" s="4" t="s">
        <v>46</v>
      </c>
      <c r="G23" s="4">
        <v>675.58</v>
      </c>
      <c r="H23" s="4">
        <v>-29.42</v>
      </c>
      <c r="I23" s="4">
        <v>16509456</v>
      </c>
      <c r="J23" s="4" t="s">
        <v>21</v>
      </c>
      <c r="K23" s="4">
        <v>51045906</v>
      </c>
      <c r="L23" s="4">
        <v>51045906</v>
      </c>
      <c r="M23" s="4" t="s">
        <v>59</v>
      </c>
      <c r="N23" s="4" t="s">
        <v>23</v>
      </c>
      <c r="O23" s="4" t="s">
        <v>60</v>
      </c>
      <c r="P23" s="5">
        <v>45992</v>
      </c>
      <c r="Q23" s="4" t="s">
        <v>25</v>
      </c>
      <c r="R23" s="4" t="s">
        <v>64</v>
      </c>
      <c r="S23" s="4" t="s">
        <v>66</v>
      </c>
    </row>
    <row r="24" spans="1:19" s="4" customFormat="1" x14ac:dyDescent="0.25">
      <c r="A24" s="4" t="s">
        <v>16</v>
      </c>
      <c r="B24" s="4" t="s">
        <v>16</v>
      </c>
      <c r="C24" s="4" t="s">
        <v>17</v>
      </c>
      <c r="D24" s="4" t="s">
        <v>18</v>
      </c>
      <c r="E24" s="4" t="s">
        <v>19</v>
      </c>
      <c r="F24" s="4" t="s">
        <v>46</v>
      </c>
      <c r="G24" s="4">
        <v>675.58</v>
      </c>
      <c r="H24" s="4">
        <v>705</v>
      </c>
      <c r="I24" s="4">
        <v>16509456</v>
      </c>
      <c r="J24" s="4" t="s">
        <v>21</v>
      </c>
      <c r="K24" s="4">
        <v>51045906</v>
      </c>
      <c r="L24" s="4" t="str">
        <f>CONCATENATE(K24,1)</f>
        <v>510459061</v>
      </c>
      <c r="M24" s="4" t="s">
        <v>59</v>
      </c>
      <c r="N24" s="4" t="s">
        <v>23</v>
      </c>
      <c r="O24" s="4" t="s">
        <v>60</v>
      </c>
      <c r="P24" s="5">
        <v>45992</v>
      </c>
      <c r="Q24" s="4" t="s">
        <v>25</v>
      </c>
      <c r="R24" s="4" t="s">
        <v>68</v>
      </c>
      <c r="S24" s="4" t="s">
        <v>67</v>
      </c>
    </row>
    <row r="25" spans="1:19" s="4" customFormat="1" x14ac:dyDescent="0.25">
      <c r="A25" t="s">
        <v>16</v>
      </c>
      <c r="B25" t="s">
        <v>16</v>
      </c>
      <c r="C25" t="s">
        <v>17</v>
      </c>
      <c r="D25" t="s">
        <v>18</v>
      </c>
      <c r="E25" t="s">
        <v>19</v>
      </c>
      <c r="F25" t="s">
        <v>39</v>
      </c>
      <c r="G25">
        <v>119.72</v>
      </c>
      <c r="H25">
        <v>119.72</v>
      </c>
      <c r="I25">
        <v>21618313</v>
      </c>
      <c r="J25" t="s">
        <v>21</v>
      </c>
      <c r="K25">
        <v>61094220</v>
      </c>
      <c r="L25">
        <v>61094220</v>
      </c>
      <c r="M25" t="s">
        <v>40</v>
      </c>
      <c r="N25" t="s">
        <v>23</v>
      </c>
      <c r="O25" t="s">
        <v>41</v>
      </c>
      <c r="P25" s="3">
        <v>45931</v>
      </c>
      <c r="Q25" t="s">
        <v>25</v>
      </c>
      <c r="R25" t="s">
        <v>64</v>
      </c>
      <c r="S25" t="s">
        <v>69</v>
      </c>
    </row>
    <row r="26" spans="1:19" s="4" customFormat="1" x14ac:dyDescent="0.25">
      <c r="A26" s="4" t="s">
        <v>16</v>
      </c>
      <c r="B26" s="4" t="s">
        <v>16</v>
      </c>
      <c r="C26" s="4" t="s">
        <v>17</v>
      </c>
      <c r="D26" s="4" t="s">
        <v>18</v>
      </c>
      <c r="E26" s="4" t="s">
        <v>19</v>
      </c>
      <c r="F26" s="4" t="s">
        <v>39</v>
      </c>
      <c r="G26" s="4">
        <v>675.58</v>
      </c>
      <c r="H26" s="4">
        <v>-29.42</v>
      </c>
      <c r="I26">
        <v>21618313</v>
      </c>
      <c r="J26" s="4" t="s">
        <v>21</v>
      </c>
      <c r="K26" s="4">
        <v>51045900</v>
      </c>
      <c r="L26" s="4">
        <v>51045900</v>
      </c>
      <c r="M26" s="4" t="s">
        <v>57</v>
      </c>
      <c r="N26" s="4" t="s">
        <v>23</v>
      </c>
      <c r="O26" s="4" t="s">
        <v>58</v>
      </c>
      <c r="P26" s="5">
        <v>45992</v>
      </c>
      <c r="Q26" s="4" t="s">
        <v>25</v>
      </c>
      <c r="R26" s="4" t="s">
        <v>64</v>
      </c>
      <c r="S26" s="4" t="s">
        <v>66</v>
      </c>
    </row>
    <row r="27" spans="1:19" s="4" customFormat="1" x14ac:dyDescent="0.25">
      <c r="A27" s="4" t="s">
        <v>16</v>
      </c>
      <c r="B27" s="4" t="s">
        <v>16</v>
      </c>
      <c r="C27" s="4" t="s">
        <v>17</v>
      </c>
      <c r="D27" s="4" t="s">
        <v>18</v>
      </c>
      <c r="E27" s="4" t="s">
        <v>19</v>
      </c>
      <c r="F27" s="4" t="s">
        <v>39</v>
      </c>
      <c r="G27" s="4">
        <v>675.58</v>
      </c>
      <c r="H27" s="4">
        <v>705</v>
      </c>
      <c r="I27">
        <v>21618313</v>
      </c>
      <c r="J27" s="4" t="s">
        <v>21</v>
      </c>
      <c r="K27" s="4">
        <v>51045900</v>
      </c>
      <c r="L27" s="4" t="str">
        <f>CONCATENATE(K27,1)</f>
        <v>510459001</v>
      </c>
      <c r="M27" s="4" t="s">
        <v>57</v>
      </c>
      <c r="N27" s="4" t="s">
        <v>23</v>
      </c>
      <c r="O27" s="4" t="s">
        <v>58</v>
      </c>
      <c r="P27" s="5">
        <v>45992</v>
      </c>
      <c r="Q27" s="4" t="s">
        <v>25</v>
      </c>
      <c r="R27" s="4" t="s">
        <v>68</v>
      </c>
      <c r="S27" s="4" t="s">
        <v>67</v>
      </c>
    </row>
  </sheetData>
  <sortState xmlns:xlrd2="http://schemas.microsoft.com/office/spreadsheetml/2017/richdata2" ref="A9:S27">
    <sortCondition ref="F9:F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2025-11-28T05:59:35Z</dcterms:created>
  <dcterms:modified xsi:type="dcterms:W3CDTF">2025-12-02T18:39:33Z</dcterms:modified>
  <cp:category/>
</cp:coreProperties>
</file>